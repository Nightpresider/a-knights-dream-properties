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mp;D\FoundryVTT\Data\modules\a-knights-dream\files\"/>
    </mc:Choice>
  </mc:AlternateContent>
  <xr:revisionPtr revIDLastSave="0" documentId="13_ncr:1_{5226103D-8AFE-4E0E-9EB3-783171085128}" xr6:coauthVersionLast="47" xr6:coauthVersionMax="47" xr10:uidLastSave="{00000000-0000-0000-0000-000000000000}"/>
  <bookViews>
    <workbookView xWindow="-98" yWindow="-98" windowWidth="21795" windowHeight="13695" tabRatio="500" activeTab="2" xr2:uid="{00000000-000D-0000-FFFF-FFFF00000000}"/>
  </bookViews>
  <sheets>
    <sheet name="Ingot" sheetId="1" r:id="rId1"/>
    <sheet name="Import" sheetId="2" r:id="rId2"/>
    <sheet name="Effects" sheetId="3" r:id="rId3"/>
    <sheet name="Material Registry" sheetId="4" r:id="rId9"/>
    <sheet name="Effect Tracker" sheetId="5" r:id="rId10"/>
    <sheet name="Punch List" sheetId="6"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9" i="1" l="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R12" i="1"/>
  <c r="Q12" i="1"/>
  <c r="B154" i="3"/>
  <c r="B153" i="3"/>
  <c r="B152" i="3"/>
  <c r="B151" i="3"/>
  <c r="B150" i="3"/>
  <c r="B149" i="3"/>
  <c r="B148" i="3"/>
  <c r="B147" i="3"/>
  <c r="B146" i="3"/>
  <c r="B145" i="3"/>
  <c r="B144" i="3"/>
  <c r="B143" i="3"/>
  <c r="B142" i="3"/>
  <c r="B141"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K3" i="1"/>
  <c r="I3" i="1"/>
  <c r="K4" i="1"/>
  <c r="J4" i="1" s="1" a="1"/>
  <c r="J4" i="1" s="1"/>
  <c r="I4" i="1"/>
  <c r="H4" i="1" s="1" a="1"/>
  <c r="H4" i="1" s="1"/>
  <c r="K6" i="1"/>
  <c r="J6" i="1" s="1" a="1"/>
  <c r="J6" i="1" s="1"/>
  <c r="I6" i="1"/>
  <c r="K5" i="1"/>
  <c r="I5" i="1"/>
  <c r="K7" i="1"/>
  <c r="I7" i="1"/>
  <c r="K9" i="1"/>
  <c r="J9" i="1" s="1" a="1"/>
  <c r="J9" i="1" s="1"/>
  <c r="I9" i="1"/>
  <c r="H9" i="1" s="1" a="1"/>
  <c r="H9" i="1" s="1"/>
  <c r="K8" i="1"/>
  <c r="J8" i="1" s="1" a="1"/>
  <c r="J8" i="1" s="1"/>
  <c r="I8" i="1"/>
  <c r="H8" i="1" s="1" a="1"/>
  <c r="H8" i="1" s="1"/>
  <c r="L3" i="1"/>
  <c r="J3" i="1" a="1"/>
  <c r="J3" i="1" s="1"/>
  <c r="H3" i="1" a="1"/>
  <c r="H3" i="1" s="1"/>
  <c r="G9877" i="2" s="1"/>
  <c r="L4" i="1"/>
  <c r="L6" i="1"/>
  <c r="H6" i="1" a="1"/>
  <c r="H6" i="1" s="1"/>
  <c r="L5" i="1"/>
  <c r="J5" i="1" a="1"/>
  <c r="J5" i="1" s="1"/>
  <c r="H5" i="1" a="1"/>
  <c r="H5" i="1" s="1"/>
  <c r="L7" i="1"/>
  <c r="J7" i="1" a="1"/>
  <c r="J7" i="1" s="1"/>
  <c r="H7" i="1" a="1"/>
  <c r="H7" i="1" s="1"/>
  <c r="G11185" i="2" s="1"/>
  <c r="L9" i="1"/>
  <c r="L8" i="1"/>
  <c r="A12853" i="2"/>
  <c r="A12852" i="2"/>
  <c r="A12851" i="2"/>
  <c r="A12850" i="2"/>
  <c r="A12849" i="2"/>
  <c r="A12848" i="2"/>
  <c r="A12847" i="2"/>
  <c r="A12846" i="2"/>
  <c r="A12845" i="2"/>
  <c r="A12844" i="2"/>
  <c r="A12843" i="2"/>
  <c r="A12842" i="2"/>
  <c r="A12841" i="2"/>
  <c r="A12840" i="2"/>
  <c r="A12839" i="2"/>
  <c r="A12838" i="2"/>
  <c r="A12837" i="2"/>
  <c r="A12836" i="2"/>
  <c r="A12835" i="2"/>
  <c r="A12834" i="2"/>
  <c r="A12833" i="2"/>
  <c r="A12832" i="2"/>
  <c r="A12831" i="2"/>
  <c r="A12830" i="2"/>
  <c r="A12829" i="2"/>
  <c r="A12828" i="2"/>
  <c r="A12827" i="2"/>
  <c r="A12826" i="2"/>
  <c r="A12825" i="2"/>
  <c r="A12824" i="2"/>
  <c r="A12823" i="2"/>
  <c r="A12822" i="2"/>
  <c r="A12821" i="2"/>
  <c r="A12820" i="2"/>
  <c r="A12819" i="2"/>
  <c r="A12818" i="2"/>
  <c r="A12817" i="2"/>
  <c r="A12816" i="2"/>
  <c r="A12815" i="2"/>
  <c r="A12814" i="2"/>
  <c r="A12813" i="2"/>
  <c r="A12812" i="2"/>
  <c r="A12811" i="2"/>
  <c r="A12810" i="2"/>
  <c r="A12809" i="2"/>
  <c r="A12808" i="2"/>
  <c r="A12807" i="2"/>
  <c r="A12806" i="2"/>
  <c r="A12805" i="2"/>
  <c r="A12804" i="2"/>
  <c r="A12803" i="2"/>
  <c r="A12802" i="2"/>
  <c r="A12801" i="2"/>
  <c r="A12800" i="2"/>
  <c r="A12799" i="2"/>
  <c r="A12798" i="2"/>
  <c r="A12797" i="2"/>
  <c r="A12796" i="2"/>
  <c r="A12795" i="2"/>
  <c r="A12794" i="2"/>
  <c r="A12793" i="2"/>
  <c r="A12792" i="2"/>
  <c r="A12791" i="2"/>
  <c r="A12790" i="2"/>
  <c r="A12789" i="2"/>
  <c r="A12788" i="2"/>
  <c r="A12787" i="2"/>
  <c r="A12786" i="2"/>
  <c r="A12785" i="2"/>
  <c r="A12784" i="2"/>
  <c r="A12783" i="2"/>
  <c r="A12782" i="2"/>
  <c r="A12781" i="2"/>
  <c r="A12780" i="2"/>
  <c r="A12779" i="2"/>
  <c r="A12778" i="2"/>
  <c r="A12777" i="2"/>
  <c r="A12776" i="2"/>
  <c r="A12775" i="2"/>
  <c r="A12774" i="2"/>
  <c r="A12773" i="2"/>
  <c r="A12772" i="2"/>
  <c r="A12771" i="2"/>
  <c r="A12770" i="2"/>
  <c r="A12769" i="2"/>
  <c r="A12768" i="2"/>
  <c r="A12767" i="2"/>
  <c r="A12766" i="2"/>
  <c r="A12765" i="2"/>
  <c r="A12764" i="2"/>
  <c r="A12763" i="2"/>
  <c r="A12762" i="2"/>
  <c r="A12761" i="2"/>
  <c r="A12760" i="2"/>
  <c r="A12759" i="2"/>
  <c r="A12758" i="2"/>
  <c r="A12757" i="2"/>
  <c r="A12756" i="2"/>
  <c r="A12755" i="2"/>
  <c r="A12754" i="2"/>
  <c r="A12753" i="2"/>
  <c r="A12752" i="2"/>
  <c r="A12751" i="2"/>
  <c r="A12750" i="2"/>
  <c r="A12749" i="2"/>
  <c r="A12748" i="2"/>
  <c r="A12747" i="2"/>
  <c r="A12746" i="2"/>
  <c r="A12745" i="2"/>
  <c r="A12744" i="2"/>
  <c r="A12743" i="2"/>
  <c r="A12742" i="2"/>
  <c r="A12741" i="2"/>
  <c r="A12740" i="2"/>
  <c r="A12739" i="2"/>
  <c r="A12738" i="2"/>
  <c r="A12737" i="2"/>
  <c r="A12736" i="2"/>
  <c r="A12735" i="2"/>
  <c r="A12734" i="2"/>
  <c r="A12733" i="2"/>
  <c r="A12732" i="2"/>
  <c r="A12731" i="2"/>
  <c r="A12730" i="2"/>
  <c r="A12729" i="2"/>
  <c r="A12728" i="2"/>
  <c r="A12727" i="2"/>
  <c r="A12726" i="2"/>
  <c r="A12725" i="2"/>
  <c r="A12724" i="2"/>
  <c r="A12723" i="2"/>
  <c r="A12722" i="2"/>
  <c r="A12721" i="2"/>
  <c r="A12720" i="2"/>
  <c r="A12719" i="2"/>
  <c r="A12718" i="2"/>
  <c r="A12717" i="2"/>
  <c r="A12716" i="2"/>
  <c r="A12715" i="2"/>
  <c r="A12714" i="2"/>
  <c r="A12713" i="2"/>
  <c r="A12712" i="2"/>
  <c r="A12711" i="2"/>
  <c r="A12710" i="2"/>
  <c r="A12709" i="2"/>
  <c r="A12708" i="2"/>
  <c r="A12707" i="2"/>
  <c r="A12706" i="2"/>
  <c r="A12705" i="2"/>
  <c r="A12704" i="2"/>
  <c r="A12703" i="2"/>
  <c r="A12702" i="2"/>
  <c r="A12701" i="2"/>
  <c r="A12700" i="2"/>
  <c r="A12699" i="2"/>
  <c r="A12698" i="2"/>
  <c r="A12697" i="2"/>
  <c r="A12696" i="2"/>
  <c r="A12695" i="2"/>
  <c r="A12694" i="2"/>
  <c r="A12693" i="2"/>
  <c r="A12692" i="2"/>
  <c r="A12691" i="2"/>
  <c r="A12690" i="2"/>
  <c r="A12689" i="2"/>
  <c r="A12688" i="2"/>
  <c r="A12687" i="2"/>
  <c r="A12686" i="2"/>
  <c r="A12685" i="2"/>
  <c r="A12684" i="2"/>
  <c r="A12683" i="2"/>
  <c r="A12682" i="2"/>
  <c r="A12681" i="2"/>
  <c r="A12680" i="2"/>
  <c r="A12679" i="2"/>
  <c r="A12678" i="2"/>
  <c r="A12677" i="2"/>
  <c r="A12676" i="2"/>
  <c r="A12675" i="2"/>
  <c r="A12674" i="2"/>
  <c r="A12673" i="2"/>
  <c r="A12672" i="2"/>
  <c r="A12671" i="2"/>
  <c r="A12670" i="2"/>
  <c r="A12669" i="2"/>
  <c r="A12668" i="2"/>
  <c r="A12667" i="2"/>
  <c r="A12666" i="2"/>
  <c r="A12665" i="2"/>
  <c r="A12664" i="2"/>
  <c r="A12663" i="2"/>
  <c r="A12662" i="2"/>
  <c r="A12661" i="2"/>
  <c r="A12660" i="2"/>
  <c r="A12659" i="2"/>
  <c r="A12658" i="2"/>
  <c r="A12657" i="2"/>
  <c r="A12656" i="2"/>
  <c r="A12655" i="2"/>
  <c r="A12654" i="2"/>
  <c r="A12653" i="2"/>
  <c r="A12652" i="2"/>
  <c r="A12651" i="2"/>
  <c r="A12650" i="2"/>
  <c r="A12649" i="2"/>
  <c r="A12648" i="2"/>
  <c r="A12647" i="2"/>
  <c r="A12646" i="2"/>
  <c r="A12645" i="2"/>
  <c r="A12644" i="2"/>
  <c r="A12643" i="2"/>
  <c r="A12642" i="2"/>
  <c r="A12641" i="2"/>
  <c r="A12640" i="2"/>
  <c r="A12639" i="2"/>
  <c r="A12638" i="2"/>
  <c r="A12637" i="2"/>
  <c r="A12636" i="2"/>
  <c r="A12635" i="2"/>
  <c r="A12634" i="2"/>
  <c r="A12633" i="2"/>
  <c r="A12632" i="2"/>
  <c r="A12631" i="2"/>
  <c r="A12630" i="2"/>
  <c r="A12629" i="2"/>
  <c r="A12628" i="2"/>
  <c r="A12627" i="2"/>
  <c r="A12626" i="2"/>
  <c r="A12625" i="2"/>
  <c r="A12624" i="2"/>
  <c r="A12623" i="2"/>
  <c r="A12622" i="2"/>
  <c r="A12621" i="2"/>
  <c r="A12620" i="2"/>
  <c r="A12619" i="2"/>
  <c r="A12618" i="2"/>
  <c r="A12617" i="2"/>
  <c r="A12616" i="2"/>
  <c r="A12615" i="2"/>
  <c r="A12614" i="2"/>
  <c r="A12613" i="2"/>
  <c r="A12612" i="2"/>
  <c r="A12611" i="2"/>
  <c r="A12610" i="2"/>
  <c r="A12609" i="2"/>
  <c r="A12608" i="2"/>
  <c r="A12607" i="2"/>
  <c r="A12606" i="2"/>
  <c r="A12605" i="2"/>
  <c r="A12604" i="2"/>
  <c r="A12603" i="2"/>
  <c r="A12602" i="2"/>
  <c r="A12601" i="2"/>
  <c r="A12600" i="2"/>
  <c r="A12599" i="2"/>
  <c r="A12598" i="2"/>
  <c r="A12597" i="2"/>
  <c r="A12596" i="2"/>
  <c r="A12595" i="2"/>
  <c r="A12594" i="2"/>
  <c r="A12593" i="2"/>
  <c r="A12592" i="2"/>
  <c r="A12591" i="2"/>
  <c r="A12590" i="2"/>
  <c r="A12589" i="2"/>
  <c r="A12588" i="2"/>
  <c r="A12587" i="2"/>
  <c r="A12586" i="2"/>
  <c r="A12585" i="2"/>
  <c r="A12584" i="2"/>
  <c r="A12583" i="2"/>
  <c r="A12582" i="2"/>
  <c r="A12581" i="2"/>
  <c r="A12580" i="2"/>
  <c r="A12579" i="2"/>
  <c r="A12578" i="2"/>
  <c r="A12577" i="2"/>
  <c r="A12576" i="2"/>
  <c r="A12575" i="2"/>
  <c r="A12574" i="2"/>
  <c r="A12573" i="2"/>
  <c r="A12572" i="2"/>
  <c r="A12571" i="2"/>
  <c r="A12570" i="2"/>
  <c r="A12569" i="2"/>
  <c r="A12568" i="2"/>
  <c r="A12567" i="2"/>
  <c r="A12566" i="2"/>
  <c r="A12565" i="2"/>
  <c r="A12564" i="2"/>
  <c r="A12563" i="2"/>
  <c r="A12562" i="2"/>
  <c r="A12561" i="2"/>
  <c r="A12560" i="2"/>
  <c r="A12559" i="2"/>
  <c r="A12558" i="2"/>
  <c r="A12557" i="2"/>
  <c r="A12556" i="2"/>
  <c r="A12555" i="2"/>
  <c r="A12554" i="2"/>
  <c r="A12553" i="2"/>
  <c r="A12552" i="2"/>
  <c r="A12551" i="2"/>
  <c r="A12550" i="2"/>
  <c r="A12549" i="2"/>
  <c r="A12548" i="2"/>
  <c r="A12547" i="2"/>
  <c r="A12546" i="2"/>
  <c r="A12545" i="2"/>
  <c r="A12544" i="2"/>
  <c r="A12543" i="2"/>
  <c r="A12542" i="2"/>
  <c r="A12541" i="2"/>
  <c r="A12540" i="2"/>
  <c r="A12539" i="2"/>
  <c r="A12538" i="2"/>
  <c r="A12537" i="2"/>
  <c r="A12536" i="2"/>
  <c r="A12535" i="2"/>
  <c r="A12534" i="2"/>
  <c r="A12533" i="2"/>
  <c r="A12532" i="2"/>
  <c r="A12531" i="2"/>
  <c r="A12530" i="2"/>
  <c r="A12529" i="2"/>
  <c r="A12528" i="2"/>
  <c r="A12527" i="2"/>
  <c r="A12526" i="2"/>
  <c r="A12525" i="2"/>
  <c r="A12524" i="2"/>
  <c r="A12523" i="2"/>
  <c r="A12522" i="2"/>
  <c r="A12521" i="2"/>
  <c r="A12520" i="2"/>
  <c r="A12519" i="2"/>
  <c r="A12518" i="2"/>
  <c r="A12517" i="2"/>
  <c r="A12516" i="2"/>
  <c r="A12515" i="2"/>
  <c r="A12514" i="2"/>
  <c r="A12513" i="2"/>
  <c r="A12512" i="2"/>
  <c r="A12511" i="2"/>
  <c r="A12510" i="2"/>
  <c r="A12509" i="2"/>
  <c r="A12508" i="2"/>
  <c r="A12507" i="2"/>
  <c r="A12506" i="2"/>
  <c r="A12505" i="2"/>
  <c r="A12504" i="2"/>
  <c r="A12503" i="2"/>
  <c r="A12502" i="2"/>
  <c r="A12501" i="2"/>
  <c r="A12500" i="2"/>
  <c r="A12499" i="2"/>
  <c r="A12498" i="2"/>
  <c r="A12497" i="2"/>
  <c r="A12496" i="2"/>
  <c r="A12495" i="2"/>
  <c r="A12494" i="2"/>
  <c r="A12493" i="2"/>
  <c r="A12492" i="2"/>
  <c r="A12491" i="2"/>
  <c r="A12490" i="2"/>
  <c r="A12489" i="2"/>
  <c r="A12488" i="2"/>
  <c r="A12487" i="2"/>
  <c r="A12486" i="2"/>
  <c r="A12485" i="2"/>
  <c r="A12484" i="2"/>
  <c r="A12483" i="2"/>
  <c r="A12482" i="2"/>
  <c r="A12481" i="2"/>
  <c r="A12480" i="2"/>
  <c r="A12479" i="2"/>
  <c r="A12478" i="2"/>
  <c r="A12477" i="2"/>
  <c r="A12476" i="2"/>
  <c r="A12475" i="2"/>
  <c r="A12474" i="2"/>
  <c r="A12473" i="2"/>
  <c r="A12472" i="2"/>
  <c r="A12471" i="2"/>
  <c r="A12470" i="2"/>
  <c r="A12469" i="2"/>
  <c r="A12468" i="2"/>
  <c r="A12467" i="2"/>
  <c r="A12466" i="2"/>
  <c r="A12465" i="2"/>
  <c r="A12464" i="2"/>
  <c r="A12463" i="2"/>
  <c r="A12462" i="2"/>
  <c r="A12461" i="2"/>
  <c r="A12460" i="2"/>
  <c r="A12459" i="2"/>
  <c r="A12458" i="2"/>
  <c r="A12457" i="2"/>
  <c r="A12456" i="2"/>
  <c r="A12455" i="2"/>
  <c r="A12454" i="2"/>
  <c r="A12453" i="2"/>
  <c r="A12452" i="2"/>
  <c r="A12451" i="2"/>
  <c r="A12450" i="2"/>
  <c r="A12449" i="2"/>
  <c r="A12448" i="2"/>
  <c r="A12447" i="2"/>
  <c r="A12446" i="2"/>
  <c r="A12445" i="2"/>
  <c r="A12444" i="2"/>
  <c r="A12443" i="2"/>
  <c r="A12442" i="2"/>
  <c r="A12441" i="2"/>
  <c r="A12440" i="2"/>
  <c r="A12439" i="2"/>
  <c r="A12438" i="2"/>
  <c r="A12437" i="2"/>
  <c r="A12436" i="2"/>
  <c r="A12435" i="2"/>
  <c r="A12434" i="2"/>
  <c r="A12433" i="2"/>
  <c r="A12432" i="2"/>
  <c r="A12431" i="2"/>
  <c r="A12430" i="2"/>
  <c r="A12429" i="2"/>
  <c r="A12428" i="2"/>
  <c r="A12427" i="2"/>
  <c r="A12426" i="2"/>
  <c r="A12425" i="2"/>
  <c r="A12424" i="2"/>
  <c r="A12423" i="2"/>
  <c r="A12422" i="2"/>
  <c r="A12421" i="2"/>
  <c r="A12420" i="2"/>
  <c r="A12419" i="2"/>
  <c r="A12418" i="2"/>
  <c r="A12417" i="2"/>
  <c r="A12416" i="2"/>
  <c r="A12415" i="2"/>
  <c r="A12414" i="2"/>
  <c r="A12413" i="2"/>
  <c r="A12412" i="2"/>
  <c r="A12411" i="2"/>
  <c r="A12410" i="2"/>
  <c r="A12409" i="2"/>
  <c r="A12408" i="2"/>
  <c r="A12407" i="2"/>
  <c r="A12406" i="2"/>
  <c r="A12405" i="2"/>
  <c r="A12404" i="2"/>
  <c r="A12403" i="2"/>
  <c r="A12402" i="2"/>
  <c r="A12401" i="2"/>
  <c r="A12400" i="2"/>
  <c r="A12399" i="2"/>
  <c r="A12398" i="2"/>
  <c r="A12397" i="2"/>
  <c r="A12396" i="2"/>
  <c r="A12395" i="2"/>
  <c r="A12394" i="2"/>
  <c r="A12393" i="2"/>
  <c r="A12392" i="2"/>
  <c r="A12391" i="2"/>
  <c r="A12390" i="2"/>
  <c r="A12389" i="2"/>
  <c r="A12388" i="2"/>
  <c r="A12387" i="2"/>
  <c r="A12386" i="2"/>
  <c r="A12385" i="2"/>
  <c r="A12384" i="2"/>
  <c r="A12383" i="2"/>
  <c r="A12382" i="2"/>
  <c r="A12381" i="2"/>
  <c r="A12380" i="2"/>
  <c r="A12379" i="2"/>
  <c r="A12378" i="2"/>
  <c r="A12377" i="2"/>
  <c r="A12376" i="2"/>
  <c r="A12375" i="2"/>
  <c r="A12374" i="2"/>
  <c r="A12373" i="2"/>
  <c r="A12372" i="2"/>
  <c r="A12371" i="2"/>
  <c r="A12370" i="2"/>
  <c r="A12369" i="2"/>
  <c r="A12368" i="2"/>
  <c r="A12367" i="2"/>
  <c r="A12366" i="2"/>
  <c r="A12365" i="2"/>
  <c r="A12364" i="2"/>
  <c r="A12363" i="2"/>
  <c r="A12362" i="2"/>
  <c r="A12361" i="2"/>
  <c r="A12360" i="2"/>
  <c r="A12359" i="2"/>
  <c r="A12358" i="2"/>
  <c r="A12357" i="2"/>
  <c r="A12356" i="2"/>
  <c r="A12355" i="2"/>
  <c r="A12354" i="2"/>
  <c r="A12353" i="2"/>
  <c r="A12352" i="2"/>
  <c r="A12351" i="2"/>
  <c r="A12350" i="2"/>
  <c r="A12349" i="2"/>
  <c r="A12348" i="2"/>
  <c r="A12347" i="2"/>
  <c r="A12346" i="2"/>
  <c r="A12345" i="2"/>
  <c r="A12344" i="2"/>
  <c r="A12343" i="2"/>
  <c r="A12342" i="2"/>
  <c r="A12341" i="2"/>
  <c r="A12340" i="2"/>
  <c r="A12339" i="2"/>
  <c r="A12338" i="2"/>
  <c r="A12337" i="2"/>
  <c r="A12336" i="2"/>
  <c r="A12335" i="2"/>
  <c r="A12334" i="2"/>
  <c r="A12333" i="2"/>
  <c r="A12332" i="2"/>
  <c r="A12331" i="2"/>
  <c r="A12330" i="2"/>
  <c r="A12329" i="2"/>
  <c r="A12328" i="2"/>
  <c r="A12327" i="2"/>
  <c r="A12326" i="2"/>
  <c r="A12325" i="2"/>
  <c r="A12324" i="2"/>
  <c r="A12323" i="2"/>
  <c r="A12322" i="2"/>
  <c r="A12321" i="2"/>
  <c r="A12320" i="2"/>
  <c r="A12319" i="2"/>
  <c r="A12318" i="2"/>
  <c r="A12317" i="2"/>
  <c r="A12316" i="2"/>
  <c r="A12315" i="2"/>
  <c r="A12314" i="2"/>
  <c r="A12313" i="2"/>
  <c r="A12312" i="2"/>
  <c r="A12311" i="2"/>
  <c r="A12310" i="2"/>
  <c r="A12309" i="2"/>
  <c r="A12308" i="2"/>
  <c r="A12307" i="2"/>
  <c r="A12306" i="2"/>
  <c r="A12305" i="2"/>
  <c r="A12304" i="2"/>
  <c r="A12303" i="2"/>
  <c r="A12302" i="2"/>
  <c r="A12301" i="2"/>
  <c r="A12300" i="2"/>
  <c r="A12299" i="2"/>
  <c r="A12298" i="2"/>
  <c r="A12297" i="2"/>
  <c r="A12296" i="2"/>
  <c r="A12295" i="2"/>
  <c r="A12294" i="2"/>
  <c r="A12293" i="2"/>
  <c r="A12292" i="2"/>
  <c r="A12291" i="2"/>
  <c r="A12290" i="2"/>
  <c r="A12289" i="2"/>
  <c r="A12288" i="2"/>
  <c r="A12287" i="2"/>
  <c r="A12286" i="2"/>
  <c r="A12285" i="2"/>
  <c r="A12284" i="2"/>
  <c r="A12283" i="2"/>
  <c r="A12282" i="2"/>
  <c r="A12281" i="2"/>
  <c r="A12280" i="2"/>
  <c r="A12279" i="2"/>
  <c r="A12278" i="2"/>
  <c r="A12277" i="2"/>
  <c r="A12276" i="2"/>
  <c r="A12275" i="2"/>
  <c r="A12274" i="2"/>
  <c r="A12273" i="2"/>
  <c r="A12272" i="2"/>
  <c r="A12271" i="2"/>
  <c r="A12270" i="2"/>
  <c r="A12269" i="2"/>
  <c r="A12268" i="2"/>
  <c r="A12267" i="2"/>
  <c r="A12266" i="2"/>
  <c r="A12265" i="2"/>
  <c r="A12264" i="2"/>
  <c r="A12263" i="2"/>
  <c r="A12262" i="2"/>
  <c r="A12261" i="2"/>
  <c r="A12260" i="2"/>
  <c r="A12259" i="2"/>
  <c r="A12258" i="2"/>
  <c r="A12257" i="2"/>
  <c r="A12256" i="2"/>
  <c r="A12255" i="2"/>
  <c r="A12254" i="2"/>
  <c r="A12253" i="2"/>
  <c r="A12252" i="2"/>
  <c r="A12251" i="2"/>
  <c r="A12250" i="2"/>
  <c r="A12249" i="2"/>
  <c r="A12248" i="2"/>
  <c r="A12247" i="2"/>
  <c r="A12246" i="2"/>
  <c r="A12245" i="2"/>
  <c r="A12244" i="2"/>
  <c r="A12243" i="2"/>
  <c r="A12242" i="2"/>
  <c r="A12241" i="2"/>
  <c r="A12240" i="2"/>
  <c r="A12239" i="2"/>
  <c r="A12238" i="2"/>
  <c r="A12237" i="2"/>
  <c r="A12236" i="2"/>
  <c r="A12235" i="2"/>
  <c r="A12234" i="2"/>
  <c r="A12233" i="2"/>
  <c r="A12232" i="2"/>
  <c r="A12231" i="2"/>
  <c r="A12230" i="2"/>
  <c r="A12229" i="2"/>
  <c r="A12228" i="2"/>
  <c r="A12227" i="2"/>
  <c r="A12226" i="2"/>
  <c r="A12225" i="2"/>
  <c r="A12224" i="2"/>
  <c r="A12223" i="2"/>
  <c r="A12222" i="2"/>
  <c r="A12221" i="2"/>
  <c r="A12220" i="2"/>
  <c r="A12219" i="2"/>
  <c r="A12218" i="2"/>
  <c r="A12217" i="2"/>
  <c r="A12216" i="2"/>
  <c r="A12215" i="2"/>
  <c r="A12214" i="2"/>
  <c r="A12213" i="2"/>
  <c r="A12212" i="2"/>
  <c r="A12211" i="2"/>
  <c r="A12210" i="2"/>
  <c r="A12209" i="2"/>
  <c r="A12208" i="2"/>
  <c r="A12207" i="2"/>
  <c r="A12206" i="2"/>
  <c r="A12205" i="2"/>
  <c r="A12204" i="2"/>
  <c r="A12203" i="2"/>
  <c r="A12202" i="2"/>
  <c r="A12201" i="2"/>
  <c r="A12200" i="2"/>
  <c r="A12199" i="2"/>
  <c r="A12198" i="2"/>
  <c r="A12197" i="2"/>
  <c r="A12196" i="2"/>
  <c r="A12195" i="2"/>
  <c r="A12194" i="2"/>
  <c r="A12193" i="2"/>
  <c r="A12192" i="2"/>
  <c r="A12191" i="2"/>
  <c r="A12190" i="2"/>
  <c r="A12189" i="2"/>
  <c r="A12188" i="2"/>
  <c r="A12187" i="2"/>
  <c r="A12186" i="2"/>
  <c r="A12185" i="2"/>
  <c r="A12184" i="2"/>
  <c r="A12183" i="2"/>
  <c r="A12182" i="2"/>
  <c r="A12181" i="2"/>
  <c r="A12180" i="2"/>
  <c r="A12179" i="2"/>
  <c r="A12178" i="2"/>
  <c r="A12177" i="2"/>
  <c r="A12176" i="2"/>
  <c r="A12175" i="2"/>
  <c r="A12174" i="2"/>
  <c r="A12173" i="2"/>
  <c r="A12172" i="2"/>
  <c r="A12171" i="2"/>
  <c r="A12170" i="2"/>
  <c r="A12169" i="2"/>
  <c r="A12168" i="2"/>
  <c r="A12167" i="2"/>
  <c r="A12166" i="2"/>
  <c r="A12165" i="2"/>
  <c r="A12164" i="2"/>
  <c r="A12163" i="2"/>
  <c r="A12162" i="2"/>
  <c r="A12161" i="2"/>
  <c r="A12160" i="2"/>
  <c r="A12159" i="2"/>
  <c r="A12158" i="2"/>
  <c r="A12157" i="2"/>
  <c r="A12156" i="2"/>
  <c r="A12155" i="2"/>
  <c r="A12154" i="2"/>
  <c r="A12153" i="2"/>
  <c r="A12152" i="2"/>
  <c r="A12151" i="2"/>
  <c r="A12150" i="2"/>
  <c r="A12149" i="2"/>
  <c r="A12148" i="2"/>
  <c r="A12147" i="2"/>
  <c r="A12146" i="2"/>
  <c r="A12145" i="2"/>
  <c r="A12144" i="2"/>
  <c r="A12143" i="2"/>
  <c r="A12142" i="2"/>
  <c r="A12141" i="2"/>
  <c r="A12140" i="2"/>
  <c r="A12139" i="2"/>
  <c r="A12138" i="2"/>
  <c r="A12137" i="2"/>
  <c r="A12136" i="2"/>
  <c r="A12135" i="2"/>
  <c r="A12134" i="2"/>
  <c r="A12133" i="2"/>
  <c r="A12132" i="2"/>
  <c r="A12131" i="2"/>
  <c r="A12130" i="2"/>
  <c r="A12129" i="2"/>
  <c r="A12128" i="2"/>
  <c r="A12127" i="2"/>
  <c r="A12126" i="2"/>
  <c r="A12125" i="2"/>
  <c r="A12124" i="2"/>
  <c r="A12123" i="2"/>
  <c r="A12122" i="2"/>
  <c r="A12121" i="2"/>
  <c r="A12120" i="2"/>
  <c r="A12119" i="2"/>
  <c r="A12118" i="2"/>
  <c r="A12117" i="2"/>
  <c r="A12116" i="2"/>
  <c r="A12115" i="2"/>
  <c r="A12114" i="2"/>
  <c r="A12113" i="2"/>
  <c r="A12112" i="2"/>
  <c r="A12111" i="2"/>
  <c r="A12110" i="2"/>
  <c r="A12109" i="2"/>
  <c r="A12108" i="2"/>
  <c r="A12107" i="2"/>
  <c r="A12106" i="2"/>
  <c r="A12105" i="2"/>
  <c r="A12104" i="2"/>
  <c r="A12103" i="2"/>
  <c r="A12102" i="2"/>
  <c r="A12101" i="2"/>
  <c r="A12100" i="2"/>
  <c r="A12099" i="2"/>
  <c r="A12098" i="2"/>
  <c r="A12097" i="2"/>
  <c r="A12096" i="2"/>
  <c r="A12095" i="2"/>
  <c r="A12094" i="2"/>
  <c r="A12093" i="2"/>
  <c r="A12092" i="2"/>
  <c r="A12091" i="2"/>
  <c r="A12090" i="2"/>
  <c r="A12089" i="2"/>
  <c r="A12088" i="2"/>
  <c r="A12087" i="2"/>
  <c r="A12086" i="2"/>
  <c r="A12085" i="2"/>
  <c r="A12084" i="2"/>
  <c r="A12083" i="2"/>
  <c r="A12082" i="2"/>
  <c r="A12081" i="2"/>
  <c r="A12080" i="2"/>
  <c r="A12079" i="2"/>
  <c r="A12078" i="2"/>
  <c r="A12077" i="2"/>
  <c r="A12076" i="2"/>
  <c r="A12075" i="2"/>
  <c r="A12074" i="2"/>
  <c r="A12073" i="2"/>
  <c r="A12072" i="2"/>
  <c r="A12071" i="2"/>
  <c r="A12070" i="2"/>
  <c r="A12069" i="2"/>
  <c r="A12068" i="2"/>
  <c r="A12067" i="2"/>
  <c r="A12066" i="2"/>
  <c r="A12065" i="2"/>
  <c r="A12064" i="2"/>
  <c r="A12063" i="2"/>
  <c r="A12062" i="2"/>
  <c r="A12061" i="2"/>
  <c r="A12060" i="2"/>
  <c r="A12059" i="2"/>
  <c r="A12058" i="2"/>
  <c r="A12057" i="2"/>
  <c r="A12056" i="2"/>
  <c r="A12055" i="2"/>
  <c r="A12054" i="2"/>
  <c r="A12053" i="2"/>
  <c r="A12052" i="2"/>
  <c r="A12051" i="2"/>
  <c r="A12050" i="2"/>
  <c r="A12049" i="2"/>
  <c r="A12048" i="2"/>
  <c r="A12047" i="2"/>
  <c r="A12046" i="2"/>
  <c r="A12045" i="2"/>
  <c r="A12044" i="2"/>
  <c r="A12043" i="2"/>
  <c r="A12042" i="2"/>
  <c r="A12041" i="2"/>
  <c r="A12040" i="2"/>
  <c r="A12039" i="2"/>
  <c r="A12038" i="2"/>
  <c r="A12037" i="2"/>
  <c r="A12036" i="2"/>
  <c r="A12035" i="2"/>
  <c r="A12034" i="2"/>
  <c r="A12033" i="2"/>
  <c r="A12032" i="2"/>
  <c r="A12031" i="2"/>
  <c r="A12030" i="2"/>
  <c r="A12029" i="2"/>
  <c r="A12028" i="2"/>
  <c r="A12027" i="2"/>
  <c r="A12026" i="2"/>
  <c r="A12025" i="2"/>
  <c r="A12024" i="2"/>
  <c r="A12023" i="2"/>
  <c r="A12022" i="2"/>
  <c r="A12021" i="2"/>
  <c r="A12020" i="2"/>
  <c r="A12019" i="2"/>
  <c r="A12018" i="2"/>
  <c r="A12017" i="2"/>
  <c r="A12016" i="2"/>
  <c r="A12015" i="2"/>
  <c r="A12014" i="2"/>
  <c r="A12013" i="2"/>
  <c r="A12012" i="2"/>
  <c r="A12011" i="2"/>
  <c r="A12010" i="2"/>
  <c r="A12009" i="2"/>
  <c r="A12008" i="2"/>
  <c r="A12007" i="2"/>
  <c r="A12006" i="2"/>
  <c r="A12005" i="2"/>
  <c r="A12004" i="2"/>
  <c r="A12003" i="2"/>
  <c r="A12002" i="2"/>
  <c r="A12001" i="2"/>
  <c r="A12000" i="2"/>
  <c r="A11999" i="2"/>
  <c r="A11998" i="2"/>
  <c r="A11997" i="2"/>
  <c r="A11996" i="2"/>
  <c r="A11995" i="2"/>
  <c r="A11994" i="2"/>
  <c r="A11993" i="2"/>
  <c r="A11992" i="2"/>
  <c r="A11991" i="2"/>
  <c r="A11990" i="2"/>
  <c r="A11989" i="2"/>
  <c r="A11988" i="2"/>
  <c r="A11987" i="2"/>
  <c r="A11986" i="2"/>
  <c r="A11985" i="2"/>
  <c r="A11984" i="2"/>
  <c r="A11983" i="2"/>
  <c r="A11982" i="2"/>
  <c r="A11981" i="2"/>
  <c r="A11980" i="2"/>
  <c r="A11979" i="2"/>
  <c r="A11978" i="2"/>
  <c r="A11977" i="2"/>
  <c r="A11976" i="2"/>
  <c r="A11975" i="2"/>
  <c r="A11974" i="2"/>
  <c r="A11973" i="2"/>
  <c r="A11972" i="2"/>
  <c r="A11971" i="2"/>
  <c r="A11970" i="2"/>
  <c r="A11969" i="2"/>
  <c r="A11968" i="2"/>
  <c r="A11967" i="2"/>
  <c r="A11966" i="2"/>
  <c r="A11965" i="2"/>
  <c r="A11964" i="2"/>
  <c r="A11963" i="2"/>
  <c r="A11962" i="2"/>
  <c r="A11961" i="2"/>
  <c r="A11960" i="2"/>
  <c r="A11959" i="2"/>
  <c r="A11958" i="2"/>
  <c r="A11957" i="2"/>
  <c r="A11956" i="2"/>
  <c r="A11955" i="2"/>
  <c r="A11954" i="2"/>
  <c r="A11953" i="2"/>
  <c r="A11952" i="2"/>
  <c r="A11951" i="2"/>
  <c r="A11950" i="2"/>
  <c r="A11949" i="2"/>
  <c r="A11948" i="2"/>
  <c r="A11947" i="2"/>
  <c r="A11946" i="2"/>
  <c r="A11945" i="2"/>
  <c r="A11944" i="2"/>
  <c r="A11943" i="2"/>
  <c r="A11942" i="2"/>
  <c r="A11941" i="2"/>
  <c r="A11940" i="2"/>
  <c r="A11939" i="2"/>
  <c r="A11938" i="2"/>
  <c r="A11937" i="2"/>
  <c r="A11936" i="2"/>
  <c r="A11935" i="2"/>
  <c r="A11934" i="2"/>
  <c r="A11933" i="2"/>
  <c r="A11932" i="2"/>
  <c r="A11931" i="2"/>
  <c r="A11930" i="2"/>
  <c r="A11929" i="2"/>
  <c r="A11928" i="2"/>
  <c r="A11927" i="2"/>
  <c r="A11926" i="2"/>
  <c r="A11925" i="2"/>
  <c r="A11924" i="2"/>
  <c r="A11923" i="2"/>
  <c r="A11922" i="2"/>
  <c r="A11921" i="2"/>
  <c r="A11920" i="2"/>
  <c r="A11919" i="2"/>
  <c r="A11918" i="2"/>
  <c r="A11917" i="2"/>
  <c r="A11916" i="2"/>
  <c r="A11915" i="2"/>
  <c r="A11914" i="2"/>
  <c r="A11913" i="2"/>
  <c r="A11912" i="2"/>
  <c r="A11911" i="2"/>
  <c r="A11910" i="2"/>
  <c r="A11909" i="2"/>
  <c r="A11908" i="2"/>
  <c r="A11907" i="2"/>
  <c r="A11906" i="2"/>
  <c r="A11905" i="2"/>
  <c r="A11904" i="2"/>
  <c r="A11903" i="2"/>
  <c r="A11902" i="2"/>
  <c r="A11901" i="2"/>
  <c r="A11900" i="2"/>
  <c r="A11899" i="2"/>
  <c r="A11898" i="2"/>
  <c r="A11897" i="2"/>
  <c r="A11896" i="2"/>
  <c r="A11895" i="2"/>
  <c r="A11894" i="2"/>
  <c r="A11893" i="2"/>
  <c r="A11892" i="2"/>
  <c r="A11891" i="2"/>
  <c r="A11890" i="2"/>
  <c r="A11889" i="2"/>
  <c r="A11888" i="2"/>
  <c r="A11887" i="2"/>
  <c r="A11886" i="2"/>
  <c r="A11885" i="2"/>
  <c r="A11884" i="2"/>
  <c r="A11883" i="2"/>
  <c r="A11882" i="2"/>
  <c r="A11881" i="2"/>
  <c r="A11880" i="2"/>
  <c r="A11879" i="2"/>
  <c r="A11878" i="2"/>
  <c r="A11877" i="2"/>
  <c r="A11876" i="2"/>
  <c r="A11875" i="2"/>
  <c r="A11874" i="2"/>
  <c r="A11873" i="2"/>
  <c r="A11872" i="2"/>
  <c r="A11871" i="2"/>
  <c r="A11870" i="2"/>
  <c r="A11869" i="2"/>
  <c r="A11868" i="2"/>
  <c r="A11867" i="2"/>
  <c r="A11866" i="2"/>
  <c r="A11865" i="2"/>
  <c r="A11864" i="2"/>
  <c r="A11863" i="2"/>
  <c r="A11862" i="2"/>
  <c r="A11861" i="2"/>
  <c r="A11860" i="2"/>
  <c r="A11859" i="2"/>
  <c r="A11858" i="2"/>
  <c r="A11857" i="2"/>
  <c r="A11856" i="2"/>
  <c r="A11855" i="2"/>
  <c r="A11854" i="2"/>
  <c r="A11853" i="2"/>
  <c r="A11852" i="2"/>
  <c r="A11851" i="2"/>
  <c r="A11850" i="2"/>
  <c r="A11849" i="2"/>
  <c r="A11848" i="2"/>
  <c r="A11847" i="2"/>
  <c r="A11846" i="2"/>
  <c r="A11845" i="2"/>
  <c r="A11844" i="2"/>
  <c r="A11843" i="2"/>
  <c r="A11842" i="2"/>
  <c r="A11841" i="2"/>
  <c r="A11840" i="2"/>
  <c r="A11839" i="2"/>
  <c r="A11838" i="2"/>
  <c r="A11837" i="2"/>
  <c r="A11836" i="2"/>
  <c r="A11835" i="2"/>
  <c r="A11834" i="2"/>
  <c r="A11833" i="2"/>
  <c r="A11832" i="2"/>
  <c r="A11831" i="2"/>
  <c r="A11830" i="2"/>
  <c r="A11829" i="2"/>
  <c r="A11828" i="2"/>
  <c r="A11827" i="2"/>
  <c r="A11826" i="2"/>
  <c r="A11825" i="2"/>
  <c r="A11824" i="2"/>
  <c r="A11823" i="2"/>
  <c r="A11822" i="2"/>
  <c r="A11821" i="2"/>
  <c r="A11820" i="2"/>
  <c r="A11819" i="2"/>
  <c r="A11818" i="2"/>
  <c r="A11817" i="2"/>
  <c r="A11816" i="2"/>
  <c r="A11815" i="2"/>
  <c r="A11814" i="2"/>
  <c r="A11813" i="2"/>
  <c r="A11812" i="2"/>
  <c r="A11811" i="2"/>
  <c r="A11810" i="2"/>
  <c r="A11809" i="2"/>
  <c r="A11808" i="2"/>
  <c r="A11807" i="2"/>
  <c r="A11806" i="2"/>
  <c r="A11805" i="2"/>
  <c r="A11804" i="2"/>
  <c r="A11803" i="2"/>
  <c r="A11802" i="2"/>
  <c r="A11801" i="2"/>
  <c r="A11800" i="2"/>
  <c r="A11799" i="2"/>
  <c r="A11798" i="2"/>
  <c r="A11797" i="2"/>
  <c r="A11796" i="2"/>
  <c r="A11795" i="2"/>
  <c r="A11794" i="2"/>
  <c r="A11793" i="2"/>
  <c r="A11792" i="2"/>
  <c r="A11791" i="2"/>
  <c r="A11790" i="2"/>
  <c r="A11789" i="2"/>
  <c r="A11788" i="2"/>
  <c r="A11787" i="2"/>
  <c r="A11786" i="2"/>
  <c r="A11785" i="2"/>
  <c r="A11784" i="2"/>
  <c r="A11783" i="2"/>
  <c r="A11782" i="2"/>
  <c r="A11781" i="2"/>
  <c r="A11780" i="2"/>
  <c r="A11779" i="2"/>
  <c r="A11778" i="2"/>
  <c r="A11777" i="2"/>
  <c r="A11776" i="2"/>
  <c r="A11775" i="2"/>
  <c r="A11774" i="2"/>
  <c r="A11773" i="2"/>
  <c r="A11772" i="2"/>
  <c r="A11771" i="2"/>
  <c r="A11770" i="2"/>
  <c r="A11769" i="2"/>
  <c r="A11768" i="2"/>
  <c r="A11767" i="2"/>
  <c r="A11766" i="2"/>
  <c r="A11765" i="2"/>
  <c r="A11764" i="2"/>
  <c r="A11763" i="2"/>
  <c r="A11762" i="2"/>
  <c r="A11761" i="2"/>
  <c r="A11760" i="2"/>
  <c r="A11759" i="2"/>
  <c r="A11758" i="2"/>
  <c r="A11757" i="2"/>
  <c r="A11756" i="2"/>
  <c r="A11755" i="2"/>
  <c r="A11754" i="2"/>
  <c r="A11753" i="2"/>
  <c r="A11752" i="2"/>
  <c r="A11751" i="2"/>
  <c r="A11750" i="2"/>
  <c r="A11749" i="2"/>
  <c r="A11748" i="2"/>
  <c r="A11747" i="2"/>
  <c r="A11746" i="2"/>
  <c r="A11745" i="2"/>
  <c r="A11744" i="2"/>
  <c r="A11743" i="2"/>
  <c r="A11742" i="2"/>
  <c r="A11741" i="2"/>
  <c r="A11740" i="2"/>
  <c r="A11739" i="2"/>
  <c r="A11738" i="2"/>
  <c r="A11737" i="2"/>
  <c r="A11736" i="2"/>
  <c r="A11735" i="2"/>
  <c r="A11734" i="2"/>
  <c r="A11733" i="2"/>
  <c r="A11732" i="2"/>
  <c r="A11731" i="2"/>
  <c r="A11730" i="2"/>
  <c r="A11729" i="2"/>
  <c r="A11728" i="2"/>
  <c r="A11727" i="2"/>
  <c r="A11726" i="2"/>
  <c r="A11725" i="2"/>
  <c r="A11724" i="2"/>
  <c r="A11723" i="2"/>
  <c r="A11722" i="2"/>
  <c r="A11721" i="2"/>
  <c r="A11720" i="2"/>
  <c r="A11719" i="2"/>
  <c r="A11718" i="2"/>
  <c r="A11717" i="2"/>
  <c r="A11716" i="2"/>
  <c r="A11715" i="2"/>
  <c r="A11714" i="2"/>
  <c r="A11713" i="2"/>
  <c r="A11712" i="2"/>
  <c r="A11711" i="2"/>
  <c r="A11710" i="2"/>
  <c r="A11709" i="2"/>
  <c r="A11708" i="2"/>
  <c r="A11707" i="2"/>
  <c r="A11706" i="2"/>
  <c r="A11705" i="2"/>
  <c r="A11704" i="2"/>
  <c r="A11703" i="2"/>
  <c r="A11702" i="2"/>
  <c r="A11701" i="2"/>
  <c r="A11700" i="2"/>
  <c r="A11699" i="2"/>
  <c r="A11698" i="2"/>
  <c r="A11697" i="2"/>
  <c r="A11696" i="2"/>
  <c r="A11695" i="2"/>
  <c r="A11694" i="2"/>
  <c r="A11693" i="2"/>
  <c r="A11692" i="2"/>
  <c r="A11691" i="2"/>
  <c r="A11690" i="2"/>
  <c r="A11689" i="2"/>
  <c r="A11688" i="2"/>
  <c r="A11687" i="2"/>
  <c r="A11686" i="2"/>
  <c r="A11685" i="2"/>
  <c r="A11684" i="2"/>
  <c r="A11683" i="2"/>
  <c r="A11682" i="2"/>
  <c r="A11681" i="2"/>
  <c r="A11680" i="2"/>
  <c r="A11679" i="2"/>
  <c r="A11678" i="2"/>
  <c r="A11677" i="2"/>
  <c r="A11676" i="2"/>
  <c r="A11675" i="2"/>
  <c r="A11674" i="2"/>
  <c r="A11673" i="2"/>
  <c r="A11672" i="2"/>
  <c r="A11671" i="2"/>
  <c r="A11670" i="2"/>
  <c r="A11669" i="2"/>
  <c r="A11668" i="2"/>
  <c r="A11667" i="2"/>
  <c r="A11666" i="2"/>
  <c r="A11665" i="2"/>
  <c r="A11664" i="2"/>
  <c r="A11663" i="2"/>
  <c r="A11662" i="2"/>
  <c r="A11661" i="2"/>
  <c r="A11660" i="2"/>
  <c r="A11659" i="2"/>
  <c r="A11658" i="2"/>
  <c r="A11657" i="2"/>
  <c r="A11656" i="2"/>
  <c r="A11655" i="2"/>
  <c r="A11654" i="2"/>
  <c r="A11653" i="2"/>
  <c r="A11652" i="2"/>
  <c r="A11651" i="2"/>
  <c r="A11650" i="2"/>
  <c r="A11649" i="2"/>
  <c r="A11648" i="2"/>
  <c r="A11647" i="2"/>
  <c r="A11646" i="2"/>
  <c r="A11645" i="2"/>
  <c r="A11644" i="2"/>
  <c r="A11643" i="2"/>
  <c r="A11642" i="2"/>
  <c r="A11641" i="2"/>
  <c r="A11640" i="2"/>
  <c r="A11639" i="2"/>
  <c r="A11638" i="2"/>
  <c r="A11637" i="2"/>
  <c r="A11636" i="2"/>
  <c r="A11635" i="2"/>
  <c r="A11634" i="2"/>
  <c r="A11633" i="2"/>
  <c r="A11632" i="2"/>
  <c r="A11631" i="2"/>
  <c r="A11630" i="2"/>
  <c r="A11629" i="2"/>
  <c r="A11628" i="2"/>
  <c r="A11627" i="2"/>
  <c r="A11626" i="2"/>
  <c r="A11625" i="2"/>
  <c r="A11624" i="2"/>
  <c r="A11623" i="2"/>
  <c r="A11622" i="2"/>
  <c r="A11621" i="2"/>
  <c r="A11620" i="2"/>
  <c r="A11619" i="2"/>
  <c r="A11618" i="2"/>
  <c r="A11617" i="2"/>
  <c r="A11616" i="2"/>
  <c r="A11615" i="2"/>
  <c r="A11614" i="2"/>
  <c r="A11613" i="2"/>
  <c r="A11612" i="2"/>
  <c r="A11611" i="2"/>
  <c r="A11610" i="2"/>
  <c r="A11609" i="2"/>
  <c r="A11608" i="2"/>
  <c r="A11607" i="2"/>
  <c r="A11606" i="2"/>
  <c r="A11605" i="2"/>
  <c r="A11604" i="2"/>
  <c r="A11603" i="2"/>
  <c r="A11602" i="2"/>
  <c r="A11601" i="2"/>
  <c r="A11600" i="2"/>
  <c r="A11599" i="2"/>
  <c r="A11598" i="2"/>
  <c r="A11597" i="2"/>
  <c r="A11596" i="2"/>
  <c r="A11595" i="2"/>
  <c r="A11594" i="2"/>
  <c r="A11593" i="2"/>
  <c r="A11592" i="2"/>
  <c r="A11591" i="2"/>
  <c r="A11590" i="2"/>
  <c r="A11589" i="2"/>
  <c r="A11588" i="2"/>
  <c r="A11587" i="2"/>
  <c r="A11586" i="2"/>
  <c r="A11585" i="2"/>
  <c r="A11584" i="2"/>
  <c r="A11583" i="2"/>
  <c r="A11582" i="2"/>
  <c r="A11581" i="2"/>
  <c r="A11580" i="2"/>
  <c r="A11579" i="2"/>
  <c r="A11578" i="2"/>
  <c r="A11577" i="2"/>
  <c r="A11576" i="2"/>
  <c r="A11575" i="2"/>
  <c r="A11574" i="2"/>
  <c r="A11573" i="2"/>
  <c r="A11572" i="2"/>
  <c r="A11571" i="2"/>
  <c r="A11570" i="2"/>
  <c r="A11569" i="2"/>
  <c r="A11568" i="2"/>
  <c r="A11567" i="2"/>
  <c r="A11566" i="2"/>
  <c r="A11565" i="2"/>
  <c r="A11564" i="2"/>
  <c r="A11563" i="2"/>
  <c r="A11562" i="2"/>
  <c r="A11561" i="2"/>
  <c r="A11560" i="2"/>
  <c r="A11559" i="2"/>
  <c r="A11558" i="2"/>
  <c r="A11557" i="2"/>
  <c r="A11556" i="2"/>
  <c r="A11555" i="2"/>
  <c r="A11554" i="2"/>
  <c r="A11553" i="2"/>
  <c r="A11552" i="2"/>
  <c r="A11551" i="2"/>
  <c r="A11550" i="2"/>
  <c r="A11549" i="2"/>
  <c r="A11548" i="2"/>
  <c r="A11547" i="2"/>
  <c r="A11546" i="2"/>
  <c r="A11545" i="2"/>
  <c r="A11544" i="2"/>
  <c r="A11543" i="2"/>
  <c r="A11542" i="2"/>
  <c r="A11541" i="2"/>
  <c r="A11540" i="2"/>
  <c r="A11539" i="2"/>
  <c r="A11538" i="2"/>
  <c r="A11537" i="2"/>
  <c r="A11536" i="2"/>
  <c r="A11535" i="2"/>
  <c r="A11534" i="2"/>
  <c r="A11533" i="2"/>
  <c r="A11532" i="2"/>
  <c r="A11531" i="2"/>
  <c r="A11530" i="2"/>
  <c r="A11529" i="2"/>
  <c r="A11528" i="2"/>
  <c r="A11527" i="2"/>
  <c r="A11526" i="2"/>
  <c r="A11525" i="2"/>
  <c r="A11524" i="2"/>
  <c r="A11523" i="2"/>
  <c r="A11522" i="2"/>
  <c r="A11521" i="2"/>
  <c r="A11520" i="2"/>
  <c r="A11519" i="2"/>
  <c r="A11518" i="2"/>
  <c r="A11517" i="2"/>
  <c r="A11516" i="2"/>
  <c r="A11515" i="2"/>
  <c r="A11514" i="2"/>
  <c r="A11513" i="2"/>
  <c r="A11512" i="2"/>
  <c r="A11511" i="2"/>
  <c r="A11510" i="2"/>
  <c r="A11509" i="2"/>
  <c r="A11508" i="2"/>
  <c r="A11507" i="2"/>
  <c r="A11506" i="2"/>
  <c r="A11505" i="2"/>
  <c r="A11504" i="2"/>
  <c r="A11503" i="2"/>
  <c r="A11502" i="2"/>
  <c r="A11501" i="2"/>
  <c r="A11500" i="2"/>
  <c r="A11499" i="2"/>
  <c r="A11498" i="2"/>
  <c r="A11497" i="2"/>
  <c r="A11496" i="2"/>
  <c r="A11495" i="2"/>
  <c r="A11494" i="2"/>
  <c r="A11493" i="2"/>
  <c r="A11492" i="2"/>
  <c r="A11491" i="2"/>
  <c r="A11490" i="2"/>
  <c r="A11489" i="2"/>
  <c r="A11488" i="2"/>
  <c r="A11487" i="2"/>
  <c r="A11486" i="2"/>
  <c r="A11485" i="2"/>
  <c r="A11484" i="2"/>
  <c r="A11483" i="2"/>
  <c r="A11482" i="2"/>
  <c r="A11481" i="2"/>
  <c r="A11480" i="2"/>
  <c r="A11479" i="2"/>
  <c r="A11478" i="2"/>
  <c r="A11477" i="2"/>
  <c r="A11476" i="2"/>
  <c r="A11475" i="2"/>
  <c r="A11474" i="2"/>
  <c r="A11473" i="2"/>
  <c r="A11472" i="2"/>
  <c r="A11471" i="2"/>
  <c r="A11470" i="2"/>
  <c r="A11469" i="2"/>
  <c r="A11468" i="2"/>
  <c r="A11467" i="2"/>
  <c r="A11466" i="2"/>
  <c r="A11465" i="2"/>
  <c r="A11464" i="2"/>
  <c r="A11463" i="2"/>
  <c r="A11462" i="2"/>
  <c r="A11461" i="2"/>
  <c r="A11460" i="2"/>
  <c r="A11459" i="2"/>
  <c r="A11458" i="2"/>
  <c r="A11457" i="2"/>
  <c r="A11456" i="2"/>
  <c r="A11455" i="2"/>
  <c r="A11454" i="2"/>
  <c r="A11453" i="2"/>
  <c r="A11452" i="2"/>
  <c r="A11451" i="2"/>
  <c r="A11450" i="2"/>
  <c r="A11449" i="2"/>
  <c r="A11448" i="2"/>
  <c r="A11447" i="2"/>
  <c r="A11446" i="2"/>
  <c r="A11445" i="2"/>
  <c r="A11444" i="2"/>
  <c r="A11443" i="2"/>
  <c r="A11442" i="2"/>
  <c r="A11441" i="2"/>
  <c r="A11440" i="2"/>
  <c r="A11439" i="2"/>
  <c r="A11438" i="2"/>
  <c r="A11437" i="2"/>
  <c r="A11436" i="2"/>
  <c r="A11435" i="2"/>
  <c r="A11434" i="2"/>
  <c r="A11433" i="2"/>
  <c r="A11432" i="2"/>
  <c r="A11431" i="2"/>
  <c r="A11430" i="2"/>
  <c r="A11429" i="2"/>
  <c r="A11428" i="2"/>
  <c r="A11427" i="2"/>
  <c r="A11426" i="2"/>
  <c r="A11425" i="2"/>
  <c r="A11424" i="2"/>
  <c r="A11423" i="2"/>
  <c r="A11422" i="2"/>
  <c r="A11421" i="2"/>
  <c r="A11420" i="2"/>
  <c r="A11419" i="2"/>
  <c r="A11418" i="2"/>
  <c r="A11417" i="2"/>
  <c r="A11416" i="2"/>
  <c r="A11415" i="2"/>
  <c r="A11414" i="2"/>
  <c r="A11413" i="2"/>
  <c r="A11412" i="2"/>
  <c r="A11411" i="2"/>
  <c r="A11410" i="2"/>
  <c r="A11409" i="2"/>
  <c r="A11408" i="2"/>
  <c r="A11407" i="2"/>
  <c r="A11406" i="2"/>
  <c r="A11405" i="2"/>
  <c r="A11404" i="2"/>
  <c r="A11403" i="2"/>
  <c r="A11402" i="2"/>
  <c r="A11401" i="2"/>
  <c r="A11400" i="2"/>
  <c r="A11399" i="2"/>
  <c r="A11398" i="2"/>
  <c r="A11397" i="2"/>
  <c r="A11396" i="2"/>
  <c r="A11395" i="2"/>
  <c r="A11394" i="2"/>
  <c r="A11393" i="2"/>
  <c r="A11392" i="2"/>
  <c r="A11391" i="2"/>
  <c r="A11390" i="2"/>
  <c r="A11389" i="2"/>
  <c r="A11388" i="2"/>
  <c r="A11387" i="2"/>
  <c r="A11386" i="2"/>
  <c r="A11385" i="2"/>
  <c r="A11384" i="2"/>
  <c r="A11383" i="2"/>
  <c r="A11382" i="2"/>
  <c r="A11381" i="2"/>
  <c r="A11380" i="2"/>
  <c r="A11379" i="2"/>
  <c r="A11378" i="2"/>
  <c r="A11377" i="2"/>
  <c r="A11376" i="2"/>
  <c r="A11375" i="2"/>
  <c r="A11374" i="2"/>
  <c r="A11373" i="2"/>
  <c r="A11372" i="2"/>
  <c r="A11371" i="2"/>
  <c r="A11370" i="2"/>
  <c r="A11369" i="2"/>
  <c r="A11368" i="2"/>
  <c r="A11367" i="2"/>
  <c r="A11366" i="2"/>
  <c r="A11365" i="2"/>
  <c r="A11364" i="2"/>
  <c r="A11363" i="2"/>
  <c r="A11362" i="2"/>
  <c r="A11361" i="2"/>
  <c r="A11360" i="2"/>
  <c r="A11359" i="2"/>
  <c r="A11358" i="2"/>
  <c r="A11357" i="2"/>
  <c r="A11356" i="2"/>
  <c r="A11355" i="2"/>
  <c r="A11354" i="2"/>
  <c r="A11353" i="2"/>
  <c r="A11352" i="2"/>
  <c r="A11351" i="2"/>
  <c r="A11350" i="2"/>
  <c r="A11349" i="2"/>
  <c r="A11348" i="2"/>
  <c r="A11347" i="2"/>
  <c r="A11346" i="2"/>
  <c r="A11345" i="2"/>
  <c r="A11344" i="2"/>
  <c r="A11343" i="2"/>
  <c r="A11342" i="2"/>
  <c r="A11341" i="2"/>
  <c r="A11340" i="2"/>
  <c r="A11339" i="2"/>
  <c r="A11338" i="2"/>
  <c r="A11337" i="2"/>
  <c r="A11336" i="2"/>
  <c r="A11335" i="2"/>
  <c r="A11334" i="2"/>
  <c r="A11333" i="2"/>
  <c r="A11332" i="2"/>
  <c r="A11331" i="2"/>
  <c r="A11330" i="2"/>
  <c r="A11329" i="2"/>
  <c r="A11328" i="2"/>
  <c r="A11327" i="2"/>
  <c r="A11326" i="2"/>
  <c r="A11325" i="2"/>
  <c r="A11324" i="2"/>
  <c r="A11323" i="2"/>
  <c r="A11322" i="2"/>
  <c r="A11321" i="2"/>
  <c r="A11320" i="2"/>
  <c r="A11319" i="2"/>
  <c r="A11318" i="2"/>
  <c r="A11317" i="2"/>
  <c r="A11316" i="2"/>
  <c r="A11315" i="2"/>
  <c r="A11314" i="2"/>
  <c r="A11313" i="2"/>
  <c r="A11312" i="2"/>
  <c r="A11311" i="2"/>
  <c r="A11310" i="2"/>
  <c r="A11309" i="2"/>
  <c r="A11308" i="2"/>
  <c r="A11307" i="2"/>
  <c r="A11306" i="2"/>
  <c r="A11305" i="2"/>
  <c r="A11304" i="2"/>
  <c r="A11303" i="2"/>
  <c r="A11302" i="2"/>
  <c r="A11301" i="2"/>
  <c r="A11300" i="2"/>
  <c r="A11299" i="2"/>
  <c r="A11298" i="2"/>
  <c r="A11297" i="2"/>
  <c r="A11296" i="2"/>
  <c r="A11295" i="2"/>
  <c r="A11294" i="2"/>
  <c r="A11293" i="2"/>
  <c r="A11292" i="2"/>
  <c r="A11291" i="2"/>
  <c r="A11290" i="2"/>
  <c r="A11289" i="2"/>
  <c r="A11288" i="2"/>
  <c r="A11287" i="2"/>
  <c r="A11286" i="2"/>
  <c r="A11285" i="2"/>
  <c r="A11284" i="2"/>
  <c r="A11283" i="2"/>
  <c r="A11282" i="2"/>
  <c r="A11281" i="2"/>
  <c r="A11280" i="2"/>
  <c r="A11279" i="2"/>
  <c r="A11278" i="2"/>
  <c r="A11277" i="2"/>
  <c r="A11276" i="2"/>
  <c r="A11275" i="2"/>
  <c r="A11274" i="2"/>
  <c r="A11273" i="2"/>
  <c r="A11272" i="2"/>
  <c r="A11271" i="2"/>
  <c r="A11270" i="2"/>
  <c r="A11269" i="2"/>
  <c r="A11268" i="2"/>
  <c r="A11267" i="2"/>
  <c r="A11266" i="2"/>
  <c r="A11265" i="2"/>
  <c r="A11264" i="2"/>
  <c r="A11263" i="2"/>
  <c r="A11262" i="2"/>
  <c r="A11261" i="2"/>
  <c r="A11260" i="2"/>
  <c r="A11259" i="2"/>
  <c r="A11258" i="2"/>
  <c r="A11257" i="2"/>
  <c r="A11256" i="2"/>
  <c r="A11255" i="2"/>
  <c r="A11254" i="2"/>
  <c r="A11253" i="2"/>
  <c r="A11252" i="2"/>
  <c r="A11251" i="2"/>
  <c r="A11250" i="2"/>
  <c r="A11249" i="2"/>
  <c r="A11248" i="2"/>
  <c r="A11247" i="2"/>
  <c r="A11246" i="2"/>
  <c r="A11245" i="2"/>
  <c r="A11244" i="2"/>
  <c r="A11243" i="2"/>
  <c r="A11242" i="2"/>
  <c r="A11241" i="2"/>
  <c r="A11240" i="2"/>
  <c r="A11239" i="2"/>
  <c r="A11238" i="2"/>
  <c r="A11237" i="2"/>
  <c r="A11236" i="2"/>
  <c r="A11235" i="2"/>
  <c r="A11234" i="2"/>
  <c r="A11233" i="2"/>
  <c r="A11232" i="2"/>
  <c r="A11231" i="2"/>
  <c r="A11230" i="2"/>
  <c r="A11229" i="2"/>
  <c r="A11228" i="2"/>
  <c r="A11227" i="2"/>
  <c r="A11226" i="2"/>
  <c r="A11225" i="2"/>
  <c r="A11224" i="2"/>
  <c r="A11223" i="2"/>
  <c r="A11222" i="2"/>
  <c r="A11221" i="2"/>
  <c r="A11220" i="2"/>
  <c r="A11219" i="2"/>
  <c r="A11218" i="2"/>
  <c r="A11217" i="2"/>
  <c r="A11216" i="2"/>
  <c r="A11215" i="2"/>
  <c r="A11214" i="2"/>
  <c r="A11213" i="2"/>
  <c r="A11212" i="2"/>
  <c r="A11211" i="2"/>
  <c r="A11210" i="2"/>
  <c r="A11209" i="2"/>
  <c r="A11208" i="2"/>
  <c r="A11207" i="2"/>
  <c r="A11206" i="2"/>
  <c r="A11205" i="2"/>
  <c r="A11204" i="2"/>
  <c r="A11203" i="2"/>
  <c r="A11202" i="2"/>
  <c r="A11201" i="2"/>
  <c r="A11200" i="2"/>
  <c r="A11199" i="2"/>
  <c r="A11198" i="2"/>
  <c r="A11197" i="2"/>
  <c r="A11196" i="2"/>
  <c r="A11195" i="2"/>
  <c r="A11194" i="2"/>
  <c r="A11193" i="2"/>
  <c r="A11192" i="2"/>
  <c r="A11191" i="2"/>
  <c r="A11190" i="2"/>
  <c r="A11189" i="2"/>
  <c r="A11188" i="2"/>
  <c r="A11187" i="2"/>
  <c r="A11186" i="2"/>
  <c r="A11185" i="2"/>
  <c r="A11184" i="2"/>
  <c r="A11183" i="2"/>
  <c r="A11182" i="2"/>
  <c r="A11181" i="2"/>
  <c r="A11180" i="2"/>
  <c r="A11179" i="2"/>
  <c r="A11178" i="2"/>
  <c r="A11177" i="2"/>
  <c r="A11176" i="2"/>
  <c r="A11175" i="2"/>
  <c r="A11174" i="2"/>
  <c r="A11173" i="2"/>
  <c r="A11172" i="2"/>
  <c r="A11171" i="2"/>
  <c r="A11170" i="2"/>
  <c r="A11169" i="2"/>
  <c r="A11168" i="2"/>
  <c r="A11167" i="2"/>
  <c r="A11166" i="2"/>
  <c r="A11165" i="2"/>
  <c r="A11164" i="2"/>
  <c r="A11163" i="2"/>
  <c r="A11162" i="2"/>
  <c r="A11161" i="2"/>
  <c r="A11160" i="2"/>
  <c r="A11159" i="2"/>
  <c r="A11158" i="2"/>
  <c r="A11157" i="2"/>
  <c r="A11156" i="2"/>
  <c r="A11155" i="2"/>
  <c r="A11154" i="2"/>
  <c r="A11153" i="2"/>
  <c r="A11152" i="2"/>
  <c r="A11151" i="2"/>
  <c r="A11150" i="2"/>
  <c r="A11149" i="2"/>
  <c r="A11148" i="2"/>
  <c r="A11147" i="2"/>
  <c r="A11146" i="2"/>
  <c r="A11145" i="2"/>
  <c r="A11144" i="2"/>
  <c r="A11143" i="2"/>
  <c r="A11142" i="2"/>
  <c r="A11141" i="2"/>
  <c r="A11140" i="2"/>
  <c r="A11139" i="2"/>
  <c r="A11138" i="2"/>
  <c r="A11137" i="2"/>
  <c r="A11136" i="2"/>
  <c r="A11135" i="2"/>
  <c r="A11134" i="2"/>
  <c r="A11133" i="2"/>
  <c r="A11132" i="2"/>
  <c r="A11131" i="2"/>
  <c r="A11130" i="2"/>
  <c r="A11129" i="2"/>
  <c r="A11128" i="2"/>
  <c r="A11127" i="2"/>
  <c r="A11126" i="2"/>
  <c r="A11125" i="2"/>
  <c r="A11124" i="2"/>
  <c r="A11123" i="2"/>
  <c r="A11122" i="2"/>
  <c r="A11121" i="2"/>
  <c r="A11120" i="2"/>
  <c r="A11119" i="2"/>
  <c r="A11118" i="2"/>
  <c r="A11117" i="2"/>
  <c r="A11116" i="2"/>
  <c r="A11115" i="2"/>
  <c r="A11114" i="2"/>
  <c r="A11113" i="2"/>
  <c r="A11112" i="2"/>
  <c r="A11111" i="2"/>
  <c r="A11110" i="2"/>
  <c r="A11109" i="2"/>
  <c r="A11108" i="2"/>
  <c r="A11107" i="2"/>
  <c r="A11106" i="2"/>
  <c r="A11105" i="2"/>
  <c r="A11104" i="2"/>
  <c r="A11103" i="2"/>
  <c r="A11102" i="2"/>
  <c r="A11101" i="2"/>
  <c r="A11100" i="2"/>
  <c r="A11099" i="2"/>
  <c r="A11098" i="2"/>
  <c r="A11097" i="2"/>
  <c r="A11096" i="2"/>
  <c r="A11095" i="2"/>
  <c r="A11094" i="2"/>
  <c r="A11093" i="2"/>
  <c r="A11092" i="2"/>
  <c r="A11091" i="2"/>
  <c r="A11090" i="2"/>
  <c r="A11089" i="2"/>
  <c r="A11088" i="2"/>
  <c r="A11087" i="2"/>
  <c r="A11086" i="2"/>
  <c r="A11085" i="2"/>
  <c r="A11084" i="2"/>
  <c r="A11083" i="2"/>
  <c r="A11082" i="2"/>
  <c r="A11081" i="2"/>
  <c r="A11080" i="2"/>
  <c r="A11079" i="2"/>
  <c r="A11078" i="2"/>
  <c r="A11077" i="2"/>
  <c r="A11076" i="2"/>
  <c r="A11075" i="2"/>
  <c r="A11074" i="2"/>
  <c r="A11073" i="2"/>
  <c r="A11072" i="2"/>
  <c r="A11071" i="2"/>
  <c r="A11070" i="2"/>
  <c r="A11069" i="2"/>
  <c r="A11068" i="2"/>
  <c r="A11067" i="2"/>
  <c r="A11066" i="2"/>
  <c r="A11065" i="2"/>
  <c r="A11064" i="2"/>
  <c r="A11063" i="2"/>
  <c r="A11062" i="2"/>
  <c r="A11061" i="2"/>
  <c r="A11060" i="2"/>
  <c r="A11059" i="2"/>
  <c r="A11058" i="2"/>
  <c r="A11057" i="2"/>
  <c r="A11056" i="2"/>
  <c r="A11055" i="2"/>
  <c r="A11054" i="2"/>
  <c r="A11053" i="2"/>
  <c r="A11052" i="2"/>
  <c r="A11051" i="2"/>
  <c r="A11050" i="2"/>
  <c r="A11049" i="2"/>
  <c r="A11048" i="2"/>
  <c r="A11047" i="2"/>
  <c r="A11046" i="2"/>
  <c r="A11045" i="2"/>
  <c r="A11044" i="2"/>
  <c r="A11043" i="2"/>
  <c r="A11042" i="2"/>
  <c r="A11041" i="2"/>
  <c r="A11040" i="2"/>
  <c r="A11039" i="2"/>
  <c r="A11038" i="2"/>
  <c r="A11037" i="2"/>
  <c r="A11036" i="2"/>
  <c r="A11035" i="2"/>
  <c r="A11034" i="2"/>
  <c r="A11033" i="2"/>
  <c r="A11032" i="2"/>
  <c r="A11031" i="2"/>
  <c r="A11030" i="2"/>
  <c r="A11029" i="2"/>
  <c r="A11028" i="2"/>
  <c r="A11027" i="2"/>
  <c r="A11026" i="2"/>
  <c r="A11025" i="2"/>
  <c r="A11024" i="2"/>
  <c r="A11023" i="2"/>
  <c r="A11022" i="2"/>
  <c r="A11021" i="2"/>
  <c r="A11020" i="2"/>
  <c r="A11019" i="2"/>
  <c r="A11018" i="2"/>
  <c r="A11017" i="2"/>
  <c r="A11016" i="2"/>
  <c r="A11015" i="2"/>
  <c r="A11014" i="2"/>
  <c r="A11013" i="2"/>
  <c r="A11012" i="2"/>
  <c r="A11011" i="2"/>
  <c r="A11010" i="2"/>
  <c r="A11009" i="2"/>
  <c r="A11008" i="2"/>
  <c r="A11007" i="2"/>
  <c r="A11006" i="2"/>
  <c r="A11005" i="2"/>
  <c r="A11004" i="2"/>
  <c r="A11003" i="2"/>
  <c r="A11002" i="2"/>
  <c r="A11001" i="2"/>
  <c r="A11000" i="2"/>
  <c r="A10999" i="2"/>
  <c r="A10998" i="2"/>
  <c r="A10997" i="2"/>
  <c r="A10996" i="2"/>
  <c r="A10995" i="2"/>
  <c r="A10994" i="2"/>
  <c r="A10993" i="2"/>
  <c r="A10992" i="2"/>
  <c r="A10991" i="2"/>
  <c r="A10990" i="2"/>
  <c r="A10989" i="2"/>
  <c r="A10988" i="2"/>
  <c r="A10987" i="2"/>
  <c r="A10986" i="2"/>
  <c r="A10985" i="2"/>
  <c r="A10984" i="2"/>
  <c r="A10983" i="2"/>
  <c r="A10982" i="2"/>
  <c r="A10981" i="2"/>
  <c r="A10980" i="2"/>
  <c r="A10979" i="2"/>
  <c r="A10978" i="2"/>
  <c r="A10977" i="2"/>
  <c r="A10976" i="2"/>
  <c r="A10975" i="2"/>
  <c r="A10974" i="2"/>
  <c r="A10973" i="2"/>
  <c r="A10972" i="2"/>
  <c r="A10971" i="2"/>
  <c r="A10970" i="2"/>
  <c r="A10969" i="2"/>
  <c r="A10968" i="2"/>
  <c r="A10967" i="2"/>
  <c r="A10966" i="2"/>
  <c r="A10965" i="2"/>
  <c r="A10964" i="2"/>
  <c r="A10963" i="2"/>
  <c r="A10962" i="2"/>
  <c r="A10961" i="2"/>
  <c r="A10960" i="2"/>
  <c r="A10959" i="2"/>
  <c r="A10958" i="2"/>
  <c r="A10957" i="2"/>
  <c r="A10956" i="2"/>
  <c r="A10955" i="2"/>
  <c r="A10954" i="2"/>
  <c r="A10953" i="2"/>
  <c r="A10952" i="2"/>
  <c r="A10951" i="2"/>
  <c r="A10950" i="2"/>
  <c r="A10949" i="2"/>
  <c r="A10948" i="2"/>
  <c r="A10947" i="2"/>
  <c r="A10946" i="2"/>
  <c r="A10945" i="2"/>
  <c r="A10944" i="2"/>
  <c r="A10943" i="2"/>
  <c r="A10942" i="2"/>
  <c r="A10941" i="2"/>
  <c r="A10940" i="2"/>
  <c r="A10939" i="2"/>
  <c r="A10938" i="2"/>
  <c r="A10937" i="2"/>
  <c r="A10936" i="2"/>
  <c r="A10935" i="2"/>
  <c r="A10934" i="2"/>
  <c r="A10933" i="2"/>
  <c r="A10932" i="2"/>
  <c r="A10931" i="2"/>
  <c r="A10930" i="2"/>
  <c r="A10929" i="2"/>
  <c r="A10928" i="2"/>
  <c r="A10927" i="2"/>
  <c r="A10926" i="2"/>
  <c r="A10925" i="2"/>
  <c r="A10924" i="2"/>
  <c r="A10923" i="2"/>
  <c r="A10922" i="2"/>
  <c r="A10921" i="2"/>
  <c r="A10920" i="2"/>
  <c r="A10919" i="2"/>
  <c r="A10918" i="2"/>
  <c r="A10917" i="2"/>
  <c r="A10916" i="2"/>
  <c r="A10915" i="2"/>
  <c r="A10914" i="2"/>
  <c r="A10913" i="2"/>
  <c r="A10912" i="2"/>
  <c r="A10911" i="2"/>
  <c r="A10910" i="2"/>
  <c r="A10909" i="2"/>
  <c r="A10908" i="2"/>
  <c r="A10907" i="2"/>
  <c r="A10906" i="2"/>
  <c r="A10905" i="2"/>
  <c r="A10904" i="2"/>
  <c r="A10903" i="2"/>
  <c r="A10902" i="2"/>
  <c r="A10901" i="2"/>
  <c r="A10900" i="2"/>
  <c r="A10899" i="2"/>
  <c r="A10898" i="2"/>
  <c r="A10897" i="2"/>
  <c r="A10896" i="2"/>
  <c r="A10895" i="2"/>
  <c r="A10894" i="2"/>
  <c r="A10893" i="2"/>
  <c r="A10892" i="2"/>
  <c r="A10891" i="2"/>
  <c r="A10890" i="2"/>
  <c r="A10889" i="2"/>
  <c r="A10888" i="2"/>
  <c r="A10887" i="2"/>
  <c r="A10886" i="2"/>
  <c r="A10885" i="2"/>
  <c r="A10884" i="2"/>
  <c r="A10883" i="2"/>
  <c r="A10882" i="2"/>
  <c r="A10881" i="2"/>
  <c r="A10880" i="2"/>
  <c r="A10879" i="2"/>
  <c r="A10878" i="2"/>
  <c r="A10877" i="2"/>
  <c r="A10876" i="2"/>
  <c r="A10875" i="2"/>
  <c r="A10874" i="2"/>
  <c r="A10873" i="2"/>
  <c r="A10872" i="2"/>
  <c r="A10871" i="2"/>
  <c r="A10870" i="2"/>
  <c r="A10869" i="2"/>
  <c r="A10868" i="2"/>
  <c r="A10867" i="2"/>
  <c r="A10866" i="2"/>
  <c r="A10865" i="2"/>
  <c r="A10864" i="2"/>
  <c r="A10863" i="2"/>
  <c r="A10862" i="2"/>
  <c r="A10861" i="2"/>
  <c r="A10860" i="2"/>
  <c r="A10859" i="2"/>
  <c r="A10858" i="2"/>
  <c r="A10857" i="2"/>
  <c r="A10856" i="2"/>
  <c r="A10855" i="2"/>
  <c r="A10854" i="2"/>
  <c r="A10853" i="2"/>
  <c r="A10852" i="2"/>
  <c r="A10851" i="2"/>
  <c r="A10850" i="2"/>
  <c r="A10849" i="2"/>
  <c r="A10848" i="2"/>
  <c r="A10847" i="2"/>
  <c r="A10846" i="2"/>
  <c r="A10845" i="2"/>
  <c r="A10844" i="2"/>
  <c r="A10843" i="2"/>
  <c r="A10842" i="2"/>
  <c r="A10841" i="2"/>
  <c r="A10840" i="2"/>
  <c r="A10839" i="2"/>
  <c r="A10838" i="2"/>
  <c r="A10837" i="2"/>
  <c r="A10836" i="2"/>
  <c r="A10835" i="2"/>
  <c r="A10834" i="2"/>
  <c r="A10833" i="2"/>
  <c r="A10832" i="2"/>
  <c r="A10831" i="2"/>
  <c r="A10830" i="2"/>
  <c r="A10829" i="2"/>
  <c r="A10828" i="2"/>
  <c r="A10827" i="2"/>
  <c r="A10826" i="2"/>
  <c r="A10825" i="2"/>
  <c r="A10824" i="2"/>
  <c r="A10823" i="2"/>
  <c r="A10822" i="2"/>
  <c r="A10821" i="2"/>
  <c r="A10820" i="2"/>
  <c r="A10819" i="2"/>
  <c r="A10818" i="2"/>
  <c r="A10817" i="2"/>
  <c r="A10816" i="2"/>
  <c r="A10815" i="2"/>
  <c r="A10814" i="2"/>
  <c r="A10813" i="2"/>
  <c r="A10812" i="2"/>
  <c r="A10811" i="2"/>
  <c r="A10810" i="2"/>
  <c r="A10809" i="2"/>
  <c r="A10808" i="2"/>
  <c r="A10807" i="2"/>
  <c r="A10806" i="2"/>
  <c r="A10805" i="2"/>
  <c r="A10804" i="2"/>
  <c r="A10803" i="2"/>
  <c r="A10802" i="2"/>
  <c r="A10801" i="2"/>
  <c r="A10800" i="2"/>
  <c r="A10799" i="2"/>
  <c r="A10798" i="2"/>
  <c r="A10797" i="2"/>
  <c r="A10796" i="2"/>
  <c r="A10795" i="2"/>
  <c r="A10794" i="2"/>
  <c r="A10793" i="2"/>
  <c r="A10792" i="2"/>
  <c r="A10791" i="2"/>
  <c r="A10790" i="2"/>
  <c r="A10789" i="2"/>
  <c r="A10788" i="2"/>
  <c r="A10787" i="2"/>
  <c r="A10786" i="2"/>
  <c r="A10785" i="2"/>
  <c r="A10784" i="2"/>
  <c r="A10783" i="2"/>
  <c r="A10782" i="2"/>
  <c r="A10781" i="2"/>
  <c r="A10780" i="2"/>
  <c r="A10779" i="2"/>
  <c r="A10778" i="2"/>
  <c r="A10777" i="2"/>
  <c r="A10776" i="2"/>
  <c r="A10775" i="2"/>
  <c r="A10774" i="2"/>
  <c r="A10773" i="2"/>
  <c r="A10772" i="2"/>
  <c r="A10771" i="2"/>
  <c r="A10770" i="2"/>
  <c r="A10769" i="2"/>
  <c r="A10768" i="2"/>
  <c r="A10767" i="2"/>
  <c r="A10766" i="2"/>
  <c r="A10765" i="2"/>
  <c r="A10764" i="2"/>
  <c r="A10763" i="2"/>
  <c r="A10762" i="2"/>
  <c r="A10761" i="2"/>
  <c r="A10760" i="2"/>
  <c r="A10759" i="2"/>
  <c r="A10758" i="2"/>
  <c r="A10757" i="2"/>
  <c r="A10756" i="2"/>
  <c r="A10755" i="2"/>
  <c r="A10754" i="2"/>
  <c r="A10753" i="2"/>
  <c r="A10752" i="2"/>
  <c r="A10751" i="2"/>
  <c r="A10750" i="2"/>
  <c r="A10749" i="2"/>
  <c r="A10748" i="2"/>
  <c r="A10747" i="2"/>
  <c r="A10746" i="2"/>
  <c r="A10745" i="2"/>
  <c r="A10744" i="2"/>
  <c r="A10743" i="2"/>
  <c r="A10742" i="2"/>
  <c r="A10741" i="2"/>
  <c r="A10740" i="2"/>
  <c r="A10739" i="2"/>
  <c r="A10738" i="2"/>
  <c r="A10737" i="2"/>
  <c r="A10736" i="2"/>
  <c r="A10735" i="2"/>
  <c r="A10734" i="2"/>
  <c r="A10733" i="2"/>
  <c r="A10732" i="2"/>
  <c r="A10731" i="2"/>
  <c r="A10730" i="2"/>
  <c r="A10729" i="2"/>
  <c r="A10728" i="2"/>
  <c r="A10727" i="2"/>
  <c r="A10726" i="2"/>
  <c r="A10725" i="2"/>
  <c r="A10724" i="2"/>
  <c r="A10723" i="2"/>
  <c r="A10722" i="2"/>
  <c r="A10721" i="2"/>
  <c r="A10720" i="2"/>
  <c r="A10719" i="2"/>
  <c r="A10718" i="2"/>
  <c r="A10717" i="2"/>
  <c r="A10716" i="2"/>
  <c r="A10715" i="2"/>
  <c r="A10714" i="2"/>
  <c r="A10713" i="2"/>
  <c r="A10712" i="2"/>
  <c r="A10711" i="2"/>
  <c r="A10710" i="2"/>
  <c r="A10709" i="2"/>
  <c r="A10708" i="2"/>
  <c r="A10707" i="2"/>
  <c r="A10706" i="2"/>
  <c r="A10705" i="2"/>
  <c r="A10704" i="2"/>
  <c r="A10703" i="2"/>
  <c r="A10702" i="2"/>
  <c r="A10701" i="2"/>
  <c r="A10700" i="2"/>
  <c r="A10699" i="2"/>
  <c r="A10698" i="2"/>
  <c r="A10697" i="2"/>
  <c r="A10696" i="2"/>
  <c r="A10695" i="2"/>
  <c r="A10694" i="2"/>
  <c r="A10693" i="2"/>
  <c r="A10692" i="2"/>
  <c r="A10691" i="2"/>
  <c r="A10690" i="2"/>
  <c r="A10689" i="2"/>
  <c r="A10688" i="2"/>
  <c r="A10687" i="2"/>
  <c r="A10686" i="2"/>
  <c r="A10685" i="2"/>
  <c r="A10684" i="2"/>
  <c r="A10683" i="2"/>
  <c r="A10682" i="2"/>
  <c r="A10681" i="2"/>
  <c r="A10680" i="2"/>
  <c r="A10679" i="2"/>
  <c r="A10678" i="2"/>
  <c r="A10677" i="2"/>
  <c r="A10676" i="2"/>
  <c r="A10675" i="2"/>
  <c r="A10674" i="2"/>
  <c r="A10673" i="2"/>
  <c r="A10672" i="2"/>
  <c r="A10671" i="2"/>
  <c r="A10670" i="2"/>
  <c r="A10669" i="2"/>
  <c r="A10668" i="2"/>
  <c r="A10667" i="2"/>
  <c r="A10666" i="2"/>
  <c r="A10665" i="2"/>
  <c r="A10664" i="2"/>
  <c r="A10663" i="2"/>
  <c r="A10662" i="2"/>
  <c r="A10661" i="2"/>
  <c r="A10660" i="2"/>
  <c r="A10659" i="2"/>
  <c r="A10658" i="2"/>
  <c r="A10657" i="2"/>
  <c r="A10656" i="2"/>
  <c r="A10655" i="2"/>
  <c r="A10654" i="2"/>
  <c r="A10653" i="2"/>
  <c r="A10652" i="2"/>
  <c r="A10651" i="2"/>
  <c r="A10650" i="2"/>
  <c r="A10649" i="2"/>
  <c r="A10648" i="2"/>
  <c r="A10647" i="2"/>
  <c r="A10646" i="2"/>
  <c r="A10645" i="2"/>
  <c r="A10644" i="2"/>
  <c r="A10643" i="2"/>
  <c r="A10642" i="2"/>
  <c r="A10641" i="2"/>
  <c r="A10640" i="2"/>
  <c r="A10639" i="2"/>
  <c r="A10638" i="2"/>
  <c r="A10637" i="2"/>
  <c r="A10636" i="2"/>
  <c r="A10635" i="2"/>
  <c r="A10634" i="2"/>
  <c r="A10633" i="2"/>
  <c r="A10632" i="2"/>
  <c r="A10631" i="2"/>
  <c r="A10630" i="2"/>
  <c r="A10629" i="2"/>
  <c r="A10628" i="2"/>
  <c r="A10627" i="2"/>
  <c r="A10626" i="2"/>
  <c r="A10625" i="2"/>
  <c r="A10624" i="2"/>
  <c r="A10623" i="2"/>
  <c r="A10622" i="2"/>
  <c r="A10621" i="2"/>
  <c r="A10620" i="2"/>
  <c r="A10619" i="2"/>
  <c r="A10618" i="2"/>
  <c r="A10617" i="2"/>
  <c r="A10616" i="2"/>
  <c r="A10615" i="2"/>
  <c r="A10614" i="2"/>
  <c r="A10613" i="2"/>
  <c r="A10612" i="2"/>
  <c r="A10611" i="2"/>
  <c r="A10610" i="2"/>
  <c r="A10609" i="2"/>
  <c r="A10608" i="2"/>
  <c r="A10607" i="2"/>
  <c r="A10606" i="2"/>
  <c r="A10605" i="2"/>
  <c r="A10604" i="2"/>
  <c r="A10603" i="2"/>
  <c r="A10602" i="2"/>
  <c r="A10601" i="2"/>
  <c r="A10600" i="2"/>
  <c r="A10599" i="2"/>
  <c r="A10598" i="2"/>
  <c r="A10597" i="2"/>
  <c r="A10596" i="2"/>
  <c r="A10595" i="2"/>
  <c r="A10594" i="2"/>
  <c r="A10593" i="2"/>
  <c r="A10592" i="2"/>
  <c r="A10591" i="2"/>
  <c r="A10590" i="2"/>
  <c r="A10589" i="2"/>
  <c r="A10588" i="2"/>
  <c r="A10587" i="2"/>
  <c r="A10586" i="2"/>
  <c r="A10585" i="2"/>
  <c r="A10584" i="2"/>
  <c r="A10583" i="2"/>
  <c r="A10582" i="2"/>
  <c r="A10581" i="2"/>
  <c r="A10580" i="2"/>
  <c r="A10579" i="2"/>
  <c r="A10578" i="2"/>
  <c r="A10577" i="2"/>
  <c r="A10576" i="2"/>
  <c r="A10575" i="2"/>
  <c r="A10574" i="2"/>
  <c r="A10573" i="2"/>
  <c r="A10572" i="2"/>
  <c r="A10571" i="2"/>
  <c r="A10570" i="2"/>
  <c r="A10569" i="2"/>
  <c r="A10568" i="2"/>
  <c r="A10567" i="2"/>
  <c r="A10566" i="2"/>
  <c r="A10565" i="2"/>
  <c r="A10564" i="2"/>
  <c r="A10563" i="2"/>
  <c r="A10562" i="2"/>
  <c r="A10561" i="2"/>
  <c r="A10560" i="2"/>
  <c r="A10559" i="2"/>
  <c r="A10558" i="2"/>
  <c r="A10557" i="2"/>
  <c r="A10556" i="2"/>
  <c r="A10555" i="2"/>
  <c r="A10554" i="2"/>
  <c r="A10553" i="2"/>
  <c r="A10552" i="2"/>
  <c r="A10551" i="2"/>
  <c r="A10550" i="2"/>
  <c r="A10549" i="2"/>
  <c r="A10548" i="2"/>
  <c r="A10547" i="2"/>
  <c r="A10546" i="2"/>
  <c r="A10545" i="2"/>
  <c r="A10544" i="2"/>
  <c r="A10543" i="2"/>
  <c r="A10542" i="2"/>
  <c r="A10541" i="2"/>
  <c r="A10540" i="2"/>
  <c r="A10539" i="2"/>
  <c r="A10538" i="2"/>
  <c r="A10537" i="2"/>
  <c r="A10536" i="2"/>
  <c r="A10535" i="2"/>
  <c r="A10534" i="2"/>
  <c r="A10533" i="2"/>
  <c r="A10532" i="2"/>
  <c r="A10531" i="2"/>
  <c r="A10530" i="2"/>
  <c r="A10529" i="2"/>
  <c r="A10528" i="2"/>
  <c r="A10527" i="2"/>
  <c r="A10526" i="2"/>
  <c r="A10525" i="2"/>
  <c r="A10524" i="2"/>
  <c r="A10523" i="2"/>
  <c r="A10522" i="2"/>
  <c r="A10521" i="2"/>
  <c r="A10520" i="2"/>
  <c r="A10519" i="2"/>
  <c r="A10518" i="2"/>
  <c r="A10517" i="2"/>
  <c r="A10516" i="2"/>
  <c r="A10515" i="2"/>
  <c r="A10514" i="2"/>
  <c r="A10513" i="2"/>
  <c r="A10512" i="2"/>
  <c r="A10511" i="2"/>
  <c r="A10510" i="2"/>
  <c r="A10509" i="2"/>
  <c r="A10508" i="2"/>
  <c r="A10507" i="2"/>
  <c r="A10506" i="2"/>
  <c r="A10505" i="2"/>
  <c r="A10504" i="2"/>
  <c r="A10503" i="2"/>
  <c r="A10502" i="2"/>
  <c r="A10501" i="2"/>
  <c r="A10500" i="2"/>
  <c r="A10499" i="2"/>
  <c r="A10498" i="2"/>
  <c r="A10497" i="2"/>
  <c r="A10496" i="2"/>
  <c r="A10495" i="2"/>
  <c r="A10494" i="2"/>
  <c r="A10493" i="2"/>
  <c r="A10492" i="2"/>
  <c r="A10491" i="2"/>
  <c r="A10490" i="2"/>
  <c r="A10489" i="2"/>
  <c r="A10488" i="2"/>
  <c r="A10487" i="2"/>
  <c r="A10486" i="2"/>
  <c r="A10485" i="2"/>
  <c r="A10484" i="2"/>
  <c r="A10483" i="2"/>
  <c r="A10482" i="2"/>
  <c r="A10481" i="2"/>
  <c r="A10480" i="2"/>
  <c r="A10479" i="2"/>
  <c r="A10478" i="2"/>
  <c r="A10477" i="2"/>
  <c r="A10476" i="2"/>
  <c r="A10475" i="2"/>
  <c r="A10474" i="2"/>
  <c r="A10473" i="2"/>
  <c r="A10472" i="2"/>
  <c r="A10471" i="2"/>
  <c r="A10470" i="2"/>
  <c r="A10469" i="2"/>
  <c r="A10468" i="2"/>
  <c r="A10467" i="2"/>
  <c r="A10466" i="2"/>
  <c r="A10465" i="2"/>
  <c r="A10464" i="2"/>
  <c r="A10463" i="2"/>
  <c r="A10462" i="2"/>
  <c r="A10461" i="2"/>
  <c r="A10460" i="2"/>
  <c r="A10459" i="2"/>
  <c r="A10458" i="2"/>
  <c r="A10457" i="2"/>
  <c r="A10456" i="2"/>
  <c r="A10455" i="2"/>
  <c r="A10454" i="2"/>
  <c r="A10453" i="2"/>
  <c r="A10452" i="2"/>
  <c r="A10451" i="2"/>
  <c r="A10450" i="2"/>
  <c r="A10449" i="2"/>
  <c r="A10448" i="2"/>
  <c r="A10447" i="2"/>
  <c r="A10446" i="2"/>
  <c r="A10445" i="2"/>
  <c r="A10444" i="2"/>
  <c r="A10443" i="2"/>
  <c r="A10442" i="2"/>
  <c r="A10441" i="2"/>
  <c r="A10440" i="2"/>
  <c r="A10439" i="2"/>
  <c r="A10438" i="2"/>
  <c r="A10437" i="2"/>
  <c r="A10436" i="2"/>
  <c r="A10435" i="2"/>
  <c r="A10434" i="2"/>
  <c r="A10433" i="2"/>
  <c r="A10432" i="2"/>
  <c r="A10431" i="2"/>
  <c r="A10430" i="2"/>
  <c r="A10429" i="2"/>
  <c r="A10428" i="2"/>
  <c r="A10427" i="2"/>
  <c r="A10426" i="2"/>
  <c r="A10425" i="2"/>
  <c r="A10424" i="2"/>
  <c r="A10423" i="2"/>
  <c r="A10422" i="2"/>
  <c r="A10421" i="2"/>
  <c r="A10420" i="2"/>
  <c r="A10419" i="2"/>
  <c r="A10418" i="2"/>
  <c r="A10417" i="2"/>
  <c r="A10416" i="2"/>
  <c r="A10415" i="2"/>
  <c r="A10414" i="2"/>
  <c r="A10413" i="2"/>
  <c r="A10412" i="2"/>
  <c r="A10411" i="2"/>
  <c r="A10410" i="2"/>
  <c r="A10409" i="2"/>
  <c r="A10408" i="2"/>
  <c r="A10407" i="2"/>
  <c r="A10406" i="2"/>
  <c r="A10405" i="2"/>
  <c r="A10404" i="2"/>
  <c r="A10403" i="2"/>
  <c r="A10402" i="2"/>
  <c r="A10401" i="2"/>
  <c r="A10400" i="2"/>
  <c r="A10399" i="2"/>
  <c r="A10398" i="2"/>
  <c r="A10397" i="2"/>
  <c r="A10396" i="2"/>
  <c r="A10395" i="2"/>
  <c r="A10394" i="2"/>
  <c r="A10393" i="2"/>
  <c r="A10392" i="2"/>
  <c r="A10391" i="2"/>
  <c r="A10390" i="2"/>
  <c r="A10389" i="2"/>
  <c r="A10388" i="2"/>
  <c r="A10387" i="2"/>
  <c r="A10386" i="2"/>
  <c r="A10385" i="2"/>
  <c r="A10384" i="2"/>
  <c r="A10383" i="2"/>
  <c r="A10382" i="2"/>
  <c r="A10381" i="2"/>
  <c r="A10380" i="2"/>
  <c r="A10379" i="2"/>
  <c r="A10378" i="2"/>
  <c r="A10377" i="2"/>
  <c r="A10376" i="2"/>
  <c r="A10375" i="2"/>
  <c r="A10374" i="2"/>
  <c r="A10373" i="2"/>
  <c r="A10372" i="2"/>
  <c r="A10371" i="2"/>
  <c r="A10370" i="2"/>
  <c r="A10369" i="2"/>
  <c r="A10368" i="2"/>
  <c r="A10367" i="2"/>
  <c r="A10366" i="2"/>
  <c r="A10365" i="2"/>
  <c r="A10364" i="2"/>
  <c r="A10363" i="2"/>
  <c r="A10362" i="2"/>
  <c r="A10361" i="2"/>
  <c r="A10360" i="2"/>
  <c r="A10359" i="2"/>
  <c r="A10358" i="2"/>
  <c r="A10357" i="2"/>
  <c r="A10356" i="2"/>
  <c r="A10355" i="2"/>
  <c r="A10354" i="2"/>
  <c r="A10353" i="2"/>
  <c r="A10352" i="2"/>
  <c r="A10351" i="2"/>
  <c r="A10350" i="2"/>
  <c r="A10349" i="2"/>
  <c r="A10348" i="2"/>
  <c r="A10347" i="2"/>
  <c r="A10346" i="2"/>
  <c r="A10345" i="2"/>
  <c r="A10344" i="2"/>
  <c r="A10343" i="2"/>
  <c r="A10342" i="2"/>
  <c r="A10341" i="2"/>
  <c r="A10340" i="2"/>
  <c r="A10339" i="2"/>
  <c r="A10338" i="2"/>
  <c r="A10337" i="2"/>
  <c r="A10336" i="2"/>
  <c r="A10335" i="2"/>
  <c r="A10334" i="2"/>
  <c r="A10333" i="2"/>
  <c r="A10332" i="2"/>
  <c r="A10331" i="2"/>
  <c r="A10330" i="2"/>
  <c r="A10329" i="2"/>
  <c r="A10328" i="2"/>
  <c r="A10327" i="2"/>
  <c r="A10326" i="2"/>
  <c r="A10325" i="2"/>
  <c r="A10324" i="2"/>
  <c r="A10323" i="2"/>
  <c r="A10322" i="2"/>
  <c r="A10321" i="2"/>
  <c r="A10320" i="2"/>
  <c r="A10319" i="2"/>
  <c r="A10318" i="2"/>
  <c r="A10317" i="2"/>
  <c r="A10316" i="2"/>
  <c r="A10315" i="2"/>
  <c r="A10314" i="2"/>
  <c r="A10313" i="2"/>
  <c r="A10312" i="2"/>
  <c r="A10311" i="2"/>
  <c r="A10310" i="2"/>
  <c r="A10309" i="2"/>
  <c r="A10308" i="2"/>
  <c r="A10307" i="2"/>
  <c r="A10306" i="2"/>
  <c r="A10305" i="2"/>
  <c r="A10304" i="2"/>
  <c r="A10303" i="2"/>
  <c r="A10302" i="2"/>
  <c r="A10301" i="2"/>
  <c r="A10300" i="2"/>
  <c r="A10299" i="2"/>
  <c r="A10298" i="2"/>
  <c r="A10297" i="2"/>
  <c r="A10296" i="2"/>
  <c r="A10295" i="2"/>
  <c r="A10294" i="2"/>
  <c r="A10293" i="2"/>
  <c r="A10292" i="2"/>
  <c r="A10291" i="2"/>
  <c r="A10290" i="2"/>
  <c r="A10289" i="2"/>
  <c r="A10288" i="2"/>
  <c r="A10287" i="2"/>
  <c r="A10286" i="2"/>
  <c r="A10285" i="2"/>
  <c r="A10284" i="2"/>
  <c r="A10283" i="2"/>
  <c r="A10282" i="2"/>
  <c r="A10281" i="2"/>
  <c r="A10280" i="2"/>
  <c r="A10279" i="2"/>
  <c r="A10278" i="2"/>
  <c r="A10277" i="2"/>
  <c r="A10276" i="2"/>
  <c r="A10275" i="2"/>
  <c r="A10274" i="2"/>
  <c r="A10273" i="2"/>
  <c r="A10272" i="2"/>
  <c r="A10271" i="2"/>
  <c r="A10270" i="2"/>
  <c r="A10269" i="2"/>
  <c r="A10268" i="2"/>
  <c r="A10267" i="2"/>
  <c r="A10266" i="2"/>
  <c r="A10265" i="2"/>
  <c r="A10264" i="2"/>
  <c r="A10263" i="2"/>
  <c r="A10262" i="2"/>
  <c r="A10261" i="2"/>
  <c r="A10260" i="2"/>
  <c r="A10259" i="2"/>
  <c r="A10258" i="2"/>
  <c r="A10257" i="2"/>
  <c r="A10256" i="2"/>
  <c r="A10255" i="2"/>
  <c r="A10254" i="2"/>
  <c r="A10253" i="2"/>
  <c r="A10252" i="2"/>
  <c r="A10251" i="2"/>
  <c r="A10250" i="2"/>
  <c r="A10249" i="2"/>
  <c r="A10248" i="2"/>
  <c r="A10247" i="2"/>
  <c r="A10246" i="2"/>
  <c r="A10245" i="2"/>
  <c r="A10244" i="2"/>
  <c r="A10243" i="2"/>
  <c r="A10242" i="2"/>
  <c r="A10241" i="2"/>
  <c r="A10240" i="2"/>
  <c r="A10239" i="2"/>
  <c r="A10238" i="2"/>
  <c r="A10237" i="2"/>
  <c r="A10236" i="2"/>
  <c r="A10235" i="2"/>
  <c r="A10234" i="2"/>
  <c r="A10233" i="2"/>
  <c r="A10232" i="2"/>
  <c r="A10231" i="2"/>
  <c r="A10230" i="2"/>
  <c r="A10229" i="2"/>
  <c r="A10228" i="2"/>
  <c r="A10227" i="2"/>
  <c r="A10226" i="2"/>
  <c r="A10225" i="2"/>
  <c r="A10224" i="2"/>
  <c r="A10223" i="2"/>
  <c r="A10222" i="2"/>
  <c r="A10221" i="2"/>
  <c r="A10220" i="2"/>
  <c r="A10219" i="2"/>
  <c r="A10218" i="2"/>
  <c r="A10217" i="2"/>
  <c r="A10216" i="2"/>
  <c r="A10215" i="2"/>
  <c r="A10214" i="2"/>
  <c r="A10213" i="2"/>
  <c r="A10212" i="2"/>
  <c r="A10211" i="2"/>
  <c r="A10210" i="2"/>
  <c r="A10209" i="2"/>
  <c r="A10208" i="2"/>
  <c r="A10207" i="2"/>
  <c r="A10206" i="2"/>
  <c r="A10205" i="2"/>
  <c r="A10204" i="2"/>
  <c r="A10203" i="2"/>
  <c r="A10202" i="2"/>
  <c r="A10201" i="2"/>
  <c r="A10200" i="2"/>
  <c r="A10199" i="2"/>
  <c r="A10198" i="2"/>
  <c r="A10197" i="2"/>
  <c r="A10196" i="2"/>
  <c r="A10195" i="2"/>
  <c r="A10194" i="2"/>
  <c r="A10193" i="2"/>
  <c r="A10192" i="2"/>
  <c r="A10191" i="2"/>
  <c r="A10190" i="2"/>
  <c r="A10189" i="2"/>
  <c r="A10188" i="2"/>
  <c r="A10187" i="2"/>
  <c r="A10186" i="2"/>
  <c r="A10185" i="2"/>
  <c r="A10184" i="2"/>
  <c r="A10183" i="2"/>
  <c r="A10182" i="2"/>
  <c r="A10181" i="2"/>
  <c r="A10180" i="2"/>
  <c r="A10179" i="2"/>
  <c r="A10178" i="2"/>
  <c r="A10177" i="2"/>
  <c r="A10176" i="2"/>
  <c r="A10175" i="2"/>
  <c r="A10174" i="2"/>
  <c r="A10173" i="2"/>
  <c r="A10172" i="2"/>
  <c r="A10171" i="2"/>
  <c r="A10170" i="2"/>
  <c r="A10169" i="2"/>
  <c r="A10168" i="2"/>
  <c r="A10167" i="2"/>
  <c r="A10166" i="2"/>
  <c r="A10165" i="2"/>
  <c r="A10164" i="2"/>
  <c r="A10163" i="2"/>
  <c r="A10162" i="2"/>
  <c r="A10161" i="2"/>
  <c r="A10160" i="2"/>
  <c r="A10159" i="2"/>
  <c r="A10158" i="2"/>
  <c r="A10157" i="2"/>
  <c r="A10156" i="2"/>
  <c r="A10155" i="2"/>
  <c r="A10154" i="2"/>
  <c r="A10153" i="2"/>
  <c r="A10152" i="2"/>
  <c r="A10151" i="2"/>
  <c r="A10150" i="2"/>
  <c r="A10149" i="2"/>
  <c r="A10148" i="2"/>
  <c r="A10147" i="2"/>
  <c r="A10146" i="2"/>
  <c r="A10145" i="2"/>
  <c r="A10144" i="2"/>
  <c r="A10143" i="2"/>
  <c r="A10142" i="2"/>
  <c r="A10141" i="2"/>
  <c r="A10140" i="2"/>
  <c r="A10139" i="2"/>
  <c r="A10138" i="2"/>
  <c r="A10137" i="2"/>
  <c r="A10136" i="2"/>
  <c r="A10135" i="2"/>
  <c r="A10134" i="2"/>
  <c r="A10133" i="2"/>
  <c r="A10132" i="2"/>
  <c r="A10131" i="2"/>
  <c r="A10130" i="2"/>
  <c r="A10129" i="2"/>
  <c r="A10128" i="2"/>
  <c r="A10127" i="2"/>
  <c r="A10126" i="2"/>
  <c r="A10125" i="2"/>
  <c r="A10124" i="2"/>
  <c r="A10123" i="2"/>
  <c r="A10122" i="2"/>
  <c r="A10121" i="2"/>
  <c r="A10120" i="2"/>
  <c r="A10119" i="2"/>
  <c r="A10118" i="2"/>
  <c r="A10117" i="2"/>
  <c r="A10116" i="2"/>
  <c r="A10115" i="2"/>
  <c r="A10114" i="2"/>
  <c r="A10113" i="2"/>
  <c r="A10112" i="2"/>
  <c r="A10111" i="2"/>
  <c r="A10110" i="2"/>
  <c r="A10109" i="2"/>
  <c r="A10108" i="2"/>
  <c r="A10107" i="2"/>
  <c r="A10106" i="2"/>
  <c r="A10105" i="2"/>
  <c r="A10104" i="2"/>
  <c r="A10103" i="2"/>
  <c r="A10102" i="2"/>
  <c r="A10101" i="2"/>
  <c r="A10100" i="2"/>
  <c r="A10099" i="2"/>
  <c r="A10098" i="2"/>
  <c r="A10097" i="2"/>
  <c r="A10096" i="2"/>
  <c r="A10095" i="2"/>
  <c r="A10094" i="2"/>
  <c r="A10093" i="2"/>
  <c r="A10092" i="2"/>
  <c r="A10091" i="2"/>
  <c r="A10090" i="2"/>
  <c r="A10089" i="2"/>
  <c r="A10088" i="2"/>
  <c r="A10087" i="2"/>
  <c r="A10086" i="2"/>
  <c r="A10085" i="2"/>
  <c r="A10084" i="2"/>
  <c r="A10083" i="2"/>
  <c r="A10082" i="2"/>
  <c r="A10081" i="2"/>
  <c r="A10080" i="2"/>
  <c r="A10079" i="2"/>
  <c r="A10078" i="2"/>
  <c r="A10077" i="2"/>
  <c r="A10076" i="2"/>
  <c r="A10075" i="2"/>
  <c r="A10074" i="2"/>
  <c r="A10073" i="2"/>
  <c r="A10072" i="2"/>
  <c r="A10071" i="2"/>
  <c r="A10070" i="2"/>
  <c r="A10069" i="2"/>
  <c r="A10068" i="2"/>
  <c r="A10067" i="2"/>
  <c r="A10066" i="2"/>
  <c r="A10065" i="2"/>
  <c r="A10064" i="2"/>
  <c r="A10063" i="2"/>
  <c r="A10062" i="2"/>
  <c r="A10061" i="2"/>
  <c r="A10060" i="2"/>
  <c r="A10059" i="2"/>
  <c r="A10058" i="2"/>
  <c r="A10057" i="2"/>
  <c r="A10056" i="2"/>
  <c r="A10055" i="2"/>
  <c r="A10054" i="2"/>
  <c r="A10053" i="2"/>
  <c r="A10052" i="2"/>
  <c r="A10051" i="2"/>
  <c r="A10050" i="2"/>
  <c r="A10049" i="2"/>
  <c r="A10048" i="2"/>
  <c r="A10047" i="2"/>
  <c r="A10046" i="2"/>
  <c r="A10045" i="2"/>
  <c r="A10044" i="2"/>
  <c r="A10043" i="2"/>
  <c r="A10042" i="2"/>
  <c r="A10041" i="2"/>
  <c r="A10040" i="2"/>
  <c r="A10039" i="2"/>
  <c r="A10038" i="2"/>
  <c r="A10037" i="2"/>
  <c r="A10036" i="2"/>
  <c r="A10035" i="2"/>
  <c r="A10034" i="2"/>
  <c r="A10033" i="2"/>
  <c r="A10032" i="2"/>
  <c r="A10031" i="2"/>
  <c r="A10030" i="2"/>
  <c r="A10029" i="2"/>
  <c r="A10028" i="2"/>
  <c r="A10027" i="2"/>
  <c r="A10026" i="2"/>
  <c r="A10025" i="2"/>
  <c r="A10024" i="2"/>
  <c r="A10023" i="2"/>
  <c r="A10022" i="2"/>
  <c r="A10021" i="2"/>
  <c r="A10020" i="2"/>
  <c r="A10019" i="2"/>
  <c r="A10018" i="2"/>
  <c r="A10017" i="2"/>
  <c r="A10016" i="2"/>
  <c r="A10015" i="2"/>
  <c r="A10014" i="2"/>
  <c r="A10013" i="2"/>
  <c r="A10012" i="2"/>
  <c r="A10011" i="2"/>
  <c r="A10010" i="2"/>
  <c r="A10009" i="2"/>
  <c r="A10008" i="2"/>
  <c r="A10007" i="2"/>
  <c r="A10006" i="2"/>
  <c r="A10005" i="2"/>
  <c r="A10004" i="2"/>
  <c r="A10003" i="2"/>
  <c r="A10002" i="2"/>
  <c r="A10001" i="2"/>
  <c r="A10000" i="2"/>
  <c r="A9999" i="2"/>
  <c r="A9998" i="2"/>
  <c r="A9997" i="2"/>
  <c r="A9996" i="2"/>
  <c r="A9995" i="2"/>
  <c r="A9994" i="2"/>
  <c r="A9993" i="2"/>
  <c r="A9992" i="2"/>
  <c r="A9991" i="2"/>
  <c r="A9990" i="2"/>
  <c r="A9989" i="2"/>
  <c r="A9988" i="2"/>
  <c r="A9987" i="2"/>
  <c r="A9986" i="2"/>
  <c r="A9985" i="2"/>
  <c r="A9984" i="2"/>
  <c r="A9983" i="2"/>
  <c r="A9982" i="2"/>
  <c r="A9981" i="2"/>
  <c r="A9980" i="2"/>
  <c r="A9979" i="2"/>
  <c r="A9978" i="2"/>
  <c r="A9977" i="2"/>
  <c r="A9976" i="2"/>
  <c r="A9975" i="2"/>
  <c r="A9974" i="2"/>
  <c r="A9973" i="2"/>
  <c r="A9972" i="2"/>
  <c r="A9971" i="2"/>
  <c r="A9970" i="2"/>
  <c r="A9969" i="2"/>
  <c r="A9968" i="2"/>
  <c r="A9967" i="2"/>
  <c r="A9966" i="2"/>
  <c r="A9965" i="2"/>
  <c r="A9964" i="2"/>
  <c r="A9963" i="2"/>
  <c r="A9962" i="2"/>
  <c r="A9961" i="2"/>
  <c r="A9960" i="2"/>
  <c r="A9959" i="2"/>
  <c r="A9958" i="2"/>
  <c r="A9957" i="2"/>
  <c r="A9956" i="2"/>
  <c r="A9955" i="2"/>
  <c r="A9954" i="2"/>
  <c r="A9953" i="2"/>
  <c r="A9952" i="2"/>
  <c r="A9951" i="2"/>
  <c r="A9950" i="2"/>
  <c r="A9949" i="2"/>
  <c r="A9948" i="2"/>
  <c r="A9947" i="2"/>
  <c r="A9946" i="2"/>
  <c r="A9945" i="2"/>
  <c r="A9944" i="2"/>
  <c r="A9943" i="2"/>
  <c r="A9942" i="2"/>
  <c r="A9941" i="2"/>
  <c r="A9940" i="2"/>
  <c r="A9939" i="2"/>
  <c r="A9938" i="2"/>
  <c r="A9937" i="2"/>
  <c r="A9936" i="2"/>
  <c r="A9935" i="2"/>
  <c r="A9934" i="2"/>
  <c r="A9933" i="2"/>
  <c r="A9932" i="2"/>
  <c r="A9931" i="2"/>
  <c r="A9930" i="2"/>
  <c r="A9929" i="2"/>
  <c r="A9928" i="2"/>
  <c r="A9927" i="2"/>
  <c r="A9926" i="2"/>
  <c r="A9925" i="2"/>
  <c r="A9924" i="2"/>
  <c r="A9923" i="2"/>
  <c r="A9922" i="2"/>
  <c r="A9921" i="2"/>
  <c r="A9920" i="2"/>
  <c r="A9919" i="2"/>
  <c r="A9918" i="2"/>
  <c r="A9917" i="2"/>
  <c r="A9916" i="2"/>
  <c r="A9915" i="2"/>
  <c r="A9914" i="2"/>
  <c r="A9913" i="2"/>
  <c r="A9912" i="2"/>
  <c r="A9911" i="2"/>
  <c r="A9910" i="2"/>
  <c r="A9909" i="2"/>
  <c r="A9908" i="2"/>
  <c r="A9907" i="2"/>
  <c r="A9906" i="2"/>
  <c r="A9905" i="2"/>
  <c r="A9904" i="2"/>
  <c r="A9903" i="2"/>
  <c r="A9902" i="2"/>
  <c r="A9901" i="2"/>
  <c r="A9900" i="2"/>
  <c r="A9899" i="2"/>
  <c r="A9898" i="2"/>
  <c r="A9897" i="2"/>
  <c r="A9896" i="2"/>
  <c r="A9895" i="2"/>
  <c r="A9894" i="2"/>
  <c r="A9893" i="2"/>
  <c r="A9892" i="2"/>
  <c r="A9891" i="2"/>
  <c r="A9890" i="2"/>
  <c r="A9889" i="2"/>
  <c r="A9888" i="2"/>
  <c r="A9887" i="2"/>
  <c r="A9886" i="2"/>
  <c r="A9885" i="2"/>
  <c r="A9884" i="2"/>
  <c r="A9883" i="2"/>
  <c r="A9882" i="2"/>
  <c r="A9881" i="2"/>
  <c r="A9880" i="2"/>
  <c r="A9879" i="2"/>
  <c r="A9878" i="2"/>
  <c r="A9877" i="2"/>
  <c r="A9876" i="2"/>
  <c r="A9875" i="2"/>
  <c r="A9874" i="2"/>
  <c r="A9873" i="2"/>
  <c r="A9872" i="2"/>
  <c r="A9871" i="2"/>
  <c r="A9870" i="2"/>
  <c r="A9869" i="2"/>
  <c r="A9868" i="2"/>
  <c r="A9867" i="2"/>
  <c r="A9866" i="2"/>
  <c r="A9865" i="2"/>
  <c r="A9864" i="2"/>
  <c r="A9863" i="2"/>
  <c r="A9862" i="2"/>
  <c r="A9861" i="2"/>
  <c r="A9860" i="2"/>
  <c r="A9859" i="2"/>
  <c r="A9858" i="2"/>
  <c r="A9857" i="2"/>
  <c r="A9856" i="2"/>
  <c r="A9855" i="2"/>
  <c r="A9854" i="2"/>
  <c r="A9853" i="2"/>
  <c r="A9852" i="2"/>
  <c r="A9851" i="2"/>
  <c r="A9850" i="2"/>
  <c r="A9849" i="2"/>
  <c r="A9848" i="2"/>
  <c r="A9847" i="2"/>
  <c r="A9846" i="2"/>
  <c r="A9845" i="2"/>
  <c r="A9844" i="2"/>
  <c r="A9843" i="2"/>
  <c r="A9842" i="2"/>
  <c r="A9841" i="2"/>
  <c r="A9840" i="2"/>
  <c r="A9839" i="2"/>
  <c r="A9838" i="2"/>
  <c r="A9837" i="2"/>
  <c r="A9836" i="2"/>
  <c r="A9835" i="2"/>
  <c r="A9834" i="2"/>
  <c r="A9833" i="2"/>
  <c r="A9832" i="2"/>
  <c r="A9831" i="2"/>
  <c r="A9830" i="2"/>
  <c r="A9829" i="2"/>
  <c r="A9828" i="2"/>
  <c r="A9827" i="2"/>
  <c r="A9826" i="2"/>
  <c r="A9825" i="2"/>
  <c r="A9824" i="2"/>
  <c r="A9823" i="2"/>
  <c r="A9822" i="2"/>
  <c r="A9821" i="2"/>
  <c r="A9820" i="2"/>
  <c r="A9819" i="2"/>
  <c r="A9818" i="2"/>
  <c r="A9817" i="2"/>
  <c r="A9816" i="2"/>
  <c r="A9815" i="2"/>
  <c r="A9814" i="2"/>
  <c r="A9813" i="2"/>
  <c r="A9812" i="2"/>
  <c r="A9811" i="2"/>
  <c r="A9810" i="2"/>
  <c r="A9809" i="2"/>
  <c r="A9808" i="2"/>
  <c r="A9807" i="2"/>
  <c r="A9806" i="2"/>
  <c r="A9805" i="2"/>
  <c r="A9804" i="2"/>
  <c r="A9803" i="2"/>
  <c r="A9802" i="2"/>
  <c r="A9801" i="2"/>
  <c r="A9800" i="2"/>
  <c r="A9799" i="2"/>
  <c r="A9798" i="2"/>
  <c r="A9797" i="2"/>
  <c r="A9796" i="2"/>
  <c r="A9795" i="2"/>
  <c r="A9794" i="2"/>
  <c r="A9793" i="2"/>
  <c r="A9792" i="2"/>
  <c r="A9791" i="2"/>
  <c r="A9790" i="2"/>
  <c r="A9789" i="2"/>
  <c r="A9788" i="2"/>
  <c r="A9787" i="2"/>
  <c r="A9786" i="2"/>
  <c r="A9785" i="2"/>
  <c r="A9784" i="2"/>
  <c r="A9783" i="2"/>
  <c r="A9782" i="2"/>
  <c r="A9781" i="2"/>
  <c r="A9780" i="2"/>
  <c r="A9779" i="2"/>
  <c r="A9778" i="2"/>
  <c r="A9777" i="2"/>
  <c r="A9776" i="2"/>
  <c r="A9775" i="2"/>
  <c r="A9774" i="2"/>
  <c r="A9773" i="2"/>
  <c r="A9772" i="2"/>
  <c r="A9771" i="2"/>
  <c r="A9770" i="2"/>
  <c r="A9769" i="2"/>
  <c r="A9768" i="2"/>
  <c r="A9767" i="2"/>
  <c r="A9766" i="2"/>
  <c r="A9765" i="2"/>
  <c r="A9764" i="2"/>
  <c r="A9763" i="2"/>
  <c r="A9762" i="2"/>
  <c r="A9761" i="2"/>
  <c r="A9760" i="2"/>
  <c r="A9759" i="2"/>
  <c r="A9758" i="2"/>
  <c r="A9757" i="2"/>
  <c r="A9756" i="2"/>
  <c r="A9755" i="2"/>
  <c r="A9754" i="2"/>
  <c r="A9753" i="2"/>
  <c r="A9752" i="2"/>
  <c r="A9751" i="2"/>
  <c r="A9750" i="2"/>
  <c r="A9749" i="2"/>
  <c r="A9748" i="2"/>
  <c r="A9747" i="2"/>
  <c r="A9746" i="2"/>
  <c r="A9745" i="2"/>
  <c r="A9744" i="2"/>
  <c r="A9743" i="2"/>
  <c r="A9742" i="2"/>
  <c r="A9741" i="2"/>
  <c r="A9740" i="2"/>
  <c r="A9739" i="2"/>
  <c r="A9738" i="2"/>
  <c r="A9737" i="2"/>
  <c r="A9736" i="2"/>
  <c r="A9735" i="2"/>
  <c r="A9734" i="2"/>
  <c r="A9733" i="2"/>
  <c r="A9732" i="2"/>
  <c r="A9731" i="2"/>
  <c r="A9730" i="2"/>
  <c r="A9729" i="2"/>
  <c r="A9728" i="2"/>
  <c r="A9727" i="2"/>
  <c r="A9726" i="2"/>
  <c r="A9725" i="2"/>
  <c r="A9724" i="2"/>
  <c r="A9723" i="2"/>
  <c r="A9722" i="2"/>
  <c r="A9721" i="2"/>
  <c r="A9720" i="2"/>
  <c r="A9719" i="2"/>
  <c r="A9718" i="2"/>
  <c r="A9717" i="2"/>
  <c r="A9716" i="2"/>
  <c r="A9715" i="2"/>
  <c r="A9714" i="2"/>
  <c r="A9713" i="2"/>
  <c r="A9712" i="2"/>
  <c r="A9711" i="2"/>
  <c r="A9710" i="2"/>
  <c r="A9709" i="2"/>
  <c r="A9708" i="2"/>
  <c r="A9707" i="2"/>
  <c r="A9706" i="2"/>
  <c r="A9705" i="2"/>
  <c r="A9704" i="2"/>
  <c r="A9703" i="2"/>
  <c r="A9702" i="2"/>
  <c r="A9701" i="2"/>
  <c r="A9700" i="2"/>
  <c r="A9699" i="2"/>
  <c r="A9698" i="2"/>
  <c r="A9697" i="2"/>
  <c r="A9696" i="2"/>
  <c r="A9695" i="2"/>
  <c r="A9694" i="2"/>
  <c r="A9693" i="2"/>
  <c r="A9692" i="2"/>
  <c r="A9691" i="2"/>
  <c r="A9690" i="2"/>
  <c r="A9689" i="2"/>
  <c r="A9688" i="2"/>
  <c r="A9687" i="2"/>
  <c r="A9686" i="2"/>
  <c r="A9685" i="2"/>
  <c r="A9684" i="2"/>
  <c r="A9683" i="2"/>
  <c r="A9682" i="2"/>
  <c r="A9681" i="2"/>
  <c r="A9680" i="2"/>
  <c r="A9679" i="2"/>
  <c r="A9678" i="2"/>
  <c r="A9677" i="2"/>
  <c r="A9676" i="2"/>
  <c r="A9675" i="2"/>
  <c r="A9674" i="2"/>
  <c r="A9673" i="2"/>
  <c r="A9672" i="2"/>
  <c r="A9671" i="2"/>
  <c r="A9670" i="2"/>
  <c r="A9669" i="2"/>
  <c r="A9668" i="2"/>
  <c r="A9667" i="2"/>
  <c r="A9666" i="2"/>
  <c r="A9665" i="2"/>
  <c r="A9664" i="2"/>
  <c r="A9663" i="2"/>
  <c r="A9662" i="2"/>
  <c r="A9661" i="2"/>
  <c r="A9660" i="2"/>
  <c r="A9659" i="2"/>
  <c r="A9658" i="2"/>
  <c r="A9657" i="2"/>
  <c r="A9656" i="2"/>
  <c r="A9655" i="2"/>
  <c r="A9654" i="2"/>
  <c r="A9653" i="2"/>
  <c r="A9652" i="2"/>
  <c r="A9651" i="2"/>
  <c r="A9650" i="2"/>
  <c r="A9649" i="2"/>
  <c r="A9648" i="2"/>
  <c r="A9647" i="2"/>
  <c r="A9646" i="2"/>
  <c r="A9645" i="2"/>
  <c r="A9644" i="2"/>
  <c r="A9643" i="2"/>
  <c r="A9642" i="2"/>
  <c r="A9641" i="2"/>
  <c r="A9640" i="2"/>
  <c r="A9639" i="2"/>
  <c r="A9638" i="2"/>
  <c r="A9637" i="2"/>
  <c r="A9636" i="2"/>
  <c r="A9635" i="2"/>
  <c r="A9634" i="2"/>
  <c r="A9633" i="2"/>
  <c r="A9632" i="2"/>
  <c r="A9631" i="2"/>
  <c r="A9630" i="2"/>
  <c r="A9629" i="2"/>
  <c r="A9628" i="2"/>
  <c r="A9627" i="2"/>
  <c r="A9626" i="2"/>
  <c r="A9625" i="2"/>
  <c r="A9624" i="2"/>
  <c r="A9623" i="2"/>
  <c r="A9622" i="2"/>
  <c r="A9621" i="2"/>
  <c r="A9620" i="2"/>
  <c r="A9619" i="2"/>
  <c r="A9618" i="2"/>
  <c r="A9617" i="2"/>
  <c r="A9616" i="2"/>
  <c r="A9615" i="2"/>
  <c r="A9614" i="2"/>
  <c r="A9613" i="2"/>
  <c r="A9612" i="2"/>
  <c r="A9611" i="2"/>
  <c r="A9610" i="2"/>
  <c r="A9609" i="2"/>
  <c r="A9608" i="2"/>
  <c r="A9607" i="2"/>
  <c r="A9606" i="2"/>
  <c r="A9605" i="2"/>
  <c r="A9604" i="2"/>
  <c r="A9603" i="2"/>
  <c r="A9602" i="2"/>
  <c r="A9601" i="2"/>
  <c r="A9600" i="2"/>
  <c r="A9599" i="2"/>
  <c r="A9598" i="2"/>
  <c r="A9597" i="2"/>
  <c r="A9596" i="2"/>
  <c r="A9595" i="2"/>
  <c r="A9594" i="2"/>
  <c r="A9593" i="2"/>
  <c r="A9592" i="2"/>
  <c r="A9591" i="2"/>
  <c r="A9590" i="2"/>
  <c r="A9589" i="2"/>
  <c r="A9588" i="2"/>
  <c r="A9587" i="2"/>
  <c r="A9586" i="2"/>
  <c r="A9585" i="2"/>
  <c r="A9584" i="2"/>
  <c r="A9583" i="2"/>
  <c r="A9582" i="2"/>
  <c r="A9581" i="2"/>
  <c r="A9580" i="2"/>
  <c r="A9579" i="2"/>
  <c r="A9578" i="2"/>
  <c r="A9577" i="2"/>
  <c r="A9576" i="2"/>
  <c r="A9575" i="2"/>
  <c r="A9574" i="2"/>
  <c r="A9573" i="2"/>
  <c r="A9572" i="2"/>
  <c r="A9571" i="2"/>
  <c r="A9570" i="2"/>
  <c r="A9569" i="2"/>
  <c r="A9568" i="2"/>
  <c r="A9567" i="2"/>
  <c r="A9566" i="2"/>
  <c r="A9565" i="2"/>
  <c r="A9564" i="2"/>
  <c r="A9563" i="2"/>
  <c r="A9562" i="2"/>
  <c r="A9561" i="2"/>
  <c r="A9560" i="2"/>
  <c r="A9559" i="2"/>
  <c r="A9558" i="2"/>
  <c r="A9557" i="2"/>
  <c r="A9556" i="2"/>
  <c r="A9555" i="2"/>
  <c r="A9554" i="2"/>
  <c r="A9553" i="2"/>
  <c r="A9552" i="2"/>
  <c r="A9551" i="2"/>
  <c r="A9550" i="2"/>
  <c r="A9549" i="2"/>
  <c r="A9548" i="2"/>
  <c r="A9547" i="2"/>
  <c r="A9546" i="2"/>
  <c r="A9545" i="2"/>
  <c r="A9544" i="2"/>
  <c r="A9543" i="2"/>
  <c r="A9542" i="2"/>
  <c r="A9541" i="2"/>
  <c r="A9540" i="2"/>
  <c r="A9539" i="2"/>
  <c r="A9538" i="2"/>
  <c r="A9537" i="2"/>
  <c r="A9536" i="2"/>
  <c r="A9535" i="2"/>
  <c r="A9534" i="2"/>
  <c r="A9533" i="2"/>
  <c r="A9532" i="2"/>
  <c r="A9531" i="2"/>
  <c r="A9530" i="2"/>
  <c r="A9529" i="2"/>
  <c r="A9528" i="2"/>
  <c r="A9527" i="2"/>
  <c r="A9526" i="2"/>
  <c r="A9525" i="2"/>
  <c r="A9524" i="2"/>
  <c r="A9523" i="2"/>
  <c r="A9522" i="2"/>
  <c r="A9521" i="2"/>
  <c r="A9520" i="2"/>
  <c r="A9519" i="2"/>
  <c r="A9518" i="2"/>
  <c r="A9517" i="2"/>
  <c r="A9516" i="2"/>
  <c r="A9515" i="2"/>
  <c r="A9514" i="2"/>
  <c r="A9513" i="2"/>
  <c r="A9512" i="2"/>
  <c r="A9511" i="2"/>
  <c r="A9510" i="2"/>
  <c r="A9509" i="2"/>
  <c r="A9508" i="2"/>
  <c r="A9507" i="2"/>
  <c r="A9506" i="2"/>
  <c r="A9505" i="2"/>
  <c r="A9504" i="2"/>
  <c r="A9503" i="2"/>
  <c r="A9502" i="2"/>
  <c r="A9501" i="2"/>
  <c r="A9500" i="2"/>
  <c r="A9499" i="2"/>
  <c r="A9498" i="2"/>
  <c r="A9497" i="2"/>
  <c r="A9496" i="2"/>
  <c r="A9495" i="2"/>
  <c r="A9494" i="2"/>
  <c r="A9493" i="2"/>
  <c r="A9492" i="2"/>
  <c r="A9491" i="2"/>
  <c r="A9490" i="2"/>
  <c r="A9489" i="2"/>
  <c r="A9488" i="2"/>
  <c r="A9487" i="2"/>
  <c r="A9486" i="2"/>
  <c r="A9485" i="2"/>
  <c r="A9484" i="2"/>
  <c r="A9483" i="2"/>
  <c r="A9482" i="2"/>
  <c r="A9481" i="2"/>
  <c r="A9480" i="2"/>
  <c r="A9479" i="2"/>
  <c r="A9478" i="2"/>
  <c r="A9477" i="2"/>
  <c r="A9476" i="2"/>
  <c r="A9475" i="2"/>
  <c r="A9474" i="2"/>
  <c r="A9473" i="2"/>
  <c r="A9472" i="2"/>
  <c r="A9471" i="2"/>
  <c r="A9470" i="2"/>
  <c r="A9469" i="2"/>
  <c r="A9468" i="2"/>
  <c r="A9467" i="2"/>
  <c r="A9466" i="2"/>
  <c r="A9465" i="2"/>
  <c r="A9464" i="2"/>
  <c r="A9463" i="2"/>
  <c r="A9462" i="2"/>
  <c r="A9461" i="2"/>
  <c r="A9460" i="2"/>
  <c r="A9459" i="2"/>
  <c r="A9458" i="2"/>
  <c r="A9457" i="2"/>
  <c r="A9456" i="2"/>
  <c r="A9455" i="2"/>
  <c r="A9454" i="2"/>
  <c r="A9453" i="2"/>
  <c r="A9452" i="2"/>
  <c r="A9451" i="2"/>
  <c r="A9450" i="2"/>
  <c r="A9449" i="2"/>
  <c r="A9448" i="2"/>
  <c r="A9447" i="2"/>
  <c r="A9446" i="2"/>
  <c r="A9445" i="2"/>
  <c r="A9444" i="2"/>
  <c r="A9443" i="2"/>
  <c r="A9442" i="2"/>
  <c r="A9441" i="2"/>
  <c r="A9440" i="2"/>
  <c r="A9439" i="2"/>
  <c r="A9438" i="2"/>
  <c r="A9437" i="2"/>
  <c r="A9436" i="2"/>
  <c r="A9435" i="2"/>
  <c r="A9434" i="2"/>
  <c r="A9433" i="2"/>
  <c r="A9432" i="2"/>
  <c r="A9431" i="2"/>
  <c r="A9430" i="2"/>
  <c r="A9429" i="2"/>
  <c r="A9428" i="2"/>
  <c r="A9427" i="2"/>
  <c r="A9426" i="2"/>
  <c r="A9425" i="2"/>
  <c r="A9424" i="2"/>
  <c r="A9423" i="2"/>
  <c r="A9422" i="2"/>
  <c r="A9421" i="2"/>
  <c r="A9420" i="2"/>
  <c r="A9419" i="2"/>
  <c r="A9418" i="2"/>
  <c r="A9417" i="2"/>
  <c r="A9416" i="2"/>
  <c r="A9415" i="2"/>
  <c r="A9414" i="2"/>
  <c r="A9413" i="2"/>
  <c r="A9412" i="2"/>
  <c r="A9411" i="2"/>
  <c r="A9410" i="2"/>
  <c r="A9409" i="2"/>
  <c r="A9408" i="2"/>
  <c r="A9407" i="2"/>
  <c r="A9406" i="2"/>
  <c r="A9405" i="2"/>
  <c r="A9404" i="2"/>
  <c r="A9403" i="2"/>
  <c r="A9402" i="2"/>
  <c r="A9401" i="2"/>
  <c r="A9400" i="2"/>
  <c r="A9399" i="2"/>
  <c r="A9398" i="2"/>
  <c r="A9397" i="2"/>
  <c r="A9396" i="2"/>
  <c r="A9395" i="2"/>
  <c r="A9394" i="2"/>
  <c r="A9393" i="2"/>
  <c r="A9392" i="2"/>
  <c r="A9391" i="2"/>
  <c r="A9390" i="2"/>
  <c r="A9389" i="2"/>
  <c r="A9388" i="2"/>
  <c r="A9387" i="2"/>
  <c r="A9386" i="2"/>
  <c r="A9385" i="2"/>
  <c r="A9384" i="2"/>
  <c r="A9383" i="2"/>
  <c r="A9382" i="2"/>
  <c r="A9381" i="2"/>
  <c r="A9380" i="2"/>
  <c r="A9379" i="2"/>
  <c r="A9378" i="2"/>
  <c r="A9377" i="2"/>
  <c r="A9376" i="2"/>
  <c r="A9375" i="2"/>
  <c r="A9374" i="2"/>
  <c r="A9373" i="2"/>
  <c r="A9372" i="2"/>
  <c r="A9371" i="2"/>
  <c r="A9370" i="2"/>
  <c r="A9369" i="2"/>
  <c r="A9368" i="2"/>
  <c r="A9367" i="2"/>
  <c r="A9366" i="2"/>
  <c r="A9365" i="2"/>
  <c r="A9364" i="2"/>
  <c r="A9363" i="2"/>
  <c r="A9362" i="2"/>
  <c r="A9361" i="2"/>
  <c r="A9360" i="2"/>
  <c r="A9359" i="2"/>
  <c r="A9358" i="2"/>
  <c r="A9357" i="2"/>
  <c r="A9356" i="2"/>
  <c r="A9355" i="2"/>
  <c r="A9354" i="2"/>
  <c r="A9353" i="2"/>
  <c r="A9352" i="2"/>
  <c r="A9351" i="2"/>
  <c r="A9350" i="2"/>
  <c r="A9349" i="2"/>
  <c r="A9348" i="2"/>
  <c r="A9347" i="2"/>
  <c r="A9346" i="2"/>
  <c r="A9345" i="2"/>
  <c r="A9344" i="2"/>
  <c r="A9343" i="2"/>
  <c r="A9342" i="2"/>
  <c r="A9341" i="2"/>
  <c r="A9340" i="2"/>
  <c r="A9339" i="2"/>
  <c r="A9338" i="2"/>
  <c r="A9337" i="2"/>
  <c r="A9336" i="2"/>
  <c r="A9335" i="2"/>
  <c r="A9334" i="2"/>
  <c r="A9333" i="2"/>
  <c r="A9332" i="2"/>
  <c r="A9331" i="2"/>
  <c r="A9330" i="2"/>
  <c r="A9329" i="2"/>
  <c r="A9328" i="2"/>
  <c r="A9327" i="2"/>
  <c r="A9326" i="2"/>
  <c r="A9325" i="2"/>
  <c r="A9324" i="2"/>
  <c r="A9323" i="2"/>
  <c r="A9322" i="2"/>
  <c r="A9321" i="2"/>
  <c r="A9320" i="2"/>
  <c r="A9319" i="2"/>
  <c r="A9318" i="2"/>
  <c r="A9317" i="2"/>
  <c r="A9316" i="2"/>
  <c r="A9315" i="2"/>
  <c r="A9314" i="2"/>
  <c r="A9313" i="2"/>
  <c r="A9312" i="2"/>
  <c r="A9311" i="2"/>
  <c r="A9310" i="2"/>
  <c r="A9309" i="2"/>
  <c r="A9308" i="2"/>
  <c r="A9307" i="2"/>
  <c r="A9306" i="2"/>
  <c r="A9305" i="2"/>
  <c r="A9304" i="2"/>
  <c r="A9303" i="2"/>
  <c r="A9302" i="2"/>
  <c r="A9301" i="2"/>
  <c r="A9300" i="2"/>
  <c r="A9299" i="2"/>
  <c r="A9298" i="2"/>
  <c r="A9297" i="2"/>
  <c r="A9296" i="2"/>
  <c r="A9295" i="2"/>
  <c r="A9294" i="2"/>
  <c r="A9293" i="2"/>
  <c r="A9292" i="2"/>
  <c r="A9291" i="2"/>
  <c r="A9290" i="2"/>
  <c r="A9289" i="2"/>
  <c r="A9288" i="2"/>
  <c r="A9287" i="2"/>
  <c r="A9286" i="2"/>
  <c r="A9285" i="2"/>
  <c r="A9284" i="2"/>
  <c r="A9283" i="2"/>
  <c r="A9282" i="2"/>
  <c r="A9281" i="2"/>
  <c r="A9280" i="2"/>
  <c r="A9279" i="2"/>
  <c r="A9278" i="2"/>
  <c r="A9277" i="2"/>
  <c r="A9276" i="2"/>
  <c r="A9275" i="2"/>
  <c r="A9274" i="2"/>
  <c r="A9273" i="2"/>
  <c r="A9272" i="2"/>
  <c r="A9271" i="2"/>
  <c r="A9270" i="2"/>
  <c r="A9269" i="2"/>
  <c r="A9268" i="2"/>
  <c r="A9267" i="2"/>
  <c r="A9266" i="2"/>
  <c r="A9265" i="2"/>
  <c r="A9264" i="2"/>
  <c r="A9263" i="2"/>
  <c r="A9262" i="2"/>
  <c r="A9261" i="2"/>
  <c r="A9260" i="2"/>
  <c r="A9259" i="2"/>
  <c r="A9258" i="2"/>
  <c r="A9257" i="2"/>
  <c r="A9256" i="2"/>
  <c r="A9255" i="2"/>
  <c r="A9254" i="2"/>
  <c r="A9253" i="2"/>
  <c r="A9252" i="2"/>
  <c r="A9251" i="2"/>
  <c r="A9250" i="2"/>
  <c r="A9249" i="2"/>
  <c r="A9248" i="2"/>
  <c r="A9247" i="2"/>
  <c r="A9246" i="2"/>
  <c r="A9245" i="2"/>
  <c r="A9244" i="2"/>
  <c r="A9243" i="2"/>
  <c r="A9242" i="2"/>
  <c r="A9241" i="2"/>
  <c r="A9240" i="2"/>
  <c r="A9239" i="2"/>
  <c r="A9238" i="2"/>
  <c r="A9237" i="2"/>
  <c r="A9236" i="2"/>
  <c r="A9235" i="2"/>
  <c r="A9234" i="2"/>
  <c r="A9233" i="2"/>
  <c r="A9232" i="2"/>
  <c r="A9231" i="2"/>
  <c r="A9230" i="2"/>
  <c r="A9229" i="2"/>
  <c r="A9228" i="2"/>
  <c r="A9227" i="2"/>
  <c r="A9226" i="2"/>
  <c r="A9225" i="2"/>
  <c r="A9224" i="2"/>
  <c r="A9223" i="2"/>
  <c r="A9222" i="2"/>
  <c r="A9221" i="2"/>
  <c r="A9220" i="2"/>
  <c r="A9219" i="2"/>
  <c r="A9218" i="2"/>
  <c r="A9217" i="2"/>
  <c r="A9216" i="2"/>
  <c r="A9215" i="2"/>
  <c r="A9214" i="2"/>
  <c r="A9213" i="2"/>
  <c r="A9212" i="2"/>
  <c r="A9211" i="2"/>
  <c r="A9210" i="2"/>
  <c r="A9209" i="2"/>
  <c r="A9208" i="2"/>
  <c r="A9207" i="2"/>
  <c r="A9206" i="2"/>
  <c r="A9205" i="2"/>
  <c r="A9204" i="2"/>
  <c r="A9203" i="2"/>
  <c r="A9202" i="2"/>
  <c r="A9201" i="2"/>
  <c r="A9200" i="2"/>
  <c r="A9199" i="2"/>
  <c r="A9198" i="2"/>
  <c r="A9197" i="2"/>
  <c r="A9196" i="2"/>
  <c r="A9195" i="2"/>
  <c r="A9194" i="2"/>
  <c r="A9193" i="2"/>
  <c r="A9192" i="2"/>
  <c r="A9191" i="2"/>
  <c r="A9190" i="2"/>
  <c r="A9189" i="2"/>
  <c r="A9188" i="2"/>
  <c r="A9187" i="2"/>
  <c r="A9186" i="2"/>
  <c r="A9185" i="2"/>
  <c r="A9184" i="2"/>
  <c r="A9183" i="2"/>
  <c r="A9182" i="2"/>
  <c r="A9181" i="2"/>
  <c r="A9180" i="2"/>
  <c r="A9179" i="2"/>
  <c r="A9178" i="2"/>
  <c r="A9177" i="2"/>
  <c r="A9176" i="2"/>
  <c r="A9175" i="2"/>
  <c r="A9174" i="2"/>
  <c r="A9173" i="2"/>
  <c r="A9172" i="2"/>
  <c r="A9171" i="2"/>
  <c r="A9170" i="2"/>
  <c r="A9169" i="2"/>
  <c r="A9168" i="2"/>
  <c r="A9167" i="2"/>
  <c r="A9166" i="2"/>
  <c r="A9165" i="2"/>
  <c r="A9164" i="2"/>
  <c r="A9163" i="2"/>
  <c r="A9162" i="2"/>
  <c r="A9161" i="2"/>
  <c r="A9160" i="2"/>
  <c r="A9159" i="2"/>
  <c r="A9158" i="2"/>
  <c r="A9157" i="2"/>
  <c r="A9156" i="2"/>
  <c r="A9155" i="2"/>
  <c r="A9154" i="2"/>
  <c r="A9153" i="2"/>
  <c r="A9152" i="2"/>
  <c r="A9151" i="2"/>
  <c r="A9150" i="2"/>
  <c r="A9149" i="2"/>
  <c r="A9148" i="2"/>
  <c r="A9147" i="2"/>
  <c r="A9146" i="2"/>
  <c r="A9145" i="2"/>
  <c r="A9144" i="2"/>
  <c r="A9143" i="2"/>
  <c r="A9142" i="2"/>
  <c r="A9141" i="2"/>
  <c r="A9140" i="2"/>
  <c r="A9139" i="2"/>
  <c r="A9138" i="2"/>
  <c r="A9137" i="2"/>
  <c r="A9136" i="2"/>
  <c r="A9135" i="2"/>
  <c r="A9134" i="2"/>
  <c r="A9133" i="2"/>
  <c r="A9132" i="2"/>
  <c r="A9131" i="2"/>
  <c r="A9130" i="2"/>
  <c r="A9129" i="2"/>
  <c r="A9128" i="2"/>
  <c r="A9127" i="2"/>
  <c r="A9126" i="2"/>
  <c r="A9125" i="2"/>
  <c r="A9124" i="2"/>
  <c r="A9123" i="2"/>
  <c r="A9122" i="2"/>
  <c r="A9121" i="2"/>
  <c r="A9120" i="2"/>
  <c r="A9119" i="2"/>
  <c r="A9118" i="2"/>
  <c r="A9117" i="2"/>
  <c r="A9116" i="2"/>
  <c r="A9115" i="2"/>
  <c r="A9114" i="2"/>
  <c r="A9113" i="2"/>
  <c r="A9112" i="2"/>
  <c r="A9111" i="2"/>
  <c r="A9110" i="2"/>
  <c r="A9109" i="2"/>
  <c r="A9108" i="2"/>
  <c r="A9107" i="2"/>
  <c r="A9106" i="2"/>
  <c r="A9105" i="2"/>
  <c r="A9104" i="2"/>
  <c r="A9103" i="2"/>
  <c r="A9102" i="2"/>
  <c r="A9101" i="2"/>
  <c r="A9100" i="2"/>
  <c r="A9099" i="2"/>
  <c r="A9098" i="2"/>
  <c r="A9097" i="2"/>
  <c r="A9096" i="2"/>
  <c r="A9095" i="2"/>
  <c r="A9094" i="2"/>
  <c r="A9093" i="2"/>
  <c r="A9092" i="2"/>
  <c r="A9091" i="2"/>
  <c r="A9090" i="2"/>
  <c r="A9089" i="2"/>
  <c r="A9088" i="2"/>
  <c r="A9087" i="2"/>
  <c r="A9086" i="2"/>
  <c r="A9085" i="2"/>
  <c r="A9084" i="2"/>
  <c r="A9083" i="2"/>
  <c r="A9082" i="2"/>
  <c r="A9081" i="2"/>
  <c r="A9080" i="2"/>
  <c r="A9079" i="2"/>
  <c r="A9078" i="2"/>
  <c r="A9077" i="2"/>
  <c r="A9076" i="2"/>
  <c r="A9075" i="2"/>
  <c r="A9074" i="2"/>
  <c r="A9073" i="2"/>
  <c r="A9072" i="2"/>
  <c r="A9071" i="2"/>
  <c r="A9070" i="2"/>
  <c r="A9069" i="2"/>
  <c r="A9068" i="2"/>
  <c r="A9067" i="2"/>
  <c r="A9066" i="2"/>
  <c r="A9065" i="2"/>
  <c r="A9064" i="2"/>
  <c r="A9063" i="2"/>
  <c r="A9062" i="2"/>
  <c r="A9061" i="2"/>
  <c r="A9060" i="2"/>
  <c r="A9059" i="2"/>
  <c r="A9058" i="2"/>
  <c r="A9057" i="2"/>
  <c r="A9056" i="2"/>
  <c r="A9055" i="2"/>
  <c r="A9054" i="2"/>
  <c r="A9053" i="2"/>
  <c r="A9052" i="2"/>
  <c r="A9051" i="2"/>
  <c r="A9050" i="2"/>
  <c r="A9049" i="2"/>
  <c r="A9048" i="2"/>
  <c r="A9047" i="2"/>
  <c r="A9046" i="2"/>
  <c r="A9045" i="2"/>
  <c r="A9044" i="2"/>
  <c r="A9043" i="2"/>
  <c r="A9042" i="2"/>
  <c r="A9041" i="2"/>
  <c r="A9040" i="2"/>
  <c r="A9039" i="2"/>
  <c r="A9038" i="2"/>
  <c r="A9037" i="2"/>
  <c r="A9036" i="2"/>
  <c r="A9035" i="2"/>
  <c r="A9034" i="2"/>
  <c r="A9033" i="2"/>
  <c r="A9032" i="2"/>
  <c r="A9031" i="2"/>
  <c r="A9030" i="2"/>
  <c r="A9029" i="2"/>
  <c r="A9028" i="2"/>
  <c r="A9027" i="2"/>
  <c r="A9026" i="2"/>
  <c r="A9025" i="2"/>
  <c r="A9024" i="2"/>
  <c r="A9023" i="2"/>
  <c r="A9022" i="2"/>
  <c r="A9021" i="2"/>
  <c r="A9020" i="2"/>
  <c r="A9019" i="2"/>
  <c r="A9018" i="2"/>
  <c r="A9017" i="2"/>
  <c r="A9016" i="2"/>
  <c r="A9015" i="2"/>
  <c r="A9014" i="2"/>
  <c r="A9013" i="2"/>
  <c r="A9012" i="2"/>
  <c r="A9011" i="2"/>
  <c r="A9010" i="2"/>
  <c r="A9009" i="2"/>
  <c r="A9008" i="2"/>
  <c r="A9007" i="2"/>
  <c r="A9006" i="2"/>
  <c r="A9005" i="2"/>
  <c r="A9004" i="2"/>
  <c r="A9003" i="2"/>
  <c r="A9002" i="2"/>
  <c r="A9001" i="2"/>
  <c r="A9000" i="2"/>
  <c r="A8999" i="2"/>
  <c r="A8998" i="2"/>
  <c r="A8997" i="2"/>
  <c r="A8996" i="2"/>
  <c r="A8995" i="2"/>
  <c r="A8994" i="2"/>
  <c r="A8993" i="2"/>
  <c r="A8992" i="2"/>
  <c r="A8991" i="2"/>
  <c r="A8990" i="2"/>
  <c r="A8989" i="2"/>
  <c r="A8988" i="2"/>
  <c r="A8987" i="2"/>
  <c r="A8986" i="2"/>
  <c r="A8985" i="2"/>
  <c r="A8984" i="2"/>
  <c r="A8983" i="2"/>
  <c r="A8982" i="2"/>
  <c r="A8981" i="2"/>
  <c r="A8980" i="2"/>
  <c r="A8979" i="2"/>
  <c r="A8978" i="2"/>
  <c r="A8977" i="2"/>
  <c r="A8976" i="2"/>
  <c r="A8975" i="2"/>
  <c r="A8974" i="2"/>
  <c r="A8973" i="2"/>
  <c r="A8972" i="2"/>
  <c r="A8971" i="2"/>
  <c r="A8970" i="2"/>
  <c r="A8969" i="2"/>
  <c r="A8968" i="2"/>
  <c r="A8967" i="2"/>
  <c r="A8966" i="2"/>
  <c r="A8965" i="2"/>
  <c r="A8964" i="2"/>
  <c r="A8963" i="2"/>
  <c r="A8962" i="2"/>
  <c r="A8961" i="2"/>
  <c r="A8960" i="2"/>
  <c r="A8959" i="2"/>
  <c r="A8958" i="2"/>
  <c r="A8957" i="2"/>
  <c r="A8956" i="2"/>
  <c r="A8955" i="2"/>
  <c r="A8954" i="2"/>
  <c r="A8953" i="2"/>
  <c r="A8952" i="2"/>
  <c r="A8951" i="2"/>
  <c r="A8950" i="2"/>
  <c r="A8949" i="2"/>
  <c r="A8948" i="2"/>
  <c r="A8947" i="2"/>
  <c r="A8946" i="2"/>
  <c r="A8945" i="2"/>
  <c r="A8944" i="2"/>
  <c r="A8943" i="2"/>
  <c r="A8942" i="2"/>
  <c r="A8941" i="2"/>
  <c r="A8940" i="2"/>
  <c r="A8939" i="2"/>
  <c r="A8938" i="2"/>
  <c r="A8937" i="2"/>
  <c r="A8936" i="2"/>
  <c r="A8935" i="2"/>
  <c r="A8934" i="2"/>
  <c r="A8933" i="2"/>
  <c r="A8932" i="2"/>
  <c r="A8931" i="2"/>
  <c r="A8930" i="2"/>
  <c r="A8929" i="2"/>
  <c r="A8928" i="2"/>
  <c r="A8927" i="2"/>
  <c r="A8926" i="2"/>
  <c r="A8925" i="2"/>
  <c r="A8924" i="2"/>
  <c r="A8923" i="2"/>
  <c r="A8922" i="2"/>
  <c r="A8921" i="2"/>
  <c r="A8920" i="2"/>
  <c r="A8919" i="2"/>
  <c r="A8918" i="2"/>
  <c r="A8917" i="2"/>
  <c r="A8916" i="2"/>
  <c r="A8915" i="2"/>
  <c r="A8914" i="2"/>
  <c r="A8913" i="2"/>
  <c r="A8912" i="2"/>
  <c r="A8911" i="2"/>
  <c r="A8910" i="2"/>
  <c r="A8909" i="2"/>
  <c r="A8908" i="2"/>
  <c r="A8907" i="2"/>
  <c r="A8906" i="2"/>
  <c r="A8905" i="2"/>
  <c r="A8904" i="2"/>
  <c r="A8903" i="2"/>
  <c r="A8902" i="2"/>
  <c r="A8901" i="2"/>
  <c r="A8900" i="2"/>
  <c r="A8899" i="2"/>
  <c r="A8898" i="2"/>
  <c r="A8897" i="2"/>
  <c r="A8896" i="2"/>
  <c r="A8895" i="2"/>
  <c r="A8894" i="2"/>
  <c r="A8893" i="2"/>
  <c r="A8892" i="2"/>
  <c r="A8891" i="2"/>
  <c r="A8890" i="2"/>
  <c r="A8889" i="2"/>
  <c r="A8888" i="2"/>
  <c r="A8887" i="2"/>
  <c r="A8886" i="2"/>
  <c r="A8885" i="2"/>
  <c r="A8884" i="2"/>
  <c r="A8883" i="2"/>
  <c r="A8882" i="2"/>
  <c r="A8881" i="2"/>
  <c r="A8880" i="2"/>
  <c r="A8879" i="2"/>
  <c r="A8878" i="2"/>
  <c r="A8877" i="2"/>
  <c r="A8876" i="2"/>
  <c r="A8875" i="2"/>
  <c r="A8874" i="2"/>
  <c r="A8873" i="2"/>
  <c r="A8872" i="2"/>
  <c r="A8871" i="2"/>
  <c r="A8870" i="2"/>
  <c r="A8869" i="2"/>
  <c r="A8868" i="2"/>
  <c r="A8867" i="2"/>
  <c r="A8866" i="2"/>
  <c r="A8865" i="2"/>
  <c r="A8864" i="2"/>
  <c r="A8863" i="2"/>
  <c r="A8862" i="2"/>
  <c r="A8861" i="2"/>
  <c r="A8860" i="2"/>
  <c r="A8859" i="2"/>
  <c r="A8858" i="2"/>
  <c r="A8857" i="2"/>
  <c r="A8856" i="2"/>
  <c r="A8855" i="2"/>
  <c r="A8854" i="2"/>
  <c r="A8853" i="2"/>
  <c r="A8852" i="2"/>
  <c r="A8851" i="2"/>
  <c r="A8850" i="2"/>
  <c r="A8849" i="2"/>
  <c r="A8848" i="2"/>
  <c r="A8847" i="2"/>
  <c r="A8846" i="2"/>
  <c r="A8845" i="2"/>
  <c r="A8844" i="2"/>
  <c r="A8843" i="2"/>
  <c r="A8842" i="2"/>
  <c r="A8841" i="2"/>
  <c r="A8840" i="2"/>
  <c r="A8839" i="2"/>
  <c r="A8838" i="2"/>
  <c r="A8837" i="2"/>
  <c r="A8836" i="2"/>
  <c r="A8835" i="2"/>
  <c r="A8834" i="2"/>
  <c r="A8833" i="2"/>
  <c r="A8832" i="2"/>
  <c r="A8831" i="2"/>
  <c r="A8830" i="2"/>
  <c r="A8829" i="2"/>
  <c r="A8828" i="2"/>
  <c r="A8827" i="2"/>
  <c r="A8826" i="2"/>
  <c r="A8825" i="2"/>
  <c r="A8824" i="2"/>
  <c r="A8823" i="2"/>
  <c r="A8822" i="2"/>
  <c r="A8821" i="2"/>
  <c r="A8820" i="2"/>
  <c r="A8819" i="2"/>
  <c r="A8818" i="2"/>
  <c r="A8817" i="2"/>
  <c r="A8816" i="2"/>
  <c r="A8815" i="2"/>
  <c r="A8814" i="2"/>
  <c r="A8813" i="2"/>
  <c r="A8812" i="2"/>
  <c r="A8811" i="2"/>
  <c r="A8810" i="2"/>
  <c r="A8809" i="2"/>
  <c r="A8808" i="2"/>
  <c r="A8807" i="2"/>
  <c r="A8806" i="2"/>
  <c r="A8805" i="2"/>
  <c r="A8804" i="2"/>
  <c r="A8803" i="2"/>
  <c r="A8802" i="2"/>
  <c r="A8801" i="2"/>
  <c r="A8800" i="2"/>
  <c r="A8799" i="2"/>
  <c r="A8798" i="2"/>
  <c r="A8797" i="2"/>
  <c r="A8796" i="2"/>
  <c r="A8795" i="2"/>
  <c r="A8794" i="2"/>
  <c r="A8793" i="2"/>
  <c r="A8792" i="2"/>
  <c r="A8791" i="2"/>
  <c r="A8790" i="2"/>
  <c r="A8789" i="2"/>
  <c r="A8788" i="2"/>
  <c r="A8787" i="2"/>
  <c r="A8786" i="2"/>
  <c r="A8785" i="2"/>
  <c r="A8784" i="2"/>
  <c r="A8783" i="2"/>
  <c r="A8782" i="2"/>
  <c r="A8781" i="2"/>
  <c r="A8780" i="2"/>
  <c r="A8779" i="2"/>
  <c r="A8778" i="2"/>
  <c r="A8777" i="2"/>
  <c r="A8776" i="2"/>
  <c r="A8775" i="2"/>
  <c r="A8774" i="2"/>
  <c r="A8773" i="2"/>
  <c r="A8772" i="2"/>
  <c r="A8771" i="2"/>
  <c r="A8770" i="2"/>
  <c r="A8769" i="2"/>
  <c r="A8768" i="2"/>
  <c r="A8767" i="2"/>
  <c r="A8766" i="2"/>
  <c r="A8765" i="2"/>
  <c r="A8764" i="2"/>
  <c r="A8763" i="2"/>
  <c r="A8762" i="2"/>
  <c r="A8761" i="2"/>
  <c r="A8760" i="2"/>
  <c r="A8759" i="2"/>
  <c r="A8758" i="2"/>
  <c r="A8757" i="2"/>
  <c r="A8756" i="2"/>
  <c r="A8755" i="2"/>
  <c r="A8754" i="2"/>
  <c r="A8753" i="2"/>
  <c r="A8752" i="2"/>
  <c r="A8751" i="2"/>
  <c r="A8750" i="2"/>
  <c r="A8749" i="2"/>
  <c r="A8748" i="2"/>
  <c r="A8747" i="2"/>
  <c r="A8746" i="2"/>
  <c r="A8745" i="2"/>
  <c r="A8744" i="2"/>
  <c r="A8743" i="2"/>
  <c r="A8742" i="2"/>
  <c r="A8741" i="2"/>
  <c r="A8740" i="2"/>
  <c r="A8739" i="2"/>
  <c r="A8738" i="2"/>
  <c r="A8737" i="2"/>
  <c r="A8736" i="2"/>
  <c r="A8735" i="2"/>
  <c r="A8734" i="2"/>
  <c r="A8733" i="2"/>
  <c r="A8732" i="2"/>
  <c r="A8731" i="2"/>
  <c r="A8730" i="2"/>
  <c r="A8729" i="2"/>
  <c r="A8728" i="2"/>
  <c r="A8727" i="2"/>
  <c r="A8726" i="2"/>
  <c r="A8725" i="2"/>
  <c r="A8724" i="2"/>
  <c r="A8723" i="2"/>
  <c r="A8722" i="2"/>
  <c r="A8721" i="2"/>
  <c r="A8720" i="2"/>
  <c r="A8719" i="2"/>
  <c r="A8718" i="2"/>
  <c r="A8717" i="2"/>
  <c r="A8716" i="2"/>
  <c r="A8715" i="2"/>
  <c r="A8714" i="2"/>
  <c r="A8713" i="2"/>
  <c r="A8712" i="2"/>
  <c r="A8711" i="2"/>
  <c r="A8710" i="2"/>
  <c r="A8709" i="2"/>
  <c r="A8708" i="2"/>
  <c r="A8707" i="2"/>
  <c r="A8706" i="2"/>
  <c r="A8705" i="2"/>
  <c r="A8704" i="2"/>
  <c r="A8703" i="2"/>
  <c r="A8702" i="2"/>
  <c r="A8701" i="2"/>
  <c r="A8700" i="2"/>
  <c r="A8699" i="2"/>
  <c r="A8698" i="2"/>
  <c r="A8697" i="2"/>
  <c r="A8696" i="2"/>
  <c r="A8695" i="2"/>
  <c r="A8694" i="2"/>
  <c r="A8693" i="2"/>
  <c r="A8692" i="2"/>
  <c r="A8691" i="2"/>
  <c r="A8690" i="2"/>
  <c r="A8689" i="2"/>
  <c r="A8688" i="2"/>
  <c r="A8687" i="2"/>
  <c r="A8686" i="2"/>
  <c r="A8685" i="2"/>
  <c r="A8684" i="2"/>
  <c r="A8683" i="2"/>
  <c r="A8682" i="2"/>
  <c r="A8681" i="2"/>
  <c r="A8680" i="2"/>
  <c r="A8679" i="2"/>
  <c r="A8678" i="2"/>
  <c r="A8677" i="2"/>
  <c r="A8676" i="2"/>
  <c r="A8675" i="2"/>
  <c r="A8674" i="2"/>
  <c r="A8673" i="2"/>
  <c r="A8672" i="2"/>
  <c r="A8671" i="2"/>
  <c r="A8670" i="2"/>
  <c r="A8669" i="2"/>
  <c r="A8668" i="2"/>
  <c r="A8667" i="2"/>
  <c r="A8666" i="2"/>
  <c r="A8665" i="2"/>
  <c r="A8664" i="2"/>
  <c r="A8663" i="2"/>
  <c r="A8662" i="2"/>
  <c r="A8661" i="2"/>
  <c r="A8660" i="2"/>
  <c r="A8659" i="2"/>
  <c r="A8658" i="2"/>
  <c r="A8657" i="2"/>
  <c r="A8656" i="2"/>
  <c r="A8655" i="2"/>
  <c r="A8654" i="2"/>
  <c r="A8653" i="2"/>
  <c r="A8652" i="2"/>
  <c r="A8651" i="2"/>
  <c r="A8650" i="2"/>
  <c r="A8649" i="2"/>
  <c r="A8648" i="2"/>
  <c r="A8647" i="2"/>
  <c r="A8646" i="2"/>
  <c r="A8645" i="2"/>
  <c r="A8644" i="2"/>
  <c r="A8643" i="2"/>
  <c r="A8642" i="2"/>
  <c r="A8641" i="2"/>
  <c r="A8640" i="2"/>
  <c r="A8639" i="2"/>
  <c r="A8638" i="2"/>
  <c r="A8637" i="2"/>
  <c r="A8636" i="2"/>
  <c r="A8635" i="2"/>
  <c r="A8634" i="2"/>
  <c r="A8633" i="2"/>
  <c r="A8632" i="2"/>
  <c r="A8631" i="2"/>
  <c r="A8630" i="2"/>
  <c r="A8629" i="2"/>
  <c r="A8628" i="2"/>
  <c r="A8627" i="2"/>
  <c r="A8626" i="2"/>
  <c r="A8625" i="2"/>
  <c r="A8624" i="2"/>
  <c r="A8623" i="2"/>
  <c r="A8622" i="2"/>
  <c r="A8621" i="2"/>
  <c r="A8620" i="2"/>
  <c r="A8619" i="2"/>
  <c r="A8618" i="2"/>
  <c r="A8617" i="2"/>
  <c r="A8616" i="2"/>
  <c r="A8615" i="2"/>
  <c r="A8614" i="2"/>
  <c r="A8613" i="2"/>
  <c r="A8612" i="2"/>
  <c r="A8611" i="2"/>
  <c r="A8610" i="2"/>
  <c r="A8609" i="2"/>
  <c r="A8608" i="2"/>
  <c r="A8607" i="2"/>
  <c r="A8606" i="2"/>
  <c r="A8605" i="2"/>
  <c r="A8604" i="2"/>
  <c r="A8603" i="2"/>
  <c r="A8602" i="2"/>
  <c r="A8601" i="2"/>
  <c r="A8600" i="2"/>
  <c r="A8599" i="2"/>
  <c r="A8598" i="2"/>
  <c r="A8597" i="2"/>
  <c r="A8596" i="2"/>
  <c r="A8595" i="2"/>
  <c r="A8594" i="2"/>
  <c r="A8593" i="2"/>
  <c r="A8592" i="2"/>
  <c r="A8591" i="2"/>
  <c r="A8590" i="2"/>
  <c r="A8589" i="2"/>
  <c r="A8588" i="2"/>
  <c r="A8587" i="2"/>
  <c r="A8586" i="2"/>
  <c r="A8585" i="2"/>
  <c r="A8584" i="2"/>
  <c r="A8583" i="2"/>
  <c r="A8582" i="2"/>
  <c r="A8581" i="2"/>
  <c r="A8580" i="2"/>
  <c r="A8579" i="2"/>
  <c r="A8578" i="2"/>
  <c r="A8577" i="2"/>
  <c r="A8576" i="2"/>
  <c r="A8575" i="2"/>
  <c r="A8574" i="2"/>
  <c r="A8573" i="2"/>
  <c r="A8572" i="2"/>
  <c r="A8571" i="2"/>
  <c r="A8570" i="2"/>
  <c r="A8569" i="2"/>
  <c r="A8568" i="2"/>
  <c r="A8567" i="2"/>
  <c r="A8566" i="2"/>
  <c r="A8565" i="2"/>
  <c r="A8564" i="2"/>
  <c r="A8563" i="2"/>
  <c r="A8562" i="2"/>
  <c r="A8561" i="2"/>
  <c r="A8560" i="2"/>
  <c r="A8559" i="2"/>
  <c r="A8558" i="2"/>
  <c r="A8557" i="2"/>
  <c r="A8556" i="2"/>
  <c r="A8555" i="2"/>
  <c r="A8554" i="2"/>
  <c r="A8553" i="2"/>
  <c r="A8552" i="2"/>
  <c r="A8551" i="2"/>
  <c r="A8550" i="2"/>
  <c r="A8549" i="2"/>
  <c r="A8548" i="2"/>
  <c r="A8547" i="2"/>
  <c r="A8546" i="2"/>
  <c r="A8545" i="2"/>
  <c r="A8544" i="2"/>
  <c r="A8543" i="2"/>
  <c r="A8542" i="2"/>
  <c r="A8541" i="2"/>
  <c r="A8540" i="2"/>
  <c r="A8539" i="2"/>
  <c r="A8538" i="2"/>
  <c r="A8537" i="2"/>
  <c r="A8536" i="2"/>
  <c r="A8535" i="2"/>
  <c r="A8534" i="2"/>
  <c r="A8533" i="2"/>
  <c r="A8532" i="2"/>
  <c r="A8531" i="2"/>
  <c r="A8530" i="2"/>
  <c r="A8529" i="2"/>
  <c r="A8528" i="2"/>
  <c r="A8527" i="2"/>
  <c r="A8526" i="2"/>
  <c r="A8525" i="2"/>
  <c r="A8524" i="2"/>
  <c r="A8523" i="2"/>
  <c r="A8522" i="2"/>
  <c r="A8521" i="2"/>
  <c r="A8520" i="2"/>
  <c r="A8519" i="2"/>
  <c r="A8518" i="2"/>
  <c r="A8517" i="2"/>
  <c r="A8516" i="2"/>
  <c r="A8515" i="2"/>
  <c r="A8514" i="2"/>
  <c r="A8513" i="2"/>
  <c r="A8512" i="2"/>
  <c r="A8511" i="2"/>
  <c r="A8510" i="2"/>
  <c r="A8509" i="2"/>
  <c r="A8508" i="2"/>
  <c r="A8507" i="2"/>
  <c r="A8506" i="2"/>
  <c r="A8505" i="2"/>
  <c r="A8504" i="2"/>
  <c r="A8503" i="2"/>
  <c r="A8502" i="2"/>
  <c r="A8501" i="2"/>
  <c r="A8500" i="2"/>
  <c r="A8499" i="2"/>
  <c r="A8498" i="2"/>
  <c r="A8497" i="2"/>
  <c r="A8496" i="2"/>
  <c r="A8495" i="2"/>
  <c r="A8494" i="2"/>
  <c r="A8493" i="2"/>
  <c r="A8492" i="2"/>
  <c r="A8491" i="2"/>
  <c r="A8490" i="2"/>
  <c r="A8489" i="2"/>
  <c r="A8488" i="2"/>
  <c r="A8487" i="2"/>
  <c r="A8486" i="2"/>
  <c r="A8485" i="2"/>
  <c r="A8484" i="2"/>
  <c r="A8483" i="2"/>
  <c r="A8482" i="2"/>
  <c r="A8481" i="2"/>
  <c r="A8480" i="2"/>
  <c r="A8479" i="2"/>
  <c r="A8478" i="2"/>
  <c r="A8477" i="2"/>
  <c r="A8476" i="2"/>
  <c r="A8475" i="2"/>
  <c r="A8474" i="2"/>
  <c r="A8473" i="2"/>
  <c r="A8472" i="2"/>
  <c r="A8471" i="2"/>
  <c r="A8470" i="2"/>
  <c r="A8469" i="2"/>
  <c r="A8468" i="2"/>
  <c r="A8467" i="2"/>
  <c r="A8466" i="2"/>
  <c r="A8465" i="2"/>
  <c r="A8464" i="2"/>
  <c r="A8463" i="2"/>
  <c r="A8462" i="2"/>
  <c r="A8461" i="2"/>
  <c r="A8460" i="2"/>
  <c r="A8459" i="2"/>
  <c r="A8458" i="2"/>
  <c r="A8457" i="2"/>
  <c r="A8456" i="2"/>
  <c r="A8455" i="2"/>
  <c r="A8454" i="2"/>
  <c r="A8453" i="2"/>
  <c r="A8452" i="2"/>
  <c r="A8451" i="2"/>
  <c r="A8450" i="2"/>
  <c r="A8449" i="2"/>
  <c r="A8448" i="2"/>
  <c r="A8447" i="2"/>
  <c r="A8446" i="2"/>
  <c r="A8445" i="2"/>
  <c r="A8444" i="2"/>
  <c r="A8443" i="2"/>
  <c r="A8442" i="2"/>
  <c r="A8441" i="2"/>
  <c r="A8440" i="2"/>
  <c r="A8439" i="2"/>
  <c r="A8438" i="2"/>
  <c r="A8437" i="2"/>
  <c r="A8436" i="2"/>
  <c r="A8435" i="2"/>
  <c r="A8434" i="2"/>
  <c r="A8433" i="2"/>
  <c r="A8432" i="2"/>
  <c r="A8431" i="2"/>
  <c r="A8430" i="2"/>
  <c r="A8429" i="2"/>
  <c r="A8428" i="2"/>
  <c r="A8427" i="2"/>
  <c r="A8426" i="2"/>
  <c r="A8425" i="2"/>
  <c r="A8424" i="2"/>
  <c r="A8423" i="2"/>
  <c r="A8422" i="2"/>
  <c r="A8421" i="2"/>
  <c r="A8420" i="2"/>
  <c r="A8419" i="2"/>
  <c r="A8418" i="2"/>
  <c r="A8417" i="2"/>
  <c r="A8416" i="2"/>
  <c r="A8415" i="2"/>
  <c r="A8414" i="2"/>
  <c r="A8413" i="2"/>
  <c r="A8412" i="2"/>
  <c r="A8411" i="2"/>
  <c r="A8410" i="2"/>
  <c r="A8409" i="2"/>
  <c r="A8408" i="2"/>
  <c r="A8407" i="2"/>
  <c r="A8406" i="2"/>
  <c r="A8405" i="2"/>
  <c r="A8404" i="2"/>
  <c r="A8403" i="2"/>
  <c r="A8402" i="2"/>
  <c r="A8401" i="2"/>
  <c r="A8400" i="2"/>
  <c r="A8399" i="2"/>
  <c r="A8398" i="2"/>
  <c r="A8397" i="2"/>
  <c r="A8396" i="2"/>
  <c r="A8395" i="2"/>
  <c r="A8394" i="2"/>
  <c r="A8393" i="2"/>
  <c r="A8392" i="2"/>
  <c r="A8391" i="2"/>
  <c r="A8390" i="2"/>
  <c r="A8389" i="2"/>
  <c r="A8388" i="2"/>
  <c r="A8387" i="2"/>
  <c r="A8386" i="2"/>
  <c r="A8385" i="2"/>
  <c r="A8384" i="2"/>
  <c r="A8383" i="2"/>
  <c r="A8382" i="2"/>
  <c r="A8381" i="2"/>
  <c r="A8380" i="2"/>
  <c r="A8379" i="2"/>
  <c r="A8378" i="2"/>
  <c r="A8377" i="2"/>
  <c r="A8376" i="2"/>
  <c r="A8375" i="2"/>
  <c r="A8374" i="2"/>
  <c r="A8373" i="2"/>
  <c r="A8372" i="2"/>
  <c r="A8371" i="2"/>
  <c r="A8370" i="2"/>
  <c r="A8369" i="2"/>
  <c r="A8368" i="2"/>
  <c r="A8367" i="2"/>
  <c r="A8366" i="2"/>
  <c r="A8365" i="2"/>
  <c r="A8364" i="2"/>
  <c r="A8363" i="2"/>
  <c r="A8362" i="2"/>
  <c r="A8361" i="2"/>
  <c r="A8360" i="2"/>
  <c r="A8359" i="2"/>
  <c r="A8358" i="2"/>
  <c r="A8357" i="2"/>
  <c r="A8356" i="2"/>
  <c r="A8355" i="2"/>
  <c r="A8354" i="2"/>
  <c r="A8353" i="2"/>
  <c r="A8352" i="2"/>
  <c r="A8351" i="2"/>
  <c r="A8350" i="2"/>
  <c r="A8349" i="2"/>
  <c r="A8348" i="2"/>
  <c r="A8347" i="2"/>
  <c r="A8346" i="2"/>
  <c r="A8345" i="2"/>
  <c r="A8344" i="2"/>
  <c r="A8343" i="2"/>
  <c r="A8342" i="2"/>
  <c r="A8341" i="2"/>
  <c r="A8340" i="2"/>
  <c r="A8339" i="2"/>
  <c r="A8338" i="2"/>
  <c r="A8337" i="2"/>
  <c r="A8336" i="2"/>
  <c r="A8335" i="2"/>
  <c r="A8334" i="2"/>
  <c r="A8333" i="2"/>
  <c r="A8332" i="2"/>
  <c r="A8331" i="2"/>
  <c r="A8330" i="2"/>
  <c r="A8329" i="2"/>
  <c r="A8328" i="2"/>
  <c r="A8327" i="2"/>
  <c r="A8326" i="2"/>
  <c r="A8325" i="2"/>
  <c r="A8324" i="2"/>
  <c r="A8323" i="2"/>
  <c r="A8322" i="2"/>
  <c r="A8321" i="2"/>
  <c r="A8320" i="2"/>
  <c r="A8319" i="2"/>
  <c r="A8318" i="2"/>
  <c r="A8317" i="2"/>
  <c r="A8316" i="2"/>
  <c r="A8315" i="2"/>
  <c r="A8314" i="2"/>
  <c r="A8313" i="2"/>
  <c r="A8312" i="2"/>
  <c r="A8311" i="2"/>
  <c r="A8310" i="2"/>
  <c r="A8309" i="2"/>
  <c r="A8308" i="2"/>
  <c r="A8307" i="2"/>
  <c r="A8306" i="2"/>
  <c r="A8305" i="2"/>
  <c r="A8304" i="2"/>
  <c r="A8303" i="2"/>
  <c r="A8302" i="2"/>
  <c r="A8301" i="2"/>
  <c r="A8300" i="2"/>
  <c r="A8299" i="2"/>
  <c r="A8298" i="2"/>
  <c r="A8297" i="2"/>
  <c r="A8296" i="2"/>
  <c r="A8295" i="2"/>
  <c r="A8294" i="2"/>
  <c r="A8293" i="2"/>
  <c r="A8292" i="2"/>
  <c r="A8291" i="2"/>
  <c r="A8290" i="2"/>
  <c r="A8289" i="2"/>
  <c r="A8288" i="2"/>
  <c r="A8287" i="2"/>
  <c r="A8286" i="2"/>
  <c r="A8285" i="2"/>
  <c r="A8284" i="2"/>
  <c r="A8283" i="2"/>
  <c r="A8282" i="2"/>
  <c r="A8281" i="2"/>
  <c r="A8280" i="2"/>
  <c r="A8279" i="2"/>
  <c r="A8278" i="2"/>
  <c r="A8277" i="2"/>
  <c r="A8276" i="2"/>
  <c r="A8275" i="2"/>
  <c r="A8274" i="2"/>
  <c r="A8273" i="2"/>
  <c r="A8272" i="2"/>
  <c r="A8271" i="2"/>
  <c r="A8270" i="2"/>
  <c r="A8269" i="2"/>
  <c r="A8268" i="2"/>
  <c r="A8267" i="2"/>
  <c r="A8266" i="2"/>
  <c r="A8265" i="2"/>
  <c r="A8264" i="2"/>
  <c r="A8263" i="2"/>
  <c r="A8262" i="2"/>
  <c r="A8261" i="2"/>
  <c r="A8260" i="2"/>
  <c r="A8259" i="2"/>
  <c r="A8258" i="2"/>
  <c r="A8257" i="2"/>
  <c r="A8256" i="2"/>
  <c r="A8255" i="2"/>
  <c r="A8254" i="2"/>
  <c r="A8253" i="2"/>
  <c r="A8252" i="2"/>
  <c r="A8251" i="2"/>
  <c r="A8250" i="2"/>
  <c r="A8249" i="2"/>
  <c r="A8248" i="2"/>
  <c r="A8247" i="2"/>
  <c r="A8246" i="2"/>
  <c r="A8245" i="2"/>
  <c r="A8244" i="2"/>
  <c r="A8243" i="2"/>
  <c r="A8242" i="2"/>
  <c r="A8241" i="2"/>
  <c r="A8240" i="2"/>
  <c r="A8239" i="2"/>
  <c r="A8238" i="2"/>
  <c r="A8237" i="2"/>
  <c r="A8236" i="2"/>
  <c r="A8235" i="2"/>
  <c r="A8234" i="2"/>
  <c r="A8233" i="2"/>
  <c r="A8232" i="2"/>
  <c r="A8231" i="2"/>
  <c r="A8230" i="2"/>
  <c r="A8229" i="2"/>
  <c r="A8228" i="2"/>
  <c r="A8227" i="2"/>
  <c r="A8226" i="2"/>
  <c r="A8225" i="2"/>
  <c r="A8224" i="2"/>
  <c r="A8223" i="2"/>
  <c r="A8222" i="2"/>
  <c r="A8221" i="2"/>
  <c r="A8220" i="2"/>
  <c r="A8219" i="2"/>
  <c r="A8218" i="2"/>
  <c r="A8217" i="2"/>
  <c r="A8216" i="2"/>
  <c r="A8215" i="2"/>
  <c r="A8214" i="2"/>
  <c r="A8213" i="2"/>
  <c r="A8212" i="2"/>
  <c r="A8211" i="2"/>
  <c r="A8210" i="2"/>
  <c r="A8209" i="2"/>
  <c r="A8208" i="2"/>
  <c r="A8207" i="2"/>
  <c r="A8206" i="2"/>
  <c r="A8205" i="2"/>
  <c r="A8204" i="2"/>
  <c r="A8203" i="2"/>
  <c r="A8202" i="2"/>
  <c r="A8201" i="2"/>
  <c r="A8200" i="2"/>
  <c r="A8199" i="2"/>
  <c r="A8198" i="2"/>
  <c r="A8197" i="2"/>
  <c r="A8196" i="2"/>
  <c r="A8195" i="2"/>
  <c r="A8194" i="2"/>
  <c r="A8193" i="2"/>
  <c r="A8192" i="2"/>
  <c r="A8191" i="2"/>
  <c r="A8190" i="2"/>
  <c r="A8189" i="2"/>
  <c r="A8188" i="2"/>
  <c r="A8187" i="2"/>
  <c r="A8186" i="2"/>
  <c r="A8185" i="2"/>
  <c r="A8184" i="2"/>
  <c r="A8183" i="2"/>
  <c r="A8182" i="2"/>
  <c r="A8181" i="2"/>
  <c r="A8180" i="2"/>
  <c r="A8179" i="2"/>
  <c r="A8178" i="2"/>
  <c r="A8177" i="2"/>
  <c r="A8176" i="2"/>
  <c r="A8175" i="2"/>
  <c r="A8174" i="2"/>
  <c r="A8173" i="2"/>
  <c r="A8172" i="2"/>
  <c r="A8171" i="2"/>
  <c r="A8170" i="2"/>
  <c r="A8169" i="2"/>
  <c r="A8168" i="2"/>
  <c r="A8167" i="2"/>
  <c r="A8166" i="2"/>
  <c r="A8165" i="2"/>
  <c r="A8164" i="2"/>
  <c r="A8163" i="2"/>
  <c r="A8162" i="2"/>
  <c r="A8161" i="2"/>
  <c r="A8160" i="2"/>
  <c r="A8159" i="2"/>
  <c r="A8158" i="2"/>
  <c r="A8157" i="2"/>
  <c r="A8156" i="2"/>
  <c r="A8155" i="2"/>
  <c r="A8154" i="2"/>
  <c r="A8153" i="2"/>
  <c r="A8152" i="2"/>
  <c r="A8151" i="2"/>
  <c r="A8150" i="2"/>
  <c r="A8149" i="2"/>
  <c r="A8148" i="2"/>
  <c r="A8147" i="2"/>
  <c r="A8146" i="2"/>
  <c r="A8145" i="2"/>
  <c r="A8144" i="2"/>
  <c r="A8143" i="2"/>
  <c r="A8142" i="2"/>
  <c r="A8141" i="2"/>
  <c r="A8140" i="2"/>
  <c r="A8139" i="2"/>
  <c r="A8138" i="2"/>
  <c r="A8137" i="2"/>
  <c r="A8136" i="2"/>
  <c r="A8135" i="2"/>
  <c r="A8134" i="2"/>
  <c r="A8133" i="2"/>
  <c r="A8132" i="2"/>
  <c r="A8131" i="2"/>
  <c r="A8130" i="2"/>
  <c r="A8129" i="2"/>
  <c r="A8128" i="2"/>
  <c r="A8127" i="2"/>
  <c r="A8126" i="2"/>
  <c r="A8125" i="2"/>
  <c r="A8124" i="2"/>
  <c r="A8123" i="2"/>
  <c r="A8122" i="2"/>
  <c r="A8121" i="2"/>
  <c r="A8120" i="2"/>
  <c r="A8119" i="2"/>
  <c r="A8118" i="2"/>
  <c r="A8117" i="2"/>
  <c r="A8116" i="2"/>
  <c r="A8115" i="2"/>
  <c r="A8114" i="2"/>
  <c r="A8113" i="2"/>
  <c r="A8112" i="2"/>
  <c r="A8111" i="2"/>
  <c r="A8110" i="2"/>
  <c r="A8109" i="2"/>
  <c r="A8108" i="2"/>
  <c r="A8107" i="2"/>
  <c r="A8106" i="2"/>
  <c r="A8105" i="2"/>
  <c r="A8104" i="2"/>
  <c r="A8103" i="2"/>
  <c r="A8102" i="2"/>
  <c r="A8101" i="2"/>
  <c r="A8100" i="2"/>
  <c r="A8099" i="2"/>
  <c r="A8098" i="2"/>
  <c r="A8097" i="2"/>
  <c r="A8096" i="2"/>
  <c r="A8095" i="2"/>
  <c r="A8094" i="2"/>
  <c r="A8093" i="2"/>
  <c r="A8092" i="2"/>
  <c r="A8091" i="2"/>
  <c r="A8090" i="2"/>
  <c r="A8089" i="2"/>
  <c r="A8088" i="2"/>
  <c r="A8087" i="2"/>
  <c r="A8086" i="2"/>
  <c r="A8085" i="2"/>
  <c r="A8084" i="2"/>
  <c r="A8083" i="2"/>
  <c r="A8082" i="2"/>
  <c r="A8081" i="2"/>
  <c r="A8080" i="2"/>
  <c r="A8079" i="2"/>
  <c r="A8078" i="2"/>
  <c r="A8077" i="2"/>
  <c r="A8076" i="2"/>
  <c r="A8075" i="2"/>
  <c r="A8074" i="2"/>
  <c r="A8073" i="2"/>
  <c r="A8072" i="2"/>
  <c r="A8071" i="2"/>
  <c r="A8070" i="2"/>
  <c r="A8069" i="2"/>
  <c r="A8068" i="2"/>
  <c r="A8067" i="2"/>
  <c r="A8066" i="2"/>
  <c r="A8065" i="2"/>
  <c r="A8064" i="2"/>
  <c r="A8063" i="2"/>
  <c r="A8062" i="2"/>
  <c r="A8061" i="2"/>
  <c r="A8060" i="2"/>
  <c r="A8059" i="2"/>
  <c r="A8058" i="2"/>
  <c r="A8057" i="2"/>
  <c r="A8056" i="2"/>
  <c r="A8055" i="2"/>
  <c r="A8054" i="2"/>
  <c r="A8053" i="2"/>
  <c r="A8052" i="2"/>
  <c r="A8051" i="2"/>
  <c r="A8050" i="2"/>
  <c r="A8049" i="2"/>
  <c r="A8048" i="2"/>
  <c r="A8047" i="2"/>
  <c r="A8046" i="2"/>
  <c r="A8045" i="2"/>
  <c r="A8044" i="2"/>
  <c r="A8043" i="2"/>
  <c r="A8042" i="2"/>
  <c r="A8041" i="2"/>
  <c r="A8040" i="2"/>
  <c r="A8039" i="2"/>
  <c r="A8038" i="2"/>
  <c r="A8037" i="2"/>
  <c r="A8036" i="2"/>
  <c r="A8035" i="2"/>
  <c r="A8034" i="2"/>
  <c r="A8033" i="2"/>
  <c r="A8032" i="2"/>
  <c r="A8031" i="2"/>
  <c r="A8030" i="2"/>
  <c r="A8029" i="2"/>
  <c r="A8028" i="2"/>
  <c r="A8027" i="2"/>
  <c r="A8026" i="2"/>
  <c r="A8025" i="2"/>
  <c r="A8024" i="2"/>
  <c r="A8023" i="2"/>
  <c r="A8022" i="2"/>
  <c r="A8021" i="2"/>
  <c r="A8020" i="2"/>
  <c r="A8019" i="2"/>
  <c r="A8018" i="2"/>
  <c r="A8017" i="2"/>
  <c r="A8016" i="2"/>
  <c r="A8015" i="2"/>
  <c r="A8014" i="2"/>
  <c r="A8013" i="2"/>
  <c r="A8012" i="2"/>
  <c r="A8011" i="2"/>
  <c r="A8010" i="2"/>
  <c r="A8009" i="2"/>
  <c r="A8008" i="2"/>
  <c r="A8007" i="2"/>
  <c r="A8006" i="2"/>
  <c r="A8005" i="2"/>
  <c r="A8004" i="2"/>
  <c r="A8003" i="2"/>
  <c r="A8002" i="2"/>
  <c r="A8001" i="2"/>
  <c r="A8000" i="2"/>
  <c r="A7999" i="2"/>
  <c r="A7998" i="2"/>
  <c r="A7997" i="2"/>
  <c r="A7996" i="2"/>
  <c r="A7995" i="2"/>
  <c r="A7994" i="2"/>
  <c r="A7993" i="2"/>
  <c r="A7992" i="2"/>
  <c r="A7991" i="2"/>
  <c r="A7990" i="2"/>
  <c r="A7989" i="2"/>
  <c r="A7988" i="2"/>
  <c r="A7987" i="2"/>
  <c r="A7986" i="2"/>
  <c r="A7985" i="2"/>
  <c r="A7984" i="2"/>
  <c r="A7983" i="2"/>
  <c r="A7982" i="2"/>
  <c r="A7981" i="2"/>
  <c r="A7980" i="2"/>
  <c r="A7979" i="2"/>
  <c r="A7978" i="2"/>
  <c r="A7977" i="2"/>
  <c r="A7976" i="2"/>
  <c r="A7975" i="2"/>
  <c r="A7974" i="2"/>
  <c r="A7973" i="2"/>
  <c r="A7972" i="2"/>
  <c r="A7971" i="2"/>
  <c r="A7970" i="2"/>
  <c r="A7969" i="2"/>
  <c r="A7968" i="2"/>
  <c r="A7967" i="2"/>
  <c r="A7966" i="2"/>
  <c r="A7965" i="2"/>
  <c r="A7964" i="2"/>
  <c r="A7963" i="2"/>
  <c r="A7962" i="2"/>
  <c r="A7961" i="2"/>
  <c r="A7960" i="2"/>
  <c r="A7959" i="2"/>
  <c r="A7958" i="2"/>
  <c r="A7957" i="2"/>
  <c r="A7956" i="2"/>
  <c r="A7955" i="2"/>
  <c r="A7954" i="2"/>
  <c r="A7953" i="2"/>
  <c r="A7952" i="2"/>
  <c r="A7951" i="2"/>
  <c r="A7950" i="2"/>
  <c r="A7949" i="2"/>
  <c r="A7948" i="2"/>
  <c r="A7947" i="2"/>
  <c r="A7946" i="2"/>
  <c r="A7945" i="2"/>
  <c r="A7944" i="2"/>
  <c r="A7943" i="2"/>
  <c r="A7942" i="2"/>
  <c r="A7941" i="2"/>
  <c r="A7940" i="2"/>
  <c r="A7939" i="2"/>
  <c r="A7938" i="2"/>
  <c r="A7937" i="2"/>
  <c r="A7936" i="2"/>
  <c r="A7935" i="2"/>
  <c r="A7934" i="2"/>
  <c r="A7933" i="2"/>
  <c r="A7932" i="2"/>
  <c r="A7931" i="2"/>
  <c r="A7930" i="2"/>
  <c r="A7929" i="2"/>
  <c r="A7928" i="2"/>
  <c r="A7927" i="2"/>
  <c r="A7926" i="2"/>
  <c r="A7925" i="2"/>
  <c r="A7924" i="2"/>
  <c r="A7923" i="2"/>
  <c r="A7922" i="2"/>
  <c r="A7921" i="2"/>
  <c r="A7920" i="2"/>
  <c r="A7919" i="2"/>
  <c r="A7918" i="2"/>
  <c r="A7917" i="2"/>
  <c r="A7916" i="2"/>
  <c r="A7915" i="2"/>
  <c r="A7914" i="2"/>
  <c r="A7913" i="2"/>
  <c r="A7912" i="2"/>
  <c r="A7911" i="2"/>
  <c r="A7910" i="2"/>
  <c r="A7909" i="2"/>
  <c r="A7908" i="2"/>
  <c r="A7907" i="2"/>
  <c r="A7906" i="2"/>
  <c r="A7905" i="2"/>
  <c r="A7904" i="2"/>
  <c r="A7903" i="2"/>
  <c r="A7902" i="2"/>
  <c r="A7901" i="2"/>
  <c r="A7900" i="2"/>
  <c r="A7899" i="2"/>
  <c r="A7898" i="2"/>
  <c r="A7897" i="2"/>
  <c r="A7896" i="2"/>
  <c r="A7895" i="2"/>
  <c r="A7894" i="2"/>
  <c r="A7893" i="2"/>
  <c r="A7892" i="2"/>
  <c r="A7891" i="2"/>
  <c r="A7890" i="2"/>
  <c r="A7889" i="2"/>
  <c r="A7888" i="2"/>
  <c r="A7887" i="2"/>
  <c r="A7886" i="2"/>
  <c r="A7885" i="2"/>
  <c r="A7884" i="2"/>
  <c r="A7883" i="2"/>
  <c r="A7882" i="2"/>
  <c r="A7881" i="2"/>
  <c r="A7880" i="2"/>
  <c r="A7879" i="2"/>
  <c r="A7878" i="2"/>
  <c r="A7877" i="2"/>
  <c r="A7876" i="2"/>
  <c r="A7875" i="2"/>
  <c r="A7874" i="2"/>
  <c r="A7873" i="2"/>
  <c r="A7872" i="2"/>
  <c r="A7871" i="2"/>
  <c r="A7870" i="2"/>
  <c r="A7869" i="2"/>
  <c r="A7868" i="2"/>
  <c r="A7867" i="2"/>
  <c r="A7866" i="2"/>
  <c r="A7865" i="2"/>
  <c r="A7864" i="2"/>
  <c r="A7863" i="2"/>
  <c r="A7862" i="2"/>
  <c r="A7861" i="2"/>
  <c r="A7860" i="2"/>
  <c r="A7859" i="2"/>
  <c r="A7858" i="2"/>
  <c r="A7857" i="2"/>
  <c r="A7856" i="2"/>
  <c r="A7855" i="2"/>
  <c r="A7854" i="2"/>
  <c r="A7853" i="2"/>
  <c r="A7852" i="2"/>
  <c r="A7851" i="2"/>
  <c r="A7850" i="2"/>
  <c r="A7849" i="2"/>
  <c r="A7848" i="2"/>
  <c r="A7847" i="2"/>
  <c r="A7846" i="2"/>
  <c r="A7845" i="2"/>
  <c r="A7844" i="2"/>
  <c r="A7843" i="2"/>
  <c r="A7842" i="2"/>
  <c r="A7841" i="2"/>
  <c r="A7840" i="2"/>
  <c r="A7839" i="2"/>
  <c r="A7838" i="2"/>
  <c r="A7837" i="2"/>
  <c r="A7836" i="2"/>
  <c r="A7835" i="2"/>
  <c r="A7834" i="2"/>
  <c r="A7833" i="2"/>
  <c r="A7832" i="2"/>
  <c r="A7831" i="2"/>
  <c r="A7830" i="2"/>
  <c r="A7829" i="2"/>
  <c r="A7828" i="2"/>
  <c r="A7827" i="2"/>
  <c r="A7826" i="2"/>
  <c r="A7825" i="2"/>
  <c r="A7824" i="2"/>
  <c r="A7823" i="2"/>
  <c r="A7822" i="2"/>
  <c r="A7821" i="2"/>
  <c r="A7820" i="2"/>
  <c r="A7819" i="2"/>
  <c r="A7818" i="2"/>
  <c r="A7817" i="2"/>
  <c r="A7816" i="2"/>
  <c r="A7815" i="2"/>
  <c r="A7814" i="2"/>
  <c r="A7813" i="2"/>
  <c r="A7812" i="2"/>
  <c r="A7811" i="2"/>
  <c r="A7810" i="2"/>
  <c r="A7809" i="2"/>
  <c r="A7808" i="2"/>
  <c r="A7807" i="2"/>
  <c r="A7806" i="2"/>
  <c r="A7805" i="2"/>
  <c r="A7804" i="2"/>
  <c r="A7803" i="2"/>
  <c r="A7802" i="2"/>
  <c r="A7801" i="2"/>
  <c r="A7800" i="2"/>
  <c r="A7799" i="2"/>
  <c r="A7798" i="2"/>
  <c r="A7797" i="2"/>
  <c r="A7796" i="2"/>
  <c r="A7795" i="2"/>
  <c r="A7794" i="2"/>
  <c r="A7793" i="2"/>
  <c r="A7792" i="2"/>
  <c r="A7791" i="2"/>
  <c r="A7790" i="2"/>
  <c r="A7789" i="2"/>
  <c r="A7788" i="2"/>
  <c r="A7787" i="2"/>
  <c r="A7786" i="2"/>
  <c r="A7785" i="2"/>
  <c r="A7784" i="2"/>
  <c r="A7783" i="2"/>
  <c r="A7782" i="2"/>
  <c r="A7781" i="2"/>
  <c r="A7780" i="2"/>
  <c r="A7779" i="2"/>
  <c r="A7778" i="2"/>
  <c r="A7777" i="2"/>
  <c r="A7776" i="2"/>
  <c r="A7775" i="2"/>
  <c r="A7774" i="2"/>
  <c r="A7773" i="2"/>
  <c r="A7772" i="2"/>
  <c r="A7771" i="2"/>
  <c r="A7770" i="2"/>
  <c r="A7769" i="2"/>
  <c r="A7768" i="2"/>
  <c r="A7767" i="2"/>
  <c r="A7766" i="2"/>
  <c r="A7765" i="2"/>
  <c r="A7764" i="2"/>
  <c r="A7763" i="2"/>
  <c r="A7762" i="2"/>
  <c r="A7761" i="2"/>
  <c r="A7760" i="2"/>
  <c r="A7759" i="2"/>
  <c r="A7758" i="2"/>
  <c r="A7757" i="2"/>
  <c r="A7756" i="2"/>
  <c r="A7755" i="2"/>
  <c r="A7754" i="2"/>
  <c r="A7753" i="2"/>
  <c r="A7752" i="2"/>
  <c r="A7751" i="2"/>
  <c r="A7750" i="2"/>
  <c r="A7749" i="2"/>
  <c r="A7748" i="2"/>
  <c r="A7747" i="2"/>
  <c r="A7746" i="2"/>
  <c r="A7745" i="2"/>
  <c r="A7744" i="2"/>
  <c r="A7743" i="2"/>
  <c r="A7742" i="2"/>
  <c r="A7741" i="2"/>
  <c r="A7740" i="2"/>
  <c r="A7739" i="2"/>
  <c r="A7738" i="2"/>
  <c r="A7737" i="2"/>
  <c r="A7736" i="2"/>
  <c r="A7735" i="2"/>
  <c r="A7734" i="2"/>
  <c r="A7733" i="2"/>
  <c r="A7732" i="2"/>
  <c r="A7731" i="2"/>
  <c r="A7730" i="2"/>
  <c r="A7729" i="2"/>
  <c r="A7728" i="2"/>
  <c r="A7727" i="2"/>
  <c r="A7726" i="2"/>
  <c r="A7725" i="2"/>
  <c r="A7724" i="2"/>
  <c r="A7723" i="2"/>
  <c r="A7722" i="2"/>
  <c r="A7721" i="2"/>
  <c r="A7720" i="2"/>
  <c r="A7719" i="2"/>
  <c r="A7718" i="2"/>
  <c r="A7717" i="2"/>
  <c r="A7716" i="2"/>
  <c r="A7715" i="2"/>
  <c r="A7714" i="2"/>
  <c r="A7713" i="2"/>
  <c r="A7712" i="2"/>
  <c r="A7711" i="2"/>
  <c r="A7710" i="2"/>
  <c r="A7709" i="2"/>
  <c r="A7708" i="2"/>
  <c r="A7707" i="2"/>
  <c r="A7706" i="2"/>
  <c r="A7705" i="2"/>
  <c r="A7704" i="2"/>
  <c r="A7703" i="2"/>
  <c r="A7702" i="2"/>
  <c r="A7701" i="2"/>
  <c r="A7700" i="2"/>
  <c r="A7699" i="2"/>
  <c r="A7698" i="2"/>
  <c r="A7697" i="2"/>
  <c r="A7696" i="2"/>
  <c r="A7695" i="2"/>
  <c r="A7694" i="2"/>
  <c r="A7693" i="2"/>
  <c r="A7692" i="2"/>
  <c r="A7691" i="2"/>
  <c r="A7690" i="2"/>
  <c r="A7689" i="2"/>
  <c r="A7688" i="2"/>
  <c r="A7687" i="2"/>
  <c r="A7686" i="2"/>
  <c r="A7685" i="2"/>
  <c r="A7684" i="2"/>
  <c r="A7683" i="2"/>
  <c r="A7682" i="2"/>
  <c r="A7681" i="2"/>
  <c r="A7680" i="2"/>
  <c r="A7679" i="2"/>
  <c r="A7678" i="2"/>
  <c r="A7677" i="2"/>
  <c r="A7676" i="2"/>
  <c r="A7675" i="2"/>
  <c r="A7674" i="2"/>
  <c r="A7673" i="2"/>
  <c r="A7672" i="2"/>
  <c r="A7671" i="2"/>
  <c r="A7670" i="2"/>
  <c r="A7669" i="2"/>
  <c r="A7668" i="2"/>
  <c r="A7667" i="2"/>
  <c r="A7666" i="2"/>
  <c r="A7665" i="2"/>
  <c r="A7664" i="2"/>
  <c r="A7663" i="2"/>
  <c r="A7662" i="2"/>
  <c r="A7661" i="2"/>
  <c r="A7660" i="2"/>
  <c r="A7659" i="2"/>
  <c r="A7658" i="2"/>
  <c r="A7657" i="2"/>
  <c r="A7656" i="2"/>
  <c r="A7655" i="2"/>
  <c r="A7654" i="2"/>
  <c r="A7653" i="2"/>
  <c r="A7652" i="2"/>
  <c r="A7651" i="2"/>
  <c r="A7650" i="2"/>
  <c r="A7649" i="2"/>
  <c r="A7648" i="2"/>
  <c r="A7647" i="2"/>
  <c r="A7646" i="2"/>
  <c r="A7645" i="2"/>
  <c r="A7644" i="2"/>
  <c r="A7643" i="2"/>
  <c r="A7642" i="2"/>
  <c r="A7641" i="2"/>
  <c r="A7640" i="2"/>
  <c r="A7639" i="2"/>
  <c r="A7638" i="2"/>
  <c r="A7637" i="2"/>
  <c r="A7636" i="2"/>
  <c r="A7635" i="2"/>
  <c r="A7634" i="2"/>
  <c r="A7633" i="2"/>
  <c r="A7632" i="2"/>
  <c r="A7631" i="2"/>
  <c r="A7630" i="2"/>
  <c r="A7629" i="2"/>
  <c r="A7628" i="2"/>
  <c r="A7627" i="2"/>
  <c r="A7626" i="2"/>
  <c r="A7625" i="2"/>
  <c r="A7624" i="2"/>
  <c r="A7623" i="2"/>
  <c r="A7622" i="2"/>
  <c r="A7621" i="2"/>
  <c r="A7620" i="2"/>
  <c r="A7619" i="2"/>
  <c r="A7618" i="2"/>
  <c r="A7617" i="2"/>
  <c r="A7616" i="2"/>
  <c r="A7615" i="2"/>
  <c r="A7614" i="2"/>
  <c r="A7613" i="2"/>
  <c r="A7612" i="2"/>
  <c r="A7611" i="2"/>
  <c r="A7610" i="2"/>
  <c r="A7609" i="2"/>
  <c r="A7608" i="2"/>
  <c r="A7607" i="2"/>
  <c r="A7606" i="2"/>
  <c r="A7605" i="2"/>
  <c r="A7604" i="2"/>
  <c r="A7603" i="2"/>
  <c r="A7602" i="2"/>
  <c r="A7601" i="2"/>
  <c r="A7600" i="2"/>
  <c r="A7599" i="2"/>
  <c r="A7598" i="2"/>
  <c r="A7597" i="2"/>
  <c r="A7596" i="2"/>
  <c r="A7595" i="2"/>
  <c r="A7594" i="2"/>
  <c r="A7593" i="2"/>
  <c r="A7592" i="2"/>
  <c r="A7591" i="2"/>
  <c r="A7590" i="2"/>
  <c r="A7589" i="2"/>
  <c r="A7588" i="2"/>
  <c r="A7587" i="2"/>
  <c r="A7586" i="2"/>
  <c r="A7585" i="2"/>
  <c r="A7584" i="2"/>
  <c r="A7583" i="2"/>
  <c r="A7582" i="2"/>
  <c r="A7581" i="2"/>
  <c r="A7580" i="2"/>
  <c r="A7579" i="2"/>
  <c r="A7578" i="2"/>
  <c r="A7577" i="2"/>
  <c r="A7576" i="2"/>
  <c r="A7575" i="2"/>
  <c r="A7574" i="2"/>
  <c r="A7573" i="2"/>
  <c r="A7572" i="2"/>
  <c r="A7571" i="2"/>
  <c r="A7570" i="2"/>
  <c r="A7569" i="2"/>
  <c r="A7568" i="2"/>
  <c r="A7567" i="2"/>
  <c r="A7566" i="2"/>
  <c r="A7565" i="2"/>
  <c r="A7564" i="2"/>
  <c r="A7563" i="2"/>
  <c r="A7562" i="2"/>
  <c r="A7561" i="2"/>
  <c r="A7560" i="2"/>
  <c r="A7559" i="2"/>
  <c r="A7558" i="2"/>
  <c r="A7557" i="2"/>
  <c r="A7556" i="2"/>
  <c r="A7555" i="2"/>
  <c r="A7554" i="2"/>
  <c r="A7553" i="2"/>
  <c r="A7552" i="2"/>
  <c r="A7551" i="2"/>
  <c r="A7550" i="2"/>
  <c r="A7549" i="2"/>
  <c r="A7548" i="2"/>
  <c r="A7547" i="2"/>
  <c r="A7546" i="2"/>
  <c r="A7545" i="2"/>
  <c r="A7544" i="2"/>
  <c r="A7543" i="2"/>
  <c r="A7542" i="2"/>
  <c r="A7541" i="2"/>
  <c r="A7540" i="2"/>
  <c r="A7539" i="2"/>
  <c r="A7538" i="2"/>
  <c r="A7537" i="2"/>
  <c r="A7536" i="2"/>
  <c r="A7535" i="2"/>
  <c r="A7534" i="2"/>
  <c r="A7533" i="2"/>
  <c r="A7532" i="2"/>
  <c r="A7531" i="2"/>
  <c r="A7530" i="2"/>
  <c r="A7529" i="2"/>
  <c r="A7528" i="2"/>
  <c r="A7527" i="2"/>
  <c r="A7526" i="2"/>
  <c r="A7525" i="2"/>
  <c r="A7524" i="2"/>
  <c r="A7523" i="2"/>
  <c r="A7522" i="2"/>
  <c r="A7521" i="2"/>
  <c r="A7520" i="2"/>
  <c r="A7519" i="2"/>
  <c r="A7518" i="2"/>
  <c r="A7517" i="2"/>
  <c r="A7516" i="2"/>
  <c r="A7515" i="2"/>
  <c r="A7514" i="2"/>
  <c r="A7513" i="2"/>
  <c r="A7512" i="2"/>
  <c r="A7511" i="2"/>
  <c r="A7510" i="2"/>
  <c r="A7509" i="2"/>
  <c r="A7508" i="2"/>
  <c r="A7507" i="2"/>
  <c r="A7506" i="2"/>
  <c r="A7505" i="2"/>
  <c r="A7504" i="2"/>
  <c r="A7503" i="2"/>
  <c r="A7502" i="2"/>
  <c r="A7501" i="2"/>
  <c r="A7500" i="2"/>
  <c r="A7499" i="2"/>
  <c r="A7498" i="2"/>
  <c r="A7497" i="2"/>
  <c r="A7496" i="2"/>
  <c r="A7495" i="2"/>
  <c r="A7494" i="2"/>
  <c r="A7493" i="2"/>
  <c r="A7492" i="2"/>
  <c r="A7491" i="2"/>
  <c r="A7490" i="2"/>
  <c r="A7489" i="2"/>
  <c r="A7488" i="2"/>
  <c r="A7487" i="2"/>
  <c r="A7486" i="2"/>
  <c r="A7485" i="2"/>
  <c r="A7484" i="2"/>
  <c r="A7483" i="2"/>
  <c r="A7482" i="2"/>
  <c r="A7481" i="2"/>
  <c r="A7480" i="2"/>
  <c r="A7479" i="2"/>
  <c r="A7478" i="2"/>
  <c r="A7477" i="2"/>
  <c r="A7476" i="2"/>
  <c r="A7475" i="2"/>
  <c r="A7474" i="2"/>
  <c r="A7473" i="2"/>
  <c r="A7472" i="2"/>
  <c r="A7471" i="2"/>
  <c r="A7470" i="2"/>
  <c r="A7469" i="2"/>
  <c r="A7468" i="2"/>
  <c r="A7467" i="2"/>
  <c r="A7466" i="2"/>
  <c r="A7465" i="2"/>
  <c r="A7464" i="2"/>
  <c r="A7463" i="2"/>
  <c r="A7462" i="2"/>
  <c r="A7461" i="2"/>
  <c r="A7460" i="2"/>
  <c r="A7459" i="2"/>
  <c r="A7458" i="2"/>
  <c r="A7457" i="2"/>
  <c r="A7456" i="2"/>
  <c r="A7455" i="2"/>
  <c r="A7454" i="2"/>
  <c r="A7453" i="2"/>
  <c r="A7452" i="2"/>
  <c r="A7451" i="2"/>
  <c r="A7450" i="2"/>
  <c r="A7449" i="2"/>
  <c r="A7448" i="2"/>
  <c r="A7447" i="2"/>
  <c r="A7446" i="2"/>
  <c r="A7445" i="2"/>
  <c r="A7444" i="2"/>
  <c r="A7443" i="2"/>
  <c r="A7442" i="2"/>
  <c r="A7441" i="2"/>
  <c r="A7440" i="2"/>
  <c r="A7439" i="2"/>
  <c r="A7438" i="2"/>
  <c r="A7437" i="2"/>
  <c r="A7436" i="2"/>
  <c r="A7435" i="2"/>
  <c r="A7434" i="2"/>
  <c r="A7433" i="2"/>
  <c r="A7432" i="2"/>
  <c r="A7431" i="2"/>
  <c r="A7430" i="2"/>
  <c r="A7429" i="2"/>
  <c r="A7428" i="2"/>
  <c r="A7427" i="2"/>
  <c r="A7426" i="2"/>
  <c r="A7425" i="2"/>
  <c r="A7424" i="2"/>
  <c r="A7423" i="2"/>
  <c r="A7422" i="2"/>
  <c r="A7421" i="2"/>
  <c r="A7420" i="2"/>
  <c r="A7419" i="2"/>
  <c r="A7418" i="2"/>
  <c r="A7417" i="2"/>
  <c r="A7416" i="2"/>
  <c r="A7415" i="2"/>
  <c r="A7414" i="2"/>
  <c r="A7413" i="2"/>
  <c r="A7412" i="2"/>
  <c r="A7411" i="2"/>
  <c r="A7410" i="2"/>
  <c r="A7409" i="2"/>
  <c r="A7408" i="2"/>
  <c r="A7407" i="2"/>
  <c r="A7406" i="2"/>
  <c r="A7405" i="2"/>
  <c r="A7404" i="2"/>
  <c r="A7403" i="2"/>
  <c r="A7402" i="2"/>
  <c r="A7401" i="2"/>
  <c r="A7400" i="2"/>
  <c r="A7399" i="2"/>
  <c r="A7398" i="2"/>
  <c r="A7397" i="2"/>
  <c r="A7396" i="2"/>
  <c r="A7395" i="2"/>
  <c r="A7394" i="2"/>
  <c r="A7393" i="2"/>
  <c r="A7392" i="2"/>
  <c r="A7391" i="2"/>
  <c r="A7390" i="2"/>
  <c r="A7389" i="2"/>
  <c r="A7388" i="2"/>
  <c r="A7387" i="2"/>
  <c r="A7386" i="2"/>
  <c r="A7385" i="2"/>
  <c r="A7384" i="2"/>
  <c r="A7383" i="2"/>
  <c r="A7382" i="2"/>
  <c r="A7381" i="2"/>
  <c r="A7380" i="2"/>
  <c r="A7379" i="2"/>
  <c r="A7378" i="2"/>
  <c r="A7377" i="2"/>
  <c r="A7376" i="2"/>
  <c r="A7375" i="2"/>
  <c r="A7374" i="2"/>
  <c r="A7373" i="2"/>
  <c r="A7372" i="2"/>
  <c r="A7371" i="2"/>
  <c r="A7370" i="2"/>
  <c r="A7369" i="2"/>
  <c r="A7368" i="2"/>
  <c r="A7367" i="2"/>
  <c r="A7366" i="2"/>
  <c r="A7365" i="2"/>
  <c r="A7364" i="2"/>
  <c r="A7363" i="2"/>
  <c r="A7362" i="2"/>
  <c r="A7361" i="2"/>
  <c r="A7360" i="2"/>
  <c r="A7359" i="2"/>
  <c r="A7358" i="2"/>
  <c r="A7357" i="2"/>
  <c r="A7356" i="2"/>
  <c r="A7355" i="2"/>
  <c r="A7354" i="2"/>
  <c r="A7353" i="2"/>
  <c r="A7352" i="2"/>
  <c r="A7351" i="2"/>
  <c r="A7350" i="2"/>
  <c r="A7349" i="2"/>
  <c r="A7348" i="2"/>
  <c r="A7347" i="2"/>
  <c r="A7346" i="2"/>
  <c r="A7345" i="2"/>
  <c r="A7344" i="2"/>
  <c r="A7343" i="2"/>
  <c r="A7342" i="2"/>
  <c r="A7341" i="2"/>
  <c r="A7340" i="2"/>
  <c r="A7339" i="2"/>
  <c r="A7338" i="2"/>
  <c r="A7337" i="2"/>
  <c r="A7336" i="2"/>
  <c r="A7335" i="2"/>
  <c r="A7334" i="2"/>
  <c r="A7333" i="2"/>
  <c r="A7332" i="2"/>
  <c r="A7331" i="2"/>
  <c r="A7330" i="2"/>
  <c r="A7329" i="2"/>
  <c r="A7328" i="2"/>
  <c r="A7327" i="2"/>
  <c r="A7326" i="2"/>
  <c r="A7325" i="2"/>
  <c r="A7324" i="2"/>
  <c r="A7323" i="2"/>
  <c r="A7322" i="2"/>
  <c r="A7321" i="2"/>
  <c r="A7320" i="2"/>
  <c r="A7319" i="2"/>
  <c r="A7318" i="2"/>
  <c r="A7317" i="2"/>
  <c r="A7316" i="2"/>
  <c r="A7315" i="2"/>
  <c r="A7314" i="2"/>
  <c r="A7313" i="2"/>
  <c r="A7312" i="2"/>
  <c r="A7311" i="2"/>
  <c r="A7310" i="2"/>
  <c r="A7309" i="2"/>
  <c r="A7308" i="2"/>
  <c r="A7307" i="2"/>
  <c r="A7306" i="2"/>
  <c r="A7305" i="2"/>
  <c r="A7304" i="2"/>
  <c r="A7303" i="2"/>
  <c r="A7302" i="2"/>
  <c r="A7301" i="2"/>
  <c r="A7300" i="2"/>
  <c r="A7299" i="2"/>
  <c r="A7298" i="2"/>
  <c r="A7297" i="2"/>
  <c r="A7296" i="2"/>
  <c r="A7295" i="2"/>
  <c r="A7294" i="2"/>
  <c r="A7293" i="2"/>
  <c r="A7292" i="2"/>
  <c r="A7291" i="2"/>
  <c r="A7290" i="2"/>
  <c r="A7289" i="2"/>
  <c r="A7288" i="2"/>
  <c r="A7287" i="2"/>
  <c r="A7286" i="2"/>
  <c r="A7285" i="2"/>
  <c r="A7284" i="2"/>
  <c r="A7283" i="2"/>
  <c r="A7282" i="2"/>
  <c r="A7281" i="2"/>
  <c r="A7280" i="2"/>
  <c r="A7279" i="2"/>
  <c r="A7278" i="2"/>
  <c r="A7277" i="2"/>
  <c r="A7276" i="2"/>
  <c r="A7275" i="2"/>
  <c r="A7274" i="2"/>
  <c r="A7273" i="2"/>
  <c r="A7272" i="2"/>
  <c r="A7271" i="2"/>
  <c r="A7270" i="2"/>
  <c r="A7269" i="2"/>
  <c r="A7268" i="2"/>
  <c r="A7267" i="2"/>
  <c r="A7266" i="2"/>
  <c r="A7265" i="2"/>
  <c r="A7264" i="2"/>
  <c r="A7263" i="2"/>
  <c r="A7262" i="2"/>
  <c r="A7261" i="2"/>
  <c r="A7260" i="2"/>
  <c r="A7259" i="2"/>
  <c r="A7258" i="2"/>
  <c r="A7257" i="2"/>
  <c r="A7256" i="2"/>
  <c r="A7255" i="2"/>
  <c r="A7254" i="2"/>
  <c r="A7253" i="2"/>
  <c r="A7252" i="2"/>
  <c r="A7251" i="2"/>
  <c r="A7250" i="2"/>
  <c r="A7249" i="2"/>
  <c r="A7248" i="2"/>
  <c r="A7247" i="2"/>
  <c r="A7246" i="2"/>
  <c r="A7245" i="2"/>
  <c r="A7244" i="2"/>
  <c r="A7243" i="2"/>
  <c r="A7242" i="2"/>
  <c r="A7241" i="2"/>
  <c r="A7240" i="2"/>
  <c r="A7239" i="2"/>
  <c r="A7238" i="2"/>
  <c r="A7237" i="2"/>
  <c r="A7236" i="2"/>
  <c r="A7235" i="2"/>
  <c r="A7234" i="2"/>
  <c r="A7233" i="2"/>
  <c r="A7232" i="2"/>
  <c r="A7231" i="2"/>
  <c r="A7230" i="2"/>
  <c r="A7229" i="2"/>
  <c r="A7228" i="2"/>
  <c r="A7227" i="2"/>
  <c r="A7226" i="2"/>
  <c r="A7225" i="2"/>
  <c r="A7224" i="2"/>
  <c r="A7223" i="2"/>
  <c r="A7222" i="2"/>
  <c r="A7221" i="2"/>
  <c r="A7220" i="2"/>
  <c r="A7219" i="2"/>
  <c r="A7218" i="2"/>
  <c r="A7217" i="2"/>
  <c r="A7216" i="2"/>
  <c r="A7215" i="2"/>
  <c r="A7214" i="2"/>
  <c r="A7213" i="2"/>
  <c r="A7212" i="2"/>
  <c r="A7211" i="2"/>
  <c r="A7210" i="2"/>
  <c r="A7209" i="2"/>
  <c r="A7208" i="2"/>
  <c r="A7207" i="2"/>
  <c r="A7206" i="2"/>
  <c r="A7205" i="2"/>
  <c r="A7204" i="2"/>
  <c r="A7203" i="2"/>
  <c r="A7202" i="2"/>
  <c r="A7201" i="2"/>
  <c r="A7200" i="2"/>
  <c r="A7199" i="2"/>
  <c r="A7198" i="2"/>
  <c r="A7197" i="2"/>
  <c r="A7196" i="2"/>
  <c r="A7195" i="2"/>
  <c r="A7194" i="2"/>
  <c r="A7193" i="2"/>
  <c r="A7192" i="2"/>
  <c r="A7191" i="2"/>
  <c r="A7190" i="2"/>
  <c r="A7189" i="2"/>
  <c r="A7188" i="2"/>
  <c r="A7187" i="2"/>
  <c r="A7186" i="2"/>
  <c r="A7185" i="2"/>
  <c r="A7184" i="2"/>
  <c r="A7183" i="2"/>
  <c r="A7182" i="2"/>
  <c r="A7181" i="2"/>
  <c r="A7180" i="2"/>
  <c r="A7179" i="2"/>
  <c r="A7178" i="2"/>
  <c r="A7177" i="2"/>
  <c r="A7176" i="2"/>
  <c r="A7175" i="2"/>
  <c r="A7174" i="2"/>
  <c r="A7173" i="2"/>
  <c r="A7172" i="2"/>
  <c r="A7171" i="2"/>
  <c r="A7170" i="2"/>
  <c r="A7169" i="2"/>
  <c r="A7168" i="2"/>
  <c r="A7167" i="2"/>
  <c r="A7166" i="2"/>
  <c r="A7165" i="2"/>
  <c r="A7164" i="2"/>
  <c r="A7163" i="2"/>
  <c r="A7162" i="2"/>
  <c r="A7161" i="2"/>
  <c r="A7160" i="2"/>
  <c r="A7159" i="2"/>
  <c r="A7158" i="2"/>
  <c r="A7157" i="2"/>
  <c r="A7156" i="2"/>
  <c r="A7155" i="2"/>
  <c r="A7154" i="2"/>
  <c r="A7153" i="2"/>
  <c r="A7152" i="2"/>
  <c r="A7151" i="2"/>
  <c r="A7150" i="2"/>
  <c r="A7149" i="2"/>
  <c r="A7148" i="2"/>
  <c r="A7147" i="2"/>
  <c r="A7146" i="2"/>
  <c r="A7145" i="2"/>
  <c r="A7144" i="2"/>
  <c r="A7143" i="2"/>
  <c r="A7142" i="2"/>
  <c r="A7141" i="2"/>
  <c r="A7140" i="2"/>
  <c r="A7139" i="2"/>
  <c r="A7138" i="2"/>
  <c r="A7137" i="2"/>
  <c r="A7136" i="2"/>
  <c r="A7135" i="2"/>
  <c r="A7134" i="2"/>
  <c r="A7133" i="2"/>
  <c r="A7132" i="2"/>
  <c r="A7131" i="2"/>
  <c r="A7130" i="2"/>
  <c r="A7129" i="2"/>
  <c r="A7128" i="2"/>
  <c r="A7127" i="2"/>
  <c r="A7126" i="2"/>
  <c r="A7125" i="2"/>
  <c r="A7124" i="2"/>
  <c r="A7123" i="2"/>
  <c r="A7122" i="2"/>
  <c r="A7121" i="2"/>
  <c r="A7120" i="2"/>
  <c r="A7119" i="2"/>
  <c r="A7118" i="2"/>
  <c r="A7117" i="2"/>
  <c r="A7116" i="2"/>
  <c r="A7115" i="2"/>
  <c r="A7114" i="2"/>
  <c r="A7113" i="2"/>
  <c r="A7112" i="2"/>
  <c r="A7111" i="2"/>
  <c r="A7110" i="2"/>
  <c r="A7109" i="2"/>
  <c r="A7108" i="2"/>
  <c r="A7107" i="2"/>
  <c r="A7106" i="2"/>
  <c r="A7105" i="2"/>
  <c r="A7104" i="2"/>
  <c r="A7103" i="2"/>
  <c r="A7102" i="2"/>
  <c r="A7101" i="2"/>
  <c r="A7100" i="2"/>
  <c r="A7099" i="2"/>
  <c r="A7098" i="2"/>
  <c r="A7097" i="2"/>
  <c r="A7096" i="2"/>
  <c r="A7095" i="2"/>
  <c r="A7094" i="2"/>
  <c r="A7093" i="2"/>
  <c r="A7092" i="2"/>
  <c r="A7091" i="2"/>
  <c r="A7090" i="2"/>
  <c r="A7089" i="2"/>
  <c r="A7088" i="2"/>
  <c r="A7087" i="2"/>
  <c r="A7086" i="2"/>
  <c r="A7085" i="2"/>
  <c r="A7084" i="2"/>
  <c r="A7083" i="2"/>
  <c r="A7082" i="2"/>
  <c r="A7081" i="2"/>
  <c r="A7080" i="2"/>
  <c r="A7079" i="2"/>
  <c r="A7078" i="2"/>
  <c r="A7077" i="2"/>
  <c r="A7076" i="2"/>
  <c r="A7075" i="2"/>
  <c r="A7074" i="2"/>
  <c r="A7073" i="2"/>
  <c r="A7072" i="2"/>
  <c r="A7071" i="2"/>
  <c r="A7070" i="2"/>
  <c r="A7069" i="2"/>
  <c r="A7068" i="2"/>
  <c r="A7067" i="2"/>
  <c r="A7066" i="2"/>
  <c r="A7065" i="2"/>
  <c r="A7064" i="2"/>
  <c r="A7063" i="2"/>
  <c r="A7062" i="2"/>
  <c r="A7061" i="2"/>
  <c r="A7060" i="2"/>
  <c r="A7059" i="2"/>
  <c r="A7058" i="2"/>
  <c r="A7057" i="2"/>
  <c r="A7056" i="2"/>
  <c r="A7055" i="2"/>
  <c r="A7054" i="2"/>
  <c r="A7053" i="2"/>
  <c r="A7052" i="2"/>
  <c r="A7051" i="2"/>
  <c r="A7050" i="2"/>
  <c r="A7049" i="2"/>
  <c r="A7048" i="2"/>
  <c r="A7047" i="2"/>
  <c r="A7046" i="2"/>
  <c r="A7045" i="2"/>
  <c r="A7044" i="2"/>
  <c r="A7043" i="2"/>
  <c r="A7042" i="2"/>
  <c r="A7041" i="2"/>
  <c r="A7040" i="2"/>
  <c r="A7039" i="2"/>
  <c r="A7038" i="2"/>
  <c r="A7037" i="2"/>
  <c r="A7036" i="2"/>
  <c r="A7035" i="2"/>
  <c r="A7034" i="2"/>
  <c r="A7033" i="2"/>
  <c r="A7032" i="2"/>
  <c r="A7031" i="2"/>
  <c r="A7030" i="2"/>
  <c r="A7029" i="2"/>
  <c r="A7028" i="2"/>
  <c r="A7027" i="2"/>
  <c r="A7026" i="2"/>
  <c r="A7025" i="2"/>
  <c r="A7024" i="2"/>
  <c r="A7023" i="2"/>
  <c r="A7022" i="2"/>
  <c r="A7021" i="2"/>
  <c r="A7020" i="2"/>
  <c r="A7019" i="2"/>
  <c r="A7018" i="2"/>
  <c r="A7017" i="2"/>
  <c r="A7016" i="2"/>
  <c r="A7015" i="2"/>
  <c r="A7014" i="2"/>
  <c r="A7013" i="2"/>
  <c r="A7012" i="2"/>
  <c r="A7011" i="2"/>
  <c r="A7010" i="2"/>
  <c r="A7009" i="2"/>
  <c r="A7008" i="2"/>
  <c r="A7007" i="2"/>
  <c r="A7006" i="2"/>
  <c r="A7005" i="2"/>
  <c r="A7004" i="2"/>
  <c r="A7003" i="2"/>
  <c r="A7002" i="2"/>
  <c r="A7001" i="2"/>
  <c r="A7000" i="2"/>
  <c r="A6999" i="2"/>
  <c r="A6998" i="2"/>
  <c r="A6997" i="2"/>
  <c r="A6996" i="2"/>
  <c r="A6995" i="2"/>
  <c r="A6994" i="2"/>
  <c r="A6993" i="2"/>
  <c r="A6992" i="2"/>
  <c r="A6991" i="2"/>
  <c r="A6990" i="2"/>
  <c r="A6989" i="2"/>
  <c r="A6988" i="2"/>
  <c r="A6987" i="2"/>
  <c r="A6986" i="2"/>
  <c r="A6985" i="2"/>
  <c r="A6984" i="2"/>
  <c r="A6983" i="2"/>
  <c r="A6982" i="2"/>
  <c r="A6981" i="2"/>
  <c r="A6980" i="2"/>
  <c r="A6979" i="2"/>
  <c r="A6978" i="2"/>
  <c r="A6977" i="2"/>
  <c r="A6976" i="2"/>
  <c r="A6975" i="2"/>
  <c r="A6974" i="2"/>
  <c r="A6973" i="2"/>
  <c r="A6972" i="2"/>
  <c r="A6971" i="2"/>
  <c r="A6970" i="2"/>
  <c r="A6969" i="2"/>
  <c r="A6968" i="2"/>
  <c r="A6967" i="2"/>
  <c r="A6966" i="2"/>
  <c r="A6965" i="2"/>
  <c r="A6964" i="2"/>
  <c r="A6963" i="2"/>
  <c r="A6962" i="2"/>
  <c r="A6961" i="2"/>
  <c r="A6960" i="2"/>
  <c r="A6959" i="2"/>
  <c r="A6958" i="2"/>
  <c r="A6957" i="2"/>
  <c r="A6956" i="2"/>
  <c r="A6955" i="2"/>
  <c r="A6954" i="2"/>
  <c r="A6953" i="2"/>
  <c r="A6952" i="2"/>
  <c r="A6951" i="2"/>
  <c r="A6950" i="2"/>
  <c r="A6949" i="2"/>
  <c r="A6948" i="2"/>
  <c r="A6947" i="2"/>
  <c r="A6946" i="2"/>
  <c r="A6945" i="2"/>
  <c r="A6944" i="2"/>
  <c r="A6943" i="2"/>
  <c r="A6942" i="2"/>
  <c r="A6941" i="2"/>
  <c r="A6940" i="2"/>
  <c r="A6939" i="2"/>
  <c r="A6938" i="2"/>
  <c r="A6937" i="2"/>
  <c r="A6936" i="2"/>
  <c r="A6935" i="2"/>
  <c r="A6934" i="2"/>
  <c r="A6933" i="2"/>
  <c r="A6932" i="2"/>
  <c r="A6931" i="2"/>
  <c r="A6930" i="2"/>
  <c r="A6929" i="2"/>
  <c r="A6928" i="2"/>
  <c r="A6927" i="2"/>
  <c r="A6926" i="2"/>
  <c r="A6925" i="2"/>
  <c r="A6924" i="2"/>
  <c r="A6923" i="2"/>
  <c r="A6922" i="2"/>
  <c r="A6921" i="2"/>
  <c r="A6920" i="2"/>
  <c r="A6919" i="2"/>
  <c r="A6918" i="2"/>
  <c r="A6917" i="2"/>
  <c r="A6916" i="2"/>
  <c r="A6915" i="2"/>
  <c r="A6914" i="2"/>
  <c r="A6913" i="2"/>
  <c r="A6912" i="2"/>
  <c r="A6911" i="2"/>
  <c r="A6910" i="2"/>
  <c r="A6909" i="2"/>
  <c r="A6908" i="2"/>
  <c r="A6907" i="2"/>
  <c r="A6906" i="2"/>
  <c r="A6905" i="2"/>
  <c r="A6904" i="2"/>
  <c r="A6903" i="2"/>
  <c r="A6902" i="2"/>
  <c r="A6901" i="2"/>
  <c r="A6900" i="2"/>
  <c r="A6899" i="2"/>
  <c r="A6898" i="2"/>
  <c r="A6897" i="2"/>
  <c r="A6896" i="2"/>
  <c r="A6895" i="2"/>
  <c r="A6894" i="2"/>
  <c r="A6893" i="2"/>
  <c r="A6892" i="2"/>
  <c r="A6891" i="2"/>
  <c r="A6890" i="2"/>
  <c r="A6889" i="2"/>
  <c r="A6888" i="2"/>
  <c r="A6887" i="2"/>
  <c r="A6886" i="2"/>
  <c r="A6885" i="2"/>
  <c r="A6884" i="2"/>
  <c r="A6883" i="2"/>
  <c r="A6882" i="2"/>
  <c r="A6881" i="2"/>
  <c r="A6880" i="2"/>
  <c r="A6879" i="2"/>
  <c r="A6878" i="2"/>
  <c r="A6877" i="2"/>
  <c r="A6876" i="2"/>
  <c r="A6875" i="2"/>
  <c r="A6874" i="2"/>
  <c r="A6873" i="2"/>
  <c r="A6872" i="2"/>
  <c r="A6871" i="2"/>
  <c r="A6870" i="2"/>
  <c r="A6869" i="2"/>
  <c r="A6868" i="2"/>
  <c r="A6867" i="2"/>
  <c r="A6866" i="2"/>
  <c r="A6865" i="2"/>
  <c r="A6864" i="2"/>
  <c r="A6863" i="2"/>
  <c r="A6862" i="2"/>
  <c r="A6861" i="2"/>
  <c r="A6860" i="2"/>
  <c r="A6859" i="2"/>
  <c r="A6858" i="2"/>
  <c r="A6857" i="2"/>
  <c r="A6856" i="2"/>
  <c r="A6855" i="2"/>
  <c r="A6854" i="2"/>
  <c r="A6853" i="2"/>
  <c r="A6852" i="2"/>
  <c r="A6851" i="2"/>
  <c r="A6850" i="2"/>
  <c r="A6849" i="2"/>
  <c r="A6848" i="2"/>
  <c r="A6847" i="2"/>
  <c r="A6846" i="2"/>
  <c r="A6845" i="2"/>
  <c r="A6844" i="2"/>
  <c r="A6843" i="2"/>
  <c r="A6842" i="2"/>
  <c r="A6841" i="2"/>
  <c r="A6840" i="2"/>
  <c r="A6839" i="2"/>
  <c r="A6838" i="2"/>
  <c r="A6837" i="2"/>
  <c r="A6836" i="2"/>
  <c r="A6835" i="2"/>
  <c r="A6834" i="2"/>
  <c r="A6833" i="2"/>
  <c r="A6832" i="2"/>
  <c r="A6831" i="2"/>
  <c r="A6830" i="2"/>
  <c r="A6829" i="2"/>
  <c r="A6828" i="2"/>
  <c r="A6827" i="2"/>
  <c r="A6826" i="2"/>
  <c r="A6825" i="2"/>
  <c r="A6824" i="2"/>
  <c r="A6823" i="2"/>
  <c r="A6822" i="2"/>
  <c r="A6821" i="2"/>
  <c r="A6820" i="2"/>
  <c r="A6819" i="2"/>
  <c r="A6818" i="2"/>
  <c r="A6817" i="2"/>
  <c r="A6816" i="2"/>
  <c r="A6815" i="2"/>
  <c r="A6814" i="2"/>
  <c r="A6813" i="2"/>
  <c r="A6812" i="2"/>
  <c r="A6811" i="2"/>
  <c r="A6810" i="2"/>
  <c r="A6809" i="2"/>
  <c r="A6808" i="2"/>
  <c r="A6807" i="2"/>
  <c r="A6806" i="2"/>
  <c r="A6805" i="2"/>
  <c r="A6804" i="2"/>
  <c r="A6803" i="2"/>
  <c r="A6802" i="2"/>
  <c r="A6801" i="2"/>
  <c r="A6800" i="2"/>
  <c r="A6799" i="2"/>
  <c r="A6798" i="2"/>
  <c r="A6797" i="2"/>
  <c r="A6796" i="2"/>
  <c r="A6795" i="2"/>
  <c r="A6794" i="2"/>
  <c r="A6793" i="2"/>
  <c r="A6792" i="2"/>
  <c r="A6791" i="2"/>
  <c r="A6790" i="2"/>
  <c r="A6789" i="2"/>
  <c r="A6788" i="2"/>
  <c r="A6787" i="2"/>
  <c r="A6786" i="2"/>
  <c r="A6785" i="2"/>
  <c r="A6784" i="2"/>
  <c r="A6783" i="2"/>
  <c r="A6782" i="2"/>
  <c r="A6781" i="2"/>
  <c r="A6780" i="2"/>
  <c r="A6779" i="2"/>
  <c r="A6778" i="2"/>
  <c r="A6777" i="2"/>
  <c r="A6776" i="2"/>
  <c r="A6775" i="2"/>
  <c r="A6774" i="2"/>
  <c r="A6773" i="2"/>
  <c r="A6772" i="2"/>
  <c r="A6771" i="2"/>
  <c r="A6770" i="2"/>
  <c r="A6769" i="2"/>
  <c r="A6768" i="2"/>
  <c r="A6767" i="2"/>
  <c r="A6766" i="2"/>
  <c r="A6765" i="2"/>
  <c r="A6764" i="2"/>
  <c r="A6763" i="2"/>
  <c r="A6762" i="2"/>
  <c r="A6761" i="2"/>
  <c r="A6760" i="2"/>
  <c r="A6759" i="2"/>
  <c r="A6758" i="2"/>
  <c r="A6757" i="2"/>
  <c r="A6756" i="2"/>
  <c r="A6755" i="2"/>
  <c r="A6754" i="2"/>
  <c r="A6753" i="2"/>
  <c r="A6752" i="2"/>
  <c r="A6751" i="2"/>
  <c r="A6750" i="2"/>
  <c r="A6749" i="2"/>
  <c r="A6748" i="2"/>
  <c r="A6747" i="2"/>
  <c r="A6746" i="2"/>
  <c r="A6745" i="2"/>
  <c r="A6744" i="2"/>
  <c r="A6743" i="2"/>
  <c r="A6742" i="2"/>
  <c r="A6741" i="2"/>
  <c r="A6740" i="2"/>
  <c r="A6739" i="2"/>
  <c r="A6738" i="2"/>
  <c r="A6737" i="2"/>
  <c r="A6736" i="2"/>
  <c r="A6735" i="2"/>
  <c r="A6734" i="2"/>
  <c r="A6733" i="2"/>
  <c r="A6732" i="2"/>
  <c r="A6731" i="2"/>
  <c r="A6730" i="2"/>
  <c r="A6729" i="2"/>
  <c r="A6728" i="2"/>
  <c r="A6727" i="2"/>
  <c r="A6726" i="2"/>
  <c r="A6725" i="2"/>
  <c r="A6724" i="2"/>
  <c r="A6723" i="2"/>
  <c r="A6722" i="2"/>
  <c r="A6721" i="2"/>
  <c r="A6720" i="2"/>
  <c r="A6719" i="2"/>
  <c r="A6718" i="2"/>
  <c r="A6717" i="2"/>
  <c r="A6716" i="2"/>
  <c r="A6715" i="2"/>
  <c r="A6714" i="2"/>
  <c r="A6713" i="2"/>
  <c r="A6712" i="2"/>
  <c r="A6711" i="2"/>
  <c r="A6710" i="2"/>
  <c r="A6709" i="2"/>
  <c r="A6708" i="2"/>
  <c r="A6707" i="2"/>
  <c r="A6706" i="2"/>
  <c r="A6705" i="2"/>
  <c r="A6704" i="2"/>
  <c r="A6703" i="2"/>
  <c r="A6702" i="2"/>
  <c r="A6701" i="2"/>
  <c r="A6700" i="2"/>
  <c r="A6699" i="2"/>
  <c r="A6698" i="2"/>
  <c r="A6697" i="2"/>
  <c r="A6696" i="2"/>
  <c r="A6695" i="2"/>
  <c r="A6694" i="2"/>
  <c r="A6693" i="2"/>
  <c r="A6692" i="2"/>
  <c r="A6691" i="2"/>
  <c r="A6690" i="2"/>
  <c r="A6689" i="2"/>
  <c r="A6688" i="2"/>
  <c r="A6687" i="2"/>
  <c r="A6686" i="2"/>
  <c r="A6685" i="2"/>
  <c r="A6684" i="2"/>
  <c r="A6683" i="2"/>
  <c r="A6682" i="2"/>
  <c r="A6681" i="2"/>
  <c r="A6680" i="2"/>
  <c r="A6679" i="2"/>
  <c r="A6678" i="2"/>
  <c r="A6677" i="2"/>
  <c r="A6676" i="2"/>
  <c r="A6675" i="2"/>
  <c r="A6674" i="2"/>
  <c r="A6673" i="2"/>
  <c r="A6672" i="2"/>
  <c r="A6671" i="2"/>
  <c r="A6670" i="2"/>
  <c r="A6669" i="2"/>
  <c r="A6668" i="2"/>
  <c r="A6667" i="2"/>
  <c r="A6666" i="2"/>
  <c r="A6665" i="2"/>
  <c r="A6664" i="2"/>
  <c r="A6663" i="2"/>
  <c r="A6662" i="2"/>
  <c r="A6661" i="2"/>
  <c r="A6660" i="2"/>
  <c r="A6659" i="2"/>
  <c r="A6658" i="2"/>
  <c r="A6657" i="2"/>
  <c r="A6656" i="2"/>
  <c r="A6655" i="2"/>
  <c r="A6654" i="2"/>
  <c r="A6653" i="2"/>
  <c r="A6652" i="2"/>
  <c r="A6651" i="2"/>
  <c r="A6650" i="2"/>
  <c r="A6649" i="2"/>
  <c r="A6648" i="2"/>
  <c r="A6647" i="2"/>
  <c r="A6646" i="2"/>
  <c r="A6645" i="2"/>
  <c r="A6644" i="2"/>
  <c r="A6643" i="2"/>
  <c r="A6642" i="2"/>
  <c r="A6641" i="2"/>
  <c r="A6640" i="2"/>
  <c r="A6639" i="2"/>
  <c r="A6638" i="2"/>
  <c r="A6637" i="2"/>
  <c r="A6636" i="2"/>
  <c r="A6635" i="2"/>
  <c r="A6634" i="2"/>
  <c r="A6633" i="2"/>
  <c r="A6632" i="2"/>
  <c r="A6631" i="2"/>
  <c r="A6630" i="2"/>
  <c r="A6629" i="2"/>
  <c r="A6628" i="2"/>
  <c r="A6627" i="2"/>
  <c r="A6626" i="2"/>
  <c r="A6625" i="2"/>
  <c r="A6624" i="2"/>
  <c r="A6623" i="2"/>
  <c r="A6622" i="2"/>
  <c r="A6621" i="2"/>
  <c r="A6620" i="2"/>
  <c r="A6619" i="2"/>
  <c r="A6618" i="2"/>
  <c r="A6617" i="2"/>
  <c r="A6616" i="2"/>
  <c r="A6615" i="2"/>
  <c r="A6614" i="2"/>
  <c r="A6613" i="2"/>
  <c r="A6612" i="2"/>
  <c r="A6611" i="2"/>
  <c r="A6610" i="2"/>
  <c r="A6609" i="2"/>
  <c r="A6608" i="2"/>
  <c r="A6607" i="2"/>
  <c r="A6606" i="2"/>
  <c r="A6605" i="2"/>
  <c r="A6604" i="2"/>
  <c r="A6603" i="2"/>
  <c r="A6602" i="2"/>
  <c r="A6601" i="2"/>
  <c r="A6600" i="2"/>
  <c r="A6599" i="2"/>
  <c r="A6598" i="2"/>
  <c r="A6597" i="2"/>
  <c r="A6596" i="2"/>
  <c r="A6595" i="2"/>
  <c r="A6594" i="2"/>
  <c r="A6593" i="2"/>
  <c r="A6592" i="2"/>
  <c r="A6591" i="2"/>
  <c r="A6590" i="2"/>
  <c r="A6589" i="2"/>
  <c r="A6588" i="2"/>
  <c r="A6587" i="2"/>
  <c r="A6586" i="2"/>
  <c r="A6585" i="2"/>
  <c r="A6584" i="2"/>
  <c r="A6583" i="2"/>
  <c r="A6582" i="2"/>
  <c r="A6581" i="2"/>
  <c r="A6580" i="2"/>
  <c r="A6579" i="2"/>
  <c r="A6578" i="2"/>
  <c r="A6577" i="2"/>
  <c r="A6576" i="2"/>
  <c r="A6575" i="2"/>
  <c r="A6574" i="2"/>
  <c r="A6573" i="2"/>
  <c r="A6572" i="2"/>
  <c r="A6571" i="2"/>
  <c r="A6570" i="2"/>
  <c r="A6569" i="2"/>
  <c r="A6568" i="2"/>
  <c r="A6567" i="2"/>
  <c r="A6566" i="2"/>
  <c r="A6565" i="2"/>
  <c r="A6564" i="2"/>
  <c r="A6563" i="2"/>
  <c r="A6562" i="2"/>
  <c r="A6561" i="2"/>
  <c r="A6560" i="2"/>
  <c r="A6559" i="2"/>
  <c r="A6558" i="2"/>
  <c r="A6557" i="2"/>
  <c r="A6556" i="2"/>
  <c r="A6555" i="2"/>
  <c r="A6554" i="2"/>
  <c r="A6553" i="2"/>
  <c r="A6552" i="2"/>
  <c r="A6551" i="2"/>
  <c r="A6550" i="2"/>
  <c r="A6549" i="2"/>
  <c r="A6548" i="2"/>
  <c r="A6547" i="2"/>
  <c r="A6546" i="2"/>
  <c r="A6545" i="2"/>
  <c r="A6544" i="2"/>
  <c r="A6543" i="2"/>
  <c r="A6542" i="2"/>
  <c r="A6541" i="2"/>
  <c r="A6540" i="2"/>
  <c r="A6539" i="2"/>
  <c r="A6538" i="2"/>
  <c r="A6537" i="2"/>
  <c r="A6536" i="2"/>
  <c r="A6535" i="2"/>
  <c r="A6534" i="2"/>
  <c r="A6533" i="2"/>
  <c r="A6532" i="2"/>
  <c r="A6531" i="2"/>
  <c r="A6530" i="2"/>
  <c r="A6529" i="2"/>
  <c r="A6528" i="2"/>
  <c r="A6527" i="2"/>
  <c r="A6526" i="2"/>
  <c r="A6525" i="2"/>
  <c r="A6524" i="2"/>
  <c r="A6523" i="2"/>
  <c r="A6522" i="2"/>
  <c r="A6521" i="2"/>
  <c r="A6520" i="2"/>
  <c r="A6519" i="2"/>
  <c r="A6518" i="2"/>
  <c r="A6517" i="2"/>
  <c r="A6516" i="2"/>
  <c r="A6515" i="2"/>
  <c r="A6514" i="2"/>
  <c r="A6513" i="2"/>
  <c r="A6512" i="2"/>
  <c r="A6511" i="2"/>
  <c r="A6510" i="2"/>
  <c r="A6509" i="2"/>
  <c r="A6508" i="2"/>
  <c r="A6507" i="2"/>
  <c r="A6506" i="2"/>
  <c r="A6505" i="2"/>
  <c r="A6504" i="2"/>
  <c r="A6503" i="2"/>
  <c r="A6502" i="2"/>
  <c r="A6501" i="2"/>
  <c r="A6500" i="2"/>
  <c r="A6499" i="2"/>
  <c r="A6498" i="2"/>
  <c r="A6497" i="2"/>
  <c r="A6496" i="2"/>
  <c r="A6495" i="2"/>
  <c r="A6494" i="2"/>
  <c r="A6493" i="2"/>
  <c r="A6492" i="2"/>
  <c r="A6491" i="2"/>
  <c r="A6490" i="2"/>
  <c r="A6489" i="2"/>
  <c r="A6488" i="2"/>
  <c r="A6487" i="2"/>
  <c r="A6486" i="2"/>
  <c r="A6485" i="2"/>
  <c r="A6484" i="2"/>
  <c r="A6483" i="2"/>
  <c r="A6482" i="2"/>
  <c r="A6481" i="2"/>
  <c r="A6480" i="2"/>
  <c r="A6479" i="2"/>
  <c r="A6478" i="2"/>
  <c r="A6477" i="2"/>
  <c r="A6476" i="2"/>
  <c r="A6475" i="2"/>
  <c r="A6474" i="2"/>
  <c r="A6473" i="2"/>
  <c r="A6472" i="2"/>
  <c r="A6471" i="2"/>
  <c r="A6470" i="2"/>
  <c r="A6469" i="2"/>
  <c r="A6468" i="2"/>
  <c r="A6467" i="2"/>
  <c r="A6466" i="2"/>
  <c r="A6465" i="2"/>
  <c r="A6464" i="2"/>
  <c r="A6463" i="2"/>
  <c r="A6462" i="2"/>
  <c r="A6461" i="2"/>
  <c r="A6460" i="2"/>
  <c r="A6459" i="2"/>
  <c r="A6458" i="2"/>
  <c r="A6457" i="2"/>
  <c r="A6456" i="2"/>
  <c r="A6455" i="2"/>
  <c r="A6454" i="2"/>
  <c r="A6453" i="2"/>
  <c r="A6452" i="2"/>
  <c r="A6451" i="2"/>
  <c r="A6450" i="2"/>
  <c r="A6449" i="2"/>
  <c r="A6448" i="2"/>
  <c r="A6447" i="2"/>
  <c r="A6446" i="2"/>
  <c r="A6445" i="2"/>
  <c r="A6444" i="2"/>
  <c r="A6443" i="2"/>
  <c r="A6442" i="2"/>
  <c r="A6441" i="2"/>
  <c r="A6440" i="2"/>
  <c r="A6439" i="2"/>
  <c r="A6438" i="2"/>
  <c r="A6437" i="2"/>
  <c r="A6436" i="2"/>
  <c r="A6435" i="2"/>
  <c r="A6434" i="2"/>
  <c r="A6433" i="2"/>
  <c r="A6432" i="2"/>
  <c r="A6431" i="2"/>
  <c r="A6430" i="2"/>
  <c r="A6429" i="2"/>
  <c r="A6428" i="2"/>
  <c r="A6427" i="2"/>
  <c r="A6426" i="2"/>
  <c r="A6425" i="2"/>
  <c r="A6424" i="2"/>
  <c r="A6423" i="2"/>
  <c r="A6422" i="2"/>
  <c r="A6421" i="2"/>
  <c r="A6420" i="2"/>
  <c r="A6419" i="2"/>
  <c r="A6418" i="2"/>
  <c r="A6417" i="2"/>
  <c r="A6416" i="2"/>
  <c r="A6415" i="2"/>
  <c r="A6414" i="2"/>
  <c r="A6413" i="2"/>
  <c r="A6412" i="2"/>
  <c r="A6411" i="2"/>
  <c r="A6410" i="2"/>
  <c r="A6409" i="2"/>
  <c r="A6408" i="2"/>
  <c r="A6407" i="2"/>
  <c r="A6406" i="2"/>
  <c r="A6405" i="2"/>
  <c r="A6404" i="2"/>
  <c r="A6403" i="2"/>
  <c r="A6402" i="2"/>
  <c r="A6401" i="2"/>
  <c r="A6400" i="2"/>
  <c r="A6399" i="2"/>
  <c r="A6398" i="2"/>
  <c r="A6397" i="2"/>
  <c r="A6396" i="2"/>
  <c r="A6395" i="2"/>
  <c r="A6394" i="2"/>
  <c r="A6393" i="2"/>
  <c r="A6392" i="2"/>
  <c r="A6391" i="2"/>
  <c r="A6390" i="2"/>
  <c r="A6389" i="2"/>
  <c r="A6388" i="2"/>
  <c r="A6387" i="2"/>
  <c r="A6386" i="2"/>
  <c r="A6385" i="2"/>
  <c r="A6384" i="2"/>
  <c r="A6383" i="2"/>
  <c r="A6382" i="2"/>
  <c r="A6381" i="2"/>
  <c r="A6380" i="2"/>
  <c r="A6379" i="2"/>
  <c r="A6378" i="2"/>
  <c r="A6377" i="2"/>
  <c r="A6376" i="2"/>
  <c r="A6375" i="2"/>
  <c r="A6374" i="2"/>
  <c r="A6373" i="2"/>
  <c r="A6372" i="2"/>
  <c r="A6371" i="2"/>
  <c r="A6370" i="2"/>
  <c r="A6369" i="2"/>
  <c r="A6368" i="2"/>
  <c r="A6367" i="2"/>
  <c r="A6366" i="2"/>
  <c r="A6365" i="2"/>
  <c r="A6364" i="2"/>
  <c r="A6363" i="2"/>
  <c r="A6362" i="2"/>
  <c r="A6361" i="2"/>
  <c r="A6360" i="2"/>
  <c r="A6359" i="2"/>
  <c r="A6358" i="2"/>
  <c r="A6357" i="2"/>
  <c r="A6356" i="2"/>
  <c r="A6355" i="2"/>
  <c r="A6354" i="2"/>
  <c r="A6353" i="2"/>
  <c r="A6352" i="2"/>
  <c r="A6351" i="2"/>
  <c r="A6350" i="2"/>
  <c r="A6349" i="2"/>
  <c r="A6348" i="2"/>
  <c r="A6347" i="2"/>
  <c r="A6346" i="2"/>
  <c r="A6345" i="2"/>
  <c r="A6344" i="2"/>
  <c r="A6343" i="2"/>
  <c r="A6342" i="2"/>
  <c r="A6341" i="2"/>
  <c r="A6340" i="2"/>
  <c r="A6339" i="2"/>
  <c r="A6338" i="2"/>
  <c r="A6337" i="2"/>
  <c r="A6336" i="2"/>
  <c r="A6335" i="2"/>
  <c r="A6334" i="2"/>
  <c r="A6333" i="2"/>
  <c r="A6332" i="2"/>
  <c r="A6331" i="2"/>
  <c r="A6330" i="2"/>
  <c r="A6329" i="2"/>
  <c r="A6328" i="2"/>
  <c r="A6327" i="2"/>
  <c r="A6326" i="2"/>
  <c r="A6325" i="2"/>
  <c r="A6324" i="2"/>
  <c r="A6323" i="2"/>
  <c r="A6322" i="2"/>
  <c r="A6321" i="2"/>
  <c r="A6320" i="2"/>
  <c r="A6319" i="2"/>
  <c r="A6318" i="2"/>
  <c r="A6317" i="2"/>
  <c r="A6316" i="2"/>
  <c r="A6315" i="2"/>
  <c r="A6314" i="2"/>
  <c r="A6313" i="2"/>
  <c r="A6312" i="2"/>
  <c r="A6311" i="2"/>
  <c r="A6310" i="2"/>
  <c r="A6309" i="2"/>
  <c r="A6308" i="2"/>
  <c r="A6307" i="2"/>
  <c r="A6306" i="2"/>
  <c r="A6305" i="2"/>
  <c r="A6304" i="2"/>
  <c r="A6303" i="2"/>
  <c r="A6302" i="2"/>
  <c r="A6301" i="2"/>
  <c r="A6300" i="2"/>
  <c r="A6299" i="2"/>
  <c r="A6298" i="2"/>
  <c r="A6297" i="2"/>
  <c r="A6296" i="2"/>
  <c r="A6295" i="2"/>
  <c r="A6294" i="2"/>
  <c r="A6293" i="2"/>
  <c r="A6292" i="2"/>
  <c r="A6291" i="2"/>
  <c r="A6290" i="2"/>
  <c r="A6289" i="2"/>
  <c r="A6288" i="2"/>
  <c r="A6287" i="2"/>
  <c r="A6286" i="2"/>
  <c r="A6285" i="2"/>
  <c r="A6284" i="2"/>
  <c r="A6283" i="2"/>
  <c r="A6282" i="2"/>
  <c r="A6281" i="2"/>
  <c r="A6280" i="2"/>
  <c r="A6279" i="2"/>
  <c r="A6278" i="2"/>
  <c r="A6277" i="2"/>
  <c r="A6276" i="2"/>
  <c r="A6275" i="2"/>
  <c r="A6274" i="2"/>
  <c r="A6273" i="2"/>
  <c r="A6272" i="2"/>
  <c r="A6271" i="2"/>
  <c r="A6270" i="2"/>
  <c r="A6269" i="2"/>
  <c r="A6268" i="2"/>
  <c r="A6267" i="2"/>
  <c r="A6266" i="2"/>
  <c r="A6265" i="2"/>
  <c r="A6264" i="2"/>
  <c r="A6263" i="2"/>
  <c r="A6262" i="2"/>
  <c r="A6261" i="2"/>
  <c r="A6260" i="2"/>
  <c r="A6259" i="2"/>
  <c r="A6258" i="2"/>
  <c r="A6257" i="2"/>
  <c r="A6256" i="2"/>
  <c r="A6255" i="2"/>
  <c r="A6254" i="2"/>
  <c r="A6253" i="2"/>
  <c r="A6252" i="2"/>
  <c r="A6251" i="2"/>
  <c r="A6250" i="2"/>
  <c r="A6249" i="2"/>
  <c r="A6248" i="2"/>
  <c r="A6247" i="2"/>
  <c r="A6246" i="2"/>
  <c r="A6245" i="2"/>
  <c r="A6244" i="2"/>
  <c r="A6243" i="2"/>
  <c r="A6242" i="2"/>
  <c r="A6241" i="2"/>
  <c r="A6240" i="2"/>
  <c r="A6239" i="2"/>
  <c r="A6238" i="2"/>
  <c r="A6237" i="2"/>
  <c r="A6236" i="2"/>
  <c r="A6235" i="2"/>
  <c r="A6234" i="2"/>
  <c r="A6233" i="2"/>
  <c r="A6232" i="2"/>
  <c r="A6231" i="2"/>
  <c r="A6230" i="2"/>
  <c r="A6229" i="2"/>
  <c r="A6228" i="2"/>
  <c r="A6227" i="2"/>
  <c r="A6226" i="2"/>
  <c r="A6225" i="2"/>
  <c r="A6224" i="2"/>
  <c r="A6223" i="2"/>
  <c r="A6222" i="2"/>
  <c r="A6221" i="2"/>
  <c r="A6220" i="2"/>
  <c r="A6219" i="2"/>
  <c r="A6218" i="2"/>
  <c r="A6217" i="2"/>
  <c r="A6216" i="2"/>
  <c r="A6215" i="2"/>
  <c r="A6214" i="2"/>
  <c r="A6213" i="2"/>
  <c r="A6212" i="2"/>
  <c r="A6211" i="2"/>
  <c r="A6210" i="2"/>
  <c r="A6209" i="2"/>
  <c r="A6208" i="2"/>
  <c r="A6207" i="2"/>
  <c r="A6206" i="2"/>
  <c r="A6205" i="2"/>
  <c r="A6204" i="2"/>
  <c r="A6203" i="2"/>
  <c r="A6202" i="2"/>
  <c r="A6201" i="2"/>
  <c r="A6200" i="2"/>
  <c r="A6199" i="2"/>
  <c r="A6198" i="2"/>
  <c r="A6197" i="2"/>
  <c r="A6196" i="2"/>
  <c r="A6195" i="2"/>
  <c r="A6194" i="2"/>
  <c r="A6193" i="2"/>
  <c r="A6192" i="2"/>
  <c r="A6191" i="2"/>
  <c r="A6190" i="2"/>
  <c r="A6189" i="2"/>
  <c r="A6188" i="2"/>
  <c r="A6187" i="2"/>
  <c r="A6186" i="2"/>
  <c r="A6185" i="2"/>
  <c r="A6184" i="2"/>
  <c r="A6183" i="2"/>
  <c r="A6182" i="2"/>
  <c r="A6181" i="2"/>
  <c r="A6180" i="2"/>
  <c r="A6179" i="2"/>
  <c r="A6178" i="2"/>
  <c r="A6177" i="2"/>
  <c r="A6176" i="2"/>
  <c r="A6175" i="2"/>
  <c r="A6174" i="2"/>
  <c r="A6173" i="2"/>
  <c r="A6172" i="2"/>
  <c r="A6171" i="2"/>
  <c r="A6170" i="2"/>
  <c r="A6169" i="2"/>
  <c r="A6168" i="2"/>
  <c r="A6167" i="2"/>
  <c r="A6166" i="2"/>
  <c r="A6165" i="2"/>
  <c r="A6164" i="2"/>
  <c r="A6163" i="2"/>
  <c r="A6162" i="2"/>
  <c r="A6161" i="2"/>
  <c r="A6160" i="2"/>
  <c r="A6159" i="2"/>
  <c r="A6158" i="2"/>
  <c r="A6157" i="2"/>
  <c r="A6156" i="2"/>
  <c r="A6155" i="2"/>
  <c r="A6154" i="2"/>
  <c r="A6153" i="2"/>
  <c r="A6152" i="2"/>
  <c r="A6151" i="2"/>
  <c r="A6150" i="2"/>
  <c r="A6149" i="2"/>
  <c r="A6148" i="2"/>
  <c r="A6147" i="2"/>
  <c r="A6146" i="2"/>
  <c r="A6145" i="2"/>
  <c r="A6144" i="2"/>
  <c r="A6143" i="2"/>
  <c r="A6142" i="2"/>
  <c r="A6141" i="2"/>
  <c r="A6140" i="2"/>
  <c r="A6139" i="2"/>
  <c r="A6138" i="2"/>
  <c r="A6137" i="2"/>
  <c r="A6136" i="2"/>
  <c r="A6135" i="2"/>
  <c r="A6134" i="2"/>
  <c r="A6133" i="2"/>
  <c r="A6132" i="2"/>
  <c r="A6131" i="2"/>
  <c r="A6130" i="2"/>
  <c r="A6129" i="2"/>
  <c r="A6128" i="2"/>
  <c r="A6127" i="2"/>
  <c r="A6126" i="2"/>
  <c r="A6125" i="2"/>
  <c r="A6124" i="2"/>
  <c r="A6123" i="2"/>
  <c r="A6122" i="2"/>
  <c r="A6121" i="2"/>
  <c r="A6120" i="2"/>
  <c r="A6119" i="2"/>
  <c r="A6118" i="2"/>
  <c r="A6117" i="2"/>
  <c r="A6116" i="2"/>
  <c r="A6115" i="2"/>
  <c r="A6114" i="2"/>
  <c r="A6113" i="2"/>
  <c r="A6112" i="2"/>
  <c r="A6111" i="2"/>
  <c r="A6110" i="2"/>
  <c r="A6109" i="2"/>
  <c r="A6108" i="2"/>
  <c r="A6107" i="2"/>
  <c r="A6106" i="2"/>
  <c r="A6105" i="2"/>
  <c r="A6104" i="2"/>
  <c r="A6103" i="2"/>
  <c r="A6102" i="2"/>
  <c r="A6101" i="2"/>
  <c r="A6100" i="2"/>
  <c r="A6099" i="2"/>
  <c r="A6098" i="2"/>
  <c r="A6097" i="2"/>
  <c r="A6096" i="2"/>
  <c r="A6095" i="2"/>
  <c r="A6094" i="2"/>
  <c r="A6093" i="2"/>
  <c r="A6092" i="2"/>
  <c r="A6091" i="2"/>
  <c r="A6090" i="2"/>
  <c r="A6089" i="2"/>
  <c r="A6088" i="2"/>
  <c r="A6087" i="2"/>
  <c r="A6086" i="2"/>
  <c r="A6085" i="2"/>
  <c r="A6084" i="2"/>
  <c r="A6083" i="2"/>
  <c r="A6082" i="2"/>
  <c r="A6081" i="2"/>
  <c r="A6080" i="2"/>
  <c r="A6079" i="2"/>
  <c r="A6078" i="2"/>
  <c r="A6077" i="2"/>
  <c r="A6076" i="2"/>
  <c r="A6075" i="2"/>
  <c r="A6074" i="2"/>
  <c r="A6073" i="2"/>
  <c r="A6072" i="2"/>
  <c r="A6071" i="2"/>
  <c r="A6070" i="2"/>
  <c r="A6069" i="2"/>
  <c r="A6068" i="2"/>
  <c r="A6067" i="2"/>
  <c r="A6066" i="2"/>
  <c r="A6065" i="2"/>
  <c r="A6064" i="2"/>
  <c r="A6063" i="2"/>
  <c r="A6062" i="2"/>
  <c r="A6061" i="2"/>
  <c r="A6060" i="2"/>
  <c r="A6059" i="2"/>
  <c r="A6058" i="2"/>
  <c r="A6057" i="2"/>
  <c r="A6056" i="2"/>
  <c r="A6055" i="2"/>
  <c r="A6054" i="2"/>
  <c r="A6053" i="2"/>
  <c r="A6052" i="2"/>
  <c r="A6051" i="2"/>
  <c r="A6050" i="2"/>
  <c r="A6049" i="2"/>
  <c r="A6048" i="2"/>
  <c r="A6047" i="2"/>
  <c r="A6046" i="2"/>
  <c r="A6045" i="2"/>
  <c r="A6044" i="2"/>
  <c r="A6043" i="2"/>
  <c r="A6042" i="2"/>
  <c r="A6041" i="2"/>
  <c r="A6040" i="2"/>
  <c r="A6039" i="2"/>
  <c r="A6038" i="2"/>
  <c r="A6037" i="2"/>
  <c r="A6036" i="2"/>
  <c r="A6035" i="2"/>
  <c r="A6034" i="2"/>
  <c r="A6033" i="2"/>
  <c r="A6032" i="2"/>
  <c r="A6031" i="2"/>
  <c r="A6030" i="2"/>
  <c r="A6029" i="2"/>
  <c r="A6028" i="2"/>
  <c r="A6027" i="2"/>
  <c r="A6026" i="2"/>
  <c r="A6025" i="2"/>
  <c r="A6024" i="2"/>
  <c r="A6023" i="2"/>
  <c r="A6022" i="2"/>
  <c r="A6021" i="2"/>
  <c r="A6020" i="2"/>
  <c r="A6019" i="2"/>
  <c r="A6018" i="2"/>
  <c r="A6017" i="2"/>
  <c r="A6016" i="2"/>
  <c r="A6015" i="2"/>
  <c r="A6014" i="2"/>
  <c r="A6013" i="2"/>
  <c r="A6012" i="2"/>
  <c r="A6011" i="2"/>
  <c r="A6010" i="2"/>
  <c r="A6009" i="2"/>
  <c r="A6008" i="2"/>
  <c r="A6007" i="2"/>
  <c r="A6006" i="2"/>
  <c r="A6005" i="2"/>
  <c r="A6004" i="2"/>
  <c r="A6003" i="2"/>
  <c r="A6002" i="2"/>
  <c r="A6001" i="2"/>
  <c r="A6000" i="2"/>
  <c r="A5999" i="2"/>
  <c r="A5998" i="2"/>
  <c r="A5997" i="2"/>
  <c r="A5996" i="2"/>
  <c r="A5995" i="2"/>
  <c r="A5994" i="2"/>
  <c r="A5993" i="2"/>
  <c r="A5992" i="2"/>
  <c r="A5991" i="2"/>
  <c r="A5990" i="2"/>
  <c r="A5989" i="2"/>
  <c r="A5988" i="2"/>
  <c r="A5987" i="2"/>
  <c r="A5986" i="2"/>
  <c r="A5985" i="2"/>
  <c r="A5984" i="2"/>
  <c r="A5983" i="2"/>
  <c r="A5982" i="2"/>
  <c r="A5981" i="2"/>
  <c r="A5980" i="2"/>
  <c r="A5979" i="2"/>
  <c r="A5978" i="2"/>
  <c r="A5977" i="2"/>
  <c r="A5976" i="2"/>
  <c r="A5975" i="2"/>
  <c r="A5974" i="2"/>
  <c r="A5973" i="2"/>
  <c r="A5972" i="2"/>
  <c r="A5971" i="2"/>
  <c r="A5970" i="2"/>
  <c r="A5969" i="2"/>
  <c r="A5968" i="2"/>
  <c r="A5967" i="2"/>
  <c r="A5966" i="2"/>
  <c r="A5965" i="2"/>
  <c r="A5964" i="2"/>
  <c r="A5963" i="2"/>
  <c r="A5962" i="2"/>
  <c r="A5961" i="2"/>
  <c r="A5960" i="2"/>
  <c r="A5959" i="2"/>
  <c r="A5958" i="2"/>
  <c r="A5957" i="2"/>
  <c r="A5956" i="2"/>
  <c r="A5955" i="2"/>
  <c r="A5954" i="2"/>
  <c r="A5953" i="2"/>
  <c r="A5952" i="2"/>
  <c r="A5951" i="2"/>
  <c r="A5950" i="2"/>
  <c r="A5949" i="2"/>
  <c r="A5948" i="2"/>
  <c r="A5947" i="2"/>
  <c r="A5946" i="2"/>
  <c r="A5945" i="2"/>
  <c r="A5944" i="2"/>
  <c r="A5943" i="2"/>
  <c r="A5942" i="2"/>
  <c r="A5941" i="2"/>
  <c r="A5940" i="2"/>
  <c r="A5939" i="2"/>
  <c r="A5938" i="2"/>
  <c r="A5937" i="2"/>
  <c r="A5936" i="2"/>
  <c r="A5935" i="2"/>
  <c r="A5934" i="2"/>
  <c r="A5933" i="2"/>
  <c r="A5932" i="2"/>
  <c r="A5931" i="2"/>
  <c r="A5930" i="2"/>
  <c r="A5929" i="2"/>
  <c r="A5928" i="2"/>
  <c r="A5927" i="2"/>
  <c r="A5926" i="2"/>
  <c r="A5925" i="2"/>
  <c r="A5924" i="2"/>
  <c r="A5923" i="2"/>
  <c r="A5922" i="2"/>
  <c r="A5921" i="2"/>
  <c r="A5920" i="2"/>
  <c r="A5919" i="2"/>
  <c r="A5918" i="2"/>
  <c r="A5917" i="2"/>
  <c r="A5916" i="2"/>
  <c r="A5915" i="2"/>
  <c r="A5914" i="2"/>
  <c r="A5913" i="2"/>
  <c r="A5912" i="2"/>
  <c r="A5911" i="2"/>
  <c r="A5910" i="2"/>
  <c r="A5909" i="2"/>
  <c r="A5908" i="2"/>
  <c r="A5907" i="2"/>
  <c r="A5906" i="2"/>
  <c r="A5905" i="2"/>
  <c r="A5904" i="2"/>
  <c r="A5903" i="2"/>
  <c r="A5902" i="2"/>
  <c r="A5901" i="2"/>
  <c r="A5900" i="2"/>
  <c r="A5899" i="2"/>
  <c r="A5898" i="2"/>
  <c r="A5897" i="2"/>
  <c r="A5896" i="2"/>
  <c r="A5895" i="2"/>
  <c r="A5894" i="2"/>
  <c r="A5893" i="2"/>
  <c r="A5892" i="2"/>
  <c r="A5891" i="2"/>
  <c r="A5890" i="2"/>
  <c r="A5889" i="2"/>
  <c r="A5888" i="2"/>
  <c r="A5887" i="2"/>
  <c r="A5886" i="2"/>
  <c r="A5885" i="2"/>
  <c r="A5884" i="2"/>
  <c r="A5883" i="2"/>
  <c r="A5882" i="2"/>
  <c r="A5881" i="2"/>
  <c r="A5880" i="2"/>
  <c r="A5879" i="2"/>
  <c r="A5878" i="2"/>
  <c r="A5877" i="2"/>
  <c r="A5876" i="2"/>
  <c r="A5875" i="2"/>
  <c r="A5874" i="2"/>
  <c r="A5873" i="2"/>
  <c r="A5872" i="2"/>
  <c r="A5871" i="2"/>
  <c r="A5870" i="2"/>
  <c r="A5869" i="2"/>
  <c r="A5868" i="2"/>
  <c r="A5867" i="2"/>
  <c r="A5866" i="2"/>
  <c r="A5865" i="2"/>
  <c r="A5864" i="2"/>
  <c r="A5863" i="2"/>
  <c r="A5862" i="2"/>
  <c r="A5861" i="2"/>
  <c r="A5860" i="2"/>
  <c r="A5859" i="2"/>
  <c r="A5858" i="2"/>
  <c r="A5857" i="2"/>
  <c r="A5856" i="2"/>
  <c r="A5855" i="2"/>
  <c r="A5854" i="2"/>
  <c r="A5853" i="2"/>
  <c r="A5852" i="2"/>
  <c r="A5851" i="2"/>
  <c r="A5850" i="2"/>
  <c r="A5849" i="2"/>
  <c r="A5848" i="2"/>
  <c r="A5847" i="2"/>
  <c r="A5846" i="2"/>
  <c r="A5845" i="2"/>
  <c r="A5844" i="2"/>
  <c r="A5843" i="2"/>
  <c r="A5842" i="2"/>
  <c r="A5841" i="2"/>
  <c r="A5840" i="2"/>
  <c r="A5839" i="2"/>
  <c r="A5838" i="2"/>
  <c r="A5837" i="2"/>
  <c r="A5836" i="2"/>
  <c r="A5835" i="2"/>
  <c r="A5834" i="2"/>
  <c r="A5833" i="2"/>
  <c r="A5832" i="2"/>
  <c r="A5831" i="2"/>
  <c r="A5830" i="2"/>
  <c r="A5829" i="2"/>
  <c r="A5828" i="2"/>
  <c r="A5827" i="2"/>
  <c r="A5826" i="2"/>
  <c r="A5825" i="2"/>
  <c r="A5824" i="2"/>
  <c r="A5823" i="2"/>
  <c r="A5822" i="2"/>
  <c r="A5821" i="2"/>
  <c r="A5820" i="2"/>
  <c r="A5819" i="2"/>
  <c r="A5818" i="2"/>
  <c r="A5817" i="2"/>
  <c r="A5816" i="2"/>
  <c r="A5815" i="2"/>
  <c r="A5814" i="2"/>
  <c r="A5813" i="2"/>
  <c r="A5812" i="2"/>
  <c r="A5811" i="2"/>
  <c r="A5810" i="2"/>
  <c r="A5809" i="2"/>
  <c r="A5808" i="2"/>
  <c r="A5807" i="2"/>
  <c r="A5806" i="2"/>
  <c r="A5805" i="2"/>
  <c r="A5804" i="2"/>
  <c r="A5803" i="2"/>
  <c r="A5802" i="2"/>
  <c r="A5801" i="2"/>
  <c r="A5800" i="2"/>
  <c r="A5799" i="2"/>
  <c r="A5798" i="2"/>
  <c r="A5797" i="2"/>
  <c r="A5796" i="2"/>
  <c r="A5795" i="2"/>
  <c r="A5794" i="2"/>
  <c r="A5793" i="2"/>
  <c r="A5792" i="2"/>
  <c r="A5791" i="2"/>
  <c r="A5790" i="2"/>
  <c r="A5789" i="2"/>
  <c r="A5788" i="2"/>
  <c r="A5787" i="2"/>
  <c r="A5786" i="2"/>
  <c r="A5785" i="2"/>
  <c r="A5784" i="2"/>
  <c r="A5783" i="2"/>
  <c r="A5782" i="2"/>
  <c r="A5781" i="2"/>
  <c r="A5780" i="2"/>
  <c r="A5779" i="2"/>
  <c r="A5778" i="2"/>
  <c r="A5777" i="2"/>
  <c r="A5776" i="2"/>
  <c r="A5775" i="2"/>
  <c r="A5774" i="2"/>
  <c r="A5773" i="2"/>
  <c r="A5772" i="2"/>
  <c r="A5771" i="2"/>
  <c r="A5770" i="2"/>
  <c r="A5769" i="2"/>
  <c r="A5768" i="2"/>
  <c r="A5767" i="2"/>
  <c r="A5766" i="2"/>
  <c r="A5765" i="2"/>
  <c r="A5764" i="2"/>
  <c r="A5763" i="2"/>
  <c r="A5762" i="2"/>
  <c r="A5761" i="2"/>
  <c r="A5760" i="2"/>
  <c r="A5759" i="2"/>
  <c r="A5758" i="2"/>
  <c r="A5757" i="2"/>
  <c r="A5756" i="2"/>
  <c r="A5755" i="2"/>
  <c r="A5754" i="2"/>
  <c r="A5753" i="2"/>
  <c r="A5752" i="2"/>
  <c r="A5751" i="2"/>
  <c r="A5750" i="2"/>
  <c r="A5749" i="2"/>
  <c r="A5748" i="2"/>
  <c r="A5747" i="2"/>
  <c r="A5746" i="2"/>
  <c r="A5745" i="2"/>
  <c r="A5744" i="2"/>
  <c r="A5743" i="2"/>
  <c r="A5742" i="2"/>
  <c r="A5741" i="2"/>
  <c r="A5740" i="2"/>
  <c r="A5739" i="2"/>
  <c r="A5738" i="2"/>
  <c r="A5737" i="2"/>
  <c r="A5736" i="2"/>
  <c r="A5735" i="2"/>
  <c r="A5734" i="2"/>
  <c r="A5733" i="2"/>
  <c r="A5732" i="2"/>
  <c r="A5731" i="2"/>
  <c r="A5730" i="2"/>
  <c r="A5729" i="2"/>
  <c r="A5728" i="2"/>
  <c r="A5727" i="2"/>
  <c r="A5726" i="2"/>
  <c r="A5725" i="2"/>
  <c r="A5724" i="2"/>
  <c r="A5723" i="2"/>
  <c r="A5722" i="2"/>
  <c r="A5721" i="2"/>
  <c r="A5720" i="2"/>
  <c r="A5719" i="2"/>
  <c r="A5718" i="2"/>
  <c r="A5717" i="2"/>
  <c r="A5716" i="2"/>
  <c r="A5715" i="2"/>
  <c r="A5714" i="2"/>
  <c r="A5713" i="2"/>
  <c r="A5712" i="2"/>
  <c r="A5711" i="2"/>
  <c r="A5710" i="2"/>
  <c r="A5709" i="2"/>
  <c r="A5708" i="2"/>
  <c r="A5707" i="2"/>
  <c r="A5706" i="2"/>
  <c r="A5705" i="2"/>
  <c r="A5704" i="2"/>
  <c r="A5703" i="2"/>
  <c r="A5702" i="2"/>
  <c r="A5701" i="2"/>
  <c r="A5700" i="2"/>
  <c r="A5699" i="2"/>
  <c r="A5698" i="2"/>
  <c r="A5697" i="2"/>
  <c r="A5696" i="2"/>
  <c r="A5695" i="2"/>
  <c r="A5694" i="2"/>
  <c r="A5693" i="2"/>
  <c r="A5692" i="2"/>
  <c r="A5691" i="2"/>
  <c r="A5690" i="2"/>
  <c r="A5689" i="2"/>
  <c r="A5688" i="2"/>
  <c r="A5687" i="2"/>
  <c r="A5686" i="2"/>
  <c r="A5685" i="2"/>
  <c r="A5684" i="2"/>
  <c r="A5683" i="2"/>
  <c r="A5682" i="2"/>
  <c r="A5681" i="2"/>
  <c r="A5680" i="2"/>
  <c r="A5679" i="2"/>
  <c r="A5678" i="2"/>
  <c r="A5677" i="2"/>
  <c r="A5676" i="2"/>
  <c r="A5675" i="2"/>
  <c r="A5674" i="2"/>
  <c r="A5673" i="2"/>
  <c r="A5672" i="2"/>
  <c r="A5671" i="2"/>
  <c r="A5670" i="2"/>
  <c r="A5669" i="2"/>
  <c r="A5668" i="2"/>
  <c r="A5667" i="2"/>
  <c r="A5666" i="2"/>
  <c r="A5665" i="2"/>
  <c r="A5664" i="2"/>
  <c r="A5663" i="2"/>
  <c r="A5662" i="2"/>
  <c r="A5661" i="2"/>
  <c r="A5660" i="2"/>
  <c r="A5659" i="2"/>
  <c r="A5658" i="2"/>
  <c r="A5657" i="2"/>
  <c r="A5656" i="2"/>
  <c r="A5655" i="2"/>
  <c r="A5654" i="2"/>
  <c r="A5653" i="2"/>
  <c r="A5652" i="2"/>
  <c r="A5651" i="2"/>
  <c r="A5650" i="2"/>
  <c r="A5649" i="2"/>
  <c r="A5648" i="2"/>
  <c r="A5647" i="2"/>
  <c r="A5646" i="2"/>
  <c r="A5645" i="2"/>
  <c r="A5644" i="2"/>
  <c r="A5643" i="2"/>
  <c r="A5642" i="2"/>
  <c r="A5641" i="2"/>
  <c r="A5640" i="2"/>
  <c r="A5639" i="2"/>
  <c r="A5638" i="2"/>
  <c r="A5637" i="2"/>
  <c r="A5636" i="2"/>
  <c r="A5635" i="2"/>
  <c r="A5634" i="2"/>
  <c r="A5633" i="2"/>
  <c r="A5632" i="2"/>
  <c r="A5631" i="2"/>
  <c r="A5630" i="2"/>
  <c r="A5629" i="2"/>
  <c r="A5628" i="2"/>
  <c r="A5627" i="2"/>
  <c r="A5626" i="2"/>
  <c r="A5625" i="2"/>
  <c r="A5624" i="2"/>
  <c r="A5623" i="2"/>
  <c r="A5622" i="2"/>
  <c r="A5621" i="2"/>
  <c r="A5620" i="2"/>
  <c r="A5619" i="2"/>
  <c r="A5618" i="2"/>
  <c r="A5617" i="2"/>
  <c r="A5616" i="2"/>
  <c r="A5615" i="2"/>
  <c r="A5614" i="2"/>
  <c r="A5613" i="2"/>
  <c r="A5612" i="2"/>
  <c r="A5611" i="2"/>
  <c r="A5610" i="2"/>
  <c r="A5609" i="2"/>
  <c r="A5608" i="2"/>
  <c r="A5607" i="2"/>
  <c r="A5606" i="2"/>
  <c r="A5605" i="2"/>
  <c r="A5604" i="2"/>
  <c r="A5603" i="2"/>
  <c r="A5602" i="2"/>
  <c r="A5601" i="2"/>
  <c r="A5600" i="2"/>
  <c r="A5599" i="2"/>
  <c r="A5598" i="2"/>
  <c r="A5597" i="2"/>
  <c r="A5596" i="2"/>
  <c r="A5595" i="2"/>
  <c r="A5594" i="2"/>
  <c r="A5593" i="2"/>
  <c r="A5592" i="2"/>
  <c r="A5591" i="2"/>
  <c r="A5590" i="2"/>
  <c r="A5589" i="2"/>
  <c r="A5588" i="2"/>
  <c r="A5587" i="2"/>
  <c r="A5586" i="2"/>
  <c r="A5585" i="2"/>
  <c r="A5584" i="2"/>
  <c r="A5583" i="2"/>
  <c r="A5582" i="2"/>
  <c r="A5581" i="2"/>
  <c r="A5580" i="2"/>
  <c r="A5579" i="2"/>
  <c r="A5578" i="2"/>
  <c r="A5577" i="2"/>
  <c r="A5576" i="2"/>
  <c r="A5575" i="2"/>
  <c r="A5574" i="2"/>
  <c r="A5573" i="2"/>
  <c r="A5572" i="2"/>
  <c r="A5571" i="2"/>
  <c r="A5570" i="2"/>
  <c r="A5569" i="2"/>
  <c r="A5568" i="2"/>
  <c r="A5567" i="2"/>
  <c r="A5566" i="2"/>
  <c r="A5565" i="2"/>
  <c r="A5564" i="2"/>
  <c r="A5563" i="2"/>
  <c r="A5562" i="2"/>
  <c r="A5561" i="2"/>
  <c r="A5560" i="2"/>
  <c r="A5559" i="2"/>
  <c r="A5558" i="2"/>
  <c r="A5557" i="2"/>
  <c r="A5556" i="2"/>
  <c r="A5555" i="2"/>
  <c r="A5554" i="2"/>
  <c r="A5553" i="2"/>
  <c r="A5552" i="2"/>
  <c r="A5551" i="2"/>
  <c r="A5550" i="2"/>
  <c r="A5549" i="2"/>
  <c r="A5548" i="2"/>
  <c r="A5547" i="2"/>
  <c r="A5546" i="2"/>
  <c r="A5545" i="2"/>
  <c r="A5544" i="2"/>
  <c r="A5543" i="2"/>
  <c r="A5542" i="2"/>
  <c r="A5541" i="2"/>
  <c r="A5540" i="2"/>
  <c r="A5539" i="2"/>
  <c r="A5538" i="2"/>
  <c r="A5537" i="2"/>
  <c r="A5536" i="2"/>
  <c r="A5535" i="2"/>
  <c r="A5534" i="2"/>
  <c r="A5533" i="2"/>
  <c r="A5532" i="2"/>
  <c r="A5531" i="2"/>
  <c r="A5530" i="2"/>
  <c r="A5529" i="2"/>
  <c r="A5528" i="2"/>
  <c r="A5527" i="2"/>
  <c r="A5526" i="2"/>
  <c r="A5525" i="2"/>
  <c r="A5524" i="2"/>
  <c r="A5523" i="2"/>
  <c r="A5522" i="2"/>
  <c r="A5521" i="2"/>
  <c r="A5520" i="2"/>
  <c r="A5519" i="2"/>
  <c r="A5518" i="2"/>
  <c r="A5517" i="2"/>
  <c r="A5516" i="2"/>
  <c r="A5515" i="2"/>
  <c r="A5514" i="2"/>
  <c r="A5513" i="2"/>
  <c r="A5512" i="2"/>
  <c r="A5511" i="2"/>
  <c r="A5510" i="2"/>
  <c r="A5509" i="2"/>
  <c r="A5508" i="2"/>
  <c r="A5507" i="2"/>
  <c r="A5506" i="2"/>
  <c r="A5505" i="2"/>
  <c r="A5504" i="2"/>
  <c r="A5503" i="2"/>
  <c r="A5502" i="2"/>
  <c r="A5501" i="2"/>
  <c r="A5500" i="2"/>
  <c r="A5499" i="2"/>
  <c r="A5498" i="2"/>
  <c r="A5497" i="2"/>
  <c r="A5496" i="2"/>
  <c r="A5495" i="2"/>
  <c r="A5494" i="2"/>
  <c r="A5493" i="2"/>
  <c r="A5492" i="2"/>
  <c r="A5491" i="2"/>
  <c r="A5490" i="2"/>
  <c r="A5489" i="2"/>
  <c r="A5488" i="2"/>
  <c r="A5487" i="2"/>
  <c r="A5486" i="2"/>
  <c r="A5485" i="2"/>
  <c r="A5484" i="2"/>
  <c r="A5483" i="2"/>
  <c r="A5482" i="2"/>
  <c r="A5481" i="2"/>
  <c r="A5480" i="2"/>
  <c r="A5479" i="2"/>
  <c r="A5478" i="2"/>
  <c r="A5477" i="2"/>
  <c r="A5476" i="2"/>
  <c r="A5475" i="2"/>
  <c r="A5474" i="2"/>
  <c r="A5473" i="2"/>
  <c r="A5472" i="2"/>
  <c r="A5471" i="2"/>
  <c r="A5470" i="2"/>
  <c r="A5469" i="2"/>
  <c r="A5468" i="2"/>
  <c r="A5467" i="2"/>
  <c r="A5466" i="2"/>
  <c r="A5465" i="2"/>
  <c r="A5464" i="2"/>
  <c r="A5463" i="2"/>
  <c r="A5462" i="2"/>
  <c r="A5461" i="2"/>
  <c r="A5460" i="2"/>
  <c r="A5459" i="2"/>
  <c r="A5458" i="2"/>
  <c r="A5457" i="2"/>
  <c r="A5456" i="2"/>
  <c r="A5455" i="2"/>
  <c r="A5454" i="2"/>
  <c r="A5453" i="2"/>
  <c r="A5452" i="2"/>
  <c r="A5451" i="2"/>
  <c r="A5450" i="2"/>
  <c r="A5449" i="2"/>
  <c r="A5448" i="2"/>
  <c r="A5447" i="2"/>
  <c r="A5446" i="2"/>
  <c r="A5445" i="2"/>
  <c r="A5444" i="2"/>
  <c r="A5443" i="2"/>
  <c r="A5442" i="2"/>
  <c r="A5441" i="2"/>
  <c r="A5440" i="2"/>
  <c r="A5439" i="2"/>
  <c r="A5438" i="2"/>
  <c r="A5437" i="2"/>
  <c r="A5436" i="2"/>
  <c r="A5435" i="2"/>
  <c r="A5434" i="2"/>
  <c r="A5433" i="2"/>
  <c r="A5432" i="2"/>
  <c r="A5431" i="2"/>
  <c r="A5430" i="2"/>
  <c r="A5429" i="2"/>
  <c r="A5428" i="2"/>
  <c r="A5427" i="2"/>
  <c r="A5426" i="2"/>
  <c r="A5425" i="2"/>
  <c r="A5424" i="2"/>
  <c r="A5423" i="2"/>
  <c r="A5422" i="2"/>
  <c r="A5421" i="2"/>
  <c r="A5420" i="2"/>
  <c r="A5419" i="2"/>
  <c r="A5418" i="2"/>
  <c r="A5417" i="2"/>
  <c r="A5416" i="2"/>
  <c r="A5415" i="2"/>
  <c r="A5414" i="2"/>
  <c r="A5413" i="2"/>
  <c r="A5412" i="2"/>
  <c r="A5411" i="2"/>
  <c r="A5410" i="2"/>
  <c r="A5409" i="2"/>
  <c r="A5408" i="2"/>
  <c r="A5407" i="2"/>
  <c r="A5406" i="2"/>
  <c r="A5405" i="2"/>
  <c r="A5404" i="2"/>
  <c r="A5403" i="2"/>
  <c r="A5402" i="2"/>
  <c r="A5401" i="2"/>
  <c r="A5400" i="2"/>
  <c r="A5399" i="2"/>
  <c r="A5398" i="2"/>
  <c r="A5397" i="2"/>
  <c r="A5396" i="2"/>
  <c r="A5395" i="2"/>
  <c r="A5394" i="2"/>
  <c r="A5393" i="2"/>
  <c r="A5392" i="2"/>
  <c r="A5391" i="2"/>
  <c r="A5390" i="2"/>
  <c r="A5389" i="2"/>
  <c r="A5388" i="2"/>
  <c r="A5387" i="2"/>
  <c r="A5386" i="2"/>
  <c r="A5385" i="2"/>
  <c r="A5384" i="2"/>
  <c r="A5383" i="2"/>
  <c r="A5382" i="2"/>
  <c r="A5381" i="2"/>
  <c r="A5380" i="2"/>
  <c r="A5379" i="2"/>
  <c r="A5378" i="2"/>
  <c r="A5377" i="2"/>
  <c r="A5376" i="2"/>
  <c r="A5375" i="2"/>
  <c r="A5374" i="2"/>
  <c r="A5373" i="2"/>
  <c r="A5372" i="2"/>
  <c r="A5371" i="2"/>
  <c r="A5370" i="2"/>
  <c r="A5369" i="2"/>
  <c r="A5368" i="2"/>
  <c r="A5367" i="2"/>
  <c r="A5366" i="2"/>
  <c r="A5365" i="2"/>
  <c r="A5364" i="2"/>
  <c r="A5363" i="2"/>
  <c r="A5362" i="2"/>
  <c r="A5361" i="2"/>
  <c r="A5360" i="2"/>
  <c r="A5359" i="2"/>
  <c r="A5358" i="2"/>
  <c r="A5357" i="2"/>
  <c r="A5356" i="2"/>
  <c r="A5355" i="2"/>
  <c r="A5354" i="2"/>
  <c r="A5353" i="2"/>
  <c r="A5352" i="2"/>
  <c r="A5351" i="2"/>
  <c r="A5350" i="2"/>
  <c r="A5349" i="2"/>
  <c r="A5348" i="2"/>
  <c r="A5347" i="2"/>
  <c r="A5346" i="2"/>
  <c r="A5345" i="2"/>
  <c r="A5344" i="2"/>
  <c r="A5343" i="2"/>
  <c r="A5342" i="2"/>
  <c r="A5341" i="2"/>
  <c r="A5340" i="2"/>
  <c r="A5339" i="2"/>
  <c r="A5338" i="2"/>
  <c r="A5337" i="2"/>
  <c r="A5336" i="2"/>
  <c r="A5335" i="2"/>
  <c r="A5334" i="2"/>
  <c r="A5333" i="2"/>
  <c r="A5332" i="2"/>
  <c r="A5331" i="2"/>
  <c r="A5330" i="2"/>
  <c r="A5329" i="2"/>
  <c r="A5328" i="2"/>
  <c r="A5327" i="2"/>
  <c r="A5326" i="2"/>
  <c r="A5325" i="2"/>
  <c r="A5324" i="2"/>
  <c r="A5323" i="2"/>
  <c r="A5322" i="2"/>
  <c r="A5321" i="2"/>
  <c r="A5320" i="2"/>
  <c r="A5319" i="2"/>
  <c r="A5318" i="2"/>
  <c r="A5317" i="2"/>
  <c r="A5316" i="2"/>
  <c r="A5315" i="2"/>
  <c r="A5314" i="2"/>
  <c r="A5313" i="2"/>
  <c r="A5312" i="2"/>
  <c r="A5311" i="2"/>
  <c r="A5310" i="2"/>
  <c r="A5309" i="2"/>
  <c r="A5308" i="2"/>
  <c r="A5307" i="2"/>
  <c r="A5306" i="2"/>
  <c r="A5305" i="2"/>
  <c r="A5304" i="2"/>
  <c r="A5303" i="2"/>
  <c r="A5302" i="2"/>
  <c r="A5301" i="2"/>
  <c r="A5300" i="2"/>
  <c r="A5299" i="2"/>
  <c r="A5298" i="2"/>
  <c r="A5297" i="2"/>
  <c r="A5296" i="2"/>
  <c r="A5295" i="2"/>
  <c r="A5294" i="2"/>
  <c r="A5293" i="2"/>
  <c r="A5292" i="2"/>
  <c r="A5291" i="2"/>
  <c r="A5290" i="2"/>
  <c r="A5289" i="2"/>
  <c r="A5288" i="2"/>
  <c r="A5287" i="2"/>
  <c r="A5286" i="2"/>
  <c r="A5285" i="2"/>
  <c r="A5284" i="2"/>
  <c r="A5283" i="2"/>
  <c r="A5282" i="2"/>
  <c r="A5281" i="2"/>
  <c r="A5280" i="2"/>
  <c r="A5279" i="2"/>
  <c r="A5278" i="2"/>
  <c r="A5277" i="2"/>
  <c r="A5276" i="2"/>
  <c r="A5275" i="2"/>
  <c r="A5274" i="2"/>
  <c r="A5273" i="2"/>
  <c r="A5272" i="2"/>
  <c r="A5271" i="2"/>
  <c r="A5270" i="2"/>
  <c r="A5269" i="2"/>
  <c r="A5268" i="2"/>
  <c r="A5267" i="2"/>
  <c r="A5266" i="2"/>
  <c r="A5265" i="2"/>
  <c r="A5264" i="2"/>
  <c r="A5263" i="2"/>
  <c r="A5262" i="2"/>
  <c r="A5261" i="2"/>
  <c r="A5260" i="2"/>
  <c r="A5259" i="2"/>
  <c r="A5258" i="2"/>
  <c r="A5257" i="2"/>
  <c r="A5256" i="2"/>
  <c r="A5255" i="2"/>
  <c r="A5254" i="2"/>
  <c r="A5253" i="2"/>
  <c r="A5252" i="2"/>
  <c r="A5251" i="2"/>
  <c r="A5250" i="2"/>
  <c r="A5249" i="2"/>
  <c r="A5248" i="2"/>
  <c r="A5247" i="2"/>
  <c r="A5246" i="2"/>
  <c r="A5245" i="2"/>
  <c r="A5244" i="2"/>
  <c r="A5243" i="2"/>
  <c r="A5242" i="2"/>
  <c r="A5241" i="2"/>
  <c r="A5240" i="2"/>
  <c r="A5239" i="2"/>
  <c r="A5238" i="2"/>
  <c r="A5237" i="2"/>
  <c r="A5236" i="2"/>
  <c r="A5235" i="2"/>
  <c r="A5234" i="2"/>
  <c r="A5233" i="2"/>
  <c r="A5232" i="2"/>
  <c r="A5231" i="2"/>
  <c r="A5230" i="2"/>
  <c r="A5229" i="2"/>
  <c r="A5228" i="2"/>
  <c r="A5227" i="2"/>
  <c r="A5226" i="2"/>
  <c r="A5225" i="2"/>
  <c r="A5224" i="2"/>
  <c r="A5223" i="2"/>
  <c r="A5222" i="2"/>
  <c r="A5221" i="2"/>
  <c r="A5220" i="2"/>
  <c r="A5219" i="2"/>
  <c r="A5218" i="2"/>
  <c r="A5217" i="2"/>
  <c r="A5216" i="2"/>
  <c r="A5215" i="2"/>
  <c r="A5214" i="2"/>
  <c r="A5213" i="2"/>
  <c r="A5212" i="2"/>
  <c r="A5211" i="2"/>
  <c r="A5210" i="2"/>
  <c r="A5209" i="2"/>
  <c r="A5208" i="2"/>
  <c r="A5207" i="2"/>
  <c r="A5206" i="2"/>
  <c r="A5205" i="2"/>
  <c r="A5204" i="2"/>
  <c r="A5203" i="2"/>
  <c r="A5202" i="2"/>
  <c r="A5201" i="2"/>
  <c r="A5200" i="2"/>
  <c r="A5199" i="2"/>
  <c r="A5198" i="2"/>
  <c r="A5197" i="2"/>
  <c r="A5196" i="2"/>
  <c r="A5195" i="2"/>
  <c r="A5194" i="2"/>
  <c r="A5193" i="2"/>
  <c r="A5192" i="2"/>
  <c r="A5191" i="2"/>
  <c r="A5190" i="2"/>
  <c r="A5189" i="2"/>
  <c r="A5188" i="2"/>
  <c r="A5187" i="2"/>
  <c r="A5186" i="2"/>
  <c r="A5185" i="2"/>
  <c r="A5184" i="2"/>
  <c r="A5183" i="2"/>
  <c r="A5182" i="2"/>
  <c r="A5181" i="2"/>
  <c r="A5180" i="2"/>
  <c r="A5179" i="2"/>
  <c r="A5178" i="2"/>
  <c r="A5177" i="2"/>
  <c r="A5176" i="2"/>
  <c r="A5175" i="2"/>
  <c r="A5174" i="2"/>
  <c r="A5173" i="2"/>
  <c r="A5172" i="2"/>
  <c r="A5171" i="2"/>
  <c r="A5170" i="2"/>
  <c r="A5169" i="2"/>
  <c r="A5168" i="2"/>
  <c r="A5167" i="2"/>
  <c r="A5166" i="2"/>
  <c r="A5165" i="2"/>
  <c r="A5164" i="2"/>
  <c r="A5163" i="2"/>
  <c r="A5162" i="2"/>
  <c r="A5161" i="2"/>
  <c r="A5160" i="2"/>
  <c r="A5159" i="2"/>
  <c r="A5158" i="2"/>
  <c r="A5157" i="2"/>
  <c r="A5156" i="2"/>
  <c r="A5155" i="2"/>
  <c r="A5154" i="2"/>
  <c r="A5153" i="2"/>
  <c r="A5152" i="2"/>
  <c r="A5151" i="2"/>
  <c r="A5150" i="2"/>
  <c r="A5149" i="2"/>
  <c r="A5148" i="2"/>
  <c r="A5147" i="2"/>
  <c r="A5146" i="2"/>
  <c r="A5145" i="2"/>
  <c r="A5144" i="2"/>
  <c r="A5143" i="2"/>
  <c r="A5142" i="2"/>
  <c r="A5141" i="2"/>
  <c r="A5140" i="2"/>
  <c r="A5139" i="2"/>
  <c r="A5138" i="2"/>
  <c r="A5137" i="2"/>
  <c r="A5136" i="2"/>
  <c r="A5135" i="2"/>
  <c r="A5134" i="2"/>
  <c r="A5133" i="2"/>
  <c r="A5132" i="2"/>
  <c r="A5131" i="2"/>
  <c r="A5130" i="2"/>
  <c r="A5129" i="2"/>
  <c r="A5128" i="2"/>
  <c r="A5127" i="2"/>
  <c r="A5126" i="2"/>
  <c r="A5125" i="2"/>
  <c r="A5124" i="2"/>
  <c r="A5123" i="2"/>
  <c r="A5122" i="2"/>
  <c r="A5121" i="2"/>
  <c r="A5120" i="2"/>
  <c r="A5119" i="2"/>
  <c r="A5118" i="2"/>
  <c r="A5117" i="2"/>
  <c r="A5116" i="2"/>
  <c r="A5115" i="2"/>
  <c r="A5114" i="2"/>
  <c r="A5113" i="2"/>
  <c r="A5112" i="2"/>
  <c r="A5111" i="2"/>
  <c r="A5110" i="2"/>
  <c r="A5109" i="2"/>
  <c r="A5108" i="2"/>
  <c r="A5107" i="2"/>
  <c r="A5106" i="2"/>
  <c r="A5105" i="2"/>
  <c r="A5104" i="2"/>
  <c r="A5103" i="2"/>
  <c r="A5102" i="2"/>
  <c r="A5101" i="2"/>
  <c r="A5100" i="2"/>
  <c r="A5099" i="2"/>
  <c r="A5098" i="2"/>
  <c r="A5097" i="2"/>
  <c r="A5096" i="2"/>
  <c r="A5095" i="2"/>
  <c r="A5094" i="2"/>
  <c r="A5093" i="2"/>
  <c r="A5092" i="2"/>
  <c r="A5091" i="2"/>
  <c r="A5090" i="2"/>
  <c r="A5089" i="2"/>
  <c r="A5088" i="2"/>
  <c r="A5087" i="2"/>
  <c r="A5086" i="2"/>
  <c r="A5085" i="2"/>
  <c r="A5084" i="2"/>
  <c r="A5083" i="2"/>
  <c r="A5082" i="2"/>
  <c r="A5081" i="2"/>
  <c r="A5080" i="2"/>
  <c r="A5079" i="2"/>
  <c r="A5078" i="2"/>
  <c r="A5077" i="2"/>
  <c r="A5076" i="2"/>
  <c r="A5075" i="2"/>
  <c r="A5074" i="2"/>
  <c r="A5073" i="2"/>
  <c r="A5072" i="2"/>
  <c r="A5071" i="2"/>
  <c r="A5070" i="2"/>
  <c r="A5069" i="2"/>
  <c r="A5068" i="2"/>
  <c r="A5067" i="2"/>
  <c r="A5066" i="2"/>
  <c r="A5065" i="2"/>
  <c r="A5064" i="2"/>
  <c r="A5063" i="2"/>
  <c r="A5062" i="2"/>
  <c r="A5061" i="2"/>
  <c r="A5060" i="2"/>
  <c r="A5059" i="2"/>
  <c r="A5058" i="2"/>
  <c r="A5057" i="2"/>
  <c r="A5056" i="2"/>
  <c r="A5055" i="2"/>
  <c r="A5054" i="2"/>
  <c r="A5053" i="2"/>
  <c r="A5052" i="2"/>
  <c r="A5051" i="2"/>
  <c r="A5050" i="2"/>
  <c r="A5049" i="2"/>
  <c r="A5048" i="2"/>
  <c r="A5047" i="2"/>
  <c r="A5046" i="2"/>
  <c r="A5045" i="2"/>
  <c r="A5044" i="2"/>
  <c r="A5043" i="2"/>
  <c r="A5042" i="2"/>
  <c r="A5041" i="2"/>
  <c r="A5040" i="2"/>
  <c r="A5039" i="2"/>
  <c r="A5038" i="2"/>
  <c r="A5037" i="2"/>
  <c r="A5036" i="2"/>
  <c r="A5035" i="2"/>
  <c r="A5034" i="2"/>
  <c r="A5033" i="2"/>
  <c r="A5032" i="2"/>
  <c r="A5031" i="2"/>
  <c r="A5030" i="2"/>
  <c r="A5029" i="2"/>
  <c r="A5028" i="2"/>
  <c r="A5027" i="2"/>
  <c r="A5026" i="2"/>
  <c r="A5025" i="2"/>
  <c r="A5024" i="2"/>
  <c r="A5023" i="2"/>
  <c r="A5022" i="2"/>
  <c r="A5021" i="2"/>
  <c r="A5020" i="2"/>
  <c r="A5019" i="2"/>
  <c r="A5018" i="2"/>
  <c r="A5017" i="2"/>
  <c r="A5016" i="2"/>
  <c r="A5015" i="2"/>
  <c r="A5014" i="2"/>
  <c r="A5013" i="2"/>
  <c r="A5012" i="2"/>
  <c r="A5011" i="2"/>
  <c r="A5010" i="2"/>
  <c r="A5009" i="2"/>
  <c r="A5008" i="2"/>
  <c r="A5007" i="2"/>
  <c r="A5006" i="2"/>
  <c r="A5005" i="2"/>
  <c r="A5004" i="2"/>
  <c r="A5003" i="2"/>
  <c r="A5002" i="2"/>
  <c r="A5001" i="2"/>
  <c r="A5000" i="2"/>
  <c r="A4999" i="2"/>
  <c r="A4998" i="2"/>
  <c r="A4997" i="2"/>
  <c r="A4996" i="2"/>
  <c r="A4995" i="2"/>
  <c r="A4994" i="2"/>
  <c r="A4993" i="2"/>
  <c r="A4992" i="2"/>
  <c r="A4991" i="2"/>
  <c r="A4990" i="2"/>
  <c r="A4989" i="2"/>
  <c r="A4988" i="2"/>
  <c r="A4987" i="2"/>
  <c r="A4986" i="2"/>
  <c r="A4985" i="2"/>
  <c r="A4984" i="2"/>
  <c r="A4983" i="2"/>
  <c r="A4982" i="2"/>
  <c r="A4981" i="2"/>
  <c r="A4980" i="2"/>
  <c r="A4979" i="2"/>
  <c r="A4978" i="2"/>
  <c r="A4977" i="2"/>
  <c r="A4976" i="2"/>
  <c r="A4975" i="2"/>
  <c r="A4974" i="2"/>
  <c r="A4973" i="2"/>
  <c r="A4972" i="2"/>
  <c r="A4971" i="2"/>
  <c r="A4970" i="2"/>
  <c r="A4969" i="2"/>
  <c r="A4968" i="2"/>
  <c r="A4967" i="2"/>
  <c r="A4966" i="2"/>
  <c r="A4965" i="2"/>
  <c r="A4964" i="2"/>
  <c r="A4963" i="2"/>
  <c r="A4962" i="2"/>
  <c r="A4961" i="2"/>
  <c r="A4960" i="2"/>
  <c r="A4959" i="2"/>
  <c r="A4958" i="2"/>
  <c r="A4957" i="2"/>
  <c r="A4956" i="2"/>
  <c r="A4955" i="2"/>
  <c r="A4954" i="2"/>
  <c r="A4953" i="2"/>
  <c r="A4952" i="2"/>
  <c r="A4951" i="2"/>
  <c r="A4950" i="2"/>
  <c r="A4949" i="2"/>
  <c r="A4948" i="2"/>
  <c r="A4947" i="2"/>
  <c r="A4946" i="2"/>
  <c r="A4945" i="2"/>
  <c r="A4944" i="2"/>
  <c r="A4943" i="2"/>
  <c r="A4942" i="2"/>
  <c r="A4941" i="2"/>
  <c r="A4940" i="2"/>
  <c r="A4939" i="2"/>
  <c r="A4938" i="2"/>
  <c r="A4937" i="2"/>
  <c r="A4936" i="2"/>
  <c r="A4935" i="2"/>
  <c r="A4934" i="2"/>
  <c r="A4933" i="2"/>
  <c r="A4932" i="2"/>
  <c r="A4931" i="2"/>
  <c r="A4930" i="2"/>
  <c r="A4929" i="2"/>
  <c r="A4928" i="2"/>
  <c r="A4927" i="2"/>
  <c r="A4926" i="2"/>
  <c r="A4925" i="2"/>
  <c r="A4924" i="2"/>
  <c r="A4923" i="2"/>
  <c r="A4922" i="2"/>
  <c r="A4921" i="2"/>
  <c r="A4920" i="2"/>
  <c r="A4919" i="2"/>
  <c r="A4918" i="2"/>
  <c r="A4917" i="2"/>
  <c r="A4916" i="2"/>
  <c r="A4915" i="2"/>
  <c r="A4914" i="2"/>
  <c r="A4913" i="2"/>
  <c r="A4912" i="2"/>
  <c r="A4911" i="2"/>
  <c r="A4910" i="2"/>
  <c r="A4909" i="2"/>
  <c r="A4908" i="2"/>
  <c r="A4907" i="2"/>
  <c r="A4906" i="2"/>
  <c r="A4905" i="2"/>
  <c r="A4904" i="2"/>
  <c r="A4903" i="2"/>
  <c r="A4902" i="2"/>
  <c r="A4901" i="2"/>
  <c r="A4900" i="2"/>
  <c r="A4899" i="2"/>
  <c r="A4898" i="2"/>
  <c r="A4897" i="2"/>
  <c r="A4896" i="2"/>
  <c r="A4895" i="2"/>
  <c r="A4894" i="2"/>
  <c r="A4893" i="2"/>
  <c r="A4892" i="2"/>
  <c r="A4891" i="2"/>
  <c r="A4890" i="2"/>
  <c r="A4889" i="2"/>
  <c r="A4888" i="2"/>
  <c r="A4887" i="2"/>
  <c r="A4886" i="2"/>
  <c r="A4885" i="2"/>
  <c r="A4884" i="2"/>
  <c r="A4883" i="2"/>
  <c r="A4882" i="2"/>
  <c r="A4881" i="2"/>
  <c r="A4880" i="2"/>
  <c r="A4879" i="2"/>
  <c r="A4878" i="2"/>
  <c r="A4877" i="2"/>
  <c r="A4876" i="2"/>
  <c r="A4875" i="2"/>
  <c r="A4874" i="2"/>
  <c r="A4873" i="2"/>
  <c r="A4872" i="2"/>
  <c r="A4871" i="2"/>
  <c r="A4870" i="2"/>
  <c r="A4869" i="2"/>
  <c r="A4868" i="2"/>
  <c r="A4867" i="2"/>
  <c r="A4866" i="2"/>
  <c r="A4865" i="2"/>
  <c r="A4864" i="2"/>
  <c r="A4863" i="2"/>
  <c r="A4862" i="2"/>
  <c r="A4861" i="2"/>
  <c r="A4860" i="2"/>
  <c r="A4859" i="2"/>
  <c r="A4858" i="2"/>
  <c r="A4857" i="2"/>
  <c r="A4856" i="2"/>
  <c r="A4855" i="2"/>
  <c r="A4854" i="2"/>
  <c r="A4853" i="2"/>
  <c r="A4852" i="2"/>
  <c r="A4851" i="2"/>
  <c r="A4850" i="2"/>
  <c r="A4849" i="2"/>
  <c r="A4848" i="2"/>
  <c r="A4847" i="2"/>
  <c r="A4846" i="2"/>
  <c r="A4845" i="2"/>
  <c r="A4844" i="2"/>
  <c r="A4843" i="2"/>
  <c r="A4842" i="2"/>
  <c r="A4841" i="2"/>
  <c r="A4840" i="2"/>
  <c r="A4839" i="2"/>
  <c r="A4838" i="2"/>
  <c r="A4837" i="2"/>
  <c r="A4836" i="2"/>
  <c r="A4835" i="2"/>
  <c r="A4834" i="2"/>
  <c r="A4833" i="2"/>
  <c r="A4832" i="2"/>
  <c r="A4831" i="2"/>
  <c r="A4830" i="2"/>
  <c r="A4829" i="2"/>
  <c r="A4828" i="2"/>
  <c r="A4827" i="2"/>
  <c r="A4826" i="2"/>
  <c r="A4825" i="2"/>
  <c r="A4824" i="2"/>
  <c r="A4823" i="2"/>
  <c r="A4822" i="2"/>
  <c r="A4821" i="2"/>
  <c r="A4820" i="2"/>
  <c r="A4819" i="2"/>
  <c r="A4818" i="2"/>
  <c r="A4817" i="2"/>
  <c r="A4816" i="2"/>
  <c r="A4815" i="2"/>
  <c r="A4814" i="2"/>
  <c r="A4813" i="2"/>
  <c r="A4812" i="2"/>
  <c r="A4811" i="2"/>
  <c r="A4810" i="2"/>
  <c r="A4809" i="2"/>
  <c r="A4808" i="2"/>
  <c r="A4807" i="2"/>
  <c r="A4806" i="2"/>
  <c r="A4805" i="2"/>
  <c r="A4804" i="2"/>
  <c r="A4803" i="2"/>
  <c r="A4802" i="2"/>
  <c r="A4801" i="2"/>
  <c r="A4800" i="2"/>
  <c r="A4799" i="2"/>
  <c r="A4798" i="2"/>
  <c r="A4797" i="2"/>
  <c r="A4796" i="2"/>
  <c r="A4795" i="2"/>
  <c r="A4794" i="2"/>
  <c r="A4793" i="2"/>
  <c r="A4792" i="2"/>
  <c r="A4791" i="2"/>
  <c r="A4790" i="2"/>
  <c r="A4789" i="2"/>
  <c r="A4788" i="2"/>
  <c r="A4787" i="2"/>
  <c r="A4786" i="2"/>
  <c r="A4785" i="2"/>
  <c r="A4784" i="2"/>
  <c r="A4783" i="2"/>
  <c r="A4782" i="2"/>
  <c r="A4781" i="2"/>
  <c r="A4780" i="2"/>
  <c r="A4779" i="2"/>
  <c r="A4778" i="2"/>
  <c r="A4777" i="2"/>
  <c r="A4776" i="2"/>
  <c r="A4775" i="2"/>
  <c r="A4774" i="2"/>
  <c r="A4773" i="2"/>
  <c r="A4772" i="2"/>
  <c r="A4771" i="2"/>
  <c r="A4770" i="2"/>
  <c r="A4769" i="2"/>
  <c r="A4768" i="2"/>
  <c r="A4767" i="2"/>
  <c r="A4766" i="2"/>
  <c r="A4765" i="2"/>
  <c r="A4764" i="2"/>
  <c r="A4763" i="2"/>
  <c r="A4762" i="2"/>
  <c r="A4761" i="2"/>
  <c r="A4760" i="2"/>
  <c r="A4759" i="2"/>
  <c r="A4758" i="2"/>
  <c r="A4757" i="2"/>
  <c r="A4756" i="2"/>
  <c r="A4755" i="2"/>
  <c r="A4754" i="2"/>
  <c r="A4753" i="2"/>
  <c r="A4752" i="2"/>
  <c r="A4751" i="2"/>
  <c r="A4750" i="2"/>
  <c r="A4749" i="2"/>
  <c r="A4748" i="2"/>
  <c r="A4747" i="2"/>
  <c r="A4746" i="2"/>
  <c r="A4745" i="2"/>
  <c r="A4744" i="2"/>
  <c r="A4743" i="2"/>
  <c r="A4742" i="2"/>
  <c r="A4741" i="2"/>
  <c r="A4740" i="2"/>
  <c r="A4739" i="2"/>
  <c r="A4738" i="2"/>
  <c r="A4737" i="2"/>
  <c r="A4736" i="2"/>
  <c r="A4735" i="2"/>
  <c r="A4734" i="2"/>
  <c r="A4733" i="2"/>
  <c r="A4732" i="2"/>
  <c r="A4731" i="2"/>
  <c r="A4730" i="2"/>
  <c r="A4729" i="2"/>
  <c r="A4728" i="2"/>
  <c r="A4727" i="2"/>
  <c r="A4726" i="2"/>
  <c r="A4725" i="2"/>
  <c r="A4724" i="2"/>
  <c r="A4723" i="2"/>
  <c r="A4722" i="2"/>
  <c r="A4721" i="2"/>
  <c r="A4720" i="2"/>
  <c r="A4719" i="2"/>
  <c r="A4718" i="2"/>
  <c r="A4717" i="2"/>
  <c r="A4716" i="2"/>
  <c r="A4715" i="2"/>
  <c r="A4714" i="2"/>
  <c r="A4713" i="2"/>
  <c r="A4712" i="2"/>
  <c r="A4711" i="2"/>
  <c r="A4710" i="2"/>
  <c r="A4709" i="2"/>
  <c r="A4708" i="2"/>
  <c r="A4707" i="2"/>
  <c r="A4706" i="2"/>
  <c r="A4705" i="2"/>
  <c r="A4704" i="2"/>
  <c r="A4703" i="2"/>
  <c r="A4702" i="2"/>
  <c r="A4701" i="2"/>
  <c r="A4700" i="2"/>
  <c r="A4699" i="2"/>
  <c r="A4698" i="2"/>
  <c r="A4697" i="2"/>
  <c r="A4696" i="2"/>
  <c r="A4695" i="2"/>
  <c r="A4694" i="2"/>
  <c r="A4693" i="2"/>
  <c r="A4692" i="2"/>
  <c r="A4691" i="2"/>
  <c r="A4690" i="2"/>
  <c r="A4689" i="2"/>
  <c r="A4688" i="2"/>
  <c r="A4687" i="2"/>
  <c r="A4686" i="2"/>
  <c r="A4685" i="2"/>
  <c r="A4684" i="2"/>
  <c r="A4683" i="2"/>
  <c r="A4682" i="2"/>
  <c r="A4681" i="2"/>
  <c r="A4680" i="2"/>
  <c r="A4679" i="2"/>
  <c r="A4678" i="2"/>
  <c r="A4677" i="2"/>
  <c r="A4676" i="2"/>
  <c r="A4675" i="2"/>
  <c r="A4674" i="2"/>
  <c r="A4673" i="2"/>
  <c r="A4672" i="2"/>
  <c r="A4671" i="2"/>
  <c r="A4670" i="2"/>
  <c r="A4669" i="2"/>
  <c r="A4668" i="2"/>
  <c r="A4667" i="2"/>
  <c r="A4666" i="2"/>
  <c r="A4665" i="2"/>
  <c r="A4664" i="2"/>
  <c r="A4663" i="2"/>
  <c r="A4662" i="2"/>
  <c r="A4661" i="2"/>
  <c r="A4660" i="2"/>
  <c r="A4659" i="2"/>
  <c r="A4658" i="2"/>
  <c r="A4657" i="2"/>
  <c r="A4656" i="2"/>
  <c r="A4655" i="2"/>
  <c r="A4654" i="2"/>
  <c r="A4653" i="2"/>
  <c r="A4652" i="2"/>
  <c r="A4651" i="2"/>
  <c r="A4650" i="2"/>
  <c r="A4649" i="2"/>
  <c r="A4648" i="2"/>
  <c r="A4647" i="2"/>
  <c r="A4646" i="2"/>
  <c r="A4645" i="2"/>
  <c r="A4644" i="2"/>
  <c r="A4643" i="2"/>
  <c r="A4642" i="2"/>
  <c r="A4641" i="2"/>
  <c r="A4640" i="2"/>
  <c r="A4639" i="2"/>
  <c r="A4638" i="2"/>
  <c r="A4637" i="2"/>
  <c r="A4636" i="2"/>
  <c r="A4635" i="2"/>
  <c r="A4634" i="2"/>
  <c r="A4633" i="2"/>
  <c r="A4632" i="2"/>
  <c r="A4631" i="2"/>
  <c r="A4630" i="2"/>
  <c r="A4629" i="2"/>
  <c r="A4628" i="2"/>
  <c r="A4627" i="2"/>
  <c r="A4626" i="2"/>
  <c r="A4625" i="2"/>
  <c r="A4624" i="2"/>
  <c r="A4623" i="2"/>
  <c r="A4622" i="2"/>
  <c r="A4621" i="2"/>
  <c r="A4620" i="2"/>
  <c r="A4619" i="2"/>
  <c r="A4618" i="2"/>
  <c r="A4617" i="2"/>
  <c r="A4616" i="2"/>
  <c r="A4615" i="2"/>
  <c r="A4614" i="2"/>
  <c r="A4613" i="2"/>
  <c r="A4612" i="2"/>
  <c r="A4611" i="2"/>
  <c r="A4610" i="2"/>
  <c r="A4609" i="2"/>
  <c r="A4608" i="2"/>
  <c r="A4607" i="2"/>
  <c r="A4606" i="2"/>
  <c r="A4605" i="2"/>
  <c r="A4604" i="2"/>
  <c r="A4603" i="2"/>
  <c r="A4602" i="2"/>
  <c r="A4601" i="2"/>
  <c r="A4600" i="2"/>
  <c r="A4599" i="2"/>
  <c r="A4598" i="2"/>
  <c r="A4597" i="2"/>
  <c r="A4596" i="2"/>
  <c r="A4595" i="2"/>
  <c r="A4594" i="2"/>
  <c r="A4593" i="2"/>
  <c r="A4592" i="2"/>
  <c r="A4591" i="2"/>
  <c r="A4590" i="2"/>
  <c r="A4589" i="2"/>
  <c r="A4588" i="2"/>
  <c r="A4587" i="2"/>
  <c r="A4586" i="2"/>
  <c r="A4585" i="2"/>
  <c r="A4584" i="2"/>
  <c r="A4583" i="2"/>
  <c r="A4582" i="2"/>
  <c r="A4581" i="2"/>
  <c r="A4580" i="2"/>
  <c r="A4579" i="2"/>
  <c r="A4578" i="2"/>
  <c r="A4577" i="2"/>
  <c r="A4576" i="2"/>
  <c r="A4575" i="2"/>
  <c r="A4574" i="2"/>
  <c r="A4573" i="2"/>
  <c r="A4572" i="2"/>
  <c r="A4571" i="2"/>
  <c r="A4570" i="2"/>
  <c r="A4569" i="2"/>
  <c r="A4568" i="2"/>
  <c r="A4567" i="2"/>
  <c r="A4566" i="2"/>
  <c r="A4565" i="2"/>
  <c r="A4564" i="2"/>
  <c r="A4563" i="2"/>
  <c r="A4562" i="2"/>
  <c r="A4561" i="2"/>
  <c r="A4560" i="2"/>
  <c r="A4559" i="2"/>
  <c r="A4558" i="2"/>
  <c r="A4557" i="2"/>
  <c r="A4556" i="2"/>
  <c r="A4555" i="2"/>
  <c r="A4554" i="2"/>
  <c r="A4553" i="2"/>
  <c r="A4552" i="2"/>
  <c r="A4551" i="2"/>
  <c r="A4550" i="2"/>
  <c r="A4549" i="2"/>
  <c r="A4548" i="2"/>
  <c r="A4547" i="2"/>
  <c r="A4546" i="2"/>
  <c r="A4545" i="2"/>
  <c r="A4544" i="2"/>
  <c r="A4543" i="2"/>
  <c r="A4542" i="2"/>
  <c r="A4541" i="2"/>
  <c r="A4540" i="2"/>
  <c r="A4539" i="2"/>
  <c r="A4538" i="2"/>
  <c r="A4537" i="2"/>
  <c r="A4536" i="2"/>
  <c r="A4535" i="2"/>
  <c r="A4534" i="2"/>
  <c r="A4533" i="2"/>
  <c r="A4532" i="2"/>
  <c r="A4531" i="2"/>
  <c r="A4530" i="2"/>
  <c r="A4529" i="2"/>
  <c r="A4528" i="2"/>
  <c r="A4527" i="2"/>
  <c r="A4526" i="2"/>
  <c r="A4525" i="2"/>
  <c r="A4524" i="2"/>
  <c r="A4523" i="2"/>
  <c r="A4522" i="2"/>
  <c r="A4521" i="2"/>
  <c r="A4520" i="2"/>
  <c r="A4519" i="2"/>
  <c r="A4518" i="2"/>
  <c r="A4517" i="2"/>
  <c r="A4516" i="2"/>
  <c r="A4515" i="2"/>
  <c r="A4514" i="2"/>
  <c r="A4513" i="2"/>
  <c r="A4512" i="2"/>
  <c r="A4511" i="2"/>
  <c r="A4510" i="2"/>
  <c r="A4509" i="2"/>
  <c r="A4508" i="2"/>
  <c r="A4507" i="2"/>
  <c r="A4506" i="2"/>
  <c r="A4505" i="2"/>
  <c r="A4504" i="2"/>
  <c r="A4503" i="2"/>
  <c r="A4502" i="2"/>
  <c r="A4501" i="2"/>
  <c r="A4500" i="2"/>
  <c r="A4499" i="2"/>
  <c r="A4498" i="2"/>
  <c r="A4497" i="2"/>
  <c r="A4496" i="2"/>
  <c r="A4495" i="2"/>
  <c r="A4494" i="2"/>
  <c r="A4493" i="2"/>
  <c r="A4492" i="2"/>
  <c r="A4491" i="2"/>
  <c r="A4490" i="2"/>
  <c r="A4489" i="2"/>
  <c r="A4488" i="2"/>
  <c r="A4487" i="2"/>
  <c r="A4486" i="2"/>
  <c r="A4485" i="2"/>
  <c r="A4484" i="2"/>
  <c r="A4483" i="2"/>
  <c r="A4482" i="2"/>
  <c r="A4481" i="2"/>
  <c r="A4480" i="2"/>
  <c r="A4479" i="2"/>
  <c r="A4478" i="2"/>
  <c r="A4477" i="2"/>
  <c r="A4476" i="2"/>
  <c r="A4475" i="2"/>
  <c r="A4474" i="2"/>
  <c r="A4473" i="2"/>
  <c r="A4472" i="2"/>
  <c r="A4471" i="2"/>
  <c r="A4470" i="2"/>
  <c r="A4469" i="2"/>
  <c r="A4468" i="2"/>
  <c r="A4467" i="2"/>
  <c r="A4466" i="2"/>
  <c r="A4465" i="2"/>
  <c r="A4464" i="2"/>
  <c r="A4463" i="2"/>
  <c r="A4462" i="2"/>
  <c r="A4461" i="2"/>
  <c r="A4460" i="2"/>
  <c r="A4459" i="2"/>
  <c r="A4458" i="2"/>
  <c r="A4457" i="2"/>
  <c r="A4456" i="2"/>
  <c r="A4455" i="2"/>
  <c r="A4454" i="2"/>
  <c r="A4453" i="2"/>
  <c r="A4452" i="2"/>
  <c r="A4451" i="2"/>
  <c r="A4450" i="2"/>
  <c r="A4449" i="2"/>
  <c r="A4448" i="2"/>
  <c r="A4447" i="2"/>
  <c r="A4446" i="2"/>
  <c r="A4445" i="2"/>
  <c r="A4444" i="2"/>
  <c r="A4443" i="2"/>
  <c r="A4442" i="2"/>
  <c r="A4441" i="2"/>
  <c r="A4440" i="2"/>
  <c r="A4439" i="2"/>
  <c r="A4438" i="2"/>
  <c r="A4437" i="2"/>
  <c r="A4436" i="2"/>
  <c r="A4435" i="2"/>
  <c r="A4434" i="2"/>
  <c r="A4433" i="2"/>
  <c r="A4432" i="2"/>
  <c r="A4431" i="2"/>
  <c r="A4430" i="2"/>
  <c r="A4429" i="2"/>
  <c r="A4428" i="2"/>
  <c r="A4427" i="2"/>
  <c r="A4426" i="2"/>
  <c r="A4425" i="2"/>
  <c r="A4424" i="2"/>
  <c r="A4423" i="2"/>
  <c r="A4422" i="2"/>
  <c r="A4421" i="2"/>
  <c r="A4420" i="2"/>
  <c r="A4419" i="2"/>
  <c r="A4418" i="2"/>
  <c r="A4417" i="2"/>
  <c r="A4416" i="2"/>
  <c r="A4415" i="2"/>
  <c r="A4414" i="2"/>
  <c r="A4413" i="2"/>
  <c r="A4412" i="2"/>
  <c r="A4411" i="2"/>
  <c r="A4410" i="2"/>
  <c r="A4409" i="2"/>
  <c r="A4408" i="2"/>
  <c r="A4407" i="2"/>
  <c r="A4406" i="2"/>
  <c r="A4405" i="2"/>
  <c r="A4404" i="2"/>
  <c r="A4403" i="2"/>
  <c r="A4402" i="2"/>
  <c r="A4401" i="2"/>
  <c r="A4400" i="2"/>
  <c r="A4399" i="2"/>
  <c r="A4398" i="2"/>
  <c r="A4397" i="2"/>
  <c r="A4396" i="2"/>
  <c r="A4395" i="2"/>
  <c r="A4394" i="2"/>
  <c r="A4393" i="2"/>
  <c r="A4392" i="2"/>
  <c r="A4391" i="2"/>
  <c r="A4390" i="2"/>
  <c r="A4389" i="2"/>
  <c r="A4388" i="2"/>
  <c r="A4387" i="2"/>
  <c r="A4386" i="2"/>
  <c r="A4385" i="2"/>
  <c r="A4384" i="2"/>
  <c r="A4383" i="2"/>
  <c r="A4382" i="2"/>
  <c r="A4381" i="2"/>
  <c r="A4380" i="2"/>
  <c r="A4379" i="2"/>
  <c r="A4378" i="2"/>
  <c r="A4377" i="2"/>
  <c r="A4376" i="2"/>
  <c r="A4375" i="2"/>
  <c r="A4374" i="2"/>
  <c r="A4373" i="2"/>
  <c r="A4372" i="2"/>
  <c r="A4371" i="2"/>
  <c r="A4370" i="2"/>
  <c r="A4369" i="2"/>
  <c r="A4368" i="2"/>
  <c r="A4367" i="2"/>
  <c r="A4366" i="2"/>
  <c r="A4365" i="2"/>
  <c r="A4364" i="2"/>
  <c r="A4363" i="2"/>
  <c r="A4362" i="2"/>
  <c r="A4361" i="2"/>
  <c r="A4360" i="2"/>
  <c r="A4359" i="2"/>
  <c r="A4358" i="2"/>
  <c r="A4357" i="2"/>
  <c r="A4356" i="2"/>
  <c r="A4355" i="2"/>
  <c r="A4354" i="2"/>
  <c r="A4353" i="2"/>
  <c r="A4352" i="2"/>
  <c r="A4351" i="2"/>
  <c r="A4350" i="2"/>
  <c r="A4349" i="2"/>
  <c r="A4348" i="2"/>
  <c r="A4347" i="2"/>
  <c r="A4346" i="2"/>
  <c r="A4345" i="2"/>
  <c r="A4344" i="2"/>
  <c r="A4343" i="2"/>
  <c r="A4342" i="2"/>
  <c r="A4341" i="2"/>
  <c r="A4340" i="2"/>
  <c r="A4339" i="2"/>
  <c r="A4338" i="2"/>
  <c r="A4337" i="2"/>
  <c r="A4336" i="2"/>
  <c r="A4335" i="2"/>
  <c r="A4334" i="2"/>
  <c r="A4333" i="2"/>
  <c r="A4332" i="2"/>
  <c r="A4331" i="2"/>
  <c r="A4330" i="2"/>
  <c r="A4329" i="2"/>
  <c r="A4328" i="2"/>
  <c r="A4327" i="2"/>
  <c r="A4326" i="2"/>
  <c r="A4325" i="2"/>
  <c r="A4324" i="2"/>
  <c r="A4323" i="2"/>
  <c r="A4322" i="2"/>
  <c r="A4321" i="2"/>
  <c r="A4320" i="2"/>
  <c r="A4319" i="2"/>
  <c r="A4318" i="2"/>
  <c r="A4317" i="2"/>
  <c r="A4316" i="2"/>
  <c r="A4315" i="2"/>
  <c r="A4314" i="2"/>
  <c r="A4313" i="2"/>
  <c r="A4312" i="2"/>
  <c r="A4311" i="2"/>
  <c r="A4310" i="2"/>
  <c r="A4309" i="2"/>
  <c r="A4308" i="2"/>
  <c r="A4307" i="2"/>
  <c r="A4306" i="2"/>
  <c r="A4305" i="2"/>
  <c r="A4304" i="2"/>
  <c r="A4303" i="2"/>
  <c r="A4302" i="2"/>
  <c r="A4301" i="2"/>
  <c r="A4300" i="2"/>
  <c r="A4299" i="2"/>
  <c r="A4298" i="2"/>
  <c r="A4297" i="2"/>
  <c r="A4296" i="2"/>
  <c r="A4295" i="2"/>
  <c r="A4294" i="2"/>
  <c r="A4293" i="2"/>
  <c r="A4292" i="2"/>
  <c r="A4291" i="2"/>
  <c r="A4290" i="2"/>
  <c r="A4289" i="2"/>
  <c r="A4288" i="2"/>
  <c r="A4287" i="2"/>
  <c r="A4286" i="2"/>
  <c r="A4285" i="2"/>
  <c r="A4284" i="2"/>
  <c r="A4283" i="2"/>
  <c r="A4282" i="2"/>
  <c r="A4281" i="2"/>
  <c r="A4280" i="2"/>
  <c r="A4279" i="2"/>
  <c r="A4278" i="2"/>
  <c r="A4277" i="2"/>
  <c r="A4276" i="2"/>
  <c r="A4275" i="2"/>
  <c r="A4274" i="2"/>
  <c r="A4273" i="2"/>
  <c r="A4272" i="2"/>
  <c r="A4271" i="2"/>
  <c r="A4270" i="2"/>
  <c r="A4269" i="2"/>
  <c r="A4268" i="2"/>
  <c r="A4267" i="2"/>
  <c r="A4266" i="2"/>
  <c r="A4265" i="2"/>
  <c r="A4264" i="2"/>
  <c r="A4263" i="2"/>
  <c r="A4262" i="2"/>
  <c r="A4261" i="2"/>
  <c r="A4260" i="2"/>
  <c r="A4259" i="2"/>
  <c r="A4258" i="2"/>
  <c r="A4257" i="2"/>
  <c r="A4256" i="2"/>
  <c r="A4255" i="2"/>
  <c r="A4254" i="2"/>
  <c r="A4253" i="2"/>
  <c r="A4252" i="2"/>
  <c r="A4251" i="2"/>
  <c r="A4250" i="2"/>
  <c r="A4249" i="2"/>
  <c r="A4248" i="2"/>
  <c r="A4247" i="2"/>
  <c r="A4246" i="2"/>
  <c r="A4245" i="2"/>
  <c r="A4244" i="2"/>
  <c r="A4243" i="2"/>
  <c r="A4242" i="2"/>
  <c r="A4241" i="2"/>
  <c r="A4240" i="2"/>
  <c r="A4239" i="2"/>
  <c r="A4238" i="2"/>
  <c r="A4237" i="2"/>
  <c r="A4236" i="2"/>
  <c r="A4235" i="2"/>
  <c r="A4234" i="2"/>
  <c r="A4233" i="2"/>
  <c r="A4232" i="2"/>
  <c r="A4231" i="2"/>
  <c r="A4230" i="2"/>
  <c r="A4229" i="2"/>
  <c r="A4228" i="2"/>
  <c r="A4227" i="2"/>
  <c r="A4226" i="2"/>
  <c r="A4225" i="2"/>
  <c r="A4224" i="2"/>
  <c r="A4223" i="2"/>
  <c r="A4222" i="2"/>
  <c r="A4221" i="2"/>
  <c r="A4220" i="2"/>
  <c r="A4219" i="2"/>
  <c r="A4218" i="2"/>
  <c r="A4217" i="2"/>
  <c r="A4216" i="2"/>
  <c r="A4215" i="2"/>
  <c r="A4214" i="2"/>
  <c r="A4213" i="2"/>
  <c r="A4212" i="2"/>
  <c r="A4211" i="2"/>
  <c r="A4210" i="2"/>
  <c r="A4209" i="2"/>
  <c r="A4208" i="2"/>
  <c r="A4207" i="2"/>
  <c r="A4206" i="2"/>
  <c r="A4205" i="2"/>
  <c r="A4204" i="2"/>
  <c r="A4203" i="2"/>
  <c r="A4202" i="2"/>
  <c r="A4201" i="2"/>
  <c r="A4200" i="2"/>
  <c r="A4199" i="2"/>
  <c r="A4198" i="2"/>
  <c r="A4197" i="2"/>
  <c r="A4196" i="2"/>
  <c r="A4195" i="2"/>
  <c r="A4194" i="2"/>
  <c r="A4193" i="2"/>
  <c r="A4192" i="2"/>
  <c r="A4191" i="2"/>
  <c r="A4190" i="2"/>
  <c r="A4189" i="2"/>
  <c r="A4188" i="2"/>
  <c r="A4187" i="2"/>
  <c r="A4186" i="2"/>
  <c r="A4185" i="2"/>
  <c r="A4184" i="2"/>
  <c r="A4183" i="2"/>
  <c r="A4182" i="2"/>
  <c r="A4181" i="2"/>
  <c r="A4180" i="2"/>
  <c r="A4179" i="2"/>
  <c r="A4178" i="2"/>
  <c r="A4177" i="2"/>
  <c r="A4176" i="2"/>
  <c r="A4175" i="2"/>
  <c r="A4174" i="2"/>
  <c r="A4173" i="2"/>
  <c r="A4172" i="2"/>
  <c r="A4171" i="2"/>
  <c r="A4170" i="2"/>
  <c r="A4169" i="2"/>
  <c r="A4168" i="2"/>
  <c r="A4167" i="2"/>
  <c r="A4166" i="2"/>
  <c r="A4165" i="2"/>
  <c r="A4164" i="2"/>
  <c r="A4163" i="2"/>
  <c r="A4162" i="2"/>
  <c r="A4161" i="2"/>
  <c r="A4160" i="2"/>
  <c r="A4159" i="2"/>
  <c r="A4158" i="2"/>
  <c r="A4157" i="2"/>
  <c r="A4156" i="2"/>
  <c r="A4155" i="2"/>
  <c r="A4154" i="2"/>
  <c r="A4153" i="2"/>
  <c r="A4152" i="2"/>
  <c r="A4151" i="2"/>
  <c r="A4150" i="2"/>
  <c r="A4149" i="2"/>
  <c r="A4148" i="2"/>
  <c r="A4147" i="2"/>
  <c r="A4146" i="2"/>
  <c r="A4145" i="2"/>
  <c r="A4144" i="2"/>
  <c r="A4143" i="2"/>
  <c r="A4142" i="2"/>
  <c r="A4141" i="2"/>
  <c r="A4140" i="2"/>
  <c r="A4139" i="2"/>
  <c r="A4138" i="2"/>
  <c r="A4137" i="2"/>
  <c r="A4136" i="2"/>
  <c r="A4135" i="2"/>
  <c r="A4134" i="2"/>
  <c r="A4133" i="2"/>
  <c r="A4132" i="2"/>
  <c r="A4131" i="2"/>
  <c r="A4130" i="2"/>
  <c r="A4129" i="2"/>
  <c r="A4128" i="2"/>
  <c r="A4127" i="2"/>
  <c r="A4126" i="2"/>
  <c r="A4125" i="2"/>
  <c r="A4124" i="2"/>
  <c r="A4123" i="2"/>
  <c r="A4122" i="2"/>
  <c r="A4121" i="2"/>
  <c r="A4120" i="2"/>
  <c r="A4119" i="2"/>
  <c r="A4118" i="2"/>
  <c r="A4117" i="2"/>
  <c r="A4116" i="2"/>
  <c r="A4115" i="2"/>
  <c r="A4114" i="2"/>
  <c r="A4113" i="2"/>
  <c r="A4112" i="2"/>
  <c r="A4111" i="2"/>
  <c r="A4110" i="2"/>
  <c r="A4109" i="2"/>
  <c r="A4108" i="2"/>
  <c r="A4107" i="2"/>
  <c r="A4106" i="2"/>
  <c r="A4105" i="2"/>
  <c r="A4104" i="2"/>
  <c r="A4103" i="2"/>
  <c r="A4102" i="2"/>
  <c r="A4101" i="2"/>
  <c r="A4100" i="2"/>
  <c r="A4099" i="2"/>
  <c r="A4098" i="2"/>
  <c r="A4097" i="2"/>
  <c r="A4096" i="2"/>
  <c r="A4095" i="2"/>
  <c r="A4094" i="2"/>
  <c r="A4093" i="2"/>
  <c r="A4092" i="2"/>
  <c r="A4091" i="2"/>
  <c r="A4090" i="2"/>
  <c r="A4089" i="2"/>
  <c r="A4088" i="2"/>
  <c r="A4087" i="2"/>
  <c r="A4086" i="2"/>
  <c r="A4085" i="2"/>
  <c r="A4084" i="2"/>
  <c r="A4083" i="2"/>
  <c r="A4082" i="2"/>
  <c r="A4081" i="2"/>
  <c r="A4080" i="2"/>
  <c r="A4079" i="2"/>
  <c r="A4078" i="2"/>
  <c r="A4077" i="2"/>
  <c r="A4076" i="2"/>
  <c r="A4075" i="2"/>
  <c r="A4074" i="2"/>
  <c r="A4073" i="2"/>
  <c r="A4072" i="2"/>
  <c r="A4071" i="2"/>
  <c r="A4070" i="2"/>
  <c r="A4069" i="2"/>
  <c r="A4068" i="2"/>
  <c r="A4067" i="2"/>
  <c r="A4066" i="2"/>
  <c r="A4065" i="2"/>
  <c r="A4064" i="2"/>
  <c r="A4063" i="2"/>
  <c r="A4062" i="2"/>
  <c r="A4061" i="2"/>
  <c r="A4060" i="2"/>
  <c r="A4059" i="2"/>
  <c r="A4058" i="2"/>
  <c r="A4057" i="2"/>
  <c r="A4056" i="2"/>
  <c r="A4055" i="2"/>
  <c r="A4054" i="2"/>
  <c r="A4053" i="2"/>
  <c r="A4052" i="2"/>
  <c r="A4051" i="2"/>
  <c r="A4050" i="2"/>
  <c r="A4049" i="2"/>
  <c r="A4048" i="2"/>
  <c r="A4047" i="2"/>
  <c r="A4046" i="2"/>
  <c r="A4045" i="2"/>
  <c r="A4044" i="2"/>
  <c r="A4043" i="2"/>
  <c r="A4042" i="2"/>
  <c r="A4041" i="2"/>
  <c r="A4040" i="2"/>
  <c r="A4039" i="2"/>
  <c r="A4038" i="2"/>
  <c r="A4037" i="2"/>
  <c r="A4036" i="2"/>
  <c r="A4035" i="2"/>
  <c r="A4034" i="2"/>
  <c r="A4033" i="2"/>
  <c r="A4032" i="2"/>
  <c r="A4031" i="2"/>
  <c r="A4030" i="2"/>
  <c r="A4029" i="2"/>
  <c r="A4028" i="2"/>
  <c r="A4027" i="2"/>
  <c r="A4026" i="2"/>
  <c r="A4025" i="2"/>
  <c r="A4024" i="2"/>
  <c r="A4023" i="2"/>
  <c r="A4022" i="2"/>
  <c r="A4021" i="2"/>
  <c r="A4020" i="2"/>
  <c r="A4019" i="2"/>
  <c r="A4018" i="2"/>
  <c r="A4017" i="2"/>
  <c r="A4016" i="2"/>
  <c r="A4015" i="2"/>
  <c r="A4014" i="2"/>
  <c r="A4013" i="2"/>
  <c r="A4012" i="2"/>
  <c r="A4011" i="2"/>
  <c r="A4010" i="2"/>
  <c r="A4009" i="2"/>
  <c r="A4008" i="2"/>
  <c r="A4007" i="2"/>
  <c r="A4006" i="2"/>
  <c r="A4005" i="2"/>
  <c r="A4004" i="2"/>
  <c r="A4003" i="2"/>
  <c r="A4002" i="2"/>
  <c r="A4001" i="2"/>
  <c r="A4000" i="2"/>
  <c r="A3999" i="2"/>
  <c r="A3998" i="2"/>
  <c r="A3997" i="2"/>
  <c r="A3996" i="2"/>
  <c r="A3995" i="2"/>
  <c r="A3994" i="2"/>
  <c r="A3993" i="2"/>
  <c r="A3992" i="2"/>
  <c r="A3991" i="2"/>
  <c r="A3990" i="2"/>
  <c r="A3989" i="2"/>
  <c r="A3988" i="2"/>
  <c r="A3987" i="2"/>
  <c r="A3986" i="2"/>
  <c r="A3985" i="2"/>
  <c r="A3984" i="2"/>
  <c r="A3983" i="2"/>
  <c r="A3982" i="2"/>
  <c r="A3981" i="2"/>
  <c r="A3980" i="2"/>
  <c r="A3979" i="2"/>
  <c r="A3978" i="2"/>
  <c r="A3977" i="2"/>
  <c r="A3976" i="2"/>
  <c r="A3975" i="2"/>
  <c r="A3974" i="2"/>
  <c r="A3973" i="2"/>
  <c r="A3972" i="2"/>
  <c r="A3971" i="2"/>
  <c r="A3970" i="2"/>
  <c r="A3969" i="2"/>
  <c r="A3968" i="2"/>
  <c r="A3967" i="2"/>
  <c r="A3966" i="2"/>
  <c r="A3965" i="2"/>
  <c r="A3964" i="2"/>
  <c r="A3963" i="2"/>
  <c r="A3962" i="2"/>
  <c r="A3961" i="2"/>
  <c r="A3960" i="2"/>
  <c r="A3959" i="2"/>
  <c r="A3958" i="2"/>
  <c r="A3957" i="2"/>
  <c r="A3956" i="2"/>
  <c r="A3955" i="2"/>
  <c r="A3954" i="2"/>
  <c r="A3953" i="2"/>
  <c r="A3952" i="2"/>
  <c r="A3951" i="2"/>
  <c r="A3950" i="2"/>
  <c r="A3949" i="2"/>
  <c r="A3948" i="2"/>
  <c r="A3947" i="2"/>
  <c r="A3946" i="2"/>
  <c r="A3945" i="2"/>
  <c r="A3944" i="2"/>
  <c r="A3943" i="2"/>
  <c r="A3942" i="2"/>
  <c r="A3941" i="2"/>
  <c r="A3940" i="2"/>
  <c r="A3939" i="2"/>
  <c r="A3938" i="2"/>
  <c r="A3937" i="2"/>
  <c r="A3936" i="2"/>
  <c r="A3935" i="2"/>
  <c r="A3934" i="2"/>
  <c r="A3933" i="2"/>
  <c r="A3932" i="2"/>
  <c r="A3931" i="2"/>
  <c r="A3930" i="2"/>
  <c r="A3929" i="2"/>
  <c r="A3928" i="2"/>
  <c r="A3927" i="2"/>
  <c r="A3926" i="2"/>
  <c r="A3925" i="2"/>
  <c r="A3924" i="2"/>
  <c r="A3923" i="2"/>
  <c r="A3922" i="2"/>
  <c r="A3921" i="2"/>
  <c r="A3920" i="2"/>
  <c r="A3919" i="2"/>
  <c r="A3918" i="2"/>
  <c r="A3917" i="2"/>
  <c r="A3916" i="2"/>
  <c r="A3915" i="2"/>
  <c r="A3914" i="2"/>
  <c r="A3913" i="2"/>
  <c r="A3912" i="2"/>
  <c r="A3911" i="2"/>
  <c r="A3910" i="2"/>
  <c r="A3909" i="2"/>
  <c r="A3908" i="2"/>
  <c r="A3907" i="2"/>
  <c r="A3906" i="2"/>
  <c r="A3905" i="2"/>
  <c r="A3904" i="2"/>
  <c r="A3903" i="2"/>
  <c r="A3902" i="2"/>
  <c r="A3901" i="2"/>
  <c r="A3900" i="2"/>
  <c r="A3899" i="2"/>
  <c r="A3898" i="2"/>
  <c r="A3897" i="2"/>
  <c r="A3896" i="2"/>
  <c r="A3895" i="2"/>
  <c r="A3894" i="2"/>
  <c r="A3893" i="2"/>
  <c r="A3892" i="2"/>
  <c r="A3891" i="2"/>
  <c r="A3890" i="2"/>
  <c r="A3889" i="2"/>
  <c r="A3888" i="2"/>
  <c r="A3887" i="2"/>
  <c r="A3886" i="2"/>
  <c r="A3885" i="2"/>
  <c r="A3884" i="2"/>
  <c r="A3883" i="2"/>
  <c r="A3882" i="2"/>
  <c r="A3881" i="2"/>
  <c r="A3880" i="2"/>
  <c r="A3879" i="2"/>
  <c r="A3878" i="2"/>
  <c r="A3877" i="2"/>
  <c r="A3876" i="2"/>
  <c r="A3875" i="2"/>
  <c r="A3874" i="2"/>
  <c r="A3873" i="2"/>
  <c r="A3872" i="2"/>
  <c r="A3871" i="2"/>
  <c r="A3870" i="2"/>
  <c r="A3869" i="2"/>
  <c r="A3868" i="2"/>
  <c r="A3867" i="2"/>
  <c r="A3866" i="2"/>
  <c r="A3865" i="2"/>
  <c r="A3864" i="2"/>
  <c r="A3863" i="2"/>
  <c r="A3862" i="2"/>
  <c r="A3861" i="2"/>
  <c r="A3860" i="2"/>
  <c r="A3859" i="2"/>
  <c r="A3858" i="2"/>
  <c r="A3857" i="2"/>
  <c r="A3856" i="2"/>
  <c r="A3855" i="2"/>
  <c r="A3854" i="2"/>
  <c r="A3853" i="2"/>
  <c r="A3852" i="2"/>
  <c r="A3851" i="2"/>
  <c r="A3850" i="2"/>
  <c r="A3849" i="2"/>
  <c r="A3848" i="2"/>
  <c r="A3847" i="2"/>
  <c r="A3846" i="2"/>
  <c r="A3845" i="2"/>
  <c r="A3844" i="2"/>
  <c r="A3843" i="2"/>
  <c r="A3842" i="2"/>
  <c r="A3841" i="2"/>
  <c r="A3840" i="2"/>
  <c r="A3839" i="2"/>
  <c r="A3838" i="2"/>
  <c r="A3837" i="2"/>
  <c r="A3836" i="2"/>
  <c r="A3835" i="2"/>
  <c r="A3834" i="2"/>
  <c r="A3833" i="2"/>
  <c r="A3832" i="2"/>
  <c r="A3831" i="2"/>
  <c r="A3830" i="2"/>
  <c r="A3829" i="2"/>
  <c r="A3828" i="2"/>
  <c r="A3827" i="2"/>
  <c r="A3826" i="2"/>
  <c r="A3825" i="2"/>
  <c r="A3824" i="2"/>
  <c r="A3823" i="2"/>
  <c r="A3822" i="2"/>
  <c r="A3821" i="2"/>
  <c r="A3820" i="2"/>
  <c r="A3819" i="2"/>
  <c r="A3818" i="2"/>
  <c r="A3817" i="2"/>
  <c r="A3816" i="2"/>
  <c r="A3815" i="2"/>
  <c r="A3814" i="2"/>
  <c r="A3813" i="2"/>
  <c r="A3812" i="2"/>
  <c r="A3811" i="2"/>
  <c r="A3810" i="2"/>
  <c r="A3809" i="2"/>
  <c r="A3808" i="2"/>
  <c r="A3807" i="2"/>
  <c r="A3806" i="2"/>
  <c r="A3805" i="2"/>
  <c r="A3804" i="2"/>
  <c r="A3803" i="2"/>
  <c r="A3802" i="2"/>
  <c r="A3801" i="2"/>
  <c r="A3800" i="2"/>
  <c r="A3799" i="2"/>
  <c r="A3798" i="2"/>
  <c r="A3797" i="2"/>
  <c r="A3796" i="2"/>
  <c r="A3795" i="2"/>
  <c r="A3794" i="2"/>
  <c r="A3793" i="2"/>
  <c r="A3792" i="2"/>
  <c r="A3791" i="2"/>
  <c r="A3790" i="2"/>
  <c r="A3789" i="2"/>
  <c r="A3788" i="2"/>
  <c r="A3787" i="2"/>
  <c r="A3786" i="2"/>
  <c r="A3785" i="2"/>
  <c r="A3784" i="2"/>
  <c r="A3783" i="2"/>
  <c r="A3782" i="2"/>
  <c r="A3781" i="2"/>
  <c r="A3780" i="2"/>
  <c r="A3779" i="2"/>
  <c r="A3778" i="2"/>
  <c r="A3777" i="2"/>
  <c r="A3776" i="2"/>
  <c r="A3775" i="2"/>
  <c r="A3774" i="2"/>
  <c r="A3773" i="2"/>
  <c r="A3772" i="2"/>
  <c r="A3771" i="2"/>
  <c r="A3770" i="2"/>
  <c r="A3769" i="2"/>
  <c r="A3768" i="2"/>
  <c r="A3767" i="2"/>
  <c r="A3766" i="2"/>
  <c r="A3765" i="2"/>
  <c r="A3764" i="2"/>
  <c r="A3763" i="2"/>
  <c r="A3762" i="2"/>
  <c r="A3761" i="2"/>
  <c r="A3760" i="2"/>
  <c r="A3759" i="2"/>
  <c r="A3758" i="2"/>
  <c r="A3757" i="2"/>
  <c r="A3756" i="2"/>
  <c r="A3755" i="2"/>
  <c r="A3754" i="2"/>
  <c r="A3753" i="2"/>
  <c r="A3752" i="2"/>
  <c r="A3751" i="2"/>
  <c r="A3750" i="2"/>
  <c r="A3749" i="2"/>
  <c r="A3748" i="2"/>
  <c r="A3747" i="2"/>
  <c r="A3746" i="2"/>
  <c r="A3745" i="2"/>
  <c r="A3744" i="2"/>
  <c r="A3743" i="2"/>
  <c r="A3742" i="2"/>
  <c r="A3741" i="2"/>
  <c r="A3740" i="2"/>
  <c r="A3739" i="2"/>
  <c r="A3738" i="2"/>
  <c r="A3737" i="2"/>
  <c r="A3736" i="2"/>
  <c r="A3735" i="2"/>
  <c r="A3734" i="2"/>
  <c r="A3733" i="2"/>
  <c r="A3732" i="2"/>
  <c r="A3731" i="2"/>
  <c r="A3730" i="2"/>
  <c r="A3729" i="2"/>
  <c r="A3728" i="2"/>
  <c r="A3727" i="2"/>
  <c r="A3726" i="2"/>
  <c r="A3725" i="2"/>
  <c r="A3724" i="2"/>
  <c r="A3723" i="2"/>
  <c r="A3722" i="2"/>
  <c r="A3721" i="2"/>
  <c r="A3720" i="2"/>
  <c r="A3719" i="2"/>
  <c r="A3718" i="2"/>
  <c r="A3717" i="2"/>
  <c r="A3716" i="2"/>
  <c r="A3715" i="2"/>
  <c r="A3714" i="2"/>
  <c r="A3713" i="2"/>
  <c r="A3712" i="2"/>
  <c r="A3711" i="2"/>
  <c r="A3710" i="2"/>
  <c r="A3709" i="2"/>
  <c r="A3708" i="2"/>
  <c r="A3707" i="2"/>
  <c r="A3706" i="2"/>
  <c r="A3705" i="2"/>
  <c r="A3704" i="2"/>
  <c r="A3703" i="2"/>
  <c r="A3702" i="2"/>
  <c r="A3701" i="2"/>
  <c r="A3700" i="2"/>
  <c r="A3699" i="2"/>
  <c r="A3698" i="2"/>
  <c r="A3697" i="2"/>
  <c r="A3696" i="2"/>
  <c r="A3695" i="2"/>
  <c r="A3694" i="2"/>
  <c r="A3693" i="2"/>
  <c r="A3692" i="2"/>
  <c r="A3691" i="2"/>
  <c r="A3690" i="2"/>
  <c r="A3689" i="2"/>
  <c r="A3688" i="2"/>
  <c r="A3687" i="2"/>
  <c r="A3686" i="2"/>
  <c r="A3685" i="2"/>
  <c r="A3684" i="2"/>
  <c r="A3683" i="2"/>
  <c r="A3682" i="2"/>
  <c r="A3681" i="2"/>
  <c r="A3680" i="2"/>
  <c r="A3679" i="2"/>
  <c r="A3678" i="2"/>
  <c r="A3677" i="2"/>
  <c r="A3676" i="2"/>
  <c r="A3675" i="2"/>
  <c r="A3674" i="2"/>
  <c r="A3673" i="2"/>
  <c r="A3672" i="2"/>
  <c r="A3671" i="2"/>
  <c r="A3670" i="2"/>
  <c r="A3669" i="2"/>
  <c r="A3668" i="2"/>
  <c r="A3667" i="2"/>
  <c r="A3666" i="2"/>
  <c r="A3665" i="2"/>
  <c r="A3664" i="2"/>
  <c r="A3663" i="2"/>
  <c r="A3662" i="2"/>
  <c r="A3661" i="2"/>
  <c r="A3660" i="2"/>
  <c r="A3659" i="2"/>
  <c r="A3658" i="2"/>
  <c r="A3657" i="2"/>
  <c r="A3656" i="2"/>
  <c r="A3655" i="2"/>
  <c r="A3654" i="2"/>
  <c r="A3653" i="2"/>
  <c r="A3652" i="2"/>
  <c r="A3651" i="2"/>
  <c r="A3650" i="2"/>
  <c r="A3649" i="2"/>
  <c r="A3648" i="2"/>
  <c r="A3647" i="2"/>
  <c r="A3646" i="2"/>
  <c r="A3645" i="2"/>
  <c r="A3644" i="2"/>
  <c r="A3643" i="2"/>
  <c r="A3642" i="2"/>
  <c r="A3641" i="2"/>
  <c r="A3640" i="2"/>
  <c r="A3639" i="2"/>
  <c r="A3638" i="2"/>
  <c r="A3637" i="2"/>
  <c r="A3636" i="2"/>
  <c r="A3635" i="2"/>
  <c r="A3634" i="2"/>
  <c r="A3633" i="2"/>
  <c r="A3632" i="2"/>
  <c r="A3631" i="2"/>
  <c r="A3630" i="2"/>
  <c r="A3629" i="2"/>
  <c r="A3628" i="2"/>
  <c r="A3627" i="2"/>
  <c r="A3626" i="2"/>
  <c r="A3625" i="2"/>
  <c r="A3624" i="2"/>
  <c r="A3623" i="2"/>
  <c r="A3622" i="2"/>
  <c r="A3621" i="2"/>
  <c r="A3620" i="2"/>
  <c r="A3619" i="2"/>
  <c r="A3618" i="2"/>
  <c r="A3617" i="2"/>
  <c r="A3616" i="2"/>
  <c r="A3615" i="2"/>
  <c r="A3614" i="2"/>
  <c r="A3613" i="2"/>
  <c r="A3612" i="2"/>
  <c r="A3611" i="2"/>
  <c r="A3610" i="2"/>
  <c r="A3609" i="2"/>
  <c r="A3608" i="2"/>
  <c r="A3607" i="2"/>
  <c r="A3606" i="2"/>
  <c r="A3605" i="2"/>
  <c r="A3604" i="2"/>
  <c r="A3603" i="2"/>
  <c r="A3602" i="2"/>
  <c r="A3601" i="2"/>
  <c r="A3600" i="2"/>
  <c r="A3599" i="2"/>
  <c r="A3598" i="2"/>
  <c r="A3597" i="2"/>
  <c r="A3596" i="2"/>
  <c r="A3595" i="2"/>
  <c r="A3594" i="2"/>
  <c r="A3593" i="2"/>
  <c r="A3592" i="2"/>
  <c r="A3591" i="2"/>
  <c r="A3590" i="2"/>
  <c r="A3589" i="2"/>
  <c r="A3588" i="2"/>
  <c r="A3587" i="2"/>
  <c r="A3586" i="2"/>
  <c r="A3585" i="2"/>
  <c r="A3584" i="2"/>
  <c r="A3583" i="2"/>
  <c r="A3582" i="2"/>
  <c r="A3581" i="2"/>
  <c r="A3580" i="2"/>
  <c r="A3579" i="2"/>
  <c r="A3578" i="2"/>
  <c r="A3577" i="2"/>
  <c r="A3576" i="2"/>
  <c r="A3575" i="2"/>
  <c r="A3574" i="2"/>
  <c r="A3573" i="2"/>
  <c r="A3572" i="2"/>
  <c r="A3571" i="2"/>
  <c r="A3570" i="2"/>
  <c r="A3569" i="2"/>
  <c r="A3568" i="2"/>
  <c r="A3567" i="2"/>
  <c r="A3566" i="2"/>
  <c r="A3565" i="2"/>
  <c r="A3564" i="2"/>
  <c r="A3563" i="2"/>
  <c r="A3562" i="2"/>
  <c r="A3561" i="2"/>
  <c r="A3560" i="2"/>
  <c r="A3559" i="2"/>
  <c r="A3558" i="2"/>
  <c r="A3557" i="2"/>
  <c r="A3556" i="2"/>
  <c r="A3555" i="2"/>
  <c r="A3554" i="2"/>
  <c r="A3553" i="2"/>
  <c r="A3552" i="2"/>
  <c r="A3551" i="2"/>
  <c r="A3550" i="2"/>
  <c r="A3549" i="2"/>
  <c r="A3548" i="2"/>
  <c r="A3547" i="2"/>
  <c r="A3546" i="2"/>
  <c r="A3545" i="2"/>
  <c r="A3544" i="2"/>
  <c r="A3543" i="2"/>
  <c r="A3542" i="2"/>
  <c r="A3541" i="2"/>
  <c r="A3540" i="2"/>
  <c r="A3539" i="2"/>
  <c r="A3538" i="2"/>
  <c r="A3537" i="2"/>
  <c r="A3536" i="2"/>
  <c r="A3535" i="2"/>
  <c r="A3534" i="2"/>
  <c r="A3533" i="2"/>
  <c r="A3532" i="2"/>
  <c r="A3531" i="2"/>
  <c r="A3530" i="2"/>
  <c r="A3529" i="2"/>
  <c r="A3528" i="2"/>
  <c r="A3527" i="2"/>
  <c r="A3526" i="2"/>
  <c r="A3525" i="2"/>
  <c r="A3524" i="2"/>
  <c r="A3523" i="2"/>
  <c r="A3522" i="2"/>
  <c r="A3521" i="2"/>
  <c r="A3520" i="2"/>
  <c r="A3519" i="2"/>
  <c r="A3518" i="2"/>
  <c r="A3517" i="2"/>
  <c r="A3516" i="2"/>
  <c r="A3515" i="2"/>
  <c r="A3514" i="2"/>
  <c r="A3513" i="2"/>
  <c r="A3512" i="2"/>
  <c r="A3511" i="2"/>
  <c r="A3510" i="2"/>
  <c r="A3509" i="2"/>
  <c r="A3508" i="2"/>
  <c r="A3507" i="2"/>
  <c r="A3506" i="2"/>
  <c r="A3505" i="2"/>
  <c r="A3504" i="2"/>
  <c r="A3503" i="2"/>
  <c r="A3502" i="2"/>
  <c r="A3501" i="2"/>
  <c r="A3500" i="2"/>
  <c r="A3499" i="2"/>
  <c r="A3498" i="2"/>
  <c r="A3497" i="2"/>
  <c r="A3496" i="2"/>
  <c r="A3495" i="2"/>
  <c r="A3494" i="2"/>
  <c r="A3493" i="2"/>
  <c r="A3492" i="2"/>
  <c r="A3491" i="2"/>
  <c r="A3490" i="2"/>
  <c r="A3489" i="2"/>
  <c r="A3488" i="2"/>
  <c r="A3487" i="2"/>
  <c r="A3486" i="2"/>
  <c r="A3485" i="2"/>
  <c r="A3484" i="2"/>
  <c r="A3483" i="2"/>
  <c r="A3482" i="2"/>
  <c r="A3481" i="2"/>
  <c r="A3480" i="2"/>
  <c r="A3479" i="2"/>
  <c r="A3478" i="2"/>
  <c r="A3477" i="2"/>
  <c r="A3476" i="2"/>
  <c r="A3475" i="2"/>
  <c r="A3474" i="2"/>
  <c r="A3473" i="2"/>
  <c r="A3472" i="2"/>
  <c r="A3471" i="2"/>
  <c r="A3470" i="2"/>
  <c r="A3469" i="2"/>
  <c r="A3468" i="2"/>
  <c r="A3467" i="2"/>
  <c r="A3466" i="2"/>
  <c r="A3465" i="2"/>
  <c r="A3464" i="2"/>
  <c r="A3463" i="2"/>
  <c r="A3462" i="2"/>
  <c r="A3461" i="2"/>
  <c r="A3460" i="2"/>
  <c r="A3459" i="2"/>
  <c r="A3458" i="2"/>
  <c r="A3457" i="2"/>
  <c r="A3456" i="2"/>
  <c r="A3455" i="2"/>
  <c r="A3454" i="2"/>
  <c r="A3453" i="2"/>
  <c r="A3452" i="2"/>
  <c r="A3451" i="2"/>
  <c r="A3450" i="2"/>
  <c r="A3449" i="2"/>
  <c r="A3448" i="2"/>
  <c r="A3447" i="2"/>
  <c r="A3446" i="2"/>
  <c r="A3445" i="2"/>
  <c r="A3444" i="2"/>
  <c r="A3443" i="2"/>
  <c r="A3442" i="2"/>
  <c r="A3441" i="2"/>
  <c r="A3440" i="2"/>
  <c r="A3439" i="2"/>
  <c r="A3438" i="2"/>
  <c r="A3437" i="2"/>
  <c r="A3436" i="2"/>
  <c r="A3435" i="2"/>
  <c r="A3434" i="2"/>
  <c r="A3433" i="2"/>
  <c r="A3432" i="2"/>
  <c r="A3431" i="2"/>
  <c r="A3430" i="2"/>
  <c r="A3429" i="2"/>
  <c r="A3428" i="2"/>
  <c r="A3427" i="2"/>
  <c r="A3426" i="2"/>
  <c r="A3425" i="2"/>
  <c r="A3424" i="2"/>
  <c r="A3423" i="2"/>
  <c r="A3422" i="2"/>
  <c r="A3421" i="2"/>
  <c r="A3420" i="2"/>
  <c r="A3419" i="2"/>
  <c r="A3418" i="2"/>
  <c r="A3417" i="2"/>
  <c r="A3416" i="2"/>
  <c r="A3415" i="2"/>
  <c r="A3414" i="2"/>
  <c r="A3413" i="2"/>
  <c r="A3412" i="2"/>
  <c r="A3411" i="2"/>
  <c r="A3410" i="2"/>
  <c r="A3409" i="2"/>
  <c r="A3408" i="2"/>
  <c r="A3407" i="2"/>
  <c r="A3406" i="2"/>
  <c r="A3405" i="2"/>
  <c r="A3404" i="2"/>
  <c r="A3403" i="2"/>
  <c r="A3402" i="2"/>
  <c r="A3401" i="2"/>
  <c r="A3400" i="2"/>
  <c r="A3399" i="2"/>
  <c r="A3398" i="2"/>
  <c r="A3397" i="2"/>
  <c r="A3396" i="2"/>
  <c r="A3395" i="2"/>
  <c r="A3394" i="2"/>
  <c r="A3393" i="2"/>
  <c r="A3392" i="2"/>
  <c r="A3391" i="2"/>
  <c r="A3390" i="2"/>
  <c r="A3389" i="2"/>
  <c r="A3388" i="2"/>
  <c r="A3387" i="2"/>
  <c r="A3386" i="2"/>
  <c r="A3385" i="2"/>
  <c r="A3384" i="2"/>
  <c r="A3383" i="2"/>
  <c r="A3382" i="2"/>
  <c r="A3381" i="2"/>
  <c r="A3380" i="2"/>
  <c r="A3379" i="2"/>
  <c r="A3378" i="2"/>
  <c r="A3377" i="2"/>
  <c r="A3376" i="2"/>
  <c r="A3375" i="2"/>
  <c r="A3374" i="2"/>
  <c r="A3373" i="2"/>
  <c r="A3372" i="2"/>
  <c r="A3371" i="2"/>
  <c r="A3370" i="2"/>
  <c r="A3369" i="2"/>
  <c r="A3368" i="2"/>
  <c r="A3367" i="2"/>
  <c r="A3366" i="2"/>
  <c r="A3365" i="2"/>
  <c r="A3364" i="2"/>
  <c r="A3363" i="2"/>
  <c r="A3362" i="2"/>
  <c r="A3361" i="2"/>
  <c r="A3360" i="2"/>
  <c r="A3359" i="2"/>
  <c r="A3358" i="2"/>
  <c r="A3357" i="2"/>
  <c r="A3356" i="2"/>
  <c r="A3355" i="2"/>
  <c r="A3354" i="2"/>
  <c r="A3353" i="2"/>
  <c r="A3352" i="2"/>
  <c r="A3351" i="2"/>
  <c r="A3350" i="2"/>
  <c r="A3349" i="2"/>
  <c r="A3348" i="2"/>
  <c r="A3347" i="2"/>
  <c r="A3346" i="2"/>
  <c r="A3345" i="2"/>
  <c r="A3344" i="2"/>
  <c r="A3343" i="2"/>
  <c r="A3342" i="2"/>
  <c r="A3341" i="2"/>
  <c r="A3340" i="2"/>
  <c r="A3339" i="2"/>
  <c r="A3338" i="2"/>
  <c r="A3337" i="2"/>
  <c r="A3336" i="2"/>
  <c r="A3335" i="2"/>
  <c r="A3334" i="2"/>
  <c r="A3333" i="2"/>
  <c r="A3332" i="2"/>
  <c r="A3331" i="2"/>
  <c r="A3330" i="2"/>
  <c r="A3329" i="2"/>
  <c r="A3328" i="2"/>
  <c r="A3327" i="2"/>
  <c r="A3326" i="2"/>
  <c r="A3325" i="2"/>
  <c r="A3324" i="2"/>
  <c r="A3323" i="2"/>
  <c r="A3322" i="2"/>
  <c r="A3321" i="2"/>
  <c r="A3320" i="2"/>
  <c r="A3319" i="2"/>
  <c r="A3318" i="2"/>
  <c r="A3317" i="2"/>
  <c r="A3316" i="2"/>
  <c r="A3315" i="2"/>
  <c r="A3314" i="2"/>
  <c r="A3313" i="2"/>
  <c r="A3312" i="2"/>
  <c r="A3311" i="2"/>
  <c r="A3310" i="2"/>
  <c r="A3309" i="2"/>
  <c r="A3308" i="2"/>
  <c r="A3307" i="2"/>
  <c r="A3306" i="2"/>
  <c r="A3305" i="2"/>
  <c r="A3304" i="2"/>
  <c r="A3303" i="2"/>
  <c r="A3302" i="2"/>
  <c r="A3301" i="2"/>
  <c r="A3300" i="2"/>
  <c r="A3299" i="2"/>
  <c r="A3298" i="2"/>
  <c r="A3297" i="2"/>
  <c r="A3296" i="2"/>
  <c r="A3295" i="2"/>
  <c r="A3294" i="2"/>
  <c r="A3293" i="2"/>
  <c r="A3292" i="2"/>
  <c r="A3291" i="2"/>
  <c r="A3290" i="2"/>
  <c r="A3289" i="2"/>
  <c r="A3288" i="2"/>
  <c r="A3287" i="2"/>
  <c r="A3286" i="2"/>
  <c r="A3285" i="2"/>
  <c r="A3284" i="2"/>
  <c r="A3283" i="2"/>
  <c r="A3282" i="2"/>
  <c r="A3281" i="2"/>
  <c r="A3280" i="2"/>
  <c r="A3279" i="2"/>
  <c r="A3278" i="2"/>
  <c r="A3277" i="2"/>
  <c r="A3276" i="2"/>
  <c r="A3275" i="2"/>
  <c r="A3274" i="2"/>
  <c r="A3273" i="2"/>
  <c r="A3272" i="2"/>
  <c r="A3271" i="2"/>
  <c r="A3270" i="2"/>
  <c r="A3269" i="2"/>
  <c r="A3268" i="2"/>
  <c r="A3267" i="2"/>
  <c r="A3266" i="2"/>
  <c r="A3265" i="2"/>
  <c r="A3264" i="2"/>
  <c r="A3263" i="2"/>
  <c r="A3262" i="2"/>
  <c r="A3261" i="2"/>
  <c r="A3260" i="2"/>
  <c r="A3259" i="2"/>
  <c r="A3258" i="2"/>
  <c r="A3257" i="2"/>
  <c r="A3256" i="2"/>
  <c r="A3255" i="2"/>
  <c r="A3254" i="2"/>
  <c r="A3253" i="2"/>
  <c r="A3252" i="2"/>
  <c r="A3251" i="2"/>
  <c r="A3250" i="2"/>
  <c r="A3249" i="2"/>
  <c r="A3248" i="2"/>
  <c r="A3247" i="2"/>
  <c r="A3246" i="2"/>
  <c r="A3245" i="2"/>
  <c r="A3244" i="2"/>
  <c r="A3243" i="2"/>
  <c r="A3242" i="2"/>
  <c r="A3241" i="2"/>
  <c r="A3240" i="2"/>
  <c r="A3239" i="2"/>
  <c r="A3238" i="2"/>
  <c r="A3237" i="2"/>
  <c r="A3236" i="2"/>
  <c r="A3235" i="2"/>
  <c r="A3234" i="2"/>
  <c r="A3233" i="2"/>
  <c r="A3232" i="2"/>
  <c r="A3231" i="2"/>
  <c r="A3230" i="2"/>
  <c r="A3229" i="2"/>
  <c r="A3228" i="2"/>
  <c r="A3227" i="2"/>
  <c r="A3226" i="2"/>
  <c r="A3225" i="2"/>
  <c r="A3224" i="2"/>
  <c r="A3223" i="2"/>
  <c r="A3222" i="2"/>
  <c r="A3221" i="2"/>
  <c r="A3220" i="2"/>
  <c r="A3219" i="2"/>
  <c r="A3218" i="2"/>
  <c r="A3217" i="2"/>
  <c r="A3216" i="2"/>
  <c r="A3215" i="2"/>
  <c r="A3214" i="2"/>
  <c r="A3213" i="2"/>
  <c r="A3212" i="2"/>
  <c r="A3211" i="2"/>
  <c r="A3210" i="2"/>
  <c r="A3209" i="2"/>
  <c r="A3208" i="2"/>
  <c r="A3207" i="2"/>
  <c r="A3206" i="2"/>
  <c r="A3205" i="2"/>
  <c r="A3204" i="2"/>
  <c r="A3203" i="2"/>
  <c r="A3202" i="2"/>
  <c r="A3201" i="2"/>
  <c r="A3200" i="2"/>
  <c r="A3199" i="2"/>
  <c r="A3198" i="2"/>
  <c r="A3197" i="2"/>
  <c r="A3196" i="2"/>
  <c r="A3195" i="2"/>
  <c r="A3194" i="2"/>
  <c r="A3193" i="2"/>
  <c r="A3192" i="2"/>
  <c r="A3191" i="2"/>
  <c r="A3190" i="2"/>
  <c r="A3189" i="2"/>
  <c r="A3188" i="2"/>
  <c r="A3187" i="2"/>
  <c r="A3186" i="2"/>
  <c r="A3185" i="2"/>
  <c r="A3184" i="2"/>
  <c r="A3183" i="2"/>
  <c r="A3182" i="2"/>
  <c r="A3181" i="2"/>
  <c r="A3180" i="2"/>
  <c r="A3179" i="2"/>
  <c r="A3178" i="2"/>
  <c r="A3177" i="2"/>
  <c r="A3176" i="2"/>
  <c r="A3175" i="2"/>
  <c r="A3174" i="2"/>
  <c r="A3173" i="2"/>
  <c r="A3172" i="2"/>
  <c r="A3171" i="2"/>
  <c r="A3170" i="2"/>
  <c r="A3169" i="2"/>
  <c r="A3168" i="2"/>
  <c r="A3167" i="2"/>
  <c r="A3166" i="2"/>
  <c r="A3165" i="2"/>
  <c r="A3164" i="2"/>
  <c r="A3163" i="2"/>
  <c r="A3162" i="2"/>
  <c r="A3161" i="2"/>
  <c r="A3160" i="2"/>
  <c r="A3159" i="2"/>
  <c r="A3158" i="2"/>
  <c r="A3157" i="2"/>
  <c r="A3156" i="2"/>
  <c r="A3155" i="2"/>
  <c r="A3154" i="2"/>
  <c r="A3153" i="2"/>
  <c r="A3152" i="2"/>
  <c r="A3151" i="2"/>
  <c r="A3150" i="2"/>
  <c r="A3149" i="2"/>
  <c r="A3148" i="2"/>
  <c r="A3147" i="2"/>
  <c r="A3146" i="2"/>
  <c r="A3145" i="2"/>
  <c r="A3144" i="2"/>
  <c r="A3143" i="2"/>
  <c r="A3142" i="2"/>
  <c r="A3141" i="2"/>
  <c r="A3140" i="2"/>
  <c r="A3139" i="2"/>
  <c r="A3138" i="2"/>
  <c r="A3137" i="2"/>
  <c r="A3136" i="2"/>
  <c r="A3135" i="2"/>
  <c r="A3134" i="2"/>
  <c r="A3133" i="2"/>
  <c r="A3132" i="2"/>
  <c r="A3131" i="2"/>
  <c r="A3130" i="2"/>
  <c r="A3129" i="2"/>
  <c r="A3128" i="2"/>
  <c r="A3127" i="2"/>
  <c r="A3126" i="2"/>
  <c r="A3125" i="2"/>
  <c r="A3124" i="2"/>
  <c r="A3123" i="2"/>
  <c r="A3122" i="2"/>
  <c r="A3121" i="2"/>
  <c r="A3120" i="2"/>
  <c r="A3119" i="2"/>
  <c r="A3118" i="2"/>
  <c r="A3117" i="2"/>
  <c r="A3116" i="2"/>
  <c r="A3115" i="2"/>
  <c r="A3114" i="2"/>
  <c r="A3113" i="2"/>
  <c r="A3112" i="2"/>
  <c r="A3111" i="2"/>
  <c r="A3110" i="2"/>
  <c r="A3109" i="2"/>
  <c r="A3108" i="2"/>
  <c r="A3107" i="2"/>
  <c r="A3106" i="2"/>
  <c r="A3105" i="2"/>
  <c r="A3104" i="2"/>
  <c r="A3103" i="2"/>
  <c r="A3102" i="2"/>
  <c r="A3101" i="2"/>
  <c r="A3100" i="2"/>
  <c r="A3099" i="2"/>
  <c r="A3098" i="2"/>
  <c r="A3097" i="2"/>
  <c r="A3096" i="2"/>
  <c r="A3095" i="2"/>
  <c r="A3094" i="2"/>
  <c r="A3093" i="2"/>
  <c r="A3092" i="2"/>
  <c r="A3091" i="2"/>
  <c r="A3090" i="2"/>
  <c r="A3089" i="2"/>
  <c r="A3088" i="2"/>
  <c r="A3087" i="2"/>
  <c r="A3086" i="2"/>
  <c r="A3085" i="2"/>
  <c r="A3084" i="2"/>
  <c r="A3083" i="2"/>
  <c r="A3082" i="2"/>
  <c r="A3081" i="2"/>
  <c r="A3080" i="2"/>
  <c r="A3079" i="2"/>
  <c r="A3078" i="2"/>
  <c r="A3077" i="2"/>
  <c r="A3076" i="2"/>
  <c r="A3075" i="2"/>
  <c r="A3074" i="2"/>
  <c r="A3073" i="2"/>
  <c r="A3072" i="2"/>
  <c r="A3071" i="2"/>
  <c r="A3070" i="2"/>
  <c r="A3069" i="2"/>
  <c r="A3068" i="2"/>
  <c r="A3067" i="2"/>
  <c r="A3066" i="2"/>
  <c r="A3065" i="2"/>
  <c r="A3064" i="2"/>
  <c r="A3063" i="2"/>
  <c r="A3062" i="2"/>
  <c r="A3061" i="2"/>
  <c r="A3060" i="2"/>
  <c r="A3059" i="2"/>
  <c r="A3058" i="2"/>
  <c r="A3057" i="2"/>
  <c r="A3056" i="2"/>
  <c r="A3055" i="2"/>
  <c r="A3054" i="2"/>
  <c r="A3053" i="2"/>
  <c r="A3052" i="2"/>
  <c r="A3051" i="2"/>
  <c r="A3050" i="2"/>
  <c r="A3049" i="2"/>
  <c r="A3048" i="2"/>
  <c r="A3047" i="2"/>
  <c r="A3046" i="2"/>
  <c r="A3045" i="2"/>
  <c r="A3044" i="2"/>
  <c r="A3043" i="2"/>
  <c r="A3042" i="2"/>
  <c r="A3041" i="2"/>
  <c r="A3040" i="2"/>
  <c r="A3039" i="2"/>
  <c r="A3038" i="2"/>
  <c r="A3037" i="2"/>
  <c r="A3036" i="2"/>
  <c r="A3035" i="2"/>
  <c r="A3034" i="2"/>
  <c r="A3033" i="2"/>
  <c r="A3032" i="2"/>
  <c r="A3031" i="2"/>
  <c r="A3030" i="2"/>
  <c r="A3029" i="2"/>
  <c r="A3028" i="2"/>
  <c r="A3027" i="2"/>
  <c r="A3026" i="2"/>
  <c r="A3025" i="2"/>
  <c r="A3024" i="2"/>
  <c r="A3023" i="2"/>
  <c r="A3022" i="2"/>
  <c r="A3021" i="2"/>
  <c r="A3020" i="2"/>
  <c r="A3019" i="2"/>
  <c r="A3018" i="2"/>
  <c r="A3017" i="2"/>
  <c r="A3016" i="2"/>
  <c r="A3015" i="2"/>
  <c r="A3014" i="2"/>
  <c r="A3013" i="2"/>
  <c r="A3012" i="2"/>
  <c r="A3011" i="2"/>
  <c r="A3010" i="2"/>
  <c r="A3009" i="2"/>
  <c r="A3008" i="2"/>
  <c r="A3007" i="2"/>
  <c r="A3006" i="2"/>
  <c r="A3005" i="2"/>
  <c r="A3004" i="2"/>
  <c r="A3003" i="2"/>
  <c r="A3002" i="2"/>
  <c r="A3001" i="2"/>
  <c r="A3000" i="2"/>
  <c r="A2999" i="2"/>
  <c r="A2998" i="2"/>
  <c r="A2997" i="2"/>
  <c r="A2996" i="2"/>
  <c r="A2995" i="2"/>
  <c r="A2994" i="2"/>
  <c r="A2993" i="2"/>
  <c r="A2992" i="2"/>
  <c r="A2991" i="2"/>
  <c r="A2990" i="2"/>
  <c r="A2989" i="2"/>
  <c r="A2988" i="2"/>
  <c r="A2987" i="2"/>
  <c r="A2986" i="2"/>
  <c r="A2985" i="2"/>
  <c r="A2984" i="2"/>
  <c r="A2983" i="2"/>
  <c r="A2982" i="2"/>
  <c r="A2981" i="2"/>
  <c r="A2980" i="2"/>
  <c r="A2979" i="2"/>
  <c r="A2978" i="2"/>
  <c r="A2977" i="2"/>
  <c r="A2976" i="2"/>
  <c r="A2975" i="2"/>
  <c r="A2974" i="2"/>
  <c r="A2973" i="2"/>
  <c r="A2972" i="2"/>
  <c r="A2971" i="2"/>
  <c r="A2970" i="2"/>
  <c r="A2969" i="2"/>
  <c r="A2968" i="2"/>
  <c r="A2967" i="2"/>
  <c r="A2966" i="2"/>
  <c r="A2965" i="2"/>
  <c r="A2964" i="2"/>
  <c r="A2963" i="2"/>
  <c r="A2962" i="2"/>
  <c r="A2961" i="2"/>
  <c r="A2960" i="2"/>
  <c r="A2959" i="2"/>
  <c r="A2958" i="2"/>
  <c r="A2957" i="2"/>
  <c r="A2956" i="2"/>
  <c r="A2955" i="2"/>
  <c r="A2954" i="2"/>
  <c r="A2953" i="2"/>
  <c r="A2952" i="2"/>
  <c r="A2951" i="2"/>
  <c r="A2950" i="2"/>
  <c r="A2949" i="2"/>
  <c r="A2948" i="2"/>
  <c r="A2947" i="2"/>
  <c r="A2946" i="2"/>
  <c r="A2945" i="2"/>
  <c r="A2944" i="2"/>
  <c r="A2943" i="2"/>
  <c r="A2942" i="2"/>
  <c r="A2941" i="2"/>
  <c r="A2940" i="2"/>
  <c r="A2939" i="2"/>
  <c r="A2938" i="2"/>
  <c r="A2937" i="2"/>
  <c r="A2936" i="2"/>
  <c r="A2935" i="2"/>
  <c r="A2934" i="2"/>
  <c r="A2933" i="2"/>
  <c r="A2932" i="2"/>
  <c r="A2931" i="2"/>
  <c r="A2930" i="2"/>
  <c r="A2929" i="2"/>
  <c r="A2928" i="2"/>
  <c r="A2927" i="2"/>
  <c r="A2926" i="2"/>
  <c r="A2925" i="2"/>
  <c r="A2924" i="2"/>
  <c r="A2923" i="2"/>
  <c r="A2922" i="2"/>
  <c r="A2921" i="2"/>
  <c r="A2920" i="2"/>
  <c r="A2919" i="2"/>
  <c r="A2918" i="2"/>
  <c r="A2917" i="2"/>
  <c r="A2916" i="2"/>
  <c r="A2915" i="2"/>
  <c r="A2914" i="2"/>
  <c r="A2913" i="2"/>
  <c r="A2912" i="2"/>
  <c r="A2911" i="2"/>
  <c r="A2910" i="2"/>
  <c r="A2909" i="2"/>
  <c r="A2908" i="2"/>
  <c r="A2907" i="2"/>
  <c r="A2906" i="2"/>
  <c r="A2905" i="2"/>
  <c r="A2904" i="2"/>
  <c r="A2903" i="2"/>
  <c r="A2902" i="2"/>
  <c r="A2901" i="2"/>
  <c r="A2900" i="2"/>
  <c r="A2899" i="2"/>
  <c r="A2898" i="2"/>
  <c r="A2897" i="2"/>
  <c r="A2896" i="2"/>
  <c r="A2895" i="2"/>
  <c r="A2894" i="2"/>
  <c r="A2893" i="2"/>
  <c r="A2892" i="2"/>
  <c r="A2891" i="2"/>
  <c r="A2890" i="2"/>
  <c r="A2889" i="2"/>
  <c r="A2888" i="2"/>
  <c r="A2887" i="2"/>
  <c r="A2886" i="2"/>
  <c r="A2885" i="2"/>
  <c r="A2884" i="2"/>
  <c r="A2883" i="2"/>
  <c r="A2882" i="2"/>
  <c r="A2881" i="2"/>
  <c r="A2880" i="2"/>
  <c r="A2879" i="2"/>
  <c r="A2878" i="2"/>
  <c r="A2877" i="2"/>
  <c r="A2876" i="2"/>
  <c r="A2875" i="2"/>
  <c r="A2874" i="2"/>
  <c r="A2873" i="2"/>
  <c r="A2872" i="2"/>
  <c r="A2871" i="2"/>
  <c r="A2870" i="2"/>
  <c r="A2869" i="2"/>
  <c r="A2868" i="2"/>
  <c r="A2867" i="2"/>
  <c r="A2866" i="2"/>
  <c r="A2865" i="2"/>
  <c r="A2864" i="2"/>
  <c r="A2863" i="2"/>
  <c r="A2862" i="2"/>
  <c r="A2861" i="2"/>
  <c r="A2860" i="2"/>
  <c r="A2859" i="2"/>
  <c r="A2858" i="2"/>
  <c r="A2857" i="2"/>
  <c r="A2856" i="2"/>
  <c r="A2855" i="2"/>
  <c r="A2854" i="2"/>
  <c r="A2853" i="2"/>
  <c r="A2852" i="2"/>
  <c r="A2851" i="2"/>
  <c r="A2850" i="2"/>
  <c r="A2849" i="2"/>
  <c r="A2848" i="2"/>
  <c r="A2847" i="2"/>
  <c r="A2846" i="2"/>
  <c r="A2845" i="2"/>
  <c r="A2844" i="2"/>
  <c r="A2843" i="2"/>
  <c r="A2842" i="2"/>
  <c r="A2841" i="2"/>
  <c r="A2840" i="2"/>
  <c r="A2839" i="2"/>
  <c r="A2838" i="2"/>
  <c r="A2837" i="2"/>
  <c r="A2836" i="2"/>
  <c r="A2835" i="2"/>
  <c r="A2834" i="2"/>
  <c r="A2833" i="2"/>
  <c r="A2832" i="2"/>
  <c r="A2831" i="2"/>
  <c r="A2830" i="2"/>
  <c r="A2829" i="2"/>
  <c r="A2828" i="2"/>
  <c r="A2827" i="2"/>
  <c r="A2826" i="2"/>
  <c r="A2825" i="2"/>
  <c r="A2824" i="2"/>
  <c r="A2823" i="2"/>
  <c r="A2822" i="2"/>
  <c r="A2821" i="2"/>
  <c r="A2820" i="2"/>
  <c r="A2819" i="2"/>
  <c r="A2818" i="2"/>
  <c r="A2817" i="2"/>
  <c r="A2816" i="2"/>
  <c r="A2815" i="2"/>
  <c r="A2814" i="2"/>
  <c r="A2813" i="2"/>
  <c r="A2812" i="2"/>
  <c r="A2811" i="2"/>
  <c r="A2810" i="2"/>
  <c r="A2809" i="2"/>
  <c r="A2808" i="2"/>
  <c r="A2807" i="2"/>
  <c r="A2806" i="2"/>
  <c r="A2805" i="2"/>
  <c r="A2804" i="2"/>
  <c r="A2803" i="2"/>
  <c r="A2802" i="2"/>
  <c r="A2801" i="2"/>
  <c r="A2800" i="2"/>
  <c r="A2799" i="2"/>
  <c r="A2798" i="2"/>
  <c r="A2797" i="2"/>
  <c r="A2796" i="2"/>
  <c r="A2795" i="2"/>
  <c r="A2794" i="2"/>
  <c r="A2793" i="2"/>
  <c r="A2792" i="2"/>
  <c r="A2791" i="2"/>
  <c r="A2790" i="2"/>
  <c r="A2789" i="2"/>
  <c r="A2788" i="2"/>
  <c r="A2787" i="2"/>
  <c r="A2786" i="2"/>
  <c r="A2785" i="2"/>
  <c r="A2784" i="2"/>
  <c r="A2783" i="2"/>
  <c r="A2782" i="2"/>
  <c r="A2781" i="2"/>
  <c r="A2780" i="2"/>
  <c r="A2779" i="2"/>
  <c r="A2778" i="2"/>
  <c r="A2777" i="2"/>
  <c r="A2776" i="2"/>
  <c r="A2775" i="2"/>
  <c r="A2774" i="2"/>
  <c r="A2773" i="2"/>
  <c r="A2772" i="2"/>
  <c r="A2771" i="2"/>
  <c r="A2770" i="2"/>
  <c r="A2769" i="2"/>
  <c r="A2768" i="2"/>
  <c r="A2767" i="2"/>
  <c r="A2766" i="2"/>
  <c r="A2765" i="2"/>
  <c r="A2764" i="2"/>
  <c r="A2763" i="2"/>
  <c r="A2762" i="2"/>
  <c r="A2761" i="2"/>
  <c r="A2760" i="2"/>
  <c r="A2759" i="2"/>
  <c r="A2758" i="2"/>
  <c r="A2757" i="2"/>
  <c r="A2756" i="2"/>
  <c r="A2755" i="2"/>
  <c r="A2754" i="2"/>
  <c r="A2753" i="2"/>
  <c r="A2752" i="2"/>
  <c r="A2751" i="2"/>
  <c r="A2750" i="2"/>
  <c r="A2749" i="2"/>
  <c r="A2748" i="2"/>
  <c r="A2747" i="2"/>
  <c r="A2746" i="2"/>
  <c r="A2745" i="2"/>
  <c r="A2744" i="2"/>
  <c r="A2743" i="2"/>
  <c r="A2742" i="2"/>
  <c r="A2741" i="2"/>
  <c r="A2740" i="2"/>
  <c r="A2739" i="2"/>
  <c r="A2738" i="2"/>
  <c r="A2737" i="2"/>
  <c r="A2736" i="2"/>
  <c r="A2735" i="2"/>
  <c r="A2734" i="2"/>
  <c r="A2733" i="2"/>
  <c r="A2732" i="2"/>
  <c r="A2731" i="2"/>
  <c r="A2730" i="2"/>
  <c r="A2729" i="2"/>
  <c r="A2728" i="2"/>
  <c r="A2727" i="2"/>
  <c r="A2726" i="2"/>
  <c r="A2725" i="2"/>
  <c r="A2724" i="2"/>
  <c r="A2723" i="2"/>
  <c r="A2722" i="2"/>
  <c r="A2721" i="2"/>
  <c r="A2720" i="2"/>
  <c r="A2719" i="2"/>
  <c r="A2718" i="2"/>
  <c r="A2717" i="2"/>
  <c r="A2716" i="2"/>
  <c r="A2715" i="2"/>
  <c r="A2714" i="2"/>
  <c r="A2713" i="2"/>
  <c r="A2712" i="2"/>
  <c r="A2711" i="2"/>
  <c r="A2710" i="2"/>
  <c r="A2709" i="2"/>
  <c r="A2708" i="2"/>
  <c r="A2707" i="2"/>
  <c r="A2706" i="2"/>
  <c r="A2705" i="2"/>
  <c r="A2704" i="2"/>
  <c r="A2703" i="2"/>
  <c r="A2702" i="2"/>
  <c r="A2701" i="2"/>
  <c r="A2700" i="2"/>
  <c r="A2699" i="2"/>
  <c r="A2698" i="2"/>
  <c r="A2697" i="2"/>
  <c r="A2696" i="2"/>
  <c r="A2695" i="2"/>
  <c r="A2694" i="2"/>
  <c r="A2693" i="2"/>
  <c r="A2692" i="2"/>
  <c r="A2691" i="2"/>
  <c r="A2690" i="2"/>
  <c r="A2689" i="2"/>
  <c r="A2688" i="2"/>
  <c r="A2687" i="2"/>
  <c r="A2686" i="2"/>
  <c r="A2685" i="2"/>
  <c r="A2684" i="2"/>
  <c r="A2683" i="2"/>
  <c r="A2682" i="2"/>
  <c r="A2681" i="2"/>
  <c r="A2680" i="2"/>
  <c r="A2679" i="2"/>
  <c r="A2678" i="2"/>
  <c r="A2677" i="2"/>
  <c r="A2676" i="2"/>
  <c r="A2675" i="2"/>
  <c r="A2674" i="2"/>
  <c r="A2673" i="2"/>
  <c r="A2672" i="2"/>
  <c r="A2671" i="2"/>
  <c r="A2670" i="2"/>
  <c r="A2669" i="2"/>
  <c r="A2668" i="2"/>
  <c r="A2667" i="2"/>
  <c r="A2666" i="2"/>
  <c r="A2665" i="2"/>
  <c r="A2664" i="2"/>
  <c r="A2663" i="2"/>
  <c r="A2662" i="2"/>
  <c r="A2661" i="2"/>
  <c r="A2660" i="2"/>
  <c r="A2659" i="2"/>
  <c r="A2658" i="2"/>
  <c r="A2657" i="2"/>
  <c r="A2656" i="2"/>
  <c r="A2655" i="2"/>
  <c r="A2654" i="2"/>
  <c r="A2653" i="2"/>
  <c r="A2652" i="2"/>
  <c r="A2651" i="2"/>
  <c r="A2650" i="2"/>
  <c r="A2649" i="2"/>
  <c r="A2648" i="2"/>
  <c r="A2647" i="2"/>
  <c r="A2646" i="2"/>
  <c r="A2645" i="2"/>
  <c r="A2644" i="2"/>
  <c r="A2643" i="2"/>
  <c r="A2642" i="2"/>
  <c r="A2641" i="2"/>
  <c r="A2640" i="2"/>
  <c r="A2639" i="2"/>
  <c r="A2638" i="2"/>
  <c r="A2637" i="2"/>
  <c r="A2636" i="2"/>
  <c r="A2635" i="2"/>
  <c r="A2634" i="2"/>
  <c r="A2633" i="2"/>
  <c r="A2632" i="2"/>
  <c r="A2631" i="2"/>
  <c r="A2630" i="2"/>
  <c r="A2629" i="2"/>
  <c r="A2628" i="2"/>
  <c r="A2627" i="2"/>
  <c r="A2626" i="2"/>
  <c r="A2625" i="2"/>
  <c r="A2624" i="2"/>
  <c r="A2623" i="2"/>
  <c r="A2622" i="2"/>
  <c r="A2621" i="2"/>
  <c r="A2620" i="2"/>
  <c r="A2619" i="2"/>
  <c r="A2618" i="2"/>
  <c r="A2617" i="2"/>
  <c r="A2616" i="2"/>
  <c r="A2615" i="2"/>
  <c r="A2614" i="2"/>
  <c r="A2613" i="2"/>
  <c r="A2612" i="2"/>
  <c r="A2611" i="2"/>
  <c r="A2610" i="2"/>
  <c r="A2609" i="2"/>
  <c r="A2608" i="2"/>
  <c r="A2607" i="2"/>
  <c r="A2606" i="2"/>
  <c r="A2605" i="2"/>
  <c r="A2604" i="2"/>
  <c r="A2603" i="2"/>
  <c r="A2602" i="2"/>
  <c r="A2601" i="2"/>
  <c r="A2600" i="2"/>
  <c r="A2599" i="2"/>
  <c r="A2598" i="2"/>
  <c r="A2597" i="2"/>
  <c r="A2596" i="2"/>
  <c r="A2595" i="2"/>
  <c r="A2594" i="2"/>
  <c r="A2593" i="2"/>
  <c r="A2592" i="2"/>
  <c r="A2591" i="2"/>
  <c r="A2590" i="2"/>
  <c r="A2589" i="2"/>
  <c r="A2588" i="2"/>
  <c r="A2587" i="2"/>
  <c r="A2586" i="2"/>
  <c r="A2585" i="2"/>
  <c r="A2584" i="2"/>
  <c r="A2583" i="2"/>
  <c r="A2582" i="2"/>
  <c r="A2581" i="2"/>
  <c r="A2580" i="2"/>
  <c r="A2579" i="2"/>
  <c r="A2578" i="2"/>
  <c r="A2577" i="2"/>
  <c r="A2576" i="2"/>
  <c r="A2575" i="2"/>
  <c r="A2574" i="2"/>
  <c r="A2573" i="2"/>
  <c r="A2572" i="2"/>
  <c r="A2571" i="2"/>
  <c r="A2570" i="2"/>
  <c r="A2569" i="2"/>
  <c r="A2568" i="2"/>
  <c r="A2567" i="2"/>
  <c r="A2566" i="2"/>
  <c r="A2565" i="2"/>
  <c r="A2564" i="2"/>
  <c r="A2563" i="2"/>
  <c r="A2562" i="2"/>
  <c r="A2561" i="2"/>
  <c r="A2560" i="2"/>
  <c r="A2559" i="2"/>
  <c r="A2558" i="2"/>
  <c r="A2557" i="2"/>
  <c r="A2556" i="2"/>
  <c r="A2555" i="2"/>
  <c r="A2554" i="2"/>
  <c r="A2553" i="2"/>
  <c r="A2552" i="2"/>
  <c r="A2551" i="2"/>
  <c r="A2550" i="2"/>
  <c r="A2549" i="2"/>
  <c r="A2548" i="2"/>
  <c r="A2547" i="2"/>
  <c r="A2546" i="2"/>
  <c r="A2545" i="2"/>
  <c r="A2544" i="2"/>
  <c r="A2543" i="2"/>
  <c r="A2542" i="2"/>
  <c r="A2541" i="2"/>
  <c r="A2540" i="2"/>
  <c r="A2539" i="2"/>
  <c r="A2538" i="2"/>
  <c r="A2537" i="2"/>
  <c r="A2536" i="2"/>
  <c r="A2535" i="2"/>
  <c r="A2534" i="2"/>
  <c r="A2533" i="2"/>
  <c r="A2532" i="2"/>
  <c r="A2531" i="2"/>
  <c r="A2530" i="2"/>
  <c r="A2529" i="2"/>
  <c r="A2528" i="2"/>
  <c r="A2527" i="2"/>
  <c r="A2526" i="2"/>
  <c r="A2525" i="2"/>
  <c r="A2524" i="2"/>
  <c r="A2523" i="2"/>
  <c r="A2522" i="2"/>
  <c r="A2521" i="2"/>
  <c r="A2520" i="2"/>
  <c r="A2519" i="2"/>
  <c r="A2518" i="2"/>
  <c r="A2517" i="2"/>
  <c r="A2516" i="2"/>
  <c r="A2515" i="2"/>
  <c r="A2514" i="2"/>
  <c r="A2513" i="2"/>
  <c r="A2512" i="2"/>
  <c r="A2511" i="2"/>
  <c r="A2510" i="2"/>
  <c r="A2509" i="2"/>
  <c r="A2508" i="2"/>
  <c r="A2507" i="2"/>
  <c r="A2506" i="2"/>
  <c r="A2505" i="2"/>
  <c r="A2504" i="2"/>
  <c r="A2503" i="2"/>
  <c r="A2502" i="2"/>
  <c r="A2501" i="2"/>
  <c r="A2500" i="2"/>
  <c r="A2499" i="2"/>
  <c r="A2498" i="2"/>
  <c r="A2497" i="2"/>
  <c r="A2496" i="2"/>
  <c r="A2495" i="2"/>
  <c r="A2494" i="2"/>
  <c r="A2493" i="2"/>
  <c r="A2492" i="2"/>
  <c r="A2491" i="2"/>
  <c r="A2490" i="2"/>
  <c r="A2489" i="2"/>
  <c r="A2488" i="2"/>
  <c r="A2487" i="2"/>
  <c r="A2486" i="2"/>
  <c r="A2485" i="2"/>
  <c r="A2484" i="2"/>
  <c r="A2483" i="2"/>
  <c r="A2482" i="2"/>
  <c r="A2481" i="2"/>
  <c r="A2480" i="2"/>
  <c r="A2479" i="2"/>
  <c r="A2478" i="2"/>
  <c r="A2477" i="2"/>
  <c r="A2476" i="2"/>
  <c r="A2475" i="2"/>
  <c r="A2474" i="2"/>
  <c r="A2473" i="2"/>
  <c r="A2472" i="2"/>
  <c r="A2471" i="2"/>
  <c r="A2470" i="2"/>
  <c r="A2469" i="2"/>
  <c r="A2468" i="2"/>
  <c r="A2467" i="2"/>
  <c r="A2466" i="2"/>
  <c r="A2465" i="2"/>
  <c r="A2464" i="2"/>
  <c r="A2463" i="2"/>
  <c r="A2462" i="2"/>
  <c r="A2461" i="2"/>
  <c r="A2460" i="2"/>
  <c r="A2459" i="2"/>
  <c r="A2458" i="2"/>
  <c r="A2457" i="2"/>
  <c r="A2456" i="2"/>
  <c r="A2455" i="2"/>
  <c r="A2454" i="2"/>
  <c r="A2453" i="2"/>
  <c r="A2452" i="2"/>
  <c r="A2451" i="2"/>
  <c r="A2450" i="2"/>
  <c r="A2449" i="2"/>
  <c r="A2448" i="2"/>
  <c r="A2447" i="2"/>
  <c r="A2446" i="2"/>
  <c r="A2445" i="2"/>
  <c r="A2444" i="2"/>
  <c r="A2443" i="2"/>
  <c r="A2442" i="2"/>
  <c r="A2441" i="2"/>
  <c r="A2440" i="2"/>
  <c r="A2439" i="2"/>
  <c r="A2438" i="2"/>
  <c r="A2437" i="2"/>
  <c r="A2436" i="2"/>
  <c r="A2435" i="2"/>
  <c r="A2434" i="2"/>
  <c r="A2433" i="2"/>
  <c r="A2432" i="2"/>
  <c r="A2431" i="2"/>
  <c r="A2430" i="2"/>
  <c r="A2429" i="2"/>
  <c r="A2428" i="2"/>
  <c r="A2427" i="2"/>
  <c r="A2426" i="2"/>
  <c r="A2425" i="2"/>
  <c r="A2424" i="2"/>
  <c r="A2423" i="2"/>
  <c r="A2422" i="2"/>
  <c r="A2421" i="2"/>
  <c r="A2420" i="2"/>
  <c r="A2419" i="2"/>
  <c r="A2418" i="2"/>
  <c r="A2417" i="2"/>
  <c r="A2416" i="2"/>
  <c r="A2415" i="2"/>
  <c r="A2414" i="2"/>
  <c r="A2413" i="2"/>
  <c r="A2412" i="2"/>
  <c r="A2411" i="2"/>
  <c r="A2410" i="2"/>
  <c r="A2409" i="2"/>
  <c r="A2408" i="2"/>
  <c r="A2407" i="2"/>
  <c r="A2406" i="2"/>
  <c r="A2405" i="2"/>
  <c r="A2404" i="2"/>
  <c r="A2403" i="2"/>
  <c r="A2402" i="2"/>
  <c r="A2401" i="2"/>
  <c r="A2400" i="2"/>
  <c r="A2399" i="2"/>
  <c r="A2398" i="2"/>
  <c r="A2397" i="2"/>
  <c r="A2396" i="2"/>
  <c r="A2395" i="2"/>
  <c r="A2394" i="2"/>
  <c r="A2393" i="2"/>
  <c r="A2392" i="2"/>
  <c r="A2391" i="2"/>
  <c r="A2390" i="2"/>
  <c r="A2389" i="2"/>
  <c r="A2388" i="2"/>
  <c r="A2387" i="2"/>
  <c r="A2386" i="2"/>
  <c r="A2385" i="2"/>
  <c r="A2384" i="2"/>
  <c r="A2383" i="2"/>
  <c r="A2382" i="2"/>
  <c r="A2381" i="2"/>
  <c r="A2380" i="2"/>
  <c r="A2379" i="2"/>
  <c r="A2378" i="2"/>
  <c r="A2377" i="2"/>
  <c r="A2376" i="2"/>
  <c r="A2375" i="2"/>
  <c r="A2374" i="2"/>
  <c r="A2373" i="2"/>
  <c r="A2372" i="2"/>
  <c r="A2371" i="2"/>
  <c r="A2370" i="2"/>
  <c r="A2369" i="2"/>
  <c r="A2368" i="2"/>
  <c r="A2367" i="2"/>
  <c r="A2366" i="2"/>
  <c r="A2365" i="2"/>
  <c r="A2364" i="2"/>
  <c r="A2363" i="2"/>
  <c r="A2362" i="2"/>
  <c r="A2361" i="2"/>
  <c r="A2360" i="2"/>
  <c r="A2359" i="2"/>
  <c r="A2358" i="2"/>
  <c r="A2357" i="2"/>
  <c r="A2356" i="2"/>
  <c r="A2355" i="2"/>
  <c r="A2354" i="2"/>
  <c r="A2353" i="2"/>
  <c r="A2352" i="2"/>
  <c r="A2351" i="2"/>
  <c r="A2350" i="2"/>
  <c r="A2349" i="2"/>
  <c r="A2348" i="2"/>
  <c r="A2347" i="2"/>
  <c r="A2346" i="2"/>
  <c r="A2345" i="2"/>
  <c r="A2344" i="2"/>
  <c r="A2343" i="2"/>
  <c r="A2342" i="2"/>
  <c r="A2341" i="2"/>
  <c r="A2340" i="2"/>
  <c r="A2339" i="2"/>
  <c r="A2338" i="2"/>
  <c r="A2337" i="2"/>
  <c r="A2336" i="2"/>
  <c r="A2335" i="2"/>
  <c r="A2334" i="2"/>
  <c r="A2333" i="2"/>
  <c r="A2332" i="2"/>
  <c r="A2331" i="2"/>
  <c r="A2330" i="2"/>
  <c r="A2329" i="2"/>
  <c r="A2328" i="2"/>
  <c r="A2327" i="2"/>
  <c r="A2326" i="2"/>
  <c r="A2325" i="2"/>
  <c r="A2324" i="2"/>
  <c r="A2323" i="2"/>
  <c r="A2322" i="2"/>
  <c r="A2321" i="2"/>
  <c r="A2320" i="2"/>
  <c r="A2319" i="2"/>
  <c r="A2318" i="2"/>
  <c r="A2317" i="2"/>
  <c r="A2316" i="2"/>
  <c r="A2315" i="2"/>
  <c r="A2314" i="2"/>
  <c r="A2313" i="2"/>
  <c r="A2312" i="2"/>
  <c r="A2311" i="2"/>
  <c r="A2310" i="2"/>
  <c r="A2309" i="2"/>
  <c r="A2308" i="2"/>
  <c r="A2307" i="2"/>
  <c r="A2306" i="2"/>
  <c r="A2305" i="2"/>
  <c r="A2304" i="2"/>
  <c r="A2303" i="2"/>
  <c r="A2302" i="2"/>
  <c r="A2301" i="2"/>
  <c r="A2300" i="2"/>
  <c r="A2299" i="2"/>
  <c r="A2298" i="2"/>
  <c r="A2297" i="2"/>
  <c r="A2296" i="2"/>
  <c r="A2295" i="2"/>
  <c r="A2294" i="2"/>
  <c r="A2293" i="2"/>
  <c r="A2292" i="2"/>
  <c r="A2291" i="2"/>
  <c r="A2290" i="2"/>
  <c r="A2289" i="2"/>
  <c r="A2288" i="2"/>
  <c r="A2287" i="2"/>
  <c r="A2286" i="2"/>
  <c r="A2285" i="2"/>
  <c r="A2284" i="2"/>
  <c r="A2283" i="2"/>
  <c r="A2282" i="2"/>
  <c r="A2281" i="2"/>
  <c r="A2280" i="2"/>
  <c r="A2279" i="2"/>
  <c r="A2278" i="2"/>
  <c r="A2277" i="2"/>
  <c r="A2276" i="2"/>
  <c r="A2275" i="2"/>
  <c r="A2274" i="2"/>
  <c r="A2273" i="2"/>
  <c r="A2272" i="2"/>
  <c r="A2271" i="2"/>
  <c r="A2270" i="2"/>
  <c r="A2269" i="2"/>
  <c r="A2268" i="2"/>
  <c r="A2267" i="2"/>
  <c r="A2266" i="2"/>
  <c r="A2265" i="2"/>
  <c r="A2264" i="2"/>
  <c r="A2263" i="2"/>
  <c r="A2262" i="2"/>
  <c r="A2261" i="2"/>
  <c r="A2260" i="2"/>
  <c r="A2259" i="2"/>
  <c r="A2258" i="2"/>
  <c r="A2257" i="2"/>
  <c r="A2256" i="2"/>
  <c r="A2255" i="2"/>
  <c r="A2254" i="2"/>
  <c r="A2253" i="2"/>
  <c r="A2252" i="2"/>
  <c r="A2251" i="2"/>
  <c r="A2250" i="2"/>
  <c r="A2249" i="2"/>
  <c r="A2248" i="2"/>
  <c r="A2247" i="2"/>
  <c r="A2246" i="2"/>
  <c r="A2245" i="2"/>
  <c r="A2244" i="2"/>
  <c r="A2243" i="2"/>
  <c r="A2242" i="2"/>
  <c r="A2241" i="2"/>
  <c r="A2240" i="2"/>
  <c r="A2239" i="2"/>
  <c r="A2238" i="2"/>
  <c r="A2237" i="2"/>
  <c r="A2236" i="2"/>
  <c r="A2235" i="2"/>
  <c r="A2234" i="2"/>
  <c r="A2233" i="2"/>
  <c r="A2232" i="2"/>
  <c r="A2231" i="2"/>
  <c r="A2230" i="2"/>
  <c r="A2229" i="2"/>
  <c r="A2228" i="2"/>
  <c r="A2227" i="2"/>
  <c r="A2226" i="2"/>
  <c r="A2225" i="2"/>
  <c r="A2224" i="2"/>
  <c r="A2223" i="2"/>
  <c r="A2222" i="2"/>
  <c r="A2221" i="2"/>
  <c r="A2220" i="2"/>
  <c r="A2219" i="2"/>
  <c r="A2218" i="2"/>
  <c r="A2217" i="2"/>
  <c r="A2216" i="2"/>
  <c r="A2215" i="2"/>
  <c r="A2214" i="2"/>
  <c r="A2213" i="2"/>
  <c r="A2212" i="2"/>
  <c r="A2211" i="2"/>
  <c r="A2210" i="2"/>
  <c r="A2209" i="2"/>
  <c r="A2208" i="2"/>
  <c r="A2207" i="2"/>
  <c r="A2206" i="2"/>
  <c r="A2205" i="2"/>
  <c r="A2204" i="2"/>
  <c r="A2203" i="2"/>
  <c r="A2202" i="2"/>
  <c r="A2201" i="2"/>
  <c r="A2200" i="2"/>
  <c r="A2199" i="2"/>
  <c r="A2198" i="2"/>
  <c r="A2197" i="2"/>
  <c r="A2196" i="2"/>
  <c r="A2195" i="2"/>
  <c r="A2194" i="2"/>
  <c r="A2193" i="2"/>
  <c r="A2192" i="2"/>
  <c r="A2191" i="2"/>
  <c r="A2190" i="2"/>
  <c r="A2189" i="2"/>
  <c r="A2188" i="2"/>
  <c r="A2187" i="2"/>
  <c r="A2186" i="2"/>
  <c r="A2185" i="2"/>
  <c r="A2184" i="2"/>
  <c r="A2183" i="2"/>
  <c r="A2182" i="2"/>
  <c r="A2181" i="2"/>
  <c r="A2180" i="2"/>
  <c r="A2179" i="2"/>
  <c r="A2178" i="2"/>
  <c r="A2177" i="2"/>
  <c r="A2176" i="2"/>
  <c r="A2175" i="2"/>
  <c r="A2174" i="2"/>
  <c r="A2173" i="2"/>
  <c r="A2172" i="2"/>
  <c r="A2171" i="2"/>
  <c r="A2170" i="2"/>
  <c r="A2169" i="2"/>
  <c r="A2168" i="2"/>
  <c r="A2167" i="2"/>
  <c r="A2166" i="2"/>
  <c r="A2165" i="2"/>
  <c r="A2164" i="2"/>
  <c r="A2163" i="2"/>
  <c r="A2162" i="2"/>
  <c r="A2161" i="2"/>
  <c r="A2160" i="2"/>
  <c r="A2159" i="2"/>
  <c r="A2158" i="2"/>
  <c r="A2157" i="2"/>
  <c r="A2156" i="2"/>
  <c r="A2155" i="2"/>
  <c r="A2154" i="2"/>
  <c r="A2153" i="2"/>
  <c r="A2152" i="2"/>
  <c r="A2151" i="2"/>
  <c r="A2150" i="2"/>
  <c r="A2149" i="2"/>
  <c r="A2148" i="2"/>
  <c r="A2147" i="2"/>
  <c r="A2146" i="2"/>
  <c r="A2145" i="2"/>
  <c r="A2144" i="2"/>
  <c r="A2143" i="2"/>
  <c r="A2142" i="2"/>
  <c r="A2141" i="2"/>
  <c r="A2140" i="2"/>
  <c r="A2139" i="2"/>
  <c r="A2138" i="2"/>
  <c r="A2137" i="2"/>
  <c r="A2136" i="2"/>
  <c r="A2135" i="2"/>
  <c r="A2134" i="2"/>
  <c r="A2133" i="2"/>
  <c r="A2132" i="2"/>
  <c r="A2131" i="2"/>
  <c r="A2130" i="2"/>
  <c r="A2129" i="2"/>
  <c r="A2128" i="2"/>
  <c r="A2127" i="2"/>
  <c r="A2126" i="2"/>
  <c r="A2125" i="2"/>
  <c r="A2124" i="2"/>
  <c r="A2123" i="2"/>
  <c r="A2122" i="2"/>
  <c r="A2121" i="2"/>
  <c r="A2120" i="2"/>
  <c r="A2119" i="2"/>
  <c r="A2118" i="2"/>
  <c r="A2117" i="2"/>
  <c r="A2116" i="2"/>
  <c r="A2115" i="2"/>
  <c r="A2114" i="2"/>
  <c r="A2113" i="2"/>
  <c r="A2112" i="2"/>
  <c r="A2111" i="2"/>
  <c r="A2110" i="2"/>
  <c r="A2109" i="2"/>
  <c r="A2108" i="2"/>
  <c r="A2107" i="2"/>
  <c r="A2106" i="2"/>
  <c r="A2105" i="2"/>
  <c r="A2104" i="2"/>
  <c r="A2103" i="2"/>
  <c r="A2102" i="2"/>
  <c r="A2101" i="2"/>
  <c r="A2100" i="2"/>
  <c r="A2099" i="2"/>
  <c r="A2098" i="2"/>
  <c r="A2097" i="2"/>
  <c r="A2096" i="2"/>
  <c r="A2095" i="2"/>
  <c r="A2094" i="2"/>
  <c r="A2093" i="2"/>
  <c r="A2092" i="2"/>
  <c r="A2091" i="2"/>
  <c r="A2090" i="2"/>
  <c r="A2089" i="2"/>
  <c r="A2088" i="2"/>
  <c r="A2087" i="2"/>
  <c r="A2086" i="2"/>
  <c r="A2085" i="2"/>
  <c r="A2084" i="2"/>
  <c r="A2083" i="2"/>
  <c r="A2082" i="2"/>
  <c r="A2081" i="2"/>
  <c r="A2080" i="2"/>
  <c r="A2079" i="2"/>
  <c r="A2078" i="2"/>
  <c r="A2077" i="2"/>
  <c r="A2076" i="2"/>
  <c r="A2075" i="2"/>
  <c r="A2074" i="2"/>
  <c r="A2073" i="2"/>
  <c r="A2072" i="2"/>
  <c r="A2071" i="2"/>
  <c r="A2070" i="2"/>
  <c r="A2069" i="2"/>
  <c r="A2068" i="2"/>
  <c r="A2067" i="2"/>
  <c r="A2066" i="2"/>
  <c r="A2065" i="2"/>
  <c r="A2064" i="2"/>
  <c r="A2063" i="2"/>
  <c r="A2062" i="2"/>
  <c r="A2061" i="2"/>
  <c r="A2060" i="2"/>
  <c r="A2059" i="2"/>
  <c r="A2058" i="2"/>
  <c r="A2057" i="2"/>
  <c r="A2056" i="2"/>
  <c r="A2055" i="2"/>
  <c r="A2054" i="2"/>
  <c r="A2053" i="2"/>
  <c r="A2052" i="2"/>
  <c r="A2051" i="2"/>
  <c r="A2050" i="2"/>
  <c r="A2049" i="2"/>
  <c r="A2048" i="2"/>
  <c r="A2047" i="2"/>
  <c r="A2046" i="2"/>
  <c r="A2045" i="2"/>
  <c r="A2044" i="2"/>
  <c r="A2043" i="2"/>
  <c r="A2042" i="2"/>
  <c r="A2041" i="2"/>
  <c r="A2040" i="2"/>
  <c r="A2039" i="2"/>
  <c r="A2038" i="2"/>
  <c r="A2037" i="2"/>
  <c r="A2036" i="2"/>
  <c r="A2035" i="2"/>
  <c r="A2034" i="2"/>
  <c r="A2033" i="2"/>
  <c r="A2032" i="2"/>
  <c r="A2031" i="2"/>
  <c r="A2030" i="2"/>
  <c r="A2029" i="2"/>
  <c r="A2028" i="2"/>
  <c r="A2027" i="2"/>
  <c r="A2026" i="2"/>
  <c r="A2025" i="2"/>
  <c r="A2024" i="2"/>
  <c r="A2023" i="2"/>
  <c r="A2022" i="2"/>
  <c r="A2021" i="2"/>
  <c r="A2020" i="2"/>
  <c r="A2019" i="2"/>
  <c r="A2018" i="2"/>
  <c r="A2017" i="2"/>
  <c r="A2016" i="2"/>
  <c r="A2015" i="2"/>
  <c r="A2014" i="2"/>
  <c r="A2013" i="2"/>
  <c r="A2012" i="2"/>
  <c r="A2011" i="2"/>
  <c r="A2010" i="2"/>
  <c r="A2009" i="2"/>
  <c r="A2008" i="2"/>
  <c r="A2007" i="2"/>
  <c r="A2006" i="2"/>
  <c r="A2005" i="2"/>
  <c r="A2004" i="2"/>
  <c r="A2003" i="2"/>
  <c r="A2002" i="2"/>
  <c r="A2001" i="2"/>
  <c r="A2000" i="2"/>
  <c r="A1999" i="2"/>
  <c r="A1998" i="2"/>
  <c r="A1997" i="2"/>
  <c r="A1996" i="2"/>
  <c r="A1995" i="2"/>
  <c r="A1994" i="2"/>
  <c r="A1993" i="2"/>
  <c r="A1992" i="2"/>
  <c r="A1991" i="2"/>
  <c r="A1990" i="2"/>
  <c r="A1989" i="2"/>
  <c r="A1988" i="2"/>
  <c r="A1987" i="2"/>
  <c r="A1986" i="2"/>
  <c r="A1985" i="2"/>
  <c r="A1984" i="2"/>
  <c r="A1983" i="2"/>
  <c r="A1982" i="2"/>
  <c r="A1981" i="2"/>
  <c r="A1980" i="2"/>
  <c r="A1979" i="2"/>
  <c r="A1978" i="2"/>
  <c r="A1977" i="2"/>
  <c r="A1976" i="2"/>
  <c r="A1975" i="2"/>
  <c r="A1974" i="2"/>
  <c r="A1973" i="2"/>
  <c r="A1972" i="2"/>
  <c r="A1971" i="2"/>
  <c r="A1970" i="2"/>
  <c r="A1969" i="2"/>
  <c r="A1968" i="2"/>
  <c r="A1967" i="2"/>
  <c r="A1966" i="2"/>
  <c r="A1965" i="2"/>
  <c r="A1964" i="2"/>
  <c r="A1963" i="2"/>
  <c r="A1962" i="2"/>
  <c r="A1961" i="2"/>
  <c r="A1960" i="2"/>
  <c r="A1959" i="2"/>
  <c r="A1958" i="2"/>
  <c r="A1957" i="2"/>
  <c r="A1956" i="2"/>
  <c r="A1955" i="2"/>
  <c r="A1954" i="2"/>
  <c r="A1953" i="2"/>
  <c r="A1952" i="2"/>
  <c r="A1951" i="2"/>
  <c r="A1950" i="2"/>
  <c r="A1949" i="2"/>
  <c r="A1948" i="2"/>
  <c r="A1947" i="2"/>
  <c r="A1946" i="2"/>
  <c r="A1945" i="2"/>
  <c r="A1944" i="2"/>
  <c r="A1943" i="2"/>
  <c r="A1942" i="2"/>
  <c r="A1941" i="2"/>
  <c r="A1940" i="2"/>
  <c r="A1939" i="2"/>
  <c r="A1938" i="2"/>
  <c r="A1937" i="2"/>
  <c r="A1936" i="2"/>
  <c r="A1935" i="2"/>
  <c r="A1934" i="2"/>
  <c r="A1933" i="2"/>
  <c r="A1932" i="2"/>
  <c r="A1931" i="2"/>
  <c r="A1930" i="2"/>
  <c r="A1929" i="2"/>
  <c r="A1928" i="2"/>
  <c r="A1927" i="2"/>
  <c r="A1926" i="2"/>
  <c r="A1925" i="2"/>
  <c r="A1924" i="2"/>
  <c r="A1923" i="2"/>
  <c r="A1922" i="2"/>
  <c r="A1921" i="2"/>
  <c r="A1920" i="2"/>
  <c r="A1919" i="2"/>
  <c r="A1918" i="2"/>
  <c r="A1917" i="2"/>
  <c r="A1916" i="2"/>
  <c r="A1915" i="2"/>
  <c r="A1914" i="2"/>
  <c r="A1913" i="2"/>
  <c r="A1912" i="2"/>
  <c r="A1911" i="2"/>
  <c r="A1910" i="2"/>
  <c r="A1909" i="2"/>
  <c r="A1908" i="2"/>
  <c r="A1907" i="2"/>
  <c r="A1906" i="2"/>
  <c r="A1905" i="2"/>
  <c r="A1904" i="2"/>
  <c r="A1903" i="2"/>
  <c r="A1902" i="2"/>
  <c r="A1901" i="2"/>
  <c r="A1900" i="2"/>
  <c r="A1899" i="2"/>
  <c r="A1898" i="2"/>
  <c r="A1897" i="2"/>
  <c r="A1896" i="2"/>
  <c r="A1895" i="2"/>
  <c r="A1894" i="2"/>
  <c r="A1893" i="2"/>
  <c r="A1892" i="2"/>
  <c r="A1891" i="2"/>
  <c r="A1890" i="2"/>
  <c r="A1889" i="2"/>
  <c r="A1888" i="2"/>
  <c r="A1887" i="2"/>
  <c r="A1886" i="2"/>
  <c r="A1885" i="2"/>
  <c r="A1884" i="2"/>
  <c r="A1883" i="2"/>
  <c r="A1882" i="2"/>
  <c r="A1881" i="2"/>
  <c r="A1880" i="2"/>
  <c r="A1879" i="2"/>
  <c r="A1878" i="2"/>
  <c r="A1877" i="2"/>
  <c r="A1876" i="2"/>
  <c r="A1875" i="2"/>
  <c r="A1874" i="2"/>
  <c r="A1873" i="2"/>
  <c r="A1872" i="2"/>
  <c r="A1871" i="2"/>
  <c r="A1870" i="2"/>
  <c r="A1869" i="2"/>
  <c r="A1868" i="2"/>
  <c r="A1867" i="2"/>
  <c r="A1866" i="2"/>
  <c r="A1865" i="2"/>
  <c r="A1864" i="2"/>
  <c r="A1863" i="2"/>
  <c r="A1862" i="2"/>
  <c r="A1861" i="2"/>
  <c r="A1860" i="2"/>
  <c r="A1859" i="2"/>
  <c r="A1858" i="2"/>
  <c r="A1857" i="2"/>
  <c r="A1856" i="2"/>
  <c r="A1855" i="2"/>
  <c r="A1854" i="2"/>
  <c r="A1853" i="2"/>
  <c r="A1852" i="2"/>
  <c r="A1851" i="2"/>
  <c r="A1850" i="2"/>
  <c r="A1849" i="2"/>
  <c r="A1848" i="2"/>
  <c r="A1847" i="2"/>
  <c r="A1846" i="2"/>
  <c r="A1845" i="2"/>
  <c r="A1844" i="2"/>
  <c r="A1843" i="2"/>
  <c r="A1842" i="2"/>
  <c r="A1841" i="2"/>
  <c r="A1840" i="2"/>
  <c r="A1839" i="2"/>
  <c r="A1838" i="2"/>
  <c r="A1837" i="2"/>
  <c r="A1836" i="2"/>
  <c r="A1835" i="2"/>
  <c r="A1834" i="2"/>
  <c r="A1833" i="2"/>
  <c r="A1832" i="2"/>
  <c r="A1831" i="2"/>
  <c r="A1830" i="2"/>
  <c r="A1829" i="2"/>
  <c r="A1828" i="2"/>
  <c r="A1827" i="2"/>
  <c r="A1826" i="2"/>
  <c r="A1825" i="2"/>
  <c r="A1824" i="2"/>
  <c r="A1823" i="2"/>
  <c r="A1822" i="2"/>
  <c r="A1821" i="2"/>
  <c r="A1820" i="2"/>
  <c r="A1819" i="2"/>
  <c r="A1818" i="2"/>
  <c r="A1817" i="2"/>
  <c r="A1816" i="2"/>
  <c r="A1815" i="2"/>
  <c r="A1814" i="2"/>
  <c r="A1813" i="2"/>
  <c r="A1812" i="2"/>
  <c r="A1811" i="2"/>
  <c r="A1810" i="2"/>
  <c r="A1809" i="2"/>
  <c r="A1808" i="2"/>
  <c r="A1807" i="2"/>
  <c r="A1806" i="2"/>
  <c r="A1805" i="2"/>
  <c r="A1804" i="2"/>
  <c r="A1803" i="2"/>
  <c r="A1802" i="2"/>
  <c r="A1801" i="2"/>
  <c r="A1800" i="2"/>
  <c r="A1799" i="2"/>
  <c r="A1798" i="2"/>
  <c r="A1797" i="2"/>
  <c r="A1796" i="2"/>
  <c r="A1795" i="2"/>
  <c r="A1794" i="2"/>
  <c r="A1793" i="2"/>
  <c r="A1792" i="2"/>
  <c r="A1791" i="2"/>
  <c r="A1790" i="2"/>
  <c r="A1789" i="2"/>
  <c r="A1788" i="2"/>
  <c r="A1787" i="2"/>
  <c r="A1786" i="2"/>
  <c r="A1785" i="2"/>
  <c r="A1784" i="2"/>
  <c r="A1783" i="2"/>
  <c r="A1782" i="2"/>
  <c r="A1781" i="2"/>
  <c r="A1780" i="2"/>
  <c r="A1779" i="2"/>
  <c r="A1778" i="2"/>
  <c r="A1777" i="2"/>
  <c r="A1776" i="2"/>
  <c r="A1775" i="2"/>
  <c r="A1774" i="2"/>
  <c r="A1773" i="2"/>
  <c r="A1772" i="2"/>
  <c r="A1771" i="2"/>
  <c r="A1770" i="2"/>
  <c r="A1769" i="2"/>
  <c r="A1768" i="2"/>
  <c r="A1767" i="2"/>
  <c r="A1766" i="2"/>
  <c r="A1765" i="2"/>
  <c r="A1764" i="2"/>
  <c r="A1763" i="2"/>
  <c r="A1762" i="2"/>
  <c r="A1761" i="2"/>
  <c r="A1760" i="2"/>
  <c r="A1759" i="2"/>
  <c r="A1758" i="2"/>
  <c r="A1757" i="2"/>
  <c r="A1756" i="2"/>
  <c r="A1755" i="2"/>
  <c r="A1754" i="2"/>
  <c r="A1753" i="2"/>
  <c r="A1752" i="2"/>
  <c r="A1751" i="2"/>
  <c r="A1750" i="2"/>
  <c r="A1749" i="2"/>
  <c r="A1748" i="2"/>
  <c r="A1747" i="2"/>
  <c r="A1746" i="2"/>
  <c r="A1745" i="2"/>
  <c r="A1744" i="2"/>
  <c r="A1743" i="2"/>
  <c r="A1742" i="2"/>
  <c r="A1741" i="2"/>
  <c r="A1740" i="2"/>
  <c r="A1739" i="2"/>
  <c r="A1738" i="2"/>
  <c r="A1737" i="2"/>
  <c r="A1736" i="2"/>
  <c r="A1735" i="2"/>
  <c r="A1734" i="2"/>
  <c r="A1733" i="2"/>
  <c r="A1732" i="2"/>
  <c r="A1731" i="2"/>
  <c r="A1730" i="2"/>
  <c r="A1729" i="2"/>
  <c r="A1728" i="2"/>
  <c r="A1727" i="2"/>
  <c r="A1726" i="2"/>
  <c r="A1725" i="2"/>
  <c r="A1724" i="2"/>
  <c r="A1723" i="2"/>
  <c r="A1722" i="2"/>
  <c r="A1721" i="2"/>
  <c r="A1720" i="2"/>
  <c r="A1719" i="2"/>
  <c r="A1718" i="2"/>
  <c r="A1717" i="2"/>
  <c r="A1716" i="2"/>
  <c r="A1715" i="2"/>
  <c r="A1714" i="2"/>
  <c r="A1713" i="2"/>
  <c r="A1712" i="2"/>
  <c r="A1711" i="2"/>
  <c r="A1710" i="2"/>
  <c r="A1709" i="2"/>
  <c r="A1708" i="2"/>
  <c r="A1707" i="2"/>
  <c r="A1706" i="2"/>
  <c r="A1705" i="2"/>
  <c r="A1704" i="2"/>
  <c r="A1703" i="2"/>
  <c r="A1702" i="2"/>
  <c r="A1701" i="2"/>
  <c r="A1700" i="2"/>
  <c r="A1699" i="2"/>
  <c r="A1698" i="2"/>
  <c r="A1697" i="2"/>
  <c r="A1696" i="2"/>
  <c r="A1695" i="2"/>
  <c r="A1694" i="2"/>
  <c r="A1693" i="2"/>
  <c r="A1692" i="2"/>
  <c r="A1691" i="2"/>
  <c r="A1690" i="2"/>
  <c r="A1689" i="2"/>
  <c r="A1688" i="2"/>
  <c r="A1687" i="2"/>
  <c r="A1686" i="2"/>
  <c r="A1685" i="2"/>
  <c r="A1684" i="2"/>
  <c r="A1683" i="2"/>
  <c r="A1682" i="2"/>
  <c r="A1681" i="2"/>
  <c r="A1680" i="2"/>
  <c r="A1679" i="2"/>
  <c r="A1678" i="2"/>
  <c r="A1677" i="2"/>
  <c r="A1676" i="2"/>
  <c r="A1675" i="2"/>
  <c r="A1674" i="2"/>
  <c r="A1673" i="2"/>
  <c r="A1672" i="2"/>
  <c r="A1671" i="2"/>
  <c r="A1670" i="2"/>
  <c r="A1669" i="2"/>
  <c r="A1668" i="2"/>
  <c r="A1667" i="2"/>
  <c r="A1666" i="2"/>
  <c r="A1665" i="2"/>
  <c r="A1664" i="2"/>
  <c r="A1663" i="2"/>
  <c r="A1662" i="2"/>
  <c r="A1661" i="2"/>
  <c r="A1660" i="2"/>
  <c r="A1659" i="2"/>
  <c r="A1658" i="2"/>
  <c r="A1657" i="2"/>
  <c r="A1656" i="2"/>
  <c r="A1655" i="2"/>
  <c r="A1654" i="2"/>
  <c r="A1653" i="2"/>
  <c r="A1652" i="2"/>
  <c r="A1651" i="2"/>
  <c r="A1650" i="2"/>
  <c r="A1649" i="2"/>
  <c r="A1648" i="2"/>
  <c r="A1647" i="2"/>
  <c r="A1646" i="2"/>
  <c r="A1645" i="2"/>
  <c r="A1644" i="2"/>
  <c r="A1643" i="2"/>
  <c r="A1642" i="2"/>
  <c r="A1641" i="2"/>
  <c r="A1640" i="2"/>
  <c r="A1639" i="2"/>
  <c r="A1638" i="2"/>
  <c r="A1637" i="2"/>
  <c r="A1636" i="2"/>
  <c r="A1635" i="2"/>
  <c r="A1634" i="2"/>
  <c r="A1633" i="2"/>
  <c r="A1632" i="2"/>
  <c r="A1631" i="2"/>
  <c r="A1630" i="2"/>
  <c r="A1629" i="2"/>
  <c r="A1628" i="2"/>
  <c r="A1627" i="2"/>
  <c r="A1626" i="2"/>
  <c r="A1625" i="2"/>
  <c r="A1624" i="2"/>
  <c r="A1623" i="2"/>
  <c r="A1622" i="2"/>
  <c r="A1621" i="2"/>
  <c r="A1620" i="2"/>
  <c r="A1619" i="2"/>
  <c r="A1618" i="2"/>
  <c r="A1617" i="2"/>
  <c r="A1616" i="2"/>
  <c r="A1615" i="2"/>
  <c r="A1614" i="2"/>
  <c r="A1613" i="2"/>
  <c r="A1612" i="2"/>
  <c r="A1611" i="2"/>
  <c r="A1610" i="2"/>
  <c r="A1609" i="2"/>
  <c r="A1608" i="2"/>
  <c r="A1607" i="2"/>
  <c r="A1606" i="2"/>
  <c r="A1605" i="2"/>
  <c r="A1604" i="2"/>
  <c r="A1603" i="2"/>
  <c r="A1602" i="2"/>
  <c r="A1601" i="2"/>
  <c r="A1600" i="2"/>
  <c r="A1599" i="2"/>
  <c r="A1598" i="2"/>
  <c r="A1597" i="2"/>
  <c r="A1596" i="2"/>
  <c r="A1595" i="2"/>
  <c r="A1594" i="2"/>
  <c r="A1593" i="2"/>
  <c r="A1592" i="2"/>
  <c r="A1591" i="2"/>
  <c r="A1590" i="2"/>
  <c r="A1589" i="2"/>
  <c r="A1588" i="2"/>
  <c r="A1587" i="2"/>
  <c r="A1586" i="2"/>
  <c r="A1585" i="2"/>
  <c r="A1584" i="2"/>
  <c r="A1583" i="2"/>
  <c r="A1582" i="2"/>
  <c r="A1581" i="2"/>
  <c r="A1580" i="2"/>
  <c r="A1579" i="2"/>
  <c r="A1578" i="2"/>
  <c r="A1577" i="2"/>
  <c r="A1576" i="2"/>
  <c r="A1575" i="2"/>
  <c r="A1574" i="2"/>
  <c r="A1573" i="2"/>
  <c r="A1572" i="2"/>
  <c r="A1571" i="2"/>
  <c r="A1570" i="2"/>
  <c r="A1569" i="2"/>
  <c r="A1568" i="2"/>
  <c r="A1567" i="2"/>
  <c r="A1566" i="2"/>
  <c r="A1565" i="2"/>
  <c r="A1564" i="2"/>
  <c r="A1563" i="2"/>
  <c r="A1562" i="2"/>
  <c r="A1561" i="2"/>
  <c r="A1560" i="2"/>
  <c r="A1559" i="2"/>
  <c r="A1558" i="2"/>
  <c r="A1557" i="2"/>
  <c r="A1556" i="2"/>
  <c r="A1555" i="2"/>
  <c r="A1554" i="2"/>
  <c r="A1553" i="2"/>
  <c r="A1552" i="2"/>
  <c r="A1551" i="2"/>
  <c r="A1550" i="2"/>
  <c r="A1549" i="2"/>
  <c r="A1548" i="2"/>
  <c r="A1547" i="2"/>
  <c r="A1546" i="2"/>
  <c r="A1545" i="2"/>
  <c r="A1544" i="2"/>
  <c r="A1543" i="2"/>
  <c r="A1542" i="2"/>
  <c r="A1541" i="2"/>
  <c r="A1540" i="2"/>
  <c r="A1539" i="2"/>
  <c r="A1538" i="2"/>
  <c r="A1537" i="2"/>
  <c r="A1536" i="2"/>
  <c r="A1535" i="2"/>
  <c r="A1534" i="2"/>
  <c r="A1533" i="2"/>
  <c r="A1532" i="2"/>
  <c r="A1531" i="2"/>
  <c r="A1530" i="2"/>
  <c r="A1529" i="2"/>
  <c r="A1528" i="2"/>
  <c r="A1527" i="2"/>
  <c r="A1526" i="2"/>
  <c r="A1525" i="2"/>
  <c r="A1524" i="2"/>
  <c r="A1523" i="2"/>
  <c r="A1522" i="2"/>
  <c r="A1521" i="2"/>
  <c r="A1520" i="2"/>
  <c r="A1519" i="2"/>
  <c r="A1518" i="2"/>
  <c r="A1517" i="2"/>
  <c r="A1516" i="2"/>
  <c r="A1515" i="2"/>
  <c r="A1514" i="2"/>
  <c r="A1513" i="2"/>
  <c r="A1512" i="2"/>
  <c r="A1511" i="2"/>
  <c r="A1510" i="2"/>
  <c r="A1509" i="2"/>
  <c r="A1508" i="2"/>
  <c r="A1507" i="2"/>
  <c r="A1506" i="2"/>
  <c r="A1505" i="2"/>
  <c r="A1504" i="2"/>
  <c r="A1503" i="2"/>
  <c r="A1502" i="2"/>
  <c r="A1501" i="2"/>
  <c r="A1500" i="2"/>
  <c r="A1499" i="2"/>
  <c r="A1498" i="2"/>
  <c r="A1497" i="2"/>
  <c r="A1496" i="2"/>
  <c r="A1495" i="2"/>
  <c r="A1494" i="2"/>
  <c r="A1493" i="2"/>
  <c r="A1492" i="2"/>
  <c r="A1491" i="2"/>
  <c r="A1490" i="2"/>
  <c r="A1489" i="2"/>
  <c r="A1488" i="2"/>
  <c r="A1487" i="2"/>
  <c r="A1486" i="2"/>
  <c r="A1485" i="2"/>
  <c r="A1484" i="2"/>
  <c r="A1483" i="2"/>
  <c r="A1482" i="2"/>
  <c r="A1481" i="2"/>
  <c r="A1480" i="2"/>
  <c r="A1479" i="2"/>
  <c r="A1478" i="2"/>
  <c r="A1477" i="2"/>
  <c r="A1476" i="2"/>
  <c r="A1475" i="2"/>
  <c r="A1474" i="2"/>
  <c r="A1473" i="2"/>
  <c r="A1472" i="2"/>
  <c r="A1471" i="2"/>
  <c r="A1470" i="2"/>
  <c r="A1469" i="2"/>
  <c r="A1468" i="2"/>
  <c r="A1467" i="2"/>
  <c r="A1466" i="2"/>
  <c r="A1465" i="2"/>
  <c r="A1464" i="2"/>
  <c r="A1463" i="2"/>
  <c r="A1462" i="2"/>
  <c r="A1461" i="2"/>
  <c r="A1460" i="2"/>
  <c r="A1459" i="2"/>
  <c r="A1458" i="2"/>
  <c r="A1457" i="2"/>
  <c r="A1456" i="2"/>
  <c r="A1455" i="2"/>
  <c r="A1454" i="2"/>
  <c r="A1453" i="2"/>
  <c r="A1452" i="2"/>
  <c r="A1451" i="2"/>
  <c r="A1450" i="2"/>
  <c r="A1449" i="2"/>
  <c r="A1448" i="2"/>
  <c r="A1447" i="2"/>
  <c r="A1446" i="2"/>
  <c r="A1445" i="2"/>
  <c r="A1444" i="2"/>
  <c r="A1443" i="2"/>
  <c r="A1442" i="2"/>
  <c r="A1441" i="2"/>
  <c r="A1440" i="2"/>
  <c r="A1439" i="2"/>
  <c r="A1438" i="2"/>
  <c r="A1437" i="2"/>
  <c r="A1436" i="2"/>
  <c r="A1435" i="2"/>
  <c r="A1434" i="2"/>
  <c r="A1433" i="2"/>
  <c r="A1432" i="2"/>
  <c r="A1431" i="2"/>
  <c r="A1430" i="2"/>
  <c r="A1429" i="2"/>
  <c r="A1428" i="2"/>
  <c r="A1427" i="2"/>
  <c r="A1426" i="2"/>
  <c r="A1425" i="2"/>
  <c r="A1424" i="2"/>
  <c r="A1423" i="2"/>
  <c r="A1422" i="2"/>
  <c r="A1421" i="2"/>
  <c r="A1420" i="2"/>
  <c r="A1419" i="2"/>
  <c r="A1418" i="2"/>
  <c r="A1417" i="2"/>
  <c r="A1416" i="2"/>
  <c r="A1415" i="2"/>
  <c r="A1414" i="2"/>
  <c r="A1413" i="2"/>
  <c r="A1412" i="2"/>
  <c r="A1411" i="2"/>
  <c r="A1410" i="2"/>
  <c r="A1409" i="2"/>
  <c r="A1408" i="2"/>
  <c r="A1407" i="2"/>
  <c r="A1406" i="2"/>
  <c r="A1405" i="2"/>
  <c r="A1404" i="2"/>
  <c r="A1403" i="2"/>
  <c r="A1402" i="2"/>
  <c r="A1401" i="2"/>
  <c r="A1400" i="2"/>
  <c r="A1399" i="2"/>
  <c r="A1398" i="2"/>
  <c r="A1397" i="2"/>
  <c r="A1396" i="2"/>
  <c r="A1395" i="2"/>
  <c r="A1394" i="2"/>
  <c r="A1393" i="2"/>
  <c r="A1392" i="2"/>
  <c r="A1391" i="2"/>
  <c r="A1390" i="2"/>
  <c r="A1389" i="2"/>
  <c r="A1388" i="2"/>
  <c r="A1387" i="2"/>
  <c r="A1386" i="2"/>
  <c r="A1385" i="2"/>
  <c r="A1384" i="2"/>
  <c r="A1383" i="2"/>
  <c r="A1382" i="2"/>
  <c r="A1381" i="2"/>
  <c r="A1380" i="2"/>
  <c r="A1379" i="2"/>
  <c r="A1378" i="2"/>
  <c r="A1377" i="2"/>
  <c r="A1376" i="2"/>
  <c r="A1375" i="2"/>
  <c r="A1374" i="2"/>
  <c r="A1373" i="2"/>
  <c r="A1372" i="2"/>
  <c r="A1371" i="2"/>
  <c r="A1370" i="2"/>
  <c r="A1369" i="2"/>
  <c r="A1368" i="2"/>
  <c r="A1367" i="2"/>
  <c r="A1366" i="2"/>
  <c r="A1365" i="2"/>
  <c r="A1364" i="2"/>
  <c r="A1363" i="2"/>
  <c r="A1362" i="2"/>
  <c r="A1361" i="2"/>
  <c r="A1360" i="2"/>
  <c r="A1359" i="2"/>
  <c r="A1358" i="2"/>
  <c r="A1357" i="2"/>
  <c r="A1356" i="2"/>
  <c r="A1355" i="2"/>
  <c r="A1354" i="2"/>
  <c r="A1353" i="2"/>
  <c r="A1352" i="2"/>
  <c r="A1351" i="2"/>
  <c r="A1350" i="2"/>
  <c r="A1349" i="2"/>
  <c r="A1348" i="2"/>
  <c r="A1347" i="2"/>
  <c r="A1346" i="2"/>
  <c r="A1345" i="2"/>
  <c r="A1344" i="2"/>
  <c r="A1343" i="2"/>
  <c r="A1342" i="2"/>
  <c r="A1341" i="2"/>
  <c r="A1340" i="2"/>
  <c r="A1339" i="2"/>
  <c r="A1338" i="2"/>
  <c r="A1337" i="2"/>
  <c r="A1336" i="2"/>
  <c r="A1335" i="2"/>
  <c r="A1334" i="2"/>
  <c r="A1333" i="2"/>
  <c r="A1332" i="2"/>
  <c r="A1331" i="2"/>
  <c r="A1330" i="2"/>
  <c r="A1329" i="2"/>
  <c r="A1328" i="2"/>
  <c r="A1327" i="2"/>
  <c r="A1326" i="2"/>
  <c r="A1325" i="2"/>
  <c r="A1324" i="2"/>
  <c r="A1323" i="2"/>
  <c r="A1322" i="2"/>
  <c r="A1321" i="2"/>
  <c r="A1320" i="2"/>
  <c r="A1319" i="2"/>
  <c r="A1318" i="2"/>
  <c r="A1317" i="2"/>
  <c r="A1316" i="2"/>
  <c r="A1315" i="2"/>
  <c r="A1314" i="2"/>
  <c r="A1313" i="2"/>
  <c r="A1312" i="2"/>
  <c r="A1311" i="2"/>
  <c r="A1310" i="2"/>
  <c r="A1309" i="2"/>
  <c r="A1308" i="2"/>
  <c r="A1307" i="2"/>
  <c r="A1306" i="2"/>
  <c r="A1305" i="2"/>
  <c r="A1304" i="2"/>
  <c r="A1303" i="2"/>
  <c r="A1302" i="2"/>
  <c r="A1301" i="2"/>
  <c r="A1300" i="2"/>
  <c r="A1299" i="2"/>
  <c r="A1298" i="2"/>
  <c r="A1297" i="2"/>
  <c r="A1296" i="2"/>
  <c r="A1295" i="2"/>
  <c r="A1294" i="2"/>
  <c r="A1293" i="2"/>
  <c r="A1292" i="2"/>
  <c r="A1291" i="2"/>
  <c r="A1290" i="2"/>
  <c r="A1289" i="2"/>
  <c r="A1288" i="2"/>
  <c r="A1287" i="2"/>
  <c r="A1286" i="2"/>
  <c r="A1285" i="2"/>
  <c r="A1284" i="2"/>
  <c r="A1283" i="2"/>
  <c r="A1282" i="2"/>
  <c r="A1281" i="2"/>
  <c r="A1280" i="2"/>
  <c r="A1279" i="2"/>
  <c r="A1278" i="2"/>
  <c r="A1277" i="2"/>
  <c r="A1276" i="2"/>
  <c r="A1275" i="2"/>
  <c r="A1274" i="2"/>
  <c r="A1273" i="2"/>
  <c r="A1272" i="2"/>
  <c r="A1271" i="2"/>
  <c r="A1270" i="2"/>
  <c r="A1269" i="2"/>
  <c r="A1268" i="2"/>
  <c r="A1267" i="2"/>
  <c r="A1266" i="2"/>
  <c r="A1265" i="2"/>
  <c r="A1264" i="2"/>
  <c r="A1263" i="2"/>
  <c r="A1262" i="2"/>
  <c r="A1261" i="2"/>
  <c r="A1260" i="2"/>
  <c r="A1259" i="2"/>
  <c r="A1258" i="2"/>
  <c r="A1257" i="2"/>
  <c r="A1256" i="2"/>
  <c r="A1255" i="2"/>
  <c r="A1254" i="2"/>
  <c r="A1253" i="2"/>
  <c r="A1252" i="2"/>
  <c r="A1251" i="2"/>
  <c r="A1250" i="2"/>
  <c r="A1249" i="2"/>
  <c r="A1248" i="2"/>
  <c r="A1247" i="2"/>
  <c r="A1246" i="2"/>
  <c r="A1245" i="2"/>
  <c r="A1244" i="2"/>
  <c r="A1243" i="2"/>
  <c r="A1242" i="2"/>
  <c r="A1241" i="2"/>
  <c r="A1240" i="2"/>
  <c r="A1239" i="2"/>
  <c r="A1238" i="2"/>
  <c r="A1237" i="2"/>
  <c r="A1236" i="2"/>
  <c r="A1235" i="2"/>
  <c r="A1234" i="2"/>
  <c r="A1233" i="2"/>
  <c r="A1232" i="2"/>
  <c r="A1231" i="2"/>
  <c r="A1230" i="2"/>
  <c r="A1229" i="2"/>
  <c r="A1228" i="2"/>
  <c r="A1227" i="2"/>
  <c r="A1226" i="2"/>
  <c r="A1225" i="2"/>
  <c r="A1224" i="2"/>
  <c r="A1223" i="2"/>
  <c r="A1222" i="2"/>
  <c r="A1221" i="2"/>
  <c r="A1220" i="2"/>
  <c r="A1219" i="2"/>
  <c r="A1218" i="2"/>
  <c r="A1217" i="2"/>
  <c r="A1216" i="2"/>
  <c r="A1215" i="2"/>
  <c r="A1214" i="2"/>
  <c r="A1213" i="2"/>
  <c r="A1212" i="2"/>
  <c r="A1211" i="2"/>
  <c r="A1210" i="2"/>
  <c r="A1209" i="2"/>
  <c r="A1208" i="2"/>
  <c r="A1207" i="2"/>
  <c r="A1206" i="2"/>
  <c r="A1205" i="2"/>
  <c r="A1204" i="2"/>
  <c r="A1203" i="2"/>
  <c r="A1202" i="2"/>
  <c r="A1201" i="2"/>
  <c r="A1200" i="2"/>
  <c r="A1199" i="2"/>
  <c r="A1198" i="2"/>
  <c r="A1197" i="2"/>
  <c r="A1196" i="2"/>
  <c r="A1195" i="2"/>
  <c r="A1194" i="2"/>
  <c r="A1193" i="2"/>
  <c r="A1192" i="2"/>
  <c r="A1191" i="2"/>
  <c r="A1190" i="2"/>
  <c r="A1189" i="2"/>
  <c r="A1188" i="2"/>
  <c r="A1187" i="2"/>
  <c r="A1186" i="2"/>
  <c r="A1185" i="2"/>
  <c r="A1184" i="2"/>
  <c r="A1183" i="2"/>
  <c r="A1182" i="2"/>
  <c r="A1181" i="2"/>
  <c r="A1180" i="2"/>
  <c r="A1179" i="2"/>
  <c r="A1178" i="2"/>
  <c r="A1177" i="2"/>
  <c r="A1176" i="2"/>
  <c r="A1175" i="2"/>
  <c r="A1174" i="2"/>
  <c r="A1173" i="2"/>
  <c r="A1172" i="2"/>
  <c r="A1171" i="2"/>
  <c r="A1170" i="2"/>
  <c r="A1169" i="2"/>
  <c r="A1168" i="2"/>
  <c r="A1167" i="2"/>
  <c r="A1166" i="2"/>
  <c r="A1165" i="2"/>
  <c r="A1164" i="2"/>
  <c r="A1163" i="2"/>
  <c r="A1162" i="2"/>
  <c r="A1161" i="2"/>
  <c r="A1160" i="2"/>
  <c r="A1159" i="2"/>
  <c r="A1158" i="2"/>
  <c r="A1157" i="2"/>
  <c r="A1156" i="2"/>
  <c r="A1155" i="2"/>
  <c r="A1154" i="2"/>
  <c r="A1153" i="2"/>
  <c r="A1152" i="2"/>
  <c r="A1151" i="2"/>
  <c r="A1150" i="2"/>
  <c r="A1149" i="2"/>
  <c r="A1148" i="2"/>
  <c r="A1147" i="2"/>
  <c r="A1146" i="2"/>
  <c r="A1145" i="2"/>
  <c r="A1144" i="2"/>
  <c r="A1143" i="2"/>
  <c r="A1142" i="2"/>
  <c r="A1141" i="2"/>
  <c r="A1140" i="2"/>
  <c r="A1139" i="2"/>
  <c r="A1138" i="2"/>
  <c r="A1137" i="2"/>
  <c r="A1136" i="2"/>
  <c r="A1135" i="2"/>
  <c r="A1134" i="2"/>
  <c r="A1133" i="2"/>
  <c r="A1132" i="2"/>
  <c r="A1131" i="2"/>
  <c r="A1130" i="2"/>
  <c r="A1129" i="2"/>
  <c r="A1128" i="2"/>
  <c r="A1127" i="2"/>
  <c r="A1126" i="2"/>
  <c r="A1125" i="2"/>
  <c r="A1124" i="2"/>
  <c r="A1123" i="2"/>
  <c r="A1122" i="2"/>
  <c r="A1121" i="2"/>
  <c r="A1120" i="2"/>
  <c r="A1119" i="2"/>
  <c r="A1118" i="2"/>
  <c r="A1117" i="2"/>
  <c r="A1116" i="2"/>
  <c r="A1115" i="2"/>
  <c r="A1114" i="2"/>
  <c r="A1113" i="2"/>
  <c r="A1112" i="2"/>
  <c r="A1111" i="2"/>
  <c r="A1110" i="2"/>
  <c r="A1109" i="2"/>
  <c r="A1108" i="2"/>
  <c r="A1107" i="2"/>
  <c r="A1106" i="2"/>
  <c r="A1105" i="2"/>
  <c r="A1104" i="2"/>
  <c r="A1103" i="2"/>
  <c r="A1102" i="2"/>
  <c r="A1101" i="2"/>
  <c r="A1100" i="2"/>
  <c r="A1099" i="2"/>
  <c r="A1098" i="2"/>
  <c r="A1097" i="2"/>
  <c r="A1096" i="2"/>
  <c r="A1095" i="2"/>
  <c r="A1094" i="2"/>
  <c r="A1093" i="2"/>
  <c r="A1092" i="2"/>
  <c r="A1091" i="2"/>
  <c r="A1090" i="2"/>
  <c r="A1089" i="2"/>
  <c r="A1088" i="2"/>
  <c r="A1087" i="2"/>
  <c r="A1086" i="2"/>
  <c r="A1085" i="2"/>
  <c r="A1084" i="2"/>
  <c r="A1083" i="2"/>
  <c r="A1082" i="2"/>
  <c r="A1081" i="2"/>
  <c r="A1080" i="2"/>
  <c r="A1079" i="2"/>
  <c r="A1078" i="2"/>
  <c r="A1077" i="2"/>
  <c r="A1076" i="2"/>
  <c r="A1075" i="2"/>
  <c r="A1074" i="2"/>
  <c r="A1073" i="2"/>
  <c r="A1072" i="2"/>
  <c r="A1071" i="2"/>
  <c r="A1070" i="2"/>
  <c r="A1069" i="2"/>
  <c r="A1068" i="2"/>
  <c r="A1067" i="2"/>
  <c r="A1066" i="2"/>
  <c r="A1065" i="2"/>
  <c r="A1064" i="2"/>
  <c r="A1063" i="2"/>
  <c r="A1062" i="2"/>
  <c r="A1061" i="2"/>
  <c r="A1060" i="2"/>
  <c r="A1059" i="2"/>
  <c r="A1058" i="2"/>
  <c r="A1057" i="2"/>
  <c r="A1056" i="2"/>
  <c r="A1055" i="2"/>
  <c r="A1054" i="2"/>
  <c r="A1053" i="2"/>
  <c r="A1052" i="2"/>
  <c r="A1051" i="2"/>
  <c r="A1050" i="2"/>
  <c r="A1049" i="2"/>
  <c r="A1048" i="2"/>
  <c r="A1047" i="2"/>
  <c r="A1046" i="2"/>
  <c r="A1045" i="2"/>
  <c r="A1044" i="2"/>
  <c r="A1043" i="2"/>
  <c r="A1042" i="2"/>
  <c r="A1041" i="2"/>
  <c r="A1040" i="2"/>
  <c r="A1039" i="2"/>
  <c r="A1038" i="2"/>
  <c r="A1037" i="2"/>
  <c r="A1036" i="2"/>
  <c r="A1035" i="2"/>
  <c r="A1034" i="2"/>
  <c r="A1033" i="2"/>
  <c r="A1032" i="2"/>
  <c r="A1031" i="2"/>
  <c r="A1030" i="2"/>
  <c r="A1029" i="2"/>
  <c r="A1028" i="2"/>
  <c r="A1027" i="2"/>
  <c r="A1026" i="2"/>
  <c r="A1025" i="2"/>
  <c r="A1024" i="2"/>
  <c r="A1023" i="2"/>
  <c r="A1022" i="2"/>
  <c r="A1021" i="2"/>
  <c r="A1020" i="2"/>
  <c r="A1019" i="2"/>
  <c r="A1018" i="2"/>
  <c r="A1017" i="2"/>
  <c r="A1016" i="2"/>
  <c r="A1015" i="2"/>
  <c r="A1014" i="2"/>
  <c r="A1013" i="2"/>
  <c r="A1012" i="2"/>
  <c r="A1011" i="2"/>
  <c r="A1010" i="2"/>
  <c r="A1009" i="2"/>
  <c r="A1008" i="2"/>
  <c r="A1007" i="2"/>
  <c r="A1006" i="2"/>
  <c r="A1005" i="2"/>
  <c r="A1004" i="2"/>
  <c r="A1003" i="2"/>
  <c r="A1002" i="2"/>
  <c r="A1001" i="2"/>
  <c r="A1000" i="2"/>
  <c r="A999" i="2"/>
  <c r="A998" i="2"/>
  <c r="A997" i="2"/>
  <c r="A996" i="2"/>
  <c r="A995" i="2"/>
  <c r="A994" i="2"/>
  <c r="A993" i="2"/>
  <c r="A992" i="2"/>
  <c r="A991" i="2"/>
  <c r="A990" i="2"/>
  <c r="A989" i="2"/>
  <c r="A988" i="2"/>
  <c r="A987" i="2"/>
  <c r="A986" i="2"/>
  <c r="A985" i="2"/>
  <c r="A984" i="2"/>
  <c r="A983" i="2"/>
  <c r="A982" i="2"/>
  <c r="A981" i="2"/>
  <c r="A980" i="2"/>
  <c r="A979" i="2"/>
  <c r="A978" i="2"/>
  <c r="A977" i="2"/>
  <c r="A976" i="2"/>
  <c r="A975" i="2"/>
  <c r="A974" i="2"/>
  <c r="A973" i="2"/>
  <c r="A972" i="2"/>
  <c r="A971" i="2"/>
  <c r="A970" i="2"/>
  <c r="A969" i="2"/>
  <c r="A968" i="2"/>
  <c r="A967" i="2"/>
  <c r="A966" i="2"/>
  <c r="A965" i="2"/>
  <c r="A964" i="2"/>
  <c r="A963" i="2"/>
  <c r="A962" i="2"/>
  <c r="A961" i="2"/>
  <c r="A960" i="2"/>
  <c r="A959" i="2"/>
  <c r="A958" i="2"/>
  <c r="A957" i="2"/>
  <c r="A956" i="2"/>
  <c r="A955" i="2"/>
  <c r="A954" i="2"/>
  <c r="A953" i="2"/>
  <c r="A952" i="2"/>
  <c r="A951" i="2"/>
  <c r="A950" i="2"/>
  <c r="A949" i="2"/>
  <c r="A948" i="2"/>
  <c r="A947" i="2"/>
  <c r="A946" i="2"/>
  <c r="A945" i="2"/>
  <c r="A944" i="2"/>
  <c r="A943" i="2"/>
  <c r="A942" i="2"/>
  <c r="A941" i="2"/>
  <c r="A940" i="2"/>
  <c r="A939" i="2"/>
  <c r="A938" i="2"/>
  <c r="A937" i="2"/>
  <c r="A936" i="2"/>
  <c r="A935" i="2"/>
  <c r="A934" i="2"/>
  <c r="A933" i="2"/>
  <c r="A932" i="2"/>
  <c r="A931" i="2"/>
  <c r="A930" i="2"/>
  <c r="A929" i="2"/>
  <c r="A928" i="2"/>
  <c r="A927" i="2"/>
  <c r="A926" i="2"/>
  <c r="A925" i="2"/>
  <c r="A924" i="2"/>
  <c r="A923" i="2"/>
  <c r="A922" i="2"/>
  <c r="A921" i="2"/>
  <c r="A920" i="2"/>
  <c r="A919" i="2"/>
  <c r="A918" i="2"/>
  <c r="A917" i="2"/>
  <c r="A916" i="2"/>
  <c r="A915" i="2"/>
  <c r="A914" i="2"/>
  <c r="A913" i="2"/>
  <c r="A912" i="2"/>
  <c r="A911" i="2"/>
  <c r="A910" i="2"/>
  <c r="A909" i="2"/>
  <c r="A908" i="2"/>
  <c r="A907" i="2"/>
  <c r="A906" i="2"/>
  <c r="A905" i="2"/>
  <c r="A904" i="2"/>
  <c r="A903" i="2"/>
  <c r="A902" i="2"/>
  <c r="A901" i="2"/>
  <c r="A900" i="2"/>
  <c r="A899" i="2"/>
  <c r="A898" i="2"/>
  <c r="A897" i="2"/>
  <c r="A896" i="2"/>
  <c r="A895" i="2"/>
  <c r="A894" i="2"/>
  <c r="A893" i="2"/>
  <c r="A892" i="2"/>
  <c r="A891" i="2"/>
  <c r="A890" i="2"/>
  <c r="A889" i="2"/>
  <c r="A888" i="2"/>
  <c r="A887" i="2"/>
  <c r="A886" i="2"/>
  <c r="A885" i="2"/>
  <c r="A884" i="2"/>
  <c r="A883" i="2"/>
  <c r="A882" i="2"/>
  <c r="A881" i="2"/>
  <c r="A880" i="2"/>
  <c r="A879" i="2"/>
  <c r="A878" i="2"/>
  <c r="A877" i="2"/>
  <c r="A876" i="2"/>
  <c r="A875" i="2"/>
  <c r="A874" i="2"/>
  <c r="A873" i="2"/>
  <c r="A872" i="2"/>
  <c r="A871" i="2"/>
  <c r="A870" i="2"/>
  <c r="A869" i="2"/>
  <c r="A868" i="2"/>
  <c r="A867" i="2"/>
  <c r="A866" i="2"/>
  <c r="A865" i="2"/>
  <c r="A864" i="2"/>
  <c r="A863" i="2"/>
  <c r="A862" i="2"/>
  <c r="A861" i="2"/>
  <c r="A860" i="2"/>
  <c r="A859" i="2"/>
  <c r="A858" i="2"/>
  <c r="A857" i="2"/>
  <c r="A856" i="2"/>
  <c r="A855" i="2"/>
  <c r="A854" i="2"/>
  <c r="A853" i="2"/>
  <c r="A852" i="2"/>
  <c r="A851" i="2"/>
  <c r="A850" i="2"/>
  <c r="A849" i="2"/>
  <c r="A848" i="2"/>
  <c r="A847" i="2"/>
  <c r="A846" i="2"/>
  <c r="A845" i="2"/>
  <c r="A844" i="2"/>
  <c r="A843" i="2"/>
  <c r="A842" i="2"/>
  <c r="A841" i="2"/>
  <c r="A840" i="2"/>
  <c r="A839" i="2"/>
  <c r="A838" i="2"/>
  <c r="A837" i="2"/>
  <c r="A836" i="2"/>
  <c r="A835" i="2"/>
  <c r="A834" i="2"/>
  <c r="A833" i="2"/>
  <c r="A832" i="2"/>
  <c r="A831" i="2"/>
  <c r="A830" i="2"/>
  <c r="A829" i="2"/>
  <c r="A828" i="2"/>
  <c r="A827" i="2"/>
  <c r="A826" i="2"/>
  <c r="A825" i="2"/>
  <c r="A824" i="2"/>
  <c r="A823" i="2"/>
  <c r="A822" i="2"/>
  <c r="A821" i="2"/>
  <c r="A820" i="2"/>
  <c r="A819" i="2"/>
  <c r="A818" i="2"/>
  <c r="A817" i="2"/>
  <c r="A816" i="2"/>
  <c r="A815" i="2"/>
  <c r="A814" i="2"/>
  <c r="A813" i="2"/>
  <c r="A812" i="2"/>
  <c r="A811" i="2"/>
  <c r="A810" i="2"/>
  <c r="A809" i="2"/>
  <c r="A808" i="2"/>
  <c r="A807" i="2"/>
  <c r="A806" i="2"/>
  <c r="A805" i="2"/>
  <c r="A804" i="2"/>
  <c r="A803" i="2"/>
  <c r="A802" i="2"/>
  <c r="A801" i="2"/>
  <c r="A800" i="2"/>
  <c r="A799" i="2"/>
  <c r="A798" i="2"/>
  <c r="A797" i="2"/>
  <c r="A796" i="2"/>
  <c r="A795" i="2"/>
  <c r="A794" i="2"/>
  <c r="A793" i="2"/>
  <c r="A792" i="2"/>
  <c r="A791" i="2"/>
  <c r="A790" i="2"/>
  <c r="A789" i="2"/>
  <c r="A788" i="2"/>
  <c r="A787" i="2"/>
  <c r="A786" i="2"/>
  <c r="A785" i="2"/>
  <c r="A784" i="2"/>
  <c r="A783" i="2"/>
  <c r="A782" i="2"/>
  <c r="A781" i="2"/>
  <c r="A780" i="2"/>
  <c r="A779" i="2"/>
  <c r="A778" i="2"/>
  <c r="A777" i="2"/>
  <c r="A776" i="2"/>
  <c r="A775" i="2"/>
  <c r="A774" i="2"/>
  <c r="A773" i="2"/>
  <c r="A772" i="2"/>
  <c r="A771" i="2"/>
  <c r="A770" i="2"/>
  <c r="A769" i="2"/>
  <c r="A768" i="2"/>
  <c r="A767" i="2"/>
  <c r="A766" i="2"/>
  <c r="A765" i="2"/>
  <c r="A764" i="2"/>
  <c r="A763" i="2"/>
  <c r="A762" i="2"/>
  <c r="A761" i="2"/>
  <c r="A760" i="2"/>
  <c r="A759" i="2"/>
  <c r="A758" i="2"/>
  <c r="A757" i="2"/>
  <c r="A756" i="2"/>
  <c r="A755" i="2"/>
  <c r="A754" i="2"/>
  <c r="A753" i="2"/>
  <c r="A752" i="2"/>
  <c r="A751" i="2"/>
  <c r="A750" i="2"/>
  <c r="A749" i="2"/>
  <c r="A748" i="2"/>
  <c r="A747" i="2"/>
  <c r="A746" i="2"/>
  <c r="A745" i="2"/>
  <c r="A744" i="2"/>
  <c r="A743" i="2"/>
  <c r="A742" i="2"/>
  <c r="A741" i="2"/>
  <c r="A740" i="2"/>
  <c r="A739" i="2"/>
  <c r="A738" i="2"/>
  <c r="A737" i="2"/>
  <c r="A736" i="2"/>
  <c r="A735" i="2"/>
  <c r="A734" i="2"/>
  <c r="A733" i="2"/>
  <c r="A732" i="2"/>
  <c r="A731" i="2"/>
  <c r="A730" i="2"/>
  <c r="A729" i="2"/>
  <c r="A728" i="2"/>
  <c r="A727" i="2"/>
  <c r="A726" i="2"/>
  <c r="A725" i="2"/>
  <c r="A724" i="2"/>
  <c r="A723" i="2"/>
  <c r="A722" i="2"/>
  <c r="A721" i="2"/>
  <c r="A720" i="2"/>
  <c r="A719" i="2"/>
  <c r="A718" i="2"/>
  <c r="A717" i="2"/>
  <c r="A716" i="2"/>
  <c r="A715" i="2"/>
  <c r="A714" i="2"/>
  <c r="A713" i="2"/>
  <c r="A712" i="2"/>
  <c r="A711" i="2"/>
  <c r="A710" i="2"/>
  <c r="A709" i="2"/>
  <c r="A708" i="2"/>
  <c r="A707" i="2"/>
  <c r="A706" i="2"/>
  <c r="A705" i="2"/>
  <c r="A704" i="2"/>
  <c r="A703" i="2"/>
  <c r="A702" i="2"/>
  <c r="A701" i="2"/>
  <c r="A700" i="2"/>
  <c r="A699" i="2"/>
  <c r="A698" i="2"/>
  <c r="A697" i="2"/>
  <c r="A696" i="2"/>
  <c r="A695" i="2"/>
  <c r="A694" i="2"/>
  <c r="A693" i="2"/>
  <c r="A692" i="2"/>
  <c r="A691" i="2"/>
  <c r="A690" i="2"/>
  <c r="A689" i="2"/>
  <c r="A688" i="2"/>
  <c r="A687" i="2"/>
  <c r="A686" i="2"/>
  <c r="A685" i="2"/>
  <c r="A684" i="2"/>
  <c r="A683" i="2"/>
  <c r="A682" i="2"/>
  <c r="A681" i="2"/>
  <c r="A680" i="2"/>
  <c r="A679" i="2"/>
  <c r="A678" i="2"/>
  <c r="A677" i="2"/>
  <c r="A676" i="2"/>
  <c r="A675" i="2"/>
  <c r="A674" i="2"/>
  <c r="A673" i="2"/>
  <c r="A672" i="2"/>
  <c r="A671" i="2"/>
  <c r="A670" i="2"/>
  <c r="A669" i="2"/>
  <c r="A668" i="2"/>
  <c r="A667" i="2"/>
  <c r="A666" i="2"/>
  <c r="A665" i="2"/>
  <c r="A664" i="2"/>
  <c r="A663" i="2"/>
  <c r="A662" i="2"/>
  <c r="A661" i="2"/>
  <c r="A660" i="2"/>
  <c r="A659" i="2"/>
  <c r="A658" i="2"/>
  <c r="A657" i="2"/>
  <c r="A656" i="2"/>
  <c r="A655" i="2"/>
  <c r="A654" i="2"/>
  <c r="A653" i="2"/>
  <c r="A652" i="2"/>
  <c r="A651" i="2"/>
  <c r="A650" i="2"/>
  <c r="A649" i="2"/>
  <c r="A648" i="2"/>
  <c r="A647" i="2"/>
  <c r="A646" i="2"/>
  <c r="A645" i="2"/>
  <c r="A644" i="2"/>
  <c r="A643" i="2"/>
  <c r="A642" i="2"/>
  <c r="A641" i="2"/>
  <c r="A640" i="2"/>
  <c r="A639" i="2"/>
  <c r="A638" i="2"/>
  <c r="A637" i="2"/>
  <c r="A636" i="2"/>
  <c r="A635" i="2"/>
  <c r="A634" i="2"/>
  <c r="A633" i="2"/>
  <c r="A632" i="2"/>
  <c r="A631" i="2"/>
  <c r="A630" i="2"/>
  <c r="A629" i="2"/>
  <c r="A628" i="2"/>
  <c r="A627" i="2"/>
  <c r="A626" i="2"/>
  <c r="A625" i="2"/>
  <c r="A624" i="2"/>
  <c r="A623" i="2"/>
  <c r="A622" i="2"/>
  <c r="A621" i="2"/>
  <c r="A620" i="2"/>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N15" i="1"/>
  <c r="O15" i="1"/>
  <c r="N17" i="1"/>
  <c r="O17" i="1"/>
  <c r="N18" i="1"/>
  <c r="N29" i="1"/>
  <c r="N34" i="1"/>
  <c r="N36" i="1"/>
  <c r="N41" i="1"/>
  <c r="O41" i="1"/>
  <c r="N45" i="1"/>
  <c r="O45" i="1"/>
  <c r="N48" i="1"/>
  <c r="O48" i="1"/>
  <c r="N54" i="1"/>
  <c r="O54" i="1"/>
  <c r="N55" i="1"/>
  <c r="O55" i="1"/>
  <c r="N60" i="1"/>
  <c r="N63" i="1"/>
  <c r="O63" i="1"/>
  <c r="N67" i="1"/>
  <c r="O67" i="1"/>
  <c r="N79" i="1"/>
  <c r="N81" i="1"/>
  <c r="O81" i="1"/>
  <c r="N84" i="1"/>
  <c r="O84" i="1"/>
  <c r="N87" i="1"/>
  <c r="N91" i="1"/>
  <c r="O91" i="1"/>
  <c r="N96" i="1"/>
  <c r="O96" i="1"/>
  <c r="N101" i="1"/>
  <c r="N104" i="1"/>
  <c r="N106" i="1"/>
  <c r="N110" i="1"/>
  <c r="N16" i="1"/>
  <c r="N20" i="1"/>
  <c r="N21" i="1"/>
  <c r="O21" i="1"/>
  <c r="N22" i="1"/>
  <c r="O22" i="1"/>
  <c r="N24" i="1"/>
  <c r="N28" i="1"/>
  <c r="N30" i="1"/>
  <c r="O30" i="1"/>
  <c r="N44" i="1"/>
  <c r="O44" i="1"/>
  <c r="N49" i="1"/>
  <c r="O49" i="1"/>
  <c r="N51" i="1"/>
  <c r="N61" i="1"/>
  <c r="N64" i="1"/>
  <c r="N65" i="1"/>
  <c r="O65" i="1"/>
  <c r="N66" i="1"/>
  <c r="O66" i="1"/>
  <c r="N70" i="1"/>
  <c r="O70" i="1"/>
  <c r="N75" i="1"/>
  <c r="O75" i="1"/>
  <c r="N82" i="1"/>
  <c r="N90" i="1"/>
  <c r="N103" i="1"/>
  <c r="O103" i="1"/>
  <c r="N111" i="1"/>
  <c r="O111" i="1"/>
  <c r="N115" i="1"/>
  <c r="O115" i="1"/>
  <c r="N116" i="1"/>
  <c r="N118" i="1"/>
  <c r="N102" i="1"/>
  <c r="O102" i="1"/>
  <c r="N23" i="1"/>
  <c r="O23" i="1"/>
  <c r="N32" i="1"/>
  <c r="N35" i="1"/>
  <c r="O35" i="1"/>
  <c r="N37" i="1"/>
  <c r="N39" i="1"/>
  <c r="N52" i="1"/>
  <c r="O52" i="1"/>
  <c r="N53" i="1"/>
  <c r="N78" i="1"/>
  <c r="N80" i="1"/>
  <c r="N83" i="1"/>
  <c r="N94" i="1"/>
  <c r="O94" i="1"/>
  <c r="N105" i="1"/>
  <c r="O105" i="1"/>
  <c r="N112" i="1"/>
  <c r="N38" i="1"/>
  <c r="O38" i="1"/>
  <c r="N62" i="1"/>
  <c r="N71" i="1"/>
  <c r="O71" i="1"/>
  <c r="N76" i="1"/>
  <c r="N99" i="1"/>
  <c r="O99" i="1"/>
  <c r="N100" i="1"/>
  <c r="N108" i="1"/>
  <c r="O108" i="1"/>
  <c r="N109" i="1"/>
  <c r="O109" i="1"/>
  <c r="N113" i="1"/>
  <c r="O113" i="1"/>
  <c r="N114" i="1"/>
  <c r="O114" i="1"/>
  <c r="N117" i="1"/>
  <c r="N119" i="1"/>
  <c r="O119" i="1"/>
  <c r="N12" i="1"/>
  <c r="N25" i="1"/>
  <c r="O25" i="1"/>
  <c r="N40" i="1"/>
  <c r="O40" i="1"/>
  <c r="N42" i="1"/>
  <c r="O42" i="1"/>
  <c r="N56" i="1"/>
  <c r="N58" i="1"/>
  <c r="N69" i="1"/>
  <c r="O69" i="1"/>
  <c r="N73" i="1"/>
  <c r="O73" i="1"/>
  <c r="N86" i="1"/>
  <c r="N88" i="1"/>
  <c r="N89" i="1"/>
  <c r="N43" i="1"/>
  <c r="N14" i="1"/>
  <c r="N19" i="1"/>
  <c r="N31" i="1"/>
  <c r="N46" i="1"/>
  <c r="N50" i="1"/>
  <c r="O50" i="1"/>
  <c r="N59" i="1"/>
  <c r="O59" i="1"/>
  <c r="N74" i="1"/>
  <c r="O74" i="1"/>
  <c r="N92" i="1"/>
  <c r="N93" i="1"/>
  <c r="N97" i="1"/>
  <c r="O97" i="1"/>
  <c r="N98" i="1"/>
  <c r="N107" i="1"/>
  <c r="N26" i="1"/>
  <c r="N27" i="1"/>
  <c r="N33" i="1"/>
  <c r="N47" i="1"/>
  <c r="O47" i="1"/>
  <c r="N57" i="1"/>
  <c r="O57" i="1"/>
  <c r="N68" i="1"/>
  <c r="N72" i="1"/>
  <c r="O72" i="1"/>
  <c r="N77" i="1"/>
  <c r="O77" i="1"/>
  <c r="N85" i="1"/>
  <c r="O85" i="1"/>
  <c r="N95" i="1"/>
  <c r="N13" i="1"/>
  <c r="K77" i="1"/>
  <c r="J77" i="1"/>
  <c r="K72" i="1"/>
  <c r="J72" i="1"/>
  <c r="K57" i="1"/>
  <c r="J57" i="1"/>
  <c r="K47" i="1"/>
  <c r="J47" i="1"/>
  <c r="K97" i="1"/>
  <c r="J97" i="1"/>
  <c r="K74" i="1"/>
  <c r="J74" i="1"/>
  <c r="K59" i="1"/>
  <c r="J59" i="1"/>
  <c r="K73" i="1"/>
  <c r="J73" i="1"/>
  <c r="K69" i="1"/>
  <c r="J69" i="1"/>
  <c r="K42" i="1"/>
  <c r="J42" i="1"/>
  <c r="K40" i="1"/>
  <c r="J40" i="1"/>
  <c r="K25" i="1"/>
  <c r="J25" i="1"/>
  <c r="K119" i="1"/>
  <c r="J119" i="1"/>
  <c r="K114" i="1"/>
  <c r="J114" i="1"/>
  <c r="K113" i="1"/>
  <c r="J113" i="1"/>
  <c r="K109" i="1"/>
  <c r="J109" i="1"/>
  <c r="K108" i="1"/>
  <c r="J108" i="1"/>
  <c r="K99" i="1"/>
  <c r="J99" i="1"/>
  <c r="K71" i="1"/>
  <c r="J71" i="1"/>
  <c r="K38" i="1"/>
  <c r="J38" i="1"/>
  <c r="K105" i="1"/>
  <c r="J105" i="1"/>
  <c r="K94" i="1"/>
  <c r="J94" i="1"/>
  <c r="K52" i="1"/>
  <c r="J52" i="1"/>
  <c r="K35" i="1"/>
  <c r="J35" i="1"/>
  <c r="K23" i="1"/>
  <c r="J23" i="1"/>
  <c r="K102" i="1"/>
  <c r="J102" i="1"/>
  <c r="K115" i="1"/>
  <c r="J115" i="1"/>
  <c r="K111" i="1"/>
  <c r="J111" i="1"/>
  <c r="K103" i="1"/>
  <c r="J103" i="1"/>
  <c r="K75" i="1"/>
  <c r="J75" i="1"/>
  <c r="K70" i="1"/>
  <c r="J70" i="1"/>
  <c r="K66" i="1"/>
  <c r="J66" i="1"/>
  <c r="K65" i="1"/>
  <c r="J65" i="1"/>
  <c r="K49" i="1"/>
  <c r="J49" i="1"/>
  <c r="K44" i="1"/>
  <c r="J44" i="1"/>
  <c r="K30" i="1"/>
  <c r="J30" i="1"/>
  <c r="K22" i="1"/>
  <c r="J22" i="1"/>
  <c r="K21" i="1"/>
  <c r="J21" i="1"/>
  <c r="K96" i="1"/>
  <c r="J96" i="1"/>
  <c r="K91" i="1"/>
  <c r="J91" i="1"/>
  <c r="K84" i="1"/>
  <c r="J84" i="1"/>
  <c r="K81" i="1"/>
  <c r="J81" i="1"/>
  <c r="K67" i="1"/>
  <c r="J67" i="1"/>
  <c r="K63" i="1"/>
  <c r="J63" i="1"/>
  <c r="K55" i="1"/>
  <c r="J55" i="1"/>
  <c r="K54" i="1"/>
  <c r="J54" i="1"/>
  <c r="K48" i="1"/>
  <c r="J48" i="1"/>
  <c r="K45" i="1"/>
  <c r="J45" i="1"/>
  <c r="K41" i="1"/>
  <c r="J41" i="1"/>
  <c r="K17" i="1"/>
  <c r="J17" i="1"/>
  <c r="K15" i="1"/>
  <c r="J15" i="1"/>
  <c r="O95" i="1"/>
  <c r="G12734" i="2"/>
  <c r="G12733" i="2"/>
  <c r="O68" i="1"/>
  <c r="O27" i="1"/>
  <c r="O26" i="1"/>
  <c r="O98" i="1"/>
  <c r="O93" i="1"/>
  <c r="O31" i="1"/>
  <c r="O19" i="1"/>
  <c r="O14" i="1"/>
  <c r="O89" i="1"/>
  <c r="O88" i="1"/>
  <c r="O58" i="1"/>
  <c r="O56" i="1"/>
  <c r="O12" i="1"/>
  <c r="O100" i="1"/>
  <c r="O112" i="1"/>
  <c r="O80" i="1"/>
  <c r="O78" i="1"/>
  <c r="O53" i="1"/>
  <c r="O39" i="1"/>
  <c r="O37" i="1"/>
  <c r="O32" i="1"/>
  <c r="O116" i="1"/>
  <c r="O82" i="1"/>
  <c r="O61" i="1"/>
  <c r="O51" i="1"/>
  <c r="O24" i="1"/>
  <c r="O16" i="1"/>
  <c r="O110" i="1"/>
  <c r="O106" i="1"/>
  <c r="O104" i="1"/>
  <c r="O101" i="1"/>
  <c r="O87" i="1"/>
  <c r="O60" i="1"/>
  <c r="O36" i="1"/>
  <c r="O34" i="1"/>
  <c r="O18" i="1"/>
  <c r="C49" i="1" l="1"/>
  <c r="C30" i="1"/>
  <c r="C32" i="1"/>
  <c r="C15" i="1"/>
  <c r="C16" i="1"/>
  <c r="C17" i="1"/>
  <c r="C18" i="1"/>
  <c r="C21" i="1"/>
  <c r="C22" i="1"/>
  <c r="C23" i="1"/>
  <c r="C24" i="1"/>
  <c r="C25" i="1"/>
  <c r="C26" i="1"/>
  <c r="C27" i="1"/>
  <c r="C36" i="1"/>
  <c r="C35" i="1"/>
  <c r="C34" i="1"/>
  <c r="C33" i="1"/>
  <c r="C31" i="1"/>
  <c r="C39" i="1"/>
  <c r="C45" i="1"/>
  <c r="C44" i="1"/>
  <c r="C43" i="1"/>
  <c r="C42" i="1"/>
  <c r="C41" i="1"/>
  <c r="C40" i="1"/>
  <c r="C48" i="1"/>
  <c r="C54" i="1"/>
  <c r="C53" i="1"/>
  <c r="C52" i="1"/>
  <c r="C12" i="1"/>
  <c r="C51" i="1"/>
  <c r="C13" i="1"/>
  <c r="C50" i="1"/>
  <c r="C14" i="1"/>
  <c r="C3" i="1"/>
  <c r="C7" i="1"/>
  <c r="C9" i="1"/>
  <c r="C8" i="1"/>
  <c r="C6" i="1"/>
  <c r="C5" i="1"/>
  <c r="C4" i="1"/>
  <c r="G5712" i="2"/>
  <c r="G5709" i="2"/>
  <c r="G9875" i="2"/>
  <c r="G9873" i="2"/>
  <c r="G9876" i="2"/>
  <c r="G9874" i="2"/>
  <c r="G11781" i="2"/>
  <c r="G4399" i="2"/>
  <c r="G5708" i="2"/>
  <c r="G710" i="2"/>
  <c r="G9400" i="2"/>
  <c r="G9399" i="2"/>
  <c r="G713" i="2"/>
  <c r="G714" i="2"/>
  <c r="G9516" i="2"/>
  <c r="G2261" i="2"/>
  <c r="G9517" i="2"/>
  <c r="G12849" i="2"/>
  <c r="G4285" i="2"/>
  <c r="G12732" i="2"/>
  <c r="G10235" i="2"/>
  <c r="G10349" i="2"/>
  <c r="G12851" i="2"/>
  <c r="G715" i="2"/>
  <c r="G5713" i="2"/>
  <c r="G12850" i="2"/>
  <c r="G3210" i="2"/>
  <c r="G11182" i="2"/>
  <c r="G2615" i="2"/>
  <c r="G10231" i="2"/>
  <c r="G2617" i="2"/>
  <c r="G10826" i="2"/>
  <c r="G10829" i="2"/>
  <c r="G3209" i="2"/>
  <c r="G7853" i="2"/>
  <c r="G10830" i="2"/>
  <c r="G8088" i="2"/>
  <c r="G6665" i="2"/>
  <c r="G3095" i="2"/>
  <c r="G8089" i="2"/>
  <c r="G6782" i="2"/>
  <c r="G7021" i="2"/>
  <c r="G6781" i="2"/>
  <c r="G7615" i="2"/>
  <c r="G3092" i="2"/>
  <c r="G4280" i="2"/>
  <c r="G8091" i="2"/>
  <c r="G2262" i="2"/>
  <c r="G6664" i="2"/>
  <c r="G2616" i="2"/>
  <c r="G6780" i="2"/>
  <c r="G10232" i="2"/>
  <c r="G3091" i="2"/>
  <c r="G7616" i="2"/>
  <c r="G10825" i="2"/>
  <c r="G7851" i="2"/>
  <c r="G7852" i="2"/>
  <c r="G8090" i="2"/>
  <c r="G11663" i="2"/>
  <c r="G4281" i="2"/>
  <c r="G8092" i="2"/>
  <c r="G11779" i="2"/>
  <c r="G4284" i="2"/>
  <c r="G8093" i="2"/>
  <c r="G11780" i="2"/>
  <c r="G711" i="2"/>
  <c r="G3093" i="2"/>
  <c r="G4282" i="2"/>
  <c r="G5710" i="2"/>
  <c r="G7617" i="2"/>
  <c r="G9401" i="2"/>
  <c r="G10233" i="2"/>
  <c r="G10827" i="2"/>
  <c r="G11777" i="2"/>
  <c r="G712" i="2"/>
  <c r="G2614" i="2"/>
  <c r="G3094" i="2"/>
  <c r="G4283" i="2"/>
  <c r="G5711" i="2"/>
  <c r="G6779" i="2"/>
  <c r="G7850" i="2"/>
  <c r="G9402" i="2"/>
  <c r="G10234" i="2"/>
  <c r="G10828" i="2"/>
  <c r="G11778" i="2"/>
  <c r="G12848" i="2"/>
  <c r="G3214" i="2"/>
  <c r="G11186" i="2"/>
  <c r="G10354" i="2"/>
  <c r="G11187" i="2"/>
  <c r="G11898" i="2"/>
  <c r="G3568" i="2"/>
  <c r="G1543" i="2"/>
  <c r="G3569" i="2"/>
  <c r="G6903" i="2"/>
  <c r="G23" i="2"/>
  <c r="G1544" i="2"/>
  <c r="L21" i="1" s="1" a="1"/>
  <c r="L21" i="1" s="1"/>
  <c r="G31" i="2"/>
  <c r="G1545" i="2"/>
  <c r="G2852" i="2"/>
  <c r="G3571" i="2"/>
  <c r="G4998" i="2"/>
  <c r="G6306" i="2"/>
  <c r="G7018" i="2"/>
  <c r="G8684" i="2"/>
  <c r="G10472" i="2"/>
  <c r="G11304" i="2"/>
  <c r="G12017" i="2"/>
  <c r="G4402" i="2"/>
  <c r="G6067" i="2"/>
  <c r="G9520" i="2"/>
  <c r="G6901" i="2"/>
  <c r="G10468" i="2"/>
  <c r="G11900" i="2"/>
  <c r="G2737" i="2"/>
  <c r="G6902" i="2"/>
  <c r="G19" i="2"/>
  <c r="G2738" i="2"/>
  <c r="G4996" i="2"/>
  <c r="G6304" i="2"/>
  <c r="G10470" i="2"/>
  <c r="G11302" i="2"/>
  <c r="G12015" i="2"/>
  <c r="G3570" i="2"/>
  <c r="G4997" i="2"/>
  <c r="G6305" i="2"/>
  <c r="G7017" i="2"/>
  <c r="G8683" i="2"/>
  <c r="G9878" i="2"/>
  <c r="K86" i="1" s="1"/>
  <c r="G10471" i="2"/>
  <c r="G11303" i="2"/>
  <c r="G12016" i="2"/>
  <c r="G17" i="2"/>
  <c r="G1546" i="2"/>
  <c r="G2853" i="2"/>
  <c r="G3685" i="2"/>
  <c r="G4999" i="2"/>
  <c r="G6307" i="2"/>
  <c r="G7019" i="2"/>
  <c r="G8685" i="2"/>
  <c r="G9992" i="2"/>
  <c r="G10473" i="2"/>
  <c r="G11305" i="2"/>
  <c r="G12018" i="2"/>
  <c r="G3212" i="2"/>
  <c r="G6066" i="2"/>
  <c r="G10351" i="2"/>
  <c r="G11896" i="2"/>
  <c r="G831" i="2"/>
  <c r="G4403" i="2"/>
  <c r="G6898" i="2"/>
  <c r="G10353" i="2"/>
  <c r="G11897" i="2"/>
  <c r="G4404" i="2"/>
  <c r="G41" i="2"/>
  <c r="L17" i="1" s="1" a="1"/>
  <c r="L17" i="1" s="1"/>
  <c r="G2736" i="2"/>
  <c r="G4994" i="2"/>
  <c r="G27" i="2"/>
  <c r="G11306" i="2"/>
  <c r="G12019" i="2"/>
  <c r="G2618" i="2"/>
  <c r="G3211" i="2"/>
  <c r="G4400" i="2"/>
  <c r="G6065" i="2"/>
  <c r="G6783" i="2"/>
  <c r="G7854" i="2"/>
  <c r="G9518" i="2"/>
  <c r="G10350" i="2"/>
  <c r="G11183" i="2"/>
  <c r="G11782" i="2"/>
  <c r="G12852" i="2"/>
  <c r="G830" i="2"/>
  <c r="G3213" i="2"/>
  <c r="G10352" i="2"/>
  <c r="G4995" i="2"/>
  <c r="G6303" i="2"/>
  <c r="G10469" i="2"/>
  <c r="G11301" i="2"/>
  <c r="G11901" i="2"/>
  <c r="G473" i="2"/>
  <c r="G1900" i="2"/>
  <c r="G2856" i="2"/>
  <c r="G3688" i="2"/>
  <c r="G5115" i="2"/>
  <c r="G6422" i="2"/>
  <c r="G7022" i="2"/>
  <c r="G8688" i="2"/>
  <c r="G9995" i="2"/>
  <c r="G10588" i="2"/>
  <c r="G11539" i="2"/>
  <c r="G475" i="2"/>
  <c r="G1902" i="2"/>
  <c r="G3690" i="2"/>
  <c r="G6424" i="2"/>
  <c r="G7374" i="2"/>
  <c r="G9997" i="2"/>
  <c r="G10590" i="2"/>
  <c r="G11541" i="2"/>
  <c r="G476" i="2"/>
  <c r="G5118" i="2"/>
  <c r="G6425" i="2"/>
  <c r="G7375" i="2"/>
  <c r="G8922" i="2"/>
  <c r="G10591" i="2"/>
  <c r="G11542" i="2"/>
  <c r="G592" i="2"/>
  <c r="G7378" i="2"/>
  <c r="G8925" i="2"/>
  <c r="G10113" i="2"/>
  <c r="G10707" i="2"/>
  <c r="G11658" i="2"/>
  <c r="G12377" i="2"/>
  <c r="G12853" i="2"/>
  <c r="G833" i="2"/>
  <c r="G2735" i="2"/>
  <c r="G3566" i="2"/>
  <c r="G6070" i="2"/>
  <c r="G474" i="2"/>
  <c r="G3689" i="2"/>
  <c r="G9996" i="2"/>
  <c r="G11540" i="2"/>
  <c r="G591" i="2"/>
  <c r="G1905" i="2"/>
  <c r="G2973" i="2"/>
  <c r="G4162" i="2"/>
  <c r="G5589" i="2"/>
  <c r="G6427" i="2"/>
  <c r="G7377" i="2"/>
  <c r="G8924" i="2"/>
  <c r="G10112" i="2"/>
  <c r="G10706" i="2"/>
  <c r="G11544" i="2"/>
  <c r="G12376" i="2"/>
  <c r="G2974" i="2"/>
  <c r="G4163" i="2"/>
  <c r="G5590" i="2"/>
  <c r="G593" i="2"/>
  <c r="G2257" i="2"/>
  <c r="G2975" i="2"/>
  <c r="G4164" i="2"/>
  <c r="G5591" i="2"/>
  <c r="G6660" i="2"/>
  <c r="G7379" i="2"/>
  <c r="G8926" i="2"/>
  <c r="G10114" i="2"/>
  <c r="G10708" i="2"/>
  <c r="G11659" i="2"/>
  <c r="G12729" i="2"/>
  <c r="G832" i="2"/>
  <c r="G6899" i="2"/>
  <c r="G11899" i="2"/>
  <c r="G5117" i="2"/>
  <c r="G8921" i="2"/>
  <c r="G12373" i="2"/>
  <c r="G10115" i="2"/>
  <c r="G10709" i="2"/>
  <c r="G11660" i="2"/>
  <c r="G12730" i="2"/>
  <c r="G2619" i="2"/>
  <c r="G7855" i="2"/>
  <c r="G6068" i="2"/>
  <c r="G2734" i="2"/>
  <c r="G6069" i="2"/>
  <c r="G834" i="2"/>
  <c r="G3567" i="2"/>
  <c r="G8687" i="2"/>
  <c r="G9994" i="2"/>
  <c r="G10587" i="2"/>
  <c r="G12020" i="2"/>
  <c r="G1901" i="2"/>
  <c r="G2857" i="2"/>
  <c r="G5116" i="2"/>
  <c r="G6423" i="2"/>
  <c r="G10589" i="2"/>
  <c r="G12372" i="2"/>
  <c r="G594" i="2"/>
  <c r="G5592" i="2"/>
  <c r="G4166" i="2"/>
  <c r="G5593" i="2"/>
  <c r="G6662" i="2"/>
  <c r="G7613" i="2"/>
  <c r="G9397" i="2"/>
  <c r="G10116" i="2"/>
  <c r="G10710" i="2"/>
  <c r="G11661" i="2"/>
  <c r="G12731" i="2"/>
  <c r="G829" i="2"/>
  <c r="G4401" i="2"/>
  <c r="G6784" i="2"/>
  <c r="G9519" i="2"/>
  <c r="G11184" i="2"/>
  <c r="G2733" i="2"/>
  <c r="G9521" i="2"/>
  <c r="G6900" i="2"/>
  <c r="G1547" i="2"/>
  <c r="G2854" i="2"/>
  <c r="G3686" i="2"/>
  <c r="G5113" i="2"/>
  <c r="G6308" i="2"/>
  <c r="G7020" i="2"/>
  <c r="G8686" i="2"/>
  <c r="G9993" i="2"/>
  <c r="G472" i="2"/>
  <c r="G1548" i="2"/>
  <c r="G2855" i="2"/>
  <c r="G3687" i="2"/>
  <c r="G5114" i="2"/>
  <c r="G1903" i="2"/>
  <c r="G2971" i="2"/>
  <c r="G12374" i="2"/>
  <c r="G477" i="2"/>
  <c r="G1904" i="2"/>
  <c r="G2972" i="2"/>
  <c r="G4161" i="2"/>
  <c r="G6426" i="2"/>
  <c r="G7376" i="2"/>
  <c r="G8923" i="2"/>
  <c r="G10111" i="2"/>
  <c r="G10592" i="2"/>
  <c r="G11543" i="2"/>
  <c r="G12375" i="2"/>
  <c r="G2258" i="2"/>
  <c r="G2976" i="2"/>
  <c r="G4165" i="2"/>
  <c r="G6661" i="2"/>
  <c r="G7612" i="2"/>
  <c r="G595" i="2"/>
  <c r="G2259" i="2"/>
  <c r="G596" i="2"/>
  <c r="G2260" i="2"/>
  <c r="G3090" i="2"/>
  <c r="G5594" i="2"/>
  <c r="G6663" i="2"/>
  <c r="G7614" i="2"/>
  <c r="G9398" i="2"/>
  <c r="G10230" i="2"/>
  <c r="G10711" i="2"/>
  <c r="G11662" i="2"/>
  <c r="P37" i="1"/>
  <c r="P21" i="1"/>
  <c r="P59" i="1"/>
  <c r="P109" i="1"/>
  <c r="P71" i="1"/>
  <c r="P48" i="1"/>
  <c r="P115" i="1"/>
  <c r="P73" i="1"/>
  <c r="P105" i="1"/>
  <c r="P65" i="1"/>
  <c r="P91" i="1"/>
  <c r="P38" i="1"/>
  <c r="P63" i="1"/>
  <c r="P54" i="1"/>
  <c r="P55" i="1"/>
  <c r="P44" i="1"/>
  <c r="P119" i="1"/>
  <c r="P97" i="1"/>
  <c r="P35" i="1"/>
  <c r="P30" i="1"/>
  <c r="P22" i="1"/>
  <c r="P81" i="1"/>
  <c r="P40" i="1"/>
  <c r="P25" i="1"/>
  <c r="P74" i="1"/>
  <c r="P113" i="1"/>
  <c r="P84" i="1"/>
  <c r="P94" i="1"/>
  <c r="P111" i="1"/>
  <c r="P57" i="1"/>
  <c r="P23" i="1"/>
  <c r="P24" i="1"/>
  <c r="P112" i="1"/>
  <c r="P103" i="1"/>
  <c r="P15" i="1"/>
  <c r="P89" i="1"/>
  <c r="P114" i="1"/>
  <c r="P45" i="1"/>
  <c r="P102" i="1"/>
  <c r="P41" i="1"/>
  <c r="P98" i="1"/>
  <c r="P50" i="1"/>
  <c r="P116" i="1"/>
  <c r="P108" i="1"/>
  <c r="P32" i="1"/>
  <c r="P88" i="1"/>
  <c r="P99" i="1"/>
  <c r="P17" i="1"/>
  <c r="P93" i="1"/>
  <c r="P87" i="1"/>
  <c r="P75" i="1"/>
  <c r="P72" i="1"/>
  <c r="P66" i="1"/>
  <c r="P67" i="1"/>
  <c r="P85" i="1"/>
  <c r="P70" i="1"/>
  <c r="P95" i="1"/>
  <c r="P47" i="1"/>
  <c r="P52" i="1"/>
  <c r="P49" i="1"/>
  <c r="P96" i="1"/>
  <c r="P60" i="1"/>
  <c r="P77" i="1"/>
  <c r="P69" i="1"/>
  <c r="P42" i="1"/>
  <c r="P34" i="1"/>
  <c r="P16" i="1"/>
  <c r="P31" i="1"/>
  <c r="P36" i="1"/>
  <c r="P100" i="1"/>
  <c r="P110" i="1"/>
  <c r="P106" i="1"/>
  <c r="P19" i="1"/>
  <c r="P14" i="1"/>
  <c r="P101" i="1"/>
  <c r="P82" i="1"/>
  <c r="P68" i="1"/>
  <c r="P58" i="1"/>
  <c r="P56" i="1"/>
  <c r="P18" i="1"/>
  <c r="P80" i="1"/>
  <c r="P12" i="1"/>
  <c r="P104" i="1"/>
  <c r="P78" i="1"/>
  <c r="P61" i="1"/>
  <c r="P53" i="1"/>
  <c r="P51" i="1"/>
  <c r="P27" i="1"/>
  <c r="P26" i="1"/>
  <c r="P39" i="1"/>
  <c r="O83" i="1"/>
  <c r="P83" i="1" s="1"/>
  <c r="O90" i="1"/>
  <c r="P90" i="1" s="1"/>
  <c r="O20" i="1"/>
  <c r="P20" i="1" s="1"/>
  <c r="O46" i="1"/>
  <c r="P46" i="1" s="1"/>
  <c r="O117" i="1"/>
  <c r="P117" i="1" s="1"/>
  <c r="O43" i="1"/>
  <c r="P43" i="1" s="1"/>
  <c r="O86" i="1"/>
  <c r="P86" i="1" s="1"/>
  <c r="O33" i="1"/>
  <c r="P33" i="1" s="1"/>
  <c r="O107" i="1"/>
  <c r="P107" i="1" s="1"/>
  <c r="O76" i="1"/>
  <c r="P76" i="1" s="1"/>
  <c r="O64" i="1"/>
  <c r="P64" i="1" s="1"/>
  <c r="O79" i="1"/>
  <c r="P79" i="1" s="1"/>
  <c r="O29" i="1"/>
  <c r="P29" i="1" s="1"/>
  <c r="O13" i="1"/>
  <c r="P13" i="1" s="1"/>
  <c r="O118" i="1"/>
  <c r="P118" i="1" s="1"/>
  <c r="O62" i="1"/>
  <c r="P62" i="1" s="1"/>
  <c r="O28" i="1"/>
  <c r="P28" i="1" s="1"/>
  <c r="O92" i="1"/>
  <c r="P92" i="1" s="1"/>
  <c r="J58" i="1" l="1"/>
  <c r="K118" i="1"/>
  <c r="K34" i="1"/>
  <c r="J100" i="1"/>
  <c r="J26" i="1"/>
  <c r="J16" i="1"/>
  <c r="K76" i="1"/>
  <c r="J61" i="1"/>
  <c r="L61" i="1" s="1" a="1"/>
  <c r="L61" i="1" s="1"/>
  <c r="K87" i="1"/>
  <c r="K100" i="1"/>
  <c r="J118" i="1"/>
  <c r="L118" i="1" s="1" a="1"/>
  <c r="L118" i="1" s="1"/>
  <c r="K61" i="1"/>
  <c r="J78" i="1"/>
  <c r="L78" i="1" s="1" a="1"/>
  <c r="L78" i="1" s="1"/>
  <c r="J101" i="1"/>
  <c r="L101" i="1" s="1" a="1"/>
  <c r="L101" i="1" s="1"/>
  <c r="K46" i="1"/>
  <c r="M46" i="1" s="1" a="1"/>
  <c r="M46" i="1" s="1"/>
  <c r="K117" i="1"/>
  <c r="K68" i="1"/>
  <c r="M68" i="1" s="1" a="1"/>
  <c r="M68" i="1" s="1"/>
  <c r="K51" i="1"/>
  <c r="M51" i="1" s="1" a="1"/>
  <c r="M51" i="1" s="1"/>
  <c r="J64" i="1"/>
  <c r="L64" i="1" s="1" a="1"/>
  <c r="L64" i="1" s="1"/>
  <c r="K36" i="1"/>
  <c r="K53" i="1"/>
  <c r="M53" i="1" s="1" a="1"/>
  <c r="M53" i="1" s="1"/>
  <c r="K104" i="1"/>
  <c r="M104" i="1" s="1" a="1"/>
  <c r="M104" i="1" s="1"/>
  <c r="K19" i="1"/>
  <c r="M19" i="1" s="1" a="1"/>
  <c r="M19" i="1" s="1"/>
  <c r="K20" i="1"/>
  <c r="M20" i="1" s="1" a="1"/>
  <c r="M20" i="1" s="1"/>
  <c r="K56" i="1"/>
  <c r="M56" i="1" s="1" a="1"/>
  <c r="M56" i="1" s="1"/>
  <c r="K62" i="1"/>
  <c r="M62" i="1" s="1" a="1"/>
  <c r="M62" i="1" s="1"/>
  <c r="K16" i="1"/>
  <c r="M16" i="1" s="1" a="1"/>
  <c r="M16" i="1" s="1"/>
  <c r="J106" i="1"/>
  <c r="L106" i="1" s="1" a="1"/>
  <c r="L106" i="1" s="1"/>
  <c r="J95" i="1"/>
  <c r="L95" i="1" s="1" a="1"/>
  <c r="L95" i="1" s="1"/>
  <c r="M96" i="1" a="1"/>
  <c r="M96" i="1" s="1"/>
  <c r="J50" i="1"/>
  <c r="L50" i="1" s="1" a="1"/>
  <c r="L50" i="1" s="1"/>
  <c r="K90" i="1"/>
  <c r="M90" i="1" s="1" a="1"/>
  <c r="M90" i="1" s="1"/>
  <c r="J104" i="1"/>
  <c r="L104" i="1" s="1" a="1"/>
  <c r="L104" i="1" s="1"/>
  <c r="K24" i="1"/>
  <c r="M24" i="1" s="1" a="1"/>
  <c r="M24" i="1" s="1"/>
  <c r="J87" i="1"/>
  <c r="K26" i="1"/>
  <c r="M26" i="1" s="1" a="1"/>
  <c r="M26" i="1" s="1"/>
  <c r="K18" i="1"/>
  <c r="M18" i="1" s="1" a="1"/>
  <c r="M18" i="1" s="1"/>
  <c r="K85" i="1"/>
  <c r="M85" i="1" s="1" a="1"/>
  <c r="M85" i="1" s="1"/>
  <c r="M86" i="1" a="1"/>
  <c r="M86" i="1" s="1"/>
  <c r="K83" i="1"/>
  <c r="M83" i="1" s="1" a="1"/>
  <c r="M83" i="1" s="1"/>
  <c r="J39" i="1"/>
  <c r="L39" i="1" s="1" a="1"/>
  <c r="L39" i="1" s="1"/>
  <c r="J32" i="1"/>
  <c r="K106" i="1"/>
  <c r="M106" i="1" s="1" a="1"/>
  <c r="M106" i="1" s="1"/>
  <c r="L109" i="1" a="1"/>
  <c r="L109" i="1" s="1"/>
  <c r="K110" i="1"/>
  <c r="M110" i="1" s="1" a="1"/>
  <c r="M110" i="1" s="1"/>
  <c r="J19" i="1"/>
  <c r="L19" i="1" s="1" a="1"/>
  <c r="L19" i="1" s="1"/>
  <c r="K116" i="1"/>
  <c r="M116" i="1" s="1" a="1"/>
  <c r="M116" i="1" s="1"/>
  <c r="J37" i="1"/>
  <c r="L37" i="1" s="1" a="1"/>
  <c r="L37" i="1" s="1"/>
  <c r="J20" i="1"/>
  <c r="L20" i="1" s="1" a="1"/>
  <c r="L20" i="1" s="1"/>
  <c r="J24" i="1"/>
  <c r="L24" i="1" s="1" a="1"/>
  <c r="L24" i="1" s="1"/>
  <c r="M117" i="1" a="1"/>
  <c r="M117" i="1" s="1"/>
  <c r="M81" i="1" a="1"/>
  <c r="M81" i="1" s="1"/>
  <c r="M108" i="1" a="1"/>
  <c r="M108" i="1" s="1"/>
  <c r="J36" i="1"/>
  <c r="L36" i="1" s="1" a="1"/>
  <c r="L36" i="1" s="1"/>
  <c r="J83" i="1"/>
  <c r="L83" i="1" s="1" a="1"/>
  <c r="L83" i="1" s="1"/>
  <c r="K89" i="1"/>
  <c r="M89" i="1" s="1" a="1"/>
  <c r="M89" i="1" s="1"/>
  <c r="J29" i="1"/>
  <c r="L29" i="1" s="1" a="1"/>
  <c r="L29" i="1" s="1"/>
  <c r="K98" i="1"/>
  <c r="M98" i="1" s="1" a="1"/>
  <c r="M98" i="1" s="1"/>
  <c r="K12" i="1"/>
  <c r="M12" i="1" s="1" a="1"/>
  <c r="M12" i="1" s="1"/>
  <c r="J98" i="1"/>
  <c r="L98" i="1" s="1" a="1"/>
  <c r="L98" i="1" s="1"/>
  <c r="J31" i="1"/>
  <c r="L31" i="1" s="1" a="1"/>
  <c r="L31" i="1" s="1"/>
  <c r="J82" i="1"/>
  <c r="L82" i="1" s="1" a="1"/>
  <c r="L82" i="1" s="1"/>
  <c r="J60" i="1"/>
  <c r="L60" i="1" s="1" a="1"/>
  <c r="L60" i="1" s="1"/>
  <c r="J46" i="1"/>
  <c r="L46" i="1" s="1" a="1"/>
  <c r="L46" i="1" s="1"/>
  <c r="J90" i="1"/>
  <c r="L90" i="1" s="1" a="1"/>
  <c r="L90" i="1" s="1"/>
  <c r="J88" i="1"/>
  <c r="L88" i="1" s="1" a="1"/>
  <c r="L88" i="1" s="1"/>
  <c r="K28" i="1"/>
  <c r="M28" i="1" s="1" a="1"/>
  <c r="M28" i="1" s="1"/>
  <c r="J92" i="1"/>
  <c r="L92" i="1" s="1" a="1"/>
  <c r="L92" i="1" s="1"/>
  <c r="K107" i="1"/>
  <c r="M107" i="1" s="1" a="1"/>
  <c r="M107" i="1" s="1"/>
  <c r="J89" i="1"/>
  <c r="L89" i="1" s="1" a="1"/>
  <c r="L89" i="1" s="1"/>
  <c r="J53" i="1"/>
  <c r="L53" i="1" s="1" a="1"/>
  <c r="L53" i="1" s="1"/>
  <c r="K43" i="1"/>
  <c r="M43" i="1" s="1" a="1"/>
  <c r="M43" i="1" s="1"/>
  <c r="K78" i="1"/>
  <c r="M78" i="1" s="1" a="1"/>
  <c r="M78" i="1" s="1"/>
  <c r="K32" i="1"/>
  <c r="M32" i="1" s="1" a="1"/>
  <c r="M32" i="1" s="1"/>
  <c r="M41" i="1" a="1"/>
  <c r="M41" i="1" s="1"/>
  <c r="J62" i="1"/>
  <c r="L62" i="1" s="1" a="1"/>
  <c r="L62" i="1" s="1"/>
  <c r="J18" i="1"/>
  <c r="L18" i="1" s="1" a="1"/>
  <c r="L18" i="1" s="1"/>
  <c r="K27" i="1"/>
  <c r="M27" i="1" s="1" a="1"/>
  <c r="M27" i="1" s="1"/>
  <c r="K50" i="1"/>
  <c r="M50" i="1" s="1" a="1"/>
  <c r="M50" i="1" s="1"/>
  <c r="K14" i="1"/>
  <c r="M14" i="1" s="1" a="1"/>
  <c r="M14" i="1" s="1"/>
  <c r="M17" i="1" a="1"/>
  <c r="M17" i="1" s="1"/>
  <c r="J33" i="1"/>
  <c r="L33" i="1" s="1" a="1"/>
  <c r="L33" i="1" s="1"/>
  <c r="J51" i="1"/>
  <c r="L51" i="1" s="1" a="1"/>
  <c r="L51" i="1" s="1"/>
  <c r="J107" i="1"/>
  <c r="L107" i="1" s="1" a="1"/>
  <c r="L107" i="1" s="1"/>
  <c r="J28" i="1"/>
  <c r="L28" i="1" s="1" a="1"/>
  <c r="L28" i="1" s="1"/>
  <c r="K80" i="1"/>
  <c r="M80" i="1" s="1" a="1"/>
  <c r="M80" i="1" s="1"/>
  <c r="L16" i="1" a="1"/>
  <c r="L16" i="1" s="1"/>
  <c r="J86" i="1"/>
  <c r="L86" i="1" s="1" a="1"/>
  <c r="L86" i="1" s="1"/>
  <c r="J112" i="1"/>
  <c r="L112" i="1" s="1" a="1"/>
  <c r="L112" i="1" s="1"/>
  <c r="J14" i="1"/>
  <c r="L14" i="1" s="1" a="1"/>
  <c r="L14" i="1" s="1"/>
  <c r="K58" i="1"/>
  <c r="M58" i="1" s="1" a="1"/>
  <c r="M58" i="1" s="1"/>
  <c r="M118" i="1" a="1"/>
  <c r="M118" i="1" s="1"/>
  <c r="K79" i="1"/>
  <c r="M79" i="1" s="1" a="1"/>
  <c r="M79" i="1" s="1"/>
  <c r="J116" i="1"/>
  <c r="L116" i="1" s="1" a="1"/>
  <c r="L116" i="1" s="1"/>
  <c r="K101" i="1"/>
  <c r="M101" i="1" s="1" a="1"/>
  <c r="M101" i="1" s="1"/>
  <c r="L55" i="1" a="1"/>
  <c r="L55" i="1" s="1"/>
  <c r="K39" i="1"/>
  <c r="M39" i="1" s="1" a="1"/>
  <c r="M39" i="1" s="1"/>
  <c r="L30" i="1" a="1"/>
  <c r="L30" i="1" s="1"/>
  <c r="L15" i="1" a="1"/>
  <c r="L15" i="1" s="1"/>
  <c r="J76" i="1"/>
  <c r="L76" i="1" s="1" a="1"/>
  <c r="L76" i="1" s="1"/>
  <c r="J110" i="1"/>
  <c r="L110" i="1" s="1" a="1"/>
  <c r="L110" i="1" s="1"/>
  <c r="L26" i="1" a="1"/>
  <c r="L26" i="1" s="1"/>
  <c r="J68" i="1"/>
  <c r="L68" i="1" s="1" a="1"/>
  <c r="L68" i="1" s="1"/>
  <c r="L81" i="1" a="1"/>
  <c r="L81" i="1" s="1"/>
  <c r="K92" i="1"/>
  <c r="M92" i="1" s="1" a="1"/>
  <c r="M92" i="1" s="1"/>
  <c r="J13" i="1"/>
  <c r="L13" i="1" s="1" a="1"/>
  <c r="L13" i="1" s="1"/>
  <c r="J34" i="1"/>
  <c r="L34" i="1" s="1" a="1"/>
  <c r="L34" i="1" s="1"/>
  <c r="M52" i="1" a="1"/>
  <c r="M52" i="1" s="1"/>
  <c r="M75" i="1" a="1"/>
  <c r="M75" i="1" s="1"/>
  <c r="M69" i="1" a="1"/>
  <c r="M69" i="1" s="1"/>
  <c r="K13" i="1"/>
  <c r="M13" i="1" s="1" a="1"/>
  <c r="M13" i="1" s="1"/>
  <c r="L97" i="1" a="1"/>
  <c r="L97" i="1" s="1"/>
  <c r="L72" i="1" a="1"/>
  <c r="L72" i="1" s="1"/>
  <c r="J27" i="1"/>
  <c r="L27" i="1" s="1" a="1"/>
  <c r="L27" i="1" s="1"/>
  <c r="J85" i="1"/>
  <c r="L85" i="1" s="1" a="1"/>
  <c r="L85" i="1" s="1"/>
  <c r="M30" i="1" a="1"/>
  <c r="M30" i="1" s="1"/>
  <c r="M100" i="1" a="1"/>
  <c r="M100" i="1" s="1"/>
  <c r="L94" i="1" a="1"/>
  <c r="L94" i="1" s="1"/>
  <c r="L111" i="1" a="1"/>
  <c r="L111" i="1" s="1"/>
  <c r="L103" i="1" a="1"/>
  <c r="L103" i="1" s="1"/>
  <c r="L100" i="1" a="1"/>
  <c r="L100" i="1" s="1"/>
  <c r="M103" i="1" a="1"/>
  <c r="M103" i="1" s="1"/>
  <c r="M113" i="1" a="1"/>
  <c r="M113" i="1" s="1"/>
  <c r="M71" i="1" a="1"/>
  <c r="M71" i="1" s="1"/>
  <c r="M76" i="1" a="1"/>
  <c r="M76" i="1" s="1"/>
  <c r="L65" i="1" a="1"/>
  <c r="L65" i="1" s="1"/>
  <c r="M45" i="1" a="1"/>
  <c r="M45" i="1" s="1"/>
  <c r="L113" i="1" a="1"/>
  <c r="L113" i="1" s="1"/>
  <c r="L54" i="1" a="1"/>
  <c r="L54" i="1" s="1"/>
  <c r="L45" i="1" a="1"/>
  <c r="L45" i="1" s="1"/>
  <c r="K88" i="1"/>
  <c r="M88" i="1" s="1" a="1"/>
  <c r="M88" i="1" s="1"/>
  <c r="M73" i="1" a="1"/>
  <c r="M73" i="1" s="1"/>
  <c r="J12" i="1"/>
  <c r="L12" i="1" s="1" a="1"/>
  <c r="L12" i="1" s="1"/>
  <c r="K60" i="1"/>
  <c r="M60" i="1" s="1" a="1"/>
  <c r="M60" i="1" s="1"/>
  <c r="L25" i="1" a="1"/>
  <c r="L25" i="1" s="1"/>
  <c r="J93" i="1"/>
  <c r="L93" i="1" s="1" a="1"/>
  <c r="L93" i="1" s="1"/>
  <c r="M67" i="1" a="1"/>
  <c r="M67" i="1" s="1"/>
  <c r="M77" i="1" a="1"/>
  <c r="M77" i="1" s="1"/>
  <c r="L22" i="1" a="1"/>
  <c r="L22" i="1" s="1"/>
  <c r="M15" i="1" a="1"/>
  <c r="M15" i="1" s="1"/>
  <c r="M48" i="1" a="1"/>
  <c r="M48" i="1" s="1"/>
  <c r="K64" i="1"/>
  <c r="M64" i="1" s="1" a="1"/>
  <c r="M64" i="1" s="1"/>
  <c r="M91" i="1" a="1"/>
  <c r="M91" i="1" s="1"/>
  <c r="M109" i="1" a="1"/>
  <c r="M109" i="1" s="1"/>
  <c r="L47" i="1" a="1"/>
  <c r="L47" i="1" s="1"/>
  <c r="K37" i="1"/>
  <c r="M37" i="1" s="1" a="1"/>
  <c r="M37" i="1" s="1"/>
  <c r="L108" i="1" a="1"/>
  <c r="L108" i="1" s="1"/>
  <c r="M99" i="1" a="1"/>
  <c r="M99" i="1" s="1"/>
  <c r="M34" i="1" a="1"/>
  <c r="M34" i="1" s="1"/>
  <c r="L49" i="1" a="1"/>
  <c r="L49" i="1" s="1"/>
  <c r="M23" i="1" a="1"/>
  <c r="M23" i="1" s="1"/>
  <c r="M42" i="1" a="1"/>
  <c r="M42" i="1" s="1"/>
  <c r="L52" i="1" a="1"/>
  <c r="L52" i="1" s="1"/>
  <c r="M65" i="1" a="1"/>
  <c r="M65" i="1" s="1"/>
  <c r="L58" i="1" a="1"/>
  <c r="L58" i="1" s="1"/>
  <c r="L105" i="1" a="1"/>
  <c r="L105" i="1" s="1"/>
  <c r="M97" i="1" a="1"/>
  <c r="M97" i="1" s="1"/>
  <c r="K82" i="1"/>
  <c r="M82" i="1" s="1" a="1"/>
  <c r="M82" i="1" s="1"/>
  <c r="K33" i="1"/>
  <c r="M33" i="1" s="1" a="1"/>
  <c r="M33" i="1" s="1"/>
  <c r="M21" i="1" a="1"/>
  <c r="M21" i="1" s="1"/>
  <c r="M44" i="1" a="1"/>
  <c r="M44" i="1" s="1"/>
  <c r="L96" i="1" a="1"/>
  <c r="L96" i="1" s="1"/>
  <c r="L115" i="1" a="1"/>
  <c r="L115" i="1" s="1"/>
  <c r="L69" i="1" a="1"/>
  <c r="L69" i="1" s="1"/>
  <c r="L57" i="1" a="1"/>
  <c r="L57" i="1" s="1"/>
  <c r="K93" i="1"/>
  <c r="M93" i="1" s="1" a="1"/>
  <c r="M93" i="1" s="1"/>
  <c r="L48" i="1" a="1"/>
  <c r="L48" i="1" s="1"/>
  <c r="L74" i="1" a="1"/>
  <c r="L74" i="1" s="1"/>
  <c r="J56" i="1"/>
  <c r="L56" i="1" s="1" a="1"/>
  <c r="L56" i="1" s="1"/>
  <c r="L63" i="1" a="1"/>
  <c r="L63" i="1" s="1"/>
  <c r="M55" i="1" a="1"/>
  <c r="M55" i="1" s="1"/>
  <c r="L77" i="1" a="1"/>
  <c r="L77" i="1" s="1"/>
  <c r="L75" i="1" a="1"/>
  <c r="L75" i="1" s="1"/>
  <c r="M40" i="1" a="1"/>
  <c r="M40" i="1" s="1"/>
  <c r="M105" i="1" a="1"/>
  <c r="M105" i="1" s="1"/>
  <c r="L114" i="1" a="1"/>
  <c r="L114" i="1" s="1"/>
  <c r="L40" i="1" a="1"/>
  <c r="L40" i="1" s="1"/>
  <c r="M61" i="1" a="1"/>
  <c r="M61" i="1" s="1"/>
  <c r="K31" i="1"/>
  <c r="M31" i="1" s="1" a="1"/>
  <c r="M31" i="1" s="1"/>
  <c r="M114" i="1" a="1"/>
  <c r="M114" i="1" s="1"/>
  <c r="K95" i="1"/>
  <c r="M95" i="1" s="1" a="1"/>
  <c r="M95" i="1" s="1"/>
  <c r="M87" i="1" a="1"/>
  <c r="M87" i="1" s="1"/>
  <c r="M111" i="1" a="1"/>
  <c r="M111" i="1" s="1"/>
  <c r="M36" i="1" a="1"/>
  <c r="M36" i="1" s="1"/>
  <c r="L87" i="1" a="1"/>
  <c r="L87" i="1" s="1"/>
  <c r="L84" i="1" a="1"/>
  <c r="L84" i="1" s="1"/>
  <c r="M72" i="1" a="1"/>
  <c r="M72" i="1" s="1"/>
  <c r="M49" i="1" a="1"/>
  <c r="M49" i="1" s="1"/>
  <c r="M74" i="1" a="1"/>
  <c r="M74" i="1" s="1"/>
  <c r="M63" i="1" a="1"/>
  <c r="M63" i="1" s="1"/>
  <c r="L32" i="1" a="1"/>
  <c r="L32" i="1" s="1"/>
  <c r="M47" i="1" a="1"/>
  <c r="M47" i="1" s="1"/>
  <c r="L44" i="1" a="1"/>
  <c r="L44" i="1" s="1"/>
  <c r="M94" i="1" a="1"/>
  <c r="M94" i="1" s="1"/>
  <c r="M57" i="1" a="1"/>
  <c r="M57" i="1" s="1"/>
  <c r="L119" i="1" a="1"/>
  <c r="L119" i="1" s="1"/>
  <c r="M70" i="1" a="1"/>
  <c r="M70" i="1" s="1"/>
  <c r="L73" i="1" a="1"/>
  <c r="L73" i="1" s="1"/>
  <c r="L23" i="1" a="1"/>
  <c r="L23" i="1" s="1"/>
  <c r="M35" i="1" a="1"/>
  <c r="M35" i="1" s="1"/>
  <c r="M59" i="1" a="1"/>
  <c r="M59" i="1" s="1"/>
  <c r="M54" i="1" a="1"/>
  <c r="M54" i="1" s="1"/>
  <c r="M38" i="1" a="1"/>
  <c r="M38" i="1" s="1"/>
  <c r="L35" i="1" a="1"/>
  <c r="L35" i="1" s="1"/>
  <c r="M66" i="1" a="1"/>
  <c r="M66" i="1" s="1"/>
  <c r="J117" i="1"/>
  <c r="L117" i="1" s="1" a="1"/>
  <c r="L117" i="1" s="1"/>
  <c r="L41" i="1" a="1"/>
  <c r="L41" i="1" s="1"/>
  <c r="L67" i="1" a="1"/>
  <c r="L67" i="1" s="1"/>
  <c r="M102" i="1" a="1"/>
  <c r="M102" i="1" s="1"/>
  <c r="L38" i="1" a="1"/>
  <c r="L38" i="1" s="1"/>
  <c r="L99" i="1" a="1"/>
  <c r="L99" i="1" s="1"/>
  <c r="M84" i="1" a="1"/>
  <c r="M84" i="1" s="1"/>
  <c r="L66" i="1" a="1"/>
  <c r="L66" i="1" s="1"/>
  <c r="K29" i="1"/>
  <c r="M29" i="1" s="1" a="1"/>
  <c r="M29" i="1" s="1"/>
  <c r="L102" i="1" a="1"/>
  <c r="L102" i="1" s="1"/>
  <c r="J80" i="1"/>
  <c r="L80" i="1" s="1" a="1"/>
  <c r="L80" i="1" s="1"/>
  <c r="L42" i="1" a="1"/>
  <c r="L42" i="1" s="1"/>
  <c r="K112" i="1"/>
  <c r="M112" i="1" s="1" a="1"/>
  <c r="M112" i="1" s="1"/>
  <c r="J43" i="1"/>
  <c r="L43" i="1" s="1" a="1"/>
  <c r="L43" i="1" s="1"/>
  <c r="M22" i="1" a="1"/>
  <c r="M22" i="1" s="1"/>
  <c r="J79" i="1"/>
  <c r="L79" i="1" s="1" a="1"/>
  <c r="L79" i="1" s="1"/>
  <c r="L59" i="1" a="1"/>
  <c r="L59" i="1" s="1"/>
  <c r="L91" i="1" a="1"/>
  <c r="L91" i="1" s="1"/>
  <c r="M115" i="1" a="1"/>
  <c r="M115" i="1" s="1"/>
  <c r="L70" i="1" a="1"/>
  <c r="L70" i="1" s="1"/>
  <c r="M25" i="1" a="1"/>
  <c r="M25" i="1" s="1"/>
  <c r="J102" i="2"/>
  <c r="L71" i="1" a="1"/>
  <c r="L71" i="1" s="1"/>
  <c r="M119" i="1" a="1"/>
  <c r="M11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Karl Hill</author>
  </authors>
  <commentList>
    <comment ref="I11" authorId="0" shapeId="0" xr:uid="{A492CE34-1EF7-474D-8727-610B6F783AFF}">
      <text>
        <r>
          <rPr>
            <b/>
            <sz val="9"/>
            <color indexed="81"/>
            <rFont val="Tahoma"/>
            <charset val="1"/>
          </rPr>
          <t>Karl Hill:</t>
        </r>
        <r>
          <rPr>
            <sz val="9"/>
            <color indexed="81"/>
            <rFont val="Tahoma"/>
            <charset val="1"/>
          </rPr>
          <t xml:space="preserve">
Compiled from the Special Materials Index by terronus, https://forums.giantitp.com/showthread.php?442820-Special-Materials-Index</t>
        </r>
      </text>
    </comment>
    <comment ref="C155" authorId="0" shapeId="0" xr:uid="{973B5754-4C61-4B1D-81A4-6C11609ED7C7}">
      <text>
        <r>
          <rPr>
            <b/>
            <sz val="9"/>
            <color indexed="81"/>
            <rFont val="Tahoma"/>
            <charset val="1"/>
          </rPr>
          <t>Karl Hill:</t>
        </r>
        <r>
          <rPr>
            <sz val="9"/>
            <color indexed="81"/>
            <rFont val="Tahoma"/>
            <charset val="1"/>
          </rPr>
          <t xml:space="preserve">
Source: Special Materials Index by terronus, https://forums.giantitp.com/showthread.php?442820-Special-Materials-Index</t>
        </r>
      </text>
    </comment>
    <comment ref="F155" authorId="0" shapeId="0" xr:uid="{B7D70BFE-1D6C-4EAD-8480-00356AEF0031}">
      <text>
        <r>
          <rPr>
            <b/>
            <sz val="9"/>
            <color indexed="81"/>
            <rFont val="Tahoma"/>
            <charset val="1"/>
          </rPr>
          <t>Karl Hill:</t>
        </r>
        <r>
          <rPr>
            <sz val="9"/>
            <color indexed="81"/>
            <rFont val="Tahoma"/>
            <charset val="1"/>
          </rPr>
          <t xml:space="preserve">
Source: Special Materials Index by terronus, https://forums.giantitp.com/showthread.php?442820-Special-Materials-Index</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<sst xmlns="http://schemas.openxmlformats.org/spreadsheetml/2006/main" count="53507" uniqueCount="26173">
  <si>
    <t>Category</t>
  </si>
  <si>
    <t>Material</t>
  </si>
  <si>
    <t>Equipment</t>
  </si>
  <si>
    <t>New Item Name</t>
  </si>
  <si>
    <t>New Image Path</t>
  </si>
  <si>
    <t>Magical</t>
  </si>
  <si>
    <t>Item Weight</t>
  </si>
  <si>
    <t>Weight Formula</t>
  </si>
  <si>
    <t>Metal</t>
  </si>
  <si>
    <t>Adamantine</t>
  </si>
  <si>
    <t>Weapon</t>
  </si>
  <si>
    <t>Adamantine Ball Bearings</t>
  </si>
  <si>
    <t>modules/a-knights-dream/Item/equip_weapon_bearings_adamantine.webp</t>
  </si>
  <si>
    <t>Adamantine Bardiche</t>
  </si>
  <si>
    <t>modules/a-knights-dream/Item/equip_weapon_bardiche_adamantine.webp</t>
  </si>
  <si>
    <t>Adamantine Bastard Sword</t>
  </si>
  <si>
    <t>modules/a-knights-dream/Item/equip_weapon_sword_bastard_adamantine.webp</t>
  </si>
  <si>
    <t>Adamantine Battle Axe</t>
  </si>
  <si>
    <t>modules/a-knights-dream/Item/equip_weapon_axe_battle_adamantine.webp</t>
  </si>
  <si>
    <t>Adamantine Blowgun</t>
  </si>
  <si>
    <t>modules/a-knights-dream/Item/equip_weapon_blowgun_adamantine.webp</t>
  </si>
  <si>
    <t>Adamantine Bolt</t>
  </si>
  <si>
    <t>modules/a-knights-dream/Item/equip_weapon_bolt_adamantine.webp</t>
  </si>
  <si>
    <t>Adamantine Boomerang</t>
  </si>
  <si>
    <t>modules/a-knights-dream/Item/equip_weapon_boomerang_adamantine.webp</t>
  </si>
  <si>
    <t>Adamantine Bow</t>
  </si>
  <si>
    <t>modules/a-knights-dream/Item/equip_weapon_bow_adamantine.webp</t>
  </si>
  <si>
    <t>Adamantine Caltrops</t>
  </si>
  <si>
    <t>modules/a-knights-dream/Item/equip_weapon_caltrops_adamantine.webp</t>
  </si>
  <si>
    <t>Adamantine Cestus</t>
  </si>
  <si>
    <t>modules/a-knights-dream/Item/equip_weapon_cestus_adamantine.webp</t>
  </si>
  <si>
    <t>Adamantine Chain</t>
  </si>
  <si>
    <t>modules/a-knights-dream/Item/equip_weapon_chain_adamantine.webp</t>
  </si>
  <si>
    <t>Adamantine Claymore</t>
  </si>
  <si>
    <t>modules/a-knights-dream/Item/equip_weapon_claymore_adamantine.webp</t>
  </si>
  <si>
    <t>Adamantine Club</t>
  </si>
  <si>
    <t>modules/a-knights-dream/Item/equip_weapon_club_adamantine.webp</t>
  </si>
  <si>
    <t>Adamantine Compound Bow</t>
  </si>
  <si>
    <t>modules/a-knights-dream/Item/equip_weapon_bow_compound_adamantine.webp</t>
  </si>
  <si>
    <t>Adamantine Cutlass</t>
  </si>
  <si>
    <t>modules/a-knights-dream/Item/equip_weapon_cutlass_adamantine.webp</t>
  </si>
  <si>
    <t>Adamantine Dagger</t>
  </si>
  <si>
    <t>modules/a-knights-dream/Item/equip_weapon_dagger_adamantine.webp</t>
  </si>
  <si>
    <t>Adamantine Dart</t>
  </si>
  <si>
    <t>modules/a-knights-dream/Item/equip_weapon_dart_adamantine.webp</t>
  </si>
  <si>
    <t>Adamantine Fauchard Scythe</t>
  </si>
  <si>
    <t>modules/a-knights-dream/Item/equip_weapon_scythe_fauchard_adamantine.webp</t>
  </si>
  <si>
    <t>Adamantine Flail</t>
  </si>
  <si>
    <t>modules/a-knights-dream/Item/equip_weapon_flail_adamantine.webp</t>
  </si>
  <si>
    <t>Adamantine Glaive</t>
  </si>
  <si>
    <t>modules/a-knights-dream/Item/equip_weapon_glaive_adamantine.webp</t>
  </si>
  <si>
    <t>Adamantine Grapple Hook</t>
  </si>
  <si>
    <t>modules/a-knights-dream/Item/equip_weapon_hook_grapple_adamantine.webp</t>
  </si>
  <si>
    <t>Adamantine Great Axe</t>
  </si>
  <si>
    <t>modules/a-knights-dream/Item/equip_weapon_axe_great_adamantine.webp</t>
  </si>
  <si>
    <t>Adamantine Great Club</t>
  </si>
  <si>
    <t>modules/a-knights-dream/Item/equip_weapon_club_great_adamantine.webp</t>
  </si>
  <si>
    <t>Adamantine Great Khyber</t>
  </si>
  <si>
    <t>modules/a-knights-dream/Item/equip_weapon_khyber_great_adamantine.webp</t>
  </si>
  <si>
    <t>Adamantine Great Konda</t>
  </si>
  <si>
    <t>modules/a-knights-dream/Item/equip_weapon_konda_great_adamantine.webp</t>
  </si>
  <si>
    <t>Adamantine Great Labrys</t>
  </si>
  <si>
    <t>modules/a-knights-dream/Item/equip_weapon_axe_labrys_great_adamantine.webp</t>
  </si>
  <si>
    <t>Adamantine Great Mace</t>
  </si>
  <si>
    <t>modules/a-knights-dream/Item/equip_weapon_mace_great_adamantine.webp</t>
  </si>
  <si>
    <t>Adamantine Great Tapal</t>
  </si>
  <si>
    <t>modules/a-knights-dream/Item/equip_weapon_tapal_great_adamantine.webp</t>
  </si>
  <si>
    <t>Adamantine Great War Bow</t>
  </si>
  <si>
    <t>modules/a-knights-dream/Item/equip_weapon_bow_war_great_adamantine.webp</t>
  </si>
  <si>
    <t>Adamantine Great War Hammer</t>
  </si>
  <si>
    <t>modules/a-knights-dream/Item/equip_weapon_hammer_war_great_adamantine.webp</t>
  </si>
  <si>
    <t>Adamantine Great War Pick</t>
  </si>
  <si>
    <t>modules/a-knights-dream/Item/equip_weapon_pick_war_great_adamantine.webp</t>
  </si>
  <si>
    <t>Adamantine Guisarme</t>
  </si>
  <si>
    <t>modules/a-knights-dream/Item/equip_weapon_guisarme_adamantine.webp</t>
  </si>
  <si>
    <t>Adamantine Halberd</t>
  </si>
  <si>
    <t>modules/a-knights-dream/Item/equip_weapon_halberd_adamantine.webp</t>
  </si>
  <si>
    <t>Adamantine Hand Crossbow</t>
  </si>
  <si>
    <t>modules/a-knights-dream/Item/equip_weapon_crossbow_hand_adamantine.webp</t>
  </si>
  <si>
    <t>Adamantine Hand axe</t>
  </si>
  <si>
    <t>modules/a-knights-dream/Item/equip_weapon_axe_hand_adamantine.webp</t>
  </si>
  <si>
    <t>Adamantine Heavy Crossbow</t>
  </si>
  <si>
    <t>modules/a-knights-dream/Item/equip_weapon_crossbow_heavy_adamantine.webp</t>
  </si>
  <si>
    <t>Adamantine Hunting Trap</t>
  </si>
  <si>
    <t>modules/a-knights-dream/Item/equip_weapon_trap_hunting_adamantine.webp</t>
  </si>
  <si>
    <t>Adamantine Hunting Trap (Large)</t>
  </si>
  <si>
    <t>modules/a-knights-dream/Item/equip_weapon_trap_hunting_large_adamantine.webp</t>
  </si>
  <si>
    <t>Adamantine Hunting Trap (Small)</t>
  </si>
  <si>
    <t>modules/a-knights-dream/Item/equip_weapon_trap_hunting_small_adamantine.webp</t>
  </si>
  <si>
    <t>Adamantine Javelin</t>
  </si>
  <si>
    <t>modules/a-knights-dream/Item/equip_weapon_javelin_adamantine.webp</t>
  </si>
  <si>
    <t>Adamantine Khpesh</t>
  </si>
  <si>
    <t>modules/a-knights-dream/Item/equip_weapon_khpesh_adamantine.webp</t>
  </si>
  <si>
    <t>Adamantine Khyber</t>
  </si>
  <si>
    <t>modules/a-knights-dream/Item/equip_weapon_khyber_adamantine.webp</t>
  </si>
  <si>
    <t>Adamantine Konda</t>
  </si>
  <si>
    <t>modules/a-knights-dream/Item/equip_weapon_konda_adamantine.webp</t>
  </si>
  <si>
    <t>Adamantine Labrys</t>
  </si>
  <si>
    <t>modules/a-knights-dream/Item/equip_weapon_axe_labrys_adamantine.webp</t>
  </si>
  <si>
    <t>Adamantine Lance</t>
  </si>
  <si>
    <t>modules/a-knights-dream/Item/equip_weapon_lance_adamantine.webp</t>
  </si>
  <si>
    <t>Adamantine Light Crossbow</t>
  </si>
  <si>
    <t>modules/a-knights-dream/Item/equip_weapon_crossbow_light_adamantine.webp</t>
  </si>
  <si>
    <t>Adamantine Long Bow</t>
  </si>
  <si>
    <t>modules/a-knights-dream/Item/equip_weapon_bow_long_adamantine.webp</t>
  </si>
  <si>
    <t>Adamantine Long Spear</t>
  </si>
  <si>
    <t>modules/a-knights-dream/Item/equip_weapon_spear_long_adamantine.webp</t>
  </si>
  <si>
    <t>Adamantine Lucerince Hammer</t>
  </si>
  <si>
    <t>modules/a-knights-dream/Item/equip_weapon_hammer_lucerince_adamantine.webp</t>
  </si>
  <si>
    <t>Adamantine Mace</t>
  </si>
  <si>
    <t>modules/a-knights-dream/Item/equip_weapon_mace_adamantine.webp</t>
  </si>
  <si>
    <t>Adamantine Morningstar</t>
  </si>
  <si>
    <t>modules/a-knights-dream/Item/equip_weapon_morningstar_adamantine.webp</t>
  </si>
  <si>
    <t>Adamantine Pike</t>
  </si>
  <si>
    <t>modules/a-knights-dream/Item/equip_weapon_pike_adamantine.webp</t>
  </si>
  <si>
    <t>Adamantine Quarter Staff</t>
  </si>
  <si>
    <t>modules/a-knights-dream/Item/equip_weapon_staff_quarter_adamantine.webp</t>
  </si>
  <si>
    <t>Adamantine Ranseur</t>
  </si>
  <si>
    <t>modules/a-knights-dream/Item/equip_weapon_ranseur_adamantine.webp</t>
  </si>
  <si>
    <t>Adamantine Rapier</t>
  </si>
  <si>
    <t>modules/a-knights-dream/Item/equip_weapon_rapier_adamantine.webp</t>
  </si>
  <si>
    <t>Adamantine Recurve Bow</t>
  </si>
  <si>
    <t>modules/a-knights-dream/Item/equip_weapon_bow_recurve_adamantine.webp</t>
  </si>
  <si>
    <t>Adamantine Repeater Crossbow</t>
  </si>
  <si>
    <t>modules/a-knights-dream/Item/equip_weapon_crossbow_repeater_adamantine.webp</t>
  </si>
  <si>
    <t>Adamantine Sabre</t>
  </si>
  <si>
    <t>modules/a-knights-dream/Item/equip_weapon_sabre_adamantine.webp</t>
  </si>
  <si>
    <t>Adamantine Scimitar</t>
  </si>
  <si>
    <t>modules/a-knights-dream/Item/equip_weapon_scimitar_adamantine.webp</t>
  </si>
  <si>
    <t>Adamantine Scythe</t>
  </si>
  <si>
    <t>modules/a-knights-dream/Item/equip_weapon_scythe_adamantine.webp</t>
  </si>
  <si>
    <t>Adamantine Short Bow</t>
  </si>
  <si>
    <t>modules/a-knights-dream/Item/equip_weapon_bow_short_adamantine.webp</t>
  </si>
  <si>
    <t>Adamantine Short Spear</t>
  </si>
  <si>
    <t>modules/a-knights-dream/Item/equip_weapon_spear_short_adamantine.webp</t>
  </si>
  <si>
    <t>Adamantine Short Sword</t>
  </si>
  <si>
    <t>modules/a-knights-dream/Item/equip_weapon_sword_short_adamantine.webp</t>
  </si>
  <si>
    <t>Adamantine Shotel</t>
  </si>
  <si>
    <t>modules/a-knights-dream/Item/equip_weapon_shotel_adamantine.webp</t>
  </si>
  <si>
    <t>Adamantine Sickle</t>
  </si>
  <si>
    <t>modules/a-knights-dream/Item/equip_weapon_sickle_adamantine.webp</t>
  </si>
  <si>
    <t>Adamantine Sling</t>
  </si>
  <si>
    <t>modules/a-knights-dream/Item/equip_weapon_sling_adamantine.webp</t>
  </si>
  <si>
    <t>Adamantine Staff</t>
  </si>
  <si>
    <t>modules/a-knights-dream/Item/equip_weapon_staff_adamantine.webp</t>
  </si>
  <si>
    <t>Adamantine Staff Sling</t>
  </si>
  <si>
    <t>modules/a-knights-dream/Item/equip_weapon_sling_staff_adamantine.webp</t>
  </si>
  <si>
    <t>Adamantine Sword</t>
  </si>
  <si>
    <t>modules/a-knights-dream/Item/equip_weapon_sword_adamantine.webp</t>
  </si>
  <si>
    <t>Adamantine Tapal</t>
  </si>
  <si>
    <t>modules/a-knights-dream/Item/equip_weapon_tapal_adamantine.webp</t>
  </si>
  <si>
    <t>Adamantine Trident</t>
  </si>
  <si>
    <t>modules/a-knights-dream/Item/equip_weapon_trident_adamantine.webp</t>
  </si>
  <si>
    <t>Adamantine War Hammer</t>
  </si>
  <si>
    <t>modules/a-knights-dream/Item/equip_weapon_hammer_war_adamantine.webp</t>
  </si>
  <si>
    <t>Adamantine War Pick</t>
  </si>
  <si>
    <t>modules/a-knights-dream/Item/equip_weapon_pick_war_adamantine.webp</t>
  </si>
  <si>
    <t>Armor</t>
  </si>
  <si>
    <t>Adamantine Brigantine Cuirass</t>
  </si>
  <si>
    <t>modules/a-knights-dream/Item/equip_armor_brigantine_cuirass_adamantine.webp</t>
  </si>
  <si>
    <t>Adamantine Brigantine Gauntlets</t>
  </si>
  <si>
    <t>modules/a-knights-dream/Item/equip_armor_brigantine_gauntlets_adamantine.webp</t>
  </si>
  <si>
    <t>Adamantine Brigantine Greaves</t>
  </si>
  <si>
    <t>modules/a-knights-dream/Item/equip_armor_brigantine_greaves_adamantine.webp</t>
  </si>
  <si>
    <t>Adamantine Brigantine Helmet</t>
  </si>
  <si>
    <t>modules/a-knights-dream/Item/equip_armor_brigantine_helmet_adamantine.webp</t>
  </si>
  <si>
    <t>Adamantine Brigantine Pauldron</t>
  </si>
  <si>
    <t>modules/a-knights-dream/Item/equip_armor_brigantine_pauldron_adamantine.webp</t>
  </si>
  <si>
    <t>Adamantine Chainmail Cuirass</t>
  </si>
  <si>
    <t>modules/a-knights-dream/Item/equip_armor_chainmail_cuirass_adamantine.webp</t>
  </si>
  <si>
    <t>Adamantine Chainmail Gauntlets</t>
  </si>
  <si>
    <t>modules/a-knights-dream/Item/equip_armor_chainmail_gauntlets_adamantine.webp</t>
  </si>
  <si>
    <t>Adamantine Chainmail Greaves</t>
  </si>
  <si>
    <t>modules/a-knights-dream/Item/equip_armor_chainmail_greaves_adamantine.webp</t>
  </si>
  <si>
    <t>Adamantine Chainmail Helmet</t>
  </si>
  <si>
    <t>modules/a-knights-dream/Item/equip_armor_chainmail_helmet_adamantine.webp</t>
  </si>
  <si>
    <t>Adamantine Chainmail Pauldron</t>
  </si>
  <si>
    <t>modules/a-knights-dream/Item/equip_armor_chainmail_pauldron_adamantine.webp</t>
  </si>
  <si>
    <t>Adamantine Gamberson Cuirass</t>
  </si>
  <si>
    <t>modules/a-knights-dream/Item/equip_armor_gamberson_cuirass_adamantine.webp</t>
  </si>
  <si>
    <t>Yes</t>
  </si>
  <si>
    <t>Adamantine Gamberson Gauntlets</t>
  </si>
  <si>
    <t>modules/a-knights-dream/Item/equip_armor_gamberson_gauntlets_adamantine.webp</t>
  </si>
  <si>
    <t>Adamantine Gamberson Greaves</t>
  </si>
  <si>
    <t>modules/a-knights-dream/Item/equip_armor_gamberson_greaves_adamantine.webp</t>
  </si>
  <si>
    <t>Adamantine Gamberson Helmet</t>
  </si>
  <si>
    <t>modules/a-knights-dream/Item/equip_armor_gamberson_helmet_adamantine.webp</t>
  </si>
  <si>
    <t>Adamantine Gamberson Pauldron</t>
  </si>
  <si>
    <t>modules/a-knights-dream/Item/equip_armor_gamberson_pauldron_adamantine.webp</t>
  </si>
  <si>
    <t>Adamantine Hauberk Cuirass</t>
  </si>
  <si>
    <t>modules/a-knights-dream/Item/equip_armor_hauberk_cuirass_adamantine.webp</t>
  </si>
  <si>
    <t>Adamantine Hauberk Gauntlets</t>
  </si>
  <si>
    <t>modules/a-knights-dream/Item/equip_armor_hauberk_gauntlets_adamantine.webp</t>
  </si>
  <si>
    <t>Adamantine Hauberk Greaves</t>
  </si>
  <si>
    <t>modules/a-knights-dream/Item/equip_armor_hauberk_greaves_adamantine.webp</t>
  </si>
  <si>
    <t>Adamantine Hauberk Helmet</t>
  </si>
  <si>
    <t>modules/a-knights-dream/Item/equip_armor_hauberk_helmet_adamantine.webp</t>
  </si>
  <si>
    <t>Adamantine Hauberk Pauldron</t>
  </si>
  <si>
    <t>modules/a-knights-dream/Item/equip_armor_hauberk_pauldron_adamantine.webp</t>
  </si>
  <si>
    <t>Adamantine Jack Cuirass</t>
  </si>
  <si>
    <t>modules/a-knights-dream/Item/equip_armor_jack_cuirass_adamantine.webp</t>
  </si>
  <si>
    <t>Adamantine Jack Gauntlets</t>
  </si>
  <si>
    <t>modules/a-knights-dream/Item/equip_armor_jack_gauntlets_adamantine.webp</t>
  </si>
  <si>
    <t>Adamantine Jack Greaves</t>
  </si>
  <si>
    <t>modules/a-knights-dream/Item/equip_armor_jack_greaves_adamantine.webp</t>
  </si>
  <si>
    <t>Adamantine Jack Helmet</t>
  </si>
  <si>
    <t>modules/a-knights-dream/Item/equip_armor_jack_helmet_adamantine.webp</t>
  </si>
  <si>
    <t>Adamantine Jack Pauldron</t>
  </si>
  <si>
    <t>modules/a-knights-dream/Item/equip_armor_jack_pauldron_adamantine.webp</t>
  </si>
  <si>
    <t>Adamantine Lamellar Cuirass</t>
  </si>
  <si>
    <t>modules/a-knights-dream/Item/equip_armor_lamellar_cuirass_adamantine.webp</t>
  </si>
  <si>
    <t>Adamantine Lamellar Gauntlets</t>
  </si>
  <si>
    <t>modules/a-knights-dream/Item/equip_armor_lamellar_gauntlets_adamantine.webp</t>
  </si>
  <si>
    <t>Adamantine Lamellar Greaves</t>
  </si>
  <si>
    <t>modules/a-knights-dream/Item/equip_armor_lamellar_greaves_adamantine.webp</t>
  </si>
  <si>
    <t>Adamantine Lamellar Helmet</t>
  </si>
  <si>
    <t>modules/a-knights-dream/Item/equip_armor_lamellar_helmet_adamantine.webp</t>
  </si>
  <si>
    <t>Adamantine Lamellar Pauldron</t>
  </si>
  <si>
    <t>modules/a-knights-dream/Item/equip_armor_lamellar_pauldron_adamantine.webp</t>
  </si>
  <si>
    <t>Adamantine Platemail Cuirass</t>
  </si>
  <si>
    <t>modules/a-knights-dream/Item/equip_armor_platemail_cuirass_adamantine.webp</t>
  </si>
  <si>
    <t>Adamantine Platemail Gauntlets</t>
  </si>
  <si>
    <t>modules/a-knights-dream/Item/equip_armor_platemail_gauntlets_adamantine.webp</t>
  </si>
  <si>
    <t>Adamantine Platemail Greaves</t>
  </si>
  <si>
    <t>modules/a-knights-dream/Item/equip_armor_platemail_greaves_adamantine.webp</t>
  </si>
  <si>
    <t>Adamantine Platemail Helmet</t>
  </si>
  <si>
    <t>modules/a-knights-dream/Item/equip_armor_platemail_helmet_adamantine.webp</t>
  </si>
  <si>
    <t>Adamantine Platemail Pauldron</t>
  </si>
  <si>
    <t>modules/a-knights-dream/Item/equip_armor_platemail_pauldron_adamantine.webp</t>
  </si>
  <si>
    <t>Adamantine Tunic Cuirass</t>
  </si>
  <si>
    <t>modules/a-knights-dream/Item/equip_armor_tunic_cuirass_adamantine.webp</t>
  </si>
  <si>
    <t>Adamantine Tunic Gauntlets</t>
  </si>
  <si>
    <t>modules/a-knights-dream/Item/equip_armor_tunic_gauntlets_adamantine.webp</t>
  </si>
  <si>
    <t>Adamantine Tunic Greaves</t>
  </si>
  <si>
    <t>modules/a-knights-dream/Item/equip_armor_tunic_greaves_adamantine.webp</t>
  </si>
  <si>
    <t>Adamantine Tunic Helmet</t>
  </si>
  <si>
    <t>modules/a-knights-dream/Item/equip_armor_tunic_helmet_adamantine.webp</t>
  </si>
  <si>
    <t>Adamantine Tunic Pauldron</t>
  </si>
  <si>
    <t>modules/a-knights-dream/Item/equip_armor_tunic_pauldron_adamantine.webp</t>
  </si>
  <si>
    <t>Shield</t>
  </si>
  <si>
    <t>Adamantine Buckler Shield</t>
  </si>
  <si>
    <t>modules/a-knights-dream/Item/equip_armor_shield_buckler_adamantine.webp</t>
  </si>
  <si>
    <t>Adamantine Heater Shield</t>
  </si>
  <si>
    <t>modules/a-knights-dream/Item/equip_armor_shield_heater_adamantine.webp</t>
  </si>
  <si>
    <t>Adamantine Kite Shield</t>
  </si>
  <si>
    <t>modules/a-knights-dream/Item/equip_armor_shield_kite_adamantine.webp</t>
  </si>
  <si>
    <t>Adamantine Oval Shield</t>
  </si>
  <si>
    <t>modules/a-knights-dream/Item/equip_armor_shield_oval_adamantine.webp</t>
  </si>
  <si>
    <t>Adamantine Round Shield</t>
  </si>
  <si>
    <t>modules/a-knights-dream/Item/equip_armor_shield_round_adamantine.webp</t>
  </si>
  <si>
    <t>Adamantine Tower Shield</t>
  </si>
  <si>
    <t>modules/a-knights-dream/Item/equip_armor_shield_tower_adamantine.webp</t>
  </si>
  <si>
    <t>Arandur</t>
  </si>
  <si>
    <t>Arandur Ball Bearings</t>
  </si>
  <si>
    <t>modules/a-knights-dream/Item/equip_weapon_bearings_arandur.webp</t>
  </si>
  <si>
    <t>Arandur Bardiche</t>
  </si>
  <si>
    <t>modules/a-knights-dream/Item/equip_weapon_bardiche_arandur.webp</t>
  </si>
  <si>
    <t>Arandur Bastard Sword</t>
  </si>
  <si>
    <t>modules/a-knights-dream/Item/equip_weapon_sword_bastard_arandur.webp</t>
  </si>
  <si>
    <t>Arandur Battle Axe</t>
  </si>
  <si>
    <t>modules/a-knights-dream/Item/equip_weapon_axe_battle_arandur.webp</t>
  </si>
  <si>
    <t>Arandur Blowgun</t>
  </si>
  <si>
    <t>modules/a-knights-dream/Item/equip_weapon_blowgun_arandur.webp</t>
  </si>
  <si>
    <t>Arandur Bolt</t>
  </si>
  <si>
    <t>modules/a-knights-dream/Item/equip_weapon_bolt_arandur.webp</t>
  </si>
  <si>
    <t>Arandur Boomerang</t>
  </si>
  <si>
    <t>modules/a-knights-dream/Item/equip_weapon_boomerang_arandur.webp</t>
  </si>
  <si>
    <t>Arandur Bow</t>
  </si>
  <si>
    <t>modules/a-knights-dream/Item/equip_weapon_bow_arandur.webp</t>
  </si>
  <si>
    <t>Arandur Caltrops</t>
  </si>
  <si>
    <t>modules/a-knights-dream/Item/equip_weapon_caltrops_arandur.webp</t>
  </si>
  <si>
    <t>Arandur Cestus</t>
  </si>
  <si>
    <t>modules/a-knights-dream/Item/equip_weapon_cestus_arandur.webp</t>
  </si>
  <si>
    <t>Arandur Chain</t>
  </si>
  <si>
    <t>modules/a-knights-dream/Item/equip_weapon_chain_arandur.webp</t>
  </si>
  <si>
    <t>Arandur Claymore</t>
  </si>
  <si>
    <t>modules/a-knights-dream/Item/equip_weapon_claymore_arandur.webp</t>
  </si>
  <si>
    <t>Arandur Club</t>
  </si>
  <si>
    <t>modules/a-knights-dream/Item/equip_weapon_club_arandur.webp</t>
  </si>
  <si>
    <t>Arandur Compound Bow</t>
  </si>
  <si>
    <t>modules/a-knights-dream/Item/equip_weapon_bow_compound_arandur.webp</t>
  </si>
  <si>
    <t>Arandur Cutlass</t>
  </si>
  <si>
    <t>modules/a-knights-dream/Item/equip_weapon_cutlass_arandur.webp</t>
  </si>
  <si>
    <t>Arandur Dagger</t>
  </si>
  <si>
    <t>modules/a-knights-dream/Item/equip_weapon_dagger_arandur.webp</t>
  </si>
  <si>
    <t>Arandur Dart</t>
  </si>
  <si>
    <t>modules/a-knights-dream/Item/equip_weapon_dart_arandur.webp</t>
  </si>
  <si>
    <t>Arandur Fauchard Scythe</t>
  </si>
  <si>
    <t>modules/a-knights-dream/Item/equip_weapon_scythe_fauchard_arandur.webp</t>
  </si>
  <si>
    <t>Arandur Flail</t>
  </si>
  <si>
    <t>modules/a-knights-dream/Item/equip_weapon_flail_arandur.webp</t>
  </si>
  <si>
    <t>Arandur Glaive</t>
  </si>
  <si>
    <t>modules/a-knights-dream/Item/equip_weapon_glaive_arandur.webp</t>
  </si>
  <si>
    <t>Arandur Grapple Hook</t>
  </si>
  <si>
    <t>modules/a-knights-dream/Item/equip_weapon_hook_grapple_arandur.webp</t>
  </si>
  <si>
    <t>Arandur Great Axe</t>
  </si>
  <si>
    <t>modules/a-knights-dream/Item/equip_weapon_axe_great_arandur.webp</t>
  </si>
  <si>
    <t>Arandur Great Club</t>
  </si>
  <si>
    <t>modules/a-knights-dream/Item/equip_weapon_club_great_arandur.webp</t>
  </si>
  <si>
    <t>Arandur Great Khyber</t>
  </si>
  <si>
    <t>modules/a-knights-dream/Item/equip_weapon_khyber_great_arandur.webp</t>
  </si>
  <si>
    <t>Arandur Great Konda</t>
  </si>
  <si>
    <t>modules/a-knights-dream/Item/equip_weapon_konda_great_arandur.webp</t>
  </si>
  <si>
    <t>Arandur Great Labrys</t>
  </si>
  <si>
    <t>modules/a-knights-dream/Item/equip_weapon_axe_labrys_great_arandur.webp</t>
  </si>
  <si>
    <t>Arandur Great Mace</t>
  </si>
  <si>
    <t>modules/a-knights-dream/Item/equip_weapon_mace_great_arandur.webp</t>
  </si>
  <si>
    <t>Arandur Great Tapal</t>
  </si>
  <si>
    <t>modules/a-knights-dream/Item/equip_weapon_tapal_great_arandur.webp</t>
  </si>
  <si>
    <t>Arandur Great War Bow</t>
  </si>
  <si>
    <t>modules/a-knights-dream/Item/equip_weapon_bow_war_great_arandur.webp</t>
  </si>
  <si>
    <t>Arandur Great War Hammer</t>
  </si>
  <si>
    <t>modules/a-knights-dream/Item/equip_weapon_hammer_war_great_arandur.webp</t>
  </si>
  <si>
    <t>Arandur Great War Pick</t>
  </si>
  <si>
    <t>modules/a-knights-dream/Item/equip_weapon_pick_war_great_arandur.webp</t>
  </si>
  <si>
    <t>Arandur Guisarme</t>
  </si>
  <si>
    <t>modules/a-knights-dream/Item/equip_weapon_guisarme_arandur.webp</t>
  </si>
  <si>
    <t>Arandur Halberd</t>
  </si>
  <si>
    <t>modules/a-knights-dream/Item/equip_weapon_halberd_arandur.webp</t>
  </si>
  <si>
    <t>Arandur Hand Crossbow</t>
  </si>
  <si>
    <t>modules/a-knights-dream/Item/equip_weapon_crossbow_hand_arandur.webp</t>
  </si>
  <si>
    <t>Arandur Hand axe</t>
  </si>
  <si>
    <t>modules/a-knights-dream/Item/equip_weapon_axe_hand_arandur.webp</t>
  </si>
  <si>
    <t>Arandur Heavy Crossbow</t>
  </si>
  <si>
    <t>modules/a-knights-dream/Item/equip_weapon_crossbow_heavy_arandur.webp</t>
  </si>
  <si>
    <t>Arandur Hunting Trap</t>
  </si>
  <si>
    <t>modules/a-knights-dream/Item/equip_weapon_trap_hunting_arandur.webp</t>
  </si>
  <si>
    <t>Arandur Hunting Trap (Large)</t>
  </si>
  <si>
    <t>modules/a-knights-dream/Item/equip_weapon_trap_hunting_large_arandur.webp</t>
  </si>
  <si>
    <t>Arandur Hunting Trap (Small)</t>
  </si>
  <si>
    <t>modules/a-knights-dream/Item/equip_weapon_trap_hunting_small_arandur.webp</t>
  </si>
  <si>
    <t>Arandur Javelin</t>
  </si>
  <si>
    <t>modules/a-knights-dream/Item/equip_weapon_javelin_arandur.webp</t>
  </si>
  <si>
    <t>Arandur Khpesh</t>
  </si>
  <si>
    <t>modules/a-knights-dream/Item/equip_weapon_khpesh_arandur.webp</t>
  </si>
  <si>
    <t>Arandur Khyber</t>
  </si>
  <si>
    <t>modules/a-knights-dream/Item/equip_weapon_khyber_arandur.webp</t>
  </si>
  <si>
    <t>Arandur Konda</t>
  </si>
  <si>
    <t>modules/a-knights-dream/Item/equip_weapon_konda_arandur.webp</t>
  </si>
  <si>
    <t>Arandur Labrys</t>
  </si>
  <si>
    <t>modules/a-knights-dream/Item/equip_weapon_axe_labrys_arandur.webp</t>
  </si>
  <si>
    <t>Arandur Lance</t>
  </si>
  <si>
    <t>modules/a-knights-dream/Item/equip_weapon_lance_arandur.webp</t>
  </si>
  <si>
    <t>Arandur Light Crossbow</t>
  </si>
  <si>
    <t>modules/a-knights-dream/Item/equip_weapon_crossbow_light_arandur.webp</t>
  </si>
  <si>
    <t>Arandur Long Bow</t>
  </si>
  <si>
    <t>modules/a-knights-dream/Item/equip_weapon_bow_long_arandur.webp</t>
  </si>
  <si>
    <t>Arandur Long Spear</t>
  </si>
  <si>
    <t>modules/a-knights-dream/Item/equip_weapon_spear_long_arandur.webp</t>
  </si>
  <si>
    <t>Arandur Lucerince Hammer</t>
  </si>
  <si>
    <t>modules/a-knights-dream/Item/equip_weapon_hammer_lucerince_arandur.webp</t>
  </si>
  <si>
    <t>Arandur Mace</t>
  </si>
  <si>
    <t>modules/a-knights-dream/Item/equip_weapon_mace_arandur.webp</t>
  </si>
  <si>
    <t>Arandur Morningstar</t>
  </si>
  <si>
    <t>modules/a-knights-dream/Item/equip_weapon_morningstar_arandur.webp</t>
  </si>
  <si>
    <t>Arandur Pike</t>
  </si>
  <si>
    <t>modules/a-knights-dream/Item/equip_weapon_pike_arandur.webp</t>
  </si>
  <si>
    <t>Arandur Quarter Staff</t>
  </si>
  <si>
    <t>modules/a-knights-dream/Item/equip_weapon_staff_quarter_arandur.webp</t>
  </si>
  <si>
    <t>Arandur Ranseur</t>
  </si>
  <si>
    <t>modules/a-knights-dream/Item/equip_weapon_ranseur_arandur.webp</t>
  </si>
  <si>
    <t>Arandur Rapier</t>
  </si>
  <si>
    <t>modules/a-knights-dream/Item/equip_weapon_rapier_arandur.webp</t>
  </si>
  <si>
    <t>Arandur Recurve Bow</t>
  </si>
  <si>
    <t>modules/a-knights-dream/Item/equip_weapon_bow_recurve_arandur.webp</t>
  </si>
  <si>
    <t>Arandur Repeater Crossbow</t>
  </si>
  <si>
    <t>modules/a-knights-dream/Item/equip_weapon_crossbow_repeater_arandur.webp</t>
  </si>
  <si>
    <t>Arandur Sabre</t>
  </si>
  <si>
    <t>modules/a-knights-dream/Item/equip_weapon_sabre_arandur.webp</t>
  </si>
  <si>
    <t>Arandur Scimitar</t>
  </si>
  <si>
    <t>modules/a-knights-dream/Item/equip_weapon_scimitar_arandur.webp</t>
  </si>
  <si>
    <t>Arandur Scythe</t>
  </si>
  <si>
    <t>modules/a-knights-dream/Item/equip_weapon_scythe_arandur.webp</t>
  </si>
  <si>
    <t>Arandur Short Bow</t>
  </si>
  <si>
    <t>modules/a-knights-dream/Item/equip_weapon_bow_short_arandur.webp</t>
  </si>
  <si>
    <t>Arandur Short Spear</t>
  </si>
  <si>
    <t>modules/a-knights-dream/Item/equip_weapon_spear_short_arandur.webp</t>
  </si>
  <si>
    <t>Arandur Short Sword</t>
  </si>
  <si>
    <t>modules/a-knights-dream/Item/equip_weapon_sword_short_arandur.webp</t>
  </si>
  <si>
    <t>Arandur Shotel</t>
  </si>
  <si>
    <t>modules/a-knights-dream/Item/equip_weapon_shotel_arandur.webp</t>
  </si>
  <si>
    <t>Arandur Sickle</t>
  </si>
  <si>
    <t>modules/a-knights-dream/Item/equip_weapon_sickle_arandur.webp</t>
  </si>
  <si>
    <t>Arandur Sling</t>
  </si>
  <si>
    <t>modules/a-knights-dream/Item/equip_weapon_sling_arandur.webp</t>
  </si>
  <si>
    <t>Arandur Staff</t>
  </si>
  <si>
    <t>modules/a-knights-dream/Item/equip_weapon_staff_arandur.webp</t>
  </si>
  <si>
    <t>Arandur Staff Sling</t>
  </si>
  <si>
    <t>modules/a-knights-dream/Item/equip_weapon_sling_staff_arandur.webp</t>
  </si>
  <si>
    <t>Arandur Sword</t>
  </si>
  <si>
    <t>modules/a-knights-dream/Item/equip_weapon_sword_arandur.webp</t>
  </si>
  <si>
    <t>Arandur Tapal</t>
  </si>
  <si>
    <t>modules/a-knights-dream/Item/equip_weapon_tapal_arandur.webp</t>
  </si>
  <si>
    <t>Arandur Trident</t>
  </si>
  <si>
    <t>modules/a-knights-dream/Item/equip_weapon_trident_arandur.webp</t>
  </si>
  <si>
    <t>Arandur War Hammer</t>
  </si>
  <si>
    <t>modules/a-knights-dream/Item/equip_weapon_hammer_war_arandur.webp</t>
  </si>
  <si>
    <t>Arandur War Pick</t>
  </si>
  <si>
    <t>modules/a-knights-dream/Item/equip_weapon_pick_war_arandur.webp</t>
  </si>
  <si>
    <t>Arandur Brigantine Cuirass</t>
  </si>
  <si>
    <t>modules/a-knights-dream/Item/equip_armor_brigantine_cuirass_arandur.webp</t>
  </si>
  <si>
    <t>Arandur Brigantine Gauntlets</t>
  </si>
  <si>
    <t>modules/a-knights-dream/Item/equip_armor_brigantine_gauntlets_arandur.webp</t>
  </si>
  <si>
    <t>Arandur Brigantine Greaves</t>
  </si>
  <si>
    <t>modules/a-knights-dream/Item/equip_armor_brigantine_greaves_arandur.webp</t>
  </si>
  <si>
    <t>Arandur Brigantine Helmet</t>
  </si>
  <si>
    <t>modules/a-knights-dream/Item/equip_armor_brigantine_helmet_arandur.webp</t>
  </si>
  <si>
    <t>Arandur Brigantine Pauldron</t>
  </si>
  <si>
    <t>modules/a-knights-dream/Item/equip_armor_brigantine_pauldron_arandur.webp</t>
  </si>
  <si>
    <t>Arandur Chainmail Cuirass</t>
  </si>
  <si>
    <t>modules/a-knights-dream/Item/equip_armor_chainmail_cuirass_arandur.webp</t>
  </si>
  <si>
    <t>Arandur Chainmail Gauntlets</t>
  </si>
  <si>
    <t>modules/a-knights-dream/Item/equip_armor_chainmail_gauntlets_arandur.webp</t>
  </si>
  <si>
    <t>Arandur Chainmail Greaves</t>
  </si>
  <si>
    <t>modules/a-knights-dream/Item/equip_armor_chainmail_greaves_arandur.webp</t>
  </si>
  <si>
    <t>Arandur Chainmail Helmet</t>
  </si>
  <si>
    <t>modules/a-knights-dream/Item/equip_armor_chainmail_helmet_arandur.webp</t>
  </si>
  <si>
    <t>Arandur Chainmail Pauldron</t>
  </si>
  <si>
    <t>modules/a-knights-dream/Item/equip_armor_chainmail_pauldron_arandur.webp</t>
  </si>
  <si>
    <t>Arandur Gamberson Cuirass</t>
  </si>
  <si>
    <t>modules/a-knights-dream/Item/equip_armor_gamberson_cuirass_arandur.webp</t>
  </si>
  <si>
    <t>Arandur Gamberson Gauntlets</t>
  </si>
  <si>
    <t>modules/a-knights-dream/Item/equip_armor_gamberson_gauntlets_arandur.webp</t>
  </si>
  <si>
    <t>Arandur Gamberson Greaves</t>
  </si>
  <si>
    <t>modules/a-knights-dream/Item/equip_armor_gamberson_greaves_arandur.webp</t>
  </si>
  <si>
    <t>Arandur Gamberson Helmet</t>
  </si>
  <si>
    <t>modules/a-knights-dream/Item/equip_armor_gamberson_helmet_arandur.webp</t>
  </si>
  <si>
    <t>Arandur Gamberson Pauldron</t>
  </si>
  <si>
    <t>modules/a-knights-dream/Item/equip_armor_gamberson_pauldron_arandur.webp</t>
  </si>
  <si>
    <t>Arandur Hauberk Cuirass</t>
  </si>
  <si>
    <t>modules/a-knights-dream/Item/equip_armor_hauberk_cuirass_arandur.webp</t>
  </si>
  <si>
    <t>Arandur Hauberk Gauntlets</t>
  </si>
  <si>
    <t>modules/a-knights-dream/Item/equip_armor_hauberk_gauntlets_arandur.webp</t>
  </si>
  <si>
    <t>Arandur Hauberk Greaves</t>
  </si>
  <si>
    <t>modules/a-knights-dream/Item/equip_armor_hauberk_greaves_arandur.webp</t>
  </si>
  <si>
    <t>Arandur Hauberk Helmet</t>
  </si>
  <si>
    <t>modules/a-knights-dream/Item/equip_armor_hauberk_helmet_arandur.webp</t>
  </si>
  <si>
    <t>Arandur Hauberk Pauldron</t>
  </si>
  <si>
    <t>modules/a-knights-dream/Item/equip_armor_hauberk_pauldron_arandur.webp</t>
  </si>
  <si>
    <t>Arandur Jack Cuirass</t>
  </si>
  <si>
    <t>modules/a-knights-dream/Item/equip_armor_jack_cuirass_arandur.webp</t>
  </si>
  <si>
    <t>Arandur Jack Gauntlets</t>
  </si>
  <si>
    <t>modules/a-knights-dream/Item/equip_armor_jack_gauntlets_arandur.webp</t>
  </si>
  <si>
    <t>Arandur Jack Greaves</t>
  </si>
  <si>
    <t>modules/a-knights-dream/Item/equip_armor_jack_greaves_arandur.webp</t>
  </si>
  <si>
    <t>Arandur Jack Helmet</t>
  </si>
  <si>
    <t>modules/a-knights-dream/Item/equip_armor_jack_helmet_arandur.webp</t>
  </si>
  <si>
    <t>Arandur Jack Pauldron</t>
  </si>
  <si>
    <t>modules/a-knights-dream/Item/equip_armor_jack_pauldron_arandur.webp</t>
  </si>
  <si>
    <t>Arandur Lamellar Cuirass</t>
  </si>
  <si>
    <t>modules/a-knights-dream/Item/equip_armor_lamellar_cuirass_arandur.webp</t>
  </si>
  <si>
    <t>Arandur Lamellar Gauntlets</t>
  </si>
  <si>
    <t>modules/a-knights-dream/Item/equip_armor_lamellar_gauntlets_arandur.webp</t>
  </si>
  <si>
    <t>Arandur Lamellar Greaves</t>
  </si>
  <si>
    <t>modules/a-knights-dream/Item/equip_armor_lamellar_greaves_arandur.webp</t>
  </si>
  <si>
    <t>Arandur Lamellar Helmet</t>
  </si>
  <si>
    <t>modules/a-knights-dream/Item/equip_armor_lamellar_helmet_arandur.webp</t>
  </si>
  <si>
    <t>Arandur Lamellar Pauldron</t>
  </si>
  <si>
    <t>modules/a-knights-dream/Item/equip_armor_lamellar_pauldron_arandur.webp</t>
  </si>
  <si>
    <t>Arandur Platemail Cuirass</t>
  </si>
  <si>
    <t>modules/a-knights-dream/Item/equip_armor_platemail_cuirass_arandur.webp</t>
  </si>
  <si>
    <t>Arandur Platemail Gauntlets</t>
  </si>
  <si>
    <t>modules/a-knights-dream/Item/equip_armor_platemail_gauntlets_arandur.webp</t>
  </si>
  <si>
    <t>Arandur Platemail Greaves</t>
  </si>
  <si>
    <t>modules/a-knights-dream/Item/equip_armor_platemail_greaves_arandur.webp</t>
  </si>
  <si>
    <t>Arandur Platemail Helmet</t>
  </si>
  <si>
    <t>modules/a-knights-dream/Item/equip_armor_platemail_helmet_arandur.webp</t>
  </si>
  <si>
    <t>Arandur Platemail Pauldron</t>
  </si>
  <si>
    <t>modules/a-knights-dream/Item/equip_armor_platemail_pauldron_arandur.webp</t>
  </si>
  <si>
    <t>Arandur Tunic Cuirass</t>
  </si>
  <si>
    <t>modules/a-knights-dream/Item/equip_armor_tunic_cuirass_arandur.webp</t>
  </si>
  <si>
    <t>Arandur Tunic Gauntlets</t>
  </si>
  <si>
    <t>modules/a-knights-dream/Item/equip_armor_tunic_gauntlets_arandur.webp</t>
  </si>
  <si>
    <t>Arandur Tunic Greaves</t>
  </si>
  <si>
    <t>modules/a-knights-dream/Item/equip_armor_tunic_greaves_arandur.webp</t>
  </si>
  <si>
    <t>Arandur Tunic Helmet</t>
  </si>
  <si>
    <t>modules/a-knights-dream/Item/equip_armor_tunic_helmet_arandur.webp</t>
  </si>
  <si>
    <t>Arandur Tunic Pauldron</t>
  </si>
  <si>
    <t>modules/a-knights-dream/Item/equip_armor_tunic_pauldron_arandur.webp</t>
  </si>
  <si>
    <t>Arandur Buckler Shield</t>
  </si>
  <si>
    <t>modules/a-knights-dream/Item/equip_armor_shield_buckler_arandur.webp</t>
  </si>
  <si>
    <t>Arandur Heater Shield</t>
  </si>
  <si>
    <t>modules/a-knights-dream/Item/equip_armor_shield_heater_arandur.webp</t>
  </si>
  <si>
    <t>Arandur Kite Shield</t>
  </si>
  <si>
    <t>modules/a-knights-dream/Item/equip_armor_shield_kite_arandur.webp</t>
  </si>
  <si>
    <t>Arandur Oval Shield</t>
  </si>
  <si>
    <t>modules/a-knights-dream/Item/equip_armor_shield_oval_arandur.webp</t>
  </si>
  <si>
    <t>Arandur Round Shield</t>
  </si>
  <si>
    <t>modules/a-knights-dream/Item/equip_armor_shield_round_arandur.webp</t>
  </si>
  <si>
    <t>Arandur Tower Shield</t>
  </si>
  <si>
    <t>modules/a-knights-dream/Item/equip_armor_shield_tower_arandur.webp</t>
  </si>
  <si>
    <t>Aurorum</t>
  </si>
  <si>
    <t>Aurorum Ball Bearings</t>
  </si>
  <si>
    <t>modules/a-knights-dream/Item/equip_weapon_bearings_aurorum.webp</t>
  </si>
  <si>
    <t>Aurorum Bardiche</t>
  </si>
  <si>
    <t>modules/a-knights-dream/Item/equip_weapon_bardiche_aurorum.webp</t>
  </si>
  <si>
    <t>Aurorum Bastard Sword</t>
  </si>
  <si>
    <t>modules/a-knights-dream/Item/equip_weapon_sword_bastard_aurorum.webp</t>
  </si>
  <si>
    <t>Aurorum Battle Axe</t>
  </si>
  <si>
    <t>modules/a-knights-dream/Item/equip_weapon_axe_battle_aurorum.webp</t>
  </si>
  <si>
    <t>Aurorum Blowgun</t>
  </si>
  <si>
    <t>modules/a-knights-dream/Item/equip_weapon_blowgun_aurorum.webp</t>
  </si>
  <si>
    <t>Aurorum Bolt</t>
  </si>
  <si>
    <t>modules/a-knights-dream/Item/equip_weapon_bolt_aurorum.webp</t>
  </si>
  <si>
    <t>Aurorum Boomerang</t>
  </si>
  <si>
    <t>modules/a-knights-dream/Item/equip_weapon_boomerang_aurorum.webp</t>
  </si>
  <si>
    <t>Aurorum Bow</t>
  </si>
  <si>
    <t>modules/a-knights-dream/Item/equip_weapon_bow_aurorum.webp</t>
  </si>
  <si>
    <t>Aurorum Caltrops</t>
  </si>
  <si>
    <t>modules/a-knights-dream/Item/equip_weapon_caltrops_aurorum.webp</t>
  </si>
  <si>
    <t>Aurorum Cestus</t>
  </si>
  <si>
    <t>modules/a-knights-dream/Item/equip_weapon_cestus_aurorum.webp</t>
  </si>
  <si>
    <t>Aurorum Chain</t>
  </si>
  <si>
    <t>modules/a-knights-dream/Item/equip_weapon_chain_aurorum.webp</t>
  </si>
  <si>
    <t>Aurorum Claymore</t>
  </si>
  <si>
    <t>modules/a-knights-dream/Item/equip_weapon_claymore_aurorum.webp</t>
  </si>
  <si>
    <t>Aurorum Club</t>
  </si>
  <si>
    <t>modules/a-knights-dream/Item/equip_weapon_club_aurorum.webp</t>
  </si>
  <si>
    <t>Aurorum Compound Bow</t>
  </si>
  <si>
    <t>modules/a-knights-dream/Item/equip_weapon_bow_compound_aurorum.webp</t>
  </si>
  <si>
    <t>Aurorum Cutlass</t>
  </si>
  <si>
    <t>modules/a-knights-dream/Item/equip_weapon_cutlass_aurorum.webp</t>
  </si>
  <si>
    <t>Aurorum Dagger</t>
  </si>
  <si>
    <t>modules/a-knights-dream/Item/equip_weapon_dagger_aurorum.webp</t>
  </si>
  <si>
    <t>Aurorum Dart</t>
  </si>
  <si>
    <t>modules/a-knights-dream/Item/equip_weapon_dart_aurorum.webp</t>
  </si>
  <si>
    <t>Aurorum Fauchard Scythe</t>
  </si>
  <si>
    <t>modules/a-knights-dream/Item/equip_weapon_scythe_fauchard_aurorum.webp</t>
  </si>
  <si>
    <t>Aurorum Flail</t>
  </si>
  <si>
    <t>modules/a-knights-dream/Item/equip_weapon_flail_aurorum.webp</t>
  </si>
  <si>
    <t>Aurorum Glaive</t>
  </si>
  <si>
    <t>modules/a-knights-dream/Item/equip_weapon_glaive_aurorum.webp</t>
  </si>
  <si>
    <t>Aurorum Grapple Hook</t>
  </si>
  <si>
    <t>modules/a-knights-dream/Item/equip_weapon_hook_grapple_aurorum.webp</t>
  </si>
  <si>
    <t>Aurorum Great Axe</t>
  </si>
  <si>
    <t>modules/a-knights-dream/Item/equip_weapon_axe_great_aurorum.webp</t>
  </si>
  <si>
    <t>Aurorum Great Club</t>
  </si>
  <si>
    <t>modules/a-knights-dream/Item/equip_weapon_club_great_aurorum.webp</t>
  </si>
  <si>
    <t>Aurorum Great Khyber</t>
  </si>
  <si>
    <t>modules/a-knights-dream/Item/equip_weapon_khyber_great_aurorum.webp</t>
  </si>
  <si>
    <t>Aurorum Great Konda</t>
  </si>
  <si>
    <t>modules/a-knights-dream/Item/equip_weapon_konda_great_aurorum.webp</t>
  </si>
  <si>
    <t>Aurorum Great Labrys</t>
  </si>
  <si>
    <t>modules/a-knights-dream/Item/equip_weapon_axe_labrys_great_aurorum.webp</t>
  </si>
  <si>
    <t>Aurorum Great Mace</t>
  </si>
  <si>
    <t>modules/a-knights-dream/Item/equip_weapon_mace_great_aurorum.webp</t>
  </si>
  <si>
    <t>Aurorum Great Tapal</t>
  </si>
  <si>
    <t>modules/a-knights-dream/Item/equip_weapon_tapal_great_aurorum.webp</t>
  </si>
  <si>
    <t>Aurorum Great War Bow</t>
  </si>
  <si>
    <t>modules/a-knights-dream/Item/equip_weapon_bow_war_great_aurorum.webp</t>
  </si>
  <si>
    <t>Aurorum Great War Hammer</t>
  </si>
  <si>
    <t>modules/a-knights-dream/Item/equip_weapon_hammer_war_great_aurorum.webp</t>
  </si>
  <si>
    <t>Aurorum Great War Pick</t>
  </si>
  <si>
    <t>modules/a-knights-dream/Item/equip_weapon_pick_war_great_aurorum.webp</t>
  </si>
  <si>
    <t>Aurorum Guisarme</t>
  </si>
  <si>
    <t>modules/a-knights-dream/Item/equip_weapon_guisarme_aurorum.webp</t>
  </si>
  <si>
    <t>Aurorum Halberd</t>
  </si>
  <si>
    <t>modules/a-knights-dream/Item/equip_weapon_halberd_aurorum.webp</t>
  </si>
  <si>
    <t>Aurorum Hand Crossbow</t>
  </si>
  <si>
    <t>modules/a-knights-dream/Item/equip_weapon_crossbow_hand_aurorum.webp</t>
  </si>
  <si>
    <t>Aurorum Hand axe</t>
  </si>
  <si>
    <t>modules/a-knights-dream/Item/equip_weapon_axe_hand_aurorum.webp</t>
  </si>
  <si>
    <t>Aurorum Heavy Crossbow</t>
  </si>
  <si>
    <t>modules/a-knights-dream/Item/equip_weapon_crossbow_heavy_aurorum.webp</t>
  </si>
  <si>
    <t>Aurorum Hunting Trap</t>
  </si>
  <si>
    <t>modules/a-knights-dream/Item/equip_weapon_trap_hunting_aurorum.webp</t>
  </si>
  <si>
    <t>Aurorum Hunting Trap (Large)</t>
  </si>
  <si>
    <t>modules/a-knights-dream/Item/equip_weapon_trap_hunting_large_aurorum.webp</t>
  </si>
  <si>
    <t>Aurorum Hunting Trap (Small)</t>
  </si>
  <si>
    <t>modules/a-knights-dream/Item/equip_weapon_trap_hunting_small_aurorum.webp</t>
  </si>
  <si>
    <t>Aurorum Javelin</t>
  </si>
  <si>
    <t>modules/a-knights-dream/Item/equip_weapon_javelin_aurorum.webp</t>
  </si>
  <si>
    <t>Aurorum Khpesh</t>
  </si>
  <si>
    <t>modules/a-knights-dream/Item/equip_weapon_khpesh_aurorum.webp</t>
  </si>
  <si>
    <t>Aurorum Khyber</t>
  </si>
  <si>
    <t>modules/a-knights-dream/Item/equip_weapon_khyber_aurorum.webp</t>
  </si>
  <si>
    <t>Aurorum Konda</t>
  </si>
  <si>
    <t>modules/a-knights-dream/Item/equip_weapon_konda_aurorum.webp</t>
  </si>
  <si>
    <t>Aurorum Labrys</t>
  </si>
  <si>
    <t>modules/a-knights-dream/Item/equip_weapon_axe_labrys_aurorum.webp</t>
  </si>
  <si>
    <t>Aurorum Lance</t>
  </si>
  <si>
    <t>modules/a-knights-dream/Item/equip_weapon_lance_aurorum.webp</t>
  </si>
  <si>
    <t>Aurorum Light Crossbow</t>
  </si>
  <si>
    <t>modules/a-knights-dream/Item/equip_weapon_crossbow_light_aurorum.webp</t>
  </si>
  <si>
    <t>Aurorum Long Bow</t>
  </si>
  <si>
    <t>modules/a-knights-dream/Item/equip_weapon_bow_long_aurorum.webp</t>
  </si>
  <si>
    <t>Aurorum Long Spear</t>
  </si>
  <si>
    <t>modules/a-knights-dream/Item/equip_weapon_spear_long_aurorum.webp</t>
  </si>
  <si>
    <t>Aurorum Lucerince Hammer</t>
  </si>
  <si>
    <t>modules/a-knights-dream/Item/equip_weapon_hammer_lucerince_aurorum.webp</t>
  </si>
  <si>
    <t>Aurorum Mace</t>
  </si>
  <si>
    <t>modules/a-knights-dream/Item/equip_weapon_mace_aurorum.webp</t>
  </si>
  <si>
    <t>Aurorum Morningstar</t>
  </si>
  <si>
    <t>modules/a-knights-dream/Item/equip_weapon_morningstar_aurorum.webp</t>
  </si>
  <si>
    <t>Aurorum Pike</t>
  </si>
  <si>
    <t>modules/a-knights-dream/Item/equip_weapon_pike_aurorum.webp</t>
  </si>
  <si>
    <t>Aurorum Quarter Staff</t>
  </si>
  <si>
    <t>modules/a-knights-dream/Item/equip_weapon_staff_quarter_aurorum.webp</t>
  </si>
  <si>
    <t>Aurorum Ranseur</t>
  </si>
  <si>
    <t>modules/a-knights-dream/Item/equip_weapon_ranseur_aurorum.webp</t>
  </si>
  <si>
    <t>Aurorum Rapier</t>
  </si>
  <si>
    <t>modules/a-knights-dream/Item/equip_weapon_rapier_aurorum.webp</t>
  </si>
  <si>
    <t>Aurorum Recurve Bow</t>
  </si>
  <si>
    <t>modules/a-knights-dream/Item/equip_weapon_bow_recurve_aurorum.webp</t>
  </si>
  <si>
    <t>Aurorum Repeater Crossbow</t>
  </si>
  <si>
    <t>modules/a-knights-dream/Item/equip_weapon_crossbow_repeater_aurorum.webp</t>
  </si>
  <si>
    <t>Aurorum Sabre</t>
  </si>
  <si>
    <t>modules/a-knights-dream/Item/equip_weapon_sabre_aurorum.webp</t>
  </si>
  <si>
    <t>Aurorum Scimitar</t>
  </si>
  <si>
    <t>modules/a-knights-dream/Item/equip_weapon_scimitar_aurorum.webp</t>
  </si>
  <si>
    <t>Aurorum Scythe</t>
  </si>
  <si>
    <t>modules/a-knights-dream/Item/equip_weapon_scythe_aurorum.webp</t>
  </si>
  <si>
    <t>Aurorum Short Bow</t>
  </si>
  <si>
    <t>modules/a-knights-dream/Item/equip_weapon_bow_short_aurorum.webp</t>
  </si>
  <si>
    <t>Aurorum Short Spear</t>
  </si>
  <si>
    <t>modules/a-knights-dream/Item/equip_weapon_spear_short_aurorum.webp</t>
  </si>
  <si>
    <t>Aurorum Short Sword</t>
  </si>
  <si>
    <t>modules/a-knights-dream/Item/equip_weapon_sword_short_aurorum.webp</t>
  </si>
  <si>
    <t>Aurorum Shotel</t>
  </si>
  <si>
    <t>modules/a-knights-dream/Item/equip_weapon_shotel_aurorum.webp</t>
  </si>
  <si>
    <t>Aurorum Sickle</t>
  </si>
  <si>
    <t>modules/a-knights-dream/Item/equip_weapon_sickle_aurorum.webp</t>
  </si>
  <si>
    <t>Aurorum Sling</t>
  </si>
  <si>
    <t>modules/a-knights-dream/Item/equip_weapon_sling_aurorum.webp</t>
  </si>
  <si>
    <t>Aurorum Staff</t>
  </si>
  <si>
    <t>modules/a-knights-dream/Item/equip_weapon_staff_aurorum.webp</t>
  </si>
  <si>
    <t>Aurorum Staff Sling</t>
  </si>
  <si>
    <t>modules/a-knights-dream/Item/equip_weapon_sling_staff_aurorum.webp</t>
  </si>
  <si>
    <t>Aurorum Sword</t>
  </si>
  <si>
    <t>modules/a-knights-dream/Item/equip_weapon_sword_aurorum.webp</t>
  </si>
  <si>
    <t>Aurorum Tapal</t>
  </si>
  <si>
    <t>modules/a-knights-dream/Item/equip_weapon_tapal_aurorum.webp</t>
  </si>
  <si>
    <t>Aurorum Trident</t>
  </si>
  <si>
    <t>modules/a-knights-dream/Item/equip_weapon_trident_aurorum.webp</t>
  </si>
  <si>
    <t>Aurorum War Hammer</t>
  </si>
  <si>
    <t>modules/a-knights-dream/Item/equip_weapon_hammer_war_aurorum.webp</t>
  </si>
  <si>
    <t>Aurorum War Pick</t>
  </si>
  <si>
    <t>modules/a-knights-dream/Item/equip_weapon_pick_war_aurorum.webp</t>
  </si>
  <si>
    <t>Aurorum Brigantine Cuirass</t>
  </si>
  <si>
    <t>modules/a-knights-dream/Item/equip_armor_brigantine_cuirass_aurorum.webp</t>
  </si>
  <si>
    <t>Aurorum Brigantine Gauntlets</t>
  </si>
  <si>
    <t>modules/a-knights-dream/Item/equip_armor_brigantine_gauntlets_aurorum.webp</t>
  </si>
  <si>
    <t>Aurorum Brigantine Greaves</t>
  </si>
  <si>
    <t>modules/a-knights-dream/Item/equip_armor_brigantine_greaves_aurorum.webp</t>
  </si>
  <si>
    <t>Aurorum Brigantine Helmet</t>
  </si>
  <si>
    <t>modules/a-knights-dream/Item/equip_armor_brigantine_helmet_aurorum.webp</t>
  </si>
  <si>
    <t>Aurorum Brigantine Pauldron</t>
  </si>
  <si>
    <t>modules/a-knights-dream/Item/equip_armor_brigantine_pauldron_aurorum.webp</t>
  </si>
  <si>
    <t>Aurorum Chainmail Cuirass</t>
  </si>
  <si>
    <t>modules/a-knights-dream/Item/equip_armor_chainmail_cuirass_aurorum.webp</t>
  </si>
  <si>
    <t>Aurorum Chainmail Gauntlets</t>
  </si>
  <si>
    <t>modules/a-knights-dream/Item/equip_armor_chainmail_gauntlets_aurorum.webp</t>
  </si>
  <si>
    <t>Aurorum Chainmail Greaves</t>
  </si>
  <si>
    <t>modules/a-knights-dream/Item/equip_armor_chainmail_greaves_aurorum.webp</t>
  </si>
  <si>
    <t>Aurorum Chainmail Helmet</t>
  </si>
  <si>
    <t>modules/a-knights-dream/Item/equip_armor_chainmail_helmet_aurorum.webp</t>
  </si>
  <si>
    <t>Aurorum Chainmail Pauldron</t>
  </si>
  <si>
    <t>modules/a-knights-dream/Item/equip_armor_chainmail_pauldron_aurorum.webp</t>
  </si>
  <si>
    <t>Aurorum Gamberson Cuirass</t>
  </si>
  <si>
    <t>modules/a-knights-dream/Item/equip_armor_gamberson_cuirass_aurorum.webp</t>
  </si>
  <si>
    <t>Aurorum Gamberson Gauntlets</t>
  </si>
  <si>
    <t>modules/a-knights-dream/Item/equip_armor_gamberson_gauntlets_aurorum.webp</t>
  </si>
  <si>
    <t>Aurorum Gamberson Greaves</t>
  </si>
  <si>
    <t>modules/a-knights-dream/Item/equip_armor_gamberson_greaves_aurorum.webp</t>
  </si>
  <si>
    <t>Aurorum Gamberson Helmet</t>
  </si>
  <si>
    <t>modules/a-knights-dream/Item/equip_armor_gamberson_helmet_aurorum.webp</t>
  </si>
  <si>
    <t>Aurorum Gamberson Pauldron</t>
  </si>
  <si>
    <t>modules/a-knights-dream/Item/equip_armor_gamberson_pauldron_aurorum.webp</t>
  </si>
  <si>
    <t>Aurorum Hauberk Cuirass</t>
  </si>
  <si>
    <t>modules/a-knights-dream/Item/equip_armor_hauberk_cuirass_aurorum.webp</t>
  </si>
  <si>
    <t>Aurorum Hauberk Gauntlets</t>
  </si>
  <si>
    <t>modules/a-knights-dream/Item/equip_armor_hauberk_gauntlets_aurorum.webp</t>
  </si>
  <si>
    <t>Aurorum Hauberk Greaves</t>
  </si>
  <si>
    <t>modules/a-knights-dream/Item/equip_armor_hauberk_greaves_aurorum.webp</t>
  </si>
  <si>
    <t>Aurorum Hauberk Helmet</t>
  </si>
  <si>
    <t>modules/a-knights-dream/Item/equip_armor_hauberk_helmet_aurorum.webp</t>
  </si>
  <si>
    <t>Aurorum Hauberk Pauldron</t>
  </si>
  <si>
    <t>modules/a-knights-dream/Item/equip_armor_hauberk_pauldron_aurorum.webp</t>
  </si>
  <si>
    <t>Aurorum Jack Cuirass</t>
  </si>
  <si>
    <t>modules/a-knights-dream/Item/equip_armor_jack_cuirass_aurorum.webp</t>
  </si>
  <si>
    <t>Aurorum Jack Gauntlets</t>
  </si>
  <si>
    <t>modules/a-knights-dream/Item/equip_armor_jack_gauntlets_aurorum.webp</t>
  </si>
  <si>
    <t>Aurorum Jack Greaves</t>
  </si>
  <si>
    <t>modules/a-knights-dream/Item/equip_armor_jack_greaves_aurorum.webp</t>
  </si>
  <si>
    <t>Aurorum Jack Helmet</t>
  </si>
  <si>
    <t>modules/a-knights-dream/Item/equip_armor_jack_helmet_aurorum.webp</t>
  </si>
  <si>
    <t>Aurorum Jack Pauldron</t>
  </si>
  <si>
    <t>modules/a-knights-dream/Item/equip_armor_jack_pauldron_aurorum.webp</t>
  </si>
  <si>
    <t>Aurorum Lamellar Cuirass</t>
  </si>
  <si>
    <t>modules/a-knights-dream/Item/equip_armor_lamellar_cuirass_aurorum.webp</t>
  </si>
  <si>
    <t>Aurorum Lamellar Gauntlets</t>
  </si>
  <si>
    <t>modules/a-knights-dream/Item/equip_armor_lamellar_gauntlets_aurorum.webp</t>
  </si>
  <si>
    <t>Aurorum Lamellar Greaves</t>
  </si>
  <si>
    <t>modules/a-knights-dream/Item/equip_armor_lamellar_greaves_aurorum.webp</t>
  </si>
  <si>
    <t>Aurorum Lamellar Helmet</t>
  </si>
  <si>
    <t>modules/a-knights-dream/Item/equip_armor_lamellar_helmet_aurorum.webp</t>
  </si>
  <si>
    <t>Aurorum Lamellar Pauldron</t>
  </si>
  <si>
    <t>modules/a-knights-dream/Item/equip_armor_lamellar_pauldron_aurorum.webp</t>
  </si>
  <si>
    <t>Aurorum Platemail Cuirass</t>
  </si>
  <si>
    <t>modules/a-knights-dream/Item/equip_armor_platemail_cuirass_aurorum.webp</t>
  </si>
  <si>
    <t>Aurorum Platemail Gauntlets</t>
  </si>
  <si>
    <t>modules/a-knights-dream/Item/equip_armor_platemail_gauntlets_aurorum.webp</t>
  </si>
  <si>
    <t>Aurorum Platemail Greaves</t>
  </si>
  <si>
    <t>modules/a-knights-dream/Item/equip_armor_platemail_greaves_aurorum.webp</t>
  </si>
  <si>
    <t>Aurorum Platemail Helmet</t>
  </si>
  <si>
    <t>modules/a-knights-dream/Item/equip_armor_platemail_helmet_aurorum.webp</t>
  </si>
  <si>
    <t>Aurorum Platemail Pauldron</t>
  </si>
  <si>
    <t>modules/a-knights-dream/Item/equip_armor_platemail_pauldron_aurorum.webp</t>
  </si>
  <si>
    <t>Aurorum Tunic Cuirass</t>
  </si>
  <si>
    <t>modules/a-knights-dream/Item/equip_armor_tunic_cuirass_aurorum.webp</t>
  </si>
  <si>
    <t>Aurorum Tunic Gauntlets</t>
  </si>
  <si>
    <t>modules/a-knights-dream/Item/equip_armor_tunic_gauntlets_aurorum.webp</t>
  </si>
  <si>
    <t>Aurorum Tunic Greaves</t>
  </si>
  <si>
    <t>modules/a-knights-dream/Item/equip_armor_tunic_greaves_aurorum.webp</t>
  </si>
  <si>
    <t>Aurorum Tunic Helmet</t>
  </si>
  <si>
    <t>modules/a-knights-dream/Item/equip_armor_tunic_helmet_aurorum.webp</t>
  </si>
  <si>
    <t>Aurorum Tunic Pauldron</t>
  </si>
  <si>
    <t>modules/a-knights-dream/Item/equip_armor_tunic_pauldron_aurorum.webp</t>
  </si>
  <si>
    <t>Aurorum Buckler Shield</t>
  </si>
  <si>
    <t>modules/a-knights-dream/Item/equip_armor_shield_buckler_aurorum.webp</t>
  </si>
  <si>
    <t>Aurorum Heater Shield</t>
  </si>
  <si>
    <t>modules/a-knights-dream/Item/equip_armor_shield_heater_aurorum.webp</t>
  </si>
  <si>
    <t>Aurorum Kite Shield</t>
  </si>
  <si>
    <t>modules/a-knights-dream/Item/equip_armor_shield_kite_aurorum.webp</t>
  </si>
  <si>
    <t>Aurorum Oval Shield</t>
  </si>
  <si>
    <t>modules/a-knights-dream/Item/equip_armor_shield_oval_aurorum.webp</t>
  </si>
  <si>
    <t>Aurorum Round Shield</t>
  </si>
  <si>
    <t>modules/a-knights-dream/Item/equip_armor_shield_round_aurorum.webp</t>
  </si>
  <si>
    <t>Aurorum Tower Shield</t>
  </si>
  <si>
    <t>modules/a-knights-dream/Item/equip_armor_shield_tower_aurorum.webp</t>
  </si>
  <si>
    <t>Baatorium</t>
  </si>
  <si>
    <t>Baatorium Ball Bearings</t>
  </si>
  <si>
    <t>modules/a-knights-dream/Item/equip_weapon_bearings_baatorium.webp</t>
  </si>
  <si>
    <t>Baatorium Bardiche</t>
  </si>
  <si>
    <t>modules/a-knights-dream/Item/equip_weapon_bardiche_baatorium.webp</t>
  </si>
  <si>
    <t>Baatorium Bastard Sword</t>
  </si>
  <si>
    <t>modules/a-knights-dream/Item/equip_weapon_sword_bastard_baatorium.webp</t>
  </si>
  <si>
    <t>Baatorium Battle Axe</t>
  </si>
  <si>
    <t>modules/a-knights-dream/Item/equip_weapon_axe_battle_baatorium.webp</t>
  </si>
  <si>
    <t>Baatorium Blowgun</t>
  </si>
  <si>
    <t>modules/a-knights-dream/Item/equip_weapon_blowgun_baatorium.webp</t>
  </si>
  <si>
    <t>Baatorium Bolt</t>
  </si>
  <si>
    <t>modules/a-knights-dream/Item/equip_weapon_bolt_baatorium.webp</t>
  </si>
  <si>
    <t>Baatorium Boomerang</t>
  </si>
  <si>
    <t>modules/a-knights-dream/Item/equip_weapon_boomerang_baatorium.webp</t>
  </si>
  <si>
    <t>Baatorium Bow</t>
  </si>
  <si>
    <t>modules/a-knights-dream/Item/equip_weapon_bow_baatorium.webp</t>
  </si>
  <si>
    <t>Baatorium Caltrops</t>
  </si>
  <si>
    <t>modules/a-knights-dream/Item/equip_weapon_caltrops_baatorium.webp</t>
  </si>
  <si>
    <t>Baatorium Cestus</t>
  </si>
  <si>
    <t>modules/a-knights-dream/Item/equip_weapon_cestus_baatorium.webp</t>
  </si>
  <si>
    <t>Baatorium Chain</t>
  </si>
  <si>
    <t>modules/a-knights-dream/Item/equip_weapon_chain_baatorium.webp</t>
  </si>
  <si>
    <t>Baatorium Claymore</t>
  </si>
  <si>
    <t>modules/a-knights-dream/Item/equip_weapon_claymore_baatorium.webp</t>
  </si>
  <si>
    <t>Baatorium Club</t>
  </si>
  <si>
    <t>modules/a-knights-dream/Item/equip_weapon_club_baatorium.webp</t>
  </si>
  <si>
    <t>Baatorium Compound Bow</t>
  </si>
  <si>
    <t>modules/a-knights-dream/Item/equip_weapon_bow_compound_baatorium.webp</t>
  </si>
  <si>
    <t>Baatorium Cutlass</t>
  </si>
  <si>
    <t>modules/a-knights-dream/Item/equip_weapon_cutlass_baatorium.webp</t>
  </si>
  <si>
    <t>Baatorium Dagger</t>
  </si>
  <si>
    <t>modules/a-knights-dream/Item/equip_weapon_dagger_baatorium.webp</t>
  </si>
  <si>
    <t>Baatorium Dart</t>
  </si>
  <si>
    <t>modules/a-knights-dream/Item/equip_weapon_dart_baatorium.webp</t>
  </si>
  <si>
    <t>Baatorium Fauchard Scythe</t>
  </si>
  <si>
    <t>modules/a-knights-dream/Item/equip_weapon_scythe_fauchard_baatorium.webp</t>
  </si>
  <si>
    <t>Baatorium Flail</t>
  </si>
  <si>
    <t>modules/a-knights-dream/Item/equip_weapon_flail_baatorium.webp</t>
  </si>
  <si>
    <t>Baatorium Glaive</t>
  </si>
  <si>
    <t>modules/a-knights-dream/Item/equip_weapon_glaive_baatorium.webp</t>
  </si>
  <si>
    <t>Baatorium Grapple Hook</t>
  </si>
  <si>
    <t>modules/a-knights-dream/Item/equip_weapon_hook_grapple_baatorium.webp</t>
  </si>
  <si>
    <t>Baatorium Great Axe</t>
  </si>
  <si>
    <t>modules/a-knights-dream/Item/equip_weapon_axe_great_baatorium.webp</t>
  </si>
  <si>
    <t>Baatorium Great Club</t>
  </si>
  <si>
    <t>modules/a-knights-dream/Item/equip_weapon_club_great_baatorium.webp</t>
  </si>
  <si>
    <t>Baatorium Great Khyber</t>
  </si>
  <si>
    <t>modules/a-knights-dream/Item/equip_weapon_khyber_great_baatorium.webp</t>
  </si>
  <si>
    <t>Baatorium Great Konda</t>
  </si>
  <si>
    <t>modules/a-knights-dream/Item/equip_weapon_konda_great_baatorium.webp</t>
  </si>
  <si>
    <t>Baatorium Great Labrys</t>
  </si>
  <si>
    <t>modules/a-knights-dream/Item/equip_weapon_axe_labrys_great_baatorium.webp</t>
  </si>
  <si>
    <t>Baatorium Great Mace</t>
  </si>
  <si>
    <t>modules/a-knights-dream/Item/equip_weapon_mace_great_baatorium.webp</t>
  </si>
  <si>
    <t>Baatorium Great Tapal</t>
  </si>
  <si>
    <t>modules/a-knights-dream/Item/equip_weapon_tapal_great_baatorium.webp</t>
  </si>
  <si>
    <t>Baatorium Great War Bow</t>
  </si>
  <si>
    <t>modules/a-knights-dream/Item/equip_weapon_bow_war_great_baatorium.webp</t>
  </si>
  <si>
    <t>Baatorium Great War Hammer</t>
  </si>
  <si>
    <t>modules/a-knights-dream/Item/equip_weapon_hammer_war_great_baatorium.webp</t>
  </si>
  <si>
    <t>Baatorium Great War Pick</t>
  </si>
  <si>
    <t>modules/a-knights-dream/Item/equip_weapon_pick_war_great_baatorium.webp</t>
  </si>
  <si>
    <t>Baatorium Guisarme</t>
  </si>
  <si>
    <t>modules/a-knights-dream/Item/equip_weapon_guisarme_baatorium.webp</t>
  </si>
  <si>
    <t>Baatorium Halberd</t>
  </si>
  <si>
    <t>modules/a-knights-dream/Item/equip_weapon_halberd_baatorium.webp</t>
  </si>
  <si>
    <t>Baatorium Hand Crossbow</t>
  </si>
  <si>
    <t>modules/a-knights-dream/Item/equip_weapon_crossbow_hand_baatorium.webp</t>
  </si>
  <si>
    <t>Baatorium Hand axe</t>
  </si>
  <si>
    <t>modules/a-knights-dream/Item/equip_weapon_axe_hand_baatorium.webp</t>
  </si>
  <si>
    <t>Baatorium Heavy Crossbow</t>
  </si>
  <si>
    <t>modules/a-knights-dream/Item/equip_weapon_crossbow_heavy_baatorium.webp</t>
  </si>
  <si>
    <t>Baatorium Hunting Trap</t>
  </si>
  <si>
    <t>modules/a-knights-dream/Item/equip_weapon_trap_hunting_baatorium.webp</t>
  </si>
  <si>
    <t>Baatorium Hunting Trap (Large)</t>
  </si>
  <si>
    <t>modules/a-knights-dream/Item/equip_weapon_trap_hunting_large_baatorium.webp</t>
  </si>
  <si>
    <t>Baatorium Hunting Trap (Small)</t>
  </si>
  <si>
    <t>modules/a-knights-dream/Item/equip_weapon_trap_hunting_small_baatorium.webp</t>
  </si>
  <si>
    <t>Baatorium Javelin</t>
  </si>
  <si>
    <t>modules/a-knights-dream/Item/equip_weapon_javelin_baatorium.webp</t>
  </si>
  <si>
    <t>Baatorium Khpesh</t>
  </si>
  <si>
    <t>modules/a-knights-dream/Item/equip_weapon_khpesh_baatorium.webp</t>
  </si>
  <si>
    <t>Baatorium Khyber</t>
  </si>
  <si>
    <t>modules/a-knights-dream/Item/equip_weapon_khyber_baatorium.webp</t>
  </si>
  <si>
    <t>Baatorium Konda</t>
  </si>
  <si>
    <t>modules/a-knights-dream/Item/equip_weapon_konda_baatorium.webp</t>
  </si>
  <si>
    <t>Baatorium Labrys</t>
  </si>
  <si>
    <t>modules/a-knights-dream/Item/equip_weapon_axe_labrys_baatorium.webp</t>
  </si>
  <si>
    <t>Baatorium Lance</t>
  </si>
  <si>
    <t>modules/a-knights-dream/Item/equip_weapon_lance_baatorium.webp</t>
  </si>
  <si>
    <t>Baatorium Light Crossbow</t>
  </si>
  <si>
    <t>modules/a-knights-dream/Item/equip_weapon_crossbow_light_baatorium.webp</t>
  </si>
  <si>
    <t>Baatorium Long Bow</t>
  </si>
  <si>
    <t>modules/a-knights-dream/Item/equip_weapon_bow_long_baatorium.webp</t>
  </si>
  <si>
    <t>Baatorium Long Spear</t>
  </si>
  <si>
    <t>modules/a-knights-dream/Item/equip_weapon_spear_long_baatorium.webp</t>
  </si>
  <si>
    <t>Baatorium Lucerince Hammer</t>
  </si>
  <si>
    <t>modules/a-knights-dream/Item/equip_weapon_hammer_lucerince_baatorium.webp</t>
  </si>
  <si>
    <t>Baatorium Mace</t>
  </si>
  <si>
    <t>modules/a-knights-dream/Item/equip_weapon_mace_baatorium.webp</t>
  </si>
  <si>
    <t>Baatorium Morningstar</t>
  </si>
  <si>
    <t>modules/a-knights-dream/Item/equip_weapon_morningstar_baatorium.webp</t>
  </si>
  <si>
    <t>Baatorium Pike</t>
  </si>
  <si>
    <t>modules/a-knights-dream/Item/equip_weapon_pike_baatorium.webp</t>
  </si>
  <si>
    <t>Baatorium Quarter Staff</t>
  </si>
  <si>
    <t>modules/a-knights-dream/Item/equip_weapon_staff_quarter_baatorium.webp</t>
  </si>
  <si>
    <t>Baatorium Ranseur</t>
  </si>
  <si>
    <t>modules/a-knights-dream/Item/equip_weapon_ranseur_baatorium.webp</t>
  </si>
  <si>
    <t>Baatorium Rapier</t>
  </si>
  <si>
    <t>modules/a-knights-dream/Item/equip_weapon_rapier_baatorium.webp</t>
  </si>
  <si>
    <t>Baatorium Recurve Bow</t>
  </si>
  <si>
    <t>modules/a-knights-dream/Item/equip_weapon_bow_recurve_baatorium.webp</t>
  </si>
  <si>
    <t>Baatorium Repeater Crossbow</t>
  </si>
  <si>
    <t>modules/a-knights-dream/Item/equip_weapon_crossbow_repeater_baatorium.webp</t>
  </si>
  <si>
    <t>Baatorium Sabre</t>
  </si>
  <si>
    <t>modules/a-knights-dream/Item/equip_weapon_sabre_baatorium.webp</t>
  </si>
  <si>
    <t>Baatorium Scimitar</t>
  </si>
  <si>
    <t>modules/a-knights-dream/Item/equip_weapon_scimitar_baatorium.webp</t>
  </si>
  <si>
    <t>Baatorium Scythe</t>
  </si>
  <si>
    <t>modules/a-knights-dream/Item/equip_weapon_scythe_baatorium.webp</t>
  </si>
  <si>
    <t>Baatorium Short Bow</t>
  </si>
  <si>
    <t>modules/a-knights-dream/Item/equip_weapon_bow_short_baatorium.webp</t>
  </si>
  <si>
    <t>Baatorium Short Spear</t>
  </si>
  <si>
    <t>modules/a-knights-dream/Item/equip_weapon_spear_short_baatorium.webp</t>
  </si>
  <si>
    <t>Baatorium Short Sword</t>
  </si>
  <si>
    <t>modules/a-knights-dream/Item/equip_weapon_sword_short_baatorium.webp</t>
  </si>
  <si>
    <t>Baatorium Shotel</t>
  </si>
  <si>
    <t>modules/a-knights-dream/Item/equip_weapon_shotel_baatorium.webp</t>
  </si>
  <si>
    <t>Baatorium Sickle</t>
  </si>
  <si>
    <t>modules/a-knights-dream/Item/equip_weapon_sickle_baatorium.webp</t>
  </si>
  <si>
    <t>Baatorium Sling</t>
  </si>
  <si>
    <t>modules/a-knights-dream/Item/equip_weapon_sling_baatorium.webp</t>
  </si>
  <si>
    <t>Baatorium Staff</t>
  </si>
  <si>
    <t>modules/a-knights-dream/Item/equip_weapon_staff_baatorium.webp</t>
  </si>
  <si>
    <t>Baatorium Staff Sling</t>
  </si>
  <si>
    <t>modules/a-knights-dream/Item/equip_weapon_sling_staff_baatorium.webp</t>
  </si>
  <si>
    <t>Baatorium Sword</t>
  </si>
  <si>
    <t>modules/a-knights-dream/Item/equip_weapon_sword_baatorium.webp</t>
  </si>
  <si>
    <t>Baatorium Tapal</t>
  </si>
  <si>
    <t>modules/a-knights-dream/Item/equip_weapon_tapal_baatorium.webp</t>
  </si>
  <si>
    <t>Baatorium Trident</t>
  </si>
  <si>
    <t>modules/a-knights-dream/Item/equip_weapon_trident_baatorium.webp</t>
  </si>
  <si>
    <t>Baatorium War Hammer</t>
  </si>
  <si>
    <t>modules/a-knights-dream/Item/equip_weapon_hammer_war_baatorium.webp</t>
  </si>
  <si>
    <t>Baatorium War Pick</t>
  </si>
  <si>
    <t>modules/a-knights-dream/Item/equip_weapon_pick_war_baatorium.webp</t>
  </si>
  <si>
    <t>Baatorium Brigantine Cuirass</t>
  </si>
  <si>
    <t>modules/a-knights-dream/Item/equip_armor_brigantine_cuirass_baatorium.webp</t>
  </si>
  <si>
    <t>Baatorium Brigantine Gauntlets</t>
  </si>
  <si>
    <t>modules/a-knights-dream/Item/equip_armor_brigantine_gauntlets_baatorium.webp</t>
  </si>
  <si>
    <t>Baatorium Brigantine Greaves</t>
  </si>
  <si>
    <t>modules/a-knights-dream/Item/equip_armor_brigantine_greaves_baatorium.webp</t>
  </si>
  <si>
    <t>Baatorium Brigantine Helmet</t>
  </si>
  <si>
    <t>modules/a-knights-dream/Item/equip_armor_brigantine_helmet_baatorium.webp</t>
  </si>
  <si>
    <t>Baatorium Brigantine Pauldron</t>
  </si>
  <si>
    <t>modules/a-knights-dream/Item/equip_armor_brigantine_pauldron_baatorium.webp</t>
  </si>
  <si>
    <t>Baatorium Chainmail Cuirass</t>
  </si>
  <si>
    <t>modules/a-knights-dream/Item/equip_armor_chainmail_cuirass_baatorium.webp</t>
  </si>
  <si>
    <t>Baatorium Chainmail Gauntlets</t>
  </si>
  <si>
    <t>modules/a-knights-dream/Item/equip_armor_chainmail_gauntlets_baatorium.webp</t>
  </si>
  <si>
    <t>Baatorium Chainmail Greaves</t>
  </si>
  <si>
    <t>modules/a-knights-dream/Item/equip_armor_chainmail_greaves_baatorium.webp</t>
  </si>
  <si>
    <t>Baatorium Chainmail Helmet</t>
  </si>
  <si>
    <t>modules/a-knights-dream/Item/equip_armor_chainmail_helmet_baatorium.webp</t>
  </si>
  <si>
    <t>Baatorium Chainmail Pauldron</t>
  </si>
  <si>
    <t>modules/a-knights-dream/Item/equip_armor_chainmail_pauldron_baatorium.webp</t>
  </si>
  <si>
    <t>Baatorium Gamberson Cuirass</t>
  </si>
  <si>
    <t>modules/a-knights-dream/Item/equip_armor_gamberson_cuirass_baatorium.webp</t>
  </si>
  <si>
    <t>Baatorium Gamberson Gauntlets</t>
  </si>
  <si>
    <t>modules/a-knights-dream/Item/equip_armor_gamberson_gauntlets_baatorium.webp</t>
  </si>
  <si>
    <t>Baatorium Gamberson Greaves</t>
  </si>
  <si>
    <t>modules/a-knights-dream/Item/equip_armor_gamberson_greaves_baatorium.webp</t>
  </si>
  <si>
    <t>Baatorium Gamberson Helmet</t>
  </si>
  <si>
    <t>modules/a-knights-dream/Item/equip_armor_gamberson_helmet_baatorium.webp</t>
  </si>
  <si>
    <t>Baatorium Gamberson Pauldron</t>
  </si>
  <si>
    <t>modules/a-knights-dream/Item/equip_armor_gamberson_pauldron_baatorium.webp</t>
  </si>
  <si>
    <t>Baatorium Hauberk Cuirass</t>
  </si>
  <si>
    <t>modules/a-knights-dream/Item/equip_armor_hauberk_cuirass_baatorium.webp</t>
  </si>
  <si>
    <t>Baatorium Hauberk Gauntlets</t>
  </si>
  <si>
    <t>modules/a-knights-dream/Item/equip_armor_hauberk_gauntlets_baatorium.webp</t>
  </si>
  <si>
    <t>Baatorium Hauberk Greaves</t>
  </si>
  <si>
    <t>modules/a-knights-dream/Item/equip_armor_hauberk_greaves_baatorium.webp</t>
  </si>
  <si>
    <t>Baatorium Hauberk Helmet</t>
  </si>
  <si>
    <t>modules/a-knights-dream/Item/equip_armor_hauberk_helmet_baatorium.webp</t>
  </si>
  <si>
    <t>Baatorium Hauberk Pauldron</t>
  </si>
  <si>
    <t>modules/a-knights-dream/Item/equip_armor_hauberk_pauldron_baatorium.webp</t>
  </si>
  <si>
    <t>Baatorium Jack Cuirass</t>
  </si>
  <si>
    <t>modules/a-knights-dream/Item/equip_armor_jack_cuirass_baatorium.webp</t>
  </si>
  <si>
    <t>Baatorium Jack Gauntlets</t>
  </si>
  <si>
    <t>modules/a-knights-dream/Item/equip_armor_jack_gauntlets_baatorium.webp</t>
  </si>
  <si>
    <t>Baatorium Jack Greaves</t>
  </si>
  <si>
    <t>modules/a-knights-dream/Item/equip_armor_jack_greaves_baatorium.webp</t>
  </si>
  <si>
    <t>Baatorium Jack Helmet</t>
  </si>
  <si>
    <t>modules/a-knights-dream/Item/equip_armor_jack_helmet_baatorium.webp</t>
  </si>
  <si>
    <t>Baatorium Jack Pauldron</t>
  </si>
  <si>
    <t>modules/a-knights-dream/Item/equip_armor_jack_pauldron_baatorium.webp</t>
  </si>
  <si>
    <t>Baatorium Lamellar Cuirass</t>
  </si>
  <si>
    <t>modules/a-knights-dream/Item/equip_armor_lamellar_cuirass_baatorium.webp</t>
  </si>
  <si>
    <t>Baatorium Lamellar Gauntlets</t>
  </si>
  <si>
    <t>modules/a-knights-dream/Item/equip_armor_lamellar_gauntlets_baatorium.webp</t>
  </si>
  <si>
    <t>Baatorium Lamellar Greaves</t>
  </si>
  <si>
    <t>modules/a-knights-dream/Item/equip_armor_lamellar_greaves_baatorium.webp</t>
  </si>
  <si>
    <t>Baatorium Lamellar Helmet</t>
  </si>
  <si>
    <t>modules/a-knights-dream/Item/equip_armor_lamellar_helmet_baatorium.webp</t>
  </si>
  <si>
    <t>Baatorium Lamellar Pauldron</t>
  </si>
  <si>
    <t>modules/a-knights-dream/Item/equip_armor_lamellar_pauldron_baatorium.webp</t>
  </si>
  <si>
    <t>Baatorium Platemail Cuirass</t>
  </si>
  <si>
    <t>modules/a-knights-dream/Item/equip_armor_platemail_cuirass_baatorium.webp</t>
  </si>
  <si>
    <t>Baatorium Platemail Gauntlets</t>
  </si>
  <si>
    <t>modules/a-knights-dream/Item/equip_armor_platemail_gauntlets_baatorium.webp</t>
  </si>
  <si>
    <t>Baatorium Platemail Greaves</t>
  </si>
  <si>
    <t>modules/a-knights-dream/Item/equip_armor_platemail_greaves_baatorium.webp</t>
  </si>
  <si>
    <t>Baatorium Platemail Helmet</t>
  </si>
  <si>
    <t>modules/a-knights-dream/Item/equip_armor_platemail_helmet_baatorium.webp</t>
  </si>
  <si>
    <t>Baatorium Platemail Pauldron</t>
  </si>
  <si>
    <t>modules/a-knights-dream/Item/equip_armor_platemail_pauldron_baatorium.webp</t>
  </si>
  <si>
    <t>Baatorium Tunic Cuirass</t>
  </si>
  <si>
    <t>modules/a-knights-dream/Item/equip_armor_tunic_cuirass_baatorium.webp</t>
  </si>
  <si>
    <t>Baatorium Tunic Gauntlets</t>
  </si>
  <si>
    <t>modules/a-knights-dream/Item/equip_armor_tunic_gauntlets_baatorium.webp</t>
  </si>
  <si>
    <t>Baatorium Tunic Greaves</t>
  </si>
  <si>
    <t>modules/a-knights-dream/Item/equip_armor_tunic_greaves_baatorium.webp</t>
  </si>
  <si>
    <t>Baatorium Tunic Helmet</t>
  </si>
  <si>
    <t>modules/a-knights-dream/Item/equip_armor_tunic_helmet_baatorium.webp</t>
  </si>
  <si>
    <t>Baatorium Tunic Pauldron</t>
  </si>
  <si>
    <t>modules/a-knights-dream/Item/equip_armor_tunic_pauldron_baatorium.webp</t>
  </si>
  <si>
    <t>Baatorium Buckler Shield</t>
  </si>
  <si>
    <t>modules/a-knights-dream/Item/equip_armor_shield_buckler_baatorium.webp</t>
  </si>
  <si>
    <t>Baatorium Heater Shield</t>
  </si>
  <si>
    <t>modules/a-knights-dream/Item/equip_armor_shield_heater_baatorium.webp</t>
  </si>
  <si>
    <t>Baatorium Kite Shield</t>
  </si>
  <si>
    <t>modules/a-knights-dream/Item/equip_armor_shield_kite_baatorium.webp</t>
  </si>
  <si>
    <t>Baatorium Oval Shield</t>
  </si>
  <si>
    <t>modules/a-knights-dream/Item/equip_armor_shield_oval_baatorium.webp</t>
  </si>
  <si>
    <t>Baatorium Round Shield</t>
  </si>
  <si>
    <t>modules/a-knights-dream/Item/equip_armor_shield_round_baatorium.webp</t>
  </si>
  <si>
    <t>Baatorium Tower Shield</t>
  </si>
  <si>
    <t>modules/a-knights-dream/Item/equip_armor_shield_tower_baatorium.webp</t>
  </si>
  <si>
    <t>Bronze</t>
  </si>
  <si>
    <t>Bronze Ball Bearings</t>
  </si>
  <si>
    <t>modules/a-knights-dream/Item/equip_weapon_bearings_bronze.webp</t>
  </si>
  <si>
    <t>Bronze Bardiche</t>
  </si>
  <si>
    <t>modules/a-knights-dream/Item/equip_weapon_bardiche_bronze.webp</t>
  </si>
  <si>
    <t>Bronze Bastard Sword</t>
  </si>
  <si>
    <t>modules/a-knights-dream/Item/equip_weapon_sword_bastard_bronze.webp</t>
  </si>
  <si>
    <t>Bronze Battle Axe</t>
  </si>
  <si>
    <t>modules/a-knights-dream/Item/equip_weapon_axe_battle_bronze.webp</t>
  </si>
  <si>
    <t>Bronze Blowgun</t>
  </si>
  <si>
    <t>modules/a-knights-dream/Item/equip_weapon_blowgun_bronze.webp</t>
  </si>
  <si>
    <t>Bronze Bolt</t>
  </si>
  <si>
    <t>modules/a-knights-dream/Item/equip_weapon_bolt_bronze.webp</t>
  </si>
  <si>
    <t>Bronze Boomerang</t>
  </si>
  <si>
    <t>modules/a-knights-dream/Item/equip_weapon_boomerang_bronze.webp</t>
  </si>
  <si>
    <t>Bronze Bow</t>
  </si>
  <si>
    <t>modules/a-knights-dream/Item/equip_weapon_bow_bronze.webp</t>
  </si>
  <si>
    <t>Bronze Caltrops</t>
  </si>
  <si>
    <t>modules/a-knights-dream/Item/equip_weapon_caltrops_bronze.webp</t>
  </si>
  <si>
    <t>Bronze Cestus</t>
  </si>
  <si>
    <t>modules/a-knights-dream/Item/equip_weapon_cestus_bronze.webp</t>
  </si>
  <si>
    <t>Bronze Chain</t>
  </si>
  <si>
    <t>modules/a-knights-dream/Item/equip_weapon_chain_bronze.webp</t>
  </si>
  <si>
    <t>Bronze Claymore</t>
  </si>
  <si>
    <t>modules/a-knights-dream/Item/equip_weapon_claymore_bronze.webp</t>
  </si>
  <si>
    <t>Bronze Club</t>
  </si>
  <si>
    <t>modules/a-knights-dream/Item/equip_weapon_club_bronze.webp</t>
  </si>
  <si>
    <t>Bronze Compound Bow</t>
  </si>
  <si>
    <t>modules/a-knights-dream/Item/equip_weapon_bow_compound_bronze.webp</t>
  </si>
  <si>
    <t>Bronze Cutlass</t>
  </si>
  <si>
    <t>modules/a-knights-dream/Item/equip_weapon_cutlass_bronze.webp</t>
  </si>
  <si>
    <t>Bronze Dagger</t>
  </si>
  <si>
    <t>modules/a-knights-dream/Item/equip_weapon_dagger_bronze.webp</t>
  </si>
  <si>
    <t>Bronze Dart</t>
  </si>
  <si>
    <t>modules/a-knights-dream/Item/equip_weapon_dart_bronze.webp</t>
  </si>
  <si>
    <t>Bronze Fauchard Scythe</t>
  </si>
  <si>
    <t>modules/a-knights-dream/Item/equip_weapon_scythe_fauchard_bronze.webp</t>
  </si>
  <si>
    <t>Bronze Flail</t>
  </si>
  <si>
    <t>modules/a-knights-dream/Item/equip_weapon_flail_bronze.webp</t>
  </si>
  <si>
    <t>Bronze Glaive</t>
  </si>
  <si>
    <t>modules/a-knights-dream/Item/equip_weapon_glaive_bronze.webp</t>
  </si>
  <si>
    <t>Bronze Grapple Hook</t>
  </si>
  <si>
    <t>modules/a-knights-dream/Item/equip_weapon_hook_grapple_bronze.webp</t>
  </si>
  <si>
    <t>Bronze Great Axe</t>
  </si>
  <si>
    <t>modules/a-knights-dream/Item/equip_weapon_axe_great_bronze.webp</t>
  </si>
  <si>
    <t>Bronze Great Club</t>
  </si>
  <si>
    <t>modules/a-knights-dream/Item/equip_weapon_club_great_bronze.webp</t>
  </si>
  <si>
    <t>Bronze Great Khyber</t>
  </si>
  <si>
    <t>modules/a-knights-dream/Item/equip_weapon_khyber_great_bronze.webp</t>
  </si>
  <si>
    <t>Bronze Great Konda</t>
  </si>
  <si>
    <t>modules/a-knights-dream/Item/equip_weapon_konda_great_bronze.webp</t>
  </si>
  <si>
    <t>Bronze Great Labrys</t>
  </si>
  <si>
    <t>modules/a-knights-dream/Item/equip_weapon_axe_labrys_great_bronze.webp</t>
  </si>
  <si>
    <t>Bronze Great Mace</t>
  </si>
  <si>
    <t>modules/a-knights-dream/Item/equip_weapon_mace_great_bronze.webp</t>
  </si>
  <si>
    <t>Bronze Great Tapal</t>
  </si>
  <si>
    <t>modules/a-knights-dream/Item/equip_weapon_tapal_great_bronze.webp</t>
  </si>
  <si>
    <t>Bronze Great War Bow</t>
  </si>
  <si>
    <t>modules/a-knights-dream/Item/equip_weapon_bow_war_great_bronze.webp</t>
  </si>
  <si>
    <t>Bronze Great War Hammer</t>
  </si>
  <si>
    <t>modules/a-knights-dream/Item/equip_weapon_hammer_war_great_bronze.webp</t>
  </si>
  <si>
    <t>Bronze Great War Pick</t>
  </si>
  <si>
    <t>modules/a-knights-dream/Item/equip_weapon_pick_war_great_bronze.webp</t>
  </si>
  <si>
    <t>Bronze Guisarme</t>
  </si>
  <si>
    <t>modules/a-knights-dream/Item/equip_weapon_guisarme_bronze.webp</t>
  </si>
  <si>
    <t>Bronze Halberd</t>
  </si>
  <si>
    <t>modules/a-knights-dream/Item/equip_weapon_halberd_bronze.webp</t>
  </si>
  <si>
    <t>Bronze Hand Crossbow</t>
  </si>
  <si>
    <t>modules/a-knights-dream/Item/equip_weapon_crossbow_hand_bronze.webp</t>
  </si>
  <si>
    <t>Bronze Hand axe</t>
  </si>
  <si>
    <t>modules/a-knights-dream/Item/equip_weapon_axe_hand_bronze.webp</t>
  </si>
  <si>
    <t>Bronze Heavy Crossbow</t>
  </si>
  <si>
    <t>modules/a-knights-dream/Item/equip_weapon_crossbow_heavy_bronze.webp</t>
  </si>
  <si>
    <t>Bronze Hunting Trap</t>
  </si>
  <si>
    <t>modules/a-knights-dream/Item/equip_weapon_trap_hunting_bronze.webp</t>
  </si>
  <si>
    <t>Bronze Hunting Trap (Large)</t>
  </si>
  <si>
    <t>modules/a-knights-dream/Item/equip_weapon_trap_hunting_large_bronze.webp</t>
  </si>
  <si>
    <t>Bronze Hunting Trap (Small)</t>
  </si>
  <si>
    <t>modules/a-knights-dream/Item/equip_weapon_trap_hunting_small_bronze.webp</t>
  </si>
  <si>
    <t>Bronze Javelin</t>
  </si>
  <si>
    <t>modules/a-knights-dream/Item/equip_weapon_javelin_bronze.webp</t>
  </si>
  <si>
    <t>Bronze Khpesh</t>
  </si>
  <si>
    <t>modules/a-knights-dream/Item/equip_weapon_khpesh_bronze.webp</t>
  </si>
  <si>
    <t>Bronze Khyber</t>
  </si>
  <si>
    <t>modules/a-knights-dream/Item/equip_weapon_khyber_bronze.webp</t>
  </si>
  <si>
    <t>Bronze Konda</t>
  </si>
  <si>
    <t>modules/a-knights-dream/Item/equip_weapon_konda_bronze.webp</t>
  </si>
  <si>
    <t>Bronze Labrys</t>
  </si>
  <si>
    <t>modules/a-knights-dream/Item/equip_weapon_axe_labrys_bronze.webp</t>
  </si>
  <si>
    <t>Bronze Lance</t>
  </si>
  <si>
    <t>modules/a-knights-dream/Item/equip_weapon_lance_bronze.webp</t>
  </si>
  <si>
    <t>Bronze Light Crossbow</t>
  </si>
  <si>
    <t>modules/a-knights-dream/Item/equip_weapon_crossbow_light_bronze.webp</t>
  </si>
  <si>
    <t>Bronze Long Bow</t>
  </si>
  <si>
    <t>modules/a-knights-dream/Item/equip_weapon_bow_long_bronze.webp</t>
  </si>
  <si>
    <t>Bronze Long Spear</t>
  </si>
  <si>
    <t>modules/a-knights-dream/Item/equip_weapon_spear_long_bronze.webp</t>
  </si>
  <si>
    <t>Bronze Lucerince Hammer</t>
  </si>
  <si>
    <t>modules/a-knights-dream/Item/equip_weapon_hammer_lucerince_bronze.webp</t>
  </si>
  <si>
    <t>Bronze Mace</t>
  </si>
  <si>
    <t>modules/a-knights-dream/Item/equip_weapon_mace_bronze.webp</t>
  </si>
  <si>
    <t>Bronze Morningstar</t>
  </si>
  <si>
    <t>modules/a-knights-dream/Item/equip_weapon_morningstar_bronze.webp</t>
  </si>
  <si>
    <t>Bronze Pike</t>
  </si>
  <si>
    <t>modules/a-knights-dream/Item/equip_weapon_pike_bronze.webp</t>
  </si>
  <si>
    <t>Bronze Quarter Staff</t>
  </si>
  <si>
    <t>modules/a-knights-dream/Item/equip_weapon_staff_quarter_bronze.webp</t>
  </si>
  <si>
    <t>Bronze Ranseur</t>
  </si>
  <si>
    <t>modules/a-knights-dream/Item/equip_weapon_ranseur_bronze.webp</t>
  </si>
  <si>
    <t>Bronze Rapier</t>
  </si>
  <si>
    <t>modules/a-knights-dream/Item/equip_weapon_rapier_bronze.webp</t>
  </si>
  <si>
    <t>Bronze Recurve Bow</t>
  </si>
  <si>
    <t>modules/a-knights-dream/Item/equip_weapon_bow_recurve_bronze.webp</t>
  </si>
  <si>
    <t>Bronze Repeater Crossbow</t>
  </si>
  <si>
    <t>modules/a-knights-dream/Item/equip_weapon_crossbow_repeater_bronze.webp</t>
  </si>
  <si>
    <t>Bronze Sabre</t>
  </si>
  <si>
    <t>modules/a-knights-dream/Item/equip_weapon_sabre_bronze.webp</t>
  </si>
  <si>
    <t>Bronze Scimitar</t>
  </si>
  <si>
    <t>modules/a-knights-dream/Item/equip_weapon_scimitar_bronze.webp</t>
  </si>
  <si>
    <t>Bronze Scythe</t>
  </si>
  <si>
    <t>modules/a-knights-dream/Item/equip_weapon_scythe_bronze.webp</t>
  </si>
  <si>
    <t>Bronze Short Bow</t>
  </si>
  <si>
    <t>modules/a-knights-dream/Item/equip_weapon_bow_short_bronze.webp</t>
  </si>
  <si>
    <t>Bronze Short Spear</t>
  </si>
  <si>
    <t>modules/a-knights-dream/Item/equip_weapon_spear_short_bronze.webp</t>
  </si>
  <si>
    <t>Bronze Short Sword</t>
  </si>
  <si>
    <t>modules/a-knights-dream/Item/equip_weapon_sword_short_bronze.webp</t>
  </si>
  <si>
    <t>Bronze Shotel</t>
  </si>
  <si>
    <t>modules/a-knights-dream/Item/equip_weapon_shotel_bronze.webp</t>
  </si>
  <si>
    <t>Bronze Sickle</t>
  </si>
  <si>
    <t>modules/a-knights-dream/Item/equip_weapon_sickle_bronze.webp</t>
  </si>
  <si>
    <t>Bronze Sling</t>
  </si>
  <si>
    <t>modules/a-knights-dream/Item/equip_weapon_sling_bronze.webp</t>
  </si>
  <si>
    <t>Bronze Staff</t>
  </si>
  <si>
    <t>modules/a-knights-dream/Item/equip_weapon_staff_bronze.webp</t>
  </si>
  <si>
    <t>Bronze Staff Sling</t>
  </si>
  <si>
    <t>modules/a-knights-dream/Item/equip_weapon_sling_staff_bronze.webp</t>
  </si>
  <si>
    <t>Bronze Sword</t>
  </si>
  <si>
    <t>modules/a-knights-dream/Item/equip_weapon_sword_bronze.webp</t>
  </si>
  <si>
    <t>Bronze Tapal</t>
  </si>
  <si>
    <t>modules/a-knights-dream/Item/equip_weapon_tapal_bronze.webp</t>
  </si>
  <si>
    <t>Bronze Trident</t>
  </si>
  <si>
    <t>modules/a-knights-dream/Item/equip_weapon_trident_bronze.webp</t>
  </si>
  <si>
    <t>Bronze War Hammer</t>
  </si>
  <si>
    <t>modules/a-knights-dream/Item/equip_weapon_hammer_war_bronze.webp</t>
  </si>
  <si>
    <t>Bronze War Pick</t>
  </si>
  <si>
    <t>modules/a-knights-dream/Item/equip_weapon_pick_war_bronze.webp</t>
  </si>
  <si>
    <t>Bronze Brigantine Cuirass</t>
  </si>
  <si>
    <t>modules/a-knights-dream/Item/equip_armor_brigantine_cuirass_bronze.webp</t>
  </si>
  <si>
    <t>Bronze Brigantine Gauntlets</t>
  </si>
  <si>
    <t>modules/a-knights-dream/Item/equip_armor_brigantine_gauntlets_bronze.webp</t>
  </si>
  <si>
    <t>Bronze Brigantine Greaves</t>
  </si>
  <si>
    <t>modules/a-knights-dream/Item/equip_armor_brigantine_greaves_bronze.webp</t>
  </si>
  <si>
    <t>Bronze Brigantine Helmet</t>
  </si>
  <si>
    <t>modules/a-knights-dream/Item/equip_armor_brigantine_helmet_bronze.webp</t>
  </si>
  <si>
    <t>Bronze Brigantine Pauldron</t>
  </si>
  <si>
    <t>modules/a-knights-dream/Item/equip_armor_brigantine_pauldron_bronze.webp</t>
  </si>
  <si>
    <t>Bronze Chainmail Cuirass</t>
  </si>
  <si>
    <t>modules/a-knights-dream/Item/equip_armor_chainmail_cuirass_bronze.webp</t>
  </si>
  <si>
    <t>Bronze Chainmail Gauntlets</t>
  </si>
  <si>
    <t>modules/a-knights-dream/Item/equip_armor_chainmail_gauntlets_bronze.webp</t>
  </si>
  <si>
    <t>Bronze Chainmail Greaves</t>
  </si>
  <si>
    <t>modules/a-knights-dream/Item/equip_armor_chainmail_greaves_bronze.webp</t>
  </si>
  <si>
    <t>Bronze Chainmail Helmet</t>
  </si>
  <si>
    <t>modules/a-knights-dream/Item/equip_armor_chainmail_helmet_bronze.webp</t>
  </si>
  <si>
    <t>Bronze Chainmail Pauldron</t>
  </si>
  <si>
    <t>modules/a-knights-dream/Item/equip_armor_chainmail_pauldron_bronze.webp</t>
  </si>
  <si>
    <t>Bronze Gamberson Cuirass</t>
  </si>
  <si>
    <t>modules/a-knights-dream/Item/equip_armor_gamberson_cuirass_bronze.webp</t>
  </si>
  <si>
    <t>Bronze Gamberson Gauntlets</t>
  </si>
  <si>
    <t>modules/a-knights-dream/Item/equip_armor_gamberson_gauntlets_bronze.webp</t>
  </si>
  <si>
    <t>Bronze Gamberson Greaves</t>
  </si>
  <si>
    <t>modules/a-knights-dream/Item/equip_armor_gamberson_greaves_bronze.webp</t>
  </si>
  <si>
    <t>Bronze Gamberson Helmet</t>
  </si>
  <si>
    <t>modules/a-knights-dream/Item/equip_armor_gamberson_helmet_bronze.webp</t>
  </si>
  <si>
    <t>Bronze Gamberson Pauldron</t>
  </si>
  <si>
    <t>modules/a-knights-dream/Item/equip_armor_gamberson_pauldron_bronze.webp</t>
  </si>
  <si>
    <t>Bronze Hauberk Cuirass</t>
  </si>
  <si>
    <t>modules/a-knights-dream/Item/equip_armor_hauberk_cuirass_bronze.webp</t>
  </si>
  <si>
    <t>Bronze Hauberk Gauntlets</t>
  </si>
  <si>
    <t>modules/a-knights-dream/Item/equip_armor_hauberk_gauntlets_bronze.webp</t>
  </si>
  <si>
    <t>Bronze Hauberk Greaves</t>
  </si>
  <si>
    <t>modules/a-knights-dream/Item/equip_armor_hauberk_greaves_bronze.webp</t>
  </si>
  <si>
    <t>Bronze Hauberk Helmet</t>
  </si>
  <si>
    <t>modules/a-knights-dream/Item/equip_armor_hauberk_helmet_bronze.webp</t>
  </si>
  <si>
    <t>Bronze Hauberk Pauldron</t>
  </si>
  <si>
    <t>modules/a-knights-dream/Item/equip_armor_hauberk_pauldron_bronze.webp</t>
  </si>
  <si>
    <t>Bronze Jack Cuirass</t>
  </si>
  <si>
    <t>modules/a-knights-dream/Item/equip_armor_jack_cuirass_bronze.webp</t>
  </si>
  <si>
    <t>Bronze Jack Gauntlets</t>
  </si>
  <si>
    <t>modules/a-knights-dream/Item/equip_armor_jack_gauntlets_bronze.webp</t>
  </si>
  <si>
    <t>Bronze Jack Greaves</t>
  </si>
  <si>
    <t>modules/a-knights-dream/Item/equip_armor_jack_greaves_bronze.webp</t>
  </si>
  <si>
    <t>Bronze Jack Helmet</t>
  </si>
  <si>
    <t>modules/a-knights-dream/Item/equip_armor_jack_helmet_bronze.webp</t>
  </si>
  <si>
    <t>Bronze Jack Pauldron</t>
  </si>
  <si>
    <t>modules/a-knights-dream/Item/equip_armor_jack_pauldron_bronze.webp</t>
  </si>
  <si>
    <t>Bronze Lamellar Cuirass</t>
  </si>
  <si>
    <t>modules/a-knights-dream/Item/equip_armor_lamellar_cuirass_bronze.webp</t>
  </si>
  <si>
    <t>Bronze Lamellar Gauntlets</t>
  </si>
  <si>
    <t>modules/a-knights-dream/Item/equip_armor_lamellar_gauntlets_bronze.webp</t>
  </si>
  <si>
    <t>Bronze Lamellar Greaves</t>
  </si>
  <si>
    <t>modules/a-knights-dream/Item/equip_armor_lamellar_greaves_bronze.webp</t>
  </si>
  <si>
    <t>Bronze Lamellar Helmet</t>
  </si>
  <si>
    <t>modules/a-knights-dream/Item/equip_armor_lamellar_helmet_bronze.webp</t>
  </si>
  <si>
    <t>Bronze Lamellar Pauldron</t>
  </si>
  <si>
    <t>modules/a-knights-dream/Item/equip_armor_lamellar_pauldron_bronze.webp</t>
  </si>
  <si>
    <t>Bronze Platemail Cuirass</t>
  </si>
  <si>
    <t>modules/a-knights-dream/Item/equip_armor_platemail_cuirass_bronze.webp</t>
  </si>
  <si>
    <t>Bronze Platemail Gauntlets</t>
  </si>
  <si>
    <t>modules/a-knights-dream/Item/equip_armor_platemail_gauntlets_bronze.webp</t>
  </si>
  <si>
    <t>Bronze Platemail Greaves</t>
  </si>
  <si>
    <t>modules/a-knights-dream/Item/equip_armor_platemail_greaves_bronze.webp</t>
  </si>
  <si>
    <t>Bronze Platemail Helmet</t>
  </si>
  <si>
    <t>modules/a-knights-dream/Item/equip_armor_platemail_helmet_bronze.webp</t>
  </si>
  <si>
    <t>Bronze Platemail Pauldron</t>
  </si>
  <si>
    <t>modules/a-knights-dream/Item/equip_armor_platemail_pauldron_bronze.webp</t>
  </si>
  <si>
    <t>Bronze Tunic Cuirass</t>
  </si>
  <si>
    <t>modules/a-knights-dream/Item/equip_armor_tunic_cuirass_bronze.webp</t>
  </si>
  <si>
    <t>Bronze Tunic Gauntlets</t>
  </si>
  <si>
    <t>modules/a-knights-dream/Item/equip_armor_tunic_gauntlets_bronze.webp</t>
  </si>
  <si>
    <t>Bronze Tunic Greaves</t>
  </si>
  <si>
    <t>modules/a-knights-dream/Item/equip_armor_tunic_greaves_bronze.webp</t>
  </si>
  <si>
    <t>Bronze Tunic Helmet</t>
  </si>
  <si>
    <t>modules/a-knights-dream/Item/equip_armor_tunic_helmet_bronze.webp</t>
  </si>
  <si>
    <t>Bronze Tunic Pauldron</t>
  </si>
  <si>
    <t>modules/a-knights-dream/Item/equip_armor_tunic_pauldron_bronze.webp</t>
  </si>
  <si>
    <t>Bronze Buckler Shield</t>
  </si>
  <si>
    <t>modules/a-knights-dream/Item/equip_armor_shield_buckler_bronze.webp</t>
  </si>
  <si>
    <t>Bronze Heater Shield</t>
  </si>
  <si>
    <t>modules/a-knights-dream/Item/equip_armor_shield_heater_bronze.webp</t>
  </si>
  <si>
    <t>Bronze Kite Shield</t>
  </si>
  <si>
    <t>modules/a-knights-dream/Item/equip_armor_shield_kite_bronze.webp</t>
  </si>
  <si>
    <t>Bronze Oval Shield</t>
  </si>
  <si>
    <t>modules/a-knights-dream/Item/equip_armor_shield_oval_bronze.webp</t>
  </si>
  <si>
    <t>Bronze Round Shield</t>
  </si>
  <si>
    <t>modules/a-knights-dream/Item/equip_armor_shield_round_bronze.webp</t>
  </si>
  <si>
    <t>Bronze Tower Shield</t>
  </si>
  <si>
    <t>modules/a-knights-dream/Item/equip_armor_shield_tower_bronze.webp</t>
  </si>
  <si>
    <t>Cinnabryl</t>
  </si>
  <si>
    <t>Cinnabryl Ball Bearings</t>
  </si>
  <si>
    <t>modules/a-knights-dream/Item/equip_weapon_bearings_cinnabryl.webp</t>
  </si>
  <si>
    <t>Cinnabryl Bardiche</t>
  </si>
  <si>
    <t>modules/a-knights-dream/Item/equip_weapon_bardiche_cinnabryl.webp</t>
  </si>
  <si>
    <t>Cinnabryl Bastard Sword</t>
  </si>
  <si>
    <t>modules/a-knights-dream/Item/equip_weapon_sword_bastard_cinnabryl.webp</t>
  </si>
  <si>
    <t>Cinnabryl Battle Axe</t>
  </si>
  <si>
    <t>modules/a-knights-dream/Item/equip_weapon_axe_battle_cinnabryl.webp</t>
  </si>
  <si>
    <t>Cinnabryl Blowgun</t>
  </si>
  <si>
    <t>modules/a-knights-dream/Item/equip_weapon_blowgun_cinnabryl.webp</t>
  </si>
  <si>
    <t>Cinnabryl Bolt</t>
  </si>
  <si>
    <t>modules/a-knights-dream/Item/equip_weapon_bolt_cinnabryl.webp</t>
  </si>
  <si>
    <t>Cinnabryl Boomerang</t>
  </si>
  <si>
    <t>modules/a-knights-dream/Item/equip_weapon_boomerang_cinnabryl.webp</t>
  </si>
  <si>
    <t>Cinnabryl Bow</t>
  </si>
  <si>
    <t>modules/a-knights-dream/Item/equip_weapon_bow_cinnabryl.webp</t>
  </si>
  <si>
    <t>Cinnabryl Caltrops</t>
  </si>
  <si>
    <t>modules/a-knights-dream/Item/equip_weapon_caltrops_cinnabryl.webp</t>
  </si>
  <si>
    <t>Cinnabryl Cestus</t>
  </si>
  <si>
    <t>modules/a-knights-dream/Item/equip_weapon_cestus_cinnabryl.webp</t>
  </si>
  <si>
    <t>Cinnabryl Chain</t>
  </si>
  <si>
    <t>modules/a-knights-dream/Item/equip_weapon_chain_cinnabryl.webp</t>
  </si>
  <si>
    <t>Cinnabryl Claymore</t>
  </si>
  <si>
    <t>modules/a-knights-dream/Item/equip_weapon_claymore_cinnabryl.webp</t>
  </si>
  <si>
    <t>Cinnabryl Club</t>
  </si>
  <si>
    <t>modules/a-knights-dream/Item/equip_weapon_club_cinnabryl.webp</t>
  </si>
  <si>
    <t>Cinnabryl Compound Bow</t>
  </si>
  <si>
    <t>modules/a-knights-dream/Item/equip_weapon_bow_compound_cinnabryl.webp</t>
  </si>
  <si>
    <t>Cinnabryl Cutlass</t>
  </si>
  <si>
    <t>modules/a-knights-dream/Item/equip_weapon_cutlass_cinnabryl.webp</t>
  </si>
  <si>
    <t>Cinnabryl Dagger</t>
  </si>
  <si>
    <t>modules/a-knights-dream/Item/equip_weapon_dagger_cinnabryl.webp</t>
  </si>
  <si>
    <t>Cinnabryl Dart</t>
  </si>
  <si>
    <t>modules/a-knights-dream/Item/equip_weapon_dart_cinnabryl.webp</t>
  </si>
  <si>
    <t>Cinnabryl Fauchard Scythe</t>
  </si>
  <si>
    <t>modules/a-knights-dream/Item/equip_weapon_scythe_fauchard_cinnabryl.webp</t>
  </si>
  <si>
    <t>Cinnabryl Flail</t>
  </si>
  <si>
    <t>modules/a-knights-dream/Item/equip_weapon_flail_cinnabryl.webp</t>
  </si>
  <si>
    <t>Cinnabryl Glaive</t>
  </si>
  <si>
    <t>modules/a-knights-dream/Item/equip_weapon_glaive_cinnabryl.webp</t>
  </si>
  <si>
    <t>Cinnabryl Grapple Hook</t>
  </si>
  <si>
    <t>modules/a-knights-dream/Item/equip_weapon_hook_grapple_cinnabryl.webp</t>
  </si>
  <si>
    <t>Cinnabryl Great Axe</t>
  </si>
  <si>
    <t>modules/a-knights-dream/Item/equip_weapon_axe_great_cinnabryl.webp</t>
  </si>
  <si>
    <t>Cinnabryl Great Club</t>
  </si>
  <si>
    <t>modules/a-knights-dream/Item/equip_weapon_club_great_cinnabryl.webp</t>
  </si>
  <si>
    <t>Cinnabryl Great Khyber</t>
  </si>
  <si>
    <t>modules/a-knights-dream/Item/equip_weapon_khyber_great_cinnabryl.webp</t>
  </si>
  <si>
    <t>Cinnabryl Great Konda</t>
  </si>
  <si>
    <t>modules/a-knights-dream/Item/equip_weapon_konda_great_cinnabryl.webp</t>
  </si>
  <si>
    <t>Cinnabryl Great Labrys</t>
  </si>
  <si>
    <t>modules/a-knights-dream/Item/equip_weapon_axe_labrys_great_cinnabryl.webp</t>
  </si>
  <si>
    <t>Cinnabryl Great Mace</t>
  </si>
  <si>
    <t>modules/a-knights-dream/Item/equip_weapon_mace_great_cinnabryl.webp</t>
  </si>
  <si>
    <t>Cinnabryl Great Tapal</t>
  </si>
  <si>
    <t>modules/a-knights-dream/Item/equip_weapon_tapal_great_cinnabryl.webp</t>
  </si>
  <si>
    <t>Cinnabryl Great War Bow</t>
  </si>
  <si>
    <t>modules/a-knights-dream/Item/equip_weapon_bow_war_great_cinnabryl.webp</t>
  </si>
  <si>
    <t>Cinnabryl Great War Hammer</t>
  </si>
  <si>
    <t>modules/a-knights-dream/Item/equip_weapon_hammer_war_great_cinnabryl.webp</t>
  </si>
  <si>
    <t>Cinnabryl Great War Pick</t>
  </si>
  <si>
    <t>modules/a-knights-dream/Item/equip_weapon_pick_war_great_cinnabryl.webp</t>
  </si>
  <si>
    <t>Cinnabryl Guisarme</t>
  </si>
  <si>
    <t>modules/a-knights-dream/Item/equip_weapon_guisarme_cinnabryl.webp</t>
  </si>
  <si>
    <t>Cinnabryl Halberd</t>
  </si>
  <si>
    <t>modules/a-knights-dream/Item/equip_weapon_halberd_cinnabryl.webp</t>
  </si>
  <si>
    <t>Cinnabryl Hand Crossbow</t>
  </si>
  <si>
    <t>modules/a-knights-dream/Item/equip_weapon_crossbow_hand_cinnabryl.webp</t>
  </si>
  <si>
    <t>Cinnabryl Hand axe</t>
  </si>
  <si>
    <t>modules/a-knights-dream/Item/equip_weapon_axe_hand_cinnabryl.webp</t>
  </si>
  <si>
    <t>Cinnabryl Heavy Crossbow</t>
  </si>
  <si>
    <t>modules/a-knights-dream/Item/equip_weapon_crossbow_heavy_cinnabryl.webp</t>
  </si>
  <si>
    <t>Cinnabryl Hunting Trap</t>
  </si>
  <si>
    <t>modules/a-knights-dream/Item/equip_weapon_trap_hunting_cinnabryl.webp</t>
  </si>
  <si>
    <t>Cinnabryl Hunting Trap (Large)</t>
  </si>
  <si>
    <t>modules/a-knights-dream/Item/equip_weapon_trap_hunting_large_cinnabryl.webp</t>
  </si>
  <si>
    <t>Cinnabryl Hunting Trap (Small)</t>
  </si>
  <si>
    <t>modules/a-knights-dream/Item/equip_weapon_trap_hunting_small_cinnabryl.webp</t>
  </si>
  <si>
    <t>Cinnabryl Javelin</t>
  </si>
  <si>
    <t>modules/a-knights-dream/Item/equip_weapon_javelin_cinnabryl.webp</t>
  </si>
  <si>
    <t>Cinnabryl Khpesh</t>
  </si>
  <si>
    <t>modules/a-knights-dream/Item/equip_weapon_khpesh_cinnabryl.webp</t>
  </si>
  <si>
    <t>Cinnabryl Khyber</t>
  </si>
  <si>
    <t>modules/a-knights-dream/Item/equip_weapon_khyber_cinnabryl.webp</t>
  </si>
  <si>
    <t>Cinnabryl Konda</t>
  </si>
  <si>
    <t>modules/a-knights-dream/Item/equip_weapon_konda_cinnabryl.webp</t>
  </si>
  <si>
    <t>Cinnabryl Labrys</t>
  </si>
  <si>
    <t>modules/a-knights-dream/Item/equip_weapon_axe_labrys_cinnabryl.webp</t>
  </si>
  <si>
    <t>Cinnabryl Lance</t>
  </si>
  <si>
    <t>modules/a-knights-dream/Item/equip_weapon_lance_cinnabryl.webp</t>
  </si>
  <si>
    <t>Cinnabryl Light Crossbow</t>
  </si>
  <si>
    <t>modules/a-knights-dream/Item/equip_weapon_crossbow_light_cinnabryl.webp</t>
  </si>
  <si>
    <t>Cinnabryl Long Bow</t>
  </si>
  <si>
    <t>modules/a-knights-dream/Item/equip_weapon_bow_long_cinnabryl.webp</t>
  </si>
  <si>
    <t>Cinnabryl Long Spear</t>
  </si>
  <si>
    <t>modules/a-knights-dream/Item/equip_weapon_spear_long_cinnabryl.webp</t>
  </si>
  <si>
    <t>Cinnabryl Lucerince Hammer</t>
  </si>
  <si>
    <t>modules/a-knights-dream/Item/equip_weapon_hammer_lucerince_cinnabryl.webp</t>
  </si>
  <si>
    <t>Cinnabryl Mace</t>
  </si>
  <si>
    <t>modules/a-knights-dream/Item/equip_weapon_mace_cinnabryl.webp</t>
  </si>
  <si>
    <t>Cinnabryl Morningstar</t>
  </si>
  <si>
    <t>modules/a-knights-dream/Item/equip_weapon_morningstar_cinnabryl.webp</t>
  </si>
  <si>
    <t>Cinnabryl Pike</t>
  </si>
  <si>
    <t>modules/a-knights-dream/Item/equip_weapon_pike_cinnabryl.webp</t>
  </si>
  <si>
    <t>Cinnabryl Quarter Staff</t>
  </si>
  <si>
    <t>modules/a-knights-dream/Item/equip_weapon_staff_quarter_cinnabryl.webp</t>
  </si>
  <si>
    <t>Cinnabryl Ranseur</t>
  </si>
  <si>
    <t>modules/a-knights-dream/Item/equip_weapon_ranseur_cinnabryl.webp</t>
  </si>
  <si>
    <t>Cinnabryl Rapier</t>
  </si>
  <si>
    <t>modules/a-knights-dream/Item/equip_weapon_rapier_cinnabryl.webp</t>
  </si>
  <si>
    <t>Cinnabryl Recurve Bow</t>
  </si>
  <si>
    <t>modules/a-knights-dream/Item/equip_weapon_bow_recurve_cinnabryl.webp</t>
  </si>
  <si>
    <t>Cinnabryl Repeater Crossbow</t>
  </si>
  <si>
    <t>modules/a-knights-dream/Item/equip_weapon_crossbow_repeater_cinnabryl.webp</t>
  </si>
  <si>
    <t>Cinnabryl Sabre</t>
  </si>
  <si>
    <t>modules/a-knights-dream/Item/equip_weapon_sabre_cinnabryl.webp</t>
  </si>
  <si>
    <t>Cinnabryl Scimitar</t>
  </si>
  <si>
    <t>modules/a-knights-dream/Item/equip_weapon_scimitar_cinnabryl.webp</t>
  </si>
  <si>
    <t>Cinnabryl Scythe</t>
  </si>
  <si>
    <t>modules/a-knights-dream/Item/equip_weapon_scythe_cinnabryl.webp</t>
  </si>
  <si>
    <t>Cinnabryl Short Bow</t>
  </si>
  <si>
    <t>modules/a-knights-dream/Item/equip_weapon_bow_short_cinnabryl.webp</t>
  </si>
  <si>
    <t>Cinnabryl Short Spear</t>
  </si>
  <si>
    <t>modules/a-knights-dream/Item/equip_weapon_spear_short_cinnabryl.webp</t>
  </si>
  <si>
    <t>Cinnabryl Short Sword</t>
  </si>
  <si>
    <t>modules/a-knights-dream/Item/equip_weapon_sword_short_cinnabryl.webp</t>
  </si>
  <si>
    <t>Cinnabryl Shotel</t>
  </si>
  <si>
    <t>modules/a-knights-dream/Item/equip_weapon_shotel_cinnabryl.webp</t>
  </si>
  <si>
    <t>Cinnabryl Sickle</t>
  </si>
  <si>
    <t>modules/a-knights-dream/Item/equip_weapon_sickle_cinnabryl.webp</t>
  </si>
  <si>
    <t>Cinnabryl Sling</t>
  </si>
  <si>
    <t>modules/a-knights-dream/Item/equip_weapon_sling_cinnabryl.webp</t>
  </si>
  <si>
    <t>Cinnabryl Staff</t>
  </si>
  <si>
    <t>modules/a-knights-dream/Item/equip_weapon_staff_cinnabryl.webp</t>
  </si>
  <si>
    <t>Cinnabryl Staff Sling</t>
  </si>
  <si>
    <t>modules/a-knights-dream/Item/equip_weapon_sling_staff_cinnabryl.webp</t>
  </si>
  <si>
    <t>Cinnabryl Sword</t>
  </si>
  <si>
    <t>modules/a-knights-dream/Item/equip_weapon_sword_cinnabryl.webp</t>
  </si>
  <si>
    <t>Cinnabryl Tapal</t>
  </si>
  <si>
    <t>modules/a-knights-dream/Item/equip_weapon_tapal_cinnabryl.webp</t>
  </si>
  <si>
    <t>Cinnabryl Trident</t>
  </si>
  <si>
    <t>modules/a-knights-dream/Item/equip_weapon_trident_cinnabryl.webp</t>
  </si>
  <si>
    <t>Cinnabryl War Hammer</t>
  </si>
  <si>
    <t>modules/a-knights-dream/Item/equip_weapon_hammer_war_cinnabryl.webp</t>
  </si>
  <si>
    <t>Cinnabryl War Pick</t>
  </si>
  <si>
    <t>modules/a-knights-dream/Item/equip_weapon_pick_war_cinnabryl.webp</t>
  </si>
  <si>
    <t>Cinnabryl Brigantine Cuirass</t>
  </si>
  <si>
    <t>modules/a-knights-dream/Item/equip_armor_brigantine_cuirass_cinnabryl.webp</t>
  </si>
  <si>
    <t>Cinnabryl Brigantine Gauntlets</t>
  </si>
  <si>
    <t>modules/a-knights-dream/Item/equip_armor_brigantine_gauntlets_cinnabryl.webp</t>
  </si>
  <si>
    <t>Cinnabryl Brigantine Greaves</t>
  </si>
  <si>
    <t>modules/a-knights-dream/Item/equip_armor_brigantine_greaves_cinnabryl.webp</t>
  </si>
  <si>
    <t>Cinnabryl Brigantine Helmet</t>
  </si>
  <si>
    <t>modules/a-knights-dream/Item/equip_armor_brigantine_helmet_cinnabryl.webp</t>
  </si>
  <si>
    <t>Cinnabryl Brigantine Pauldron</t>
  </si>
  <si>
    <t>modules/a-knights-dream/Item/equip_armor_brigantine_pauldron_cinnabryl.webp</t>
  </si>
  <si>
    <t>Cinnabryl Chainmail Cuirass</t>
  </si>
  <si>
    <t>modules/a-knights-dream/Item/equip_armor_chainmail_cuirass_cinnabryl.webp</t>
  </si>
  <si>
    <t>Cinnabryl Chainmail Gauntlets</t>
  </si>
  <si>
    <t>modules/a-knights-dream/Item/equip_armor_chainmail_gauntlets_cinnabryl.webp</t>
  </si>
  <si>
    <t>Cinnabryl Chainmail Greaves</t>
  </si>
  <si>
    <t>modules/a-knights-dream/Item/equip_armor_chainmail_greaves_cinnabryl.webp</t>
  </si>
  <si>
    <t>Cinnabryl Chainmail Helmet</t>
  </si>
  <si>
    <t>modules/a-knights-dream/Item/equip_armor_chainmail_helmet_cinnabryl.webp</t>
  </si>
  <si>
    <t>Cinnabryl Chainmail Pauldron</t>
  </si>
  <si>
    <t>modules/a-knights-dream/Item/equip_armor_chainmail_pauldron_cinnabryl.webp</t>
  </si>
  <si>
    <t>Cinnabryl Gamberson Cuirass</t>
  </si>
  <si>
    <t>modules/a-knights-dream/Item/equip_armor_gamberson_cuirass_cinnabryl.webp</t>
  </si>
  <si>
    <t>Cinnabryl Gamberson Gauntlets</t>
  </si>
  <si>
    <t>modules/a-knights-dream/Item/equip_armor_gamberson_gauntlets_cinnabryl.webp</t>
  </si>
  <si>
    <t>Cinnabryl Gamberson Greaves</t>
  </si>
  <si>
    <t>modules/a-knights-dream/Item/equip_armor_gamberson_greaves_cinnabryl.webp</t>
  </si>
  <si>
    <t>Cinnabryl Gamberson Helmet</t>
  </si>
  <si>
    <t>modules/a-knights-dream/Item/equip_armor_gamberson_helmet_cinnabryl.webp</t>
  </si>
  <si>
    <t>Cinnabryl Gamberson Pauldron</t>
  </si>
  <si>
    <t>modules/a-knights-dream/Item/equip_armor_gamberson_pauldron_cinnabryl.webp</t>
  </si>
  <si>
    <t>Cinnabryl Hauberk Cuirass</t>
  </si>
  <si>
    <t>modules/a-knights-dream/Item/equip_armor_hauberk_cuirass_cinnabryl.webp</t>
  </si>
  <si>
    <t>Cinnabryl Hauberk Gauntlets</t>
  </si>
  <si>
    <t>modules/a-knights-dream/Item/equip_armor_hauberk_gauntlets_cinnabryl.webp</t>
  </si>
  <si>
    <t>Cinnabryl Hauberk Greaves</t>
  </si>
  <si>
    <t>modules/a-knights-dream/Item/equip_armor_hauberk_greaves_cinnabryl.webp</t>
  </si>
  <si>
    <t>Cinnabryl Hauberk Helmet</t>
  </si>
  <si>
    <t>modules/a-knights-dream/Item/equip_armor_hauberk_helmet_cinnabryl.webp</t>
  </si>
  <si>
    <t>Cinnabryl Hauberk Pauldron</t>
  </si>
  <si>
    <t>modules/a-knights-dream/Item/equip_armor_hauberk_pauldron_cinnabryl.webp</t>
  </si>
  <si>
    <t>Cinnabryl Jack Cuirass</t>
  </si>
  <si>
    <t>modules/a-knights-dream/Item/equip_armor_jack_cuirass_cinnabryl.webp</t>
  </si>
  <si>
    <t>Cinnabryl Jack Gauntlets</t>
  </si>
  <si>
    <t>modules/a-knights-dream/Item/equip_armor_jack_gauntlets_cinnabryl.webp</t>
  </si>
  <si>
    <t>Cinnabryl Jack Greaves</t>
  </si>
  <si>
    <t>modules/a-knights-dream/Item/equip_armor_jack_greaves_cinnabryl.webp</t>
  </si>
  <si>
    <t>Cinnabryl Jack Helmet</t>
  </si>
  <si>
    <t>modules/a-knights-dream/Item/equip_armor_jack_helmet_cinnabryl.webp</t>
  </si>
  <si>
    <t>Cinnabryl Jack Pauldron</t>
  </si>
  <si>
    <t>modules/a-knights-dream/Item/equip_armor_jack_pauldron_cinnabryl.webp</t>
  </si>
  <si>
    <t>Cinnabryl Lamellar Cuirass</t>
  </si>
  <si>
    <t>modules/a-knights-dream/Item/equip_armor_lamellar_cuirass_cinnabryl.webp</t>
  </si>
  <si>
    <t>Cinnabryl Lamellar Gauntlets</t>
  </si>
  <si>
    <t>modules/a-knights-dream/Item/equip_armor_lamellar_gauntlets_cinnabryl.webp</t>
  </si>
  <si>
    <t>Cinnabryl Lamellar Greaves</t>
  </si>
  <si>
    <t>modules/a-knights-dream/Item/equip_armor_lamellar_greaves_cinnabryl.webp</t>
  </si>
  <si>
    <t>Cinnabryl Lamellar Helmet</t>
  </si>
  <si>
    <t>modules/a-knights-dream/Item/equip_armor_lamellar_helmet_cinnabryl.webp</t>
  </si>
  <si>
    <t>Cinnabryl Lamellar Pauldron</t>
  </si>
  <si>
    <t>modules/a-knights-dream/Item/equip_armor_lamellar_pauldron_cinnabryl.webp</t>
  </si>
  <si>
    <t>Cinnabryl Platemail Cuirass</t>
  </si>
  <si>
    <t>modules/a-knights-dream/Item/equip_armor_platemail_cuirass_cinnabryl.webp</t>
  </si>
  <si>
    <t>Cinnabryl Platemail Gauntlets</t>
  </si>
  <si>
    <t>modules/a-knights-dream/Item/equip_armor_platemail_gauntlets_cinnabryl.webp</t>
  </si>
  <si>
    <t>Cinnabryl Platemail Greaves</t>
  </si>
  <si>
    <t>modules/a-knights-dream/Item/equip_armor_platemail_greaves_cinnabryl.webp</t>
  </si>
  <si>
    <t>Cinnabryl Platemail Helmet</t>
  </si>
  <si>
    <t>modules/a-knights-dream/Item/equip_armor_platemail_helmet_cinnabryl.webp</t>
  </si>
  <si>
    <t>Cinnabryl Platemail Pauldron</t>
  </si>
  <si>
    <t>modules/a-knights-dream/Item/equip_armor_platemail_pauldron_cinnabryl.webp</t>
  </si>
  <si>
    <t>Cinnabryl Tunic Cuirass</t>
  </si>
  <si>
    <t>modules/a-knights-dream/Item/equip_armor_tunic_cuirass_cinnabryl.webp</t>
  </si>
  <si>
    <t>Cinnabryl Tunic Gauntlets</t>
  </si>
  <si>
    <t>modules/a-knights-dream/Item/equip_armor_tunic_gauntlets_cinnabryl.webp</t>
  </si>
  <si>
    <t>Cinnabryl Tunic Greaves</t>
  </si>
  <si>
    <t>modules/a-knights-dream/Item/equip_armor_tunic_greaves_cinnabryl.webp</t>
  </si>
  <si>
    <t>Cinnabryl Tunic Helmet</t>
  </si>
  <si>
    <t>modules/a-knights-dream/Item/equip_armor_tunic_helmet_cinnabryl.webp</t>
  </si>
  <si>
    <t>Cinnabryl Tunic Pauldron</t>
  </si>
  <si>
    <t>modules/a-knights-dream/Item/equip_armor_tunic_pauldron_cinnabryl.webp</t>
  </si>
  <si>
    <t>Cinnabryl Buckler Shield</t>
  </si>
  <si>
    <t>modules/a-knights-dream/Item/equip_armor_shield_buckler_cinnabryl.webp</t>
  </si>
  <si>
    <t>Cinnabryl Heater Shield</t>
  </si>
  <si>
    <t>modules/a-knights-dream/Item/equip_armor_shield_heater_cinnabryl.webp</t>
  </si>
  <si>
    <t>Cinnabryl Kite Shield</t>
  </si>
  <si>
    <t>modules/a-knights-dream/Item/equip_armor_shield_kite_cinnabryl.webp</t>
  </si>
  <si>
    <t>Cinnabryl Oval Shield</t>
  </si>
  <si>
    <t>modules/a-knights-dream/Item/equip_armor_shield_oval_cinnabryl.webp</t>
  </si>
  <si>
    <t>Cinnabryl Round Shield</t>
  </si>
  <si>
    <t>modules/a-knights-dream/Item/equip_armor_shield_round_cinnabryl.webp</t>
  </si>
  <si>
    <t>Cinnabryl Tower Shield</t>
  </si>
  <si>
    <t>modules/a-knights-dream/Item/equip_armor_shield_tower_cinnabryl.webp</t>
  </si>
  <si>
    <t>Copper</t>
  </si>
  <si>
    <t>Copper Ball Bearings</t>
  </si>
  <si>
    <t>modules/a-knights-dream/Item/equip_weapon_bearings_copper.webp</t>
  </si>
  <si>
    <t>Copper Bardiche</t>
  </si>
  <si>
    <t>modules/a-knights-dream/Item/equip_weapon_bardiche_copper.webp</t>
  </si>
  <si>
    <t>Copper Bastard Sword</t>
  </si>
  <si>
    <t>modules/a-knights-dream/Item/equip_weapon_sword_bastard_copper.webp</t>
  </si>
  <si>
    <t>Copper Battle Axe</t>
  </si>
  <si>
    <t>modules/a-knights-dream/Item/equip_weapon_axe_battle_copper.webp</t>
  </si>
  <si>
    <t>Copper Blowgun</t>
  </si>
  <si>
    <t>modules/a-knights-dream/Item/equip_weapon_blowgun_copper.webp</t>
  </si>
  <si>
    <t>Copper Bolt</t>
  </si>
  <si>
    <t>modules/a-knights-dream/Item/equip_weapon_bolt_copper.webp</t>
  </si>
  <si>
    <t>Copper Boomerang</t>
  </si>
  <si>
    <t>modules/a-knights-dream/Item/equip_weapon_boomerang_copper.webp</t>
  </si>
  <si>
    <t>Copper Bow</t>
  </si>
  <si>
    <t>modules/a-knights-dream/Item/equip_weapon_bow_copper.webp</t>
  </si>
  <si>
    <t>Copper Caltrops</t>
  </si>
  <si>
    <t>modules/a-knights-dream/Item/equip_weapon_caltrops_copper.webp</t>
  </si>
  <si>
    <t>Copper Cestus</t>
  </si>
  <si>
    <t>modules/a-knights-dream/Item/equip_weapon_cestus_copper.webp</t>
  </si>
  <si>
    <t>Copper Chain</t>
  </si>
  <si>
    <t>modules/a-knights-dream/Item/equip_weapon_chain_copper.webp</t>
  </si>
  <si>
    <t>Copper Claymore</t>
  </si>
  <si>
    <t>modules/a-knights-dream/Item/equip_weapon_claymore_copper.webp</t>
  </si>
  <si>
    <t>Copper Club</t>
  </si>
  <si>
    <t>modules/a-knights-dream/Item/equip_weapon_club_copper.webp</t>
  </si>
  <si>
    <t>Copper Compound Bow</t>
  </si>
  <si>
    <t>modules/a-knights-dream/Item/equip_weapon_bow_compound_copper.webp</t>
  </si>
  <si>
    <t>Copper Cutlass</t>
  </si>
  <si>
    <t>modules/a-knights-dream/Item/equip_weapon_cutlass_copper.webp</t>
  </si>
  <si>
    <t>Copper Dagger</t>
  </si>
  <si>
    <t>modules/a-knights-dream/Item/equip_weapon_dagger_copper.webp</t>
  </si>
  <si>
    <t>Copper Dart</t>
  </si>
  <si>
    <t>modules/a-knights-dream/Item/equip_weapon_dart_copper.webp</t>
  </si>
  <si>
    <t>Copper Fauchard Scythe</t>
  </si>
  <si>
    <t>modules/a-knights-dream/Item/equip_weapon_scythe_fauchard_copper.webp</t>
  </si>
  <si>
    <t>Copper Flail</t>
  </si>
  <si>
    <t>modules/a-knights-dream/Item/equip_weapon_flail_copper.webp</t>
  </si>
  <si>
    <t>Copper Glaive</t>
  </si>
  <si>
    <t>modules/a-knights-dream/Item/equip_weapon_glaive_copper.webp</t>
  </si>
  <si>
    <t>Copper Grapple Hook</t>
  </si>
  <si>
    <t>modules/a-knights-dream/Item/equip_weapon_hook_grapple_copper.webp</t>
  </si>
  <si>
    <t>Copper Great Axe</t>
  </si>
  <si>
    <t>modules/a-knights-dream/Item/equip_weapon_axe_great_copper.webp</t>
  </si>
  <si>
    <t>Copper Great Club</t>
  </si>
  <si>
    <t>modules/a-knights-dream/Item/equip_weapon_club_great_copper.webp</t>
  </si>
  <si>
    <t>Copper Great Khyber</t>
  </si>
  <si>
    <t>modules/a-knights-dream/Item/equip_weapon_khyber_great_copper.webp</t>
  </si>
  <si>
    <t>Copper Great Konda</t>
  </si>
  <si>
    <t>modules/a-knights-dream/Item/equip_weapon_konda_great_copper.webp</t>
  </si>
  <si>
    <t>Copper Great Labrys</t>
  </si>
  <si>
    <t>modules/a-knights-dream/Item/equip_weapon_axe_labrys_great_copper.webp</t>
  </si>
  <si>
    <t>Copper Great Mace</t>
  </si>
  <si>
    <t>modules/a-knights-dream/Item/equip_weapon_mace_great_copper.webp</t>
  </si>
  <si>
    <t>Copper Great Tapal</t>
  </si>
  <si>
    <t>modules/a-knights-dream/Item/equip_weapon_tapal_great_copper.webp</t>
  </si>
  <si>
    <t>Copper Great War Bow</t>
  </si>
  <si>
    <t>modules/a-knights-dream/Item/equip_weapon_bow_war_great_copper.webp</t>
  </si>
  <si>
    <t>Copper Great War Hammer</t>
  </si>
  <si>
    <t>modules/a-knights-dream/Item/equip_weapon_hammer_war_great_copper.webp</t>
  </si>
  <si>
    <t>Copper Great War Pick</t>
  </si>
  <si>
    <t>modules/a-knights-dream/Item/equip_weapon_pick_war_great_copper.webp</t>
  </si>
  <si>
    <t>Copper Guisarme</t>
  </si>
  <si>
    <t>modules/a-knights-dream/Item/equip_weapon_guisarme_copper.webp</t>
  </si>
  <si>
    <t>Copper Halberd</t>
  </si>
  <si>
    <t>modules/a-knights-dream/Item/equip_weapon_halberd_copper.webp</t>
  </si>
  <si>
    <t>Copper Hand Crossbow</t>
  </si>
  <si>
    <t>modules/a-knights-dream/Item/equip_weapon_crossbow_hand_copper.webp</t>
  </si>
  <si>
    <t>Copper Hand axe</t>
  </si>
  <si>
    <t>modules/a-knights-dream/Item/equip_weapon_axe_hand_copper.webp</t>
  </si>
  <si>
    <t>Copper Heavy Crossbow</t>
  </si>
  <si>
    <t>modules/a-knights-dream/Item/equip_weapon_crossbow_heavy_copper.webp</t>
  </si>
  <si>
    <t>Copper Hunting Trap</t>
  </si>
  <si>
    <t>modules/a-knights-dream/Item/equip_weapon_trap_hunting_copper.webp</t>
  </si>
  <si>
    <t>Copper Hunting Trap (Large)</t>
  </si>
  <si>
    <t>modules/a-knights-dream/Item/equip_weapon_trap_hunting_large_copper.webp</t>
  </si>
  <si>
    <t>Copper Hunting Trap (Small)</t>
  </si>
  <si>
    <t>modules/a-knights-dream/Item/equip_weapon_trap_hunting_small_copper.webp</t>
  </si>
  <si>
    <t>Copper Javelin</t>
  </si>
  <si>
    <t>modules/a-knights-dream/Item/equip_weapon_javelin_copper.webp</t>
  </si>
  <si>
    <t>Copper Khpesh</t>
  </si>
  <si>
    <t>modules/a-knights-dream/Item/equip_weapon_khpesh_copper.webp</t>
  </si>
  <si>
    <t>Copper Khyber</t>
  </si>
  <si>
    <t>modules/a-knights-dream/Item/equip_weapon_khyber_copper.webp</t>
  </si>
  <si>
    <t>Copper Konda</t>
  </si>
  <si>
    <t>modules/a-knights-dream/Item/equip_weapon_konda_copper.webp</t>
  </si>
  <si>
    <t>Copper Labrys</t>
  </si>
  <si>
    <t>modules/a-knights-dream/Item/equip_weapon_axe_labrys_copper.webp</t>
  </si>
  <si>
    <t>Copper Lance</t>
  </si>
  <si>
    <t>modules/a-knights-dream/Item/equip_weapon_lance_copper.webp</t>
  </si>
  <si>
    <t>Copper Light Crossbow</t>
  </si>
  <si>
    <t>modules/a-knights-dream/Item/equip_weapon_crossbow_light_copper.webp</t>
  </si>
  <si>
    <t>Copper Long Bow</t>
  </si>
  <si>
    <t>modules/a-knights-dream/Item/equip_weapon_bow_long_copper.webp</t>
  </si>
  <si>
    <t>Copper Long Spear</t>
  </si>
  <si>
    <t>modules/a-knights-dream/Item/equip_weapon_spear_long_copper.webp</t>
  </si>
  <si>
    <t>Copper Lucerince Hammer</t>
  </si>
  <si>
    <t>modules/a-knights-dream/Item/equip_weapon_hammer_lucerince_copper.webp</t>
  </si>
  <si>
    <t>Copper Mace</t>
  </si>
  <si>
    <t>modules/a-knights-dream/Item/equip_weapon_mace_copper.webp</t>
  </si>
  <si>
    <t>Copper Morningstar</t>
  </si>
  <si>
    <t>modules/a-knights-dream/Item/equip_weapon_morningstar_copper.webp</t>
  </si>
  <si>
    <t>Copper Pike</t>
  </si>
  <si>
    <t>modules/a-knights-dream/Item/equip_weapon_pike_copper.webp</t>
  </si>
  <si>
    <t>Copper Quarter Staff</t>
  </si>
  <si>
    <t>modules/a-knights-dream/Item/equip_weapon_staff_quarter_copper.webp</t>
  </si>
  <si>
    <t>Copper Ranseur</t>
  </si>
  <si>
    <t>modules/a-knights-dream/Item/equip_weapon_ranseur_copper.webp</t>
  </si>
  <si>
    <t>Copper Rapier</t>
  </si>
  <si>
    <t>modules/a-knights-dream/Item/equip_weapon_rapier_copper.webp</t>
  </si>
  <si>
    <t>Copper Recurve Bow</t>
  </si>
  <si>
    <t>modules/a-knights-dream/Item/equip_weapon_bow_recurve_copper.webp</t>
  </si>
  <si>
    <t>Copper Repeater Crossbow</t>
  </si>
  <si>
    <t>modules/a-knights-dream/Item/equip_weapon_crossbow_repeater_copper.webp</t>
  </si>
  <si>
    <t>Copper Sabre</t>
  </si>
  <si>
    <t>modules/a-knights-dream/Item/equip_weapon_sabre_copper.webp</t>
  </si>
  <si>
    <t>Copper Scimitar</t>
  </si>
  <si>
    <t>modules/a-knights-dream/Item/equip_weapon_scimitar_copper.webp</t>
  </si>
  <si>
    <t>Copper Scythe</t>
  </si>
  <si>
    <t>modules/a-knights-dream/Item/equip_weapon_scythe_copper.webp</t>
  </si>
  <si>
    <t>Copper Short Bow</t>
  </si>
  <si>
    <t>modules/a-knights-dream/Item/equip_weapon_bow_short_copper.webp</t>
  </si>
  <si>
    <t>Copper Short Spear</t>
  </si>
  <si>
    <t>modules/a-knights-dream/Item/equip_weapon_spear_short_copper.webp</t>
  </si>
  <si>
    <t>Copper Short Sword</t>
  </si>
  <si>
    <t>modules/a-knights-dream/Item/equip_weapon_sword_short_copper.webp</t>
  </si>
  <si>
    <t>Copper Shotel</t>
  </si>
  <si>
    <t>modules/a-knights-dream/Item/equip_weapon_shotel_copper.webp</t>
  </si>
  <si>
    <t>Copper Sickle</t>
  </si>
  <si>
    <t>modules/a-knights-dream/Item/equip_weapon_sickle_copper.webp</t>
  </si>
  <si>
    <t>Copper Sling</t>
  </si>
  <si>
    <t>modules/a-knights-dream/Item/equip_weapon_sling_copper.webp</t>
  </si>
  <si>
    <t>Copper Staff</t>
  </si>
  <si>
    <t>modules/a-knights-dream/Item/equip_weapon_staff_copper.webp</t>
  </si>
  <si>
    <t>Copper Staff Sling</t>
  </si>
  <si>
    <t>modules/a-knights-dream/Item/equip_weapon_sling_staff_copper.webp</t>
  </si>
  <si>
    <t>Copper Sword</t>
  </si>
  <si>
    <t>modules/a-knights-dream/Item/equip_weapon_sword_copper.webp</t>
  </si>
  <si>
    <t>Copper Tapal</t>
  </si>
  <si>
    <t>modules/a-knights-dream/Item/equip_weapon_tapal_copper.webp</t>
  </si>
  <si>
    <t>Copper Trident</t>
  </si>
  <si>
    <t>modules/a-knights-dream/Item/equip_weapon_trident_copper.webp</t>
  </si>
  <si>
    <t>Copper War Hammer</t>
  </si>
  <si>
    <t>modules/a-knights-dream/Item/equip_weapon_hammer_war_copper.webp</t>
  </si>
  <si>
    <t>Copper War Pick</t>
  </si>
  <si>
    <t>modules/a-knights-dream/Item/equip_weapon_pick_war_copper.webp</t>
  </si>
  <si>
    <t>Copper Brigantine Cuirass</t>
  </si>
  <si>
    <t>modules/a-knights-dream/Item/equip_armor_brigantine_cuirass_copper.webp</t>
  </si>
  <si>
    <t>Copper Brigantine Gauntlets</t>
  </si>
  <si>
    <t>modules/a-knights-dream/Item/equip_armor_brigantine_gauntlets_copper.webp</t>
  </si>
  <si>
    <t>Copper Brigantine Greaves</t>
  </si>
  <si>
    <t>modules/a-knights-dream/Item/equip_armor_brigantine_greaves_copper.webp</t>
  </si>
  <si>
    <t>Copper Brigantine Helmet</t>
  </si>
  <si>
    <t>modules/a-knights-dream/Item/equip_armor_brigantine_helmet_copper.webp</t>
  </si>
  <si>
    <t>Copper Brigantine Pauldron</t>
  </si>
  <si>
    <t>modules/a-knights-dream/Item/equip_armor_brigantine_pauldron_copper.webp</t>
  </si>
  <si>
    <t>Copper Chainmail Cuirass</t>
  </si>
  <si>
    <t>modules/a-knights-dream/Item/equip_armor_chainmail_cuirass_copper.webp</t>
  </si>
  <si>
    <t>Copper Chainmail Gauntlets</t>
  </si>
  <si>
    <t>modules/a-knights-dream/Item/equip_armor_chainmail_gauntlets_copper.webp</t>
  </si>
  <si>
    <t>Copper Chainmail Greaves</t>
  </si>
  <si>
    <t>modules/a-knights-dream/Item/equip_armor_chainmail_greaves_copper.webp</t>
  </si>
  <si>
    <t>Copper Chainmail Helmet</t>
  </si>
  <si>
    <t>modules/a-knights-dream/Item/equip_armor_chainmail_helmet_copper.webp</t>
  </si>
  <si>
    <t>Copper Chainmail Pauldron</t>
  </si>
  <si>
    <t>modules/a-knights-dream/Item/equip_armor_chainmail_pauldron_copper.webp</t>
  </si>
  <si>
    <t>Copper Gamberson Cuirass</t>
  </si>
  <si>
    <t>modules/a-knights-dream/Item/equip_armor_gamberson_cuirass_copper.webp</t>
  </si>
  <si>
    <t>Copper Gamberson Gauntlets</t>
  </si>
  <si>
    <t>modules/a-knights-dream/Item/equip_armor_gamberson_gauntlets_copper.webp</t>
  </si>
  <si>
    <t>Copper Gamberson Greaves</t>
  </si>
  <si>
    <t>modules/a-knights-dream/Item/equip_armor_gamberson_greaves_copper.webp</t>
  </si>
  <si>
    <t>Copper Gamberson Helmet</t>
  </si>
  <si>
    <t>modules/a-knights-dream/Item/equip_armor_gamberson_helmet_copper.webp</t>
  </si>
  <si>
    <t>Copper Gamberson Pauldron</t>
  </si>
  <si>
    <t>modules/a-knights-dream/Item/equip_armor_gamberson_pauldron_copper.webp</t>
  </si>
  <si>
    <t>Copper Hauberk Cuirass</t>
  </si>
  <si>
    <t>modules/a-knights-dream/Item/equip_armor_hauberk_cuirass_copper.webp</t>
  </si>
  <si>
    <t>Copper Hauberk Gauntlets</t>
  </si>
  <si>
    <t>modules/a-knights-dream/Item/equip_armor_hauberk_gauntlets_copper.webp</t>
  </si>
  <si>
    <t>Copper Hauberk Greaves</t>
  </si>
  <si>
    <t>modules/a-knights-dream/Item/equip_armor_hauberk_greaves_copper.webp</t>
  </si>
  <si>
    <t>Copper Hauberk Helmet</t>
  </si>
  <si>
    <t>modules/a-knights-dream/Item/equip_armor_hauberk_helmet_copper.webp</t>
  </si>
  <si>
    <t>Copper Hauberk Pauldron</t>
  </si>
  <si>
    <t>modules/a-knights-dream/Item/equip_armor_hauberk_pauldron_copper.webp</t>
  </si>
  <si>
    <t>Copper Jack Cuirass</t>
  </si>
  <si>
    <t>modules/a-knights-dream/Item/equip_armor_jack_cuirass_copper.webp</t>
  </si>
  <si>
    <t>Copper Jack Gauntlets</t>
  </si>
  <si>
    <t>modules/a-knights-dream/Item/equip_armor_jack_gauntlets_copper.webp</t>
  </si>
  <si>
    <t>Copper Jack Greaves</t>
  </si>
  <si>
    <t>modules/a-knights-dream/Item/equip_armor_jack_greaves_copper.webp</t>
  </si>
  <si>
    <t>Copper Jack Helmet</t>
  </si>
  <si>
    <t>modules/a-knights-dream/Item/equip_armor_jack_helmet_copper.webp</t>
  </si>
  <si>
    <t>Copper Jack Pauldron</t>
  </si>
  <si>
    <t>modules/a-knights-dream/Item/equip_armor_jack_pauldron_copper.webp</t>
  </si>
  <si>
    <t>Copper Lamellar Cuirass</t>
  </si>
  <si>
    <t>modules/a-knights-dream/Item/equip_armor_lamellar_cuirass_copper.webp</t>
  </si>
  <si>
    <t>Copper Lamellar Gauntlets</t>
  </si>
  <si>
    <t>modules/a-knights-dream/Item/equip_armor_lamellar_gauntlets_copper.webp</t>
  </si>
  <si>
    <t>Copper Lamellar Greaves</t>
  </si>
  <si>
    <t>modules/a-knights-dream/Item/equip_armor_lamellar_greaves_copper.webp</t>
  </si>
  <si>
    <t>Copper Lamellar Helmet</t>
  </si>
  <si>
    <t>modules/a-knights-dream/Item/equip_armor_lamellar_helmet_copper.webp</t>
  </si>
  <si>
    <t>Copper Lamellar Pauldron</t>
  </si>
  <si>
    <t>modules/a-knights-dream/Item/equip_armor_lamellar_pauldron_copper.webp</t>
  </si>
  <si>
    <t>Copper Platemail Cuirass</t>
  </si>
  <si>
    <t>modules/a-knights-dream/Item/equip_armor_platemail_cuirass_copper.webp</t>
  </si>
  <si>
    <t>Copper Platemail Gauntlets</t>
  </si>
  <si>
    <t>modules/a-knights-dream/Item/equip_armor_platemail_gauntlets_copper.webp</t>
  </si>
  <si>
    <t>Copper Platemail Greaves</t>
  </si>
  <si>
    <t>modules/a-knights-dream/Item/equip_armor_platemail_greaves_copper.webp</t>
  </si>
  <si>
    <t>Copper Platemail Helmet</t>
  </si>
  <si>
    <t>modules/a-knights-dream/Item/equip_armor_platemail_helmet_copper.webp</t>
  </si>
  <si>
    <t>Copper Platemail Pauldron</t>
  </si>
  <si>
    <t>modules/a-knights-dream/Item/equip_armor_platemail_pauldron_copper.webp</t>
  </si>
  <si>
    <t>Copper Tunic Cuirass</t>
  </si>
  <si>
    <t>modules/a-knights-dream/Item/equip_armor_tunic_cuirass_copper.webp</t>
  </si>
  <si>
    <t>Copper Tunic Gauntlets</t>
  </si>
  <si>
    <t>modules/a-knights-dream/Item/equip_armor_tunic_gauntlets_copper.webp</t>
  </si>
  <si>
    <t>Copper Tunic Greaves</t>
  </si>
  <si>
    <t>modules/a-knights-dream/Item/equip_armor_tunic_greaves_copper.webp</t>
  </si>
  <si>
    <t>Copper Tunic Helmet</t>
  </si>
  <si>
    <t>modules/a-knights-dream/Item/equip_armor_tunic_helmet_copper.webp</t>
  </si>
  <si>
    <t>Copper Tunic Pauldron</t>
  </si>
  <si>
    <t>modules/a-knights-dream/Item/equip_armor_tunic_pauldron_copper.webp</t>
  </si>
  <si>
    <t>Copper Buckler Shield</t>
  </si>
  <si>
    <t>modules/a-knights-dream/Item/equip_armor_shield_buckler_copper.webp</t>
  </si>
  <si>
    <t>Copper Heater Shield</t>
  </si>
  <si>
    <t>modules/a-knights-dream/Item/equip_armor_shield_heater_copper.webp</t>
  </si>
  <si>
    <t>Copper Kite Shield</t>
  </si>
  <si>
    <t>modules/a-knights-dream/Item/equip_armor_shield_kite_copper.webp</t>
  </si>
  <si>
    <t>Copper Oval Shield</t>
  </si>
  <si>
    <t>modules/a-knights-dream/Item/equip_armor_shield_oval_copper.webp</t>
  </si>
  <si>
    <t>Copper Round Shield</t>
  </si>
  <si>
    <t>modules/a-knights-dream/Item/equip_armor_shield_round_copper.webp</t>
  </si>
  <si>
    <t>Copper Tower Shield</t>
  </si>
  <si>
    <t>modules/a-knights-dream/Item/equip_armor_shield_tower_copper.webp</t>
  </si>
  <si>
    <t>Cyrite</t>
  </si>
  <si>
    <t>Cyrite Ball Bearings</t>
  </si>
  <si>
    <t>modules/a-knights-dream/Item/equip_weapon_bearings_cyrite.webp</t>
  </si>
  <si>
    <t>Cyrite Bardiche</t>
  </si>
  <si>
    <t>modules/a-knights-dream/Item/equip_weapon_bardiche_cyrite.webp</t>
  </si>
  <si>
    <t>Cyrite Bastard Sword</t>
  </si>
  <si>
    <t>modules/a-knights-dream/Item/equip_weapon_sword_bastard_cyrite.webp</t>
  </si>
  <si>
    <t>Cyrite Battle Axe</t>
  </si>
  <si>
    <t>modules/a-knights-dream/Item/equip_weapon_axe_battle_cyrite.webp</t>
  </si>
  <si>
    <t>Cyrite Blowgun</t>
  </si>
  <si>
    <t>modules/a-knights-dream/Item/equip_weapon_blowgun_cyrite.webp</t>
  </si>
  <si>
    <t>Cyrite Bolt</t>
  </si>
  <si>
    <t>modules/a-knights-dream/Item/equip_weapon_bolt_cyrite.webp</t>
  </si>
  <si>
    <t>Cyrite Boomerang</t>
  </si>
  <si>
    <t>modules/a-knights-dream/Item/equip_weapon_boomerang_cyrite.webp</t>
  </si>
  <si>
    <t>Cyrite Bow</t>
  </si>
  <si>
    <t>modules/a-knights-dream/Item/equip_weapon_bow_cyrite.webp</t>
  </si>
  <si>
    <t>Cyrite Caltrops</t>
  </si>
  <si>
    <t>modules/a-knights-dream/Item/equip_weapon_caltrops_cyrite.webp</t>
  </si>
  <si>
    <t>Cyrite Cestus</t>
  </si>
  <si>
    <t>modules/a-knights-dream/Item/equip_weapon_cestus_cyrite.webp</t>
  </si>
  <si>
    <t>Cyrite Chain</t>
  </si>
  <si>
    <t>modules/a-knights-dream/Item/equip_weapon_chain_cyrite.webp</t>
  </si>
  <si>
    <t>Cyrite Claymore</t>
  </si>
  <si>
    <t>modules/a-knights-dream/Item/equip_weapon_claymore_cyrite.webp</t>
  </si>
  <si>
    <t>Cyrite Club</t>
  </si>
  <si>
    <t>modules/a-knights-dream/Item/equip_weapon_club_cyrite.webp</t>
  </si>
  <si>
    <t>Cyrite Compound Bow</t>
  </si>
  <si>
    <t>modules/a-knights-dream/Item/equip_weapon_bow_compound_cyrite.webp</t>
  </si>
  <si>
    <t>Cyrite Cutlass</t>
  </si>
  <si>
    <t>modules/a-knights-dream/Item/equip_weapon_cutlass_cyrite.webp</t>
  </si>
  <si>
    <t>Cyrite Dagger</t>
  </si>
  <si>
    <t>modules/a-knights-dream/Item/equip_weapon_dagger_cyrite.webp</t>
  </si>
  <si>
    <t>Cyrite Dart</t>
  </si>
  <si>
    <t>modules/a-knights-dream/Item/equip_weapon_dart_cyrite.webp</t>
  </si>
  <si>
    <t>Cyrite Fauchard Scythe</t>
  </si>
  <si>
    <t>modules/a-knights-dream/Item/equip_weapon_scythe_fauchard_cyrite.webp</t>
  </si>
  <si>
    <t>Cyrite Flail</t>
  </si>
  <si>
    <t>modules/a-knights-dream/Item/equip_weapon_flail_cyrite.webp</t>
  </si>
  <si>
    <t>Cyrite Glaive</t>
  </si>
  <si>
    <t>modules/a-knights-dream/Item/equip_weapon_glaive_cyrite.webp</t>
  </si>
  <si>
    <t>Cyrite Grapple Hook</t>
  </si>
  <si>
    <t>modules/a-knights-dream/Item/equip_weapon_hook_grapple_cyrite.webp</t>
  </si>
  <si>
    <t>Cyrite Great Axe</t>
  </si>
  <si>
    <t>modules/a-knights-dream/Item/equip_weapon_axe_great_cyrite.webp</t>
  </si>
  <si>
    <t>Cyrite Great Club</t>
  </si>
  <si>
    <t>modules/a-knights-dream/Item/equip_weapon_club_great_cyrite.webp</t>
  </si>
  <si>
    <t>Cyrite Great Khyber</t>
  </si>
  <si>
    <t>modules/a-knights-dream/Item/equip_weapon_khyber_great_cyrite.webp</t>
  </si>
  <si>
    <t>Cyrite Great Konda</t>
  </si>
  <si>
    <t>modules/a-knights-dream/Item/equip_weapon_konda_great_cyrite.webp</t>
  </si>
  <si>
    <t>Cyrite Great Labrys</t>
  </si>
  <si>
    <t>modules/a-knights-dream/Item/equip_weapon_axe_labrys_great_cyrite.webp</t>
  </si>
  <si>
    <t>Cyrite Great Mace</t>
  </si>
  <si>
    <t>modules/a-knights-dream/Item/equip_weapon_mace_great_cyrite.webp</t>
  </si>
  <si>
    <t>Cyrite Great Tapal</t>
  </si>
  <si>
    <t>modules/a-knights-dream/Item/equip_weapon_tapal_great_cyrite.webp</t>
  </si>
  <si>
    <t>Cyrite Great War Bow</t>
  </si>
  <si>
    <t>modules/a-knights-dream/Item/equip_weapon_bow_war_great_cyrite.webp</t>
  </si>
  <si>
    <t>Cyrite Great War Hammer</t>
  </si>
  <si>
    <t>modules/a-knights-dream/Item/equip_weapon_hammer_war_great_cyrite.webp</t>
  </si>
  <si>
    <t>Cyrite Great War Pick</t>
  </si>
  <si>
    <t>modules/a-knights-dream/Item/equip_weapon_pick_war_great_cyrite.webp</t>
  </si>
  <si>
    <t>Cyrite Guisarme</t>
  </si>
  <si>
    <t>modules/a-knights-dream/Item/equip_weapon_guisarme_cyrite.webp</t>
  </si>
  <si>
    <t>Cyrite Halberd</t>
  </si>
  <si>
    <t>modules/a-knights-dream/Item/equip_weapon_halberd_cyrite.webp</t>
  </si>
  <si>
    <t>Cyrite Hand Crossbow</t>
  </si>
  <si>
    <t>modules/a-knights-dream/Item/equip_weapon_crossbow_hand_cyrite.webp</t>
  </si>
  <si>
    <t>Cyrite Hand axe</t>
  </si>
  <si>
    <t>modules/a-knights-dream/Item/equip_weapon_axe_hand_cyrite.webp</t>
  </si>
  <si>
    <t>Cyrite Heavy Crossbow</t>
  </si>
  <si>
    <t>modules/a-knights-dream/Item/equip_weapon_crossbow_heavy_cyrite.webp</t>
  </si>
  <si>
    <t>Cyrite Hunting Trap</t>
  </si>
  <si>
    <t>modules/a-knights-dream/Item/equip_weapon_trap_hunting_cyrite.webp</t>
  </si>
  <si>
    <t>Cyrite Hunting Trap (Large)</t>
  </si>
  <si>
    <t>modules/a-knights-dream/Item/equip_weapon_trap_hunting_large_cyrite.webp</t>
  </si>
  <si>
    <t>Cyrite Hunting Trap (Small)</t>
  </si>
  <si>
    <t>modules/a-knights-dream/Item/equip_weapon_trap_hunting_small_cyrite.webp</t>
  </si>
  <si>
    <t>Cyrite Javelin</t>
  </si>
  <si>
    <t>modules/a-knights-dream/Item/equip_weapon_javelin_cyrite.webp</t>
  </si>
  <si>
    <t>Cyrite Khpesh</t>
  </si>
  <si>
    <t>modules/a-knights-dream/Item/equip_weapon_khpesh_cyrite.webp</t>
  </si>
  <si>
    <t>Cyrite Khyber</t>
  </si>
  <si>
    <t>modules/a-knights-dream/Item/equip_weapon_khyber_cyrite.webp</t>
  </si>
  <si>
    <t>Cyrite Konda</t>
  </si>
  <si>
    <t>modules/a-knights-dream/Item/equip_weapon_konda_cyrite.webp</t>
  </si>
  <si>
    <t>Cyrite Labrys</t>
  </si>
  <si>
    <t>modules/a-knights-dream/Item/equip_weapon_axe_labrys_cyrite.webp</t>
  </si>
  <si>
    <t>Cyrite Lance</t>
  </si>
  <si>
    <t>modules/a-knights-dream/Item/equip_weapon_lance_cyrite.webp</t>
  </si>
  <si>
    <t>Cyrite Light Crossbow</t>
  </si>
  <si>
    <t>modules/a-knights-dream/Item/equip_weapon_crossbow_light_cyrite.webp</t>
  </si>
  <si>
    <t>Cyrite Long Bow</t>
  </si>
  <si>
    <t>modules/a-knights-dream/Item/equip_weapon_bow_long_cyrite.webp</t>
  </si>
  <si>
    <t>Cyrite Long Spear</t>
  </si>
  <si>
    <t>modules/a-knights-dream/Item/equip_weapon_spear_long_cyrite.webp</t>
  </si>
  <si>
    <t>Cyrite Lucerince Hammer</t>
  </si>
  <si>
    <t>modules/a-knights-dream/Item/equip_weapon_hammer_lucerince_cyrite.webp</t>
  </si>
  <si>
    <t>Cyrite Mace</t>
  </si>
  <si>
    <t>modules/a-knights-dream/Item/equip_weapon_mace_cyrite.webp</t>
  </si>
  <si>
    <t>Cyrite Morningstar</t>
  </si>
  <si>
    <t>modules/a-knights-dream/Item/equip_weapon_morningstar_cyrite.webp</t>
  </si>
  <si>
    <t>Cyrite Pike</t>
  </si>
  <si>
    <t>modules/a-knights-dream/Item/equip_weapon_pike_cyrite.webp</t>
  </si>
  <si>
    <t>Cyrite Quarter Staff</t>
  </si>
  <si>
    <t>modules/a-knights-dream/Item/equip_weapon_staff_quarter_cyrite.webp</t>
  </si>
  <si>
    <t>Cyrite Ranseur</t>
  </si>
  <si>
    <t>modules/a-knights-dream/Item/equip_weapon_ranseur_cyrite.webp</t>
  </si>
  <si>
    <t>Cyrite Rapier</t>
  </si>
  <si>
    <t>modules/a-knights-dream/Item/equip_weapon_rapier_cyrite.webp</t>
  </si>
  <si>
    <t>Cyrite Recurve Bow</t>
  </si>
  <si>
    <t>modules/a-knights-dream/Item/equip_weapon_bow_recurve_cyrite.webp</t>
  </si>
  <si>
    <t>Cyrite Repeater Crossbow</t>
  </si>
  <si>
    <t>modules/a-knights-dream/Item/equip_weapon_crossbow_repeater_cyrite.webp</t>
  </si>
  <si>
    <t>Cyrite Sabre</t>
  </si>
  <si>
    <t>modules/a-knights-dream/Item/equip_weapon_sabre_cyrite.webp</t>
  </si>
  <si>
    <t>Cyrite Scimitar</t>
  </si>
  <si>
    <t>modules/a-knights-dream/Item/equip_weapon_scimitar_cyrite.webp</t>
  </si>
  <si>
    <t>Cyrite Scythe</t>
  </si>
  <si>
    <t>modules/a-knights-dream/Item/equip_weapon_scythe_cyrite.webp</t>
  </si>
  <si>
    <t>Cyrite Short Bow</t>
  </si>
  <si>
    <t>modules/a-knights-dream/Item/equip_weapon_bow_short_cyrite.webp</t>
  </si>
  <si>
    <t>Cyrite Short Spear</t>
  </si>
  <si>
    <t>modules/a-knights-dream/Item/equip_weapon_spear_short_cyrite.webp</t>
  </si>
  <si>
    <t>Cyrite Short Sword</t>
  </si>
  <si>
    <t>modules/a-knights-dream/Item/equip_weapon_sword_short_cyrite.webp</t>
  </si>
  <si>
    <t>Cyrite Shotel</t>
  </si>
  <si>
    <t>modules/a-knights-dream/Item/equip_weapon_shotel_cyrite.webp</t>
  </si>
  <si>
    <t>Cyrite Sickle</t>
  </si>
  <si>
    <t>modules/a-knights-dream/Item/equip_weapon_sickle_cyrite.webp</t>
  </si>
  <si>
    <t>Cyrite Sling</t>
  </si>
  <si>
    <t>modules/a-knights-dream/Item/equip_weapon_sling_cyrite.webp</t>
  </si>
  <si>
    <t>Cyrite Staff</t>
  </si>
  <si>
    <t>modules/a-knights-dream/Item/equip_weapon_staff_cyrite.webp</t>
  </si>
  <si>
    <t>Cyrite Staff Sling</t>
  </si>
  <si>
    <t>modules/a-knights-dream/Item/equip_weapon_sling_staff_cyrite.webp</t>
  </si>
  <si>
    <t>Cyrite Sword</t>
  </si>
  <si>
    <t>modules/a-knights-dream/Item/equip_weapon_sword_cyrite.webp</t>
  </si>
  <si>
    <t>Cyrite Tapal</t>
  </si>
  <si>
    <t>modules/a-knights-dream/Item/equip_weapon_tapal_cyrite.webp</t>
  </si>
  <si>
    <t>Cyrite Trident</t>
  </si>
  <si>
    <t>modules/a-knights-dream/Item/equip_weapon_trident_cyrite.webp</t>
  </si>
  <si>
    <t>Cyrite War Hammer</t>
  </si>
  <si>
    <t>modules/a-knights-dream/Item/equip_weapon_hammer_war_cyrite.webp</t>
  </si>
  <si>
    <t>Cyrite War Pick</t>
  </si>
  <si>
    <t>modules/a-knights-dream/Item/equip_weapon_pick_war_cyrite.webp</t>
  </si>
  <si>
    <t>Cyrite Brigantine Cuirass</t>
  </si>
  <si>
    <t>modules/a-knights-dream/Item/equip_armor_brigantine_cuirass_cyrite.webp</t>
  </si>
  <si>
    <t>Cyrite Brigantine Gauntlets</t>
  </si>
  <si>
    <t>modules/a-knights-dream/Item/equip_armor_brigantine_gauntlets_cyrite.webp</t>
  </si>
  <si>
    <t>Cyrite Brigantine Greaves</t>
  </si>
  <si>
    <t>modules/a-knights-dream/Item/equip_armor_brigantine_greaves_cyrite.webp</t>
  </si>
  <si>
    <t>Cyrite Brigantine Helmet</t>
  </si>
  <si>
    <t>modules/a-knights-dream/Item/equip_armor_brigantine_helmet_cyrite.webp</t>
  </si>
  <si>
    <t>Cyrite Brigantine Pauldron</t>
  </si>
  <si>
    <t>modules/a-knights-dream/Item/equip_armor_brigantine_pauldron_cyrite.webp</t>
  </si>
  <si>
    <t>Cyrite Chainmail Cuirass</t>
  </si>
  <si>
    <t>modules/a-knights-dream/Item/equip_armor_chainmail_cuirass_cyrite.webp</t>
  </si>
  <si>
    <t>Cyrite Chainmail Gauntlets</t>
  </si>
  <si>
    <t>modules/a-knights-dream/Item/equip_armor_chainmail_gauntlets_cyrite.webp</t>
  </si>
  <si>
    <t>Cyrite Chainmail Greaves</t>
  </si>
  <si>
    <t>modules/a-knights-dream/Item/equip_armor_chainmail_greaves_cyrite.webp</t>
  </si>
  <si>
    <t>Cyrite Chainmail Helmet</t>
  </si>
  <si>
    <t>modules/a-knights-dream/Item/equip_armor_chainmail_helmet_cyrite.webp</t>
  </si>
  <si>
    <t>Cyrite Chainmail Pauldron</t>
  </si>
  <si>
    <t>modules/a-knights-dream/Item/equip_armor_chainmail_pauldron_cyrite.webp</t>
  </si>
  <si>
    <t>Cyrite Gamberson Cuirass</t>
  </si>
  <si>
    <t>modules/a-knights-dream/Item/equip_armor_gamberson_cuirass_cyrite.webp</t>
  </si>
  <si>
    <t>Cyrite Gamberson Gauntlets</t>
  </si>
  <si>
    <t>modules/a-knights-dream/Item/equip_armor_gamberson_gauntlets_cyrite.webp</t>
  </si>
  <si>
    <t>Cyrite Gamberson Greaves</t>
  </si>
  <si>
    <t>modules/a-knights-dream/Item/equip_armor_gamberson_greaves_cyrite.webp</t>
  </si>
  <si>
    <t>Cyrite Gamberson Helmet</t>
  </si>
  <si>
    <t>modules/a-knights-dream/Item/equip_armor_gamberson_helmet_cyrite.webp</t>
  </si>
  <si>
    <t>Cyrite Gamberson Pauldron</t>
  </si>
  <si>
    <t>modules/a-knights-dream/Item/equip_armor_gamberson_pauldron_cyrite.webp</t>
  </si>
  <si>
    <t>Cyrite Hauberk Cuirass</t>
  </si>
  <si>
    <t>modules/a-knights-dream/Item/equip_armor_hauberk_cuirass_cyrite.webp</t>
  </si>
  <si>
    <t>Cyrite Hauberk Gauntlets</t>
  </si>
  <si>
    <t>modules/a-knights-dream/Item/equip_armor_hauberk_gauntlets_cyrite.webp</t>
  </si>
  <si>
    <t>Cyrite Hauberk Greaves</t>
  </si>
  <si>
    <t>modules/a-knights-dream/Item/equip_armor_hauberk_greaves_cyrite.webp</t>
  </si>
  <si>
    <t>Cyrite Hauberk Helmet</t>
  </si>
  <si>
    <t>modules/a-knights-dream/Item/equip_armor_hauberk_helmet_cyrite.webp</t>
  </si>
  <si>
    <t>Cyrite Hauberk Pauldron</t>
  </si>
  <si>
    <t>modules/a-knights-dream/Item/equip_armor_hauberk_pauldron_cyrite.webp</t>
  </si>
  <si>
    <t>Cyrite Jack Cuirass</t>
  </si>
  <si>
    <t>modules/a-knights-dream/Item/equip_armor_jack_cuirass_cyrite.webp</t>
  </si>
  <si>
    <t>Cyrite Jack Gauntlets</t>
  </si>
  <si>
    <t>modules/a-knights-dream/Item/equip_armor_jack_gauntlets_cyrite.webp</t>
  </si>
  <si>
    <t>Cyrite Jack Greaves</t>
  </si>
  <si>
    <t>modules/a-knights-dream/Item/equip_armor_jack_greaves_cyrite.webp</t>
  </si>
  <si>
    <t>Cyrite Jack Helmet</t>
  </si>
  <si>
    <t>modules/a-knights-dream/Item/equip_armor_jack_helmet_cyrite.webp</t>
  </si>
  <si>
    <t>Cyrite Jack Pauldron</t>
  </si>
  <si>
    <t>modules/a-knights-dream/Item/equip_armor_jack_pauldron_cyrite.webp</t>
  </si>
  <si>
    <t>Cyrite Lamellar Cuirass</t>
  </si>
  <si>
    <t>modules/a-knights-dream/Item/equip_armor_lamellar_cuirass_cyrite.webp</t>
  </si>
  <si>
    <t>Cyrite Lamellar Gauntlets</t>
  </si>
  <si>
    <t>modules/a-knights-dream/Item/equip_armor_lamellar_gauntlets_cyrite.webp</t>
  </si>
  <si>
    <t>Cyrite Lamellar Greaves</t>
  </si>
  <si>
    <t>modules/a-knights-dream/Item/equip_armor_lamellar_greaves_cyrite.webp</t>
  </si>
  <si>
    <t>Cyrite Lamellar Helmet</t>
  </si>
  <si>
    <t>modules/a-knights-dream/Item/equip_armor_lamellar_helmet_cyrite.webp</t>
  </si>
  <si>
    <t>Cyrite Lamellar Pauldron</t>
  </si>
  <si>
    <t>modules/a-knights-dream/Item/equip_armor_lamellar_pauldron_cyrite.webp</t>
  </si>
  <si>
    <t>Cyrite Platemail Cuirass</t>
  </si>
  <si>
    <t>modules/a-knights-dream/Item/equip_armor_platemail_cuirass_cyrite.webp</t>
  </si>
  <si>
    <t>Cyrite Platemail Gauntlets</t>
  </si>
  <si>
    <t>modules/a-knights-dream/Item/equip_armor_platemail_gauntlets_cyrite.webp</t>
  </si>
  <si>
    <t>Cyrite Platemail Greaves</t>
  </si>
  <si>
    <t>modules/a-knights-dream/Item/equip_armor_platemail_greaves_cyrite.webp</t>
  </si>
  <si>
    <t>Cyrite Platemail Helmet</t>
  </si>
  <si>
    <t>modules/a-knights-dream/Item/equip_armor_platemail_helmet_cyrite.webp</t>
  </si>
  <si>
    <t>Cyrite Platemail Pauldron</t>
  </si>
  <si>
    <t>modules/a-knights-dream/Item/equip_armor_platemail_pauldron_cyrite.webp</t>
  </si>
  <si>
    <t>Cyrite Tunic Cuirass</t>
  </si>
  <si>
    <t>modules/a-knights-dream/Item/equip_armor_tunic_cuirass_cyrite.webp</t>
  </si>
  <si>
    <t>Cyrite Tunic Gauntlets</t>
  </si>
  <si>
    <t>modules/a-knights-dream/Item/equip_armor_tunic_gauntlets_cyrite.webp</t>
  </si>
  <si>
    <t>Cyrite Tunic Greaves</t>
  </si>
  <si>
    <t>modules/a-knights-dream/Item/equip_armor_tunic_greaves_cyrite.webp</t>
  </si>
  <si>
    <t>Cyrite Tunic Helmet</t>
  </si>
  <si>
    <t>modules/a-knights-dream/Item/equip_armor_tunic_helmet_cyrite.webp</t>
  </si>
  <si>
    <t>Cyrite Tunic Pauldron</t>
  </si>
  <si>
    <t>modules/a-knights-dream/Item/equip_armor_tunic_pauldron_cyrite.webp</t>
  </si>
  <si>
    <t>Cyrite Buckler Shield</t>
  </si>
  <si>
    <t>modules/a-knights-dream/Item/equip_armor_shield_buckler_cyrite.webp</t>
  </si>
  <si>
    <t>Cyrite Heater Shield</t>
  </si>
  <si>
    <t>modules/a-knights-dream/Item/equip_armor_shield_heater_cyrite.webp</t>
  </si>
  <si>
    <t>Cyrite Kite Shield</t>
  </si>
  <si>
    <t>modules/a-knights-dream/Item/equip_armor_shield_kite_cyrite.webp</t>
  </si>
  <si>
    <t>Cyrite Oval Shield</t>
  </si>
  <si>
    <t>modules/a-knights-dream/Item/equip_armor_shield_oval_cyrite.webp</t>
  </si>
  <si>
    <t>Cyrite Round Shield</t>
  </si>
  <si>
    <t>modules/a-knights-dream/Item/equip_armor_shield_round_cyrite.webp</t>
  </si>
  <si>
    <t>Cyrite Tower Shield</t>
  </si>
  <si>
    <t>modules/a-knights-dream/Item/equip_armor_shield_tower_cyrite.webp</t>
  </si>
  <si>
    <t>Darksteal</t>
  </si>
  <si>
    <t>Darksteal Ball Bearings</t>
  </si>
  <si>
    <t>modules/a-knights-dream/Item/equip_weapon_bearings_darksteel.webp</t>
  </si>
  <si>
    <t>Darksteal Bardiche</t>
  </si>
  <si>
    <t>modules/a-knights-dream/Item/equip_weapon_bardiche_darksteel.webp</t>
  </si>
  <si>
    <t>Darksteal Bastard Sword</t>
  </si>
  <si>
    <t>modules/a-knights-dream/Item/equip_weapon_sword_bastard_darksteel.webp</t>
  </si>
  <si>
    <t>Darksteal Battle Axe</t>
  </si>
  <si>
    <t>modules/a-knights-dream/Item/equip_weapon_axe_battle_darksteel.webp</t>
  </si>
  <si>
    <t>Darksteal Blowgun</t>
  </si>
  <si>
    <t>modules/a-knights-dream/Item/equip_weapon_blowgun_darksteel.webp</t>
  </si>
  <si>
    <t>Darksteal Bolt</t>
  </si>
  <si>
    <t>modules/a-knights-dream/Item/equip_weapon_bolt_darksteel.webp</t>
  </si>
  <si>
    <t>Darksteal Boomerang</t>
  </si>
  <si>
    <t>modules/a-knights-dream/Item/equip_weapon_boomerang_darksteel.webp</t>
  </si>
  <si>
    <t>Darksteal Bow</t>
  </si>
  <si>
    <t>modules/a-knights-dream/Item/equip_weapon_bow_darksteel.webp</t>
  </si>
  <si>
    <t>Darksteal Caltrops</t>
  </si>
  <si>
    <t>modules/a-knights-dream/Item/equip_weapon_caltrops_darksteel.webp</t>
  </si>
  <si>
    <t>Darksteal Cestus</t>
  </si>
  <si>
    <t>modules/a-knights-dream/Item/equip_weapon_cestus_darksteel.webp</t>
  </si>
  <si>
    <t>Darksteal Chain</t>
  </si>
  <si>
    <t>modules/a-knights-dream/Item/equip_weapon_chain_darksteel.webp</t>
  </si>
  <si>
    <t>Darksteal Claymore</t>
  </si>
  <si>
    <t>modules/a-knights-dream/Item/equip_weapon_claymore_darksteel.webp</t>
  </si>
  <si>
    <t>Darksteal Club</t>
  </si>
  <si>
    <t>modules/a-knights-dream/Item/equip_weapon_club_darksteel.webp</t>
  </si>
  <si>
    <t>Darksteal Compound Bow</t>
  </si>
  <si>
    <t>modules/a-knights-dream/Item/equip_weapon_bow_compound_darksteel.webp</t>
  </si>
  <si>
    <t>Darksteal Cutlass</t>
  </si>
  <si>
    <t>modules/a-knights-dream/Item/equip_weapon_cutlass_darksteel.webp</t>
  </si>
  <si>
    <t>Darksteal Dagger</t>
  </si>
  <si>
    <t>modules/a-knights-dream/Item/equip_weapon_dagger_darksteel.webp</t>
  </si>
  <si>
    <t>Darksteal Dart</t>
  </si>
  <si>
    <t>modules/a-knights-dream/Item/equip_weapon_dart_darksteel.webp</t>
  </si>
  <si>
    <t>Darksteal Fauchard Scythe</t>
  </si>
  <si>
    <t>modules/a-knights-dream/Item/equip_weapon_scythe_fauchard_darksteel.webp</t>
  </si>
  <si>
    <t>Darksteal Flail</t>
  </si>
  <si>
    <t>modules/a-knights-dream/Item/equip_weapon_flail_darksteel.webp</t>
  </si>
  <si>
    <t>Darksteal Glaive</t>
  </si>
  <si>
    <t>modules/a-knights-dream/Item/equip_weapon_glaive_darksteel.webp</t>
  </si>
  <si>
    <t>Darksteal Grapple Hook</t>
  </si>
  <si>
    <t>modules/a-knights-dream/Item/equip_weapon_hook_grapple_darksteel.webp</t>
  </si>
  <si>
    <t>Darksteal Great Axe</t>
  </si>
  <si>
    <t>modules/a-knights-dream/Item/equip_weapon_axe_great_darksteel.webp</t>
  </si>
  <si>
    <t>Darksteal Great Club</t>
  </si>
  <si>
    <t>modules/a-knights-dream/Item/equip_weapon_club_great_darksteel.webp</t>
  </si>
  <si>
    <t>Darksteal Great Khyber</t>
  </si>
  <si>
    <t>modules/a-knights-dream/Item/equip_weapon_khyber_great_darksteel.webp</t>
  </si>
  <si>
    <t>Darksteal Great Konda</t>
  </si>
  <si>
    <t>modules/a-knights-dream/Item/equip_weapon_konda_great_darksteel.webp</t>
  </si>
  <si>
    <t>Darksteal Great Labrys</t>
  </si>
  <si>
    <t>modules/a-knights-dream/Item/equip_weapon_axe_labrys_great_darksteel.webp</t>
  </si>
  <si>
    <t>Darksteal Great Mace</t>
  </si>
  <si>
    <t>modules/a-knights-dream/Item/equip_weapon_mace_great_darksteel.webp</t>
  </si>
  <si>
    <t>Darksteal Great Tapal</t>
  </si>
  <si>
    <t>modules/a-knights-dream/Item/equip_weapon_tapal_great_darksteel.webp</t>
  </si>
  <si>
    <t>Darksteal Great War Bow</t>
  </si>
  <si>
    <t>modules/a-knights-dream/Item/equip_weapon_bow_war_great_darksteel.webp</t>
  </si>
  <si>
    <t>Darksteal Great War Hammer</t>
  </si>
  <si>
    <t>modules/a-knights-dream/Item/equip_weapon_hammer_war_great_darksteel.webp</t>
  </si>
  <si>
    <t>Darksteal Great War Pick</t>
  </si>
  <si>
    <t>modules/a-knights-dream/Item/equip_weapon_pick_war_great_darksteel.webp</t>
  </si>
  <si>
    <t>Darksteal Guisarme</t>
  </si>
  <si>
    <t>modules/a-knights-dream/Item/equip_weapon_guisarme_darksteel.webp</t>
  </si>
  <si>
    <t>Darksteal Halberd</t>
  </si>
  <si>
    <t>modules/a-knights-dream/Item/equip_weapon_halberd_darksteel.webp</t>
  </si>
  <si>
    <t>Darksteal Hand Crossbow</t>
  </si>
  <si>
    <t>modules/a-knights-dream/Item/equip_weapon_crossbow_hand_darksteel.webp</t>
  </si>
  <si>
    <t>Darksteal Hand axe</t>
  </si>
  <si>
    <t>modules/a-knights-dream/Item/equip_weapon_axe_hand_darksteel.webp</t>
  </si>
  <si>
    <t>Darksteal Heavy Crossbow</t>
  </si>
  <si>
    <t>modules/a-knights-dream/Item/equip_weapon_crossbow_heavy_darksteel.webp</t>
  </si>
  <si>
    <t>Darksteal Hunting Trap</t>
  </si>
  <si>
    <t>modules/a-knights-dream/Item/equip_weapon_trap_hunting_darksteel.webp</t>
  </si>
  <si>
    <t>Darksteal Hunting Trap (Large)</t>
  </si>
  <si>
    <t>modules/a-knights-dream/Item/equip_weapon_trap_hunting_large_darksteel.webp</t>
  </si>
  <si>
    <t>Darksteal Hunting Trap (Small)</t>
  </si>
  <si>
    <t>modules/a-knights-dream/Item/equip_weapon_trap_hunting_small_darksteel.webp</t>
  </si>
  <si>
    <t>Darksteal Javelin</t>
  </si>
  <si>
    <t>modules/a-knights-dream/Item/equip_weapon_javelin_darksteel.webp</t>
  </si>
  <si>
    <t>Darksteal Khpesh</t>
  </si>
  <si>
    <t>modules/a-knights-dream/Item/equip_weapon_khpesh_darksteel.webp</t>
  </si>
  <si>
    <t>Darksteal Khyber</t>
  </si>
  <si>
    <t>modules/a-knights-dream/Item/equip_weapon_khyber_darksteel.webp</t>
  </si>
  <si>
    <t>Darksteal Konda</t>
  </si>
  <si>
    <t>modules/a-knights-dream/Item/equip_weapon_konda_darksteel.webp</t>
  </si>
  <si>
    <t>Darksteal Labrys</t>
  </si>
  <si>
    <t>modules/a-knights-dream/Item/equip_weapon_axe_labrys_darksteel.webp</t>
  </si>
  <si>
    <t>Darksteal Lance</t>
  </si>
  <si>
    <t>modules/a-knights-dream/Item/equip_weapon_lance_darksteel.webp</t>
  </si>
  <si>
    <t>Darksteal Light Crossbow</t>
  </si>
  <si>
    <t>modules/a-knights-dream/Item/equip_weapon_crossbow_light_darksteel.webp</t>
  </si>
  <si>
    <t>Darksteal Long Bow</t>
  </si>
  <si>
    <t>modules/a-knights-dream/Item/equip_weapon_bow_long_darksteel.webp</t>
  </si>
  <si>
    <t>Darksteal Long Spear</t>
  </si>
  <si>
    <t>modules/a-knights-dream/Item/equip_weapon_spear_long_darksteel.webp</t>
  </si>
  <si>
    <t>Darksteal Lucerince Hammer</t>
  </si>
  <si>
    <t>modules/a-knights-dream/Item/equip_weapon_hammer_lucerince_darksteel.webp</t>
  </si>
  <si>
    <t>Darksteal Mace</t>
  </si>
  <si>
    <t>modules/a-knights-dream/Item/equip_weapon_mace_darksteel.webp</t>
  </si>
  <si>
    <t>Darksteal Morningstar</t>
  </si>
  <si>
    <t>modules/a-knights-dream/Item/equip_weapon_morningstar_darksteel.webp</t>
  </si>
  <si>
    <t>Darksteal Pike</t>
  </si>
  <si>
    <t>modules/a-knights-dream/Item/equip_weapon_pike_darksteel.webp</t>
  </si>
  <si>
    <t>Darksteal Quarter Staff</t>
  </si>
  <si>
    <t>modules/a-knights-dream/Item/equip_weapon_staff_quarter_darksteel.webp</t>
  </si>
  <si>
    <t>Darksteal Ranseur</t>
  </si>
  <si>
    <t>modules/a-knights-dream/Item/equip_weapon_ranseur_darksteel.webp</t>
  </si>
  <si>
    <t>Darksteal Rapier</t>
  </si>
  <si>
    <t>modules/a-knights-dream/Item/equip_weapon_rapier_darksteel.webp</t>
  </si>
  <si>
    <t>Darksteal Recurve Bow</t>
  </si>
  <si>
    <t>modules/a-knights-dream/Item/equip_weapon_bow_recurve_darksteel.webp</t>
  </si>
  <si>
    <t>Darksteal Repeater Crossbow</t>
  </si>
  <si>
    <t>modules/a-knights-dream/Item/equip_weapon_crossbow_repeater_darksteel.webp</t>
  </si>
  <si>
    <t>Darksteal Sabre</t>
  </si>
  <si>
    <t>modules/a-knights-dream/Item/equip_weapon_sabre_darksteel.webp</t>
  </si>
  <si>
    <t>Darksteal Scimitar</t>
  </si>
  <si>
    <t>modules/a-knights-dream/Item/equip_weapon_scimitar_darksteel.webp</t>
  </si>
  <si>
    <t>Darksteal Scythe</t>
  </si>
  <si>
    <t>modules/a-knights-dream/Item/equip_weapon_scythe_darksteel.webp</t>
  </si>
  <si>
    <t>Darksteal Short Bow</t>
  </si>
  <si>
    <t>modules/a-knights-dream/Item/equip_weapon_bow_short_darksteel.webp</t>
  </si>
  <si>
    <t>Darksteal Short Spear</t>
  </si>
  <si>
    <t>modules/a-knights-dream/Item/equip_weapon_spear_short_darksteel.webp</t>
  </si>
  <si>
    <t>Darksteal Short Sword</t>
  </si>
  <si>
    <t>modules/a-knights-dream/Item/equip_weapon_sword_short_darksteel.webp</t>
  </si>
  <si>
    <t>Darksteal Shotel</t>
  </si>
  <si>
    <t>modules/a-knights-dream/Item/equip_weapon_shotel_darksteel.webp</t>
  </si>
  <si>
    <t>Darksteal Sickle</t>
  </si>
  <si>
    <t>modules/a-knights-dream/Item/equip_weapon_sickle_darksteel.webp</t>
  </si>
  <si>
    <t>Darksteal Sling</t>
  </si>
  <si>
    <t>modules/a-knights-dream/Item/equip_weapon_sling_darksteel.webp</t>
  </si>
  <si>
    <t>Darksteal Staff</t>
  </si>
  <si>
    <t>modules/a-knights-dream/Item/equip_weapon_staff_darksteel.webp</t>
  </si>
  <si>
    <t>Darksteal Staff Sling</t>
  </si>
  <si>
    <t>modules/a-knights-dream/Item/equip_weapon_sling_staff_darksteel.webp</t>
  </si>
  <si>
    <t>Darksteal Sword</t>
  </si>
  <si>
    <t>modules/a-knights-dream/Item/equip_weapon_sword_darksteel.webp</t>
  </si>
  <si>
    <t>Darksteal Tapal</t>
  </si>
  <si>
    <t>modules/a-knights-dream/Item/equip_weapon_tapal_darksteel.webp</t>
  </si>
  <si>
    <t>Darksteal Trident</t>
  </si>
  <si>
    <t>modules/a-knights-dream/Item/equip_weapon_trident_darksteel.webp</t>
  </si>
  <si>
    <t>Darksteal War Hammer</t>
  </si>
  <si>
    <t>modules/a-knights-dream/Item/equip_weapon_hammer_war_darksteel.webp</t>
  </si>
  <si>
    <t>Darksteal War Pick</t>
  </si>
  <si>
    <t>modules/a-knights-dream/Item/equip_weapon_pick_war_darksteel.webp</t>
  </si>
  <si>
    <t>Darksteal Brigantine Cuirass</t>
  </si>
  <si>
    <t>modules/a-knights-dream/Item/equip_armor_brigantine_cuirass_darksteel.webp</t>
  </si>
  <si>
    <t>Darksteal Brigantine Gauntlets</t>
  </si>
  <si>
    <t>modules/a-knights-dream/Item/equip_armor_brigantine_gauntlets_darksteel.webp</t>
  </si>
  <si>
    <t>Darksteal Brigantine Greaves</t>
  </si>
  <si>
    <t>modules/a-knights-dream/Item/equip_armor_brigantine_greaves_darksteel.webp</t>
  </si>
  <si>
    <t>Darksteal Brigantine Helmet</t>
  </si>
  <si>
    <t>modules/a-knights-dream/Item/equip_armor_brigantine_helmet_darksteel.webp</t>
  </si>
  <si>
    <t>Darksteal Brigantine Pauldron</t>
  </si>
  <si>
    <t>modules/a-knights-dream/Item/equip_armor_brigantine_pauldron_darksteel.webp</t>
  </si>
  <si>
    <t>Darksteal Chainmail Cuirass</t>
  </si>
  <si>
    <t>modules/a-knights-dream/Item/equip_armor_chainmail_cuirass_darksteel.webp</t>
  </si>
  <si>
    <t>Darksteal Chainmail Gauntlets</t>
  </si>
  <si>
    <t>modules/a-knights-dream/Item/equip_armor_chainmail_gauntlets_darksteel.webp</t>
  </si>
  <si>
    <t>Darksteal Chainmail Greaves</t>
  </si>
  <si>
    <t>modules/a-knights-dream/Item/equip_armor_chainmail_greaves_darksteel.webp</t>
  </si>
  <si>
    <t>Darksteal Chainmail Helmet</t>
  </si>
  <si>
    <t>modules/a-knights-dream/Item/equip_armor_chainmail_helmet_darksteel.webp</t>
  </si>
  <si>
    <t>Darksteal Chainmail Pauldron</t>
  </si>
  <si>
    <t>modules/a-knights-dream/Item/equip_armor_chainmail_pauldron_darksteel.webp</t>
  </si>
  <si>
    <t>Darksteal Gamberson Cuirass</t>
  </si>
  <si>
    <t>modules/a-knights-dream/Item/equip_armor_gamberson_cuirass_darksteel.webp</t>
  </si>
  <si>
    <t>Darksteal Gamberson Gauntlets</t>
  </si>
  <si>
    <t>modules/a-knights-dream/Item/equip_armor_gamberson_gauntlets_darksteel.webp</t>
  </si>
  <si>
    <t>Darksteal Gamberson Greaves</t>
  </si>
  <si>
    <t>modules/a-knights-dream/Item/equip_armor_gamberson_greaves_darksteel.webp</t>
  </si>
  <si>
    <t>Darksteal Gamberson Helmet</t>
  </si>
  <si>
    <t>modules/a-knights-dream/Item/equip_armor_gamberson_helmet_darksteel.webp</t>
  </si>
  <si>
    <t>Darksteal Gamberson Pauldron</t>
  </si>
  <si>
    <t>modules/a-knights-dream/Item/equip_armor_gamberson_pauldron_darksteel.webp</t>
  </si>
  <si>
    <t>Darksteal Hauberk Cuirass</t>
  </si>
  <si>
    <t>modules/a-knights-dream/Item/equip_armor_hauberk_cuirass_darksteel.webp</t>
  </si>
  <si>
    <t>Darksteal Hauberk Gauntlets</t>
  </si>
  <si>
    <t>modules/a-knights-dream/Item/equip_armor_hauberk_gauntlets_darksteel.webp</t>
  </si>
  <si>
    <t>Darksteal Hauberk Greaves</t>
  </si>
  <si>
    <t>modules/a-knights-dream/Item/equip_armor_hauberk_greaves_darksteel.webp</t>
  </si>
  <si>
    <t>Darksteal Hauberk Helmet</t>
  </si>
  <si>
    <t>modules/a-knights-dream/Item/equip_armor_hauberk_helmet_darksteel.webp</t>
  </si>
  <si>
    <t>Darksteal Hauberk Pauldron</t>
  </si>
  <si>
    <t>modules/a-knights-dream/Item/equip_armor_hauberk_pauldron_darksteel.webp</t>
  </si>
  <si>
    <t>Darksteal Jack Cuirass</t>
  </si>
  <si>
    <t>modules/a-knights-dream/Item/equip_armor_jack_cuirass_darksteel.webp</t>
  </si>
  <si>
    <t>Darksteal Jack Gauntlets</t>
  </si>
  <si>
    <t>modules/a-knights-dream/Item/equip_armor_jack_gauntlets_darksteel.webp</t>
  </si>
  <si>
    <t>Darksteal Jack Greaves</t>
  </si>
  <si>
    <t>modules/a-knights-dream/Item/equip_armor_jack_greaves_darksteel.webp</t>
  </si>
  <si>
    <t>Darksteal Jack Helmet</t>
  </si>
  <si>
    <t>modules/a-knights-dream/Item/equip_armor_jack_helmet_darksteel.webp</t>
  </si>
  <si>
    <t>Darksteal Jack Pauldron</t>
  </si>
  <si>
    <t>modules/a-knights-dream/Item/equip_armor_jack_pauldron_darksteel.webp</t>
  </si>
  <si>
    <t>Darksteal Lamellar Cuirass</t>
  </si>
  <si>
    <t>modules/a-knights-dream/Item/equip_armor_lamellar_cuirass_darksteel.webp</t>
  </si>
  <si>
    <t>Darksteal Lamellar Gauntlets</t>
  </si>
  <si>
    <t>modules/a-knights-dream/Item/equip_armor_lamellar_gauntlets_darksteel.webp</t>
  </si>
  <si>
    <t>Darksteal Lamellar Greaves</t>
  </si>
  <si>
    <t>modules/a-knights-dream/Item/equip_armor_lamellar_greaves_darksteel.webp</t>
  </si>
  <si>
    <t>Darksteal Lamellar Helmet</t>
  </si>
  <si>
    <t>modules/a-knights-dream/Item/equip_armor_lamellar_helmet_darksteel.webp</t>
  </si>
  <si>
    <t>Darksteal Lamellar Pauldron</t>
  </si>
  <si>
    <t>modules/a-knights-dream/Item/equip_armor_lamellar_pauldron_darksteel.webp</t>
  </si>
  <si>
    <t>Darksteal Platemail Cuirass</t>
  </si>
  <si>
    <t>modules/a-knights-dream/Item/equip_armor_platemail_cuirass_darksteel.webp</t>
  </si>
  <si>
    <t>Darksteal Platemail Gauntlets</t>
  </si>
  <si>
    <t>modules/a-knights-dream/Item/equip_armor_platemail_gauntlets_darksteel.webp</t>
  </si>
  <si>
    <t>Darksteal Platemail Greaves</t>
  </si>
  <si>
    <t>modules/a-knights-dream/Item/equip_armor_platemail_greaves_darksteel.webp</t>
  </si>
  <si>
    <t>Darksteal Platemail Helmet</t>
  </si>
  <si>
    <t>modules/a-knights-dream/Item/equip_armor_platemail_helmet_darksteel.webp</t>
  </si>
  <si>
    <t>Darksteal Platemail Pauldron</t>
  </si>
  <si>
    <t>modules/a-knights-dream/Item/equip_armor_platemail_pauldron_darksteel.webp</t>
  </si>
  <si>
    <t>Darksteal Tunic Cuirass</t>
  </si>
  <si>
    <t>modules/a-knights-dream/Item/equip_armor_tunic_cuirass_darksteel.webp</t>
  </si>
  <si>
    <t>Darksteal Tunic Gauntlets</t>
  </si>
  <si>
    <t>modules/a-knights-dream/Item/equip_armor_tunic_gauntlets_darksteel.webp</t>
  </si>
  <si>
    <t>Darksteal Tunic Greaves</t>
  </si>
  <si>
    <t>modules/a-knights-dream/Item/equip_armor_tunic_greaves_darksteel.webp</t>
  </si>
  <si>
    <t>Darksteal Tunic Helmet</t>
  </si>
  <si>
    <t>modules/a-knights-dream/Item/equip_armor_tunic_helmet_darksteel.webp</t>
  </si>
  <si>
    <t>Darksteal Tunic Pauldron</t>
  </si>
  <si>
    <t>modules/a-knights-dream/Item/equip_armor_tunic_pauldron_darksteel.webp</t>
  </si>
  <si>
    <t>Darksteal Buckler Shield</t>
  </si>
  <si>
    <t>modules/a-knights-dream/Item/equip_armor_shield_buckler_darksteel.webp</t>
  </si>
  <si>
    <t>Darksteal Heater Shield</t>
  </si>
  <si>
    <t>modules/a-knights-dream/Item/equip_armor_shield_heater_darksteel.webp</t>
  </si>
  <si>
    <t>Darksteal Kite Shield</t>
  </si>
  <si>
    <t>modules/a-knights-dream/Item/equip_armor_shield_kite_darksteel.webp</t>
  </si>
  <si>
    <t>Darksteal Oval Shield</t>
  </si>
  <si>
    <t>modules/a-knights-dream/Item/equip_armor_shield_oval_darksteel.webp</t>
  </si>
  <si>
    <t>Darksteal Round Shield</t>
  </si>
  <si>
    <t>modules/a-knights-dream/Item/equip_armor_shield_round_darksteel.webp</t>
  </si>
  <si>
    <t>Darksteal Tower Shield</t>
  </si>
  <si>
    <t>modules/a-knights-dream/Item/equip_armor_shield_tower_darksteel.webp</t>
  </si>
  <si>
    <t>Drift</t>
  </si>
  <si>
    <t>Drift Ball Bearings</t>
  </si>
  <si>
    <t>modules/a-knights-dream/Item/equip_weapon_bearings_drift.webp</t>
  </si>
  <si>
    <t>Drift Bardiche</t>
  </si>
  <si>
    <t>modules/a-knights-dream/Item/equip_weapon_bardiche_drift.webp</t>
  </si>
  <si>
    <t>Drift Bastard Sword</t>
  </si>
  <si>
    <t>modules/a-knights-dream/Item/equip_weapon_sword_bastard_drift.webp</t>
  </si>
  <si>
    <t>Drift Battle Axe</t>
  </si>
  <si>
    <t>modules/a-knights-dream/Item/equip_weapon_axe_battle_drift.webp</t>
  </si>
  <si>
    <t>Drift Blowgun</t>
  </si>
  <si>
    <t>modules/a-knights-dream/Item/equip_weapon_blowgun_drift.webp</t>
  </si>
  <si>
    <t>Drift Bolt</t>
  </si>
  <si>
    <t>modules/a-knights-dream/Item/equip_weapon_bolt_drift.webp</t>
  </si>
  <si>
    <t>Drift Boomerang</t>
  </si>
  <si>
    <t>modules/a-knights-dream/Item/equip_weapon_boomerang_drift.webp</t>
  </si>
  <si>
    <t>Drift Bow</t>
  </si>
  <si>
    <t>modules/a-knights-dream/Item/equip_weapon_bow_drift.webp</t>
  </si>
  <si>
    <t>Drift Caltrops</t>
  </si>
  <si>
    <t>modules/a-knights-dream/Item/equip_weapon_caltrops_drift.webp</t>
  </si>
  <si>
    <t>Drift Cestus</t>
  </si>
  <si>
    <t>modules/a-knights-dream/Item/equip_weapon_cestus_drift.webp</t>
  </si>
  <si>
    <t>Drift Chain</t>
  </si>
  <si>
    <t>modules/a-knights-dream/Item/equip_weapon_chain_drift.webp</t>
  </si>
  <si>
    <t>Drift Claymore</t>
  </si>
  <si>
    <t>modules/a-knights-dream/Item/equip_weapon_claymore_drift.webp</t>
  </si>
  <si>
    <t>Drift Club</t>
  </si>
  <si>
    <t>modules/a-knights-dream/Item/equip_weapon_club_drift.webp</t>
  </si>
  <si>
    <t>Drift Compound Bow</t>
  </si>
  <si>
    <t>modules/a-knights-dream/Item/equip_weapon_bow_compound_drift.webp</t>
  </si>
  <si>
    <t>Drift Cutlass</t>
  </si>
  <si>
    <t>modules/a-knights-dream/Item/equip_weapon_cutlass_drift.webp</t>
  </si>
  <si>
    <t>Drift Dagger</t>
  </si>
  <si>
    <t>modules/a-knights-dream/Item/equip_weapon_dagger_drift.webp</t>
  </si>
  <si>
    <t>Drift Dart</t>
  </si>
  <si>
    <t>modules/a-knights-dream/Item/equip_weapon_dart_drift.webp</t>
  </si>
  <si>
    <t>Drift Fauchard Scythe</t>
  </si>
  <si>
    <t>modules/a-knights-dream/Item/equip_weapon_scythe_fauchard_drift.webp</t>
  </si>
  <si>
    <t>Drift Flail</t>
  </si>
  <si>
    <t>modules/a-knights-dream/Item/equip_weapon_flail_drift.webp</t>
  </si>
  <si>
    <t>Drift Glaive</t>
  </si>
  <si>
    <t>modules/a-knights-dream/Item/equip_weapon_glaive_drift.webp</t>
  </si>
  <si>
    <t>Drift Grapple Hook</t>
  </si>
  <si>
    <t>modules/a-knights-dream/Item/equip_weapon_hook_grapple_drift.webp</t>
  </si>
  <si>
    <t>Drift Great Axe</t>
  </si>
  <si>
    <t>modules/a-knights-dream/Item/equip_weapon_axe_great_drift.webp</t>
  </si>
  <si>
    <t>Drift Great Club</t>
  </si>
  <si>
    <t>modules/a-knights-dream/Item/equip_weapon_club_great_drift.webp</t>
  </si>
  <si>
    <t>Drift Great Khyber</t>
  </si>
  <si>
    <t>modules/a-knights-dream/Item/equip_weapon_khyber_great_drift.webp</t>
  </si>
  <si>
    <t>Drift Great Konda</t>
  </si>
  <si>
    <t>modules/a-knights-dream/Item/equip_weapon_konda_great_drift.webp</t>
  </si>
  <si>
    <t>Drift Great Labrys</t>
  </si>
  <si>
    <t>modules/a-knights-dream/Item/equip_weapon_axe_labrys_great_drift.webp</t>
  </si>
  <si>
    <t>Drift Great Mace</t>
  </si>
  <si>
    <t>modules/a-knights-dream/Item/equip_weapon_mace_great_drift.webp</t>
  </si>
  <si>
    <t>Drift Great Tapal</t>
  </si>
  <si>
    <t>modules/a-knights-dream/Item/equip_weapon_tapal_great_drift.webp</t>
  </si>
  <si>
    <t>Drift Great War Bow</t>
  </si>
  <si>
    <t>modules/a-knights-dream/Item/equip_weapon_bow_war_great_drift.webp</t>
  </si>
  <si>
    <t>Drift Great War Hammer</t>
  </si>
  <si>
    <t>modules/a-knights-dream/Item/equip_weapon_hammer_war_great_drift.webp</t>
  </si>
  <si>
    <t>Drift Great War Pick</t>
  </si>
  <si>
    <t>modules/a-knights-dream/Item/equip_weapon_pick_war_great_drift.webp</t>
  </si>
  <si>
    <t>Drift Guisarme</t>
  </si>
  <si>
    <t>modules/a-knights-dream/Item/equip_weapon_guisarme_drift.webp</t>
  </si>
  <si>
    <t>Drift Halberd</t>
  </si>
  <si>
    <t>modules/a-knights-dream/Item/equip_weapon_halberd_drift.webp</t>
  </si>
  <si>
    <t>Drift Hand Crossbow</t>
  </si>
  <si>
    <t>modules/a-knights-dream/Item/equip_weapon_crossbow_hand_drift.webp</t>
  </si>
  <si>
    <t>Drift Hand axe</t>
  </si>
  <si>
    <t>modules/a-knights-dream/Item/equip_weapon_axe_hand_drift.webp</t>
  </si>
  <si>
    <t>Drift Heavy Crossbow</t>
  </si>
  <si>
    <t>modules/a-knights-dream/Item/equip_weapon_crossbow_heavy_drift.webp</t>
  </si>
  <si>
    <t>Drift Hunting Trap</t>
  </si>
  <si>
    <t>modules/a-knights-dream/Item/equip_weapon_trap_hunting_drift.webp</t>
  </si>
  <si>
    <t>Drift Hunting Trap (Large)</t>
  </si>
  <si>
    <t>modules/a-knights-dream/Item/equip_weapon_trap_hunting_large_drift.webp</t>
  </si>
  <si>
    <t>Drift Hunting Trap (Small)</t>
  </si>
  <si>
    <t>modules/a-knights-dream/Item/equip_weapon_trap_hunting_small_drift.webp</t>
  </si>
  <si>
    <t>Drift Javelin</t>
  </si>
  <si>
    <t>modules/a-knights-dream/Item/equip_weapon_javelin_drift.webp</t>
  </si>
  <si>
    <t>Drift Khpesh</t>
  </si>
  <si>
    <t>modules/a-knights-dream/Item/equip_weapon_khpesh_drift.webp</t>
  </si>
  <si>
    <t>Drift Khyber</t>
  </si>
  <si>
    <t>modules/a-knights-dream/Item/equip_weapon_khyber_drift.webp</t>
  </si>
  <si>
    <t>Drift Konda</t>
  </si>
  <si>
    <t>modules/a-knights-dream/Item/equip_weapon_konda_drift.webp</t>
  </si>
  <si>
    <t>Drift Labrys</t>
  </si>
  <si>
    <t>modules/a-knights-dream/Item/equip_weapon_axe_labrys_drift.webp</t>
  </si>
  <si>
    <t>Drift Lance</t>
  </si>
  <si>
    <t>modules/a-knights-dream/Item/equip_weapon_lance_drift.webp</t>
  </si>
  <si>
    <t>Drift Light Crossbow</t>
  </si>
  <si>
    <t>modules/a-knights-dream/Item/equip_weapon_crossbow_light_drift.webp</t>
  </si>
  <si>
    <t>Drift Long Bow</t>
  </si>
  <si>
    <t>modules/a-knights-dream/Item/equip_weapon_bow_long_drift.webp</t>
  </si>
  <si>
    <t>Drift Long Spear</t>
  </si>
  <si>
    <t>modules/a-knights-dream/Item/equip_weapon_spear_long_drift.webp</t>
  </si>
  <si>
    <t>Drift Lucerince Hammer</t>
  </si>
  <si>
    <t>modules/a-knights-dream/Item/equip_weapon_hammer_lucerince_drift.webp</t>
  </si>
  <si>
    <t>Drift Mace</t>
  </si>
  <si>
    <t>modules/a-knights-dream/Item/equip_weapon_mace_drift.webp</t>
  </si>
  <si>
    <t>Drift Morningstar</t>
  </si>
  <si>
    <t>modules/a-knights-dream/Item/equip_weapon_morningstar_drift.webp</t>
  </si>
  <si>
    <t>Drift Pike</t>
  </si>
  <si>
    <t>modules/a-knights-dream/Item/equip_weapon_pike_drift.webp</t>
  </si>
  <si>
    <t>Drift Quarter Staff</t>
  </si>
  <si>
    <t>modules/a-knights-dream/Item/equip_weapon_staff_quarter_drift.webp</t>
  </si>
  <si>
    <t>Drift Ranseur</t>
  </si>
  <si>
    <t>modules/a-knights-dream/Item/equip_weapon_ranseur_drift.webp</t>
  </si>
  <si>
    <t>Drift Rapier</t>
  </si>
  <si>
    <t>modules/a-knights-dream/Item/equip_weapon_rapier_drift.webp</t>
  </si>
  <si>
    <t>Drift Recurve Bow</t>
  </si>
  <si>
    <t>modules/a-knights-dream/Item/equip_weapon_bow_recurve_drift.webp</t>
  </si>
  <si>
    <t>Drift Repeater Crossbow</t>
  </si>
  <si>
    <t>modules/a-knights-dream/Item/equip_weapon_crossbow_repeater_drift.webp</t>
  </si>
  <si>
    <t>Drift Sabre</t>
  </si>
  <si>
    <t>modules/a-knights-dream/Item/equip_weapon_sabre_drift.webp</t>
  </si>
  <si>
    <t>Drift Scimitar</t>
  </si>
  <si>
    <t>modules/a-knights-dream/Item/equip_weapon_scimitar_drift.webp</t>
  </si>
  <si>
    <t>Drift Scythe</t>
  </si>
  <si>
    <t>modules/a-knights-dream/Item/equip_weapon_scythe_drift.webp</t>
  </si>
  <si>
    <t>Drift Short Bow</t>
  </si>
  <si>
    <t>modules/a-knights-dream/Item/equip_weapon_bow_short_drift.webp</t>
  </si>
  <si>
    <t>Drift Short Spear</t>
  </si>
  <si>
    <t>modules/a-knights-dream/Item/equip_weapon_spear_short_drift.webp</t>
  </si>
  <si>
    <t>Drift Short Sword</t>
  </si>
  <si>
    <t>modules/a-knights-dream/Item/equip_weapon_sword_short_drift.webp</t>
  </si>
  <si>
    <t>Drift Shotel</t>
  </si>
  <si>
    <t>modules/a-knights-dream/Item/equip_weapon_shotel_drift.webp</t>
  </si>
  <si>
    <t>Drift Sickle</t>
  </si>
  <si>
    <t>modules/a-knights-dream/Item/equip_weapon_sickle_drift.webp</t>
  </si>
  <si>
    <t>Drift Sling</t>
  </si>
  <si>
    <t>modules/a-knights-dream/Item/equip_weapon_sling_drift.webp</t>
  </si>
  <si>
    <t>Drift Staff</t>
  </si>
  <si>
    <t>modules/a-knights-dream/Item/equip_weapon_staff_drift.webp</t>
  </si>
  <si>
    <t>Drift Staff Sling</t>
  </si>
  <si>
    <t>modules/a-knights-dream/Item/equip_weapon_sling_staff_drift.webp</t>
  </si>
  <si>
    <t>Drift Sword</t>
  </si>
  <si>
    <t>modules/a-knights-dream/Item/equip_weapon_sword_drift.webp</t>
  </si>
  <si>
    <t>Drift Tapal</t>
  </si>
  <si>
    <t>modules/a-knights-dream/Item/equip_weapon_tapal_drift.webp</t>
  </si>
  <si>
    <t>Drift Trident</t>
  </si>
  <si>
    <t>modules/a-knights-dream/Item/equip_weapon_trident_drift.webp</t>
  </si>
  <si>
    <t>Drift War Hammer</t>
  </si>
  <si>
    <t>modules/a-knights-dream/Item/equip_weapon_hammer_war_drift.webp</t>
  </si>
  <si>
    <t>Drift War Pick</t>
  </si>
  <si>
    <t>modules/a-knights-dream/Item/equip_weapon_pick_war_drift.webp</t>
  </si>
  <si>
    <t>Drift Brigantine Cuirass</t>
  </si>
  <si>
    <t>modules/a-knights-dream/Item/equip_armor_brigantine_cuirass_drift.webp</t>
  </si>
  <si>
    <t>Drift Brigantine Gauntlets</t>
  </si>
  <si>
    <t>modules/a-knights-dream/Item/equip_armor_brigantine_gauntlets_drift.webp</t>
  </si>
  <si>
    <t>Drift Brigantine Greaves</t>
  </si>
  <si>
    <t>modules/a-knights-dream/Item/equip_armor_brigantine_greaves_drift.webp</t>
  </si>
  <si>
    <t>Drift Brigantine Helmet</t>
  </si>
  <si>
    <t>modules/a-knights-dream/Item/equip_armor_brigantine_helmet_drift.webp</t>
  </si>
  <si>
    <t>Drift Brigantine Pauldron</t>
  </si>
  <si>
    <t>modules/a-knights-dream/Item/equip_armor_brigantine_pauldron_drift.webp</t>
  </si>
  <si>
    <t>Drift Chainmail Cuirass</t>
  </si>
  <si>
    <t>modules/a-knights-dream/Item/equip_armor_chainmail_cuirass_drift.webp</t>
  </si>
  <si>
    <t>Drift Chainmail Gauntlets</t>
  </si>
  <si>
    <t>modules/a-knights-dream/Item/equip_armor_chainmail_gauntlets_drift.webp</t>
  </si>
  <si>
    <t>Drift Chainmail Greaves</t>
  </si>
  <si>
    <t>modules/a-knights-dream/Item/equip_armor_chainmail_greaves_drift.webp</t>
  </si>
  <si>
    <t>Drift Chainmail Helmet</t>
  </si>
  <si>
    <t>modules/a-knights-dream/Item/equip_armor_chainmail_helmet_drift.webp</t>
  </si>
  <si>
    <t>Drift Chainmail Pauldron</t>
  </si>
  <si>
    <t>modules/a-knights-dream/Item/equip_armor_chainmail_pauldron_drift.webp</t>
  </si>
  <si>
    <t>Drift Gamberson Cuirass</t>
  </si>
  <si>
    <t>modules/a-knights-dream/Item/equip_armor_gamberson_cuirass_drift.webp</t>
  </si>
  <si>
    <t>Drift Gamberson Gauntlets</t>
  </si>
  <si>
    <t>modules/a-knights-dream/Item/equip_armor_gamberson_gauntlets_drift.webp</t>
  </si>
  <si>
    <t>Drift Gamberson Greaves</t>
  </si>
  <si>
    <t>modules/a-knights-dream/Item/equip_armor_gamberson_greaves_drift.webp</t>
  </si>
  <si>
    <t>Drift Gamberson Helmet</t>
  </si>
  <si>
    <t>modules/a-knights-dream/Item/equip_armor_gamberson_helmet_drift.webp</t>
  </si>
  <si>
    <t>Drift Gamberson Pauldron</t>
  </si>
  <si>
    <t>modules/a-knights-dream/Item/equip_armor_gamberson_pauldron_drift.webp</t>
  </si>
  <si>
    <t>Drift Hauberk Cuirass</t>
  </si>
  <si>
    <t>modules/a-knights-dream/Item/equip_armor_hauberk_cuirass_drift.webp</t>
  </si>
  <si>
    <t>Drift Hauberk Gauntlets</t>
  </si>
  <si>
    <t>modules/a-knights-dream/Item/equip_armor_hauberk_gauntlets_drift.webp</t>
  </si>
  <si>
    <t>Drift Hauberk Greaves</t>
  </si>
  <si>
    <t>modules/a-knights-dream/Item/equip_armor_hauberk_greaves_drift.webp</t>
  </si>
  <si>
    <t>Drift Hauberk Helmet</t>
  </si>
  <si>
    <t>modules/a-knights-dream/Item/equip_armor_hauberk_helmet_drift.webp</t>
  </si>
  <si>
    <t>Drift Hauberk Pauldron</t>
  </si>
  <si>
    <t>modules/a-knights-dream/Item/equip_armor_hauberk_pauldron_drift.webp</t>
  </si>
  <si>
    <t>Drift Jack Cuirass</t>
  </si>
  <si>
    <t>modules/a-knights-dream/Item/equip_armor_jack_cuirass_drift.webp</t>
  </si>
  <si>
    <t>Drift Jack Gauntlets</t>
  </si>
  <si>
    <t>modules/a-knights-dream/Item/equip_armor_jack_gauntlets_drift.webp</t>
  </si>
  <si>
    <t>Drift Jack Greaves</t>
  </si>
  <si>
    <t>modules/a-knights-dream/Item/equip_armor_jack_greaves_drift.webp</t>
  </si>
  <si>
    <t>Drift Jack Helmet</t>
  </si>
  <si>
    <t>modules/a-knights-dream/Item/equip_armor_jack_helmet_drift.webp</t>
  </si>
  <si>
    <t>Drift Jack Pauldron</t>
  </si>
  <si>
    <t>modules/a-knights-dream/Item/equip_armor_jack_pauldron_drift.webp</t>
  </si>
  <si>
    <t>Drift Lamellar Cuirass</t>
  </si>
  <si>
    <t>modules/a-knights-dream/Item/equip_armor_lamellar_cuirass_drift.webp</t>
  </si>
  <si>
    <t>Drift Lamellar Gauntlets</t>
  </si>
  <si>
    <t>modules/a-knights-dream/Item/equip_armor_lamellar_gauntlets_drift.webp</t>
  </si>
  <si>
    <t>Drift Lamellar Greaves</t>
  </si>
  <si>
    <t>modules/a-knights-dream/Item/equip_armor_lamellar_greaves_drift.webp</t>
  </si>
  <si>
    <t>Drift Lamellar Helmet</t>
  </si>
  <si>
    <t>modules/a-knights-dream/Item/equip_armor_lamellar_helmet_drift.webp</t>
  </si>
  <si>
    <t>Drift Lamellar Pauldron</t>
  </si>
  <si>
    <t>modules/a-knights-dream/Item/equip_armor_lamellar_pauldron_drift.webp</t>
  </si>
  <si>
    <t>Drift Platemail Cuirass</t>
  </si>
  <si>
    <t>modules/a-knights-dream/Item/equip_armor_platemail_cuirass_drift.webp</t>
  </si>
  <si>
    <t>Drift Platemail Gauntlets</t>
  </si>
  <si>
    <t>modules/a-knights-dream/Item/equip_armor_platemail_gauntlets_drift.webp</t>
  </si>
  <si>
    <t>Drift Platemail Greaves</t>
  </si>
  <si>
    <t>modules/a-knights-dream/Item/equip_armor_platemail_greaves_drift.webp</t>
  </si>
  <si>
    <t>Drift Platemail Helmet</t>
  </si>
  <si>
    <t>modules/a-knights-dream/Item/equip_armor_platemail_helmet_drift.webp</t>
  </si>
  <si>
    <t>Drift Platemail Pauldron</t>
  </si>
  <si>
    <t>modules/a-knights-dream/Item/equip_armor_platemail_pauldron_drift.webp</t>
  </si>
  <si>
    <t>Drift Tunic Cuirass</t>
  </si>
  <si>
    <t>modules/a-knights-dream/Item/equip_armor_tunic_cuirass_drift.webp</t>
  </si>
  <si>
    <t>Drift Tunic Gauntlets</t>
  </si>
  <si>
    <t>modules/a-knights-dream/Item/equip_armor_tunic_gauntlets_drift.webp</t>
  </si>
  <si>
    <t>Drift Tunic Greaves</t>
  </si>
  <si>
    <t>modules/a-knights-dream/Item/equip_armor_tunic_greaves_drift.webp</t>
  </si>
  <si>
    <t>Drift Tunic Helmet</t>
  </si>
  <si>
    <t>modules/a-knights-dream/Item/equip_armor_tunic_helmet_drift.webp</t>
  </si>
  <si>
    <t>Drift Tunic Pauldron</t>
  </si>
  <si>
    <t>modules/a-knights-dream/Item/equip_armor_tunic_pauldron_drift.webp</t>
  </si>
  <si>
    <t>Drift Buckler Shield</t>
  </si>
  <si>
    <t>modules/a-knights-dream/Item/equip_armor_shield_buckler_drift.webp</t>
  </si>
  <si>
    <t>Drift Heater Shield</t>
  </si>
  <si>
    <t>modules/a-knights-dream/Item/equip_armor_shield_heater_drift.webp</t>
  </si>
  <si>
    <t>Drift Kite Shield</t>
  </si>
  <si>
    <t>modules/a-knights-dream/Item/equip_armor_shield_kite_drift.webp</t>
  </si>
  <si>
    <t>Drift Oval Shield</t>
  </si>
  <si>
    <t>modules/a-knights-dream/Item/equip_armor_shield_oval_drift.webp</t>
  </si>
  <si>
    <t>Drift Round Shield</t>
  </si>
  <si>
    <t>modules/a-knights-dream/Item/equip_armor_shield_round_drift.webp</t>
  </si>
  <si>
    <t>Drift Tower Shield</t>
  </si>
  <si>
    <t>modules/a-knights-dream/Item/equip_armor_shield_tower_drift.webp</t>
  </si>
  <si>
    <t>Stone</t>
  </si>
  <si>
    <t>Entropium</t>
  </si>
  <si>
    <t>Entropium Ball Bearings</t>
  </si>
  <si>
    <t>modules/a-knights-dream/Item/equip_weapon_bearings_entropium.webp</t>
  </si>
  <si>
    <t>Entropium Bardiche</t>
  </si>
  <si>
    <t>modules/a-knights-dream/Item/equip_weapon_bardiche_entropium.webp</t>
  </si>
  <si>
    <t>Entropium Bastard Sword</t>
  </si>
  <si>
    <t>modules/a-knights-dream/Item/equip_weapon_sword_bastard_entropium.webp</t>
  </si>
  <si>
    <t>Entropium Battle Axe</t>
  </si>
  <si>
    <t>modules/a-knights-dream/Item/equip_weapon_axe_battle_entropium.webp</t>
  </si>
  <si>
    <t>Entropium Blowgun</t>
  </si>
  <si>
    <t>modules/a-knights-dream/Item/equip_weapon_blowgun_entropium.webp</t>
  </si>
  <si>
    <t>Entropium Bolt</t>
  </si>
  <si>
    <t>modules/a-knights-dream/Item/equip_weapon_bolt_entropium.webp</t>
  </si>
  <si>
    <t>Entropium Boomerang</t>
  </si>
  <si>
    <t>modules/a-knights-dream/Item/equip_weapon_boomerang_entropium.webp</t>
  </si>
  <si>
    <t>Entropium Bow</t>
  </si>
  <si>
    <t>modules/a-knights-dream/Item/equip_weapon_bow_entropium.webp</t>
  </si>
  <si>
    <t>Entropium Caltrops</t>
  </si>
  <si>
    <t>modules/a-knights-dream/Item/equip_weapon_caltrops_entropium.webp</t>
  </si>
  <si>
    <t>Entropium Cestus</t>
  </si>
  <si>
    <t>modules/a-knights-dream/Item/equip_weapon_cestus_entropium.webp</t>
  </si>
  <si>
    <t>Entropium Chain</t>
  </si>
  <si>
    <t>modules/a-knights-dream/Item/equip_weapon_chain_entropium.webp</t>
  </si>
  <si>
    <t>Entropium Claymore</t>
  </si>
  <si>
    <t>modules/a-knights-dream/Item/equip_weapon_claymore_entropium.webp</t>
  </si>
  <si>
    <t>Entropium Club</t>
  </si>
  <si>
    <t>modules/a-knights-dream/Item/equip_weapon_club_entropium.webp</t>
  </si>
  <si>
    <t>Entropium Compound Bow</t>
  </si>
  <si>
    <t>modules/a-knights-dream/Item/equip_weapon_bow_compound_entropium.webp</t>
  </si>
  <si>
    <t>Entropium Cutlass</t>
  </si>
  <si>
    <t>modules/a-knights-dream/Item/equip_weapon_cutlass_entropium.webp</t>
  </si>
  <si>
    <t>Entropium Dagger</t>
  </si>
  <si>
    <t>modules/a-knights-dream/Item/equip_weapon_dagger_entropium.webp</t>
  </si>
  <si>
    <t>Entropium Dart</t>
  </si>
  <si>
    <t>modules/a-knights-dream/Item/equip_weapon_dart_entropium.webp</t>
  </si>
  <si>
    <t>Entropium Fauchard Scythe</t>
  </si>
  <si>
    <t>modules/a-knights-dream/Item/equip_weapon_scythe_fauchard_entropium.webp</t>
  </si>
  <si>
    <t>Entropium Flail</t>
  </si>
  <si>
    <t>modules/a-knights-dream/Item/equip_weapon_flail_entropium.webp</t>
  </si>
  <si>
    <t>Entropium Glaive</t>
  </si>
  <si>
    <t>modules/a-knights-dream/Item/equip_weapon_glaive_entropium.webp</t>
  </si>
  <si>
    <t>Entropium Grapple Hook</t>
  </si>
  <si>
    <t>modules/a-knights-dream/Item/equip_weapon_hook_grapple_entropium.webp</t>
  </si>
  <si>
    <t>Entropium Great Axe</t>
  </si>
  <si>
    <t>modules/a-knights-dream/Item/equip_weapon_axe_great_entropium.webp</t>
  </si>
  <si>
    <t>Entropium Great Club</t>
  </si>
  <si>
    <t>modules/a-knights-dream/Item/equip_weapon_club_great_entropium.webp</t>
  </si>
  <si>
    <t>Entropium Great Khyber</t>
  </si>
  <si>
    <t>modules/a-knights-dream/Item/equip_weapon_khyber_great_entropium.webp</t>
  </si>
  <si>
    <t>Entropium Great Konda</t>
  </si>
  <si>
    <t>modules/a-knights-dream/Item/equip_weapon_konda_great_entropium.webp</t>
  </si>
  <si>
    <t>Entropium Great Labrys</t>
  </si>
  <si>
    <t>modules/a-knights-dream/Item/equip_weapon_axe_labrys_great_entropium.webp</t>
  </si>
  <si>
    <t>Entropium Great Mace</t>
  </si>
  <si>
    <t>modules/a-knights-dream/Item/equip_weapon_mace_great_entropium.webp</t>
  </si>
  <si>
    <t>Entropium Great Tapal</t>
  </si>
  <si>
    <t>modules/a-knights-dream/Item/equip_weapon_tapal_great_entropium.webp</t>
  </si>
  <si>
    <t>Entropium Great War Bow</t>
  </si>
  <si>
    <t>modules/a-knights-dream/Item/equip_weapon_bow_war_great_entropium.webp</t>
  </si>
  <si>
    <t>Entropium Great War Hammer</t>
  </si>
  <si>
    <t>modules/a-knights-dream/Item/equip_weapon_hammer_war_great_entropium.webp</t>
  </si>
  <si>
    <t>Entropium Great War Pick</t>
  </si>
  <si>
    <t>modules/a-knights-dream/Item/equip_weapon_pick_war_great_entropium.webp</t>
  </si>
  <si>
    <t>Entropium Guisarme</t>
  </si>
  <si>
    <t>modules/a-knights-dream/Item/equip_weapon_guisarme_entropium.webp</t>
  </si>
  <si>
    <t>Entropium Halberd</t>
  </si>
  <si>
    <t>modules/a-knights-dream/Item/equip_weapon_halberd_entropium.webp</t>
  </si>
  <si>
    <t>Entropium Hand Crossbow</t>
  </si>
  <si>
    <t>modules/a-knights-dream/Item/equip_weapon_crossbow_hand_entropium.webp</t>
  </si>
  <si>
    <t>Entropium Hand axe</t>
  </si>
  <si>
    <t>modules/a-knights-dream/Item/equip_weapon_axe_hand_entropium.webp</t>
  </si>
  <si>
    <t>Entropium Heavy Crossbow</t>
  </si>
  <si>
    <t>modules/a-knights-dream/Item/equip_weapon_crossbow_heavy_entropium.webp</t>
  </si>
  <si>
    <t>Entropium Hunting Trap</t>
  </si>
  <si>
    <t>modules/a-knights-dream/Item/equip_weapon_trap_hunting_entropium.webp</t>
  </si>
  <si>
    <t>Entropium Hunting Trap (Large)</t>
  </si>
  <si>
    <t>modules/a-knights-dream/Item/equip_weapon_trap_hunting_large_entropium.webp</t>
  </si>
  <si>
    <t>Entropium Hunting Trap (Small)</t>
  </si>
  <si>
    <t>modules/a-knights-dream/Item/equip_weapon_trap_hunting_small_entropium.webp</t>
  </si>
  <si>
    <t>Entropium Javelin</t>
  </si>
  <si>
    <t>modules/a-knights-dream/Item/equip_weapon_javelin_entropium.webp</t>
  </si>
  <si>
    <t>Entropium Khpesh</t>
  </si>
  <si>
    <t>modules/a-knights-dream/Item/equip_weapon_khpesh_entropium.webp</t>
  </si>
  <si>
    <t>Entropium Khyber</t>
  </si>
  <si>
    <t>modules/a-knights-dream/Item/equip_weapon_khyber_entropium.webp</t>
  </si>
  <si>
    <t>Entropium Konda</t>
  </si>
  <si>
    <t>modules/a-knights-dream/Item/equip_weapon_konda_entropium.webp</t>
  </si>
  <si>
    <t>Entropium Labrys</t>
  </si>
  <si>
    <t>modules/a-knights-dream/Item/equip_weapon_axe_labrys_entropium.webp</t>
  </si>
  <si>
    <t>Entropium Lance</t>
  </si>
  <si>
    <t>modules/a-knights-dream/Item/equip_weapon_lance_entropium.webp</t>
  </si>
  <si>
    <t>Entropium Light Crossbow</t>
  </si>
  <si>
    <t>modules/a-knights-dream/Item/equip_weapon_crossbow_light_entropium.webp</t>
  </si>
  <si>
    <t>Entropium Long Bow</t>
  </si>
  <si>
    <t>modules/a-knights-dream/Item/equip_weapon_bow_long_entropium.webp</t>
  </si>
  <si>
    <t>Entropium Long Spear</t>
  </si>
  <si>
    <t>modules/a-knights-dream/Item/equip_weapon_spear_long_entropium.webp</t>
  </si>
  <si>
    <t>Entropium Lucerince Hammer</t>
  </si>
  <si>
    <t>modules/a-knights-dream/Item/equip_weapon_hammer_lucerince_entropium.webp</t>
  </si>
  <si>
    <t>Entropium Mace</t>
  </si>
  <si>
    <t>modules/a-knights-dream/Item/equip_weapon_mace_entropium.webp</t>
  </si>
  <si>
    <t>Entropium Morningstar</t>
  </si>
  <si>
    <t>modules/a-knights-dream/Item/equip_weapon_morningstar_entropium.webp</t>
  </si>
  <si>
    <t>Entropium Pike</t>
  </si>
  <si>
    <t>modules/a-knights-dream/Item/equip_weapon_pike_entropium.webp</t>
  </si>
  <si>
    <t>Entropium Quarter Staff</t>
  </si>
  <si>
    <t>modules/a-knights-dream/Item/equip_weapon_staff_quarter_entropium.webp</t>
  </si>
  <si>
    <t>Entropium Ranseur</t>
  </si>
  <si>
    <t>modules/a-knights-dream/Item/equip_weapon_ranseur_entropium.webp</t>
  </si>
  <si>
    <t>Entropium Rapier</t>
  </si>
  <si>
    <t>modules/a-knights-dream/Item/equip_weapon_rapier_entropium.webp</t>
  </si>
  <si>
    <t>Entropium Recurve Bow</t>
  </si>
  <si>
    <t>modules/a-knights-dream/Item/equip_weapon_bow_recurve_entropium.webp</t>
  </si>
  <si>
    <t>Entropium Repeater Crossbow</t>
  </si>
  <si>
    <t>modules/a-knights-dream/Item/equip_weapon_crossbow_repeater_entropium.webp</t>
  </si>
  <si>
    <t>Entropium Sabre</t>
  </si>
  <si>
    <t>modules/a-knights-dream/Item/equip_weapon_sabre_entropium.webp</t>
  </si>
  <si>
    <t>Entropium Scimitar</t>
  </si>
  <si>
    <t>modules/a-knights-dream/Item/equip_weapon_scimitar_entropium.webp</t>
  </si>
  <si>
    <t>Entropium Scythe</t>
  </si>
  <si>
    <t>modules/a-knights-dream/Item/equip_weapon_scythe_entropium.webp</t>
  </si>
  <si>
    <t>Entropium Short Bow</t>
  </si>
  <si>
    <t>modules/a-knights-dream/Item/equip_weapon_bow_short_entropium.webp</t>
  </si>
  <si>
    <t>Entropium Short Spear</t>
  </si>
  <si>
    <t>modules/a-knights-dream/Item/equip_weapon_spear_short_entropium.webp</t>
  </si>
  <si>
    <t>Entropium Short Sword</t>
  </si>
  <si>
    <t>modules/a-knights-dream/Item/equip_weapon_sword_short_entropium.webp</t>
  </si>
  <si>
    <t>Entropium Shotel</t>
  </si>
  <si>
    <t>modules/a-knights-dream/Item/equip_weapon_shotel_entropium.webp</t>
  </si>
  <si>
    <t>Entropium Sickle</t>
  </si>
  <si>
    <t>modules/a-knights-dream/Item/equip_weapon_sickle_entropium.webp</t>
  </si>
  <si>
    <t>Entropium Sling</t>
  </si>
  <si>
    <t>modules/a-knights-dream/Item/equip_weapon_sling_entropium.webp</t>
  </si>
  <si>
    <t>Entropium Staff</t>
  </si>
  <si>
    <t>modules/a-knights-dream/Item/equip_weapon_staff_entropium.webp</t>
  </si>
  <si>
    <t>Entropium Staff Sling</t>
  </si>
  <si>
    <t>modules/a-knights-dream/Item/equip_weapon_sling_staff_entropium.webp</t>
  </si>
  <si>
    <t>Entropium Sword</t>
  </si>
  <si>
    <t>modules/a-knights-dream/Item/equip_weapon_sword_entropium.webp</t>
  </si>
  <si>
    <t>Entropium Tapal</t>
  </si>
  <si>
    <t>modules/a-knights-dream/Item/equip_weapon_tapal_entropium.webp</t>
  </si>
  <si>
    <t>Entropium Trident</t>
  </si>
  <si>
    <t>modules/a-knights-dream/Item/equip_weapon_trident_entropium.webp</t>
  </si>
  <si>
    <t>Entropium War Hammer</t>
  </si>
  <si>
    <t>modules/a-knights-dream/Item/equip_weapon_hammer_war_entropium.webp</t>
  </si>
  <si>
    <t>Entropium War Pick</t>
  </si>
  <si>
    <t>modules/a-knights-dream/Item/equip_weapon_pick_war_entropium.webp</t>
  </si>
  <si>
    <t>Entropium Brigantine Cuirass</t>
  </si>
  <si>
    <t>modules/a-knights-dream/Item/equip_armor_brigantine_cuirass_entropium.webp</t>
  </si>
  <si>
    <t>Entropium Brigantine Gauntlets</t>
  </si>
  <si>
    <t>modules/a-knights-dream/Item/equip_armor_brigantine_gauntlets_entropium.webp</t>
  </si>
  <si>
    <t>Entropium Brigantine Greaves</t>
  </si>
  <si>
    <t>modules/a-knights-dream/Item/equip_armor_brigantine_greaves_entropium.webp</t>
  </si>
  <si>
    <t>Entropium Brigantine Helmet</t>
  </si>
  <si>
    <t>modules/a-knights-dream/Item/equip_armor_brigantine_helmet_entropium.webp</t>
  </si>
  <si>
    <t>Entropium Brigantine Pauldron</t>
  </si>
  <si>
    <t>modules/a-knights-dream/Item/equip_armor_brigantine_pauldron_entropium.webp</t>
  </si>
  <si>
    <t>Entropium Chainmail Cuirass</t>
  </si>
  <si>
    <t>modules/a-knights-dream/Item/equip_armor_chainmail_cuirass_entropium.webp</t>
  </si>
  <si>
    <t>Entropium Chainmail Gauntlets</t>
  </si>
  <si>
    <t>modules/a-knights-dream/Item/equip_armor_chainmail_gauntlets_entropium.webp</t>
  </si>
  <si>
    <t>Entropium Chainmail Greaves</t>
  </si>
  <si>
    <t>modules/a-knights-dream/Item/equip_armor_chainmail_greaves_entropium.webp</t>
  </si>
  <si>
    <t>Entropium Chainmail Helmet</t>
  </si>
  <si>
    <t>modules/a-knights-dream/Item/equip_armor_chainmail_helmet_entropium.webp</t>
  </si>
  <si>
    <t>Entropium Chainmail Pauldron</t>
  </si>
  <si>
    <t>modules/a-knights-dream/Item/equip_armor_chainmail_pauldron_entropium.webp</t>
  </si>
  <si>
    <t>Entropium Gamberson Cuirass</t>
  </si>
  <si>
    <t>modules/a-knights-dream/Item/equip_armor_gamberson_cuirass_entropium.webp</t>
  </si>
  <si>
    <t>Entropium Gamberson Gauntlets</t>
  </si>
  <si>
    <t>modules/a-knights-dream/Item/equip_armor_gamberson_gauntlets_entropium.webp</t>
  </si>
  <si>
    <t>Entropium Gamberson Greaves</t>
  </si>
  <si>
    <t>modules/a-knights-dream/Item/equip_armor_gamberson_greaves_entropium.webp</t>
  </si>
  <si>
    <t>Entropium Gamberson Helmet</t>
  </si>
  <si>
    <t>modules/a-knights-dream/Item/equip_armor_gamberson_helmet_entropium.webp</t>
  </si>
  <si>
    <t>Entropium Gamberson Pauldron</t>
  </si>
  <si>
    <t>modules/a-knights-dream/Item/equip_armor_gamberson_pauldron_entropium.webp</t>
  </si>
  <si>
    <t>Entropium Hauberk Cuirass</t>
  </si>
  <si>
    <t>modules/a-knights-dream/Item/equip_armor_hauberk_cuirass_entropium.webp</t>
  </si>
  <si>
    <t>Entropium Hauberk Gauntlets</t>
  </si>
  <si>
    <t>modules/a-knights-dream/Item/equip_armor_hauberk_gauntlets_entropium.webp</t>
  </si>
  <si>
    <t>Entropium Hauberk Greaves</t>
  </si>
  <si>
    <t>modules/a-knights-dream/Item/equip_armor_hauberk_greaves_entropium.webp</t>
  </si>
  <si>
    <t>Entropium Hauberk Helmet</t>
  </si>
  <si>
    <t>modules/a-knights-dream/Item/equip_armor_hauberk_helmet_entropium.webp</t>
  </si>
  <si>
    <t>Entropium Hauberk Pauldron</t>
  </si>
  <si>
    <t>modules/a-knights-dream/Item/equip_armor_hauberk_pauldron_entropium.webp</t>
  </si>
  <si>
    <t>Entropium Jack Cuirass</t>
  </si>
  <si>
    <t>modules/a-knights-dream/Item/equip_armor_jack_cuirass_entropium.webp</t>
  </si>
  <si>
    <t>Entropium Jack Gauntlets</t>
  </si>
  <si>
    <t>modules/a-knights-dream/Item/equip_armor_jack_gauntlets_entropium.webp</t>
  </si>
  <si>
    <t>Entropium Jack Greaves</t>
  </si>
  <si>
    <t>modules/a-knights-dream/Item/equip_armor_jack_greaves_entropium.webp</t>
  </si>
  <si>
    <t>Entropium Jack Helmet</t>
  </si>
  <si>
    <t>modules/a-knights-dream/Item/equip_armor_jack_helmet_entropium.webp</t>
  </si>
  <si>
    <t>Entropium Jack Pauldron</t>
  </si>
  <si>
    <t>modules/a-knights-dream/Item/equip_armor_jack_pauldron_entropium.webp</t>
  </si>
  <si>
    <t>Entropium Lamellar Cuirass</t>
  </si>
  <si>
    <t>modules/a-knights-dream/Item/equip_armor_lamellar_cuirass_entropium.webp</t>
  </si>
  <si>
    <t>Entropium Lamellar Gauntlets</t>
  </si>
  <si>
    <t>modules/a-knights-dream/Item/equip_armor_lamellar_gauntlets_entropium.webp</t>
  </si>
  <si>
    <t>Entropium Lamellar Greaves</t>
  </si>
  <si>
    <t>modules/a-knights-dream/Item/equip_armor_lamellar_greaves_entropium.webp</t>
  </si>
  <si>
    <t>Entropium Lamellar Helmet</t>
  </si>
  <si>
    <t>modules/a-knights-dream/Item/equip_armor_lamellar_helmet_entropium.webp</t>
  </si>
  <si>
    <t>Entropium Lamellar Pauldron</t>
  </si>
  <si>
    <t>modules/a-knights-dream/Item/equip_armor_lamellar_pauldron_entropium.webp</t>
  </si>
  <si>
    <t>Entropium Platemail Cuirass</t>
  </si>
  <si>
    <t>modules/a-knights-dream/Item/equip_armor_platemail_cuirass_entropium.webp</t>
  </si>
  <si>
    <t>Entropium Platemail Gauntlets</t>
  </si>
  <si>
    <t>modules/a-knights-dream/Item/equip_armor_platemail_gauntlets_entropium.webp</t>
  </si>
  <si>
    <t>Entropium Platemail Greaves</t>
  </si>
  <si>
    <t>modules/a-knights-dream/Item/equip_armor_platemail_greaves_entropium.webp</t>
  </si>
  <si>
    <t>Entropium Platemail Helmet</t>
  </si>
  <si>
    <t>modules/a-knights-dream/Item/equip_armor_platemail_helmet_entropium.webp</t>
  </si>
  <si>
    <t>Entropium Platemail Pauldron</t>
  </si>
  <si>
    <t>modules/a-knights-dream/Item/equip_armor_platemail_pauldron_entropium.webp</t>
  </si>
  <si>
    <t>Entropium Tunic Cuirass</t>
  </si>
  <si>
    <t>modules/a-knights-dream/Item/equip_armor_tunic_cuirass_entropium.webp</t>
  </si>
  <si>
    <t>Entropium Tunic Gauntlets</t>
  </si>
  <si>
    <t>modules/a-knights-dream/Item/equip_armor_tunic_gauntlets_entropium.webp</t>
  </si>
  <si>
    <t>Entropium Tunic Greaves</t>
  </si>
  <si>
    <t>modules/a-knights-dream/Item/equip_armor_tunic_greaves_entropium.webp</t>
  </si>
  <si>
    <t>Entropium Tunic Helmet</t>
  </si>
  <si>
    <t>modules/a-knights-dream/Item/equip_armor_tunic_helmet_entropium.webp</t>
  </si>
  <si>
    <t>Entropium Tunic Pauldron</t>
  </si>
  <si>
    <t>modules/a-knights-dream/Item/equip_armor_tunic_pauldron_entropium.webp</t>
  </si>
  <si>
    <t>Entropium Buckler Shield</t>
  </si>
  <si>
    <t>modules/a-knights-dream/Item/equip_armor_shield_buckler_entropium.webp</t>
  </si>
  <si>
    <t>Entropium Heater Shield</t>
  </si>
  <si>
    <t>modules/a-knights-dream/Item/equip_armor_shield_heater_entropium.webp</t>
  </si>
  <si>
    <t>Entropium Kite Shield</t>
  </si>
  <si>
    <t>modules/a-knights-dream/Item/equip_armor_shield_kite_entropium.webp</t>
  </si>
  <si>
    <t>Entropium Oval Shield</t>
  </si>
  <si>
    <t>modules/a-knights-dream/Item/equip_armor_shield_oval_entropium.webp</t>
  </si>
  <si>
    <t>Entropium Round Shield</t>
  </si>
  <si>
    <t>modules/a-knights-dream/Item/equip_armor_shield_round_entropium.webp</t>
  </si>
  <si>
    <t>Entropium Tower Shield</t>
  </si>
  <si>
    <t>modules/a-knights-dream/Item/equip_armor_shield_tower_entropium.webp</t>
  </si>
  <si>
    <t>Fever</t>
  </si>
  <si>
    <t>Fever Ball Bearings</t>
  </si>
  <si>
    <t>modules/a-knights-dream/Item/equip_weapon_bearings_fever.webp</t>
  </si>
  <si>
    <t>Fever Bardiche</t>
  </si>
  <si>
    <t>modules/a-knights-dream/Item/equip_weapon_bardiche_fever.webp</t>
  </si>
  <si>
    <t>Fever Bastard Sword</t>
  </si>
  <si>
    <t>modules/a-knights-dream/Item/equip_weapon_sword_bastard_fever.webp</t>
  </si>
  <si>
    <t>Fever Battle Axe</t>
  </si>
  <si>
    <t>modules/a-knights-dream/Item/equip_weapon_axe_battle_fever.webp</t>
  </si>
  <si>
    <t>Fever Blowgun</t>
  </si>
  <si>
    <t>modules/a-knights-dream/Item/equip_weapon_blowgun_fever.webp</t>
  </si>
  <si>
    <t>Fever Bolt</t>
  </si>
  <si>
    <t>modules/a-knights-dream/Item/equip_weapon_bolt_fever.webp</t>
  </si>
  <si>
    <t>Fever Boomerang</t>
  </si>
  <si>
    <t>modules/a-knights-dream/Item/equip_weapon_boomerang_fever.webp</t>
  </si>
  <si>
    <t>Fever Bow</t>
  </si>
  <si>
    <t>modules/a-knights-dream/Item/equip_weapon_bow_fever.webp</t>
  </si>
  <si>
    <t>Fever Caltrops</t>
  </si>
  <si>
    <t>modules/a-knights-dream/Item/equip_weapon_caltrops_fever.webp</t>
  </si>
  <si>
    <t>Fever Cestus</t>
  </si>
  <si>
    <t>modules/a-knights-dream/Item/equip_weapon_cestus_fever.webp</t>
  </si>
  <si>
    <t>Fever Chain</t>
  </si>
  <si>
    <t>modules/a-knights-dream/Item/equip_weapon_chain_fever.webp</t>
  </si>
  <si>
    <t>Fever Claymore</t>
  </si>
  <si>
    <t>modules/a-knights-dream/Item/equip_weapon_claymore_fever.webp</t>
  </si>
  <si>
    <t>Fever Club</t>
  </si>
  <si>
    <t>modules/a-knights-dream/Item/equip_weapon_club_fever.webp</t>
  </si>
  <si>
    <t>Fever Compound Bow</t>
  </si>
  <si>
    <t>modules/a-knights-dream/Item/equip_weapon_bow_compound_fever.webp</t>
  </si>
  <si>
    <t>Fever Cutlass</t>
  </si>
  <si>
    <t>modules/a-knights-dream/Item/equip_weapon_cutlass_fever.webp</t>
  </si>
  <si>
    <t>Fever Dagger</t>
  </si>
  <si>
    <t>modules/a-knights-dream/Item/equip_weapon_dagger_fever.webp</t>
  </si>
  <si>
    <t>Fever Dart</t>
  </si>
  <si>
    <t>modules/a-knights-dream/Item/equip_weapon_dart_fever.webp</t>
  </si>
  <si>
    <t>Fever Fauchard Scythe</t>
  </si>
  <si>
    <t>modules/a-knights-dream/Item/equip_weapon_scythe_fauchard_fever.webp</t>
  </si>
  <si>
    <t>Fever Flail</t>
  </si>
  <si>
    <t>modules/a-knights-dream/Item/equip_weapon_flail_fever.webp</t>
  </si>
  <si>
    <t>Fever Glaive</t>
  </si>
  <si>
    <t>modules/a-knights-dream/Item/equip_weapon_glaive_fever.webp</t>
  </si>
  <si>
    <t>Fever Grapple Hook</t>
  </si>
  <si>
    <t>modules/a-knights-dream/Item/equip_weapon_hook_grapple_fever.webp</t>
  </si>
  <si>
    <t>Fever Great Axe</t>
  </si>
  <si>
    <t>modules/a-knights-dream/Item/equip_weapon_axe_great_fever.webp</t>
  </si>
  <si>
    <t>Fever Great Club</t>
  </si>
  <si>
    <t>modules/a-knights-dream/Item/equip_weapon_club_great_fever.webp</t>
  </si>
  <si>
    <t>Fever Great Khyber</t>
  </si>
  <si>
    <t>modules/a-knights-dream/Item/equip_weapon_khyber_great_fever.webp</t>
  </si>
  <si>
    <t>Fever Great Konda</t>
  </si>
  <si>
    <t>modules/a-knights-dream/Item/equip_weapon_konda_great_fever.webp</t>
  </si>
  <si>
    <t>Fever Great Labrys</t>
  </si>
  <si>
    <t>modules/a-knights-dream/Item/equip_weapon_axe_labrys_great_fever.webp</t>
  </si>
  <si>
    <t>Fever Great Mace</t>
  </si>
  <si>
    <t>modules/a-knights-dream/Item/equip_weapon_mace_great_fever.webp</t>
  </si>
  <si>
    <t>Fever Great Tapal</t>
  </si>
  <si>
    <t>modules/a-knights-dream/Item/equip_weapon_tapal_great_fever.webp</t>
  </si>
  <si>
    <t>Fever Great War Bow</t>
  </si>
  <si>
    <t>modules/a-knights-dream/Item/equip_weapon_bow_war_great_fever.webp</t>
  </si>
  <si>
    <t>Fever Great War Hammer</t>
  </si>
  <si>
    <t>modules/a-knights-dream/Item/equip_weapon_hammer_war_great_fever.webp</t>
  </si>
  <si>
    <t>Fever Great War Pick</t>
  </si>
  <si>
    <t>modules/a-knights-dream/Item/equip_weapon_pick_war_great_fever.webp</t>
  </si>
  <si>
    <t>Fever Guisarme</t>
  </si>
  <si>
    <t>modules/a-knights-dream/Item/equip_weapon_guisarme_fever.webp</t>
  </si>
  <si>
    <t>Fever Halberd</t>
  </si>
  <si>
    <t>modules/a-knights-dream/Item/equip_weapon_halberd_fever.webp</t>
  </si>
  <si>
    <t>Fever Hand Crossbow</t>
  </si>
  <si>
    <t>modules/a-knights-dream/Item/equip_weapon_crossbow_hand_fever.webp</t>
  </si>
  <si>
    <t>Fever Hand axe</t>
  </si>
  <si>
    <t>modules/a-knights-dream/Item/equip_weapon_axe_hand_fever.webp</t>
  </si>
  <si>
    <t>Fever Heavy Crossbow</t>
  </si>
  <si>
    <t>modules/a-knights-dream/Item/equip_weapon_crossbow_heavy_fever.webp</t>
  </si>
  <si>
    <t>Fever Hunting Trap</t>
  </si>
  <si>
    <t>modules/a-knights-dream/Item/equip_weapon_trap_hunting_fever.webp</t>
  </si>
  <si>
    <t>Fever Hunting Trap (Large)</t>
  </si>
  <si>
    <t>modules/a-knights-dream/Item/equip_weapon_trap_hunting_large_fever.webp</t>
  </si>
  <si>
    <t>Fever Hunting Trap (Small)</t>
  </si>
  <si>
    <t>modules/a-knights-dream/Item/equip_weapon_trap_hunting_small_fever.webp</t>
  </si>
  <si>
    <t>Fever Javelin</t>
  </si>
  <si>
    <t>modules/a-knights-dream/Item/equip_weapon_javelin_fever.webp</t>
  </si>
  <si>
    <t>Fever Khpesh</t>
  </si>
  <si>
    <t>modules/a-knights-dream/Item/equip_weapon_khpesh_fever.webp</t>
  </si>
  <si>
    <t>Fever Khyber</t>
  </si>
  <si>
    <t>modules/a-knights-dream/Item/equip_weapon_khyber_fever.webp</t>
  </si>
  <si>
    <t>Fever Konda</t>
  </si>
  <si>
    <t>modules/a-knights-dream/Item/equip_weapon_konda_fever.webp</t>
  </si>
  <si>
    <t>Fever Labrys</t>
  </si>
  <si>
    <t>modules/a-knights-dream/Item/equip_weapon_axe_labrys_fever.webp</t>
  </si>
  <si>
    <t>Fever Lance</t>
  </si>
  <si>
    <t>modules/a-knights-dream/Item/equip_weapon_lance_fever.webp</t>
  </si>
  <si>
    <t>Fever Light Crossbow</t>
  </si>
  <si>
    <t>modules/a-knights-dream/Item/equip_weapon_crossbow_light_fever.webp</t>
  </si>
  <si>
    <t>Fever Long Bow</t>
  </si>
  <si>
    <t>modules/a-knights-dream/Item/equip_weapon_bow_long_fever.webp</t>
  </si>
  <si>
    <t>Fever Long Spear</t>
  </si>
  <si>
    <t>modules/a-knights-dream/Item/equip_weapon_spear_long_fever.webp</t>
  </si>
  <si>
    <t>Fever Lucerince Hammer</t>
  </si>
  <si>
    <t>modules/a-knights-dream/Item/equip_weapon_hammer_lucerince_fever.webp</t>
  </si>
  <si>
    <t>Fever Mace</t>
  </si>
  <si>
    <t>modules/a-knights-dream/Item/equip_weapon_mace_fever.webp</t>
  </si>
  <si>
    <t>Fever Morningstar</t>
  </si>
  <si>
    <t>modules/a-knights-dream/Item/equip_weapon_morningstar_fever.webp</t>
  </si>
  <si>
    <t>Fever Pike</t>
  </si>
  <si>
    <t>modules/a-knights-dream/Item/equip_weapon_pike_fever.webp</t>
  </si>
  <si>
    <t>Fever Quarter Staff</t>
  </si>
  <si>
    <t>modules/a-knights-dream/Item/equip_weapon_staff_quarter_fever.webp</t>
  </si>
  <si>
    <t>Fever Ranseur</t>
  </si>
  <si>
    <t>modules/a-knights-dream/Item/equip_weapon_ranseur_fever.webp</t>
  </si>
  <si>
    <t>Fever Rapier</t>
  </si>
  <si>
    <t>modules/a-knights-dream/Item/equip_weapon_rapier_fever.webp</t>
  </si>
  <si>
    <t>Fever Recurve Bow</t>
  </si>
  <si>
    <t>modules/a-knights-dream/Item/equip_weapon_bow_recurve_fever.webp</t>
  </si>
  <si>
    <t>Fever Repeater Crossbow</t>
  </si>
  <si>
    <t>modules/a-knights-dream/Item/equip_weapon_crossbow_repeater_fever.webp</t>
  </si>
  <si>
    <t>Fever Sabre</t>
  </si>
  <si>
    <t>modules/a-knights-dream/Item/equip_weapon_sabre_fever.webp</t>
  </si>
  <si>
    <t>Fever Scimitar</t>
  </si>
  <si>
    <t>modules/a-knights-dream/Item/equip_weapon_scimitar_fever.webp</t>
  </si>
  <si>
    <t>Fever Scythe</t>
  </si>
  <si>
    <t>modules/a-knights-dream/Item/equip_weapon_scythe_fever.webp</t>
  </si>
  <si>
    <t>Fever Short Bow</t>
  </si>
  <si>
    <t>modules/a-knights-dream/Item/equip_weapon_bow_short_fever.webp</t>
  </si>
  <si>
    <t>Fever Short Spear</t>
  </si>
  <si>
    <t>modules/a-knights-dream/Item/equip_weapon_spear_short_fever.webp</t>
  </si>
  <si>
    <t>Fever Short Sword</t>
  </si>
  <si>
    <t>modules/a-knights-dream/Item/equip_weapon_sword_short_fever.webp</t>
  </si>
  <si>
    <t>Fever Shotel</t>
  </si>
  <si>
    <t>modules/a-knights-dream/Item/equip_weapon_shotel_fever.webp</t>
  </si>
  <si>
    <t>Fever Sickle</t>
  </si>
  <si>
    <t>modules/a-knights-dream/Item/equip_weapon_sickle_fever.webp</t>
  </si>
  <si>
    <t>Fever Sling</t>
  </si>
  <si>
    <t>modules/a-knights-dream/Item/equip_weapon_sling_fever.webp</t>
  </si>
  <si>
    <t>Fever Staff</t>
  </si>
  <si>
    <t>modules/a-knights-dream/Item/equip_weapon_staff_fever.webp</t>
  </si>
  <si>
    <t>Fever Staff Sling</t>
  </si>
  <si>
    <t>modules/a-knights-dream/Item/equip_weapon_sling_staff_fever.webp</t>
  </si>
  <si>
    <t>Fever Sword</t>
  </si>
  <si>
    <t>modules/a-knights-dream/Item/equip_weapon_sword_fever.webp</t>
  </si>
  <si>
    <t>Fever Tapal</t>
  </si>
  <si>
    <t>modules/a-knights-dream/Item/equip_weapon_tapal_fever.webp</t>
  </si>
  <si>
    <t>Fever Trident</t>
  </si>
  <si>
    <t>modules/a-knights-dream/Item/equip_weapon_trident_fever.webp</t>
  </si>
  <si>
    <t>Fever War Hammer</t>
  </si>
  <si>
    <t>modules/a-knights-dream/Item/equip_weapon_hammer_war_fever.webp</t>
  </si>
  <si>
    <t>Fever War Pick</t>
  </si>
  <si>
    <t>modules/a-knights-dream/Item/equip_weapon_pick_war_fever.webp</t>
  </si>
  <si>
    <t>Fever Brigantine Cuirass</t>
  </si>
  <si>
    <t>modules/a-knights-dream/Item/equip_armor_brigantine_cuirass_fever.webp</t>
  </si>
  <si>
    <t>Fever Brigantine Gauntlets</t>
  </si>
  <si>
    <t>modules/a-knights-dream/Item/equip_armor_brigantine_gauntlets_fever.webp</t>
  </si>
  <si>
    <t>Fever Brigantine Greaves</t>
  </si>
  <si>
    <t>modules/a-knights-dream/Item/equip_armor_brigantine_greaves_fever.webp</t>
  </si>
  <si>
    <t>Fever Brigantine Helmet</t>
  </si>
  <si>
    <t>modules/a-knights-dream/Item/equip_armor_brigantine_helmet_fever.webp</t>
  </si>
  <si>
    <t>Fever Brigantine Pauldron</t>
  </si>
  <si>
    <t>modules/a-knights-dream/Item/equip_armor_brigantine_pauldron_fever.webp</t>
  </si>
  <si>
    <t>Fever Chainmail Cuirass</t>
  </si>
  <si>
    <t>modules/a-knights-dream/Item/equip_armor_chainmail_cuirass_fever.webp</t>
  </si>
  <si>
    <t>Fever Chainmail Gauntlets</t>
  </si>
  <si>
    <t>modules/a-knights-dream/Item/equip_armor_chainmail_gauntlets_fever.webp</t>
  </si>
  <si>
    <t>Fever Chainmail Greaves</t>
  </si>
  <si>
    <t>modules/a-knights-dream/Item/equip_armor_chainmail_greaves_fever.webp</t>
  </si>
  <si>
    <t>Fever Chainmail Helmet</t>
  </si>
  <si>
    <t>modules/a-knights-dream/Item/equip_armor_chainmail_helmet_fever.webp</t>
  </si>
  <si>
    <t>Fever Chainmail Pauldron</t>
  </si>
  <si>
    <t>modules/a-knights-dream/Item/equip_armor_chainmail_pauldron_fever.webp</t>
  </si>
  <si>
    <t>Fever Gamberson Cuirass</t>
  </si>
  <si>
    <t>modules/a-knights-dream/Item/equip_armor_gamberson_cuirass_fever.webp</t>
  </si>
  <si>
    <t>Fever Gamberson Gauntlets</t>
  </si>
  <si>
    <t>modules/a-knights-dream/Item/equip_armor_gamberson_gauntlets_fever.webp</t>
  </si>
  <si>
    <t>Fever Gamberson Greaves</t>
  </si>
  <si>
    <t>modules/a-knights-dream/Item/equip_armor_gamberson_greaves_fever.webp</t>
  </si>
  <si>
    <t>Fever Gamberson Helmet</t>
  </si>
  <si>
    <t>modules/a-knights-dream/Item/equip_armor_gamberson_helmet_fever.webp</t>
  </si>
  <si>
    <t>Fever Gamberson Pauldron</t>
  </si>
  <si>
    <t>modules/a-knights-dream/Item/equip_armor_gamberson_pauldron_fever.webp</t>
  </si>
  <si>
    <t>Fever Hauberk Cuirass</t>
  </si>
  <si>
    <t>modules/a-knights-dream/Item/equip_armor_hauberk_cuirass_fever.webp</t>
  </si>
  <si>
    <t>Fever Hauberk Gauntlets</t>
  </si>
  <si>
    <t>modules/a-knights-dream/Item/equip_armor_hauberk_gauntlets_fever.webp</t>
  </si>
  <si>
    <t>Fever Hauberk Greaves</t>
  </si>
  <si>
    <t>modules/a-knights-dream/Item/equip_armor_hauberk_greaves_fever.webp</t>
  </si>
  <si>
    <t>Fever Hauberk Helmet</t>
  </si>
  <si>
    <t>modules/a-knights-dream/Item/equip_armor_hauberk_helmet_fever.webp</t>
  </si>
  <si>
    <t>Fever Hauberk Pauldron</t>
  </si>
  <si>
    <t>modules/a-knights-dream/Item/equip_armor_hauberk_pauldron_fever.webp</t>
  </si>
  <si>
    <t>Fever Jack Cuirass</t>
  </si>
  <si>
    <t>modules/a-knights-dream/Item/equip_armor_jack_cuirass_fever.webp</t>
  </si>
  <si>
    <t>Fever Jack Gauntlets</t>
  </si>
  <si>
    <t>modules/a-knights-dream/Item/equip_armor_jack_gauntlets_fever.webp</t>
  </si>
  <si>
    <t>Fever Jack Greaves</t>
  </si>
  <si>
    <t>modules/a-knights-dream/Item/equip_armor_jack_greaves_fever.webp</t>
  </si>
  <si>
    <t>Fever Jack Helmet</t>
  </si>
  <si>
    <t>modules/a-knights-dream/Item/equip_armor_jack_helmet_fever.webp</t>
  </si>
  <si>
    <t>Fever Jack Pauldron</t>
  </si>
  <si>
    <t>modules/a-knights-dream/Item/equip_armor_jack_pauldron_fever.webp</t>
  </si>
  <si>
    <t>Fever Lamellar Cuirass</t>
  </si>
  <si>
    <t>modules/a-knights-dream/Item/equip_armor_lamellar_cuirass_fever.webp</t>
  </si>
  <si>
    <t>Fever Lamellar Gauntlets</t>
  </si>
  <si>
    <t>modules/a-knights-dream/Item/equip_armor_lamellar_gauntlets_fever.webp</t>
  </si>
  <si>
    <t>Fever Lamellar Greaves</t>
  </si>
  <si>
    <t>modules/a-knights-dream/Item/equip_armor_lamellar_greaves_fever.webp</t>
  </si>
  <si>
    <t>Fever Lamellar Helmet</t>
  </si>
  <si>
    <t>modules/a-knights-dream/Item/equip_armor_lamellar_helmet_fever.webp</t>
  </si>
  <si>
    <t>Fever Lamellar Pauldron</t>
  </si>
  <si>
    <t>modules/a-knights-dream/Item/equip_armor_lamellar_pauldron_fever.webp</t>
  </si>
  <si>
    <t>Fever Platemail Cuirass</t>
  </si>
  <si>
    <t>modules/a-knights-dream/Item/equip_armor_platemail_cuirass_fever.webp</t>
  </si>
  <si>
    <t>Fever Platemail Gauntlets</t>
  </si>
  <si>
    <t>modules/a-knights-dream/Item/equip_armor_platemail_gauntlets_fever.webp</t>
  </si>
  <si>
    <t>Fever Platemail Greaves</t>
  </si>
  <si>
    <t>modules/a-knights-dream/Item/equip_armor_platemail_greaves_fever.webp</t>
  </si>
  <si>
    <t>Fever Platemail Helmet</t>
  </si>
  <si>
    <t>modules/a-knights-dream/Item/equip_armor_platemail_helmet_fever.webp</t>
  </si>
  <si>
    <t>Fever Platemail Pauldron</t>
  </si>
  <si>
    <t>modules/a-knights-dream/Item/equip_armor_platemail_pauldron_fever.webp</t>
  </si>
  <si>
    <t>Fever Tunic Cuirass</t>
  </si>
  <si>
    <t>modules/a-knights-dream/Item/equip_armor_tunic_cuirass_fever.webp</t>
  </si>
  <si>
    <t>Fever Tunic Gauntlets</t>
  </si>
  <si>
    <t>modules/a-knights-dream/Item/equip_armor_tunic_gauntlets_fever.webp</t>
  </si>
  <si>
    <t>Fever Tunic Greaves</t>
  </si>
  <si>
    <t>modules/a-knights-dream/Item/equip_armor_tunic_greaves_fever.webp</t>
  </si>
  <si>
    <t>Fever Tunic Helmet</t>
  </si>
  <si>
    <t>modules/a-knights-dream/Item/equip_armor_tunic_helmet_fever.webp</t>
  </si>
  <si>
    <t>Fever Tunic Pauldron</t>
  </si>
  <si>
    <t>modules/a-knights-dream/Item/equip_armor_tunic_pauldron_fever.webp</t>
  </si>
  <si>
    <t>Fever Buckler Shield</t>
  </si>
  <si>
    <t>modules/a-knights-dream/Item/equip_armor_shield_buckler_fever.webp</t>
  </si>
  <si>
    <t>Fever Heater Shield</t>
  </si>
  <si>
    <t>modules/a-knights-dream/Item/equip_armor_shield_heater_fever.webp</t>
  </si>
  <si>
    <t>Fever Kite Shield</t>
  </si>
  <si>
    <t>modules/a-knights-dream/Item/equip_armor_shield_kite_fever.webp</t>
  </si>
  <si>
    <t>Fever Oval Shield</t>
  </si>
  <si>
    <t>modules/a-knights-dream/Item/equip_armor_shield_oval_fever.webp</t>
  </si>
  <si>
    <t>Fever Round Shield</t>
  </si>
  <si>
    <t>modules/a-knights-dream/Item/equip_armor_shield_round_fever.webp</t>
  </si>
  <si>
    <t>Fever Tower Shield</t>
  </si>
  <si>
    <t>modules/a-knights-dream/Item/equip_armor_shield_tower_fever.webp</t>
  </si>
  <si>
    <t>Gold</t>
  </si>
  <si>
    <t>Gold Ball Bearings</t>
  </si>
  <si>
    <t>modules/a-knights-dream/Item/equip_weapon_bearings_gold.webp</t>
  </si>
  <si>
    <t>Gold Bardiche</t>
  </si>
  <si>
    <t>modules/a-knights-dream/Item/equip_weapon_bardiche_gold.webp</t>
  </si>
  <si>
    <t>Gold Bastard Sword</t>
  </si>
  <si>
    <t>modules/a-knights-dream/Item/equip_weapon_sword_bastard_gold.webp</t>
  </si>
  <si>
    <t>Gold Battle Axe</t>
  </si>
  <si>
    <t>modules/a-knights-dream/Item/equip_weapon_axe_battle_gold.webp</t>
  </si>
  <si>
    <t>Gold Blowgun</t>
  </si>
  <si>
    <t>modules/a-knights-dream/Item/equip_weapon_blowgun_gold.webp</t>
  </si>
  <si>
    <t>Gold Bolt</t>
  </si>
  <si>
    <t>modules/a-knights-dream/Item/equip_weapon_bolt_gold.webp</t>
  </si>
  <si>
    <t>Gold Boomerang</t>
  </si>
  <si>
    <t>modules/a-knights-dream/Item/equip_weapon_boomerang_gold.webp</t>
  </si>
  <si>
    <t>Gold Bow</t>
  </si>
  <si>
    <t>modules/a-knights-dream/Item/equip_weapon_bow_gold.webp</t>
  </si>
  <si>
    <t>Gold Caltrops</t>
  </si>
  <si>
    <t>modules/a-knights-dream/Item/equip_weapon_caltrops_gold.webp</t>
  </si>
  <si>
    <t>Gold Cestus</t>
  </si>
  <si>
    <t>modules/a-knights-dream/Item/equip_weapon_cestus_gold.webp</t>
  </si>
  <si>
    <t>Gold Chain</t>
  </si>
  <si>
    <t>modules/a-knights-dream/Item/equip_weapon_chain_gold.webp</t>
  </si>
  <si>
    <t>Gold Claymore</t>
  </si>
  <si>
    <t>modules/a-knights-dream/Item/equip_weapon_claymore_gold.webp</t>
  </si>
  <si>
    <t>Gold Club</t>
  </si>
  <si>
    <t>modules/a-knights-dream/Item/equip_weapon_club_gold.webp</t>
  </si>
  <si>
    <t>Gold Compound Bow</t>
  </si>
  <si>
    <t>modules/a-knights-dream/Item/equip_weapon_bow_compound_gold.webp</t>
  </si>
  <si>
    <t>Gold Cutlass</t>
  </si>
  <si>
    <t>modules/a-knights-dream/Item/equip_weapon_cutlass_gold.webp</t>
  </si>
  <si>
    <t>Gold Dagger</t>
  </si>
  <si>
    <t>modules/a-knights-dream/Item/equip_weapon_dagger_gold.webp</t>
  </si>
  <si>
    <t>Gold Dart</t>
  </si>
  <si>
    <t>modules/a-knights-dream/Item/equip_weapon_dart_gold.webp</t>
  </si>
  <si>
    <t>Gold Fauchard Scythe</t>
  </si>
  <si>
    <t>modules/a-knights-dream/Item/equip_weapon_scythe_fauchard_gold.webp</t>
  </si>
  <si>
    <t>Gold Flail</t>
  </si>
  <si>
    <t>modules/a-knights-dream/Item/equip_weapon_flail_gold.webp</t>
  </si>
  <si>
    <t>Gold Glaive</t>
  </si>
  <si>
    <t>modules/a-knights-dream/Item/equip_weapon_glaive_gold.webp</t>
  </si>
  <si>
    <t>Gold Grapple Hook</t>
  </si>
  <si>
    <t>modules/a-knights-dream/Item/equip_weapon_hook_grapple_gold.webp</t>
  </si>
  <si>
    <t>Gold Great Axe</t>
  </si>
  <si>
    <t>modules/a-knights-dream/Item/equip_weapon_axe_great_gold.webp</t>
  </si>
  <si>
    <t>Gold Great Club</t>
  </si>
  <si>
    <t>modules/a-knights-dream/Item/equip_weapon_club_great_gold.webp</t>
  </si>
  <si>
    <t>Gold Great Khyber</t>
  </si>
  <si>
    <t>modules/a-knights-dream/Item/equip_weapon_khyber_great_gold.webp</t>
  </si>
  <si>
    <t>Gold Great Konda</t>
  </si>
  <si>
    <t>modules/a-knights-dream/Item/equip_weapon_konda_great_gold.webp</t>
  </si>
  <si>
    <t>Gold Great Labrys</t>
  </si>
  <si>
    <t>modules/a-knights-dream/Item/equip_weapon_axe_labrys_great_gold.webp</t>
  </si>
  <si>
    <t>Gold Great Mace</t>
  </si>
  <si>
    <t>modules/a-knights-dream/Item/equip_weapon_mace_great_gold.webp</t>
  </si>
  <si>
    <t>Gold Great Tapal</t>
  </si>
  <si>
    <t>modules/a-knights-dream/Item/equip_weapon_tapal_great_gold.webp</t>
  </si>
  <si>
    <t>Gold Great War Bow</t>
  </si>
  <si>
    <t>modules/a-knights-dream/Item/equip_weapon_bow_war_great_gold.webp</t>
  </si>
  <si>
    <t>Gold Great War Hammer</t>
  </si>
  <si>
    <t>modules/a-knights-dream/Item/equip_weapon_hammer_war_great_gold.webp</t>
  </si>
  <si>
    <t>Gold Great War Pick</t>
  </si>
  <si>
    <t>modules/a-knights-dream/Item/equip_weapon_pick_war_great_gold.webp</t>
  </si>
  <si>
    <t>Gold Guisarme</t>
  </si>
  <si>
    <t>modules/a-knights-dream/Item/equip_weapon_guisarme_gold.webp</t>
  </si>
  <si>
    <t>Gold Halberd</t>
  </si>
  <si>
    <t>modules/a-knights-dream/Item/equip_weapon_halberd_gold.webp</t>
  </si>
  <si>
    <t>Gold Hand Crossbow</t>
  </si>
  <si>
    <t>modules/a-knights-dream/Item/equip_weapon_crossbow_hand_gold.webp</t>
  </si>
  <si>
    <t>Gold Hand axe</t>
  </si>
  <si>
    <t>modules/a-knights-dream/Item/equip_weapon_axe_hand_gold.webp</t>
  </si>
  <si>
    <t>Gold Heavy Crossbow</t>
  </si>
  <si>
    <t>modules/a-knights-dream/Item/equip_weapon_crossbow_heavy_gold.webp</t>
  </si>
  <si>
    <t>Gold Hunting Trap</t>
  </si>
  <si>
    <t>modules/a-knights-dream/Item/equip_weapon_trap_hunting_gold.webp</t>
  </si>
  <si>
    <t>Gold Hunting Trap (Large)</t>
  </si>
  <si>
    <t>modules/a-knights-dream/Item/equip_weapon_trap_hunting_large_gold.webp</t>
  </si>
  <si>
    <t>Gold Hunting Trap (Small)</t>
  </si>
  <si>
    <t>modules/a-knights-dream/Item/equip_weapon_trap_hunting_small_gold.webp</t>
  </si>
  <si>
    <t>Gold Javelin</t>
  </si>
  <si>
    <t>modules/a-knights-dream/Item/equip_weapon_javelin_gold.webp</t>
  </si>
  <si>
    <t>Gold Khpesh</t>
  </si>
  <si>
    <t>modules/a-knights-dream/Item/equip_weapon_khpesh_gold.webp</t>
  </si>
  <si>
    <t>Gold Khyber</t>
  </si>
  <si>
    <t>modules/a-knights-dream/Item/equip_weapon_khyber_gold.webp</t>
  </si>
  <si>
    <t>Gold Konda</t>
  </si>
  <si>
    <t>modules/a-knights-dream/Item/equip_weapon_konda_gold.webp</t>
  </si>
  <si>
    <t>Gold Labrys</t>
  </si>
  <si>
    <t>modules/a-knights-dream/Item/equip_weapon_axe_labrys_gold.webp</t>
  </si>
  <si>
    <t>Gold Lance</t>
  </si>
  <si>
    <t>modules/a-knights-dream/Item/equip_weapon_lance_gold.webp</t>
  </si>
  <si>
    <t>Gold Light Crossbow</t>
  </si>
  <si>
    <t>modules/a-knights-dream/Item/equip_weapon_crossbow_light_gold.webp</t>
  </si>
  <si>
    <t>Gold Long Bow</t>
  </si>
  <si>
    <t>modules/a-knights-dream/Item/equip_weapon_bow_long_gold.webp</t>
  </si>
  <si>
    <t>Gold Long Spear</t>
  </si>
  <si>
    <t>modules/a-knights-dream/Item/equip_weapon_spear_long_gold.webp</t>
  </si>
  <si>
    <t>Gold Lucerince Hammer</t>
  </si>
  <si>
    <t>modules/a-knights-dream/Item/equip_weapon_hammer_lucerince_gold.webp</t>
  </si>
  <si>
    <t>Gold Mace</t>
  </si>
  <si>
    <t>modules/a-knights-dream/Item/equip_weapon_mace_gold.webp</t>
  </si>
  <si>
    <t>Gold Morningstar</t>
  </si>
  <si>
    <t>modules/a-knights-dream/Item/equip_weapon_morningstar_gold.webp</t>
  </si>
  <si>
    <t>Gold Pike</t>
  </si>
  <si>
    <t>modules/a-knights-dream/Item/equip_weapon_pike_gold.webp</t>
  </si>
  <si>
    <t>Gold Quarter Staff</t>
  </si>
  <si>
    <t>modules/a-knights-dream/Item/equip_weapon_staff_quarter_gold.webp</t>
  </si>
  <si>
    <t>Gold Ranseur</t>
  </si>
  <si>
    <t>modules/a-knights-dream/Item/equip_weapon_ranseur_gold.webp</t>
  </si>
  <si>
    <t>Gold Rapier</t>
  </si>
  <si>
    <t>modules/a-knights-dream/Item/equip_weapon_rapier_gold.webp</t>
  </si>
  <si>
    <t>Gold Recurve Bow</t>
  </si>
  <si>
    <t>modules/a-knights-dream/Item/equip_weapon_bow_recurve_gold.webp</t>
  </si>
  <si>
    <t>Gold Repeater Crossbow</t>
  </si>
  <si>
    <t>modules/a-knights-dream/Item/equip_weapon_crossbow_repeater_gold.webp</t>
  </si>
  <si>
    <t>Gold Sabre</t>
  </si>
  <si>
    <t>modules/a-knights-dream/Item/equip_weapon_sabre_gold.webp</t>
  </si>
  <si>
    <t>Gold Scimitar</t>
  </si>
  <si>
    <t>modules/a-knights-dream/Item/equip_weapon_scimitar_gold.webp</t>
  </si>
  <si>
    <t>Gold Scythe</t>
  </si>
  <si>
    <t>modules/a-knights-dream/Item/equip_weapon_scythe_gold.webp</t>
  </si>
  <si>
    <t>Gold Short Bow</t>
  </si>
  <si>
    <t>modules/a-knights-dream/Item/equip_weapon_bow_short_gold.webp</t>
  </si>
  <si>
    <t>Gold Short Spear</t>
  </si>
  <si>
    <t>modules/a-knights-dream/Item/equip_weapon_spear_short_gold.webp</t>
  </si>
  <si>
    <t>Gold Short Sword</t>
  </si>
  <si>
    <t>modules/a-knights-dream/Item/equip_weapon_sword_short_gold.webp</t>
  </si>
  <si>
    <t>Gold Shotel</t>
  </si>
  <si>
    <t>modules/a-knights-dream/Item/equip_weapon_shotel_gold.webp</t>
  </si>
  <si>
    <t>Gold Sickle</t>
  </si>
  <si>
    <t>modules/a-knights-dream/Item/equip_weapon_sickle_gold.webp</t>
  </si>
  <si>
    <t>Gold Sling</t>
  </si>
  <si>
    <t>modules/a-knights-dream/Item/equip_weapon_sling_gold.webp</t>
  </si>
  <si>
    <t>Gold Staff</t>
  </si>
  <si>
    <t>modules/a-knights-dream/Item/equip_weapon_staff_gold.webp</t>
  </si>
  <si>
    <t>Gold Staff Sling</t>
  </si>
  <si>
    <t>modules/a-knights-dream/Item/equip_weapon_sling_staff_gold.webp</t>
  </si>
  <si>
    <t>Gold Sword</t>
  </si>
  <si>
    <t>modules/a-knights-dream/Item/equip_weapon_sword_gold.webp</t>
  </si>
  <si>
    <t>Gold Tapal</t>
  </si>
  <si>
    <t>modules/a-knights-dream/Item/equip_weapon_tapal_gold.webp</t>
  </si>
  <si>
    <t>Gold Trident</t>
  </si>
  <si>
    <t>modules/a-knights-dream/Item/equip_weapon_trident_gold.webp</t>
  </si>
  <si>
    <t>Gold War Hammer</t>
  </si>
  <si>
    <t>modules/a-knights-dream/Item/equip_weapon_hammer_war_gold.webp</t>
  </si>
  <si>
    <t>Gold War Pick</t>
  </si>
  <si>
    <t>modules/a-knights-dream/Item/equip_weapon_pick_war_gold.webp</t>
  </si>
  <si>
    <t>Gold Brigantine Cuirass</t>
  </si>
  <si>
    <t>modules/a-knights-dream/Item/equip_armor_brigantine_cuirass_gold.webp</t>
  </si>
  <si>
    <t>Gold Brigantine Gauntlets</t>
  </si>
  <si>
    <t>modules/a-knights-dream/Item/equip_armor_brigantine_gauntlets_gold.webp</t>
  </si>
  <si>
    <t>Gold Brigantine Greaves</t>
  </si>
  <si>
    <t>modules/a-knights-dream/Item/equip_armor_brigantine_greaves_gold.webp</t>
  </si>
  <si>
    <t>Gold Brigantine Helmet</t>
  </si>
  <si>
    <t>modules/a-knights-dream/Item/equip_armor_brigantine_helmet_gold.webp</t>
  </si>
  <si>
    <t>Gold Brigantine Pauldron</t>
  </si>
  <si>
    <t>modules/a-knights-dream/Item/equip_armor_brigantine_pauldron_gold.webp</t>
  </si>
  <si>
    <t>Gold Chainmail Cuirass</t>
  </si>
  <si>
    <t>modules/a-knights-dream/Item/equip_armor_chainmail_cuirass_gold.webp</t>
  </si>
  <si>
    <t>Gold Chainmail Gauntlets</t>
  </si>
  <si>
    <t>modules/a-knights-dream/Item/equip_armor_chainmail_gauntlets_gold.webp</t>
  </si>
  <si>
    <t>Gold Chainmail Greaves</t>
  </si>
  <si>
    <t>modules/a-knights-dream/Item/equip_armor_chainmail_greaves_gold.webp</t>
  </si>
  <si>
    <t>Gold Chainmail Helmet</t>
  </si>
  <si>
    <t>modules/a-knights-dream/Item/equip_armor_chainmail_helmet_gold.webp</t>
  </si>
  <si>
    <t>Gold Chainmail Pauldron</t>
  </si>
  <si>
    <t>modules/a-knights-dream/Item/equip_armor_chainmail_pauldron_gold.webp</t>
  </si>
  <si>
    <t>Gold Gamberson Cuirass</t>
  </si>
  <si>
    <t>modules/a-knights-dream/Item/equip_armor_gamberson_cuirass_gold.webp</t>
  </si>
  <si>
    <t>Gold Gamberson Gauntlets</t>
  </si>
  <si>
    <t>modules/a-knights-dream/Item/equip_armor_gamberson_gauntlets_gold.webp</t>
  </si>
  <si>
    <t>Gold Gamberson Greaves</t>
  </si>
  <si>
    <t>modules/a-knights-dream/Item/equip_armor_gamberson_greaves_gold.webp</t>
  </si>
  <si>
    <t>Gold Gamberson Helmet</t>
  </si>
  <si>
    <t>modules/a-knights-dream/Item/equip_armor_gamberson_helmet_gold.webp</t>
  </si>
  <si>
    <t>Gold Gamberson Pauldron</t>
  </si>
  <si>
    <t>modules/a-knights-dream/Item/equip_armor_gamberson_pauldron_gold.webp</t>
  </si>
  <si>
    <t>Gold Hauberk Cuirass</t>
  </si>
  <si>
    <t>modules/a-knights-dream/Item/equip_armor_hauberk_cuirass_gold.webp</t>
  </si>
  <si>
    <t>Gold Hauberk Gauntlets</t>
  </si>
  <si>
    <t>modules/a-knights-dream/Item/equip_armor_hauberk_gauntlets_gold.webp</t>
  </si>
  <si>
    <t>Gold Hauberk Greaves</t>
  </si>
  <si>
    <t>modules/a-knights-dream/Item/equip_armor_hauberk_greaves_gold.webp</t>
  </si>
  <si>
    <t>Gold Hauberk Helmet</t>
  </si>
  <si>
    <t>modules/a-knights-dream/Item/equip_armor_hauberk_helmet_gold.webp</t>
  </si>
  <si>
    <t>Gold Hauberk Pauldron</t>
  </si>
  <si>
    <t>modules/a-knights-dream/Item/equip_armor_hauberk_pauldron_gold.webp</t>
  </si>
  <si>
    <t>Gold Jack Cuirass</t>
  </si>
  <si>
    <t>modules/a-knights-dream/Item/equip_armor_jack_cuirass_gold.webp</t>
  </si>
  <si>
    <t>Gold Jack Gauntlets</t>
  </si>
  <si>
    <t>modules/a-knights-dream/Item/equip_armor_jack_gauntlets_gold.webp</t>
  </si>
  <si>
    <t>Gold Jack Greaves</t>
  </si>
  <si>
    <t>modules/a-knights-dream/Item/equip_armor_jack_greaves_gold.webp</t>
  </si>
  <si>
    <t>Gold Jack Helmet</t>
  </si>
  <si>
    <t>modules/a-knights-dream/Item/equip_armor_jack_helmet_gold.webp</t>
  </si>
  <si>
    <t>Gold Jack Pauldron</t>
  </si>
  <si>
    <t>modules/a-knights-dream/Item/equip_armor_jack_pauldron_gold.webp</t>
  </si>
  <si>
    <t>Gold Lamellar Cuirass</t>
  </si>
  <si>
    <t>modules/a-knights-dream/Item/equip_armor_lamellar_cuirass_gold.webp</t>
  </si>
  <si>
    <t>Gold Lamellar Gauntlets</t>
  </si>
  <si>
    <t>modules/a-knights-dream/Item/equip_armor_lamellar_gauntlets_gold.webp</t>
  </si>
  <si>
    <t>Gold Lamellar Greaves</t>
  </si>
  <si>
    <t>modules/a-knights-dream/Item/equip_armor_lamellar_greaves_gold.webp</t>
  </si>
  <si>
    <t>Gold Lamellar Helmet</t>
  </si>
  <si>
    <t>modules/a-knights-dream/Item/equip_armor_lamellar_helmet_gold.webp</t>
  </si>
  <si>
    <t>Gold Lamellar Pauldron</t>
  </si>
  <si>
    <t>modules/a-knights-dream/Item/equip_armor_lamellar_pauldron_gold.webp</t>
  </si>
  <si>
    <t>Gold Platemail Cuirass</t>
  </si>
  <si>
    <t>modules/a-knights-dream/Item/equip_armor_platemail_cuirass_gold.webp</t>
  </si>
  <si>
    <t>Gold Platemail Gauntlets</t>
  </si>
  <si>
    <t>modules/a-knights-dream/Item/equip_armor_platemail_gauntlets_gold.webp</t>
  </si>
  <si>
    <t>Gold Platemail Greaves</t>
  </si>
  <si>
    <t>modules/a-knights-dream/Item/equip_armor_platemail_greaves_gold.webp</t>
  </si>
  <si>
    <t>Gold Platemail Helmet</t>
  </si>
  <si>
    <t>modules/a-knights-dream/Item/equip_armor_platemail_helmet_gold.webp</t>
  </si>
  <si>
    <t>Gold Platemail Pauldron</t>
  </si>
  <si>
    <t>modules/a-knights-dream/Item/equip_armor_platemail_pauldron_gold.webp</t>
  </si>
  <si>
    <t>Gold Tunic Cuirass</t>
  </si>
  <si>
    <t>modules/a-knights-dream/Item/equip_armor_tunic_cuirass_gold.webp</t>
  </si>
  <si>
    <t>Gold Tunic Gauntlets</t>
  </si>
  <si>
    <t>modules/a-knights-dream/Item/equip_armor_tunic_gauntlets_gold.webp</t>
  </si>
  <si>
    <t>Gold Tunic Greaves</t>
  </si>
  <si>
    <t>modules/a-knights-dream/Item/equip_armor_tunic_greaves_gold.webp</t>
  </si>
  <si>
    <t>Gold Tunic Helmet</t>
  </si>
  <si>
    <t>modules/a-knights-dream/Item/equip_armor_tunic_helmet_gold.webp</t>
  </si>
  <si>
    <t>Gold Tunic Pauldron</t>
  </si>
  <si>
    <t>modules/a-knights-dream/Item/equip_armor_tunic_pauldron_gold.webp</t>
  </si>
  <si>
    <t>Gold Buckler Shield</t>
  </si>
  <si>
    <t>modules/a-knights-dream/Item/equip_armor_shield_buckler_gold.webp</t>
  </si>
  <si>
    <t>Gold Heater Shield</t>
  </si>
  <si>
    <t>modules/a-knights-dream/Item/equip_armor_shield_heater_gold.webp</t>
  </si>
  <si>
    <t>Gold Kite Shield</t>
  </si>
  <si>
    <t>modules/a-knights-dream/Item/equip_armor_shield_kite_gold.webp</t>
  </si>
  <si>
    <t>Gold Oval Shield</t>
  </si>
  <si>
    <t>modules/a-knights-dream/Item/equip_armor_shield_oval_gold.webp</t>
  </si>
  <si>
    <t>Gold Round Shield</t>
  </si>
  <si>
    <t>modules/a-knights-dream/Item/equip_armor_shield_round_gold.webp</t>
  </si>
  <si>
    <t>Gold Tower Shield</t>
  </si>
  <si>
    <t>modules/a-knights-dream/Item/equip_armor_shield_tower_gold.webp</t>
  </si>
  <si>
    <t>Hizagkuur</t>
  </si>
  <si>
    <t>Hizagkuur Ball Bearings</t>
  </si>
  <si>
    <t>modules/a-knights-dream/Item/equip_weapon_bearings_hizagkuur.webp</t>
  </si>
  <si>
    <t>Hizagkuur Bardiche</t>
  </si>
  <si>
    <t>modules/a-knights-dream/Item/equip_weapon_bardiche_hizagkuur.webp</t>
  </si>
  <si>
    <t>Hizagkuur Bastard Sword</t>
  </si>
  <si>
    <t>modules/a-knights-dream/Item/equip_weapon_sword_bastard_hizagkuur.webp</t>
  </si>
  <si>
    <t>Hizagkuur Battle Axe</t>
  </si>
  <si>
    <t>modules/a-knights-dream/Item/equip_weapon_axe_battle_hizagkuur.webp</t>
  </si>
  <si>
    <t>Hizagkuur Blowgun</t>
  </si>
  <si>
    <t>modules/a-knights-dream/Item/equip_weapon_blowgun_hizagkuur.webp</t>
  </si>
  <si>
    <t>Hizagkuur Bolt</t>
  </si>
  <si>
    <t>modules/a-knights-dream/Item/equip_weapon_bolt_hizagkuur.webp</t>
  </si>
  <si>
    <t>Hizagkuur Boomerang</t>
  </si>
  <si>
    <t>modules/a-knights-dream/Item/equip_weapon_boomerang_hizagkuur.webp</t>
  </si>
  <si>
    <t>Hizagkuur Bow</t>
  </si>
  <si>
    <t>modules/a-knights-dream/Item/equip_weapon_bow_hizagkuur.webp</t>
  </si>
  <si>
    <t>Hizagkuur Caltrops</t>
  </si>
  <si>
    <t>modules/a-knights-dream/Item/equip_weapon_caltrops_hizagkuur.webp</t>
  </si>
  <si>
    <t>Hizagkuur Cestus</t>
  </si>
  <si>
    <t>modules/a-knights-dream/Item/equip_weapon_cestus_hizagkuur.webp</t>
  </si>
  <si>
    <t>Hizagkuur Chain</t>
  </si>
  <si>
    <t>modules/a-knights-dream/Item/equip_weapon_chain_hizagkuur.webp</t>
  </si>
  <si>
    <t>Hizagkuur Claymore</t>
  </si>
  <si>
    <t>modules/a-knights-dream/Item/equip_weapon_claymore_hizagkuur.webp</t>
  </si>
  <si>
    <t>Hizagkuur Club</t>
  </si>
  <si>
    <t>modules/a-knights-dream/Item/equip_weapon_club_hizagkuur.webp</t>
  </si>
  <si>
    <t>Hizagkuur Compound Bow</t>
  </si>
  <si>
    <t>modules/a-knights-dream/Item/equip_weapon_bow_compound_hizagkuur.webp</t>
  </si>
  <si>
    <t>Hizagkuur Cutlass</t>
  </si>
  <si>
    <t>modules/a-knights-dream/Item/equip_weapon_cutlass_hizagkuur.webp</t>
  </si>
  <si>
    <t>Hizagkuur Dagger</t>
  </si>
  <si>
    <t>modules/a-knights-dream/Item/equip_weapon_dagger_hizagkuur.webp</t>
  </si>
  <si>
    <t>Hizagkuur Dart</t>
  </si>
  <si>
    <t>modules/a-knights-dream/Item/equip_weapon_dart_hizagkuur.webp</t>
  </si>
  <si>
    <t>Hizagkuur Fauchard Scythe</t>
  </si>
  <si>
    <t>modules/a-knights-dream/Item/equip_weapon_scythe_fauchard_hizagkuur.webp</t>
  </si>
  <si>
    <t>Hizagkuur Flail</t>
  </si>
  <si>
    <t>modules/a-knights-dream/Item/equip_weapon_flail_hizagkuur.webp</t>
  </si>
  <si>
    <t>Hizagkuur Glaive</t>
  </si>
  <si>
    <t>modules/a-knights-dream/Item/equip_weapon_glaive_hizagkuur.webp</t>
  </si>
  <si>
    <t>Hizagkuur Grapple Hook</t>
  </si>
  <si>
    <t>modules/a-knights-dream/Item/equip_weapon_hook_grapple_hizagkuur.webp</t>
  </si>
  <si>
    <t>Hizagkuur Great Axe</t>
  </si>
  <si>
    <t>modules/a-knights-dream/Item/equip_weapon_axe_great_hizagkuur.webp</t>
  </si>
  <si>
    <t>Hizagkuur Great Club</t>
  </si>
  <si>
    <t>modules/a-knights-dream/Item/equip_weapon_club_great_hizagkuur.webp</t>
  </si>
  <si>
    <t>Hizagkuur Great Khyber</t>
  </si>
  <si>
    <t>modules/a-knights-dream/Item/equip_weapon_khyber_great_hizagkuur.webp</t>
  </si>
  <si>
    <t>Hizagkuur Great Konda</t>
  </si>
  <si>
    <t>modules/a-knights-dream/Item/equip_weapon_konda_great_hizagkuur.webp</t>
  </si>
  <si>
    <t>Hizagkuur Great Labrys</t>
  </si>
  <si>
    <t>modules/a-knights-dream/Item/equip_weapon_axe_labrys_great_hizagkuur.webp</t>
  </si>
  <si>
    <t>Hizagkuur Great Mace</t>
  </si>
  <si>
    <t>modules/a-knights-dream/Item/equip_weapon_mace_great_hizagkuur.webp</t>
  </si>
  <si>
    <t>Hizagkuur Great Tapal</t>
  </si>
  <si>
    <t>modules/a-knights-dream/Item/equip_weapon_tapal_great_hizagkuur.webp</t>
  </si>
  <si>
    <t>Hizagkuur Great War Bow</t>
  </si>
  <si>
    <t>modules/a-knights-dream/Item/equip_weapon_bow_war_great_hizagkuur.webp</t>
  </si>
  <si>
    <t>Hizagkuur Great War Hammer</t>
  </si>
  <si>
    <t>modules/a-knights-dream/Item/equip_weapon_hammer_war_great_hizagkuur.webp</t>
  </si>
  <si>
    <t>Hizagkuur Great War Pick</t>
  </si>
  <si>
    <t>modules/a-knights-dream/Item/equip_weapon_pick_war_great_hizagkuur.webp</t>
  </si>
  <si>
    <t>Hizagkuur Guisarme</t>
  </si>
  <si>
    <t>modules/a-knights-dream/Item/equip_weapon_guisarme_hizagkuur.webp</t>
  </si>
  <si>
    <t>Hizagkuur Halberd</t>
  </si>
  <si>
    <t>modules/a-knights-dream/Item/equip_weapon_halberd_hizagkuur.webp</t>
  </si>
  <si>
    <t>Hizagkuur Hand Crossbow</t>
  </si>
  <si>
    <t>modules/a-knights-dream/Item/equip_weapon_crossbow_hand_hizagkuur.webp</t>
  </si>
  <si>
    <t>Hizagkuur Hand axe</t>
  </si>
  <si>
    <t>modules/a-knights-dream/Item/equip_weapon_axe_hand_hizagkuur.webp</t>
  </si>
  <si>
    <t>Hizagkuur Heavy Crossbow</t>
  </si>
  <si>
    <t>modules/a-knights-dream/Item/equip_weapon_crossbow_heavy_hizagkuur.webp</t>
  </si>
  <si>
    <t>Hizagkuur Hunting Trap</t>
  </si>
  <si>
    <t>modules/a-knights-dream/Item/equip_weapon_trap_hunting_hizagkuur.webp</t>
  </si>
  <si>
    <t>Hizagkuur Hunting Trap (Large)</t>
  </si>
  <si>
    <t>modules/a-knights-dream/Item/equip_weapon_trap_hunting_large_hizagkuur.webp</t>
  </si>
  <si>
    <t>Hizagkuur Hunting Trap (Small)</t>
  </si>
  <si>
    <t>modules/a-knights-dream/Item/equip_weapon_trap_hunting_small_hizagkuur.webp</t>
  </si>
  <si>
    <t>Hizagkuur Javelin</t>
  </si>
  <si>
    <t>modules/a-knights-dream/Item/equip_weapon_javelin_hizagkuur.webp</t>
  </si>
  <si>
    <t>Hizagkuur Khpesh</t>
  </si>
  <si>
    <t>modules/a-knights-dream/Item/equip_weapon_khpesh_hizagkuur.webp</t>
  </si>
  <si>
    <t>Hizagkuur Khyber</t>
  </si>
  <si>
    <t>modules/a-knights-dream/Item/equip_weapon_khyber_hizagkuur.webp</t>
  </si>
  <si>
    <t>Hizagkuur Konda</t>
  </si>
  <si>
    <t>modules/a-knights-dream/Item/equip_weapon_konda_hizagkuur.webp</t>
  </si>
  <si>
    <t>Hizagkuur Labrys</t>
  </si>
  <si>
    <t>modules/a-knights-dream/Item/equip_weapon_axe_labrys_hizagkuur.webp</t>
  </si>
  <si>
    <t>Hizagkuur Lance</t>
  </si>
  <si>
    <t>modules/a-knights-dream/Item/equip_weapon_lance_hizagkuur.webp</t>
  </si>
  <si>
    <t>Hizagkuur Light Crossbow</t>
  </si>
  <si>
    <t>modules/a-knights-dream/Item/equip_weapon_crossbow_light_hizagkuur.webp</t>
  </si>
  <si>
    <t>Hizagkuur Long Bow</t>
  </si>
  <si>
    <t>modules/a-knights-dream/Item/equip_weapon_bow_long_hizagkuur.webp</t>
  </si>
  <si>
    <t>Hizagkuur Long Spear</t>
  </si>
  <si>
    <t>modules/a-knights-dream/Item/equip_weapon_spear_long_hizagkuur.webp</t>
  </si>
  <si>
    <t>Hizagkuur Lucerince Hammer</t>
  </si>
  <si>
    <t>modules/a-knights-dream/Item/equip_weapon_hammer_lucerince_hizagkuur.webp</t>
  </si>
  <si>
    <t>Hizagkuur Mace</t>
  </si>
  <si>
    <t>modules/a-knights-dream/Item/equip_weapon_mace_hizagkuur.webp</t>
  </si>
  <si>
    <t>Hizagkuur Morningstar</t>
  </si>
  <si>
    <t>modules/a-knights-dream/Item/equip_weapon_morningstar_hizagkuur.webp</t>
  </si>
  <si>
    <t>Hizagkuur Pike</t>
  </si>
  <si>
    <t>modules/a-knights-dream/Item/equip_weapon_pike_hizagkuur.webp</t>
  </si>
  <si>
    <t>Hizagkuur Quarter Staff</t>
  </si>
  <si>
    <t>modules/a-knights-dream/Item/equip_weapon_staff_quarter_hizagkuur.webp</t>
  </si>
  <si>
    <t>Hizagkuur Ranseur</t>
  </si>
  <si>
    <t>modules/a-knights-dream/Item/equip_weapon_ranseur_hizagkuur.webp</t>
  </si>
  <si>
    <t>Hizagkuur Rapier</t>
  </si>
  <si>
    <t>modules/a-knights-dream/Item/equip_weapon_rapier_hizagkuur.webp</t>
  </si>
  <si>
    <t>Hizagkuur Recurve Bow</t>
  </si>
  <si>
    <t>modules/a-knights-dream/Item/equip_weapon_bow_recurve_hizagkuur.webp</t>
  </si>
  <si>
    <t>Hizagkuur Repeater Crossbow</t>
  </si>
  <si>
    <t>modules/a-knights-dream/Item/equip_weapon_crossbow_repeater_hizagkuur.webp</t>
  </si>
  <si>
    <t>Hizagkuur Sabre</t>
  </si>
  <si>
    <t>modules/a-knights-dream/Item/equip_weapon_sabre_hizagkuur.webp</t>
  </si>
  <si>
    <t>Hizagkuur Scimitar</t>
  </si>
  <si>
    <t>modules/a-knights-dream/Item/equip_weapon_scimitar_hizagkuur.webp</t>
  </si>
  <si>
    <t>Hizagkuur Scythe</t>
  </si>
  <si>
    <t>modules/a-knights-dream/Item/equip_weapon_scythe_hizagkuur.webp</t>
  </si>
  <si>
    <t>Hizagkuur Short Bow</t>
  </si>
  <si>
    <t>modules/a-knights-dream/Item/equip_weapon_bow_short_hizagkuur.webp</t>
  </si>
  <si>
    <t>Hizagkuur Short Spear</t>
  </si>
  <si>
    <t>modules/a-knights-dream/Item/equip_weapon_spear_short_hizagkuur.webp</t>
  </si>
  <si>
    <t>Hizagkuur Short Sword</t>
  </si>
  <si>
    <t>modules/a-knights-dream/Item/equip_weapon_sword_short_hizagkuur.webp</t>
  </si>
  <si>
    <t>Hizagkuur Shotel</t>
  </si>
  <si>
    <t>modules/a-knights-dream/Item/equip_weapon_shotel_hizagkuur.webp</t>
  </si>
  <si>
    <t>Hizagkuur Sickle</t>
  </si>
  <si>
    <t>modules/a-knights-dream/Item/equip_weapon_sickle_hizagkuur.webp</t>
  </si>
  <si>
    <t>Hizagkuur Sling</t>
  </si>
  <si>
    <t>modules/a-knights-dream/Item/equip_weapon_sling_hizagkuur.webp</t>
  </si>
  <si>
    <t>Hizagkuur Staff</t>
  </si>
  <si>
    <t>modules/a-knights-dream/Item/equip_weapon_staff_hizagkuur.webp</t>
  </si>
  <si>
    <t>Hizagkuur Staff Sling</t>
  </si>
  <si>
    <t>modules/a-knights-dream/Item/equip_weapon_sling_staff_hizagkuur.webp</t>
  </si>
  <si>
    <t>Hizagkuur Sword</t>
  </si>
  <si>
    <t>modules/a-knights-dream/Item/equip_weapon_sword_hizagkuur.webp</t>
  </si>
  <si>
    <t>Hizagkuur Tapal</t>
  </si>
  <si>
    <t>modules/a-knights-dream/Item/equip_weapon_tapal_hizagkuur.webp</t>
  </si>
  <si>
    <t>Hizagkuur Trident</t>
  </si>
  <si>
    <t>modules/a-knights-dream/Item/equip_weapon_trident_hizagkuur.webp</t>
  </si>
  <si>
    <t>Hizagkuur War Hammer</t>
  </si>
  <si>
    <t>modules/a-knights-dream/Item/equip_weapon_hammer_war_hizagkuur.webp</t>
  </si>
  <si>
    <t>Hizagkuur War Pick</t>
  </si>
  <si>
    <t>modules/a-knights-dream/Item/equip_weapon_pick_war_hizagkuur.webp</t>
  </si>
  <si>
    <t>Hizagkuur Brigantine Cuirass</t>
  </si>
  <si>
    <t>modules/a-knights-dream/Item/equip_armor_brigantine_cuirass_hizagkuur.webp</t>
  </si>
  <si>
    <t>Hizagkuur Brigantine Gauntlets</t>
  </si>
  <si>
    <t>modules/a-knights-dream/Item/equip_armor_brigantine_gauntlets_hizagkuur.webp</t>
  </si>
  <si>
    <t>Hizagkuur Brigantine Greaves</t>
  </si>
  <si>
    <t>modules/a-knights-dream/Item/equip_armor_brigantine_greaves_hizagkuur.webp</t>
  </si>
  <si>
    <t>Hizagkuur Brigantine Helmet</t>
  </si>
  <si>
    <t>modules/a-knights-dream/Item/equip_armor_brigantine_helmet_hizagkuur.webp</t>
  </si>
  <si>
    <t>Hizagkuur Brigantine Pauldron</t>
  </si>
  <si>
    <t>modules/a-knights-dream/Item/equip_armor_brigantine_pauldron_hizagkuur.webp</t>
  </si>
  <si>
    <t>Hizagkuur Chainmail Cuirass</t>
  </si>
  <si>
    <t>modules/a-knights-dream/Item/equip_armor_chainmail_cuirass_hizagkuur.webp</t>
  </si>
  <si>
    <t>Hizagkuur Chainmail Gauntlets</t>
  </si>
  <si>
    <t>modules/a-knights-dream/Item/equip_armor_chainmail_gauntlets_hizagkuur.webp</t>
  </si>
  <si>
    <t>Hizagkuur Chainmail Greaves</t>
  </si>
  <si>
    <t>modules/a-knights-dream/Item/equip_armor_chainmail_greaves_hizagkuur.webp</t>
  </si>
  <si>
    <t>Hizagkuur Chainmail Helmet</t>
  </si>
  <si>
    <t>modules/a-knights-dream/Item/equip_armor_chainmail_helmet_hizagkuur.webp</t>
  </si>
  <si>
    <t>Hizagkuur Chainmail Pauldron</t>
  </si>
  <si>
    <t>modules/a-knights-dream/Item/equip_armor_chainmail_pauldron_hizagkuur.webp</t>
  </si>
  <si>
    <t>Hizagkuur Gamberson Cuirass</t>
  </si>
  <si>
    <t>modules/a-knights-dream/Item/equip_armor_gamberson_cuirass_hizagkuur.webp</t>
  </si>
  <si>
    <t>Hizagkuur Gamberson Gauntlets</t>
  </si>
  <si>
    <t>modules/a-knights-dream/Item/equip_armor_gamberson_gauntlets_hizagkuur.webp</t>
  </si>
  <si>
    <t>Hizagkuur Gamberson Greaves</t>
  </si>
  <si>
    <t>modules/a-knights-dream/Item/equip_armor_gamberson_greaves_hizagkuur.webp</t>
  </si>
  <si>
    <t>Hizagkuur Gamberson Helmet</t>
  </si>
  <si>
    <t>modules/a-knights-dream/Item/equip_armor_gamberson_helmet_hizagkuur.webp</t>
  </si>
  <si>
    <t>Hizagkuur Gamberson Pauldron</t>
  </si>
  <si>
    <t>modules/a-knights-dream/Item/equip_armor_gamberson_pauldron_hizagkuur.webp</t>
  </si>
  <si>
    <t>Hizagkuur Hauberk Cuirass</t>
  </si>
  <si>
    <t>modules/a-knights-dream/Item/equip_armor_hauberk_cuirass_hizagkuur.webp</t>
  </si>
  <si>
    <t>Hizagkuur Hauberk Gauntlets</t>
  </si>
  <si>
    <t>modules/a-knights-dream/Item/equip_armor_hauberk_gauntlets_hizagkuur.webp</t>
  </si>
  <si>
    <t>Hizagkuur Hauberk Greaves</t>
  </si>
  <si>
    <t>modules/a-knights-dream/Item/equip_armor_hauberk_greaves_hizagkuur.webp</t>
  </si>
  <si>
    <t>Hizagkuur Hauberk Helmet</t>
  </si>
  <si>
    <t>modules/a-knights-dream/Item/equip_armor_hauberk_helmet_hizagkuur.webp</t>
  </si>
  <si>
    <t>Hizagkuur Hauberk Pauldron</t>
  </si>
  <si>
    <t>modules/a-knights-dream/Item/equip_armor_hauberk_pauldron_hizagkuur.webp</t>
  </si>
  <si>
    <t>Hizagkuur Jack Cuirass</t>
  </si>
  <si>
    <t>modules/a-knights-dream/Item/equip_armor_jack_cuirass_hizagkuur.webp</t>
  </si>
  <si>
    <t>Hizagkuur Jack Gauntlets</t>
  </si>
  <si>
    <t>modules/a-knights-dream/Item/equip_armor_jack_gauntlets_hizagkuur.webp</t>
  </si>
  <si>
    <t>Hizagkuur Jack Greaves</t>
  </si>
  <si>
    <t>modules/a-knights-dream/Item/equip_armor_jack_greaves_hizagkuur.webp</t>
  </si>
  <si>
    <t>Hizagkuur Jack Helmet</t>
  </si>
  <si>
    <t>modules/a-knights-dream/Item/equip_armor_jack_helmet_hizagkuur.webp</t>
  </si>
  <si>
    <t>Hizagkuur Jack Pauldron</t>
  </si>
  <si>
    <t>modules/a-knights-dream/Item/equip_armor_jack_pauldron_hizagkuur.webp</t>
  </si>
  <si>
    <t>Hizagkuur Lamellar Cuirass</t>
  </si>
  <si>
    <t>modules/a-knights-dream/Item/equip_armor_lamellar_cuirass_hizagkuur.webp</t>
  </si>
  <si>
    <t>Hizagkuur Lamellar Gauntlets</t>
  </si>
  <si>
    <t>modules/a-knights-dream/Item/equip_armor_lamellar_gauntlets_hizagkuur.webp</t>
  </si>
  <si>
    <t>Hizagkuur Lamellar Greaves</t>
  </si>
  <si>
    <t>modules/a-knights-dream/Item/equip_armor_lamellar_greaves_hizagkuur.webp</t>
  </si>
  <si>
    <t>Hizagkuur Lamellar Helmet</t>
  </si>
  <si>
    <t>modules/a-knights-dream/Item/equip_armor_lamellar_helmet_hizagkuur.webp</t>
  </si>
  <si>
    <t>Hizagkuur Lamellar Pauldron</t>
  </si>
  <si>
    <t>modules/a-knights-dream/Item/equip_armor_lamellar_pauldron_hizagkuur.webp</t>
  </si>
  <si>
    <t>Hizagkuur Platemail Cuirass</t>
  </si>
  <si>
    <t>modules/a-knights-dream/Item/equip_armor_platemail_cuirass_hizagkuur.webp</t>
  </si>
  <si>
    <t>Hizagkuur Platemail Gauntlets</t>
  </si>
  <si>
    <t>modules/a-knights-dream/Item/equip_armor_platemail_gauntlets_hizagkuur.webp</t>
  </si>
  <si>
    <t>Hizagkuur Platemail Greaves</t>
  </si>
  <si>
    <t>modules/a-knights-dream/Item/equip_armor_platemail_greaves_hizagkuur.webp</t>
  </si>
  <si>
    <t>Hizagkuur Platemail Helmet</t>
  </si>
  <si>
    <t>modules/a-knights-dream/Item/equip_armor_platemail_helmet_hizagkuur.webp</t>
  </si>
  <si>
    <t>Hizagkuur Platemail Pauldron</t>
  </si>
  <si>
    <t>modules/a-knights-dream/Item/equip_armor_platemail_pauldron_hizagkuur.webp</t>
  </si>
  <si>
    <t>Hizagkuur Tunic Cuirass</t>
  </si>
  <si>
    <t>modules/a-knights-dream/Item/equip_armor_tunic_cuirass_hizagkuur.webp</t>
  </si>
  <si>
    <t>Hizagkuur Tunic Gauntlets</t>
  </si>
  <si>
    <t>modules/a-knights-dream/Item/equip_armor_tunic_gauntlets_hizagkuur.webp</t>
  </si>
  <si>
    <t>Hizagkuur Tunic Greaves</t>
  </si>
  <si>
    <t>modules/a-knights-dream/Item/equip_armor_tunic_greaves_hizagkuur.webp</t>
  </si>
  <si>
    <t>Hizagkuur Tunic Helmet</t>
  </si>
  <si>
    <t>modules/a-knights-dream/Item/equip_armor_tunic_helmet_hizagkuur.webp</t>
  </si>
  <si>
    <t>Hizagkuur Tunic Pauldron</t>
  </si>
  <si>
    <t>modules/a-knights-dream/Item/equip_armor_tunic_pauldron_hizagkuur.webp</t>
  </si>
  <si>
    <t>Hizagkuur Buckler Shield</t>
  </si>
  <si>
    <t>modules/a-knights-dream/Item/equip_armor_shield_buckler_hizagkuur.webp</t>
  </si>
  <si>
    <t>Hizagkuur Heater Shield</t>
  </si>
  <si>
    <t>modules/a-knights-dream/Item/equip_armor_shield_heater_hizagkuur.webp</t>
  </si>
  <si>
    <t>Hizagkuur Kite Shield</t>
  </si>
  <si>
    <t>modules/a-knights-dream/Item/equip_armor_shield_kite_hizagkuur.webp</t>
  </si>
  <si>
    <t>Hizagkuur Oval Shield</t>
  </si>
  <si>
    <t>modules/a-knights-dream/Item/equip_armor_shield_oval_hizagkuur.webp</t>
  </si>
  <si>
    <t>Hizagkuur Round Shield</t>
  </si>
  <si>
    <t>modules/a-knights-dream/Item/equip_armor_shield_round_hizagkuur.webp</t>
  </si>
  <si>
    <t>Hizagkuur Tower Shield</t>
  </si>
  <si>
    <t>modules/a-knights-dream/Item/equip_armor_shield_tower_hizagkuur.webp</t>
  </si>
  <si>
    <t>Iron</t>
  </si>
  <si>
    <t>Iron Ball Bearings</t>
  </si>
  <si>
    <t>modules/a-knights-dream/Item/equip_weapon_bearings_iron.webp</t>
  </si>
  <si>
    <t>Iron Bardiche</t>
  </si>
  <si>
    <t>modules/a-knights-dream/Item/equip_weapon_bardiche_iron.webp</t>
  </si>
  <si>
    <t>Iron Bastard Sword</t>
  </si>
  <si>
    <t>modules/a-knights-dream/Item/equip_weapon_sword_bastard_iron.webp</t>
  </si>
  <si>
    <t>Iron Battle Axe</t>
  </si>
  <si>
    <t>modules/a-knights-dream/Item/equip_weapon_axe_battle_iron.webp</t>
  </si>
  <si>
    <t>Iron Blowgun</t>
  </si>
  <si>
    <t>modules/a-knights-dream/Item/equip_weapon_blowgun_iron.webp</t>
  </si>
  <si>
    <t>Iron Bolt</t>
  </si>
  <si>
    <t>modules/a-knights-dream/Item/equip_weapon_bolt_iron.webp</t>
  </si>
  <si>
    <t>Iron Boomerang</t>
  </si>
  <si>
    <t>modules/a-knights-dream/Item/equip_weapon_boomerang_iron.webp</t>
  </si>
  <si>
    <t>Iron Bow</t>
  </si>
  <si>
    <t>modules/a-knights-dream/Item/equip_weapon_bow_iron.webp</t>
  </si>
  <si>
    <t>Iron Caltrops</t>
  </si>
  <si>
    <t>modules/a-knights-dream/Item/equip_weapon_caltrops_iron.webp</t>
  </si>
  <si>
    <t>Iron Cestus</t>
  </si>
  <si>
    <t>modules/a-knights-dream/Item/equip_weapon_cestus_iron.webp</t>
  </si>
  <si>
    <t>Iron Chain</t>
  </si>
  <si>
    <t>modules/a-knights-dream/Item/equip_weapon_chain_iron.webp</t>
  </si>
  <si>
    <t>Iron Claymore</t>
  </si>
  <si>
    <t>modules/a-knights-dream/Item/equip_weapon_claymore_iron.webp</t>
  </si>
  <si>
    <t>Iron Club</t>
  </si>
  <si>
    <t>modules/a-knights-dream/Item/equip_weapon_club_iron.webp</t>
  </si>
  <si>
    <t>Iron Compound Bow</t>
  </si>
  <si>
    <t>modules/a-knights-dream/Item/equip_weapon_bow_compound_iron.webp</t>
  </si>
  <si>
    <t>Iron Cutlass</t>
  </si>
  <si>
    <t>modules/a-knights-dream/Item/equip_weapon_cutlass_iron.webp</t>
  </si>
  <si>
    <t>Iron Dagger</t>
  </si>
  <si>
    <t>modules/a-knights-dream/Item/equip_weapon_dagger_iron.webp</t>
  </si>
  <si>
    <t>Iron Dart</t>
  </si>
  <si>
    <t>modules/a-knights-dream/Item/equip_weapon_dart_iron.webp</t>
  </si>
  <si>
    <t>Iron Fauchard Scythe</t>
  </si>
  <si>
    <t>modules/a-knights-dream/Item/equip_weapon_scythe_fauchard_iron.webp</t>
  </si>
  <si>
    <t>Iron Flail</t>
  </si>
  <si>
    <t>modules/a-knights-dream/Item/equip_weapon_flail_iron.webp</t>
  </si>
  <si>
    <t>Iron Glaive</t>
  </si>
  <si>
    <t>modules/a-knights-dream/Item/equip_weapon_glaive_iron.webp</t>
  </si>
  <si>
    <t>Iron Grapple Hook</t>
  </si>
  <si>
    <t>modules/a-knights-dream/Item/equip_weapon_hook_grapple_iron.webp</t>
  </si>
  <si>
    <t>Iron Great Axe</t>
  </si>
  <si>
    <t>modules/a-knights-dream/Item/equip_weapon_axe_great_iron.webp</t>
  </si>
  <si>
    <t>Iron Great Club</t>
  </si>
  <si>
    <t>modules/a-knights-dream/Item/equip_weapon_club_great_iron.webp</t>
  </si>
  <si>
    <t>Iron Great Khyber</t>
  </si>
  <si>
    <t>modules/a-knights-dream/Item/equip_weapon_khyber_great_iron.webp</t>
  </si>
  <si>
    <t>Iron Great Konda</t>
  </si>
  <si>
    <t>modules/a-knights-dream/Item/equip_weapon_konda_great_iron.webp</t>
  </si>
  <si>
    <t>Iron Great Labrys</t>
  </si>
  <si>
    <t>modules/a-knights-dream/Item/equip_weapon_axe_labrys_great_iron.webp</t>
  </si>
  <si>
    <t>Iron Great Mace</t>
  </si>
  <si>
    <t>modules/a-knights-dream/Item/equip_weapon_mace_great_iron.webp</t>
  </si>
  <si>
    <t>Iron Great Tapal</t>
  </si>
  <si>
    <t>modules/a-knights-dream/Item/equip_weapon_tapal_great_iron.webp</t>
  </si>
  <si>
    <t>Iron Great War Bow</t>
  </si>
  <si>
    <t>modules/a-knights-dream/Item/equip_weapon_bow_war_great_iron.webp</t>
  </si>
  <si>
    <t>Iron Great War Hammer</t>
  </si>
  <si>
    <t>modules/a-knights-dream/Item/equip_weapon_hammer_war_great_iron.webp</t>
  </si>
  <si>
    <t>Iron Great War Pick</t>
  </si>
  <si>
    <t>modules/a-knights-dream/Item/equip_weapon_pick_war_great_iron.webp</t>
  </si>
  <si>
    <t>Iron Guisarme</t>
  </si>
  <si>
    <t>modules/a-knights-dream/Item/equip_weapon_guisarme_iron.webp</t>
  </si>
  <si>
    <t>Iron Halberd</t>
  </si>
  <si>
    <t>modules/a-knights-dream/Item/equip_weapon_halberd_iron.webp</t>
  </si>
  <si>
    <t>Iron Hand Crossbow</t>
  </si>
  <si>
    <t>modules/a-knights-dream/Item/equip_weapon_crossbow_hand_iron.webp</t>
  </si>
  <si>
    <t>Iron Hand axe</t>
  </si>
  <si>
    <t>modules/a-knights-dream/Item/equip_weapon_axe_hand_iron.webp</t>
  </si>
  <si>
    <t>Iron Heavy Crossbow</t>
  </si>
  <si>
    <t>modules/a-knights-dream/Item/equip_weapon_crossbow_heavy_iron.webp</t>
  </si>
  <si>
    <t>Iron Hunting Trap</t>
  </si>
  <si>
    <t>modules/a-knights-dream/Item/equip_weapon_trap_hunting_iron.webp</t>
  </si>
  <si>
    <t>Iron Hunting Trap (Large)</t>
  </si>
  <si>
    <t>modules/a-knights-dream/Item/equip_weapon_trap_hunting_large_iron.webp</t>
  </si>
  <si>
    <t>Iron Hunting Trap (Small)</t>
  </si>
  <si>
    <t>modules/a-knights-dream/Item/equip_weapon_trap_hunting_small_iron.webp</t>
  </si>
  <si>
    <t>Iron Javelin</t>
  </si>
  <si>
    <t>modules/a-knights-dream/Item/equip_weapon_javelin_iron.webp</t>
  </si>
  <si>
    <t>Iron Khpesh</t>
  </si>
  <si>
    <t>modules/a-knights-dream/Item/equip_weapon_khpesh_iron.webp</t>
  </si>
  <si>
    <t>Iron Khyber</t>
  </si>
  <si>
    <t>modules/a-knights-dream/Item/equip_weapon_khyber_iron.webp</t>
  </si>
  <si>
    <t>Iron Konda</t>
  </si>
  <si>
    <t>modules/a-knights-dream/Item/equip_weapon_konda_iron.webp</t>
  </si>
  <si>
    <t>Iron Labrys</t>
  </si>
  <si>
    <t>modules/a-knights-dream/Item/equip_weapon_axe_labrys_iron.webp</t>
  </si>
  <si>
    <t>Iron Lance</t>
  </si>
  <si>
    <t>modules/a-knights-dream/Item/equip_weapon_lance_iron.webp</t>
  </si>
  <si>
    <t>Iron Light Crossbow</t>
  </si>
  <si>
    <t>modules/a-knights-dream/Item/equip_weapon_crossbow_light_iron.webp</t>
  </si>
  <si>
    <t>Iron Long Bow</t>
  </si>
  <si>
    <t>modules/a-knights-dream/Item/equip_weapon_bow_long_iron.webp</t>
  </si>
  <si>
    <t>Iron Long Spear</t>
  </si>
  <si>
    <t>modules/a-knights-dream/Item/equip_weapon_spear_long_iron.webp</t>
  </si>
  <si>
    <t>Iron Lucerince Hammer</t>
  </si>
  <si>
    <t>modules/a-knights-dream/Item/equip_weapon_hammer_lucerince_iron.webp</t>
  </si>
  <si>
    <t>Iron Mace</t>
  </si>
  <si>
    <t>modules/a-knights-dream/Item/equip_weapon_mace_iron.webp</t>
  </si>
  <si>
    <t>Iron Morningstar</t>
  </si>
  <si>
    <t>modules/a-knights-dream/Item/equip_weapon_morningstar_iron.webp</t>
  </si>
  <si>
    <t>Iron Pike</t>
  </si>
  <si>
    <t>modules/a-knights-dream/Item/equip_weapon_pike_iron.webp</t>
  </si>
  <si>
    <t>Iron Quarter Staff</t>
  </si>
  <si>
    <t>modules/a-knights-dream/Item/equip_weapon_staff_quarter_iron.webp</t>
  </si>
  <si>
    <t>Iron Ranseur</t>
  </si>
  <si>
    <t>modules/a-knights-dream/Item/equip_weapon_ranseur_iron.webp</t>
  </si>
  <si>
    <t>Iron Rapier</t>
  </si>
  <si>
    <t>modules/a-knights-dream/Item/equip_weapon_rapier_iron.webp</t>
  </si>
  <si>
    <t>Iron Recurve Bow</t>
  </si>
  <si>
    <t>modules/a-knights-dream/Item/equip_weapon_bow_recurve_iron.webp</t>
  </si>
  <si>
    <t>Iron Repeater Crossbow</t>
  </si>
  <si>
    <t>modules/a-knights-dream/Item/equip_weapon_crossbow_repeater_iron.webp</t>
  </si>
  <si>
    <t>Iron Sabre</t>
  </si>
  <si>
    <t>modules/a-knights-dream/Item/equip_weapon_sabre_iron.webp</t>
  </si>
  <si>
    <t>Iron Scimitar</t>
  </si>
  <si>
    <t>modules/a-knights-dream/Item/equip_weapon_scimitar_iron.webp</t>
  </si>
  <si>
    <t>Iron Scythe</t>
  </si>
  <si>
    <t>modules/a-knights-dream/Item/equip_weapon_scythe_iron.webp</t>
  </si>
  <si>
    <t>Iron Short Bow</t>
  </si>
  <si>
    <t>modules/a-knights-dream/Item/equip_weapon_bow_short_iron.webp</t>
  </si>
  <si>
    <t>Iron Short Spear</t>
  </si>
  <si>
    <t>modules/a-knights-dream/Item/equip_weapon_spear_short_iron.webp</t>
  </si>
  <si>
    <t>Iron Short Sword</t>
  </si>
  <si>
    <t>modules/a-knights-dream/Item/equip_weapon_sword_short_iron.webp</t>
  </si>
  <si>
    <t>Iron Shotel</t>
  </si>
  <si>
    <t>modules/a-knights-dream/Item/equip_weapon_shotel_iron.webp</t>
  </si>
  <si>
    <t>Iron Sickle</t>
  </si>
  <si>
    <t>modules/a-knights-dream/Item/equip_weapon_sickle_iron.webp</t>
  </si>
  <si>
    <t>Iron Sling</t>
  </si>
  <si>
    <t>modules/a-knights-dream/Item/equip_weapon_sling_iron.webp</t>
  </si>
  <si>
    <t>Iron Staff</t>
  </si>
  <si>
    <t>modules/a-knights-dream/Item/equip_weapon_staff_iron.webp</t>
  </si>
  <si>
    <t>Iron Staff Sling</t>
  </si>
  <si>
    <t>modules/a-knights-dream/Item/equip_weapon_sling_staff_iron.webp</t>
  </si>
  <si>
    <t>Iron Sword</t>
  </si>
  <si>
    <t>modules/a-knights-dream/Item/equip_weapon_sword_iron.webp</t>
  </si>
  <si>
    <t>Iron Tapal</t>
  </si>
  <si>
    <t>modules/a-knights-dream/Item/equip_weapon_tapal_iron.webp</t>
  </si>
  <si>
    <t>Iron Trident</t>
  </si>
  <si>
    <t>modules/a-knights-dream/Item/equip_weapon_trident_iron.webp</t>
  </si>
  <si>
    <t>Iron War Hammer</t>
  </si>
  <si>
    <t>modules/a-knights-dream/Item/equip_weapon_hammer_war_iron.webp</t>
  </si>
  <si>
    <t>Iron War Pick</t>
  </si>
  <si>
    <t>modules/a-knights-dream/Item/equip_weapon_pick_war_iron.webp</t>
  </si>
  <si>
    <t>Iron Brigantine Cuirass</t>
  </si>
  <si>
    <t>modules/a-knights-dream/Item/equip_armor_brigantine_cuirass_iron.webp</t>
  </si>
  <si>
    <t>Iron Brigantine Gauntlets</t>
  </si>
  <si>
    <t>modules/a-knights-dream/Item/equip_armor_brigantine_gauntlets_iron.webp</t>
  </si>
  <si>
    <t>Iron Brigantine Greaves</t>
  </si>
  <si>
    <t>modules/a-knights-dream/Item/equip_armor_brigantine_greaves_iron.webp</t>
  </si>
  <si>
    <t>Iron Brigantine Helmet</t>
  </si>
  <si>
    <t>modules/a-knights-dream/Item/equip_armor_brigantine_helmet_iron.webp</t>
  </si>
  <si>
    <t>Iron Brigantine Pauldron</t>
  </si>
  <si>
    <t>modules/a-knights-dream/Item/equip_armor_brigantine_pauldron_iron.webp</t>
  </si>
  <si>
    <t>Iron Chainmail Cuirass</t>
  </si>
  <si>
    <t>modules/a-knights-dream/Item/equip_armor_chainmail_cuirass_iron.webp</t>
  </si>
  <si>
    <t>Iron Chainmail Gauntlets</t>
  </si>
  <si>
    <t>modules/a-knights-dream/Item/equip_armor_chainmail_gauntlets_iron.webp</t>
  </si>
  <si>
    <t>Iron Chainmail Greaves</t>
  </si>
  <si>
    <t>modules/a-knights-dream/Item/equip_armor_chainmail_greaves_iron.webp</t>
  </si>
  <si>
    <t>Iron Chainmail Helmet</t>
  </si>
  <si>
    <t>modules/a-knights-dream/Item/equip_armor_chainmail_helmet_iron.webp</t>
  </si>
  <si>
    <t>Iron Chainmail Pauldron</t>
  </si>
  <si>
    <t>modules/a-knights-dream/Item/equip_armor_chainmail_pauldron_iron.webp</t>
  </si>
  <si>
    <t>Iron Gamberson Cuirass</t>
  </si>
  <si>
    <t>modules/a-knights-dream/Item/equip_armor_gamberson_cuirass_iron.webp</t>
  </si>
  <si>
    <t>Iron Gamberson Gauntlets</t>
  </si>
  <si>
    <t>modules/a-knights-dream/Item/equip_armor_gamberson_gauntlets_iron.webp</t>
  </si>
  <si>
    <t>Iron Gamberson Greaves</t>
  </si>
  <si>
    <t>modules/a-knights-dream/Item/equip_armor_gamberson_greaves_iron.webp</t>
  </si>
  <si>
    <t>Iron Gamberson Helmet</t>
  </si>
  <si>
    <t>modules/a-knights-dream/Item/equip_armor_gamberson_helmet_iron.webp</t>
  </si>
  <si>
    <t>Iron Gamberson Pauldron</t>
  </si>
  <si>
    <t>modules/a-knights-dream/Item/equip_armor_gamberson_pauldron_iron.webp</t>
  </si>
  <si>
    <t>Iron Hauberk Cuirass</t>
  </si>
  <si>
    <t>modules/a-knights-dream/Item/equip_armor_hauberk_cuirass_iron.webp</t>
  </si>
  <si>
    <t>Iron Hauberk Gauntlets</t>
  </si>
  <si>
    <t>modules/a-knights-dream/Item/equip_armor_hauberk_gauntlets_iron.webp</t>
  </si>
  <si>
    <t>Iron Hauberk Greaves</t>
  </si>
  <si>
    <t>modules/a-knights-dream/Item/equip_armor_hauberk_greaves_iron.webp</t>
  </si>
  <si>
    <t>Iron Hauberk Helmet</t>
  </si>
  <si>
    <t>modules/a-knights-dream/Item/equip_armor_hauberk_helmet_iron.webp</t>
  </si>
  <si>
    <t>Iron Hauberk Pauldron</t>
  </si>
  <si>
    <t>modules/a-knights-dream/Item/equip_armor_hauberk_pauldron_iron.webp</t>
  </si>
  <si>
    <t>Iron Jack Cuirass</t>
  </si>
  <si>
    <t>modules/a-knights-dream/Item/equip_armor_jack_cuirass_iron.webp</t>
  </si>
  <si>
    <t>Iron Jack Gauntlets</t>
  </si>
  <si>
    <t>modules/a-knights-dream/Item/equip_armor_jack_gauntlets_iron.webp</t>
  </si>
  <si>
    <t>Iron Jack Greaves</t>
  </si>
  <si>
    <t>modules/a-knights-dream/Item/equip_armor_jack_greaves_iron.webp</t>
  </si>
  <si>
    <t>Iron Jack Helmet</t>
  </si>
  <si>
    <t>modules/a-knights-dream/Item/equip_armor_jack_helmet_iron.webp</t>
  </si>
  <si>
    <t>Iron Jack Pauldron</t>
  </si>
  <si>
    <t>modules/a-knights-dream/Item/equip_armor_jack_pauldron_iron.webp</t>
  </si>
  <si>
    <t>Iron Lamellar Cuirass</t>
  </si>
  <si>
    <t>modules/a-knights-dream/Item/equip_armor_lamellar_cuirass_iron.webp</t>
  </si>
  <si>
    <t>Iron Lamellar Gauntlets</t>
  </si>
  <si>
    <t>modules/a-knights-dream/Item/equip_armor_lamellar_gauntlets_iron.webp</t>
  </si>
  <si>
    <t>Iron Lamellar Greaves</t>
  </si>
  <si>
    <t>modules/a-knights-dream/Item/equip_armor_lamellar_greaves_iron.webp</t>
  </si>
  <si>
    <t>Iron Lamellar Helmet</t>
  </si>
  <si>
    <t>modules/a-knights-dream/Item/equip_armor_lamellar_helmet_iron.webp</t>
  </si>
  <si>
    <t>Iron Lamellar Pauldron</t>
  </si>
  <si>
    <t>modules/a-knights-dream/Item/equip_armor_lamellar_pauldron_iron.webp</t>
  </si>
  <si>
    <t>Iron Platemail Cuirass</t>
  </si>
  <si>
    <t>modules/a-knights-dream/Item/equip_armor_platemail_cuirass_iron.webp</t>
  </si>
  <si>
    <t>Iron Platemail Gauntlets</t>
  </si>
  <si>
    <t>modules/a-knights-dream/Item/equip_armor_platemail_gauntlets_iron.webp</t>
  </si>
  <si>
    <t>Iron Platemail Greaves</t>
  </si>
  <si>
    <t>modules/a-knights-dream/Item/equip_armor_platemail_greaves_iron.webp</t>
  </si>
  <si>
    <t>Iron Platemail Helmet</t>
  </si>
  <si>
    <t>modules/a-knights-dream/Item/equip_armor_platemail_helmet_iron.webp</t>
  </si>
  <si>
    <t>Iron Platemail Pauldron</t>
  </si>
  <si>
    <t>modules/a-knights-dream/Item/equip_armor_platemail_pauldron_iron.webp</t>
  </si>
  <si>
    <t>Iron Tunic Cuirass</t>
  </si>
  <si>
    <t>modules/a-knights-dream/Item/equip_armor_tunic_cuirass_iron.webp</t>
  </si>
  <si>
    <t>Iron Tunic Gauntlets</t>
  </si>
  <si>
    <t>modules/a-knights-dream/Item/equip_armor_tunic_gauntlets_iron.webp</t>
  </si>
  <si>
    <t>Iron Tunic Greaves</t>
  </si>
  <si>
    <t>modules/a-knights-dream/Item/equip_armor_tunic_greaves_iron.webp</t>
  </si>
  <si>
    <t>Iron Tunic Helmet</t>
  </si>
  <si>
    <t>modules/a-knights-dream/Item/equip_armor_tunic_helmet_iron.webp</t>
  </si>
  <si>
    <t>Iron Tunic Pauldron</t>
  </si>
  <si>
    <t>modules/a-knights-dream/Item/equip_armor_tunic_pauldron_iron.webp</t>
  </si>
  <si>
    <t>Iron Buckler Shield</t>
  </si>
  <si>
    <t>modules/a-knights-dream/Item/equip_armor_shield_buckler_iron.webp</t>
  </si>
  <si>
    <t>Iron Heater Shield</t>
  </si>
  <si>
    <t>modules/a-knights-dream/Item/equip_armor_shield_heater_iron.webp</t>
  </si>
  <si>
    <t>Iron Kite Shield</t>
  </si>
  <si>
    <t>modules/a-knights-dream/Item/equip_armor_shield_kite_iron.webp</t>
  </si>
  <si>
    <t>Iron Oval Shield</t>
  </si>
  <si>
    <t>modules/a-knights-dream/Item/equip_armor_shield_oval_iron.webp</t>
  </si>
  <si>
    <t>Iron Round Shield</t>
  </si>
  <si>
    <t>modules/a-knights-dream/Item/equip_armor_shield_round_iron.webp</t>
  </si>
  <si>
    <t>Iron Tower Shield</t>
  </si>
  <si>
    <t>modules/a-knights-dream/Item/equip_armor_shield_tower_iron.webp</t>
  </si>
  <si>
    <t>Mithril</t>
  </si>
  <si>
    <t>Mithril Ball Bearings</t>
  </si>
  <si>
    <t>modules/a-knights-dream/Item/equip_weapon_bearings_mithril.webp</t>
  </si>
  <si>
    <t>Mithril Bardiche</t>
  </si>
  <si>
    <t>modules/a-knights-dream/Item/equip_weapon_bardiche_mithril.webp</t>
  </si>
  <si>
    <t>Mithril Bastard Sword</t>
  </si>
  <si>
    <t>modules/a-knights-dream/Item/equip_weapon_sword_bastard_mithril.webp</t>
  </si>
  <si>
    <t>Mithril Battle Axe</t>
  </si>
  <si>
    <t>modules/a-knights-dream/Item/equip_weapon_axe_battle_mithril.webp</t>
  </si>
  <si>
    <t>Mithril Blowgun</t>
  </si>
  <si>
    <t>modules/a-knights-dream/Item/equip_weapon_blowgun_mithril.webp</t>
  </si>
  <si>
    <t>Mithril Bolt</t>
  </si>
  <si>
    <t>modules/a-knights-dream/Item/equip_weapon_bolt_mithril.webp</t>
  </si>
  <si>
    <t>Mithril Boomerang</t>
  </si>
  <si>
    <t>modules/a-knights-dream/Item/equip_weapon_boomerang_mithril.webp</t>
  </si>
  <si>
    <t>Mithril Bow</t>
  </si>
  <si>
    <t>modules/a-knights-dream/Item/equip_weapon_bow_mithril.webp</t>
  </si>
  <si>
    <t>Mithril Caltrops</t>
  </si>
  <si>
    <t>modules/a-knights-dream/Item/equip_weapon_caltrops_mithril.webp</t>
  </si>
  <si>
    <t>Mithril Cestus</t>
  </si>
  <si>
    <t>modules/a-knights-dream/Item/equip_weapon_cestus_mithril.webp</t>
  </si>
  <si>
    <t>Mithril Chain</t>
  </si>
  <si>
    <t>modules/a-knights-dream/Item/equip_weapon_chain_mithril.webp</t>
  </si>
  <si>
    <t>Mithril Claymore</t>
  </si>
  <si>
    <t>modules/a-knights-dream/Item/equip_weapon_claymore_mithril.webp</t>
  </si>
  <si>
    <t>Mithril Club</t>
  </si>
  <si>
    <t>modules/a-knights-dream/Item/equip_weapon_club_mithril.webp</t>
  </si>
  <si>
    <t>Mithril Compound Bow</t>
  </si>
  <si>
    <t>modules/a-knights-dream/Item/equip_weapon_bow_compound_mithril.webp</t>
  </si>
  <si>
    <t>Mithril Cutlass</t>
  </si>
  <si>
    <t>modules/a-knights-dream/Item/equip_weapon_cutlass_mithril.webp</t>
  </si>
  <si>
    <t>Mithril Dagger</t>
  </si>
  <si>
    <t>modules/a-knights-dream/Item/equip_weapon_dagger_mithril.webp</t>
  </si>
  <si>
    <t>Mithril Dart</t>
  </si>
  <si>
    <t>modules/a-knights-dream/Item/equip_weapon_dart_mithril.webp</t>
  </si>
  <si>
    <t>Mithril Fauchard Scythe</t>
  </si>
  <si>
    <t>modules/a-knights-dream/Item/equip_weapon_scythe_fauchard_mithril.webp</t>
  </si>
  <si>
    <t>Mithril Flail</t>
  </si>
  <si>
    <t>modules/a-knights-dream/Item/equip_weapon_flail_mithril.webp</t>
  </si>
  <si>
    <t>Mithril Glaive</t>
  </si>
  <si>
    <t>modules/a-knights-dream/Item/equip_weapon_glaive_mithril.webp</t>
  </si>
  <si>
    <t>Mithril Grapple Hook</t>
  </si>
  <si>
    <t>modules/a-knights-dream/Item/equip_weapon_hook_grapple_mithril.webp</t>
  </si>
  <si>
    <t>Mithril Great Axe</t>
  </si>
  <si>
    <t>modules/a-knights-dream/Item/equip_weapon_axe_great_mithril.webp</t>
  </si>
  <si>
    <t>Mithril Great Club</t>
  </si>
  <si>
    <t>modules/a-knights-dream/Item/equip_weapon_club_great_mithril.webp</t>
  </si>
  <si>
    <t>Mithril Great Khyber</t>
  </si>
  <si>
    <t>modules/a-knights-dream/Item/equip_weapon_khyber_great_mithril.webp</t>
  </si>
  <si>
    <t>Mithril Great Konda</t>
  </si>
  <si>
    <t>modules/a-knights-dream/Item/equip_weapon_konda_great_mithril.webp</t>
  </si>
  <si>
    <t>Mithril Great Labrys</t>
  </si>
  <si>
    <t>modules/a-knights-dream/Item/equip_weapon_axe_labrys_great_mithril.webp</t>
  </si>
  <si>
    <t>Mithril Great Mace</t>
  </si>
  <si>
    <t>modules/a-knights-dream/Item/equip_weapon_mace_great_mithril.webp</t>
  </si>
  <si>
    <t>Mithril Great Tapal</t>
  </si>
  <si>
    <t>modules/a-knights-dream/Item/equip_weapon_tapal_great_mithril.webp</t>
  </si>
  <si>
    <t>Mithril Great War Bow</t>
  </si>
  <si>
    <t>modules/a-knights-dream/Item/equip_weapon_bow_war_great_mithril.webp</t>
  </si>
  <si>
    <t>Mithril Great War Hammer</t>
  </si>
  <si>
    <t>modules/a-knights-dream/Item/equip_weapon_hammer_war_great_mithril.webp</t>
  </si>
  <si>
    <t>Mithril Great War Pick</t>
  </si>
  <si>
    <t>modules/a-knights-dream/Item/equip_weapon_pick_war_great_mithril.webp</t>
  </si>
  <si>
    <t>Mithril Guisarme</t>
  </si>
  <si>
    <t>modules/a-knights-dream/Item/equip_weapon_guisarme_mithril.webp</t>
  </si>
  <si>
    <t>Mithril Halberd</t>
  </si>
  <si>
    <t>modules/a-knights-dream/Item/equip_weapon_halberd_mithril.webp</t>
  </si>
  <si>
    <t>Mithril Hand Crossbow</t>
  </si>
  <si>
    <t>modules/a-knights-dream/Item/equip_weapon_crossbow_hand_mithril.webp</t>
  </si>
  <si>
    <t>Mithril Hand axe</t>
  </si>
  <si>
    <t>modules/a-knights-dream/Item/equip_weapon_axe_hand_mithril.webp</t>
  </si>
  <si>
    <t>Mithril Heavy Crossbow</t>
  </si>
  <si>
    <t>modules/a-knights-dream/Item/equip_weapon_crossbow_heavy_mithril.webp</t>
  </si>
  <si>
    <t>Mithril Hunting Trap</t>
  </si>
  <si>
    <t>modules/a-knights-dream/Item/equip_weapon_trap_hunting_mithril.webp</t>
  </si>
  <si>
    <t>Mithril Hunting Trap (Large)</t>
  </si>
  <si>
    <t>modules/a-knights-dream/Item/equip_weapon_trap_hunting_large_mithril.webp</t>
  </si>
  <si>
    <t>Mithril Hunting Trap (Small)</t>
  </si>
  <si>
    <t>modules/a-knights-dream/Item/equip_weapon_trap_hunting_small_mithril.webp</t>
  </si>
  <si>
    <t>Mithril Javelin</t>
  </si>
  <si>
    <t>modules/a-knights-dream/Item/equip_weapon_javelin_mithril.webp</t>
  </si>
  <si>
    <t>Mithril Khpesh</t>
  </si>
  <si>
    <t>modules/a-knights-dream/Item/equip_weapon_khpesh_mithril.webp</t>
  </si>
  <si>
    <t>Mithril Khyber</t>
  </si>
  <si>
    <t>modules/a-knights-dream/Item/equip_weapon_khyber_mithril.webp</t>
  </si>
  <si>
    <t>Mithril Konda</t>
  </si>
  <si>
    <t>modules/a-knights-dream/Item/equip_weapon_konda_mithril.webp</t>
  </si>
  <si>
    <t>Mithril Labrys</t>
  </si>
  <si>
    <t>modules/a-knights-dream/Item/equip_weapon_axe_labrys_mithril.webp</t>
  </si>
  <si>
    <t>Mithril Lance</t>
  </si>
  <si>
    <t>modules/a-knights-dream/Item/equip_weapon_lance_mithril.webp</t>
  </si>
  <si>
    <t>Mithril Light Crossbow</t>
  </si>
  <si>
    <t>modules/a-knights-dream/Item/equip_weapon_crossbow_light_mithril.webp</t>
  </si>
  <si>
    <t>Mithril Long Bow</t>
  </si>
  <si>
    <t>modules/a-knights-dream/Item/equip_weapon_bow_long_mithril.webp</t>
  </si>
  <si>
    <t>Mithril Long Spear</t>
  </si>
  <si>
    <t>modules/a-knights-dream/Item/equip_weapon_spear_long_mithril.webp</t>
  </si>
  <si>
    <t>Mithril Lucerince Hammer</t>
  </si>
  <si>
    <t>modules/a-knights-dream/Item/equip_weapon_hammer_lucerince_mithril.webp</t>
  </si>
  <si>
    <t>Mithril Mace</t>
  </si>
  <si>
    <t>modules/a-knights-dream/Item/equip_weapon_mace_mithril.webp</t>
  </si>
  <si>
    <t>Mithril Morningstar</t>
  </si>
  <si>
    <t>modules/a-knights-dream/Item/equip_weapon_morningstar_mithril.webp</t>
  </si>
  <si>
    <t>Mithril Pike</t>
  </si>
  <si>
    <t>modules/a-knights-dream/Item/equip_weapon_pike_mithril.webp</t>
  </si>
  <si>
    <t>Mithril Quarter Staff</t>
  </si>
  <si>
    <t>modules/a-knights-dream/Item/equip_weapon_staff_quarter_mithril.webp</t>
  </si>
  <si>
    <t>Mithril Ranseur</t>
  </si>
  <si>
    <t>modules/a-knights-dream/Item/equip_weapon_ranseur_mithril.webp</t>
  </si>
  <si>
    <t>Mithril Rapier</t>
  </si>
  <si>
    <t>modules/a-knights-dream/Item/equip_weapon_rapier_mithril.webp</t>
  </si>
  <si>
    <t>Mithril Recurve Bow</t>
  </si>
  <si>
    <t>modules/a-knights-dream/Item/equip_weapon_bow_recurve_mithril.webp</t>
  </si>
  <si>
    <t>Mithril Repeater Crossbow</t>
  </si>
  <si>
    <t>modules/a-knights-dream/Item/equip_weapon_crossbow_repeater_mithril.webp</t>
  </si>
  <si>
    <t>Mithril Sabre</t>
  </si>
  <si>
    <t>modules/a-knights-dream/Item/equip_weapon_sabre_mithril.webp</t>
  </si>
  <si>
    <t>Mithril Scimitar</t>
  </si>
  <si>
    <t>modules/a-knights-dream/Item/equip_weapon_scimitar_mithril.webp</t>
  </si>
  <si>
    <t>Mithril Scythe</t>
  </si>
  <si>
    <t>modules/a-knights-dream/Item/equip_weapon_scythe_mithril.webp</t>
  </si>
  <si>
    <t>Mithril Short Bow</t>
  </si>
  <si>
    <t>modules/a-knights-dream/Item/equip_weapon_bow_short_mithril.webp</t>
  </si>
  <si>
    <t>Mithril Short Spear</t>
  </si>
  <si>
    <t>modules/a-knights-dream/Item/equip_weapon_spear_short_mithril.webp</t>
  </si>
  <si>
    <t>Mithril Short Sword</t>
  </si>
  <si>
    <t>modules/a-knights-dream/Item/equip_weapon_sword_short_mithril.webp</t>
  </si>
  <si>
    <t>Mithril Shotel</t>
  </si>
  <si>
    <t>modules/a-knights-dream/Item/equip_weapon_shotel_mithril.webp</t>
  </si>
  <si>
    <t>Mithril Sickle</t>
  </si>
  <si>
    <t>modules/a-knights-dream/Item/equip_weapon_sickle_mithril.webp</t>
  </si>
  <si>
    <t>Mithril Sling</t>
  </si>
  <si>
    <t>modules/a-knights-dream/Item/equip_weapon_sling_mithril.webp</t>
  </si>
  <si>
    <t>Mithril Staff</t>
  </si>
  <si>
    <t>modules/a-knights-dream/Item/equip_weapon_staff_mithril.webp</t>
  </si>
  <si>
    <t>Mithril Staff Sling</t>
  </si>
  <si>
    <t>modules/a-knights-dream/Item/equip_weapon_sling_staff_mithril.webp</t>
  </si>
  <si>
    <t>Mithril Sword</t>
  </si>
  <si>
    <t>modules/a-knights-dream/Item/equip_weapon_sword_mithril.webp</t>
  </si>
  <si>
    <t>Mithril Tapal</t>
  </si>
  <si>
    <t>modules/a-knights-dream/Item/equip_weapon_tapal_mithril.webp</t>
  </si>
  <si>
    <t>Mithril Trident</t>
  </si>
  <si>
    <t>modules/a-knights-dream/Item/equip_weapon_trident_mithril.webp</t>
  </si>
  <si>
    <t>Mithril War Hammer</t>
  </si>
  <si>
    <t>modules/a-knights-dream/Item/equip_weapon_hammer_war_mithril.webp</t>
  </si>
  <si>
    <t>Mithril War Pick</t>
  </si>
  <si>
    <t>modules/a-knights-dream/Item/equip_weapon_pick_war_mithril.webp</t>
  </si>
  <si>
    <t>Mithril Brigantine Cuirass</t>
  </si>
  <si>
    <t>modules/a-knights-dream/Item/equip_armor_brigantine_cuirass_mithril.webp</t>
  </si>
  <si>
    <t>Mithril Brigantine Gauntlets</t>
  </si>
  <si>
    <t>modules/a-knights-dream/Item/equip_armor_brigantine_gauntlets_mithril.webp</t>
  </si>
  <si>
    <t>Mithril Brigantine Greaves</t>
  </si>
  <si>
    <t>modules/a-knights-dream/Item/equip_armor_brigantine_greaves_mithril.webp</t>
  </si>
  <si>
    <t>Mithril Brigantine Helmet</t>
  </si>
  <si>
    <t>modules/a-knights-dream/Item/equip_armor_brigantine_helmet_mithril.webp</t>
  </si>
  <si>
    <t>Mithril Brigantine Pauldron</t>
  </si>
  <si>
    <t>modules/a-knights-dream/Item/equip_armor_brigantine_pauldron_mithril.webp</t>
  </si>
  <si>
    <t>Mithril Chainmail Cuirass</t>
  </si>
  <si>
    <t>modules/a-knights-dream/Item/equip_armor_chainmail_cuirass_mithril.webp</t>
  </si>
  <si>
    <t>Mithril Chainmail Gauntlets</t>
  </si>
  <si>
    <t>modules/a-knights-dream/Item/equip_armor_chainmail_gauntlets_mithril.webp</t>
  </si>
  <si>
    <t>Mithril Chainmail Greaves</t>
  </si>
  <si>
    <t>modules/a-knights-dream/Item/equip_armor_chainmail_greaves_mithril.webp</t>
  </si>
  <si>
    <t>Mithril Chainmail Helmet</t>
  </si>
  <si>
    <t>modules/a-knights-dream/Item/equip_armor_chainmail_helmet_mithril.webp</t>
  </si>
  <si>
    <t>Mithril Chainmail Pauldron</t>
  </si>
  <si>
    <t>modules/a-knights-dream/Item/equip_armor_chainmail_pauldron_mithril.webp</t>
  </si>
  <si>
    <t>Mithril Gamberson Cuirass</t>
  </si>
  <si>
    <t>modules/a-knights-dream/Item/equip_armor_gamberson_cuirass_mithril.webp</t>
  </si>
  <si>
    <t>Mithril Gamberson Gauntlets</t>
  </si>
  <si>
    <t>modules/a-knights-dream/Item/equip_armor_gamberson_gauntlets_mithril.webp</t>
  </si>
  <si>
    <t>Mithril Gamberson Greaves</t>
  </si>
  <si>
    <t>modules/a-knights-dream/Item/equip_armor_gamberson_greaves_mithril.webp</t>
  </si>
  <si>
    <t>Mithril Gamberson Helmet</t>
  </si>
  <si>
    <t>modules/a-knights-dream/Item/equip_armor_gamberson_helmet_mithril.webp</t>
  </si>
  <si>
    <t>Mithril Gamberson Pauldron</t>
  </si>
  <si>
    <t>modules/a-knights-dream/Item/equip_armor_gamberson_pauldron_mithril.webp</t>
  </si>
  <si>
    <t>Mithril Hauberk Cuirass</t>
  </si>
  <si>
    <t>modules/a-knights-dream/Item/equip_armor_hauberk_cuirass_mithril.webp</t>
  </si>
  <si>
    <t>Mithril Hauberk Gauntlets</t>
  </si>
  <si>
    <t>modules/a-knights-dream/Item/equip_armor_hauberk_gauntlets_mithril.webp</t>
  </si>
  <si>
    <t>Mithril Hauberk Greaves</t>
  </si>
  <si>
    <t>modules/a-knights-dream/Item/equip_armor_hauberk_greaves_mithril.webp</t>
  </si>
  <si>
    <t>Mithril Hauberk Helmet</t>
  </si>
  <si>
    <t>modules/a-knights-dream/Item/equip_armor_hauberk_helmet_mithril.webp</t>
  </si>
  <si>
    <t>Mithril Hauberk Pauldron</t>
  </si>
  <si>
    <t>modules/a-knights-dream/Item/equip_armor_hauberk_pauldron_mithril.webp</t>
  </si>
  <si>
    <t>Mithril Jack Cuirass</t>
  </si>
  <si>
    <t>modules/a-knights-dream/Item/equip_armor_jack_cuirass_mithril.webp</t>
  </si>
  <si>
    <t>Mithril Jack Gauntlets</t>
  </si>
  <si>
    <t>modules/a-knights-dream/Item/equip_armor_jack_gauntlets_mithril.webp</t>
  </si>
  <si>
    <t>Mithril Jack Greaves</t>
  </si>
  <si>
    <t>modules/a-knights-dream/Item/equip_armor_jack_greaves_mithril.webp</t>
  </si>
  <si>
    <t>Mithril Jack Helmet</t>
  </si>
  <si>
    <t>modules/a-knights-dream/Item/equip_armor_jack_helmet_mithril.webp</t>
  </si>
  <si>
    <t>Mithril Jack Pauldron</t>
  </si>
  <si>
    <t>modules/a-knights-dream/Item/equip_armor_jack_pauldron_mithril.webp</t>
  </si>
  <si>
    <t>Mithril Lamellar Cuirass</t>
  </si>
  <si>
    <t>modules/a-knights-dream/Item/equip_armor_lamellar_cuirass_mithril.webp</t>
  </si>
  <si>
    <t>Mithril Lamellar Gauntlets</t>
  </si>
  <si>
    <t>modules/a-knights-dream/Item/equip_armor_lamellar_gauntlets_mithril.webp</t>
  </si>
  <si>
    <t>Mithril Lamellar Greaves</t>
  </si>
  <si>
    <t>modules/a-knights-dream/Item/equip_armor_lamellar_greaves_mithril.webp</t>
  </si>
  <si>
    <t>Mithril Lamellar Helmet</t>
  </si>
  <si>
    <t>modules/a-knights-dream/Item/equip_armor_lamellar_helmet_mithril.webp</t>
  </si>
  <si>
    <t>Mithril Lamellar Pauldron</t>
  </si>
  <si>
    <t>modules/a-knights-dream/Item/equip_armor_lamellar_pauldron_mithril.webp</t>
  </si>
  <si>
    <t>Mithril Platemail Cuirass</t>
  </si>
  <si>
    <t>modules/a-knights-dream/Item/equip_armor_platemail_cuirass_mithril.webp</t>
  </si>
  <si>
    <t>Mithril Platemail Gauntlets</t>
  </si>
  <si>
    <t>modules/a-knights-dream/Item/equip_armor_platemail_gauntlets_mithril.webp</t>
  </si>
  <si>
    <t>Mithril Platemail Greaves</t>
  </si>
  <si>
    <t>modules/a-knights-dream/Item/equip_armor_platemail_greaves_mithril.webp</t>
  </si>
  <si>
    <t>Mithril Platemail Helmet</t>
  </si>
  <si>
    <t>modules/a-knights-dream/Item/equip_armor_platemail_helmet_mithril.webp</t>
  </si>
  <si>
    <t>Mithril Platemail Pauldron</t>
  </si>
  <si>
    <t>modules/a-knights-dream/Item/equip_armor_platemail_pauldron_mithril.webp</t>
  </si>
  <si>
    <t>Mithril Tunic Cuirass</t>
  </si>
  <si>
    <t>modules/a-knights-dream/Item/equip_armor_tunic_cuirass_mithril.webp</t>
  </si>
  <si>
    <t>Mithril Tunic Gauntlets</t>
  </si>
  <si>
    <t>modules/a-knights-dream/Item/equip_armor_tunic_gauntlets_mithril.webp</t>
  </si>
  <si>
    <t>Mithril Tunic Greaves</t>
  </si>
  <si>
    <t>modules/a-knights-dream/Item/equip_armor_tunic_greaves_mithril.webp</t>
  </si>
  <si>
    <t>Mithril Tunic Helmet</t>
  </si>
  <si>
    <t>modules/a-knights-dream/Item/equip_armor_tunic_helmet_mithril.webp</t>
  </si>
  <si>
    <t>Mithril Tunic Pauldron</t>
  </si>
  <si>
    <t>modules/a-knights-dream/Item/equip_armor_tunic_pauldron_mithril.webp</t>
  </si>
  <si>
    <t>Mithril Buckler Shield</t>
  </si>
  <si>
    <t>modules/a-knights-dream/Item/equip_armor_shield_buckler_mithril.webp</t>
  </si>
  <si>
    <t>Mithril Heater Shield</t>
  </si>
  <si>
    <t>modules/a-knights-dream/Item/equip_armor_shield_heater_mithril.webp</t>
  </si>
  <si>
    <t>Mithril Kite Shield</t>
  </si>
  <si>
    <t>modules/a-knights-dream/Item/equip_armor_shield_kite_mithril.webp</t>
  </si>
  <si>
    <t>Mithril Oval Shield</t>
  </si>
  <si>
    <t>modules/a-knights-dream/Item/equip_armor_shield_oval_mithril.webp</t>
  </si>
  <si>
    <t>Mithril Round Shield</t>
  </si>
  <si>
    <t>modules/a-knights-dream/Item/equip_armor_shield_round_mithril.webp</t>
  </si>
  <si>
    <t>Mithril Tower Shield</t>
  </si>
  <si>
    <t>modules/a-knights-dream/Item/equip_armor_shield_tower_mithril.webp</t>
  </si>
  <si>
    <t>Mournlode</t>
  </si>
  <si>
    <t>Mournlode Ball Bearings</t>
  </si>
  <si>
    <t>modules/a-knights-dream/Item/equip_weapon_bearings_mournlode.webp</t>
  </si>
  <si>
    <t>Mournlode Bardiche</t>
  </si>
  <si>
    <t>modules/a-knights-dream/Item/equip_weapon_bardiche_mournlode.webp</t>
  </si>
  <si>
    <t>Mournlode Bastard Sword</t>
  </si>
  <si>
    <t>modules/a-knights-dream/Item/equip_weapon_sword_bastard_mournlode.webp</t>
  </si>
  <si>
    <t>Mournlode Battle Axe</t>
  </si>
  <si>
    <t>modules/a-knights-dream/Item/equip_weapon_axe_battle_mournlode.webp</t>
  </si>
  <si>
    <t>Mournlode Blowgun</t>
  </si>
  <si>
    <t>modules/a-knights-dream/Item/equip_weapon_blowgun_mournlode.webp</t>
  </si>
  <si>
    <t>Mournlode Bolt</t>
  </si>
  <si>
    <t>modules/a-knights-dream/Item/equip_weapon_bolt_mournlode.webp</t>
  </si>
  <si>
    <t>Mournlode Boomerang</t>
  </si>
  <si>
    <t>modules/a-knights-dream/Item/equip_weapon_boomerang_mournlode.webp</t>
  </si>
  <si>
    <t>Mournlode Bow</t>
  </si>
  <si>
    <t>modules/a-knights-dream/Item/equip_weapon_bow_mournlode.webp</t>
  </si>
  <si>
    <t>Mournlode Caltrops</t>
  </si>
  <si>
    <t>modules/a-knights-dream/Item/equip_weapon_caltrops_mournlode.webp</t>
  </si>
  <si>
    <t>Mournlode Cestus</t>
  </si>
  <si>
    <t>modules/a-knights-dream/Item/equip_weapon_cestus_mournlode.webp</t>
  </si>
  <si>
    <t>Mournlode Chain</t>
  </si>
  <si>
    <t>modules/a-knights-dream/Item/equip_weapon_chain_mournlode.webp</t>
  </si>
  <si>
    <t>Mournlode Claymore</t>
  </si>
  <si>
    <t>modules/a-knights-dream/Item/equip_weapon_claymore_mournlode.webp</t>
  </si>
  <si>
    <t>Mournlode Club</t>
  </si>
  <si>
    <t>modules/a-knights-dream/Item/equip_weapon_club_mournlode.webp</t>
  </si>
  <si>
    <t>Mournlode Compound Bow</t>
  </si>
  <si>
    <t>modules/a-knights-dream/Item/equip_weapon_bow_compound_mournlode.webp</t>
  </si>
  <si>
    <t>Mournlode Cutlass</t>
  </si>
  <si>
    <t>modules/a-knights-dream/Item/equip_weapon_cutlass_mournlode.webp</t>
  </si>
  <si>
    <t>Mournlode Dagger</t>
  </si>
  <si>
    <t>modules/a-knights-dream/Item/equip_weapon_dagger_mournlode.webp</t>
  </si>
  <si>
    <t>Mournlode Dart</t>
  </si>
  <si>
    <t>modules/a-knights-dream/Item/equip_weapon_dart_mournlode.webp</t>
  </si>
  <si>
    <t>Mournlode Fauchard Scythe</t>
  </si>
  <si>
    <t>modules/a-knights-dream/Item/equip_weapon_scythe_fauchard_mournlode.webp</t>
  </si>
  <si>
    <t>Mournlode Flail</t>
  </si>
  <si>
    <t>modules/a-knights-dream/Item/equip_weapon_flail_mournlode.webp</t>
  </si>
  <si>
    <t>Mournlode Glaive</t>
  </si>
  <si>
    <t>modules/a-knights-dream/Item/equip_weapon_glaive_mournlode.webp</t>
  </si>
  <si>
    <t>Mournlode Grapple Hook</t>
  </si>
  <si>
    <t>modules/a-knights-dream/Item/equip_weapon_hook_grapple_mournlode.webp</t>
  </si>
  <si>
    <t>Mournlode Great Axe</t>
  </si>
  <si>
    <t>modules/a-knights-dream/Item/equip_weapon_axe_great_mournlode.webp</t>
  </si>
  <si>
    <t>Mournlode Great Club</t>
  </si>
  <si>
    <t>modules/a-knights-dream/Item/equip_weapon_club_great_mournlode.webp</t>
  </si>
  <si>
    <t>Mournlode Great Khyber</t>
  </si>
  <si>
    <t>modules/a-knights-dream/Item/equip_weapon_khyber_great_mournlode.webp</t>
  </si>
  <si>
    <t>Mournlode Great Konda</t>
  </si>
  <si>
    <t>modules/a-knights-dream/Item/equip_weapon_konda_great_mournlode.webp</t>
  </si>
  <si>
    <t>Mournlode Great Labrys</t>
  </si>
  <si>
    <t>modules/a-knights-dream/Item/equip_weapon_axe_labrys_great_mournlode.webp</t>
  </si>
  <si>
    <t>Mournlode Great Mace</t>
  </si>
  <si>
    <t>modules/a-knights-dream/Item/equip_weapon_mace_great_mournlode.webp</t>
  </si>
  <si>
    <t>Mournlode Great Tapal</t>
  </si>
  <si>
    <t>modules/a-knights-dream/Item/equip_weapon_tapal_great_mournlode.webp</t>
  </si>
  <si>
    <t>Mournlode Great War Bow</t>
  </si>
  <si>
    <t>modules/a-knights-dream/Item/equip_weapon_bow_war_great_mournlode.webp</t>
  </si>
  <si>
    <t>Mournlode Great War Hammer</t>
  </si>
  <si>
    <t>modules/a-knights-dream/Item/equip_weapon_hammer_war_great_mournlode.webp</t>
  </si>
  <si>
    <t>Mournlode Great War Pick</t>
  </si>
  <si>
    <t>modules/a-knights-dream/Item/equip_weapon_pick_war_great_mournlode.webp</t>
  </si>
  <si>
    <t>Mournlode Guisarme</t>
  </si>
  <si>
    <t>modules/a-knights-dream/Item/equip_weapon_guisarme_mournlode.webp</t>
  </si>
  <si>
    <t>Mournlode Halberd</t>
  </si>
  <si>
    <t>modules/a-knights-dream/Item/equip_weapon_halberd_mournlode.webp</t>
  </si>
  <si>
    <t>Mournlode Hand Crossbow</t>
  </si>
  <si>
    <t>modules/a-knights-dream/Item/equip_weapon_crossbow_hand_mournlode.webp</t>
  </si>
  <si>
    <t>Mournlode Hand axe</t>
  </si>
  <si>
    <t>modules/a-knights-dream/Item/equip_weapon_axe_hand_mournlode.webp</t>
  </si>
  <si>
    <t>Mournlode Heavy Crossbow</t>
  </si>
  <si>
    <t>modules/a-knights-dream/Item/equip_weapon_crossbow_heavy_mournlode.webp</t>
  </si>
  <si>
    <t>Mournlode Hunting Trap</t>
  </si>
  <si>
    <t>modules/a-knights-dream/Item/equip_weapon_trap_hunting_mournlode.webp</t>
  </si>
  <si>
    <t>Mournlode Hunting Trap (Large)</t>
  </si>
  <si>
    <t>modules/a-knights-dream/Item/equip_weapon_trap_hunting_large_mournlode.webp</t>
  </si>
  <si>
    <t>Mournlode Hunting Trap (Small)</t>
  </si>
  <si>
    <t>modules/a-knights-dream/Item/equip_weapon_trap_hunting_small_mournlode.webp</t>
  </si>
  <si>
    <t>Mournlode Javelin</t>
  </si>
  <si>
    <t>modules/a-knights-dream/Item/equip_weapon_javelin_mournlode.webp</t>
  </si>
  <si>
    <t>Mournlode Khpesh</t>
  </si>
  <si>
    <t>modules/a-knights-dream/Item/equip_weapon_khpesh_mournlode.webp</t>
  </si>
  <si>
    <t>Mournlode Khyber</t>
  </si>
  <si>
    <t>modules/a-knights-dream/Item/equip_weapon_khyber_mournlode.webp</t>
  </si>
  <si>
    <t>Mournlode Konda</t>
  </si>
  <si>
    <t>modules/a-knights-dream/Item/equip_weapon_konda_mournlode.webp</t>
  </si>
  <si>
    <t>Mournlode Labrys</t>
  </si>
  <si>
    <t>modules/a-knights-dream/Item/equip_weapon_axe_labrys_mournlode.webp</t>
  </si>
  <si>
    <t>Mournlode Lance</t>
  </si>
  <si>
    <t>modules/a-knights-dream/Item/equip_weapon_lance_mournlode.webp</t>
  </si>
  <si>
    <t>Mournlode Light Crossbow</t>
  </si>
  <si>
    <t>modules/a-knights-dream/Item/equip_weapon_crossbow_light_mournlode.webp</t>
  </si>
  <si>
    <t>Mournlode Long Bow</t>
  </si>
  <si>
    <t>modules/a-knights-dream/Item/equip_weapon_bow_long_mournlode.webp</t>
  </si>
  <si>
    <t>Mournlode Long Spear</t>
  </si>
  <si>
    <t>modules/a-knights-dream/Item/equip_weapon_spear_long_mournlode.webp</t>
  </si>
  <si>
    <t>Mournlode Lucerince Hammer</t>
  </si>
  <si>
    <t>modules/a-knights-dream/Item/equip_weapon_hammer_lucerince_mournlode.webp</t>
  </si>
  <si>
    <t>Mournlode Mace</t>
  </si>
  <si>
    <t>modules/a-knights-dream/Item/equip_weapon_mace_mournlode.webp</t>
  </si>
  <si>
    <t>Mournlode Morningstar</t>
  </si>
  <si>
    <t>modules/a-knights-dream/Item/equip_weapon_morningstar_mournlode.webp</t>
  </si>
  <si>
    <t>Mournlode Pike</t>
  </si>
  <si>
    <t>modules/a-knights-dream/Item/equip_weapon_pike_mournlode.webp</t>
  </si>
  <si>
    <t>Mournlode Quarter Staff</t>
  </si>
  <si>
    <t>modules/a-knights-dream/Item/equip_weapon_staff_quarter_mournlode.webp</t>
  </si>
  <si>
    <t>Mournlode Ranseur</t>
  </si>
  <si>
    <t>modules/a-knights-dream/Item/equip_weapon_ranseur_mournlode.webp</t>
  </si>
  <si>
    <t>Mournlode Rapier</t>
  </si>
  <si>
    <t>modules/a-knights-dream/Item/equip_weapon_rapier_mournlode.webp</t>
  </si>
  <si>
    <t>Mournlode Recurve Bow</t>
  </si>
  <si>
    <t>modules/a-knights-dream/Item/equip_weapon_bow_recurve_mournlode.webp</t>
  </si>
  <si>
    <t>Mournlode Repeater Crossbow</t>
  </si>
  <si>
    <t>modules/a-knights-dream/Item/equip_weapon_crossbow_repeater_mournlode.webp</t>
  </si>
  <si>
    <t>Mournlode Sabre</t>
  </si>
  <si>
    <t>modules/a-knights-dream/Item/equip_weapon_sabre_mournlode.webp</t>
  </si>
  <si>
    <t>Mournlode Scimitar</t>
  </si>
  <si>
    <t>modules/a-knights-dream/Item/equip_weapon_scimitar_mournlode.webp</t>
  </si>
  <si>
    <t>Mournlode Scythe</t>
  </si>
  <si>
    <t>modules/a-knights-dream/Item/equip_weapon_scythe_mournlode.webp</t>
  </si>
  <si>
    <t>Mournlode Short Bow</t>
  </si>
  <si>
    <t>modules/a-knights-dream/Item/equip_weapon_bow_short_mournlode.webp</t>
  </si>
  <si>
    <t>Mournlode Short Spear</t>
  </si>
  <si>
    <t>modules/a-knights-dream/Item/equip_weapon_spear_short_mournlode.webp</t>
  </si>
  <si>
    <t>Mournlode Short Sword</t>
  </si>
  <si>
    <t>modules/a-knights-dream/Item/equip_weapon_sword_short_mournlode.webp</t>
  </si>
  <si>
    <t>Mournlode Shotel</t>
  </si>
  <si>
    <t>modules/a-knights-dream/Item/equip_weapon_shotel_mournlode.webp</t>
  </si>
  <si>
    <t>Mournlode Sickle</t>
  </si>
  <si>
    <t>modules/a-knights-dream/Item/equip_weapon_sickle_mournlode.webp</t>
  </si>
  <si>
    <t>Mournlode Sling</t>
  </si>
  <si>
    <t>modules/a-knights-dream/Item/equip_weapon_sling_mournlode.webp</t>
  </si>
  <si>
    <t>Mournlode Staff</t>
  </si>
  <si>
    <t>modules/a-knights-dream/Item/equip_weapon_staff_mournlode.webp</t>
  </si>
  <si>
    <t>Mournlode Staff Sling</t>
  </si>
  <si>
    <t>modules/a-knights-dream/Item/equip_weapon_sling_staff_mournlode.webp</t>
  </si>
  <si>
    <t>Mournlode Sword</t>
  </si>
  <si>
    <t>modules/a-knights-dream/Item/equip_weapon_sword_mournlode.webp</t>
  </si>
  <si>
    <t>Mournlode Tapal</t>
  </si>
  <si>
    <t>modules/a-knights-dream/Item/equip_weapon_tapal_mournlode.webp</t>
  </si>
  <si>
    <t>Mournlode Trident</t>
  </si>
  <si>
    <t>modules/a-knights-dream/Item/equip_weapon_trident_mournlode.webp</t>
  </si>
  <si>
    <t>Mournlode War Hammer</t>
  </si>
  <si>
    <t>modules/a-knights-dream/Item/equip_weapon_hammer_war_mournlode.webp</t>
  </si>
  <si>
    <t>Mournlode War Pick</t>
  </si>
  <si>
    <t>modules/a-knights-dream/Item/equip_weapon_pick_war_mournlode.webp</t>
  </si>
  <si>
    <t>Mournlode Brigantine Cuirass</t>
  </si>
  <si>
    <t>modules/a-knights-dream/Item/equip_armor_brigantine_cuirass_mournlode.webp</t>
  </si>
  <si>
    <t>Mournlode Brigantine Gauntlets</t>
  </si>
  <si>
    <t>modules/a-knights-dream/Item/equip_armor_brigantine_gauntlets_mournlode.webp</t>
  </si>
  <si>
    <t>Mournlode Brigantine Greaves</t>
  </si>
  <si>
    <t>modules/a-knights-dream/Item/equip_armor_brigantine_greaves_mournlode.webp</t>
  </si>
  <si>
    <t>Mournlode Brigantine Helmet</t>
  </si>
  <si>
    <t>modules/a-knights-dream/Item/equip_armor_brigantine_helmet_mournlode.webp</t>
  </si>
  <si>
    <t>Mournlode Brigantine Pauldron</t>
  </si>
  <si>
    <t>modules/a-knights-dream/Item/equip_armor_brigantine_pauldron_mournlode.webp</t>
  </si>
  <si>
    <t>Mournlode Chainmail Cuirass</t>
  </si>
  <si>
    <t>modules/a-knights-dream/Item/equip_armor_chainmail_cuirass_mournlode.webp</t>
  </si>
  <si>
    <t>Mournlode Chainmail Gauntlets</t>
  </si>
  <si>
    <t>modules/a-knights-dream/Item/equip_armor_chainmail_gauntlets_mournlode.webp</t>
  </si>
  <si>
    <t>Mournlode Chainmail Greaves</t>
  </si>
  <si>
    <t>modules/a-knights-dream/Item/equip_armor_chainmail_greaves_mournlode.webp</t>
  </si>
  <si>
    <t>Mournlode Chainmail Helmet</t>
  </si>
  <si>
    <t>modules/a-knights-dream/Item/equip_armor_chainmail_helmet_mournlode.webp</t>
  </si>
  <si>
    <t>Mournlode Chainmail Pauldron</t>
  </si>
  <si>
    <t>modules/a-knights-dream/Item/equip_armor_chainmail_pauldron_mournlode.webp</t>
  </si>
  <si>
    <t>Mournlode Gamberson Cuirass</t>
  </si>
  <si>
    <t>modules/a-knights-dream/Item/equip_armor_gamberson_cuirass_mournlode.webp</t>
  </si>
  <si>
    <t>Mournlode Gamberson Gauntlets</t>
  </si>
  <si>
    <t>modules/a-knights-dream/Item/equip_armor_gamberson_gauntlets_mournlode.webp</t>
  </si>
  <si>
    <t>Mournlode Gamberson Greaves</t>
  </si>
  <si>
    <t>modules/a-knights-dream/Item/equip_armor_gamberson_greaves_mournlode.webp</t>
  </si>
  <si>
    <t>Mournlode Gamberson Helmet</t>
  </si>
  <si>
    <t>modules/a-knights-dream/Item/equip_armor_gamberson_helmet_mournlode.webp</t>
  </si>
  <si>
    <t>Mournlode Gamberson Pauldron</t>
  </si>
  <si>
    <t>modules/a-knights-dream/Item/equip_armor_gamberson_pauldron_mournlode.webp</t>
  </si>
  <si>
    <t>Mournlode Hauberk Cuirass</t>
  </si>
  <si>
    <t>modules/a-knights-dream/Item/equip_armor_hauberk_cuirass_mournlode.webp</t>
  </si>
  <si>
    <t>Mournlode Hauberk Gauntlets</t>
  </si>
  <si>
    <t>modules/a-knights-dream/Item/equip_armor_hauberk_gauntlets_mournlode.webp</t>
  </si>
  <si>
    <t>Mournlode Hauberk Greaves</t>
  </si>
  <si>
    <t>modules/a-knights-dream/Item/equip_armor_hauberk_greaves_mournlode.webp</t>
  </si>
  <si>
    <t>Mournlode Hauberk Helmet</t>
  </si>
  <si>
    <t>modules/a-knights-dream/Item/equip_armor_hauberk_helmet_mournlode.webp</t>
  </si>
  <si>
    <t>Mournlode Hauberk Pauldron</t>
  </si>
  <si>
    <t>modules/a-knights-dream/Item/equip_armor_hauberk_pauldron_mournlode.webp</t>
  </si>
  <si>
    <t>Mournlode Jack Cuirass</t>
  </si>
  <si>
    <t>modules/a-knights-dream/Item/equip_armor_jack_cuirass_mournlode.webp</t>
  </si>
  <si>
    <t>Mournlode Jack Gauntlets</t>
  </si>
  <si>
    <t>modules/a-knights-dream/Item/equip_armor_jack_gauntlets_mournlode.webp</t>
  </si>
  <si>
    <t>Mournlode Jack Greaves</t>
  </si>
  <si>
    <t>modules/a-knights-dream/Item/equip_armor_jack_greaves_mournlode.webp</t>
  </si>
  <si>
    <t>Mournlode Jack Helmet</t>
  </si>
  <si>
    <t>modules/a-knights-dream/Item/equip_armor_jack_helmet_mournlode.webp</t>
  </si>
  <si>
    <t>Mournlode Jack Pauldron</t>
  </si>
  <si>
    <t>modules/a-knights-dream/Item/equip_armor_jack_pauldron_mournlode.webp</t>
  </si>
  <si>
    <t>Mournlode Lamellar Cuirass</t>
  </si>
  <si>
    <t>modules/a-knights-dream/Item/equip_armor_lamellar_cuirass_mournlode.webp</t>
  </si>
  <si>
    <t>Mournlode Lamellar Gauntlets</t>
  </si>
  <si>
    <t>modules/a-knights-dream/Item/equip_armor_lamellar_gauntlets_mournlode.webp</t>
  </si>
  <si>
    <t>Mournlode Lamellar Greaves</t>
  </si>
  <si>
    <t>modules/a-knights-dream/Item/equip_armor_lamellar_greaves_mournlode.webp</t>
  </si>
  <si>
    <t>Mournlode Lamellar Helmet</t>
  </si>
  <si>
    <t>modules/a-knights-dream/Item/equip_armor_lamellar_helmet_mournlode.webp</t>
  </si>
  <si>
    <t>Mournlode Lamellar Pauldron</t>
  </si>
  <si>
    <t>modules/a-knights-dream/Item/equip_armor_lamellar_pauldron_mournlode.webp</t>
  </si>
  <si>
    <t>Mournlode Platemail Cuirass</t>
  </si>
  <si>
    <t>modules/a-knights-dream/Item/equip_armor_platemail_cuirass_mournlode.webp</t>
  </si>
  <si>
    <t>Mournlode Platemail Gauntlets</t>
  </si>
  <si>
    <t>modules/a-knights-dream/Item/equip_armor_platemail_gauntlets_mournlode.webp</t>
  </si>
  <si>
    <t>Mournlode Platemail Greaves</t>
  </si>
  <si>
    <t>modules/a-knights-dream/Item/equip_armor_platemail_greaves_mournlode.webp</t>
  </si>
  <si>
    <t>Mournlode Platemail Helmet</t>
  </si>
  <si>
    <t>modules/a-knights-dream/Item/equip_armor_platemail_helmet_mournlode.webp</t>
  </si>
  <si>
    <t>Mournlode Platemail Pauldron</t>
  </si>
  <si>
    <t>modules/a-knights-dream/Item/equip_armor_platemail_pauldron_mournlode.webp</t>
  </si>
  <si>
    <t>Mournlode Tunic Cuirass</t>
  </si>
  <si>
    <t>modules/a-knights-dream/Item/equip_armor_tunic_cuirass_mournlode.webp</t>
  </si>
  <si>
    <t>Mournlode Tunic Gauntlets</t>
  </si>
  <si>
    <t>modules/a-knights-dream/Item/equip_armor_tunic_gauntlets_mournlode.webp</t>
  </si>
  <si>
    <t>Mournlode Tunic Greaves</t>
  </si>
  <si>
    <t>modules/a-knights-dream/Item/equip_armor_tunic_greaves_mournlode.webp</t>
  </si>
  <si>
    <t>Mournlode Tunic Helmet</t>
  </si>
  <si>
    <t>modules/a-knights-dream/Item/equip_armor_tunic_helmet_mournlode.webp</t>
  </si>
  <si>
    <t>Mournlode Tunic Pauldron</t>
  </si>
  <si>
    <t>modules/a-knights-dream/Item/equip_armor_tunic_pauldron_mournlode.webp</t>
  </si>
  <si>
    <t>Mournlode Buckler Shield</t>
  </si>
  <si>
    <t>modules/a-knights-dream/Item/equip_armor_shield_buckler_mournlode.webp</t>
  </si>
  <si>
    <t>Mournlode Heater Shield</t>
  </si>
  <si>
    <t>modules/a-knights-dream/Item/equip_armor_shield_heater_mournlode.webp</t>
  </si>
  <si>
    <t>Mournlode Kite Shield</t>
  </si>
  <si>
    <t>modules/a-knights-dream/Item/equip_armor_shield_kite_mournlode.webp</t>
  </si>
  <si>
    <t>Mournlode Oval Shield</t>
  </si>
  <si>
    <t>modules/a-knights-dream/Item/equip_armor_shield_oval_mournlode.webp</t>
  </si>
  <si>
    <t>Mournlode Round Shield</t>
  </si>
  <si>
    <t>modules/a-knights-dream/Item/equip_armor_shield_round_mournlode.webp</t>
  </si>
  <si>
    <t>Mournlode Tower Shield</t>
  </si>
  <si>
    <t>modules/a-knights-dream/Item/equip_armor_shield_tower_mournlode.webp</t>
  </si>
  <si>
    <t>Oerth</t>
  </si>
  <si>
    <t>Oerth Ball Bearings</t>
  </si>
  <si>
    <t>modules/a-knights-dream/Item/equip_weapon_bearings_oerth.webp</t>
  </si>
  <si>
    <t>Oerth Bardiche</t>
  </si>
  <si>
    <t>modules/a-knights-dream/Item/equip_weapon_bardiche_oerth.webp</t>
  </si>
  <si>
    <t>Oerth Bastard Sword</t>
  </si>
  <si>
    <t>modules/a-knights-dream/Item/equip_weapon_sword_bastard_oerth.webp</t>
  </si>
  <si>
    <t>Oerth Battle Axe</t>
  </si>
  <si>
    <t>modules/a-knights-dream/Item/equip_weapon_axe_battle_oerth.webp</t>
  </si>
  <si>
    <t>Oerth Blowgun</t>
  </si>
  <si>
    <t>modules/a-knights-dream/Item/equip_weapon_blowgun_oerth.webp</t>
  </si>
  <si>
    <t>Oerth Bolt</t>
  </si>
  <si>
    <t>modules/a-knights-dream/Item/equip_weapon_bolt_oerth.webp</t>
  </si>
  <si>
    <t>Oerth Boomerang</t>
  </si>
  <si>
    <t>modules/a-knights-dream/Item/equip_weapon_boomerang_oerth.webp</t>
  </si>
  <si>
    <t>Oerth Bow</t>
  </si>
  <si>
    <t>modules/a-knights-dream/Item/equip_weapon_bow_oerth.webp</t>
  </si>
  <si>
    <t>Oerth Caltrops</t>
  </si>
  <si>
    <t>modules/a-knights-dream/Item/equip_weapon_caltrops_oerth.webp</t>
  </si>
  <si>
    <t>Oerth Cestus</t>
  </si>
  <si>
    <t>modules/a-knights-dream/Item/equip_weapon_cestus_oerth.webp</t>
  </si>
  <si>
    <t>Oerth Chain</t>
  </si>
  <si>
    <t>modules/a-knights-dream/Item/equip_weapon_chain_oerth.webp</t>
  </si>
  <si>
    <t>Oerth Claymore</t>
  </si>
  <si>
    <t>modules/a-knights-dream/Item/equip_weapon_claymore_oerth.webp</t>
  </si>
  <si>
    <t>Oerth Club</t>
  </si>
  <si>
    <t>modules/a-knights-dream/Item/equip_weapon_club_oerth.webp</t>
  </si>
  <si>
    <t>Oerth Compound Bow</t>
  </si>
  <si>
    <t>modules/a-knights-dream/Item/equip_weapon_bow_compound_oerth.webp</t>
  </si>
  <si>
    <t>Oerth Cutlass</t>
  </si>
  <si>
    <t>modules/a-knights-dream/Item/equip_weapon_cutlass_oerth.webp</t>
  </si>
  <si>
    <t>Oerth Dagger</t>
  </si>
  <si>
    <t>modules/a-knights-dream/Item/equip_weapon_dagger_oerth.webp</t>
  </si>
  <si>
    <t>Oerth Dart</t>
  </si>
  <si>
    <t>modules/a-knights-dream/Item/equip_weapon_dart_oerth.webp</t>
  </si>
  <si>
    <t>Oerth Fauchard Scythe</t>
  </si>
  <si>
    <t>modules/a-knights-dream/Item/equip_weapon_scythe_fauchard_oerth.webp</t>
  </si>
  <si>
    <t>Oerth Flail</t>
  </si>
  <si>
    <t>modules/a-knights-dream/Item/equip_weapon_flail_oerth.webp</t>
  </si>
  <si>
    <t>Oerth Glaive</t>
  </si>
  <si>
    <t>modules/a-knights-dream/Item/equip_weapon_glaive_oerth.webp</t>
  </si>
  <si>
    <t>Oerth Grapple Hook</t>
  </si>
  <si>
    <t>modules/a-knights-dream/Item/equip_weapon_hook_grapple_oerth.webp</t>
  </si>
  <si>
    <t>Oerth Great Axe</t>
  </si>
  <si>
    <t>modules/a-knights-dream/Item/equip_weapon_axe_great_oerth.webp</t>
  </si>
  <si>
    <t>Oerth Great Club</t>
  </si>
  <si>
    <t>modules/a-knights-dream/Item/equip_weapon_club_great_oerth.webp</t>
  </si>
  <si>
    <t>Oerth Great Khyber</t>
  </si>
  <si>
    <t>modules/a-knights-dream/Item/equip_weapon_khyber_great_oerth.webp</t>
  </si>
  <si>
    <t>Oerth Great Konda</t>
  </si>
  <si>
    <t>modules/a-knights-dream/Item/equip_weapon_konda_great_oerth.webp</t>
  </si>
  <si>
    <t>Oerth Great Labrys</t>
  </si>
  <si>
    <t>modules/a-knights-dream/Item/equip_weapon_axe_labrys_great_oerth.webp</t>
  </si>
  <si>
    <t>Oerth Great Mace</t>
  </si>
  <si>
    <t>modules/a-knights-dream/Item/equip_weapon_mace_great_oerth.webp</t>
  </si>
  <si>
    <t>Oerth Great Tapal</t>
  </si>
  <si>
    <t>modules/a-knights-dream/Item/equip_weapon_tapal_great_oerth.webp</t>
  </si>
  <si>
    <t>Oerth Great War Bow</t>
  </si>
  <si>
    <t>modules/a-knights-dream/Item/equip_weapon_bow_war_great_oerth.webp</t>
  </si>
  <si>
    <t>Oerth Great War Hammer</t>
  </si>
  <si>
    <t>modules/a-knights-dream/Item/equip_weapon_hammer_war_great_oerth.webp</t>
  </si>
  <si>
    <t>Oerth Great War Pick</t>
  </si>
  <si>
    <t>modules/a-knights-dream/Item/equip_weapon_pick_war_great_oerth.webp</t>
  </si>
  <si>
    <t>Oerth Guisarme</t>
  </si>
  <si>
    <t>modules/a-knights-dream/Item/equip_weapon_guisarme_oerth.webp</t>
  </si>
  <si>
    <t>Oerth Halberd</t>
  </si>
  <si>
    <t>modules/a-knights-dream/Item/equip_weapon_halberd_oerth.webp</t>
  </si>
  <si>
    <t>Oerth Hand Crossbow</t>
  </si>
  <si>
    <t>modules/a-knights-dream/Item/equip_weapon_crossbow_hand_oerth.webp</t>
  </si>
  <si>
    <t>Oerth Hand axe</t>
  </si>
  <si>
    <t>modules/a-knights-dream/Item/equip_weapon_axe_hand_oerth.webp</t>
  </si>
  <si>
    <t>Oerth Heavy Crossbow</t>
  </si>
  <si>
    <t>modules/a-knights-dream/Item/equip_weapon_crossbow_heavy_oerth.webp</t>
  </si>
  <si>
    <t>Oerth Hunting Trap</t>
  </si>
  <si>
    <t>modules/a-knights-dream/Item/equip_weapon_trap_hunting_oerth.webp</t>
  </si>
  <si>
    <t>Oerth Hunting Trap (Large)</t>
  </si>
  <si>
    <t>modules/a-knights-dream/Item/equip_weapon_trap_hunting_large_oerth.webp</t>
  </si>
  <si>
    <t>Oerth Hunting Trap (Small)</t>
  </si>
  <si>
    <t>modules/a-knights-dream/Item/equip_weapon_trap_hunting_small_oerth.webp</t>
  </si>
  <si>
    <t>Oerth Javelin</t>
  </si>
  <si>
    <t>modules/a-knights-dream/Item/equip_weapon_javelin_oerth.webp</t>
  </si>
  <si>
    <t>Oerth Khpesh</t>
  </si>
  <si>
    <t>modules/a-knights-dream/Item/equip_weapon_khpesh_oerth.webp</t>
  </si>
  <si>
    <t>Oerth Khyber</t>
  </si>
  <si>
    <t>modules/a-knights-dream/Item/equip_weapon_khyber_oerth.webp</t>
  </si>
  <si>
    <t>Oerth Konda</t>
  </si>
  <si>
    <t>modules/a-knights-dream/Item/equip_weapon_konda_oerth.webp</t>
  </si>
  <si>
    <t>Oerth Labrys</t>
  </si>
  <si>
    <t>modules/a-knights-dream/Item/equip_weapon_axe_labrys_oerth.webp</t>
  </si>
  <si>
    <t>Oerth Lance</t>
  </si>
  <si>
    <t>modules/a-knights-dream/Item/equip_weapon_lance_oerth.webp</t>
  </si>
  <si>
    <t>Oerth Light Crossbow</t>
  </si>
  <si>
    <t>modules/a-knights-dream/Item/equip_weapon_crossbow_light_oerth.webp</t>
  </si>
  <si>
    <t>Oerth Long Bow</t>
  </si>
  <si>
    <t>modules/a-knights-dream/Item/equip_weapon_bow_long_oerth.webp</t>
  </si>
  <si>
    <t>Oerth Long Spear</t>
  </si>
  <si>
    <t>modules/a-knights-dream/Item/equip_weapon_spear_long_oerth.webp</t>
  </si>
  <si>
    <t>Oerth Lucerince Hammer</t>
  </si>
  <si>
    <t>modules/a-knights-dream/Item/equip_weapon_hammer_lucerince_oerth.webp</t>
  </si>
  <si>
    <t>Oerth Mace</t>
  </si>
  <si>
    <t>modules/a-knights-dream/Item/equip_weapon_mace_oerth.webp</t>
  </si>
  <si>
    <t>Oerth Morningstar</t>
  </si>
  <si>
    <t>modules/a-knights-dream/Item/equip_weapon_morningstar_oerth.webp</t>
  </si>
  <si>
    <t>Oerth Pike</t>
  </si>
  <si>
    <t>modules/a-knights-dream/Item/equip_weapon_pike_oerth.webp</t>
  </si>
  <si>
    <t>Oerth Quarter Staff</t>
  </si>
  <si>
    <t>modules/a-knights-dream/Item/equip_weapon_staff_quarter_oerth.webp</t>
  </si>
  <si>
    <t>Oerth Ranseur</t>
  </si>
  <si>
    <t>modules/a-knights-dream/Item/equip_weapon_ranseur_oerth.webp</t>
  </si>
  <si>
    <t>Oerth Rapier</t>
  </si>
  <si>
    <t>modules/a-knights-dream/Item/equip_weapon_rapier_oerth.webp</t>
  </si>
  <si>
    <t>Oerth Recurve Bow</t>
  </si>
  <si>
    <t>modules/a-knights-dream/Item/equip_weapon_bow_recurve_oerth.webp</t>
  </si>
  <si>
    <t>Oerth Repeater Crossbow</t>
  </si>
  <si>
    <t>modules/a-knights-dream/Item/equip_weapon_crossbow_repeater_oerth.webp</t>
  </si>
  <si>
    <t>Oerth Sabre</t>
  </si>
  <si>
    <t>modules/a-knights-dream/Item/equip_weapon_sabre_oerth.webp</t>
  </si>
  <si>
    <t>Oerth Scimitar</t>
  </si>
  <si>
    <t>modules/a-knights-dream/Item/equip_weapon_scimitar_oerth.webp</t>
  </si>
  <si>
    <t>Oerth Scythe</t>
  </si>
  <si>
    <t>modules/a-knights-dream/Item/equip_weapon_scythe_oerth.webp</t>
  </si>
  <si>
    <t>Oerth Short Bow</t>
  </si>
  <si>
    <t>modules/a-knights-dream/Item/equip_weapon_bow_short_oerth.webp</t>
  </si>
  <si>
    <t>Oerth Short Spear</t>
  </si>
  <si>
    <t>modules/a-knights-dream/Item/equip_weapon_spear_short_oerth.webp</t>
  </si>
  <si>
    <t>Oerth Short Sword</t>
  </si>
  <si>
    <t>modules/a-knights-dream/Item/equip_weapon_sword_short_oerth.webp</t>
  </si>
  <si>
    <t>Oerth Shotel</t>
  </si>
  <si>
    <t>modules/a-knights-dream/Item/equip_weapon_shotel_oerth.webp</t>
  </si>
  <si>
    <t>Oerth Sickle</t>
  </si>
  <si>
    <t>modules/a-knights-dream/Item/equip_weapon_sickle_oerth.webp</t>
  </si>
  <si>
    <t>Oerth Sling</t>
  </si>
  <si>
    <t>modules/a-knights-dream/Item/equip_weapon_sling_oerth.webp</t>
  </si>
  <si>
    <t>Oerth Staff</t>
  </si>
  <si>
    <t>modules/a-knights-dream/Item/equip_weapon_staff_oerth.webp</t>
  </si>
  <si>
    <t>Oerth Staff Sling</t>
  </si>
  <si>
    <t>modules/a-knights-dream/Item/equip_weapon_sling_staff_oerth.webp</t>
  </si>
  <si>
    <t>Oerth Sword</t>
  </si>
  <si>
    <t>modules/a-knights-dream/Item/equip_weapon_sword_oerth.webp</t>
  </si>
  <si>
    <t>Oerth Tapal</t>
  </si>
  <si>
    <t>modules/a-knights-dream/Item/equip_weapon_tapal_oerth.webp</t>
  </si>
  <si>
    <t>Oerth Trident</t>
  </si>
  <si>
    <t>modules/a-knights-dream/Item/equip_weapon_trident_oerth.webp</t>
  </si>
  <si>
    <t>Oerth War Hammer</t>
  </si>
  <si>
    <t>modules/a-knights-dream/Item/equip_weapon_hammer_war_oerth.webp</t>
  </si>
  <si>
    <t>Oerth War Pick</t>
  </si>
  <si>
    <t>modules/a-knights-dream/Item/equip_weapon_pick_war_oerth.webp</t>
  </si>
  <si>
    <t>Oerth Brigantine Cuirass</t>
  </si>
  <si>
    <t>modules/a-knights-dream/Item/equip_armor_brigantine_cuirass_oerth.webp</t>
  </si>
  <si>
    <t>Oerth Brigantine Gauntlets</t>
  </si>
  <si>
    <t>modules/a-knights-dream/Item/equip_armor_brigantine_gauntlets_oerth.webp</t>
  </si>
  <si>
    <t>Oerth Brigantine Greaves</t>
  </si>
  <si>
    <t>modules/a-knights-dream/Item/equip_armor_brigantine_greaves_oerth.webp</t>
  </si>
  <si>
    <t>Oerth Brigantine Helmet</t>
  </si>
  <si>
    <t>modules/a-knights-dream/Item/equip_armor_brigantine_helmet_oerth.webp</t>
  </si>
  <si>
    <t>Oerth Brigantine Pauldron</t>
  </si>
  <si>
    <t>modules/a-knights-dream/Item/equip_armor_brigantine_pauldron_oerth.webp</t>
  </si>
  <si>
    <t>Oerth Chainmail Cuirass</t>
  </si>
  <si>
    <t>modules/a-knights-dream/Item/equip_armor_chainmail_cuirass_oerth.webp</t>
  </si>
  <si>
    <t>Oerth Chainmail Gauntlets</t>
  </si>
  <si>
    <t>modules/a-knights-dream/Item/equip_armor_chainmail_gauntlets_oerth.webp</t>
  </si>
  <si>
    <t>Oerth Chainmail Greaves</t>
  </si>
  <si>
    <t>modules/a-knights-dream/Item/equip_armor_chainmail_greaves_oerth.webp</t>
  </si>
  <si>
    <t>Oerth Chainmail Helmet</t>
  </si>
  <si>
    <t>modules/a-knights-dream/Item/equip_armor_chainmail_helmet_oerth.webp</t>
  </si>
  <si>
    <t>Oerth Chainmail Pauldron</t>
  </si>
  <si>
    <t>modules/a-knights-dream/Item/equip_armor_chainmail_pauldron_oerth.webp</t>
  </si>
  <si>
    <t>Oerth Gamberson Cuirass</t>
  </si>
  <si>
    <t>modules/a-knights-dream/Item/equip_armor_gamberson_cuirass_oerth.webp</t>
  </si>
  <si>
    <t>Oerth Gamberson Gauntlets</t>
  </si>
  <si>
    <t>modules/a-knights-dream/Item/equip_armor_gamberson_gauntlets_oerth.webp</t>
  </si>
  <si>
    <t>Oerth Gamberson Greaves</t>
  </si>
  <si>
    <t>modules/a-knights-dream/Item/equip_armor_gamberson_greaves_oerth.webp</t>
  </si>
  <si>
    <t>Oerth Gamberson Helmet</t>
  </si>
  <si>
    <t>modules/a-knights-dream/Item/equip_armor_gamberson_helmet_oerth.webp</t>
  </si>
  <si>
    <t>Oerth Gamberson Pauldron</t>
  </si>
  <si>
    <t>modules/a-knights-dream/Item/equip_armor_gamberson_pauldron_oerth.webp</t>
  </si>
  <si>
    <t>Oerth Hauberk Cuirass</t>
  </si>
  <si>
    <t>modules/a-knights-dream/Item/equip_armor_hauberk_cuirass_oerth.webp</t>
  </si>
  <si>
    <t>Oerth Hauberk Gauntlets</t>
  </si>
  <si>
    <t>modules/a-knights-dream/Item/equip_armor_hauberk_gauntlets_oerth.webp</t>
  </si>
  <si>
    <t>Oerth Hauberk Greaves</t>
  </si>
  <si>
    <t>modules/a-knights-dream/Item/equip_armor_hauberk_greaves_oerth.webp</t>
  </si>
  <si>
    <t>Oerth Hauberk Helmet</t>
  </si>
  <si>
    <t>modules/a-knights-dream/Item/equip_armor_hauberk_helmet_oerth.webp</t>
  </si>
  <si>
    <t>Oerth Hauberk Pauldron</t>
  </si>
  <si>
    <t>modules/a-knights-dream/Item/equip_armor_hauberk_pauldron_oerth.webp</t>
  </si>
  <si>
    <t>Oerth Jack Cuirass</t>
  </si>
  <si>
    <t>modules/a-knights-dream/Item/equip_armor_jack_cuirass_oerth.webp</t>
  </si>
  <si>
    <t>Oerth Jack Gauntlets</t>
  </si>
  <si>
    <t>modules/a-knights-dream/Item/equip_armor_jack_gauntlets_oerth.webp</t>
  </si>
  <si>
    <t>Oerth Jack Greaves</t>
  </si>
  <si>
    <t>modules/a-knights-dream/Item/equip_armor_jack_greaves_oerth.webp</t>
  </si>
  <si>
    <t>Oerth Jack Helmet</t>
  </si>
  <si>
    <t>modules/a-knights-dream/Item/equip_armor_jack_helmet_oerth.webp</t>
  </si>
  <si>
    <t>Oerth Jack Pauldron</t>
  </si>
  <si>
    <t>modules/a-knights-dream/Item/equip_armor_jack_pauldron_oerth.webp</t>
  </si>
  <si>
    <t>Oerth Lamellar Cuirass</t>
  </si>
  <si>
    <t>modules/a-knights-dream/Item/equip_armor_lamellar_cuirass_oerth.webp</t>
  </si>
  <si>
    <t>Oerth Lamellar Gauntlets</t>
  </si>
  <si>
    <t>modules/a-knights-dream/Item/equip_armor_lamellar_gauntlets_oerth.webp</t>
  </si>
  <si>
    <t>Oerth Lamellar Greaves</t>
  </si>
  <si>
    <t>modules/a-knights-dream/Item/equip_armor_lamellar_greaves_oerth.webp</t>
  </si>
  <si>
    <t>Oerth Lamellar Helmet</t>
  </si>
  <si>
    <t>modules/a-knights-dream/Item/equip_armor_lamellar_helmet_oerth.webp</t>
  </si>
  <si>
    <t>Oerth Lamellar Pauldron</t>
  </si>
  <si>
    <t>modules/a-knights-dream/Item/equip_armor_lamellar_pauldron_oerth.webp</t>
  </si>
  <si>
    <t>Oerth Platemail Cuirass</t>
  </si>
  <si>
    <t>modules/a-knights-dream/Item/equip_armor_platemail_cuirass_oerth.webp</t>
  </si>
  <si>
    <t>Oerth Platemail Gauntlets</t>
  </si>
  <si>
    <t>modules/a-knights-dream/Item/equip_armor_platemail_gauntlets_oerth.webp</t>
  </si>
  <si>
    <t>Oerth Platemail Greaves</t>
  </si>
  <si>
    <t>modules/a-knights-dream/Item/equip_armor_platemail_greaves_oerth.webp</t>
  </si>
  <si>
    <t>Oerth Platemail Helmet</t>
  </si>
  <si>
    <t>modules/a-knights-dream/Item/equip_armor_platemail_helmet_oerth.webp</t>
  </si>
  <si>
    <t>Oerth Platemail Pauldron</t>
  </si>
  <si>
    <t>modules/a-knights-dream/Item/equip_armor_platemail_pauldron_oerth.webp</t>
  </si>
  <si>
    <t>Oerth Tunic Cuirass</t>
  </si>
  <si>
    <t>modules/a-knights-dream/Item/equip_armor_tunic_cuirass_oerth.webp</t>
  </si>
  <si>
    <t>Oerth Tunic Gauntlets</t>
  </si>
  <si>
    <t>modules/a-knights-dream/Item/equip_armor_tunic_gauntlets_oerth.webp</t>
  </si>
  <si>
    <t>Oerth Tunic Greaves</t>
  </si>
  <si>
    <t>modules/a-knights-dream/Item/equip_armor_tunic_greaves_oerth.webp</t>
  </si>
  <si>
    <t>Oerth Tunic Helmet</t>
  </si>
  <si>
    <t>modules/a-knights-dream/Item/equip_armor_tunic_helmet_oerth.webp</t>
  </si>
  <si>
    <t>Oerth Tunic Pauldron</t>
  </si>
  <si>
    <t>modules/a-knights-dream/Item/equip_armor_tunic_pauldron_oerth.webp</t>
  </si>
  <si>
    <t>Oerth Buckler Shield</t>
  </si>
  <si>
    <t>modules/a-knights-dream/Item/equip_armor_shield_buckler_oerth.webp</t>
  </si>
  <si>
    <t>Oerth Heater Shield</t>
  </si>
  <si>
    <t>modules/a-knights-dream/Item/equip_armor_shield_heater_oerth.webp</t>
  </si>
  <si>
    <t>Oerth Kite Shield</t>
  </si>
  <si>
    <t>modules/a-knights-dream/Item/equip_armor_shield_kite_oerth.webp</t>
  </si>
  <si>
    <t>Oerth Oval Shield</t>
  </si>
  <si>
    <t>modules/a-knights-dream/Item/equip_armor_shield_oval_oerth.webp</t>
  </si>
  <si>
    <t>Oerth Round Shield</t>
  </si>
  <si>
    <t>modules/a-knights-dream/Item/equip_armor_shield_round_oerth.webp</t>
  </si>
  <si>
    <t>Oerth Tower Shield</t>
  </si>
  <si>
    <t>modules/a-knights-dream/Item/equip_armor_shield_tower_oerth.webp</t>
  </si>
  <si>
    <t>Orichalcum</t>
  </si>
  <si>
    <t>Orichalcum Ball Bearings</t>
  </si>
  <si>
    <t>modules/a-knights-dream/Item/equip_weapon_bearings_orichalcum.webp</t>
  </si>
  <si>
    <t>Orichalcum Bardiche</t>
  </si>
  <si>
    <t>modules/a-knights-dream/Item/equip_weapon_bardiche_orichalcum.webp</t>
  </si>
  <si>
    <t>Orichalcum Bastard Sword</t>
  </si>
  <si>
    <t>modules/a-knights-dream/Item/equip_weapon_sword_bastard_orichalcum.webp</t>
  </si>
  <si>
    <t>Orichalcum Battle Axe</t>
  </si>
  <si>
    <t>modules/a-knights-dream/Item/equip_weapon_axe_battle_orichalcum.webp</t>
  </si>
  <si>
    <t>Orichalcum Blowgun</t>
  </si>
  <si>
    <t>modules/a-knights-dream/Item/equip_weapon_blowgun_orichalcum.webp</t>
  </si>
  <si>
    <t>Orichalcum Bolt</t>
  </si>
  <si>
    <t>modules/a-knights-dream/Item/equip_weapon_bolt_orichalcum.webp</t>
  </si>
  <si>
    <t>Orichalcum Boomerang</t>
  </si>
  <si>
    <t>modules/a-knights-dream/Item/equip_weapon_boomerang_orichalcum.webp</t>
  </si>
  <si>
    <t>Orichalcum Bow</t>
  </si>
  <si>
    <t>modules/a-knights-dream/Item/equip_weapon_bow_orichalcum.webp</t>
  </si>
  <si>
    <t>Orichalcum Caltrops</t>
  </si>
  <si>
    <t>modules/a-knights-dream/Item/equip_weapon_caltrops_orichalcum.webp</t>
  </si>
  <si>
    <t>Orichalcum Cestus</t>
  </si>
  <si>
    <t>modules/a-knights-dream/Item/equip_weapon_cestus_orichalcum.webp</t>
  </si>
  <si>
    <t>Orichalcum Chain</t>
  </si>
  <si>
    <t>modules/a-knights-dream/Item/equip_weapon_chain_orichalcum.webp</t>
  </si>
  <si>
    <t>Orichalcum Claymore</t>
  </si>
  <si>
    <t>modules/a-knights-dream/Item/equip_weapon_claymore_orichalcum.webp</t>
  </si>
  <si>
    <t>Orichalcum Club</t>
  </si>
  <si>
    <t>modules/a-knights-dream/Item/equip_weapon_club_orichalcum.webp</t>
  </si>
  <si>
    <t>Orichalcum Compound Bow</t>
  </si>
  <si>
    <t>modules/a-knights-dream/Item/equip_weapon_bow_compound_orichalcum.webp</t>
  </si>
  <si>
    <t>Orichalcum Cutlass</t>
  </si>
  <si>
    <t>modules/a-knights-dream/Item/equip_weapon_cutlass_orichalcum.webp</t>
  </si>
  <si>
    <t>Orichalcum Dagger</t>
  </si>
  <si>
    <t>modules/a-knights-dream/Item/equip_weapon_dagger_orichalcum.webp</t>
  </si>
  <si>
    <t>Orichalcum Dart</t>
  </si>
  <si>
    <t>modules/a-knights-dream/Item/equip_weapon_dart_orichalcum.webp</t>
  </si>
  <si>
    <t>Orichalcum Fauchard Scythe</t>
  </si>
  <si>
    <t>modules/a-knights-dream/Item/equip_weapon_scythe_fauchard_orichalcum.webp</t>
  </si>
  <si>
    <t>Orichalcum Flail</t>
  </si>
  <si>
    <t>modules/a-knights-dream/Item/equip_weapon_flail_orichalcum.webp</t>
  </si>
  <si>
    <t>Orichalcum Glaive</t>
  </si>
  <si>
    <t>modules/a-knights-dream/Item/equip_weapon_glaive_orichalcum.webp</t>
  </si>
  <si>
    <t>Orichalcum Grapple Hook</t>
  </si>
  <si>
    <t>modules/a-knights-dream/Item/equip_weapon_hook_grapple_orichalcum.webp</t>
  </si>
  <si>
    <t>Orichalcum Great Axe</t>
  </si>
  <si>
    <t>modules/a-knights-dream/Item/equip_weapon_axe_great_orichalcum.webp</t>
  </si>
  <si>
    <t>Orichalcum Great Club</t>
  </si>
  <si>
    <t>modules/a-knights-dream/Item/equip_weapon_club_great_orichalcum.webp</t>
  </si>
  <si>
    <t>Orichalcum Great Khyber</t>
  </si>
  <si>
    <t>modules/a-knights-dream/Item/equip_weapon_khyber_great_orichalcum.webp</t>
  </si>
  <si>
    <t>Orichalcum Great Konda</t>
  </si>
  <si>
    <t>modules/a-knights-dream/Item/equip_weapon_konda_great_orichalcum.webp</t>
  </si>
  <si>
    <t>Orichalcum Great Labrys</t>
  </si>
  <si>
    <t>modules/a-knights-dream/Item/equip_weapon_axe_labrys_great_orichalcum.webp</t>
  </si>
  <si>
    <t>Orichalcum Great Mace</t>
  </si>
  <si>
    <t>modules/a-knights-dream/Item/equip_weapon_mace_great_orichalcum.webp</t>
  </si>
  <si>
    <t>Orichalcum Great Tapal</t>
  </si>
  <si>
    <t>modules/a-knights-dream/Item/equip_weapon_tapal_great_orichalcum.webp</t>
  </si>
  <si>
    <t>Orichalcum Great War Bow</t>
  </si>
  <si>
    <t>modules/a-knights-dream/Item/equip_weapon_bow_war_great_orichalcum.webp</t>
  </si>
  <si>
    <t>Orichalcum Great War Hammer</t>
  </si>
  <si>
    <t>modules/a-knights-dream/Item/equip_weapon_hammer_war_great_orichalcum.webp</t>
  </si>
  <si>
    <t>Orichalcum Great War Pick</t>
  </si>
  <si>
    <t>modules/a-knights-dream/Item/equip_weapon_pick_war_great_orichalcum.webp</t>
  </si>
  <si>
    <t>Orichalcum Guisarme</t>
  </si>
  <si>
    <t>modules/a-knights-dream/Item/equip_weapon_guisarme_orichalcum.webp</t>
  </si>
  <si>
    <t>Orichalcum Halberd</t>
  </si>
  <si>
    <t>modules/a-knights-dream/Item/equip_weapon_halberd_orichalcum.webp</t>
  </si>
  <si>
    <t>Orichalcum Hand Crossbow</t>
  </si>
  <si>
    <t>modules/a-knights-dream/Item/equip_weapon_crossbow_hand_orichalcum.webp</t>
  </si>
  <si>
    <t>Orichalcum Hand axe</t>
  </si>
  <si>
    <t>modules/a-knights-dream/Item/equip_weapon_axe_hand_orichalcum.webp</t>
  </si>
  <si>
    <t>Orichalcum Heavy Crossbow</t>
  </si>
  <si>
    <t>modules/a-knights-dream/Item/equip_weapon_crossbow_heavy_orichalcum.webp</t>
  </si>
  <si>
    <t>Orichalcum Hunting Trap</t>
  </si>
  <si>
    <t>modules/a-knights-dream/Item/equip_weapon_trap_hunting_orichalcum.webp</t>
  </si>
  <si>
    <t>Orichalcum Hunting Trap (Large)</t>
  </si>
  <si>
    <t>modules/a-knights-dream/Item/equip_weapon_trap_hunting_large_orichalcum.webp</t>
  </si>
  <si>
    <t>Orichalcum Hunting Trap (Small)</t>
  </si>
  <si>
    <t>modules/a-knights-dream/Item/equip_weapon_trap_hunting_small_orichalcum.webp</t>
  </si>
  <si>
    <t>Orichalcum Javelin</t>
  </si>
  <si>
    <t>modules/a-knights-dream/Item/equip_weapon_javelin_orichalcum.webp</t>
  </si>
  <si>
    <t>Orichalcum Khpesh</t>
  </si>
  <si>
    <t>modules/a-knights-dream/Item/equip_weapon_khpesh_orichalcum.webp</t>
  </si>
  <si>
    <t>Orichalcum Khyber</t>
  </si>
  <si>
    <t>modules/a-knights-dream/Item/equip_weapon_khyber_orichalcum.webp</t>
  </si>
  <si>
    <t>Orichalcum Konda</t>
  </si>
  <si>
    <t>modules/a-knights-dream/Item/equip_weapon_konda_orichalcum.webp</t>
  </si>
  <si>
    <t>Orichalcum Labrys</t>
  </si>
  <si>
    <t>modules/a-knights-dream/Item/equip_weapon_axe_labrys_orichalcum.webp</t>
  </si>
  <si>
    <t>Orichalcum Lance</t>
  </si>
  <si>
    <t>modules/a-knights-dream/Item/equip_weapon_lance_orichalcum.webp</t>
  </si>
  <si>
    <t>Orichalcum Light Crossbow</t>
  </si>
  <si>
    <t>modules/a-knights-dream/Item/equip_weapon_crossbow_light_orichalcum.webp</t>
  </si>
  <si>
    <t>Orichalcum Long Bow</t>
  </si>
  <si>
    <t>modules/a-knights-dream/Item/equip_weapon_bow_long_orichalcum.webp</t>
  </si>
  <si>
    <t>Orichalcum Long Spear</t>
  </si>
  <si>
    <t>modules/a-knights-dream/Item/equip_weapon_spear_long_orichalcum.webp</t>
  </si>
  <si>
    <t>Orichalcum Lucerince Hammer</t>
  </si>
  <si>
    <t>modules/a-knights-dream/Item/equip_weapon_hammer_lucerince_orichalcum.webp</t>
  </si>
  <si>
    <t>Orichalcum Mace</t>
  </si>
  <si>
    <t>modules/a-knights-dream/Item/equip_weapon_mace_orichalcum.webp</t>
  </si>
  <si>
    <t>Orichalcum Morningstar</t>
  </si>
  <si>
    <t>modules/a-knights-dream/Item/equip_weapon_morningstar_orichalcum.webp</t>
  </si>
  <si>
    <t>Orichalcum Pike</t>
  </si>
  <si>
    <t>modules/a-knights-dream/Item/equip_weapon_pike_orichalcum.webp</t>
  </si>
  <si>
    <t>Orichalcum Quarter Staff</t>
  </si>
  <si>
    <t>modules/a-knights-dream/Item/equip_weapon_staff_quarter_orichalcum.webp</t>
  </si>
  <si>
    <t>Orichalcum Ranseur</t>
  </si>
  <si>
    <t>modules/a-knights-dream/Item/equip_weapon_ranseur_orichalcum.webp</t>
  </si>
  <si>
    <t>Orichalcum Rapier</t>
  </si>
  <si>
    <t>modules/a-knights-dream/Item/equip_weapon_rapier_orichalcum.webp</t>
  </si>
  <si>
    <t>Orichalcum Recurve Bow</t>
  </si>
  <si>
    <t>modules/a-knights-dream/Item/equip_weapon_bow_recurve_orichalcum.webp</t>
  </si>
  <si>
    <t>Orichalcum Repeater Crossbow</t>
  </si>
  <si>
    <t>modules/a-knights-dream/Item/equip_weapon_crossbow_repeater_orichalcum.webp</t>
  </si>
  <si>
    <t>Orichalcum Sabre</t>
  </si>
  <si>
    <t>modules/a-knights-dream/Item/equip_weapon_sabre_orichalcum.webp</t>
  </si>
  <si>
    <t>Orichalcum Scimitar</t>
  </si>
  <si>
    <t>modules/a-knights-dream/Item/equip_weapon_scimitar_orichalcum.webp</t>
  </si>
  <si>
    <t>Orichalcum Scythe</t>
  </si>
  <si>
    <t>modules/a-knights-dream/Item/equip_weapon_scythe_orichalcum.webp</t>
  </si>
  <si>
    <t>Orichalcum Short Bow</t>
  </si>
  <si>
    <t>modules/a-knights-dream/Item/equip_weapon_bow_short_orichalcum.webp</t>
  </si>
  <si>
    <t>Orichalcum Short Spear</t>
  </si>
  <si>
    <t>modules/a-knights-dream/Item/equip_weapon_spear_short_orichalcum.webp</t>
  </si>
  <si>
    <t>Orichalcum Short Sword</t>
  </si>
  <si>
    <t>modules/a-knights-dream/Item/equip_weapon_sword_short_orichalcum.webp</t>
  </si>
  <si>
    <t>Orichalcum Shotel</t>
  </si>
  <si>
    <t>modules/a-knights-dream/Item/equip_weapon_shotel_orichalcum.webp</t>
  </si>
  <si>
    <t>Orichalcum Sickle</t>
  </si>
  <si>
    <t>modules/a-knights-dream/Item/equip_weapon_sickle_orichalcum.webp</t>
  </si>
  <si>
    <t>Orichalcum Sling</t>
  </si>
  <si>
    <t>modules/a-knights-dream/Item/equip_weapon_sling_orichalcum.webp</t>
  </si>
  <si>
    <t>Orichalcum Staff</t>
  </si>
  <si>
    <t>modules/a-knights-dream/Item/equip_weapon_staff_orichalcum.webp</t>
  </si>
  <si>
    <t>Orichalcum Staff Sling</t>
  </si>
  <si>
    <t>modules/a-knights-dream/Item/equip_weapon_sling_staff_orichalcum.webp</t>
  </si>
  <si>
    <t>Orichalcum Sword</t>
  </si>
  <si>
    <t>modules/a-knights-dream/Item/equip_weapon_sword_orichalcum.webp</t>
  </si>
  <si>
    <t>Orichalcum Tapal</t>
  </si>
  <si>
    <t>modules/a-knights-dream/Item/equip_weapon_tapal_orichalcum.webp</t>
  </si>
  <si>
    <t>Orichalcum Trident</t>
  </si>
  <si>
    <t>modules/a-knights-dream/Item/equip_weapon_trident_orichalcum.webp</t>
  </si>
  <si>
    <t>Orichalcum War Hammer</t>
  </si>
  <si>
    <t>modules/a-knights-dream/Item/equip_weapon_hammer_war_orichalcum.webp</t>
  </si>
  <si>
    <t>Orichalcum War Pick</t>
  </si>
  <si>
    <t>modules/a-knights-dream/Item/equip_weapon_pick_war_orichalcum.webp</t>
  </si>
  <si>
    <t>Orichalcum Brigantine Cuirass</t>
  </si>
  <si>
    <t>modules/a-knights-dream/Item/equip_armor_brigantine_cuirass_orichalcum.webp</t>
  </si>
  <si>
    <t>Orichalcum Brigantine Gauntlets</t>
  </si>
  <si>
    <t>modules/a-knights-dream/Item/equip_armor_brigantine_gauntlets_orichalcum.webp</t>
  </si>
  <si>
    <t>Orichalcum Brigantine Greaves</t>
  </si>
  <si>
    <t>modules/a-knights-dream/Item/equip_armor_brigantine_greaves_orichalcum.webp</t>
  </si>
  <si>
    <t>Orichalcum Brigantine Helmet</t>
  </si>
  <si>
    <t>modules/a-knights-dream/Item/equip_armor_brigantine_helmet_orichalcum.webp</t>
  </si>
  <si>
    <t>Orichalcum Brigantine Pauldron</t>
  </si>
  <si>
    <t>modules/a-knights-dream/Item/equip_armor_brigantine_pauldron_orichalcum.webp</t>
  </si>
  <si>
    <t>Orichalcum Chainmail Cuirass</t>
  </si>
  <si>
    <t>modules/a-knights-dream/Item/equip_armor_chainmail_cuirass_orichalcum.webp</t>
  </si>
  <si>
    <t>Orichalcum Chainmail Gauntlets</t>
  </si>
  <si>
    <t>modules/a-knights-dream/Item/equip_armor_chainmail_gauntlets_orichalcum.webp</t>
  </si>
  <si>
    <t>Orichalcum Chainmail Greaves</t>
  </si>
  <si>
    <t>modules/a-knights-dream/Item/equip_armor_chainmail_greaves_orichalcum.webp</t>
  </si>
  <si>
    <t>Orichalcum Chainmail Helmet</t>
  </si>
  <si>
    <t>modules/a-knights-dream/Item/equip_armor_chainmail_helmet_orichalcum.webp</t>
  </si>
  <si>
    <t>Orichalcum Chainmail Pauldron</t>
  </si>
  <si>
    <t>modules/a-knights-dream/Item/equip_armor_chainmail_pauldron_orichalcum.webp</t>
  </si>
  <si>
    <t>Orichalcum Gamberson Cuirass</t>
  </si>
  <si>
    <t>modules/a-knights-dream/Item/equip_armor_gamberson_cuirass_orichalcum.webp</t>
  </si>
  <si>
    <t>Orichalcum Gamberson Gauntlets</t>
  </si>
  <si>
    <t>modules/a-knights-dream/Item/equip_armor_gamberson_gauntlets_orichalcum.webp</t>
  </si>
  <si>
    <t>Orichalcum Gamberson Greaves</t>
  </si>
  <si>
    <t>modules/a-knights-dream/Item/equip_armor_gamberson_greaves_orichalcum.webp</t>
  </si>
  <si>
    <t>Orichalcum Gamberson Helmet</t>
  </si>
  <si>
    <t>modules/a-knights-dream/Item/equip_armor_gamberson_helmet_orichalcum.webp</t>
  </si>
  <si>
    <t>Orichalcum Gamberson Pauldron</t>
  </si>
  <si>
    <t>modules/a-knights-dream/Item/equip_armor_gamberson_pauldron_orichalcum.webp</t>
  </si>
  <si>
    <t>Orichalcum Hauberk Cuirass</t>
  </si>
  <si>
    <t>modules/a-knights-dream/Item/equip_armor_hauberk_cuirass_orichalcum.webp</t>
  </si>
  <si>
    <t>Orichalcum Hauberk Gauntlets</t>
  </si>
  <si>
    <t>modules/a-knights-dream/Item/equip_armor_hauberk_gauntlets_orichalcum.webp</t>
  </si>
  <si>
    <t>Orichalcum Hauberk Greaves</t>
  </si>
  <si>
    <t>modules/a-knights-dream/Item/equip_armor_hauberk_greaves_orichalcum.webp</t>
  </si>
  <si>
    <t>Orichalcum Hauberk Helmet</t>
  </si>
  <si>
    <t>modules/a-knights-dream/Item/equip_armor_hauberk_helmet_orichalcum.webp</t>
  </si>
  <si>
    <t>Orichalcum Hauberk Pauldron</t>
  </si>
  <si>
    <t>modules/a-knights-dream/Item/equip_armor_hauberk_pauldron_orichalcum.webp</t>
  </si>
  <si>
    <t>Orichalcum Jack Cuirass</t>
  </si>
  <si>
    <t>modules/a-knights-dream/Item/equip_armor_jack_cuirass_orichalcum.webp</t>
  </si>
  <si>
    <t>Orichalcum Jack Gauntlets</t>
  </si>
  <si>
    <t>modules/a-knights-dream/Item/equip_armor_jack_gauntlets_orichalcum.webp</t>
  </si>
  <si>
    <t>Orichalcum Jack Greaves</t>
  </si>
  <si>
    <t>modules/a-knights-dream/Item/equip_armor_jack_greaves_orichalcum.webp</t>
  </si>
  <si>
    <t>Orichalcum Jack Helmet</t>
  </si>
  <si>
    <t>modules/a-knights-dream/Item/equip_armor_jack_helmet_orichalcum.webp</t>
  </si>
  <si>
    <t>Orichalcum Jack Pauldron</t>
  </si>
  <si>
    <t>modules/a-knights-dream/Item/equip_armor_jack_pauldron_orichalcum.webp</t>
  </si>
  <si>
    <t>Orichalcum Lamellar Cuirass</t>
  </si>
  <si>
    <t>modules/a-knights-dream/Item/equip_armor_lamellar_cuirass_orichalcum.webp</t>
  </si>
  <si>
    <t>Orichalcum Lamellar Gauntlets</t>
  </si>
  <si>
    <t>modules/a-knights-dream/Item/equip_armor_lamellar_gauntlets_orichalcum.webp</t>
  </si>
  <si>
    <t>Orichalcum Lamellar Greaves</t>
  </si>
  <si>
    <t>modules/a-knights-dream/Item/equip_armor_lamellar_greaves_orichalcum.webp</t>
  </si>
  <si>
    <t>Orichalcum Lamellar Helmet</t>
  </si>
  <si>
    <t>modules/a-knights-dream/Item/equip_armor_lamellar_helmet_orichalcum.webp</t>
  </si>
  <si>
    <t>Orichalcum Lamellar Pauldron</t>
  </si>
  <si>
    <t>modules/a-knights-dream/Item/equip_armor_lamellar_pauldron_orichalcum.webp</t>
  </si>
  <si>
    <t>Orichalcum Platemail Cuirass</t>
  </si>
  <si>
    <t>modules/a-knights-dream/Item/equip_armor_platemail_cuirass_orichalcum.webp</t>
  </si>
  <si>
    <t>Orichalcum Platemail Gauntlets</t>
  </si>
  <si>
    <t>modules/a-knights-dream/Item/equip_armor_platemail_gauntlets_orichalcum.webp</t>
  </si>
  <si>
    <t>Orichalcum Platemail Greaves</t>
  </si>
  <si>
    <t>modules/a-knights-dream/Item/equip_armor_platemail_greaves_orichalcum.webp</t>
  </si>
  <si>
    <t>Orichalcum Platemail Helmet</t>
  </si>
  <si>
    <t>modules/a-knights-dream/Item/equip_armor_platemail_helmet_orichalcum.webp</t>
  </si>
  <si>
    <t>Orichalcum Platemail Pauldron</t>
  </si>
  <si>
    <t>modules/a-knights-dream/Item/equip_armor_platemail_pauldron_orichalcum.webp</t>
  </si>
  <si>
    <t>Orichalcum Tunic Cuirass</t>
  </si>
  <si>
    <t>modules/a-knights-dream/Item/equip_armor_tunic_cuirass_orichalcum.webp</t>
  </si>
  <si>
    <t>Orichalcum Tunic Gauntlets</t>
  </si>
  <si>
    <t>modules/a-knights-dream/Item/equip_armor_tunic_gauntlets_orichalcum.webp</t>
  </si>
  <si>
    <t>Orichalcum Tunic Greaves</t>
  </si>
  <si>
    <t>modules/a-knights-dream/Item/equip_armor_tunic_greaves_orichalcum.webp</t>
  </si>
  <si>
    <t>Orichalcum Tunic Helmet</t>
  </si>
  <si>
    <t>modules/a-knights-dream/Item/equip_armor_tunic_helmet_orichalcum.webp</t>
  </si>
  <si>
    <t>Orichalcum Tunic Pauldron</t>
  </si>
  <si>
    <t>modules/a-knights-dream/Item/equip_armor_tunic_pauldron_orichalcum.webp</t>
  </si>
  <si>
    <t>Orichalcum Buckler Shield</t>
  </si>
  <si>
    <t>modules/a-knights-dream/Item/equip_armor_shield_buckler_orichalcum.webp</t>
  </si>
  <si>
    <t>Orichalcum Heater Shield</t>
  </si>
  <si>
    <t>modules/a-knights-dream/Item/equip_armor_shield_heater_orichalcum.webp</t>
  </si>
  <si>
    <t>Orichalcum Kite Shield</t>
  </si>
  <si>
    <t>modules/a-knights-dream/Item/equip_armor_shield_kite_orichalcum.webp</t>
  </si>
  <si>
    <t>Orichalcum Oval Shield</t>
  </si>
  <si>
    <t>modules/a-knights-dream/Item/equip_armor_shield_oval_orichalcum.webp</t>
  </si>
  <si>
    <t>Orichalcum Round Shield</t>
  </si>
  <si>
    <t>modules/a-knights-dream/Item/equip_armor_shield_round_orichalcum.webp</t>
  </si>
  <si>
    <t>Orichalcum Tower Shield</t>
  </si>
  <si>
    <t>modules/a-knights-dream/Item/equip_armor_shield_tower_orichalcum.webp</t>
  </si>
  <si>
    <t>Platinum</t>
  </si>
  <si>
    <t>Platinum Ball Bearings</t>
  </si>
  <si>
    <t>modules/a-knights-dream/Item/equip_weapon_bearings_platinum.webp</t>
  </si>
  <si>
    <t>Platinum Bardiche</t>
  </si>
  <si>
    <t>modules/a-knights-dream/Item/equip_weapon_bardiche_platinum.webp</t>
  </si>
  <si>
    <t>Platinum Bastard Sword</t>
  </si>
  <si>
    <t>modules/a-knights-dream/Item/equip_weapon_sword_bastard_platinum.webp</t>
  </si>
  <si>
    <t>Platinum Battle Axe</t>
  </si>
  <si>
    <t>modules/a-knights-dream/Item/equip_weapon_axe_battle_platinum.webp</t>
  </si>
  <si>
    <t>Platinum Blowgun</t>
  </si>
  <si>
    <t>modules/a-knights-dream/Item/equip_weapon_blowgun_platinum.webp</t>
  </si>
  <si>
    <t>Platinum Bolt</t>
  </si>
  <si>
    <t>modules/a-knights-dream/Item/equip_weapon_bolt_platinum.webp</t>
  </si>
  <si>
    <t>Platinum Boomerang</t>
  </si>
  <si>
    <t>modules/a-knights-dream/Item/equip_weapon_boomerang_platinum.webp</t>
  </si>
  <si>
    <t>Platinum Bow</t>
  </si>
  <si>
    <t>modules/a-knights-dream/Item/equip_weapon_bow_platinum.webp</t>
  </si>
  <si>
    <t>Platinum Caltrops</t>
  </si>
  <si>
    <t>modules/a-knights-dream/Item/equip_weapon_caltrops_platinum.webp</t>
  </si>
  <si>
    <t>Platinum Cestus</t>
  </si>
  <si>
    <t>modules/a-knights-dream/Item/equip_weapon_cestus_platinum.webp</t>
  </si>
  <si>
    <t>Platinum Chain</t>
  </si>
  <si>
    <t>modules/a-knights-dream/Item/equip_weapon_chain_platinum.webp</t>
  </si>
  <si>
    <t>Platinum Claymore</t>
  </si>
  <si>
    <t>modules/a-knights-dream/Item/equip_weapon_claymore_platinum.webp</t>
  </si>
  <si>
    <t>Platinum Club</t>
  </si>
  <si>
    <t>modules/a-knights-dream/Item/equip_weapon_club_platinum.webp</t>
  </si>
  <si>
    <t>Platinum Compound Bow</t>
  </si>
  <si>
    <t>modules/a-knights-dream/Item/equip_weapon_bow_compound_platinum.webp</t>
  </si>
  <si>
    <t>Platinum Cutlass</t>
  </si>
  <si>
    <t>modules/a-knights-dream/Item/equip_weapon_cutlass_platinum.webp</t>
  </si>
  <si>
    <t>Platinum Dagger</t>
  </si>
  <si>
    <t>modules/a-knights-dream/Item/equip_weapon_dagger_platinum.webp</t>
  </si>
  <si>
    <t>Platinum Dart</t>
  </si>
  <si>
    <t>modules/a-knights-dream/Item/equip_weapon_dart_platinum.webp</t>
  </si>
  <si>
    <t>Platinum Fauchard Scythe</t>
  </si>
  <si>
    <t>modules/a-knights-dream/Item/equip_weapon_scythe_fauchard_platinum.webp</t>
  </si>
  <si>
    <t>Platinum Flail</t>
  </si>
  <si>
    <t>modules/a-knights-dream/Item/equip_weapon_flail_platinum.webp</t>
  </si>
  <si>
    <t>Platinum Glaive</t>
  </si>
  <si>
    <t>modules/a-knights-dream/Item/equip_weapon_glaive_platinum.webp</t>
  </si>
  <si>
    <t>Platinum Grapple Hook</t>
  </si>
  <si>
    <t>modules/a-knights-dream/Item/equip_weapon_hook_grapple_platinum.webp</t>
  </si>
  <si>
    <t>Platinum Great Axe</t>
  </si>
  <si>
    <t>modules/a-knights-dream/Item/equip_weapon_axe_great_platinum.webp</t>
  </si>
  <si>
    <t>Platinum Great Club</t>
  </si>
  <si>
    <t>modules/a-knights-dream/Item/equip_weapon_club_great_platinum.webp</t>
  </si>
  <si>
    <t>Platinum Great Khyber</t>
  </si>
  <si>
    <t>modules/a-knights-dream/Item/equip_weapon_khyber_great_platinum.webp</t>
  </si>
  <si>
    <t>Platinum Great Konda</t>
  </si>
  <si>
    <t>modules/a-knights-dream/Item/equip_weapon_konda_great_platinum.webp</t>
  </si>
  <si>
    <t>Platinum Great Labrys</t>
  </si>
  <si>
    <t>modules/a-knights-dream/Item/equip_weapon_axe_labrys_great_platinum.webp</t>
  </si>
  <si>
    <t>Platinum Great Mace</t>
  </si>
  <si>
    <t>modules/a-knights-dream/Item/equip_weapon_mace_great_platinum.webp</t>
  </si>
  <si>
    <t>Platinum Great Tapal</t>
  </si>
  <si>
    <t>modules/a-knights-dream/Item/equip_weapon_tapal_great_platinum.webp</t>
  </si>
  <si>
    <t>Platinum Great War Bow</t>
  </si>
  <si>
    <t>modules/a-knights-dream/Item/equip_weapon_bow_war_great_platinum.webp</t>
  </si>
  <si>
    <t>Platinum Great War Hammer</t>
  </si>
  <si>
    <t>modules/a-knights-dream/Item/equip_weapon_hammer_war_great_platinum.webp</t>
  </si>
  <si>
    <t>Platinum Great War Pick</t>
  </si>
  <si>
    <t>modules/a-knights-dream/Item/equip_weapon_pick_war_great_platinum.webp</t>
  </si>
  <si>
    <t>Platinum Guisarme</t>
  </si>
  <si>
    <t>modules/a-knights-dream/Item/equip_weapon_guisarme_platinum.webp</t>
  </si>
  <si>
    <t>Platinum Halberd</t>
  </si>
  <si>
    <t>modules/a-knights-dream/Item/equip_weapon_halberd_platinum.webp</t>
  </si>
  <si>
    <t>Platinum Hand Crossbow</t>
  </si>
  <si>
    <t>modules/a-knights-dream/Item/equip_weapon_crossbow_hand_platinum.webp</t>
  </si>
  <si>
    <t>Platinum Hand axe</t>
  </si>
  <si>
    <t>modules/a-knights-dream/Item/equip_weapon_axe_hand_platinum.webp</t>
  </si>
  <si>
    <t>Platinum Heavy Crossbow</t>
  </si>
  <si>
    <t>modules/a-knights-dream/Item/equip_weapon_crossbow_heavy_platinum.webp</t>
  </si>
  <si>
    <t>Platinum Hunting Trap</t>
  </si>
  <si>
    <t>modules/a-knights-dream/Item/equip_weapon_trap_hunting_platinum.webp</t>
  </si>
  <si>
    <t>Platinum Hunting Trap (Large)</t>
  </si>
  <si>
    <t>modules/a-knights-dream/Item/equip_weapon_trap_hunting_large_platinum.webp</t>
  </si>
  <si>
    <t>Platinum Hunting Trap (Small)</t>
  </si>
  <si>
    <t>modules/a-knights-dream/Item/equip_weapon_trap_hunting_small_platinum.webp</t>
  </si>
  <si>
    <t>Platinum Javelin</t>
  </si>
  <si>
    <t>modules/a-knights-dream/Item/equip_weapon_javelin_platinum.webp</t>
  </si>
  <si>
    <t>Platinum Khpesh</t>
  </si>
  <si>
    <t>modules/a-knights-dream/Item/equip_weapon_khpesh_platinum.webp</t>
  </si>
  <si>
    <t>Platinum Khyber</t>
  </si>
  <si>
    <t>modules/a-knights-dream/Item/equip_weapon_khyber_platinum.webp</t>
  </si>
  <si>
    <t>Platinum Konda</t>
  </si>
  <si>
    <t>modules/a-knights-dream/Item/equip_weapon_konda_platinum.webp</t>
  </si>
  <si>
    <t>Platinum Labrys</t>
  </si>
  <si>
    <t>modules/a-knights-dream/Item/equip_weapon_axe_labrys_platinum.webp</t>
  </si>
  <si>
    <t>Platinum Lance</t>
  </si>
  <si>
    <t>modules/a-knights-dream/Item/equip_weapon_lance_platinum.webp</t>
  </si>
  <si>
    <t>Platinum Light Crossbow</t>
  </si>
  <si>
    <t>modules/a-knights-dream/Item/equip_weapon_crossbow_light_platinum.webp</t>
  </si>
  <si>
    <t>Platinum Long Bow</t>
  </si>
  <si>
    <t>modules/a-knights-dream/Item/equip_weapon_bow_long_platinum.webp</t>
  </si>
  <si>
    <t>Platinum Long Spear</t>
  </si>
  <si>
    <t>modules/a-knights-dream/Item/equip_weapon_spear_long_platinum.webp</t>
  </si>
  <si>
    <t>Platinum Lucerince Hammer</t>
  </si>
  <si>
    <t>modules/a-knights-dream/Item/equip_weapon_hammer_lucerince_platinum.webp</t>
  </si>
  <si>
    <t>Platinum Mace</t>
  </si>
  <si>
    <t>modules/a-knights-dream/Item/equip_weapon_mace_platinum.webp</t>
  </si>
  <si>
    <t>Platinum Morningstar</t>
  </si>
  <si>
    <t>modules/a-knights-dream/Item/equip_weapon_morningstar_platinum.webp</t>
  </si>
  <si>
    <t>Platinum Pike</t>
  </si>
  <si>
    <t>modules/a-knights-dream/Item/equip_weapon_pike_platinum.webp</t>
  </si>
  <si>
    <t>Platinum Quarter Staff</t>
  </si>
  <si>
    <t>modules/a-knights-dream/Item/equip_weapon_staff_quarter_platinum.webp</t>
  </si>
  <si>
    <t>Platinum Ranseur</t>
  </si>
  <si>
    <t>modules/a-knights-dream/Item/equip_weapon_ranseur_platinum.webp</t>
  </si>
  <si>
    <t>Platinum Rapier</t>
  </si>
  <si>
    <t>modules/a-knights-dream/Item/equip_weapon_rapier_platinum.webp</t>
  </si>
  <si>
    <t>Platinum Recurve Bow</t>
  </si>
  <si>
    <t>modules/a-knights-dream/Item/equip_weapon_bow_recurve_platinum.webp</t>
  </si>
  <si>
    <t>Platinum Repeater Crossbow</t>
  </si>
  <si>
    <t>modules/a-knights-dream/Item/equip_weapon_crossbow_repeater_platinum.webp</t>
  </si>
  <si>
    <t>Platinum Sabre</t>
  </si>
  <si>
    <t>modules/a-knights-dream/Item/equip_weapon_sabre_platinum.webp</t>
  </si>
  <si>
    <t>Platinum Scimitar</t>
  </si>
  <si>
    <t>modules/a-knights-dream/Item/equip_weapon_scimitar_platinum.webp</t>
  </si>
  <si>
    <t>Platinum Scythe</t>
  </si>
  <si>
    <t>modules/a-knights-dream/Item/equip_weapon_scythe_platinum.webp</t>
  </si>
  <si>
    <t>Platinum Short Bow</t>
  </si>
  <si>
    <t>modules/a-knights-dream/Item/equip_weapon_bow_short_platinum.webp</t>
  </si>
  <si>
    <t>Platinum Short Spear</t>
  </si>
  <si>
    <t>modules/a-knights-dream/Item/equip_weapon_spear_short_platinum.webp</t>
  </si>
  <si>
    <t>Platinum Short Sword</t>
  </si>
  <si>
    <t>modules/a-knights-dream/Item/equip_weapon_sword_short_platinum.webp</t>
  </si>
  <si>
    <t>Platinum Shotel</t>
  </si>
  <si>
    <t>modules/a-knights-dream/Item/equip_weapon_shotel_platinum.webp</t>
  </si>
  <si>
    <t>Platinum Sickle</t>
  </si>
  <si>
    <t>modules/a-knights-dream/Item/equip_weapon_sickle_platinum.webp</t>
  </si>
  <si>
    <t>Platinum Sling</t>
  </si>
  <si>
    <t>modules/a-knights-dream/Item/equip_weapon_sling_platinum.webp</t>
  </si>
  <si>
    <t>Platinum Staff</t>
  </si>
  <si>
    <t>modules/a-knights-dream/Item/equip_weapon_staff_platinum.webp</t>
  </si>
  <si>
    <t>Platinum Staff Sling</t>
  </si>
  <si>
    <t>modules/a-knights-dream/Item/equip_weapon_sling_staff_platinum.webp</t>
  </si>
  <si>
    <t>Platinum Sword</t>
  </si>
  <si>
    <t>modules/a-knights-dream/Item/equip_weapon_sword_platinum.webp</t>
  </si>
  <si>
    <t>Platinum Tapal</t>
  </si>
  <si>
    <t>modules/a-knights-dream/Item/equip_weapon_tapal_platinum.webp</t>
  </si>
  <si>
    <t>Platinum Trident</t>
  </si>
  <si>
    <t>modules/a-knights-dream/Item/equip_weapon_trident_platinum.webp</t>
  </si>
  <si>
    <t>Platinum War Hammer</t>
  </si>
  <si>
    <t>modules/a-knights-dream/Item/equip_weapon_hammer_war_platinum.webp</t>
  </si>
  <si>
    <t>Platinum War Pick</t>
  </si>
  <si>
    <t>modules/a-knights-dream/Item/equip_weapon_pick_war_platinum.webp</t>
  </si>
  <si>
    <t>Platinum Brigantine Cuirass</t>
  </si>
  <si>
    <t>modules/a-knights-dream/Item/equip_armor_brigantine_cuirass_platinum.webp</t>
  </si>
  <si>
    <t>Platinum Brigantine Gauntlets</t>
  </si>
  <si>
    <t>modules/a-knights-dream/Item/equip_armor_brigantine_gauntlets_platinum.webp</t>
  </si>
  <si>
    <t>Platinum Brigantine Greaves</t>
  </si>
  <si>
    <t>modules/a-knights-dream/Item/equip_armor_brigantine_greaves_platinum.webp</t>
  </si>
  <si>
    <t>Platinum Brigantine Helmet</t>
  </si>
  <si>
    <t>modules/a-knights-dream/Item/equip_armor_brigantine_helmet_platinum.webp</t>
  </si>
  <si>
    <t>Platinum Brigantine Pauldron</t>
  </si>
  <si>
    <t>modules/a-knights-dream/Item/equip_armor_brigantine_pauldron_platinum.webp</t>
  </si>
  <si>
    <t>Platinum Chainmail Cuirass</t>
  </si>
  <si>
    <t>modules/a-knights-dream/Item/equip_armor_chainmail_cuirass_platinum.webp</t>
  </si>
  <si>
    <t>Platinum Chainmail Gauntlets</t>
  </si>
  <si>
    <t>modules/a-knights-dream/Item/equip_armor_chainmail_gauntlets_platinum.webp</t>
  </si>
  <si>
    <t>Platinum Chainmail Greaves</t>
  </si>
  <si>
    <t>modules/a-knights-dream/Item/equip_armor_chainmail_greaves_platinum.webp</t>
  </si>
  <si>
    <t>Platinum Chainmail Helmet</t>
  </si>
  <si>
    <t>modules/a-knights-dream/Item/equip_armor_chainmail_helmet_platinum.webp</t>
  </si>
  <si>
    <t>Platinum Chainmail Pauldron</t>
  </si>
  <si>
    <t>modules/a-knights-dream/Item/equip_armor_chainmail_pauldron_platinum.webp</t>
  </si>
  <si>
    <t>Platinum Gamberson Cuirass</t>
  </si>
  <si>
    <t>modules/a-knights-dream/Item/equip_armor_gamberson_cuirass_platinum.webp</t>
  </si>
  <si>
    <t>Platinum Gamberson Gauntlets</t>
  </si>
  <si>
    <t>modules/a-knights-dream/Item/equip_armor_gamberson_gauntlets_platinum.webp</t>
  </si>
  <si>
    <t>Platinum Gamberson Greaves</t>
  </si>
  <si>
    <t>modules/a-knights-dream/Item/equip_armor_gamberson_greaves_platinum.webp</t>
  </si>
  <si>
    <t>Platinum Gamberson Helmet</t>
  </si>
  <si>
    <t>modules/a-knights-dream/Item/equip_armor_gamberson_helmet_platinum.webp</t>
  </si>
  <si>
    <t>Platinum Gamberson Pauldron</t>
  </si>
  <si>
    <t>modules/a-knights-dream/Item/equip_armor_gamberson_pauldron_platinum.webp</t>
  </si>
  <si>
    <t>Platinum Hauberk Cuirass</t>
  </si>
  <si>
    <t>modules/a-knights-dream/Item/equip_armor_hauberk_cuirass_platinum.webp</t>
  </si>
  <si>
    <t>Platinum Hauberk Gauntlets</t>
  </si>
  <si>
    <t>modules/a-knights-dream/Item/equip_armor_hauberk_gauntlets_platinum.webp</t>
  </si>
  <si>
    <t>Platinum Hauberk Greaves</t>
  </si>
  <si>
    <t>modules/a-knights-dream/Item/equip_armor_hauberk_greaves_platinum.webp</t>
  </si>
  <si>
    <t>Platinum Hauberk Helmet</t>
  </si>
  <si>
    <t>modules/a-knights-dream/Item/equip_armor_hauberk_helmet_platinum.webp</t>
  </si>
  <si>
    <t>Platinum Hauberk Pauldron</t>
  </si>
  <si>
    <t>modules/a-knights-dream/Item/equip_armor_hauberk_pauldron_platinum.webp</t>
  </si>
  <si>
    <t>Platinum Jack Cuirass</t>
  </si>
  <si>
    <t>modules/a-knights-dream/Item/equip_armor_jack_cuirass_platinum.webp</t>
  </si>
  <si>
    <t>Platinum Jack Gauntlets</t>
  </si>
  <si>
    <t>modules/a-knights-dream/Item/equip_armor_jack_gauntlets_platinum.webp</t>
  </si>
  <si>
    <t>Platinum Jack Greaves</t>
  </si>
  <si>
    <t>modules/a-knights-dream/Item/equip_armor_jack_greaves_platinum.webp</t>
  </si>
  <si>
    <t>Platinum Jack Helmet</t>
  </si>
  <si>
    <t>modules/a-knights-dream/Item/equip_armor_jack_helmet_platinum.webp</t>
  </si>
  <si>
    <t>Platinum Jack Pauldron</t>
  </si>
  <si>
    <t>modules/a-knights-dream/Item/equip_armor_jack_pauldron_platinum.webp</t>
  </si>
  <si>
    <t>Platinum Lamellar Cuirass</t>
  </si>
  <si>
    <t>modules/a-knights-dream/Item/equip_armor_lamellar_cuirass_platinum.webp</t>
  </si>
  <si>
    <t>Platinum Lamellar Gauntlets</t>
  </si>
  <si>
    <t>modules/a-knights-dream/Item/equip_armor_lamellar_gauntlets_platinum.webp</t>
  </si>
  <si>
    <t>Platinum Lamellar Greaves</t>
  </si>
  <si>
    <t>modules/a-knights-dream/Item/equip_armor_lamellar_greaves_platinum.webp</t>
  </si>
  <si>
    <t>Platinum Lamellar Helmet</t>
  </si>
  <si>
    <t>modules/a-knights-dream/Item/equip_armor_lamellar_helmet_platinum.webp</t>
  </si>
  <si>
    <t>Platinum Lamellar Pauldron</t>
  </si>
  <si>
    <t>modules/a-knights-dream/Item/equip_armor_lamellar_pauldron_platinum.webp</t>
  </si>
  <si>
    <t>Platinum Platemail Cuirass</t>
  </si>
  <si>
    <t>modules/a-knights-dream/Item/equip_armor_platemail_cuirass_platinum.webp</t>
  </si>
  <si>
    <t>Platinum Platemail Gauntlets</t>
  </si>
  <si>
    <t>modules/a-knights-dream/Item/equip_armor_platemail_gauntlets_platinum.webp</t>
  </si>
  <si>
    <t>Platinum Platemail Greaves</t>
  </si>
  <si>
    <t>modules/a-knights-dream/Item/equip_armor_platemail_greaves_platinum.webp</t>
  </si>
  <si>
    <t>Platinum Platemail Helmet</t>
  </si>
  <si>
    <t>modules/a-knights-dream/Item/equip_armor_platemail_helmet_platinum.webp</t>
  </si>
  <si>
    <t>Platinum Platemail Pauldron</t>
  </si>
  <si>
    <t>modules/a-knights-dream/Item/equip_armor_platemail_pauldron_platinum.webp</t>
  </si>
  <si>
    <t>Platinum Tunic Cuirass</t>
  </si>
  <si>
    <t>modules/a-knights-dream/Item/equip_armor_tunic_cuirass_platinum.webp</t>
  </si>
  <si>
    <t>Platinum Tunic Gauntlets</t>
  </si>
  <si>
    <t>modules/a-knights-dream/Item/equip_armor_tunic_gauntlets_platinum.webp</t>
  </si>
  <si>
    <t>Platinum Tunic Greaves</t>
  </si>
  <si>
    <t>modules/a-knights-dream/Item/equip_armor_tunic_greaves_platinum.webp</t>
  </si>
  <si>
    <t>Platinum Tunic Helmet</t>
  </si>
  <si>
    <t>modules/a-knights-dream/Item/equip_armor_tunic_helmet_platinum.webp</t>
  </si>
  <si>
    <t>Platinum Tunic Pauldron</t>
  </si>
  <si>
    <t>modules/a-knights-dream/Item/equip_armor_tunic_pauldron_platinum.webp</t>
  </si>
  <si>
    <t>Platinum Buckler Shield</t>
  </si>
  <si>
    <t>modules/a-knights-dream/Item/equip_armor_shield_buckler_platinum.webp</t>
  </si>
  <si>
    <t>Platinum Heater Shield</t>
  </si>
  <si>
    <t>modules/a-knights-dream/Item/equip_armor_shield_heater_platinum.webp</t>
  </si>
  <si>
    <t>Platinum Kite Shield</t>
  </si>
  <si>
    <t>modules/a-knights-dream/Item/equip_armor_shield_kite_platinum.webp</t>
  </si>
  <si>
    <t>Platinum Oval Shield</t>
  </si>
  <si>
    <t>modules/a-knights-dream/Item/equip_armor_shield_oval_platinum.webp</t>
  </si>
  <si>
    <t>Platinum Round Shield</t>
  </si>
  <si>
    <t>modules/a-knights-dream/Item/equip_armor_shield_round_platinum.webp</t>
  </si>
  <si>
    <t>Platinum Tower Shield</t>
  </si>
  <si>
    <t>modules/a-knights-dream/Item/equip_armor_shield_tower_platinum.webp</t>
  </si>
  <si>
    <t>Sentira</t>
  </si>
  <si>
    <t>Sentira Ball Bearings</t>
  </si>
  <si>
    <t>modules/a-knights-dream/Item/equip_weapon_bearings_sentira.webp</t>
  </si>
  <si>
    <t>Sentira Bardiche</t>
  </si>
  <si>
    <t>modules/a-knights-dream/Item/equip_weapon_bardiche_sentira.webp</t>
  </si>
  <si>
    <t>Sentira Bastard Sword</t>
  </si>
  <si>
    <t>modules/a-knights-dream/Item/equip_weapon_sword_bastard_sentira.webp</t>
  </si>
  <si>
    <t>Sentira Battle Axe</t>
  </si>
  <si>
    <t>modules/a-knights-dream/Item/equip_weapon_axe_battle_sentira.webp</t>
  </si>
  <si>
    <t>Sentira Blowgun</t>
  </si>
  <si>
    <t>modules/a-knights-dream/Item/equip_weapon_blowgun_sentira.webp</t>
  </si>
  <si>
    <t>Sentira Bolt</t>
  </si>
  <si>
    <t>modules/a-knights-dream/Item/equip_weapon_bolt_sentira.webp</t>
  </si>
  <si>
    <t>Sentira Boomerang</t>
  </si>
  <si>
    <t>modules/a-knights-dream/Item/equip_weapon_boomerang_sentira.webp</t>
  </si>
  <si>
    <t>Sentira Bow</t>
  </si>
  <si>
    <t>modules/a-knights-dream/Item/equip_weapon_bow_sentira.webp</t>
  </si>
  <si>
    <t>Sentira Caltrops</t>
  </si>
  <si>
    <t>modules/a-knights-dream/Item/equip_weapon_caltrops_sentira.webp</t>
  </si>
  <si>
    <t>Sentira Cestus</t>
  </si>
  <si>
    <t>modules/a-knights-dream/Item/equip_weapon_cestus_sentira.webp</t>
  </si>
  <si>
    <t>Sentira Chain</t>
  </si>
  <si>
    <t>modules/a-knights-dream/Item/equip_weapon_chain_sentira.webp</t>
  </si>
  <si>
    <t>Sentira Claymore</t>
  </si>
  <si>
    <t>modules/a-knights-dream/Item/equip_weapon_claymore_sentira.webp</t>
  </si>
  <si>
    <t>Sentira Club</t>
  </si>
  <si>
    <t>modules/a-knights-dream/Item/equip_weapon_club_sentira.webp</t>
  </si>
  <si>
    <t>Sentira Compound Bow</t>
  </si>
  <si>
    <t>modules/a-knights-dream/Item/equip_weapon_bow_compound_sentira.webp</t>
  </si>
  <si>
    <t>Sentira Cutlass</t>
  </si>
  <si>
    <t>modules/a-knights-dream/Item/equip_weapon_cutlass_sentira.webp</t>
  </si>
  <si>
    <t>Sentira Dagger</t>
  </si>
  <si>
    <t>modules/a-knights-dream/Item/equip_weapon_dagger_sentira.webp</t>
  </si>
  <si>
    <t>Sentira Dart</t>
  </si>
  <si>
    <t>modules/a-knights-dream/Item/equip_weapon_dart_sentira.webp</t>
  </si>
  <si>
    <t>Sentira Fauchard Scythe</t>
  </si>
  <si>
    <t>modules/a-knights-dream/Item/equip_weapon_scythe_fauchard_sentira.webp</t>
  </si>
  <si>
    <t>Sentira Flail</t>
  </si>
  <si>
    <t>modules/a-knights-dream/Item/equip_weapon_flail_sentira.webp</t>
  </si>
  <si>
    <t>Sentira Glaive</t>
  </si>
  <si>
    <t>modules/a-knights-dream/Item/equip_weapon_glaive_sentira.webp</t>
  </si>
  <si>
    <t>Sentira Grapple Hook</t>
  </si>
  <si>
    <t>modules/a-knights-dream/Item/equip_weapon_hook_grapple_sentira.webp</t>
  </si>
  <si>
    <t>Sentira Great Axe</t>
  </si>
  <si>
    <t>modules/a-knights-dream/Item/equip_weapon_axe_great_sentira.webp</t>
  </si>
  <si>
    <t>Sentira Great Club</t>
  </si>
  <si>
    <t>modules/a-knights-dream/Item/equip_weapon_club_great_sentira.webp</t>
  </si>
  <si>
    <t>Sentira Great Khyber</t>
  </si>
  <si>
    <t>modules/a-knights-dream/Item/equip_weapon_khyber_great_sentira.webp</t>
  </si>
  <si>
    <t>Sentira Great Konda</t>
  </si>
  <si>
    <t>modules/a-knights-dream/Item/equip_weapon_konda_great_sentira.webp</t>
  </si>
  <si>
    <t>Sentira Great Labrys</t>
  </si>
  <si>
    <t>modules/a-knights-dream/Item/equip_weapon_axe_labrys_great_sentira.webp</t>
  </si>
  <si>
    <t>Sentira Great Mace</t>
  </si>
  <si>
    <t>modules/a-knights-dream/Item/equip_weapon_mace_great_sentira.webp</t>
  </si>
  <si>
    <t>Sentira Great Tapal</t>
  </si>
  <si>
    <t>modules/a-knights-dream/Item/equip_weapon_tapal_great_sentira.webp</t>
  </si>
  <si>
    <t>Sentira Great War Bow</t>
  </si>
  <si>
    <t>modules/a-knights-dream/Item/equip_weapon_bow_war_great_sentira.webp</t>
  </si>
  <si>
    <t>Sentira Great War Hammer</t>
  </si>
  <si>
    <t>modules/a-knights-dream/Item/equip_weapon_hammer_war_great_sentira.webp</t>
  </si>
  <si>
    <t>Sentira Great War Pick</t>
  </si>
  <si>
    <t>modules/a-knights-dream/Item/equip_weapon_pick_war_great_sentira.webp</t>
  </si>
  <si>
    <t>Sentira Guisarme</t>
  </si>
  <si>
    <t>modules/a-knights-dream/Item/equip_weapon_guisarme_sentira.webp</t>
  </si>
  <si>
    <t>Sentira Halberd</t>
  </si>
  <si>
    <t>modules/a-knights-dream/Item/equip_weapon_halberd_sentira.webp</t>
  </si>
  <si>
    <t>Sentira Hand Crossbow</t>
  </si>
  <si>
    <t>modules/a-knights-dream/Item/equip_weapon_crossbow_hand_sentira.webp</t>
  </si>
  <si>
    <t>Sentira Hand axe</t>
  </si>
  <si>
    <t>modules/a-knights-dream/Item/equip_weapon_axe_hand_sentira.webp</t>
  </si>
  <si>
    <t>Sentira Heavy Crossbow</t>
  </si>
  <si>
    <t>modules/a-knights-dream/Item/equip_weapon_crossbow_heavy_sentira.webp</t>
  </si>
  <si>
    <t>Sentira Hunting Trap</t>
  </si>
  <si>
    <t>modules/a-knights-dream/Item/equip_weapon_trap_hunting_sentira.webp</t>
  </si>
  <si>
    <t>Sentira Hunting Trap (Large)</t>
  </si>
  <si>
    <t>modules/a-knights-dream/Item/equip_weapon_trap_hunting_large_sentira.webp</t>
  </si>
  <si>
    <t>Sentira Hunting Trap (Small)</t>
  </si>
  <si>
    <t>modules/a-knights-dream/Item/equip_weapon_trap_hunting_small_sentira.webp</t>
  </si>
  <si>
    <t>Sentira Javelin</t>
  </si>
  <si>
    <t>modules/a-knights-dream/Item/equip_weapon_javelin_sentira.webp</t>
  </si>
  <si>
    <t>Sentira Khpesh</t>
  </si>
  <si>
    <t>modules/a-knights-dream/Item/equip_weapon_khpesh_sentira.webp</t>
  </si>
  <si>
    <t>Sentira Khyber</t>
  </si>
  <si>
    <t>modules/a-knights-dream/Item/equip_weapon_khyber_sentira.webp</t>
  </si>
  <si>
    <t>Sentira Konda</t>
  </si>
  <si>
    <t>modules/a-knights-dream/Item/equip_weapon_konda_sentira.webp</t>
  </si>
  <si>
    <t>Sentira Labrys</t>
  </si>
  <si>
    <t>modules/a-knights-dream/Item/equip_weapon_axe_labrys_sentira.webp</t>
  </si>
  <si>
    <t>Sentira Lance</t>
  </si>
  <si>
    <t>modules/a-knights-dream/Item/equip_weapon_lance_sentira.webp</t>
  </si>
  <si>
    <t>Sentira Light Crossbow</t>
  </si>
  <si>
    <t>modules/a-knights-dream/Item/equip_weapon_crossbow_light_sentira.webp</t>
  </si>
  <si>
    <t>Sentira Long Bow</t>
  </si>
  <si>
    <t>modules/a-knights-dream/Item/equip_weapon_bow_long_sentira.webp</t>
  </si>
  <si>
    <t>Sentira Long Spear</t>
  </si>
  <si>
    <t>modules/a-knights-dream/Item/equip_weapon_spear_long_sentira.webp</t>
  </si>
  <si>
    <t>Sentira Lucerince Hammer</t>
  </si>
  <si>
    <t>modules/a-knights-dream/Item/equip_weapon_hammer_lucerince_sentira.webp</t>
  </si>
  <si>
    <t>Sentira Mace</t>
  </si>
  <si>
    <t>modules/a-knights-dream/Item/equip_weapon_mace_sentira.webp</t>
  </si>
  <si>
    <t>Sentira Morningstar</t>
  </si>
  <si>
    <t>modules/a-knights-dream/Item/equip_weapon_morningstar_sentira.webp</t>
  </si>
  <si>
    <t>Sentira Pike</t>
  </si>
  <si>
    <t>modules/a-knights-dream/Item/equip_weapon_pike_sentira.webp</t>
  </si>
  <si>
    <t>Sentira Quarter Staff</t>
  </si>
  <si>
    <t>modules/a-knights-dream/Item/equip_weapon_staff_quarter_sentira.webp</t>
  </si>
  <si>
    <t>Sentira Ranseur</t>
  </si>
  <si>
    <t>modules/a-knights-dream/Item/equip_weapon_ranseur_sentira.webp</t>
  </si>
  <si>
    <t>Sentira Rapier</t>
  </si>
  <si>
    <t>modules/a-knights-dream/Item/equip_weapon_rapier_sentira.webp</t>
  </si>
  <si>
    <t>Sentira Recurve Bow</t>
  </si>
  <si>
    <t>modules/a-knights-dream/Item/equip_weapon_bow_recurve_sentira.webp</t>
  </si>
  <si>
    <t>Sentira Repeater Crossbow</t>
  </si>
  <si>
    <t>modules/a-knights-dream/Item/equip_weapon_crossbow_repeater_sentira.webp</t>
  </si>
  <si>
    <t>Sentira Sabre</t>
  </si>
  <si>
    <t>modules/a-knights-dream/Item/equip_weapon_sabre_sentira.webp</t>
  </si>
  <si>
    <t>Sentira Scimitar</t>
  </si>
  <si>
    <t>modules/a-knights-dream/Item/equip_weapon_scimitar_sentira.webp</t>
  </si>
  <si>
    <t>Sentira Scythe</t>
  </si>
  <si>
    <t>modules/a-knights-dream/Item/equip_weapon_scythe_sentira.webp</t>
  </si>
  <si>
    <t>Sentira Short Bow</t>
  </si>
  <si>
    <t>modules/a-knights-dream/Item/equip_weapon_bow_short_sentira.webp</t>
  </si>
  <si>
    <t>Sentira Short Spear</t>
  </si>
  <si>
    <t>modules/a-knights-dream/Item/equip_weapon_spear_short_sentira.webp</t>
  </si>
  <si>
    <t>Sentira Short Sword</t>
  </si>
  <si>
    <t>modules/a-knights-dream/Item/equip_weapon_sword_short_sentira.webp</t>
  </si>
  <si>
    <t>Sentira Shotel</t>
  </si>
  <si>
    <t>modules/a-knights-dream/Item/equip_weapon_shotel_sentira.webp</t>
  </si>
  <si>
    <t>Sentira Sickle</t>
  </si>
  <si>
    <t>modules/a-knights-dream/Item/equip_weapon_sickle_sentira.webp</t>
  </si>
  <si>
    <t>Sentira Sling</t>
  </si>
  <si>
    <t>modules/a-knights-dream/Item/equip_weapon_sling_sentira.webp</t>
  </si>
  <si>
    <t>Sentira Staff</t>
  </si>
  <si>
    <t>modules/a-knights-dream/Item/equip_weapon_staff_sentira.webp</t>
  </si>
  <si>
    <t>Sentira Staff Sling</t>
  </si>
  <si>
    <t>modules/a-knights-dream/Item/equip_weapon_sling_staff_sentira.webp</t>
  </si>
  <si>
    <t>Sentira Sword</t>
  </si>
  <si>
    <t>modules/a-knights-dream/Item/equip_weapon_sword_sentira.webp</t>
  </si>
  <si>
    <t>Sentira Tapal</t>
  </si>
  <si>
    <t>modules/a-knights-dream/Item/equip_weapon_tapal_sentira.webp</t>
  </si>
  <si>
    <t>Sentira Trident</t>
  </si>
  <si>
    <t>modules/a-knights-dream/Item/equip_weapon_trident_sentira.webp</t>
  </si>
  <si>
    <t>Sentira War Hammer</t>
  </si>
  <si>
    <t>modules/a-knights-dream/Item/equip_weapon_hammer_war_sentira.webp</t>
  </si>
  <si>
    <t>Sentira War Pick</t>
  </si>
  <si>
    <t>modules/a-knights-dream/Item/equip_weapon_pick_war_sentira.webp</t>
  </si>
  <si>
    <t>Sentira Brigantine Cuirass</t>
  </si>
  <si>
    <t>modules/a-knights-dream/Item/equip_armor_brigantine_cuirass_sentira.webp</t>
  </si>
  <si>
    <t>Sentira Brigantine Gauntlets</t>
  </si>
  <si>
    <t>modules/a-knights-dream/Item/equip_armor_brigantine_gauntlets_sentira.webp</t>
  </si>
  <si>
    <t>Sentira Brigantine Greaves</t>
  </si>
  <si>
    <t>modules/a-knights-dream/Item/equip_armor_brigantine_greaves_sentira.webp</t>
  </si>
  <si>
    <t>Sentira Brigantine Helmet</t>
  </si>
  <si>
    <t>modules/a-knights-dream/Item/equip_armor_brigantine_helmet_sentira.webp</t>
  </si>
  <si>
    <t>Sentira Brigantine Pauldron</t>
  </si>
  <si>
    <t>modules/a-knights-dream/Item/equip_armor_brigantine_pauldron_sentira.webp</t>
  </si>
  <si>
    <t>Sentira Chainmail Cuirass</t>
  </si>
  <si>
    <t>modules/a-knights-dream/Item/equip_armor_chainmail_cuirass_sentira.webp</t>
  </si>
  <si>
    <t>Sentira Chainmail Gauntlets</t>
  </si>
  <si>
    <t>modules/a-knights-dream/Item/equip_armor_chainmail_gauntlets_sentira.webp</t>
  </si>
  <si>
    <t>Sentira Chainmail Greaves</t>
  </si>
  <si>
    <t>modules/a-knights-dream/Item/equip_armor_chainmail_greaves_sentira.webp</t>
  </si>
  <si>
    <t>Sentira Chainmail Helmet</t>
  </si>
  <si>
    <t>modules/a-knights-dream/Item/equip_armor_chainmail_helmet_sentira.webp</t>
  </si>
  <si>
    <t>Sentira Chainmail Pauldron</t>
  </si>
  <si>
    <t>modules/a-knights-dream/Item/equip_armor_chainmail_pauldron_sentira.webp</t>
  </si>
  <si>
    <t>Sentira Gamberson Cuirass</t>
  </si>
  <si>
    <t>modules/a-knights-dream/Item/equip_armor_gamberson_cuirass_sentira.webp</t>
  </si>
  <si>
    <t>Sentira Gamberson Gauntlets</t>
  </si>
  <si>
    <t>modules/a-knights-dream/Item/equip_armor_gamberson_gauntlets_sentira.webp</t>
  </si>
  <si>
    <t>Sentira Gamberson Greaves</t>
  </si>
  <si>
    <t>modules/a-knights-dream/Item/equip_armor_gamberson_greaves_sentira.webp</t>
  </si>
  <si>
    <t>Sentira Gamberson Helmet</t>
  </si>
  <si>
    <t>modules/a-knights-dream/Item/equip_armor_gamberson_helmet_sentira.webp</t>
  </si>
  <si>
    <t>Sentira Gamberson Pauldron</t>
  </si>
  <si>
    <t>modules/a-knights-dream/Item/equip_armor_gamberson_pauldron_sentira.webp</t>
  </si>
  <si>
    <t>Sentira Hauberk Cuirass</t>
  </si>
  <si>
    <t>modules/a-knights-dream/Item/equip_armor_hauberk_cuirass_sentira.webp</t>
  </si>
  <si>
    <t>Sentira Hauberk Gauntlets</t>
  </si>
  <si>
    <t>modules/a-knights-dream/Item/equip_armor_hauberk_gauntlets_sentira.webp</t>
  </si>
  <si>
    <t>Sentira Hauberk Greaves</t>
  </si>
  <si>
    <t>modules/a-knights-dream/Item/equip_armor_hauberk_greaves_sentira.webp</t>
  </si>
  <si>
    <t>Sentira Hauberk Helmet</t>
  </si>
  <si>
    <t>modules/a-knights-dream/Item/equip_armor_hauberk_helmet_sentira.webp</t>
  </si>
  <si>
    <t>Sentira Hauberk Pauldron</t>
  </si>
  <si>
    <t>modules/a-knights-dream/Item/equip_armor_hauberk_pauldron_sentira.webp</t>
  </si>
  <si>
    <t>Sentira Jack Cuirass</t>
  </si>
  <si>
    <t>modules/a-knights-dream/Item/equip_armor_jack_cuirass_sentira.webp</t>
  </si>
  <si>
    <t>Sentira Jack Gauntlets</t>
  </si>
  <si>
    <t>modules/a-knights-dream/Item/equip_armor_jack_gauntlets_sentira.webp</t>
  </si>
  <si>
    <t>Sentira Jack Greaves</t>
  </si>
  <si>
    <t>modules/a-knights-dream/Item/equip_armor_jack_greaves_sentira.webp</t>
  </si>
  <si>
    <t>Sentira Jack Helmet</t>
  </si>
  <si>
    <t>modules/a-knights-dream/Item/equip_armor_jack_helmet_sentira.webp</t>
  </si>
  <si>
    <t>Sentira Jack Pauldron</t>
  </si>
  <si>
    <t>modules/a-knights-dream/Item/equip_armor_jack_pauldron_sentira.webp</t>
  </si>
  <si>
    <t>Sentira Lamellar Cuirass</t>
  </si>
  <si>
    <t>modules/a-knights-dream/Item/equip_armor_lamellar_cuirass_sentira.webp</t>
  </si>
  <si>
    <t>Sentira Lamellar Gauntlets</t>
  </si>
  <si>
    <t>modules/a-knights-dream/Item/equip_armor_lamellar_gauntlets_sentira.webp</t>
  </si>
  <si>
    <t>Sentira Lamellar Greaves</t>
  </si>
  <si>
    <t>modules/a-knights-dream/Item/equip_armor_lamellar_greaves_sentira.webp</t>
  </si>
  <si>
    <t>Sentira Lamellar Helmet</t>
  </si>
  <si>
    <t>modules/a-knights-dream/Item/equip_armor_lamellar_helmet_sentira.webp</t>
  </si>
  <si>
    <t>Sentira Lamellar Pauldron</t>
  </si>
  <si>
    <t>modules/a-knights-dream/Item/equip_armor_lamellar_pauldron_sentira.webp</t>
  </si>
  <si>
    <t>Sentira Platemail Cuirass</t>
  </si>
  <si>
    <t>modules/a-knights-dream/Item/equip_armor_platemail_cuirass_sentira.webp</t>
  </si>
  <si>
    <t>Sentira Platemail Gauntlets</t>
  </si>
  <si>
    <t>modules/a-knights-dream/Item/equip_armor_platemail_gauntlets_sentira.webp</t>
  </si>
  <si>
    <t>Sentira Platemail Greaves</t>
  </si>
  <si>
    <t>modules/a-knights-dream/Item/equip_armor_platemail_greaves_sentira.webp</t>
  </si>
  <si>
    <t>Sentira Platemail Helmet</t>
  </si>
  <si>
    <t>modules/a-knights-dream/Item/equip_armor_platemail_helmet_sentira.webp</t>
  </si>
  <si>
    <t>Sentira Platemail Pauldron</t>
  </si>
  <si>
    <t>modules/a-knights-dream/Item/equip_armor_platemail_pauldron_sentira.webp</t>
  </si>
  <si>
    <t>Sentira Tunic Cuirass</t>
  </si>
  <si>
    <t>modules/a-knights-dream/Item/equip_armor_tunic_cuirass_sentira.webp</t>
  </si>
  <si>
    <t>Sentira Tunic Gauntlets</t>
  </si>
  <si>
    <t>modules/a-knights-dream/Item/equip_armor_tunic_gauntlets_sentira.webp</t>
  </si>
  <si>
    <t>Sentira Tunic Greaves</t>
  </si>
  <si>
    <t>modules/a-knights-dream/Item/equip_armor_tunic_greaves_sentira.webp</t>
  </si>
  <si>
    <t>Sentira Tunic Helmet</t>
  </si>
  <si>
    <t>modules/a-knights-dream/Item/equip_armor_tunic_helmet_sentira.webp</t>
  </si>
  <si>
    <t>Sentira Tunic Pauldron</t>
  </si>
  <si>
    <t>modules/a-knights-dream/Item/equip_armor_tunic_pauldron_sentira.webp</t>
  </si>
  <si>
    <t>Sentira Buckler Shield</t>
  </si>
  <si>
    <t>modules/a-knights-dream/Item/equip_armor_shield_buckler_sentira.webp</t>
  </si>
  <si>
    <t>Sentira Heater Shield</t>
  </si>
  <si>
    <t>modules/a-knights-dream/Item/equip_armor_shield_heater_sentira.webp</t>
  </si>
  <si>
    <t>Sentira Kite Shield</t>
  </si>
  <si>
    <t>modules/a-knights-dream/Item/equip_armor_shield_kite_sentira.webp</t>
  </si>
  <si>
    <t>Sentira Oval Shield</t>
  </si>
  <si>
    <t>modules/a-knights-dream/Item/equip_armor_shield_oval_sentira.webp</t>
  </si>
  <si>
    <t>Sentira Round Shield</t>
  </si>
  <si>
    <t>modules/a-knights-dream/Item/equip_armor_shield_round_sentira.webp</t>
  </si>
  <si>
    <t>Sentira Tower Shield</t>
  </si>
  <si>
    <t>modules/a-knights-dream/Item/equip_armor_shield_tower_sentira.webp</t>
  </si>
  <si>
    <t>Silver</t>
  </si>
  <si>
    <t>Silver Ball Bearings</t>
  </si>
  <si>
    <t>modules/a-knights-dream/Item/equip_weapon_bearings_silver.webp</t>
  </si>
  <si>
    <t>Silver Bardiche</t>
  </si>
  <si>
    <t>modules/a-knights-dream/Item/equip_weapon_bardiche_silver.webp</t>
  </si>
  <si>
    <t>Silver Bastard Sword</t>
  </si>
  <si>
    <t>modules/a-knights-dream/Item/equip_weapon_sword_bastard_silver.webp</t>
  </si>
  <si>
    <t>Silver Battle Axe</t>
  </si>
  <si>
    <t>modules/a-knights-dream/Item/equip_weapon_axe_battle_silver.webp</t>
  </si>
  <si>
    <t>Silver Blowgun</t>
  </si>
  <si>
    <t>modules/a-knights-dream/Item/equip_weapon_blowgun_silver.webp</t>
  </si>
  <si>
    <t>Silver Bolt</t>
  </si>
  <si>
    <t>modules/a-knights-dream/Item/equip_weapon_bolt_silver.webp</t>
  </si>
  <si>
    <t>Silver Boomerang</t>
  </si>
  <si>
    <t>modules/a-knights-dream/Item/equip_weapon_boomerang_silver.webp</t>
  </si>
  <si>
    <t>Silver Bow</t>
  </si>
  <si>
    <t>modules/a-knights-dream/Item/equip_weapon_bow_silver.webp</t>
  </si>
  <si>
    <t>Silver Caltrops</t>
  </si>
  <si>
    <t>modules/a-knights-dream/Item/equip_weapon_caltrops_silver.webp</t>
  </si>
  <si>
    <t>Silver Cestus</t>
  </si>
  <si>
    <t>modules/a-knights-dream/Item/equip_weapon_cestus_silver.webp</t>
  </si>
  <si>
    <t>Silver Chain</t>
  </si>
  <si>
    <t>modules/a-knights-dream/Item/equip_weapon_chain_silver.webp</t>
  </si>
  <si>
    <t>Silver Claymore</t>
  </si>
  <si>
    <t>modules/a-knights-dream/Item/equip_weapon_claymore_silver.webp</t>
  </si>
  <si>
    <t>Silver Club</t>
  </si>
  <si>
    <t>modules/a-knights-dream/Item/equip_weapon_club_silver.webp</t>
  </si>
  <si>
    <t>Silver Compound Bow</t>
  </si>
  <si>
    <t>modules/a-knights-dream/Item/equip_weapon_bow_compound_silver.webp</t>
  </si>
  <si>
    <t>Silver Cutlass</t>
  </si>
  <si>
    <t>modules/a-knights-dream/Item/equip_weapon_cutlass_silver.webp</t>
  </si>
  <si>
    <t>Silver Dagger</t>
  </si>
  <si>
    <t>modules/a-knights-dream/Item/equip_weapon_dagger_silver.webp</t>
  </si>
  <si>
    <t>Silver Dart</t>
  </si>
  <si>
    <t>modules/a-knights-dream/Item/equip_weapon_dart_silver.webp</t>
  </si>
  <si>
    <t>Silver Fauchard Scythe</t>
  </si>
  <si>
    <t>modules/a-knights-dream/Item/equip_weapon_scythe_fauchard_silver.webp</t>
  </si>
  <si>
    <t>Silver Flail</t>
  </si>
  <si>
    <t>modules/a-knights-dream/Item/equip_weapon_flail_silver.webp</t>
  </si>
  <si>
    <t>Silver Glaive</t>
  </si>
  <si>
    <t>modules/a-knights-dream/Item/equip_weapon_glaive_silver.webp</t>
  </si>
  <si>
    <t>Silver Grapple Hook</t>
  </si>
  <si>
    <t>modules/a-knights-dream/Item/equip_weapon_hook_grapple_silver.webp</t>
  </si>
  <si>
    <t>Silver Great Axe</t>
  </si>
  <si>
    <t>modules/a-knights-dream/Item/equip_weapon_axe_great_silver.webp</t>
  </si>
  <si>
    <t>Silver Great Club</t>
  </si>
  <si>
    <t>modules/a-knights-dream/Item/equip_weapon_club_great_silver.webp</t>
  </si>
  <si>
    <t>Silver Great Khyber</t>
  </si>
  <si>
    <t>modules/a-knights-dream/Item/equip_weapon_khyber_great_silver.webp</t>
  </si>
  <si>
    <t>Silver Great Konda</t>
  </si>
  <si>
    <t>modules/a-knights-dream/Item/equip_weapon_konda_great_silver.webp</t>
  </si>
  <si>
    <t>Silver Great Labrys</t>
  </si>
  <si>
    <t>modules/a-knights-dream/Item/equip_weapon_axe_labrys_great_silver.webp</t>
  </si>
  <si>
    <t>Silver Great Mace</t>
  </si>
  <si>
    <t>modules/a-knights-dream/Item/equip_weapon_mace_great_silver.webp</t>
  </si>
  <si>
    <t>Silver Great Tapal</t>
  </si>
  <si>
    <t>modules/a-knights-dream/Item/equip_weapon_tapal_great_silver.webp</t>
  </si>
  <si>
    <t>Silver Great War Bow</t>
  </si>
  <si>
    <t>modules/a-knights-dream/Item/equip_weapon_bow_war_great_silver.webp</t>
  </si>
  <si>
    <t>Silver Great War Hammer</t>
  </si>
  <si>
    <t>modules/a-knights-dream/Item/equip_weapon_hammer_war_great_silver.webp</t>
  </si>
  <si>
    <t>Silver Great War Pick</t>
  </si>
  <si>
    <t>modules/a-knights-dream/Item/equip_weapon_pick_war_great_silver.webp</t>
  </si>
  <si>
    <t>Silver Guisarme</t>
  </si>
  <si>
    <t>modules/a-knights-dream/Item/equip_weapon_guisarme_silver.webp</t>
  </si>
  <si>
    <t>Silver Halberd</t>
  </si>
  <si>
    <t>modules/a-knights-dream/Item/equip_weapon_halberd_silver.webp</t>
  </si>
  <si>
    <t>Silver Hand Crossbow</t>
  </si>
  <si>
    <t>modules/a-knights-dream/Item/equip_weapon_crossbow_hand_silver.webp</t>
  </si>
  <si>
    <t>Silver Hand axe</t>
  </si>
  <si>
    <t>modules/a-knights-dream/Item/equip_weapon_axe_hand_silver.webp</t>
  </si>
  <si>
    <t>Silver Heavy Crossbow</t>
  </si>
  <si>
    <t>modules/a-knights-dream/Item/equip_weapon_crossbow_heavy_silver.webp</t>
  </si>
  <si>
    <t>Silver Hunting Trap</t>
  </si>
  <si>
    <t>modules/a-knights-dream/Item/equip_weapon_trap_hunting_silver.webp</t>
  </si>
  <si>
    <t>Silver Hunting Trap (Large)</t>
  </si>
  <si>
    <t>modules/a-knights-dream/Item/equip_weapon_trap_hunting_large_silver.webp</t>
  </si>
  <si>
    <t>Silver Hunting Trap (Small)</t>
  </si>
  <si>
    <t>modules/a-knights-dream/Item/equip_weapon_trap_hunting_small_silver.webp</t>
  </si>
  <si>
    <t>Silver Javelin</t>
  </si>
  <si>
    <t>modules/a-knights-dream/Item/equip_weapon_javelin_silver.webp</t>
  </si>
  <si>
    <t>Silver Khpesh</t>
  </si>
  <si>
    <t>modules/a-knights-dream/Item/equip_weapon_khpesh_silver.webp</t>
  </si>
  <si>
    <t>Silver Khyber</t>
  </si>
  <si>
    <t>modules/a-knights-dream/Item/equip_weapon_khyber_silver.webp</t>
  </si>
  <si>
    <t>Silver Konda</t>
  </si>
  <si>
    <t>modules/a-knights-dream/Item/equip_weapon_konda_silver.webp</t>
  </si>
  <si>
    <t>Silver Labrys</t>
  </si>
  <si>
    <t>modules/a-knights-dream/Item/equip_weapon_axe_labrys_silver.webp</t>
  </si>
  <si>
    <t>Silver Lance</t>
  </si>
  <si>
    <t>modules/a-knights-dream/Item/equip_weapon_lance_silver.webp</t>
  </si>
  <si>
    <t>Silver Light Crossbow</t>
  </si>
  <si>
    <t>modules/a-knights-dream/Item/equip_weapon_crossbow_light_silver.webp</t>
  </si>
  <si>
    <t>Silver Long Bow</t>
  </si>
  <si>
    <t>modules/a-knights-dream/Item/equip_weapon_bow_long_silver.webp</t>
  </si>
  <si>
    <t>Silver Long Spear</t>
  </si>
  <si>
    <t>modules/a-knights-dream/Item/equip_weapon_spear_long_silver.webp</t>
  </si>
  <si>
    <t>Silver Lucerince Hammer</t>
  </si>
  <si>
    <t>modules/a-knights-dream/Item/equip_weapon_hammer_lucerince_silver.webp</t>
  </si>
  <si>
    <t>Silver Mace</t>
  </si>
  <si>
    <t>modules/a-knights-dream/Item/equip_weapon_mace_silver.webp</t>
  </si>
  <si>
    <t>Silver Morningstar</t>
  </si>
  <si>
    <t>modules/a-knights-dream/Item/equip_weapon_morningstar_silver.webp</t>
  </si>
  <si>
    <t>Silver Pike</t>
  </si>
  <si>
    <t>modules/a-knights-dream/Item/equip_weapon_pike_silver.webp</t>
  </si>
  <si>
    <t>Silver Quarter Staff</t>
  </si>
  <si>
    <t>modules/a-knights-dream/Item/equip_weapon_staff_quarter_silver.webp</t>
  </si>
  <si>
    <t>Silver Ranseur</t>
  </si>
  <si>
    <t>modules/a-knights-dream/Item/equip_weapon_ranseur_silver.webp</t>
  </si>
  <si>
    <t>Silver Rapier</t>
  </si>
  <si>
    <t>modules/a-knights-dream/Item/equip_weapon_rapier_silver.webp</t>
  </si>
  <si>
    <t>Silver Recurve Bow</t>
  </si>
  <si>
    <t>modules/a-knights-dream/Item/equip_weapon_bow_recurve_silver.webp</t>
  </si>
  <si>
    <t>Silver Repeater Crossbow</t>
  </si>
  <si>
    <t>modules/a-knights-dream/Item/equip_weapon_crossbow_repeater_silver.webp</t>
  </si>
  <si>
    <t>Silver Sabre</t>
  </si>
  <si>
    <t>modules/a-knights-dream/Item/equip_weapon_sabre_silver.webp</t>
  </si>
  <si>
    <t>Silver Scimitar</t>
  </si>
  <si>
    <t>modules/a-knights-dream/Item/equip_weapon_scimitar_silver.webp</t>
  </si>
  <si>
    <t>Silver Scythe</t>
  </si>
  <si>
    <t>modules/a-knights-dream/Item/equip_weapon_scythe_silver.webp</t>
  </si>
  <si>
    <t>Silver Short Bow</t>
  </si>
  <si>
    <t>modules/a-knights-dream/Item/equip_weapon_bow_short_silver.webp</t>
  </si>
  <si>
    <t>Silver Short Spear</t>
  </si>
  <si>
    <t>modules/a-knights-dream/Item/equip_weapon_spear_short_silver.webp</t>
  </si>
  <si>
    <t>Silver Short Sword</t>
  </si>
  <si>
    <t>modules/a-knights-dream/Item/equip_weapon_sword_short_silver.webp</t>
  </si>
  <si>
    <t>Silver Shotel</t>
  </si>
  <si>
    <t>modules/a-knights-dream/Item/equip_weapon_shotel_silver.webp</t>
  </si>
  <si>
    <t>Silver Sickle</t>
  </si>
  <si>
    <t>modules/a-knights-dream/Item/equip_weapon_sickle_silver.webp</t>
  </si>
  <si>
    <t>Silver Sling</t>
  </si>
  <si>
    <t>modules/a-knights-dream/Item/equip_weapon_sling_silver.webp</t>
  </si>
  <si>
    <t>Silver Staff</t>
  </si>
  <si>
    <t>modules/a-knights-dream/Item/equip_weapon_staff_silver.webp</t>
  </si>
  <si>
    <t>Silver Staff Sling</t>
  </si>
  <si>
    <t>modules/a-knights-dream/Item/equip_weapon_sling_staff_silver.webp</t>
  </si>
  <si>
    <t>Silver Sword</t>
  </si>
  <si>
    <t>modules/a-knights-dream/Item/equip_weapon_sword_silver.webp</t>
  </si>
  <si>
    <t>Silver Tapal</t>
  </si>
  <si>
    <t>modules/a-knights-dream/Item/equip_weapon_tapal_silver.webp</t>
  </si>
  <si>
    <t>Silver Trident</t>
  </si>
  <si>
    <t>modules/a-knights-dream/Item/equip_weapon_trident_silver.webp</t>
  </si>
  <si>
    <t>Silver War Hammer</t>
  </si>
  <si>
    <t>modules/a-knights-dream/Item/equip_weapon_hammer_war_silver.webp</t>
  </si>
  <si>
    <t>Silver War Pick</t>
  </si>
  <si>
    <t>modules/a-knights-dream/Item/equip_weapon_pick_war_silver.webp</t>
  </si>
  <si>
    <t>Silver Brigantine Cuirass</t>
  </si>
  <si>
    <t>modules/a-knights-dream/Item/equip_armor_brigantine_cuirass_silver.webp</t>
  </si>
  <si>
    <t>Silver Brigantine Gauntlets</t>
  </si>
  <si>
    <t>modules/a-knights-dream/Item/equip_armor_brigantine_gauntlets_silver.webp</t>
  </si>
  <si>
    <t>Silver Brigantine Greaves</t>
  </si>
  <si>
    <t>modules/a-knights-dream/Item/equip_armor_brigantine_greaves_silver.webp</t>
  </si>
  <si>
    <t>Silver Brigantine Helmet</t>
  </si>
  <si>
    <t>modules/a-knights-dream/Item/equip_armor_brigantine_helmet_silver.webp</t>
  </si>
  <si>
    <t>Silver Brigantine Pauldron</t>
  </si>
  <si>
    <t>modules/a-knights-dream/Item/equip_armor_brigantine_pauldron_silver.webp</t>
  </si>
  <si>
    <t>Silver Chainmail Cuirass</t>
  </si>
  <si>
    <t>modules/a-knights-dream/Item/equip_armor_chainmail_cuirass_silver.webp</t>
  </si>
  <si>
    <t>Silver Chainmail Gauntlets</t>
  </si>
  <si>
    <t>modules/a-knights-dream/Item/equip_armor_chainmail_gauntlets_silver.webp</t>
  </si>
  <si>
    <t>Silver Chainmail Greaves</t>
  </si>
  <si>
    <t>modules/a-knights-dream/Item/equip_armor_chainmail_greaves_silver.webp</t>
  </si>
  <si>
    <t>Silver Chainmail Helmet</t>
  </si>
  <si>
    <t>modules/a-knights-dream/Item/equip_armor_chainmail_helmet_silver.webp</t>
  </si>
  <si>
    <t>Silver Chainmail Pauldron</t>
  </si>
  <si>
    <t>modules/a-knights-dream/Item/equip_armor_chainmail_pauldron_silver.webp</t>
  </si>
  <si>
    <t>Silver Gamberson Cuirass</t>
  </si>
  <si>
    <t>modules/a-knights-dream/Item/equip_armor_gamberson_cuirass_silver.webp</t>
  </si>
  <si>
    <t>Silver Gamberson Gauntlets</t>
  </si>
  <si>
    <t>modules/a-knights-dream/Item/equip_armor_gamberson_gauntlets_silver.webp</t>
  </si>
  <si>
    <t>Silver Gamberson Greaves</t>
  </si>
  <si>
    <t>modules/a-knights-dream/Item/equip_armor_gamberson_greaves_silver.webp</t>
  </si>
  <si>
    <t>Silver Gamberson Helmet</t>
  </si>
  <si>
    <t>modules/a-knights-dream/Item/equip_armor_gamberson_helmet_silver.webp</t>
  </si>
  <si>
    <t>Silver Gamberson Pauldron</t>
  </si>
  <si>
    <t>modules/a-knights-dream/Item/equip_armor_gamberson_pauldron_silver.webp</t>
  </si>
  <si>
    <t>Silver Hauberk Cuirass</t>
  </si>
  <si>
    <t>modules/a-knights-dream/Item/equip_armor_hauberk_cuirass_silver.webp</t>
  </si>
  <si>
    <t>Silver Hauberk Gauntlets</t>
  </si>
  <si>
    <t>modules/a-knights-dream/Item/equip_armor_hauberk_gauntlets_silver.webp</t>
  </si>
  <si>
    <t>Silver Hauberk Greaves</t>
  </si>
  <si>
    <t>modules/a-knights-dream/Item/equip_armor_hauberk_greaves_silver.webp</t>
  </si>
  <si>
    <t>Silver Hauberk Helmet</t>
  </si>
  <si>
    <t>modules/a-knights-dream/Item/equip_armor_hauberk_helmet_silver.webp</t>
  </si>
  <si>
    <t>Silver Hauberk Pauldron</t>
  </si>
  <si>
    <t>modules/a-knights-dream/Item/equip_armor_hauberk_pauldron_silver.webp</t>
  </si>
  <si>
    <t>Silver Jack Cuirass</t>
  </si>
  <si>
    <t>modules/a-knights-dream/Item/equip_armor_jack_cuirass_silver.webp</t>
  </si>
  <si>
    <t>Silver Jack Gauntlets</t>
  </si>
  <si>
    <t>modules/a-knights-dream/Item/equip_armor_jack_gauntlets_silver.webp</t>
  </si>
  <si>
    <t>Silver Jack Greaves</t>
  </si>
  <si>
    <t>modules/a-knights-dream/Item/equip_armor_jack_greaves_silver.webp</t>
  </si>
  <si>
    <t>Silver Jack Helmet</t>
  </si>
  <si>
    <t>modules/a-knights-dream/Item/equip_armor_jack_helmet_silver.webp</t>
  </si>
  <si>
    <t>Silver Jack Pauldron</t>
  </si>
  <si>
    <t>modules/a-knights-dream/Item/equip_armor_jack_pauldron_silver.webp</t>
  </si>
  <si>
    <t>Silver Lamellar Cuirass</t>
  </si>
  <si>
    <t>modules/a-knights-dream/Item/equip_armor_lamellar_cuirass_silver.webp</t>
  </si>
  <si>
    <t>Silver Lamellar Gauntlets</t>
  </si>
  <si>
    <t>modules/a-knights-dream/Item/equip_armor_lamellar_gauntlets_silver.webp</t>
  </si>
  <si>
    <t>Silver Lamellar Greaves</t>
  </si>
  <si>
    <t>modules/a-knights-dream/Item/equip_armor_lamellar_greaves_silver.webp</t>
  </si>
  <si>
    <t>Silver Lamellar Helmet</t>
  </si>
  <si>
    <t>modules/a-knights-dream/Item/equip_armor_lamellar_helmet_silver.webp</t>
  </si>
  <si>
    <t>Silver Lamellar Pauldron</t>
  </si>
  <si>
    <t>modules/a-knights-dream/Item/equip_armor_lamellar_pauldron_silver.webp</t>
  </si>
  <si>
    <t>Silver Platemail Cuirass</t>
  </si>
  <si>
    <t>modules/a-knights-dream/Item/equip_armor_platemail_cuirass_silver.webp</t>
  </si>
  <si>
    <t>Silver Platemail Gauntlets</t>
  </si>
  <si>
    <t>modules/a-knights-dream/Item/equip_armor_platemail_gauntlets_silver.webp</t>
  </si>
  <si>
    <t>Silver Platemail Greaves</t>
  </si>
  <si>
    <t>modules/a-knights-dream/Item/equip_armor_platemail_greaves_silver.webp</t>
  </si>
  <si>
    <t>Silver Platemail Helmet</t>
  </si>
  <si>
    <t>modules/a-knights-dream/Item/equip_armor_platemail_helmet_silver.webp</t>
  </si>
  <si>
    <t>Silver Platemail Pauldron</t>
  </si>
  <si>
    <t>modules/a-knights-dream/Item/equip_armor_platemail_pauldron_silver.webp</t>
  </si>
  <si>
    <t>Silver Tunic Cuirass</t>
  </si>
  <si>
    <t>modules/a-knights-dream/Item/equip_armor_tunic_cuirass_silver.webp</t>
  </si>
  <si>
    <t>Silver Tunic Gauntlets</t>
  </si>
  <si>
    <t>modules/a-knights-dream/Item/equip_armor_tunic_gauntlets_silver.webp</t>
  </si>
  <si>
    <t>Silver Tunic Greaves</t>
  </si>
  <si>
    <t>modules/a-knights-dream/Item/equip_armor_tunic_greaves_silver.webp</t>
  </si>
  <si>
    <t>Silver Tunic Helmet</t>
  </si>
  <si>
    <t>modules/a-knights-dream/Item/equip_armor_tunic_helmet_silver.webp</t>
  </si>
  <si>
    <t>Silver Tunic Pauldron</t>
  </si>
  <si>
    <t>modules/a-knights-dream/Item/equip_armor_tunic_pauldron_silver.webp</t>
  </si>
  <si>
    <t>Silver Buckler Shield</t>
  </si>
  <si>
    <t>modules/a-knights-dream/Item/equip_armor_shield_buckler_silver.webp</t>
  </si>
  <si>
    <t>Silver Heater Shield</t>
  </si>
  <si>
    <t>modules/a-knights-dream/Item/equip_armor_shield_heater_silver.webp</t>
  </si>
  <si>
    <t>Silver Kite Shield</t>
  </si>
  <si>
    <t>modules/a-knights-dream/Item/equip_armor_shield_kite_silver.webp</t>
  </si>
  <si>
    <t>Silver Oval Shield</t>
  </si>
  <si>
    <t>modules/a-knights-dream/Item/equip_armor_shield_oval_silver.webp</t>
  </si>
  <si>
    <t>Silver Round Shield</t>
  </si>
  <si>
    <t>modules/a-knights-dream/Item/equip_armor_shield_round_silver.webp</t>
  </si>
  <si>
    <t>Silver Tower Shield</t>
  </si>
  <si>
    <t>modules/a-knights-dream/Item/equip_armor_shield_tower_silver.webp</t>
  </si>
  <si>
    <t>Stailinn</t>
  </si>
  <si>
    <t>Stailinn Ball Bearings</t>
  </si>
  <si>
    <t>modules/a-knights-dream/Item/equip_weapon_bearings_stailinn.webp</t>
  </si>
  <si>
    <t>Stailinn Bardiche</t>
  </si>
  <si>
    <t>modules/a-knights-dream/Item/equip_weapon_bardiche_stailinn.webp</t>
  </si>
  <si>
    <t>Stailinn Bastard Sword</t>
  </si>
  <si>
    <t>modules/a-knights-dream/Item/equip_weapon_sword_bastard_stailinn.webp</t>
  </si>
  <si>
    <t>Stailinn Battle Axe</t>
  </si>
  <si>
    <t>modules/a-knights-dream/Item/equip_weapon_axe_battle_stailinn.webp</t>
  </si>
  <si>
    <t>Stailinn Blowgun</t>
  </si>
  <si>
    <t>modules/a-knights-dream/Item/equip_weapon_blowgun_stailinn.webp</t>
  </si>
  <si>
    <t>Stailinn Bolt</t>
  </si>
  <si>
    <t>modules/a-knights-dream/Item/equip_weapon_bolt_stailinn.webp</t>
  </si>
  <si>
    <t>Stailinn Boomerang</t>
  </si>
  <si>
    <t>modules/a-knights-dream/Item/equip_weapon_boomerang_stailinn.webp</t>
  </si>
  <si>
    <t>Stailinn Bow</t>
  </si>
  <si>
    <t>modules/a-knights-dream/Item/equip_weapon_bow_stailinn.webp</t>
  </si>
  <si>
    <t>Stailinn Caltrops</t>
  </si>
  <si>
    <t>modules/a-knights-dream/Item/equip_weapon_caltrops_stailinn.webp</t>
  </si>
  <si>
    <t>Stailinn Cestus</t>
  </si>
  <si>
    <t>modules/a-knights-dream/Item/equip_weapon_cestus_stailinn.webp</t>
  </si>
  <si>
    <t>Stailinn Chain</t>
  </si>
  <si>
    <t>modules/a-knights-dream/Item/equip_weapon_chain_stailinn.webp</t>
  </si>
  <si>
    <t>Stailinn Claymore</t>
  </si>
  <si>
    <t>modules/a-knights-dream/Item/equip_weapon_claymore_stailinn.webp</t>
  </si>
  <si>
    <t>Stailinn Club</t>
  </si>
  <si>
    <t>modules/a-knights-dream/Item/equip_weapon_club_stailinn.webp</t>
  </si>
  <si>
    <t>Stailinn Compound Bow</t>
  </si>
  <si>
    <t>modules/a-knights-dream/Item/equip_weapon_bow_compound_stailinn.webp</t>
  </si>
  <si>
    <t>Stailinn Cutlass</t>
  </si>
  <si>
    <t>modules/a-knights-dream/Item/equip_weapon_cutlass_stailinn.webp</t>
  </si>
  <si>
    <t>Stailinn Dagger</t>
  </si>
  <si>
    <t>modules/a-knights-dream/Item/equip_weapon_dagger_stailinn.webp</t>
  </si>
  <si>
    <t>Stailinn Dart</t>
  </si>
  <si>
    <t>modules/a-knights-dream/Item/equip_weapon_dart_stailinn.webp</t>
  </si>
  <si>
    <t>Stailinn Fauchard Scythe</t>
  </si>
  <si>
    <t>modules/a-knights-dream/Item/equip_weapon_scythe_fauchard_stailinn.webp</t>
  </si>
  <si>
    <t>Stailinn Flail</t>
  </si>
  <si>
    <t>modules/a-knights-dream/Item/equip_weapon_flail_stailinn.webp</t>
  </si>
  <si>
    <t>Stailinn Glaive</t>
  </si>
  <si>
    <t>modules/a-knights-dream/Item/equip_weapon_glaive_stailinn.webp</t>
  </si>
  <si>
    <t>Stailinn Grapple Hook</t>
  </si>
  <si>
    <t>modules/a-knights-dream/Item/equip_weapon_hook_grapple_stailinn.webp</t>
  </si>
  <si>
    <t>Stailinn Great Axe</t>
  </si>
  <si>
    <t>modules/a-knights-dream/Item/equip_weapon_axe_great_stailinn.webp</t>
  </si>
  <si>
    <t>Stailinn Great Club</t>
  </si>
  <si>
    <t>modules/a-knights-dream/Item/equip_weapon_club_great_stailinn.webp</t>
  </si>
  <si>
    <t>Stailinn Great Khyber</t>
  </si>
  <si>
    <t>modules/a-knights-dream/Item/equip_weapon_khyber_great_stailinn.webp</t>
  </si>
  <si>
    <t>Stailinn Great Konda</t>
  </si>
  <si>
    <t>modules/a-knights-dream/Item/equip_weapon_konda_great_stailinn.webp</t>
  </si>
  <si>
    <t>Stailinn Great Labrys</t>
  </si>
  <si>
    <t>modules/a-knights-dream/Item/equip_weapon_axe_labrys_great_stailinn.webp</t>
  </si>
  <si>
    <t>Stailinn Great Mace</t>
  </si>
  <si>
    <t>modules/a-knights-dream/Item/equip_weapon_mace_great_stailinn.webp</t>
  </si>
  <si>
    <t>Stailinn Great Tapal</t>
  </si>
  <si>
    <t>modules/a-knights-dream/Item/equip_weapon_tapal_great_stailinn.webp</t>
  </si>
  <si>
    <t>Stailinn Great War Bow</t>
  </si>
  <si>
    <t>modules/a-knights-dream/Item/equip_weapon_bow_war_great_stailinn.webp</t>
  </si>
  <si>
    <t>Stailinn Great War Hammer</t>
  </si>
  <si>
    <t>modules/a-knights-dream/Item/equip_weapon_hammer_war_great_stailinn.webp</t>
  </si>
  <si>
    <t>Stailinn Great War Pick</t>
  </si>
  <si>
    <t>modules/a-knights-dream/Item/equip_weapon_pick_war_great_stailinn.webp</t>
  </si>
  <si>
    <t>Stailinn Guisarme</t>
  </si>
  <si>
    <t>modules/a-knights-dream/Item/equip_weapon_guisarme_stailinn.webp</t>
  </si>
  <si>
    <t>Stailinn Halberd</t>
  </si>
  <si>
    <t>modules/a-knights-dream/Item/equip_weapon_halberd_stailinn.webp</t>
  </si>
  <si>
    <t>Stailinn Hand Crossbow</t>
  </si>
  <si>
    <t>modules/a-knights-dream/Item/equip_weapon_crossbow_hand_stailinn.webp</t>
  </si>
  <si>
    <t>Stailinn Hand axe</t>
  </si>
  <si>
    <t>modules/a-knights-dream/Item/equip_weapon_axe_hand_stailinn.webp</t>
  </si>
  <si>
    <t>Stailinn Heavy Crossbow</t>
  </si>
  <si>
    <t>modules/a-knights-dream/Item/equip_weapon_crossbow_heavy_stailinn.webp</t>
  </si>
  <si>
    <t>Stailinn Hunting Trap</t>
  </si>
  <si>
    <t>modules/a-knights-dream/Item/equip_weapon_trap_hunting_stailinn.webp</t>
  </si>
  <si>
    <t>Stailinn Hunting Trap (Large)</t>
  </si>
  <si>
    <t>modules/a-knights-dream/Item/equip_weapon_trap_hunting_large_stailinn.webp</t>
  </si>
  <si>
    <t>Stailinn Hunting Trap (Small)</t>
  </si>
  <si>
    <t>modules/a-knights-dream/Item/equip_weapon_trap_hunting_small_stailinn.webp</t>
  </si>
  <si>
    <t>Stailinn Javelin</t>
  </si>
  <si>
    <t>modules/a-knights-dream/Item/equip_weapon_javelin_stailinn.webp</t>
  </si>
  <si>
    <t>Stailinn Khpesh</t>
  </si>
  <si>
    <t>modules/a-knights-dream/Item/equip_weapon_khpesh_stailinn.webp</t>
  </si>
  <si>
    <t>Stailinn Khyber</t>
  </si>
  <si>
    <t>modules/a-knights-dream/Item/equip_weapon_khyber_stailinn.webp</t>
  </si>
  <si>
    <t>Stailinn Konda</t>
  </si>
  <si>
    <t>modules/a-knights-dream/Item/equip_weapon_konda_stailinn.webp</t>
  </si>
  <si>
    <t>Stailinn Labrys</t>
  </si>
  <si>
    <t>modules/a-knights-dream/Item/equip_weapon_axe_labrys_stailinn.webp</t>
  </si>
  <si>
    <t>Stailinn Lance</t>
  </si>
  <si>
    <t>modules/a-knights-dream/Item/equip_weapon_lance_stailinn.webp</t>
  </si>
  <si>
    <t>Stailinn Light Crossbow</t>
  </si>
  <si>
    <t>modules/a-knights-dream/Item/equip_weapon_crossbow_light_stailinn.webp</t>
  </si>
  <si>
    <t>Stailinn Long Bow</t>
  </si>
  <si>
    <t>modules/a-knights-dream/Item/equip_weapon_bow_long_stailinn.webp</t>
  </si>
  <si>
    <t>Stailinn Long Spear</t>
  </si>
  <si>
    <t>modules/a-knights-dream/Item/equip_weapon_spear_long_stailinn.webp</t>
  </si>
  <si>
    <t>Stailinn Lucerince Hammer</t>
  </si>
  <si>
    <t>modules/a-knights-dream/Item/equip_weapon_hammer_lucerince_stailinn.webp</t>
  </si>
  <si>
    <t>Stailinn Mace</t>
  </si>
  <si>
    <t>modules/a-knights-dream/Item/equip_weapon_mace_stailinn.webp</t>
  </si>
  <si>
    <t>Stailinn Morningstar</t>
  </si>
  <si>
    <t>modules/a-knights-dream/Item/equip_weapon_morningstar_stailinn.webp</t>
  </si>
  <si>
    <t>Stailinn Pike</t>
  </si>
  <si>
    <t>modules/a-knights-dream/Item/equip_weapon_pike_stailinn.webp</t>
  </si>
  <si>
    <t>Stailinn Quarter Staff</t>
  </si>
  <si>
    <t>modules/a-knights-dream/Item/equip_weapon_staff_quarter_stailinn.webp</t>
  </si>
  <si>
    <t>Stailinn Ranseur</t>
  </si>
  <si>
    <t>modules/a-knights-dream/Item/equip_weapon_ranseur_stailinn.webp</t>
  </si>
  <si>
    <t>Stailinn Rapier</t>
  </si>
  <si>
    <t>modules/a-knights-dream/Item/equip_weapon_rapier_stailinn.webp</t>
  </si>
  <si>
    <t>Stailinn Recurve Bow</t>
  </si>
  <si>
    <t>modules/a-knights-dream/Item/equip_weapon_bow_recurve_stailinn.webp</t>
  </si>
  <si>
    <t>Stailinn Repeater Crossbow</t>
  </si>
  <si>
    <t>modules/a-knights-dream/Item/equip_weapon_crossbow_repeater_stailinn.webp</t>
  </si>
  <si>
    <t>Stailinn Sabre</t>
  </si>
  <si>
    <t>modules/a-knights-dream/Item/equip_weapon_sabre_stailinn.webp</t>
  </si>
  <si>
    <t>Stailinn Scimitar</t>
  </si>
  <si>
    <t>modules/a-knights-dream/Item/equip_weapon_scimitar_stailinn.webp</t>
  </si>
  <si>
    <t>Stailinn Scythe</t>
  </si>
  <si>
    <t>modules/a-knights-dream/Item/equip_weapon_scythe_stailinn.webp</t>
  </si>
  <si>
    <t>Stailinn Short Bow</t>
  </si>
  <si>
    <t>modules/a-knights-dream/Item/equip_weapon_bow_short_stailinn.webp</t>
  </si>
  <si>
    <t>Stailinn Short Spear</t>
  </si>
  <si>
    <t>modules/a-knights-dream/Item/equip_weapon_spear_short_stailinn.webp</t>
  </si>
  <si>
    <t>Stailinn Short Sword</t>
  </si>
  <si>
    <t>modules/a-knights-dream/Item/equip_weapon_sword_short_stailinn.webp</t>
  </si>
  <si>
    <t>Stailinn Shotel</t>
  </si>
  <si>
    <t>modules/a-knights-dream/Item/equip_weapon_shotel_stailinn.webp</t>
  </si>
  <si>
    <t>Stailinn Sickle</t>
  </si>
  <si>
    <t>modules/a-knights-dream/Item/equip_weapon_sickle_stailinn.webp</t>
  </si>
  <si>
    <t>Stailinn Sling</t>
  </si>
  <si>
    <t>modules/a-knights-dream/Item/equip_weapon_sling_stailinn.webp</t>
  </si>
  <si>
    <t>Stailinn Staff</t>
  </si>
  <si>
    <t>modules/a-knights-dream/Item/equip_weapon_staff_stailinn.webp</t>
  </si>
  <si>
    <t>Stailinn Staff Sling</t>
  </si>
  <si>
    <t>modules/a-knights-dream/Item/equip_weapon_sling_staff_stailinn.webp</t>
  </si>
  <si>
    <t>Stailinn Sword</t>
  </si>
  <si>
    <t>modules/a-knights-dream/Item/equip_weapon_sword_stailinn.webp</t>
  </si>
  <si>
    <t>Stailinn Tapal</t>
  </si>
  <si>
    <t>modules/a-knights-dream/Item/equip_weapon_tapal_stailinn.webp</t>
  </si>
  <si>
    <t>Stailinn Trident</t>
  </si>
  <si>
    <t>modules/a-knights-dream/Item/equip_weapon_trident_stailinn.webp</t>
  </si>
  <si>
    <t>Stailinn War Hammer</t>
  </si>
  <si>
    <t>modules/a-knights-dream/Item/equip_weapon_hammer_war_stailinn.webp</t>
  </si>
  <si>
    <t>Stailinn War Pick</t>
  </si>
  <si>
    <t>modules/a-knights-dream/Item/equip_weapon_pick_war_stailinn.webp</t>
  </si>
  <si>
    <t>Stailinn Brigantine Cuirass</t>
  </si>
  <si>
    <t>modules/a-knights-dream/Item/equip_armor_brigantine_cuirass_stailinn.webp</t>
  </si>
  <si>
    <t>Stailinn Brigantine Gauntlets</t>
  </si>
  <si>
    <t>modules/a-knights-dream/Item/equip_armor_brigantine_gauntlets_stailinn.webp</t>
  </si>
  <si>
    <t>Stailinn Brigantine Greaves</t>
  </si>
  <si>
    <t>modules/a-knights-dream/Item/equip_armor_brigantine_greaves_stailinn.webp</t>
  </si>
  <si>
    <t>Stailinn Brigantine Helmet</t>
  </si>
  <si>
    <t>modules/a-knights-dream/Item/equip_armor_brigantine_helmet_stailinn.webp</t>
  </si>
  <si>
    <t>Stailinn Brigantine Pauldron</t>
  </si>
  <si>
    <t>modules/a-knights-dream/Item/equip_armor_brigantine_pauldron_stailinn.webp</t>
  </si>
  <si>
    <t>Stailinn Chainmail Cuirass</t>
  </si>
  <si>
    <t>modules/a-knights-dream/Item/equip_armor_chainmail_cuirass_stailinn.webp</t>
  </si>
  <si>
    <t>Stailinn Chainmail Gauntlets</t>
  </si>
  <si>
    <t>modules/a-knights-dream/Item/equip_armor_chainmail_gauntlets_stailinn.webp</t>
  </si>
  <si>
    <t>Stailinn Chainmail Greaves</t>
  </si>
  <si>
    <t>modules/a-knights-dream/Item/equip_armor_chainmail_greaves_stailinn.webp</t>
  </si>
  <si>
    <t>Stailinn Chainmail Helmet</t>
  </si>
  <si>
    <t>modules/a-knights-dream/Item/equip_armor_chainmail_helmet_stailinn.webp</t>
  </si>
  <si>
    <t>Stailinn Chainmail Pauldron</t>
  </si>
  <si>
    <t>modules/a-knights-dream/Item/equip_armor_chainmail_pauldron_stailinn.webp</t>
  </si>
  <si>
    <t>Stailinn Gamberson Cuirass</t>
  </si>
  <si>
    <t>modules/a-knights-dream/Item/equip_armor_gamberson_cuirass_stailinn.webp</t>
  </si>
  <si>
    <t>Stailinn Gamberson Gauntlets</t>
  </si>
  <si>
    <t>modules/a-knights-dream/Item/equip_armor_gamberson_gauntlets_stailinn.webp</t>
  </si>
  <si>
    <t>Stailinn Gamberson Greaves</t>
  </si>
  <si>
    <t>modules/a-knights-dream/Item/equip_armor_gamberson_greaves_stailinn.webp</t>
  </si>
  <si>
    <t>Stailinn Gamberson Helmet</t>
  </si>
  <si>
    <t>modules/a-knights-dream/Item/equip_armor_gamberson_helmet_stailinn.webp</t>
  </si>
  <si>
    <t>Stailinn Gamberson Pauldron</t>
  </si>
  <si>
    <t>modules/a-knights-dream/Item/equip_armor_gamberson_pauldron_stailinn.webp</t>
  </si>
  <si>
    <t>Stailinn Hauberk Cuirass</t>
  </si>
  <si>
    <t>modules/a-knights-dream/Item/equip_armor_hauberk_cuirass_stailinn.webp</t>
  </si>
  <si>
    <t>Stailinn Hauberk Gauntlets</t>
  </si>
  <si>
    <t>modules/a-knights-dream/Item/equip_armor_hauberk_gauntlets_stailinn.webp</t>
  </si>
  <si>
    <t>Stailinn Hauberk Greaves</t>
  </si>
  <si>
    <t>modules/a-knights-dream/Item/equip_armor_hauberk_greaves_stailinn.webp</t>
  </si>
  <si>
    <t>Stailinn Hauberk Helmet</t>
  </si>
  <si>
    <t>modules/a-knights-dream/Item/equip_armor_hauberk_helmet_stailinn.webp</t>
  </si>
  <si>
    <t>Stailinn Hauberk Pauldron</t>
  </si>
  <si>
    <t>modules/a-knights-dream/Item/equip_armor_hauberk_pauldron_stailinn.webp</t>
  </si>
  <si>
    <t>Stailinn Jack Cuirass</t>
  </si>
  <si>
    <t>modules/a-knights-dream/Item/equip_armor_jack_cuirass_stailinn.webp</t>
  </si>
  <si>
    <t>Stailinn Jack Gauntlets</t>
  </si>
  <si>
    <t>modules/a-knights-dream/Item/equip_armor_jack_gauntlets_stailinn.webp</t>
  </si>
  <si>
    <t>Stailinn Jack Greaves</t>
  </si>
  <si>
    <t>modules/a-knights-dream/Item/equip_armor_jack_greaves_stailinn.webp</t>
  </si>
  <si>
    <t>Stailinn Jack Helmet</t>
  </si>
  <si>
    <t>modules/a-knights-dream/Item/equip_armor_jack_helmet_stailinn.webp</t>
  </si>
  <si>
    <t>Stailinn Jack Pauldron</t>
  </si>
  <si>
    <t>modules/a-knights-dream/Item/equip_armor_jack_pauldron_stailinn.webp</t>
  </si>
  <si>
    <t>Stailinn Lamellar Cuirass</t>
  </si>
  <si>
    <t>modules/a-knights-dream/Item/equip_armor_lamellar_cuirass_stailinn.webp</t>
  </si>
  <si>
    <t>Stailinn Lamellar Gauntlets</t>
  </si>
  <si>
    <t>modules/a-knights-dream/Item/equip_armor_lamellar_gauntlets_stailinn.webp</t>
  </si>
  <si>
    <t>Stailinn Lamellar Greaves</t>
  </si>
  <si>
    <t>modules/a-knights-dream/Item/equip_armor_lamellar_greaves_stailinn.webp</t>
  </si>
  <si>
    <t>Stailinn Lamellar Helmet</t>
  </si>
  <si>
    <t>modules/a-knights-dream/Item/equip_armor_lamellar_helmet_stailinn.webp</t>
  </si>
  <si>
    <t>Stailinn Lamellar Pauldron</t>
  </si>
  <si>
    <t>modules/a-knights-dream/Item/equip_armor_lamellar_pauldron_stailinn.webp</t>
  </si>
  <si>
    <t>Stailinn Platemail Cuirass</t>
  </si>
  <si>
    <t>modules/a-knights-dream/Item/equip_armor_platemail_cuirass_stailinn.webp</t>
  </si>
  <si>
    <t>Stailinn Platemail Gauntlets</t>
  </si>
  <si>
    <t>modules/a-knights-dream/Item/equip_armor_platemail_gauntlets_stailinn.webp</t>
  </si>
  <si>
    <t>Stailinn Platemail Greaves</t>
  </si>
  <si>
    <t>modules/a-knights-dream/Item/equip_armor_platemail_greaves_stailinn.webp</t>
  </si>
  <si>
    <t>Stailinn Platemail Helmet</t>
  </si>
  <si>
    <t>modules/a-knights-dream/Item/equip_armor_platemail_helmet_stailinn.webp</t>
  </si>
  <si>
    <t>Stailinn Platemail Pauldron</t>
  </si>
  <si>
    <t>modules/a-knights-dream/Item/equip_armor_platemail_pauldron_stailinn.webp</t>
  </si>
  <si>
    <t>Stailinn Tunic Cuirass</t>
  </si>
  <si>
    <t>modules/a-knights-dream/Item/equip_armor_tunic_cuirass_stailinn.webp</t>
  </si>
  <si>
    <t>Stailinn Tunic Gauntlets</t>
  </si>
  <si>
    <t>modules/a-knights-dream/Item/equip_armor_tunic_gauntlets_stailinn.webp</t>
  </si>
  <si>
    <t>Stailinn Tunic Greaves</t>
  </si>
  <si>
    <t>modules/a-knights-dream/Item/equip_armor_tunic_greaves_stailinn.webp</t>
  </si>
  <si>
    <t>Stailinn Tunic Helmet</t>
  </si>
  <si>
    <t>modules/a-knights-dream/Item/equip_armor_tunic_helmet_stailinn.webp</t>
  </si>
  <si>
    <t>Stailinn Tunic Pauldron</t>
  </si>
  <si>
    <t>modules/a-knights-dream/Item/equip_armor_tunic_pauldron_stailinn.webp</t>
  </si>
  <si>
    <t>Stailinn Buckler Shield</t>
  </si>
  <si>
    <t>modules/a-knights-dream/Item/equip_armor_shield_buckler_stailinn.webp</t>
  </si>
  <si>
    <t>Stailinn Heater Shield</t>
  </si>
  <si>
    <t>modules/a-knights-dream/Item/equip_armor_shield_heater_stailinn.webp</t>
  </si>
  <si>
    <t>Stailinn Kite Shield</t>
  </si>
  <si>
    <t>modules/a-knights-dream/Item/equip_armor_shield_kite_stailinn.webp</t>
  </si>
  <si>
    <t>Stailinn Oval Shield</t>
  </si>
  <si>
    <t>modules/a-knights-dream/Item/equip_armor_shield_oval_stailinn.webp</t>
  </si>
  <si>
    <t>Stailinn Round Shield</t>
  </si>
  <si>
    <t>modules/a-knights-dream/Item/equip_armor_shield_round_stailinn.webp</t>
  </si>
  <si>
    <t>Stailinn Tower Shield</t>
  </si>
  <si>
    <t>modules/a-knights-dream/Item/equip_armor_shield_tower_stailinn.webp</t>
  </si>
  <si>
    <t>Steel</t>
  </si>
  <si>
    <t>Steel Ball Bearings</t>
  </si>
  <si>
    <t>modules/a-knights-dream/Item/equip_weapon_bearings_steel.webp</t>
  </si>
  <si>
    <t>Steel Bardiche</t>
  </si>
  <si>
    <t>modules/a-knights-dream/Item/equip_weapon_bardiche_steel.webp</t>
  </si>
  <si>
    <t>Steel Bastard Sword</t>
  </si>
  <si>
    <t>modules/a-knights-dream/Item/equip_weapon_sword_bastard_steel.webp</t>
  </si>
  <si>
    <t>Steel Battle Axe</t>
  </si>
  <si>
    <t>modules/a-knights-dream/Item/equip_weapon_axe_battle_steel.webp</t>
  </si>
  <si>
    <t>Steel Blowgun</t>
  </si>
  <si>
    <t>modules/a-knights-dream/Item/equip_weapon_blowgun_steel.webp</t>
  </si>
  <si>
    <t>Steel Bolt</t>
  </si>
  <si>
    <t>modules/a-knights-dream/Item/equip_weapon_bolt_steel.webp</t>
  </si>
  <si>
    <t>Steel Boomerang</t>
  </si>
  <si>
    <t>modules/a-knights-dream/Item/equip_weapon_boomerang_steel.webp</t>
  </si>
  <si>
    <t>Steel Bow</t>
  </si>
  <si>
    <t>modules/a-knights-dream/Item/equip_weapon_bow_steel.webp</t>
  </si>
  <si>
    <t>Steel Caltrops</t>
  </si>
  <si>
    <t>modules/a-knights-dream/Item/equip_weapon_caltrops_steel.webp</t>
  </si>
  <si>
    <t>Steel Cestus</t>
  </si>
  <si>
    <t>modules/a-knights-dream/Item/equip_weapon_cestus_steel.webp</t>
  </si>
  <si>
    <t>Steel Chain</t>
  </si>
  <si>
    <t>modules/a-knights-dream/Item/equip_weapon_chain_steel.webp</t>
  </si>
  <si>
    <t>Steel Claymore</t>
  </si>
  <si>
    <t>modules/a-knights-dream/Item/equip_weapon_claymore_steel.webp</t>
  </si>
  <si>
    <t>Steel Club</t>
  </si>
  <si>
    <t>modules/a-knights-dream/Item/equip_weapon_club_steel.webp</t>
  </si>
  <si>
    <t>Steel Compound Bow</t>
  </si>
  <si>
    <t>modules/a-knights-dream/Item/equip_weapon_bow_compound_steel.webp</t>
  </si>
  <si>
    <t>Steel Cutlass</t>
  </si>
  <si>
    <t>modules/a-knights-dream/Item/equip_weapon_cutlass_steel.webp</t>
  </si>
  <si>
    <t>Steel Dagger</t>
  </si>
  <si>
    <t>modules/a-knights-dream/Item/equip_weapon_dagger_steel.webp</t>
  </si>
  <si>
    <t>Steel Dart</t>
  </si>
  <si>
    <t>modules/a-knights-dream/Item/equip_weapon_dart_steel.webp</t>
  </si>
  <si>
    <t>Steel Fauchard Scythe</t>
  </si>
  <si>
    <t>modules/a-knights-dream/Item/equip_weapon_scythe_fauchard_steel.webp</t>
  </si>
  <si>
    <t>Steel Flail</t>
  </si>
  <si>
    <t>modules/a-knights-dream/Item/equip_weapon_flail_steel.webp</t>
  </si>
  <si>
    <t>Steel Glaive</t>
  </si>
  <si>
    <t>modules/a-knights-dream/Item/equip_weapon_glaive_steel.webp</t>
  </si>
  <si>
    <t>Steel Grapple Hook</t>
  </si>
  <si>
    <t>modules/a-knights-dream/Item/equip_weapon_hook_grapple_steel.webp</t>
  </si>
  <si>
    <t>Steel Great Axe</t>
  </si>
  <si>
    <t>modules/a-knights-dream/Item/equip_weapon_axe_great_steel.webp</t>
  </si>
  <si>
    <t>Steel Great Club</t>
  </si>
  <si>
    <t>modules/a-knights-dream/Item/equip_weapon_club_great_steel.webp</t>
  </si>
  <si>
    <t>Steel Great Khyber</t>
  </si>
  <si>
    <t>modules/a-knights-dream/Item/equip_weapon_khyber_great_steel.webp</t>
  </si>
  <si>
    <t>Steel Great Konda</t>
  </si>
  <si>
    <t>modules/a-knights-dream/Item/equip_weapon_konda_great_steel.webp</t>
  </si>
  <si>
    <t>Steel Great Labrys</t>
  </si>
  <si>
    <t>modules/a-knights-dream/Item/equip_weapon_axe_labrys_great_steel.webp</t>
  </si>
  <si>
    <t>Steel Great Mace</t>
  </si>
  <si>
    <t>modules/a-knights-dream/Item/equip_weapon_mace_great_steel.webp</t>
  </si>
  <si>
    <t>Steel Great Tapal</t>
  </si>
  <si>
    <t>modules/a-knights-dream/Item/equip_weapon_tapal_great_steel.webp</t>
  </si>
  <si>
    <t>Steel Great War Bow</t>
  </si>
  <si>
    <t>modules/a-knights-dream/Item/equip_weapon_bow_war_great_steel.webp</t>
  </si>
  <si>
    <t>Steel Great War Hammer</t>
  </si>
  <si>
    <t>modules/a-knights-dream/Item/equip_weapon_hammer_war_great_steel.webp</t>
  </si>
  <si>
    <t>Steel Great War Pick</t>
  </si>
  <si>
    <t>modules/a-knights-dream/Item/equip_weapon_pick_war_great_steel.webp</t>
  </si>
  <si>
    <t>Steel Guisarme</t>
  </si>
  <si>
    <t>modules/a-knights-dream/Item/equip_weapon_guisarme_steel.webp</t>
  </si>
  <si>
    <t>Steel Halberd</t>
  </si>
  <si>
    <t>modules/a-knights-dream/Item/equip_weapon_halberd_steel.webp</t>
  </si>
  <si>
    <t>Steel Hand Crossbow</t>
  </si>
  <si>
    <t>modules/a-knights-dream/Item/equip_weapon_crossbow_hand_steel.webp</t>
  </si>
  <si>
    <t>Steel Hand axe</t>
  </si>
  <si>
    <t>modules/a-knights-dream/Item/equip_weapon_axe_hand_steel.webp</t>
  </si>
  <si>
    <t>Steel Heavy Crossbow</t>
  </si>
  <si>
    <t>modules/a-knights-dream/Item/equip_weapon_crossbow_heavy_steel.webp</t>
  </si>
  <si>
    <t>Steel Hunting Trap</t>
  </si>
  <si>
    <t>modules/a-knights-dream/Item/equip_weapon_trap_hunting_steel.webp</t>
  </si>
  <si>
    <t>Steel Hunting Trap (Large)</t>
  </si>
  <si>
    <t>modules/a-knights-dream/Item/equip_weapon_trap_hunting_large_steel.webp</t>
  </si>
  <si>
    <t>Steel Hunting Trap (Small)</t>
  </si>
  <si>
    <t>modules/a-knights-dream/Item/equip_weapon_trap_hunting_small_steel.webp</t>
  </si>
  <si>
    <t>Steel Javelin</t>
  </si>
  <si>
    <t>modules/a-knights-dream/Item/equip_weapon_javelin_steel.webp</t>
  </si>
  <si>
    <t>Steel Khpesh</t>
  </si>
  <si>
    <t>modules/a-knights-dream/Item/equip_weapon_khpesh_steel.webp</t>
  </si>
  <si>
    <t>Steel Khyber</t>
  </si>
  <si>
    <t>modules/a-knights-dream/Item/equip_weapon_khyber_steel.webp</t>
  </si>
  <si>
    <t>Steel Konda</t>
  </si>
  <si>
    <t>modules/a-knights-dream/Item/equip_weapon_konda_steel.webp</t>
  </si>
  <si>
    <t>Steel Labrys</t>
  </si>
  <si>
    <t>modules/a-knights-dream/Item/equip_weapon_axe_labrys_steel.webp</t>
  </si>
  <si>
    <t>Steel Lance</t>
  </si>
  <si>
    <t>modules/a-knights-dream/Item/equip_weapon_lance_steel.webp</t>
  </si>
  <si>
    <t>Steel Light Crossbow</t>
  </si>
  <si>
    <t>modules/a-knights-dream/Item/equip_weapon_crossbow_light_steel.webp</t>
  </si>
  <si>
    <t>Steel Long Bow</t>
  </si>
  <si>
    <t>modules/a-knights-dream/Item/equip_weapon_bow_long_steel.webp</t>
  </si>
  <si>
    <t>Steel Long Spear</t>
  </si>
  <si>
    <t>modules/a-knights-dream/Item/equip_weapon_spear_long_steel.webp</t>
  </si>
  <si>
    <t>Steel Lucerince Hammer</t>
  </si>
  <si>
    <t>modules/a-knights-dream/Item/equip_weapon_hammer_lucerince_steel.webp</t>
  </si>
  <si>
    <t>Steel Mace</t>
  </si>
  <si>
    <t>modules/a-knights-dream/Item/equip_weapon_mace_steel.webp</t>
  </si>
  <si>
    <t>Steel Morningstar</t>
  </si>
  <si>
    <t>modules/a-knights-dream/Item/equip_weapon_morningstar_steel.webp</t>
  </si>
  <si>
    <t>Steel Pike</t>
  </si>
  <si>
    <t>modules/a-knights-dream/Item/equip_weapon_pike_steel.webp</t>
  </si>
  <si>
    <t>Steel Quarter Staff</t>
  </si>
  <si>
    <t>modules/a-knights-dream/Item/equip_weapon_staff_quarter_steel.webp</t>
  </si>
  <si>
    <t>Steel Ranseur</t>
  </si>
  <si>
    <t>modules/a-knights-dream/Item/equip_weapon_ranseur_steel.webp</t>
  </si>
  <si>
    <t>Steel Rapier</t>
  </si>
  <si>
    <t>modules/a-knights-dream/Item/equip_weapon_rapier_steel.webp</t>
  </si>
  <si>
    <t>Steel Recurve Bow</t>
  </si>
  <si>
    <t>modules/a-knights-dream/Item/equip_weapon_bow_recurve_steel.webp</t>
  </si>
  <si>
    <t>Steel Repeater Crossbow</t>
  </si>
  <si>
    <t>modules/a-knights-dream/Item/equip_weapon_crossbow_repeater_steel.webp</t>
  </si>
  <si>
    <t>Steel Sabre</t>
  </si>
  <si>
    <t>modules/a-knights-dream/Item/equip_weapon_sabre_steel.webp</t>
  </si>
  <si>
    <t>Steel Scimitar</t>
  </si>
  <si>
    <t>modules/a-knights-dream/Item/equip_weapon_scimitar_steel.webp</t>
  </si>
  <si>
    <t>Steel Scythe</t>
  </si>
  <si>
    <t>modules/a-knights-dream/Item/equip_weapon_scythe_steel.webp</t>
  </si>
  <si>
    <t>Steel Short Bow</t>
  </si>
  <si>
    <t>modules/a-knights-dream/Item/equip_weapon_bow_short_steel.webp</t>
  </si>
  <si>
    <t>Steel Short Spear</t>
  </si>
  <si>
    <t>modules/a-knights-dream/Item/equip_weapon_spear_short_steel.webp</t>
  </si>
  <si>
    <t>Steel Short Sword</t>
  </si>
  <si>
    <t>modules/a-knights-dream/Item/equip_weapon_sword_short_steel.webp</t>
  </si>
  <si>
    <t>Steel Shotel</t>
  </si>
  <si>
    <t>modules/a-knights-dream/Item/equip_weapon_shotel_steel.webp</t>
  </si>
  <si>
    <t>Steel Sickle</t>
  </si>
  <si>
    <t>modules/a-knights-dream/Item/equip_weapon_sickle_steel.webp</t>
  </si>
  <si>
    <t>Steel Sling</t>
  </si>
  <si>
    <t>modules/a-knights-dream/Item/equip_weapon_sling_steel.webp</t>
  </si>
  <si>
    <t>Steel Staff</t>
  </si>
  <si>
    <t>modules/a-knights-dream/Item/equip_weapon_staff_steel.webp</t>
  </si>
  <si>
    <t>Steel Staff Sling</t>
  </si>
  <si>
    <t>modules/a-knights-dream/Item/equip_weapon_sling_staff_steel.webp</t>
  </si>
  <si>
    <t>Steel Sword</t>
  </si>
  <si>
    <t>modules/a-knights-dream/Item/equip_weapon_sword_steel.webp</t>
  </si>
  <si>
    <t>Steel Tapal</t>
  </si>
  <si>
    <t>modules/a-knights-dream/Item/equip_weapon_tapal_steel.webp</t>
  </si>
  <si>
    <t>Steel Trident</t>
  </si>
  <si>
    <t>modules/a-knights-dream/Item/equip_weapon_trident_steel.webp</t>
  </si>
  <si>
    <t>Steel War Hammer</t>
  </si>
  <si>
    <t>modules/a-knights-dream/Item/equip_weapon_hammer_war_steel.webp</t>
  </si>
  <si>
    <t>Steel War Pick</t>
  </si>
  <si>
    <t>modules/a-knights-dream/Item/equip_weapon_pick_war_steel.webp</t>
  </si>
  <si>
    <t>Steel Brigantine Cuirass</t>
  </si>
  <si>
    <t>modules/a-knights-dream/Item/equip_armor_brigantine_cuirass_steel.webp</t>
  </si>
  <si>
    <t>Steel Brigantine Gauntlets</t>
  </si>
  <si>
    <t>modules/a-knights-dream/Item/equip_armor_brigantine_gauntlets_steel.webp</t>
  </si>
  <si>
    <t>Steel Brigantine Greaves</t>
  </si>
  <si>
    <t>modules/a-knights-dream/Item/equip_armor_brigantine_greaves_steel.webp</t>
  </si>
  <si>
    <t>Steel Brigantine Helmet</t>
  </si>
  <si>
    <t>modules/a-knights-dream/Item/equip_armor_brigantine_helmet_steel.webp</t>
  </si>
  <si>
    <t>Steel Brigantine Pauldron</t>
  </si>
  <si>
    <t>modules/a-knights-dream/Item/equip_armor_brigantine_pauldron_steel.webp</t>
  </si>
  <si>
    <t>Steel Chainmail Cuirass</t>
  </si>
  <si>
    <t>modules/a-knights-dream/Item/equip_armor_chainmail_cuirass_steel.webp</t>
  </si>
  <si>
    <t>Steel Chainmail Gauntlets</t>
  </si>
  <si>
    <t>modules/a-knights-dream/Item/equip_armor_chainmail_gauntlets_steel.webp</t>
  </si>
  <si>
    <t>Steel Chainmail Greaves</t>
  </si>
  <si>
    <t>modules/a-knights-dream/Item/equip_armor_chainmail_greaves_steel.webp</t>
  </si>
  <si>
    <t>Steel Chainmail Helmet</t>
  </si>
  <si>
    <t>modules/a-knights-dream/Item/equip_armor_chainmail_helmet_steel.webp</t>
  </si>
  <si>
    <t>Steel Chainmail Pauldron</t>
  </si>
  <si>
    <t>modules/a-knights-dream/Item/equip_armor_chainmail_pauldron_steel.webp</t>
  </si>
  <si>
    <t>Steel Gamberson Cuirass</t>
  </si>
  <si>
    <t>modules/a-knights-dream/Item/equip_armor_gamberson_cuirass_steel.webp</t>
  </si>
  <si>
    <t>Steel Gamberson Gauntlets</t>
  </si>
  <si>
    <t>modules/a-knights-dream/Item/equip_armor_gamberson_gauntlets_steel.webp</t>
  </si>
  <si>
    <t>Steel Gamberson Greaves</t>
  </si>
  <si>
    <t>modules/a-knights-dream/Item/equip_armor_gamberson_greaves_steel.webp</t>
  </si>
  <si>
    <t>Steel Gamberson Helmet</t>
  </si>
  <si>
    <t>modules/a-knights-dream/Item/equip_armor_gamberson_helmet_steel.webp</t>
  </si>
  <si>
    <t>Steel Gamberson Pauldron</t>
  </si>
  <si>
    <t>modules/a-knights-dream/Item/equip_armor_gamberson_pauldron_steel.webp</t>
  </si>
  <si>
    <t>Steel Hauberk Cuirass</t>
  </si>
  <si>
    <t>modules/a-knights-dream/Item/equip_armor_hauberk_cuirass_steel.webp</t>
  </si>
  <si>
    <t>Steel Hauberk Gauntlets</t>
  </si>
  <si>
    <t>modules/a-knights-dream/Item/equip_armor_hauberk_gauntlets_steel.webp</t>
  </si>
  <si>
    <t>Steel Hauberk Greaves</t>
  </si>
  <si>
    <t>modules/a-knights-dream/Item/equip_armor_hauberk_greaves_steel.webp</t>
  </si>
  <si>
    <t>Steel Hauberk Helmet</t>
  </si>
  <si>
    <t>modules/a-knights-dream/Item/equip_armor_hauberk_helmet_steel.webp</t>
  </si>
  <si>
    <t>Steel Hauberk Pauldron</t>
  </si>
  <si>
    <t>modules/a-knights-dream/Item/equip_armor_hauberk_pauldron_steel.webp</t>
  </si>
  <si>
    <t>Steel Jack Cuirass</t>
  </si>
  <si>
    <t>modules/a-knights-dream/Item/equip_armor_jack_cuirass_steel.webp</t>
  </si>
  <si>
    <t>Steel Jack Gauntlets</t>
  </si>
  <si>
    <t>modules/a-knights-dream/Item/equip_armor_jack_gauntlets_steel.webp</t>
  </si>
  <si>
    <t>Steel Jack Greaves</t>
  </si>
  <si>
    <t>modules/a-knights-dream/Item/equip_armor_jack_greaves_steel.webp</t>
  </si>
  <si>
    <t>Steel Jack Helmet</t>
  </si>
  <si>
    <t>modules/a-knights-dream/Item/equip_armor_jack_helmet_steel.webp</t>
  </si>
  <si>
    <t>Steel Jack Pauldron</t>
  </si>
  <si>
    <t>modules/a-knights-dream/Item/equip_armor_jack_pauldron_steel.webp</t>
  </si>
  <si>
    <t>Steel Lamellar Cuirass</t>
  </si>
  <si>
    <t>modules/a-knights-dream/Item/equip_armor_lamellar_cuirass_steel.webp</t>
  </si>
  <si>
    <t>Steel Lamellar Gauntlets</t>
  </si>
  <si>
    <t>modules/a-knights-dream/Item/equip_armor_lamellar_gauntlets_steel.webp</t>
  </si>
  <si>
    <t>Steel Lamellar Greaves</t>
  </si>
  <si>
    <t>modules/a-knights-dream/Item/equip_armor_lamellar_greaves_steel.webp</t>
  </si>
  <si>
    <t>Steel Lamellar Helmet</t>
  </si>
  <si>
    <t>modules/a-knights-dream/Item/equip_armor_lamellar_helmet_steel.webp</t>
  </si>
  <si>
    <t>Steel Lamellar Pauldron</t>
  </si>
  <si>
    <t>modules/a-knights-dream/Item/equip_armor_lamellar_pauldron_steel.webp</t>
  </si>
  <si>
    <t>Steel Platemail Cuirass</t>
  </si>
  <si>
    <t>modules/a-knights-dream/Item/equip_armor_platemail_cuirass_steel.webp</t>
  </si>
  <si>
    <t>Steel Platemail Gauntlets</t>
  </si>
  <si>
    <t>modules/a-knights-dream/Item/equip_armor_platemail_gauntlets_steel.webp</t>
  </si>
  <si>
    <t>Steel Platemail Greaves</t>
  </si>
  <si>
    <t>modules/a-knights-dream/Item/equip_armor_platemail_greaves_steel.webp</t>
  </si>
  <si>
    <t>Steel Platemail Helmet</t>
  </si>
  <si>
    <t>modules/a-knights-dream/Item/equip_armor_platemail_helmet_steel.webp</t>
  </si>
  <si>
    <t>Steel Platemail Pauldron</t>
  </si>
  <si>
    <t>modules/a-knights-dream/Item/equip_armor_platemail_pauldron_steel.webp</t>
  </si>
  <si>
    <t>Steel Tunic Cuirass</t>
  </si>
  <si>
    <t>modules/a-knights-dream/Item/equip_armor_tunic_cuirass_steel.webp</t>
  </si>
  <si>
    <t>Steel Tunic Gauntlets</t>
  </si>
  <si>
    <t>modules/a-knights-dream/Item/equip_armor_tunic_gauntlets_steel.webp</t>
  </si>
  <si>
    <t>Steel Tunic Greaves</t>
  </si>
  <si>
    <t>modules/a-knights-dream/Item/equip_armor_tunic_greaves_steel.webp</t>
  </si>
  <si>
    <t>Steel Tunic Helmet</t>
  </si>
  <si>
    <t>modules/a-knights-dream/Item/equip_armor_tunic_helmet_steel.webp</t>
  </si>
  <si>
    <t>Steel Tunic Pauldron</t>
  </si>
  <si>
    <t>modules/a-knights-dream/Item/equip_armor_tunic_pauldron_steel.webp</t>
  </si>
  <si>
    <t>Steel Buckler Shield</t>
  </si>
  <si>
    <t>modules/a-knights-dream/Item/equip_armor_shield_buckler_steel.webp</t>
  </si>
  <si>
    <t>Steel Heater Shield</t>
  </si>
  <si>
    <t>modules/a-knights-dream/Item/equip_armor_shield_heater_steel.webp</t>
  </si>
  <si>
    <t>Steel Kite Shield</t>
  </si>
  <si>
    <t>modules/a-knights-dream/Item/equip_armor_shield_kite_steel.webp</t>
  </si>
  <si>
    <t>Steel Oval Shield</t>
  </si>
  <si>
    <t>modules/a-knights-dream/Item/equip_armor_shield_oval_steel.webp</t>
  </si>
  <si>
    <t>Steel Round Shield</t>
  </si>
  <si>
    <t>modules/a-knights-dream/Item/equip_armor_shield_round_steel.webp</t>
  </si>
  <si>
    <t>Steel Tower Shield</t>
  </si>
  <si>
    <t>modules/a-knights-dream/Item/equip_armor_shield_tower_steel.webp</t>
  </si>
  <si>
    <t>Tin</t>
  </si>
  <si>
    <t>Tin Ball Bearings</t>
  </si>
  <si>
    <t>modules/a-knights-dream/Item/equip_weapon_bearings_tin.webp</t>
  </si>
  <si>
    <t>Tin Bardiche</t>
  </si>
  <si>
    <t>modules/a-knights-dream/Item/equip_weapon_bardiche_tin.webp</t>
  </si>
  <si>
    <t>Tin Bastard Sword</t>
  </si>
  <si>
    <t>modules/a-knights-dream/Item/equip_weapon_sword_bastard_tin.webp</t>
  </si>
  <si>
    <t>Tin Battle Axe</t>
  </si>
  <si>
    <t>modules/a-knights-dream/Item/equip_weapon_axe_battle_tin.webp</t>
  </si>
  <si>
    <t>Tin Blowgun</t>
  </si>
  <si>
    <t>modules/a-knights-dream/Item/equip_weapon_blowgun_tin.webp</t>
  </si>
  <si>
    <t>Tin Bolt</t>
  </si>
  <si>
    <t>modules/a-knights-dream/Item/equip_weapon_bolt_tin.webp</t>
  </si>
  <si>
    <t>Tin Boomerang</t>
  </si>
  <si>
    <t>modules/a-knights-dream/Item/equip_weapon_boomerang_tin.webp</t>
  </si>
  <si>
    <t>Tin Bow</t>
  </si>
  <si>
    <t>modules/a-knights-dream/Item/equip_weapon_bow_tin.webp</t>
  </si>
  <si>
    <t>Tin Caltrops</t>
  </si>
  <si>
    <t>modules/a-knights-dream/Item/equip_weapon_caltrops_tin.webp</t>
  </si>
  <si>
    <t>Tin Cestus</t>
  </si>
  <si>
    <t>modules/a-knights-dream/Item/equip_weapon_cestus_tin.webp</t>
  </si>
  <si>
    <t>Tin Chain</t>
  </si>
  <si>
    <t>modules/a-knights-dream/Item/equip_weapon_chain_tin.webp</t>
  </si>
  <si>
    <t>Tin Claymore</t>
  </si>
  <si>
    <t>modules/a-knights-dream/Item/equip_weapon_claymore_tin.webp</t>
  </si>
  <si>
    <t>Tin Club</t>
  </si>
  <si>
    <t>modules/a-knights-dream/Item/equip_weapon_club_tin.webp</t>
  </si>
  <si>
    <t>Tin Compound Bow</t>
  </si>
  <si>
    <t>modules/a-knights-dream/Item/equip_weapon_bow_compound_tin.webp</t>
  </si>
  <si>
    <t>Tin Cutlass</t>
  </si>
  <si>
    <t>modules/a-knights-dream/Item/equip_weapon_cutlass_tin.webp</t>
  </si>
  <si>
    <t>Tin Dagger</t>
  </si>
  <si>
    <t>modules/a-knights-dream/Item/equip_weapon_dagger_tin.webp</t>
  </si>
  <si>
    <t>Tin Dart</t>
  </si>
  <si>
    <t>modules/a-knights-dream/Item/equip_weapon_dart_tin.webp</t>
  </si>
  <si>
    <t>Tin Fauchard Scythe</t>
  </si>
  <si>
    <t>modules/a-knights-dream/Item/equip_weapon_scythe_fauchard_tin.webp</t>
  </si>
  <si>
    <t>Tin Flail</t>
  </si>
  <si>
    <t>modules/a-knights-dream/Item/equip_weapon_flail_tin.webp</t>
  </si>
  <si>
    <t>Tin Glaive</t>
  </si>
  <si>
    <t>modules/a-knights-dream/Item/equip_weapon_glaive_tin.webp</t>
  </si>
  <si>
    <t>Tin Grapple Hook</t>
  </si>
  <si>
    <t>modules/a-knights-dream/Item/equip_weapon_hook_grapple_tin.webp</t>
  </si>
  <si>
    <t>Tin Great Axe</t>
  </si>
  <si>
    <t>modules/a-knights-dream/Item/equip_weapon_axe_great_tin.webp</t>
  </si>
  <si>
    <t>Tin Great Club</t>
  </si>
  <si>
    <t>modules/a-knights-dream/Item/equip_weapon_club_great_tin.webp</t>
  </si>
  <si>
    <t>Tin Great Khyber</t>
  </si>
  <si>
    <t>modules/a-knights-dream/Item/equip_weapon_khyber_great_tin.webp</t>
  </si>
  <si>
    <t>Tin Great Konda</t>
  </si>
  <si>
    <t>modules/a-knights-dream/Item/equip_weapon_konda_great_tin.webp</t>
  </si>
  <si>
    <t>Tin Great Labrys</t>
  </si>
  <si>
    <t>modules/a-knights-dream/Item/equip_weapon_axe_labrys_great_tin.webp</t>
  </si>
  <si>
    <t>Tin Great Mace</t>
  </si>
  <si>
    <t>modules/a-knights-dream/Item/equip_weapon_mace_great_tin.webp</t>
  </si>
  <si>
    <t>Tin Great Tapal</t>
  </si>
  <si>
    <t>modules/a-knights-dream/Item/equip_weapon_tapal_great_tin.webp</t>
  </si>
  <si>
    <t>Tin Great War Bow</t>
  </si>
  <si>
    <t>modules/a-knights-dream/Item/equip_weapon_bow_war_great_tin.webp</t>
  </si>
  <si>
    <t>Tin Great War Hammer</t>
  </si>
  <si>
    <t>modules/a-knights-dream/Item/equip_weapon_hammer_war_great_tin.webp</t>
  </si>
  <si>
    <t>Tin Great War Pick</t>
  </si>
  <si>
    <t>modules/a-knights-dream/Item/equip_weapon_pick_war_great_tin.webp</t>
  </si>
  <si>
    <t>Tin Guisarme</t>
  </si>
  <si>
    <t>modules/a-knights-dream/Item/equip_weapon_guisarme_tin.webp</t>
  </si>
  <si>
    <t>Tin Halberd</t>
  </si>
  <si>
    <t>modules/a-knights-dream/Item/equip_weapon_halberd_tin.webp</t>
  </si>
  <si>
    <t>Tin Hand Crossbow</t>
  </si>
  <si>
    <t>modules/a-knights-dream/Item/equip_weapon_crossbow_hand_tin.webp</t>
  </si>
  <si>
    <t>Tin Hand axe</t>
  </si>
  <si>
    <t>modules/a-knights-dream/Item/equip_weapon_axe_hand_tin.webp</t>
  </si>
  <si>
    <t>Tin Heavy Crossbow</t>
  </si>
  <si>
    <t>modules/a-knights-dream/Item/equip_weapon_crossbow_heavy_tin.webp</t>
  </si>
  <si>
    <t>Tin Hunting Trap</t>
  </si>
  <si>
    <t>modules/a-knights-dream/Item/equip_weapon_trap_hunting_tin.webp</t>
  </si>
  <si>
    <t>Tin Hunting Trap (Large)</t>
  </si>
  <si>
    <t>modules/a-knights-dream/Item/equip_weapon_trap_hunting_large_tin.webp</t>
  </si>
  <si>
    <t>Tin Hunting Trap (Small)</t>
  </si>
  <si>
    <t>modules/a-knights-dream/Item/equip_weapon_trap_hunting_small_tin.webp</t>
  </si>
  <si>
    <t>Tin Javelin</t>
  </si>
  <si>
    <t>modules/a-knights-dream/Item/equip_weapon_javelin_tin.webp</t>
  </si>
  <si>
    <t>Tin Khpesh</t>
  </si>
  <si>
    <t>modules/a-knights-dream/Item/equip_weapon_khpesh_tin.webp</t>
  </si>
  <si>
    <t>Tin Khyber</t>
  </si>
  <si>
    <t>modules/a-knights-dream/Item/equip_weapon_khyber_tin.webp</t>
  </si>
  <si>
    <t>Tin Konda</t>
  </si>
  <si>
    <t>modules/a-knights-dream/Item/equip_weapon_konda_tin.webp</t>
  </si>
  <si>
    <t>Tin Labrys</t>
  </si>
  <si>
    <t>modules/a-knights-dream/Item/equip_weapon_axe_labrys_tin.webp</t>
  </si>
  <si>
    <t>Tin Lance</t>
  </si>
  <si>
    <t>modules/a-knights-dream/Item/equip_weapon_lance_tin.webp</t>
  </si>
  <si>
    <t>Tin Light Crossbow</t>
  </si>
  <si>
    <t>modules/a-knights-dream/Item/equip_weapon_crossbow_light_tin.webp</t>
  </si>
  <si>
    <t>Tin Long Bow</t>
  </si>
  <si>
    <t>modules/a-knights-dream/Item/equip_weapon_bow_long_tin.webp</t>
  </si>
  <si>
    <t>Tin Long Spear</t>
  </si>
  <si>
    <t>modules/a-knights-dream/Item/equip_weapon_spear_long_tin.webp</t>
  </si>
  <si>
    <t>Tin Lucerince Hammer</t>
  </si>
  <si>
    <t>modules/a-knights-dream/Item/equip_weapon_hammer_lucerince_tin.webp</t>
  </si>
  <si>
    <t>Tin Mace</t>
  </si>
  <si>
    <t>modules/a-knights-dream/Item/equip_weapon_mace_tin.webp</t>
  </si>
  <si>
    <t>Tin Morningstar</t>
  </si>
  <si>
    <t>modules/a-knights-dream/Item/equip_weapon_morningstar_tin.webp</t>
  </si>
  <si>
    <t>Tin Pike</t>
  </si>
  <si>
    <t>modules/a-knights-dream/Item/equip_weapon_pike_tin.webp</t>
  </si>
  <si>
    <t>Tin Quarter Staff</t>
  </si>
  <si>
    <t>modules/a-knights-dream/Item/equip_weapon_staff_quarter_tin.webp</t>
  </si>
  <si>
    <t>Tin Ranseur</t>
  </si>
  <si>
    <t>modules/a-knights-dream/Item/equip_weapon_ranseur_tin.webp</t>
  </si>
  <si>
    <t>Tin Rapier</t>
  </si>
  <si>
    <t>modules/a-knights-dream/Item/equip_weapon_rapier_tin.webp</t>
  </si>
  <si>
    <t>Tin Recurve Bow</t>
  </si>
  <si>
    <t>modules/a-knights-dream/Item/equip_weapon_bow_recurve_tin.webp</t>
  </si>
  <si>
    <t>Tin Repeater Crossbow</t>
  </si>
  <si>
    <t>modules/a-knights-dream/Item/equip_weapon_crossbow_repeater_tin.webp</t>
  </si>
  <si>
    <t>Tin Sabre</t>
  </si>
  <si>
    <t>modules/a-knights-dream/Item/equip_weapon_sabre_tin.webp</t>
  </si>
  <si>
    <t>Tin Scimitar</t>
  </si>
  <si>
    <t>modules/a-knights-dream/Item/equip_weapon_scimitar_tin.webp</t>
  </si>
  <si>
    <t>Tin Scythe</t>
  </si>
  <si>
    <t>modules/a-knights-dream/Item/equip_weapon_scythe_tin.webp</t>
  </si>
  <si>
    <t>Tin Short Bow</t>
  </si>
  <si>
    <t>modules/a-knights-dream/Item/equip_weapon_bow_short_tin.webp</t>
  </si>
  <si>
    <t>Tin Short Spear</t>
  </si>
  <si>
    <t>modules/a-knights-dream/Item/equip_weapon_spear_short_tin.webp</t>
  </si>
  <si>
    <t>Tin Short Sword</t>
  </si>
  <si>
    <t>modules/a-knights-dream/Item/equip_weapon_sword_short_tin.webp</t>
  </si>
  <si>
    <t>Tin Shotel</t>
  </si>
  <si>
    <t>modules/a-knights-dream/Item/equip_weapon_shotel_tin.webp</t>
  </si>
  <si>
    <t>Tin Sickle</t>
  </si>
  <si>
    <t>modules/a-knights-dream/Item/equip_weapon_sickle_tin.webp</t>
  </si>
  <si>
    <t>Tin Sling</t>
  </si>
  <si>
    <t>modules/a-knights-dream/Item/equip_weapon_sling_tin.webp</t>
  </si>
  <si>
    <t>Tin Staff</t>
  </si>
  <si>
    <t>modules/a-knights-dream/Item/equip_weapon_staff_tin.webp</t>
  </si>
  <si>
    <t>Tin Staff Sling</t>
  </si>
  <si>
    <t>modules/a-knights-dream/Item/equip_weapon_sling_staff_tin.webp</t>
  </si>
  <si>
    <t>Tin Sword</t>
  </si>
  <si>
    <t>modules/a-knights-dream/Item/equip_weapon_sword_tin.webp</t>
  </si>
  <si>
    <t>Tin Tapal</t>
  </si>
  <si>
    <t>modules/a-knights-dream/Item/equip_weapon_tapal_tin.webp</t>
  </si>
  <si>
    <t>Tin Trident</t>
  </si>
  <si>
    <t>modules/a-knights-dream/Item/equip_weapon_trident_tin.webp</t>
  </si>
  <si>
    <t>Tin War Hammer</t>
  </si>
  <si>
    <t>modules/a-knights-dream/Item/equip_weapon_hammer_war_tin.webp</t>
  </si>
  <si>
    <t>Tin War Pick</t>
  </si>
  <si>
    <t>modules/a-knights-dream/Item/equip_weapon_pick_war_tin.webp</t>
  </si>
  <si>
    <t>Tin Brigantine Cuirass</t>
  </si>
  <si>
    <t>modules/a-knights-dream/Item/equip_armor_brigantine_cuirass_tin.webp</t>
  </si>
  <si>
    <t>Tin Brigantine Gauntlets</t>
  </si>
  <si>
    <t>modules/a-knights-dream/Item/equip_armor_brigantine_gauntlets_tin.webp</t>
  </si>
  <si>
    <t>Tin Brigantine Greaves</t>
  </si>
  <si>
    <t>modules/a-knights-dream/Item/equip_armor_brigantine_greaves_tin.webp</t>
  </si>
  <si>
    <t>Tin Brigantine Helmet</t>
  </si>
  <si>
    <t>modules/a-knights-dream/Item/equip_armor_brigantine_helmet_tin.webp</t>
  </si>
  <si>
    <t>Tin Brigantine Pauldron</t>
  </si>
  <si>
    <t>modules/a-knights-dream/Item/equip_armor_brigantine_pauldron_tin.webp</t>
  </si>
  <si>
    <t>Tin Chainmail Cuirass</t>
  </si>
  <si>
    <t>modules/a-knights-dream/Item/equip_armor_chainmail_cuirass_tin.webp</t>
  </si>
  <si>
    <t>Tin Chainmail Gauntlets</t>
  </si>
  <si>
    <t>modules/a-knights-dream/Item/equip_armor_chainmail_gauntlets_tin.webp</t>
  </si>
  <si>
    <t>Tin Chainmail Greaves</t>
  </si>
  <si>
    <t>modules/a-knights-dream/Item/equip_armor_chainmail_greaves_tin.webp</t>
  </si>
  <si>
    <t>Tin Chainmail Helmet</t>
  </si>
  <si>
    <t>modules/a-knights-dream/Item/equip_armor_chainmail_helmet_tin.webp</t>
  </si>
  <si>
    <t>Tin Chainmail Pauldron</t>
  </si>
  <si>
    <t>modules/a-knights-dream/Item/equip_armor_chainmail_pauldron_tin.webp</t>
  </si>
  <si>
    <t>Tin Gamberson Cuirass</t>
  </si>
  <si>
    <t>modules/a-knights-dream/Item/equip_armor_gamberson_cuirass_tin.webp</t>
  </si>
  <si>
    <t>Tin Gamberson Gauntlets</t>
  </si>
  <si>
    <t>modules/a-knights-dream/Item/equip_armor_gamberson_gauntlets_tin.webp</t>
  </si>
  <si>
    <t>Tin Gamberson Greaves</t>
  </si>
  <si>
    <t>modules/a-knights-dream/Item/equip_armor_gamberson_greaves_tin.webp</t>
  </si>
  <si>
    <t>Tin Gamberson Helmet</t>
  </si>
  <si>
    <t>modules/a-knights-dream/Item/equip_armor_gamberson_helmet_tin.webp</t>
  </si>
  <si>
    <t>Tin Gamberson Pauldron</t>
  </si>
  <si>
    <t>modules/a-knights-dream/Item/equip_armor_gamberson_pauldron_tin.webp</t>
  </si>
  <si>
    <t>Tin Hauberk Cuirass</t>
  </si>
  <si>
    <t>modules/a-knights-dream/Item/equip_armor_hauberk_cuirass_tin.webp</t>
  </si>
  <si>
    <t>Tin Hauberk Gauntlets</t>
  </si>
  <si>
    <t>modules/a-knights-dream/Item/equip_armor_hauberk_gauntlets_tin.webp</t>
  </si>
  <si>
    <t>Tin Hauberk Greaves</t>
  </si>
  <si>
    <t>modules/a-knights-dream/Item/equip_armor_hauberk_greaves_tin.webp</t>
  </si>
  <si>
    <t>Tin Hauberk Helmet</t>
  </si>
  <si>
    <t>modules/a-knights-dream/Item/equip_armor_hauberk_helmet_tin.webp</t>
  </si>
  <si>
    <t>Tin Hauberk Pauldron</t>
  </si>
  <si>
    <t>modules/a-knights-dream/Item/equip_armor_hauberk_pauldron_tin.webp</t>
  </si>
  <si>
    <t>Tin Jack Cuirass</t>
  </si>
  <si>
    <t>modules/a-knights-dream/Item/equip_armor_jack_cuirass_tin.webp</t>
  </si>
  <si>
    <t>Tin Jack Gauntlets</t>
  </si>
  <si>
    <t>modules/a-knights-dream/Item/equip_armor_jack_gauntlets_tin.webp</t>
  </si>
  <si>
    <t>Tin Jack Greaves</t>
  </si>
  <si>
    <t>modules/a-knights-dream/Item/equip_armor_jack_greaves_tin.webp</t>
  </si>
  <si>
    <t>Tin Jack Helmet</t>
  </si>
  <si>
    <t>modules/a-knights-dream/Item/equip_armor_jack_helmet_tin.webp</t>
  </si>
  <si>
    <t>Tin Jack Pauldron</t>
  </si>
  <si>
    <t>modules/a-knights-dream/Item/equip_armor_jack_pauldron_tin.webp</t>
  </si>
  <si>
    <t>Tin Lamellar Cuirass</t>
  </si>
  <si>
    <t>modules/a-knights-dream/Item/equip_armor_lamellar_cuirass_tin.webp</t>
  </si>
  <si>
    <t>Tin Lamellar Gauntlets</t>
  </si>
  <si>
    <t>modules/a-knights-dream/Item/equip_armor_lamellar_gauntlets_tin.webp</t>
  </si>
  <si>
    <t>Tin Lamellar Greaves</t>
  </si>
  <si>
    <t>modules/a-knights-dream/Item/equip_armor_lamellar_greaves_tin.webp</t>
  </si>
  <si>
    <t>Tin Lamellar Helmet</t>
  </si>
  <si>
    <t>modules/a-knights-dream/Item/equip_armor_lamellar_helmet_tin.webp</t>
  </si>
  <si>
    <t>Tin Lamellar Pauldron</t>
  </si>
  <si>
    <t>modules/a-knights-dream/Item/equip_armor_lamellar_pauldron_tin.webp</t>
  </si>
  <si>
    <t>Tin Platemail Cuirass</t>
  </si>
  <si>
    <t>modules/a-knights-dream/Item/equip_armor_platemail_cuirass_tin.webp</t>
  </si>
  <si>
    <t>Tin Platemail Gauntlets</t>
  </si>
  <si>
    <t>modules/a-knights-dream/Item/equip_armor_platemail_gauntlets_tin.webp</t>
  </si>
  <si>
    <t>Tin Platemail Greaves</t>
  </si>
  <si>
    <t>modules/a-knights-dream/Item/equip_armor_platemail_greaves_tin.webp</t>
  </si>
  <si>
    <t>Tin Platemail Helmet</t>
  </si>
  <si>
    <t>modules/a-knights-dream/Item/equip_armor_platemail_helmet_tin.webp</t>
  </si>
  <si>
    <t>Tin Platemail Pauldron</t>
  </si>
  <si>
    <t>modules/a-knights-dream/Item/equip_armor_platemail_pauldron_tin.webp</t>
  </si>
  <si>
    <t>Tin Tunic Cuirass</t>
  </si>
  <si>
    <t>modules/a-knights-dream/Item/equip_armor_tunic_cuirass_tin.webp</t>
  </si>
  <si>
    <t>Tin Tunic Gauntlets</t>
  </si>
  <si>
    <t>modules/a-knights-dream/Item/equip_armor_tunic_gauntlets_tin.webp</t>
  </si>
  <si>
    <t>Tin Tunic Greaves</t>
  </si>
  <si>
    <t>modules/a-knights-dream/Item/equip_armor_tunic_greaves_tin.webp</t>
  </si>
  <si>
    <t>Tin Tunic Helmet</t>
  </si>
  <si>
    <t>modules/a-knights-dream/Item/equip_armor_tunic_helmet_tin.webp</t>
  </si>
  <si>
    <t>Tin Tunic Pauldron</t>
  </si>
  <si>
    <t>modules/a-knights-dream/Item/equip_armor_tunic_pauldron_tin.webp</t>
  </si>
  <si>
    <t>Tin Buckler Shield</t>
  </si>
  <si>
    <t>modules/a-knights-dream/Item/equip_armor_shield_buckler_tin.webp</t>
  </si>
  <si>
    <t>Tin Heater Shield</t>
  </si>
  <si>
    <t>modules/a-knights-dream/Item/equip_armor_shield_heater_tin.webp</t>
  </si>
  <si>
    <t>Tin Kite Shield</t>
  </si>
  <si>
    <t>modules/a-knights-dream/Item/equip_armor_shield_kite_tin.webp</t>
  </si>
  <si>
    <t>Tin Oval Shield</t>
  </si>
  <si>
    <t>modules/a-knights-dream/Item/equip_armor_shield_oval_tin.webp</t>
  </si>
  <si>
    <t>Tin Round Shield</t>
  </si>
  <si>
    <t>modules/a-knights-dream/Item/equip_armor_shield_round_tin.webp</t>
  </si>
  <si>
    <t>Tin Tower Shield</t>
  </si>
  <si>
    <t>modules/a-knights-dream/Item/equip_armor_shield_tower_tin.webp</t>
  </si>
  <si>
    <t>Wood</t>
  </si>
  <si>
    <t>Ash</t>
  </si>
  <si>
    <t>Ash Ball Bearings</t>
  </si>
  <si>
    <t>modules/a-knights-dream/Item/equip_weapon_bearings_ash.webp</t>
  </si>
  <si>
    <t>Ash Bardiche</t>
  </si>
  <si>
    <t>modules/a-knights-dream/Item/equip_weapon_bardiche_ash.webp</t>
  </si>
  <si>
    <t>Ash Bastard Sword</t>
  </si>
  <si>
    <t>modules/a-knights-dream/Item/equip_weapon_sword_bastard_ash.webp</t>
  </si>
  <si>
    <t>Ash Battle Axe</t>
  </si>
  <si>
    <t>modules/a-knights-dream/Item/equip_weapon_axe_battle_ash.webp</t>
  </si>
  <si>
    <t>Ash Blowgun</t>
  </si>
  <si>
    <t>modules/a-knights-dream/Item/equip_weapon_blowgun_ash.webp</t>
  </si>
  <si>
    <t>Ash Bolt</t>
  </si>
  <si>
    <t>modules/a-knights-dream/Item/equip_weapon_bolt_ash.webp</t>
  </si>
  <si>
    <t>Ash Boomerang</t>
  </si>
  <si>
    <t>modules/a-knights-dream/Item/equip_weapon_boomerang_ash.webp</t>
  </si>
  <si>
    <t>Ash Bow</t>
  </si>
  <si>
    <t>modules/a-knights-dream/Item/equip_weapon_bow_ash.webp</t>
  </si>
  <si>
    <t>Ash Caltrops</t>
  </si>
  <si>
    <t>modules/a-knights-dream/Item/equip_weapon_caltrops_ash.webp</t>
  </si>
  <si>
    <t>Ash Cestus</t>
  </si>
  <si>
    <t>modules/a-knights-dream/Item/equip_weapon_cestus_ash.webp</t>
  </si>
  <si>
    <t>Ash Chain</t>
  </si>
  <si>
    <t>modules/a-knights-dream/Item/equip_weapon_chain_ash.webp</t>
  </si>
  <si>
    <t>Ash Claymore</t>
  </si>
  <si>
    <t>modules/a-knights-dream/Item/equip_weapon_claymore_ash.webp</t>
  </si>
  <si>
    <t>Ash Club</t>
  </si>
  <si>
    <t>modules/a-knights-dream/Item/equip_weapon_club_ash.webp</t>
  </si>
  <si>
    <t>Ash Compound Bow</t>
  </si>
  <si>
    <t>modules/a-knights-dream/Item/equip_weapon_bow_compound_ash.webp</t>
  </si>
  <si>
    <t>Ash Cutlass</t>
  </si>
  <si>
    <t>modules/a-knights-dream/Item/equip_weapon_cutlass_ash.webp</t>
  </si>
  <si>
    <t>Ash Dagger</t>
  </si>
  <si>
    <t>modules/a-knights-dream/Item/equip_weapon_dagger_ash.webp</t>
  </si>
  <si>
    <t>Ash Dart</t>
  </si>
  <si>
    <t>modules/a-knights-dream/Item/equip_weapon_dart_ash.webp</t>
  </si>
  <si>
    <t>Ash Fauchard Scythe</t>
  </si>
  <si>
    <t>modules/a-knights-dream/Item/equip_weapon_scythe_fauchard_ash.webp</t>
  </si>
  <si>
    <t>Ash Flail</t>
  </si>
  <si>
    <t>modules/a-knights-dream/Item/equip_weapon_flail_ash.webp</t>
  </si>
  <si>
    <t>Ash Glaive</t>
  </si>
  <si>
    <t>modules/a-knights-dream/Item/equip_weapon_glaive_ash.webp</t>
  </si>
  <si>
    <t>Ash Grapple Hook</t>
  </si>
  <si>
    <t>modules/a-knights-dream/Item/equip_weapon_hook_grapple_ash.webp</t>
  </si>
  <si>
    <t>Ash Great Axe</t>
  </si>
  <si>
    <t>modules/a-knights-dream/Item/equip_weapon_axe_great_ash.webp</t>
  </si>
  <si>
    <t>Ash Great Club</t>
  </si>
  <si>
    <t>modules/a-knights-dream/Item/equip_weapon_club_great_ash.webp</t>
  </si>
  <si>
    <t>Ash Great Khyber</t>
  </si>
  <si>
    <t>modules/a-knights-dream/Item/equip_weapon_khyber_great_ash.webp</t>
  </si>
  <si>
    <t>Ash Great Konda</t>
  </si>
  <si>
    <t>modules/a-knights-dream/Item/equip_weapon_konda_great_ash.webp</t>
  </si>
  <si>
    <t>Ash Great Labrys</t>
  </si>
  <si>
    <t>modules/a-knights-dream/Item/equip_weapon_axe_labrys_great_ash.webp</t>
  </si>
  <si>
    <t>Ash Great Mace</t>
  </si>
  <si>
    <t>modules/a-knights-dream/Item/equip_weapon_mace_great_ash.webp</t>
  </si>
  <si>
    <t>Ash Great Tapal</t>
  </si>
  <si>
    <t>modules/a-knights-dream/Item/equip_weapon_tapal_great_ash.webp</t>
  </si>
  <si>
    <t>Ash Great War Bow</t>
  </si>
  <si>
    <t>modules/a-knights-dream/Item/equip_weapon_bow_war_great_ash.webp</t>
  </si>
  <si>
    <t>Ash Great War Hammer</t>
  </si>
  <si>
    <t>modules/a-knights-dream/Item/equip_weapon_hammer_war_great_ash.webp</t>
  </si>
  <si>
    <t>Ash Great War Pick</t>
  </si>
  <si>
    <t>modules/a-knights-dream/Item/equip_weapon_pick_war_great_ash.webp</t>
  </si>
  <si>
    <t>Ash Guisarme</t>
  </si>
  <si>
    <t>modules/a-knights-dream/Item/equip_weapon_guisarme_ash.webp</t>
  </si>
  <si>
    <t>Ash Halberd</t>
  </si>
  <si>
    <t>modules/a-knights-dream/Item/equip_weapon_halberd_ash.webp</t>
  </si>
  <si>
    <t>Ash Hand Crossbow</t>
  </si>
  <si>
    <t>modules/a-knights-dream/Item/equip_weapon_crossbow_hand_ash.webp</t>
  </si>
  <si>
    <t>Ash Hand axe</t>
  </si>
  <si>
    <t>modules/a-knights-dream/Item/equip_weapon_axe_hand_ash.webp</t>
  </si>
  <si>
    <t>Ash Heavy Crossbow</t>
  </si>
  <si>
    <t>modules/a-knights-dream/Item/equip_weapon_crossbow_heavy_ash.webp</t>
  </si>
  <si>
    <t>Ash Hunting Trap</t>
  </si>
  <si>
    <t>modules/a-knights-dream/Item/equip_weapon_trap_hunting_ash.webp</t>
  </si>
  <si>
    <t>Ash Hunting Trap (Large)</t>
  </si>
  <si>
    <t>modules/a-knights-dream/Item/equip_weapon_trap_hunting_large_ash.webp</t>
  </si>
  <si>
    <t>Ash Hunting Trap (Small)</t>
  </si>
  <si>
    <t>modules/a-knights-dream/Item/equip_weapon_trap_hunting_small_ash.webp</t>
  </si>
  <si>
    <t>Ash Javelin</t>
  </si>
  <si>
    <t>modules/a-knights-dream/Item/equip_weapon_javelin_ash.webp</t>
  </si>
  <si>
    <t>Ash Khpesh</t>
  </si>
  <si>
    <t>modules/a-knights-dream/Item/equip_weapon_khpesh_ash.webp</t>
  </si>
  <si>
    <t>Ash Khyber</t>
  </si>
  <si>
    <t>modules/a-knights-dream/Item/equip_weapon_khyber_ash.webp</t>
  </si>
  <si>
    <t>Ash Konda</t>
  </si>
  <si>
    <t>modules/a-knights-dream/Item/equip_weapon_konda_ash.webp</t>
  </si>
  <si>
    <t>Ash Labrys</t>
  </si>
  <si>
    <t>modules/a-knights-dream/Item/equip_weapon_axe_labrys_ash.webp</t>
  </si>
  <si>
    <t>Ash Lance</t>
  </si>
  <si>
    <t>modules/a-knights-dream/Item/equip_weapon_lance_ash.webp</t>
  </si>
  <si>
    <t>Ash Light Crossbow</t>
  </si>
  <si>
    <t>modules/a-knights-dream/Item/equip_weapon_crossbow_light_ash.webp</t>
  </si>
  <si>
    <t>Ash Long Bow</t>
  </si>
  <si>
    <t>modules/a-knights-dream/Item/equip_weapon_bow_long_ash.webp</t>
  </si>
  <si>
    <t>Ash Long Spear</t>
  </si>
  <si>
    <t>modules/a-knights-dream/Item/equip_weapon_spear_long_ash.webp</t>
  </si>
  <si>
    <t>Ash Lucerince Hammer</t>
  </si>
  <si>
    <t>modules/a-knights-dream/Item/equip_weapon_hammer_lucerince_ash.webp</t>
  </si>
  <si>
    <t>Ash Mace</t>
  </si>
  <si>
    <t>modules/a-knights-dream/Item/equip_weapon_mace_ash.webp</t>
  </si>
  <si>
    <t>Ash Morningstar</t>
  </si>
  <si>
    <t>modules/a-knights-dream/Item/equip_weapon_morningstar_ash.webp</t>
  </si>
  <si>
    <t>Ash Pike</t>
  </si>
  <si>
    <t>modules/a-knights-dream/Item/equip_weapon_pike_ash.webp</t>
  </si>
  <si>
    <t>Ash Quarter Staff</t>
  </si>
  <si>
    <t>modules/a-knights-dream/Item/equip_weapon_staff_quarter_ash.webp</t>
  </si>
  <si>
    <t>Ash Ranseur</t>
  </si>
  <si>
    <t>modules/a-knights-dream/Item/equip_weapon_ranseur_ash.webp</t>
  </si>
  <si>
    <t>Ash Rapier</t>
  </si>
  <si>
    <t>modules/a-knights-dream/Item/equip_weapon_rapier_ash.webp</t>
  </si>
  <si>
    <t>Ash Recurve Bow</t>
  </si>
  <si>
    <t>modules/a-knights-dream/Item/equip_weapon_bow_recurve_ash.webp</t>
  </si>
  <si>
    <t>Ash Repeater Crossbow</t>
  </si>
  <si>
    <t>modules/a-knights-dream/Item/equip_weapon_crossbow_repeater_ash.webp</t>
  </si>
  <si>
    <t>Ash Sabre</t>
  </si>
  <si>
    <t>modules/a-knights-dream/Item/equip_weapon_sabre_ash.webp</t>
  </si>
  <si>
    <t>Ash Scimitar</t>
  </si>
  <si>
    <t>modules/a-knights-dream/Item/equip_weapon_scimitar_ash.webp</t>
  </si>
  <si>
    <t>Ash Scythe</t>
  </si>
  <si>
    <t>modules/a-knights-dream/Item/equip_weapon_scythe_ash.webp</t>
  </si>
  <si>
    <t>Ash Short Bow</t>
  </si>
  <si>
    <t>modules/a-knights-dream/Item/equip_weapon_bow_short_ash.webp</t>
  </si>
  <si>
    <t>Ash Short Spear</t>
  </si>
  <si>
    <t>modules/a-knights-dream/Item/equip_weapon_spear_short_ash.webp</t>
  </si>
  <si>
    <t>Ash Short Sword</t>
  </si>
  <si>
    <t>modules/a-knights-dream/Item/equip_weapon_sword_short_ash.webp</t>
  </si>
  <si>
    <t>Ash Shotel</t>
  </si>
  <si>
    <t>modules/a-knights-dream/Item/equip_weapon_shotel_ash.webp</t>
  </si>
  <si>
    <t>Ash Sickle</t>
  </si>
  <si>
    <t>modules/a-knights-dream/Item/equip_weapon_sickle_ash.webp</t>
  </si>
  <si>
    <t>Ash Sling</t>
  </si>
  <si>
    <t>modules/a-knights-dream/Item/equip_weapon_sling_ash.webp</t>
  </si>
  <si>
    <t>Ash Staff</t>
  </si>
  <si>
    <t>modules/a-knights-dream/Item/equip_weapon_staff_ash.webp</t>
  </si>
  <si>
    <t>Ash Staff Sling</t>
  </si>
  <si>
    <t>modules/a-knights-dream/Item/equip_weapon_sling_staff_ash.webp</t>
  </si>
  <si>
    <t>Ash Sword</t>
  </si>
  <si>
    <t>modules/a-knights-dream/Item/equip_weapon_sword_ash.webp</t>
  </si>
  <si>
    <t>Ash Tapal</t>
  </si>
  <si>
    <t>modules/a-knights-dream/Item/equip_weapon_tapal_ash.webp</t>
  </si>
  <si>
    <t>Ash Trident</t>
  </si>
  <si>
    <t>modules/a-knights-dream/Item/equip_weapon_trident_ash.webp</t>
  </si>
  <si>
    <t>Ash War Hammer</t>
  </si>
  <si>
    <t>modules/a-knights-dream/Item/equip_weapon_hammer_war_ash.webp</t>
  </si>
  <si>
    <t>Ash War Pick</t>
  </si>
  <si>
    <t>modules/a-knights-dream/Item/equip_weapon_pick_war_ash.webp</t>
  </si>
  <si>
    <t>Ash Brigantine Cuirass</t>
  </si>
  <si>
    <t>modules/a-knights-dream/Item/equip_armor_brigantine_cuirass_ash.webp</t>
  </si>
  <si>
    <t>Ash Brigantine Gauntlets</t>
  </si>
  <si>
    <t>modules/a-knights-dream/Item/equip_armor_brigantine_gauntlets_ash.webp</t>
  </si>
  <si>
    <t>Ash Brigantine Greaves</t>
  </si>
  <si>
    <t>modules/a-knights-dream/Item/equip_armor_brigantine_greaves_ash.webp</t>
  </si>
  <si>
    <t>Ash Brigantine Helmet</t>
  </si>
  <si>
    <t>modules/a-knights-dream/Item/equip_armor_brigantine_helmet_ash.webp</t>
  </si>
  <si>
    <t>Ash Brigantine Pauldron</t>
  </si>
  <si>
    <t>modules/a-knights-dream/Item/equip_armor_brigantine_pauldron_ash.webp</t>
  </si>
  <si>
    <t>Ash Chainmail Cuirass</t>
  </si>
  <si>
    <t>modules/a-knights-dream/Item/equip_armor_chainmail_cuirass_ash.webp</t>
  </si>
  <si>
    <t>Ash Chainmail Gauntlets</t>
  </si>
  <si>
    <t>modules/a-knights-dream/Item/equip_armor_chainmail_gauntlets_ash.webp</t>
  </si>
  <si>
    <t>Ash Chainmail Greaves</t>
  </si>
  <si>
    <t>modules/a-knights-dream/Item/equip_armor_chainmail_greaves_ash.webp</t>
  </si>
  <si>
    <t>Ash Chainmail Helmet</t>
  </si>
  <si>
    <t>modules/a-knights-dream/Item/equip_armor_chainmail_helmet_ash.webp</t>
  </si>
  <si>
    <t>Ash Chainmail Pauldron</t>
  </si>
  <si>
    <t>modules/a-knights-dream/Item/equip_armor_chainmail_pauldron_ash.webp</t>
  </si>
  <si>
    <t>Ash Gamberson Cuirass</t>
  </si>
  <si>
    <t>modules/a-knights-dream/Item/equip_armor_gamberson_cuirass_ash.webp</t>
  </si>
  <si>
    <t>Ash Gamberson Gauntlets</t>
  </si>
  <si>
    <t>modules/a-knights-dream/Item/equip_armor_gamberson_gauntlets_ash.webp</t>
  </si>
  <si>
    <t>Ash Gamberson Greaves</t>
  </si>
  <si>
    <t>modules/a-knights-dream/Item/equip_armor_gamberson_greaves_ash.webp</t>
  </si>
  <si>
    <t>Ash Gamberson Helmet</t>
  </si>
  <si>
    <t>modules/a-knights-dream/Item/equip_armor_gamberson_helmet_ash.webp</t>
  </si>
  <si>
    <t>Ash Gamberson Pauldron</t>
  </si>
  <si>
    <t>modules/a-knights-dream/Item/equip_armor_gamberson_pauldron_ash.webp</t>
  </si>
  <si>
    <t>Ash Hauberk Cuirass</t>
  </si>
  <si>
    <t>modules/a-knights-dream/Item/equip_armor_hauberk_cuirass_ash.webp</t>
  </si>
  <si>
    <t>Ash Hauberk Gauntlets</t>
  </si>
  <si>
    <t>modules/a-knights-dream/Item/equip_armor_hauberk_gauntlets_ash.webp</t>
  </si>
  <si>
    <t>Ash Hauberk Greaves</t>
  </si>
  <si>
    <t>modules/a-knights-dream/Item/equip_armor_hauberk_greaves_ash.webp</t>
  </si>
  <si>
    <t>Ash Hauberk Helmet</t>
  </si>
  <si>
    <t>modules/a-knights-dream/Item/equip_armor_hauberk_helmet_ash.webp</t>
  </si>
  <si>
    <t>Ash Hauberk Pauldron</t>
  </si>
  <si>
    <t>modules/a-knights-dream/Item/equip_armor_hauberk_pauldron_ash.webp</t>
  </si>
  <si>
    <t>Ash Jack Cuirass</t>
  </si>
  <si>
    <t>modules/a-knights-dream/Item/equip_armor_jack_cuirass_ash.webp</t>
  </si>
  <si>
    <t>Ash Jack Gauntlets</t>
  </si>
  <si>
    <t>modules/a-knights-dream/Item/equip_armor_jack_gauntlets_ash.webp</t>
  </si>
  <si>
    <t>Ash Jack Greaves</t>
  </si>
  <si>
    <t>modules/a-knights-dream/Item/equip_armor_jack_greaves_ash.webp</t>
  </si>
  <si>
    <t>Ash Jack Helmet</t>
  </si>
  <si>
    <t>modules/a-knights-dream/Item/equip_armor_jack_helmet_ash.webp</t>
  </si>
  <si>
    <t>Ash Jack Pauldron</t>
  </si>
  <si>
    <t>modules/a-knights-dream/Item/equip_armor_jack_pauldron_ash.webp</t>
  </si>
  <si>
    <t>Ash Lamellar Cuirass</t>
  </si>
  <si>
    <t>modules/a-knights-dream/Item/equip_armor_lamellar_cuirass_ash.webp</t>
  </si>
  <si>
    <t>Ash Lamellar Gauntlets</t>
  </si>
  <si>
    <t>modules/a-knights-dream/Item/equip_armor_lamellar_gauntlets_ash.webp</t>
  </si>
  <si>
    <t>Ash Lamellar Greaves</t>
  </si>
  <si>
    <t>modules/a-knights-dream/Item/equip_armor_lamellar_greaves_ash.webp</t>
  </si>
  <si>
    <t>Ash Lamellar Helmet</t>
  </si>
  <si>
    <t>modules/a-knights-dream/Item/equip_armor_lamellar_helmet_ash.webp</t>
  </si>
  <si>
    <t>Ash Lamellar Pauldron</t>
  </si>
  <si>
    <t>modules/a-knights-dream/Item/equip_armor_lamellar_pauldron_ash.webp</t>
  </si>
  <si>
    <t>Ash Platemail Cuirass</t>
  </si>
  <si>
    <t>modules/a-knights-dream/Item/equip_armor_platemail_cuirass_ash.webp</t>
  </si>
  <si>
    <t>Ash Platemail Gauntlets</t>
  </si>
  <si>
    <t>modules/a-knights-dream/Item/equip_armor_platemail_gauntlets_ash.webp</t>
  </si>
  <si>
    <t>Ash Platemail Greaves</t>
  </si>
  <si>
    <t>modules/a-knights-dream/Item/equip_armor_platemail_greaves_ash.webp</t>
  </si>
  <si>
    <t>Ash Platemail Helmet</t>
  </si>
  <si>
    <t>modules/a-knights-dream/Item/equip_armor_platemail_helmet_ash.webp</t>
  </si>
  <si>
    <t>Ash Platemail Pauldron</t>
  </si>
  <si>
    <t>modules/a-knights-dream/Item/equip_armor_platemail_pauldron_ash.webp</t>
  </si>
  <si>
    <t>Ash Tunic Cuirass</t>
  </si>
  <si>
    <t>modules/a-knights-dream/Item/equip_armor_tunic_cuirass_ash.webp</t>
  </si>
  <si>
    <t>Ash Tunic Gauntlets</t>
  </si>
  <si>
    <t>modules/a-knights-dream/Item/equip_armor_tunic_gauntlets_ash.webp</t>
  </si>
  <si>
    <t>Ash Tunic Greaves</t>
  </si>
  <si>
    <t>modules/a-knights-dream/Item/equip_armor_tunic_greaves_ash.webp</t>
  </si>
  <si>
    <t>Ash Tunic Helmet</t>
  </si>
  <si>
    <t>modules/a-knights-dream/Item/equip_armor_tunic_helmet_ash.webp</t>
  </si>
  <si>
    <t>Ash Tunic Pauldron</t>
  </si>
  <si>
    <t>modules/a-knights-dream/Item/equip_armor_tunic_pauldron_ash.webp</t>
  </si>
  <si>
    <t>Ash Buckler Shield</t>
  </si>
  <si>
    <t>modules/a-knights-dream/Item/equip_armor_shield_buckler_ash.webp</t>
  </si>
  <si>
    <t>Ash Heater Shield</t>
  </si>
  <si>
    <t>modules/a-knights-dream/Item/equip_armor_shield_heater_ash.webp</t>
  </si>
  <si>
    <t>Ash Kite Shield</t>
  </si>
  <si>
    <t>modules/a-knights-dream/Item/equip_armor_shield_kite_ash.webp</t>
  </si>
  <si>
    <t>Ash Oval Shield</t>
  </si>
  <si>
    <t>modules/a-knights-dream/Item/equip_armor_shield_oval_ash.webp</t>
  </si>
  <si>
    <t>Ash Round Shield</t>
  </si>
  <si>
    <t>modules/a-knights-dream/Item/equip_armor_shield_round_ash.webp</t>
  </si>
  <si>
    <t>Ash Tower Shield</t>
  </si>
  <si>
    <t>modules/a-knights-dream/Item/equip_armor_shield_tower_ash.webp</t>
  </si>
  <si>
    <t>Birch</t>
  </si>
  <si>
    <t>Birch Ball Bearings</t>
  </si>
  <si>
    <t>modules/a-knights-dream/Item/equip_weapon_bearings_birch.webp</t>
  </si>
  <si>
    <t>Birch Bardiche</t>
  </si>
  <si>
    <t>modules/a-knights-dream/Item/equip_weapon_bardiche_birch.webp</t>
  </si>
  <si>
    <t>Birch Bastard Sword</t>
  </si>
  <si>
    <t>modules/a-knights-dream/Item/equip_weapon_sword_bastard_birch.webp</t>
  </si>
  <si>
    <t>Birch Battle Axe</t>
  </si>
  <si>
    <t>modules/a-knights-dream/Item/equip_weapon_axe_battle_birch.webp</t>
  </si>
  <si>
    <t>Birch Blowgun</t>
  </si>
  <si>
    <t>modules/a-knights-dream/Item/equip_weapon_blowgun_birch.webp</t>
  </si>
  <si>
    <t>Birch Bolt</t>
  </si>
  <si>
    <t>modules/a-knights-dream/Item/equip_weapon_bolt_birch.webp</t>
  </si>
  <si>
    <t>Birch Boomerang</t>
  </si>
  <si>
    <t>modules/a-knights-dream/Item/equip_weapon_boomerang_birch.webp</t>
  </si>
  <si>
    <t>Birch Bow</t>
  </si>
  <si>
    <t>modules/a-knights-dream/Item/equip_weapon_bow_birch.webp</t>
  </si>
  <si>
    <t>Birch Caltrops</t>
  </si>
  <si>
    <t>modules/a-knights-dream/Item/equip_weapon_caltrops_birch.webp</t>
  </si>
  <si>
    <t>Birch Cestus</t>
  </si>
  <si>
    <t>modules/a-knights-dream/Item/equip_weapon_cestus_birch.webp</t>
  </si>
  <si>
    <t>Birch Chain</t>
  </si>
  <si>
    <t>modules/a-knights-dream/Item/equip_weapon_chain_birch.webp</t>
  </si>
  <si>
    <t>Birch Claymore</t>
  </si>
  <si>
    <t>modules/a-knights-dream/Item/equip_weapon_claymore_birch.webp</t>
  </si>
  <si>
    <t>Birch Club</t>
  </si>
  <si>
    <t>modules/a-knights-dream/Item/equip_weapon_club_birch.webp</t>
  </si>
  <si>
    <t>Birch Compound Bow</t>
  </si>
  <si>
    <t>modules/a-knights-dream/Item/equip_weapon_bow_compound_birch.webp</t>
  </si>
  <si>
    <t>Birch Cutlass</t>
  </si>
  <si>
    <t>modules/a-knights-dream/Item/equip_weapon_cutlass_birch.webp</t>
  </si>
  <si>
    <t>Birch Dagger</t>
  </si>
  <si>
    <t>modules/a-knights-dream/Item/equip_weapon_dagger_birch.webp</t>
  </si>
  <si>
    <t>Birch Dart</t>
  </si>
  <si>
    <t>modules/a-knights-dream/Item/equip_weapon_dart_birch.webp</t>
  </si>
  <si>
    <t>Birch Fauchard Scythe</t>
  </si>
  <si>
    <t>modules/a-knights-dream/Item/equip_weapon_scythe_fauchard_birch.webp</t>
  </si>
  <si>
    <t>Birch Flail</t>
  </si>
  <si>
    <t>modules/a-knights-dream/Item/equip_weapon_flail_birch.webp</t>
  </si>
  <si>
    <t>Birch Glaive</t>
  </si>
  <si>
    <t>modules/a-knights-dream/Item/equip_weapon_glaive_birch.webp</t>
  </si>
  <si>
    <t>Birch Grapple Hook</t>
  </si>
  <si>
    <t>modules/a-knights-dream/Item/equip_weapon_hook_grapple_birch.webp</t>
  </si>
  <si>
    <t>Birch Great Axe</t>
  </si>
  <si>
    <t>modules/a-knights-dream/Item/equip_weapon_axe_great_birch.webp</t>
  </si>
  <si>
    <t>Birch Great Club</t>
  </si>
  <si>
    <t>modules/a-knights-dream/Item/equip_weapon_club_great_birch.webp</t>
  </si>
  <si>
    <t>Birch Great Khyber</t>
  </si>
  <si>
    <t>modules/a-knights-dream/Item/equip_weapon_khyber_great_birch.webp</t>
  </si>
  <si>
    <t>Birch Great Konda</t>
  </si>
  <si>
    <t>modules/a-knights-dream/Item/equip_weapon_konda_great_birch.webp</t>
  </si>
  <si>
    <t>Birch Great Labrys</t>
  </si>
  <si>
    <t>modules/a-knights-dream/Item/equip_weapon_axe_labrys_great_birch.webp</t>
  </si>
  <si>
    <t>Birch Great Mace</t>
  </si>
  <si>
    <t>modules/a-knights-dream/Item/equip_weapon_mace_great_birch.webp</t>
  </si>
  <si>
    <t>Birch Great Tapal</t>
  </si>
  <si>
    <t>modules/a-knights-dream/Item/equip_weapon_tapal_great_birch.webp</t>
  </si>
  <si>
    <t>Birch Great War Bow</t>
  </si>
  <si>
    <t>modules/a-knights-dream/Item/equip_weapon_bow_war_great_birch.webp</t>
  </si>
  <si>
    <t>Birch Great War Hammer</t>
  </si>
  <si>
    <t>modules/a-knights-dream/Item/equip_weapon_hammer_war_great_birch.webp</t>
  </si>
  <si>
    <t>Birch Great War Pick</t>
  </si>
  <si>
    <t>modules/a-knights-dream/Item/equip_weapon_pick_war_great_birch.webp</t>
  </si>
  <si>
    <t>Birch Guisarme</t>
  </si>
  <si>
    <t>modules/a-knights-dream/Item/equip_weapon_guisarme_birch.webp</t>
  </si>
  <si>
    <t>Birch Halberd</t>
  </si>
  <si>
    <t>modules/a-knights-dream/Item/equip_weapon_halberd_birch.webp</t>
  </si>
  <si>
    <t>Birch Hand Crossbow</t>
  </si>
  <si>
    <t>modules/a-knights-dream/Item/equip_weapon_crossbow_hand_birch.webp</t>
  </si>
  <si>
    <t>Birch Hand axe</t>
  </si>
  <si>
    <t>modules/a-knights-dream/Item/equip_weapon_axe_hand_birch.webp</t>
  </si>
  <si>
    <t>Birch Heavy Crossbow</t>
  </si>
  <si>
    <t>modules/a-knights-dream/Item/equip_weapon_crossbow_heavy_birch.webp</t>
  </si>
  <si>
    <t>Birch Hunting Trap</t>
  </si>
  <si>
    <t>modules/a-knights-dream/Item/equip_weapon_trap_hunting_birch.webp</t>
  </si>
  <si>
    <t>Birch Hunting Trap (Large)</t>
  </si>
  <si>
    <t>modules/a-knights-dream/Item/equip_weapon_trap_hunting_large_birch.webp</t>
  </si>
  <si>
    <t>Birch Hunting Trap (Small)</t>
  </si>
  <si>
    <t>modules/a-knights-dream/Item/equip_weapon_trap_hunting_small_birch.webp</t>
  </si>
  <si>
    <t>Birch Javelin</t>
  </si>
  <si>
    <t>modules/a-knights-dream/Item/equip_weapon_javelin_birch.webp</t>
  </si>
  <si>
    <t>Birch Khpesh</t>
  </si>
  <si>
    <t>modules/a-knights-dream/Item/equip_weapon_khpesh_birch.webp</t>
  </si>
  <si>
    <t>Birch Khyber</t>
  </si>
  <si>
    <t>modules/a-knights-dream/Item/equip_weapon_khyber_birch.webp</t>
  </si>
  <si>
    <t>Birch Konda</t>
  </si>
  <si>
    <t>modules/a-knights-dream/Item/equip_weapon_konda_birch.webp</t>
  </si>
  <si>
    <t>Birch Labrys</t>
  </si>
  <si>
    <t>modules/a-knights-dream/Item/equip_weapon_axe_labrys_birch.webp</t>
  </si>
  <si>
    <t>Birch Lance</t>
  </si>
  <si>
    <t>modules/a-knights-dream/Item/equip_weapon_lance_birch.webp</t>
  </si>
  <si>
    <t>Birch Light Crossbow</t>
  </si>
  <si>
    <t>modules/a-knights-dream/Item/equip_weapon_crossbow_light_birch.webp</t>
  </si>
  <si>
    <t>Birch Long Bow</t>
  </si>
  <si>
    <t>modules/a-knights-dream/Item/equip_weapon_bow_long_birch.webp</t>
  </si>
  <si>
    <t>Birch Long Spear</t>
  </si>
  <si>
    <t>modules/a-knights-dream/Item/equip_weapon_spear_long_birch.webp</t>
  </si>
  <si>
    <t>Birch Lucerince Hammer</t>
  </si>
  <si>
    <t>modules/a-knights-dream/Item/equip_weapon_hammer_lucerince_birch.webp</t>
  </si>
  <si>
    <t>Birch Mace</t>
  </si>
  <si>
    <t>modules/a-knights-dream/Item/equip_weapon_mace_birch.webp</t>
  </si>
  <si>
    <t>Birch Morningstar</t>
  </si>
  <si>
    <t>modules/a-knights-dream/Item/equip_weapon_morningstar_birch.webp</t>
  </si>
  <si>
    <t>Birch Pike</t>
  </si>
  <si>
    <t>modules/a-knights-dream/Item/equip_weapon_pike_birch.webp</t>
  </si>
  <si>
    <t>Birch Quarter Staff</t>
  </si>
  <si>
    <t>modules/a-knights-dream/Item/equip_weapon_staff_quarter_birch.webp</t>
  </si>
  <si>
    <t>Birch Ranseur</t>
  </si>
  <si>
    <t>modules/a-knights-dream/Item/equip_weapon_ranseur_birch.webp</t>
  </si>
  <si>
    <t>Birch Rapier</t>
  </si>
  <si>
    <t>modules/a-knights-dream/Item/equip_weapon_rapier_birch.webp</t>
  </si>
  <si>
    <t>Birch Recurve Bow</t>
  </si>
  <si>
    <t>modules/a-knights-dream/Item/equip_weapon_bow_recurve_birch.webp</t>
  </si>
  <si>
    <t>Birch Repeater Crossbow</t>
  </si>
  <si>
    <t>modules/a-knights-dream/Item/equip_weapon_crossbow_repeater_birch.webp</t>
  </si>
  <si>
    <t>Birch Sabre</t>
  </si>
  <si>
    <t>modules/a-knights-dream/Item/equip_weapon_sabre_birch.webp</t>
  </si>
  <si>
    <t>Birch Scimitar</t>
  </si>
  <si>
    <t>modules/a-knights-dream/Item/equip_weapon_scimitar_birch.webp</t>
  </si>
  <si>
    <t>Birch Scythe</t>
  </si>
  <si>
    <t>modules/a-knights-dream/Item/equip_weapon_scythe_birch.webp</t>
  </si>
  <si>
    <t>Birch Short Bow</t>
  </si>
  <si>
    <t>modules/a-knights-dream/Item/equip_weapon_bow_short_birch.webp</t>
  </si>
  <si>
    <t>Birch Short Spear</t>
  </si>
  <si>
    <t>modules/a-knights-dream/Item/equip_weapon_spear_short_birch.webp</t>
  </si>
  <si>
    <t>Birch Short Sword</t>
  </si>
  <si>
    <t>modules/a-knights-dream/Item/equip_weapon_sword_short_birch.webp</t>
  </si>
  <si>
    <t>Birch Shotel</t>
  </si>
  <si>
    <t>modules/a-knights-dream/Item/equip_weapon_shotel_birch.webp</t>
  </si>
  <si>
    <t>Birch Sickle</t>
  </si>
  <si>
    <t>modules/a-knights-dream/Item/equip_weapon_sickle_birch.webp</t>
  </si>
  <si>
    <t>Birch Sling</t>
  </si>
  <si>
    <t>modules/a-knights-dream/Item/equip_weapon_sling_birch.webp</t>
  </si>
  <si>
    <t>Birch Staff</t>
  </si>
  <si>
    <t>modules/a-knights-dream/Item/equip_weapon_staff_birch.webp</t>
  </si>
  <si>
    <t>Birch Staff Sling</t>
  </si>
  <si>
    <t>modules/a-knights-dream/Item/equip_weapon_sling_staff_birch.webp</t>
  </si>
  <si>
    <t>Birch Sword</t>
  </si>
  <si>
    <t>modules/a-knights-dream/Item/equip_weapon_sword_birch.webp</t>
  </si>
  <si>
    <t>Birch Tapal</t>
  </si>
  <si>
    <t>modules/a-knights-dream/Item/equip_weapon_tapal_birch.webp</t>
  </si>
  <si>
    <t>Birch Trident</t>
  </si>
  <si>
    <t>modules/a-knights-dream/Item/equip_weapon_trident_birch.webp</t>
  </si>
  <si>
    <t>Birch War Hammer</t>
  </si>
  <si>
    <t>modules/a-knights-dream/Item/equip_weapon_hammer_war_birch.webp</t>
  </si>
  <si>
    <t>Birch War Pick</t>
  </si>
  <si>
    <t>modules/a-knights-dream/Item/equip_weapon_pick_war_birch.webp</t>
  </si>
  <si>
    <t>Birch Brigantine Cuirass</t>
  </si>
  <si>
    <t>modules/a-knights-dream/Item/equip_armor_brigantine_cuirass_birch.webp</t>
  </si>
  <si>
    <t>Birch Brigantine Gauntlets</t>
  </si>
  <si>
    <t>modules/a-knights-dream/Item/equip_armor_brigantine_gauntlets_birch.webp</t>
  </si>
  <si>
    <t>Birch Brigantine Greaves</t>
  </si>
  <si>
    <t>modules/a-knights-dream/Item/equip_armor_brigantine_greaves_birch.webp</t>
  </si>
  <si>
    <t>Birch Brigantine Helmet</t>
  </si>
  <si>
    <t>modules/a-knights-dream/Item/equip_armor_brigantine_helmet_birch.webp</t>
  </si>
  <si>
    <t>Birch Brigantine Pauldron</t>
  </si>
  <si>
    <t>modules/a-knights-dream/Item/equip_armor_brigantine_pauldron_birch.webp</t>
  </si>
  <si>
    <t>Birch Chainmail Cuirass</t>
  </si>
  <si>
    <t>modules/a-knights-dream/Item/equip_armor_chainmail_cuirass_birch.webp</t>
  </si>
  <si>
    <t>Birch Chainmail Gauntlets</t>
  </si>
  <si>
    <t>modules/a-knights-dream/Item/equip_armor_chainmail_gauntlets_birch.webp</t>
  </si>
  <si>
    <t>Birch Chainmail Greaves</t>
  </si>
  <si>
    <t>modules/a-knights-dream/Item/equip_armor_chainmail_greaves_birch.webp</t>
  </si>
  <si>
    <t>Birch Chainmail Helmet</t>
  </si>
  <si>
    <t>modules/a-knights-dream/Item/equip_armor_chainmail_helmet_birch.webp</t>
  </si>
  <si>
    <t>Birch Chainmail Pauldron</t>
  </si>
  <si>
    <t>modules/a-knights-dream/Item/equip_armor_chainmail_pauldron_birch.webp</t>
  </si>
  <si>
    <t>Birch Gamberson Cuirass</t>
  </si>
  <si>
    <t>modules/a-knights-dream/Item/equip_armor_gamberson_cuirass_birch.webp</t>
  </si>
  <si>
    <t>Birch Gamberson Gauntlets</t>
  </si>
  <si>
    <t>modules/a-knights-dream/Item/equip_armor_gamberson_gauntlets_birch.webp</t>
  </si>
  <si>
    <t>Birch Gamberson Greaves</t>
  </si>
  <si>
    <t>modules/a-knights-dream/Item/equip_armor_gamberson_greaves_birch.webp</t>
  </si>
  <si>
    <t>Birch Gamberson Helmet</t>
  </si>
  <si>
    <t>modules/a-knights-dream/Item/equip_armor_gamberson_helmet_birch.webp</t>
  </si>
  <si>
    <t>Birch Gamberson Pauldron</t>
  </si>
  <si>
    <t>modules/a-knights-dream/Item/equip_armor_gamberson_pauldron_birch.webp</t>
  </si>
  <si>
    <t>Birch Hauberk Cuirass</t>
  </si>
  <si>
    <t>modules/a-knights-dream/Item/equip_armor_hauberk_cuirass_birch.webp</t>
  </si>
  <si>
    <t>Birch Hauberk Gauntlets</t>
  </si>
  <si>
    <t>modules/a-knights-dream/Item/equip_armor_hauberk_gauntlets_birch.webp</t>
  </si>
  <si>
    <t>Birch Hauberk Greaves</t>
  </si>
  <si>
    <t>modules/a-knights-dream/Item/equip_armor_hauberk_greaves_birch.webp</t>
  </si>
  <si>
    <t>Birch Hauberk Helmet</t>
  </si>
  <si>
    <t>modules/a-knights-dream/Item/equip_armor_hauberk_helmet_birch.webp</t>
  </si>
  <si>
    <t>Birch Hauberk Pauldron</t>
  </si>
  <si>
    <t>modules/a-knights-dream/Item/equip_armor_hauberk_pauldron_birch.webp</t>
  </si>
  <si>
    <t>Birch Jack Cuirass</t>
  </si>
  <si>
    <t>modules/a-knights-dream/Item/equip_armor_jack_cuirass_birch.webp</t>
  </si>
  <si>
    <t>Birch Jack Gauntlets</t>
  </si>
  <si>
    <t>modules/a-knights-dream/Item/equip_armor_jack_gauntlets_birch.webp</t>
  </si>
  <si>
    <t>Birch Jack Greaves</t>
  </si>
  <si>
    <t>modules/a-knights-dream/Item/equip_armor_jack_greaves_birch.webp</t>
  </si>
  <si>
    <t>Birch Jack Helmet</t>
  </si>
  <si>
    <t>modules/a-knights-dream/Item/equip_armor_jack_helmet_birch.webp</t>
  </si>
  <si>
    <t>Birch Jack Pauldron</t>
  </si>
  <si>
    <t>modules/a-knights-dream/Item/equip_armor_jack_pauldron_birch.webp</t>
  </si>
  <si>
    <t>Birch Lamellar Cuirass</t>
  </si>
  <si>
    <t>modules/a-knights-dream/Item/equip_armor_lamellar_cuirass_birch.webp</t>
  </si>
  <si>
    <t>Birch Lamellar Gauntlets</t>
  </si>
  <si>
    <t>modules/a-knights-dream/Item/equip_armor_lamellar_gauntlets_birch.webp</t>
  </si>
  <si>
    <t>Birch Lamellar Greaves</t>
  </si>
  <si>
    <t>modules/a-knights-dream/Item/equip_armor_lamellar_greaves_birch.webp</t>
  </si>
  <si>
    <t>Birch Lamellar Helmet</t>
  </si>
  <si>
    <t>modules/a-knights-dream/Item/equip_armor_lamellar_helmet_birch.webp</t>
  </si>
  <si>
    <t>Birch Lamellar Pauldron</t>
  </si>
  <si>
    <t>modules/a-knights-dream/Item/equip_armor_lamellar_pauldron_birch.webp</t>
  </si>
  <si>
    <t>Birch Platemail Cuirass</t>
  </si>
  <si>
    <t>modules/a-knights-dream/Item/equip_armor_platemail_cuirass_birch.webp</t>
  </si>
  <si>
    <t>Birch Platemail Gauntlets</t>
  </si>
  <si>
    <t>modules/a-knights-dream/Item/equip_armor_platemail_gauntlets_birch.webp</t>
  </si>
  <si>
    <t>Birch Platemail Greaves</t>
  </si>
  <si>
    <t>modules/a-knights-dream/Item/equip_armor_platemail_greaves_birch.webp</t>
  </si>
  <si>
    <t>Birch Platemail Helmet</t>
  </si>
  <si>
    <t>modules/a-knights-dream/Item/equip_armor_platemail_helmet_birch.webp</t>
  </si>
  <si>
    <t>Birch Platemail Pauldron</t>
  </si>
  <si>
    <t>modules/a-knights-dream/Item/equip_armor_platemail_pauldron_birch.webp</t>
  </si>
  <si>
    <t>Birch Tunic Cuirass</t>
  </si>
  <si>
    <t>modules/a-knights-dream/Item/equip_armor_tunic_cuirass_birch.webp</t>
  </si>
  <si>
    <t>Birch Tunic Gauntlets</t>
  </si>
  <si>
    <t>modules/a-knights-dream/Item/equip_armor_tunic_gauntlets_birch.webp</t>
  </si>
  <si>
    <t>Birch Tunic Greaves</t>
  </si>
  <si>
    <t>modules/a-knights-dream/Item/equip_armor_tunic_greaves_birch.webp</t>
  </si>
  <si>
    <t>Birch Tunic Helmet</t>
  </si>
  <si>
    <t>modules/a-knights-dream/Item/equip_armor_tunic_helmet_birch.webp</t>
  </si>
  <si>
    <t>Birch Tunic Pauldron</t>
  </si>
  <si>
    <t>modules/a-knights-dream/Item/equip_armor_tunic_pauldron_birch.webp</t>
  </si>
  <si>
    <t>Birch Buckler Shield</t>
  </si>
  <si>
    <t>modules/a-knights-dream/Item/equip_armor_shield_buckler_birch.webp</t>
  </si>
  <si>
    <t>Birch Heater Shield</t>
  </si>
  <si>
    <t>modules/a-knights-dream/Item/equip_armor_shield_heater_birch.webp</t>
  </si>
  <si>
    <t>Birch Kite Shield</t>
  </si>
  <si>
    <t>modules/a-knights-dream/Item/equip_armor_shield_kite_birch.webp</t>
  </si>
  <si>
    <t>Birch Oval Shield</t>
  </si>
  <si>
    <t>modules/a-knights-dream/Item/equip_armor_shield_oval_birch.webp</t>
  </si>
  <si>
    <t>Birch Round Shield</t>
  </si>
  <si>
    <t>modules/a-knights-dream/Item/equip_armor_shield_round_birch.webp</t>
  </si>
  <si>
    <t>Birch Tower Shield</t>
  </si>
  <si>
    <t>modules/a-knights-dream/Item/equip_armor_shield_tower_birch.webp</t>
  </si>
  <si>
    <t>Bloodbark</t>
  </si>
  <si>
    <t>Bloodbark Ball Bearings</t>
  </si>
  <si>
    <t>modules/a-knights-dream/Item/equip_weapon_bearings_bloodbark.webp</t>
  </si>
  <si>
    <t>Bloodbark Bardiche</t>
  </si>
  <si>
    <t>modules/a-knights-dream/Item/equip_weapon_bardiche_bloodbark.webp</t>
  </si>
  <si>
    <t>Bloodbark Bastard Sword</t>
  </si>
  <si>
    <t>modules/a-knights-dream/Item/equip_weapon_sword_bastard_bloodbark.webp</t>
  </si>
  <si>
    <t>Bloodbark Battle Axe</t>
  </si>
  <si>
    <t>modules/a-knights-dream/Item/equip_weapon_axe_battle_bloodbark.webp</t>
  </si>
  <si>
    <t>Bloodbark Blowgun</t>
  </si>
  <si>
    <t>modules/a-knights-dream/Item/equip_weapon_blowgun_bloodbark.webp</t>
  </si>
  <si>
    <t>Bloodbark Bolt</t>
  </si>
  <si>
    <t>modules/a-knights-dream/Item/equip_weapon_bolt_bloodbark.webp</t>
  </si>
  <si>
    <t>Bloodbark Boomerang</t>
  </si>
  <si>
    <t>modules/a-knights-dream/Item/equip_weapon_boomerang_bloodbark.webp</t>
  </si>
  <si>
    <t>Bloodbark Bow</t>
  </si>
  <si>
    <t>modules/a-knights-dream/Item/equip_weapon_bow_bloodbark.webp</t>
  </si>
  <si>
    <t>Bloodbark Caltrops</t>
  </si>
  <si>
    <t>modules/a-knights-dream/Item/equip_weapon_caltrops_bloodbark.webp</t>
  </si>
  <si>
    <t>Bloodbark Cestus</t>
  </si>
  <si>
    <t>modules/a-knights-dream/Item/equip_weapon_cestus_bloodbark.webp</t>
  </si>
  <si>
    <t>Bloodbark Chain</t>
  </si>
  <si>
    <t>modules/a-knights-dream/Item/equip_weapon_chain_bloodbark.webp</t>
  </si>
  <si>
    <t>Bloodbark Claymore</t>
  </si>
  <si>
    <t>modules/a-knights-dream/Item/equip_weapon_claymore_bloodbark.webp</t>
  </si>
  <si>
    <t>Bloodbark Club</t>
  </si>
  <si>
    <t>modules/a-knights-dream/Item/equip_weapon_club_bloodbark.webp</t>
  </si>
  <si>
    <t>Bloodbark Compound Bow</t>
  </si>
  <si>
    <t>modules/a-knights-dream/Item/equip_weapon_bow_compound_bloodbark.webp</t>
  </si>
  <si>
    <t>Bloodbark Cutlass</t>
  </si>
  <si>
    <t>modules/a-knights-dream/Item/equip_weapon_cutlass_bloodbark.webp</t>
  </si>
  <si>
    <t>Bloodbark Dagger</t>
  </si>
  <si>
    <t>modules/a-knights-dream/Item/equip_weapon_dagger_bloodbark.webp</t>
  </si>
  <si>
    <t>Bloodbark Dart</t>
  </si>
  <si>
    <t>modules/a-knights-dream/Item/equip_weapon_dart_bloodbark.webp</t>
  </si>
  <si>
    <t>Bloodbark Fauchard Scythe</t>
  </si>
  <si>
    <t>modules/a-knights-dream/Item/equip_weapon_scythe_fauchard_bloodbark.webp</t>
  </si>
  <si>
    <t>Bloodbark Flail</t>
  </si>
  <si>
    <t>modules/a-knights-dream/Item/equip_weapon_flail_bloodbark.webp</t>
  </si>
  <si>
    <t>Bloodbark Glaive</t>
  </si>
  <si>
    <t>modules/a-knights-dream/Item/equip_weapon_glaive_bloodbark.webp</t>
  </si>
  <si>
    <t>Bloodbark Grapple Hook</t>
  </si>
  <si>
    <t>modules/a-knights-dream/Item/equip_weapon_hook_grapple_bloodbark.webp</t>
  </si>
  <si>
    <t>Bloodbark Great Axe</t>
  </si>
  <si>
    <t>modules/a-knights-dream/Item/equip_weapon_axe_great_bloodbark.webp</t>
  </si>
  <si>
    <t>Bloodbark Great Club</t>
  </si>
  <si>
    <t>modules/a-knights-dream/Item/equip_weapon_club_great_bloodbark.webp</t>
  </si>
  <si>
    <t>Bloodbark Great Khyber</t>
  </si>
  <si>
    <t>modules/a-knights-dream/Item/equip_weapon_khyber_great_bloodbark.webp</t>
  </si>
  <si>
    <t>Bloodbark Great Konda</t>
  </si>
  <si>
    <t>modules/a-knights-dream/Item/equip_weapon_konda_great_bloodbark.webp</t>
  </si>
  <si>
    <t>Bloodbark Great Labrys</t>
  </si>
  <si>
    <t>modules/a-knights-dream/Item/equip_weapon_axe_labrys_great_bloodbark.webp</t>
  </si>
  <si>
    <t>Bloodbark Great Mace</t>
  </si>
  <si>
    <t>modules/a-knights-dream/Item/equip_weapon_mace_great_bloodbark.webp</t>
  </si>
  <si>
    <t>Bloodbark Great Tapal</t>
  </si>
  <si>
    <t>modules/a-knights-dream/Item/equip_weapon_tapal_great_bloodbark.webp</t>
  </si>
  <si>
    <t>Bloodbark Great War Bow</t>
  </si>
  <si>
    <t>modules/a-knights-dream/Item/equip_weapon_bow_war_great_bloodbark.webp</t>
  </si>
  <si>
    <t>Bloodbark Great War Hammer</t>
  </si>
  <si>
    <t>modules/a-knights-dream/Item/equip_weapon_hammer_war_great_bloodbark.webp</t>
  </si>
  <si>
    <t>Bloodbark Great War Pick</t>
  </si>
  <si>
    <t>modules/a-knights-dream/Item/equip_weapon_pick_war_great_bloodbark.webp</t>
  </si>
  <si>
    <t>Bloodbark Guisarme</t>
  </si>
  <si>
    <t>modules/a-knights-dream/Item/equip_weapon_guisarme_bloodbark.webp</t>
  </si>
  <si>
    <t>Bloodbark Halberd</t>
  </si>
  <si>
    <t>modules/a-knights-dream/Item/equip_weapon_halberd_bloodbark.webp</t>
  </si>
  <si>
    <t>Bloodbark Hand Crossbow</t>
  </si>
  <si>
    <t>modules/a-knights-dream/Item/equip_weapon_crossbow_hand_bloodbark.webp</t>
  </si>
  <si>
    <t>Bloodbark Hand axe</t>
  </si>
  <si>
    <t>modules/a-knights-dream/Item/equip_weapon_axe_hand_bloodbark.webp</t>
  </si>
  <si>
    <t>Bloodbark Heavy Crossbow</t>
  </si>
  <si>
    <t>modules/a-knights-dream/Item/equip_weapon_crossbow_heavy_bloodbark.webp</t>
  </si>
  <si>
    <t>Bloodbark Hunting Trap</t>
  </si>
  <si>
    <t>modules/a-knights-dream/Item/equip_weapon_trap_hunting_bloodbark.webp</t>
  </si>
  <si>
    <t>Bloodbark Hunting Trap (Large)</t>
  </si>
  <si>
    <t>modules/a-knights-dream/Item/equip_weapon_trap_hunting_large_bloodbark.webp</t>
  </si>
  <si>
    <t>Bloodbark Hunting Trap (Small)</t>
  </si>
  <si>
    <t>modules/a-knights-dream/Item/equip_weapon_trap_hunting_small_bloodbark.webp</t>
  </si>
  <si>
    <t>Bloodbark Javelin</t>
  </si>
  <si>
    <t>modules/a-knights-dream/Item/equip_weapon_javelin_bloodbark.webp</t>
  </si>
  <si>
    <t>Bloodbark Khpesh</t>
  </si>
  <si>
    <t>modules/a-knights-dream/Item/equip_weapon_khpesh_bloodbark.webp</t>
  </si>
  <si>
    <t>Bloodbark Khyber</t>
  </si>
  <si>
    <t>modules/a-knights-dream/Item/equip_weapon_khyber_bloodbark.webp</t>
  </si>
  <si>
    <t>Bloodbark Konda</t>
  </si>
  <si>
    <t>modules/a-knights-dream/Item/equip_weapon_konda_bloodbark.webp</t>
  </si>
  <si>
    <t>Bloodbark Labrys</t>
  </si>
  <si>
    <t>modules/a-knights-dream/Item/equip_weapon_axe_labrys_bloodbark.webp</t>
  </si>
  <si>
    <t>Bloodbark Lance</t>
  </si>
  <si>
    <t>modules/a-knights-dream/Item/equip_weapon_lance_bloodbark.webp</t>
  </si>
  <si>
    <t>Bloodbark Light Crossbow</t>
  </si>
  <si>
    <t>modules/a-knights-dream/Item/equip_weapon_crossbow_light_bloodbark.webp</t>
  </si>
  <si>
    <t>Bloodbark Long Bow</t>
  </si>
  <si>
    <t>modules/a-knights-dream/Item/equip_weapon_bow_long_bloodbark.webp</t>
  </si>
  <si>
    <t>Bloodbark Long Spear</t>
  </si>
  <si>
    <t>modules/a-knights-dream/Item/equip_weapon_spear_long_bloodbark.webp</t>
  </si>
  <si>
    <t>Bloodbark Lucerince Hammer</t>
  </si>
  <si>
    <t>modules/a-knights-dream/Item/equip_weapon_hammer_lucerince_bloodbark.webp</t>
  </si>
  <si>
    <t>Bloodbark Mace</t>
  </si>
  <si>
    <t>modules/a-knights-dream/Item/equip_weapon_mace_bloodbark.webp</t>
  </si>
  <si>
    <t>Bloodbark Morningstar</t>
  </si>
  <si>
    <t>modules/a-knights-dream/Item/equip_weapon_morningstar_bloodbark.webp</t>
  </si>
  <si>
    <t>Bloodbark Pike</t>
  </si>
  <si>
    <t>modules/a-knights-dream/Item/equip_weapon_pike_bloodbark.webp</t>
  </si>
  <si>
    <t>Bloodbark Quarter Staff</t>
  </si>
  <si>
    <t>modules/a-knights-dream/Item/equip_weapon_staff_quarter_bloodbark.webp</t>
  </si>
  <si>
    <t>Bloodbark Ranseur</t>
  </si>
  <si>
    <t>modules/a-knights-dream/Item/equip_weapon_ranseur_bloodbark.webp</t>
  </si>
  <si>
    <t>Bloodbark Rapier</t>
  </si>
  <si>
    <t>modules/a-knights-dream/Item/equip_weapon_rapier_bloodbark.webp</t>
  </si>
  <si>
    <t>Bloodbark Recurve Bow</t>
  </si>
  <si>
    <t>modules/a-knights-dream/Item/equip_weapon_bow_recurve_bloodbark.webp</t>
  </si>
  <si>
    <t>Bloodbark Repeater Crossbow</t>
  </si>
  <si>
    <t>modules/a-knights-dream/Item/equip_weapon_crossbow_repeater_bloodbark.webp</t>
  </si>
  <si>
    <t>Bloodbark Sabre</t>
  </si>
  <si>
    <t>modules/a-knights-dream/Item/equip_weapon_sabre_bloodbark.webp</t>
  </si>
  <si>
    <t>Bloodbark Scimitar</t>
  </si>
  <si>
    <t>modules/a-knights-dream/Item/equip_weapon_scimitar_bloodbark.webp</t>
  </si>
  <si>
    <t>Bloodbark Scythe</t>
  </si>
  <si>
    <t>modules/a-knights-dream/Item/equip_weapon_scythe_bloodbark.webp</t>
  </si>
  <si>
    <t>Bloodbark Short Bow</t>
  </si>
  <si>
    <t>modules/a-knights-dream/Item/equip_weapon_bow_short_bloodbark.webp</t>
  </si>
  <si>
    <t>Bloodbark Short Spear</t>
  </si>
  <si>
    <t>modules/a-knights-dream/Item/equip_weapon_spear_short_bloodbark.webp</t>
  </si>
  <si>
    <t>Bloodbark Short Sword</t>
  </si>
  <si>
    <t>modules/a-knights-dream/Item/equip_weapon_sword_short_bloodbark.webp</t>
  </si>
  <si>
    <t>Bloodbark Shotel</t>
  </si>
  <si>
    <t>modules/a-knights-dream/Item/equip_weapon_shotel_bloodbark.webp</t>
  </si>
  <si>
    <t>Bloodbark Sickle</t>
  </si>
  <si>
    <t>modules/a-knights-dream/Item/equip_weapon_sickle_bloodbark.webp</t>
  </si>
  <si>
    <t>Bloodbark Sling</t>
  </si>
  <si>
    <t>modules/a-knights-dream/Item/equip_weapon_sling_bloodbark.webp</t>
  </si>
  <si>
    <t>Bloodbark Staff</t>
  </si>
  <si>
    <t>modules/a-knights-dream/Item/equip_weapon_staff_bloodbark.webp</t>
  </si>
  <si>
    <t>Bloodbark Staff Sling</t>
  </si>
  <si>
    <t>modules/a-knights-dream/Item/equip_weapon_sling_staff_bloodbark.webp</t>
  </si>
  <si>
    <t>Bloodbark Sword</t>
  </si>
  <si>
    <t>modules/a-knights-dream/Item/equip_weapon_sword_bloodbark.webp</t>
  </si>
  <si>
    <t>Bloodbark Tapal</t>
  </si>
  <si>
    <t>modules/a-knights-dream/Item/equip_weapon_tapal_bloodbark.webp</t>
  </si>
  <si>
    <t>Bloodbark Trident</t>
  </si>
  <si>
    <t>modules/a-knights-dream/Item/equip_weapon_trident_bloodbark.webp</t>
  </si>
  <si>
    <t>Bloodbark War Hammer</t>
  </si>
  <si>
    <t>modules/a-knights-dream/Item/equip_weapon_hammer_war_bloodbark.webp</t>
  </si>
  <si>
    <t>Bloodbark War Pick</t>
  </si>
  <si>
    <t>modules/a-knights-dream/Item/equip_weapon_pick_war_bloodbark.webp</t>
  </si>
  <si>
    <t>Bloodbark Brigantine Cuirass</t>
  </si>
  <si>
    <t>modules/a-knights-dream/Item/equip_armor_brigantine_cuirass_bloodbark.webp</t>
  </si>
  <si>
    <t>Bloodbark Brigantine Gauntlets</t>
  </si>
  <si>
    <t>modules/a-knights-dream/Item/equip_armor_brigantine_gauntlets_bloodbark.webp</t>
  </si>
  <si>
    <t>Bloodbark Brigantine Greaves</t>
  </si>
  <si>
    <t>modules/a-knights-dream/Item/equip_armor_brigantine_greaves_bloodbark.webp</t>
  </si>
  <si>
    <t>Bloodbark Brigantine Helmet</t>
  </si>
  <si>
    <t>modules/a-knights-dream/Item/equip_armor_brigantine_helmet_bloodbark.webp</t>
  </si>
  <si>
    <t>Bloodbark Brigantine Pauldron</t>
  </si>
  <si>
    <t>modules/a-knights-dream/Item/equip_armor_brigantine_pauldron_bloodbark.webp</t>
  </si>
  <si>
    <t>Bloodbark Chainmail Cuirass</t>
  </si>
  <si>
    <t>modules/a-knights-dream/Item/equip_armor_chainmail_cuirass_bloodbark.webp</t>
  </si>
  <si>
    <t>Bloodbark Chainmail Gauntlets</t>
  </si>
  <si>
    <t>modules/a-knights-dream/Item/equip_armor_chainmail_gauntlets_bloodbark.webp</t>
  </si>
  <si>
    <t>Bloodbark Chainmail Greaves</t>
  </si>
  <si>
    <t>modules/a-knights-dream/Item/equip_armor_chainmail_greaves_bloodbark.webp</t>
  </si>
  <si>
    <t>Bloodbark Chainmail Helmet</t>
  </si>
  <si>
    <t>modules/a-knights-dream/Item/equip_armor_chainmail_helmet_bloodbark.webp</t>
  </si>
  <si>
    <t>Bloodbark Chainmail Pauldron</t>
  </si>
  <si>
    <t>modules/a-knights-dream/Item/equip_armor_chainmail_pauldron_bloodbark.webp</t>
  </si>
  <si>
    <t>Bloodbark Gamberson Cuirass</t>
  </si>
  <si>
    <t>modules/a-knights-dream/Item/equip_armor_gamberson_cuirass_bloodbark.webp</t>
  </si>
  <si>
    <t>Bloodbark Gamberson Gauntlets</t>
  </si>
  <si>
    <t>modules/a-knights-dream/Item/equip_armor_gamberson_gauntlets_bloodbark.webp</t>
  </si>
  <si>
    <t>Bloodbark Gamberson Greaves</t>
  </si>
  <si>
    <t>modules/a-knights-dream/Item/equip_armor_gamberson_greaves_bloodbark.webp</t>
  </si>
  <si>
    <t>Bloodbark Gamberson Helmet</t>
  </si>
  <si>
    <t>modules/a-knights-dream/Item/equip_armor_gamberson_helmet_bloodbark.webp</t>
  </si>
  <si>
    <t>Bloodbark Gamberson Pauldron</t>
  </si>
  <si>
    <t>modules/a-knights-dream/Item/equip_armor_gamberson_pauldron_bloodbark.webp</t>
  </si>
  <si>
    <t>Bloodbark Hauberk Cuirass</t>
  </si>
  <si>
    <t>modules/a-knights-dream/Item/equip_armor_hauberk_cuirass_bloodbark.webp</t>
  </si>
  <si>
    <t>Bloodbark Hauberk Gauntlets</t>
  </si>
  <si>
    <t>modules/a-knights-dream/Item/equip_armor_hauberk_gauntlets_bloodbark.webp</t>
  </si>
  <si>
    <t>Bloodbark Hauberk Greaves</t>
  </si>
  <si>
    <t>modules/a-knights-dream/Item/equip_armor_hauberk_greaves_bloodbark.webp</t>
  </si>
  <si>
    <t>Bloodbark Hauberk Helmet</t>
  </si>
  <si>
    <t>modules/a-knights-dream/Item/equip_armor_hauberk_helmet_bloodbark.webp</t>
  </si>
  <si>
    <t>Bloodbark Hauberk Pauldron</t>
  </si>
  <si>
    <t>modules/a-knights-dream/Item/equip_armor_hauberk_pauldron_bloodbark.webp</t>
  </si>
  <si>
    <t>Bloodbark Jack Cuirass</t>
  </si>
  <si>
    <t>modules/a-knights-dream/Item/equip_armor_jack_cuirass_bloodbark.webp</t>
  </si>
  <si>
    <t>Bloodbark Jack Gauntlets</t>
  </si>
  <si>
    <t>modules/a-knights-dream/Item/equip_armor_jack_gauntlets_bloodbark.webp</t>
  </si>
  <si>
    <t>Bloodbark Jack Greaves</t>
  </si>
  <si>
    <t>modules/a-knights-dream/Item/equip_armor_jack_greaves_bloodbark.webp</t>
  </si>
  <si>
    <t>Bloodbark Jack Helmet</t>
  </si>
  <si>
    <t>modules/a-knights-dream/Item/equip_armor_jack_helmet_bloodbark.webp</t>
  </si>
  <si>
    <t>Bloodbark Jack Pauldron</t>
  </si>
  <si>
    <t>modules/a-knights-dream/Item/equip_armor_jack_pauldron_bloodbark.webp</t>
  </si>
  <si>
    <t>Bloodbark Lamellar Cuirass</t>
  </si>
  <si>
    <t>modules/a-knights-dream/Item/equip_armor_lamellar_cuirass_bloodbark.webp</t>
  </si>
  <si>
    <t>Bloodbark Lamellar Gauntlets</t>
  </si>
  <si>
    <t>modules/a-knights-dream/Item/equip_armor_lamellar_gauntlets_bloodbark.webp</t>
  </si>
  <si>
    <t>Bloodbark Lamellar Greaves</t>
  </si>
  <si>
    <t>modules/a-knights-dream/Item/equip_armor_lamellar_greaves_bloodbark.webp</t>
  </si>
  <si>
    <t>Bloodbark Lamellar Helmet</t>
  </si>
  <si>
    <t>modules/a-knights-dream/Item/equip_armor_lamellar_helmet_bloodbark.webp</t>
  </si>
  <si>
    <t>Bloodbark Lamellar Pauldron</t>
  </si>
  <si>
    <t>modules/a-knights-dream/Item/equip_armor_lamellar_pauldron_bloodbark.webp</t>
  </si>
  <si>
    <t>Bloodbark Platemail Cuirass</t>
  </si>
  <si>
    <t>modules/a-knights-dream/Item/equip_armor_platemail_cuirass_bloodbark.webp</t>
  </si>
  <si>
    <t>Bloodbark Platemail Gauntlets</t>
  </si>
  <si>
    <t>modules/a-knights-dream/Item/equip_armor_platemail_gauntlets_bloodbark.webp</t>
  </si>
  <si>
    <t>Bloodbark Platemail Greaves</t>
  </si>
  <si>
    <t>modules/a-knights-dream/Item/equip_armor_platemail_greaves_bloodbark.webp</t>
  </si>
  <si>
    <t>Bloodbark Platemail Helmet</t>
  </si>
  <si>
    <t>modules/a-knights-dream/Item/equip_armor_platemail_helmet_bloodbark.webp</t>
  </si>
  <si>
    <t>Bloodbark Platemail Pauldron</t>
  </si>
  <si>
    <t>modules/a-knights-dream/Item/equip_armor_platemail_pauldron_bloodbark.webp</t>
  </si>
  <si>
    <t>Bloodbark Tunic Cuirass</t>
  </si>
  <si>
    <t>modules/a-knights-dream/Item/equip_armor_tunic_cuirass_bloodbark.webp</t>
  </si>
  <si>
    <t>Bloodbark Tunic Gauntlets</t>
  </si>
  <si>
    <t>modules/a-knights-dream/Item/equip_armor_tunic_gauntlets_bloodbark.webp</t>
  </si>
  <si>
    <t>Bloodbark Tunic Greaves</t>
  </si>
  <si>
    <t>modules/a-knights-dream/Item/equip_armor_tunic_greaves_bloodbark.webp</t>
  </si>
  <si>
    <t>Bloodbark Tunic Helmet</t>
  </si>
  <si>
    <t>modules/a-knights-dream/Item/equip_armor_tunic_helmet_bloodbark.webp</t>
  </si>
  <si>
    <t>Bloodbark Tunic Pauldron</t>
  </si>
  <si>
    <t>modules/a-knights-dream/Item/equip_armor_tunic_pauldron_bloodbark.webp</t>
  </si>
  <si>
    <t>Bloodbark Buckler Shield</t>
  </si>
  <si>
    <t>modules/a-knights-dream/Item/equip_armor_shield_buckler_bloodbark.webp</t>
  </si>
  <si>
    <t>Bloodbark Heater Shield</t>
  </si>
  <si>
    <t>modules/a-knights-dream/Item/equip_armor_shield_heater_bloodbark.webp</t>
  </si>
  <si>
    <t>Bloodbark Kite Shield</t>
  </si>
  <si>
    <t>modules/a-knights-dream/Item/equip_armor_shield_kite_bloodbark.webp</t>
  </si>
  <si>
    <t>Bloodbark Oval Shield</t>
  </si>
  <si>
    <t>modules/a-knights-dream/Item/equip_armor_shield_oval_bloodbark.webp</t>
  </si>
  <si>
    <t>Bloodbark Round Shield</t>
  </si>
  <si>
    <t>modules/a-knights-dream/Item/equip_armor_shield_round_bloodbark.webp</t>
  </si>
  <si>
    <t>Bloodbark Tower Shield</t>
  </si>
  <si>
    <t>modules/a-knights-dream/Item/equip_armor_shield_tower_bloodbark.webp</t>
  </si>
  <si>
    <t>Bludbud</t>
  </si>
  <si>
    <t>Bludbud Ball Bearings</t>
  </si>
  <si>
    <t>modules/a-knights-dream/Item/equip_weapon_bearings_bludbud.webp</t>
  </si>
  <si>
    <t>Bludbud Bardiche</t>
  </si>
  <si>
    <t>modules/a-knights-dream/Item/equip_weapon_bardiche_bludbud.webp</t>
  </si>
  <si>
    <t>Bludbud Bastard Sword</t>
  </si>
  <si>
    <t>modules/a-knights-dream/Item/equip_weapon_sword_bastard_bludbud.webp</t>
  </si>
  <si>
    <t>Bludbud Battle Axe</t>
  </si>
  <si>
    <t>modules/a-knights-dream/Item/equip_weapon_axe_battle_bludbud.webp</t>
  </si>
  <si>
    <t>Bludbud Blowgun</t>
  </si>
  <si>
    <t>modules/a-knights-dream/Item/equip_weapon_blowgun_bludbud.webp</t>
  </si>
  <si>
    <t>Bludbud Bolt</t>
  </si>
  <si>
    <t>modules/a-knights-dream/Item/equip_weapon_bolt_bludbud.webp</t>
  </si>
  <si>
    <t>Bludbud Boomerang</t>
  </si>
  <si>
    <t>modules/a-knights-dream/Item/equip_weapon_boomerang_bludbud.webp</t>
  </si>
  <si>
    <t>Bludbud Bow</t>
  </si>
  <si>
    <t>modules/a-knights-dream/Item/equip_weapon_bow_bludbud.webp</t>
  </si>
  <si>
    <t>Bludbud Caltrops</t>
  </si>
  <si>
    <t>modules/a-knights-dream/Item/equip_weapon_caltrops_bludbud.webp</t>
  </si>
  <si>
    <t>Bludbud Cestus</t>
  </si>
  <si>
    <t>modules/a-knights-dream/Item/equip_weapon_cestus_bludbud.webp</t>
  </si>
  <si>
    <t>Bludbud Chain</t>
  </si>
  <si>
    <t>modules/a-knights-dream/Item/equip_weapon_chain_bludbud.webp</t>
  </si>
  <si>
    <t>Bludbud Claymore</t>
  </si>
  <si>
    <t>modules/a-knights-dream/Item/equip_weapon_claymore_bludbud.webp</t>
  </si>
  <si>
    <t>Bludbud Club</t>
  </si>
  <si>
    <t>modules/a-knights-dream/Item/equip_weapon_club_bludbud.webp</t>
  </si>
  <si>
    <t>Bludbud Compound Bow</t>
  </si>
  <si>
    <t>modules/a-knights-dream/Item/equip_weapon_bow_compound_bludbud.webp</t>
  </si>
  <si>
    <t>Bludbud Cutlass</t>
  </si>
  <si>
    <t>modules/a-knights-dream/Item/equip_weapon_cutlass_bludbud.webp</t>
  </si>
  <si>
    <t>Bludbud Dagger</t>
  </si>
  <si>
    <t>modules/a-knights-dream/Item/equip_weapon_dagger_bludbud.webp</t>
  </si>
  <si>
    <t>Bludbud Dart</t>
  </si>
  <si>
    <t>modules/a-knights-dream/Item/equip_weapon_dart_bludbud.webp</t>
  </si>
  <si>
    <t>Bludbud Fauchard Scythe</t>
  </si>
  <si>
    <t>modules/a-knights-dream/Item/equip_weapon_scythe_fauchard_bludbud.webp</t>
  </si>
  <si>
    <t>Bludbud Flail</t>
  </si>
  <si>
    <t>modules/a-knights-dream/Item/equip_weapon_flail_bludbud.webp</t>
  </si>
  <si>
    <t>Bludbud Glaive</t>
  </si>
  <si>
    <t>modules/a-knights-dream/Item/equip_weapon_glaive_bludbud.webp</t>
  </si>
  <si>
    <t>Bludbud Grapple Hook</t>
  </si>
  <si>
    <t>modules/a-knights-dream/Item/equip_weapon_hook_grapple_bludbud.webp</t>
  </si>
  <si>
    <t>Bludbud Great Axe</t>
  </si>
  <si>
    <t>modules/a-knights-dream/Item/equip_weapon_axe_great_bludbud.webp</t>
  </si>
  <si>
    <t>Bludbud Great Club</t>
  </si>
  <si>
    <t>modules/a-knights-dream/Item/equip_weapon_club_great_bludbud.webp</t>
  </si>
  <si>
    <t>Bludbud Great Khyber</t>
  </si>
  <si>
    <t>modules/a-knights-dream/Item/equip_weapon_khyber_great_bludbud.webp</t>
  </si>
  <si>
    <t>Bludbud Great Konda</t>
  </si>
  <si>
    <t>modules/a-knights-dream/Item/equip_weapon_konda_great_bludbud.webp</t>
  </si>
  <si>
    <t>Bludbud Great Labrys</t>
  </si>
  <si>
    <t>modules/a-knights-dream/Item/equip_weapon_axe_labrys_great_bludbud.webp</t>
  </si>
  <si>
    <t>Bludbud Great Mace</t>
  </si>
  <si>
    <t>modules/a-knights-dream/Item/equip_weapon_mace_great_bludbud.webp</t>
  </si>
  <si>
    <t>Bludbud Great Tapal</t>
  </si>
  <si>
    <t>modules/a-knights-dream/Item/equip_weapon_tapal_great_bludbud.webp</t>
  </si>
  <si>
    <t>Bludbud Great War Bow</t>
  </si>
  <si>
    <t>modules/a-knights-dream/Item/equip_weapon_bow_war_great_bludbud.webp</t>
  </si>
  <si>
    <t>Bludbud Great War Hammer</t>
  </si>
  <si>
    <t>modules/a-knights-dream/Item/equip_weapon_hammer_war_great_bludbud.webp</t>
  </si>
  <si>
    <t>Bludbud Great War Pick</t>
  </si>
  <si>
    <t>modules/a-knights-dream/Item/equip_weapon_pick_war_great_bludbud.webp</t>
  </si>
  <si>
    <t>Bludbud Guisarme</t>
  </si>
  <si>
    <t>modules/a-knights-dream/Item/equip_weapon_guisarme_bludbud.webp</t>
  </si>
  <si>
    <t>Bludbud Halberd</t>
  </si>
  <si>
    <t>modules/a-knights-dream/Item/equip_weapon_halberd_bludbud.webp</t>
  </si>
  <si>
    <t>Bludbud Hand Crossbow</t>
  </si>
  <si>
    <t>modules/a-knights-dream/Item/equip_weapon_crossbow_hand_bludbud.webp</t>
  </si>
  <si>
    <t>Bludbud Hand axe</t>
  </si>
  <si>
    <t>modules/a-knights-dream/Item/equip_weapon_axe_hand_bludbud.webp</t>
  </si>
  <si>
    <t>Bludbud Heavy Crossbow</t>
  </si>
  <si>
    <t>modules/a-knights-dream/Item/equip_weapon_crossbow_heavy_bludbud.webp</t>
  </si>
  <si>
    <t>Bludbud Hunting Trap</t>
  </si>
  <si>
    <t>modules/a-knights-dream/Item/equip_weapon_trap_hunting_bludbud.webp</t>
  </si>
  <si>
    <t>Bludbud Hunting Trap (Large)</t>
  </si>
  <si>
    <t>modules/a-knights-dream/Item/equip_weapon_trap_hunting_large_bludbud.webp</t>
  </si>
  <si>
    <t>Bludbud Hunting Trap (Small)</t>
  </si>
  <si>
    <t>modules/a-knights-dream/Item/equip_weapon_trap_hunting_small_bludbud.webp</t>
  </si>
  <si>
    <t>Bludbud Javelin</t>
  </si>
  <si>
    <t>modules/a-knights-dream/Item/equip_weapon_javelin_bludbud.webp</t>
  </si>
  <si>
    <t>Bludbud Khpesh</t>
  </si>
  <si>
    <t>modules/a-knights-dream/Item/equip_weapon_khpesh_bludbud.webp</t>
  </si>
  <si>
    <t>Bludbud Khyber</t>
  </si>
  <si>
    <t>modules/a-knights-dream/Item/equip_weapon_khyber_bludbud.webp</t>
  </si>
  <si>
    <t>Bludbud Konda</t>
  </si>
  <si>
    <t>modules/a-knights-dream/Item/equip_weapon_konda_bludbud.webp</t>
  </si>
  <si>
    <t>Bludbud Labrys</t>
  </si>
  <si>
    <t>modules/a-knights-dream/Item/equip_weapon_axe_labrys_bludbud.webp</t>
  </si>
  <si>
    <t>Bludbud Lance</t>
  </si>
  <si>
    <t>modules/a-knights-dream/Item/equip_weapon_lance_bludbud.webp</t>
  </si>
  <si>
    <t>Bludbud Light Crossbow</t>
  </si>
  <si>
    <t>modules/a-knights-dream/Item/equip_weapon_crossbow_light_bludbud.webp</t>
  </si>
  <si>
    <t>Bludbud Long Bow</t>
  </si>
  <si>
    <t>modules/a-knights-dream/Item/equip_weapon_bow_long_bludbud.webp</t>
  </si>
  <si>
    <t>Bludbud Long Spear</t>
  </si>
  <si>
    <t>modules/a-knights-dream/Item/equip_weapon_spear_long_bludbud.webp</t>
  </si>
  <si>
    <t>Bludbud Lucerince Hammer</t>
  </si>
  <si>
    <t>modules/a-knights-dream/Item/equip_weapon_hammer_lucerince_bludbud.webp</t>
  </si>
  <si>
    <t>Bludbud Mace</t>
  </si>
  <si>
    <t>modules/a-knights-dream/Item/equip_weapon_mace_bludbud.webp</t>
  </si>
  <si>
    <t>Bludbud Morningstar</t>
  </si>
  <si>
    <t>modules/a-knights-dream/Item/equip_weapon_morningstar_bludbud.webp</t>
  </si>
  <si>
    <t>Bludbud Pike</t>
  </si>
  <si>
    <t>modules/a-knights-dream/Item/equip_weapon_pike_bludbud.webp</t>
  </si>
  <si>
    <t>Bludbud Quarter Staff</t>
  </si>
  <si>
    <t>modules/a-knights-dream/Item/equip_weapon_staff_quarter_bludbud.webp</t>
  </si>
  <si>
    <t>Bludbud Ranseur</t>
  </si>
  <si>
    <t>modules/a-knights-dream/Item/equip_weapon_ranseur_bludbud.webp</t>
  </si>
  <si>
    <t>Bludbud Rapier</t>
  </si>
  <si>
    <t>modules/a-knights-dream/Item/equip_weapon_rapier_bludbud.webp</t>
  </si>
  <si>
    <t>Bludbud Recurve Bow</t>
  </si>
  <si>
    <t>modules/a-knights-dream/Item/equip_weapon_bow_recurve_bludbud.webp</t>
  </si>
  <si>
    <t>Bludbud Repeater Crossbow</t>
  </si>
  <si>
    <t>modules/a-knights-dream/Item/equip_weapon_crossbow_repeater_bludbud.webp</t>
  </si>
  <si>
    <t>Bludbud Sabre</t>
  </si>
  <si>
    <t>modules/a-knights-dream/Item/equip_weapon_sabre_bludbud.webp</t>
  </si>
  <si>
    <t>Bludbud Scimitar</t>
  </si>
  <si>
    <t>modules/a-knights-dream/Item/equip_weapon_scimitar_bludbud.webp</t>
  </si>
  <si>
    <t>Bludbud Scythe</t>
  </si>
  <si>
    <t>modules/a-knights-dream/Item/equip_weapon_scythe_bludbud.webp</t>
  </si>
  <si>
    <t>Bludbud Short Bow</t>
  </si>
  <si>
    <t>modules/a-knights-dream/Item/equip_weapon_bow_short_bludbud.webp</t>
  </si>
  <si>
    <t>Bludbud Short Spear</t>
  </si>
  <si>
    <t>modules/a-knights-dream/Item/equip_weapon_spear_short_bludbud.webp</t>
  </si>
  <si>
    <t>Bludbud Short Sword</t>
  </si>
  <si>
    <t>modules/a-knights-dream/Item/equip_weapon_sword_short_bludbud.webp</t>
  </si>
  <si>
    <t>Bludbud Shotel</t>
  </si>
  <si>
    <t>modules/a-knights-dream/Item/equip_weapon_shotel_bludbud.webp</t>
  </si>
  <si>
    <t>Bludbud Sickle</t>
  </si>
  <si>
    <t>modules/a-knights-dream/Item/equip_weapon_sickle_bludbud.webp</t>
  </si>
  <si>
    <t>Bludbud Sling</t>
  </si>
  <si>
    <t>modules/a-knights-dream/Item/equip_weapon_sling_bludbud.webp</t>
  </si>
  <si>
    <t>Bludbud Staff</t>
  </si>
  <si>
    <t>modules/a-knights-dream/Item/equip_weapon_staff_bludbud.webp</t>
  </si>
  <si>
    <t>Bludbud Staff Sling</t>
  </si>
  <si>
    <t>modules/a-knights-dream/Item/equip_weapon_sling_staff_bludbud.webp</t>
  </si>
  <si>
    <t>Bludbud Sword</t>
  </si>
  <si>
    <t>modules/a-knights-dream/Item/equip_weapon_sword_bludbud.webp</t>
  </si>
  <si>
    <t>Bludbud Tapal</t>
  </si>
  <si>
    <t>modules/a-knights-dream/Item/equip_weapon_tapal_bludbud.webp</t>
  </si>
  <si>
    <t>Bludbud Trident</t>
  </si>
  <si>
    <t>modules/a-knights-dream/Item/equip_weapon_trident_bludbud.webp</t>
  </si>
  <si>
    <t>Bludbud War Hammer</t>
  </si>
  <si>
    <t>modules/a-knights-dream/Item/equip_weapon_hammer_war_bludbud.webp</t>
  </si>
  <si>
    <t>Bludbud War Pick</t>
  </si>
  <si>
    <t>modules/a-knights-dream/Item/equip_weapon_pick_war_bludbud.webp</t>
  </si>
  <si>
    <t>Bludbud Brigantine Cuirass</t>
  </si>
  <si>
    <t>modules/a-knights-dream/Item/equip_armor_brigantine_cuirass_bludbud.webp</t>
  </si>
  <si>
    <t>Bludbud Brigantine Gauntlets</t>
  </si>
  <si>
    <t>modules/a-knights-dream/Item/equip_armor_brigantine_gauntlets_bludbud.webp</t>
  </si>
  <si>
    <t>Bludbud Brigantine Greaves</t>
  </si>
  <si>
    <t>modules/a-knights-dream/Item/equip_armor_brigantine_greaves_bludbud.webp</t>
  </si>
  <si>
    <t>Bludbud Brigantine Helmet</t>
  </si>
  <si>
    <t>modules/a-knights-dream/Item/equip_armor_brigantine_helmet_bludbud.webp</t>
  </si>
  <si>
    <t>Bludbud Brigantine Pauldron</t>
  </si>
  <si>
    <t>modules/a-knights-dream/Item/equip_armor_brigantine_pauldron_bludbud.webp</t>
  </si>
  <si>
    <t>Bludbud Chainmail Cuirass</t>
  </si>
  <si>
    <t>modules/a-knights-dream/Item/equip_armor_chainmail_cuirass_bludbud.webp</t>
  </si>
  <si>
    <t>Bludbud Chainmail Gauntlets</t>
  </si>
  <si>
    <t>modules/a-knights-dream/Item/equip_armor_chainmail_gauntlets_bludbud.webp</t>
  </si>
  <si>
    <t>Bludbud Chainmail Greaves</t>
  </si>
  <si>
    <t>modules/a-knights-dream/Item/equip_armor_chainmail_greaves_bludbud.webp</t>
  </si>
  <si>
    <t>Bludbud Chainmail Helmet</t>
  </si>
  <si>
    <t>modules/a-knights-dream/Item/equip_armor_chainmail_helmet_bludbud.webp</t>
  </si>
  <si>
    <t>Bludbud Chainmail Pauldron</t>
  </si>
  <si>
    <t>modules/a-knights-dream/Item/equip_armor_chainmail_pauldron_bludbud.webp</t>
  </si>
  <si>
    <t>Bludbud Gamberson Cuirass</t>
  </si>
  <si>
    <t>modules/a-knights-dream/Item/equip_armor_gamberson_cuirass_bludbud.webp</t>
  </si>
  <si>
    <t>Bludbud Gamberson Gauntlets</t>
  </si>
  <si>
    <t>modules/a-knights-dream/Item/equip_armor_gamberson_gauntlets_bludbud.webp</t>
  </si>
  <si>
    <t>Bludbud Gamberson Greaves</t>
  </si>
  <si>
    <t>modules/a-knights-dream/Item/equip_armor_gamberson_greaves_bludbud.webp</t>
  </si>
  <si>
    <t>Bludbud Gamberson Helmet</t>
  </si>
  <si>
    <t>modules/a-knights-dream/Item/equip_armor_gamberson_helmet_bludbud.webp</t>
  </si>
  <si>
    <t>Bludbud Gamberson Pauldron</t>
  </si>
  <si>
    <t>modules/a-knights-dream/Item/equip_armor_gamberson_pauldron_bludbud.webp</t>
  </si>
  <si>
    <t>Bludbud Hauberk Cuirass</t>
  </si>
  <si>
    <t>modules/a-knights-dream/Item/equip_armor_hauberk_cuirass_bludbud.webp</t>
  </si>
  <si>
    <t>Bludbud Hauberk Gauntlets</t>
  </si>
  <si>
    <t>modules/a-knights-dream/Item/equip_armor_hauberk_gauntlets_bludbud.webp</t>
  </si>
  <si>
    <t>Bludbud Hauberk Greaves</t>
  </si>
  <si>
    <t>modules/a-knights-dream/Item/equip_armor_hauberk_greaves_bludbud.webp</t>
  </si>
  <si>
    <t>Bludbud Hauberk Helmet</t>
  </si>
  <si>
    <t>modules/a-knights-dream/Item/equip_armor_hauberk_helmet_bludbud.webp</t>
  </si>
  <si>
    <t>Bludbud Hauberk Pauldron</t>
  </si>
  <si>
    <t>modules/a-knights-dream/Item/equip_armor_hauberk_pauldron_bludbud.webp</t>
  </si>
  <si>
    <t>Bludbud Jack Cuirass</t>
  </si>
  <si>
    <t>modules/a-knights-dream/Item/equip_armor_jack_cuirass_bludbud.webp</t>
  </si>
  <si>
    <t>Bludbud Jack Gauntlets</t>
  </si>
  <si>
    <t>modules/a-knights-dream/Item/equip_armor_jack_gauntlets_bludbud.webp</t>
  </si>
  <si>
    <t>Bludbud Jack Greaves</t>
  </si>
  <si>
    <t>modules/a-knights-dream/Item/equip_armor_jack_greaves_bludbud.webp</t>
  </si>
  <si>
    <t>Bludbud Jack Helmet</t>
  </si>
  <si>
    <t>modules/a-knights-dream/Item/equip_armor_jack_helmet_bludbud.webp</t>
  </si>
  <si>
    <t>Bludbud Jack Pauldron</t>
  </si>
  <si>
    <t>modules/a-knights-dream/Item/equip_armor_jack_pauldron_bludbud.webp</t>
  </si>
  <si>
    <t>Bludbud Lamellar Cuirass</t>
  </si>
  <si>
    <t>modules/a-knights-dream/Item/equip_armor_lamellar_cuirass_bludbud.webp</t>
  </si>
  <si>
    <t>Bludbud Lamellar Gauntlets</t>
  </si>
  <si>
    <t>modules/a-knights-dream/Item/equip_armor_lamellar_gauntlets_bludbud.webp</t>
  </si>
  <si>
    <t>Bludbud Lamellar Greaves</t>
  </si>
  <si>
    <t>modules/a-knights-dream/Item/equip_armor_lamellar_greaves_bludbud.webp</t>
  </si>
  <si>
    <t>Bludbud Lamellar Helmet</t>
  </si>
  <si>
    <t>modules/a-knights-dream/Item/equip_armor_lamellar_helmet_bludbud.webp</t>
  </si>
  <si>
    <t>Bludbud Lamellar Pauldron</t>
  </si>
  <si>
    <t>modules/a-knights-dream/Item/equip_armor_lamellar_pauldron_bludbud.webp</t>
  </si>
  <si>
    <t>Bludbud Platemail Cuirass</t>
  </si>
  <si>
    <t>modules/a-knights-dream/Item/equip_armor_platemail_cuirass_bludbud.webp</t>
  </si>
  <si>
    <t>Bludbud Platemail Gauntlets</t>
  </si>
  <si>
    <t>modules/a-knights-dream/Item/equip_armor_platemail_gauntlets_bludbud.webp</t>
  </si>
  <si>
    <t>Bludbud Platemail Greaves</t>
  </si>
  <si>
    <t>modules/a-knights-dream/Item/equip_armor_platemail_greaves_bludbud.webp</t>
  </si>
  <si>
    <t>Bludbud Platemail Helmet</t>
  </si>
  <si>
    <t>modules/a-knights-dream/Item/equip_armor_platemail_helmet_bludbud.webp</t>
  </si>
  <si>
    <t>Bludbud Platemail Pauldron</t>
  </si>
  <si>
    <t>modules/a-knights-dream/Item/equip_armor_platemail_pauldron_bludbud.webp</t>
  </si>
  <si>
    <t>Bludbud Tunic Cuirass</t>
  </si>
  <si>
    <t>modules/a-knights-dream/Item/equip_armor_tunic_cuirass_bludbud.webp</t>
  </si>
  <si>
    <t>Bludbud Tunic Gauntlets</t>
  </si>
  <si>
    <t>modules/a-knights-dream/Item/equip_armor_tunic_gauntlets_bludbud.webp</t>
  </si>
  <si>
    <t>Bludbud Tunic Greaves</t>
  </si>
  <si>
    <t>modules/a-knights-dream/Item/equip_armor_tunic_greaves_bludbud.webp</t>
  </si>
  <si>
    <t>Bludbud Tunic Helmet</t>
  </si>
  <si>
    <t>modules/a-knights-dream/Item/equip_armor_tunic_helmet_bludbud.webp</t>
  </si>
  <si>
    <t>Bludbud Tunic Pauldron</t>
  </si>
  <si>
    <t>modules/a-knights-dream/Item/equip_armor_tunic_pauldron_bludbud.webp</t>
  </si>
  <si>
    <t>Bludbud Buckler Shield</t>
  </si>
  <si>
    <t>modules/a-knights-dream/Item/equip_armor_shield_buckler_bludbud.webp</t>
  </si>
  <si>
    <t>Bludbud Heater Shield</t>
  </si>
  <si>
    <t>modules/a-knights-dream/Item/equip_armor_shield_heater_bludbud.webp</t>
  </si>
  <si>
    <t>Bludbud Kite Shield</t>
  </si>
  <si>
    <t>modules/a-knights-dream/Item/equip_armor_shield_kite_bludbud.webp</t>
  </si>
  <si>
    <t>Bludbud Oval Shield</t>
  </si>
  <si>
    <t>modules/a-knights-dream/Item/equip_armor_shield_oval_bludbud.webp</t>
  </si>
  <si>
    <t>Bludbud Round Shield</t>
  </si>
  <si>
    <t>modules/a-knights-dream/Item/equip_armor_shield_round_bludbud.webp</t>
  </si>
  <si>
    <t>Bludbud Tower Shield</t>
  </si>
  <si>
    <t>modules/a-knights-dream/Item/equip_armor_shield_tower_bludbud.webp</t>
  </si>
  <si>
    <t>Bluleaf</t>
  </si>
  <si>
    <t>Bluleaf Ball Bearings</t>
  </si>
  <si>
    <t>modules/a-knights-dream/Item/equip_weapon_bearings_bluleaf.webp</t>
  </si>
  <si>
    <t>Bluleaf Bardiche</t>
  </si>
  <si>
    <t>modules/a-knights-dream/Item/equip_weapon_bardiche_bluleaf.webp</t>
  </si>
  <si>
    <t>Bluleaf Bastard Sword</t>
  </si>
  <si>
    <t>modules/a-knights-dream/Item/equip_weapon_sword_bastard_bluleaf.webp</t>
  </si>
  <si>
    <t>Bluleaf Battle Axe</t>
  </si>
  <si>
    <t>modules/a-knights-dream/Item/equip_weapon_axe_battle_bluleaf.webp</t>
  </si>
  <si>
    <t>Bluleaf Blowgun</t>
  </si>
  <si>
    <t>modules/a-knights-dream/Item/equip_weapon_blowgun_bluleaf.webp</t>
  </si>
  <si>
    <t>Bluleaf Bolt</t>
  </si>
  <si>
    <t>modules/a-knights-dream/Item/equip_weapon_bolt_bluleaf.webp</t>
  </si>
  <si>
    <t>Bluleaf Boomerang</t>
  </si>
  <si>
    <t>modules/a-knights-dream/Item/equip_weapon_boomerang_bluleaf.webp</t>
  </si>
  <si>
    <t>Bluleaf Bow</t>
  </si>
  <si>
    <t>modules/a-knights-dream/Item/equip_weapon_bow_bluleaf.webp</t>
  </si>
  <si>
    <t>Bluleaf Caltrops</t>
  </si>
  <si>
    <t>modules/a-knights-dream/Item/equip_weapon_caltrops_bluleaf.webp</t>
  </si>
  <si>
    <t>Bluleaf Cestus</t>
  </si>
  <si>
    <t>modules/a-knights-dream/Item/equip_weapon_cestus_bluleaf.webp</t>
  </si>
  <si>
    <t>Bluleaf Chain</t>
  </si>
  <si>
    <t>modules/a-knights-dream/Item/equip_weapon_chain_bluleaf.webp</t>
  </si>
  <si>
    <t>Bluleaf Claymore</t>
  </si>
  <si>
    <t>modules/a-knights-dream/Item/equip_weapon_claymore_bluleaf.webp</t>
  </si>
  <si>
    <t>Bluleaf Club</t>
  </si>
  <si>
    <t>modules/a-knights-dream/Item/equip_weapon_club_bluleaf.webp</t>
  </si>
  <si>
    <t>Bluleaf Compound Bow</t>
  </si>
  <si>
    <t>modules/a-knights-dream/Item/equip_weapon_bow_compound_bluleaf.webp</t>
  </si>
  <si>
    <t>Bluleaf Cutlass</t>
  </si>
  <si>
    <t>modules/a-knights-dream/Item/equip_weapon_cutlass_bluleaf.webp</t>
  </si>
  <si>
    <t>Bluleaf Dagger</t>
  </si>
  <si>
    <t>modules/a-knights-dream/Item/equip_weapon_dagger_bluleaf.webp</t>
  </si>
  <si>
    <t>Bluleaf Dart</t>
  </si>
  <si>
    <t>modules/a-knights-dream/Item/equip_weapon_dart_bluleaf.webp</t>
  </si>
  <si>
    <t>Bluleaf Fauchard Scythe</t>
  </si>
  <si>
    <t>modules/a-knights-dream/Item/equip_weapon_scythe_fauchard_bluleaf.webp</t>
  </si>
  <si>
    <t>Bluleaf Flail</t>
  </si>
  <si>
    <t>modules/a-knights-dream/Item/equip_weapon_flail_bluleaf.webp</t>
  </si>
  <si>
    <t>Bluleaf Glaive</t>
  </si>
  <si>
    <t>modules/a-knights-dream/Item/equip_weapon_glaive_bluleaf.webp</t>
  </si>
  <si>
    <t>Bluleaf Grapple Hook</t>
  </si>
  <si>
    <t>modules/a-knights-dream/Item/equip_weapon_hook_grapple_bluleaf.webp</t>
  </si>
  <si>
    <t>Bluleaf Great Axe</t>
  </si>
  <si>
    <t>modules/a-knights-dream/Item/equip_weapon_axe_great_bluleaf.webp</t>
  </si>
  <si>
    <t>Bluleaf Great Club</t>
  </si>
  <si>
    <t>modules/a-knights-dream/Item/equip_weapon_club_great_bluleaf.webp</t>
  </si>
  <si>
    <t>Bluleaf Great Khyber</t>
  </si>
  <si>
    <t>modules/a-knights-dream/Item/equip_weapon_khyber_great_bluleaf.webp</t>
  </si>
  <si>
    <t>Bluleaf Great Konda</t>
  </si>
  <si>
    <t>modules/a-knights-dream/Item/equip_weapon_konda_great_bluleaf.webp</t>
  </si>
  <si>
    <t>Bluleaf Great Labrys</t>
  </si>
  <si>
    <t>modules/a-knights-dream/Item/equip_weapon_axe_labrys_great_bluleaf.webp</t>
  </si>
  <si>
    <t>Bluleaf Great Mace</t>
  </si>
  <si>
    <t>modules/a-knights-dream/Item/equip_weapon_mace_great_bluleaf.webp</t>
  </si>
  <si>
    <t>Bluleaf Great Tapal</t>
  </si>
  <si>
    <t>modules/a-knights-dream/Item/equip_weapon_tapal_great_bluleaf.webp</t>
  </si>
  <si>
    <t>Bluleaf Great War Bow</t>
  </si>
  <si>
    <t>modules/a-knights-dream/Item/equip_weapon_bow_war_great_bluleaf.webp</t>
  </si>
  <si>
    <t>Bluleaf Great War Hammer</t>
  </si>
  <si>
    <t>modules/a-knights-dream/Item/equip_weapon_hammer_war_great_bluleaf.webp</t>
  </si>
  <si>
    <t>Bluleaf Great War Pick</t>
  </si>
  <si>
    <t>modules/a-knights-dream/Item/equip_weapon_pick_war_great_bluleaf.webp</t>
  </si>
  <si>
    <t>Bluleaf Guisarme</t>
  </si>
  <si>
    <t>modules/a-knights-dream/Item/equip_weapon_guisarme_bluleaf.webp</t>
  </si>
  <si>
    <t>Bluleaf Halberd</t>
  </si>
  <si>
    <t>modules/a-knights-dream/Item/equip_weapon_halberd_bluleaf.webp</t>
  </si>
  <si>
    <t>Bluleaf Hand Crossbow</t>
  </si>
  <si>
    <t>modules/a-knights-dream/Item/equip_weapon_crossbow_hand_bluleaf.webp</t>
  </si>
  <si>
    <t>Bluleaf Hand axe</t>
  </si>
  <si>
    <t>modules/a-knights-dream/Item/equip_weapon_axe_hand_bluleaf.webp</t>
  </si>
  <si>
    <t>Bluleaf Heavy Crossbow</t>
  </si>
  <si>
    <t>modules/a-knights-dream/Item/equip_weapon_crossbow_heavy_bluleaf.webp</t>
  </si>
  <si>
    <t>Bluleaf Hunting Trap</t>
  </si>
  <si>
    <t>modules/a-knights-dream/Item/equip_weapon_trap_hunting_bluleaf.webp</t>
  </si>
  <si>
    <t>Bluleaf Hunting Trap (Large)</t>
  </si>
  <si>
    <t>modules/a-knights-dream/Item/equip_weapon_trap_hunting_large_bluleaf.webp</t>
  </si>
  <si>
    <t>Bluleaf Hunting Trap (Small)</t>
  </si>
  <si>
    <t>modules/a-knights-dream/Item/equip_weapon_trap_hunting_small_bluleaf.webp</t>
  </si>
  <si>
    <t>Bluleaf Javelin</t>
  </si>
  <si>
    <t>modules/a-knights-dream/Item/equip_weapon_javelin_bluleaf.webp</t>
  </si>
  <si>
    <t>Bluleaf Khpesh</t>
  </si>
  <si>
    <t>modules/a-knights-dream/Item/equip_weapon_khpesh_bluleaf.webp</t>
  </si>
  <si>
    <t>Bluleaf Khyber</t>
  </si>
  <si>
    <t>modules/a-knights-dream/Item/equip_weapon_khyber_bluleaf.webp</t>
  </si>
  <si>
    <t>Bluleaf Konda</t>
  </si>
  <si>
    <t>modules/a-knights-dream/Item/equip_weapon_konda_bluleaf.webp</t>
  </si>
  <si>
    <t>Bluleaf Labrys</t>
  </si>
  <si>
    <t>modules/a-knights-dream/Item/equip_weapon_axe_labrys_bluleaf.webp</t>
  </si>
  <si>
    <t>Bluleaf Lance</t>
  </si>
  <si>
    <t>modules/a-knights-dream/Item/equip_weapon_lance_bluleaf.webp</t>
  </si>
  <si>
    <t>Bluleaf Light Crossbow</t>
  </si>
  <si>
    <t>modules/a-knights-dream/Item/equip_weapon_crossbow_light_bluleaf.webp</t>
  </si>
  <si>
    <t>Bluleaf Long Bow</t>
  </si>
  <si>
    <t>modules/a-knights-dream/Item/equip_weapon_bow_long_bluleaf.webp</t>
  </si>
  <si>
    <t>Bluleaf Long Spear</t>
  </si>
  <si>
    <t>modules/a-knights-dream/Item/equip_weapon_spear_long_bluleaf.webp</t>
  </si>
  <si>
    <t>Bluleaf Lucerince Hammer</t>
  </si>
  <si>
    <t>modules/a-knights-dream/Item/equip_weapon_hammer_lucerince_bluleaf.webp</t>
  </si>
  <si>
    <t>Bluleaf Mace</t>
  </si>
  <si>
    <t>modules/a-knights-dream/Item/equip_weapon_mace_bluleaf.webp</t>
  </si>
  <si>
    <t>Bluleaf Morningstar</t>
  </si>
  <si>
    <t>modules/a-knights-dream/Item/equip_weapon_morningstar_bluleaf.webp</t>
  </si>
  <si>
    <t>Bluleaf Pike</t>
  </si>
  <si>
    <t>modules/a-knights-dream/Item/equip_weapon_pike_bluleaf.webp</t>
  </si>
  <si>
    <t>Bluleaf Quarter Staff</t>
  </si>
  <si>
    <t>modules/a-knights-dream/Item/equip_weapon_staff_quarter_bluleaf.webp</t>
  </si>
  <si>
    <t>Bluleaf Ranseur</t>
  </si>
  <si>
    <t>modules/a-knights-dream/Item/equip_weapon_ranseur_bluleaf.webp</t>
  </si>
  <si>
    <t>Bluleaf Rapier</t>
  </si>
  <si>
    <t>modules/a-knights-dream/Item/equip_weapon_rapier_bluleaf.webp</t>
  </si>
  <si>
    <t>Bluleaf Recurve Bow</t>
  </si>
  <si>
    <t>modules/a-knights-dream/Item/equip_weapon_bow_recurve_bluleaf.webp</t>
  </si>
  <si>
    <t>Bluleaf Repeater Crossbow</t>
  </si>
  <si>
    <t>modules/a-knights-dream/Item/equip_weapon_crossbow_repeater_bluleaf.webp</t>
  </si>
  <si>
    <t>Bluleaf Sabre</t>
  </si>
  <si>
    <t>modules/a-knights-dream/Item/equip_weapon_sabre_bluleaf.webp</t>
  </si>
  <si>
    <t>Bluleaf Scimitar</t>
  </si>
  <si>
    <t>modules/a-knights-dream/Item/equip_weapon_scimitar_bluleaf.webp</t>
  </si>
  <si>
    <t>Bluleaf Scythe</t>
  </si>
  <si>
    <t>modules/a-knights-dream/Item/equip_weapon_scythe_bluleaf.webp</t>
  </si>
  <si>
    <t>Bluleaf Short Bow</t>
  </si>
  <si>
    <t>modules/a-knights-dream/Item/equip_weapon_bow_short_bluleaf.webp</t>
  </si>
  <si>
    <t>Bluleaf Short Spear</t>
  </si>
  <si>
    <t>modules/a-knights-dream/Item/equip_weapon_spear_short_bluleaf.webp</t>
  </si>
  <si>
    <t>Bluleaf Short Sword</t>
  </si>
  <si>
    <t>modules/a-knights-dream/Item/equip_weapon_sword_short_bluleaf.webp</t>
  </si>
  <si>
    <t>Bluleaf Shotel</t>
  </si>
  <si>
    <t>modules/a-knights-dream/Item/equip_weapon_shotel_bluleaf.webp</t>
  </si>
  <si>
    <t>Bluleaf Sickle</t>
  </si>
  <si>
    <t>modules/a-knights-dream/Item/equip_weapon_sickle_bluleaf.webp</t>
  </si>
  <si>
    <t>Bluleaf Sling</t>
  </si>
  <si>
    <t>modules/a-knights-dream/Item/equip_weapon_sling_bluleaf.webp</t>
  </si>
  <si>
    <t>Bluleaf Staff</t>
  </si>
  <si>
    <t>modules/a-knights-dream/Item/equip_weapon_staff_bluleaf.webp</t>
  </si>
  <si>
    <t>Bluleaf Staff Sling</t>
  </si>
  <si>
    <t>modules/a-knights-dream/Item/equip_weapon_sling_staff_bluleaf.webp</t>
  </si>
  <si>
    <t>Bluleaf Sword</t>
  </si>
  <si>
    <t>modules/a-knights-dream/Item/equip_weapon_sword_bluleaf.webp</t>
  </si>
  <si>
    <t>Bluleaf Tapal</t>
  </si>
  <si>
    <t>modules/a-knights-dream/Item/equip_weapon_tapal_bluleaf.webp</t>
  </si>
  <si>
    <t>Bluleaf Trident</t>
  </si>
  <si>
    <t>modules/a-knights-dream/Item/equip_weapon_trident_bluleaf.webp</t>
  </si>
  <si>
    <t>Bluleaf War Hammer</t>
  </si>
  <si>
    <t>modules/a-knights-dream/Item/equip_weapon_hammer_war_bluleaf.webp</t>
  </si>
  <si>
    <t>Bluleaf War Pick</t>
  </si>
  <si>
    <t>modules/a-knights-dream/Item/equip_weapon_pick_war_bluleaf.webp</t>
  </si>
  <si>
    <t>Bluleaf Brigantine Cuirass</t>
  </si>
  <si>
    <t>modules/a-knights-dream/Item/equip_armor_brigantine_cuirass_bluleaf.webp</t>
  </si>
  <si>
    <t>Bluleaf Brigantine Gauntlets</t>
  </si>
  <si>
    <t>modules/a-knights-dream/Item/equip_armor_brigantine_gauntlets_bluleaf.webp</t>
  </si>
  <si>
    <t>Bluleaf Brigantine Greaves</t>
  </si>
  <si>
    <t>modules/a-knights-dream/Item/equip_armor_brigantine_greaves_bluleaf.webp</t>
  </si>
  <si>
    <t>Bluleaf Brigantine Helmet</t>
  </si>
  <si>
    <t>modules/a-knights-dream/Item/equip_armor_brigantine_helmet_bluleaf.webp</t>
  </si>
  <si>
    <t>Bluleaf Brigantine Pauldron</t>
  </si>
  <si>
    <t>modules/a-knights-dream/Item/equip_armor_brigantine_pauldron_bluleaf.webp</t>
  </si>
  <si>
    <t>Bluleaf Chainmail Cuirass</t>
  </si>
  <si>
    <t>modules/a-knights-dream/Item/equip_armor_chainmail_cuirass_bluleaf.webp</t>
  </si>
  <si>
    <t>Bluleaf Chainmail Gauntlets</t>
  </si>
  <si>
    <t>modules/a-knights-dream/Item/equip_armor_chainmail_gauntlets_bluleaf.webp</t>
  </si>
  <si>
    <t>Bluleaf Chainmail Greaves</t>
  </si>
  <si>
    <t>modules/a-knights-dream/Item/equip_armor_chainmail_greaves_bluleaf.webp</t>
  </si>
  <si>
    <t>Bluleaf Chainmail Helmet</t>
  </si>
  <si>
    <t>modules/a-knights-dream/Item/equip_armor_chainmail_helmet_bluleaf.webp</t>
  </si>
  <si>
    <t>Bluleaf Chainmail Pauldron</t>
  </si>
  <si>
    <t>modules/a-knights-dream/Item/equip_armor_chainmail_pauldron_bluleaf.webp</t>
  </si>
  <si>
    <t>Bluleaf Gamberson Cuirass</t>
  </si>
  <si>
    <t>modules/a-knights-dream/Item/equip_armor_gamberson_cuirass_bluleaf.webp</t>
  </si>
  <si>
    <t>Bluleaf Gamberson Gauntlets</t>
  </si>
  <si>
    <t>modules/a-knights-dream/Item/equip_armor_gamberson_gauntlets_bluleaf.webp</t>
  </si>
  <si>
    <t>Bluleaf Gamberson Greaves</t>
  </si>
  <si>
    <t>modules/a-knights-dream/Item/equip_armor_gamberson_greaves_bluleaf.webp</t>
  </si>
  <si>
    <t>Bluleaf Gamberson Helmet</t>
  </si>
  <si>
    <t>modules/a-knights-dream/Item/equip_armor_gamberson_helmet_bluleaf.webp</t>
  </si>
  <si>
    <t>Bluleaf Gamberson Pauldron</t>
  </si>
  <si>
    <t>modules/a-knights-dream/Item/equip_armor_gamberson_pauldron_bluleaf.webp</t>
  </si>
  <si>
    <t>Bluleaf Hauberk Cuirass</t>
  </si>
  <si>
    <t>modules/a-knights-dream/Item/equip_armor_hauberk_cuirass_bluleaf.webp</t>
  </si>
  <si>
    <t>Bluleaf Hauberk Gauntlets</t>
  </si>
  <si>
    <t>modules/a-knights-dream/Item/equip_armor_hauberk_gauntlets_bluleaf.webp</t>
  </si>
  <si>
    <t>Bluleaf Hauberk Greaves</t>
  </si>
  <si>
    <t>modules/a-knights-dream/Item/equip_armor_hauberk_greaves_bluleaf.webp</t>
  </si>
  <si>
    <t>Bluleaf Hauberk Helmet</t>
  </si>
  <si>
    <t>modules/a-knights-dream/Item/equip_armor_hauberk_helmet_bluleaf.webp</t>
  </si>
  <si>
    <t>Bluleaf Hauberk Pauldron</t>
  </si>
  <si>
    <t>modules/a-knights-dream/Item/equip_armor_hauberk_pauldron_bluleaf.webp</t>
  </si>
  <si>
    <t>Bluleaf Jack Cuirass</t>
  </si>
  <si>
    <t>modules/a-knights-dream/Item/equip_armor_jack_cuirass_bluleaf.webp</t>
  </si>
  <si>
    <t>Bluleaf Jack Gauntlets</t>
  </si>
  <si>
    <t>modules/a-knights-dream/Item/equip_armor_jack_gauntlets_bluleaf.webp</t>
  </si>
  <si>
    <t>Bluleaf Jack Greaves</t>
  </si>
  <si>
    <t>modules/a-knights-dream/Item/equip_armor_jack_greaves_bluleaf.webp</t>
  </si>
  <si>
    <t>Bluleaf Jack Helmet</t>
  </si>
  <si>
    <t>modules/a-knights-dream/Item/equip_armor_jack_helmet_bluleaf.webp</t>
  </si>
  <si>
    <t>Bluleaf Jack Pauldron</t>
  </si>
  <si>
    <t>modules/a-knights-dream/Item/equip_armor_jack_pauldron_bluleaf.webp</t>
  </si>
  <si>
    <t>Bluleaf Lamellar Cuirass</t>
  </si>
  <si>
    <t>modules/a-knights-dream/Item/equip_armor_lamellar_cuirass_bluleaf.webp</t>
  </si>
  <si>
    <t>Bluleaf Lamellar Gauntlets</t>
  </si>
  <si>
    <t>modules/a-knights-dream/Item/equip_armor_lamellar_gauntlets_bluleaf.webp</t>
  </si>
  <si>
    <t>Bluleaf Lamellar Greaves</t>
  </si>
  <si>
    <t>modules/a-knights-dream/Item/equip_armor_lamellar_greaves_bluleaf.webp</t>
  </si>
  <si>
    <t>Bluleaf Lamellar Helmet</t>
  </si>
  <si>
    <t>modules/a-knights-dream/Item/equip_armor_lamellar_helmet_bluleaf.webp</t>
  </si>
  <si>
    <t>Bluleaf Lamellar Pauldron</t>
  </si>
  <si>
    <t>modules/a-knights-dream/Item/equip_armor_lamellar_pauldron_bluleaf.webp</t>
  </si>
  <si>
    <t>Bluleaf Platemail Cuirass</t>
  </si>
  <si>
    <t>modules/a-knights-dream/Item/equip_armor_platemail_cuirass_bluleaf.webp</t>
  </si>
  <si>
    <t>Bluleaf Platemail Gauntlets</t>
  </si>
  <si>
    <t>modules/a-knights-dream/Item/equip_armor_platemail_gauntlets_bluleaf.webp</t>
  </si>
  <si>
    <t>Bluleaf Platemail Greaves</t>
  </si>
  <si>
    <t>modules/a-knights-dream/Item/equip_armor_platemail_greaves_bluleaf.webp</t>
  </si>
  <si>
    <t>Bluleaf Platemail Helmet</t>
  </si>
  <si>
    <t>modules/a-knights-dream/Item/equip_armor_platemail_helmet_bluleaf.webp</t>
  </si>
  <si>
    <t>Bluleaf Platemail Pauldron</t>
  </si>
  <si>
    <t>modules/a-knights-dream/Item/equip_armor_platemail_pauldron_bluleaf.webp</t>
  </si>
  <si>
    <t>Bluleaf Tunic Cuirass</t>
  </si>
  <si>
    <t>modules/a-knights-dream/Item/equip_armor_tunic_cuirass_bluleaf.webp</t>
  </si>
  <si>
    <t>Bluleaf Tunic Gauntlets</t>
  </si>
  <si>
    <t>modules/a-knights-dream/Item/equip_armor_tunic_gauntlets_bluleaf.webp</t>
  </si>
  <si>
    <t>Bluleaf Tunic Greaves</t>
  </si>
  <si>
    <t>modules/a-knights-dream/Item/equip_armor_tunic_greaves_bluleaf.webp</t>
  </si>
  <si>
    <t>Bluleaf Tunic Helmet</t>
  </si>
  <si>
    <t>modules/a-knights-dream/Item/equip_armor_tunic_helmet_bluleaf.webp</t>
  </si>
  <si>
    <t>Bluleaf Tunic Pauldron</t>
  </si>
  <si>
    <t>modules/a-knights-dream/Item/equip_armor_tunic_pauldron_bluleaf.webp</t>
  </si>
  <si>
    <t>Bluleaf Buckler Shield</t>
  </si>
  <si>
    <t>modules/a-knights-dream/Item/equip_armor_shield_buckler_bluleaf.webp</t>
  </si>
  <si>
    <t>Bluleaf Heater Shield</t>
  </si>
  <si>
    <t>modules/a-knights-dream/Item/equip_armor_shield_heater_bluleaf.webp</t>
  </si>
  <si>
    <t>Bluleaf Kite Shield</t>
  </si>
  <si>
    <t>modules/a-knights-dream/Item/equip_armor_shield_kite_bluleaf.webp</t>
  </si>
  <si>
    <t>Bluleaf Oval Shield</t>
  </si>
  <si>
    <t>modules/a-knights-dream/Item/equip_armor_shield_oval_bluleaf.webp</t>
  </si>
  <si>
    <t>Bluleaf Round Shield</t>
  </si>
  <si>
    <t>modules/a-knights-dream/Item/equip_armor_shield_round_bluleaf.webp</t>
  </si>
  <si>
    <t>Bluleaf Tower Shield</t>
  </si>
  <si>
    <t>modules/a-knights-dream/Item/equip_armor_shield_tower_bluleaf.webp</t>
  </si>
  <si>
    <t>Bronwood</t>
  </si>
  <si>
    <t>Bronwood Ball Bearings</t>
  </si>
  <si>
    <t>modules/a-knights-dream/Item/equip_weapon_bearings_bronwood.webp</t>
  </si>
  <si>
    <t>Bronwood Bardiche</t>
  </si>
  <si>
    <t>modules/a-knights-dream/Item/equip_weapon_bardiche_bronwood.webp</t>
  </si>
  <si>
    <t>Bronwood Bastard Sword</t>
  </si>
  <si>
    <t>modules/a-knights-dream/Item/equip_weapon_sword_bastard_bronwood.webp</t>
  </si>
  <si>
    <t>Bronwood Battle Axe</t>
  </si>
  <si>
    <t>modules/a-knights-dream/Item/equip_weapon_axe_battle_bronwood.webp</t>
  </si>
  <si>
    <t>Bronwood Blowgun</t>
  </si>
  <si>
    <t>modules/a-knights-dream/Item/equip_weapon_blowgun_bronwood.webp</t>
  </si>
  <si>
    <t>Bronwood Bolt</t>
  </si>
  <si>
    <t>modules/a-knights-dream/Item/equip_weapon_bolt_bronwood.webp</t>
  </si>
  <si>
    <t>Bronwood Boomerang</t>
  </si>
  <si>
    <t>modules/a-knights-dream/Item/equip_weapon_boomerang_bronwood.webp</t>
  </si>
  <si>
    <t>Bronwood Bow</t>
  </si>
  <si>
    <t>modules/a-knights-dream/Item/equip_weapon_bow_bronwood.webp</t>
  </si>
  <si>
    <t>Bronwood Caltrops</t>
  </si>
  <si>
    <t>modules/a-knights-dream/Item/equip_weapon_caltrops_bronwood.webp</t>
  </si>
  <si>
    <t>Bronwood Cestus</t>
  </si>
  <si>
    <t>modules/a-knights-dream/Item/equip_weapon_cestus_bronwood.webp</t>
  </si>
  <si>
    <t>Bronwood Chain</t>
  </si>
  <si>
    <t>modules/a-knights-dream/Item/equip_weapon_chain_bronwood.webp</t>
  </si>
  <si>
    <t>Bronwood Claymore</t>
  </si>
  <si>
    <t>modules/a-knights-dream/Item/equip_weapon_claymore_bronwood.webp</t>
  </si>
  <si>
    <t>Bronwood Club</t>
  </si>
  <si>
    <t>modules/a-knights-dream/Item/equip_weapon_club_bronwood.webp</t>
  </si>
  <si>
    <t>Bronwood Compound Bow</t>
  </si>
  <si>
    <t>modules/a-knights-dream/Item/equip_weapon_bow_compound_bronwood.webp</t>
  </si>
  <si>
    <t>Bronwood Cutlass</t>
  </si>
  <si>
    <t>modules/a-knights-dream/Item/equip_weapon_cutlass_bronwood.webp</t>
  </si>
  <si>
    <t>Bronwood Dagger</t>
  </si>
  <si>
    <t>modules/a-knights-dream/Item/equip_weapon_dagger_bronwood.webp</t>
  </si>
  <si>
    <t>Bronwood Dart</t>
  </si>
  <si>
    <t>modules/a-knights-dream/Item/equip_weapon_dart_bronwood.webp</t>
  </si>
  <si>
    <t>Bronwood Fauchard Scythe</t>
  </si>
  <si>
    <t>modules/a-knights-dream/Item/equip_weapon_scythe_fauchard_bronwood.webp</t>
  </si>
  <si>
    <t>Bronwood Flail</t>
  </si>
  <si>
    <t>modules/a-knights-dream/Item/equip_weapon_flail_bronwood.webp</t>
  </si>
  <si>
    <t>Bronwood Glaive</t>
  </si>
  <si>
    <t>modules/a-knights-dream/Item/equip_weapon_glaive_bronwood.webp</t>
  </si>
  <si>
    <t>Bronwood Grapple Hook</t>
  </si>
  <si>
    <t>modules/a-knights-dream/Item/equip_weapon_hook_grapple_bronwood.webp</t>
  </si>
  <si>
    <t>Bronwood Great Axe</t>
  </si>
  <si>
    <t>modules/a-knights-dream/Item/equip_weapon_axe_great_bronwood.webp</t>
  </si>
  <si>
    <t>Bronwood Great Club</t>
  </si>
  <si>
    <t>modules/a-knights-dream/Item/equip_weapon_club_great_bronwood.webp</t>
  </si>
  <si>
    <t>Bronwood Great Khyber</t>
  </si>
  <si>
    <t>modules/a-knights-dream/Item/equip_weapon_khyber_great_bronwood.webp</t>
  </si>
  <si>
    <t>Bronwood Great Konda</t>
  </si>
  <si>
    <t>modules/a-knights-dream/Item/equip_weapon_konda_great_bronwood.webp</t>
  </si>
  <si>
    <t>Bronwood Great Labrys</t>
  </si>
  <si>
    <t>modules/a-knights-dream/Item/equip_weapon_axe_labrys_great_bronwood.webp</t>
  </si>
  <si>
    <t>Bronwood Great Mace</t>
  </si>
  <si>
    <t>modules/a-knights-dream/Item/equip_weapon_mace_great_bronwood.webp</t>
  </si>
  <si>
    <t>Bronwood Great Tapal</t>
  </si>
  <si>
    <t>modules/a-knights-dream/Item/equip_weapon_tapal_great_bronwood.webp</t>
  </si>
  <si>
    <t>Bronwood Great War Bow</t>
  </si>
  <si>
    <t>modules/a-knights-dream/Item/equip_weapon_bow_war_great_bronwood.webp</t>
  </si>
  <si>
    <t>Bronwood Great War Hammer</t>
  </si>
  <si>
    <t>modules/a-knights-dream/Item/equip_weapon_hammer_war_great_bronwood.webp</t>
  </si>
  <si>
    <t>Bronwood Great War Pick</t>
  </si>
  <si>
    <t>modules/a-knights-dream/Item/equip_weapon_pick_war_great_bronwood.webp</t>
  </si>
  <si>
    <t>Bronwood Guisarme</t>
  </si>
  <si>
    <t>modules/a-knights-dream/Item/equip_weapon_guisarme_bronwood.webp</t>
  </si>
  <si>
    <t>Bronwood Halberd</t>
  </si>
  <si>
    <t>modules/a-knights-dream/Item/equip_weapon_halberd_bronwood.webp</t>
  </si>
  <si>
    <t>Bronwood Hand Crossbow</t>
  </si>
  <si>
    <t>modules/a-knights-dream/Item/equip_weapon_crossbow_hand_bronwood.webp</t>
  </si>
  <si>
    <t>Bronwood Hand axe</t>
  </si>
  <si>
    <t>modules/a-knights-dream/Item/equip_weapon_axe_hand_bronwood.webp</t>
  </si>
  <si>
    <t>Bronwood Heavy Crossbow</t>
  </si>
  <si>
    <t>modules/a-knights-dream/Item/equip_weapon_crossbow_heavy_bronwood.webp</t>
  </si>
  <si>
    <t>Bronwood Hunting Trap</t>
  </si>
  <si>
    <t>modules/a-knights-dream/Item/equip_weapon_trap_hunting_bronwood.webp</t>
  </si>
  <si>
    <t>Bronwood Hunting Trap (Large)</t>
  </si>
  <si>
    <t>modules/a-knights-dream/Item/equip_weapon_trap_hunting_large_bronwood.webp</t>
  </si>
  <si>
    <t>Bronwood Hunting Trap (Small)</t>
  </si>
  <si>
    <t>modules/a-knights-dream/Item/equip_weapon_trap_hunting_small_bronwood.webp</t>
  </si>
  <si>
    <t>Bronwood Javelin</t>
  </si>
  <si>
    <t>modules/a-knights-dream/Item/equip_weapon_javelin_bronwood.webp</t>
  </si>
  <si>
    <t>Bronwood Khpesh</t>
  </si>
  <si>
    <t>modules/a-knights-dream/Item/equip_weapon_khpesh_bronwood.webp</t>
  </si>
  <si>
    <t>Bronwood Khyber</t>
  </si>
  <si>
    <t>modules/a-knights-dream/Item/equip_weapon_khyber_bronwood.webp</t>
  </si>
  <si>
    <t>Bronwood Konda</t>
  </si>
  <si>
    <t>modules/a-knights-dream/Item/equip_weapon_konda_bronwood.webp</t>
  </si>
  <si>
    <t>Bronwood Labrys</t>
  </si>
  <si>
    <t>modules/a-knights-dream/Item/equip_weapon_axe_labrys_bronwood.webp</t>
  </si>
  <si>
    <t>Bronwood Lance</t>
  </si>
  <si>
    <t>modules/a-knights-dream/Item/equip_weapon_lance_bronwood.webp</t>
  </si>
  <si>
    <t>Bronwood Light Crossbow</t>
  </si>
  <si>
    <t>modules/a-knights-dream/Item/equip_weapon_crossbow_light_bronwood.webp</t>
  </si>
  <si>
    <t>Bronwood Long Bow</t>
  </si>
  <si>
    <t>modules/a-knights-dream/Item/equip_weapon_bow_long_bronwood.webp</t>
  </si>
  <si>
    <t>Bronwood Long Spear</t>
  </si>
  <si>
    <t>modules/a-knights-dream/Item/equip_weapon_spear_long_bronwood.webp</t>
  </si>
  <si>
    <t>Bronwood Lucerince Hammer</t>
  </si>
  <si>
    <t>modules/a-knights-dream/Item/equip_weapon_hammer_lucerince_bronwood.webp</t>
  </si>
  <si>
    <t>Bronwood Mace</t>
  </si>
  <si>
    <t>modules/a-knights-dream/Item/equip_weapon_mace_bronwood.webp</t>
  </si>
  <si>
    <t>Bronwood Morningstar</t>
  </si>
  <si>
    <t>modules/a-knights-dream/Item/equip_weapon_morningstar_bronwood.webp</t>
  </si>
  <si>
    <t>Bronwood Pike</t>
  </si>
  <si>
    <t>modules/a-knights-dream/Item/equip_weapon_pike_bronwood.webp</t>
  </si>
  <si>
    <t>Bronwood Quarter Staff</t>
  </si>
  <si>
    <t>modules/a-knights-dream/Item/equip_weapon_staff_quarter_bronwood.webp</t>
  </si>
  <si>
    <t>Bronwood Ranseur</t>
  </si>
  <si>
    <t>modules/a-knights-dream/Item/equip_weapon_ranseur_bronwood.webp</t>
  </si>
  <si>
    <t>Bronwood Rapier</t>
  </si>
  <si>
    <t>modules/a-knights-dream/Item/equip_weapon_rapier_bronwood.webp</t>
  </si>
  <si>
    <t>Bronwood Recurve Bow</t>
  </si>
  <si>
    <t>modules/a-knights-dream/Item/equip_weapon_bow_recurve_bronwood.webp</t>
  </si>
  <si>
    <t>Bronwood Repeater Crossbow</t>
  </si>
  <si>
    <t>modules/a-knights-dream/Item/equip_weapon_crossbow_repeater_bronwood.webp</t>
  </si>
  <si>
    <t>Bronwood Sabre</t>
  </si>
  <si>
    <t>modules/a-knights-dream/Item/equip_weapon_sabre_bronwood.webp</t>
  </si>
  <si>
    <t>Bronwood Scimitar</t>
  </si>
  <si>
    <t>modules/a-knights-dream/Item/equip_weapon_scimitar_bronwood.webp</t>
  </si>
  <si>
    <t>Bronwood Scythe</t>
  </si>
  <si>
    <t>modules/a-knights-dream/Item/equip_weapon_scythe_bronwood.webp</t>
  </si>
  <si>
    <t>Bronwood Short Bow</t>
  </si>
  <si>
    <t>modules/a-knights-dream/Item/equip_weapon_bow_short_bronwood.webp</t>
  </si>
  <si>
    <t>Bronwood Short Spear</t>
  </si>
  <si>
    <t>modules/a-knights-dream/Item/equip_weapon_spear_short_bronwood.webp</t>
  </si>
  <si>
    <t>Bronwood Short Sword</t>
  </si>
  <si>
    <t>modules/a-knights-dream/Item/equip_weapon_sword_short_bronwood.webp</t>
  </si>
  <si>
    <t>Bronwood Shotel</t>
  </si>
  <si>
    <t>modules/a-knights-dream/Item/equip_weapon_shotel_bronwood.webp</t>
  </si>
  <si>
    <t>Bronwood Sickle</t>
  </si>
  <si>
    <t>modules/a-knights-dream/Item/equip_weapon_sickle_bronwood.webp</t>
  </si>
  <si>
    <t>Bronwood Sling</t>
  </si>
  <si>
    <t>modules/a-knights-dream/Item/equip_weapon_sling_bronwood.webp</t>
  </si>
  <si>
    <t>Bronwood Staff</t>
  </si>
  <si>
    <t>modules/a-knights-dream/Item/equip_weapon_staff_bronwood.webp</t>
  </si>
  <si>
    <t>Bronwood Staff Sling</t>
  </si>
  <si>
    <t>modules/a-knights-dream/Item/equip_weapon_sling_staff_bronwood.webp</t>
  </si>
  <si>
    <t>Bronwood Sword</t>
  </si>
  <si>
    <t>modules/a-knights-dream/Item/equip_weapon_sword_bronwood.webp</t>
  </si>
  <si>
    <t>Bronwood Tapal</t>
  </si>
  <si>
    <t>modules/a-knights-dream/Item/equip_weapon_tapal_bronwood.webp</t>
  </si>
  <si>
    <t>Bronwood Trident</t>
  </si>
  <si>
    <t>modules/a-knights-dream/Item/equip_weapon_trident_bronwood.webp</t>
  </si>
  <si>
    <t>Bronwood War Hammer</t>
  </si>
  <si>
    <t>modules/a-knights-dream/Item/equip_weapon_hammer_war_bronwood.webp</t>
  </si>
  <si>
    <t>Bronwood War Pick</t>
  </si>
  <si>
    <t>modules/a-knights-dream/Item/equip_weapon_pick_war_bronwood.webp</t>
  </si>
  <si>
    <t>Bronwood Brigantine Cuirass</t>
  </si>
  <si>
    <t>modules/a-knights-dream/Item/equip_armor_brigantine_cuirass_bronwood.webp</t>
  </si>
  <si>
    <t>Bronwood Brigantine Gauntlets</t>
  </si>
  <si>
    <t>modules/a-knights-dream/Item/equip_armor_brigantine_gauntlets_bronwood.webp</t>
  </si>
  <si>
    <t>Bronwood Brigantine Greaves</t>
  </si>
  <si>
    <t>modules/a-knights-dream/Item/equip_armor_brigantine_greaves_bronwood.webp</t>
  </si>
  <si>
    <t>Bronwood Brigantine Helmet</t>
  </si>
  <si>
    <t>modules/a-knights-dream/Item/equip_armor_brigantine_helmet_bronwood.webp</t>
  </si>
  <si>
    <t>Bronwood Brigantine Pauldron</t>
  </si>
  <si>
    <t>modules/a-knights-dream/Item/equip_armor_brigantine_pauldron_bronwood.webp</t>
  </si>
  <si>
    <t>Bronwood Chainmail Cuirass</t>
  </si>
  <si>
    <t>modules/a-knights-dream/Item/equip_armor_chainmail_cuirass_bronwood.webp</t>
  </si>
  <si>
    <t>Bronwood Chainmail Gauntlets</t>
  </si>
  <si>
    <t>modules/a-knights-dream/Item/equip_armor_chainmail_gauntlets_bronwood.webp</t>
  </si>
  <si>
    <t>Bronwood Chainmail Greaves</t>
  </si>
  <si>
    <t>modules/a-knights-dream/Item/equip_armor_chainmail_greaves_bronwood.webp</t>
  </si>
  <si>
    <t>Bronwood Chainmail Helmet</t>
  </si>
  <si>
    <t>modules/a-knights-dream/Item/equip_armor_chainmail_helmet_bronwood.webp</t>
  </si>
  <si>
    <t>Bronwood Chainmail Pauldron</t>
  </si>
  <si>
    <t>modules/a-knights-dream/Item/equip_armor_chainmail_pauldron_bronwood.webp</t>
  </si>
  <si>
    <t>Bronwood Gamberson Cuirass</t>
  </si>
  <si>
    <t>modules/a-knights-dream/Item/equip_armor_gamberson_cuirass_bronwood.webp</t>
  </si>
  <si>
    <t>Bronwood Gamberson Gauntlets</t>
  </si>
  <si>
    <t>modules/a-knights-dream/Item/equip_armor_gamberson_gauntlets_bronwood.webp</t>
  </si>
  <si>
    <t>Bronwood Gamberson Greaves</t>
  </si>
  <si>
    <t>modules/a-knights-dream/Item/equip_armor_gamberson_greaves_bronwood.webp</t>
  </si>
  <si>
    <t>Bronwood Gamberson Helmet</t>
  </si>
  <si>
    <t>modules/a-knights-dream/Item/equip_armor_gamberson_helmet_bronwood.webp</t>
  </si>
  <si>
    <t>Bronwood Gamberson Pauldron</t>
  </si>
  <si>
    <t>modules/a-knights-dream/Item/equip_armor_gamberson_pauldron_bronwood.webp</t>
  </si>
  <si>
    <t>Bronwood Hauberk Cuirass</t>
  </si>
  <si>
    <t>modules/a-knights-dream/Item/equip_armor_hauberk_cuirass_bronwood.webp</t>
  </si>
  <si>
    <t>Bronwood Hauberk Gauntlets</t>
  </si>
  <si>
    <t>modules/a-knights-dream/Item/equip_armor_hauberk_gauntlets_bronwood.webp</t>
  </si>
  <si>
    <t>Bronwood Hauberk Greaves</t>
  </si>
  <si>
    <t>modules/a-knights-dream/Item/equip_armor_hauberk_greaves_bronwood.webp</t>
  </si>
  <si>
    <t>Bronwood Hauberk Helmet</t>
  </si>
  <si>
    <t>modules/a-knights-dream/Item/equip_armor_hauberk_helmet_bronwood.webp</t>
  </si>
  <si>
    <t>Bronwood Hauberk Pauldron</t>
  </si>
  <si>
    <t>modules/a-knights-dream/Item/equip_armor_hauberk_pauldron_bronwood.webp</t>
  </si>
  <si>
    <t>Bronwood Jack Cuirass</t>
  </si>
  <si>
    <t>modules/a-knights-dream/Item/equip_armor_jack_cuirass_bronwood.webp</t>
  </si>
  <si>
    <t>Bronwood Jack Gauntlets</t>
  </si>
  <si>
    <t>modules/a-knights-dream/Item/equip_armor_jack_gauntlets_bronwood.webp</t>
  </si>
  <si>
    <t>Bronwood Jack Greaves</t>
  </si>
  <si>
    <t>modules/a-knights-dream/Item/equip_armor_jack_greaves_bronwood.webp</t>
  </si>
  <si>
    <t>Bronwood Jack Helmet</t>
  </si>
  <si>
    <t>modules/a-knights-dream/Item/equip_armor_jack_helmet_bronwood.webp</t>
  </si>
  <si>
    <t>Bronwood Jack Pauldron</t>
  </si>
  <si>
    <t>modules/a-knights-dream/Item/equip_armor_jack_pauldron_bronwood.webp</t>
  </si>
  <si>
    <t>Bronwood Lamellar Cuirass</t>
  </si>
  <si>
    <t>modules/a-knights-dream/Item/equip_armor_lamellar_cuirass_bronwood.webp</t>
  </si>
  <si>
    <t>Bronwood Lamellar Gauntlets</t>
  </si>
  <si>
    <t>modules/a-knights-dream/Item/equip_armor_lamellar_gauntlets_bronwood.webp</t>
  </si>
  <si>
    <t>Bronwood Lamellar Greaves</t>
  </si>
  <si>
    <t>modules/a-knights-dream/Item/equip_armor_lamellar_greaves_bronwood.webp</t>
  </si>
  <si>
    <t>Bronwood Lamellar Helmet</t>
  </si>
  <si>
    <t>modules/a-knights-dream/Item/equip_armor_lamellar_helmet_bronwood.webp</t>
  </si>
  <si>
    <t>Bronwood Lamellar Pauldron</t>
  </si>
  <si>
    <t>modules/a-knights-dream/Item/equip_armor_lamellar_pauldron_bronwood.webp</t>
  </si>
  <si>
    <t>Bronwood Platemail Cuirass</t>
  </si>
  <si>
    <t>modules/a-knights-dream/Item/equip_armor_platemail_cuirass_bronwood.webp</t>
  </si>
  <si>
    <t>Bronwood Platemail Gauntlets</t>
  </si>
  <si>
    <t>modules/a-knights-dream/Item/equip_armor_platemail_gauntlets_bronwood.webp</t>
  </si>
  <si>
    <t>Bronwood Platemail Greaves</t>
  </si>
  <si>
    <t>modules/a-knights-dream/Item/equip_armor_platemail_greaves_bronwood.webp</t>
  </si>
  <si>
    <t>Bronwood Platemail Helmet</t>
  </si>
  <si>
    <t>modules/a-knights-dream/Item/equip_armor_platemail_helmet_bronwood.webp</t>
  </si>
  <si>
    <t>Bronwood Platemail Pauldron</t>
  </si>
  <si>
    <t>modules/a-knights-dream/Item/equip_armor_platemail_pauldron_bronwood.webp</t>
  </si>
  <si>
    <t>Bronwood Tunic Cuirass</t>
  </si>
  <si>
    <t>modules/a-knights-dream/Item/equip_armor_tunic_cuirass_bronwood.webp</t>
  </si>
  <si>
    <t>Bronwood Tunic Gauntlets</t>
  </si>
  <si>
    <t>modules/a-knights-dream/Item/equip_armor_tunic_gauntlets_bronwood.webp</t>
  </si>
  <si>
    <t>Bronwood Tunic Greaves</t>
  </si>
  <si>
    <t>modules/a-knights-dream/Item/equip_armor_tunic_greaves_bronwood.webp</t>
  </si>
  <si>
    <t>Bronwood Tunic Helmet</t>
  </si>
  <si>
    <t>modules/a-knights-dream/Item/equip_armor_tunic_helmet_bronwood.webp</t>
  </si>
  <si>
    <t>Bronwood Tunic Pauldron</t>
  </si>
  <si>
    <t>modules/a-knights-dream/Item/equip_armor_tunic_pauldron_bronwood.webp</t>
  </si>
  <si>
    <t>Bronwood Buckler Shield</t>
  </si>
  <si>
    <t>modules/a-knights-dream/Item/equip_armor_shield_buckler_bronwood.webp</t>
  </si>
  <si>
    <t>Bronwood Heater Shield</t>
  </si>
  <si>
    <t>modules/a-knights-dream/Item/equip_armor_shield_heater_bronwood.webp</t>
  </si>
  <si>
    <t>Bronwood Kite Shield</t>
  </si>
  <si>
    <t>modules/a-knights-dream/Item/equip_armor_shield_kite_bronwood.webp</t>
  </si>
  <si>
    <t>Bronwood Oval Shield</t>
  </si>
  <si>
    <t>modules/a-knights-dream/Item/equip_armor_shield_oval_bronwood.webp</t>
  </si>
  <si>
    <t>Bronwood Round Shield</t>
  </si>
  <si>
    <t>modules/a-knights-dream/Item/equip_armor_shield_round_bronwood.webp</t>
  </si>
  <si>
    <t>Bronwood Tower Shield</t>
  </si>
  <si>
    <t>modules/a-knights-dream/Item/equip_armor_shield_tower_bronwood.webp</t>
  </si>
  <si>
    <t>Broon</t>
  </si>
  <si>
    <t>Broon Ball Bearings</t>
  </si>
  <si>
    <t>modules/a-knights-dream/Item/equip_weapon_bearings_broon.webp</t>
  </si>
  <si>
    <t>Broon Bardiche</t>
  </si>
  <si>
    <t>modules/a-knights-dream/Item/equip_weapon_bardiche_broon.webp</t>
  </si>
  <si>
    <t>Broon Bastard Sword</t>
  </si>
  <si>
    <t>modules/a-knights-dream/Item/equip_weapon_sword_bastard_broon.webp</t>
  </si>
  <si>
    <t>Broon Battle Axe</t>
  </si>
  <si>
    <t>modules/a-knights-dream/Item/equip_weapon_axe_battle_broon.webp</t>
  </si>
  <si>
    <t>Broon Blowgun</t>
  </si>
  <si>
    <t>modules/a-knights-dream/Item/equip_weapon_blowgun_broon.webp</t>
  </si>
  <si>
    <t>Broon Bolt</t>
  </si>
  <si>
    <t>modules/a-knights-dream/Item/equip_weapon_bolt_broon.webp</t>
  </si>
  <si>
    <t>Broon Boomerang</t>
  </si>
  <si>
    <t>modules/a-knights-dream/Item/equip_weapon_boomerang_broon.webp</t>
  </si>
  <si>
    <t>Broon Bow</t>
  </si>
  <si>
    <t>modules/a-knights-dream/Item/equip_weapon_bow_broon.webp</t>
  </si>
  <si>
    <t>Broon Caltrops</t>
  </si>
  <si>
    <t>modules/a-knights-dream/Item/equip_weapon_caltrops_broon.webp</t>
  </si>
  <si>
    <t>Broon Cestus</t>
  </si>
  <si>
    <t>modules/a-knights-dream/Item/equip_weapon_cestus_broon.webp</t>
  </si>
  <si>
    <t>Broon Chain</t>
  </si>
  <si>
    <t>modules/a-knights-dream/Item/equip_weapon_chain_broon.webp</t>
  </si>
  <si>
    <t>Broon Claymore</t>
  </si>
  <si>
    <t>modules/a-knights-dream/Item/equip_weapon_claymore_broon.webp</t>
  </si>
  <si>
    <t>Broon Club</t>
  </si>
  <si>
    <t>modules/a-knights-dream/Item/equip_weapon_club_broon.webp</t>
  </si>
  <si>
    <t>Broon Compound Bow</t>
  </si>
  <si>
    <t>modules/a-knights-dream/Item/equip_weapon_bow_compound_broon.webp</t>
  </si>
  <si>
    <t>Broon Cutlass</t>
  </si>
  <si>
    <t>modules/a-knights-dream/Item/equip_weapon_cutlass_broon.webp</t>
  </si>
  <si>
    <t>Broon Dagger</t>
  </si>
  <si>
    <t>modules/a-knights-dream/Item/equip_weapon_dagger_broon.webp</t>
  </si>
  <si>
    <t>Broon Dart</t>
  </si>
  <si>
    <t>modules/a-knights-dream/Item/equip_weapon_dart_broon.webp</t>
  </si>
  <si>
    <t>Broon Fauchard Scythe</t>
  </si>
  <si>
    <t>modules/a-knights-dream/Item/equip_weapon_scythe_fauchard_broon.webp</t>
  </si>
  <si>
    <t>Broon Flail</t>
  </si>
  <si>
    <t>modules/a-knights-dream/Item/equip_weapon_flail_broon.webp</t>
  </si>
  <si>
    <t>Broon Glaive</t>
  </si>
  <si>
    <t>modules/a-knights-dream/Item/equip_weapon_glaive_broon.webp</t>
  </si>
  <si>
    <t>Broon Grapple Hook</t>
  </si>
  <si>
    <t>modules/a-knights-dream/Item/equip_weapon_hook_grapple_broon.webp</t>
  </si>
  <si>
    <t>Broon Great Axe</t>
  </si>
  <si>
    <t>modules/a-knights-dream/Item/equip_weapon_axe_great_broon.webp</t>
  </si>
  <si>
    <t>Broon Great Club</t>
  </si>
  <si>
    <t>modules/a-knights-dream/Item/equip_weapon_club_great_broon.webp</t>
  </si>
  <si>
    <t>Broon Great Khyber</t>
  </si>
  <si>
    <t>modules/a-knights-dream/Item/equip_weapon_khyber_great_broon.webp</t>
  </si>
  <si>
    <t>Broon Great Konda</t>
  </si>
  <si>
    <t>modules/a-knights-dream/Item/equip_weapon_konda_great_broon.webp</t>
  </si>
  <si>
    <t>Broon Great Labrys</t>
  </si>
  <si>
    <t>modules/a-knights-dream/Item/equip_weapon_axe_labrys_great_broon.webp</t>
  </si>
  <si>
    <t>Broon Great Mace</t>
  </si>
  <si>
    <t>modules/a-knights-dream/Item/equip_weapon_mace_great_broon.webp</t>
  </si>
  <si>
    <t>Broon Great Tapal</t>
  </si>
  <si>
    <t>modules/a-knights-dream/Item/equip_weapon_tapal_great_broon.webp</t>
  </si>
  <si>
    <t>Broon Great War Bow</t>
  </si>
  <si>
    <t>modules/a-knights-dream/Item/equip_weapon_bow_war_great_broon.webp</t>
  </si>
  <si>
    <t>Broon Great War Hammer</t>
  </si>
  <si>
    <t>modules/a-knights-dream/Item/equip_weapon_hammer_war_great_broon.webp</t>
  </si>
  <si>
    <t>Broon Great War Pick</t>
  </si>
  <si>
    <t>modules/a-knights-dream/Item/equip_weapon_pick_war_great_broon.webp</t>
  </si>
  <si>
    <t>Broon Guisarme</t>
  </si>
  <si>
    <t>modules/a-knights-dream/Item/equip_weapon_guisarme_broon.webp</t>
  </si>
  <si>
    <t>Broon Halberd</t>
  </si>
  <si>
    <t>modules/a-knights-dream/Item/equip_weapon_halberd_broon.webp</t>
  </si>
  <si>
    <t>Broon Hand Crossbow</t>
  </si>
  <si>
    <t>modules/a-knights-dream/Item/equip_weapon_crossbow_hand_broon.webp</t>
  </si>
  <si>
    <t>Broon Hand axe</t>
  </si>
  <si>
    <t>modules/a-knights-dream/Item/equip_weapon_axe_hand_broon.webp</t>
  </si>
  <si>
    <t>Broon Heavy Crossbow</t>
  </si>
  <si>
    <t>modules/a-knights-dream/Item/equip_weapon_crossbow_heavy_broon.webp</t>
  </si>
  <si>
    <t>Broon Hunting Trap</t>
  </si>
  <si>
    <t>modules/a-knights-dream/Item/equip_weapon_trap_hunting_broon.webp</t>
  </si>
  <si>
    <t>Broon Hunting Trap (Large)</t>
  </si>
  <si>
    <t>modules/a-knights-dream/Item/equip_weapon_trap_hunting_large_broon.webp</t>
  </si>
  <si>
    <t>Broon Hunting Trap (Small)</t>
  </si>
  <si>
    <t>modules/a-knights-dream/Item/equip_weapon_trap_hunting_small_broon.webp</t>
  </si>
  <si>
    <t>Broon Javelin</t>
  </si>
  <si>
    <t>modules/a-knights-dream/Item/equip_weapon_javelin_broon.webp</t>
  </si>
  <si>
    <t>Broon Khpesh</t>
  </si>
  <si>
    <t>modules/a-knights-dream/Item/equip_weapon_khpesh_broon.webp</t>
  </si>
  <si>
    <t>Broon Khyber</t>
  </si>
  <si>
    <t>modules/a-knights-dream/Item/equip_weapon_khyber_broon.webp</t>
  </si>
  <si>
    <t>Broon Konda</t>
  </si>
  <si>
    <t>modules/a-knights-dream/Item/equip_weapon_konda_broon.webp</t>
  </si>
  <si>
    <t>Broon Labrys</t>
  </si>
  <si>
    <t>modules/a-knights-dream/Item/equip_weapon_axe_labrys_broon.webp</t>
  </si>
  <si>
    <t>Broon Lance</t>
  </si>
  <si>
    <t>modules/a-knights-dream/Item/equip_weapon_lance_broon.webp</t>
  </si>
  <si>
    <t>Broon Light Crossbow</t>
  </si>
  <si>
    <t>modules/a-knights-dream/Item/equip_weapon_crossbow_light_broon.webp</t>
  </si>
  <si>
    <t>Broon Long Bow</t>
  </si>
  <si>
    <t>modules/a-knights-dream/Item/equip_weapon_bow_long_broon.webp</t>
  </si>
  <si>
    <t>Broon Long Spear</t>
  </si>
  <si>
    <t>modules/a-knights-dream/Item/equip_weapon_spear_long_broon.webp</t>
  </si>
  <si>
    <t>Broon Lucerince Hammer</t>
  </si>
  <si>
    <t>modules/a-knights-dream/Item/equip_weapon_hammer_lucerince_broon.webp</t>
  </si>
  <si>
    <t>Broon Mace</t>
  </si>
  <si>
    <t>modules/a-knights-dream/Item/equip_weapon_mace_broon.webp</t>
  </si>
  <si>
    <t>Broon Morningstar</t>
  </si>
  <si>
    <t>modules/a-knights-dream/Item/equip_weapon_morningstar_broon.webp</t>
  </si>
  <si>
    <t>Broon Pike</t>
  </si>
  <si>
    <t>modules/a-knights-dream/Item/equip_weapon_pike_broon.webp</t>
  </si>
  <si>
    <t>Broon Quarter Staff</t>
  </si>
  <si>
    <t>modules/a-knights-dream/Item/equip_weapon_staff_quarter_broon.webp</t>
  </si>
  <si>
    <t>Broon Ranseur</t>
  </si>
  <si>
    <t>modules/a-knights-dream/Item/equip_weapon_ranseur_broon.webp</t>
  </si>
  <si>
    <t>Broon Rapier</t>
  </si>
  <si>
    <t>modules/a-knights-dream/Item/equip_weapon_rapier_broon.webp</t>
  </si>
  <si>
    <t>Broon Recurve Bow</t>
  </si>
  <si>
    <t>modules/a-knights-dream/Item/equip_weapon_bow_recurve_broon.webp</t>
  </si>
  <si>
    <t>Broon Repeater Crossbow</t>
  </si>
  <si>
    <t>modules/a-knights-dream/Item/equip_weapon_crossbow_repeater_broon.webp</t>
  </si>
  <si>
    <t>Broon Sabre</t>
  </si>
  <si>
    <t>modules/a-knights-dream/Item/equip_weapon_sabre_broon.webp</t>
  </si>
  <si>
    <t>Broon Scimitar</t>
  </si>
  <si>
    <t>modules/a-knights-dream/Item/equip_weapon_scimitar_broon.webp</t>
  </si>
  <si>
    <t>Broon Scythe</t>
  </si>
  <si>
    <t>modules/a-knights-dream/Item/equip_weapon_scythe_broon.webp</t>
  </si>
  <si>
    <t>Broon Short Bow</t>
  </si>
  <si>
    <t>modules/a-knights-dream/Item/equip_weapon_bow_short_broon.webp</t>
  </si>
  <si>
    <t>Broon Short Spear</t>
  </si>
  <si>
    <t>modules/a-knights-dream/Item/equip_weapon_spear_short_broon.webp</t>
  </si>
  <si>
    <t>Broon Short Sword</t>
  </si>
  <si>
    <t>modules/a-knights-dream/Item/equip_weapon_sword_short_broon.webp</t>
  </si>
  <si>
    <t>Broon Shotel</t>
  </si>
  <si>
    <t>modules/a-knights-dream/Item/equip_weapon_shotel_broon.webp</t>
  </si>
  <si>
    <t>Broon Sickle</t>
  </si>
  <si>
    <t>modules/a-knights-dream/Item/equip_weapon_sickle_broon.webp</t>
  </si>
  <si>
    <t>Broon Sling</t>
  </si>
  <si>
    <t>modules/a-knights-dream/Item/equip_weapon_sling_broon.webp</t>
  </si>
  <si>
    <t>Broon Staff</t>
  </si>
  <si>
    <t>modules/a-knights-dream/Item/equip_weapon_staff_broon.webp</t>
  </si>
  <si>
    <t>Broon Staff Sling</t>
  </si>
  <si>
    <t>modules/a-knights-dream/Item/equip_weapon_sling_staff_broon.webp</t>
  </si>
  <si>
    <t>Broon Sword</t>
  </si>
  <si>
    <t>modules/a-knights-dream/Item/equip_weapon_sword_broon.webp</t>
  </si>
  <si>
    <t>Broon Tapal</t>
  </si>
  <si>
    <t>modules/a-knights-dream/Item/equip_weapon_tapal_broon.webp</t>
  </si>
  <si>
    <t>Broon Trident</t>
  </si>
  <si>
    <t>modules/a-knights-dream/Item/equip_weapon_trident_broon.webp</t>
  </si>
  <si>
    <t>Broon War Hammer</t>
  </si>
  <si>
    <t>modules/a-knights-dream/Item/equip_weapon_hammer_war_broon.webp</t>
  </si>
  <si>
    <t>Broon War Pick</t>
  </si>
  <si>
    <t>modules/a-knights-dream/Item/equip_weapon_pick_war_broon.webp</t>
  </si>
  <si>
    <t>Broon Brigantine Cuirass</t>
  </si>
  <si>
    <t>modules/a-knights-dream/Item/equip_armor_brigantine_cuirass_broon.webp</t>
  </si>
  <si>
    <t>Broon Brigantine Gauntlets</t>
  </si>
  <si>
    <t>modules/a-knights-dream/Item/equip_armor_brigantine_gauntlets_broon.webp</t>
  </si>
  <si>
    <t>Broon Brigantine Greaves</t>
  </si>
  <si>
    <t>modules/a-knights-dream/Item/equip_armor_brigantine_greaves_broon.webp</t>
  </si>
  <si>
    <t>Broon Brigantine Helmet</t>
  </si>
  <si>
    <t>modules/a-knights-dream/Item/equip_armor_brigantine_helmet_broon.webp</t>
  </si>
  <si>
    <t>Broon Brigantine Pauldron</t>
  </si>
  <si>
    <t>modules/a-knights-dream/Item/equip_armor_brigantine_pauldron_broon.webp</t>
  </si>
  <si>
    <t>Broon Chainmail Cuirass</t>
  </si>
  <si>
    <t>modules/a-knights-dream/Item/equip_armor_chainmail_cuirass_broon.webp</t>
  </si>
  <si>
    <t>Broon Chainmail Gauntlets</t>
  </si>
  <si>
    <t>modules/a-knights-dream/Item/equip_armor_chainmail_gauntlets_broon.webp</t>
  </si>
  <si>
    <t>Broon Chainmail Greaves</t>
  </si>
  <si>
    <t>modules/a-knights-dream/Item/equip_armor_chainmail_greaves_broon.webp</t>
  </si>
  <si>
    <t>Broon Chainmail Helmet</t>
  </si>
  <si>
    <t>modules/a-knights-dream/Item/equip_armor_chainmail_helmet_broon.webp</t>
  </si>
  <si>
    <t>Broon Chainmail Pauldron</t>
  </si>
  <si>
    <t>modules/a-knights-dream/Item/equip_armor_chainmail_pauldron_broon.webp</t>
  </si>
  <si>
    <t>Broon Gamberson Cuirass</t>
  </si>
  <si>
    <t>modules/a-knights-dream/Item/equip_armor_gamberson_cuirass_broon.webp</t>
  </si>
  <si>
    <t>Broon Gamberson Gauntlets</t>
  </si>
  <si>
    <t>modules/a-knights-dream/Item/equip_armor_gamberson_gauntlets_broon.webp</t>
  </si>
  <si>
    <t>Broon Gamberson Greaves</t>
  </si>
  <si>
    <t>modules/a-knights-dream/Item/equip_armor_gamberson_greaves_broon.webp</t>
  </si>
  <si>
    <t>Broon Gamberson Helmet</t>
  </si>
  <si>
    <t>modules/a-knights-dream/Item/equip_armor_gamberson_helmet_broon.webp</t>
  </si>
  <si>
    <t>Broon Gamberson Pauldron</t>
  </si>
  <si>
    <t>modules/a-knights-dream/Item/equip_armor_gamberson_pauldron_broon.webp</t>
  </si>
  <si>
    <t>Broon Hauberk Cuirass</t>
  </si>
  <si>
    <t>modules/a-knights-dream/Item/equip_armor_hauberk_cuirass_broon.webp</t>
  </si>
  <si>
    <t>Broon Hauberk Gauntlets</t>
  </si>
  <si>
    <t>modules/a-knights-dream/Item/equip_armor_hauberk_gauntlets_broon.webp</t>
  </si>
  <si>
    <t>Broon Hauberk Greaves</t>
  </si>
  <si>
    <t>modules/a-knights-dream/Item/equip_armor_hauberk_greaves_broon.webp</t>
  </si>
  <si>
    <t>Broon Hauberk Helmet</t>
  </si>
  <si>
    <t>modules/a-knights-dream/Item/equip_armor_hauberk_helmet_broon.webp</t>
  </si>
  <si>
    <t>Broon Hauberk Pauldron</t>
  </si>
  <si>
    <t>modules/a-knights-dream/Item/equip_armor_hauberk_pauldron_broon.webp</t>
  </si>
  <si>
    <t>Broon Jack Cuirass</t>
  </si>
  <si>
    <t>modules/a-knights-dream/Item/equip_armor_jack_cuirass_broon.webp</t>
  </si>
  <si>
    <t>Broon Jack Gauntlets</t>
  </si>
  <si>
    <t>modules/a-knights-dream/Item/equip_armor_jack_gauntlets_broon.webp</t>
  </si>
  <si>
    <t>Broon Jack Greaves</t>
  </si>
  <si>
    <t>modules/a-knights-dream/Item/equip_armor_jack_greaves_broon.webp</t>
  </si>
  <si>
    <t>Broon Jack Helmet</t>
  </si>
  <si>
    <t>modules/a-knights-dream/Item/equip_armor_jack_helmet_broon.webp</t>
  </si>
  <si>
    <t>Broon Jack Pauldron</t>
  </si>
  <si>
    <t>modules/a-knights-dream/Item/equip_armor_jack_pauldron_broon.webp</t>
  </si>
  <si>
    <t>Broon Lamellar Cuirass</t>
  </si>
  <si>
    <t>modules/a-knights-dream/Item/equip_armor_lamellar_cuirass_broon.webp</t>
  </si>
  <si>
    <t>Broon Lamellar Gauntlets</t>
  </si>
  <si>
    <t>modules/a-knights-dream/Item/equip_armor_lamellar_gauntlets_broon.webp</t>
  </si>
  <si>
    <t>Broon Lamellar Greaves</t>
  </si>
  <si>
    <t>modules/a-knights-dream/Item/equip_armor_lamellar_greaves_broon.webp</t>
  </si>
  <si>
    <t>Broon Lamellar Helmet</t>
  </si>
  <si>
    <t>modules/a-knights-dream/Item/equip_armor_lamellar_helmet_broon.webp</t>
  </si>
  <si>
    <t>Broon Lamellar Pauldron</t>
  </si>
  <si>
    <t>modules/a-knights-dream/Item/equip_armor_lamellar_pauldron_broon.webp</t>
  </si>
  <si>
    <t>Broon Platemail Cuirass</t>
  </si>
  <si>
    <t>modules/a-knights-dream/Item/equip_armor_platemail_cuirass_broon.webp</t>
  </si>
  <si>
    <t>Broon Platemail Gauntlets</t>
  </si>
  <si>
    <t>modules/a-knights-dream/Item/equip_armor_platemail_gauntlets_broon.webp</t>
  </si>
  <si>
    <t>Broon Platemail Greaves</t>
  </si>
  <si>
    <t>modules/a-knights-dream/Item/equip_armor_platemail_greaves_broon.webp</t>
  </si>
  <si>
    <t>Broon Platemail Helmet</t>
  </si>
  <si>
    <t>modules/a-knights-dream/Item/equip_armor_platemail_helmet_broon.webp</t>
  </si>
  <si>
    <t>Broon Platemail Pauldron</t>
  </si>
  <si>
    <t>modules/a-knights-dream/Item/equip_armor_platemail_pauldron_broon.webp</t>
  </si>
  <si>
    <t>Broon Tunic Cuirass</t>
  </si>
  <si>
    <t>modules/a-knights-dream/Item/equip_armor_tunic_cuirass_broon.webp</t>
  </si>
  <si>
    <t>Broon Tunic Gauntlets</t>
  </si>
  <si>
    <t>modules/a-knights-dream/Item/equip_armor_tunic_gauntlets_broon.webp</t>
  </si>
  <si>
    <t>Broon Tunic Greaves</t>
  </si>
  <si>
    <t>modules/a-knights-dream/Item/equip_armor_tunic_greaves_broon.webp</t>
  </si>
  <si>
    <t>Broon Tunic Helmet</t>
  </si>
  <si>
    <t>modules/a-knights-dream/Item/equip_armor_tunic_helmet_broon.webp</t>
  </si>
  <si>
    <t>Broon Tunic Pauldron</t>
  </si>
  <si>
    <t>modules/a-knights-dream/Item/equip_armor_tunic_pauldron_broon.webp</t>
  </si>
  <si>
    <t>Broon Buckler Shield</t>
  </si>
  <si>
    <t>modules/a-knights-dream/Item/equip_armor_shield_buckler_broon.webp</t>
  </si>
  <si>
    <t>Broon Heater Shield</t>
  </si>
  <si>
    <t>modules/a-knights-dream/Item/equip_armor_shield_heater_broon.webp</t>
  </si>
  <si>
    <t>Broon Kite Shield</t>
  </si>
  <si>
    <t>modules/a-knights-dream/Item/equip_armor_shield_kite_broon.webp</t>
  </si>
  <si>
    <t>Broon Oval Shield</t>
  </si>
  <si>
    <t>modules/a-knights-dream/Item/equip_armor_shield_oval_broon.webp</t>
  </si>
  <si>
    <t>Broon Round Shield</t>
  </si>
  <si>
    <t>modules/a-knights-dream/Item/equip_armor_shield_round_broon.webp</t>
  </si>
  <si>
    <t>Broon Tower Shield</t>
  </si>
  <si>
    <t>modules/a-knights-dream/Item/equip_armor_shield_tower_broon.webp</t>
  </si>
  <si>
    <t>Darkleaf</t>
  </si>
  <si>
    <t>Darkleaf Ball Bearings</t>
  </si>
  <si>
    <t>modules/a-knights-dream/Item/equip_weapon_bearings_darkleaf.webp</t>
  </si>
  <si>
    <t>Darkleaf Bardiche</t>
  </si>
  <si>
    <t>modules/a-knights-dream/Item/equip_weapon_bardiche_darkleaf.webp</t>
  </si>
  <si>
    <t>Darkleaf Bastard Sword</t>
  </si>
  <si>
    <t>modules/a-knights-dream/Item/equip_weapon_sword_bastard_darkleaf.webp</t>
  </si>
  <si>
    <t>Darkleaf Battle Axe</t>
  </si>
  <si>
    <t>modules/a-knights-dream/Item/equip_weapon_axe_battle_darkleaf.webp</t>
  </si>
  <si>
    <t>Darkleaf Blowgun</t>
  </si>
  <si>
    <t>modules/a-knights-dream/Item/equip_weapon_blowgun_darkleaf.webp</t>
  </si>
  <si>
    <t>Darkleaf Bolt</t>
  </si>
  <si>
    <t>modules/a-knights-dream/Item/equip_weapon_bolt_darkleaf.webp</t>
  </si>
  <si>
    <t>Darkleaf Boomerang</t>
  </si>
  <si>
    <t>modules/a-knights-dream/Item/equip_weapon_boomerang_darkleaf.webp</t>
  </si>
  <si>
    <t>Darkleaf Bow</t>
  </si>
  <si>
    <t>modules/a-knights-dream/Item/equip_weapon_bow_darkleaf.webp</t>
  </si>
  <si>
    <t>Darkleaf Caltrops</t>
  </si>
  <si>
    <t>modules/a-knights-dream/Item/equip_weapon_caltrops_darkleaf.webp</t>
  </si>
  <si>
    <t>Darkleaf Cestus</t>
  </si>
  <si>
    <t>modules/a-knights-dream/Item/equip_weapon_cestus_darkleaf.webp</t>
  </si>
  <si>
    <t>Darkleaf Chain</t>
  </si>
  <si>
    <t>modules/a-knights-dream/Item/equip_weapon_chain_darkleaf.webp</t>
  </si>
  <si>
    <t>Darkleaf Claymore</t>
  </si>
  <si>
    <t>modules/a-knights-dream/Item/equip_weapon_claymore_darkleaf.webp</t>
  </si>
  <si>
    <t>Darkleaf Club</t>
  </si>
  <si>
    <t>modules/a-knights-dream/Item/equip_weapon_club_darkleaf.webp</t>
  </si>
  <si>
    <t>Darkleaf Compound Bow</t>
  </si>
  <si>
    <t>modules/a-knights-dream/Item/equip_weapon_bow_compound_darkleaf.webp</t>
  </si>
  <si>
    <t>Darkleaf Cutlass</t>
  </si>
  <si>
    <t>modules/a-knights-dream/Item/equip_weapon_cutlass_darkleaf.webp</t>
  </si>
  <si>
    <t>Darkleaf Dagger</t>
  </si>
  <si>
    <t>modules/a-knights-dream/Item/equip_weapon_dagger_darkleaf.webp</t>
  </si>
  <si>
    <t>Darkleaf Dart</t>
  </si>
  <si>
    <t>modules/a-knights-dream/Item/equip_weapon_dart_darkleaf.webp</t>
  </si>
  <si>
    <t>Darkleaf Fauchard Scythe</t>
  </si>
  <si>
    <t>modules/a-knights-dream/Item/equip_weapon_scythe_fauchard_darkleaf.webp</t>
  </si>
  <si>
    <t>Darkleaf Flail</t>
  </si>
  <si>
    <t>modules/a-knights-dream/Item/equip_weapon_flail_darkleaf.webp</t>
  </si>
  <si>
    <t>Darkleaf Glaive</t>
  </si>
  <si>
    <t>modules/a-knights-dream/Item/equip_weapon_glaive_darkleaf.webp</t>
  </si>
  <si>
    <t>Darkleaf Grapple Hook</t>
  </si>
  <si>
    <t>modules/a-knights-dream/Item/equip_weapon_hook_grapple_darkleaf.webp</t>
  </si>
  <si>
    <t>Darkleaf Great Axe</t>
  </si>
  <si>
    <t>modules/a-knights-dream/Item/equip_weapon_axe_great_darkleaf.webp</t>
  </si>
  <si>
    <t>Darkleaf Great Club</t>
  </si>
  <si>
    <t>modules/a-knights-dream/Item/equip_weapon_club_great_darkleaf.webp</t>
  </si>
  <si>
    <t>Darkleaf Great Khyber</t>
  </si>
  <si>
    <t>modules/a-knights-dream/Item/equip_weapon_khyber_great_darkleaf.webp</t>
  </si>
  <si>
    <t>Darkleaf Great Konda</t>
  </si>
  <si>
    <t>modules/a-knights-dream/Item/equip_weapon_konda_great_darkleaf.webp</t>
  </si>
  <si>
    <t>Darkleaf Great Labrys</t>
  </si>
  <si>
    <t>modules/a-knights-dream/Item/equip_weapon_axe_labrys_great_darkleaf.webp</t>
  </si>
  <si>
    <t>Darkleaf Great Mace</t>
  </si>
  <si>
    <t>modules/a-knights-dream/Item/equip_weapon_mace_great_darkleaf.webp</t>
  </si>
  <si>
    <t>Darkleaf Great Tapal</t>
  </si>
  <si>
    <t>modules/a-knights-dream/Item/equip_weapon_tapal_great_darkleaf.webp</t>
  </si>
  <si>
    <t>Darkleaf Great War Bow</t>
  </si>
  <si>
    <t>modules/a-knights-dream/Item/equip_weapon_bow_war_great_darkleaf.webp</t>
  </si>
  <si>
    <t>Darkleaf Great War Hammer</t>
  </si>
  <si>
    <t>modules/a-knights-dream/Item/equip_weapon_hammer_war_great_darkleaf.webp</t>
  </si>
  <si>
    <t>Darkleaf Great War Pick</t>
  </si>
  <si>
    <t>modules/a-knights-dream/Item/equip_weapon_pick_war_great_darkleaf.webp</t>
  </si>
  <si>
    <t>Darkleaf Guisarme</t>
  </si>
  <si>
    <t>modules/a-knights-dream/Item/equip_weapon_guisarme_darkleaf.webp</t>
  </si>
  <si>
    <t>Darkleaf Halberd</t>
  </si>
  <si>
    <t>modules/a-knights-dream/Item/equip_weapon_halberd_darkleaf.webp</t>
  </si>
  <si>
    <t>Darkleaf Hand Crossbow</t>
  </si>
  <si>
    <t>modules/a-knights-dream/Item/equip_weapon_crossbow_hand_darkleaf.webp</t>
  </si>
  <si>
    <t>Darkleaf Hand axe</t>
  </si>
  <si>
    <t>modules/a-knights-dream/Item/equip_weapon_axe_hand_darkleaf.webp</t>
  </si>
  <si>
    <t>Darkleaf Heavy Crossbow</t>
  </si>
  <si>
    <t>modules/a-knights-dream/Item/equip_weapon_crossbow_heavy_darkleaf.webp</t>
  </si>
  <si>
    <t>Darkleaf Hunting Trap</t>
  </si>
  <si>
    <t>modules/a-knights-dream/Item/equip_weapon_trap_hunting_darkleaf.webp</t>
  </si>
  <si>
    <t>Darkleaf Hunting Trap (Large)</t>
  </si>
  <si>
    <t>modules/a-knights-dream/Item/equip_weapon_trap_hunting_large_darkleaf.webp</t>
  </si>
  <si>
    <t>Darkleaf Hunting Trap (Small)</t>
  </si>
  <si>
    <t>modules/a-knights-dream/Item/equip_weapon_trap_hunting_small_darkleaf.webp</t>
  </si>
  <si>
    <t>Darkleaf Javelin</t>
  </si>
  <si>
    <t>modules/a-knights-dream/Item/equip_weapon_javelin_darkleaf.webp</t>
  </si>
  <si>
    <t>Darkleaf Khpesh</t>
  </si>
  <si>
    <t>modules/a-knights-dream/Item/equip_weapon_khpesh_darkleaf.webp</t>
  </si>
  <si>
    <t>Darkleaf Khyber</t>
  </si>
  <si>
    <t>modules/a-knights-dream/Item/equip_weapon_khyber_darkleaf.webp</t>
  </si>
  <si>
    <t>Darkleaf Konda</t>
  </si>
  <si>
    <t>modules/a-knights-dream/Item/equip_weapon_konda_darkleaf.webp</t>
  </si>
  <si>
    <t>Darkleaf Labrys</t>
  </si>
  <si>
    <t>modules/a-knights-dream/Item/equip_weapon_axe_labrys_darkleaf.webp</t>
  </si>
  <si>
    <t>Darkleaf Lance</t>
  </si>
  <si>
    <t>modules/a-knights-dream/Item/equip_weapon_lance_darkleaf.webp</t>
  </si>
  <si>
    <t>Darkleaf Light Crossbow</t>
  </si>
  <si>
    <t>modules/a-knights-dream/Item/equip_weapon_crossbow_light_darkleaf.webp</t>
  </si>
  <si>
    <t>Darkleaf Long Bow</t>
  </si>
  <si>
    <t>modules/a-knights-dream/Item/equip_weapon_bow_long_darkleaf.webp</t>
  </si>
  <si>
    <t>Darkleaf Long Spear</t>
  </si>
  <si>
    <t>modules/a-knights-dream/Item/equip_weapon_spear_long_darkleaf.webp</t>
  </si>
  <si>
    <t>Darkleaf Lucerince Hammer</t>
  </si>
  <si>
    <t>modules/a-knights-dream/Item/equip_weapon_hammer_lucerince_darkleaf.webp</t>
  </si>
  <si>
    <t>Darkleaf Mace</t>
  </si>
  <si>
    <t>modules/a-knights-dream/Item/equip_weapon_mace_darkleaf.webp</t>
  </si>
  <si>
    <t>Darkleaf Morningstar</t>
  </si>
  <si>
    <t>modules/a-knights-dream/Item/equip_weapon_morningstar_darkleaf.webp</t>
  </si>
  <si>
    <t>Darkleaf Pike</t>
  </si>
  <si>
    <t>modules/a-knights-dream/Item/equip_weapon_pike_darkleaf.webp</t>
  </si>
  <si>
    <t>Darkleaf Quarter Staff</t>
  </si>
  <si>
    <t>modules/a-knights-dream/Item/equip_weapon_staff_quarter_darkleaf.webp</t>
  </si>
  <si>
    <t>Darkleaf Ranseur</t>
  </si>
  <si>
    <t>modules/a-knights-dream/Item/equip_weapon_ranseur_darkleaf.webp</t>
  </si>
  <si>
    <t>Darkleaf Rapier</t>
  </si>
  <si>
    <t>modules/a-knights-dream/Item/equip_weapon_rapier_darkleaf.webp</t>
  </si>
  <si>
    <t>Darkleaf Recurve Bow</t>
  </si>
  <si>
    <t>modules/a-knights-dream/Item/equip_weapon_bow_recurve_darkleaf.webp</t>
  </si>
  <si>
    <t>Darkleaf Repeater Crossbow</t>
  </si>
  <si>
    <t>modules/a-knights-dream/Item/equip_weapon_crossbow_repeater_darkleaf.webp</t>
  </si>
  <si>
    <t>Darkleaf Sabre</t>
  </si>
  <si>
    <t>modules/a-knights-dream/Item/equip_weapon_sabre_darkleaf.webp</t>
  </si>
  <si>
    <t>Darkleaf Scimitar</t>
  </si>
  <si>
    <t>modules/a-knights-dream/Item/equip_weapon_scimitar_darkleaf.webp</t>
  </si>
  <si>
    <t>Darkleaf Scythe</t>
  </si>
  <si>
    <t>modules/a-knights-dream/Item/equip_weapon_scythe_darkleaf.webp</t>
  </si>
  <si>
    <t>Darkleaf Short Bow</t>
  </si>
  <si>
    <t>modules/a-knights-dream/Item/equip_weapon_bow_short_darkleaf.webp</t>
  </si>
  <si>
    <t>Darkleaf Short Spear</t>
  </si>
  <si>
    <t>modules/a-knights-dream/Item/equip_weapon_spear_short_darkleaf.webp</t>
  </si>
  <si>
    <t>Darkleaf Short Sword</t>
  </si>
  <si>
    <t>modules/a-knights-dream/Item/equip_weapon_sword_short_darkleaf.webp</t>
  </si>
  <si>
    <t>Darkleaf Shotel</t>
  </si>
  <si>
    <t>modules/a-knights-dream/Item/equip_weapon_shotel_darkleaf.webp</t>
  </si>
  <si>
    <t>Darkleaf Sickle</t>
  </si>
  <si>
    <t>modules/a-knights-dream/Item/equip_weapon_sickle_darkleaf.webp</t>
  </si>
  <si>
    <t>Darkleaf Sling</t>
  </si>
  <si>
    <t>modules/a-knights-dream/Item/equip_weapon_sling_darkleaf.webp</t>
  </si>
  <si>
    <t>Darkleaf Staff</t>
  </si>
  <si>
    <t>modules/a-knights-dream/Item/equip_weapon_staff_darkleaf.webp</t>
  </si>
  <si>
    <t>Darkleaf Staff Sling</t>
  </si>
  <si>
    <t>modules/a-knights-dream/Item/equip_weapon_sling_staff_darkleaf.webp</t>
  </si>
  <si>
    <t>Darkleaf Sword</t>
  </si>
  <si>
    <t>modules/a-knights-dream/Item/equip_weapon_sword_darkleaf.webp</t>
  </si>
  <si>
    <t>Darkleaf Tapal</t>
  </si>
  <si>
    <t>modules/a-knights-dream/Item/equip_weapon_tapal_darkleaf.webp</t>
  </si>
  <si>
    <t>Darkleaf Trident</t>
  </si>
  <si>
    <t>modules/a-knights-dream/Item/equip_weapon_trident_darkleaf.webp</t>
  </si>
  <si>
    <t>Darkleaf War Hammer</t>
  </si>
  <si>
    <t>modules/a-knights-dream/Item/equip_weapon_hammer_war_darkleaf.webp</t>
  </si>
  <si>
    <t>Darkleaf War Pick</t>
  </si>
  <si>
    <t>modules/a-knights-dream/Item/equip_weapon_pick_war_darkleaf.webp</t>
  </si>
  <si>
    <t>Darkleaf Brigantine Cuirass</t>
  </si>
  <si>
    <t>modules/a-knights-dream/Item/equip_armor_brigantine_cuirass_darkleaf.webp</t>
  </si>
  <si>
    <t>Darkleaf Brigantine Gauntlets</t>
  </si>
  <si>
    <t>modules/a-knights-dream/Item/equip_armor_brigantine_gauntlets_darkleaf.webp</t>
  </si>
  <si>
    <t>Darkleaf Brigantine Greaves</t>
  </si>
  <si>
    <t>modules/a-knights-dream/Item/equip_armor_brigantine_greaves_darkleaf.webp</t>
  </si>
  <si>
    <t>Darkleaf Brigantine Helmet</t>
  </si>
  <si>
    <t>modules/a-knights-dream/Item/equip_armor_brigantine_helmet_darkleaf.webp</t>
  </si>
  <si>
    <t>Darkleaf Brigantine Pauldron</t>
  </si>
  <si>
    <t>modules/a-knights-dream/Item/equip_armor_brigantine_pauldron_darkleaf.webp</t>
  </si>
  <si>
    <t>Darkleaf Chainmail Cuirass</t>
  </si>
  <si>
    <t>modules/a-knights-dream/Item/equip_armor_chainmail_cuirass_darkleaf.webp</t>
  </si>
  <si>
    <t>Darkleaf Chainmail Gauntlets</t>
  </si>
  <si>
    <t>modules/a-knights-dream/Item/equip_armor_chainmail_gauntlets_darkleaf.webp</t>
  </si>
  <si>
    <t>Darkleaf Chainmail Greaves</t>
  </si>
  <si>
    <t>modules/a-knights-dream/Item/equip_armor_chainmail_greaves_darkleaf.webp</t>
  </si>
  <si>
    <t>Darkleaf Chainmail Helmet</t>
  </si>
  <si>
    <t>modules/a-knights-dream/Item/equip_armor_chainmail_helmet_darkleaf.webp</t>
  </si>
  <si>
    <t>Darkleaf Chainmail Pauldron</t>
  </si>
  <si>
    <t>modules/a-knights-dream/Item/equip_armor_chainmail_pauldron_darkleaf.webp</t>
  </si>
  <si>
    <t>Darkleaf Gamberson Cuirass</t>
  </si>
  <si>
    <t>modules/a-knights-dream/Item/equip_armor_gamberson_cuirass_darkleaf.webp</t>
  </si>
  <si>
    <t>Darkleaf Gamberson Gauntlets</t>
  </si>
  <si>
    <t>modules/a-knights-dream/Item/equip_armor_gamberson_gauntlets_darkleaf.webp</t>
  </si>
  <si>
    <t>Darkleaf Gamberson Greaves</t>
  </si>
  <si>
    <t>modules/a-knights-dream/Item/equip_armor_gamberson_greaves_darkleaf.webp</t>
  </si>
  <si>
    <t>Darkleaf Gamberson Helmet</t>
  </si>
  <si>
    <t>modules/a-knights-dream/Item/equip_armor_gamberson_helmet_darkleaf.webp</t>
  </si>
  <si>
    <t>Darkleaf Gamberson Pauldron</t>
  </si>
  <si>
    <t>modules/a-knights-dream/Item/equip_armor_gamberson_pauldron_darkleaf.webp</t>
  </si>
  <si>
    <t>Darkleaf Hauberk Cuirass</t>
  </si>
  <si>
    <t>modules/a-knights-dream/Item/equip_armor_hauberk_cuirass_darkleaf.webp</t>
  </si>
  <si>
    <t>Darkleaf Hauberk Gauntlets</t>
  </si>
  <si>
    <t>modules/a-knights-dream/Item/equip_armor_hauberk_gauntlets_darkleaf.webp</t>
  </si>
  <si>
    <t>Darkleaf Hauberk Greaves</t>
  </si>
  <si>
    <t>modules/a-knights-dream/Item/equip_armor_hauberk_greaves_darkleaf.webp</t>
  </si>
  <si>
    <t>Darkleaf Hauberk Helmet</t>
  </si>
  <si>
    <t>modules/a-knights-dream/Item/equip_armor_hauberk_helmet_darkleaf.webp</t>
  </si>
  <si>
    <t>Darkleaf Hauberk Pauldron</t>
  </si>
  <si>
    <t>modules/a-knights-dream/Item/equip_armor_hauberk_pauldron_darkleaf.webp</t>
  </si>
  <si>
    <t>Darkleaf Jack Cuirass</t>
  </si>
  <si>
    <t>modules/a-knights-dream/Item/equip_armor_jack_cuirass_darkleaf.webp</t>
  </si>
  <si>
    <t>Darkleaf Jack Gauntlets</t>
  </si>
  <si>
    <t>modules/a-knights-dream/Item/equip_armor_jack_gauntlets_darkleaf.webp</t>
  </si>
  <si>
    <t>Darkleaf Jack Greaves</t>
  </si>
  <si>
    <t>modules/a-knights-dream/Item/equip_armor_jack_greaves_darkleaf.webp</t>
  </si>
  <si>
    <t>Darkleaf Jack Helmet</t>
  </si>
  <si>
    <t>modules/a-knights-dream/Item/equip_armor_jack_helmet_darkleaf.webp</t>
  </si>
  <si>
    <t>Darkleaf Jack Pauldron</t>
  </si>
  <si>
    <t>modules/a-knights-dream/Item/equip_armor_jack_pauldron_darkleaf.webp</t>
  </si>
  <si>
    <t>Darkleaf Lamellar Cuirass</t>
  </si>
  <si>
    <t>modules/a-knights-dream/Item/equip_armor_lamellar_cuirass_darkleaf.webp</t>
  </si>
  <si>
    <t>Darkleaf Lamellar Gauntlets</t>
  </si>
  <si>
    <t>modules/a-knights-dream/Item/equip_armor_lamellar_gauntlets_darkleaf.webp</t>
  </si>
  <si>
    <t>Darkleaf Lamellar Greaves</t>
  </si>
  <si>
    <t>modules/a-knights-dream/Item/equip_armor_lamellar_greaves_darkleaf.webp</t>
  </si>
  <si>
    <t>Darkleaf Lamellar Helmet</t>
  </si>
  <si>
    <t>modules/a-knights-dream/Item/equip_armor_lamellar_helmet_darkleaf.webp</t>
  </si>
  <si>
    <t>Darkleaf Lamellar Pauldron</t>
  </si>
  <si>
    <t>modules/a-knights-dream/Item/equip_armor_lamellar_pauldron_darkleaf.webp</t>
  </si>
  <si>
    <t>Darkleaf Platemail Cuirass</t>
  </si>
  <si>
    <t>modules/a-knights-dream/Item/equip_armor_platemail_cuirass_darkleaf.webp</t>
  </si>
  <si>
    <t>Darkleaf Platemail Gauntlets</t>
  </si>
  <si>
    <t>modules/a-knights-dream/Item/equip_armor_platemail_gauntlets_darkleaf.webp</t>
  </si>
  <si>
    <t>Darkleaf Platemail Greaves</t>
  </si>
  <si>
    <t>modules/a-knights-dream/Item/equip_armor_platemail_greaves_darkleaf.webp</t>
  </si>
  <si>
    <t>Darkleaf Platemail Helmet</t>
  </si>
  <si>
    <t>modules/a-knights-dream/Item/equip_armor_platemail_helmet_darkleaf.webp</t>
  </si>
  <si>
    <t>Darkleaf Platemail Pauldron</t>
  </si>
  <si>
    <t>modules/a-knights-dream/Item/equip_armor_platemail_pauldron_darkleaf.webp</t>
  </si>
  <si>
    <t>Darkleaf Tunic Cuirass</t>
  </si>
  <si>
    <t>modules/a-knights-dream/Item/equip_armor_tunic_cuirass_darkleaf.webp</t>
  </si>
  <si>
    <t>Darkleaf Tunic Gauntlets</t>
  </si>
  <si>
    <t>modules/a-knights-dream/Item/equip_armor_tunic_gauntlets_darkleaf.webp</t>
  </si>
  <si>
    <t>Darkleaf Tunic Greaves</t>
  </si>
  <si>
    <t>modules/a-knights-dream/Item/equip_armor_tunic_greaves_darkleaf.webp</t>
  </si>
  <si>
    <t>Darkleaf Tunic Helmet</t>
  </si>
  <si>
    <t>modules/a-knights-dream/Item/equip_armor_tunic_helmet_darkleaf.webp</t>
  </si>
  <si>
    <t>Darkleaf Tunic Pauldron</t>
  </si>
  <si>
    <t>modules/a-knights-dream/Item/equip_armor_tunic_pauldron_darkleaf.webp</t>
  </si>
  <si>
    <t>Darkleaf Buckler Shield</t>
  </si>
  <si>
    <t>modules/a-knights-dream/Item/equip_armor_shield_buckler_darkleaf.webp</t>
  </si>
  <si>
    <t>Darkleaf Heater Shield</t>
  </si>
  <si>
    <t>modules/a-knights-dream/Item/equip_armor_shield_heater_darkleaf.webp</t>
  </si>
  <si>
    <t>Darkleaf Kite Shield</t>
  </si>
  <si>
    <t>modules/a-knights-dream/Item/equip_armor_shield_kite_darkleaf.webp</t>
  </si>
  <si>
    <t>Darkleaf Oval Shield</t>
  </si>
  <si>
    <t>modules/a-knights-dream/Item/equip_armor_shield_oval_darkleaf.webp</t>
  </si>
  <si>
    <t>Darkleaf Round Shield</t>
  </si>
  <si>
    <t>modules/a-knights-dream/Item/equip_armor_shield_round_darkleaf.webp</t>
  </si>
  <si>
    <t>Darkleaf Tower Shield</t>
  </si>
  <si>
    <t>modules/a-knights-dream/Item/equip_armor_shield_tower_darkleaf.webp</t>
  </si>
  <si>
    <t>Duskette</t>
  </si>
  <si>
    <t>Duskette Ball Bearings</t>
  </si>
  <si>
    <t>modules/a-knights-dream/Item/equip_weapon_bearings_duskette.webp</t>
  </si>
  <si>
    <t>Duskette Bardiche</t>
  </si>
  <si>
    <t>modules/a-knights-dream/Item/equip_weapon_bardiche_duskette.webp</t>
  </si>
  <si>
    <t>Duskette Bastard Sword</t>
  </si>
  <si>
    <t>modules/a-knights-dream/Item/equip_weapon_sword_bastard_duskette.webp</t>
  </si>
  <si>
    <t>Duskette Battle Axe</t>
  </si>
  <si>
    <t>modules/a-knights-dream/Item/equip_weapon_axe_battle_duskette.webp</t>
  </si>
  <si>
    <t>Duskette Blowgun</t>
  </si>
  <si>
    <t>modules/a-knights-dream/Item/equip_weapon_blowgun_duskette.webp</t>
  </si>
  <si>
    <t>Duskette Bolt</t>
  </si>
  <si>
    <t>modules/a-knights-dream/Item/equip_weapon_bolt_duskette.webp</t>
  </si>
  <si>
    <t>Duskette Boomerang</t>
  </si>
  <si>
    <t>modules/a-knights-dream/Item/equip_weapon_boomerang_duskette.webp</t>
  </si>
  <si>
    <t>Duskette Bow</t>
  </si>
  <si>
    <t>modules/a-knights-dream/Item/equip_weapon_bow_duskette.webp</t>
  </si>
  <si>
    <t>Duskette Caltrops</t>
  </si>
  <si>
    <t>modules/a-knights-dream/Item/equip_weapon_caltrops_duskette.webp</t>
  </si>
  <si>
    <t>Duskette Cestus</t>
  </si>
  <si>
    <t>modules/a-knights-dream/Item/equip_weapon_cestus_duskette.webp</t>
  </si>
  <si>
    <t>Duskette Chain</t>
  </si>
  <si>
    <t>modules/a-knights-dream/Item/equip_weapon_chain_duskette.webp</t>
  </si>
  <si>
    <t>Duskette Claymore</t>
  </si>
  <si>
    <t>modules/a-knights-dream/Item/equip_weapon_claymore_duskette.webp</t>
  </si>
  <si>
    <t>Duskette Club</t>
  </si>
  <si>
    <t>modules/a-knights-dream/Item/equip_weapon_club_duskette.webp</t>
  </si>
  <si>
    <t>Duskette Compound Bow</t>
  </si>
  <si>
    <t>modules/a-knights-dream/Item/equip_weapon_bow_compound_duskette.webp</t>
  </si>
  <si>
    <t>Duskette Cutlass</t>
  </si>
  <si>
    <t>modules/a-knights-dream/Item/equip_weapon_cutlass_duskette.webp</t>
  </si>
  <si>
    <t>Duskette Dagger</t>
  </si>
  <si>
    <t>modules/a-knights-dream/Item/equip_weapon_dagger_duskette.webp</t>
  </si>
  <si>
    <t>Duskette Dart</t>
  </si>
  <si>
    <t>modules/a-knights-dream/Item/equip_weapon_dart_duskette.webp</t>
  </si>
  <si>
    <t>Duskette Fauchard Scythe</t>
  </si>
  <si>
    <t>modules/a-knights-dream/Item/equip_weapon_scythe_fauchard_duskette.webp</t>
  </si>
  <si>
    <t>Duskette Flail</t>
  </si>
  <si>
    <t>modules/a-knights-dream/Item/equip_weapon_flail_duskette.webp</t>
  </si>
  <si>
    <t>Duskette Glaive</t>
  </si>
  <si>
    <t>modules/a-knights-dream/Item/equip_weapon_glaive_duskette.webp</t>
  </si>
  <si>
    <t>Duskette Grapple Hook</t>
  </si>
  <si>
    <t>modules/a-knights-dream/Item/equip_weapon_hook_grapple_duskette.webp</t>
  </si>
  <si>
    <t>Duskette Great Axe</t>
  </si>
  <si>
    <t>modules/a-knights-dream/Item/equip_weapon_axe_great_duskette.webp</t>
  </si>
  <si>
    <t>Duskette Great Club</t>
  </si>
  <si>
    <t>modules/a-knights-dream/Item/equip_weapon_club_great_duskette.webp</t>
  </si>
  <si>
    <t>Duskette Great Khyber</t>
  </si>
  <si>
    <t>modules/a-knights-dream/Item/equip_weapon_khyber_great_duskette.webp</t>
  </si>
  <si>
    <t>Duskette Great Konda</t>
  </si>
  <si>
    <t>modules/a-knights-dream/Item/equip_weapon_konda_great_duskette.webp</t>
  </si>
  <si>
    <t>Duskette Great Labrys</t>
  </si>
  <si>
    <t>modules/a-knights-dream/Item/equip_weapon_axe_labrys_great_duskette.webp</t>
  </si>
  <si>
    <t>Duskette Great Mace</t>
  </si>
  <si>
    <t>modules/a-knights-dream/Item/equip_weapon_mace_great_duskette.webp</t>
  </si>
  <si>
    <t>Duskette Great Tapal</t>
  </si>
  <si>
    <t>modules/a-knights-dream/Item/equip_weapon_tapal_great_duskette.webp</t>
  </si>
  <si>
    <t>Duskette Great War Bow</t>
  </si>
  <si>
    <t>modules/a-knights-dream/Item/equip_weapon_bow_war_great_duskette.webp</t>
  </si>
  <si>
    <t>Duskette Great War Hammer</t>
  </si>
  <si>
    <t>modules/a-knights-dream/Item/equip_weapon_hammer_war_great_duskette.webp</t>
  </si>
  <si>
    <t>Duskette Great War Pick</t>
  </si>
  <si>
    <t>modules/a-knights-dream/Item/equip_weapon_pick_war_great_duskette.webp</t>
  </si>
  <si>
    <t>Duskette Guisarme</t>
  </si>
  <si>
    <t>modules/a-knights-dream/Item/equip_weapon_guisarme_duskette.webp</t>
  </si>
  <si>
    <t>Duskette Halberd</t>
  </si>
  <si>
    <t>modules/a-knights-dream/Item/equip_weapon_halberd_duskette.webp</t>
  </si>
  <si>
    <t>Duskette Hand Crossbow</t>
  </si>
  <si>
    <t>modules/a-knights-dream/Item/equip_weapon_crossbow_hand_duskette.webp</t>
  </si>
  <si>
    <t>Duskette Hand axe</t>
  </si>
  <si>
    <t>modules/a-knights-dream/Item/equip_weapon_axe_hand_duskette.webp</t>
  </si>
  <si>
    <t>Duskette Heavy Crossbow</t>
  </si>
  <si>
    <t>modules/a-knights-dream/Item/equip_weapon_crossbow_heavy_duskette.webp</t>
  </si>
  <si>
    <t>Duskette Hunting Trap</t>
  </si>
  <si>
    <t>modules/a-knights-dream/Item/equip_weapon_trap_hunting_duskette.webp</t>
  </si>
  <si>
    <t>Duskette Hunting Trap (Large)</t>
  </si>
  <si>
    <t>modules/a-knights-dream/Item/equip_weapon_trap_hunting_large_duskette.webp</t>
  </si>
  <si>
    <t>Duskette Hunting Trap (Small)</t>
  </si>
  <si>
    <t>modules/a-knights-dream/Item/equip_weapon_trap_hunting_small_duskette.webp</t>
  </si>
  <si>
    <t>Duskette Javelin</t>
  </si>
  <si>
    <t>modules/a-knights-dream/Item/equip_weapon_javelin_duskette.webp</t>
  </si>
  <si>
    <t>Duskette Khpesh</t>
  </si>
  <si>
    <t>modules/a-knights-dream/Item/equip_weapon_khpesh_duskette.webp</t>
  </si>
  <si>
    <t>Duskette Khyber</t>
  </si>
  <si>
    <t>modules/a-knights-dream/Item/equip_weapon_khyber_duskette.webp</t>
  </si>
  <si>
    <t>Duskette Konda</t>
  </si>
  <si>
    <t>modules/a-knights-dream/Item/equip_weapon_konda_duskette.webp</t>
  </si>
  <si>
    <t>Duskette Labrys</t>
  </si>
  <si>
    <t>modules/a-knights-dream/Item/equip_weapon_axe_labrys_duskette.webp</t>
  </si>
  <si>
    <t>Duskette Lance</t>
  </si>
  <si>
    <t>modules/a-knights-dream/Item/equip_weapon_lance_duskette.webp</t>
  </si>
  <si>
    <t>Duskette Light Crossbow</t>
  </si>
  <si>
    <t>modules/a-knights-dream/Item/equip_weapon_crossbow_light_duskette.webp</t>
  </si>
  <si>
    <t>Duskette Long Bow</t>
  </si>
  <si>
    <t>modules/a-knights-dream/Item/equip_weapon_bow_long_duskette.webp</t>
  </si>
  <si>
    <t>Duskette Long Spear</t>
  </si>
  <si>
    <t>modules/a-knights-dream/Item/equip_weapon_spear_long_duskette.webp</t>
  </si>
  <si>
    <t>Duskette Lucerince Hammer</t>
  </si>
  <si>
    <t>modules/a-knights-dream/Item/equip_weapon_hammer_lucerince_duskette.webp</t>
  </si>
  <si>
    <t>Duskette Mace</t>
  </si>
  <si>
    <t>modules/a-knights-dream/Item/equip_weapon_mace_duskette.webp</t>
  </si>
  <si>
    <t>Duskette Morningstar</t>
  </si>
  <si>
    <t>modules/a-knights-dream/Item/equip_weapon_morningstar_duskette.webp</t>
  </si>
  <si>
    <t>Duskette Pike</t>
  </si>
  <si>
    <t>modules/a-knights-dream/Item/equip_weapon_pike_duskette.webp</t>
  </si>
  <si>
    <t>Duskette Quarter Staff</t>
  </si>
  <si>
    <t>modules/a-knights-dream/Item/equip_weapon_staff_quarter_duskette.webp</t>
  </si>
  <si>
    <t>Duskette Ranseur</t>
  </si>
  <si>
    <t>modules/a-knights-dream/Item/equip_weapon_ranseur_duskette.webp</t>
  </si>
  <si>
    <t>Duskette Rapier</t>
  </si>
  <si>
    <t>modules/a-knights-dream/Item/equip_weapon_rapier_duskette.webp</t>
  </si>
  <si>
    <t>Duskette Recurve Bow</t>
  </si>
  <si>
    <t>modules/a-knights-dream/Item/equip_weapon_bow_recurve_duskette.webp</t>
  </si>
  <si>
    <t>Duskette Repeater Crossbow</t>
  </si>
  <si>
    <t>modules/a-knights-dream/Item/equip_weapon_crossbow_repeater_duskette.webp</t>
  </si>
  <si>
    <t>Duskette Sabre</t>
  </si>
  <si>
    <t>modules/a-knights-dream/Item/equip_weapon_sabre_duskette.webp</t>
  </si>
  <si>
    <t>Duskette Scimitar</t>
  </si>
  <si>
    <t>modules/a-knights-dream/Item/equip_weapon_scimitar_duskette.webp</t>
  </si>
  <si>
    <t>Duskette Scythe</t>
  </si>
  <si>
    <t>modules/a-knights-dream/Item/equip_weapon_scythe_duskette.webp</t>
  </si>
  <si>
    <t>Duskette Short Bow</t>
  </si>
  <si>
    <t>modules/a-knights-dream/Item/equip_weapon_bow_short_duskette.webp</t>
  </si>
  <si>
    <t>Duskette Short Spear</t>
  </si>
  <si>
    <t>modules/a-knights-dream/Item/equip_weapon_spear_short_duskette.webp</t>
  </si>
  <si>
    <t>Duskette Short Sword</t>
  </si>
  <si>
    <t>modules/a-knights-dream/Item/equip_weapon_sword_short_duskette.webp</t>
  </si>
  <si>
    <t>Duskette Shotel</t>
  </si>
  <si>
    <t>modules/a-knights-dream/Item/equip_weapon_shotel_duskette.webp</t>
  </si>
  <si>
    <t>Duskette Sickle</t>
  </si>
  <si>
    <t>modules/a-knights-dream/Item/equip_weapon_sickle_duskette.webp</t>
  </si>
  <si>
    <t>Duskette Sling</t>
  </si>
  <si>
    <t>modules/a-knights-dream/Item/equip_weapon_sling_duskette.webp</t>
  </si>
  <si>
    <t>Duskette Staff</t>
  </si>
  <si>
    <t>modules/a-knights-dream/Item/equip_weapon_staff_duskette.webp</t>
  </si>
  <si>
    <t>Duskette Staff Sling</t>
  </si>
  <si>
    <t>modules/a-knights-dream/Item/equip_weapon_sling_staff_duskette.webp</t>
  </si>
  <si>
    <t>Duskette Sword</t>
  </si>
  <si>
    <t>modules/a-knights-dream/Item/equip_weapon_sword_duskette.webp</t>
  </si>
  <si>
    <t>Duskette Tapal</t>
  </si>
  <si>
    <t>modules/a-knights-dream/Item/equip_weapon_tapal_duskette.webp</t>
  </si>
  <si>
    <t>Duskette Trident</t>
  </si>
  <si>
    <t>modules/a-knights-dream/Item/equip_weapon_trident_duskette.webp</t>
  </si>
  <si>
    <t>Duskette War Hammer</t>
  </si>
  <si>
    <t>modules/a-knights-dream/Item/equip_weapon_hammer_war_duskette.webp</t>
  </si>
  <si>
    <t>Duskette War Pick</t>
  </si>
  <si>
    <t>modules/a-knights-dream/Item/equip_weapon_pick_war_duskette.webp</t>
  </si>
  <si>
    <t>Duskette Brigantine Cuirass</t>
  </si>
  <si>
    <t>modules/a-knights-dream/Item/equip_armor_brigantine_cuirass_duskette.webp</t>
  </si>
  <si>
    <t>Duskette Brigantine Gauntlets</t>
  </si>
  <si>
    <t>modules/a-knights-dream/Item/equip_armor_brigantine_gauntlets_duskette.webp</t>
  </si>
  <si>
    <t>Duskette Brigantine Greaves</t>
  </si>
  <si>
    <t>modules/a-knights-dream/Item/equip_armor_brigantine_greaves_duskette.webp</t>
  </si>
  <si>
    <t>Duskette Brigantine Helmet</t>
  </si>
  <si>
    <t>modules/a-knights-dream/Item/equip_armor_brigantine_helmet_duskette.webp</t>
  </si>
  <si>
    <t>Duskette Brigantine Pauldron</t>
  </si>
  <si>
    <t>modules/a-knights-dream/Item/equip_armor_brigantine_pauldron_duskette.webp</t>
  </si>
  <si>
    <t>Duskette Chainmail Cuirass</t>
  </si>
  <si>
    <t>modules/a-knights-dream/Item/equip_armor_chainmail_cuirass_duskette.webp</t>
  </si>
  <si>
    <t>Duskette Chainmail Gauntlets</t>
  </si>
  <si>
    <t>modules/a-knights-dream/Item/equip_armor_chainmail_gauntlets_duskette.webp</t>
  </si>
  <si>
    <t>Duskette Chainmail Greaves</t>
  </si>
  <si>
    <t>modules/a-knights-dream/Item/equip_armor_chainmail_greaves_duskette.webp</t>
  </si>
  <si>
    <t>Duskette Chainmail Helmet</t>
  </si>
  <si>
    <t>modules/a-knights-dream/Item/equip_armor_chainmail_helmet_duskette.webp</t>
  </si>
  <si>
    <t>Duskette Chainmail Pauldron</t>
  </si>
  <si>
    <t>modules/a-knights-dream/Item/equip_armor_chainmail_pauldron_duskette.webp</t>
  </si>
  <si>
    <t>Duskette Gamberson Cuirass</t>
  </si>
  <si>
    <t>modules/a-knights-dream/Item/equip_armor_gamberson_cuirass_duskette.webp</t>
  </si>
  <si>
    <t>Duskette Gamberson Gauntlets</t>
  </si>
  <si>
    <t>modules/a-knights-dream/Item/equip_armor_gamberson_gauntlets_duskette.webp</t>
  </si>
  <si>
    <t>Duskette Gamberson Greaves</t>
  </si>
  <si>
    <t>modules/a-knights-dream/Item/equip_armor_gamberson_greaves_duskette.webp</t>
  </si>
  <si>
    <t>Duskette Gamberson Helmet</t>
  </si>
  <si>
    <t>modules/a-knights-dream/Item/equip_armor_gamberson_helmet_duskette.webp</t>
  </si>
  <si>
    <t>Duskette Gamberson Pauldron</t>
  </si>
  <si>
    <t>modules/a-knights-dream/Item/equip_armor_gamberson_pauldron_duskette.webp</t>
  </si>
  <si>
    <t>Duskette Hauberk Cuirass</t>
  </si>
  <si>
    <t>modules/a-knights-dream/Item/equip_armor_hauberk_cuirass_duskette.webp</t>
  </si>
  <si>
    <t>Duskette Hauberk Gauntlets</t>
  </si>
  <si>
    <t>modules/a-knights-dream/Item/equip_armor_hauberk_gauntlets_duskette.webp</t>
  </si>
  <si>
    <t>Duskette Hauberk Greaves</t>
  </si>
  <si>
    <t>modules/a-knights-dream/Item/equip_armor_hauberk_greaves_duskette.webp</t>
  </si>
  <si>
    <t>Duskette Hauberk Helmet</t>
  </si>
  <si>
    <t>modules/a-knights-dream/Item/equip_armor_hauberk_helmet_duskette.webp</t>
  </si>
  <si>
    <t>Duskette Hauberk Pauldron</t>
  </si>
  <si>
    <t>modules/a-knights-dream/Item/equip_armor_hauberk_pauldron_duskette.webp</t>
  </si>
  <si>
    <t>Duskette Jack Cuirass</t>
  </si>
  <si>
    <t>modules/a-knights-dream/Item/equip_armor_jack_cuirass_duskette.webp</t>
  </si>
  <si>
    <t>Duskette Jack Gauntlets</t>
  </si>
  <si>
    <t>modules/a-knights-dream/Item/equip_armor_jack_gauntlets_duskette.webp</t>
  </si>
  <si>
    <t>Duskette Jack Greaves</t>
  </si>
  <si>
    <t>modules/a-knights-dream/Item/equip_armor_jack_greaves_duskette.webp</t>
  </si>
  <si>
    <t>Duskette Jack Helmet</t>
  </si>
  <si>
    <t>modules/a-knights-dream/Item/equip_armor_jack_helmet_duskette.webp</t>
  </si>
  <si>
    <t>Duskette Jack Pauldron</t>
  </si>
  <si>
    <t>modules/a-knights-dream/Item/equip_armor_jack_pauldron_duskette.webp</t>
  </si>
  <si>
    <t>Duskette Lamellar Cuirass</t>
  </si>
  <si>
    <t>modules/a-knights-dream/Item/equip_armor_lamellar_cuirass_duskette.webp</t>
  </si>
  <si>
    <t>Duskette Lamellar Gauntlets</t>
  </si>
  <si>
    <t>modules/a-knights-dream/Item/equip_armor_lamellar_gauntlets_duskette.webp</t>
  </si>
  <si>
    <t>Duskette Lamellar Greaves</t>
  </si>
  <si>
    <t>modules/a-knights-dream/Item/equip_armor_lamellar_greaves_duskette.webp</t>
  </si>
  <si>
    <t>Duskette Lamellar Helmet</t>
  </si>
  <si>
    <t>modules/a-knights-dream/Item/equip_armor_lamellar_helmet_duskette.webp</t>
  </si>
  <si>
    <t>Duskette Lamellar Pauldron</t>
  </si>
  <si>
    <t>modules/a-knights-dream/Item/equip_armor_lamellar_pauldron_duskette.webp</t>
  </si>
  <si>
    <t>Duskette Platemail Cuirass</t>
  </si>
  <si>
    <t>modules/a-knights-dream/Item/equip_armor_platemail_cuirass_duskette.webp</t>
  </si>
  <si>
    <t>Duskette Platemail Gauntlets</t>
  </si>
  <si>
    <t>modules/a-knights-dream/Item/equip_armor_platemail_gauntlets_duskette.webp</t>
  </si>
  <si>
    <t>Duskette Platemail Greaves</t>
  </si>
  <si>
    <t>modules/a-knights-dream/Item/equip_armor_platemail_greaves_duskette.webp</t>
  </si>
  <si>
    <t>Duskette Platemail Helmet</t>
  </si>
  <si>
    <t>modules/a-knights-dream/Item/equip_armor_platemail_helmet_duskette.webp</t>
  </si>
  <si>
    <t>Duskette Platemail Pauldron</t>
  </si>
  <si>
    <t>modules/a-knights-dream/Item/equip_armor_platemail_pauldron_duskette.webp</t>
  </si>
  <si>
    <t>Duskette Tunic Cuirass</t>
  </si>
  <si>
    <t>modules/a-knights-dream/Item/equip_armor_tunic_cuirass_duskette.webp</t>
  </si>
  <si>
    <t>Duskette Tunic Gauntlets</t>
  </si>
  <si>
    <t>modules/a-knights-dream/Item/equip_armor_tunic_gauntlets_duskette.webp</t>
  </si>
  <si>
    <t>Duskette Tunic Greaves</t>
  </si>
  <si>
    <t>modules/a-knights-dream/Item/equip_armor_tunic_greaves_duskette.webp</t>
  </si>
  <si>
    <t>Duskette Tunic Helmet</t>
  </si>
  <si>
    <t>modules/a-knights-dream/Item/equip_armor_tunic_helmet_duskette.webp</t>
  </si>
  <si>
    <t>Duskette Tunic Pauldron</t>
  </si>
  <si>
    <t>modules/a-knights-dream/Item/equip_armor_tunic_pauldron_duskette.webp</t>
  </si>
  <si>
    <t>Duskette Buckler Shield</t>
  </si>
  <si>
    <t>modules/a-knights-dream/Item/equip_armor_shield_buckler_duskette.webp</t>
  </si>
  <si>
    <t>Duskette Heater Shield</t>
  </si>
  <si>
    <t>modules/a-knights-dream/Item/equip_armor_shield_heater_duskette.webp</t>
  </si>
  <si>
    <t>Duskette Kite Shield</t>
  </si>
  <si>
    <t>modules/a-knights-dream/Item/equip_armor_shield_kite_duskette.webp</t>
  </si>
  <si>
    <t>Duskette Oval Shield</t>
  </si>
  <si>
    <t>modules/a-knights-dream/Item/equip_armor_shield_oval_duskette.webp</t>
  </si>
  <si>
    <t>Duskette Round Shield</t>
  </si>
  <si>
    <t>modules/a-knights-dream/Item/equip_armor_shield_round_duskette.webp</t>
  </si>
  <si>
    <t>Duskette Tower Shield</t>
  </si>
  <si>
    <t>modules/a-knights-dream/Item/equip_armor_shield_tower_duskette.webp</t>
  </si>
  <si>
    <t>Elder</t>
  </si>
  <si>
    <t>Elder Ball Bearings</t>
  </si>
  <si>
    <t>modules/a-knights-dream/Item/equip_weapon_bearings_elder.webp</t>
  </si>
  <si>
    <t>Elder Bardiche</t>
  </si>
  <si>
    <t>modules/a-knights-dream/Item/equip_weapon_bardiche_elder.webp</t>
  </si>
  <si>
    <t>Elder Bastard Sword</t>
  </si>
  <si>
    <t>modules/a-knights-dream/Item/equip_weapon_sword_bastard_elder.webp</t>
  </si>
  <si>
    <t>Elder Battle Axe</t>
  </si>
  <si>
    <t>modules/a-knights-dream/Item/equip_weapon_axe_battle_elder.webp</t>
  </si>
  <si>
    <t>Elder Blowgun</t>
  </si>
  <si>
    <t>modules/a-knights-dream/Item/equip_weapon_blowgun_elder.webp</t>
  </si>
  <si>
    <t>Elder Bolt</t>
  </si>
  <si>
    <t>modules/a-knights-dream/Item/equip_weapon_bolt_elder.webp</t>
  </si>
  <si>
    <t>Elder Boomerang</t>
  </si>
  <si>
    <t>modules/a-knights-dream/Item/equip_weapon_boomerang_elder.webp</t>
  </si>
  <si>
    <t>Elder Bow</t>
  </si>
  <si>
    <t>modules/a-knights-dream/Item/equip_weapon_bow_elder.webp</t>
  </si>
  <si>
    <t>Elder Caltrops</t>
  </si>
  <si>
    <t>modules/a-knights-dream/Item/equip_weapon_caltrops_elder.webp</t>
  </si>
  <si>
    <t>Elder Cestus</t>
  </si>
  <si>
    <t>modules/a-knights-dream/Item/equip_weapon_cestus_elder.webp</t>
  </si>
  <si>
    <t>Elder Chain</t>
  </si>
  <si>
    <t>modules/a-knights-dream/Item/equip_weapon_chain_elder.webp</t>
  </si>
  <si>
    <t>Elder Claymore</t>
  </si>
  <si>
    <t>modules/a-knights-dream/Item/equip_weapon_claymore_elder.webp</t>
  </si>
  <si>
    <t>Elder Club</t>
  </si>
  <si>
    <t>modules/a-knights-dream/Item/equip_weapon_club_elder.webp</t>
  </si>
  <si>
    <t>Elder Compound Bow</t>
  </si>
  <si>
    <t>modules/a-knights-dream/Item/equip_weapon_bow_compound_elder.webp</t>
  </si>
  <si>
    <t>Elder Cutlass</t>
  </si>
  <si>
    <t>modules/a-knights-dream/Item/equip_weapon_cutlass_elder.webp</t>
  </si>
  <si>
    <t>Elder Dagger</t>
  </si>
  <si>
    <t>modules/a-knights-dream/Item/equip_weapon_dagger_elder.webp</t>
  </si>
  <si>
    <t>Elder Dart</t>
  </si>
  <si>
    <t>modules/a-knights-dream/Item/equip_weapon_dart_elder.webp</t>
  </si>
  <si>
    <t>Elder Fauchard Scythe</t>
  </si>
  <si>
    <t>modules/a-knights-dream/Item/equip_weapon_scythe_fauchard_elder.webp</t>
  </si>
  <si>
    <t>Elder Flail</t>
  </si>
  <si>
    <t>modules/a-knights-dream/Item/equip_weapon_flail_elder.webp</t>
  </si>
  <si>
    <t>Elder Glaive</t>
  </si>
  <si>
    <t>modules/a-knights-dream/Item/equip_weapon_glaive_elder.webp</t>
  </si>
  <si>
    <t>Elder Grapple Hook</t>
  </si>
  <si>
    <t>modules/a-knights-dream/Item/equip_weapon_hook_grapple_elder.webp</t>
  </si>
  <si>
    <t>Elder Great Axe</t>
  </si>
  <si>
    <t>modules/a-knights-dream/Item/equip_weapon_axe_great_elder.webp</t>
  </si>
  <si>
    <t>Elder Great Club</t>
  </si>
  <si>
    <t>modules/a-knights-dream/Item/equip_weapon_club_great_elder.webp</t>
  </si>
  <si>
    <t>Elder Great Khyber</t>
  </si>
  <si>
    <t>modules/a-knights-dream/Item/equip_weapon_khyber_great_elder.webp</t>
  </si>
  <si>
    <t>Elder Great Konda</t>
  </si>
  <si>
    <t>modules/a-knights-dream/Item/equip_weapon_konda_great_elder.webp</t>
  </si>
  <si>
    <t>Elder Great Labrys</t>
  </si>
  <si>
    <t>modules/a-knights-dream/Item/equip_weapon_axe_labrys_great_elder.webp</t>
  </si>
  <si>
    <t>Elder Great Mace</t>
  </si>
  <si>
    <t>modules/a-knights-dream/Item/equip_weapon_mace_great_elder.webp</t>
  </si>
  <si>
    <t>Elder Great Tapal</t>
  </si>
  <si>
    <t>modules/a-knights-dream/Item/equip_weapon_tapal_great_elder.webp</t>
  </si>
  <si>
    <t>Elder Great War Bow</t>
  </si>
  <si>
    <t>modules/a-knights-dream/Item/equip_weapon_bow_war_great_elder.webp</t>
  </si>
  <si>
    <t>Elder Great War Hammer</t>
  </si>
  <si>
    <t>modules/a-knights-dream/Item/equip_weapon_hammer_war_great_elder.webp</t>
  </si>
  <si>
    <t>Elder Great War Pick</t>
  </si>
  <si>
    <t>modules/a-knights-dream/Item/equip_weapon_pick_war_great_elder.webp</t>
  </si>
  <si>
    <t>Elder Guisarme</t>
  </si>
  <si>
    <t>modules/a-knights-dream/Item/equip_weapon_guisarme_elder.webp</t>
  </si>
  <si>
    <t>Elder Halberd</t>
  </si>
  <si>
    <t>modules/a-knights-dream/Item/equip_weapon_halberd_elder.webp</t>
  </si>
  <si>
    <t>Elder Hand Crossbow</t>
  </si>
  <si>
    <t>modules/a-knights-dream/Item/equip_weapon_crossbow_hand_elder.webp</t>
  </si>
  <si>
    <t>Elder Hand axe</t>
  </si>
  <si>
    <t>modules/a-knights-dream/Item/equip_weapon_axe_hand_elder.webp</t>
  </si>
  <si>
    <t>Elder Heavy Crossbow</t>
  </si>
  <si>
    <t>modules/a-knights-dream/Item/equip_weapon_crossbow_heavy_elder.webp</t>
  </si>
  <si>
    <t>Elder Hunting Trap</t>
  </si>
  <si>
    <t>modules/a-knights-dream/Item/equip_weapon_trap_hunting_elder.webp</t>
  </si>
  <si>
    <t>Elder Hunting Trap (Large)</t>
  </si>
  <si>
    <t>modules/a-knights-dream/Item/equip_weapon_trap_hunting_large_elder.webp</t>
  </si>
  <si>
    <t>Elder Hunting Trap (Small)</t>
  </si>
  <si>
    <t>modules/a-knights-dream/Item/equip_weapon_trap_hunting_small_elder.webp</t>
  </si>
  <si>
    <t>Elder Javelin</t>
  </si>
  <si>
    <t>modules/a-knights-dream/Item/equip_weapon_javelin_elder.webp</t>
  </si>
  <si>
    <t>Elder Khpesh</t>
  </si>
  <si>
    <t>modules/a-knights-dream/Item/equip_weapon_khpesh_elder.webp</t>
  </si>
  <si>
    <t>Elder Khyber</t>
  </si>
  <si>
    <t>modules/a-knights-dream/Item/equip_weapon_khyber_elder.webp</t>
  </si>
  <si>
    <t>Elder Konda</t>
  </si>
  <si>
    <t>modules/a-knights-dream/Item/equip_weapon_konda_elder.webp</t>
  </si>
  <si>
    <t>Elder Labrys</t>
  </si>
  <si>
    <t>modules/a-knights-dream/Item/equip_weapon_axe_labrys_elder.webp</t>
  </si>
  <si>
    <t>Elder Lance</t>
  </si>
  <si>
    <t>modules/a-knights-dream/Item/equip_weapon_lance_elder.webp</t>
  </si>
  <si>
    <t>Elder Light Crossbow</t>
  </si>
  <si>
    <t>modules/a-knights-dream/Item/equip_weapon_crossbow_light_elder.webp</t>
  </si>
  <si>
    <t>Elder Long Bow</t>
  </si>
  <si>
    <t>modules/a-knights-dream/Item/equip_weapon_bow_long_elder.webp</t>
  </si>
  <si>
    <t>Elder Long Spear</t>
  </si>
  <si>
    <t>modules/a-knights-dream/Item/equip_weapon_spear_long_elder.webp</t>
  </si>
  <si>
    <t>Elder Lucerince Hammer</t>
  </si>
  <si>
    <t>modules/a-knights-dream/Item/equip_weapon_hammer_lucerince_elder.webp</t>
  </si>
  <si>
    <t>Elder Mace</t>
  </si>
  <si>
    <t>modules/a-knights-dream/Item/equip_weapon_mace_elder.webp</t>
  </si>
  <si>
    <t>Elder Morningstar</t>
  </si>
  <si>
    <t>modules/a-knights-dream/Item/equip_weapon_morningstar_elder.webp</t>
  </si>
  <si>
    <t>Elder Pike</t>
  </si>
  <si>
    <t>modules/a-knights-dream/Item/equip_weapon_pike_elder.webp</t>
  </si>
  <si>
    <t>Elder Quarter Staff</t>
  </si>
  <si>
    <t>modules/a-knights-dream/Item/equip_weapon_staff_quarter_elder.webp</t>
  </si>
  <si>
    <t>Elder Ranseur</t>
  </si>
  <si>
    <t>modules/a-knights-dream/Item/equip_weapon_ranseur_elder.webp</t>
  </si>
  <si>
    <t>Elder Rapier</t>
  </si>
  <si>
    <t>modules/a-knights-dream/Item/equip_weapon_rapier_elder.webp</t>
  </si>
  <si>
    <t>Elder Recurve Bow</t>
  </si>
  <si>
    <t>modules/a-knights-dream/Item/equip_weapon_bow_recurve_elder.webp</t>
  </si>
  <si>
    <t>Elder Repeater Crossbow</t>
  </si>
  <si>
    <t>modules/a-knights-dream/Item/equip_weapon_crossbow_repeater_elder.webp</t>
  </si>
  <si>
    <t>Elder Sabre</t>
  </si>
  <si>
    <t>modules/a-knights-dream/Item/equip_weapon_sabre_elder.webp</t>
  </si>
  <si>
    <t>Elder Scimitar</t>
  </si>
  <si>
    <t>modules/a-knights-dream/Item/equip_weapon_scimitar_elder.webp</t>
  </si>
  <si>
    <t>Elder Scythe</t>
  </si>
  <si>
    <t>modules/a-knights-dream/Item/equip_weapon_scythe_elder.webp</t>
  </si>
  <si>
    <t>Elder Short Bow</t>
  </si>
  <si>
    <t>modules/a-knights-dream/Item/equip_weapon_bow_short_elder.webp</t>
  </si>
  <si>
    <t>Elder Short Spear</t>
  </si>
  <si>
    <t>modules/a-knights-dream/Item/equip_weapon_spear_short_elder.webp</t>
  </si>
  <si>
    <t>Elder Short Sword</t>
  </si>
  <si>
    <t>modules/a-knights-dream/Item/equip_weapon_sword_short_elder.webp</t>
  </si>
  <si>
    <t>Elder Shotel</t>
  </si>
  <si>
    <t>modules/a-knights-dream/Item/equip_weapon_shotel_elder.webp</t>
  </si>
  <si>
    <t>Elder Sickle</t>
  </si>
  <si>
    <t>modules/a-knights-dream/Item/equip_weapon_sickle_elder.webp</t>
  </si>
  <si>
    <t>Elder Sling</t>
  </si>
  <si>
    <t>modules/a-knights-dream/Item/equip_weapon_sling_elder.webp</t>
  </si>
  <si>
    <t>Elder Staff</t>
  </si>
  <si>
    <t>modules/a-knights-dream/Item/equip_weapon_staff_elder.webp</t>
  </si>
  <si>
    <t>Elder Staff Sling</t>
  </si>
  <si>
    <t>modules/a-knights-dream/Item/equip_weapon_sling_staff_elder.webp</t>
  </si>
  <si>
    <t>Elder Sword</t>
  </si>
  <si>
    <t>modules/a-knights-dream/Item/equip_weapon_sword_elder.webp</t>
  </si>
  <si>
    <t>Elder Tapal</t>
  </si>
  <si>
    <t>modules/a-knights-dream/Item/equip_weapon_tapal_elder.webp</t>
  </si>
  <si>
    <t>Elder Trident</t>
  </si>
  <si>
    <t>modules/a-knights-dream/Item/equip_weapon_trident_elder.webp</t>
  </si>
  <si>
    <t>Elder War Hammer</t>
  </si>
  <si>
    <t>modules/a-knights-dream/Item/equip_weapon_hammer_war_elder.webp</t>
  </si>
  <si>
    <t>Elder War Pick</t>
  </si>
  <si>
    <t>modules/a-knights-dream/Item/equip_weapon_pick_war_elder.webp</t>
  </si>
  <si>
    <t>Elder Brigantine Cuirass</t>
  </si>
  <si>
    <t>modules/a-knights-dream/Item/equip_armor_brigantine_cuirass_elder.webp</t>
  </si>
  <si>
    <t>Elder Brigantine Gauntlets</t>
  </si>
  <si>
    <t>modules/a-knights-dream/Item/equip_armor_brigantine_gauntlets_elder.webp</t>
  </si>
  <si>
    <t>Elder Brigantine Greaves</t>
  </si>
  <si>
    <t>modules/a-knights-dream/Item/equip_armor_brigantine_greaves_elder.webp</t>
  </si>
  <si>
    <t>Elder Brigantine Helmet</t>
  </si>
  <si>
    <t>modules/a-knights-dream/Item/equip_armor_brigantine_helmet_elder.webp</t>
  </si>
  <si>
    <t>Elder Brigantine Pauldron</t>
  </si>
  <si>
    <t>modules/a-knights-dream/Item/equip_armor_brigantine_pauldron_elder.webp</t>
  </si>
  <si>
    <t>Elder Chainmail Cuirass</t>
  </si>
  <si>
    <t>modules/a-knights-dream/Item/equip_armor_chainmail_cuirass_elder.webp</t>
  </si>
  <si>
    <t>Elder Chainmail Gauntlets</t>
  </si>
  <si>
    <t>modules/a-knights-dream/Item/equip_armor_chainmail_gauntlets_elder.webp</t>
  </si>
  <si>
    <t>Elder Chainmail Greaves</t>
  </si>
  <si>
    <t>modules/a-knights-dream/Item/equip_armor_chainmail_greaves_elder.webp</t>
  </si>
  <si>
    <t>Elder Chainmail Helmet</t>
  </si>
  <si>
    <t>modules/a-knights-dream/Item/equip_armor_chainmail_helmet_elder.webp</t>
  </si>
  <si>
    <t>Elder Chainmail Pauldron</t>
  </si>
  <si>
    <t>modules/a-knights-dream/Item/equip_armor_chainmail_pauldron_elder.webp</t>
  </si>
  <si>
    <t>Elder Gamberson Cuirass</t>
  </si>
  <si>
    <t>modules/a-knights-dream/Item/equip_armor_gamberson_cuirass_elder.webp</t>
  </si>
  <si>
    <t>Elder Gamberson Gauntlets</t>
  </si>
  <si>
    <t>modules/a-knights-dream/Item/equip_armor_gamberson_gauntlets_elder.webp</t>
  </si>
  <si>
    <t>Elder Gamberson Greaves</t>
  </si>
  <si>
    <t>modules/a-knights-dream/Item/equip_armor_gamberson_greaves_elder.webp</t>
  </si>
  <si>
    <t>Elder Gamberson Helmet</t>
  </si>
  <si>
    <t>modules/a-knights-dream/Item/equip_armor_gamberson_helmet_elder.webp</t>
  </si>
  <si>
    <t>Elder Gamberson Pauldron</t>
  </si>
  <si>
    <t>modules/a-knights-dream/Item/equip_armor_gamberson_pauldron_elder.webp</t>
  </si>
  <si>
    <t>Elder Hauberk Cuirass</t>
  </si>
  <si>
    <t>modules/a-knights-dream/Item/equip_armor_hauberk_cuirass_elder.webp</t>
  </si>
  <si>
    <t>Elder Hauberk Gauntlets</t>
  </si>
  <si>
    <t>modules/a-knights-dream/Item/equip_armor_hauberk_gauntlets_elder.webp</t>
  </si>
  <si>
    <t>Elder Hauberk Greaves</t>
  </si>
  <si>
    <t>modules/a-knights-dream/Item/equip_armor_hauberk_greaves_elder.webp</t>
  </si>
  <si>
    <t>Elder Hauberk Helmet</t>
  </si>
  <si>
    <t>modules/a-knights-dream/Item/equip_armor_hauberk_helmet_elder.webp</t>
  </si>
  <si>
    <t>Elder Hauberk Pauldron</t>
  </si>
  <si>
    <t>modules/a-knights-dream/Item/equip_armor_hauberk_pauldron_elder.webp</t>
  </si>
  <si>
    <t>Elder Jack Cuirass</t>
  </si>
  <si>
    <t>modules/a-knights-dream/Item/equip_armor_jack_cuirass_elder.webp</t>
  </si>
  <si>
    <t>Elder Jack Gauntlets</t>
  </si>
  <si>
    <t>modules/a-knights-dream/Item/equip_armor_jack_gauntlets_elder.webp</t>
  </si>
  <si>
    <t>Elder Jack Greaves</t>
  </si>
  <si>
    <t>modules/a-knights-dream/Item/equip_armor_jack_greaves_elder.webp</t>
  </si>
  <si>
    <t>Elder Jack Helmet</t>
  </si>
  <si>
    <t>modules/a-knights-dream/Item/equip_armor_jack_helmet_elder.webp</t>
  </si>
  <si>
    <t>Elder Jack Pauldron</t>
  </si>
  <si>
    <t>modules/a-knights-dream/Item/equip_armor_jack_pauldron_elder.webp</t>
  </si>
  <si>
    <t>Elder Lamellar Cuirass</t>
  </si>
  <si>
    <t>modules/a-knights-dream/Item/equip_armor_lamellar_cuirass_elder.webp</t>
  </si>
  <si>
    <t>Elder Lamellar Gauntlets</t>
  </si>
  <si>
    <t>modules/a-knights-dream/Item/equip_armor_lamellar_gauntlets_elder.webp</t>
  </si>
  <si>
    <t>Elder Lamellar Greaves</t>
  </si>
  <si>
    <t>modules/a-knights-dream/Item/equip_armor_lamellar_greaves_elder.webp</t>
  </si>
  <si>
    <t>Elder Lamellar Helmet</t>
  </si>
  <si>
    <t>modules/a-knights-dream/Item/equip_armor_lamellar_helmet_elder.webp</t>
  </si>
  <si>
    <t>Elder Lamellar Pauldron</t>
  </si>
  <si>
    <t>modules/a-knights-dream/Item/equip_armor_lamellar_pauldron_elder.webp</t>
  </si>
  <si>
    <t>Elder Platemail Cuirass</t>
  </si>
  <si>
    <t>modules/a-knights-dream/Item/equip_armor_platemail_cuirass_elder.webp</t>
  </si>
  <si>
    <t>Elder Platemail Gauntlets</t>
  </si>
  <si>
    <t>modules/a-knights-dream/Item/equip_armor_platemail_gauntlets_elder.webp</t>
  </si>
  <si>
    <t>Elder Platemail Greaves</t>
  </si>
  <si>
    <t>modules/a-knights-dream/Item/equip_armor_platemail_greaves_elder.webp</t>
  </si>
  <si>
    <t>Elder Platemail Helmet</t>
  </si>
  <si>
    <t>modules/a-knights-dream/Item/equip_armor_platemail_helmet_elder.webp</t>
  </si>
  <si>
    <t>Elder Platemail Pauldron</t>
  </si>
  <si>
    <t>modules/a-knights-dream/Item/equip_armor_platemail_pauldron_elder.webp</t>
  </si>
  <si>
    <t>Elder Tunic Cuirass</t>
  </si>
  <si>
    <t>modules/a-knights-dream/Item/equip_armor_tunic_cuirass_elder.webp</t>
  </si>
  <si>
    <t>Elder Tunic Gauntlets</t>
  </si>
  <si>
    <t>modules/a-knights-dream/Item/equip_armor_tunic_gauntlets_elder.webp</t>
  </si>
  <si>
    <t>Elder Tunic Greaves</t>
  </si>
  <si>
    <t>modules/a-knights-dream/Item/equip_armor_tunic_greaves_elder.webp</t>
  </si>
  <si>
    <t>Elder Tunic Helmet</t>
  </si>
  <si>
    <t>modules/a-knights-dream/Item/equip_armor_tunic_helmet_elder.webp</t>
  </si>
  <si>
    <t>Elder Tunic Pauldron</t>
  </si>
  <si>
    <t>modules/a-knights-dream/Item/equip_armor_tunic_pauldron_elder.webp</t>
  </si>
  <si>
    <t>Elder Buckler Shield</t>
  </si>
  <si>
    <t>modules/a-knights-dream/Item/equip_armor_shield_buckler_elder.webp</t>
  </si>
  <si>
    <t>Elder Heater Shield</t>
  </si>
  <si>
    <t>modules/a-knights-dream/Item/equip_armor_shield_heater_elder.webp</t>
  </si>
  <si>
    <t>Elder Kite Shield</t>
  </si>
  <si>
    <t>modules/a-knights-dream/Item/equip_armor_shield_kite_elder.webp</t>
  </si>
  <si>
    <t>Elder Oval Shield</t>
  </si>
  <si>
    <t>modules/a-knights-dream/Item/equip_armor_shield_oval_elder.webp</t>
  </si>
  <si>
    <t>Elder Round Shield</t>
  </si>
  <si>
    <t>modules/a-knights-dream/Item/equip_armor_shield_round_elder.webp</t>
  </si>
  <si>
    <t>Elder Tower Shield</t>
  </si>
  <si>
    <t>modules/a-knights-dream/Item/equip_armor_shield_tower_elder.webp</t>
  </si>
  <si>
    <t>Hazel</t>
  </si>
  <si>
    <t>Hazel Ball Bearings</t>
  </si>
  <si>
    <t>modules/a-knights-dream/Item/equip_weapon_bearings_hazel.webp</t>
  </si>
  <si>
    <t>Hazel Bardiche</t>
  </si>
  <si>
    <t>modules/a-knights-dream/Item/equip_weapon_bardiche_hazel.webp</t>
  </si>
  <si>
    <t>Hazel Bastard Sword</t>
  </si>
  <si>
    <t>modules/a-knights-dream/Item/equip_weapon_sword_bastard_hazel.webp</t>
  </si>
  <si>
    <t>Hazel Battle Axe</t>
  </si>
  <si>
    <t>modules/a-knights-dream/Item/equip_weapon_axe_battle_hazel.webp</t>
  </si>
  <si>
    <t>Hazel Blowgun</t>
  </si>
  <si>
    <t>modules/a-knights-dream/Item/equip_weapon_blowgun_hazel.webp</t>
  </si>
  <si>
    <t>Hazel Bolt</t>
  </si>
  <si>
    <t>modules/a-knights-dream/Item/equip_weapon_bolt_hazel.webp</t>
  </si>
  <si>
    <t>Hazel Boomerang</t>
  </si>
  <si>
    <t>modules/a-knights-dream/Item/equip_weapon_boomerang_hazel.webp</t>
  </si>
  <si>
    <t>Hazel Bow</t>
  </si>
  <si>
    <t>modules/a-knights-dream/Item/equip_weapon_bow_hazel.webp</t>
  </si>
  <si>
    <t>Hazel Caltrops</t>
  </si>
  <si>
    <t>modules/a-knights-dream/Item/equip_weapon_caltrops_hazel.webp</t>
  </si>
  <si>
    <t>Hazel Cestus</t>
  </si>
  <si>
    <t>modules/a-knights-dream/Item/equip_weapon_cestus_hazel.webp</t>
  </si>
  <si>
    <t>Hazel Chain</t>
  </si>
  <si>
    <t>modules/a-knights-dream/Item/equip_weapon_chain_hazel.webp</t>
  </si>
  <si>
    <t>Hazel Claymore</t>
  </si>
  <si>
    <t>modules/a-knights-dream/Item/equip_weapon_claymore_hazel.webp</t>
  </si>
  <si>
    <t>Hazel Club</t>
  </si>
  <si>
    <t>modules/a-knights-dream/Item/equip_weapon_club_hazel.webp</t>
  </si>
  <si>
    <t>Hazel Compound Bow</t>
  </si>
  <si>
    <t>modules/a-knights-dream/Item/equip_weapon_bow_compound_hazel.webp</t>
  </si>
  <si>
    <t>Hazel Cutlass</t>
  </si>
  <si>
    <t>modules/a-knights-dream/Item/equip_weapon_cutlass_hazel.webp</t>
  </si>
  <si>
    <t>Hazel Dagger</t>
  </si>
  <si>
    <t>modules/a-knights-dream/Item/equip_weapon_dagger_hazel.webp</t>
  </si>
  <si>
    <t>Hazel Dart</t>
  </si>
  <si>
    <t>modules/a-knights-dream/Item/equip_weapon_dart_hazel.webp</t>
  </si>
  <si>
    <t>Hazel Fauchard Scythe</t>
  </si>
  <si>
    <t>modules/a-knights-dream/Item/equip_weapon_scythe_fauchard_hazel.webp</t>
  </si>
  <si>
    <t>Hazel Flail</t>
  </si>
  <si>
    <t>modules/a-knights-dream/Item/equip_weapon_flail_hazel.webp</t>
  </si>
  <si>
    <t>Hazel Glaive</t>
  </si>
  <si>
    <t>modules/a-knights-dream/Item/equip_weapon_glaive_hazel.webp</t>
  </si>
  <si>
    <t>Hazel Grapple Hook</t>
  </si>
  <si>
    <t>modules/a-knights-dream/Item/equip_weapon_hook_grapple_hazel.webp</t>
  </si>
  <si>
    <t>Hazel Great Axe</t>
  </si>
  <si>
    <t>modules/a-knights-dream/Item/equip_weapon_axe_great_hazel.webp</t>
  </si>
  <si>
    <t>Hazel Great Club</t>
  </si>
  <si>
    <t>modules/a-knights-dream/Item/equip_weapon_club_great_hazel.webp</t>
  </si>
  <si>
    <t>Hazel Great Khyber</t>
  </si>
  <si>
    <t>modules/a-knights-dream/Item/equip_weapon_khyber_great_hazel.webp</t>
  </si>
  <si>
    <t>Hazel Great Konda</t>
  </si>
  <si>
    <t>modules/a-knights-dream/Item/equip_weapon_konda_great_hazel.webp</t>
  </si>
  <si>
    <t>Hazel Great Labrys</t>
  </si>
  <si>
    <t>modules/a-knights-dream/Item/equip_weapon_axe_labrys_great_hazel.webp</t>
  </si>
  <si>
    <t>Hazel Great Mace</t>
  </si>
  <si>
    <t>modules/a-knights-dream/Item/equip_weapon_mace_great_hazel.webp</t>
  </si>
  <si>
    <t>Hazel Great Tapal</t>
  </si>
  <si>
    <t>modules/a-knights-dream/Item/equip_weapon_tapal_great_hazel.webp</t>
  </si>
  <si>
    <t>Hazel Great War Bow</t>
  </si>
  <si>
    <t>modules/a-knights-dream/Item/equip_weapon_bow_war_great_hazel.webp</t>
  </si>
  <si>
    <t>Hazel Great War Hammer</t>
  </si>
  <si>
    <t>modules/a-knights-dream/Item/equip_weapon_hammer_war_great_hazel.webp</t>
  </si>
  <si>
    <t>Hazel Great War Pick</t>
  </si>
  <si>
    <t>modules/a-knights-dream/Item/equip_weapon_pick_war_great_hazel.webp</t>
  </si>
  <si>
    <t>Hazel Guisarme</t>
  </si>
  <si>
    <t>modules/a-knights-dream/Item/equip_weapon_guisarme_hazel.webp</t>
  </si>
  <si>
    <t>Hazel Halberd</t>
  </si>
  <si>
    <t>modules/a-knights-dream/Item/equip_weapon_halberd_hazel.webp</t>
  </si>
  <si>
    <t>Hazel Hand Crossbow</t>
  </si>
  <si>
    <t>modules/a-knights-dream/Item/equip_weapon_crossbow_hand_hazel.webp</t>
  </si>
  <si>
    <t>Hazel Hand axe</t>
  </si>
  <si>
    <t>modules/a-knights-dream/Item/equip_weapon_axe_hand_hazel.webp</t>
  </si>
  <si>
    <t>Hazel Heavy Crossbow</t>
  </si>
  <si>
    <t>modules/a-knights-dream/Item/equip_weapon_crossbow_heavy_hazel.webp</t>
  </si>
  <si>
    <t>Hazel Hunting Trap</t>
  </si>
  <si>
    <t>modules/a-knights-dream/Item/equip_weapon_trap_hunting_hazel.webp</t>
  </si>
  <si>
    <t>Hazel Hunting Trap (Large)</t>
  </si>
  <si>
    <t>modules/a-knights-dream/Item/equip_weapon_trap_hunting_large_hazel.webp</t>
  </si>
  <si>
    <t>Hazel Hunting Trap (Small)</t>
  </si>
  <si>
    <t>modules/a-knights-dream/Item/equip_weapon_trap_hunting_small_hazel.webp</t>
  </si>
  <si>
    <t>Hazel Javelin</t>
  </si>
  <si>
    <t>modules/a-knights-dream/Item/equip_weapon_javelin_hazel.webp</t>
  </si>
  <si>
    <t>Hazel Khpesh</t>
  </si>
  <si>
    <t>modules/a-knights-dream/Item/equip_weapon_khpesh_hazel.webp</t>
  </si>
  <si>
    <t>Hazel Khyber</t>
  </si>
  <si>
    <t>modules/a-knights-dream/Item/equip_weapon_khyber_hazel.webp</t>
  </si>
  <si>
    <t>Hazel Konda</t>
  </si>
  <si>
    <t>modules/a-knights-dream/Item/equip_weapon_konda_hazel.webp</t>
  </si>
  <si>
    <t>Hazel Labrys</t>
  </si>
  <si>
    <t>modules/a-knights-dream/Item/equip_weapon_axe_labrys_hazel.webp</t>
  </si>
  <si>
    <t>Hazel Lance</t>
  </si>
  <si>
    <t>modules/a-knights-dream/Item/equip_weapon_lance_hazel.webp</t>
  </si>
  <si>
    <t>Hazel Light Crossbow</t>
  </si>
  <si>
    <t>modules/a-knights-dream/Item/equip_weapon_crossbow_light_hazel.webp</t>
  </si>
  <si>
    <t>Hazel Long Bow</t>
  </si>
  <si>
    <t>modules/a-knights-dream/Item/equip_weapon_bow_long_hazel.webp</t>
  </si>
  <si>
    <t>Hazel Long Spear</t>
  </si>
  <si>
    <t>modules/a-knights-dream/Item/equip_weapon_spear_long_hazel.webp</t>
  </si>
  <si>
    <t>Hazel Lucerince Hammer</t>
  </si>
  <si>
    <t>modules/a-knights-dream/Item/equip_weapon_hammer_lucerince_hazel.webp</t>
  </si>
  <si>
    <t>Hazel Mace</t>
  </si>
  <si>
    <t>modules/a-knights-dream/Item/equip_weapon_mace_hazel.webp</t>
  </si>
  <si>
    <t>Hazel Morningstar</t>
  </si>
  <si>
    <t>modules/a-knights-dream/Item/equip_weapon_morningstar_hazel.webp</t>
  </si>
  <si>
    <t>Hazel Pike</t>
  </si>
  <si>
    <t>modules/a-knights-dream/Item/equip_weapon_pike_hazel.webp</t>
  </si>
  <si>
    <t>Hazel Quarter Staff</t>
  </si>
  <si>
    <t>modules/a-knights-dream/Item/equip_weapon_staff_quarter_hazel.webp</t>
  </si>
  <si>
    <t>Hazel Ranseur</t>
  </si>
  <si>
    <t>modules/a-knights-dream/Item/equip_weapon_ranseur_hazel.webp</t>
  </si>
  <si>
    <t>Hazel Rapier</t>
  </si>
  <si>
    <t>modules/a-knights-dream/Item/equip_weapon_rapier_hazel.webp</t>
  </si>
  <si>
    <t>Hazel Recurve Bow</t>
  </si>
  <si>
    <t>modules/a-knights-dream/Item/equip_weapon_bow_recurve_hazel.webp</t>
  </si>
  <si>
    <t>Hazel Repeater Crossbow</t>
  </si>
  <si>
    <t>modules/a-knights-dream/Item/equip_weapon_crossbow_repeater_hazel.webp</t>
  </si>
  <si>
    <t>Hazel Sabre</t>
  </si>
  <si>
    <t>modules/a-knights-dream/Item/equip_weapon_sabre_hazel.webp</t>
  </si>
  <si>
    <t>Hazel Scimitar</t>
  </si>
  <si>
    <t>modules/a-knights-dream/Item/equip_weapon_scimitar_hazel.webp</t>
  </si>
  <si>
    <t>Hazel Scythe</t>
  </si>
  <si>
    <t>modules/a-knights-dream/Item/equip_weapon_scythe_hazel.webp</t>
  </si>
  <si>
    <t>Hazel Short Bow</t>
  </si>
  <si>
    <t>modules/a-knights-dream/Item/equip_weapon_bow_short_hazel.webp</t>
  </si>
  <si>
    <t>Hazel Short Spear</t>
  </si>
  <si>
    <t>modules/a-knights-dream/Item/equip_weapon_spear_short_hazel.webp</t>
  </si>
  <si>
    <t>Hazel Short Sword</t>
  </si>
  <si>
    <t>modules/a-knights-dream/Item/equip_weapon_sword_short_hazel.webp</t>
  </si>
  <si>
    <t>Hazel Shotel</t>
  </si>
  <si>
    <t>modules/a-knights-dream/Item/equip_weapon_shotel_hazel.webp</t>
  </si>
  <si>
    <t>Hazel Sickle</t>
  </si>
  <si>
    <t>modules/a-knights-dream/Item/equip_weapon_sickle_hazel.webp</t>
  </si>
  <si>
    <t>Hazel Sling</t>
  </si>
  <si>
    <t>modules/a-knights-dream/Item/equip_weapon_sling_hazel.webp</t>
  </si>
  <si>
    <t>Hazel Staff</t>
  </si>
  <si>
    <t>modules/a-knights-dream/Item/equip_weapon_staff_hazel.webp</t>
  </si>
  <si>
    <t>Hazel Staff Sling</t>
  </si>
  <si>
    <t>modules/a-knights-dream/Item/equip_weapon_sling_staff_hazel.webp</t>
  </si>
  <si>
    <t>Hazel Sword</t>
  </si>
  <si>
    <t>modules/a-knights-dream/Item/equip_weapon_sword_hazel.webp</t>
  </si>
  <si>
    <t>Hazel Tapal</t>
  </si>
  <si>
    <t>modules/a-knights-dream/Item/equip_weapon_tapal_hazel.webp</t>
  </si>
  <si>
    <t>Hazel Trident</t>
  </si>
  <si>
    <t>modules/a-knights-dream/Item/equip_weapon_trident_hazel.webp</t>
  </si>
  <si>
    <t>Hazel War Hammer</t>
  </si>
  <si>
    <t>modules/a-knights-dream/Item/equip_weapon_hammer_war_hazel.webp</t>
  </si>
  <si>
    <t>Hazel War Pick</t>
  </si>
  <si>
    <t>modules/a-knights-dream/Item/equip_weapon_pick_war_hazel.webp</t>
  </si>
  <si>
    <t>Hazel Brigantine Cuirass</t>
  </si>
  <si>
    <t>modules/a-knights-dream/Item/equip_armor_brigantine_cuirass_hazel.webp</t>
  </si>
  <si>
    <t>Hazel Brigantine Gauntlets</t>
  </si>
  <si>
    <t>modules/a-knights-dream/Item/equip_armor_brigantine_gauntlets_hazel.webp</t>
  </si>
  <si>
    <t>Hazel Brigantine Greaves</t>
  </si>
  <si>
    <t>modules/a-knights-dream/Item/equip_armor_brigantine_greaves_hazel.webp</t>
  </si>
  <si>
    <t>Hazel Brigantine Helmet</t>
  </si>
  <si>
    <t>modules/a-knights-dream/Item/equip_armor_brigantine_helmet_hazel.webp</t>
  </si>
  <si>
    <t>Hazel Brigantine Pauldron</t>
  </si>
  <si>
    <t>modules/a-knights-dream/Item/equip_armor_brigantine_pauldron_hazel.webp</t>
  </si>
  <si>
    <t>Hazel Chainmail Cuirass</t>
  </si>
  <si>
    <t>modules/a-knights-dream/Item/equip_armor_chainmail_cuirass_hazel.webp</t>
  </si>
  <si>
    <t>Hazel Chainmail Gauntlets</t>
  </si>
  <si>
    <t>modules/a-knights-dream/Item/equip_armor_chainmail_gauntlets_hazel.webp</t>
  </si>
  <si>
    <t>Hazel Chainmail Greaves</t>
  </si>
  <si>
    <t>modules/a-knights-dream/Item/equip_armor_chainmail_greaves_hazel.webp</t>
  </si>
  <si>
    <t>Hazel Chainmail Helmet</t>
  </si>
  <si>
    <t>modules/a-knights-dream/Item/equip_armor_chainmail_helmet_hazel.webp</t>
  </si>
  <si>
    <t>Hazel Chainmail Pauldron</t>
  </si>
  <si>
    <t>modules/a-knights-dream/Item/equip_armor_chainmail_pauldron_hazel.webp</t>
  </si>
  <si>
    <t>Hazel Gamberson Cuirass</t>
  </si>
  <si>
    <t>modules/a-knights-dream/Item/equip_armor_gamberson_cuirass_hazel.webp</t>
  </si>
  <si>
    <t>Hazel Gamberson Gauntlets</t>
  </si>
  <si>
    <t>modules/a-knights-dream/Item/equip_armor_gamberson_gauntlets_hazel.webp</t>
  </si>
  <si>
    <t>Hazel Gamberson Greaves</t>
  </si>
  <si>
    <t>modules/a-knights-dream/Item/equip_armor_gamberson_greaves_hazel.webp</t>
  </si>
  <si>
    <t>Hazel Gamberson Helmet</t>
  </si>
  <si>
    <t>modules/a-knights-dream/Item/equip_armor_gamberson_helmet_hazel.webp</t>
  </si>
  <si>
    <t>Hazel Gamberson Pauldron</t>
  </si>
  <si>
    <t>modules/a-knights-dream/Item/equip_armor_gamberson_pauldron_hazel.webp</t>
  </si>
  <si>
    <t>Hazel Hauberk Cuirass</t>
  </si>
  <si>
    <t>modules/a-knights-dream/Item/equip_armor_hauberk_cuirass_hazel.webp</t>
  </si>
  <si>
    <t>Hazel Hauberk Gauntlets</t>
  </si>
  <si>
    <t>modules/a-knights-dream/Item/equip_armor_hauberk_gauntlets_hazel.webp</t>
  </si>
  <si>
    <t>Hazel Hauberk Greaves</t>
  </si>
  <si>
    <t>modules/a-knights-dream/Item/equip_armor_hauberk_greaves_hazel.webp</t>
  </si>
  <si>
    <t>Hazel Hauberk Helmet</t>
  </si>
  <si>
    <t>modules/a-knights-dream/Item/equip_armor_hauberk_helmet_hazel.webp</t>
  </si>
  <si>
    <t>Hazel Hauberk Pauldron</t>
  </si>
  <si>
    <t>modules/a-knights-dream/Item/equip_armor_hauberk_pauldron_hazel.webp</t>
  </si>
  <si>
    <t>Hazel Jack Cuirass</t>
  </si>
  <si>
    <t>modules/a-knights-dream/Item/equip_armor_jack_cuirass_hazel.webp</t>
  </si>
  <si>
    <t>Hazel Jack Gauntlets</t>
  </si>
  <si>
    <t>modules/a-knights-dream/Item/equip_armor_jack_gauntlets_hazel.webp</t>
  </si>
  <si>
    <t>Hazel Jack Greaves</t>
  </si>
  <si>
    <t>modules/a-knights-dream/Item/equip_armor_jack_greaves_hazel.webp</t>
  </si>
  <si>
    <t>Hazel Jack Helmet</t>
  </si>
  <si>
    <t>modules/a-knights-dream/Item/equip_armor_jack_helmet_hazel.webp</t>
  </si>
  <si>
    <t>Hazel Jack Pauldron</t>
  </si>
  <si>
    <t>modules/a-knights-dream/Item/equip_armor_jack_pauldron_hazel.webp</t>
  </si>
  <si>
    <t>Hazel Lamellar Cuirass</t>
  </si>
  <si>
    <t>modules/a-knights-dream/Item/equip_armor_lamellar_cuirass_hazel.webp</t>
  </si>
  <si>
    <t>Hazel Lamellar Gauntlets</t>
  </si>
  <si>
    <t>modules/a-knights-dream/Item/equip_armor_lamellar_gauntlets_hazel.webp</t>
  </si>
  <si>
    <t>Hazel Lamellar Greaves</t>
  </si>
  <si>
    <t>modules/a-knights-dream/Item/equip_armor_lamellar_greaves_hazel.webp</t>
  </si>
  <si>
    <t>Hazel Lamellar Helmet</t>
  </si>
  <si>
    <t>modules/a-knights-dream/Item/equip_armor_lamellar_helmet_hazel.webp</t>
  </si>
  <si>
    <t>Hazel Lamellar Pauldron</t>
  </si>
  <si>
    <t>modules/a-knights-dream/Item/equip_armor_lamellar_pauldron_hazel.webp</t>
  </si>
  <si>
    <t>Hazel Platemail Cuirass</t>
  </si>
  <si>
    <t>modules/a-knights-dream/Item/equip_armor_platemail_cuirass_hazel.webp</t>
  </si>
  <si>
    <t>Hazel Platemail Gauntlets</t>
  </si>
  <si>
    <t>modules/a-knights-dream/Item/equip_armor_platemail_gauntlets_hazel.webp</t>
  </si>
  <si>
    <t>Hazel Platemail Greaves</t>
  </si>
  <si>
    <t>modules/a-knights-dream/Item/equip_armor_platemail_greaves_hazel.webp</t>
  </si>
  <si>
    <t>Hazel Platemail Helmet</t>
  </si>
  <si>
    <t>modules/a-knights-dream/Item/equip_armor_platemail_helmet_hazel.webp</t>
  </si>
  <si>
    <t>Hazel Platemail Pauldron</t>
  </si>
  <si>
    <t>modules/a-knights-dream/Item/equip_armor_platemail_pauldron_hazel.webp</t>
  </si>
  <si>
    <t>Hazel Tunic Cuirass</t>
  </si>
  <si>
    <t>modules/a-knights-dream/Item/equip_armor_tunic_cuirass_hazel.webp</t>
  </si>
  <si>
    <t>Hazel Tunic Gauntlets</t>
  </si>
  <si>
    <t>modules/a-knights-dream/Item/equip_armor_tunic_gauntlets_hazel.webp</t>
  </si>
  <si>
    <t>Hazel Tunic Greaves</t>
  </si>
  <si>
    <t>modules/a-knights-dream/Item/equip_armor_tunic_greaves_hazel.webp</t>
  </si>
  <si>
    <t>Hazel Tunic Helmet</t>
  </si>
  <si>
    <t>modules/a-knights-dream/Item/equip_armor_tunic_helmet_hazel.webp</t>
  </si>
  <si>
    <t>Hazel Tunic Pauldron</t>
  </si>
  <si>
    <t>modules/a-knights-dream/Item/equip_armor_tunic_pauldron_hazel.webp</t>
  </si>
  <si>
    <t>Hazel Buckler Shield</t>
  </si>
  <si>
    <t>modules/a-knights-dream/Item/equip_armor_shield_buckler_hazel.webp</t>
  </si>
  <si>
    <t>Hazel Heater Shield</t>
  </si>
  <si>
    <t>modules/a-knights-dream/Item/equip_armor_shield_heater_hazel.webp</t>
  </si>
  <si>
    <t>Hazel Kite Shield</t>
  </si>
  <si>
    <t>modules/a-knights-dream/Item/equip_armor_shield_kite_hazel.webp</t>
  </si>
  <si>
    <t>Hazel Oval Shield</t>
  </si>
  <si>
    <t>modules/a-knights-dream/Item/equip_armor_shield_oval_hazel.webp</t>
  </si>
  <si>
    <t>Hazel Round Shield</t>
  </si>
  <si>
    <t>modules/a-knights-dream/Item/equip_armor_shield_round_hazel.webp</t>
  </si>
  <si>
    <t>Hazel Tower Shield</t>
  </si>
  <si>
    <t>modules/a-knights-dream/Item/equip_armor_shield_tower_hazel.webp</t>
  </si>
  <si>
    <t>Holly</t>
  </si>
  <si>
    <t>Holly Ball Bearings</t>
  </si>
  <si>
    <t>modules/a-knights-dream/Item/equip_weapon_bearings_holly.webp</t>
  </si>
  <si>
    <t>Holly Bardiche</t>
  </si>
  <si>
    <t>modules/a-knights-dream/Item/equip_weapon_bardiche_holly.webp</t>
  </si>
  <si>
    <t>Holly Bastard Sword</t>
  </si>
  <si>
    <t>modules/a-knights-dream/Item/equip_weapon_sword_bastard_holly.webp</t>
  </si>
  <si>
    <t>Holly Battle Axe</t>
  </si>
  <si>
    <t>modules/a-knights-dream/Item/equip_weapon_axe_battle_holly.webp</t>
  </si>
  <si>
    <t>Holly Blowgun</t>
  </si>
  <si>
    <t>modules/a-knights-dream/Item/equip_weapon_blowgun_holly.webp</t>
  </si>
  <si>
    <t>Holly Bolt</t>
  </si>
  <si>
    <t>modules/a-knights-dream/Item/equip_weapon_bolt_holly.webp</t>
  </si>
  <si>
    <t>Holly Boomerang</t>
  </si>
  <si>
    <t>modules/a-knights-dream/Item/equip_weapon_boomerang_holly.webp</t>
  </si>
  <si>
    <t>Holly Bow</t>
  </si>
  <si>
    <t>modules/a-knights-dream/Item/equip_weapon_bow_holly.webp</t>
  </si>
  <si>
    <t>Holly Caltrops</t>
  </si>
  <si>
    <t>modules/a-knights-dream/Item/equip_weapon_caltrops_holly.webp</t>
  </si>
  <si>
    <t>Holly Cestus</t>
  </si>
  <si>
    <t>modules/a-knights-dream/Item/equip_weapon_cestus_holly.webp</t>
  </si>
  <si>
    <t>Holly Chain</t>
  </si>
  <si>
    <t>modules/a-knights-dream/Item/equip_weapon_chain_holly.webp</t>
  </si>
  <si>
    <t>Holly Claymore</t>
  </si>
  <si>
    <t>modules/a-knights-dream/Item/equip_weapon_claymore_holly.webp</t>
  </si>
  <si>
    <t>Holly Club</t>
  </si>
  <si>
    <t>modules/a-knights-dream/Item/equip_weapon_club_holly.webp</t>
  </si>
  <si>
    <t>Holly Compound Bow</t>
  </si>
  <si>
    <t>modules/a-knights-dream/Item/equip_weapon_bow_compound_holly.webp</t>
  </si>
  <si>
    <t>Holly Cutlass</t>
  </si>
  <si>
    <t>modules/a-knights-dream/Item/equip_weapon_cutlass_holly.webp</t>
  </si>
  <si>
    <t>Holly Dagger</t>
  </si>
  <si>
    <t>modules/a-knights-dream/Item/equip_weapon_dagger_holly.webp</t>
  </si>
  <si>
    <t>Holly Dart</t>
  </si>
  <si>
    <t>modules/a-knights-dream/Item/equip_weapon_dart_holly.webp</t>
  </si>
  <si>
    <t>Holly Fauchard Scythe</t>
  </si>
  <si>
    <t>modules/a-knights-dream/Item/equip_weapon_scythe_fauchard_holly.webp</t>
  </si>
  <si>
    <t>Holly Flail</t>
  </si>
  <si>
    <t>modules/a-knights-dream/Item/equip_weapon_flail_holly.webp</t>
  </si>
  <si>
    <t>Holly Glaive</t>
  </si>
  <si>
    <t>modules/a-knights-dream/Item/equip_weapon_glaive_holly.webp</t>
  </si>
  <si>
    <t>Holly Grapple Hook</t>
  </si>
  <si>
    <t>modules/a-knights-dream/Item/equip_weapon_hook_grapple_holly.webp</t>
  </si>
  <si>
    <t>Holly Great Axe</t>
  </si>
  <si>
    <t>modules/a-knights-dream/Item/equip_weapon_axe_great_holly.webp</t>
  </si>
  <si>
    <t>Holly Great Club</t>
  </si>
  <si>
    <t>modules/a-knights-dream/Item/equip_weapon_club_great_holly.webp</t>
  </si>
  <si>
    <t>Holly Great Khyber</t>
  </si>
  <si>
    <t>modules/a-knights-dream/Item/equip_weapon_khyber_great_holly.webp</t>
  </si>
  <si>
    <t>Holly Great Konda</t>
  </si>
  <si>
    <t>modules/a-knights-dream/Item/equip_weapon_konda_great_holly.webp</t>
  </si>
  <si>
    <t>Holly Great Labrys</t>
  </si>
  <si>
    <t>modules/a-knights-dream/Item/equip_weapon_axe_labrys_great_holly.webp</t>
  </si>
  <si>
    <t>Holly Great Mace</t>
  </si>
  <si>
    <t>modules/a-knights-dream/Item/equip_weapon_mace_great_holly.webp</t>
  </si>
  <si>
    <t>Holly Great Tapal</t>
  </si>
  <si>
    <t>modules/a-knights-dream/Item/equip_weapon_tapal_great_holly.webp</t>
  </si>
  <si>
    <t>Holly Great War Bow</t>
  </si>
  <si>
    <t>modules/a-knights-dream/Item/equip_weapon_bow_war_great_holly.webp</t>
  </si>
  <si>
    <t>Holly Great War Hammer</t>
  </si>
  <si>
    <t>modules/a-knights-dream/Item/equip_weapon_hammer_war_great_holly.webp</t>
  </si>
  <si>
    <t>Holly Great War Pick</t>
  </si>
  <si>
    <t>modules/a-knights-dream/Item/equip_weapon_pick_war_great_holly.webp</t>
  </si>
  <si>
    <t>Holly Guisarme</t>
  </si>
  <si>
    <t>modules/a-knights-dream/Item/equip_weapon_guisarme_holly.webp</t>
  </si>
  <si>
    <t>Holly Halberd</t>
  </si>
  <si>
    <t>modules/a-knights-dream/Item/equip_weapon_halberd_holly.webp</t>
  </si>
  <si>
    <t>Holly Hand Crossbow</t>
  </si>
  <si>
    <t>modules/a-knights-dream/Item/equip_weapon_crossbow_hand_holly.webp</t>
  </si>
  <si>
    <t>Holly Hand axe</t>
  </si>
  <si>
    <t>modules/a-knights-dream/Item/equip_weapon_axe_hand_holly.webp</t>
  </si>
  <si>
    <t>Holly Heavy Crossbow</t>
  </si>
  <si>
    <t>modules/a-knights-dream/Item/equip_weapon_crossbow_heavy_holly.webp</t>
  </si>
  <si>
    <t>Holly Hunting Trap</t>
  </si>
  <si>
    <t>modules/a-knights-dream/Item/equip_weapon_trap_hunting_holly.webp</t>
  </si>
  <si>
    <t>Holly Hunting Trap (Large)</t>
  </si>
  <si>
    <t>modules/a-knights-dream/Item/equip_weapon_trap_hunting_large_holly.webp</t>
  </si>
  <si>
    <t>Holly Hunting Trap (Small)</t>
  </si>
  <si>
    <t>modules/a-knights-dream/Item/equip_weapon_trap_hunting_small_holly.webp</t>
  </si>
  <si>
    <t>Holly Javelin</t>
  </si>
  <si>
    <t>modules/a-knights-dream/Item/equip_weapon_javelin_holly.webp</t>
  </si>
  <si>
    <t>Holly Khpesh</t>
  </si>
  <si>
    <t>modules/a-knights-dream/Item/equip_weapon_khpesh_holly.webp</t>
  </si>
  <si>
    <t>Holly Khyber</t>
  </si>
  <si>
    <t>modules/a-knights-dream/Item/equip_weapon_khyber_holly.webp</t>
  </si>
  <si>
    <t>Holly Konda</t>
  </si>
  <si>
    <t>modules/a-knights-dream/Item/equip_weapon_konda_holly.webp</t>
  </si>
  <si>
    <t>Holly Labrys</t>
  </si>
  <si>
    <t>modules/a-knights-dream/Item/equip_weapon_axe_labrys_holly.webp</t>
  </si>
  <si>
    <t>Holly Lance</t>
  </si>
  <si>
    <t>modules/a-knights-dream/Item/equip_weapon_lance_holly.webp</t>
  </si>
  <si>
    <t>Holly Light Crossbow</t>
  </si>
  <si>
    <t>modules/a-knights-dream/Item/equip_weapon_crossbow_light_holly.webp</t>
  </si>
  <si>
    <t>Holly Long Bow</t>
  </si>
  <si>
    <t>modules/a-knights-dream/Item/equip_weapon_bow_long_holly.webp</t>
  </si>
  <si>
    <t>Holly Long Spear</t>
  </si>
  <si>
    <t>modules/a-knights-dream/Item/equip_weapon_spear_long_holly.webp</t>
  </si>
  <si>
    <t>Holly Lucerince Hammer</t>
  </si>
  <si>
    <t>modules/a-knights-dream/Item/equip_weapon_hammer_lucerince_holly.webp</t>
  </si>
  <si>
    <t>Holly Mace</t>
  </si>
  <si>
    <t>modules/a-knights-dream/Item/equip_weapon_mace_holly.webp</t>
  </si>
  <si>
    <t>Holly Morningstar</t>
  </si>
  <si>
    <t>modules/a-knights-dream/Item/equip_weapon_morningstar_holly.webp</t>
  </si>
  <si>
    <t>Holly Pike</t>
  </si>
  <si>
    <t>modules/a-knights-dream/Item/equip_weapon_pike_holly.webp</t>
  </si>
  <si>
    <t>Holly Quarter Staff</t>
  </si>
  <si>
    <t>modules/a-knights-dream/Item/equip_weapon_staff_quarter_holly.webp</t>
  </si>
  <si>
    <t>Holly Ranseur</t>
  </si>
  <si>
    <t>modules/a-knights-dream/Item/equip_weapon_ranseur_holly.webp</t>
  </si>
  <si>
    <t>Holly Rapier</t>
  </si>
  <si>
    <t>modules/a-knights-dream/Item/equip_weapon_rapier_holly.webp</t>
  </si>
  <si>
    <t>Holly Recurve Bow</t>
  </si>
  <si>
    <t>modules/a-knights-dream/Item/equip_weapon_bow_recurve_holly.webp</t>
  </si>
  <si>
    <t>Holly Repeater Crossbow</t>
  </si>
  <si>
    <t>modules/a-knights-dream/Item/equip_weapon_crossbow_repeater_holly.webp</t>
  </si>
  <si>
    <t>Holly Sabre</t>
  </si>
  <si>
    <t>modules/a-knights-dream/Item/equip_weapon_sabre_holly.webp</t>
  </si>
  <si>
    <t>Holly Scimitar</t>
  </si>
  <si>
    <t>modules/a-knights-dream/Item/equip_weapon_scimitar_holly.webp</t>
  </si>
  <si>
    <t>Holly Scythe</t>
  </si>
  <si>
    <t>modules/a-knights-dream/Item/equip_weapon_scythe_holly.webp</t>
  </si>
  <si>
    <t>Holly Short Bow</t>
  </si>
  <si>
    <t>modules/a-knights-dream/Item/equip_weapon_bow_short_holly.webp</t>
  </si>
  <si>
    <t>Holly Short Spear</t>
  </si>
  <si>
    <t>modules/a-knights-dream/Item/equip_weapon_spear_short_holly.webp</t>
  </si>
  <si>
    <t>Holly Short Sword</t>
  </si>
  <si>
    <t>modules/a-knights-dream/Item/equip_weapon_sword_short_holly.webp</t>
  </si>
  <si>
    <t>Holly Shotel</t>
  </si>
  <si>
    <t>modules/a-knights-dream/Item/equip_weapon_shotel_holly.webp</t>
  </si>
  <si>
    <t>Holly Sickle</t>
  </si>
  <si>
    <t>modules/a-knights-dream/Item/equip_weapon_sickle_holly.webp</t>
  </si>
  <si>
    <t>Holly Sling</t>
  </si>
  <si>
    <t>modules/a-knights-dream/Item/equip_weapon_sling_holly.webp</t>
  </si>
  <si>
    <t>Holly Staff</t>
  </si>
  <si>
    <t>modules/a-knights-dream/Item/equip_weapon_staff_holly.webp</t>
  </si>
  <si>
    <t>Holly Staff Sling</t>
  </si>
  <si>
    <t>modules/a-knights-dream/Item/equip_weapon_sling_staff_holly.webp</t>
  </si>
  <si>
    <t>Holly Sword</t>
  </si>
  <si>
    <t>modules/a-knights-dream/Item/equip_weapon_sword_holly.webp</t>
  </si>
  <si>
    <t>Holly Tapal</t>
  </si>
  <si>
    <t>modules/a-knights-dream/Item/equip_weapon_tapal_holly.webp</t>
  </si>
  <si>
    <t>Holly Trident</t>
  </si>
  <si>
    <t>modules/a-knights-dream/Item/equip_weapon_trident_holly.webp</t>
  </si>
  <si>
    <t>Holly War Hammer</t>
  </si>
  <si>
    <t>modules/a-knights-dream/Item/equip_weapon_hammer_war_holly.webp</t>
  </si>
  <si>
    <t>Holly War Pick</t>
  </si>
  <si>
    <t>modules/a-knights-dream/Item/equip_weapon_pick_war_holly.webp</t>
  </si>
  <si>
    <t>Holly Brigantine Cuirass</t>
  </si>
  <si>
    <t>modules/a-knights-dream/Item/equip_armor_brigantine_cuirass_holly.webp</t>
  </si>
  <si>
    <t>Holly Brigantine Gauntlets</t>
  </si>
  <si>
    <t>modules/a-knights-dream/Item/equip_armor_brigantine_gauntlets_holly.webp</t>
  </si>
  <si>
    <t>Holly Brigantine Greaves</t>
  </si>
  <si>
    <t>modules/a-knights-dream/Item/equip_armor_brigantine_greaves_holly.webp</t>
  </si>
  <si>
    <t>Holly Brigantine Helmet</t>
  </si>
  <si>
    <t>modules/a-knights-dream/Item/equip_armor_brigantine_helmet_holly.webp</t>
  </si>
  <si>
    <t>Holly Brigantine Pauldron</t>
  </si>
  <si>
    <t>modules/a-knights-dream/Item/equip_armor_brigantine_pauldron_holly.webp</t>
  </si>
  <si>
    <t>Holly Chainmail Cuirass</t>
  </si>
  <si>
    <t>modules/a-knights-dream/Item/equip_armor_chainmail_cuirass_holly.webp</t>
  </si>
  <si>
    <t>Holly Chainmail Gauntlets</t>
  </si>
  <si>
    <t>modules/a-knights-dream/Item/equip_armor_chainmail_gauntlets_holly.webp</t>
  </si>
  <si>
    <t>Holly Chainmail Greaves</t>
  </si>
  <si>
    <t>modules/a-knights-dream/Item/equip_armor_chainmail_greaves_holly.webp</t>
  </si>
  <si>
    <t>Holly Chainmail Helmet</t>
  </si>
  <si>
    <t>modules/a-knights-dream/Item/equip_armor_chainmail_helmet_holly.webp</t>
  </si>
  <si>
    <t>Holly Chainmail Pauldron</t>
  </si>
  <si>
    <t>modules/a-knights-dream/Item/equip_armor_chainmail_pauldron_holly.webp</t>
  </si>
  <si>
    <t>Holly Gamberson Cuirass</t>
  </si>
  <si>
    <t>modules/a-knights-dream/Item/equip_armor_gamberson_cuirass_holly.webp</t>
  </si>
  <si>
    <t>Holly Gamberson Gauntlets</t>
  </si>
  <si>
    <t>modules/a-knights-dream/Item/equip_armor_gamberson_gauntlets_holly.webp</t>
  </si>
  <si>
    <t>Holly Gamberson Greaves</t>
  </si>
  <si>
    <t>modules/a-knights-dream/Item/equip_armor_gamberson_greaves_holly.webp</t>
  </si>
  <si>
    <t>Holly Gamberson Helmet</t>
  </si>
  <si>
    <t>modules/a-knights-dream/Item/equip_armor_gamberson_helmet_holly.webp</t>
  </si>
  <si>
    <t>Holly Gamberson Pauldron</t>
  </si>
  <si>
    <t>modules/a-knights-dream/Item/equip_armor_gamberson_pauldron_holly.webp</t>
  </si>
  <si>
    <t>Holly Hauberk Cuirass</t>
  </si>
  <si>
    <t>modules/a-knights-dream/Item/equip_armor_hauberk_cuirass_holly.webp</t>
  </si>
  <si>
    <t>Holly Hauberk Gauntlets</t>
  </si>
  <si>
    <t>modules/a-knights-dream/Item/equip_armor_hauberk_gauntlets_holly.webp</t>
  </si>
  <si>
    <t>Holly Hauberk Greaves</t>
  </si>
  <si>
    <t>modules/a-knights-dream/Item/equip_armor_hauberk_greaves_holly.webp</t>
  </si>
  <si>
    <t>Holly Hauberk Helmet</t>
  </si>
  <si>
    <t>modules/a-knights-dream/Item/equip_armor_hauberk_helmet_holly.webp</t>
  </si>
  <si>
    <t>Holly Hauberk Pauldron</t>
  </si>
  <si>
    <t>modules/a-knights-dream/Item/equip_armor_hauberk_pauldron_holly.webp</t>
  </si>
  <si>
    <t>Holly Jack Cuirass</t>
  </si>
  <si>
    <t>modules/a-knights-dream/Item/equip_armor_jack_cuirass_holly.webp</t>
  </si>
  <si>
    <t>Holly Jack Gauntlets</t>
  </si>
  <si>
    <t>modules/a-knights-dream/Item/equip_armor_jack_gauntlets_holly.webp</t>
  </si>
  <si>
    <t>Holly Jack Greaves</t>
  </si>
  <si>
    <t>modules/a-knights-dream/Item/equip_armor_jack_greaves_holly.webp</t>
  </si>
  <si>
    <t>Holly Jack Helmet</t>
  </si>
  <si>
    <t>modules/a-knights-dream/Item/equip_armor_jack_helmet_holly.webp</t>
  </si>
  <si>
    <t>Holly Jack Pauldron</t>
  </si>
  <si>
    <t>modules/a-knights-dream/Item/equip_armor_jack_pauldron_holly.webp</t>
  </si>
  <si>
    <t>Holly Lamellar Cuirass</t>
  </si>
  <si>
    <t>modules/a-knights-dream/Item/equip_armor_lamellar_cuirass_holly.webp</t>
  </si>
  <si>
    <t>Holly Lamellar Gauntlets</t>
  </si>
  <si>
    <t>modules/a-knights-dream/Item/equip_armor_lamellar_gauntlets_holly.webp</t>
  </si>
  <si>
    <t>Holly Lamellar Greaves</t>
  </si>
  <si>
    <t>modules/a-knights-dream/Item/equip_armor_lamellar_greaves_holly.webp</t>
  </si>
  <si>
    <t>Holly Lamellar Helmet</t>
  </si>
  <si>
    <t>modules/a-knights-dream/Item/equip_armor_lamellar_helmet_holly.webp</t>
  </si>
  <si>
    <t>Holly Lamellar Pauldron</t>
  </si>
  <si>
    <t>modules/a-knights-dream/Item/equip_armor_lamellar_pauldron_holly.webp</t>
  </si>
  <si>
    <t>Holly Platemail Cuirass</t>
  </si>
  <si>
    <t>modules/a-knights-dream/Item/equip_armor_platemail_cuirass_holly.webp</t>
  </si>
  <si>
    <t>Holly Platemail Gauntlets</t>
  </si>
  <si>
    <t>modules/a-knights-dream/Item/equip_armor_platemail_gauntlets_holly.webp</t>
  </si>
  <si>
    <t>Holly Platemail Greaves</t>
  </si>
  <si>
    <t>modules/a-knights-dream/Item/equip_armor_platemail_greaves_holly.webp</t>
  </si>
  <si>
    <t>Holly Platemail Helmet</t>
  </si>
  <si>
    <t>modules/a-knights-dream/Item/equip_armor_platemail_helmet_holly.webp</t>
  </si>
  <si>
    <t>Holly Platemail Pauldron</t>
  </si>
  <si>
    <t>modules/a-knights-dream/Item/equip_armor_platemail_pauldron_holly.webp</t>
  </si>
  <si>
    <t>Holly Tunic Cuirass</t>
  </si>
  <si>
    <t>modules/a-knights-dream/Item/equip_armor_tunic_cuirass_holly.webp</t>
  </si>
  <si>
    <t>Holly Tunic Gauntlets</t>
  </si>
  <si>
    <t>modules/a-knights-dream/Item/equip_armor_tunic_gauntlets_holly.webp</t>
  </si>
  <si>
    <t>Holly Tunic Greaves</t>
  </si>
  <si>
    <t>modules/a-knights-dream/Item/equip_armor_tunic_greaves_holly.webp</t>
  </si>
  <si>
    <t>Holly Tunic Helmet</t>
  </si>
  <si>
    <t>modules/a-knights-dream/Item/equip_armor_tunic_helmet_holly.webp</t>
  </si>
  <si>
    <t>Holly Tunic Pauldron</t>
  </si>
  <si>
    <t>modules/a-knights-dream/Item/equip_armor_tunic_pauldron_holly.webp</t>
  </si>
  <si>
    <t>Holly Buckler Shield</t>
  </si>
  <si>
    <t>modules/a-knights-dream/Item/equip_armor_shield_buckler_holly.webp</t>
  </si>
  <si>
    <t>Holly Heater Shield</t>
  </si>
  <si>
    <t>modules/a-knights-dream/Item/equip_armor_shield_heater_holly.webp</t>
  </si>
  <si>
    <t>Holly Kite Shield</t>
  </si>
  <si>
    <t>modules/a-knights-dream/Item/equip_armor_shield_kite_holly.webp</t>
  </si>
  <si>
    <t>Holly Oval Shield</t>
  </si>
  <si>
    <t>modules/a-knights-dream/Item/equip_armor_shield_oval_holly.webp</t>
  </si>
  <si>
    <t>Holly Round Shield</t>
  </si>
  <si>
    <t>modules/a-knights-dream/Item/equip_armor_shield_round_holly.webp</t>
  </si>
  <si>
    <t>Holly Tower Shield</t>
  </si>
  <si>
    <t>modules/a-knights-dream/Item/equip_armor_shield_tower_holly.webp</t>
  </si>
  <si>
    <t>Iren</t>
  </si>
  <si>
    <t>Iren Ball Bearings</t>
  </si>
  <si>
    <t>modules/a-knights-dream/Item/equip_weapon_bearings_iren.webp</t>
  </si>
  <si>
    <t>Iren Bardiche</t>
  </si>
  <si>
    <t>modules/a-knights-dream/Item/equip_weapon_bardiche_iren.webp</t>
  </si>
  <si>
    <t>Iren Bastard Sword</t>
  </si>
  <si>
    <t>modules/a-knights-dream/Item/equip_weapon_sword_bastard_iren.webp</t>
  </si>
  <si>
    <t>Iren Battle Axe</t>
  </si>
  <si>
    <t>modules/a-knights-dream/Item/equip_weapon_axe_battle_iren.webp</t>
  </si>
  <si>
    <t>Iren Blowgun</t>
  </si>
  <si>
    <t>modules/a-knights-dream/Item/equip_weapon_blowgun_iren.webp</t>
  </si>
  <si>
    <t>Iren Bolt</t>
  </si>
  <si>
    <t>modules/a-knights-dream/Item/equip_weapon_bolt_iren.webp</t>
  </si>
  <si>
    <t>Iren Boomerang</t>
  </si>
  <si>
    <t>modules/a-knights-dream/Item/equip_weapon_boomerang_iren.webp</t>
  </si>
  <si>
    <t>Iren Bow</t>
  </si>
  <si>
    <t>modules/a-knights-dream/Item/equip_weapon_bow_iren.webp</t>
  </si>
  <si>
    <t>Iren Caltrops</t>
  </si>
  <si>
    <t>modules/a-knights-dream/Item/equip_weapon_caltrops_iren.webp</t>
  </si>
  <si>
    <t>Iren Cestus</t>
  </si>
  <si>
    <t>modules/a-knights-dream/Item/equip_weapon_cestus_iren.webp</t>
  </si>
  <si>
    <t>Iren Chain</t>
  </si>
  <si>
    <t>modules/a-knights-dream/Item/equip_weapon_chain_iren.webp</t>
  </si>
  <si>
    <t>Iren Claymore</t>
  </si>
  <si>
    <t>modules/a-knights-dream/Item/equip_weapon_claymore_iren.webp</t>
  </si>
  <si>
    <t>Iren Club</t>
  </si>
  <si>
    <t>modules/a-knights-dream/Item/equip_weapon_club_iren.webp</t>
  </si>
  <si>
    <t>Iren Compound Bow</t>
  </si>
  <si>
    <t>modules/a-knights-dream/Item/equip_weapon_bow_compound_iren.webp</t>
  </si>
  <si>
    <t>Iren Cutlass</t>
  </si>
  <si>
    <t>modules/a-knights-dream/Item/equip_weapon_cutlass_iren.webp</t>
  </si>
  <si>
    <t>Iren Dagger</t>
  </si>
  <si>
    <t>modules/a-knights-dream/Item/equip_weapon_dagger_iren.webp</t>
  </si>
  <si>
    <t>Iren Dart</t>
  </si>
  <si>
    <t>modules/a-knights-dream/Item/equip_weapon_dart_iren.webp</t>
  </si>
  <si>
    <t>Iren Fauchard Scythe</t>
  </si>
  <si>
    <t>modules/a-knights-dream/Item/equip_weapon_scythe_fauchard_iren.webp</t>
  </si>
  <si>
    <t>Iren Flail</t>
  </si>
  <si>
    <t>modules/a-knights-dream/Item/equip_weapon_flail_iren.webp</t>
  </si>
  <si>
    <t>Iren Glaive</t>
  </si>
  <si>
    <t>modules/a-knights-dream/Item/equip_weapon_glaive_iren.webp</t>
  </si>
  <si>
    <t>Iren Grapple Hook</t>
  </si>
  <si>
    <t>modules/a-knights-dream/Item/equip_weapon_hook_grapple_iren.webp</t>
  </si>
  <si>
    <t>Iren Great Axe</t>
  </si>
  <si>
    <t>modules/a-knights-dream/Item/equip_weapon_axe_great_iren.webp</t>
  </si>
  <si>
    <t>Iren Great Club</t>
  </si>
  <si>
    <t>modules/a-knights-dream/Item/equip_weapon_club_great_iren.webp</t>
  </si>
  <si>
    <t>Iren Great Khyber</t>
  </si>
  <si>
    <t>modules/a-knights-dream/Item/equip_weapon_khyber_great_iren.webp</t>
  </si>
  <si>
    <t>Iren Great Konda</t>
  </si>
  <si>
    <t>modules/a-knights-dream/Item/equip_weapon_konda_great_iren.webp</t>
  </si>
  <si>
    <t>Iren Great Labrys</t>
  </si>
  <si>
    <t>modules/a-knights-dream/Item/equip_weapon_axe_labrys_great_iren.webp</t>
  </si>
  <si>
    <t>Iren Great Mace</t>
  </si>
  <si>
    <t>modules/a-knights-dream/Item/equip_weapon_mace_great_iren.webp</t>
  </si>
  <si>
    <t>Iren Great Tapal</t>
  </si>
  <si>
    <t>modules/a-knights-dream/Item/equip_weapon_tapal_great_iren.webp</t>
  </si>
  <si>
    <t>Iren Great War Bow</t>
  </si>
  <si>
    <t>modules/a-knights-dream/Item/equip_weapon_bow_war_great_iren.webp</t>
  </si>
  <si>
    <t>Iren Great War Hammer</t>
  </si>
  <si>
    <t>modules/a-knights-dream/Item/equip_weapon_hammer_war_great_iren.webp</t>
  </si>
  <si>
    <t>Iren Great War Pick</t>
  </si>
  <si>
    <t>modules/a-knights-dream/Item/equip_weapon_pick_war_great_iren.webp</t>
  </si>
  <si>
    <t>Iren Guisarme</t>
  </si>
  <si>
    <t>modules/a-knights-dream/Item/equip_weapon_guisarme_iren.webp</t>
  </si>
  <si>
    <t>Iren Halberd</t>
  </si>
  <si>
    <t>modules/a-knights-dream/Item/equip_weapon_halberd_iren.webp</t>
  </si>
  <si>
    <t>Iren Hand Crossbow</t>
  </si>
  <si>
    <t>modules/a-knights-dream/Item/equip_weapon_crossbow_hand_iren.webp</t>
  </si>
  <si>
    <t>Iren Hand axe</t>
  </si>
  <si>
    <t>modules/a-knights-dream/Item/equip_weapon_axe_hand_iren.webp</t>
  </si>
  <si>
    <t>Iren Heavy Crossbow</t>
  </si>
  <si>
    <t>modules/a-knights-dream/Item/equip_weapon_crossbow_heavy_iren.webp</t>
  </si>
  <si>
    <t>Iren Hunting Trap</t>
  </si>
  <si>
    <t>modules/a-knights-dream/Item/equip_weapon_trap_hunting_iren.webp</t>
  </si>
  <si>
    <t>Iren Hunting Trap (Large)</t>
  </si>
  <si>
    <t>modules/a-knights-dream/Item/equip_weapon_trap_hunting_large_iren.webp</t>
  </si>
  <si>
    <t>Iren Hunting Trap (Small)</t>
  </si>
  <si>
    <t>modules/a-knights-dream/Item/equip_weapon_trap_hunting_small_iren.webp</t>
  </si>
  <si>
    <t>Iren Javelin</t>
  </si>
  <si>
    <t>modules/a-knights-dream/Item/equip_weapon_javelin_iren.webp</t>
  </si>
  <si>
    <t>Iren Khpesh</t>
  </si>
  <si>
    <t>modules/a-knights-dream/Item/equip_weapon_khpesh_iren.webp</t>
  </si>
  <si>
    <t>Iren Khyber</t>
  </si>
  <si>
    <t>modules/a-knights-dream/Item/equip_weapon_khyber_iren.webp</t>
  </si>
  <si>
    <t>Iren Konda</t>
  </si>
  <si>
    <t>modules/a-knights-dream/Item/equip_weapon_konda_iren.webp</t>
  </si>
  <si>
    <t>Iren Labrys</t>
  </si>
  <si>
    <t>modules/a-knights-dream/Item/equip_weapon_axe_labrys_iren.webp</t>
  </si>
  <si>
    <t>Iren Lance</t>
  </si>
  <si>
    <t>modules/a-knights-dream/Item/equip_weapon_lance_iren.webp</t>
  </si>
  <si>
    <t>Iren Light Crossbow</t>
  </si>
  <si>
    <t>modules/a-knights-dream/Item/equip_weapon_crossbow_light_iren.webp</t>
  </si>
  <si>
    <t>Iren Long Bow</t>
  </si>
  <si>
    <t>modules/a-knights-dream/Item/equip_weapon_bow_long_iren.webp</t>
  </si>
  <si>
    <t>Iren Long Spear</t>
  </si>
  <si>
    <t>modules/a-knights-dream/Item/equip_weapon_spear_long_iren.webp</t>
  </si>
  <si>
    <t>Iren Lucerince Hammer</t>
  </si>
  <si>
    <t>modules/a-knights-dream/Item/equip_weapon_hammer_lucerince_iren.webp</t>
  </si>
  <si>
    <t>Iren Mace</t>
  </si>
  <si>
    <t>modules/a-knights-dream/Item/equip_weapon_mace_iren.webp</t>
  </si>
  <si>
    <t>Iren Morningstar</t>
  </si>
  <si>
    <t>modules/a-knights-dream/Item/equip_weapon_morningstar_iren.webp</t>
  </si>
  <si>
    <t>Iren Pike</t>
  </si>
  <si>
    <t>modules/a-knights-dream/Item/equip_weapon_pike_iren.webp</t>
  </si>
  <si>
    <t>Iren Quarter Staff</t>
  </si>
  <si>
    <t>modules/a-knights-dream/Item/equip_weapon_staff_quarter_iren.webp</t>
  </si>
  <si>
    <t>Iren Ranseur</t>
  </si>
  <si>
    <t>modules/a-knights-dream/Item/equip_weapon_ranseur_iren.webp</t>
  </si>
  <si>
    <t>Iren Rapier</t>
  </si>
  <si>
    <t>modules/a-knights-dream/Item/equip_weapon_rapier_iren.webp</t>
  </si>
  <si>
    <t>Iren Recurve Bow</t>
  </si>
  <si>
    <t>modules/a-knights-dream/Item/equip_weapon_bow_recurve_iren.webp</t>
  </si>
  <si>
    <t>Iren Repeater Crossbow</t>
  </si>
  <si>
    <t>modules/a-knights-dream/Item/equip_weapon_crossbow_repeater_iren.webp</t>
  </si>
  <si>
    <t>Iren Sabre</t>
  </si>
  <si>
    <t>modules/a-knights-dream/Item/equip_weapon_sabre_iren.webp</t>
  </si>
  <si>
    <t>Iren Scimitar</t>
  </si>
  <si>
    <t>modules/a-knights-dream/Item/equip_weapon_scimitar_iren.webp</t>
  </si>
  <si>
    <t>Iren Scythe</t>
  </si>
  <si>
    <t>modules/a-knights-dream/Item/equip_weapon_scythe_iren.webp</t>
  </si>
  <si>
    <t>Iren Short Bow</t>
  </si>
  <si>
    <t>modules/a-knights-dream/Item/equip_weapon_bow_short_iren.webp</t>
  </si>
  <si>
    <t>Iren Short Spear</t>
  </si>
  <si>
    <t>modules/a-knights-dream/Item/equip_weapon_spear_short_iren.webp</t>
  </si>
  <si>
    <t>Iren Short Sword</t>
  </si>
  <si>
    <t>modules/a-knights-dream/Item/equip_weapon_sword_short_iren.webp</t>
  </si>
  <si>
    <t>Iren Shotel</t>
  </si>
  <si>
    <t>modules/a-knights-dream/Item/equip_weapon_shotel_iren.webp</t>
  </si>
  <si>
    <t>Iren Sickle</t>
  </si>
  <si>
    <t>modules/a-knights-dream/Item/equip_weapon_sickle_iren.webp</t>
  </si>
  <si>
    <t>Iren Sling</t>
  </si>
  <si>
    <t>modules/a-knights-dream/Item/equip_weapon_sling_iren.webp</t>
  </si>
  <si>
    <t>Iren Staff</t>
  </si>
  <si>
    <t>modules/a-knights-dream/Item/equip_weapon_staff_iren.webp</t>
  </si>
  <si>
    <t>Iren Staff Sling</t>
  </si>
  <si>
    <t>modules/a-knights-dream/Item/equip_weapon_sling_staff_iren.webp</t>
  </si>
  <si>
    <t>Iren Sword</t>
  </si>
  <si>
    <t>modules/a-knights-dream/Item/equip_weapon_sword_iren.webp</t>
  </si>
  <si>
    <t>Iren Tapal</t>
  </si>
  <si>
    <t>modules/a-knights-dream/Item/equip_weapon_tapal_iren.webp</t>
  </si>
  <si>
    <t>Iren Trident</t>
  </si>
  <si>
    <t>modules/a-knights-dream/Item/equip_weapon_trident_iren.webp</t>
  </si>
  <si>
    <t>Iren War Hammer</t>
  </si>
  <si>
    <t>modules/a-knights-dream/Item/equip_weapon_hammer_war_iren.webp</t>
  </si>
  <si>
    <t>Iren War Pick</t>
  </si>
  <si>
    <t>modules/a-knights-dream/Item/equip_weapon_pick_war_iren.webp</t>
  </si>
  <si>
    <t>Iren Brigantine Cuirass</t>
  </si>
  <si>
    <t>modules/a-knights-dream/Item/equip_armor_brigantine_cuirass_iren.webp</t>
  </si>
  <si>
    <t>Iren Brigantine Gauntlets</t>
  </si>
  <si>
    <t>modules/a-knights-dream/Item/equip_armor_brigantine_gauntlets_iren.webp</t>
  </si>
  <si>
    <t>Iren Brigantine Greaves</t>
  </si>
  <si>
    <t>modules/a-knights-dream/Item/equip_armor_brigantine_greaves_iren.webp</t>
  </si>
  <si>
    <t>Iren Brigantine Helmet</t>
  </si>
  <si>
    <t>modules/a-knights-dream/Item/equip_armor_brigantine_helmet_iren.webp</t>
  </si>
  <si>
    <t>Iren Brigantine Pauldron</t>
  </si>
  <si>
    <t>modules/a-knights-dream/Item/equip_armor_brigantine_pauldron_iren.webp</t>
  </si>
  <si>
    <t>Iren Chainmail Cuirass</t>
  </si>
  <si>
    <t>modules/a-knights-dream/Item/equip_armor_chainmail_cuirass_iren.webp</t>
  </si>
  <si>
    <t>Iren Chainmail Gauntlets</t>
  </si>
  <si>
    <t>modules/a-knights-dream/Item/equip_armor_chainmail_gauntlets_iren.webp</t>
  </si>
  <si>
    <t>Iren Chainmail Greaves</t>
  </si>
  <si>
    <t>modules/a-knights-dream/Item/equip_armor_chainmail_greaves_iren.webp</t>
  </si>
  <si>
    <t>Iren Chainmail Helmet</t>
  </si>
  <si>
    <t>modules/a-knights-dream/Item/equip_armor_chainmail_helmet_iren.webp</t>
  </si>
  <si>
    <t>Iren Chainmail Pauldron</t>
  </si>
  <si>
    <t>modules/a-knights-dream/Item/equip_armor_chainmail_pauldron_iren.webp</t>
  </si>
  <si>
    <t>Iren Gamberson Cuirass</t>
  </si>
  <si>
    <t>modules/a-knights-dream/Item/equip_armor_gamberson_cuirass_iren.webp</t>
  </si>
  <si>
    <t>Iren Gamberson Gauntlets</t>
  </si>
  <si>
    <t>modules/a-knights-dream/Item/equip_armor_gamberson_gauntlets_iren.webp</t>
  </si>
  <si>
    <t>Iren Gamberson Greaves</t>
  </si>
  <si>
    <t>modules/a-knights-dream/Item/equip_armor_gamberson_greaves_iren.webp</t>
  </si>
  <si>
    <t>Iren Gamberson Helmet</t>
  </si>
  <si>
    <t>modules/a-knights-dream/Item/equip_armor_gamberson_helmet_iren.webp</t>
  </si>
  <si>
    <t>Iren Gamberson Pauldron</t>
  </si>
  <si>
    <t>modules/a-knights-dream/Item/equip_armor_gamberson_pauldron_iren.webp</t>
  </si>
  <si>
    <t>Iren Hauberk Cuirass</t>
  </si>
  <si>
    <t>modules/a-knights-dream/Item/equip_armor_hauberk_cuirass_iren.webp</t>
  </si>
  <si>
    <t>Iren Hauberk Gauntlets</t>
  </si>
  <si>
    <t>modules/a-knights-dream/Item/equip_armor_hauberk_gauntlets_iren.webp</t>
  </si>
  <si>
    <t>Iren Hauberk Greaves</t>
  </si>
  <si>
    <t>modules/a-knights-dream/Item/equip_armor_hauberk_greaves_iren.webp</t>
  </si>
  <si>
    <t>Iren Hauberk Helmet</t>
  </si>
  <si>
    <t>modules/a-knights-dream/Item/equip_armor_hauberk_helmet_iren.webp</t>
  </si>
  <si>
    <t>Iren Hauberk Pauldron</t>
  </si>
  <si>
    <t>modules/a-knights-dream/Item/equip_armor_hauberk_pauldron_iren.webp</t>
  </si>
  <si>
    <t>Iren Jack Cuirass</t>
  </si>
  <si>
    <t>modules/a-knights-dream/Item/equip_armor_jack_cuirass_iren.webp</t>
  </si>
  <si>
    <t>Iren Jack Gauntlets</t>
  </si>
  <si>
    <t>modules/a-knights-dream/Item/equip_armor_jack_gauntlets_iren.webp</t>
  </si>
  <si>
    <t>Iren Jack Greaves</t>
  </si>
  <si>
    <t>modules/a-knights-dream/Item/equip_armor_jack_greaves_iren.webp</t>
  </si>
  <si>
    <t>Iren Jack Helmet</t>
  </si>
  <si>
    <t>modules/a-knights-dream/Item/equip_armor_jack_helmet_iren.webp</t>
  </si>
  <si>
    <t>Iren Jack Pauldron</t>
  </si>
  <si>
    <t>modules/a-knights-dream/Item/equip_armor_jack_pauldron_iren.webp</t>
  </si>
  <si>
    <t>Iren Lamellar Cuirass</t>
  </si>
  <si>
    <t>modules/a-knights-dream/Item/equip_armor_lamellar_cuirass_iren.webp</t>
  </si>
  <si>
    <t>Iren Lamellar Gauntlets</t>
  </si>
  <si>
    <t>modules/a-knights-dream/Item/equip_armor_lamellar_gauntlets_iren.webp</t>
  </si>
  <si>
    <t>Iren Lamellar Greaves</t>
  </si>
  <si>
    <t>modules/a-knights-dream/Item/equip_armor_lamellar_greaves_iren.webp</t>
  </si>
  <si>
    <t>Iren Lamellar Helmet</t>
  </si>
  <si>
    <t>modules/a-knights-dream/Item/equip_armor_lamellar_helmet_iren.webp</t>
  </si>
  <si>
    <t>Iren Lamellar Pauldron</t>
  </si>
  <si>
    <t>modules/a-knights-dream/Item/equip_armor_lamellar_pauldron_iren.webp</t>
  </si>
  <si>
    <t>Iren Platemail Cuirass</t>
  </si>
  <si>
    <t>modules/a-knights-dream/Item/equip_armor_platemail_cuirass_iren.webp</t>
  </si>
  <si>
    <t>Iren Platemail Gauntlets</t>
  </si>
  <si>
    <t>modules/a-knights-dream/Item/equip_armor_platemail_gauntlets_iren.webp</t>
  </si>
  <si>
    <t>Iren Platemail Greaves</t>
  </si>
  <si>
    <t>modules/a-knights-dream/Item/equip_armor_platemail_greaves_iren.webp</t>
  </si>
  <si>
    <t>Iren Platemail Helmet</t>
  </si>
  <si>
    <t>modules/a-knights-dream/Item/equip_armor_platemail_helmet_iren.webp</t>
  </si>
  <si>
    <t>Iren Platemail Pauldron</t>
  </si>
  <si>
    <t>modules/a-knights-dream/Item/equip_armor_platemail_pauldron_iren.webp</t>
  </si>
  <si>
    <t>Iren Tunic Cuirass</t>
  </si>
  <si>
    <t>modules/a-knights-dream/Item/equip_armor_tunic_cuirass_iren.webp</t>
  </si>
  <si>
    <t>Iren Tunic Gauntlets</t>
  </si>
  <si>
    <t>modules/a-knights-dream/Item/equip_armor_tunic_gauntlets_iren.webp</t>
  </si>
  <si>
    <t>Iren Tunic Greaves</t>
  </si>
  <si>
    <t>modules/a-knights-dream/Item/equip_armor_tunic_greaves_iren.webp</t>
  </si>
  <si>
    <t>Iren Tunic Helmet</t>
  </si>
  <si>
    <t>modules/a-knights-dream/Item/equip_armor_tunic_helmet_iren.webp</t>
  </si>
  <si>
    <t>Iren Tunic Pauldron</t>
  </si>
  <si>
    <t>modules/a-knights-dream/Item/equip_armor_tunic_pauldron_iren.webp</t>
  </si>
  <si>
    <t>Iren Buckler Shield</t>
  </si>
  <si>
    <t>modules/a-knights-dream/Item/equip_armor_shield_buckler_iren.webp</t>
  </si>
  <si>
    <t>Iren Heater Shield</t>
  </si>
  <si>
    <t>modules/a-knights-dream/Item/equip_armor_shield_heater_iren.webp</t>
  </si>
  <si>
    <t>Iren Kite Shield</t>
  </si>
  <si>
    <t>modules/a-knights-dream/Item/equip_armor_shield_kite_iren.webp</t>
  </si>
  <si>
    <t>Iren Oval Shield</t>
  </si>
  <si>
    <t>modules/a-knights-dream/Item/equip_armor_shield_oval_iren.webp</t>
  </si>
  <si>
    <t>Iren Round Shield</t>
  </si>
  <si>
    <t>modules/a-knights-dream/Item/equip_armor_shield_round_iren.webp</t>
  </si>
  <si>
    <t>Iren Tower Shield</t>
  </si>
  <si>
    <t>modules/a-knights-dream/Item/equip_armor_shield_tower_iren.webp</t>
  </si>
  <si>
    <t>Ireron</t>
  </si>
  <si>
    <t>Ireron Ball Bearings</t>
  </si>
  <si>
    <t>modules/a-knights-dream/Item/equip_weapon_bearings_ireron.webp</t>
  </si>
  <si>
    <t>Ireron Bardiche</t>
  </si>
  <si>
    <t>modules/a-knights-dream/Item/equip_weapon_bardiche_ireron.webp</t>
  </si>
  <si>
    <t>Ireron Bastard Sword</t>
  </si>
  <si>
    <t>modules/a-knights-dream/Item/equip_weapon_sword_bastard_ireron.webp</t>
  </si>
  <si>
    <t>Ireron Battle Axe</t>
  </si>
  <si>
    <t>modules/a-knights-dream/Item/equip_weapon_axe_battle_ireron.webp</t>
  </si>
  <si>
    <t>Ireron Blowgun</t>
  </si>
  <si>
    <t>modules/a-knights-dream/Item/equip_weapon_blowgun_ireron.webp</t>
  </si>
  <si>
    <t>Ireron Bolt</t>
  </si>
  <si>
    <t>modules/a-knights-dream/Item/equip_weapon_bolt_ireron.webp</t>
  </si>
  <si>
    <t>Ireron Boomerang</t>
  </si>
  <si>
    <t>modules/a-knights-dream/Item/equip_weapon_boomerang_ireron.webp</t>
  </si>
  <si>
    <t>Ireron Bow</t>
  </si>
  <si>
    <t>modules/a-knights-dream/Item/equip_weapon_bow_ireron.webp</t>
  </si>
  <si>
    <t>Ireron Caltrops</t>
  </si>
  <si>
    <t>modules/a-knights-dream/Item/equip_weapon_caltrops_ireron.webp</t>
  </si>
  <si>
    <t>Ireron Cestus</t>
  </si>
  <si>
    <t>modules/a-knights-dream/Item/equip_weapon_cestus_ireron.webp</t>
  </si>
  <si>
    <t>Ireron Chain</t>
  </si>
  <si>
    <t>modules/a-knights-dream/Item/equip_weapon_chain_ireron.webp</t>
  </si>
  <si>
    <t>Ireron Claymore</t>
  </si>
  <si>
    <t>modules/a-knights-dream/Item/equip_weapon_claymore_ireron.webp</t>
  </si>
  <si>
    <t>Ireron Club</t>
  </si>
  <si>
    <t>modules/a-knights-dream/Item/equip_weapon_club_ireron.webp</t>
  </si>
  <si>
    <t>Ireron Compound Bow</t>
  </si>
  <si>
    <t>modules/a-knights-dream/Item/equip_weapon_bow_compound_ireron.webp</t>
  </si>
  <si>
    <t>Ireron Cutlass</t>
  </si>
  <si>
    <t>modules/a-knights-dream/Item/equip_weapon_cutlass_ireron.webp</t>
  </si>
  <si>
    <t>Ireron Dagger</t>
  </si>
  <si>
    <t>modules/a-knights-dream/Item/equip_weapon_dagger_ireron.webp</t>
  </si>
  <si>
    <t>Ireron Dart</t>
  </si>
  <si>
    <t>modules/a-knights-dream/Item/equip_weapon_dart_ireron.webp</t>
  </si>
  <si>
    <t>Ireron Fauchard Scythe</t>
  </si>
  <si>
    <t>modules/a-knights-dream/Item/equip_weapon_scythe_fauchard_ireron.webp</t>
  </si>
  <si>
    <t>Ireron Flail</t>
  </si>
  <si>
    <t>modules/a-knights-dream/Item/equip_weapon_flail_ireron.webp</t>
  </si>
  <si>
    <t>Ireron Glaive</t>
  </si>
  <si>
    <t>modules/a-knights-dream/Item/equip_weapon_glaive_ireron.webp</t>
  </si>
  <si>
    <t>Ireron Grapple Hook</t>
  </si>
  <si>
    <t>modules/a-knights-dream/Item/equip_weapon_hook_grapple_ireron.webp</t>
  </si>
  <si>
    <t>Ireron Great Axe</t>
  </si>
  <si>
    <t>modules/a-knights-dream/Item/equip_weapon_axe_great_ireron.webp</t>
  </si>
  <si>
    <t>Ireron Great Club</t>
  </si>
  <si>
    <t>modules/a-knights-dream/Item/equip_weapon_club_great_ireron.webp</t>
  </si>
  <si>
    <t>Ireron Great Khyber</t>
  </si>
  <si>
    <t>modules/a-knights-dream/Item/equip_weapon_khyber_great_ireron.webp</t>
  </si>
  <si>
    <t>Ireron Great Konda</t>
  </si>
  <si>
    <t>modules/a-knights-dream/Item/equip_weapon_konda_great_ireron.webp</t>
  </si>
  <si>
    <t>Ireron Great Labrys</t>
  </si>
  <si>
    <t>modules/a-knights-dream/Item/equip_weapon_axe_labrys_great_ireron.webp</t>
  </si>
  <si>
    <t>Ireron Great Mace</t>
  </si>
  <si>
    <t>modules/a-knights-dream/Item/equip_weapon_mace_great_ireron.webp</t>
  </si>
  <si>
    <t>Ireron Great Tapal</t>
  </si>
  <si>
    <t>modules/a-knights-dream/Item/equip_weapon_tapal_great_ireron.webp</t>
  </si>
  <si>
    <t>Ireron Great War Bow</t>
  </si>
  <si>
    <t>modules/a-knights-dream/Item/equip_weapon_bow_war_great_ireron.webp</t>
  </si>
  <si>
    <t>Ireron Great War Hammer</t>
  </si>
  <si>
    <t>modules/a-knights-dream/Item/equip_weapon_hammer_war_great_ireron.webp</t>
  </si>
  <si>
    <t>Ireron Great War Pick</t>
  </si>
  <si>
    <t>modules/a-knights-dream/Item/equip_weapon_pick_war_great_ireron.webp</t>
  </si>
  <si>
    <t>Ireron Guisarme</t>
  </si>
  <si>
    <t>modules/a-knights-dream/Item/equip_weapon_guisarme_ireron.webp</t>
  </si>
  <si>
    <t>Ireron Halberd</t>
  </si>
  <si>
    <t>modules/a-knights-dream/Item/equip_weapon_halberd_ireron.webp</t>
  </si>
  <si>
    <t>Ireron Hand Crossbow</t>
  </si>
  <si>
    <t>modules/a-knights-dream/Item/equip_weapon_crossbow_hand_ireron.webp</t>
  </si>
  <si>
    <t>Ireron Hand axe</t>
  </si>
  <si>
    <t>modules/a-knights-dream/Item/equip_weapon_axe_hand_ireron.webp</t>
  </si>
  <si>
    <t>Ireron Heavy Crossbow</t>
  </si>
  <si>
    <t>modules/a-knights-dream/Item/equip_weapon_crossbow_heavy_ireron.webp</t>
  </si>
  <si>
    <t>Ireron Hunting Trap</t>
  </si>
  <si>
    <t>modules/a-knights-dream/Item/equip_weapon_trap_hunting_ireron.webp</t>
  </si>
  <si>
    <t>Ireron Hunting Trap (Large)</t>
  </si>
  <si>
    <t>modules/a-knights-dream/Item/equip_weapon_trap_hunting_large_ireron.webp</t>
  </si>
  <si>
    <t>Ireron Hunting Trap (Small)</t>
  </si>
  <si>
    <t>modules/a-knights-dream/Item/equip_weapon_trap_hunting_small_ireron.webp</t>
  </si>
  <si>
    <t>Ireron Javelin</t>
  </si>
  <si>
    <t>modules/a-knights-dream/Item/equip_weapon_javelin_ireron.webp</t>
  </si>
  <si>
    <t>Ireron Khpesh</t>
  </si>
  <si>
    <t>modules/a-knights-dream/Item/equip_weapon_khpesh_ireron.webp</t>
  </si>
  <si>
    <t>Ireron Khyber</t>
  </si>
  <si>
    <t>modules/a-knights-dream/Item/equip_weapon_khyber_ireron.webp</t>
  </si>
  <si>
    <t>Ireron Konda</t>
  </si>
  <si>
    <t>modules/a-knights-dream/Item/equip_weapon_konda_ireron.webp</t>
  </si>
  <si>
    <t>Ireron Labrys</t>
  </si>
  <si>
    <t>modules/a-knights-dream/Item/equip_weapon_axe_labrys_ireron.webp</t>
  </si>
  <si>
    <t>Ireron Lance</t>
  </si>
  <si>
    <t>modules/a-knights-dream/Item/equip_weapon_lance_ireron.webp</t>
  </si>
  <si>
    <t>Ireron Light Crossbow</t>
  </si>
  <si>
    <t>modules/a-knights-dream/Item/equip_weapon_crossbow_light_ireron.webp</t>
  </si>
  <si>
    <t>Ireron Long Bow</t>
  </si>
  <si>
    <t>modules/a-knights-dream/Item/equip_weapon_bow_long_ireron.webp</t>
  </si>
  <si>
    <t>Ireron Long Spear</t>
  </si>
  <si>
    <t>modules/a-knights-dream/Item/equip_weapon_spear_long_ireron.webp</t>
  </si>
  <si>
    <t>Ireron Lucerince Hammer</t>
  </si>
  <si>
    <t>modules/a-knights-dream/Item/equip_weapon_hammer_lucerince_ireron.webp</t>
  </si>
  <si>
    <t>Ireron Mace</t>
  </si>
  <si>
    <t>modules/a-knights-dream/Item/equip_weapon_mace_ireron.webp</t>
  </si>
  <si>
    <t>Ireron Morningstar</t>
  </si>
  <si>
    <t>modules/a-knights-dream/Item/equip_weapon_morningstar_ireron.webp</t>
  </si>
  <si>
    <t>Ireron Pike</t>
  </si>
  <si>
    <t>modules/a-knights-dream/Item/equip_weapon_pike_ireron.webp</t>
  </si>
  <si>
    <t>Ireron Quarter Staff</t>
  </si>
  <si>
    <t>modules/a-knights-dream/Item/equip_weapon_staff_quarter_ireron.webp</t>
  </si>
  <si>
    <t>Ireron Ranseur</t>
  </si>
  <si>
    <t>modules/a-knights-dream/Item/equip_weapon_ranseur_ireron.webp</t>
  </si>
  <si>
    <t>Ireron Rapier</t>
  </si>
  <si>
    <t>modules/a-knights-dream/Item/equip_weapon_rapier_ireron.webp</t>
  </si>
  <si>
    <t>Ireron Recurve Bow</t>
  </si>
  <si>
    <t>modules/a-knights-dream/Item/equip_weapon_bow_recurve_ireron.webp</t>
  </si>
  <si>
    <t>Ireron Repeater Crossbow</t>
  </si>
  <si>
    <t>modules/a-knights-dream/Item/equip_weapon_crossbow_repeater_ireron.webp</t>
  </si>
  <si>
    <t>Ireron Sabre</t>
  </si>
  <si>
    <t>modules/a-knights-dream/Item/equip_weapon_sabre_ireron.webp</t>
  </si>
  <si>
    <t>Ireron Scimitar</t>
  </si>
  <si>
    <t>modules/a-knights-dream/Item/equip_weapon_scimitar_ireron.webp</t>
  </si>
  <si>
    <t>Ireron Scythe</t>
  </si>
  <si>
    <t>modules/a-knights-dream/Item/equip_weapon_scythe_ireron.webp</t>
  </si>
  <si>
    <t>Ireron Short Bow</t>
  </si>
  <si>
    <t>modules/a-knights-dream/Item/equip_weapon_bow_short_ireron.webp</t>
  </si>
  <si>
    <t>Ireron Short Spear</t>
  </si>
  <si>
    <t>modules/a-knights-dream/Item/equip_weapon_spear_short_ireron.webp</t>
  </si>
  <si>
    <t>Ireron Short Sword</t>
  </si>
  <si>
    <t>modules/a-knights-dream/Item/equip_weapon_sword_short_ireron.webp</t>
  </si>
  <si>
    <t>Ireron Shotel</t>
  </si>
  <si>
    <t>modules/a-knights-dream/Item/equip_weapon_shotel_ireron.webp</t>
  </si>
  <si>
    <t>Ireron Sickle</t>
  </si>
  <si>
    <t>modules/a-knights-dream/Item/equip_weapon_sickle_ireron.webp</t>
  </si>
  <si>
    <t>Ireron Sling</t>
  </si>
  <si>
    <t>modules/a-knights-dream/Item/equip_weapon_sling_ireron.webp</t>
  </si>
  <si>
    <t>Ireron Staff</t>
  </si>
  <si>
    <t>modules/a-knights-dream/Item/equip_weapon_staff_ireron.webp</t>
  </si>
  <si>
    <t>Ireron Staff Sling</t>
  </si>
  <si>
    <t>modules/a-knights-dream/Item/equip_weapon_sling_staff_ireron.webp</t>
  </si>
  <si>
    <t>Ireron Sword</t>
  </si>
  <si>
    <t>modules/a-knights-dream/Item/equip_weapon_sword_ireron.webp</t>
  </si>
  <si>
    <t>Ireron Tapal</t>
  </si>
  <si>
    <t>modules/a-knights-dream/Item/equip_weapon_tapal_ireron.webp</t>
  </si>
  <si>
    <t>Ireron Trident</t>
  </si>
  <si>
    <t>modules/a-knights-dream/Item/equip_weapon_trident_ireron.webp</t>
  </si>
  <si>
    <t>Ireron War Hammer</t>
  </si>
  <si>
    <t>modules/a-knights-dream/Item/equip_weapon_hammer_war_ireron.webp</t>
  </si>
  <si>
    <t>Ireron War Pick</t>
  </si>
  <si>
    <t>modules/a-knights-dream/Item/equip_weapon_pick_war_ireron.webp</t>
  </si>
  <si>
    <t>Ireron Brigantine Cuirass</t>
  </si>
  <si>
    <t>modules/a-knights-dream/Item/equip_armor_brigantine_cuirass_ireron.webp</t>
  </si>
  <si>
    <t>Ireron Brigantine Gauntlets</t>
  </si>
  <si>
    <t>modules/a-knights-dream/Item/equip_armor_brigantine_gauntlets_ireron.webp</t>
  </si>
  <si>
    <t>Ireron Brigantine Greaves</t>
  </si>
  <si>
    <t>modules/a-knights-dream/Item/equip_armor_brigantine_greaves_ireron.webp</t>
  </si>
  <si>
    <t>Ireron Brigantine Helmet</t>
  </si>
  <si>
    <t>modules/a-knights-dream/Item/equip_armor_brigantine_helmet_ireron.webp</t>
  </si>
  <si>
    <t>Ireron Brigantine Pauldron</t>
  </si>
  <si>
    <t>modules/a-knights-dream/Item/equip_armor_brigantine_pauldron_ireron.webp</t>
  </si>
  <si>
    <t>Ireron Chainmail Cuirass</t>
  </si>
  <si>
    <t>modules/a-knights-dream/Item/equip_armor_chainmail_cuirass_ireron.webp</t>
  </si>
  <si>
    <t>Ireron Chainmail Gauntlets</t>
  </si>
  <si>
    <t>modules/a-knights-dream/Item/equip_armor_chainmail_gauntlets_ireron.webp</t>
  </si>
  <si>
    <t>Ireron Chainmail Greaves</t>
  </si>
  <si>
    <t>modules/a-knights-dream/Item/equip_armor_chainmail_greaves_ireron.webp</t>
  </si>
  <si>
    <t>Ireron Chainmail Helmet</t>
  </si>
  <si>
    <t>modules/a-knights-dream/Item/equip_armor_chainmail_helmet_ireron.webp</t>
  </si>
  <si>
    <t>Ireron Chainmail Pauldron</t>
  </si>
  <si>
    <t>modules/a-knights-dream/Item/equip_armor_chainmail_pauldron_ireron.webp</t>
  </si>
  <si>
    <t>Ireron Gamberson Cuirass</t>
  </si>
  <si>
    <t>modules/a-knights-dream/Item/equip_armor_gamberson_cuirass_ireron.webp</t>
  </si>
  <si>
    <t>Ireron Gamberson Gauntlets</t>
  </si>
  <si>
    <t>modules/a-knights-dream/Item/equip_armor_gamberson_gauntlets_ireron.webp</t>
  </si>
  <si>
    <t>Ireron Gamberson Greaves</t>
  </si>
  <si>
    <t>modules/a-knights-dream/Item/equip_armor_gamberson_greaves_ireron.webp</t>
  </si>
  <si>
    <t>Ireron Gamberson Helmet</t>
  </si>
  <si>
    <t>modules/a-knights-dream/Item/equip_armor_gamberson_helmet_ireron.webp</t>
  </si>
  <si>
    <t>Ireron Gamberson Pauldron</t>
  </si>
  <si>
    <t>modules/a-knights-dream/Item/equip_armor_gamberson_pauldron_ireron.webp</t>
  </si>
  <si>
    <t>Ireron Hauberk Cuirass</t>
  </si>
  <si>
    <t>modules/a-knights-dream/Item/equip_armor_hauberk_cuirass_ireron.webp</t>
  </si>
  <si>
    <t>Ireron Hauberk Gauntlets</t>
  </si>
  <si>
    <t>modules/a-knights-dream/Item/equip_armor_hauberk_gauntlets_ireron.webp</t>
  </si>
  <si>
    <t>Ireron Hauberk Greaves</t>
  </si>
  <si>
    <t>modules/a-knights-dream/Item/equip_armor_hauberk_greaves_ireron.webp</t>
  </si>
  <si>
    <t>Ireron Hauberk Helmet</t>
  </si>
  <si>
    <t>modules/a-knights-dream/Item/equip_armor_hauberk_helmet_ireron.webp</t>
  </si>
  <si>
    <t>Ireron Hauberk Pauldron</t>
  </si>
  <si>
    <t>modules/a-knights-dream/Item/equip_armor_hauberk_pauldron_ireron.webp</t>
  </si>
  <si>
    <t>Ireron Jack Cuirass</t>
  </si>
  <si>
    <t>modules/a-knights-dream/Item/equip_armor_jack_cuirass_ireron.webp</t>
  </si>
  <si>
    <t>Ireron Jack Gauntlets</t>
  </si>
  <si>
    <t>modules/a-knights-dream/Item/equip_armor_jack_gauntlets_ireron.webp</t>
  </si>
  <si>
    <t>Ireron Jack Greaves</t>
  </si>
  <si>
    <t>modules/a-knights-dream/Item/equip_armor_jack_greaves_ireron.webp</t>
  </si>
  <si>
    <t>Ireron Jack Helmet</t>
  </si>
  <si>
    <t>modules/a-knights-dream/Item/equip_armor_jack_helmet_ireron.webp</t>
  </si>
  <si>
    <t>Ireron Jack Pauldron</t>
  </si>
  <si>
    <t>modules/a-knights-dream/Item/equip_armor_jack_pauldron_ireron.webp</t>
  </si>
  <si>
    <t>Ireron Lamellar Cuirass</t>
  </si>
  <si>
    <t>modules/a-knights-dream/Item/equip_armor_lamellar_cuirass_ireron.webp</t>
  </si>
  <si>
    <t>Ireron Lamellar Gauntlets</t>
  </si>
  <si>
    <t>modules/a-knights-dream/Item/equip_armor_lamellar_gauntlets_ireron.webp</t>
  </si>
  <si>
    <t>Ireron Lamellar Greaves</t>
  </si>
  <si>
    <t>modules/a-knights-dream/Item/equip_armor_lamellar_greaves_ireron.webp</t>
  </si>
  <si>
    <t>Ireron Lamellar Helmet</t>
  </si>
  <si>
    <t>modules/a-knights-dream/Item/equip_armor_lamellar_helmet_ireron.webp</t>
  </si>
  <si>
    <t>Ireron Lamellar Pauldron</t>
  </si>
  <si>
    <t>modules/a-knights-dream/Item/equip_armor_lamellar_pauldron_ireron.webp</t>
  </si>
  <si>
    <t>Ireron Platemail Cuirass</t>
  </si>
  <si>
    <t>modules/a-knights-dream/Item/equip_armor_platemail_cuirass_ireron.webp</t>
  </si>
  <si>
    <t>Ireron Platemail Gauntlets</t>
  </si>
  <si>
    <t>modules/a-knights-dream/Item/equip_armor_platemail_gauntlets_ireron.webp</t>
  </si>
  <si>
    <t>Ireron Platemail Greaves</t>
  </si>
  <si>
    <t>modules/a-knights-dream/Item/equip_armor_platemail_greaves_ireron.webp</t>
  </si>
  <si>
    <t>Ireron Platemail Helmet</t>
  </si>
  <si>
    <t>modules/a-knights-dream/Item/equip_armor_platemail_helmet_ireron.webp</t>
  </si>
  <si>
    <t>Ireron Platemail Pauldron</t>
  </si>
  <si>
    <t>modules/a-knights-dream/Item/equip_armor_platemail_pauldron_ireron.webp</t>
  </si>
  <si>
    <t>Ireron Tunic Cuirass</t>
  </si>
  <si>
    <t>modules/a-knights-dream/Item/equip_armor_tunic_cuirass_ireron.webp</t>
  </si>
  <si>
    <t>Ireron Tunic Gauntlets</t>
  </si>
  <si>
    <t>modules/a-knights-dream/Item/equip_armor_tunic_gauntlets_ireron.webp</t>
  </si>
  <si>
    <t>Ireron Tunic Greaves</t>
  </si>
  <si>
    <t>modules/a-knights-dream/Item/equip_armor_tunic_greaves_ireron.webp</t>
  </si>
  <si>
    <t>Ireron Tunic Helmet</t>
  </si>
  <si>
    <t>modules/a-knights-dream/Item/equip_armor_tunic_helmet_ireron.webp</t>
  </si>
  <si>
    <t>Ireron Tunic Pauldron</t>
  </si>
  <si>
    <t>modules/a-knights-dream/Item/equip_armor_tunic_pauldron_ireron.webp</t>
  </si>
  <si>
    <t>Ireron Buckler Shield</t>
  </si>
  <si>
    <t>modules/a-knights-dream/Item/equip_armor_shield_buckler_ireron.webp</t>
  </si>
  <si>
    <t>Ireron Heater Shield</t>
  </si>
  <si>
    <t>modules/a-knights-dream/Item/equip_armor_shield_heater_ireron.webp</t>
  </si>
  <si>
    <t>Ireron Kite Shield</t>
  </si>
  <si>
    <t>modules/a-knights-dream/Item/equip_armor_shield_kite_ireron.webp</t>
  </si>
  <si>
    <t>Ireron Oval Shield</t>
  </si>
  <si>
    <t>modules/a-knights-dream/Item/equip_armor_shield_oval_ireron.webp</t>
  </si>
  <si>
    <t>Ireron Round Shield</t>
  </si>
  <si>
    <t>modules/a-knights-dream/Item/equip_armor_shield_round_ireron.webp</t>
  </si>
  <si>
    <t>Ireron Tower Shield</t>
  </si>
  <si>
    <t>modules/a-knights-dream/Item/equip_armor_shield_tower_ireron.webp</t>
  </si>
  <si>
    <t>Juniper</t>
  </si>
  <si>
    <t>Juniper Ball Bearings</t>
  </si>
  <si>
    <t>modules/a-knights-dream/Item/equip_weapon_bearings_juniper.webp</t>
  </si>
  <si>
    <t>Juniper Bardiche</t>
  </si>
  <si>
    <t>modules/a-knights-dream/Item/equip_weapon_bardiche_juniper.webp</t>
  </si>
  <si>
    <t>Juniper Bastard Sword</t>
  </si>
  <si>
    <t>modules/a-knights-dream/Item/equip_weapon_sword_bastard_juniper.webp</t>
  </si>
  <si>
    <t>Juniper Battle Axe</t>
  </si>
  <si>
    <t>modules/a-knights-dream/Item/equip_weapon_axe_battle_juniper.webp</t>
  </si>
  <si>
    <t>Juniper Blowgun</t>
  </si>
  <si>
    <t>modules/a-knights-dream/Item/equip_weapon_blowgun_juniper.webp</t>
  </si>
  <si>
    <t>Juniper Bolt</t>
  </si>
  <si>
    <t>modules/a-knights-dream/Item/equip_weapon_bolt_juniper.webp</t>
  </si>
  <si>
    <t>Juniper Boomerang</t>
  </si>
  <si>
    <t>modules/a-knights-dream/Item/equip_weapon_boomerang_juniper.webp</t>
  </si>
  <si>
    <t>Juniper Bow</t>
  </si>
  <si>
    <t>modules/a-knights-dream/Item/equip_weapon_bow_juniper.webp</t>
  </si>
  <si>
    <t>Juniper Caltrops</t>
  </si>
  <si>
    <t>modules/a-knights-dream/Item/equip_weapon_caltrops_juniper.webp</t>
  </si>
  <si>
    <t>Juniper Cestus</t>
  </si>
  <si>
    <t>modules/a-knights-dream/Item/equip_weapon_cestus_juniper.webp</t>
  </si>
  <si>
    <t>Juniper Chain</t>
  </si>
  <si>
    <t>modules/a-knights-dream/Item/equip_weapon_chain_juniper.webp</t>
  </si>
  <si>
    <t>Juniper Claymore</t>
  </si>
  <si>
    <t>modules/a-knights-dream/Item/equip_weapon_claymore_juniper.webp</t>
  </si>
  <si>
    <t>Juniper Club</t>
  </si>
  <si>
    <t>modules/a-knights-dream/Item/equip_weapon_club_juniper.webp</t>
  </si>
  <si>
    <t>Juniper Compound Bow</t>
  </si>
  <si>
    <t>modules/a-knights-dream/Item/equip_weapon_bow_compound_juniper.webp</t>
  </si>
  <si>
    <t>Juniper Cutlass</t>
  </si>
  <si>
    <t>modules/a-knights-dream/Item/equip_weapon_cutlass_juniper.webp</t>
  </si>
  <si>
    <t>Juniper Dagger</t>
  </si>
  <si>
    <t>modules/a-knights-dream/Item/equip_weapon_dagger_juniper.webp</t>
  </si>
  <si>
    <t>Juniper Dart</t>
  </si>
  <si>
    <t>modules/a-knights-dream/Item/equip_weapon_dart_juniper.webp</t>
  </si>
  <si>
    <t>Juniper Fauchard Scythe</t>
  </si>
  <si>
    <t>modules/a-knights-dream/Item/equip_weapon_scythe_fauchard_juniper.webp</t>
  </si>
  <si>
    <t>Juniper Flail</t>
  </si>
  <si>
    <t>modules/a-knights-dream/Item/equip_weapon_flail_juniper.webp</t>
  </si>
  <si>
    <t>Juniper Glaive</t>
  </si>
  <si>
    <t>modules/a-knights-dream/Item/equip_weapon_glaive_juniper.webp</t>
  </si>
  <si>
    <t>Juniper Grapple Hook</t>
  </si>
  <si>
    <t>modules/a-knights-dream/Item/equip_weapon_hook_grapple_juniper.webp</t>
  </si>
  <si>
    <t>Juniper Great Axe</t>
  </si>
  <si>
    <t>modules/a-knights-dream/Item/equip_weapon_axe_great_juniper.webp</t>
  </si>
  <si>
    <t>Juniper Great Club</t>
  </si>
  <si>
    <t>modules/a-knights-dream/Item/equip_weapon_club_great_juniper.webp</t>
  </si>
  <si>
    <t>Juniper Great Khyber</t>
  </si>
  <si>
    <t>modules/a-knights-dream/Item/equip_weapon_khyber_great_juniper.webp</t>
  </si>
  <si>
    <t>Juniper Great Konda</t>
  </si>
  <si>
    <t>modules/a-knights-dream/Item/equip_weapon_konda_great_juniper.webp</t>
  </si>
  <si>
    <t>Juniper Great Labrys</t>
  </si>
  <si>
    <t>modules/a-knights-dream/Item/equip_weapon_axe_labrys_great_juniper.webp</t>
  </si>
  <si>
    <t>Juniper Great Mace</t>
  </si>
  <si>
    <t>modules/a-knights-dream/Item/equip_weapon_mace_great_juniper.webp</t>
  </si>
  <si>
    <t>Juniper Great Tapal</t>
  </si>
  <si>
    <t>modules/a-knights-dream/Item/equip_weapon_tapal_great_juniper.webp</t>
  </si>
  <si>
    <t>Juniper Great War Bow</t>
  </si>
  <si>
    <t>modules/a-knights-dream/Item/equip_weapon_bow_war_great_juniper.webp</t>
  </si>
  <si>
    <t>Juniper Great War Hammer</t>
  </si>
  <si>
    <t>modules/a-knights-dream/Item/equip_weapon_hammer_war_great_juniper.webp</t>
  </si>
  <si>
    <t>Juniper Great War Pick</t>
  </si>
  <si>
    <t>modules/a-knights-dream/Item/equip_weapon_pick_war_great_juniper.webp</t>
  </si>
  <si>
    <t>Juniper Guisarme</t>
  </si>
  <si>
    <t>modules/a-knights-dream/Item/equip_weapon_guisarme_juniper.webp</t>
  </si>
  <si>
    <t>Juniper Halberd</t>
  </si>
  <si>
    <t>modules/a-knights-dream/Item/equip_weapon_halberd_juniper.webp</t>
  </si>
  <si>
    <t>Juniper Hand Crossbow</t>
  </si>
  <si>
    <t>modules/a-knights-dream/Item/equip_weapon_crossbow_hand_juniper.webp</t>
  </si>
  <si>
    <t>Juniper Hand axe</t>
  </si>
  <si>
    <t>modules/a-knights-dream/Item/equip_weapon_axe_hand_juniper.webp</t>
  </si>
  <si>
    <t>Juniper Heavy Crossbow</t>
  </si>
  <si>
    <t>modules/a-knights-dream/Item/equip_weapon_crossbow_heavy_juniper.webp</t>
  </si>
  <si>
    <t>Juniper Hunting Trap</t>
  </si>
  <si>
    <t>modules/a-knights-dream/Item/equip_weapon_trap_hunting_juniper.webp</t>
  </si>
  <si>
    <t>Juniper Hunting Trap (Large)</t>
  </si>
  <si>
    <t>modules/a-knights-dream/Item/equip_weapon_trap_hunting_large_juniper.webp</t>
  </si>
  <si>
    <t>Juniper Hunting Trap (Small)</t>
  </si>
  <si>
    <t>modules/a-knights-dream/Item/equip_weapon_trap_hunting_small_juniper.webp</t>
  </si>
  <si>
    <t>Juniper Javelin</t>
  </si>
  <si>
    <t>modules/a-knights-dream/Item/equip_weapon_javelin_juniper.webp</t>
  </si>
  <si>
    <t>Juniper Khpesh</t>
  </si>
  <si>
    <t>modules/a-knights-dream/Item/equip_weapon_khpesh_juniper.webp</t>
  </si>
  <si>
    <t>Juniper Khyber</t>
  </si>
  <si>
    <t>modules/a-knights-dream/Item/equip_weapon_khyber_juniper.webp</t>
  </si>
  <si>
    <t>Juniper Konda</t>
  </si>
  <si>
    <t>modules/a-knights-dream/Item/equip_weapon_konda_juniper.webp</t>
  </si>
  <si>
    <t>Juniper Labrys</t>
  </si>
  <si>
    <t>modules/a-knights-dream/Item/equip_weapon_axe_labrys_juniper.webp</t>
  </si>
  <si>
    <t>Juniper Lance</t>
  </si>
  <si>
    <t>modules/a-knights-dream/Item/equip_weapon_lance_juniper.webp</t>
  </si>
  <si>
    <t>Juniper Light Crossbow</t>
  </si>
  <si>
    <t>modules/a-knights-dream/Item/equip_weapon_crossbow_light_juniper.webp</t>
  </si>
  <si>
    <t>Juniper Long Bow</t>
  </si>
  <si>
    <t>modules/a-knights-dream/Item/equip_weapon_bow_long_juniper.webp</t>
  </si>
  <si>
    <t>Juniper Long Spear</t>
  </si>
  <si>
    <t>modules/a-knights-dream/Item/equip_weapon_spear_long_juniper.webp</t>
  </si>
  <si>
    <t>Juniper Lucerince Hammer</t>
  </si>
  <si>
    <t>modules/a-knights-dream/Item/equip_weapon_hammer_lucerince_juniper.webp</t>
  </si>
  <si>
    <t>Juniper Mace</t>
  </si>
  <si>
    <t>modules/a-knights-dream/Item/equip_weapon_mace_juniper.webp</t>
  </si>
  <si>
    <t>Juniper Morningstar</t>
  </si>
  <si>
    <t>modules/a-knights-dream/Item/equip_weapon_morningstar_juniper.webp</t>
  </si>
  <si>
    <t>Juniper Pike</t>
  </si>
  <si>
    <t>modules/a-knights-dream/Item/equip_weapon_pike_juniper.webp</t>
  </si>
  <si>
    <t>Juniper Quarter Staff</t>
  </si>
  <si>
    <t>modules/a-knights-dream/Item/equip_weapon_staff_quarter_juniper.webp</t>
  </si>
  <si>
    <t>Juniper Ranseur</t>
  </si>
  <si>
    <t>modules/a-knights-dream/Item/equip_weapon_ranseur_juniper.webp</t>
  </si>
  <si>
    <t>Juniper Rapier</t>
  </si>
  <si>
    <t>modules/a-knights-dream/Item/equip_weapon_rapier_juniper.webp</t>
  </si>
  <si>
    <t>Juniper Recurve Bow</t>
  </si>
  <si>
    <t>modules/a-knights-dream/Item/equip_weapon_bow_recurve_juniper.webp</t>
  </si>
  <si>
    <t>Juniper Repeater Crossbow</t>
  </si>
  <si>
    <t>modules/a-knights-dream/Item/equip_weapon_crossbow_repeater_juniper.webp</t>
  </si>
  <si>
    <t>Juniper Sabre</t>
  </si>
  <si>
    <t>modules/a-knights-dream/Item/equip_weapon_sabre_juniper.webp</t>
  </si>
  <si>
    <t>Juniper Scimitar</t>
  </si>
  <si>
    <t>modules/a-knights-dream/Item/equip_weapon_scimitar_juniper.webp</t>
  </si>
  <si>
    <t>Juniper Scythe</t>
  </si>
  <si>
    <t>modules/a-knights-dream/Item/equip_weapon_scythe_juniper.webp</t>
  </si>
  <si>
    <t>Juniper Short Bow</t>
  </si>
  <si>
    <t>modules/a-knights-dream/Item/equip_weapon_bow_short_juniper.webp</t>
  </si>
  <si>
    <t>Juniper Short Spear</t>
  </si>
  <si>
    <t>modules/a-knights-dream/Item/equip_weapon_spear_short_juniper.webp</t>
  </si>
  <si>
    <t>Juniper Short Sword</t>
  </si>
  <si>
    <t>modules/a-knights-dream/Item/equip_weapon_sword_short_juniper.webp</t>
  </si>
  <si>
    <t>Juniper Shotel</t>
  </si>
  <si>
    <t>modules/a-knights-dream/Item/equip_weapon_shotel_juniper.webp</t>
  </si>
  <si>
    <t>Juniper Sickle</t>
  </si>
  <si>
    <t>modules/a-knights-dream/Item/equip_weapon_sickle_juniper.webp</t>
  </si>
  <si>
    <t>Juniper Sling</t>
  </si>
  <si>
    <t>modules/a-knights-dream/Item/equip_weapon_sling_juniper.webp</t>
  </si>
  <si>
    <t>Juniper Staff</t>
  </si>
  <si>
    <t>modules/a-knights-dream/Item/equip_weapon_staff_juniper.webp</t>
  </si>
  <si>
    <t>Juniper Staff Sling</t>
  </si>
  <si>
    <t>modules/a-knights-dream/Item/equip_weapon_sling_staff_juniper.webp</t>
  </si>
  <si>
    <t>Juniper Sword</t>
  </si>
  <si>
    <t>modules/a-knights-dream/Item/equip_weapon_sword_juniper.webp</t>
  </si>
  <si>
    <t>Juniper Tapal</t>
  </si>
  <si>
    <t>modules/a-knights-dream/Item/equip_weapon_tapal_juniper.webp</t>
  </si>
  <si>
    <t>Juniper Trident</t>
  </si>
  <si>
    <t>modules/a-knights-dream/Item/equip_weapon_trident_juniper.webp</t>
  </si>
  <si>
    <t>Juniper War Hammer</t>
  </si>
  <si>
    <t>modules/a-knights-dream/Item/equip_weapon_hammer_war_juniper.webp</t>
  </si>
  <si>
    <t>Juniper War Pick</t>
  </si>
  <si>
    <t>modules/a-knights-dream/Item/equip_weapon_pick_war_juniper.webp</t>
  </si>
  <si>
    <t>Juniper Brigantine Cuirass</t>
  </si>
  <si>
    <t>modules/a-knights-dream/Item/equip_armor_brigantine_cuirass_juniper.webp</t>
  </si>
  <si>
    <t>Juniper Brigantine Gauntlets</t>
  </si>
  <si>
    <t>modules/a-knights-dream/Item/equip_armor_brigantine_gauntlets_juniper.webp</t>
  </si>
  <si>
    <t>Juniper Brigantine Greaves</t>
  </si>
  <si>
    <t>modules/a-knights-dream/Item/equip_armor_brigantine_greaves_juniper.webp</t>
  </si>
  <si>
    <t>Juniper Brigantine Helmet</t>
  </si>
  <si>
    <t>modules/a-knights-dream/Item/equip_armor_brigantine_helmet_juniper.webp</t>
  </si>
  <si>
    <t>Juniper Brigantine Pauldron</t>
  </si>
  <si>
    <t>modules/a-knights-dream/Item/equip_armor_brigantine_pauldron_juniper.webp</t>
  </si>
  <si>
    <t>Juniper Chainmail Cuirass</t>
  </si>
  <si>
    <t>modules/a-knights-dream/Item/equip_armor_chainmail_cuirass_juniper.webp</t>
  </si>
  <si>
    <t>Juniper Chainmail Gauntlets</t>
  </si>
  <si>
    <t>modules/a-knights-dream/Item/equip_armor_chainmail_gauntlets_juniper.webp</t>
  </si>
  <si>
    <t>Juniper Chainmail Greaves</t>
  </si>
  <si>
    <t>modules/a-knights-dream/Item/equip_armor_chainmail_greaves_juniper.webp</t>
  </si>
  <si>
    <t>Juniper Chainmail Helmet</t>
  </si>
  <si>
    <t>modules/a-knights-dream/Item/equip_armor_chainmail_helmet_juniper.webp</t>
  </si>
  <si>
    <t>Juniper Chainmail Pauldron</t>
  </si>
  <si>
    <t>modules/a-knights-dream/Item/equip_armor_chainmail_pauldron_juniper.webp</t>
  </si>
  <si>
    <t>Juniper Gamberson Cuirass</t>
  </si>
  <si>
    <t>modules/a-knights-dream/Item/equip_armor_gamberson_cuirass_juniper.webp</t>
  </si>
  <si>
    <t>Juniper Gamberson Gauntlets</t>
  </si>
  <si>
    <t>modules/a-knights-dream/Item/equip_armor_gamberson_gauntlets_juniper.webp</t>
  </si>
  <si>
    <t>Juniper Gamberson Greaves</t>
  </si>
  <si>
    <t>modules/a-knights-dream/Item/equip_armor_gamberson_greaves_juniper.webp</t>
  </si>
  <si>
    <t>Juniper Gamberson Helmet</t>
  </si>
  <si>
    <t>modules/a-knights-dream/Item/equip_armor_gamberson_helmet_juniper.webp</t>
  </si>
  <si>
    <t>Juniper Gamberson Pauldron</t>
  </si>
  <si>
    <t>modules/a-knights-dream/Item/equip_armor_gamberson_pauldron_juniper.webp</t>
  </si>
  <si>
    <t>Juniper Hauberk Cuirass</t>
  </si>
  <si>
    <t>modules/a-knights-dream/Item/equip_armor_hauberk_cuirass_juniper.webp</t>
  </si>
  <si>
    <t>Juniper Hauberk Gauntlets</t>
  </si>
  <si>
    <t>modules/a-knights-dream/Item/equip_armor_hauberk_gauntlets_juniper.webp</t>
  </si>
  <si>
    <t>Juniper Hauberk Greaves</t>
  </si>
  <si>
    <t>modules/a-knights-dream/Item/equip_armor_hauberk_greaves_juniper.webp</t>
  </si>
  <si>
    <t>Juniper Hauberk Helmet</t>
  </si>
  <si>
    <t>modules/a-knights-dream/Item/equip_armor_hauberk_helmet_juniper.webp</t>
  </si>
  <si>
    <t>Juniper Hauberk Pauldron</t>
  </si>
  <si>
    <t>modules/a-knights-dream/Item/equip_armor_hauberk_pauldron_juniper.webp</t>
  </si>
  <si>
    <t>Juniper Jack Cuirass</t>
  </si>
  <si>
    <t>modules/a-knights-dream/Item/equip_armor_jack_cuirass_juniper.webp</t>
  </si>
  <si>
    <t>Juniper Jack Gauntlets</t>
  </si>
  <si>
    <t>modules/a-knights-dream/Item/equip_armor_jack_gauntlets_juniper.webp</t>
  </si>
  <si>
    <t>Juniper Jack Greaves</t>
  </si>
  <si>
    <t>modules/a-knights-dream/Item/equip_armor_jack_greaves_juniper.webp</t>
  </si>
  <si>
    <t>Juniper Jack Helmet</t>
  </si>
  <si>
    <t>modules/a-knights-dream/Item/equip_armor_jack_helmet_juniper.webp</t>
  </si>
  <si>
    <t>Juniper Jack Pauldron</t>
  </si>
  <si>
    <t>modules/a-knights-dream/Item/equip_armor_jack_pauldron_juniper.webp</t>
  </si>
  <si>
    <t>Juniper Lamellar Cuirass</t>
  </si>
  <si>
    <t>modules/a-knights-dream/Item/equip_armor_lamellar_cuirass_juniper.webp</t>
  </si>
  <si>
    <t>Juniper Lamellar Gauntlets</t>
  </si>
  <si>
    <t>modules/a-knights-dream/Item/equip_armor_lamellar_gauntlets_juniper.webp</t>
  </si>
  <si>
    <t>Juniper Lamellar Greaves</t>
  </si>
  <si>
    <t>modules/a-knights-dream/Item/equip_armor_lamellar_greaves_juniper.webp</t>
  </si>
  <si>
    <t>Juniper Lamellar Helmet</t>
  </si>
  <si>
    <t>modules/a-knights-dream/Item/equip_armor_lamellar_helmet_juniper.webp</t>
  </si>
  <si>
    <t>Juniper Lamellar Pauldron</t>
  </si>
  <si>
    <t>modules/a-knights-dream/Item/equip_armor_lamellar_pauldron_juniper.webp</t>
  </si>
  <si>
    <t>Juniper Platemail Cuirass</t>
  </si>
  <si>
    <t>modules/a-knights-dream/Item/equip_armor_platemail_cuirass_juniper.webp</t>
  </si>
  <si>
    <t>Juniper Platemail Gauntlets</t>
  </si>
  <si>
    <t>modules/a-knights-dream/Item/equip_armor_platemail_gauntlets_juniper.webp</t>
  </si>
  <si>
    <t>Juniper Platemail Greaves</t>
  </si>
  <si>
    <t>modules/a-knights-dream/Item/equip_armor_platemail_greaves_juniper.webp</t>
  </si>
  <si>
    <t>Juniper Platemail Helmet</t>
  </si>
  <si>
    <t>modules/a-knights-dream/Item/equip_armor_platemail_helmet_juniper.webp</t>
  </si>
  <si>
    <t>Juniper Platemail Pauldron</t>
  </si>
  <si>
    <t>modules/a-knights-dream/Item/equip_armor_platemail_pauldron_juniper.webp</t>
  </si>
  <si>
    <t>Juniper Tunic Cuirass</t>
  </si>
  <si>
    <t>modules/a-knights-dream/Item/equip_armor_tunic_cuirass_juniper.webp</t>
  </si>
  <si>
    <t>Juniper Tunic Gauntlets</t>
  </si>
  <si>
    <t>modules/a-knights-dream/Item/equip_armor_tunic_gauntlets_juniper.webp</t>
  </si>
  <si>
    <t>Juniper Tunic Greaves</t>
  </si>
  <si>
    <t>modules/a-knights-dream/Item/equip_armor_tunic_greaves_juniper.webp</t>
  </si>
  <si>
    <t>Juniper Tunic Helmet</t>
  </si>
  <si>
    <t>modules/a-knights-dream/Item/equip_armor_tunic_helmet_juniper.webp</t>
  </si>
  <si>
    <t>Juniper Tunic Pauldron</t>
  </si>
  <si>
    <t>modules/a-knights-dream/Item/equip_armor_tunic_pauldron_juniper.webp</t>
  </si>
  <si>
    <t>Juniper Buckler Shield</t>
  </si>
  <si>
    <t>modules/a-knights-dream/Item/equip_armor_shield_buckler_juniper.webp</t>
  </si>
  <si>
    <t>Juniper Heater Shield</t>
  </si>
  <si>
    <t>modules/a-knights-dream/Item/equip_armor_shield_heater_juniper.webp</t>
  </si>
  <si>
    <t>Juniper Kite Shield</t>
  </si>
  <si>
    <t>modules/a-knights-dream/Item/equip_armor_shield_kite_juniper.webp</t>
  </si>
  <si>
    <t>Juniper Oval Shield</t>
  </si>
  <si>
    <t>modules/a-knights-dream/Item/equip_armor_shield_oval_juniper.webp</t>
  </si>
  <si>
    <t>Juniper Round Shield</t>
  </si>
  <si>
    <t>modules/a-knights-dream/Item/equip_armor_shield_round_juniper.webp</t>
  </si>
  <si>
    <t>Juniper Tower Shield</t>
  </si>
  <si>
    <t>modules/a-knights-dream/Item/equip_armor_shield_tower_juniper.webp</t>
  </si>
  <si>
    <t>Leafweave</t>
  </si>
  <si>
    <t>Leafweave Ball Bearings</t>
  </si>
  <si>
    <t>modules/a-knights-dream/Item/equip_weapon_bearings_leafweave.webp</t>
  </si>
  <si>
    <t>Leafweave Bardiche</t>
  </si>
  <si>
    <t>modules/a-knights-dream/Item/equip_weapon_bardiche_leafweave.webp</t>
  </si>
  <si>
    <t>Leafweave Bastard Sword</t>
  </si>
  <si>
    <t>modules/a-knights-dream/Item/equip_weapon_sword_bastard_leafweave.webp</t>
  </si>
  <si>
    <t>Leafweave Battle Axe</t>
  </si>
  <si>
    <t>modules/a-knights-dream/Item/equip_weapon_axe_battle_leafweave.webp</t>
  </si>
  <si>
    <t>Leafweave Blowgun</t>
  </si>
  <si>
    <t>modules/a-knights-dream/Item/equip_weapon_blowgun_leafweave.webp</t>
  </si>
  <si>
    <t>Leafweave Bolt</t>
  </si>
  <si>
    <t>modules/a-knights-dream/Item/equip_weapon_bolt_leafweave.webp</t>
  </si>
  <si>
    <t>Leafweave Boomerang</t>
  </si>
  <si>
    <t>modules/a-knights-dream/Item/equip_weapon_boomerang_leafweave.webp</t>
  </si>
  <si>
    <t>Leafweave Bow</t>
  </si>
  <si>
    <t>modules/a-knights-dream/Item/equip_weapon_bow_leafweave.webp</t>
  </si>
  <si>
    <t>Leafweave Caltrops</t>
  </si>
  <si>
    <t>modules/a-knights-dream/Item/equip_weapon_caltrops_leafweave.webp</t>
  </si>
  <si>
    <t>Leafweave Cestus</t>
  </si>
  <si>
    <t>modules/a-knights-dream/Item/equip_weapon_cestus_leafweave.webp</t>
  </si>
  <si>
    <t>Leafweave Chain</t>
  </si>
  <si>
    <t>modules/a-knights-dream/Item/equip_weapon_chain_leafweave.webp</t>
  </si>
  <si>
    <t>Leafweave Claymore</t>
  </si>
  <si>
    <t>modules/a-knights-dream/Item/equip_weapon_claymore_leafweave.webp</t>
  </si>
  <si>
    <t>Leafweave Club</t>
  </si>
  <si>
    <t>modules/a-knights-dream/Item/equip_weapon_club_leafweave.webp</t>
  </si>
  <si>
    <t>Leafweave Compound Bow</t>
  </si>
  <si>
    <t>modules/a-knights-dream/Item/equip_weapon_bow_compound_leafweave.webp</t>
  </si>
  <si>
    <t>Leafweave Cutlass</t>
  </si>
  <si>
    <t>modules/a-knights-dream/Item/equip_weapon_cutlass_leafweave.webp</t>
  </si>
  <si>
    <t>Leafweave Dagger</t>
  </si>
  <si>
    <t>modules/a-knights-dream/Item/equip_weapon_dagger_leafweave.webp</t>
  </si>
  <si>
    <t>Leafweave Dart</t>
  </si>
  <si>
    <t>modules/a-knights-dream/Item/equip_weapon_dart_leafweave.webp</t>
  </si>
  <si>
    <t>Leafweave Fauchard Scythe</t>
  </si>
  <si>
    <t>modules/a-knights-dream/Item/equip_weapon_scythe_fauchard_leafweave.webp</t>
  </si>
  <si>
    <t>Leafweave Flail</t>
  </si>
  <si>
    <t>modules/a-knights-dream/Item/equip_weapon_flail_leafweave.webp</t>
  </si>
  <si>
    <t>Leafweave Glaive</t>
  </si>
  <si>
    <t>modules/a-knights-dream/Item/equip_weapon_glaive_leafweave.webp</t>
  </si>
  <si>
    <t>Leafweave Grapple Hook</t>
  </si>
  <si>
    <t>modules/a-knights-dream/Item/equip_weapon_hook_grapple_leafweave.webp</t>
  </si>
  <si>
    <t>Leafweave Great Axe</t>
  </si>
  <si>
    <t>modules/a-knights-dream/Item/equip_weapon_axe_great_leafweave.webp</t>
  </si>
  <si>
    <t>Leafweave Great Club</t>
  </si>
  <si>
    <t>modules/a-knights-dream/Item/equip_weapon_club_great_leafweave.webp</t>
  </si>
  <si>
    <t>Leafweave Great Khyber</t>
  </si>
  <si>
    <t>modules/a-knights-dream/Item/equip_weapon_khyber_great_leafweave.webp</t>
  </si>
  <si>
    <t>Leafweave Great Konda</t>
  </si>
  <si>
    <t>modules/a-knights-dream/Item/equip_weapon_konda_great_leafweave.webp</t>
  </si>
  <si>
    <t>Leafweave Great Labrys</t>
  </si>
  <si>
    <t>modules/a-knights-dream/Item/equip_weapon_axe_labrys_great_leafweave.webp</t>
  </si>
  <si>
    <t>Leafweave Great Mace</t>
  </si>
  <si>
    <t>modules/a-knights-dream/Item/equip_weapon_mace_great_leafweave.webp</t>
  </si>
  <si>
    <t>Leafweave Great Tapal</t>
  </si>
  <si>
    <t>modules/a-knights-dream/Item/equip_weapon_tapal_great_leafweave.webp</t>
  </si>
  <si>
    <t>Leafweave Great War Bow</t>
  </si>
  <si>
    <t>modules/a-knights-dream/Item/equip_weapon_bow_war_great_leafweave.webp</t>
  </si>
  <si>
    <t>Leafweave Great War Hammer</t>
  </si>
  <si>
    <t>modules/a-knights-dream/Item/equip_weapon_hammer_war_great_leafweave.webp</t>
  </si>
  <si>
    <t>Leafweave Great War Pick</t>
  </si>
  <si>
    <t>modules/a-knights-dream/Item/equip_weapon_pick_war_great_leafweave.webp</t>
  </si>
  <si>
    <t>Leafweave Guisarme</t>
  </si>
  <si>
    <t>modules/a-knights-dream/Item/equip_weapon_guisarme_leafweave.webp</t>
  </si>
  <si>
    <t>Leafweave Halberd</t>
  </si>
  <si>
    <t>modules/a-knights-dream/Item/equip_weapon_halberd_leafweave.webp</t>
  </si>
  <si>
    <t>Leafweave Hand Crossbow</t>
  </si>
  <si>
    <t>modules/a-knights-dream/Item/equip_weapon_crossbow_hand_leafweave.webp</t>
  </si>
  <si>
    <t>Leafweave Hand axe</t>
  </si>
  <si>
    <t>modules/a-knights-dream/Item/equip_weapon_axe_hand_leafweave.webp</t>
  </si>
  <si>
    <t>Leafweave Heavy Crossbow</t>
  </si>
  <si>
    <t>modules/a-knights-dream/Item/equip_weapon_crossbow_heavy_leafweave.webp</t>
  </si>
  <si>
    <t>Leafweave Hunting Trap</t>
  </si>
  <si>
    <t>modules/a-knights-dream/Item/equip_weapon_trap_hunting_leafweave.webp</t>
  </si>
  <si>
    <t>Leafweave Hunting Trap (Large)</t>
  </si>
  <si>
    <t>modules/a-knights-dream/Item/equip_weapon_trap_hunting_large_leafweave.webp</t>
  </si>
  <si>
    <t>Leafweave Hunting Trap (Small)</t>
  </si>
  <si>
    <t>modules/a-knights-dream/Item/equip_weapon_trap_hunting_small_leafweave.webp</t>
  </si>
  <si>
    <t>Leafweave Javelin</t>
  </si>
  <si>
    <t>modules/a-knights-dream/Item/equip_weapon_javelin_leafweave.webp</t>
  </si>
  <si>
    <t>Leafweave Khpesh</t>
  </si>
  <si>
    <t>modules/a-knights-dream/Item/equip_weapon_khpesh_leafweave.webp</t>
  </si>
  <si>
    <t>Leafweave Khyber</t>
  </si>
  <si>
    <t>modules/a-knights-dream/Item/equip_weapon_khyber_leafweave.webp</t>
  </si>
  <si>
    <t>Leafweave Konda</t>
  </si>
  <si>
    <t>modules/a-knights-dream/Item/equip_weapon_konda_leafweave.webp</t>
  </si>
  <si>
    <t>Leafweave Labrys</t>
  </si>
  <si>
    <t>modules/a-knights-dream/Item/equip_weapon_axe_labrys_leafweave.webp</t>
  </si>
  <si>
    <t>Leafweave Lance</t>
  </si>
  <si>
    <t>modules/a-knights-dream/Item/equip_weapon_lance_leafweave.webp</t>
  </si>
  <si>
    <t>Leafweave Light Crossbow</t>
  </si>
  <si>
    <t>modules/a-knights-dream/Item/equip_weapon_crossbow_light_leafweave.webp</t>
  </si>
  <si>
    <t>Leafweave Long Bow</t>
  </si>
  <si>
    <t>modules/a-knights-dream/Item/equip_weapon_bow_long_leafweave.webp</t>
  </si>
  <si>
    <t>Leafweave Long Spear</t>
  </si>
  <si>
    <t>modules/a-knights-dream/Item/equip_weapon_spear_long_leafweave.webp</t>
  </si>
  <si>
    <t>Leafweave Lucerince Hammer</t>
  </si>
  <si>
    <t>modules/a-knights-dream/Item/equip_weapon_hammer_lucerince_leafweave.webp</t>
  </si>
  <si>
    <t>Leafweave Mace</t>
  </si>
  <si>
    <t>modules/a-knights-dream/Item/equip_weapon_mace_leafweave.webp</t>
  </si>
  <si>
    <t>Leafweave Morningstar</t>
  </si>
  <si>
    <t>modules/a-knights-dream/Item/equip_weapon_morningstar_leafweave.webp</t>
  </si>
  <si>
    <t>Leafweave Pike</t>
  </si>
  <si>
    <t>modules/a-knights-dream/Item/equip_weapon_pike_leafweave.webp</t>
  </si>
  <si>
    <t>Leafweave Quarter Staff</t>
  </si>
  <si>
    <t>modules/a-knights-dream/Item/equip_weapon_staff_quarter_leafweave.webp</t>
  </si>
  <si>
    <t>Leafweave Ranseur</t>
  </si>
  <si>
    <t>modules/a-knights-dream/Item/equip_weapon_ranseur_leafweave.webp</t>
  </si>
  <si>
    <t>Leafweave Rapier</t>
  </si>
  <si>
    <t>modules/a-knights-dream/Item/equip_weapon_rapier_leafweave.webp</t>
  </si>
  <si>
    <t>Leafweave Recurve Bow</t>
  </si>
  <si>
    <t>modules/a-knights-dream/Item/equip_weapon_bow_recurve_leafweave.webp</t>
  </si>
  <si>
    <t>Leafweave Repeater Crossbow</t>
  </si>
  <si>
    <t>modules/a-knights-dream/Item/equip_weapon_crossbow_repeater_leafweave.webp</t>
  </si>
  <si>
    <t>Leafweave Sabre</t>
  </si>
  <si>
    <t>modules/a-knights-dream/Item/equip_weapon_sabre_leafweave.webp</t>
  </si>
  <si>
    <t>Leafweave Scimitar</t>
  </si>
  <si>
    <t>modules/a-knights-dream/Item/equip_weapon_scimitar_leafweave.webp</t>
  </si>
  <si>
    <t>Leafweave Scythe</t>
  </si>
  <si>
    <t>modules/a-knights-dream/Item/equip_weapon_scythe_leafweave.webp</t>
  </si>
  <si>
    <t>Leafweave Short Bow</t>
  </si>
  <si>
    <t>modules/a-knights-dream/Item/equip_weapon_bow_short_leafweave.webp</t>
  </si>
  <si>
    <t>Leafweave Short Spear</t>
  </si>
  <si>
    <t>modules/a-knights-dream/Item/equip_weapon_spear_short_leafweave.webp</t>
  </si>
  <si>
    <t>Leafweave Short Sword</t>
  </si>
  <si>
    <t>modules/a-knights-dream/Item/equip_weapon_sword_short_leafweave.webp</t>
  </si>
  <si>
    <t>Leafweave Shotel</t>
  </si>
  <si>
    <t>modules/a-knights-dream/Item/equip_weapon_shotel_leafweave.webp</t>
  </si>
  <si>
    <t>Leafweave Sickle</t>
  </si>
  <si>
    <t>modules/a-knights-dream/Item/equip_weapon_sickle_leafweave.webp</t>
  </si>
  <si>
    <t>Leafweave Sling</t>
  </si>
  <si>
    <t>modules/a-knights-dream/Item/equip_weapon_sling_leafweave.webp</t>
  </si>
  <si>
    <t>Leafweave Staff</t>
  </si>
  <si>
    <t>modules/a-knights-dream/Item/equip_weapon_staff_leafweave.webp</t>
  </si>
  <si>
    <t>Leafweave Staff Sling</t>
  </si>
  <si>
    <t>modules/a-knights-dream/Item/equip_weapon_sling_staff_leafweave.webp</t>
  </si>
  <si>
    <t>Leafweave Sword</t>
  </si>
  <si>
    <t>modules/a-knights-dream/Item/equip_weapon_sword_leafweave.webp</t>
  </si>
  <si>
    <t>Leafweave Tapal</t>
  </si>
  <si>
    <t>modules/a-knights-dream/Item/equip_weapon_tapal_leafweave.webp</t>
  </si>
  <si>
    <t>Leafweave Trident</t>
  </si>
  <si>
    <t>modules/a-knights-dream/Item/equip_weapon_trident_leafweave.webp</t>
  </si>
  <si>
    <t>Leafweave War Hammer</t>
  </si>
  <si>
    <t>modules/a-knights-dream/Item/equip_weapon_hammer_war_leafweave.webp</t>
  </si>
  <si>
    <t>Leafweave War Pick</t>
  </si>
  <si>
    <t>modules/a-knights-dream/Item/equip_weapon_pick_war_leafweave.webp</t>
  </si>
  <si>
    <t>Leafweave Brigantine Cuirass</t>
  </si>
  <si>
    <t>modules/a-knights-dream/Item/equip_armor_brigantine_cuirass_leafweave.webp</t>
  </si>
  <si>
    <t>Leafweave Brigantine Gauntlets</t>
  </si>
  <si>
    <t>modules/a-knights-dream/Item/equip_armor_brigantine_gauntlets_leafweave.webp</t>
  </si>
  <si>
    <t>Leafweave Brigantine Greaves</t>
  </si>
  <si>
    <t>modules/a-knights-dream/Item/equip_armor_brigantine_greaves_leafweave.webp</t>
  </si>
  <si>
    <t>Leafweave Brigantine Helmet</t>
  </si>
  <si>
    <t>modules/a-knights-dream/Item/equip_armor_brigantine_helmet_leafweave.webp</t>
  </si>
  <si>
    <t>Leafweave Brigantine Pauldron</t>
  </si>
  <si>
    <t>modules/a-knights-dream/Item/equip_armor_brigantine_pauldron_leafweave.webp</t>
  </si>
  <si>
    <t>Leafweave Chainmail Cuirass</t>
  </si>
  <si>
    <t>modules/a-knights-dream/Item/equip_armor_chainmail_cuirass_leafweave.webp</t>
  </si>
  <si>
    <t>Leafweave Chainmail Gauntlets</t>
  </si>
  <si>
    <t>modules/a-knights-dream/Item/equip_armor_chainmail_gauntlets_leafweave.webp</t>
  </si>
  <si>
    <t>Leafweave Chainmail Greaves</t>
  </si>
  <si>
    <t>modules/a-knights-dream/Item/equip_armor_chainmail_greaves_leafweave.webp</t>
  </si>
  <si>
    <t>Leafweave Chainmail Helmet</t>
  </si>
  <si>
    <t>modules/a-knights-dream/Item/equip_armor_chainmail_helmet_leafweave.webp</t>
  </si>
  <si>
    <t>Leafweave Chainmail Pauldron</t>
  </si>
  <si>
    <t>modules/a-knights-dream/Item/equip_armor_chainmail_pauldron_leafweave.webp</t>
  </si>
  <si>
    <t>Leafweave Gamberson Cuirass</t>
  </si>
  <si>
    <t>modules/a-knights-dream/Item/equip_armor_gamberson_cuirass_leafweave.webp</t>
  </si>
  <si>
    <t>Leafweave Gamberson Gauntlets</t>
  </si>
  <si>
    <t>modules/a-knights-dream/Item/equip_armor_gamberson_gauntlets_leafweave.webp</t>
  </si>
  <si>
    <t>Leafweave Gamberson Greaves</t>
  </si>
  <si>
    <t>modules/a-knights-dream/Item/equip_armor_gamberson_greaves_leafweave.webp</t>
  </si>
  <si>
    <t>Leafweave Gamberson Helmet</t>
  </si>
  <si>
    <t>modules/a-knights-dream/Item/equip_armor_gamberson_helmet_leafweave.webp</t>
  </si>
  <si>
    <t>Leafweave Gamberson Pauldron</t>
  </si>
  <si>
    <t>modules/a-knights-dream/Item/equip_armor_gamberson_pauldron_leafweave.webp</t>
  </si>
  <si>
    <t>Leafweave Hauberk Cuirass</t>
  </si>
  <si>
    <t>modules/a-knights-dream/Item/equip_armor_hauberk_cuirass_leafweave.webp</t>
  </si>
  <si>
    <t>Leafweave Hauberk Gauntlets</t>
  </si>
  <si>
    <t>modules/a-knights-dream/Item/equip_armor_hauberk_gauntlets_leafweave.webp</t>
  </si>
  <si>
    <t>Leafweave Hauberk Greaves</t>
  </si>
  <si>
    <t>modules/a-knights-dream/Item/equip_armor_hauberk_greaves_leafweave.webp</t>
  </si>
  <si>
    <t>Leafweave Hauberk Helmet</t>
  </si>
  <si>
    <t>modules/a-knights-dream/Item/equip_armor_hauberk_helmet_leafweave.webp</t>
  </si>
  <si>
    <t>Leafweave Hauberk Pauldron</t>
  </si>
  <si>
    <t>modules/a-knights-dream/Item/equip_armor_hauberk_pauldron_leafweave.webp</t>
  </si>
  <si>
    <t>Leafweave Jack Cuirass</t>
  </si>
  <si>
    <t>modules/a-knights-dream/Item/equip_armor_jack_cuirass_leafweave.webp</t>
  </si>
  <si>
    <t>Leafweave Jack Gauntlets</t>
  </si>
  <si>
    <t>modules/a-knights-dream/Item/equip_armor_jack_gauntlets_leafweave.webp</t>
  </si>
  <si>
    <t>Leafweave Jack Greaves</t>
  </si>
  <si>
    <t>modules/a-knights-dream/Item/equip_armor_jack_greaves_leafweave.webp</t>
  </si>
  <si>
    <t>Leafweave Jack Helmet</t>
  </si>
  <si>
    <t>modules/a-knights-dream/Item/equip_armor_jack_helmet_leafweave.webp</t>
  </si>
  <si>
    <t>Leafweave Jack Pauldron</t>
  </si>
  <si>
    <t>modules/a-knights-dream/Item/equip_armor_jack_pauldron_leafweave.webp</t>
  </si>
  <si>
    <t>Leafweave Lamellar Cuirass</t>
  </si>
  <si>
    <t>modules/a-knights-dream/Item/equip_armor_lamellar_cuirass_leafweave.webp</t>
  </si>
  <si>
    <t>Leafweave Lamellar Gauntlets</t>
  </si>
  <si>
    <t>modules/a-knights-dream/Item/equip_armor_lamellar_gauntlets_leafweave.webp</t>
  </si>
  <si>
    <t>Leafweave Lamellar Greaves</t>
  </si>
  <si>
    <t>modules/a-knights-dream/Item/equip_armor_lamellar_greaves_leafweave.webp</t>
  </si>
  <si>
    <t>Leafweave Lamellar Helmet</t>
  </si>
  <si>
    <t>modules/a-knights-dream/Item/equip_armor_lamellar_helmet_leafweave.webp</t>
  </si>
  <si>
    <t>Leafweave Lamellar Pauldron</t>
  </si>
  <si>
    <t>modules/a-knights-dream/Item/equip_armor_lamellar_pauldron_leafweave.webp</t>
  </si>
  <si>
    <t>Leafweave Platemail Cuirass</t>
  </si>
  <si>
    <t>modules/a-knights-dream/Item/equip_armor_platemail_cuirass_leafweave.webp</t>
  </si>
  <si>
    <t>Leafweave Platemail Gauntlets</t>
  </si>
  <si>
    <t>modules/a-knights-dream/Item/equip_armor_platemail_gauntlets_leafweave.webp</t>
  </si>
  <si>
    <t>Leafweave Platemail Greaves</t>
  </si>
  <si>
    <t>modules/a-knights-dream/Item/equip_armor_platemail_greaves_leafweave.webp</t>
  </si>
  <si>
    <t>Leafweave Platemail Helmet</t>
  </si>
  <si>
    <t>modules/a-knights-dream/Item/equip_armor_platemail_helmet_leafweave.webp</t>
  </si>
  <si>
    <t>Leafweave Platemail Pauldron</t>
  </si>
  <si>
    <t>modules/a-knights-dream/Item/equip_armor_platemail_pauldron_leafweave.webp</t>
  </si>
  <si>
    <t>Leafweave Tunic Cuirass</t>
  </si>
  <si>
    <t>modules/a-knights-dream/Item/equip_armor_tunic_cuirass_leafweave.webp</t>
  </si>
  <si>
    <t>Leafweave Tunic Gauntlets</t>
  </si>
  <si>
    <t>modules/a-knights-dream/Item/equip_armor_tunic_gauntlets_leafweave.webp</t>
  </si>
  <si>
    <t>Leafweave Tunic Greaves</t>
  </si>
  <si>
    <t>modules/a-knights-dream/Item/equip_armor_tunic_greaves_leafweave.webp</t>
  </si>
  <si>
    <t>Leafweave Tunic Helmet</t>
  </si>
  <si>
    <t>modules/a-knights-dream/Item/equip_armor_tunic_helmet_leafweave.webp</t>
  </si>
  <si>
    <t>Leafweave Tunic Pauldron</t>
  </si>
  <si>
    <t>modules/a-knights-dream/Item/equip_armor_tunic_pauldron_leafweave.webp</t>
  </si>
  <si>
    <t>Leafweave Buckler Shield</t>
  </si>
  <si>
    <t>modules/a-knights-dream/Item/equip_armor_shield_buckler_leafweave.webp</t>
  </si>
  <si>
    <t>Leafweave Heater Shield</t>
  </si>
  <si>
    <t>modules/a-knights-dream/Item/equip_armor_shield_heater_leafweave.webp</t>
  </si>
  <si>
    <t>Leafweave Kite Shield</t>
  </si>
  <si>
    <t>modules/a-knights-dream/Item/equip_armor_shield_kite_leafweave.webp</t>
  </si>
  <si>
    <t>Leafweave Oval Shield</t>
  </si>
  <si>
    <t>modules/a-knights-dream/Item/equip_armor_shield_oval_leafweave.webp</t>
  </si>
  <si>
    <t>Leafweave Round Shield</t>
  </si>
  <si>
    <t>modules/a-knights-dream/Item/equip_armor_shield_round_leafweave.webp</t>
  </si>
  <si>
    <t>Leafweave Tower Shield</t>
  </si>
  <si>
    <t>modules/a-knights-dream/Item/equip_armor_shield_tower_leafweave.webp</t>
  </si>
  <si>
    <t>Oak</t>
  </si>
  <si>
    <t>Oak Ball Bearings</t>
  </si>
  <si>
    <t>modules/a-knights-dream/Item/equip_weapon_bearings_oak.webp</t>
  </si>
  <si>
    <t>Oak Bardiche</t>
  </si>
  <si>
    <t>modules/a-knights-dream/Item/equip_weapon_bardiche_oak.webp</t>
  </si>
  <si>
    <t>Oak Bastard Sword</t>
  </si>
  <si>
    <t>modules/a-knights-dream/Item/equip_weapon_sword_bastard_oak.webp</t>
  </si>
  <si>
    <t>Oak Battle Axe</t>
  </si>
  <si>
    <t>modules/a-knights-dream/Item/equip_weapon_axe_battle_oak.webp</t>
  </si>
  <si>
    <t>Oak Blowgun</t>
  </si>
  <si>
    <t>modules/a-knights-dream/Item/equip_weapon_blowgun_oak.webp</t>
  </si>
  <si>
    <t>Oak Bolt</t>
  </si>
  <si>
    <t>modules/a-knights-dream/Item/equip_weapon_bolt_oak.webp</t>
  </si>
  <si>
    <t>Oak Boomerang</t>
  </si>
  <si>
    <t>modules/a-knights-dream/Item/equip_weapon_boomerang_oak.webp</t>
  </si>
  <si>
    <t>Oak Bow</t>
  </si>
  <si>
    <t>modules/a-knights-dream/Item/equip_weapon_bow_oak.webp</t>
  </si>
  <si>
    <t>Oak Caltrops</t>
  </si>
  <si>
    <t>modules/a-knights-dream/Item/equip_weapon_caltrops_oak.webp</t>
  </si>
  <si>
    <t>Oak Cestus</t>
  </si>
  <si>
    <t>modules/a-knights-dream/Item/equip_weapon_cestus_oak.webp</t>
  </si>
  <si>
    <t>Oak Chain</t>
  </si>
  <si>
    <t>modules/a-knights-dream/Item/equip_weapon_chain_oak.webp</t>
  </si>
  <si>
    <t>Oak Claymore</t>
  </si>
  <si>
    <t>modules/a-knights-dream/Item/equip_weapon_claymore_oak.webp</t>
  </si>
  <si>
    <t>Oak Club</t>
  </si>
  <si>
    <t>modules/a-knights-dream/Item/equip_weapon_club_oak.webp</t>
  </si>
  <si>
    <t>Oak Compound Bow</t>
  </si>
  <si>
    <t>modules/a-knights-dream/Item/equip_weapon_bow_compound_oak.webp</t>
  </si>
  <si>
    <t>Oak Cutlass</t>
  </si>
  <si>
    <t>modules/a-knights-dream/Item/equip_weapon_cutlass_oak.webp</t>
  </si>
  <si>
    <t>Oak Dagger</t>
  </si>
  <si>
    <t>modules/a-knights-dream/Item/equip_weapon_dagger_oak.webp</t>
  </si>
  <si>
    <t>Oak Dart</t>
  </si>
  <si>
    <t>modules/a-knights-dream/Item/equip_weapon_dart_oak.webp</t>
  </si>
  <si>
    <t>Oak Fauchard Scythe</t>
  </si>
  <si>
    <t>modules/a-knights-dream/Item/equip_weapon_scythe_fauchard_oak.webp</t>
  </si>
  <si>
    <t>Oak Flail</t>
  </si>
  <si>
    <t>modules/a-knights-dream/Item/equip_weapon_flail_oak.webp</t>
  </si>
  <si>
    <t>Oak Glaive</t>
  </si>
  <si>
    <t>modules/a-knights-dream/Item/equip_weapon_glaive_oak.webp</t>
  </si>
  <si>
    <t>Oak Grapple Hook</t>
  </si>
  <si>
    <t>modules/a-knights-dream/Item/equip_weapon_hook_grapple_oak.webp</t>
  </si>
  <si>
    <t>Oak Great Axe</t>
  </si>
  <si>
    <t>modules/a-knights-dream/Item/equip_weapon_axe_great_oak.webp</t>
  </si>
  <si>
    <t>Oak Great Club</t>
  </si>
  <si>
    <t>modules/a-knights-dream/Item/equip_weapon_club_great_oak.webp</t>
  </si>
  <si>
    <t>Oak Great Khyber</t>
  </si>
  <si>
    <t>modules/a-knights-dream/Item/equip_weapon_khyber_great_oak.webp</t>
  </si>
  <si>
    <t>Oak Great Konda</t>
  </si>
  <si>
    <t>modules/a-knights-dream/Item/equip_weapon_konda_great_oak.webp</t>
  </si>
  <si>
    <t>Oak Great Labrys</t>
  </si>
  <si>
    <t>modules/a-knights-dream/Item/equip_weapon_axe_labrys_great_oak.webp</t>
  </si>
  <si>
    <t>Oak Great Mace</t>
  </si>
  <si>
    <t>modules/a-knights-dream/Item/equip_weapon_mace_great_oak.webp</t>
  </si>
  <si>
    <t>Oak Great Tapal</t>
  </si>
  <si>
    <t>modules/a-knights-dream/Item/equip_weapon_tapal_great_oak.webp</t>
  </si>
  <si>
    <t>Oak Great War Bow</t>
  </si>
  <si>
    <t>modules/a-knights-dream/Item/equip_weapon_bow_war_great_oak.webp</t>
  </si>
  <si>
    <t>Oak Great War Hammer</t>
  </si>
  <si>
    <t>modules/a-knights-dream/Item/equip_weapon_hammer_war_great_oak.webp</t>
  </si>
  <si>
    <t>Oak Great War Pick</t>
  </si>
  <si>
    <t>modules/a-knights-dream/Item/equip_weapon_pick_war_great_oak.webp</t>
  </si>
  <si>
    <t>Oak Guisarme</t>
  </si>
  <si>
    <t>modules/a-knights-dream/Item/equip_weapon_guisarme_oak.webp</t>
  </si>
  <si>
    <t>Oak Halberd</t>
  </si>
  <si>
    <t>modules/a-knights-dream/Item/equip_weapon_halberd_oak.webp</t>
  </si>
  <si>
    <t>Oak Hand Crossbow</t>
  </si>
  <si>
    <t>modules/a-knights-dream/Item/equip_weapon_crossbow_hand_oak.webp</t>
  </si>
  <si>
    <t>Oak Hand axe</t>
  </si>
  <si>
    <t>modules/a-knights-dream/Item/equip_weapon_axe_hand_oak.webp</t>
  </si>
  <si>
    <t>Oak Heavy Crossbow</t>
  </si>
  <si>
    <t>modules/a-knights-dream/Item/equip_weapon_crossbow_heavy_oak.webp</t>
  </si>
  <si>
    <t>Oak Hunting Trap</t>
  </si>
  <si>
    <t>modules/a-knights-dream/Item/equip_weapon_trap_hunting_oak.webp</t>
  </si>
  <si>
    <t>Oak Hunting Trap (Large)</t>
  </si>
  <si>
    <t>modules/a-knights-dream/Item/equip_weapon_trap_hunting_large_oak.webp</t>
  </si>
  <si>
    <t>Oak Hunting Trap (Small)</t>
  </si>
  <si>
    <t>modules/a-knights-dream/Item/equip_weapon_trap_hunting_small_oak.webp</t>
  </si>
  <si>
    <t>Oak Javelin</t>
  </si>
  <si>
    <t>modules/a-knights-dream/Item/equip_weapon_javelin_oak.webp</t>
  </si>
  <si>
    <t>Oak Khpesh</t>
  </si>
  <si>
    <t>modules/a-knights-dream/Item/equip_weapon_khpesh_oak.webp</t>
  </si>
  <si>
    <t>Oak Khyber</t>
  </si>
  <si>
    <t>modules/a-knights-dream/Item/equip_weapon_khyber_oak.webp</t>
  </si>
  <si>
    <t>Oak Konda</t>
  </si>
  <si>
    <t>modules/a-knights-dream/Item/equip_weapon_konda_oak.webp</t>
  </si>
  <si>
    <t>Oak Labrys</t>
  </si>
  <si>
    <t>modules/a-knights-dream/Item/equip_weapon_axe_labrys_oak.webp</t>
  </si>
  <si>
    <t>Oak Lance</t>
  </si>
  <si>
    <t>modules/a-knights-dream/Item/equip_weapon_lance_oak.webp</t>
  </si>
  <si>
    <t>Oak Light Crossbow</t>
  </si>
  <si>
    <t>modules/a-knights-dream/Item/equip_weapon_crossbow_light_oak.webp</t>
  </si>
  <si>
    <t>Oak Long Bow</t>
  </si>
  <si>
    <t>modules/a-knights-dream/Item/equip_weapon_bow_long_oak.webp</t>
  </si>
  <si>
    <t>Oak Long Spear</t>
  </si>
  <si>
    <t>modules/a-knights-dream/Item/equip_weapon_spear_long_oak.webp</t>
  </si>
  <si>
    <t>Oak Lucerince Hammer</t>
  </si>
  <si>
    <t>modules/a-knights-dream/Item/equip_weapon_hammer_lucerince_oak.webp</t>
  </si>
  <si>
    <t>Oak Mace</t>
  </si>
  <si>
    <t>modules/a-knights-dream/Item/equip_weapon_mace_oak.webp</t>
  </si>
  <si>
    <t>Oak Morningstar</t>
  </si>
  <si>
    <t>modules/a-knights-dream/Item/equip_weapon_morningstar_oak.webp</t>
  </si>
  <si>
    <t>Oak Pike</t>
  </si>
  <si>
    <t>modules/a-knights-dream/Item/equip_weapon_pike_oak.webp</t>
  </si>
  <si>
    <t>Oak Quarter Staff</t>
  </si>
  <si>
    <t>modules/a-knights-dream/Item/equip_weapon_staff_quarter_oak.webp</t>
  </si>
  <si>
    <t>Oak Ranseur</t>
  </si>
  <si>
    <t>modules/a-knights-dream/Item/equip_weapon_ranseur_oak.webp</t>
  </si>
  <si>
    <t>Oak Rapier</t>
  </si>
  <si>
    <t>modules/a-knights-dream/Item/equip_weapon_rapier_oak.webp</t>
  </si>
  <si>
    <t>Oak Recurve Bow</t>
  </si>
  <si>
    <t>modules/a-knights-dream/Item/equip_weapon_bow_recurve_oak.webp</t>
  </si>
  <si>
    <t>Oak Repeater Crossbow</t>
  </si>
  <si>
    <t>modules/a-knights-dream/Item/equip_weapon_crossbow_repeater_oak.webp</t>
  </si>
  <si>
    <t>Oak Sabre</t>
  </si>
  <si>
    <t>modules/a-knights-dream/Item/equip_weapon_sabre_oak.webp</t>
  </si>
  <si>
    <t>Oak Scimitar</t>
  </si>
  <si>
    <t>modules/a-knights-dream/Item/equip_weapon_scimitar_oak.webp</t>
  </si>
  <si>
    <t>Oak Scythe</t>
  </si>
  <si>
    <t>modules/a-knights-dream/Item/equip_weapon_scythe_oak.webp</t>
  </si>
  <si>
    <t>Oak Short Bow</t>
  </si>
  <si>
    <t>modules/a-knights-dream/Item/equip_weapon_bow_short_oak.webp</t>
  </si>
  <si>
    <t>Oak Short Spear</t>
  </si>
  <si>
    <t>modules/a-knights-dream/Item/equip_weapon_spear_short_oak.webp</t>
  </si>
  <si>
    <t>Oak Short Sword</t>
  </si>
  <si>
    <t>modules/a-knights-dream/Item/equip_weapon_sword_short_oak.webp</t>
  </si>
  <si>
    <t>Oak Shotel</t>
  </si>
  <si>
    <t>modules/a-knights-dream/Item/equip_weapon_shotel_oak.webp</t>
  </si>
  <si>
    <t>Oak Sickle</t>
  </si>
  <si>
    <t>modules/a-knights-dream/Item/equip_weapon_sickle_oak.webp</t>
  </si>
  <si>
    <t>Oak Sling</t>
  </si>
  <si>
    <t>modules/a-knights-dream/Item/equip_weapon_sling_oak.webp</t>
  </si>
  <si>
    <t>Oak Staff</t>
  </si>
  <si>
    <t>modules/a-knights-dream/Item/equip_weapon_staff_oak.webp</t>
  </si>
  <si>
    <t>Oak Staff Sling</t>
  </si>
  <si>
    <t>modules/a-knights-dream/Item/equip_weapon_sling_staff_oak.webp</t>
  </si>
  <si>
    <t>Oak Sword</t>
  </si>
  <si>
    <t>modules/a-knights-dream/Item/equip_weapon_sword_oak.webp</t>
  </si>
  <si>
    <t>Oak Tapal</t>
  </si>
  <si>
    <t>modules/a-knights-dream/Item/equip_weapon_tapal_oak.webp</t>
  </si>
  <si>
    <t>Oak Trident</t>
  </si>
  <si>
    <t>modules/a-knights-dream/Item/equip_weapon_trident_oak.webp</t>
  </si>
  <si>
    <t>Oak War Hammer</t>
  </si>
  <si>
    <t>modules/a-knights-dream/Item/equip_weapon_hammer_war_oak.webp</t>
  </si>
  <si>
    <t>Oak War Pick</t>
  </si>
  <si>
    <t>modules/a-knights-dream/Item/equip_weapon_pick_war_oak.webp</t>
  </si>
  <si>
    <t>Oak Brigantine Cuirass</t>
  </si>
  <si>
    <t>modules/a-knights-dream/Item/equip_armor_brigantine_cuirass_oak.webp</t>
  </si>
  <si>
    <t>Oak Brigantine Gauntlets</t>
  </si>
  <si>
    <t>modules/a-knights-dream/Item/equip_armor_brigantine_gauntlets_oak.webp</t>
  </si>
  <si>
    <t>Oak Brigantine Greaves</t>
  </si>
  <si>
    <t>modules/a-knights-dream/Item/equip_armor_brigantine_greaves_oak.webp</t>
  </si>
  <si>
    <t>Oak Brigantine Helmet</t>
  </si>
  <si>
    <t>modules/a-knights-dream/Item/equip_armor_brigantine_helmet_oak.webp</t>
  </si>
  <si>
    <t>Oak Brigantine Pauldron</t>
  </si>
  <si>
    <t>modules/a-knights-dream/Item/equip_armor_brigantine_pauldron_oak.webp</t>
  </si>
  <si>
    <t>Oak Chainmail Cuirass</t>
  </si>
  <si>
    <t>modules/a-knights-dream/Item/equip_armor_chainmail_cuirass_oak.webp</t>
  </si>
  <si>
    <t>Oak Chainmail Gauntlets</t>
  </si>
  <si>
    <t>modules/a-knights-dream/Item/equip_armor_chainmail_gauntlets_oak.webp</t>
  </si>
  <si>
    <t>Oak Chainmail Greaves</t>
  </si>
  <si>
    <t>modules/a-knights-dream/Item/equip_armor_chainmail_greaves_oak.webp</t>
  </si>
  <si>
    <t>Oak Chainmail Helmet</t>
  </si>
  <si>
    <t>modules/a-knights-dream/Item/equip_armor_chainmail_helmet_oak.webp</t>
  </si>
  <si>
    <t>Oak Chainmail Pauldron</t>
  </si>
  <si>
    <t>modules/a-knights-dream/Item/equip_armor_chainmail_pauldron_oak.webp</t>
  </si>
  <si>
    <t>Oak Gamberson Cuirass</t>
  </si>
  <si>
    <t>modules/a-knights-dream/Item/equip_armor_gamberson_cuirass_oak.webp</t>
  </si>
  <si>
    <t>Oak Gamberson Gauntlets</t>
  </si>
  <si>
    <t>modules/a-knights-dream/Item/equip_armor_gamberson_gauntlets_oak.webp</t>
  </si>
  <si>
    <t>Oak Gamberson Greaves</t>
  </si>
  <si>
    <t>modules/a-knights-dream/Item/equip_armor_gamberson_greaves_oak.webp</t>
  </si>
  <si>
    <t>Oak Gamberson Helmet</t>
  </si>
  <si>
    <t>modules/a-knights-dream/Item/equip_armor_gamberson_helmet_oak.webp</t>
  </si>
  <si>
    <t>Oak Gamberson Pauldron</t>
  </si>
  <si>
    <t>modules/a-knights-dream/Item/equip_armor_gamberson_pauldron_oak.webp</t>
  </si>
  <si>
    <t>Oak Hauberk Cuirass</t>
  </si>
  <si>
    <t>modules/a-knights-dream/Item/equip_armor_hauberk_cuirass_oak.webp</t>
  </si>
  <si>
    <t>Oak Hauberk Gauntlets</t>
  </si>
  <si>
    <t>modules/a-knights-dream/Item/equip_armor_hauberk_gauntlets_oak.webp</t>
  </si>
  <si>
    <t>Oak Hauberk Greaves</t>
  </si>
  <si>
    <t>modules/a-knights-dream/Item/equip_armor_hauberk_greaves_oak.webp</t>
  </si>
  <si>
    <t>Oak Hauberk Helmet</t>
  </si>
  <si>
    <t>modules/a-knights-dream/Item/equip_armor_hauberk_helmet_oak.webp</t>
  </si>
  <si>
    <t>Oak Hauberk Pauldron</t>
  </si>
  <si>
    <t>modules/a-knights-dream/Item/equip_armor_hauberk_pauldron_oak.webp</t>
  </si>
  <si>
    <t>Oak Jack Cuirass</t>
  </si>
  <si>
    <t>modules/a-knights-dream/Item/equip_armor_jack_cuirass_oak.webp</t>
  </si>
  <si>
    <t>Oak Jack Gauntlets</t>
  </si>
  <si>
    <t>modules/a-knights-dream/Item/equip_armor_jack_gauntlets_oak.webp</t>
  </si>
  <si>
    <t>Oak Jack Greaves</t>
  </si>
  <si>
    <t>modules/a-knights-dream/Item/equip_armor_jack_greaves_oak.webp</t>
  </si>
  <si>
    <t>Oak Jack Helmet</t>
  </si>
  <si>
    <t>modules/a-knights-dream/Item/equip_armor_jack_helmet_oak.webp</t>
  </si>
  <si>
    <t>Oak Jack Pauldron</t>
  </si>
  <si>
    <t>modules/a-knights-dream/Item/equip_armor_jack_pauldron_oak.webp</t>
  </si>
  <si>
    <t>Oak Lamellar Cuirass</t>
  </si>
  <si>
    <t>modules/a-knights-dream/Item/equip_armor_lamellar_cuirass_oak.webp</t>
  </si>
  <si>
    <t>Oak Lamellar Gauntlets</t>
  </si>
  <si>
    <t>modules/a-knights-dream/Item/equip_armor_lamellar_gauntlets_oak.webp</t>
  </si>
  <si>
    <t>Oak Lamellar Greaves</t>
  </si>
  <si>
    <t>modules/a-knights-dream/Item/equip_armor_lamellar_greaves_oak.webp</t>
  </si>
  <si>
    <t>Oak Lamellar Helmet</t>
  </si>
  <si>
    <t>modules/a-knights-dream/Item/equip_armor_lamellar_helmet_oak.webp</t>
  </si>
  <si>
    <t>Oak Lamellar Pauldron</t>
  </si>
  <si>
    <t>modules/a-knights-dream/Item/equip_armor_lamellar_pauldron_oak.webp</t>
  </si>
  <si>
    <t>Oak Platemail Cuirass</t>
  </si>
  <si>
    <t>modules/a-knights-dream/Item/equip_armor_platemail_cuirass_oak.webp</t>
  </si>
  <si>
    <t>Oak Platemail Gauntlets</t>
  </si>
  <si>
    <t>modules/a-knights-dream/Item/equip_armor_platemail_gauntlets_oak.webp</t>
  </si>
  <si>
    <t>Oak Platemail Greaves</t>
  </si>
  <si>
    <t>modules/a-knights-dream/Item/equip_armor_platemail_greaves_oak.webp</t>
  </si>
  <si>
    <t>Oak Platemail Helmet</t>
  </si>
  <si>
    <t>modules/a-knights-dream/Item/equip_armor_platemail_helmet_oak.webp</t>
  </si>
  <si>
    <t>Oak Platemail Pauldron</t>
  </si>
  <si>
    <t>modules/a-knights-dream/Item/equip_armor_platemail_pauldron_oak.webp</t>
  </si>
  <si>
    <t>Oak Tunic Cuirass</t>
  </si>
  <si>
    <t>modules/a-knights-dream/Item/equip_armor_tunic_cuirass_oak.webp</t>
  </si>
  <si>
    <t>Oak Tunic Gauntlets</t>
  </si>
  <si>
    <t>modules/a-knights-dream/Item/equip_armor_tunic_gauntlets_oak.webp</t>
  </si>
  <si>
    <t>Oak Tunic Greaves</t>
  </si>
  <si>
    <t>modules/a-knights-dream/Item/equip_armor_tunic_greaves_oak.webp</t>
  </si>
  <si>
    <t>Oak Tunic Helmet</t>
  </si>
  <si>
    <t>modules/a-knights-dream/Item/equip_armor_tunic_helmet_oak.webp</t>
  </si>
  <si>
    <t>Oak Tunic Pauldron</t>
  </si>
  <si>
    <t>modules/a-knights-dream/Item/equip_armor_tunic_pauldron_oak.webp</t>
  </si>
  <si>
    <t>Oak Buckler Shield</t>
  </si>
  <si>
    <t>modules/a-knights-dream/Item/equip_armor_shield_buckler_oak.webp</t>
  </si>
  <si>
    <t>Oak Heater Shield</t>
  </si>
  <si>
    <t>modules/a-knights-dream/Item/equip_armor_shield_heater_oak.webp</t>
  </si>
  <si>
    <t>Oak Kite Shield</t>
  </si>
  <si>
    <t>modules/a-knights-dream/Item/equip_armor_shield_kite_oak.webp</t>
  </si>
  <si>
    <t>Oak Oval Shield</t>
  </si>
  <si>
    <t>modules/a-knights-dream/Item/equip_armor_shield_oval_oak.webp</t>
  </si>
  <si>
    <t>Oak Round Shield</t>
  </si>
  <si>
    <t>modules/a-knights-dream/Item/equip_armor_shield_round_oak.webp</t>
  </si>
  <si>
    <t>Oak Tower Shield</t>
  </si>
  <si>
    <t>modules/a-knights-dream/Item/equip_armor_shield_tower_oak.webp</t>
  </si>
  <si>
    <t>Pine</t>
  </si>
  <si>
    <t>Pine Ball Bearings</t>
  </si>
  <si>
    <t>modules/a-knights-dream/Item/equip_weapon_bearings_pine.webp</t>
  </si>
  <si>
    <t>Pine Bardiche</t>
  </si>
  <si>
    <t>modules/a-knights-dream/Item/equip_weapon_bardiche_pine.webp</t>
  </si>
  <si>
    <t>Pine Bastard Sword</t>
  </si>
  <si>
    <t>modules/a-knights-dream/Item/equip_weapon_sword_bastard_pine.webp</t>
  </si>
  <si>
    <t>Pine Battle Axe</t>
  </si>
  <si>
    <t>modules/a-knights-dream/Item/equip_weapon_axe_battle_pine.webp</t>
  </si>
  <si>
    <t>Pine Blowgun</t>
  </si>
  <si>
    <t>modules/a-knights-dream/Item/equip_weapon_blowgun_pine.webp</t>
  </si>
  <si>
    <t>Pine Bolt</t>
  </si>
  <si>
    <t>modules/a-knights-dream/Item/equip_weapon_bolt_pine.webp</t>
  </si>
  <si>
    <t>Pine Boomerang</t>
  </si>
  <si>
    <t>modules/a-knights-dream/Item/equip_weapon_boomerang_pine.webp</t>
  </si>
  <si>
    <t>Pine Bow</t>
  </si>
  <si>
    <t>modules/a-knights-dream/Item/equip_weapon_bow_pine.webp</t>
  </si>
  <si>
    <t>Pine Caltrops</t>
  </si>
  <si>
    <t>modules/a-knights-dream/Item/equip_weapon_caltrops_pine.webp</t>
  </si>
  <si>
    <t>Pine Cestus</t>
  </si>
  <si>
    <t>modules/a-knights-dream/Item/equip_weapon_cestus_pine.webp</t>
  </si>
  <si>
    <t>Pine Chain</t>
  </si>
  <si>
    <t>modules/a-knights-dream/Item/equip_weapon_chain_pine.webp</t>
  </si>
  <si>
    <t>Pine Claymore</t>
  </si>
  <si>
    <t>modules/a-knights-dream/Item/equip_weapon_claymore_pine.webp</t>
  </si>
  <si>
    <t>Pine Club</t>
  </si>
  <si>
    <t>modules/a-knights-dream/Item/equip_weapon_club_pine.webp</t>
  </si>
  <si>
    <t>Pine Compound Bow</t>
  </si>
  <si>
    <t>modules/a-knights-dream/Item/equip_weapon_bow_compound_pine.webp</t>
  </si>
  <si>
    <t>Pine Cutlass</t>
  </si>
  <si>
    <t>modules/a-knights-dream/Item/equip_weapon_cutlass_pine.webp</t>
  </si>
  <si>
    <t>Pine Dagger</t>
  </si>
  <si>
    <t>modules/a-knights-dream/Item/equip_weapon_dagger_pine.webp</t>
  </si>
  <si>
    <t>Pine Dart</t>
  </si>
  <si>
    <t>modules/a-knights-dream/Item/equip_weapon_dart_pine.webp</t>
  </si>
  <si>
    <t>Pine Fauchard Scythe</t>
  </si>
  <si>
    <t>modules/a-knights-dream/Item/equip_weapon_scythe_fauchard_pine.webp</t>
  </si>
  <si>
    <t>Pine Flail</t>
  </si>
  <si>
    <t>modules/a-knights-dream/Item/equip_weapon_flail_pine.webp</t>
  </si>
  <si>
    <t>Pine Glaive</t>
  </si>
  <si>
    <t>modules/a-knights-dream/Item/equip_weapon_glaive_pine.webp</t>
  </si>
  <si>
    <t>Pine Grapple Hook</t>
  </si>
  <si>
    <t>modules/a-knights-dream/Item/equip_weapon_hook_grapple_pine.webp</t>
  </si>
  <si>
    <t>Pine Great Axe</t>
  </si>
  <si>
    <t>modules/a-knights-dream/Item/equip_weapon_axe_great_pine.webp</t>
  </si>
  <si>
    <t>Pine Great Club</t>
  </si>
  <si>
    <t>modules/a-knights-dream/Item/equip_weapon_club_great_pine.webp</t>
  </si>
  <si>
    <t>Pine Great Khyber</t>
  </si>
  <si>
    <t>modules/a-knights-dream/Item/equip_weapon_khyber_great_pine.webp</t>
  </si>
  <si>
    <t>Pine Great Konda</t>
  </si>
  <si>
    <t>modules/a-knights-dream/Item/equip_weapon_konda_great_pine.webp</t>
  </si>
  <si>
    <t>Pine Great Labrys</t>
  </si>
  <si>
    <t>modules/a-knights-dream/Item/equip_weapon_axe_labrys_great_pine.webp</t>
  </si>
  <si>
    <t>Pine Great Mace</t>
  </si>
  <si>
    <t>modules/a-knights-dream/Item/equip_weapon_mace_great_pine.webp</t>
  </si>
  <si>
    <t>Pine Great Tapal</t>
  </si>
  <si>
    <t>modules/a-knights-dream/Item/equip_weapon_tapal_great_pine.webp</t>
  </si>
  <si>
    <t>Pine Great War Bow</t>
  </si>
  <si>
    <t>modules/a-knights-dream/Item/equip_weapon_bow_war_great_pine.webp</t>
  </si>
  <si>
    <t>Pine Great War Hammer</t>
  </si>
  <si>
    <t>modules/a-knights-dream/Item/equip_weapon_hammer_war_great_pine.webp</t>
  </si>
  <si>
    <t>Pine Great War Pick</t>
  </si>
  <si>
    <t>modules/a-knights-dream/Item/equip_weapon_pick_war_great_pine.webp</t>
  </si>
  <si>
    <t>Pine Guisarme</t>
  </si>
  <si>
    <t>modules/a-knights-dream/Item/equip_weapon_guisarme_pine.webp</t>
  </si>
  <si>
    <t>Pine Halberd</t>
  </si>
  <si>
    <t>modules/a-knights-dream/Item/equip_weapon_halberd_pine.webp</t>
  </si>
  <si>
    <t>Pine Hand Crossbow</t>
  </si>
  <si>
    <t>modules/a-knights-dream/Item/equip_weapon_crossbow_hand_pine.webp</t>
  </si>
  <si>
    <t>Pine Hand axe</t>
  </si>
  <si>
    <t>modules/a-knights-dream/Item/equip_weapon_axe_hand_pine.webp</t>
  </si>
  <si>
    <t>Pine Heavy Crossbow</t>
  </si>
  <si>
    <t>modules/a-knights-dream/Item/equip_weapon_crossbow_heavy_pine.webp</t>
  </si>
  <si>
    <t>Pine Hunting Trap</t>
  </si>
  <si>
    <t>modules/a-knights-dream/Item/equip_weapon_trap_hunting_pine.webp</t>
  </si>
  <si>
    <t>Pine Hunting Trap (Large)</t>
  </si>
  <si>
    <t>modules/a-knights-dream/Item/equip_weapon_trap_hunting_large_pine.webp</t>
  </si>
  <si>
    <t>Pine Hunting Trap (Small)</t>
  </si>
  <si>
    <t>modules/a-knights-dream/Item/equip_weapon_trap_hunting_small_pine.webp</t>
  </si>
  <si>
    <t>Pine Javelin</t>
  </si>
  <si>
    <t>modules/a-knights-dream/Item/equip_weapon_javelin_pine.webp</t>
  </si>
  <si>
    <t>Pine Khpesh</t>
  </si>
  <si>
    <t>modules/a-knights-dream/Item/equip_weapon_khpesh_pine.webp</t>
  </si>
  <si>
    <t>Pine Khyber</t>
  </si>
  <si>
    <t>modules/a-knights-dream/Item/equip_weapon_khyber_pine.webp</t>
  </si>
  <si>
    <t>Pine Konda</t>
  </si>
  <si>
    <t>modules/a-knights-dream/Item/equip_weapon_konda_pine.webp</t>
  </si>
  <si>
    <t>Pine Labrys</t>
  </si>
  <si>
    <t>modules/a-knights-dream/Item/equip_weapon_axe_labrys_pine.webp</t>
  </si>
  <si>
    <t>Pine Lance</t>
  </si>
  <si>
    <t>modules/a-knights-dream/Item/equip_weapon_lance_pine.webp</t>
  </si>
  <si>
    <t>Pine Light Crossbow</t>
  </si>
  <si>
    <t>modules/a-knights-dream/Item/equip_weapon_crossbow_light_pine.webp</t>
  </si>
  <si>
    <t>Pine Long Bow</t>
  </si>
  <si>
    <t>modules/a-knights-dream/Item/equip_weapon_bow_long_pine.webp</t>
  </si>
  <si>
    <t>Pine Long Spear</t>
  </si>
  <si>
    <t>modules/a-knights-dream/Item/equip_weapon_spear_long_pine.webp</t>
  </si>
  <si>
    <t>Pine Lucerince Hammer</t>
  </si>
  <si>
    <t>modules/a-knights-dream/Item/equip_weapon_hammer_lucerince_pine.webp</t>
  </si>
  <si>
    <t>Pine Mace</t>
  </si>
  <si>
    <t>modules/a-knights-dream/Item/equip_weapon_mace_pine.webp</t>
  </si>
  <si>
    <t>Pine Morningstar</t>
  </si>
  <si>
    <t>modules/a-knights-dream/Item/equip_weapon_morningstar_pine.webp</t>
  </si>
  <si>
    <t>Pine Pike</t>
  </si>
  <si>
    <t>modules/a-knights-dream/Item/equip_weapon_pike_pine.webp</t>
  </si>
  <si>
    <t>Pine Quarter Staff</t>
  </si>
  <si>
    <t>modules/a-knights-dream/Item/equip_weapon_staff_quarter_pine.webp</t>
  </si>
  <si>
    <t>Pine Ranseur</t>
  </si>
  <si>
    <t>modules/a-knights-dream/Item/equip_weapon_ranseur_pine.webp</t>
  </si>
  <si>
    <t>Pine Rapier</t>
  </si>
  <si>
    <t>modules/a-knights-dream/Item/equip_weapon_rapier_pine.webp</t>
  </si>
  <si>
    <t>Pine Recurve Bow</t>
  </si>
  <si>
    <t>modules/a-knights-dream/Item/equip_weapon_bow_recurve_pine.webp</t>
  </si>
  <si>
    <t>Pine Repeater Crossbow</t>
  </si>
  <si>
    <t>modules/a-knights-dream/Item/equip_weapon_crossbow_repeater_pine.webp</t>
  </si>
  <si>
    <t>Pine Sabre</t>
  </si>
  <si>
    <t>modules/a-knights-dream/Item/equip_weapon_sabre_pine.webp</t>
  </si>
  <si>
    <t>Pine Scimitar</t>
  </si>
  <si>
    <t>modules/a-knights-dream/Item/equip_weapon_scimitar_pine.webp</t>
  </si>
  <si>
    <t>Pine Scythe</t>
  </si>
  <si>
    <t>modules/a-knights-dream/Item/equip_weapon_scythe_pine.webp</t>
  </si>
  <si>
    <t>Pine Short Bow</t>
  </si>
  <si>
    <t>modules/a-knights-dream/Item/equip_weapon_bow_short_pine.webp</t>
  </si>
  <si>
    <t>Pine Short Spear</t>
  </si>
  <si>
    <t>modules/a-knights-dream/Item/equip_weapon_spear_short_pine.webp</t>
  </si>
  <si>
    <t>Pine Short Sword</t>
  </si>
  <si>
    <t>modules/a-knights-dream/Item/equip_weapon_sword_short_pine.webp</t>
  </si>
  <si>
    <t>Pine Shotel</t>
  </si>
  <si>
    <t>modules/a-knights-dream/Item/equip_weapon_shotel_pine.webp</t>
  </si>
  <si>
    <t>Pine Sickle</t>
  </si>
  <si>
    <t>modules/a-knights-dream/Item/equip_weapon_sickle_pine.webp</t>
  </si>
  <si>
    <t>Pine Sling</t>
  </si>
  <si>
    <t>modules/a-knights-dream/Item/equip_weapon_sling_pine.webp</t>
  </si>
  <si>
    <t>Pine Staff</t>
  </si>
  <si>
    <t>modules/a-knights-dream/Item/equip_weapon_staff_pine.webp</t>
  </si>
  <si>
    <t>Pine Staff Sling</t>
  </si>
  <si>
    <t>modules/a-knights-dream/Item/equip_weapon_sling_staff_pine.webp</t>
  </si>
  <si>
    <t>Pine Sword</t>
  </si>
  <si>
    <t>modules/a-knights-dream/Item/equip_weapon_sword_pine.webp</t>
  </si>
  <si>
    <t>Pine Tapal</t>
  </si>
  <si>
    <t>modules/a-knights-dream/Item/equip_weapon_tapal_pine.webp</t>
  </si>
  <si>
    <t>Pine Trident</t>
  </si>
  <si>
    <t>modules/a-knights-dream/Item/equip_weapon_trident_pine.webp</t>
  </si>
  <si>
    <t>Pine War Hammer</t>
  </si>
  <si>
    <t>modules/a-knights-dream/Item/equip_weapon_hammer_war_pine.webp</t>
  </si>
  <si>
    <t>Pine War Pick</t>
  </si>
  <si>
    <t>modules/a-knights-dream/Item/equip_weapon_pick_war_pine.webp</t>
  </si>
  <si>
    <t>Pine Brigantine Cuirass</t>
  </si>
  <si>
    <t>modules/a-knights-dream/Item/equip_armor_brigantine_cuirass_pine.webp</t>
  </si>
  <si>
    <t>Pine Brigantine Gauntlets</t>
  </si>
  <si>
    <t>modules/a-knights-dream/Item/equip_armor_brigantine_gauntlets_pine.webp</t>
  </si>
  <si>
    <t>Pine Brigantine Greaves</t>
  </si>
  <si>
    <t>modules/a-knights-dream/Item/equip_armor_brigantine_greaves_pine.webp</t>
  </si>
  <si>
    <t>Pine Brigantine Helmet</t>
  </si>
  <si>
    <t>modules/a-knights-dream/Item/equip_armor_brigantine_helmet_pine.webp</t>
  </si>
  <si>
    <t>Pine Brigantine Pauldron</t>
  </si>
  <si>
    <t>modules/a-knights-dream/Item/equip_armor_brigantine_pauldron_pine.webp</t>
  </si>
  <si>
    <t>Pine Chainmail Cuirass</t>
  </si>
  <si>
    <t>modules/a-knights-dream/Item/equip_armor_chainmail_cuirass_pine.webp</t>
  </si>
  <si>
    <t>Pine Chainmail Gauntlets</t>
  </si>
  <si>
    <t>modules/a-knights-dream/Item/equip_armor_chainmail_gauntlets_pine.webp</t>
  </si>
  <si>
    <t>Pine Chainmail Greaves</t>
  </si>
  <si>
    <t>modules/a-knights-dream/Item/equip_armor_chainmail_greaves_pine.webp</t>
  </si>
  <si>
    <t>Pine Chainmail Helmet</t>
  </si>
  <si>
    <t>modules/a-knights-dream/Item/equip_armor_chainmail_helmet_pine.webp</t>
  </si>
  <si>
    <t>Pine Chainmail Pauldron</t>
  </si>
  <si>
    <t>modules/a-knights-dream/Item/equip_armor_chainmail_pauldron_pine.webp</t>
  </si>
  <si>
    <t>Pine Gamberson Cuirass</t>
  </si>
  <si>
    <t>modules/a-knights-dream/Item/equip_armor_gamberson_cuirass_pine.webp</t>
  </si>
  <si>
    <t>Pine Gamberson Gauntlets</t>
  </si>
  <si>
    <t>modules/a-knights-dream/Item/equip_armor_gamberson_gauntlets_pine.webp</t>
  </si>
  <si>
    <t>Pine Gamberson Greaves</t>
  </si>
  <si>
    <t>modules/a-knights-dream/Item/equip_armor_gamberson_greaves_pine.webp</t>
  </si>
  <si>
    <t>Pine Gamberson Helmet</t>
  </si>
  <si>
    <t>modules/a-knights-dream/Item/equip_armor_gamberson_helmet_pine.webp</t>
  </si>
  <si>
    <t>Pine Gamberson Pauldron</t>
  </si>
  <si>
    <t>modules/a-knights-dream/Item/equip_armor_gamberson_pauldron_pine.webp</t>
  </si>
  <si>
    <t>Pine Hauberk Cuirass</t>
  </si>
  <si>
    <t>modules/a-knights-dream/Item/equip_armor_hauberk_cuirass_pine.webp</t>
  </si>
  <si>
    <t>Pine Hauberk Gauntlets</t>
  </si>
  <si>
    <t>modules/a-knights-dream/Item/equip_armor_hauberk_gauntlets_pine.webp</t>
  </si>
  <si>
    <t>Pine Hauberk Greaves</t>
  </si>
  <si>
    <t>modules/a-knights-dream/Item/equip_armor_hauberk_greaves_pine.webp</t>
  </si>
  <si>
    <t>Pine Hauberk Helmet</t>
  </si>
  <si>
    <t>modules/a-knights-dream/Item/equip_armor_hauberk_helmet_pine.webp</t>
  </si>
  <si>
    <t>Pine Hauberk Pauldron</t>
  </si>
  <si>
    <t>modules/a-knights-dream/Item/equip_armor_hauberk_pauldron_pine.webp</t>
  </si>
  <si>
    <t>Pine Jack Cuirass</t>
  </si>
  <si>
    <t>modules/a-knights-dream/Item/equip_armor_jack_cuirass_pine.webp</t>
  </si>
  <si>
    <t>Pine Jack Gauntlets</t>
  </si>
  <si>
    <t>modules/a-knights-dream/Item/equip_armor_jack_gauntlets_pine.webp</t>
  </si>
  <si>
    <t>Pine Jack Greaves</t>
  </si>
  <si>
    <t>modules/a-knights-dream/Item/equip_armor_jack_greaves_pine.webp</t>
  </si>
  <si>
    <t>Pine Jack Helmet</t>
  </si>
  <si>
    <t>modules/a-knights-dream/Item/equip_armor_jack_helmet_pine.webp</t>
  </si>
  <si>
    <t>Pine Jack Pauldron</t>
  </si>
  <si>
    <t>modules/a-knights-dream/Item/equip_armor_jack_pauldron_pine.webp</t>
  </si>
  <si>
    <t>Pine Lamellar Cuirass</t>
  </si>
  <si>
    <t>modules/a-knights-dream/Item/equip_armor_lamellar_cuirass_pine.webp</t>
  </si>
  <si>
    <t>Pine Lamellar Gauntlets</t>
  </si>
  <si>
    <t>modules/a-knights-dream/Item/equip_armor_lamellar_gauntlets_pine.webp</t>
  </si>
  <si>
    <t>Pine Lamellar Greaves</t>
  </si>
  <si>
    <t>modules/a-knights-dream/Item/equip_armor_lamellar_greaves_pine.webp</t>
  </si>
  <si>
    <t>Pine Lamellar Helmet</t>
  </si>
  <si>
    <t>modules/a-knights-dream/Item/equip_armor_lamellar_helmet_pine.webp</t>
  </si>
  <si>
    <t>Pine Lamellar Pauldron</t>
  </si>
  <si>
    <t>modules/a-knights-dream/Item/equip_armor_lamellar_pauldron_pine.webp</t>
  </si>
  <si>
    <t>Pine Platemail Cuirass</t>
  </si>
  <si>
    <t>modules/a-knights-dream/Item/equip_armor_platemail_cuirass_pine.webp</t>
  </si>
  <si>
    <t>Pine Platemail Gauntlets</t>
  </si>
  <si>
    <t>modules/a-knights-dream/Item/equip_armor_platemail_gauntlets_pine.webp</t>
  </si>
  <si>
    <t>Pine Platemail Greaves</t>
  </si>
  <si>
    <t>modules/a-knights-dream/Item/equip_armor_platemail_greaves_pine.webp</t>
  </si>
  <si>
    <t>Pine Platemail Helmet</t>
  </si>
  <si>
    <t>modules/a-knights-dream/Item/equip_armor_platemail_helmet_pine.webp</t>
  </si>
  <si>
    <t>Pine Platemail Pauldron</t>
  </si>
  <si>
    <t>modules/a-knights-dream/Item/equip_armor_platemail_pauldron_pine.webp</t>
  </si>
  <si>
    <t>Pine Tunic Cuirass</t>
  </si>
  <si>
    <t>modules/a-knights-dream/Item/equip_armor_tunic_cuirass_pine.webp</t>
  </si>
  <si>
    <t>Pine Tunic Gauntlets</t>
  </si>
  <si>
    <t>modules/a-knights-dream/Item/equip_armor_tunic_gauntlets_pine.webp</t>
  </si>
  <si>
    <t>Pine Tunic Greaves</t>
  </si>
  <si>
    <t>modules/a-knights-dream/Item/equip_armor_tunic_greaves_pine.webp</t>
  </si>
  <si>
    <t>Pine Tunic Helmet</t>
  </si>
  <si>
    <t>modules/a-knights-dream/Item/equip_armor_tunic_helmet_pine.webp</t>
  </si>
  <si>
    <t>Pine Tunic Pauldron</t>
  </si>
  <si>
    <t>modules/a-knights-dream/Item/equip_armor_tunic_pauldron_pine.webp</t>
  </si>
  <si>
    <t>Pine Buckler Shield</t>
  </si>
  <si>
    <t>modules/a-knights-dream/Item/equip_armor_shield_buckler_pine.webp</t>
  </si>
  <si>
    <t>Pine Heater Shield</t>
  </si>
  <si>
    <t>modules/a-knights-dream/Item/equip_armor_shield_heater_pine.webp</t>
  </si>
  <si>
    <t>Pine Kite Shield</t>
  </si>
  <si>
    <t>modules/a-knights-dream/Item/equip_armor_shield_kite_pine.webp</t>
  </si>
  <si>
    <t>Pine Oval Shield</t>
  </si>
  <si>
    <t>modules/a-knights-dream/Item/equip_armor_shield_oval_pine.webp</t>
  </si>
  <si>
    <t>Pine Round Shield</t>
  </si>
  <si>
    <t>modules/a-knights-dream/Item/equip_armor_shield_round_pine.webp</t>
  </si>
  <si>
    <t>Pine Tower Shield</t>
  </si>
  <si>
    <t>modules/a-knights-dream/Item/equip_armor_shield_tower_pine.webp</t>
  </si>
  <si>
    <t>Sorrel</t>
  </si>
  <si>
    <t>Sorrel Ball Bearings</t>
  </si>
  <si>
    <t>modules/a-knights-dream/Item/equip_weapon_bearings_sorrel.webp</t>
  </si>
  <si>
    <t>Sorrel Bardiche</t>
  </si>
  <si>
    <t>modules/a-knights-dream/Item/equip_weapon_bardiche_sorrel.webp</t>
  </si>
  <si>
    <t>Sorrel Bastard Sword</t>
  </si>
  <si>
    <t>modules/a-knights-dream/Item/equip_weapon_sword_bastard_sorrel.webp</t>
  </si>
  <si>
    <t>Sorrel Battle Axe</t>
  </si>
  <si>
    <t>modules/a-knights-dream/Item/equip_weapon_axe_battle_sorrel.webp</t>
  </si>
  <si>
    <t>Sorrel Blowgun</t>
  </si>
  <si>
    <t>modules/a-knights-dream/Item/equip_weapon_blowgun_sorrel.webp</t>
  </si>
  <si>
    <t>Sorrel Bolt</t>
  </si>
  <si>
    <t>modules/a-knights-dream/Item/equip_weapon_bolt_sorrel.webp</t>
  </si>
  <si>
    <t>Sorrel Boomerang</t>
  </si>
  <si>
    <t>modules/a-knights-dream/Item/equip_weapon_boomerang_sorrel.webp</t>
  </si>
  <si>
    <t>Sorrel Bow</t>
  </si>
  <si>
    <t>modules/a-knights-dream/Item/equip_weapon_bow_sorrel.webp</t>
  </si>
  <si>
    <t>Sorrel Caltrops</t>
  </si>
  <si>
    <t>modules/a-knights-dream/Item/equip_weapon_caltrops_sorrel.webp</t>
  </si>
  <si>
    <t>Sorrel Cestus</t>
  </si>
  <si>
    <t>modules/a-knights-dream/Item/equip_weapon_cestus_sorrel.webp</t>
  </si>
  <si>
    <t>Sorrel Chain</t>
  </si>
  <si>
    <t>modules/a-knights-dream/Item/equip_weapon_chain_sorrel.webp</t>
  </si>
  <si>
    <t>Sorrel Claymore</t>
  </si>
  <si>
    <t>modules/a-knights-dream/Item/equip_weapon_claymore_sorrel.webp</t>
  </si>
  <si>
    <t>Sorrel Club</t>
  </si>
  <si>
    <t>modules/a-knights-dream/Item/equip_weapon_club_sorrel.webp</t>
  </si>
  <si>
    <t>Sorrel Compound Bow</t>
  </si>
  <si>
    <t>modules/a-knights-dream/Item/equip_weapon_bow_compound_sorrel.webp</t>
  </si>
  <si>
    <t>Sorrel Cutlass</t>
  </si>
  <si>
    <t>modules/a-knights-dream/Item/equip_weapon_cutlass_sorrel.webp</t>
  </si>
  <si>
    <t>Sorrel Dagger</t>
  </si>
  <si>
    <t>modules/a-knights-dream/Item/equip_weapon_dagger_sorrel.webp</t>
  </si>
  <si>
    <t>Sorrel Dart</t>
  </si>
  <si>
    <t>modules/a-knights-dream/Item/equip_weapon_dart_sorrel.webp</t>
  </si>
  <si>
    <t>Sorrel Fauchard Scythe</t>
  </si>
  <si>
    <t>modules/a-knights-dream/Item/equip_weapon_scythe_fauchard_sorrel.webp</t>
  </si>
  <si>
    <t>Sorrel Flail</t>
  </si>
  <si>
    <t>modules/a-knights-dream/Item/equip_weapon_flail_sorrel.webp</t>
  </si>
  <si>
    <t>Sorrel Glaive</t>
  </si>
  <si>
    <t>modules/a-knights-dream/Item/equip_weapon_glaive_sorrel.webp</t>
  </si>
  <si>
    <t>Sorrel Grapple Hook</t>
  </si>
  <si>
    <t>modules/a-knights-dream/Item/equip_weapon_hook_grapple_sorrel.webp</t>
  </si>
  <si>
    <t>Sorrel Great Axe</t>
  </si>
  <si>
    <t>modules/a-knights-dream/Item/equip_weapon_axe_great_sorrel.webp</t>
  </si>
  <si>
    <t>Sorrel Great Club</t>
  </si>
  <si>
    <t>modules/a-knights-dream/Item/equip_weapon_club_great_sorrel.webp</t>
  </si>
  <si>
    <t>Sorrel Great Khyber</t>
  </si>
  <si>
    <t>modules/a-knights-dream/Item/equip_weapon_khyber_great_sorrel.webp</t>
  </si>
  <si>
    <t>Sorrel Great Konda</t>
  </si>
  <si>
    <t>modules/a-knights-dream/Item/equip_weapon_konda_great_sorrel.webp</t>
  </si>
  <si>
    <t>Sorrel Great Labrys</t>
  </si>
  <si>
    <t>modules/a-knights-dream/Item/equip_weapon_axe_labrys_great_sorrel.webp</t>
  </si>
  <si>
    <t>Sorrel Great Mace</t>
  </si>
  <si>
    <t>modules/a-knights-dream/Item/equip_weapon_mace_great_sorrel.webp</t>
  </si>
  <si>
    <t>Sorrel Great Tapal</t>
  </si>
  <si>
    <t>modules/a-knights-dream/Item/equip_weapon_tapal_great_sorrel.webp</t>
  </si>
  <si>
    <t>Sorrel Great War Bow</t>
  </si>
  <si>
    <t>modules/a-knights-dream/Item/equip_weapon_bow_war_great_sorrel.webp</t>
  </si>
  <si>
    <t>Sorrel Great War Hammer</t>
  </si>
  <si>
    <t>modules/a-knights-dream/Item/equip_weapon_hammer_war_great_sorrel.webp</t>
  </si>
  <si>
    <t>Sorrel Great War Pick</t>
  </si>
  <si>
    <t>modules/a-knights-dream/Item/equip_weapon_pick_war_great_sorrel.webp</t>
  </si>
  <si>
    <t>Sorrel Guisarme</t>
  </si>
  <si>
    <t>modules/a-knights-dream/Item/equip_weapon_guisarme_sorrel.webp</t>
  </si>
  <si>
    <t>Sorrel Halberd</t>
  </si>
  <si>
    <t>modules/a-knights-dream/Item/equip_weapon_halberd_sorrel.webp</t>
  </si>
  <si>
    <t>Sorrel Hand Crossbow</t>
  </si>
  <si>
    <t>modules/a-knights-dream/Item/equip_weapon_crossbow_hand_sorrel.webp</t>
  </si>
  <si>
    <t>Sorrel Hand axe</t>
  </si>
  <si>
    <t>modules/a-knights-dream/Item/equip_weapon_axe_hand_sorrel.webp</t>
  </si>
  <si>
    <t>Sorrel Heavy Crossbow</t>
  </si>
  <si>
    <t>modules/a-knights-dream/Item/equip_weapon_crossbow_heavy_sorrel.webp</t>
  </si>
  <si>
    <t>Sorrel Hunting Trap</t>
  </si>
  <si>
    <t>modules/a-knights-dream/Item/equip_weapon_trap_hunting_sorrel.webp</t>
  </si>
  <si>
    <t>Sorrel Hunting Trap (Large)</t>
  </si>
  <si>
    <t>modules/a-knights-dream/Item/equip_weapon_trap_hunting_large_sorrel.webp</t>
  </si>
  <si>
    <t>Sorrel Hunting Trap (Small)</t>
  </si>
  <si>
    <t>modules/a-knights-dream/Item/equip_weapon_trap_hunting_small_sorrel.webp</t>
  </si>
  <si>
    <t>Sorrel Javelin</t>
  </si>
  <si>
    <t>modules/a-knights-dream/Item/equip_weapon_javelin_sorrel.webp</t>
  </si>
  <si>
    <t>Sorrel Khpesh</t>
  </si>
  <si>
    <t>modules/a-knights-dream/Item/equip_weapon_khpesh_sorrel.webp</t>
  </si>
  <si>
    <t>Sorrel Khyber</t>
  </si>
  <si>
    <t>modules/a-knights-dream/Item/equip_weapon_khyber_sorrel.webp</t>
  </si>
  <si>
    <t>Sorrel Konda</t>
  </si>
  <si>
    <t>modules/a-knights-dream/Item/equip_weapon_konda_sorrel.webp</t>
  </si>
  <si>
    <t>Sorrel Labrys</t>
  </si>
  <si>
    <t>modules/a-knights-dream/Item/equip_weapon_axe_labrys_sorrel.webp</t>
  </si>
  <si>
    <t>Sorrel Lance</t>
  </si>
  <si>
    <t>modules/a-knights-dream/Item/equip_weapon_lance_sorrel.webp</t>
  </si>
  <si>
    <t>Sorrel Light Crossbow</t>
  </si>
  <si>
    <t>modules/a-knights-dream/Item/equip_weapon_crossbow_light_sorrel.webp</t>
  </si>
  <si>
    <t>Sorrel Long Bow</t>
  </si>
  <si>
    <t>modules/a-knights-dream/Item/equip_weapon_bow_long_sorrel.webp</t>
  </si>
  <si>
    <t>Sorrel Long Spear</t>
  </si>
  <si>
    <t>modules/a-knights-dream/Item/equip_weapon_spear_long_sorrel.webp</t>
  </si>
  <si>
    <t>Sorrel Lucerince Hammer</t>
  </si>
  <si>
    <t>modules/a-knights-dream/Item/equip_weapon_hammer_lucerince_sorrel.webp</t>
  </si>
  <si>
    <t>Sorrel Mace</t>
  </si>
  <si>
    <t>modules/a-knights-dream/Item/equip_weapon_mace_sorrel.webp</t>
  </si>
  <si>
    <t>Sorrel Morningstar</t>
  </si>
  <si>
    <t>modules/a-knights-dream/Item/equip_weapon_morningstar_sorrel.webp</t>
  </si>
  <si>
    <t>Sorrel Pike</t>
  </si>
  <si>
    <t>modules/a-knights-dream/Item/equip_weapon_pike_sorrel.webp</t>
  </si>
  <si>
    <t>Sorrel Quarter Staff</t>
  </si>
  <si>
    <t>modules/a-knights-dream/Item/equip_weapon_staff_quarter_sorrel.webp</t>
  </si>
  <si>
    <t>Sorrel Ranseur</t>
  </si>
  <si>
    <t>modules/a-knights-dream/Item/equip_weapon_ranseur_sorrel.webp</t>
  </si>
  <si>
    <t>Sorrel Rapier</t>
  </si>
  <si>
    <t>modules/a-knights-dream/Item/equip_weapon_rapier_sorrel.webp</t>
  </si>
  <si>
    <t>Sorrel Recurve Bow</t>
  </si>
  <si>
    <t>modules/a-knights-dream/Item/equip_weapon_bow_recurve_sorrel.webp</t>
  </si>
  <si>
    <t>Sorrel Repeater Crossbow</t>
  </si>
  <si>
    <t>modules/a-knights-dream/Item/equip_weapon_crossbow_repeater_sorrel.webp</t>
  </si>
  <si>
    <t>Sorrel Sabre</t>
  </si>
  <si>
    <t>modules/a-knights-dream/Item/equip_weapon_sabre_sorrel.webp</t>
  </si>
  <si>
    <t>Sorrel Scimitar</t>
  </si>
  <si>
    <t>modules/a-knights-dream/Item/equip_weapon_scimitar_sorrel.webp</t>
  </si>
  <si>
    <t>Sorrel Scythe</t>
  </si>
  <si>
    <t>modules/a-knights-dream/Item/equip_weapon_scythe_sorrel.webp</t>
  </si>
  <si>
    <t>Sorrel Short Bow</t>
  </si>
  <si>
    <t>modules/a-knights-dream/Item/equip_weapon_bow_short_sorrel.webp</t>
  </si>
  <si>
    <t>Sorrel Short Spear</t>
  </si>
  <si>
    <t>modules/a-knights-dream/Item/equip_weapon_spear_short_sorrel.webp</t>
  </si>
  <si>
    <t>Sorrel Short Sword</t>
  </si>
  <si>
    <t>modules/a-knights-dream/Item/equip_weapon_sword_short_sorrel.webp</t>
  </si>
  <si>
    <t>Sorrel Shotel</t>
  </si>
  <si>
    <t>modules/a-knights-dream/Item/equip_weapon_shotel_sorrel.webp</t>
  </si>
  <si>
    <t>Sorrel Sickle</t>
  </si>
  <si>
    <t>modules/a-knights-dream/Item/equip_weapon_sickle_sorrel.webp</t>
  </si>
  <si>
    <t>Sorrel Sling</t>
  </si>
  <si>
    <t>modules/a-knights-dream/Item/equip_weapon_sling_sorrel.webp</t>
  </si>
  <si>
    <t>Sorrel Staff</t>
  </si>
  <si>
    <t>modules/a-knights-dream/Item/equip_weapon_staff_sorrel.webp</t>
  </si>
  <si>
    <t>Sorrel Staff Sling</t>
  </si>
  <si>
    <t>modules/a-knights-dream/Item/equip_weapon_sling_staff_sorrel.webp</t>
  </si>
  <si>
    <t>Sorrel Sword</t>
  </si>
  <si>
    <t>modules/a-knights-dream/Item/equip_weapon_sword_sorrel.webp</t>
  </si>
  <si>
    <t>Sorrel Tapal</t>
  </si>
  <si>
    <t>modules/a-knights-dream/Item/equip_weapon_tapal_sorrel.webp</t>
  </si>
  <si>
    <t>Sorrel Trident</t>
  </si>
  <si>
    <t>modules/a-knights-dream/Item/equip_weapon_trident_sorrel.webp</t>
  </si>
  <si>
    <t>Sorrel War Hammer</t>
  </si>
  <si>
    <t>modules/a-knights-dream/Item/equip_weapon_hammer_war_sorrel.webp</t>
  </si>
  <si>
    <t>Sorrel War Pick</t>
  </si>
  <si>
    <t>modules/a-knights-dream/Item/equip_weapon_pick_war_sorrel.webp</t>
  </si>
  <si>
    <t>Sorrel Brigantine Cuirass</t>
  </si>
  <si>
    <t>modules/a-knights-dream/Item/equip_armor_brigantine_cuirass_sorrel.webp</t>
  </si>
  <si>
    <t>Sorrel Brigantine Gauntlets</t>
  </si>
  <si>
    <t>modules/a-knights-dream/Item/equip_armor_brigantine_gauntlets_sorrel.webp</t>
  </si>
  <si>
    <t>Sorrel Brigantine Greaves</t>
  </si>
  <si>
    <t>modules/a-knights-dream/Item/equip_armor_brigantine_greaves_sorrel.webp</t>
  </si>
  <si>
    <t>Sorrel Brigantine Helmet</t>
  </si>
  <si>
    <t>modules/a-knights-dream/Item/equip_armor_brigantine_helmet_sorrel.webp</t>
  </si>
  <si>
    <t>Sorrel Brigantine Pauldron</t>
  </si>
  <si>
    <t>modules/a-knights-dream/Item/equip_armor_brigantine_pauldron_sorrel.webp</t>
  </si>
  <si>
    <t>Sorrel Chainmail Cuirass</t>
  </si>
  <si>
    <t>modules/a-knights-dream/Item/equip_armor_chainmail_cuirass_sorrel.webp</t>
  </si>
  <si>
    <t>Sorrel Chainmail Gauntlets</t>
  </si>
  <si>
    <t>modules/a-knights-dream/Item/equip_armor_chainmail_gauntlets_sorrel.webp</t>
  </si>
  <si>
    <t>Sorrel Chainmail Greaves</t>
  </si>
  <si>
    <t>modules/a-knights-dream/Item/equip_armor_chainmail_greaves_sorrel.webp</t>
  </si>
  <si>
    <t>Sorrel Chainmail Helmet</t>
  </si>
  <si>
    <t>modules/a-knights-dream/Item/equip_armor_chainmail_helmet_sorrel.webp</t>
  </si>
  <si>
    <t>Sorrel Chainmail Pauldron</t>
  </si>
  <si>
    <t>modules/a-knights-dream/Item/equip_armor_chainmail_pauldron_sorrel.webp</t>
  </si>
  <si>
    <t>Sorrel Gamberson Cuirass</t>
  </si>
  <si>
    <t>modules/a-knights-dream/Item/equip_armor_gamberson_cuirass_sorrel.webp</t>
  </si>
  <si>
    <t>Sorrel Gamberson Gauntlets</t>
  </si>
  <si>
    <t>modules/a-knights-dream/Item/equip_armor_gamberson_gauntlets_sorrel.webp</t>
  </si>
  <si>
    <t>Sorrel Gamberson Greaves</t>
  </si>
  <si>
    <t>modules/a-knights-dream/Item/equip_armor_gamberson_greaves_sorrel.webp</t>
  </si>
  <si>
    <t>Sorrel Gamberson Helmet</t>
  </si>
  <si>
    <t>modules/a-knights-dream/Item/equip_armor_gamberson_helmet_sorrel.webp</t>
  </si>
  <si>
    <t>Sorrel Gamberson Pauldron</t>
  </si>
  <si>
    <t>modules/a-knights-dream/Item/equip_armor_gamberson_pauldron_sorrel.webp</t>
  </si>
  <si>
    <t>Sorrel Hauberk Cuirass</t>
  </si>
  <si>
    <t>modules/a-knights-dream/Item/equip_armor_hauberk_cuirass_sorrel.webp</t>
  </si>
  <si>
    <t>Sorrel Hauberk Gauntlets</t>
  </si>
  <si>
    <t>modules/a-knights-dream/Item/equip_armor_hauberk_gauntlets_sorrel.webp</t>
  </si>
  <si>
    <t>Sorrel Hauberk Greaves</t>
  </si>
  <si>
    <t>modules/a-knights-dream/Item/equip_armor_hauberk_greaves_sorrel.webp</t>
  </si>
  <si>
    <t>Sorrel Hauberk Helmet</t>
  </si>
  <si>
    <t>modules/a-knights-dream/Item/equip_armor_hauberk_helmet_sorrel.webp</t>
  </si>
  <si>
    <t>Sorrel Hauberk Pauldron</t>
  </si>
  <si>
    <t>modules/a-knights-dream/Item/equip_armor_hauberk_pauldron_sorrel.webp</t>
  </si>
  <si>
    <t>Sorrel Jack Cuirass</t>
  </si>
  <si>
    <t>modules/a-knights-dream/Item/equip_armor_jack_cuirass_sorrel.webp</t>
  </si>
  <si>
    <t>Sorrel Jack Gauntlets</t>
  </si>
  <si>
    <t>modules/a-knights-dream/Item/equip_armor_jack_gauntlets_sorrel.webp</t>
  </si>
  <si>
    <t>Sorrel Jack Greaves</t>
  </si>
  <si>
    <t>modules/a-knights-dream/Item/equip_armor_jack_greaves_sorrel.webp</t>
  </si>
  <si>
    <t>Sorrel Jack Helmet</t>
  </si>
  <si>
    <t>modules/a-knights-dream/Item/equip_armor_jack_helmet_sorrel.webp</t>
  </si>
  <si>
    <t>Sorrel Jack Pauldron</t>
  </si>
  <si>
    <t>modules/a-knights-dream/Item/equip_armor_jack_pauldron_sorrel.webp</t>
  </si>
  <si>
    <t>Sorrel Lamellar Cuirass</t>
  </si>
  <si>
    <t>modules/a-knights-dream/Item/equip_armor_lamellar_cuirass_sorrel.webp</t>
  </si>
  <si>
    <t>Sorrel Lamellar Gauntlets</t>
  </si>
  <si>
    <t>modules/a-knights-dream/Item/equip_armor_lamellar_gauntlets_sorrel.webp</t>
  </si>
  <si>
    <t>Sorrel Lamellar Greaves</t>
  </si>
  <si>
    <t>modules/a-knights-dream/Item/equip_armor_lamellar_greaves_sorrel.webp</t>
  </si>
  <si>
    <t>Sorrel Lamellar Helmet</t>
  </si>
  <si>
    <t>modules/a-knights-dream/Item/equip_armor_lamellar_helmet_sorrel.webp</t>
  </si>
  <si>
    <t>Sorrel Lamellar Pauldron</t>
  </si>
  <si>
    <t>modules/a-knights-dream/Item/equip_armor_lamellar_pauldron_sorrel.webp</t>
  </si>
  <si>
    <t>Sorrel Platemail Cuirass</t>
  </si>
  <si>
    <t>modules/a-knights-dream/Item/equip_armor_platemail_cuirass_sorrel.webp</t>
  </si>
  <si>
    <t>Sorrel Platemail Gauntlets</t>
  </si>
  <si>
    <t>modules/a-knights-dream/Item/equip_armor_platemail_gauntlets_sorrel.webp</t>
  </si>
  <si>
    <t>Sorrel Platemail Greaves</t>
  </si>
  <si>
    <t>modules/a-knights-dream/Item/equip_armor_platemail_greaves_sorrel.webp</t>
  </si>
  <si>
    <t>Sorrel Platemail Helmet</t>
  </si>
  <si>
    <t>modules/a-knights-dream/Item/equip_armor_platemail_helmet_sorrel.webp</t>
  </si>
  <si>
    <t>Sorrel Platemail Pauldron</t>
  </si>
  <si>
    <t>modules/a-knights-dream/Item/equip_armor_platemail_pauldron_sorrel.webp</t>
  </si>
  <si>
    <t>Sorrel Tunic Cuirass</t>
  </si>
  <si>
    <t>modules/a-knights-dream/Item/equip_armor_tunic_cuirass_sorrel.webp</t>
  </si>
  <si>
    <t>Sorrel Tunic Gauntlets</t>
  </si>
  <si>
    <t>modules/a-knights-dream/Item/equip_armor_tunic_gauntlets_sorrel.webp</t>
  </si>
  <si>
    <t>Sorrel Tunic Greaves</t>
  </si>
  <si>
    <t>modules/a-knights-dream/Item/equip_armor_tunic_greaves_sorrel.webp</t>
  </si>
  <si>
    <t>Sorrel Tunic Helmet</t>
  </si>
  <si>
    <t>modules/a-knights-dream/Item/equip_armor_tunic_helmet_sorrel.webp</t>
  </si>
  <si>
    <t>Sorrel Tunic Pauldron</t>
  </si>
  <si>
    <t>modules/a-knights-dream/Item/equip_armor_tunic_pauldron_sorrel.webp</t>
  </si>
  <si>
    <t>Sorrel Buckler Shield</t>
  </si>
  <si>
    <t>modules/a-knights-dream/Item/equip_armor_shield_buckler_sorrel.webp</t>
  </si>
  <si>
    <t>Sorrel Heater Shield</t>
  </si>
  <si>
    <t>modules/a-knights-dream/Item/equip_armor_shield_heater_sorrel.webp</t>
  </si>
  <si>
    <t>Sorrel Kite Shield</t>
  </si>
  <si>
    <t>modules/a-knights-dream/Item/equip_armor_shield_kite_sorrel.webp</t>
  </si>
  <si>
    <t>Sorrel Oval Shield</t>
  </si>
  <si>
    <t>modules/a-knights-dream/Item/equip_armor_shield_oval_sorrel.webp</t>
  </si>
  <si>
    <t>Sorrel Round Shield</t>
  </si>
  <si>
    <t>modules/a-knights-dream/Item/equip_armor_shield_round_sorrel.webp</t>
  </si>
  <si>
    <t>Sorrel Tower Shield</t>
  </si>
  <si>
    <t>modules/a-knights-dream/Item/equip_armor_shield_tower_sorrel.webp</t>
  </si>
  <si>
    <t>Tranquileaf</t>
  </si>
  <si>
    <t>Tranquileaf Ball Bearings</t>
  </si>
  <si>
    <t>modules/a-knights-dream/Item/equip_weapon_bearings_tranquileaf.webp</t>
  </si>
  <si>
    <t>Tranquileaf Bardiche</t>
  </si>
  <si>
    <t>modules/a-knights-dream/Item/equip_weapon_bardiche_tranquileaf.webp</t>
  </si>
  <si>
    <t>Tranquileaf Bastard Sword</t>
  </si>
  <si>
    <t>modules/a-knights-dream/Item/equip_weapon_sword_bastard_tranquileaf.webp</t>
  </si>
  <si>
    <t>Tranquileaf Battle Axe</t>
  </si>
  <si>
    <t>modules/a-knights-dream/Item/equip_weapon_axe_battle_tranquileaf.webp</t>
  </si>
  <si>
    <t>Tranquileaf Blowgun</t>
  </si>
  <si>
    <t>modules/a-knights-dream/Item/equip_weapon_blowgun_tranquileaf.webp</t>
  </si>
  <si>
    <t>Tranquileaf Bolt</t>
  </si>
  <si>
    <t>modules/a-knights-dream/Item/equip_weapon_bolt_tranquileaf.webp</t>
  </si>
  <si>
    <t>Tranquileaf Boomerang</t>
  </si>
  <si>
    <t>modules/a-knights-dream/Item/equip_weapon_boomerang_tranquileaf.webp</t>
  </si>
  <si>
    <t>Tranquileaf Bow</t>
  </si>
  <si>
    <t>modules/a-knights-dream/Item/equip_weapon_bow_tranquileaf.webp</t>
  </si>
  <si>
    <t>Tranquileaf Caltrops</t>
  </si>
  <si>
    <t>modules/a-knights-dream/Item/equip_weapon_caltrops_tranquileaf.webp</t>
  </si>
  <si>
    <t>Tranquileaf Cestus</t>
  </si>
  <si>
    <t>modules/a-knights-dream/Item/equip_weapon_cestus_tranquileaf.webp</t>
  </si>
  <si>
    <t>Tranquileaf Chain</t>
  </si>
  <si>
    <t>modules/a-knights-dream/Item/equip_weapon_chain_tranquileaf.webp</t>
  </si>
  <si>
    <t>Tranquileaf Claymore</t>
  </si>
  <si>
    <t>modules/a-knights-dream/Item/equip_weapon_claymore_tranquileaf.webp</t>
  </si>
  <si>
    <t>Tranquileaf Club</t>
  </si>
  <si>
    <t>modules/a-knights-dream/Item/equip_weapon_club_tranquileaf.webp</t>
  </si>
  <si>
    <t>Tranquileaf Compound Bow</t>
  </si>
  <si>
    <t>modules/a-knights-dream/Item/equip_weapon_bow_compound_tranquileaf.webp</t>
  </si>
  <si>
    <t>Tranquileaf Cutlass</t>
  </si>
  <si>
    <t>modules/a-knights-dream/Item/equip_weapon_cutlass_tranquileaf.webp</t>
  </si>
  <si>
    <t>Tranquileaf Dagger</t>
  </si>
  <si>
    <t>modules/a-knights-dream/Item/equip_weapon_dagger_tranquileaf.webp</t>
  </si>
  <si>
    <t>Tranquileaf Dart</t>
  </si>
  <si>
    <t>modules/a-knights-dream/Item/equip_weapon_dart_tranquileaf.webp</t>
  </si>
  <si>
    <t>Tranquileaf Fauchard Scythe</t>
  </si>
  <si>
    <t>modules/a-knights-dream/Item/equip_weapon_scythe_fauchard_tranquileaf.webp</t>
  </si>
  <si>
    <t>Tranquileaf Flail</t>
  </si>
  <si>
    <t>modules/a-knights-dream/Item/equip_weapon_flail_tranquileaf.webp</t>
  </si>
  <si>
    <t>Tranquileaf Glaive</t>
  </si>
  <si>
    <t>modules/a-knights-dream/Item/equip_weapon_glaive_tranquileaf.webp</t>
  </si>
  <si>
    <t>Tranquileaf Grapple Hook</t>
  </si>
  <si>
    <t>modules/a-knights-dream/Item/equip_weapon_hook_grapple_tranquileaf.webp</t>
  </si>
  <si>
    <t>Tranquileaf Great Axe</t>
  </si>
  <si>
    <t>modules/a-knights-dream/Item/equip_weapon_axe_great_tranquileaf.webp</t>
  </si>
  <si>
    <t>Tranquileaf Great Club</t>
  </si>
  <si>
    <t>modules/a-knights-dream/Item/equip_weapon_club_great_tranquileaf.webp</t>
  </si>
  <si>
    <t>Tranquileaf Great Khyber</t>
  </si>
  <si>
    <t>modules/a-knights-dream/Item/equip_weapon_khyber_great_tranquileaf.webp</t>
  </si>
  <si>
    <t>Tranquileaf Great Konda</t>
  </si>
  <si>
    <t>modules/a-knights-dream/Item/equip_weapon_konda_great_tranquileaf.webp</t>
  </si>
  <si>
    <t>Tranquileaf Great Labrys</t>
  </si>
  <si>
    <t>modules/a-knights-dream/Item/equip_weapon_axe_labrys_great_tranquileaf.webp</t>
  </si>
  <si>
    <t>Tranquileaf Great Mace</t>
  </si>
  <si>
    <t>modules/a-knights-dream/Item/equip_weapon_mace_great_tranquileaf.webp</t>
  </si>
  <si>
    <t>Tranquileaf Great Tapal</t>
  </si>
  <si>
    <t>modules/a-knights-dream/Item/equip_weapon_tapal_great_tranquileaf.webp</t>
  </si>
  <si>
    <t>Tranquileaf Great War Bow</t>
  </si>
  <si>
    <t>modules/a-knights-dream/Item/equip_weapon_bow_war_great_tranquileaf.webp</t>
  </si>
  <si>
    <t>Tranquileaf Great War Hammer</t>
  </si>
  <si>
    <t>modules/a-knights-dream/Item/equip_weapon_hammer_war_great_tranquileaf.webp</t>
  </si>
  <si>
    <t>Tranquileaf Great War Pick</t>
  </si>
  <si>
    <t>modules/a-knights-dream/Item/equip_weapon_pick_war_great_tranquileaf.webp</t>
  </si>
  <si>
    <t>Tranquileaf Guisarme</t>
  </si>
  <si>
    <t>modules/a-knights-dream/Item/equip_weapon_guisarme_tranquileaf.webp</t>
  </si>
  <si>
    <t>Tranquileaf Halberd</t>
  </si>
  <si>
    <t>modules/a-knights-dream/Item/equip_weapon_halberd_tranquileaf.webp</t>
  </si>
  <si>
    <t>Tranquileaf Hand Crossbow</t>
  </si>
  <si>
    <t>modules/a-knights-dream/Item/equip_weapon_crossbow_hand_tranquileaf.webp</t>
  </si>
  <si>
    <t>Tranquileaf Hand axe</t>
  </si>
  <si>
    <t>modules/a-knights-dream/Item/equip_weapon_axe_hand_tranquileaf.webp</t>
  </si>
  <si>
    <t>Tranquileaf Heavy Crossbow</t>
  </si>
  <si>
    <t>modules/a-knights-dream/Item/equip_weapon_crossbow_heavy_tranquileaf.webp</t>
  </si>
  <si>
    <t>Tranquileaf Hunting Trap</t>
  </si>
  <si>
    <t>modules/a-knights-dream/Item/equip_weapon_trap_hunting_tranquileaf.webp</t>
  </si>
  <si>
    <t>Tranquileaf Hunting Trap (Large)</t>
  </si>
  <si>
    <t>modules/a-knights-dream/Item/equip_weapon_trap_hunting_large_tranquileaf.webp</t>
  </si>
  <si>
    <t>Tranquileaf Hunting Trap (Small)</t>
  </si>
  <si>
    <t>modules/a-knights-dream/Item/equip_weapon_trap_hunting_small_tranquileaf.webp</t>
  </si>
  <si>
    <t>Tranquileaf Javelin</t>
  </si>
  <si>
    <t>modules/a-knights-dream/Item/equip_weapon_javelin_tranquileaf.webp</t>
  </si>
  <si>
    <t>Tranquileaf Khpesh</t>
  </si>
  <si>
    <t>modules/a-knights-dream/Item/equip_weapon_khpesh_tranquileaf.webp</t>
  </si>
  <si>
    <t>Tranquileaf Khyber</t>
  </si>
  <si>
    <t>modules/a-knights-dream/Item/equip_weapon_khyber_tranquileaf.webp</t>
  </si>
  <si>
    <t>Tranquileaf Konda</t>
  </si>
  <si>
    <t>modules/a-knights-dream/Item/equip_weapon_konda_tranquileaf.webp</t>
  </si>
  <si>
    <t>Tranquileaf Labrys</t>
  </si>
  <si>
    <t>modules/a-knights-dream/Item/equip_weapon_axe_labrys_tranquileaf.webp</t>
  </si>
  <si>
    <t>Tranquileaf Lance</t>
  </si>
  <si>
    <t>modules/a-knights-dream/Item/equip_weapon_lance_tranquileaf.webp</t>
  </si>
  <si>
    <t>Tranquileaf Light Crossbow</t>
  </si>
  <si>
    <t>modules/a-knights-dream/Item/equip_weapon_crossbow_light_tranquileaf.webp</t>
  </si>
  <si>
    <t>Tranquileaf Long Bow</t>
  </si>
  <si>
    <t>modules/a-knights-dream/Item/equip_weapon_bow_long_tranquileaf.webp</t>
  </si>
  <si>
    <t>Tranquileaf Long Spear</t>
  </si>
  <si>
    <t>modules/a-knights-dream/Item/equip_weapon_spear_long_tranquileaf.webp</t>
  </si>
  <si>
    <t>Tranquileaf Lucerince Hammer</t>
  </si>
  <si>
    <t>modules/a-knights-dream/Item/equip_weapon_hammer_lucerince_tranquileaf.webp</t>
  </si>
  <si>
    <t>Tranquileaf Mace</t>
  </si>
  <si>
    <t>modules/a-knights-dream/Item/equip_weapon_mace_tranquileaf.webp</t>
  </si>
  <si>
    <t>Tranquileaf Morningstar</t>
  </si>
  <si>
    <t>modules/a-knights-dream/Item/equip_weapon_morningstar_tranquileaf.webp</t>
  </si>
  <si>
    <t>Tranquileaf Pike</t>
  </si>
  <si>
    <t>modules/a-knights-dream/Item/equip_weapon_pike_tranquileaf.webp</t>
  </si>
  <si>
    <t>Tranquileaf Quarter Staff</t>
  </si>
  <si>
    <t>modules/a-knights-dream/Item/equip_weapon_staff_quarter_tranquileaf.webp</t>
  </si>
  <si>
    <t>Tranquileaf Ranseur</t>
  </si>
  <si>
    <t>modules/a-knights-dream/Item/equip_weapon_ranseur_tranquileaf.webp</t>
  </si>
  <si>
    <t>Tranquileaf Rapier</t>
  </si>
  <si>
    <t>modules/a-knights-dream/Item/equip_weapon_rapier_tranquileaf.webp</t>
  </si>
  <si>
    <t>Tranquileaf Recurve Bow</t>
  </si>
  <si>
    <t>modules/a-knights-dream/Item/equip_weapon_bow_recurve_tranquileaf.webp</t>
  </si>
  <si>
    <t>Tranquileaf Repeater Crossbow</t>
  </si>
  <si>
    <t>modules/a-knights-dream/Item/equip_weapon_crossbow_repeater_tranquileaf.webp</t>
  </si>
  <si>
    <t>Tranquileaf Sabre</t>
  </si>
  <si>
    <t>modules/a-knights-dream/Item/equip_weapon_sabre_tranquileaf.webp</t>
  </si>
  <si>
    <t>Tranquileaf Scimitar</t>
  </si>
  <si>
    <t>modules/a-knights-dream/Item/equip_weapon_scimitar_tranquileaf.webp</t>
  </si>
  <si>
    <t>Tranquileaf Scythe</t>
  </si>
  <si>
    <t>modules/a-knights-dream/Item/equip_weapon_scythe_tranquileaf.webp</t>
  </si>
  <si>
    <t>Tranquileaf Short Bow</t>
  </si>
  <si>
    <t>modules/a-knights-dream/Item/equip_weapon_bow_short_tranquileaf.webp</t>
  </si>
  <si>
    <t>Tranquileaf Short Spear</t>
  </si>
  <si>
    <t>modules/a-knights-dream/Item/equip_weapon_spear_short_tranquileaf.webp</t>
  </si>
  <si>
    <t>Tranquileaf Short Sword</t>
  </si>
  <si>
    <t>modules/a-knights-dream/Item/equip_weapon_sword_short_tranquileaf.webp</t>
  </si>
  <si>
    <t>Tranquileaf Shotel</t>
  </si>
  <si>
    <t>modules/a-knights-dream/Item/equip_weapon_shotel_tranquileaf.webp</t>
  </si>
  <si>
    <t>Tranquileaf Sickle</t>
  </si>
  <si>
    <t>modules/a-knights-dream/Item/equip_weapon_sickle_tranquileaf.webp</t>
  </si>
  <si>
    <t>Tranquileaf Sling</t>
  </si>
  <si>
    <t>modules/a-knights-dream/Item/equip_weapon_sling_tranquileaf.webp</t>
  </si>
  <si>
    <t>Tranquileaf Staff</t>
  </si>
  <si>
    <t>modules/a-knights-dream/Item/equip_weapon_staff_tranquileaf.webp</t>
  </si>
  <si>
    <t>Tranquileaf Staff Sling</t>
  </si>
  <si>
    <t>modules/a-knights-dream/Item/equip_weapon_sling_staff_tranquileaf.webp</t>
  </si>
  <si>
    <t>Tranquileaf Sword</t>
  </si>
  <si>
    <t>modules/a-knights-dream/Item/equip_weapon_sword_tranquileaf.webp</t>
  </si>
  <si>
    <t>Tranquileaf Tapal</t>
  </si>
  <si>
    <t>modules/a-knights-dream/Item/equip_weapon_tapal_tranquileaf.webp</t>
  </si>
  <si>
    <t>Tranquileaf Trident</t>
  </si>
  <si>
    <t>modules/a-knights-dream/Item/equip_weapon_trident_tranquileaf.webp</t>
  </si>
  <si>
    <t>Tranquileaf War Hammer</t>
  </si>
  <si>
    <t>modules/a-knights-dream/Item/equip_weapon_hammer_war_tranquileaf.webp</t>
  </si>
  <si>
    <t>Tranquileaf War Pick</t>
  </si>
  <si>
    <t>modules/a-knights-dream/Item/equip_weapon_pick_war_tranquileaf.webp</t>
  </si>
  <si>
    <t>Tranquileaf Brigantine Cuirass</t>
  </si>
  <si>
    <t>modules/a-knights-dream/Item/equip_armor_brigantine_cuirass_tranquileaf.webp</t>
  </si>
  <si>
    <t>Tranquileaf Brigantine Gauntlets</t>
  </si>
  <si>
    <t>modules/a-knights-dream/Item/equip_armor_brigantine_gauntlets_tranquileaf.webp</t>
  </si>
  <si>
    <t>Tranquileaf Brigantine Greaves</t>
  </si>
  <si>
    <t>modules/a-knights-dream/Item/equip_armor_brigantine_greaves_tranquileaf.webp</t>
  </si>
  <si>
    <t>Tranquileaf Brigantine Helmet</t>
  </si>
  <si>
    <t>modules/a-knights-dream/Item/equip_armor_brigantine_helmet_tranquileaf.webp</t>
  </si>
  <si>
    <t>Tranquileaf Brigantine Pauldron</t>
  </si>
  <si>
    <t>modules/a-knights-dream/Item/equip_armor_brigantine_pauldron_tranquileaf.webp</t>
  </si>
  <si>
    <t>Tranquileaf Chainmail Cuirass</t>
  </si>
  <si>
    <t>modules/a-knights-dream/Item/equip_armor_chainmail_cuirass_tranquileaf.webp</t>
  </si>
  <si>
    <t>Tranquileaf Chainmail Gauntlets</t>
  </si>
  <si>
    <t>modules/a-knights-dream/Item/equip_armor_chainmail_gauntlets_tranquileaf.webp</t>
  </si>
  <si>
    <t>Tranquileaf Chainmail Greaves</t>
  </si>
  <si>
    <t>modules/a-knights-dream/Item/equip_armor_chainmail_greaves_tranquileaf.webp</t>
  </si>
  <si>
    <t>Tranquileaf Chainmail Helmet</t>
  </si>
  <si>
    <t>modules/a-knights-dream/Item/equip_armor_chainmail_helmet_tranquileaf.webp</t>
  </si>
  <si>
    <t>Tranquileaf Chainmail Pauldron</t>
  </si>
  <si>
    <t>modules/a-knights-dream/Item/equip_armor_chainmail_pauldron_tranquileaf.webp</t>
  </si>
  <si>
    <t>Tranquileaf Gamberson Cuirass</t>
  </si>
  <si>
    <t>modules/a-knights-dream/Item/equip_armor_gamberson_cuirass_tranquileaf.webp</t>
  </si>
  <si>
    <t>Tranquileaf Gamberson Gauntlets</t>
  </si>
  <si>
    <t>modules/a-knights-dream/Item/equip_armor_gamberson_gauntlets_tranquileaf.webp</t>
  </si>
  <si>
    <t>Tranquileaf Gamberson Greaves</t>
  </si>
  <si>
    <t>modules/a-knights-dream/Item/equip_armor_gamberson_greaves_tranquileaf.webp</t>
  </si>
  <si>
    <t>Tranquileaf Gamberson Helmet</t>
  </si>
  <si>
    <t>modules/a-knights-dream/Item/equip_armor_gamberson_helmet_tranquileaf.webp</t>
  </si>
  <si>
    <t>Tranquileaf Gamberson Pauldron</t>
  </si>
  <si>
    <t>modules/a-knights-dream/Item/equip_armor_gamberson_pauldron_tranquileaf.webp</t>
  </si>
  <si>
    <t>Tranquileaf Hauberk Cuirass</t>
  </si>
  <si>
    <t>modules/a-knights-dream/Item/equip_armor_hauberk_cuirass_tranquileaf.webp</t>
  </si>
  <si>
    <t>Tranquileaf Hauberk Gauntlets</t>
  </si>
  <si>
    <t>modules/a-knights-dream/Item/equip_armor_hauberk_gauntlets_tranquileaf.webp</t>
  </si>
  <si>
    <t>Tranquileaf Hauberk Greaves</t>
  </si>
  <si>
    <t>modules/a-knights-dream/Item/equip_armor_hauberk_greaves_tranquileaf.webp</t>
  </si>
  <si>
    <t>Tranquileaf Hauberk Helmet</t>
  </si>
  <si>
    <t>modules/a-knights-dream/Item/equip_armor_hauberk_helmet_tranquileaf.webp</t>
  </si>
  <si>
    <t>Tranquileaf Hauberk Pauldron</t>
  </si>
  <si>
    <t>modules/a-knights-dream/Item/equip_armor_hauberk_pauldron_tranquileaf.webp</t>
  </si>
  <si>
    <t>Tranquileaf Jack Cuirass</t>
  </si>
  <si>
    <t>modules/a-knights-dream/Item/equip_armor_jack_cuirass_tranquileaf.webp</t>
  </si>
  <si>
    <t>Tranquileaf Jack Gauntlets</t>
  </si>
  <si>
    <t>modules/a-knights-dream/Item/equip_armor_jack_gauntlets_tranquileaf.webp</t>
  </si>
  <si>
    <t>Tranquileaf Jack Greaves</t>
  </si>
  <si>
    <t>modules/a-knights-dream/Item/equip_armor_jack_greaves_tranquileaf.webp</t>
  </si>
  <si>
    <t>Tranquileaf Jack Helmet</t>
  </si>
  <si>
    <t>modules/a-knights-dream/Item/equip_armor_jack_helmet_tranquileaf.webp</t>
  </si>
  <si>
    <t>Tranquileaf Jack Pauldron</t>
  </si>
  <si>
    <t>modules/a-knights-dream/Item/equip_armor_jack_pauldron_tranquileaf.webp</t>
  </si>
  <si>
    <t>Tranquileaf Lamellar Cuirass</t>
  </si>
  <si>
    <t>modules/a-knights-dream/Item/equip_armor_lamellar_cuirass_tranquileaf.webp</t>
  </si>
  <si>
    <t>Tranquileaf Lamellar Gauntlets</t>
  </si>
  <si>
    <t>modules/a-knights-dream/Item/equip_armor_lamellar_gauntlets_tranquileaf.webp</t>
  </si>
  <si>
    <t>Tranquileaf Lamellar Greaves</t>
  </si>
  <si>
    <t>modules/a-knights-dream/Item/equip_armor_lamellar_greaves_tranquileaf.webp</t>
  </si>
  <si>
    <t>Tranquileaf Lamellar Helmet</t>
  </si>
  <si>
    <t>modules/a-knights-dream/Item/equip_armor_lamellar_helmet_tranquileaf.webp</t>
  </si>
  <si>
    <t>Tranquileaf Lamellar Pauldron</t>
  </si>
  <si>
    <t>modules/a-knights-dream/Item/equip_armor_lamellar_pauldron_tranquileaf.webp</t>
  </si>
  <si>
    <t>Tranquileaf Platemail Cuirass</t>
  </si>
  <si>
    <t>modules/a-knights-dream/Item/equip_armor_platemail_cuirass_tranquileaf.webp</t>
  </si>
  <si>
    <t>Tranquileaf Platemail Gauntlets</t>
  </si>
  <si>
    <t>modules/a-knights-dream/Item/equip_armor_platemail_gauntlets_tranquileaf.webp</t>
  </si>
  <si>
    <t>Tranquileaf Platemail Greaves</t>
  </si>
  <si>
    <t>modules/a-knights-dream/Item/equip_armor_platemail_greaves_tranquileaf.webp</t>
  </si>
  <si>
    <t>Tranquileaf Platemail Helmet</t>
  </si>
  <si>
    <t>modules/a-knights-dream/Item/equip_armor_platemail_helmet_tranquileaf.webp</t>
  </si>
  <si>
    <t>Tranquileaf Platemail Pauldron</t>
  </si>
  <si>
    <t>modules/a-knights-dream/Item/equip_armor_platemail_pauldron_tranquileaf.webp</t>
  </si>
  <si>
    <t>Tranquileaf Tunic Cuirass</t>
  </si>
  <si>
    <t>modules/a-knights-dream/Item/equip_armor_tunic_cuirass_tranquileaf.webp</t>
  </si>
  <si>
    <t>Tranquileaf Tunic Gauntlets</t>
  </si>
  <si>
    <t>modules/a-knights-dream/Item/equip_armor_tunic_gauntlets_tranquileaf.webp</t>
  </si>
  <si>
    <t>Tranquileaf Tunic Greaves</t>
  </si>
  <si>
    <t>modules/a-knights-dream/Item/equip_armor_tunic_greaves_tranquileaf.webp</t>
  </si>
  <si>
    <t>Tranquileaf Tunic Helmet</t>
  </si>
  <si>
    <t>modules/a-knights-dream/Item/equip_armor_tunic_helmet_tranquileaf.webp</t>
  </si>
  <si>
    <t>Tranquileaf Tunic Pauldron</t>
  </si>
  <si>
    <t>modules/a-knights-dream/Item/equip_armor_tunic_pauldron_tranquileaf.webp</t>
  </si>
  <si>
    <t>Tranquileaf Buckler Shield</t>
  </si>
  <si>
    <t>modules/a-knights-dream/Item/equip_armor_shield_buckler_tranquileaf.webp</t>
  </si>
  <si>
    <t>Tranquileaf Heater Shield</t>
  </si>
  <si>
    <t>modules/a-knights-dream/Item/equip_armor_shield_heater_tranquileaf.webp</t>
  </si>
  <si>
    <t>Tranquileaf Kite Shield</t>
  </si>
  <si>
    <t>modules/a-knights-dream/Item/equip_armor_shield_kite_tranquileaf.webp</t>
  </si>
  <si>
    <t>Tranquileaf Oval Shield</t>
  </si>
  <si>
    <t>modules/a-knights-dream/Item/equip_armor_shield_oval_tranquileaf.webp</t>
  </si>
  <si>
    <t>Tranquileaf Round Shield</t>
  </si>
  <si>
    <t>modules/a-knights-dream/Item/equip_armor_shield_round_tranquileaf.webp</t>
  </si>
  <si>
    <t>Tranquileaf Tower Shield</t>
  </si>
  <si>
    <t>modules/a-knights-dream/Item/equip_armor_shield_tower_tranquileaf.webp</t>
  </si>
  <si>
    <t>Wildweed</t>
  </si>
  <si>
    <t>Wildweed Ball Bearings</t>
  </si>
  <si>
    <t>modules/a-knights-dream/Item/equip_weapon_bearings_wildweed.webp</t>
  </si>
  <si>
    <t>Wildweed Bardiche</t>
  </si>
  <si>
    <t>modules/a-knights-dream/Item/equip_weapon_bardiche_wildweed.webp</t>
  </si>
  <si>
    <t>Wildweed Bastard Sword</t>
  </si>
  <si>
    <t>modules/a-knights-dream/Item/equip_weapon_sword_bastard_wildweed.webp</t>
  </si>
  <si>
    <t>Wildweed Battle Axe</t>
  </si>
  <si>
    <t>modules/a-knights-dream/Item/equip_weapon_axe_battle_wildweed.webp</t>
  </si>
  <si>
    <t>Wildweed Blowgun</t>
  </si>
  <si>
    <t>modules/a-knights-dream/Item/equip_weapon_blowgun_wildweed.webp</t>
  </si>
  <si>
    <t>Wildweed Bolt</t>
  </si>
  <si>
    <t>modules/a-knights-dream/Item/equip_weapon_bolt_wildweed.webp</t>
  </si>
  <si>
    <t>Wildweed Boomerang</t>
  </si>
  <si>
    <t>modules/a-knights-dream/Item/equip_weapon_boomerang_wildweed.webp</t>
  </si>
  <si>
    <t>Wildweed Bow</t>
  </si>
  <si>
    <t>modules/a-knights-dream/Item/equip_weapon_bow_wildweed.webp</t>
  </si>
  <si>
    <t>Wildweed Caltrops</t>
  </si>
  <si>
    <t>modules/a-knights-dream/Item/equip_weapon_caltrops_wildweed.webp</t>
  </si>
  <si>
    <t>Wildweed Cestus</t>
  </si>
  <si>
    <t>modules/a-knights-dream/Item/equip_weapon_cestus_wildweed.webp</t>
  </si>
  <si>
    <t>Wildweed Chain</t>
  </si>
  <si>
    <t>modules/a-knights-dream/Item/equip_weapon_chain_wildweed.webp</t>
  </si>
  <si>
    <t>Wildweed Claymore</t>
  </si>
  <si>
    <t>modules/a-knights-dream/Item/equip_weapon_claymore_wildweed.webp</t>
  </si>
  <si>
    <t>Wildweed Club</t>
  </si>
  <si>
    <t>modules/a-knights-dream/Item/equip_weapon_club_wildweed.webp</t>
  </si>
  <si>
    <t>Wildweed Compound Bow</t>
  </si>
  <si>
    <t>modules/a-knights-dream/Item/equip_weapon_bow_compound_wildweed.webp</t>
  </si>
  <si>
    <t>Wildweed Cutlass</t>
  </si>
  <si>
    <t>modules/a-knights-dream/Item/equip_weapon_cutlass_wildweed.webp</t>
  </si>
  <si>
    <t>Wildweed Dagger</t>
  </si>
  <si>
    <t>modules/a-knights-dream/Item/equip_weapon_dagger_wildweed.webp</t>
  </si>
  <si>
    <t>Wildweed Dart</t>
  </si>
  <si>
    <t>modules/a-knights-dream/Item/equip_weapon_dart_wildweed.webp</t>
  </si>
  <si>
    <t>Wildweed Fauchard Scythe</t>
  </si>
  <si>
    <t>modules/a-knights-dream/Item/equip_weapon_scythe_fauchard_wildweed.webp</t>
  </si>
  <si>
    <t>Wildweed Flail</t>
  </si>
  <si>
    <t>modules/a-knights-dream/Item/equip_weapon_flail_wildweed.webp</t>
  </si>
  <si>
    <t>Wildweed Glaive</t>
  </si>
  <si>
    <t>modules/a-knights-dream/Item/equip_weapon_glaive_wildweed.webp</t>
  </si>
  <si>
    <t>Wildweed Grapple Hook</t>
  </si>
  <si>
    <t>modules/a-knights-dream/Item/equip_weapon_hook_grapple_wildweed.webp</t>
  </si>
  <si>
    <t>Wildweed Great Axe</t>
  </si>
  <si>
    <t>modules/a-knights-dream/Item/equip_weapon_axe_great_wildweed.webp</t>
  </si>
  <si>
    <t>Wildweed Great Club</t>
  </si>
  <si>
    <t>modules/a-knights-dream/Item/equip_weapon_club_great_wildweed.webp</t>
  </si>
  <si>
    <t>Wildweed Great Khyber</t>
  </si>
  <si>
    <t>modules/a-knights-dream/Item/equip_weapon_khyber_great_wildweed.webp</t>
  </si>
  <si>
    <t>Wildweed Great Konda</t>
  </si>
  <si>
    <t>modules/a-knights-dream/Item/equip_weapon_konda_great_wildweed.webp</t>
  </si>
  <si>
    <t>Wildweed Great Labrys</t>
  </si>
  <si>
    <t>modules/a-knights-dream/Item/equip_weapon_axe_labrys_great_wildweed.webp</t>
  </si>
  <si>
    <t>Wildweed Great Mace</t>
  </si>
  <si>
    <t>modules/a-knights-dream/Item/equip_weapon_mace_great_wildweed.webp</t>
  </si>
  <si>
    <t>Wildweed Great Tapal</t>
  </si>
  <si>
    <t>modules/a-knights-dream/Item/equip_weapon_tapal_great_wildweed.webp</t>
  </si>
  <si>
    <t>Wildweed Great War Bow</t>
  </si>
  <si>
    <t>modules/a-knights-dream/Item/equip_weapon_bow_war_great_wildweed.webp</t>
  </si>
  <si>
    <t>Wildweed Great War Hammer</t>
  </si>
  <si>
    <t>modules/a-knights-dream/Item/equip_weapon_hammer_war_great_wildweed.webp</t>
  </si>
  <si>
    <t>Wildweed Great War Pick</t>
  </si>
  <si>
    <t>modules/a-knights-dream/Item/equip_weapon_pick_war_great_wildweed.webp</t>
  </si>
  <si>
    <t>Wildweed Guisarme</t>
  </si>
  <si>
    <t>modules/a-knights-dream/Item/equip_weapon_guisarme_wildweed.webp</t>
  </si>
  <si>
    <t>Wildweed Halberd</t>
  </si>
  <si>
    <t>modules/a-knights-dream/Item/equip_weapon_halberd_wildweed.webp</t>
  </si>
  <si>
    <t>Wildweed Hand Crossbow</t>
  </si>
  <si>
    <t>modules/a-knights-dream/Item/equip_weapon_crossbow_hand_wildweed.webp</t>
  </si>
  <si>
    <t>Wildweed Hand axe</t>
  </si>
  <si>
    <t>modules/a-knights-dream/Item/equip_weapon_axe_hand_wildweed.webp</t>
  </si>
  <si>
    <t>Wildweed Heavy Crossbow</t>
  </si>
  <si>
    <t>modules/a-knights-dream/Item/equip_weapon_crossbow_heavy_wildweed.webp</t>
  </si>
  <si>
    <t>Wildweed Hunting Trap</t>
  </si>
  <si>
    <t>modules/a-knights-dream/Item/equip_weapon_trap_hunting_wildweed.webp</t>
  </si>
  <si>
    <t>Wildweed Hunting Trap (Large)</t>
  </si>
  <si>
    <t>modules/a-knights-dream/Item/equip_weapon_trap_hunting_large_wildweed.webp</t>
  </si>
  <si>
    <t>Wildweed Hunting Trap (Small)</t>
  </si>
  <si>
    <t>modules/a-knights-dream/Item/equip_weapon_trap_hunting_small_wildweed.webp</t>
  </si>
  <si>
    <t>Wildweed Javelin</t>
  </si>
  <si>
    <t>modules/a-knights-dream/Item/equip_weapon_javelin_wildweed.webp</t>
  </si>
  <si>
    <t>Wildweed Khpesh</t>
  </si>
  <si>
    <t>modules/a-knights-dream/Item/equip_weapon_khpesh_wildweed.webp</t>
  </si>
  <si>
    <t>Wildweed Khyber</t>
  </si>
  <si>
    <t>modules/a-knights-dream/Item/equip_weapon_khyber_wildweed.webp</t>
  </si>
  <si>
    <t>Wildweed Konda</t>
  </si>
  <si>
    <t>modules/a-knights-dream/Item/equip_weapon_konda_wildweed.webp</t>
  </si>
  <si>
    <t>Wildweed Labrys</t>
  </si>
  <si>
    <t>modules/a-knights-dream/Item/equip_weapon_axe_labrys_wildweed.webp</t>
  </si>
  <si>
    <t>Wildweed Lance</t>
  </si>
  <si>
    <t>modules/a-knights-dream/Item/equip_weapon_lance_wildweed.webp</t>
  </si>
  <si>
    <t>Wildweed Light Crossbow</t>
  </si>
  <si>
    <t>modules/a-knights-dream/Item/equip_weapon_crossbow_light_wildweed.webp</t>
  </si>
  <si>
    <t>Wildweed Long Bow</t>
  </si>
  <si>
    <t>modules/a-knights-dream/Item/equip_weapon_bow_long_wildweed.webp</t>
  </si>
  <si>
    <t>Wildweed Long Spear</t>
  </si>
  <si>
    <t>modules/a-knights-dream/Item/equip_weapon_spear_long_wildweed.webp</t>
  </si>
  <si>
    <t>Wildweed Lucerince Hammer</t>
  </si>
  <si>
    <t>modules/a-knights-dream/Item/equip_weapon_hammer_lucerince_wildweed.webp</t>
  </si>
  <si>
    <t>Wildweed Mace</t>
  </si>
  <si>
    <t>modules/a-knights-dream/Item/equip_weapon_mace_wildweed.webp</t>
  </si>
  <si>
    <t>Wildweed Morningstar</t>
  </si>
  <si>
    <t>modules/a-knights-dream/Item/equip_weapon_morningstar_wildweed.webp</t>
  </si>
  <si>
    <t>Wildweed Pike</t>
  </si>
  <si>
    <t>modules/a-knights-dream/Item/equip_weapon_pike_wildweed.webp</t>
  </si>
  <si>
    <t>Wildweed Quarter Staff</t>
  </si>
  <si>
    <t>modules/a-knights-dream/Item/equip_weapon_staff_quarter_wildweed.webp</t>
  </si>
  <si>
    <t>Wildweed Ranseur</t>
  </si>
  <si>
    <t>modules/a-knights-dream/Item/equip_weapon_ranseur_wildweed.webp</t>
  </si>
  <si>
    <t>Wildweed Rapier</t>
  </si>
  <si>
    <t>modules/a-knights-dream/Item/equip_weapon_rapier_wildweed.webp</t>
  </si>
  <si>
    <t>Wildweed Recurve Bow</t>
  </si>
  <si>
    <t>modules/a-knights-dream/Item/equip_weapon_bow_recurve_wildweed.webp</t>
  </si>
  <si>
    <t>Wildweed Repeater Crossbow</t>
  </si>
  <si>
    <t>modules/a-knights-dream/Item/equip_weapon_crossbow_repeater_wildweed.webp</t>
  </si>
  <si>
    <t>Wildweed Sabre</t>
  </si>
  <si>
    <t>modules/a-knights-dream/Item/equip_weapon_sabre_wildweed.webp</t>
  </si>
  <si>
    <t>Wildweed Scimitar</t>
  </si>
  <si>
    <t>modules/a-knights-dream/Item/equip_weapon_scimitar_wildweed.webp</t>
  </si>
  <si>
    <t>Wildweed Scythe</t>
  </si>
  <si>
    <t>modules/a-knights-dream/Item/equip_weapon_scythe_wildweed.webp</t>
  </si>
  <si>
    <t>Wildweed Short Bow</t>
  </si>
  <si>
    <t>modules/a-knights-dream/Item/equip_weapon_bow_short_wildweed.webp</t>
  </si>
  <si>
    <t>Wildweed Short Spear</t>
  </si>
  <si>
    <t>modules/a-knights-dream/Item/equip_weapon_spear_short_wildweed.webp</t>
  </si>
  <si>
    <t>Wildweed Short Sword</t>
  </si>
  <si>
    <t>modules/a-knights-dream/Item/equip_weapon_sword_short_wildweed.webp</t>
  </si>
  <si>
    <t>Wildweed Shotel</t>
  </si>
  <si>
    <t>modules/a-knights-dream/Item/equip_weapon_shotel_wildweed.webp</t>
  </si>
  <si>
    <t>Wildweed Sickle</t>
  </si>
  <si>
    <t>modules/a-knights-dream/Item/equip_weapon_sickle_wildweed.webp</t>
  </si>
  <si>
    <t>Wildweed Sling</t>
  </si>
  <si>
    <t>modules/a-knights-dream/Item/equip_weapon_sling_wildweed.webp</t>
  </si>
  <si>
    <t>Wildweed Staff</t>
  </si>
  <si>
    <t>modules/a-knights-dream/Item/equip_weapon_staff_wildweed.webp</t>
  </si>
  <si>
    <t>Wildweed Staff Sling</t>
  </si>
  <si>
    <t>modules/a-knights-dream/Item/equip_weapon_sling_staff_wildweed.webp</t>
  </si>
  <si>
    <t>Wildweed Sword</t>
  </si>
  <si>
    <t>modules/a-knights-dream/Item/equip_weapon_sword_wildweed.webp</t>
  </si>
  <si>
    <t>Wildweed Tapal</t>
  </si>
  <si>
    <t>modules/a-knights-dream/Item/equip_weapon_tapal_wildweed.webp</t>
  </si>
  <si>
    <t>Wildweed Trident</t>
  </si>
  <si>
    <t>modules/a-knights-dream/Item/equip_weapon_trident_wildweed.webp</t>
  </si>
  <si>
    <t>Wildweed War Hammer</t>
  </si>
  <si>
    <t>modules/a-knights-dream/Item/equip_weapon_hammer_war_wildweed.webp</t>
  </si>
  <si>
    <t>Wildweed War Pick</t>
  </si>
  <si>
    <t>modules/a-knights-dream/Item/equip_weapon_pick_war_wildweed.webp</t>
  </si>
  <si>
    <t>Wildweed Brigantine Cuirass</t>
  </si>
  <si>
    <t>modules/a-knights-dream/Item/equip_armor_brigantine_cuirass_wildweed.webp</t>
  </si>
  <si>
    <t>Wildweed Brigantine Gauntlets</t>
  </si>
  <si>
    <t>modules/a-knights-dream/Item/equip_armor_brigantine_gauntlets_wildweed.webp</t>
  </si>
  <si>
    <t>Wildweed Brigantine Greaves</t>
  </si>
  <si>
    <t>modules/a-knights-dream/Item/equip_armor_brigantine_greaves_wildweed.webp</t>
  </si>
  <si>
    <t>Wildweed Brigantine Helmet</t>
  </si>
  <si>
    <t>modules/a-knights-dream/Item/equip_armor_brigantine_helmet_wildweed.webp</t>
  </si>
  <si>
    <t>Wildweed Brigantine Pauldron</t>
  </si>
  <si>
    <t>modules/a-knights-dream/Item/equip_armor_brigantine_pauldron_wildweed.webp</t>
  </si>
  <si>
    <t>Wildweed Chainmail Cuirass</t>
  </si>
  <si>
    <t>modules/a-knights-dream/Item/equip_armor_chainmail_cuirass_wildweed.webp</t>
  </si>
  <si>
    <t>Wildweed Chainmail Gauntlets</t>
  </si>
  <si>
    <t>modules/a-knights-dream/Item/equip_armor_chainmail_gauntlets_wildweed.webp</t>
  </si>
  <si>
    <t>Wildweed Chainmail Greaves</t>
  </si>
  <si>
    <t>modules/a-knights-dream/Item/equip_armor_chainmail_greaves_wildweed.webp</t>
  </si>
  <si>
    <t>Wildweed Chainmail Helmet</t>
  </si>
  <si>
    <t>modules/a-knights-dream/Item/equip_armor_chainmail_helmet_wildweed.webp</t>
  </si>
  <si>
    <t>Wildweed Chainmail Pauldron</t>
  </si>
  <si>
    <t>modules/a-knights-dream/Item/equip_armor_chainmail_pauldron_wildweed.webp</t>
  </si>
  <si>
    <t>Wildweed Gamberson Cuirass</t>
  </si>
  <si>
    <t>modules/a-knights-dream/Item/equip_armor_gamberson_cuirass_wildweed.webp</t>
  </si>
  <si>
    <t>Wildweed Gamberson Gauntlets</t>
  </si>
  <si>
    <t>modules/a-knights-dream/Item/equip_armor_gamberson_gauntlets_wildweed.webp</t>
  </si>
  <si>
    <t>Wildweed Gamberson Greaves</t>
  </si>
  <si>
    <t>modules/a-knights-dream/Item/equip_armor_gamberson_greaves_wildweed.webp</t>
  </si>
  <si>
    <t>Wildweed Gamberson Helmet</t>
  </si>
  <si>
    <t>modules/a-knights-dream/Item/equip_armor_gamberson_helmet_wildweed.webp</t>
  </si>
  <si>
    <t>Wildweed Gamberson Pauldron</t>
  </si>
  <si>
    <t>modules/a-knights-dream/Item/equip_armor_gamberson_pauldron_wildweed.webp</t>
  </si>
  <si>
    <t>Wildweed Hauberk Cuirass</t>
  </si>
  <si>
    <t>modules/a-knights-dream/Item/equip_armor_hauberk_cuirass_wildweed.webp</t>
  </si>
  <si>
    <t>Wildweed Hauberk Gauntlets</t>
  </si>
  <si>
    <t>modules/a-knights-dream/Item/equip_armor_hauberk_gauntlets_wildweed.webp</t>
  </si>
  <si>
    <t>Wildweed Hauberk Greaves</t>
  </si>
  <si>
    <t>modules/a-knights-dream/Item/equip_armor_hauberk_greaves_wildweed.webp</t>
  </si>
  <si>
    <t>Wildweed Hauberk Helmet</t>
  </si>
  <si>
    <t>modules/a-knights-dream/Item/equip_armor_hauberk_helmet_wildweed.webp</t>
  </si>
  <si>
    <t>Wildweed Hauberk Pauldron</t>
  </si>
  <si>
    <t>modules/a-knights-dream/Item/equip_armor_hauberk_pauldron_wildweed.webp</t>
  </si>
  <si>
    <t>Wildweed Jack Cuirass</t>
  </si>
  <si>
    <t>modules/a-knights-dream/Item/equip_armor_jack_cuirass_wildweed.webp</t>
  </si>
  <si>
    <t>Wildweed Jack Gauntlets</t>
  </si>
  <si>
    <t>modules/a-knights-dream/Item/equip_armor_jack_gauntlets_wildweed.webp</t>
  </si>
  <si>
    <t>Wildweed Jack Greaves</t>
  </si>
  <si>
    <t>modules/a-knights-dream/Item/equip_armor_jack_greaves_wildweed.webp</t>
  </si>
  <si>
    <t>Wildweed Jack Helmet</t>
  </si>
  <si>
    <t>modules/a-knights-dream/Item/equip_armor_jack_helmet_wildweed.webp</t>
  </si>
  <si>
    <t>Wildweed Jack Pauldron</t>
  </si>
  <si>
    <t>modules/a-knights-dream/Item/equip_armor_jack_pauldron_wildweed.webp</t>
  </si>
  <si>
    <t>Wildweed Lamellar Cuirass</t>
  </si>
  <si>
    <t>modules/a-knights-dream/Item/equip_armor_lamellar_cuirass_wildweed.webp</t>
  </si>
  <si>
    <t>Wildweed Lamellar Gauntlets</t>
  </si>
  <si>
    <t>modules/a-knights-dream/Item/equip_armor_lamellar_gauntlets_wildweed.webp</t>
  </si>
  <si>
    <t>Wildweed Lamellar Greaves</t>
  </si>
  <si>
    <t>modules/a-knights-dream/Item/equip_armor_lamellar_greaves_wildweed.webp</t>
  </si>
  <si>
    <t>Wildweed Lamellar Helmet</t>
  </si>
  <si>
    <t>modules/a-knights-dream/Item/equip_armor_lamellar_helmet_wildweed.webp</t>
  </si>
  <si>
    <t>Wildweed Lamellar Pauldron</t>
  </si>
  <si>
    <t>modules/a-knights-dream/Item/equip_armor_lamellar_pauldron_wildweed.webp</t>
  </si>
  <si>
    <t>Wildweed Platemail Cuirass</t>
  </si>
  <si>
    <t>modules/a-knights-dream/Item/equip_armor_platemail_cuirass_wildweed.webp</t>
  </si>
  <si>
    <t>Wildweed Platemail Gauntlets</t>
  </si>
  <si>
    <t>modules/a-knights-dream/Item/equip_armor_platemail_gauntlets_wildweed.webp</t>
  </si>
  <si>
    <t>Wildweed Platemail Greaves</t>
  </si>
  <si>
    <t>modules/a-knights-dream/Item/equip_armor_platemail_greaves_wildweed.webp</t>
  </si>
  <si>
    <t>Wildweed Platemail Helmet</t>
  </si>
  <si>
    <t>modules/a-knights-dream/Item/equip_armor_platemail_helmet_wildweed.webp</t>
  </si>
  <si>
    <t>Wildweed Platemail Pauldron</t>
  </si>
  <si>
    <t>modules/a-knights-dream/Item/equip_armor_platemail_pauldron_wildweed.webp</t>
  </si>
  <si>
    <t>Wildweed Tunic Cuirass</t>
  </si>
  <si>
    <t>modules/a-knights-dream/Item/equip_armor_tunic_cuirass_wildweed.webp</t>
  </si>
  <si>
    <t>Wildweed Tunic Gauntlets</t>
  </si>
  <si>
    <t>modules/a-knights-dream/Item/equip_armor_tunic_gauntlets_wildweed.webp</t>
  </si>
  <si>
    <t>Wildweed Tunic Greaves</t>
  </si>
  <si>
    <t>modules/a-knights-dream/Item/equip_armor_tunic_greaves_wildweed.webp</t>
  </si>
  <si>
    <t>Wildweed Tunic Helmet</t>
  </si>
  <si>
    <t>modules/a-knights-dream/Item/equip_armor_tunic_helmet_wildweed.webp</t>
  </si>
  <si>
    <t>Wildweed Tunic Pauldron</t>
  </si>
  <si>
    <t>modules/a-knights-dream/Item/equip_armor_tunic_pauldron_wildweed.webp</t>
  </si>
  <si>
    <t>Wildweed Buckler Shield</t>
  </si>
  <si>
    <t>modules/a-knights-dream/Item/equip_armor_shield_buckler_wildweed.webp</t>
  </si>
  <si>
    <t>Wildweed Heater Shield</t>
  </si>
  <si>
    <t>modules/a-knights-dream/Item/equip_armor_shield_heater_wildweed.webp</t>
  </si>
  <si>
    <t>Wildweed Kite Shield</t>
  </si>
  <si>
    <t>modules/a-knights-dream/Item/equip_armor_shield_kite_wildweed.webp</t>
  </si>
  <si>
    <t>Wildweed Oval Shield</t>
  </si>
  <si>
    <t>modules/a-knights-dream/Item/equip_armor_shield_oval_wildweed.webp</t>
  </si>
  <si>
    <t>Wildweed Round Shield</t>
  </si>
  <si>
    <t>modules/a-knights-dream/Item/equip_armor_shield_round_wildweed.webp</t>
  </si>
  <si>
    <t>Wildweed Tower Shield</t>
  </si>
  <si>
    <t>modules/a-knights-dream/Item/equip_armor_shield_tower_wildweed.webp</t>
  </si>
  <si>
    <t>Willow</t>
  </si>
  <si>
    <t>Willow Ball Bearings</t>
  </si>
  <si>
    <t>modules/a-knights-dream/Item/equip_weapon_bearings_willow.webp</t>
  </si>
  <si>
    <t>Willow Bardiche</t>
  </si>
  <si>
    <t>modules/a-knights-dream/Item/equip_weapon_bardiche_willow.webp</t>
  </si>
  <si>
    <t>Willow Bastard Sword</t>
  </si>
  <si>
    <t>modules/a-knights-dream/Item/equip_weapon_sword_bastard_willow.webp</t>
  </si>
  <si>
    <t>Willow Battle Axe</t>
  </si>
  <si>
    <t>modules/a-knights-dream/Item/equip_weapon_axe_battle_willow.webp</t>
  </si>
  <si>
    <t>Willow Blowgun</t>
  </si>
  <si>
    <t>modules/a-knights-dream/Item/equip_weapon_blowgun_willow.webp</t>
  </si>
  <si>
    <t>Willow Bolt</t>
  </si>
  <si>
    <t>modules/a-knights-dream/Item/equip_weapon_bolt_willow.webp</t>
  </si>
  <si>
    <t>Willow Boomerang</t>
  </si>
  <si>
    <t>modules/a-knights-dream/Item/equip_weapon_boomerang_willow.webp</t>
  </si>
  <si>
    <t>Willow Bow</t>
  </si>
  <si>
    <t>modules/a-knights-dream/Item/equip_weapon_bow_willow.webp</t>
  </si>
  <si>
    <t>Willow Caltrops</t>
  </si>
  <si>
    <t>modules/a-knights-dream/Item/equip_weapon_caltrops_willow.webp</t>
  </si>
  <si>
    <t>Willow Cestus</t>
  </si>
  <si>
    <t>modules/a-knights-dream/Item/equip_weapon_cestus_willow.webp</t>
  </si>
  <si>
    <t>Willow Chain</t>
  </si>
  <si>
    <t>modules/a-knights-dream/Item/equip_weapon_chain_willow.webp</t>
  </si>
  <si>
    <t>Willow Claymore</t>
  </si>
  <si>
    <t>modules/a-knights-dream/Item/equip_weapon_claymore_willow.webp</t>
  </si>
  <si>
    <t>Willow Club</t>
  </si>
  <si>
    <t>modules/a-knights-dream/Item/equip_weapon_club_willow.webp</t>
  </si>
  <si>
    <t>Willow Compound Bow</t>
  </si>
  <si>
    <t>modules/a-knights-dream/Item/equip_weapon_bow_compound_willow.webp</t>
  </si>
  <si>
    <t>Willow Cutlass</t>
  </si>
  <si>
    <t>modules/a-knights-dream/Item/equip_weapon_cutlass_willow.webp</t>
  </si>
  <si>
    <t>Willow Dagger</t>
  </si>
  <si>
    <t>modules/a-knights-dream/Item/equip_weapon_dagger_willow.webp</t>
  </si>
  <si>
    <t>Willow Dart</t>
  </si>
  <si>
    <t>modules/a-knights-dream/Item/equip_weapon_dart_willow.webp</t>
  </si>
  <si>
    <t>Willow Fauchard Scythe</t>
  </si>
  <si>
    <t>modules/a-knights-dream/Item/equip_weapon_scythe_fauchard_willow.webp</t>
  </si>
  <si>
    <t>Willow Flail</t>
  </si>
  <si>
    <t>modules/a-knights-dream/Item/equip_weapon_flail_willow.webp</t>
  </si>
  <si>
    <t>Willow Glaive</t>
  </si>
  <si>
    <t>modules/a-knights-dream/Item/equip_weapon_glaive_willow.webp</t>
  </si>
  <si>
    <t>Willow Grapple Hook</t>
  </si>
  <si>
    <t>modules/a-knights-dream/Item/equip_weapon_hook_grapple_willow.webp</t>
  </si>
  <si>
    <t>Willow Great Axe</t>
  </si>
  <si>
    <t>modules/a-knights-dream/Item/equip_weapon_axe_great_willow.webp</t>
  </si>
  <si>
    <t>Willow Great Club</t>
  </si>
  <si>
    <t>modules/a-knights-dream/Item/equip_weapon_club_great_willow.webp</t>
  </si>
  <si>
    <t>Willow Great Khyber</t>
  </si>
  <si>
    <t>modules/a-knights-dream/Item/equip_weapon_khyber_great_willow.webp</t>
  </si>
  <si>
    <t>Willow Great Konda</t>
  </si>
  <si>
    <t>modules/a-knights-dream/Item/equip_weapon_konda_great_willow.webp</t>
  </si>
  <si>
    <t>Willow Great Labrys</t>
  </si>
  <si>
    <t>modules/a-knights-dream/Item/equip_weapon_axe_labrys_great_willow.webp</t>
  </si>
  <si>
    <t>Willow Great Mace</t>
  </si>
  <si>
    <t>modules/a-knights-dream/Item/equip_weapon_mace_great_willow.webp</t>
  </si>
  <si>
    <t>Willow Great Tapal</t>
  </si>
  <si>
    <t>modules/a-knights-dream/Item/equip_weapon_tapal_great_willow.webp</t>
  </si>
  <si>
    <t>Willow Great War Bow</t>
  </si>
  <si>
    <t>modules/a-knights-dream/Item/equip_weapon_bow_war_great_willow.webp</t>
  </si>
  <si>
    <t>Willow Great War Hammer</t>
  </si>
  <si>
    <t>modules/a-knights-dream/Item/equip_weapon_hammer_war_great_willow.webp</t>
  </si>
  <si>
    <t>Willow Great War Pick</t>
  </si>
  <si>
    <t>modules/a-knights-dream/Item/equip_weapon_pick_war_great_willow.webp</t>
  </si>
  <si>
    <t>Willow Guisarme</t>
  </si>
  <si>
    <t>modules/a-knights-dream/Item/equip_weapon_guisarme_willow.webp</t>
  </si>
  <si>
    <t>Willow Halberd</t>
  </si>
  <si>
    <t>modules/a-knights-dream/Item/equip_weapon_halberd_willow.webp</t>
  </si>
  <si>
    <t>Willow Hand Crossbow</t>
  </si>
  <si>
    <t>modules/a-knights-dream/Item/equip_weapon_crossbow_hand_willow.webp</t>
  </si>
  <si>
    <t>Willow Hand axe</t>
  </si>
  <si>
    <t>modules/a-knights-dream/Item/equip_weapon_axe_hand_willow.webp</t>
  </si>
  <si>
    <t>Willow Heavy Crossbow</t>
  </si>
  <si>
    <t>modules/a-knights-dream/Item/equip_weapon_crossbow_heavy_willow.webp</t>
  </si>
  <si>
    <t>Willow Hunting Trap</t>
  </si>
  <si>
    <t>modules/a-knights-dream/Item/equip_weapon_trap_hunting_willow.webp</t>
  </si>
  <si>
    <t>Willow Hunting Trap (Large)</t>
  </si>
  <si>
    <t>modules/a-knights-dream/Item/equip_weapon_trap_hunting_large_willow.webp</t>
  </si>
  <si>
    <t>Willow Hunting Trap (Small)</t>
  </si>
  <si>
    <t>modules/a-knights-dream/Item/equip_weapon_trap_hunting_small_willow.webp</t>
  </si>
  <si>
    <t>Willow Javelin</t>
  </si>
  <si>
    <t>modules/a-knights-dream/Item/equip_weapon_javelin_willow.webp</t>
  </si>
  <si>
    <t>Willow Khpesh</t>
  </si>
  <si>
    <t>modules/a-knights-dream/Item/equip_weapon_khpesh_willow.webp</t>
  </si>
  <si>
    <t>Willow Khyber</t>
  </si>
  <si>
    <t>modules/a-knights-dream/Item/equip_weapon_khyber_willow.webp</t>
  </si>
  <si>
    <t>Willow Konda</t>
  </si>
  <si>
    <t>modules/a-knights-dream/Item/equip_weapon_konda_willow.webp</t>
  </si>
  <si>
    <t>Willow Labrys</t>
  </si>
  <si>
    <t>modules/a-knights-dream/Item/equip_weapon_axe_labrys_willow.webp</t>
  </si>
  <si>
    <t>Willow Lance</t>
  </si>
  <si>
    <t>modules/a-knights-dream/Item/equip_weapon_lance_willow.webp</t>
  </si>
  <si>
    <t>Willow Light Crossbow</t>
  </si>
  <si>
    <t>modules/a-knights-dream/Item/equip_weapon_crossbow_light_willow.webp</t>
  </si>
  <si>
    <t>Willow Long Bow</t>
  </si>
  <si>
    <t>modules/a-knights-dream/Item/equip_weapon_bow_long_willow.webp</t>
  </si>
  <si>
    <t>Willow Long Spear</t>
  </si>
  <si>
    <t>modules/a-knights-dream/Item/equip_weapon_spear_long_willow.webp</t>
  </si>
  <si>
    <t>Willow Lucerince Hammer</t>
  </si>
  <si>
    <t>modules/a-knights-dream/Item/equip_weapon_hammer_lucerince_willow.webp</t>
  </si>
  <si>
    <t>Willow Mace</t>
  </si>
  <si>
    <t>modules/a-knights-dream/Item/equip_weapon_mace_willow.webp</t>
  </si>
  <si>
    <t>Willow Morningstar</t>
  </si>
  <si>
    <t>modules/a-knights-dream/Item/equip_weapon_morningstar_willow.webp</t>
  </si>
  <si>
    <t>Willow Pike</t>
  </si>
  <si>
    <t>modules/a-knights-dream/Item/equip_weapon_pike_willow.webp</t>
  </si>
  <si>
    <t>Willow Quarter Staff</t>
  </si>
  <si>
    <t>modules/a-knights-dream/Item/equip_weapon_staff_quarter_willow.webp</t>
  </si>
  <si>
    <t>Willow Ranseur</t>
  </si>
  <si>
    <t>modules/a-knights-dream/Item/equip_weapon_ranseur_willow.webp</t>
  </si>
  <si>
    <t>Willow Rapier</t>
  </si>
  <si>
    <t>modules/a-knights-dream/Item/equip_weapon_rapier_willow.webp</t>
  </si>
  <si>
    <t>Willow Recurve Bow</t>
  </si>
  <si>
    <t>modules/a-knights-dream/Item/equip_weapon_bow_recurve_willow.webp</t>
  </si>
  <si>
    <t>Willow Repeater Crossbow</t>
  </si>
  <si>
    <t>modules/a-knights-dream/Item/equip_weapon_crossbow_repeater_willow.webp</t>
  </si>
  <si>
    <t>Willow Sabre</t>
  </si>
  <si>
    <t>modules/a-knights-dream/Item/equip_weapon_sabre_willow.webp</t>
  </si>
  <si>
    <t>Willow Scimitar</t>
  </si>
  <si>
    <t>modules/a-knights-dream/Item/equip_weapon_scimitar_willow.webp</t>
  </si>
  <si>
    <t>Willow Scythe</t>
  </si>
  <si>
    <t>modules/a-knights-dream/Item/equip_weapon_scythe_willow.webp</t>
  </si>
  <si>
    <t>Willow Short Bow</t>
  </si>
  <si>
    <t>modules/a-knights-dream/Item/equip_weapon_bow_short_willow.webp</t>
  </si>
  <si>
    <t>Willow Short Spear</t>
  </si>
  <si>
    <t>modules/a-knights-dream/Item/equip_weapon_spear_short_willow.webp</t>
  </si>
  <si>
    <t>Willow Short Sword</t>
  </si>
  <si>
    <t>modules/a-knights-dream/Item/equip_weapon_sword_short_willow.webp</t>
  </si>
  <si>
    <t>Willow Shotel</t>
  </si>
  <si>
    <t>modules/a-knights-dream/Item/equip_weapon_shotel_willow.webp</t>
  </si>
  <si>
    <t>Willow Sickle</t>
  </si>
  <si>
    <t>modules/a-knights-dream/Item/equip_weapon_sickle_willow.webp</t>
  </si>
  <si>
    <t>Willow Sling</t>
  </si>
  <si>
    <t>modules/a-knights-dream/Item/equip_weapon_sling_willow.webp</t>
  </si>
  <si>
    <t>Willow Staff</t>
  </si>
  <si>
    <t>modules/a-knights-dream/Item/equip_weapon_staff_willow.webp</t>
  </si>
  <si>
    <t>Willow Staff Sling</t>
  </si>
  <si>
    <t>modules/a-knights-dream/Item/equip_weapon_sling_staff_willow.webp</t>
  </si>
  <si>
    <t>Willow Sword</t>
  </si>
  <si>
    <t>modules/a-knights-dream/Item/equip_weapon_sword_willow.webp</t>
  </si>
  <si>
    <t>Willow Tapal</t>
  </si>
  <si>
    <t>modules/a-knights-dream/Item/equip_weapon_tapal_willow.webp</t>
  </si>
  <si>
    <t>Willow Trident</t>
  </si>
  <si>
    <t>modules/a-knights-dream/Item/equip_weapon_trident_willow.webp</t>
  </si>
  <si>
    <t>Willow War Hammer</t>
  </si>
  <si>
    <t>modules/a-knights-dream/Item/equip_weapon_hammer_war_willow.webp</t>
  </si>
  <si>
    <t>Willow War Pick</t>
  </si>
  <si>
    <t>modules/a-knights-dream/Item/equip_weapon_pick_war_willow.webp</t>
  </si>
  <si>
    <t>Willow Brigantine Cuirass</t>
  </si>
  <si>
    <t>modules/a-knights-dream/Item/equip_armor_brigantine_cuirass_willow.webp</t>
  </si>
  <si>
    <t>Willow Brigantine Gauntlets</t>
  </si>
  <si>
    <t>modules/a-knights-dream/Item/equip_armor_brigantine_gauntlets_willow.webp</t>
  </si>
  <si>
    <t>Willow Brigantine Greaves</t>
  </si>
  <si>
    <t>modules/a-knights-dream/Item/equip_armor_brigantine_greaves_willow.webp</t>
  </si>
  <si>
    <t>Willow Brigantine Helmet</t>
  </si>
  <si>
    <t>modules/a-knights-dream/Item/equip_armor_brigantine_helmet_willow.webp</t>
  </si>
  <si>
    <t>Willow Brigantine Pauldron</t>
  </si>
  <si>
    <t>modules/a-knights-dream/Item/equip_armor_brigantine_pauldron_willow.webp</t>
  </si>
  <si>
    <t>Willow Chainmail Cuirass</t>
  </si>
  <si>
    <t>modules/a-knights-dream/Item/equip_armor_chainmail_cuirass_willow.webp</t>
  </si>
  <si>
    <t>Willow Chainmail Gauntlets</t>
  </si>
  <si>
    <t>modules/a-knights-dream/Item/equip_armor_chainmail_gauntlets_willow.webp</t>
  </si>
  <si>
    <t>Willow Chainmail Greaves</t>
  </si>
  <si>
    <t>modules/a-knights-dream/Item/equip_armor_chainmail_greaves_willow.webp</t>
  </si>
  <si>
    <t>Willow Chainmail Helmet</t>
  </si>
  <si>
    <t>modules/a-knights-dream/Item/equip_armor_chainmail_helmet_willow.webp</t>
  </si>
  <si>
    <t>Willow Chainmail Pauldron</t>
  </si>
  <si>
    <t>modules/a-knights-dream/Item/equip_armor_chainmail_pauldron_willow.webp</t>
  </si>
  <si>
    <t>Willow Gamberson Cuirass</t>
  </si>
  <si>
    <t>modules/a-knights-dream/Item/equip_armor_gamberson_cuirass_willow.webp</t>
  </si>
  <si>
    <t>Willow Gamberson Gauntlets</t>
  </si>
  <si>
    <t>modules/a-knights-dream/Item/equip_armor_gamberson_gauntlets_willow.webp</t>
  </si>
  <si>
    <t>Willow Gamberson Greaves</t>
  </si>
  <si>
    <t>modules/a-knights-dream/Item/equip_armor_gamberson_greaves_willow.webp</t>
  </si>
  <si>
    <t>Willow Gamberson Helmet</t>
  </si>
  <si>
    <t>modules/a-knights-dream/Item/equip_armor_gamberson_helmet_willow.webp</t>
  </si>
  <si>
    <t>Willow Gamberson Pauldron</t>
  </si>
  <si>
    <t>modules/a-knights-dream/Item/equip_armor_gamberson_pauldron_willow.webp</t>
  </si>
  <si>
    <t>Willow Hauberk Cuirass</t>
  </si>
  <si>
    <t>modules/a-knights-dream/Item/equip_armor_hauberk_cuirass_willow.webp</t>
  </si>
  <si>
    <t>Willow Hauberk Gauntlets</t>
  </si>
  <si>
    <t>modules/a-knights-dream/Item/equip_armor_hauberk_gauntlets_willow.webp</t>
  </si>
  <si>
    <t>Willow Hauberk Greaves</t>
  </si>
  <si>
    <t>modules/a-knights-dream/Item/equip_armor_hauberk_greaves_willow.webp</t>
  </si>
  <si>
    <t>Willow Hauberk Helmet</t>
  </si>
  <si>
    <t>modules/a-knights-dream/Item/equip_armor_hauberk_helmet_willow.webp</t>
  </si>
  <si>
    <t>Willow Hauberk Pauldron</t>
  </si>
  <si>
    <t>modules/a-knights-dream/Item/equip_armor_hauberk_pauldron_willow.webp</t>
  </si>
  <si>
    <t>Willow Jack Cuirass</t>
  </si>
  <si>
    <t>modules/a-knights-dream/Item/equip_armor_jack_cuirass_willow.webp</t>
  </si>
  <si>
    <t>Willow Jack Gauntlets</t>
  </si>
  <si>
    <t>modules/a-knights-dream/Item/equip_armor_jack_gauntlets_willow.webp</t>
  </si>
  <si>
    <t>Willow Jack Greaves</t>
  </si>
  <si>
    <t>modules/a-knights-dream/Item/equip_armor_jack_greaves_willow.webp</t>
  </si>
  <si>
    <t>Willow Jack Helmet</t>
  </si>
  <si>
    <t>modules/a-knights-dream/Item/equip_armor_jack_helmet_willow.webp</t>
  </si>
  <si>
    <t>Willow Jack Pauldron</t>
  </si>
  <si>
    <t>modules/a-knights-dream/Item/equip_armor_jack_pauldron_willow.webp</t>
  </si>
  <si>
    <t>Willow Lamellar Cuirass</t>
  </si>
  <si>
    <t>modules/a-knights-dream/Item/equip_armor_lamellar_cuirass_willow.webp</t>
  </si>
  <si>
    <t>Willow Lamellar Gauntlets</t>
  </si>
  <si>
    <t>modules/a-knights-dream/Item/equip_armor_lamellar_gauntlets_willow.webp</t>
  </si>
  <si>
    <t>Willow Lamellar Greaves</t>
  </si>
  <si>
    <t>modules/a-knights-dream/Item/equip_armor_lamellar_greaves_willow.webp</t>
  </si>
  <si>
    <t>Willow Lamellar Helmet</t>
  </si>
  <si>
    <t>modules/a-knights-dream/Item/equip_armor_lamellar_helmet_willow.webp</t>
  </si>
  <si>
    <t>Willow Lamellar Pauldron</t>
  </si>
  <si>
    <t>modules/a-knights-dream/Item/equip_armor_lamellar_pauldron_willow.webp</t>
  </si>
  <si>
    <t>Willow Platemail Cuirass</t>
  </si>
  <si>
    <t>modules/a-knights-dream/Item/equip_armor_platemail_cuirass_willow.webp</t>
  </si>
  <si>
    <t>Willow Platemail Gauntlets</t>
  </si>
  <si>
    <t>modules/a-knights-dream/Item/equip_armor_platemail_gauntlets_willow.webp</t>
  </si>
  <si>
    <t>Willow Platemail Greaves</t>
  </si>
  <si>
    <t>modules/a-knights-dream/Item/equip_armor_platemail_greaves_willow.webp</t>
  </si>
  <si>
    <t>Willow Platemail Helmet</t>
  </si>
  <si>
    <t>modules/a-knights-dream/Item/equip_armor_platemail_helmet_willow.webp</t>
  </si>
  <si>
    <t>Willow Platemail Pauldron</t>
  </si>
  <si>
    <t>modules/a-knights-dream/Item/equip_armor_platemail_pauldron_willow.webp</t>
  </si>
  <si>
    <t>Willow Tunic Cuirass</t>
  </si>
  <si>
    <t>modules/a-knights-dream/Item/equip_armor_tunic_cuirass_willow.webp</t>
  </si>
  <si>
    <t>Willow Tunic Gauntlets</t>
  </si>
  <si>
    <t>modules/a-knights-dream/Item/equip_armor_tunic_gauntlets_willow.webp</t>
  </si>
  <si>
    <t>Willow Tunic Greaves</t>
  </si>
  <si>
    <t>modules/a-knights-dream/Item/equip_armor_tunic_greaves_willow.webp</t>
  </si>
  <si>
    <t>Willow Tunic Helmet</t>
  </si>
  <si>
    <t>modules/a-knights-dream/Item/equip_armor_tunic_helmet_willow.webp</t>
  </si>
  <si>
    <t>Willow Tunic Pauldron</t>
  </si>
  <si>
    <t>modules/a-knights-dream/Item/equip_armor_tunic_pauldron_willow.webp</t>
  </si>
  <si>
    <t>Willow Buckler Shield</t>
  </si>
  <si>
    <t>modules/a-knights-dream/Item/equip_armor_shield_buckler_willow.webp</t>
  </si>
  <si>
    <t>Willow Heater Shield</t>
  </si>
  <si>
    <t>modules/a-knights-dream/Item/equip_armor_shield_heater_willow.webp</t>
  </si>
  <si>
    <t>Willow Kite Shield</t>
  </si>
  <si>
    <t>modules/a-knights-dream/Item/equip_armor_shield_kite_willow.webp</t>
  </si>
  <si>
    <t>Willow Oval Shield</t>
  </si>
  <si>
    <t>modules/a-knights-dream/Item/equip_armor_shield_oval_willow.webp</t>
  </si>
  <si>
    <t>Willow Round Shield</t>
  </si>
  <si>
    <t>modules/a-knights-dream/Item/equip_armor_shield_round_willow.webp</t>
  </si>
  <si>
    <t>Willow Tower Shield</t>
  </si>
  <si>
    <t>modules/a-knights-dream/Item/equip_armor_shield_tower_willow.webp</t>
  </si>
  <si>
    <t>Yew</t>
  </si>
  <si>
    <t>Yew Ball Bearings</t>
  </si>
  <si>
    <t>modules/a-knights-dream/Item/equip_weapon_bearings_yew.webp</t>
  </si>
  <si>
    <t>Yew Bardiche</t>
  </si>
  <si>
    <t>modules/a-knights-dream/Item/equip_weapon_bardiche_yew.webp</t>
  </si>
  <si>
    <t>Yew Bastard Sword</t>
  </si>
  <si>
    <t>modules/a-knights-dream/Item/equip_weapon_sword_bastard_yew.webp</t>
  </si>
  <si>
    <t>Yew Battle Axe</t>
  </si>
  <si>
    <t>modules/a-knights-dream/Item/equip_weapon_axe_battle_yew.webp</t>
  </si>
  <si>
    <t>Yew Blowgun</t>
  </si>
  <si>
    <t>modules/a-knights-dream/Item/equip_weapon_blowgun_yew.webp</t>
  </si>
  <si>
    <t>Yew Bolt</t>
  </si>
  <si>
    <t>modules/a-knights-dream/Item/equip_weapon_bolt_yew.webp</t>
  </si>
  <si>
    <t>Yew Boomerang</t>
  </si>
  <si>
    <t>modules/a-knights-dream/Item/equip_weapon_boomerang_yew.webp</t>
  </si>
  <si>
    <t>Yew Bow</t>
  </si>
  <si>
    <t>modules/a-knights-dream/Item/equip_weapon_bow_yew.webp</t>
  </si>
  <si>
    <t>Yew Caltrops</t>
  </si>
  <si>
    <t>modules/a-knights-dream/Item/equip_weapon_caltrops_yew.webp</t>
  </si>
  <si>
    <t>Yew Cestus</t>
  </si>
  <si>
    <t>modules/a-knights-dream/Item/equip_weapon_cestus_yew.webp</t>
  </si>
  <si>
    <t>Yew Chain</t>
  </si>
  <si>
    <t>modules/a-knights-dream/Item/equip_weapon_chain_yew.webp</t>
  </si>
  <si>
    <t>Yew Claymore</t>
  </si>
  <si>
    <t>modules/a-knights-dream/Item/equip_weapon_claymore_yew.webp</t>
  </si>
  <si>
    <t>Yew Club</t>
  </si>
  <si>
    <t>modules/a-knights-dream/Item/equip_weapon_club_yew.webp</t>
  </si>
  <si>
    <t>Yew Compound Bow</t>
  </si>
  <si>
    <t>modules/a-knights-dream/Item/equip_weapon_bow_compound_yew.webp</t>
  </si>
  <si>
    <t>Yew Cutlass</t>
  </si>
  <si>
    <t>modules/a-knights-dream/Item/equip_weapon_cutlass_yew.webp</t>
  </si>
  <si>
    <t>Yew Dagger</t>
  </si>
  <si>
    <t>modules/a-knights-dream/Item/equip_weapon_dagger_yew.webp</t>
  </si>
  <si>
    <t>Yew Dart</t>
  </si>
  <si>
    <t>modules/a-knights-dream/Item/equip_weapon_dart_yew.webp</t>
  </si>
  <si>
    <t>Yew Fauchard Scythe</t>
  </si>
  <si>
    <t>modules/a-knights-dream/Item/equip_weapon_scythe_fauchard_yew.webp</t>
  </si>
  <si>
    <t>Yew Flail</t>
  </si>
  <si>
    <t>modules/a-knights-dream/Item/equip_weapon_flail_yew.webp</t>
  </si>
  <si>
    <t>Yew Glaive</t>
  </si>
  <si>
    <t>modules/a-knights-dream/Item/equip_weapon_glaive_yew.webp</t>
  </si>
  <si>
    <t>Yew Grapple Hook</t>
  </si>
  <si>
    <t>modules/a-knights-dream/Item/equip_weapon_hook_grapple_yew.webp</t>
  </si>
  <si>
    <t>Yew Great Axe</t>
  </si>
  <si>
    <t>modules/a-knights-dream/Item/equip_weapon_axe_great_yew.webp</t>
  </si>
  <si>
    <t>Yew Great Club</t>
  </si>
  <si>
    <t>modules/a-knights-dream/Item/equip_weapon_club_great_yew.webp</t>
  </si>
  <si>
    <t>Yew Great Khyber</t>
  </si>
  <si>
    <t>modules/a-knights-dream/Item/equip_weapon_khyber_great_yew.webp</t>
  </si>
  <si>
    <t>Yew Great Konda</t>
  </si>
  <si>
    <t>modules/a-knights-dream/Item/equip_weapon_konda_great_yew.webp</t>
  </si>
  <si>
    <t>Yew Great Labrys</t>
  </si>
  <si>
    <t>modules/a-knights-dream/Item/equip_weapon_axe_labrys_great_yew.webp</t>
  </si>
  <si>
    <t>Yew Great Mace</t>
  </si>
  <si>
    <t>modules/a-knights-dream/Item/equip_weapon_mace_great_yew.webp</t>
  </si>
  <si>
    <t>Yew Great Tapal</t>
  </si>
  <si>
    <t>modules/a-knights-dream/Item/equip_weapon_tapal_great_yew.webp</t>
  </si>
  <si>
    <t>Yew Great War Bow</t>
  </si>
  <si>
    <t>modules/a-knights-dream/Item/equip_weapon_bow_war_great_yew.webp</t>
  </si>
  <si>
    <t>Yew Great War Hammer</t>
  </si>
  <si>
    <t>modules/a-knights-dream/Item/equip_weapon_hammer_war_great_yew.webp</t>
  </si>
  <si>
    <t>Yew Great War Pick</t>
  </si>
  <si>
    <t>modules/a-knights-dream/Item/equip_weapon_pick_war_great_yew.webp</t>
  </si>
  <si>
    <t>Yew Guisarme</t>
  </si>
  <si>
    <t>modules/a-knights-dream/Item/equip_weapon_guisarme_yew.webp</t>
  </si>
  <si>
    <t>Yew Halberd</t>
  </si>
  <si>
    <t>modules/a-knights-dream/Item/equip_weapon_halberd_yew.webp</t>
  </si>
  <si>
    <t>Yew Hand Crossbow</t>
  </si>
  <si>
    <t>modules/a-knights-dream/Item/equip_weapon_crossbow_hand_yew.webp</t>
  </si>
  <si>
    <t>Yew Hand axe</t>
  </si>
  <si>
    <t>modules/a-knights-dream/Item/equip_weapon_axe_hand_yew.webp</t>
  </si>
  <si>
    <t>Yew Heavy Crossbow</t>
  </si>
  <si>
    <t>modules/a-knights-dream/Item/equip_weapon_crossbow_heavy_yew.webp</t>
  </si>
  <si>
    <t>Yew Hunting Trap</t>
  </si>
  <si>
    <t>modules/a-knights-dream/Item/equip_weapon_trap_hunting_yew.webp</t>
  </si>
  <si>
    <t>Yew Hunting Trap (Large)</t>
  </si>
  <si>
    <t>modules/a-knights-dream/Item/equip_weapon_trap_hunting_large_yew.webp</t>
  </si>
  <si>
    <t>Yew Hunting Trap (Small)</t>
  </si>
  <si>
    <t>modules/a-knights-dream/Item/equip_weapon_trap_hunting_small_yew.webp</t>
  </si>
  <si>
    <t>Yew Javelin</t>
  </si>
  <si>
    <t>modules/a-knights-dream/Item/equip_weapon_javelin_yew.webp</t>
  </si>
  <si>
    <t>Yew Khpesh</t>
  </si>
  <si>
    <t>modules/a-knights-dream/Item/equip_weapon_khpesh_yew.webp</t>
  </si>
  <si>
    <t>Yew Khyber</t>
  </si>
  <si>
    <t>modules/a-knights-dream/Item/equip_weapon_khyber_yew.webp</t>
  </si>
  <si>
    <t>Yew Konda</t>
  </si>
  <si>
    <t>modules/a-knights-dream/Item/equip_weapon_konda_yew.webp</t>
  </si>
  <si>
    <t>Yew Labrys</t>
  </si>
  <si>
    <t>modules/a-knights-dream/Item/equip_weapon_axe_labrys_yew.webp</t>
  </si>
  <si>
    <t>Yew Lance</t>
  </si>
  <si>
    <t>modules/a-knights-dream/Item/equip_weapon_lance_yew.webp</t>
  </si>
  <si>
    <t>Yew Light Crossbow</t>
  </si>
  <si>
    <t>modules/a-knights-dream/Item/equip_weapon_crossbow_light_yew.webp</t>
  </si>
  <si>
    <t>Yew Long Bow</t>
  </si>
  <si>
    <t>modules/a-knights-dream/Item/equip_weapon_bow_long_yew.webp</t>
  </si>
  <si>
    <t>Yew Long Spear</t>
  </si>
  <si>
    <t>modules/a-knights-dream/Item/equip_weapon_spear_long_yew.webp</t>
  </si>
  <si>
    <t>Yew Lucerince Hammer</t>
  </si>
  <si>
    <t>modules/a-knights-dream/Item/equip_weapon_hammer_lucerince_yew.webp</t>
  </si>
  <si>
    <t>Yew Mace</t>
  </si>
  <si>
    <t>modules/a-knights-dream/Item/equip_weapon_mace_yew.webp</t>
  </si>
  <si>
    <t>Yew Morningstar</t>
  </si>
  <si>
    <t>modules/a-knights-dream/Item/equip_weapon_morningstar_yew.webp</t>
  </si>
  <si>
    <t>Yew Pike</t>
  </si>
  <si>
    <t>modules/a-knights-dream/Item/equip_weapon_pike_yew.webp</t>
  </si>
  <si>
    <t>Yew Quarter Staff</t>
  </si>
  <si>
    <t>modules/a-knights-dream/Item/equip_weapon_staff_quarter_yew.webp</t>
  </si>
  <si>
    <t>Yew Ranseur</t>
  </si>
  <si>
    <t>modules/a-knights-dream/Item/equip_weapon_ranseur_yew.webp</t>
  </si>
  <si>
    <t>Yew Rapier</t>
  </si>
  <si>
    <t>modules/a-knights-dream/Item/equip_weapon_rapier_yew.webp</t>
  </si>
  <si>
    <t>Yew Recurve Bow</t>
  </si>
  <si>
    <t>modules/a-knights-dream/Item/equip_weapon_bow_recurve_yew.webp</t>
  </si>
  <si>
    <t>Yew Repeater Crossbow</t>
  </si>
  <si>
    <t>modules/a-knights-dream/Item/equip_weapon_crossbow_repeater_yew.webp</t>
  </si>
  <si>
    <t>Yew Sabre</t>
  </si>
  <si>
    <t>modules/a-knights-dream/Item/equip_weapon_sabre_yew.webp</t>
  </si>
  <si>
    <t>Yew Scimitar</t>
  </si>
  <si>
    <t>modules/a-knights-dream/Item/equip_weapon_scimitar_yew.webp</t>
  </si>
  <si>
    <t>Yew Scythe</t>
  </si>
  <si>
    <t>modules/a-knights-dream/Item/equip_weapon_scythe_yew.webp</t>
  </si>
  <si>
    <t>Yew Short Bow</t>
  </si>
  <si>
    <t>modules/a-knights-dream/Item/equip_weapon_bow_short_yew.webp</t>
  </si>
  <si>
    <t>Yew Short Spear</t>
  </si>
  <si>
    <t>modules/a-knights-dream/Item/equip_weapon_spear_short_yew.webp</t>
  </si>
  <si>
    <t>Yew Short Sword</t>
  </si>
  <si>
    <t>modules/a-knights-dream/Item/equip_weapon_sword_short_yew.webp</t>
  </si>
  <si>
    <t>Yew Shotel</t>
  </si>
  <si>
    <t>modules/a-knights-dream/Item/equip_weapon_shotel_yew.webp</t>
  </si>
  <si>
    <t>Yew Sickle</t>
  </si>
  <si>
    <t>modules/a-knights-dream/Item/equip_weapon_sickle_yew.webp</t>
  </si>
  <si>
    <t>Yew Sling</t>
  </si>
  <si>
    <t>modules/a-knights-dream/Item/equip_weapon_sling_yew.webp</t>
  </si>
  <si>
    <t>Yew Staff</t>
  </si>
  <si>
    <t>modules/a-knights-dream/Item/equip_weapon_staff_yew.webp</t>
  </si>
  <si>
    <t>Yew Staff Sling</t>
  </si>
  <si>
    <t>modules/a-knights-dream/Item/equip_weapon_sling_staff_yew.webp</t>
  </si>
  <si>
    <t>Yew Sword</t>
  </si>
  <si>
    <t>modules/a-knights-dream/Item/equip_weapon_sword_yew.webp</t>
  </si>
  <si>
    <t>Yew Tapal</t>
  </si>
  <si>
    <t>modules/a-knights-dream/Item/equip_weapon_tapal_yew.webp</t>
  </si>
  <si>
    <t>Yew Trident</t>
  </si>
  <si>
    <t>modules/a-knights-dream/Item/equip_weapon_trident_yew.webp</t>
  </si>
  <si>
    <t>Yew War Hammer</t>
  </si>
  <si>
    <t>modules/a-knights-dream/Item/equip_weapon_hammer_war_yew.webp</t>
  </si>
  <si>
    <t>Yew War Pick</t>
  </si>
  <si>
    <t>modules/a-knights-dream/Item/equip_weapon_pick_war_yew.webp</t>
  </si>
  <si>
    <t>Yew Brigantine Cuirass</t>
  </si>
  <si>
    <t>modules/a-knights-dream/Item/equip_armor_brigantine_cuirass_yew.webp</t>
  </si>
  <si>
    <t>Yew Brigantine Gauntlets</t>
  </si>
  <si>
    <t>modules/a-knights-dream/Item/equip_armor_brigantine_gauntlets_yew.webp</t>
  </si>
  <si>
    <t>Yew Brigantine Greaves</t>
  </si>
  <si>
    <t>modules/a-knights-dream/Item/equip_armor_brigantine_greaves_yew.webp</t>
  </si>
  <si>
    <t>Yew Brigantine Helmet</t>
  </si>
  <si>
    <t>modules/a-knights-dream/Item/equip_armor_brigantine_helmet_yew.webp</t>
  </si>
  <si>
    <t>Yew Brigantine Pauldron</t>
  </si>
  <si>
    <t>modules/a-knights-dream/Item/equip_armor_brigantine_pauldron_yew.webp</t>
  </si>
  <si>
    <t>Yew Chainmail Cuirass</t>
  </si>
  <si>
    <t>modules/a-knights-dream/Item/equip_armor_chainmail_cuirass_yew.webp</t>
  </si>
  <si>
    <t>Yew Chainmail Gauntlets</t>
  </si>
  <si>
    <t>modules/a-knights-dream/Item/equip_armor_chainmail_gauntlets_yew.webp</t>
  </si>
  <si>
    <t>Yew Chainmail Greaves</t>
  </si>
  <si>
    <t>modules/a-knights-dream/Item/equip_armor_chainmail_greaves_yew.webp</t>
  </si>
  <si>
    <t>Yew Chainmail Helmet</t>
  </si>
  <si>
    <t>modules/a-knights-dream/Item/equip_armor_chainmail_helmet_yew.webp</t>
  </si>
  <si>
    <t>Yew Chainmail Pauldron</t>
  </si>
  <si>
    <t>modules/a-knights-dream/Item/equip_armor_chainmail_pauldron_yew.webp</t>
  </si>
  <si>
    <t>Yew Gamberson Cuirass</t>
  </si>
  <si>
    <t>modules/a-knights-dream/Item/equip_armor_gamberson_cuirass_yew.webp</t>
  </si>
  <si>
    <t>Yew Gamberson Gauntlets</t>
  </si>
  <si>
    <t>modules/a-knights-dream/Item/equip_armor_gamberson_gauntlets_yew.webp</t>
  </si>
  <si>
    <t>Yew Gamberson Greaves</t>
  </si>
  <si>
    <t>modules/a-knights-dream/Item/equip_armor_gamberson_greaves_yew.webp</t>
  </si>
  <si>
    <t>Yew Gamberson Helmet</t>
  </si>
  <si>
    <t>modules/a-knights-dream/Item/equip_armor_gamberson_helmet_yew.webp</t>
  </si>
  <si>
    <t>Yew Gamberson Pauldron</t>
  </si>
  <si>
    <t>modules/a-knights-dream/Item/equip_armor_gamberson_pauldron_yew.webp</t>
  </si>
  <si>
    <t>Yew Hauberk Cuirass</t>
  </si>
  <si>
    <t>modules/a-knights-dream/Item/equip_armor_hauberk_cuirass_yew.webp</t>
  </si>
  <si>
    <t>Yew Hauberk Gauntlets</t>
  </si>
  <si>
    <t>modules/a-knights-dream/Item/equip_armor_hauberk_gauntlets_yew.webp</t>
  </si>
  <si>
    <t>Yew Hauberk Greaves</t>
  </si>
  <si>
    <t>modules/a-knights-dream/Item/equip_armor_hauberk_greaves_yew.webp</t>
  </si>
  <si>
    <t>Yew Hauberk Helmet</t>
  </si>
  <si>
    <t>modules/a-knights-dream/Item/equip_armor_hauberk_helmet_yew.webp</t>
  </si>
  <si>
    <t>Yew Hauberk Pauldron</t>
  </si>
  <si>
    <t>modules/a-knights-dream/Item/equip_armor_hauberk_pauldron_yew.webp</t>
  </si>
  <si>
    <t>Yew Jack Cuirass</t>
  </si>
  <si>
    <t>modules/a-knights-dream/Item/equip_armor_jack_cuirass_yew.webp</t>
  </si>
  <si>
    <t>Yew Jack Gauntlets</t>
  </si>
  <si>
    <t>modules/a-knights-dream/Item/equip_armor_jack_gauntlets_yew.webp</t>
  </si>
  <si>
    <t>Yew Jack Greaves</t>
  </si>
  <si>
    <t>modules/a-knights-dream/Item/equip_armor_jack_greaves_yew.webp</t>
  </si>
  <si>
    <t>Yew Jack Helmet</t>
  </si>
  <si>
    <t>modules/a-knights-dream/Item/equip_armor_jack_helmet_yew.webp</t>
  </si>
  <si>
    <t>Yew Jack Pauldron</t>
  </si>
  <si>
    <t>modules/a-knights-dream/Item/equip_armor_jack_pauldron_yew.webp</t>
  </si>
  <si>
    <t>Yew Lamellar Cuirass</t>
  </si>
  <si>
    <t>modules/a-knights-dream/Item/equip_armor_lamellar_cuirass_yew.webp</t>
  </si>
  <si>
    <t>Yew Lamellar Gauntlets</t>
  </si>
  <si>
    <t>modules/a-knights-dream/Item/equip_armor_lamellar_gauntlets_yew.webp</t>
  </si>
  <si>
    <t>Yew Lamellar Greaves</t>
  </si>
  <si>
    <t>modules/a-knights-dream/Item/equip_armor_lamellar_greaves_yew.webp</t>
  </si>
  <si>
    <t>Yew Lamellar Helmet</t>
  </si>
  <si>
    <t>modules/a-knights-dream/Item/equip_armor_lamellar_helmet_yew.webp</t>
  </si>
  <si>
    <t>Yew Lamellar Pauldron</t>
  </si>
  <si>
    <t>modules/a-knights-dream/Item/equip_armor_lamellar_pauldron_yew.webp</t>
  </si>
  <si>
    <t>Yew Platemail Cuirass</t>
  </si>
  <si>
    <t>modules/a-knights-dream/Item/equip_armor_platemail_cuirass_yew.webp</t>
  </si>
  <si>
    <t>Yew Platemail Gauntlets</t>
  </si>
  <si>
    <t>modules/a-knights-dream/Item/equip_armor_platemail_gauntlets_yew.webp</t>
  </si>
  <si>
    <t>Yew Platemail Greaves</t>
  </si>
  <si>
    <t>modules/a-knights-dream/Item/equip_armor_platemail_greaves_yew.webp</t>
  </si>
  <si>
    <t>Yew Platemail Helmet</t>
  </si>
  <si>
    <t>modules/a-knights-dream/Item/equip_armor_platemail_helmet_yew.webp</t>
  </si>
  <si>
    <t>Yew Platemail Pauldron</t>
  </si>
  <si>
    <t>modules/a-knights-dream/Item/equip_armor_platemail_pauldron_yew.webp</t>
  </si>
  <si>
    <t>Yew Tunic Cuirass</t>
  </si>
  <si>
    <t>modules/a-knights-dream/Item/equip_armor_tunic_cuirass_yew.webp</t>
  </si>
  <si>
    <t>Yew Tunic Gauntlets</t>
  </si>
  <si>
    <t>modules/a-knights-dream/Item/equip_armor_tunic_gauntlets_yew.webp</t>
  </si>
  <si>
    <t>Yew Tunic Greaves</t>
  </si>
  <si>
    <t>modules/a-knights-dream/Item/equip_armor_tunic_greaves_yew.webp</t>
  </si>
  <si>
    <t>Yew Tunic Helmet</t>
  </si>
  <si>
    <t>modules/a-knights-dream/Item/equip_armor_tunic_helmet_yew.webp</t>
  </si>
  <si>
    <t>Yew Tunic Pauldron</t>
  </si>
  <si>
    <t>modules/a-knights-dream/Item/equip_armor_tunic_pauldron_yew.webp</t>
  </si>
  <si>
    <t>Yew Buckler Shield</t>
  </si>
  <si>
    <t>modules/a-knights-dream/Item/equip_armor_shield_buckler_yew.webp</t>
  </si>
  <si>
    <t>Yew Heater Shield</t>
  </si>
  <si>
    <t>modules/a-knights-dream/Item/equip_armor_shield_heater_yew.webp</t>
  </si>
  <si>
    <t>Yew Kite Shield</t>
  </si>
  <si>
    <t>modules/a-knights-dream/Item/equip_armor_shield_kite_yew.webp</t>
  </si>
  <si>
    <t>Yew Oval Shield</t>
  </si>
  <si>
    <t>modules/a-knights-dream/Item/equip_armor_shield_oval_yew.webp</t>
  </si>
  <si>
    <t>Yew Round Shield</t>
  </si>
  <si>
    <t>modules/a-knights-dream/Item/equip_armor_shield_round_yew.webp</t>
  </si>
  <si>
    <t>Yew Tower Shield</t>
  </si>
  <si>
    <t>modules/a-knights-dream/Item/equip_armor_shield_tower_yew.webp</t>
  </si>
  <si>
    <t>siverood</t>
  </si>
  <si>
    <t>siverood Ball Bearings</t>
  </si>
  <si>
    <t>modules/a-knights-dream/Item/equip_weapon_bearings_siverood.webp</t>
  </si>
  <si>
    <t>siverood Bardiche</t>
  </si>
  <si>
    <t>modules/a-knights-dream/Item/equip_weapon_bardiche_siverood.webp</t>
  </si>
  <si>
    <t>siverood Bastard Sword</t>
  </si>
  <si>
    <t>modules/a-knights-dream/Item/equip_weapon_sword_bastard_siverood.webp</t>
  </si>
  <si>
    <t>siverood Battle Axe</t>
  </si>
  <si>
    <t>modules/a-knights-dream/Item/equip_weapon_axe_battle_siverood.webp</t>
  </si>
  <si>
    <t>siverood Blowgun</t>
  </si>
  <si>
    <t>modules/a-knights-dream/Item/equip_weapon_blowgun_siverood.webp</t>
  </si>
  <si>
    <t>siverood Bolt</t>
  </si>
  <si>
    <t>modules/a-knights-dream/Item/equip_weapon_bolt_siverood.webp</t>
  </si>
  <si>
    <t>siverood Boomerang</t>
  </si>
  <si>
    <t>modules/a-knights-dream/Item/equip_weapon_boomerang_siverood.webp</t>
  </si>
  <si>
    <t>siverood Bow</t>
  </si>
  <si>
    <t>modules/a-knights-dream/Item/equip_weapon_bow_siverood.webp</t>
  </si>
  <si>
    <t>siverood Caltrops</t>
  </si>
  <si>
    <t>modules/a-knights-dream/Item/equip_weapon_caltrops_siverood.webp</t>
  </si>
  <si>
    <t>siverood Cestus</t>
  </si>
  <si>
    <t>modules/a-knights-dream/Item/equip_weapon_cestus_siverood.webp</t>
  </si>
  <si>
    <t>siverood Chain</t>
  </si>
  <si>
    <t>modules/a-knights-dream/Item/equip_weapon_chain_siverood.webp</t>
  </si>
  <si>
    <t>siverood Claymore</t>
  </si>
  <si>
    <t>modules/a-knights-dream/Item/equip_weapon_claymore_siverood.webp</t>
  </si>
  <si>
    <t>siverood Club</t>
  </si>
  <si>
    <t>modules/a-knights-dream/Item/equip_weapon_club_siverood.webp</t>
  </si>
  <si>
    <t>siverood Compound Bow</t>
  </si>
  <si>
    <t>modules/a-knights-dream/Item/equip_weapon_bow_compound_siverood.webp</t>
  </si>
  <si>
    <t>siverood Cutlass</t>
  </si>
  <si>
    <t>modules/a-knights-dream/Item/equip_weapon_cutlass_siverood.webp</t>
  </si>
  <si>
    <t>siverood Dagger</t>
  </si>
  <si>
    <t>modules/a-knights-dream/Item/equip_weapon_dagger_siverood.webp</t>
  </si>
  <si>
    <t>siverood Dart</t>
  </si>
  <si>
    <t>modules/a-knights-dream/Item/equip_weapon_dart_siverood.webp</t>
  </si>
  <si>
    <t>siverood Fauchard Scythe</t>
  </si>
  <si>
    <t>modules/a-knights-dream/Item/equip_weapon_scythe_fauchard_siverood.webp</t>
  </si>
  <si>
    <t>siverood Flail</t>
  </si>
  <si>
    <t>modules/a-knights-dream/Item/equip_weapon_flail_siverood.webp</t>
  </si>
  <si>
    <t>siverood Glaive</t>
  </si>
  <si>
    <t>modules/a-knights-dream/Item/equip_weapon_glaive_siverood.webp</t>
  </si>
  <si>
    <t>siverood Grapple Hook</t>
  </si>
  <si>
    <t>modules/a-knights-dream/Item/equip_weapon_hook_grapple_siverood.webp</t>
  </si>
  <si>
    <t>siverood Great Axe</t>
  </si>
  <si>
    <t>modules/a-knights-dream/Item/equip_weapon_axe_great_siverood.webp</t>
  </si>
  <si>
    <t>siverood Great Club</t>
  </si>
  <si>
    <t>modules/a-knights-dream/Item/equip_weapon_club_great_siverood.webp</t>
  </si>
  <si>
    <t>siverood Great Khyber</t>
  </si>
  <si>
    <t>modules/a-knights-dream/Item/equip_weapon_khyber_great_siverood.webp</t>
  </si>
  <si>
    <t>siverood Great Konda</t>
  </si>
  <si>
    <t>modules/a-knights-dream/Item/equip_weapon_konda_great_siverood.webp</t>
  </si>
  <si>
    <t>siverood Great Labrys</t>
  </si>
  <si>
    <t>modules/a-knights-dream/Item/equip_weapon_axe_labrys_great_siverood.webp</t>
  </si>
  <si>
    <t>siverood Great Mace</t>
  </si>
  <si>
    <t>modules/a-knights-dream/Item/equip_weapon_mace_great_siverood.webp</t>
  </si>
  <si>
    <t>siverood Great Tapal</t>
  </si>
  <si>
    <t>modules/a-knights-dream/Item/equip_weapon_tapal_great_siverood.webp</t>
  </si>
  <si>
    <t>siverood Great War Bow</t>
  </si>
  <si>
    <t>modules/a-knights-dream/Item/equip_weapon_bow_war_great_siverood.webp</t>
  </si>
  <si>
    <t>siverood Great War Hammer</t>
  </si>
  <si>
    <t>modules/a-knights-dream/Item/equip_weapon_hammer_war_great_siverood.webp</t>
  </si>
  <si>
    <t>siverood Great War Pick</t>
  </si>
  <si>
    <t>modules/a-knights-dream/Item/equip_weapon_pick_war_great_siverood.webp</t>
  </si>
  <si>
    <t>siverood Guisarme</t>
  </si>
  <si>
    <t>modules/a-knights-dream/Item/equip_weapon_guisarme_siverood.webp</t>
  </si>
  <si>
    <t>siverood Halberd</t>
  </si>
  <si>
    <t>modules/a-knights-dream/Item/equip_weapon_halberd_siverood.webp</t>
  </si>
  <si>
    <t>siverood Hand Crossbow</t>
  </si>
  <si>
    <t>modules/a-knights-dream/Item/equip_weapon_crossbow_hand_siverood.webp</t>
  </si>
  <si>
    <t>siverood Hand axe</t>
  </si>
  <si>
    <t>modules/a-knights-dream/Item/equip_weapon_axe_hand_siverood.webp</t>
  </si>
  <si>
    <t>siverood Heavy Crossbow</t>
  </si>
  <si>
    <t>modules/a-knights-dream/Item/equip_weapon_crossbow_heavy_siverood.webp</t>
  </si>
  <si>
    <t>siverood Hunting Trap</t>
  </si>
  <si>
    <t>modules/a-knights-dream/Item/equip_weapon_trap_hunting_siverood.webp</t>
  </si>
  <si>
    <t>siverood Hunting Trap (Large)</t>
  </si>
  <si>
    <t>modules/a-knights-dream/Item/equip_weapon_trap_hunting_large_siverood.webp</t>
  </si>
  <si>
    <t>siverood Hunting Trap (Small)</t>
  </si>
  <si>
    <t>modules/a-knights-dream/Item/equip_weapon_trap_hunting_small_siverood.webp</t>
  </si>
  <si>
    <t>siverood Javelin</t>
  </si>
  <si>
    <t>modules/a-knights-dream/Item/equip_weapon_javelin_siverood.webp</t>
  </si>
  <si>
    <t>siverood Khpesh</t>
  </si>
  <si>
    <t>modules/a-knights-dream/Item/equip_weapon_khpesh_siverood.webp</t>
  </si>
  <si>
    <t>siverood Khyber</t>
  </si>
  <si>
    <t>modules/a-knights-dream/Item/equip_weapon_khyber_siverood.webp</t>
  </si>
  <si>
    <t>siverood Konda</t>
  </si>
  <si>
    <t>modules/a-knights-dream/Item/equip_weapon_konda_siverood.webp</t>
  </si>
  <si>
    <t>siverood Labrys</t>
  </si>
  <si>
    <t>modules/a-knights-dream/Item/equip_weapon_axe_labrys_siverood.webp</t>
  </si>
  <si>
    <t>siverood Lance</t>
  </si>
  <si>
    <t>modules/a-knights-dream/Item/equip_weapon_lance_siverood.webp</t>
  </si>
  <si>
    <t>siverood Light Crossbow</t>
  </si>
  <si>
    <t>modules/a-knights-dream/Item/equip_weapon_crossbow_light_siverood.webp</t>
  </si>
  <si>
    <t>siverood Long Bow</t>
  </si>
  <si>
    <t>modules/a-knights-dream/Item/equip_weapon_bow_long_siverood.webp</t>
  </si>
  <si>
    <t>siverood Long Spear</t>
  </si>
  <si>
    <t>modules/a-knights-dream/Item/equip_weapon_spear_long_siverood.webp</t>
  </si>
  <si>
    <t>siverood Lucerince Hammer</t>
  </si>
  <si>
    <t>modules/a-knights-dream/Item/equip_weapon_hammer_lucerince_siverood.webp</t>
  </si>
  <si>
    <t>siverood Mace</t>
  </si>
  <si>
    <t>modules/a-knights-dream/Item/equip_weapon_mace_siverood.webp</t>
  </si>
  <si>
    <t>siverood Morningstar</t>
  </si>
  <si>
    <t>modules/a-knights-dream/Item/equip_weapon_morningstar_siverood.webp</t>
  </si>
  <si>
    <t>siverood Pike</t>
  </si>
  <si>
    <t>modules/a-knights-dream/Item/equip_weapon_pike_siverood.webp</t>
  </si>
  <si>
    <t>siverood Quarter Staff</t>
  </si>
  <si>
    <t>modules/a-knights-dream/Item/equip_weapon_staff_quarter_siverood.webp</t>
  </si>
  <si>
    <t>siverood Ranseur</t>
  </si>
  <si>
    <t>modules/a-knights-dream/Item/equip_weapon_ranseur_siverood.webp</t>
  </si>
  <si>
    <t>siverood Rapier</t>
  </si>
  <si>
    <t>modules/a-knights-dream/Item/equip_weapon_rapier_siverood.webp</t>
  </si>
  <si>
    <t>siverood Recurve Bow</t>
  </si>
  <si>
    <t>modules/a-knights-dream/Item/equip_weapon_bow_recurve_siverood.webp</t>
  </si>
  <si>
    <t>siverood Repeater Crossbow</t>
  </si>
  <si>
    <t>modules/a-knights-dream/Item/equip_weapon_crossbow_repeater_siverood.webp</t>
  </si>
  <si>
    <t>siverood Sabre</t>
  </si>
  <si>
    <t>modules/a-knights-dream/Item/equip_weapon_sabre_siverood.webp</t>
  </si>
  <si>
    <t>siverood Scimitar</t>
  </si>
  <si>
    <t>modules/a-knights-dream/Item/equip_weapon_scimitar_siverood.webp</t>
  </si>
  <si>
    <t>siverood Scythe</t>
  </si>
  <si>
    <t>modules/a-knights-dream/Item/equip_weapon_scythe_siverood.webp</t>
  </si>
  <si>
    <t>siverood Short Bow</t>
  </si>
  <si>
    <t>modules/a-knights-dream/Item/equip_weapon_bow_short_siverood.webp</t>
  </si>
  <si>
    <t>siverood Short Spear</t>
  </si>
  <si>
    <t>modules/a-knights-dream/Item/equip_weapon_spear_short_siverood.webp</t>
  </si>
  <si>
    <t>siverood Short Sword</t>
  </si>
  <si>
    <t>modules/a-knights-dream/Item/equip_weapon_sword_short_siverood.webp</t>
  </si>
  <si>
    <t>siverood Shotel</t>
  </si>
  <si>
    <t>modules/a-knights-dream/Item/equip_weapon_shotel_siverood.webp</t>
  </si>
  <si>
    <t>siverood Sickle</t>
  </si>
  <si>
    <t>modules/a-knights-dream/Item/equip_weapon_sickle_siverood.webp</t>
  </si>
  <si>
    <t>siverood Sling</t>
  </si>
  <si>
    <t>modules/a-knights-dream/Item/equip_weapon_sling_siverood.webp</t>
  </si>
  <si>
    <t>siverood Staff</t>
  </si>
  <si>
    <t>modules/a-knights-dream/Item/equip_weapon_staff_siverood.webp</t>
  </si>
  <si>
    <t>siverood Staff Sling</t>
  </si>
  <si>
    <t>modules/a-knights-dream/Item/equip_weapon_sling_staff_siverood.webp</t>
  </si>
  <si>
    <t>siverood Sword</t>
  </si>
  <si>
    <t>modules/a-knights-dream/Item/equip_weapon_sword_siverood.webp</t>
  </si>
  <si>
    <t>siverood Tapal</t>
  </si>
  <si>
    <t>modules/a-knights-dream/Item/equip_weapon_tapal_siverood.webp</t>
  </si>
  <si>
    <t>siverood Trident</t>
  </si>
  <si>
    <t>modules/a-knights-dream/Item/equip_weapon_trident_siverood.webp</t>
  </si>
  <si>
    <t>siverood War Hammer</t>
  </si>
  <si>
    <t>modules/a-knights-dream/Item/equip_weapon_hammer_war_siverood.webp</t>
  </si>
  <si>
    <t>siverood War Pick</t>
  </si>
  <si>
    <t>modules/a-knights-dream/Item/equip_weapon_pick_war_siverood.webp</t>
  </si>
  <si>
    <t>siverood Brigantine Cuirass</t>
  </si>
  <si>
    <t>modules/a-knights-dream/Item/equip_armor_brigantine_cuirass_siverood.webp</t>
  </si>
  <si>
    <t>siverood Brigantine Gauntlets</t>
  </si>
  <si>
    <t>modules/a-knights-dream/Item/equip_armor_brigantine_gauntlets_siverood.webp</t>
  </si>
  <si>
    <t>siverood Brigantine Greaves</t>
  </si>
  <si>
    <t>modules/a-knights-dream/Item/equip_armor_brigantine_greaves_siverood.webp</t>
  </si>
  <si>
    <t>siverood Brigantine Helmet</t>
  </si>
  <si>
    <t>modules/a-knights-dream/Item/equip_armor_brigantine_helmet_siverood.webp</t>
  </si>
  <si>
    <t>siverood Brigantine Pauldron</t>
  </si>
  <si>
    <t>modules/a-knights-dream/Item/equip_armor_brigantine_pauldron_siverood.webp</t>
  </si>
  <si>
    <t>siverood Chainmail Cuirass</t>
  </si>
  <si>
    <t>modules/a-knights-dream/Item/equip_armor_chainmail_cuirass_siverood.webp</t>
  </si>
  <si>
    <t>siverood Chainmail Gauntlets</t>
  </si>
  <si>
    <t>modules/a-knights-dream/Item/equip_armor_chainmail_gauntlets_siverood.webp</t>
  </si>
  <si>
    <t>siverood Chainmail Greaves</t>
  </si>
  <si>
    <t>modules/a-knights-dream/Item/equip_armor_chainmail_greaves_siverood.webp</t>
  </si>
  <si>
    <t>siverood Chainmail Helmet</t>
  </si>
  <si>
    <t>modules/a-knights-dream/Item/equip_armor_chainmail_helmet_siverood.webp</t>
  </si>
  <si>
    <t>siverood Chainmail Pauldron</t>
  </si>
  <si>
    <t>modules/a-knights-dream/Item/equip_armor_chainmail_pauldron_siverood.webp</t>
  </si>
  <si>
    <t>siverood Gamberson Cuirass</t>
  </si>
  <si>
    <t>modules/a-knights-dream/Item/equip_armor_gamberson_cuirass_siverood.webp</t>
  </si>
  <si>
    <t>siverood Gamberson Gauntlets</t>
  </si>
  <si>
    <t>modules/a-knights-dream/Item/equip_armor_gamberson_gauntlets_siverood.webp</t>
  </si>
  <si>
    <t>siverood Gamberson Greaves</t>
  </si>
  <si>
    <t>modules/a-knights-dream/Item/equip_armor_gamberson_greaves_siverood.webp</t>
  </si>
  <si>
    <t>siverood Gamberson Helmet</t>
  </si>
  <si>
    <t>modules/a-knights-dream/Item/equip_armor_gamberson_helmet_siverood.webp</t>
  </si>
  <si>
    <t>siverood Gamberson Pauldron</t>
  </si>
  <si>
    <t>modules/a-knights-dream/Item/equip_armor_gamberson_pauldron_siverood.webp</t>
  </si>
  <si>
    <t>siverood Hauberk Cuirass</t>
  </si>
  <si>
    <t>modules/a-knights-dream/Item/equip_armor_hauberk_cuirass_siverood.webp</t>
  </si>
  <si>
    <t>siverood Hauberk Gauntlets</t>
  </si>
  <si>
    <t>modules/a-knights-dream/Item/equip_armor_hauberk_gauntlets_siverood.webp</t>
  </si>
  <si>
    <t>siverood Hauberk Greaves</t>
  </si>
  <si>
    <t>modules/a-knights-dream/Item/equip_armor_hauberk_greaves_siverood.webp</t>
  </si>
  <si>
    <t>siverood Hauberk Helmet</t>
  </si>
  <si>
    <t>modules/a-knights-dream/Item/equip_armor_hauberk_helmet_siverood.webp</t>
  </si>
  <si>
    <t>siverood Hauberk Pauldron</t>
  </si>
  <si>
    <t>modules/a-knights-dream/Item/equip_armor_hauberk_pauldron_siverood.webp</t>
  </si>
  <si>
    <t>siverood Jack Cuirass</t>
  </si>
  <si>
    <t>modules/a-knights-dream/Item/equip_armor_jack_cuirass_siverood.webp</t>
  </si>
  <si>
    <t>siverood Jack Gauntlets</t>
  </si>
  <si>
    <t>modules/a-knights-dream/Item/equip_armor_jack_gauntlets_siverood.webp</t>
  </si>
  <si>
    <t>siverood Jack Greaves</t>
  </si>
  <si>
    <t>modules/a-knights-dream/Item/equip_armor_jack_greaves_siverood.webp</t>
  </si>
  <si>
    <t>siverood Jack Helmet</t>
  </si>
  <si>
    <t>modules/a-knights-dream/Item/equip_armor_jack_helmet_siverood.webp</t>
  </si>
  <si>
    <t>siverood Jack Pauldron</t>
  </si>
  <si>
    <t>modules/a-knights-dream/Item/equip_armor_jack_pauldron_siverood.webp</t>
  </si>
  <si>
    <t>siverood Lamellar Cuirass</t>
  </si>
  <si>
    <t>modules/a-knights-dream/Item/equip_armor_lamellar_cuirass_siverood.webp</t>
  </si>
  <si>
    <t>siverood Lamellar Gauntlets</t>
  </si>
  <si>
    <t>modules/a-knights-dream/Item/equip_armor_lamellar_gauntlets_siverood.webp</t>
  </si>
  <si>
    <t>siverood Lamellar Greaves</t>
  </si>
  <si>
    <t>modules/a-knights-dream/Item/equip_armor_lamellar_greaves_siverood.webp</t>
  </si>
  <si>
    <t>siverood Lamellar Helmet</t>
  </si>
  <si>
    <t>modules/a-knights-dream/Item/equip_armor_lamellar_helmet_siverood.webp</t>
  </si>
  <si>
    <t>siverood Lamellar Pauldron</t>
  </si>
  <si>
    <t>modules/a-knights-dream/Item/equip_armor_lamellar_pauldron_siverood.webp</t>
  </si>
  <si>
    <t>siverood Platemail Cuirass</t>
  </si>
  <si>
    <t>modules/a-knights-dream/Item/equip_armor_platemail_cuirass_siverood.webp</t>
  </si>
  <si>
    <t>siverood Platemail Gauntlets</t>
  </si>
  <si>
    <t>modules/a-knights-dream/Item/equip_armor_platemail_gauntlets_siverood.webp</t>
  </si>
  <si>
    <t>siverood Platemail Greaves</t>
  </si>
  <si>
    <t>modules/a-knights-dream/Item/equip_armor_platemail_greaves_siverood.webp</t>
  </si>
  <si>
    <t>siverood Platemail Helmet</t>
  </si>
  <si>
    <t>modules/a-knights-dream/Item/equip_armor_platemail_helmet_siverood.webp</t>
  </si>
  <si>
    <t>siverood Platemail Pauldron</t>
  </si>
  <si>
    <t>modules/a-knights-dream/Item/equip_armor_platemail_pauldron_siverood.webp</t>
  </si>
  <si>
    <t>siverood Tunic Cuirass</t>
  </si>
  <si>
    <t>modules/a-knights-dream/Item/equip_armor_tunic_cuirass_siverood.webp</t>
  </si>
  <si>
    <t>siverood Tunic Gauntlets</t>
  </si>
  <si>
    <t>modules/a-knights-dream/Item/equip_armor_tunic_gauntlets_siverood.webp</t>
  </si>
  <si>
    <t>siverood Tunic Greaves</t>
  </si>
  <si>
    <t>modules/a-knights-dream/Item/equip_armor_tunic_greaves_siverood.webp</t>
  </si>
  <si>
    <t>siverood Tunic Helmet</t>
  </si>
  <si>
    <t>modules/a-knights-dream/Item/equip_armor_tunic_helmet_siverood.webp</t>
  </si>
  <si>
    <t>siverood Tunic Pauldron</t>
  </si>
  <si>
    <t>modules/a-knights-dream/Item/equip_armor_tunic_pauldron_siverood.webp</t>
  </si>
  <si>
    <t>siverood Buckler Shield</t>
  </si>
  <si>
    <t>modules/a-knights-dream/Item/equip_armor_shield_buckler_siverood.webp</t>
  </si>
  <si>
    <t>siverood Heater Shield</t>
  </si>
  <si>
    <t>modules/a-knights-dream/Item/equip_armor_shield_heater_siverood.webp</t>
  </si>
  <si>
    <t>siverood Kite Shield</t>
  </si>
  <si>
    <t>modules/a-knights-dream/Item/equip_armor_shield_kite_siverood.webp</t>
  </si>
  <si>
    <t>siverood Oval Shield</t>
  </si>
  <si>
    <t>modules/a-knights-dream/Item/equip_armor_shield_oval_siverood.webp</t>
  </si>
  <si>
    <t>siverood Round Shield</t>
  </si>
  <si>
    <t>modules/a-knights-dream/Item/equip_armor_shield_round_siverood.webp</t>
  </si>
  <si>
    <t>siverood Tower Shield</t>
  </si>
  <si>
    <t>modules/a-knights-dream/Item/equip_armor_shield_tower_siverood.webp</t>
  </si>
  <si>
    <t>Blueice</t>
  </si>
  <si>
    <t>Blueice Ball Bearings</t>
  </si>
  <si>
    <t>modules/a-knights-dream/Item/equip_weapon_bearings_blueice.webp</t>
  </si>
  <si>
    <t>Blueice Bardiche</t>
  </si>
  <si>
    <t>modules/a-knights-dream/Item/equip_weapon_bardiche_blueice.webp</t>
  </si>
  <si>
    <t>Blueice Bastard Sword</t>
  </si>
  <si>
    <t>modules/a-knights-dream/Item/equip_weapon_sword_bastard_blueice.webp</t>
  </si>
  <si>
    <t>Blueice Battle Axe</t>
  </si>
  <si>
    <t>modules/a-knights-dream/Item/equip_weapon_axe_battle_blueice.webp</t>
  </si>
  <si>
    <t>Blueice Blowgun</t>
  </si>
  <si>
    <t>modules/a-knights-dream/Item/equip_weapon_blowgun_blueice.webp</t>
  </si>
  <si>
    <t>Blueice Bolt</t>
  </si>
  <si>
    <t>modules/a-knights-dream/Item/equip_weapon_bolt_blueice.webp</t>
  </si>
  <si>
    <t>Blueice Boomerang</t>
  </si>
  <si>
    <t>modules/a-knights-dream/Item/equip_weapon_boomerang_blueice.webp</t>
  </si>
  <si>
    <t>Blueice Bow</t>
  </si>
  <si>
    <t>modules/a-knights-dream/Item/equip_weapon_bow_blueice.webp</t>
  </si>
  <si>
    <t>Blueice Caltrops</t>
  </si>
  <si>
    <t>modules/a-knights-dream/Item/equip_weapon_caltrops_blueice.webp</t>
  </si>
  <si>
    <t>Blueice Cestus</t>
  </si>
  <si>
    <t>modules/a-knights-dream/Item/equip_weapon_cestus_blueice.webp</t>
  </si>
  <si>
    <t>Blueice Chain</t>
  </si>
  <si>
    <t>modules/a-knights-dream/Item/equip_weapon_chain_blueice.webp</t>
  </si>
  <si>
    <t>Blueice Claymore</t>
  </si>
  <si>
    <t>modules/a-knights-dream/Item/equip_weapon_claymore_blueice.webp</t>
  </si>
  <si>
    <t>Blueice Club</t>
  </si>
  <si>
    <t>modules/a-knights-dream/Item/equip_weapon_club_blueice.webp</t>
  </si>
  <si>
    <t>Blueice Compound Bow</t>
  </si>
  <si>
    <t>modules/a-knights-dream/Item/equip_weapon_bow_compound_blueice.webp</t>
  </si>
  <si>
    <t>Blueice Cutlass</t>
  </si>
  <si>
    <t>modules/a-knights-dream/Item/equip_weapon_cutlass_blueice.webp</t>
  </si>
  <si>
    <t>Blueice Dagger</t>
  </si>
  <si>
    <t>modules/a-knights-dream/Item/equip_weapon_dagger_blueice.webp</t>
  </si>
  <si>
    <t>Blueice Dart</t>
  </si>
  <si>
    <t>modules/a-knights-dream/Item/equip_weapon_dart_blueice.webp</t>
  </si>
  <si>
    <t>Blueice Fauchard Scythe</t>
  </si>
  <si>
    <t>modules/a-knights-dream/Item/equip_weapon_scythe_fauchard_blueice.webp</t>
  </si>
  <si>
    <t>Blueice Flail</t>
  </si>
  <si>
    <t>modules/a-knights-dream/Item/equip_weapon_flail_blueice.webp</t>
  </si>
  <si>
    <t>Blueice Glaive</t>
  </si>
  <si>
    <t>modules/a-knights-dream/Item/equip_weapon_glaive_blueice.webp</t>
  </si>
  <si>
    <t>Blueice Grapple Hook</t>
  </si>
  <si>
    <t>modules/a-knights-dream/Item/equip_weapon_hook_grapple_blueice.webp</t>
  </si>
  <si>
    <t>Blueice Great Axe</t>
  </si>
  <si>
    <t>modules/a-knights-dream/Item/equip_weapon_axe_great_blueice.webp</t>
  </si>
  <si>
    <t>Blueice Great Club</t>
  </si>
  <si>
    <t>modules/a-knights-dream/Item/equip_weapon_club_great_blueice.webp</t>
  </si>
  <si>
    <t>Blueice Great Khyber</t>
  </si>
  <si>
    <t>modules/a-knights-dream/Item/equip_weapon_khyber_great_blueice.webp</t>
  </si>
  <si>
    <t>Blueice Great Konda</t>
  </si>
  <si>
    <t>modules/a-knights-dream/Item/equip_weapon_konda_great_blueice.webp</t>
  </si>
  <si>
    <t>Blueice Great Labrys</t>
  </si>
  <si>
    <t>modules/a-knights-dream/Item/equip_weapon_axe_labrys_great_blueice.webp</t>
  </si>
  <si>
    <t>Blueice Great Mace</t>
  </si>
  <si>
    <t>modules/a-knights-dream/Item/equip_weapon_mace_great_blueice.webp</t>
  </si>
  <si>
    <t>Blueice Great Tapal</t>
  </si>
  <si>
    <t>modules/a-knights-dream/Item/equip_weapon_tapal_great_blueice.webp</t>
  </si>
  <si>
    <t>Blueice Great War Bow</t>
  </si>
  <si>
    <t>modules/a-knights-dream/Item/equip_weapon_bow_war_great_blueice.webp</t>
  </si>
  <si>
    <t>Blueice Great War Hammer</t>
  </si>
  <si>
    <t>modules/a-knights-dream/Item/equip_weapon_hammer_war_great_blueice.webp</t>
  </si>
  <si>
    <t>Blueice Great War Pick</t>
  </si>
  <si>
    <t>modules/a-knights-dream/Item/equip_weapon_pick_war_great_blueice.webp</t>
  </si>
  <si>
    <t>Blueice Guisarme</t>
  </si>
  <si>
    <t>modules/a-knights-dream/Item/equip_weapon_guisarme_blueice.webp</t>
  </si>
  <si>
    <t>Blueice Halberd</t>
  </si>
  <si>
    <t>modules/a-knights-dream/Item/equip_weapon_halberd_blueice.webp</t>
  </si>
  <si>
    <t>Blueice Hand Crossbow</t>
  </si>
  <si>
    <t>modules/a-knights-dream/Item/equip_weapon_crossbow_hand_blueice.webp</t>
  </si>
  <si>
    <t>Blueice Hand axe</t>
  </si>
  <si>
    <t>modules/a-knights-dream/Item/equip_weapon_axe_hand_blueice.webp</t>
  </si>
  <si>
    <t>Blueice Heavy Crossbow</t>
  </si>
  <si>
    <t>modules/a-knights-dream/Item/equip_weapon_crossbow_heavy_blueice.webp</t>
  </si>
  <si>
    <t>Blueice Hunting Trap</t>
  </si>
  <si>
    <t>modules/a-knights-dream/Item/equip_weapon_trap_hunting_blueice.webp</t>
  </si>
  <si>
    <t>Blueice Hunting Trap (Large)</t>
  </si>
  <si>
    <t>modules/a-knights-dream/Item/equip_weapon_trap_hunting_large_blueice.webp</t>
  </si>
  <si>
    <t>Blueice Hunting Trap (Small)</t>
  </si>
  <si>
    <t>modules/a-knights-dream/Item/equip_weapon_trap_hunting_small_blueice.webp</t>
  </si>
  <si>
    <t>Blueice Javelin</t>
  </si>
  <si>
    <t>modules/a-knights-dream/Item/equip_weapon_javelin_blueice.webp</t>
  </si>
  <si>
    <t>Blueice Khpesh</t>
  </si>
  <si>
    <t>modules/a-knights-dream/Item/equip_weapon_khpesh_blueice.webp</t>
  </si>
  <si>
    <t>Blueice Khyber</t>
  </si>
  <si>
    <t>modules/a-knights-dream/Item/equip_weapon_khyber_blueice.webp</t>
  </si>
  <si>
    <t>Blueice Konda</t>
  </si>
  <si>
    <t>modules/a-knights-dream/Item/equip_weapon_konda_blueice.webp</t>
  </si>
  <si>
    <t>Blueice Labrys</t>
  </si>
  <si>
    <t>modules/a-knights-dream/Item/equip_weapon_axe_labrys_blueice.webp</t>
  </si>
  <si>
    <t>Blueice Lance</t>
  </si>
  <si>
    <t>modules/a-knights-dream/Item/equip_weapon_lance_blueice.webp</t>
  </si>
  <si>
    <t>Blueice Light Crossbow</t>
  </si>
  <si>
    <t>modules/a-knights-dream/Item/equip_weapon_crossbow_light_blueice.webp</t>
  </si>
  <si>
    <t>Blueice Long Bow</t>
  </si>
  <si>
    <t>modules/a-knights-dream/Item/equip_weapon_bow_long_blueice.webp</t>
  </si>
  <si>
    <t>Blueice Long Spear</t>
  </si>
  <si>
    <t>modules/a-knights-dream/Item/equip_weapon_spear_long_blueice.webp</t>
  </si>
  <si>
    <t>Blueice Lucerince Hammer</t>
  </si>
  <si>
    <t>modules/a-knights-dream/Item/equip_weapon_hammer_lucerince_blueice.webp</t>
  </si>
  <si>
    <t>Blueice Mace</t>
  </si>
  <si>
    <t>modules/a-knights-dream/Item/equip_weapon_mace_blueice.webp</t>
  </si>
  <si>
    <t>Blueice Morningstar</t>
  </si>
  <si>
    <t>modules/a-knights-dream/Item/equip_weapon_morningstar_blueice.webp</t>
  </si>
  <si>
    <t>Blueice Pike</t>
  </si>
  <si>
    <t>modules/a-knights-dream/Item/equip_weapon_pike_blueice.webp</t>
  </si>
  <si>
    <t>Blueice Quarter Staff</t>
  </si>
  <si>
    <t>modules/a-knights-dream/Item/equip_weapon_staff_quarter_blueice.webp</t>
  </si>
  <si>
    <t>Blueice Ranseur</t>
  </si>
  <si>
    <t>modules/a-knights-dream/Item/equip_weapon_ranseur_blueice.webp</t>
  </si>
  <si>
    <t>Blueice Rapier</t>
  </si>
  <si>
    <t>modules/a-knights-dream/Item/equip_weapon_rapier_blueice.webp</t>
  </si>
  <si>
    <t>Blueice Recurve Bow</t>
  </si>
  <si>
    <t>modules/a-knights-dream/Item/equip_weapon_bow_recurve_blueice.webp</t>
  </si>
  <si>
    <t>Blueice Repeater Crossbow</t>
  </si>
  <si>
    <t>modules/a-knights-dream/Item/equip_weapon_crossbow_repeater_blueice.webp</t>
  </si>
  <si>
    <t>Blueice Sabre</t>
  </si>
  <si>
    <t>modules/a-knights-dream/Item/equip_weapon_sabre_blueice.webp</t>
  </si>
  <si>
    <t>Blueice Scimitar</t>
  </si>
  <si>
    <t>modules/a-knights-dream/Item/equip_weapon_scimitar_blueice.webp</t>
  </si>
  <si>
    <t>Blueice Scythe</t>
  </si>
  <si>
    <t>modules/a-knights-dream/Item/equip_weapon_scythe_blueice.webp</t>
  </si>
  <si>
    <t>Blueice Short Bow</t>
  </si>
  <si>
    <t>modules/a-knights-dream/Item/equip_weapon_bow_short_blueice.webp</t>
  </si>
  <si>
    <t>Blueice Short Spear</t>
  </si>
  <si>
    <t>modules/a-knights-dream/Item/equip_weapon_spear_short_blueice.webp</t>
  </si>
  <si>
    <t>Blueice Short Sword</t>
  </si>
  <si>
    <t>modules/a-knights-dream/Item/equip_weapon_sword_short_blueice.webp</t>
  </si>
  <si>
    <t>Blueice Shotel</t>
  </si>
  <si>
    <t>modules/a-knights-dream/Item/equip_weapon_shotel_blueice.webp</t>
  </si>
  <si>
    <t>Blueice Sickle</t>
  </si>
  <si>
    <t>modules/a-knights-dream/Item/equip_weapon_sickle_blueice.webp</t>
  </si>
  <si>
    <t>Blueice Sling</t>
  </si>
  <si>
    <t>modules/a-knights-dream/Item/equip_weapon_sling_blueice.webp</t>
  </si>
  <si>
    <t>Blueice Staff</t>
  </si>
  <si>
    <t>modules/a-knights-dream/Item/equip_weapon_staff_blueice.webp</t>
  </si>
  <si>
    <t>Blueice Staff Sling</t>
  </si>
  <si>
    <t>modules/a-knights-dream/Item/equip_weapon_sling_staff_blueice.webp</t>
  </si>
  <si>
    <t>Blueice Sword</t>
  </si>
  <si>
    <t>modules/a-knights-dream/Item/equip_weapon_sword_blueice.webp</t>
  </si>
  <si>
    <t>Blueice Tapal</t>
  </si>
  <si>
    <t>modules/a-knights-dream/Item/equip_weapon_tapal_blueice.webp</t>
  </si>
  <si>
    <t>Blueice Trident</t>
  </si>
  <si>
    <t>modules/a-knights-dream/Item/equip_weapon_trident_blueice.webp</t>
  </si>
  <si>
    <t>Blueice War Hammer</t>
  </si>
  <si>
    <t>modules/a-knights-dream/Item/equip_weapon_hammer_war_blueice.webp</t>
  </si>
  <si>
    <t>Blueice War Pick</t>
  </si>
  <si>
    <t>modules/a-knights-dream/Item/equip_weapon_pick_war_blueice.webp</t>
  </si>
  <si>
    <t>Blueice Brigantine Cuirass</t>
  </si>
  <si>
    <t>modules/a-knights-dream/Item/equip_armor_brigantine_cuirass_blueice.webp</t>
  </si>
  <si>
    <t>Blueice Brigantine Gauntlets</t>
  </si>
  <si>
    <t>modules/a-knights-dream/Item/equip_armor_brigantine_gauntlets_blueice.webp</t>
  </si>
  <si>
    <t>Blueice Brigantine Greaves</t>
  </si>
  <si>
    <t>modules/a-knights-dream/Item/equip_armor_brigantine_greaves_blueice.webp</t>
  </si>
  <si>
    <t>Blueice Brigantine Helmet</t>
  </si>
  <si>
    <t>modules/a-knights-dream/Item/equip_armor_brigantine_helmet_blueice.webp</t>
  </si>
  <si>
    <t>Blueice Brigantine Pauldron</t>
  </si>
  <si>
    <t>modules/a-knights-dream/Item/equip_armor_brigantine_pauldron_blueice.webp</t>
  </si>
  <si>
    <t>Blueice Chainmail Cuirass</t>
  </si>
  <si>
    <t>modules/a-knights-dream/Item/equip_armor_chainmail_cuirass_blueice.webp</t>
  </si>
  <si>
    <t>Blueice Chainmail Gauntlets</t>
  </si>
  <si>
    <t>modules/a-knights-dream/Item/equip_armor_chainmail_gauntlets_blueice.webp</t>
  </si>
  <si>
    <t>Blueice Chainmail Greaves</t>
  </si>
  <si>
    <t>modules/a-knights-dream/Item/equip_armor_chainmail_greaves_blueice.webp</t>
  </si>
  <si>
    <t>Blueice Chainmail Helmet</t>
  </si>
  <si>
    <t>modules/a-knights-dream/Item/equip_armor_chainmail_helmet_blueice.webp</t>
  </si>
  <si>
    <t>Blueice Chainmail Pauldron</t>
  </si>
  <si>
    <t>modules/a-knights-dream/Item/equip_armor_chainmail_pauldron_blueice.webp</t>
  </si>
  <si>
    <t>Blueice Gamberson Cuirass</t>
  </si>
  <si>
    <t>modules/a-knights-dream/Item/equip_armor_gamberson_cuirass_blueice.webp</t>
  </si>
  <si>
    <t>Blueice Gamberson Gauntlets</t>
  </si>
  <si>
    <t>modules/a-knights-dream/Item/equip_armor_gamberson_gauntlets_blueice.webp</t>
  </si>
  <si>
    <t>Blueice Gamberson Greaves</t>
  </si>
  <si>
    <t>modules/a-knights-dream/Item/equip_armor_gamberson_greaves_blueice.webp</t>
  </si>
  <si>
    <t>Blueice Gamberson Helmet</t>
  </si>
  <si>
    <t>modules/a-knights-dream/Item/equip_armor_gamberson_helmet_blueice.webp</t>
  </si>
  <si>
    <t>Blueice Gamberson Pauldron</t>
  </si>
  <si>
    <t>modules/a-knights-dream/Item/equip_armor_gamberson_pauldron_blueice.webp</t>
  </si>
  <si>
    <t>Blueice Hauberk Cuirass</t>
  </si>
  <si>
    <t>modules/a-knights-dream/Item/equip_armor_hauberk_cuirass_blueice.webp</t>
  </si>
  <si>
    <t>Blueice Hauberk Gauntlets</t>
  </si>
  <si>
    <t>modules/a-knights-dream/Item/equip_armor_hauberk_gauntlets_blueice.webp</t>
  </si>
  <si>
    <t>Blueice Hauberk Greaves</t>
  </si>
  <si>
    <t>modules/a-knights-dream/Item/equip_armor_hauberk_greaves_blueice.webp</t>
  </si>
  <si>
    <t>Blueice Hauberk Helmet</t>
  </si>
  <si>
    <t>modules/a-knights-dream/Item/equip_armor_hauberk_helmet_blueice.webp</t>
  </si>
  <si>
    <t>Blueice Hauberk Pauldron</t>
  </si>
  <si>
    <t>modules/a-knights-dream/Item/equip_armor_hauberk_pauldron_blueice.webp</t>
  </si>
  <si>
    <t>Blueice Jack Cuirass</t>
  </si>
  <si>
    <t>modules/a-knights-dream/Item/equip_armor_jack_cuirass_blueice.webp</t>
  </si>
  <si>
    <t>Blueice Jack Gauntlets</t>
  </si>
  <si>
    <t>modules/a-knights-dream/Item/equip_armor_jack_gauntlets_blueice.webp</t>
  </si>
  <si>
    <t>Blueice Jack Greaves</t>
  </si>
  <si>
    <t>modules/a-knights-dream/Item/equip_armor_jack_greaves_blueice.webp</t>
  </si>
  <si>
    <t>Blueice Jack Helmet</t>
  </si>
  <si>
    <t>modules/a-knights-dream/Item/equip_armor_jack_helmet_blueice.webp</t>
  </si>
  <si>
    <t>Blueice Jack Pauldron</t>
  </si>
  <si>
    <t>modules/a-knights-dream/Item/equip_armor_jack_pauldron_blueice.webp</t>
  </si>
  <si>
    <t>Blueice Lamellar Cuirass</t>
  </si>
  <si>
    <t>modules/a-knights-dream/Item/equip_armor_lamellar_cuirass_blueice.webp</t>
  </si>
  <si>
    <t>Blueice Lamellar Gauntlets</t>
  </si>
  <si>
    <t>modules/a-knights-dream/Item/equip_armor_lamellar_gauntlets_blueice.webp</t>
  </si>
  <si>
    <t>Blueice Lamellar Greaves</t>
  </si>
  <si>
    <t>modules/a-knights-dream/Item/equip_armor_lamellar_greaves_blueice.webp</t>
  </si>
  <si>
    <t>Blueice Lamellar Helmet</t>
  </si>
  <si>
    <t>modules/a-knights-dream/Item/equip_armor_lamellar_helmet_blueice.webp</t>
  </si>
  <si>
    <t>Blueice Lamellar Pauldron</t>
  </si>
  <si>
    <t>modules/a-knights-dream/Item/equip_armor_lamellar_pauldron_blueice.webp</t>
  </si>
  <si>
    <t>Blueice Platemail Cuirass</t>
  </si>
  <si>
    <t>modules/a-knights-dream/Item/equip_armor_platemail_cuirass_blueice.webp</t>
  </si>
  <si>
    <t>Blueice Platemail Gauntlets</t>
  </si>
  <si>
    <t>modules/a-knights-dream/Item/equip_armor_platemail_gauntlets_blueice.webp</t>
  </si>
  <si>
    <t>Blueice Platemail Greaves</t>
  </si>
  <si>
    <t>modules/a-knights-dream/Item/equip_armor_platemail_greaves_blueice.webp</t>
  </si>
  <si>
    <t>Blueice Platemail Helmet</t>
  </si>
  <si>
    <t>modules/a-knights-dream/Item/equip_armor_platemail_helmet_blueice.webp</t>
  </si>
  <si>
    <t>Blueice Platemail Pauldron</t>
  </si>
  <si>
    <t>modules/a-knights-dream/Item/equip_armor_platemail_pauldron_blueice.webp</t>
  </si>
  <si>
    <t>Blueice Tunic Cuirass</t>
  </si>
  <si>
    <t>modules/a-knights-dream/Item/equip_armor_tunic_cuirass_blueice.webp</t>
  </si>
  <si>
    <t>Blueice Tunic Gauntlets</t>
  </si>
  <si>
    <t>modules/a-knights-dream/Item/equip_armor_tunic_gauntlets_blueice.webp</t>
  </si>
  <si>
    <t>Blueice Tunic Greaves</t>
  </si>
  <si>
    <t>modules/a-knights-dream/Item/equip_armor_tunic_greaves_blueice.webp</t>
  </si>
  <si>
    <t>Blueice Tunic Helmet</t>
  </si>
  <si>
    <t>modules/a-knights-dream/Item/equip_armor_tunic_helmet_blueice.webp</t>
  </si>
  <si>
    <t>Blueice Tunic Pauldron</t>
  </si>
  <si>
    <t>modules/a-knights-dream/Item/equip_armor_tunic_pauldron_blueice.webp</t>
  </si>
  <si>
    <t>Blueice Buckler Shield</t>
  </si>
  <si>
    <t>modules/a-knights-dream/Item/equip_armor_shield_buckler_blueice.webp</t>
  </si>
  <si>
    <t>Blueice Heater Shield</t>
  </si>
  <si>
    <t>modules/a-knights-dream/Item/equip_armor_shield_heater_blueice.webp</t>
  </si>
  <si>
    <t>Blueice Kite Shield</t>
  </si>
  <si>
    <t>modules/a-knights-dream/Item/equip_armor_shield_kite_blueice.webp</t>
  </si>
  <si>
    <t>Blueice Oval Shield</t>
  </si>
  <si>
    <t>modules/a-knights-dream/Item/equip_armor_shield_oval_blueice.webp</t>
  </si>
  <si>
    <t>Blueice Round Shield</t>
  </si>
  <si>
    <t>modules/a-knights-dream/Item/equip_armor_shield_round_blueice.webp</t>
  </si>
  <si>
    <t>Blueice Tower Shield</t>
  </si>
  <si>
    <t>modules/a-knights-dream/Item/equip_armor_shield_tower_blueice.webp</t>
  </si>
  <si>
    <t>Ceramic</t>
  </si>
  <si>
    <t>Ceramic Ball Bearings</t>
  </si>
  <si>
    <t>modules/a-knights-dream/Item/equip_weapon_bearings_ceramic.webp</t>
  </si>
  <si>
    <t>Ceramic Bardiche</t>
  </si>
  <si>
    <t>modules/a-knights-dream/Item/equip_weapon_bardiche_ceramic.webp</t>
  </si>
  <si>
    <t>Ceramic Bastard Sword</t>
  </si>
  <si>
    <t>modules/a-knights-dream/Item/equip_weapon_sword_bastard_ceramic.webp</t>
  </si>
  <si>
    <t>Ceramic Battle Axe</t>
  </si>
  <si>
    <t>modules/a-knights-dream/Item/equip_weapon_axe_battle_ceramic.webp</t>
  </si>
  <si>
    <t>Ceramic Blowgun</t>
  </si>
  <si>
    <t>modules/a-knights-dream/Item/equip_weapon_blowgun_ceramic.webp</t>
  </si>
  <si>
    <t>Ceramic Bolt</t>
  </si>
  <si>
    <t>modules/a-knights-dream/Item/equip_weapon_bolt_ceramic.webp</t>
  </si>
  <si>
    <t>Ceramic Boomerang</t>
  </si>
  <si>
    <t>modules/a-knights-dream/Item/equip_weapon_boomerang_ceramic.webp</t>
  </si>
  <si>
    <t>Ceramic Bow</t>
  </si>
  <si>
    <t>modules/a-knights-dream/Item/equip_weapon_bow_ceramic.webp</t>
  </si>
  <si>
    <t>Ceramic Caltrops</t>
  </si>
  <si>
    <t>modules/a-knights-dream/Item/equip_weapon_caltrops_ceramic.webp</t>
  </si>
  <si>
    <t>Ceramic Cestus</t>
  </si>
  <si>
    <t>modules/a-knights-dream/Item/equip_weapon_cestus_ceramic.webp</t>
  </si>
  <si>
    <t>Ceramic Chain</t>
  </si>
  <si>
    <t>modules/a-knights-dream/Item/equip_weapon_chain_ceramic.webp</t>
  </si>
  <si>
    <t>Ceramic Claymore</t>
  </si>
  <si>
    <t>modules/a-knights-dream/Item/equip_weapon_claymore_ceramic.webp</t>
  </si>
  <si>
    <t>Ceramic Club</t>
  </si>
  <si>
    <t>modules/a-knights-dream/Item/equip_weapon_club_ceramic.webp</t>
  </si>
  <si>
    <t>Ceramic Compound Bow</t>
  </si>
  <si>
    <t>modules/a-knights-dream/Item/equip_weapon_bow_compound_ceramic.webp</t>
  </si>
  <si>
    <t>Ceramic Cutlass</t>
  </si>
  <si>
    <t>modules/a-knights-dream/Item/equip_weapon_cutlass_ceramic.webp</t>
  </si>
  <si>
    <t>Ceramic Dagger</t>
  </si>
  <si>
    <t>modules/a-knights-dream/Item/equip_weapon_dagger_ceramic.webp</t>
  </si>
  <si>
    <t>Ceramic Dart</t>
  </si>
  <si>
    <t>modules/a-knights-dream/Item/equip_weapon_dart_ceramic.webp</t>
  </si>
  <si>
    <t>Ceramic Fauchard Scythe</t>
  </si>
  <si>
    <t>modules/a-knights-dream/Item/equip_weapon_scythe_fauchard_ceramic.webp</t>
  </si>
  <si>
    <t>Ceramic Flail</t>
  </si>
  <si>
    <t>modules/a-knights-dream/Item/equip_weapon_flail_ceramic.webp</t>
  </si>
  <si>
    <t>Ceramic Glaive</t>
  </si>
  <si>
    <t>modules/a-knights-dream/Item/equip_weapon_glaive_ceramic.webp</t>
  </si>
  <si>
    <t>Ceramic Grapple Hook</t>
  </si>
  <si>
    <t>modules/a-knights-dream/Item/equip_weapon_hook_grapple_ceramic.webp</t>
  </si>
  <si>
    <t>Ceramic Great Axe</t>
  </si>
  <si>
    <t>modules/a-knights-dream/Item/equip_weapon_axe_great_ceramic.webp</t>
  </si>
  <si>
    <t>Ceramic Great Club</t>
  </si>
  <si>
    <t>modules/a-knights-dream/Item/equip_weapon_club_great_ceramic.webp</t>
  </si>
  <si>
    <t>Ceramic Great Khyber</t>
  </si>
  <si>
    <t>modules/a-knights-dream/Item/equip_weapon_khyber_great_ceramic.webp</t>
  </si>
  <si>
    <t>Ceramic Great Konda</t>
  </si>
  <si>
    <t>modules/a-knights-dream/Item/equip_weapon_konda_great_ceramic.webp</t>
  </si>
  <si>
    <t>Ceramic Great Labrys</t>
  </si>
  <si>
    <t>modules/a-knights-dream/Item/equip_weapon_axe_labrys_great_ceramic.webp</t>
  </si>
  <si>
    <t>Ceramic Great Mace</t>
  </si>
  <si>
    <t>modules/a-knights-dream/Item/equip_weapon_mace_great_ceramic.webp</t>
  </si>
  <si>
    <t>Ceramic Great Tapal</t>
  </si>
  <si>
    <t>modules/a-knights-dream/Item/equip_weapon_tapal_great_ceramic.webp</t>
  </si>
  <si>
    <t>Ceramic Great War Bow</t>
  </si>
  <si>
    <t>modules/a-knights-dream/Item/equip_weapon_bow_war_great_ceramic.webp</t>
  </si>
  <si>
    <t>Ceramic Great War Hammer</t>
  </si>
  <si>
    <t>modules/a-knights-dream/Item/equip_weapon_hammer_war_great_ceramic.webp</t>
  </si>
  <si>
    <t>Ceramic Great War Pick</t>
  </si>
  <si>
    <t>modules/a-knights-dream/Item/equip_weapon_pick_war_great_ceramic.webp</t>
  </si>
  <si>
    <t>Ceramic Guisarme</t>
  </si>
  <si>
    <t>modules/a-knights-dream/Item/equip_weapon_guisarme_ceramic.webp</t>
  </si>
  <si>
    <t>Ceramic Halberd</t>
  </si>
  <si>
    <t>modules/a-knights-dream/Item/equip_weapon_halberd_ceramic.webp</t>
  </si>
  <si>
    <t>Ceramic Hand Crossbow</t>
  </si>
  <si>
    <t>modules/a-knights-dream/Item/equip_weapon_crossbow_hand_ceramic.webp</t>
  </si>
  <si>
    <t>Ceramic Hand axe</t>
  </si>
  <si>
    <t>modules/a-knights-dream/Item/equip_weapon_axe_hand_ceramic.webp</t>
  </si>
  <si>
    <t>Ceramic Heavy Crossbow</t>
  </si>
  <si>
    <t>modules/a-knights-dream/Item/equip_weapon_crossbow_heavy_ceramic.webp</t>
  </si>
  <si>
    <t>Ceramic Hunting Trap</t>
  </si>
  <si>
    <t>modules/a-knights-dream/Item/equip_weapon_trap_hunting_ceramic.webp</t>
  </si>
  <si>
    <t>Ceramic Hunting Trap (Large)</t>
  </si>
  <si>
    <t>modules/a-knights-dream/Item/equip_weapon_trap_hunting_large_ceramic.webp</t>
  </si>
  <si>
    <t>Ceramic Hunting Trap (Small)</t>
  </si>
  <si>
    <t>modules/a-knights-dream/Item/equip_weapon_trap_hunting_small_ceramic.webp</t>
  </si>
  <si>
    <t>Ceramic Javelin</t>
  </si>
  <si>
    <t>modules/a-knights-dream/Item/equip_weapon_javelin_ceramic.webp</t>
  </si>
  <si>
    <t>Ceramic Khpesh</t>
  </si>
  <si>
    <t>modules/a-knights-dream/Item/equip_weapon_khpesh_ceramic.webp</t>
  </si>
  <si>
    <t>Ceramic Khyber</t>
  </si>
  <si>
    <t>modules/a-knights-dream/Item/equip_weapon_khyber_ceramic.webp</t>
  </si>
  <si>
    <t>Ceramic Konda</t>
  </si>
  <si>
    <t>modules/a-knights-dream/Item/equip_weapon_konda_ceramic.webp</t>
  </si>
  <si>
    <t>Ceramic Labrys</t>
  </si>
  <si>
    <t>modules/a-knights-dream/Item/equip_weapon_axe_labrys_ceramic.webp</t>
  </si>
  <si>
    <t>Ceramic Lance</t>
  </si>
  <si>
    <t>modules/a-knights-dream/Item/equip_weapon_lance_ceramic.webp</t>
  </si>
  <si>
    <t>Ceramic Light Crossbow</t>
  </si>
  <si>
    <t>modules/a-knights-dream/Item/equip_weapon_crossbow_light_ceramic.webp</t>
  </si>
  <si>
    <t>Ceramic Long Bow</t>
  </si>
  <si>
    <t>modules/a-knights-dream/Item/equip_weapon_bow_long_ceramic.webp</t>
  </si>
  <si>
    <t>Ceramic Long Spear</t>
  </si>
  <si>
    <t>modules/a-knights-dream/Item/equip_weapon_spear_long_ceramic.webp</t>
  </si>
  <si>
    <t>Ceramic Lucerince Hammer</t>
  </si>
  <si>
    <t>modules/a-knights-dream/Item/equip_weapon_hammer_lucerince_ceramic.webp</t>
  </si>
  <si>
    <t>Ceramic Mace</t>
  </si>
  <si>
    <t>modules/a-knights-dream/Item/equip_weapon_mace_ceramic.webp</t>
  </si>
  <si>
    <t>Ceramic Morningstar</t>
  </si>
  <si>
    <t>modules/a-knights-dream/Item/equip_weapon_morningstar_ceramic.webp</t>
  </si>
  <si>
    <t>Ceramic Pike</t>
  </si>
  <si>
    <t>modules/a-knights-dream/Item/equip_weapon_pike_ceramic.webp</t>
  </si>
  <si>
    <t>Ceramic Quarter Staff</t>
  </si>
  <si>
    <t>modules/a-knights-dream/Item/equip_weapon_staff_quarter_ceramic.webp</t>
  </si>
  <si>
    <t>Ceramic Ranseur</t>
  </si>
  <si>
    <t>modules/a-knights-dream/Item/equip_weapon_ranseur_ceramic.webp</t>
  </si>
  <si>
    <t>Ceramic Rapier</t>
  </si>
  <si>
    <t>modules/a-knights-dream/Item/equip_weapon_rapier_ceramic.webp</t>
  </si>
  <si>
    <t>Ceramic Recurve Bow</t>
  </si>
  <si>
    <t>modules/a-knights-dream/Item/equip_weapon_bow_recurve_ceramic.webp</t>
  </si>
  <si>
    <t>Ceramic Repeater Crossbow</t>
  </si>
  <si>
    <t>modules/a-knights-dream/Item/equip_weapon_crossbow_repeater_ceramic.webp</t>
  </si>
  <si>
    <t>Ceramic Sabre</t>
  </si>
  <si>
    <t>modules/a-knights-dream/Item/equip_weapon_sabre_ceramic.webp</t>
  </si>
  <si>
    <t>Ceramic Scimitar</t>
  </si>
  <si>
    <t>modules/a-knights-dream/Item/equip_weapon_scimitar_ceramic.webp</t>
  </si>
  <si>
    <t>Ceramic Scythe</t>
  </si>
  <si>
    <t>modules/a-knights-dream/Item/equip_weapon_scythe_ceramic.webp</t>
  </si>
  <si>
    <t>Ceramic Short Bow</t>
  </si>
  <si>
    <t>modules/a-knights-dream/Item/equip_weapon_bow_short_ceramic.webp</t>
  </si>
  <si>
    <t>Ceramic Short Spear</t>
  </si>
  <si>
    <t>modules/a-knights-dream/Item/equip_weapon_spear_short_ceramic.webp</t>
  </si>
  <si>
    <t>Ceramic Short Sword</t>
  </si>
  <si>
    <t>modules/a-knights-dream/Item/equip_weapon_sword_short_ceramic.webp</t>
  </si>
  <si>
    <t>Ceramic Shotel</t>
  </si>
  <si>
    <t>modules/a-knights-dream/Item/equip_weapon_shotel_ceramic.webp</t>
  </si>
  <si>
    <t>Ceramic Sickle</t>
  </si>
  <si>
    <t>modules/a-knights-dream/Item/equip_weapon_sickle_ceramic.webp</t>
  </si>
  <si>
    <t>Ceramic Sling</t>
  </si>
  <si>
    <t>modules/a-knights-dream/Item/equip_weapon_sling_ceramic.webp</t>
  </si>
  <si>
    <t>Ceramic Staff</t>
  </si>
  <si>
    <t>modules/a-knights-dream/Item/equip_weapon_staff_ceramic.webp</t>
  </si>
  <si>
    <t>Ceramic Staff Sling</t>
  </si>
  <si>
    <t>modules/a-knights-dream/Item/equip_weapon_sling_staff_ceramic.webp</t>
  </si>
  <si>
    <t>Ceramic Sword</t>
  </si>
  <si>
    <t>modules/a-knights-dream/Item/equip_weapon_sword_ceramic.webp</t>
  </si>
  <si>
    <t>Ceramic Tapal</t>
  </si>
  <si>
    <t>modules/a-knights-dream/Item/equip_weapon_tapal_ceramic.webp</t>
  </si>
  <si>
    <t>Ceramic Trident</t>
  </si>
  <si>
    <t>modules/a-knights-dream/Item/equip_weapon_trident_ceramic.webp</t>
  </si>
  <si>
    <t>Ceramic War Hammer</t>
  </si>
  <si>
    <t>modules/a-knights-dream/Item/equip_weapon_hammer_war_ceramic.webp</t>
  </si>
  <si>
    <t>Ceramic War Pick</t>
  </si>
  <si>
    <t>modules/a-knights-dream/Item/equip_weapon_pick_war_ceramic.webp</t>
  </si>
  <si>
    <t>Ceramic Brigantine Cuirass</t>
  </si>
  <si>
    <t>modules/a-knights-dream/Item/equip_armor_brigantine_cuirass_ceramic.webp</t>
  </si>
  <si>
    <t>Ceramic Brigantine Gauntlets</t>
  </si>
  <si>
    <t>modules/a-knights-dream/Item/equip_armor_brigantine_gauntlets_ceramic.webp</t>
  </si>
  <si>
    <t>Ceramic Brigantine Greaves</t>
  </si>
  <si>
    <t>modules/a-knights-dream/Item/equip_armor_brigantine_greaves_ceramic.webp</t>
  </si>
  <si>
    <t>Ceramic Brigantine Helmet</t>
  </si>
  <si>
    <t>modules/a-knights-dream/Item/equip_armor_brigantine_helmet_ceramic.webp</t>
  </si>
  <si>
    <t>Ceramic Brigantine Pauldron</t>
  </si>
  <si>
    <t>modules/a-knights-dream/Item/equip_armor_brigantine_pauldron_ceramic.webp</t>
  </si>
  <si>
    <t>Ceramic Chainmail Cuirass</t>
  </si>
  <si>
    <t>modules/a-knights-dream/Item/equip_armor_chainmail_cuirass_ceramic.webp</t>
  </si>
  <si>
    <t>Ceramic Chainmail Gauntlets</t>
  </si>
  <si>
    <t>modules/a-knights-dream/Item/equip_armor_chainmail_gauntlets_ceramic.webp</t>
  </si>
  <si>
    <t>Ceramic Chainmail Greaves</t>
  </si>
  <si>
    <t>modules/a-knights-dream/Item/equip_armor_chainmail_greaves_ceramic.webp</t>
  </si>
  <si>
    <t>Ceramic Chainmail Helmet</t>
  </si>
  <si>
    <t>modules/a-knights-dream/Item/equip_armor_chainmail_helmet_ceramic.webp</t>
  </si>
  <si>
    <t>Ceramic Chainmail Pauldron</t>
  </si>
  <si>
    <t>modules/a-knights-dream/Item/equip_armor_chainmail_pauldron_ceramic.webp</t>
  </si>
  <si>
    <t>Ceramic Gamberson Cuirass</t>
  </si>
  <si>
    <t>modules/a-knights-dream/Item/equip_armor_gamberson_cuirass_ceramic.webp</t>
  </si>
  <si>
    <t>Ceramic Gamberson Gauntlets</t>
  </si>
  <si>
    <t>modules/a-knights-dream/Item/equip_armor_gamberson_gauntlets_ceramic.webp</t>
  </si>
  <si>
    <t>Ceramic Gamberson Greaves</t>
  </si>
  <si>
    <t>modules/a-knights-dream/Item/equip_armor_gamberson_greaves_ceramic.webp</t>
  </si>
  <si>
    <t>Ceramic Gamberson Helmet</t>
  </si>
  <si>
    <t>modules/a-knights-dream/Item/equip_armor_gamberson_helmet_ceramic.webp</t>
  </si>
  <si>
    <t>Ceramic Gamberson Pauldron</t>
  </si>
  <si>
    <t>modules/a-knights-dream/Item/equip_armor_gamberson_pauldron_ceramic.webp</t>
  </si>
  <si>
    <t>Ceramic Hauberk Cuirass</t>
  </si>
  <si>
    <t>modules/a-knights-dream/Item/equip_armor_hauberk_cuirass_ceramic.webp</t>
  </si>
  <si>
    <t>Ceramic Hauberk Gauntlets</t>
  </si>
  <si>
    <t>modules/a-knights-dream/Item/equip_armor_hauberk_gauntlets_ceramic.webp</t>
  </si>
  <si>
    <t>Ceramic Hauberk Greaves</t>
  </si>
  <si>
    <t>modules/a-knights-dream/Item/equip_armor_hauberk_greaves_ceramic.webp</t>
  </si>
  <si>
    <t>Ceramic Hauberk Helmet</t>
  </si>
  <si>
    <t>modules/a-knights-dream/Item/equip_armor_hauberk_helmet_ceramic.webp</t>
  </si>
  <si>
    <t>Ceramic Hauberk Pauldron</t>
  </si>
  <si>
    <t>modules/a-knights-dream/Item/equip_armor_hauberk_pauldron_ceramic.webp</t>
  </si>
  <si>
    <t>Ceramic Jack Cuirass</t>
  </si>
  <si>
    <t>modules/a-knights-dream/Item/equip_armor_jack_cuirass_ceramic.webp</t>
  </si>
  <si>
    <t>Ceramic Jack Gauntlets</t>
  </si>
  <si>
    <t>modules/a-knights-dream/Item/equip_armor_jack_gauntlets_ceramic.webp</t>
  </si>
  <si>
    <t>Ceramic Jack Greaves</t>
  </si>
  <si>
    <t>modules/a-knights-dream/Item/equip_armor_jack_greaves_ceramic.webp</t>
  </si>
  <si>
    <t>Ceramic Jack Helmet</t>
  </si>
  <si>
    <t>modules/a-knights-dream/Item/equip_armor_jack_helmet_ceramic.webp</t>
  </si>
  <si>
    <t>Ceramic Jack Pauldron</t>
  </si>
  <si>
    <t>modules/a-knights-dream/Item/equip_armor_jack_pauldron_ceramic.webp</t>
  </si>
  <si>
    <t>Ceramic Lamellar Cuirass</t>
  </si>
  <si>
    <t>modules/a-knights-dream/Item/equip_armor_lamellar_cuirass_ceramic.webp</t>
  </si>
  <si>
    <t>Ceramic Lamellar Gauntlets</t>
  </si>
  <si>
    <t>modules/a-knights-dream/Item/equip_armor_lamellar_gauntlets_ceramic.webp</t>
  </si>
  <si>
    <t>Ceramic Lamellar Greaves</t>
  </si>
  <si>
    <t>modules/a-knights-dream/Item/equip_armor_lamellar_greaves_ceramic.webp</t>
  </si>
  <si>
    <t>Ceramic Lamellar Helmet</t>
  </si>
  <si>
    <t>modules/a-knights-dream/Item/equip_armor_lamellar_helmet_ceramic.webp</t>
  </si>
  <si>
    <t>Ceramic Lamellar Pauldron</t>
  </si>
  <si>
    <t>modules/a-knights-dream/Item/equip_armor_lamellar_pauldron_ceramic.webp</t>
  </si>
  <si>
    <t>Ceramic Platemail Cuirass</t>
  </si>
  <si>
    <t>modules/a-knights-dream/Item/equip_armor_platemail_cuirass_ceramic.webp</t>
  </si>
  <si>
    <t>Ceramic Platemail Gauntlets</t>
  </si>
  <si>
    <t>modules/a-knights-dream/Item/equip_armor_platemail_gauntlets_ceramic.webp</t>
  </si>
  <si>
    <t>Ceramic Platemail Greaves</t>
  </si>
  <si>
    <t>modules/a-knights-dream/Item/equip_armor_platemail_greaves_ceramic.webp</t>
  </si>
  <si>
    <t>Ceramic Platemail Helmet</t>
  </si>
  <si>
    <t>modules/a-knights-dream/Item/equip_armor_platemail_helmet_ceramic.webp</t>
  </si>
  <si>
    <t>Ceramic Platemail Pauldron</t>
  </si>
  <si>
    <t>modules/a-knights-dream/Item/equip_armor_platemail_pauldron_ceramic.webp</t>
  </si>
  <si>
    <t>Ceramic Tunic Cuirass</t>
  </si>
  <si>
    <t>modules/a-knights-dream/Item/equip_armor_tunic_cuirass_ceramic.webp</t>
  </si>
  <si>
    <t>Ceramic Tunic Gauntlets</t>
  </si>
  <si>
    <t>modules/a-knights-dream/Item/equip_armor_tunic_gauntlets_ceramic.webp</t>
  </si>
  <si>
    <t>Ceramic Tunic Greaves</t>
  </si>
  <si>
    <t>modules/a-knights-dream/Item/equip_armor_tunic_greaves_ceramic.webp</t>
  </si>
  <si>
    <t>Ceramic Tunic Helmet</t>
  </si>
  <si>
    <t>modules/a-knights-dream/Item/equip_armor_tunic_helmet_ceramic.webp</t>
  </si>
  <si>
    <t>Ceramic Tunic Pauldron</t>
  </si>
  <si>
    <t>modules/a-knights-dream/Item/equip_armor_tunic_pauldron_ceramic.webp</t>
  </si>
  <si>
    <t>Ceramic Buckler Shield</t>
  </si>
  <si>
    <t>modules/a-knights-dream/Item/equip_armor_shield_buckler_ceramic.webp</t>
  </si>
  <si>
    <t>Ceramic Heater Shield</t>
  </si>
  <si>
    <t>modules/a-knights-dream/Item/equip_armor_shield_heater_ceramic.webp</t>
  </si>
  <si>
    <t>Ceramic Kite Shield</t>
  </si>
  <si>
    <t>modules/a-knights-dream/Item/equip_armor_shield_kite_ceramic.webp</t>
  </si>
  <si>
    <t>Ceramic Oval Shield</t>
  </si>
  <si>
    <t>modules/a-knights-dream/Item/equip_armor_shield_oval_ceramic.webp</t>
  </si>
  <si>
    <t>Ceramic Round Shield</t>
  </si>
  <si>
    <t>modules/a-knights-dream/Item/equip_armor_shield_round_ceramic.webp</t>
  </si>
  <si>
    <t>Ceramic Tower Shield</t>
  </si>
  <si>
    <t>modules/a-knights-dream/Item/equip_armor_shield_tower_ceramic.webp</t>
  </si>
  <si>
    <t>Coldron</t>
  </si>
  <si>
    <t>Coldron Ball Bearings</t>
  </si>
  <si>
    <t>modules/a-knights-dream/Item/equip_weapon_bearings_coldron.webp</t>
  </si>
  <si>
    <t>Coldron Bardiche</t>
  </si>
  <si>
    <t>modules/a-knights-dream/Item/equip_weapon_bardiche_coldron.webp</t>
  </si>
  <si>
    <t>Coldron Bastard Sword</t>
  </si>
  <si>
    <t>modules/a-knights-dream/Item/equip_weapon_sword_bastard_coldron.webp</t>
  </si>
  <si>
    <t>Coldron Battle Axe</t>
  </si>
  <si>
    <t>modules/a-knights-dream/Item/equip_weapon_axe_battle_coldron.webp</t>
  </si>
  <si>
    <t>Coldron Blowgun</t>
  </si>
  <si>
    <t>modules/a-knights-dream/Item/equip_weapon_blowgun_coldron.webp</t>
  </si>
  <si>
    <t>Coldron Bolt</t>
  </si>
  <si>
    <t>modules/a-knights-dream/Item/equip_weapon_bolt_coldron.webp</t>
  </si>
  <si>
    <t>Coldron Boomerang</t>
  </si>
  <si>
    <t>modules/a-knights-dream/Item/equip_weapon_boomerang_coldron.webp</t>
  </si>
  <si>
    <t>Coldron Bow</t>
  </si>
  <si>
    <t>modules/a-knights-dream/Item/equip_weapon_bow_coldron.webp</t>
  </si>
  <si>
    <t>Coldron Caltrops</t>
  </si>
  <si>
    <t>modules/a-knights-dream/Item/equip_weapon_caltrops_coldron.webp</t>
  </si>
  <si>
    <t>Coldron Cestus</t>
  </si>
  <si>
    <t>modules/a-knights-dream/Item/equip_weapon_cestus_coldron.webp</t>
  </si>
  <si>
    <t>Coldron Chain</t>
  </si>
  <si>
    <t>modules/a-knights-dream/Item/equip_weapon_chain_coldron.webp</t>
  </si>
  <si>
    <t>Coldron Claymore</t>
  </si>
  <si>
    <t>modules/a-knights-dream/Item/equip_weapon_claymore_coldron.webp</t>
  </si>
  <si>
    <t>Coldron Club</t>
  </si>
  <si>
    <t>modules/a-knights-dream/Item/equip_weapon_club_coldron.webp</t>
  </si>
  <si>
    <t>Coldron Compound Bow</t>
  </si>
  <si>
    <t>modules/a-knights-dream/Item/equip_weapon_bow_compound_coldron.webp</t>
  </si>
  <si>
    <t>Coldron Cutlass</t>
  </si>
  <si>
    <t>modules/a-knights-dream/Item/equip_weapon_cutlass_coldron.webp</t>
  </si>
  <si>
    <t>Coldron Dagger</t>
  </si>
  <si>
    <t>modules/a-knights-dream/Item/equip_weapon_dagger_coldron.webp</t>
  </si>
  <si>
    <t>Coldron Dart</t>
  </si>
  <si>
    <t>modules/a-knights-dream/Item/equip_weapon_dart_coldron.webp</t>
  </si>
  <si>
    <t>Coldron Fauchard Scythe</t>
  </si>
  <si>
    <t>modules/a-knights-dream/Item/equip_weapon_scythe_fauchard_coldron.webp</t>
  </si>
  <si>
    <t>Coldron Flail</t>
  </si>
  <si>
    <t>modules/a-knights-dream/Item/equip_weapon_flail_coldron.webp</t>
  </si>
  <si>
    <t>Coldron Glaive</t>
  </si>
  <si>
    <t>modules/a-knights-dream/Item/equip_weapon_glaive_coldron.webp</t>
  </si>
  <si>
    <t>Coldron Grapple Hook</t>
  </si>
  <si>
    <t>modules/a-knights-dream/Item/equip_weapon_hook_grapple_coldron.webp</t>
  </si>
  <si>
    <t>Coldron Great Axe</t>
  </si>
  <si>
    <t>modules/a-knights-dream/Item/equip_weapon_axe_great_coldron.webp</t>
  </si>
  <si>
    <t>Coldron Great Club</t>
  </si>
  <si>
    <t>modules/a-knights-dream/Item/equip_weapon_club_great_coldron.webp</t>
  </si>
  <si>
    <t>Coldron Great Khyber</t>
  </si>
  <si>
    <t>modules/a-knights-dream/Item/equip_weapon_khyber_great_coldron.webp</t>
  </si>
  <si>
    <t>Coldron Great Konda</t>
  </si>
  <si>
    <t>modules/a-knights-dream/Item/equip_weapon_konda_great_coldron.webp</t>
  </si>
  <si>
    <t>Coldron Great Labrys</t>
  </si>
  <si>
    <t>modules/a-knights-dream/Item/equip_weapon_axe_labrys_great_coldron.webp</t>
  </si>
  <si>
    <t>Coldron Great Mace</t>
  </si>
  <si>
    <t>modules/a-knights-dream/Item/equip_weapon_mace_great_coldron.webp</t>
  </si>
  <si>
    <t>Coldron Great Tapal</t>
  </si>
  <si>
    <t>modules/a-knights-dream/Item/equip_weapon_tapal_great_coldron.webp</t>
  </si>
  <si>
    <t>Coldron Great War Bow</t>
  </si>
  <si>
    <t>modules/a-knights-dream/Item/equip_weapon_bow_war_great_coldron.webp</t>
  </si>
  <si>
    <t>Coldron Great War Hammer</t>
  </si>
  <si>
    <t>modules/a-knights-dream/Item/equip_weapon_hammer_war_great_coldron.webp</t>
  </si>
  <si>
    <t>Coldron Great War Pick</t>
  </si>
  <si>
    <t>modules/a-knights-dream/Item/equip_weapon_pick_war_great_coldron.webp</t>
  </si>
  <si>
    <t>Coldron Guisarme</t>
  </si>
  <si>
    <t>modules/a-knights-dream/Item/equip_weapon_guisarme_coldron.webp</t>
  </si>
  <si>
    <t>Coldron Halberd</t>
  </si>
  <si>
    <t>modules/a-knights-dream/Item/equip_weapon_halberd_coldron.webp</t>
  </si>
  <si>
    <t>Coldron Hand Crossbow</t>
  </si>
  <si>
    <t>modules/a-knights-dream/Item/equip_weapon_crossbow_hand_coldron.webp</t>
  </si>
  <si>
    <t>Coldron Hand axe</t>
  </si>
  <si>
    <t>modules/a-knights-dream/Item/equip_weapon_axe_hand_coldron.webp</t>
  </si>
  <si>
    <t>Coldron Heavy Crossbow</t>
  </si>
  <si>
    <t>modules/a-knights-dream/Item/equip_weapon_crossbow_heavy_coldron.webp</t>
  </si>
  <si>
    <t>Coldron Hunting Trap</t>
  </si>
  <si>
    <t>modules/a-knights-dream/Item/equip_weapon_trap_hunting_coldron.webp</t>
  </si>
  <si>
    <t>Coldron Hunting Trap (Large)</t>
  </si>
  <si>
    <t>modules/a-knights-dream/Item/equip_weapon_trap_hunting_large_coldron.webp</t>
  </si>
  <si>
    <t>Coldron Hunting Trap (Small)</t>
  </si>
  <si>
    <t>modules/a-knights-dream/Item/equip_weapon_trap_hunting_small_coldron.webp</t>
  </si>
  <si>
    <t>Coldron Javelin</t>
  </si>
  <si>
    <t>modules/a-knights-dream/Item/equip_weapon_javelin_coldron.webp</t>
  </si>
  <si>
    <t>Coldron Khpesh</t>
  </si>
  <si>
    <t>modules/a-knights-dream/Item/equip_weapon_khpesh_coldron.webp</t>
  </si>
  <si>
    <t>Coldron Khyber</t>
  </si>
  <si>
    <t>modules/a-knights-dream/Item/equip_weapon_khyber_coldron.webp</t>
  </si>
  <si>
    <t>Coldron Konda</t>
  </si>
  <si>
    <t>modules/a-knights-dream/Item/equip_weapon_konda_coldron.webp</t>
  </si>
  <si>
    <t>Coldron Labrys</t>
  </si>
  <si>
    <t>modules/a-knights-dream/Item/equip_weapon_axe_labrys_coldron.webp</t>
  </si>
  <si>
    <t>Coldron Lance</t>
  </si>
  <si>
    <t>modules/a-knights-dream/Item/equip_weapon_lance_coldron.webp</t>
  </si>
  <si>
    <t>Coldron Light Crossbow</t>
  </si>
  <si>
    <t>modules/a-knights-dream/Item/equip_weapon_crossbow_light_coldron.webp</t>
  </si>
  <si>
    <t>Coldron Long Bow</t>
  </si>
  <si>
    <t>modules/a-knights-dream/Item/equip_weapon_bow_long_coldron.webp</t>
  </si>
  <si>
    <t>Coldron Long Spear</t>
  </si>
  <si>
    <t>modules/a-knights-dream/Item/equip_weapon_spear_long_coldron.webp</t>
  </si>
  <si>
    <t>Coldron Lucerince Hammer</t>
  </si>
  <si>
    <t>modules/a-knights-dream/Item/equip_weapon_hammer_lucerince_coldron.webp</t>
  </si>
  <si>
    <t>Coldron Mace</t>
  </si>
  <si>
    <t>modules/a-knights-dream/Item/equip_weapon_mace_coldron.webp</t>
  </si>
  <si>
    <t>Coldron Morningstar</t>
  </si>
  <si>
    <t>modules/a-knights-dream/Item/equip_weapon_morningstar_coldron.webp</t>
  </si>
  <si>
    <t>Coldron Pike</t>
  </si>
  <si>
    <t>modules/a-knights-dream/Item/equip_weapon_pike_coldron.webp</t>
  </si>
  <si>
    <t>Coldron Quarter Staff</t>
  </si>
  <si>
    <t>modules/a-knights-dream/Item/equip_weapon_staff_quarter_coldron.webp</t>
  </si>
  <si>
    <t>Coldron Ranseur</t>
  </si>
  <si>
    <t>modules/a-knights-dream/Item/equip_weapon_ranseur_coldron.webp</t>
  </si>
  <si>
    <t>Coldron Rapier</t>
  </si>
  <si>
    <t>modules/a-knights-dream/Item/equip_weapon_rapier_coldron.webp</t>
  </si>
  <si>
    <t>Coldron Recurve Bow</t>
  </si>
  <si>
    <t>modules/a-knights-dream/Item/equip_weapon_bow_recurve_coldron.webp</t>
  </si>
  <si>
    <t>Coldron Repeater Crossbow</t>
  </si>
  <si>
    <t>modules/a-knights-dream/Item/equip_weapon_crossbow_repeater_coldron.webp</t>
  </si>
  <si>
    <t>Coldron Sabre</t>
  </si>
  <si>
    <t>modules/a-knights-dream/Item/equip_weapon_sabre_coldron.webp</t>
  </si>
  <si>
    <t>Coldron Scimitar</t>
  </si>
  <si>
    <t>modules/a-knights-dream/Item/equip_weapon_scimitar_coldron.webp</t>
  </si>
  <si>
    <t>Coldron Scythe</t>
  </si>
  <si>
    <t>modules/a-knights-dream/Item/equip_weapon_scythe_coldron.webp</t>
  </si>
  <si>
    <t>Coldron Short Bow</t>
  </si>
  <si>
    <t>modules/a-knights-dream/Item/equip_weapon_bow_short_coldron.webp</t>
  </si>
  <si>
    <t>Coldron Short Spear</t>
  </si>
  <si>
    <t>modules/a-knights-dream/Item/equip_weapon_spear_short_coldron.webp</t>
  </si>
  <si>
    <t>Coldron Short Sword</t>
  </si>
  <si>
    <t>modules/a-knights-dream/Item/equip_weapon_sword_short_coldron.webp</t>
  </si>
  <si>
    <t>Coldron Shotel</t>
  </si>
  <si>
    <t>modules/a-knights-dream/Item/equip_weapon_shotel_coldron.webp</t>
  </si>
  <si>
    <t>Coldron Sickle</t>
  </si>
  <si>
    <t>modules/a-knights-dream/Item/equip_weapon_sickle_coldron.webp</t>
  </si>
  <si>
    <t>Coldron Sling</t>
  </si>
  <si>
    <t>modules/a-knights-dream/Item/equip_weapon_sling_coldron.webp</t>
  </si>
  <si>
    <t>Coldron Staff</t>
  </si>
  <si>
    <t>modules/a-knights-dream/Item/equip_weapon_staff_coldron.webp</t>
  </si>
  <si>
    <t>Coldron Staff Sling</t>
  </si>
  <si>
    <t>modules/a-knights-dream/Item/equip_weapon_sling_staff_coldron.webp</t>
  </si>
  <si>
    <t>Coldron Sword</t>
  </si>
  <si>
    <t>modules/a-knights-dream/Item/equip_weapon_sword_coldron.webp</t>
  </si>
  <si>
    <t>Coldron Tapal</t>
  </si>
  <si>
    <t>modules/a-knights-dream/Item/equip_weapon_tapal_coldron.webp</t>
  </si>
  <si>
    <t>Coldron Trident</t>
  </si>
  <si>
    <t>modules/a-knights-dream/Item/equip_weapon_trident_coldron.webp</t>
  </si>
  <si>
    <t>Coldron War Hammer</t>
  </si>
  <si>
    <t>modules/a-knights-dream/Item/equip_weapon_hammer_war_coldron.webp</t>
  </si>
  <si>
    <t>Coldron War Pick</t>
  </si>
  <si>
    <t>modules/a-knights-dream/Item/equip_weapon_pick_war_coldron.webp</t>
  </si>
  <si>
    <t>Coldron Brigantine Cuirass</t>
  </si>
  <si>
    <t>modules/a-knights-dream/Item/equip_armor_brigantine_cuirass_coldron.webp</t>
  </si>
  <si>
    <t>Coldron Brigantine Gauntlets</t>
  </si>
  <si>
    <t>modules/a-knights-dream/Item/equip_armor_brigantine_gauntlets_coldron.webp</t>
  </si>
  <si>
    <t>Coldron Brigantine Greaves</t>
  </si>
  <si>
    <t>modules/a-knights-dream/Item/equip_armor_brigantine_greaves_coldron.webp</t>
  </si>
  <si>
    <t>Coldron Brigantine Helmet</t>
  </si>
  <si>
    <t>modules/a-knights-dream/Item/equip_armor_brigantine_helmet_coldron.webp</t>
  </si>
  <si>
    <t>Coldron Brigantine Pauldron</t>
  </si>
  <si>
    <t>modules/a-knights-dream/Item/equip_armor_brigantine_pauldron_coldron.webp</t>
  </si>
  <si>
    <t>Coldron Chainmail Cuirass</t>
  </si>
  <si>
    <t>modules/a-knights-dream/Item/equip_armor_chainmail_cuirass_coldron.webp</t>
  </si>
  <si>
    <t>Coldron Chainmail Gauntlets</t>
  </si>
  <si>
    <t>modules/a-knights-dream/Item/equip_armor_chainmail_gauntlets_coldron.webp</t>
  </si>
  <si>
    <t>Coldron Chainmail Greaves</t>
  </si>
  <si>
    <t>modules/a-knights-dream/Item/equip_armor_chainmail_greaves_coldron.webp</t>
  </si>
  <si>
    <t>Coldron Chainmail Helmet</t>
  </si>
  <si>
    <t>modules/a-knights-dream/Item/equip_armor_chainmail_helmet_coldron.webp</t>
  </si>
  <si>
    <t>Coldron Chainmail Pauldron</t>
  </si>
  <si>
    <t>modules/a-knights-dream/Item/equip_armor_chainmail_pauldron_coldron.webp</t>
  </si>
  <si>
    <t>Coldron Gamberson Cuirass</t>
  </si>
  <si>
    <t>modules/a-knights-dream/Item/equip_armor_gamberson_cuirass_coldron.webp</t>
  </si>
  <si>
    <t>Coldron Gamberson Gauntlets</t>
  </si>
  <si>
    <t>modules/a-knights-dream/Item/equip_armor_gamberson_gauntlets_coldron.webp</t>
  </si>
  <si>
    <t>Coldron Gamberson Greaves</t>
  </si>
  <si>
    <t>modules/a-knights-dream/Item/equip_armor_gamberson_greaves_coldron.webp</t>
  </si>
  <si>
    <t>Coldron Gamberson Helmet</t>
  </si>
  <si>
    <t>modules/a-knights-dream/Item/equip_armor_gamberson_helmet_coldron.webp</t>
  </si>
  <si>
    <t>Coldron Gamberson Pauldron</t>
  </si>
  <si>
    <t>modules/a-knights-dream/Item/equip_armor_gamberson_pauldron_coldron.webp</t>
  </si>
  <si>
    <t>Coldron Hauberk Cuirass</t>
  </si>
  <si>
    <t>modules/a-knights-dream/Item/equip_armor_hauberk_cuirass_coldron.webp</t>
  </si>
  <si>
    <t>Coldron Hauberk Gauntlets</t>
  </si>
  <si>
    <t>modules/a-knights-dream/Item/equip_armor_hauberk_gauntlets_coldron.webp</t>
  </si>
  <si>
    <t>Coldron Hauberk Greaves</t>
  </si>
  <si>
    <t>modules/a-knights-dream/Item/equip_armor_hauberk_greaves_coldron.webp</t>
  </si>
  <si>
    <t>Coldron Hauberk Helmet</t>
  </si>
  <si>
    <t>modules/a-knights-dream/Item/equip_armor_hauberk_helmet_coldron.webp</t>
  </si>
  <si>
    <t>Coldron Hauberk Pauldron</t>
  </si>
  <si>
    <t>modules/a-knights-dream/Item/equip_armor_hauberk_pauldron_coldron.webp</t>
  </si>
  <si>
    <t>Coldron Jack Cuirass</t>
  </si>
  <si>
    <t>modules/a-knights-dream/Item/equip_armor_jack_cuirass_coldron.webp</t>
  </si>
  <si>
    <t>Coldron Jack Gauntlets</t>
  </si>
  <si>
    <t>modules/a-knights-dream/Item/equip_armor_jack_gauntlets_coldron.webp</t>
  </si>
  <si>
    <t>Coldron Jack Greaves</t>
  </si>
  <si>
    <t>modules/a-knights-dream/Item/equip_armor_jack_greaves_coldron.webp</t>
  </si>
  <si>
    <t>Coldron Jack Helmet</t>
  </si>
  <si>
    <t>modules/a-knights-dream/Item/equip_armor_jack_helmet_coldron.webp</t>
  </si>
  <si>
    <t>Coldron Jack Pauldron</t>
  </si>
  <si>
    <t>modules/a-knights-dream/Item/equip_armor_jack_pauldron_coldron.webp</t>
  </si>
  <si>
    <t>Coldron Lamellar Cuirass</t>
  </si>
  <si>
    <t>modules/a-knights-dream/Item/equip_armor_lamellar_cuirass_coldron.webp</t>
  </si>
  <si>
    <t>Coldron Lamellar Gauntlets</t>
  </si>
  <si>
    <t>modules/a-knights-dream/Item/equip_armor_lamellar_gauntlets_coldron.webp</t>
  </si>
  <si>
    <t>Coldron Lamellar Greaves</t>
  </si>
  <si>
    <t>modules/a-knights-dream/Item/equip_armor_lamellar_greaves_coldron.webp</t>
  </si>
  <si>
    <t>Coldron Lamellar Helmet</t>
  </si>
  <si>
    <t>modules/a-knights-dream/Item/equip_armor_lamellar_helmet_coldron.webp</t>
  </si>
  <si>
    <t>Coldron Lamellar Pauldron</t>
  </si>
  <si>
    <t>modules/a-knights-dream/Item/equip_armor_lamellar_pauldron_coldron.webp</t>
  </si>
  <si>
    <t>Coldron Platemail Cuirass</t>
  </si>
  <si>
    <t>modules/a-knights-dream/Item/equip_armor_platemail_cuirass_coldron.webp</t>
  </si>
  <si>
    <t>Coldron Platemail Gauntlets</t>
  </si>
  <si>
    <t>modules/a-knights-dream/Item/equip_armor_platemail_gauntlets_coldron.webp</t>
  </si>
  <si>
    <t>Coldron Platemail Greaves</t>
  </si>
  <si>
    <t>modules/a-knights-dream/Item/equip_armor_platemail_greaves_coldron.webp</t>
  </si>
  <si>
    <t>Coldron Platemail Helmet</t>
  </si>
  <si>
    <t>modules/a-knights-dream/Item/equip_armor_platemail_helmet_coldron.webp</t>
  </si>
  <si>
    <t>Coldron Platemail Pauldron</t>
  </si>
  <si>
    <t>modules/a-knights-dream/Item/equip_armor_platemail_pauldron_coldron.webp</t>
  </si>
  <si>
    <t>Coldron Tunic Cuirass</t>
  </si>
  <si>
    <t>modules/a-knights-dream/Item/equip_armor_tunic_cuirass_coldron.webp</t>
  </si>
  <si>
    <t>Coldron Tunic Gauntlets</t>
  </si>
  <si>
    <t>modules/a-knights-dream/Item/equip_armor_tunic_gauntlets_coldron.webp</t>
  </si>
  <si>
    <t>Coldron Tunic Greaves</t>
  </si>
  <si>
    <t>modules/a-knights-dream/Item/equip_armor_tunic_greaves_coldron.webp</t>
  </si>
  <si>
    <t>Coldron Tunic Helmet</t>
  </si>
  <si>
    <t>modules/a-knights-dream/Item/equip_armor_tunic_helmet_coldron.webp</t>
  </si>
  <si>
    <t>Coldron Tunic Pauldron</t>
  </si>
  <si>
    <t>modules/a-knights-dream/Item/equip_armor_tunic_pauldron_coldron.webp</t>
  </si>
  <si>
    <t>Coldron Buckler Shield</t>
  </si>
  <si>
    <t>modules/a-knights-dream/Item/equip_armor_shield_buckler_coldron.webp</t>
  </si>
  <si>
    <t>Coldron Heater Shield</t>
  </si>
  <si>
    <t>modules/a-knights-dream/Item/equip_armor_shield_heater_coldron.webp</t>
  </si>
  <si>
    <t>Coldron Kite Shield</t>
  </si>
  <si>
    <t>modules/a-knights-dream/Item/equip_armor_shield_kite_coldron.webp</t>
  </si>
  <si>
    <t>Coldron Oval Shield</t>
  </si>
  <si>
    <t>modules/a-knights-dream/Item/equip_armor_shield_oval_coldron.webp</t>
  </si>
  <si>
    <t>Coldron Round Shield</t>
  </si>
  <si>
    <t>modules/a-knights-dream/Item/equip_armor_shield_round_coldron.webp</t>
  </si>
  <si>
    <t>Coldron Tower Shield</t>
  </si>
  <si>
    <t>modules/a-knights-dream/Item/equip_armor_shield_tower_coldron.webp</t>
  </si>
  <si>
    <t>Corundum</t>
  </si>
  <si>
    <t>Corundum Ball Bearings</t>
  </si>
  <si>
    <t>modules/a-knights-dream/Item/equip_weapon_bearings_corundum.webp</t>
  </si>
  <si>
    <t>Corundum Bardiche</t>
  </si>
  <si>
    <t>modules/a-knights-dream/Item/equip_weapon_bardiche_corundum.webp</t>
  </si>
  <si>
    <t>Corundum Bastard Sword</t>
  </si>
  <si>
    <t>modules/a-knights-dream/Item/equip_weapon_sword_bastard_corundum.webp</t>
  </si>
  <si>
    <t>Corundum Battle Axe</t>
  </si>
  <si>
    <t>modules/a-knights-dream/Item/equip_weapon_axe_battle_corundum.webp</t>
  </si>
  <si>
    <t>Corundum Blowgun</t>
  </si>
  <si>
    <t>modules/a-knights-dream/Item/equip_weapon_blowgun_corundum.webp</t>
  </si>
  <si>
    <t>Corundum Bolt</t>
  </si>
  <si>
    <t>modules/a-knights-dream/Item/equip_weapon_bolt_corundum.webp</t>
  </si>
  <si>
    <t>Corundum Boomerang</t>
  </si>
  <si>
    <t>modules/a-knights-dream/Item/equip_weapon_boomerang_corundum.webp</t>
  </si>
  <si>
    <t>Corundum Bow</t>
  </si>
  <si>
    <t>modules/a-knights-dream/Item/equip_weapon_bow_corundum.webp</t>
  </si>
  <si>
    <t>Corundum Caltrops</t>
  </si>
  <si>
    <t>modules/a-knights-dream/Item/equip_weapon_caltrops_corundum.webp</t>
  </si>
  <si>
    <t>Corundum Cestus</t>
  </si>
  <si>
    <t>modules/a-knights-dream/Item/equip_weapon_cestus_corundum.webp</t>
  </si>
  <si>
    <t>Corundum Chain</t>
  </si>
  <si>
    <t>modules/a-knights-dream/Item/equip_weapon_chain_corundum.webp</t>
  </si>
  <si>
    <t>Corundum Claymore</t>
  </si>
  <si>
    <t>modules/a-knights-dream/Item/equip_weapon_claymore_corundum.webp</t>
  </si>
  <si>
    <t>Corundum Club</t>
  </si>
  <si>
    <t>modules/a-knights-dream/Item/equip_weapon_club_corundum.webp</t>
  </si>
  <si>
    <t>Corundum Compound Bow</t>
  </si>
  <si>
    <t>modules/a-knights-dream/Item/equip_weapon_bow_compound_corundum.webp</t>
  </si>
  <si>
    <t>Corundum Cutlass</t>
  </si>
  <si>
    <t>modules/a-knights-dream/Item/equip_weapon_cutlass_corundum.webp</t>
  </si>
  <si>
    <t>Corundum Dagger</t>
  </si>
  <si>
    <t>modules/a-knights-dream/Item/equip_weapon_dagger_corundum.webp</t>
  </si>
  <si>
    <t>Corundum Dart</t>
  </si>
  <si>
    <t>modules/a-knights-dream/Item/equip_weapon_dart_corundum.webp</t>
  </si>
  <si>
    <t>Corundum Fauchard Scythe</t>
  </si>
  <si>
    <t>modules/a-knights-dream/Item/equip_weapon_scythe_fauchard_corundum.webp</t>
  </si>
  <si>
    <t>Corundum Flail</t>
  </si>
  <si>
    <t>modules/a-knights-dream/Item/equip_weapon_flail_corundum.webp</t>
  </si>
  <si>
    <t>Corundum Glaive</t>
  </si>
  <si>
    <t>modules/a-knights-dream/Item/equip_weapon_glaive_corundum.webp</t>
  </si>
  <si>
    <t>Corundum Grapple Hook</t>
  </si>
  <si>
    <t>modules/a-knights-dream/Item/equip_weapon_hook_grapple_corundum.webp</t>
  </si>
  <si>
    <t>Corundum Great Axe</t>
  </si>
  <si>
    <t>modules/a-knights-dream/Item/equip_weapon_axe_great_corundum.webp</t>
  </si>
  <si>
    <t>Corundum Great Club</t>
  </si>
  <si>
    <t>modules/a-knights-dream/Item/equip_weapon_club_great_corundum.webp</t>
  </si>
  <si>
    <t>Corundum Great Khyber</t>
  </si>
  <si>
    <t>modules/a-knights-dream/Item/equip_weapon_khyber_great_corundum.webp</t>
  </si>
  <si>
    <t>Corundum Great Konda</t>
  </si>
  <si>
    <t>modules/a-knights-dream/Item/equip_weapon_konda_great_corundum.webp</t>
  </si>
  <si>
    <t>Corundum Great Labrys</t>
  </si>
  <si>
    <t>modules/a-knights-dream/Item/equip_weapon_axe_labrys_great_corundum.webp</t>
  </si>
  <si>
    <t>Corundum Great Mace</t>
  </si>
  <si>
    <t>modules/a-knights-dream/Item/equip_weapon_mace_great_corundum.webp</t>
  </si>
  <si>
    <t>Corundum Great Tapal</t>
  </si>
  <si>
    <t>modules/a-knights-dream/Item/equip_weapon_tapal_great_corundum.webp</t>
  </si>
  <si>
    <t>Corundum Great War Bow</t>
  </si>
  <si>
    <t>modules/a-knights-dream/Item/equip_weapon_bow_war_great_corundum.webp</t>
  </si>
  <si>
    <t>Corundum Great War Hammer</t>
  </si>
  <si>
    <t>modules/a-knights-dream/Item/equip_weapon_hammer_war_great_corundum.webp</t>
  </si>
  <si>
    <t>Corundum Great War Pick</t>
  </si>
  <si>
    <t>modules/a-knights-dream/Item/equip_weapon_pick_war_great_corundum.webp</t>
  </si>
  <si>
    <t>Corundum Guisarme</t>
  </si>
  <si>
    <t>modules/a-knights-dream/Item/equip_weapon_guisarme_corundum.webp</t>
  </si>
  <si>
    <t>Corundum Halberd</t>
  </si>
  <si>
    <t>modules/a-knights-dream/Item/equip_weapon_halberd_corundum.webp</t>
  </si>
  <si>
    <t>Corundum Hand Crossbow</t>
  </si>
  <si>
    <t>modules/a-knights-dream/Item/equip_weapon_crossbow_hand_corundum.webp</t>
  </si>
  <si>
    <t>Corundum Hand axe</t>
  </si>
  <si>
    <t>modules/a-knights-dream/Item/equip_weapon_axe_hand_corundum.webp</t>
  </si>
  <si>
    <t>Corundum Heavy Crossbow</t>
  </si>
  <si>
    <t>modules/a-knights-dream/Item/equip_weapon_crossbow_heavy_corundum.webp</t>
  </si>
  <si>
    <t>Corundum Hunting Trap</t>
  </si>
  <si>
    <t>modules/a-knights-dream/Item/equip_weapon_trap_hunting_corundum.webp</t>
  </si>
  <si>
    <t>Corundum Hunting Trap (Large)</t>
  </si>
  <si>
    <t>modules/a-knights-dream/Item/equip_weapon_trap_hunting_large_corundum.webp</t>
  </si>
  <si>
    <t>Corundum Hunting Trap (Small)</t>
  </si>
  <si>
    <t>modules/a-knights-dream/Item/equip_weapon_trap_hunting_small_corundum.webp</t>
  </si>
  <si>
    <t>Corundum Javelin</t>
  </si>
  <si>
    <t>modules/a-knights-dream/Item/equip_weapon_javelin_corundum.webp</t>
  </si>
  <si>
    <t>Corundum Khpesh</t>
  </si>
  <si>
    <t>modules/a-knights-dream/Item/equip_weapon_khpesh_corundum.webp</t>
  </si>
  <si>
    <t>Corundum Khyber</t>
  </si>
  <si>
    <t>modules/a-knights-dream/Item/equip_weapon_khyber_corundum.webp</t>
  </si>
  <si>
    <t>Corundum Konda</t>
  </si>
  <si>
    <t>modules/a-knights-dream/Item/equip_weapon_konda_corundum.webp</t>
  </si>
  <si>
    <t>Corundum Labrys</t>
  </si>
  <si>
    <t>modules/a-knights-dream/Item/equip_weapon_axe_labrys_corundum.webp</t>
  </si>
  <si>
    <t>Corundum Lance</t>
  </si>
  <si>
    <t>modules/a-knights-dream/Item/equip_weapon_lance_corundum.webp</t>
  </si>
  <si>
    <t>Corundum Light Crossbow</t>
  </si>
  <si>
    <t>modules/a-knights-dream/Item/equip_weapon_crossbow_light_corundum.webp</t>
  </si>
  <si>
    <t>Corundum Long Bow</t>
  </si>
  <si>
    <t>modules/a-knights-dream/Item/equip_weapon_bow_long_corundum.webp</t>
  </si>
  <si>
    <t>Corundum Long Spear</t>
  </si>
  <si>
    <t>modules/a-knights-dream/Item/equip_weapon_spear_long_corundum.webp</t>
  </si>
  <si>
    <t>Corundum Lucerince Hammer</t>
  </si>
  <si>
    <t>modules/a-knights-dream/Item/equip_weapon_hammer_lucerince_corundum.webp</t>
  </si>
  <si>
    <t>Corundum Mace</t>
  </si>
  <si>
    <t>modules/a-knights-dream/Item/equip_weapon_mace_corundum.webp</t>
  </si>
  <si>
    <t>Corundum Morningstar</t>
  </si>
  <si>
    <t>modules/a-knights-dream/Item/equip_weapon_morningstar_corundum.webp</t>
  </si>
  <si>
    <t>Corundum Pike</t>
  </si>
  <si>
    <t>modules/a-knights-dream/Item/equip_weapon_pike_corundum.webp</t>
  </si>
  <si>
    <t>Corundum Quarter Staff</t>
  </si>
  <si>
    <t>modules/a-knights-dream/Item/equip_weapon_staff_quarter_corundum.webp</t>
  </si>
  <si>
    <t>Corundum Ranseur</t>
  </si>
  <si>
    <t>modules/a-knights-dream/Item/equip_weapon_ranseur_corundum.webp</t>
  </si>
  <si>
    <t>Corundum Rapier</t>
  </si>
  <si>
    <t>modules/a-knights-dream/Item/equip_weapon_rapier_corundum.webp</t>
  </si>
  <si>
    <t>Corundum Recurve Bow</t>
  </si>
  <si>
    <t>modules/a-knights-dream/Item/equip_weapon_bow_recurve_corundum.webp</t>
  </si>
  <si>
    <t>Corundum Repeater Crossbow</t>
  </si>
  <si>
    <t>modules/a-knights-dream/Item/equip_weapon_crossbow_repeater_corundum.webp</t>
  </si>
  <si>
    <t>Corundum Sabre</t>
  </si>
  <si>
    <t>modules/a-knights-dream/Item/equip_weapon_sabre_corundum.webp</t>
  </si>
  <si>
    <t>Corundum Scimitar</t>
  </si>
  <si>
    <t>modules/a-knights-dream/Item/equip_weapon_scimitar_corundum.webp</t>
  </si>
  <si>
    <t>Corundum Scythe</t>
  </si>
  <si>
    <t>modules/a-knights-dream/Item/equip_weapon_scythe_corundum.webp</t>
  </si>
  <si>
    <t>Corundum Short Bow</t>
  </si>
  <si>
    <t>modules/a-knights-dream/Item/equip_weapon_bow_short_corundum.webp</t>
  </si>
  <si>
    <t>Corundum Short Spear</t>
  </si>
  <si>
    <t>modules/a-knights-dream/Item/equip_weapon_spear_short_corundum.webp</t>
  </si>
  <si>
    <t>Corundum Short Sword</t>
  </si>
  <si>
    <t>modules/a-knights-dream/Item/equip_weapon_sword_short_corundum.webp</t>
  </si>
  <si>
    <t>Corundum Shotel</t>
  </si>
  <si>
    <t>modules/a-knights-dream/Item/equip_weapon_shotel_corundum.webp</t>
  </si>
  <si>
    <t>Corundum Sickle</t>
  </si>
  <si>
    <t>modules/a-knights-dream/Item/equip_weapon_sickle_corundum.webp</t>
  </si>
  <si>
    <t>Corundum Sling</t>
  </si>
  <si>
    <t>modules/a-knights-dream/Item/equip_weapon_sling_corundum.webp</t>
  </si>
  <si>
    <t>Corundum Staff</t>
  </si>
  <si>
    <t>modules/a-knights-dream/Item/equip_weapon_staff_corundum.webp</t>
  </si>
  <si>
    <t>Corundum Staff Sling</t>
  </si>
  <si>
    <t>modules/a-knights-dream/Item/equip_weapon_sling_staff_corundum.webp</t>
  </si>
  <si>
    <t>Corundum Sword</t>
  </si>
  <si>
    <t>modules/a-knights-dream/Item/equip_weapon_sword_corundum.webp</t>
  </si>
  <si>
    <t>Corundum Tapal</t>
  </si>
  <si>
    <t>modules/a-knights-dream/Item/equip_weapon_tapal_corundum.webp</t>
  </si>
  <si>
    <t>Corundum Trident</t>
  </si>
  <si>
    <t>modules/a-knights-dream/Item/equip_weapon_trident_corundum.webp</t>
  </si>
  <si>
    <t>Corundum War Hammer</t>
  </si>
  <si>
    <t>modules/a-knights-dream/Item/equip_weapon_hammer_war_corundum.webp</t>
  </si>
  <si>
    <t>Corundum War Pick</t>
  </si>
  <si>
    <t>modules/a-knights-dream/Item/equip_weapon_pick_war_corundum.webp</t>
  </si>
  <si>
    <t>Corundum Brigantine Cuirass</t>
  </si>
  <si>
    <t>modules/a-knights-dream/Item/equip_armor_brigantine_cuirass_corundum.webp</t>
  </si>
  <si>
    <t>Corundum Brigantine Gauntlets</t>
  </si>
  <si>
    <t>modules/a-knights-dream/Item/equip_armor_brigantine_gauntlets_corundum.webp</t>
  </si>
  <si>
    <t>Corundum Brigantine Greaves</t>
  </si>
  <si>
    <t>modules/a-knights-dream/Item/equip_armor_brigantine_greaves_corundum.webp</t>
  </si>
  <si>
    <t>Corundum Brigantine Helmet</t>
  </si>
  <si>
    <t>modules/a-knights-dream/Item/equip_armor_brigantine_helmet_corundum.webp</t>
  </si>
  <si>
    <t>Corundum Brigantine Pauldron</t>
  </si>
  <si>
    <t>modules/a-knights-dream/Item/equip_armor_brigantine_pauldron_corundum.webp</t>
  </si>
  <si>
    <t>Corundum Chainmail Cuirass</t>
  </si>
  <si>
    <t>modules/a-knights-dream/Item/equip_armor_chainmail_cuirass_corundum.webp</t>
  </si>
  <si>
    <t>Corundum Chainmail Gauntlets</t>
  </si>
  <si>
    <t>modules/a-knights-dream/Item/equip_armor_chainmail_gauntlets_corundum.webp</t>
  </si>
  <si>
    <t>Corundum Chainmail Greaves</t>
  </si>
  <si>
    <t>modules/a-knights-dream/Item/equip_armor_chainmail_greaves_corundum.webp</t>
  </si>
  <si>
    <t>Corundum Chainmail Helmet</t>
  </si>
  <si>
    <t>modules/a-knights-dream/Item/equip_armor_chainmail_helmet_corundum.webp</t>
  </si>
  <si>
    <t>Corundum Chainmail Pauldron</t>
  </si>
  <si>
    <t>modules/a-knights-dream/Item/equip_armor_chainmail_pauldron_corundum.webp</t>
  </si>
  <si>
    <t>Corundum Gamberson Cuirass</t>
  </si>
  <si>
    <t>modules/a-knights-dream/Item/equip_armor_gamberson_cuirass_corundum.webp</t>
  </si>
  <si>
    <t>Corundum Gamberson Gauntlets</t>
  </si>
  <si>
    <t>modules/a-knights-dream/Item/equip_armor_gamberson_gauntlets_corundum.webp</t>
  </si>
  <si>
    <t>Corundum Gamberson Greaves</t>
  </si>
  <si>
    <t>modules/a-knights-dream/Item/equip_armor_gamberson_greaves_corundum.webp</t>
  </si>
  <si>
    <t>Corundum Gamberson Helmet</t>
  </si>
  <si>
    <t>modules/a-knights-dream/Item/equip_armor_gamberson_helmet_corundum.webp</t>
  </si>
  <si>
    <t>Corundum Gamberson Pauldron</t>
  </si>
  <si>
    <t>modules/a-knights-dream/Item/equip_armor_gamberson_pauldron_corundum.webp</t>
  </si>
  <si>
    <t>Corundum Hauberk Cuirass</t>
  </si>
  <si>
    <t>modules/a-knights-dream/Item/equip_armor_hauberk_cuirass_corundum.webp</t>
  </si>
  <si>
    <t>Corundum Hauberk Gauntlets</t>
  </si>
  <si>
    <t>modules/a-knights-dream/Item/equip_armor_hauberk_gauntlets_corundum.webp</t>
  </si>
  <si>
    <t>Corundum Hauberk Greaves</t>
  </si>
  <si>
    <t>modules/a-knights-dream/Item/equip_armor_hauberk_greaves_corundum.webp</t>
  </si>
  <si>
    <t>Corundum Hauberk Helmet</t>
  </si>
  <si>
    <t>modules/a-knights-dream/Item/equip_armor_hauberk_helmet_corundum.webp</t>
  </si>
  <si>
    <t>Corundum Hauberk Pauldron</t>
  </si>
  <si>
    <t>modules/a-knights-dream/Item/equip_armor_hauberk_pauldron_corundum.webp</t>
  </si>
  <si>
    <t>Corundum Jack Cuirass</t>
  </si>
  <si>
    <t>modules/a-knights-dream/Item/equip_armor_jack_cuirass_corundum.webp</t>
  </si>
  <si>
    <t>Corundum Jack Gauntlets</t>
  </si>
  <si>
    <t>modules/a-knights-dream/Item/equip_armor_jack_gauntlets_corundum.webp</t>
  </si>
  <si>
    <t>Corundum Jack Greaves</t>
  </si>
  <si>
    <t>modules/a-knights-dream/Item/equip_armor_jack_greaves_corundum.webp</t>
  </si>
  <si>
    <t>Corundum Jack Helmet</t>
  </si>
  <si>
    <t>modules/a-knights-dream/Item/equip_armor_jack_helmet_corundum.webp</t>
  </si>
  <si>
    <t>Corundum Jack Pauldron</t>
  </si>
  <si>
    <t>modules/a-knights-dream/Item/equip_armor_jack_pauldron_corundum.webp</t>
  </si>
  <si>
    <t>Corundum Lamellar Cuirass</t>
  </si>
  <si>
    <t>modules/a-knights-dream/Item/equip_armor_lamellar_cuirass_corundum.webp</t>
  </si>
  <si>
    <t>Corundum Lamellar Gauntlets</t>
  </si>
  <si>
    <t>modules/a-knights-dream/Item/equip_armor_lamellar_gauntlets_corundum.webp</t>
  </si>
  <si>
    <t>Corundum Lamellar Greaves</t>
  </si>
  <si>
    <t>modules/a-knights-dream/Item/equip_armor_lamellar_greaves_corundum.webp</t>
  </si>
  <si>
    <t>Corundum Lamellar Helmet</t>
  </si>
  <si>
    <t>modules/a-knights-dream/Item/equip_armor_lamellar_helmet_corundum.webp</t>
  </si>
  <si>
    <t>Corundum Lamellar Pauldron</t>
  </si>
  <si>
    <t>modules/a-knights-dream/Item/equip_armor_lamellar_pauldron_corundum.webp</t>
  </si>
  <si>
    <t>Corundum Platemail Cuirass</t>
  </si>
  <si>
    <t>modules/a-knights-dream/Item/equip_armor_platemail_cuirass_corundum.webp</t>
  </si>
  <si>
    <t>Corundum Platemail Gauntlets</t>
  </si>
  <si>
    <t>modules/a-knights-dream/Item/equip_armor_platemail_gauntlets_corundum.webp</t>
  </si>
  <si>
    <t>Corundum Platemail Greaves</t>
  </si>
  <si>
    <t>modules/a-knights-dream/Item/equip_armor_platemail_greaves_corundum.webp</t>
  </si>
  <si>
    <t>Corundum Platemail Helmet</t>
  </si>
  <si>
    <t>modules/a-knights-dream/Item/equip_armor_platemail_helmet_corundum.webp</t>
  </si>
  <si>
    <t>Corundum Platemail Pauldron</t>
  </si>
  <si>
    <t>modules/a-knights-dream/Item/equip_armor_platemail_pauldron_corundum.webp</t>
  </si>
  <si>
    <t>Corundum Tunic Cuirass</t>
  </si>
  <si>
    <t>modules/a-knights-dream/Item/equip_armor_tunic_cuirass_corundum.webp</t>
  </si>
  <si>
    <t>Corundum Tunic Gauntlets</t>
  </si>
  <si>
    <t>modules/a-knights-dream/Item/equip_armor_tunic_gauntlets_corundum.webp</t>
  </si>
  <si>
    <t>Corundum Tunic Greaves</t>
  </si>
  <si>
    <t>modules/a-knights-dream/Item/equip_armor_tunic_greaves_corundum.webp</t>
  </si>
  <si>
    <t>Corundum Tunic Helmet</t>
  </si>
  <si>
    <t>modules/a-knights-dream/Item/equip_armor_tunic_helmet_corundum.webp</t>
  </si>
  <si>
    <t>Corundum Tunic Pauldron</t>
  </si>
  <si>
    <t>modules/a-knights-dream/Item/equip_armor_tunic_pauldron_corundum.webp</t>
  </si>
  <si>
    <t>Corundum Buckler Shield</t>
  </si>
  <si>
    <t>modules/a-knights-dream/Item/equip_armor_shield_buckler_corundum.webp</t>
  </si>
  <si>
    <t>Corundum Heater Shield</t>
  </si>
  <si>
    <t>modules/a-knights-dream/Item/equip_armor_shield_heater_corundum.webp</t>
  </si>
  <si>
    <t>Corundum Kite Shield</t>
  </si>
  <si>
    <t>modules/a-knights-dream/Item/equip_armor_shield_kite_corundum.webp</t>
  </si>
  <si>
    <t>Corundum Oval Shield</t>
  </si>
  <si>
    <t>modules/a-knights-dream/Item/equip_armor_shield_oval_corundum.webp</t>
  </si>
  <si>
    <t>Corundum Round Shield</t>
  </si>
  <si>
    <t>modules/a-knights-dream/Item/equip_armor_shield_round_corundum.webp</t>
  </si>
  <si>
    <t>Corundum Tower Shield</t>
  </si>
  <si>
    <t>modules/a-knights-dream/Item/equip_armor_shield_tower_corundum.webp</t>
  </si>
  <si>
    <t>Crystal</t>
  </si>
  <si>
    <t>Crystal Ball Bearings</t>
  </si>
  <si>
    <t>modules/a-knights-dream/Item/equip_weapon_bearings_crystal.webp</t>
  </si>
  <si>
    <t>Crystal Bardiche</t>
  </si>
  <si>
    <t>modules/a-knights-dream/Item/equip_weapon_bardiche_crystal.webp</t>
  </si>
  <si>
    <t>Crystal Bastard Sword</t>
  </si>
  <si>
    <t>modules/a-knights-dream/Item/equip_weapon_sword_bastard_crystal.webp</t>
  </si>
  <si>
    <t>Crystal Battle Axe</t>
  </si>
  <si>
    <t>modules/a-knights-dream/Item/equip_weapon_axe_battle_crystal.webp</t>
  </si>
  <si>
    <t>Crystal Blowgun</t>
  </si>
  <si>
    <t>modules/a-knights-dream/Item/equip_weapon_blowgun_crystal.webp</t>
  </si>
  <si>
    <t>Crystal Bolt</t>
  </si>
  <si>
    <t>modules/a-knights-dream/Item/equip_weapon_bolt_crystal.webp</t>
  </si>
  <si>
    <t>Crystal Boomerang</t>
  </si>
  <si>
    <t>modules/a-knights-dream/Item/equip_weapon_boomerang_crystal.webp</t>
  </si>
  <si>
    <t>Crystal Bow</t>
  </si>
  <si>
    <t>modules/a-knights-dream/Item/equip_weapon_bow_crystal.webp</t>
  </si>
  <si>
    <t>Crystal Caltrops</t>
  </si>
  <si>
    <t>modules/a-knights-dream/Item/equip_weapon_caltrops_crystal.webp</t>
  </si>
  <si>
    <t>Crystal Cestus</t>
  </si>
  <si>
    <t>modules/a-knights-dream/Item/equip_weapon_cestus_crystal.webp</t>
  </si>
  <si>
    <t>Crystal Chain</t>
  </si>
  <si>
    <t>modules/a-knights-dream/Item/equip_weapon_chain_crystal.webp</t>
  </si>
  <si>
    <t>Crystal Claymore</t>
  </si>
  <si>
    <t>modules/a-knights-dream/Item/equip_weapon_claymore_crystal.webp</t>
  </si>
  <si>
    <t>Crystal Club</t>
  </si>
  <si>
    <t>modules/a-knights-dream/Item/equip_weapon_club_crystal.webp</t>
  </si>
  <si>
    <t>Crystal Compound Bow</t>
  </si>
  <si>
    <t>modules/a-knights-dream/Item/equip_weapon_bow_compound_crystal.webp</t>
  </si>
  <si>
    <t>Crystal Cutlass</t>
  </si>
  <si>
    <t>modules/a-knights-dream/Item/equip_weapon_cutlass_crystal.webp</t>
  </si>
  <si>
    <t>Crystal Dagger</t>
  </si>
  <si>
    <t>modules/a-knights-dream/Item/equip_weapon_dagger_crystal.webp</t>
  </si>
  <si>
    <t>Crystal Dart</t>
  </si>
  <si>
    <t>modules/a-knights-dream/Item/equip_weapon_dart_crystal.webp</t>
  </si>
  <si>
    <t>Crystal Fauchard Scythe</t>
  </si>
  <si>
    <t>modules/a-knights-dream/Item/equip_weapon_scythe_fauchard_crystal.webp</t>
  </si>
  <si>
    <t>Crystal Flail</t>
  </si>
  <si>
    <t>modules/a-knights-dream/Item/equip_weapon_flail_crystal.webp</t>
  </si>
  <si>
    <t>Crystal Glaive</t>
  </si>
  <si>
    <t>modules/a-knights-dream/Item/equip_weapon_glaive_crystal.webp</t>
  </si>
  <si>
    <t>Crystal Grapple Hook</t>
  </si>
  <si>
    <t>modules/a-knights-dream/Item/equip_weapon_hook_grapple_crystal.webp</t>
  </si>
  <si>
    <t>Crystal Great Axe</t>
  </si>
  <si>
    <t>modules/a-knights-dream/Item/equip_weapon_axe_great_crystal.webp</t>
  </si>
  <si>
    <t>Crystal Great Club</t>
  </si>
  <si>
    <t>modules/a-knights-dream/Item/equip_weapon_club_great_crystal.webp</t>
  </si>
  <si>
    <t>Crystal Great Khyber</t>
  </si>
  <si>
    <t>modules/a-knights-dream/Item/equip_weapon_khyber_great_crystal.webp</t>
  </si>
  <si>
    <t>Crystal Great Konda</t>
  </si>
  <si>
    <t>modules/a-knights-dream/Item/equip_weapon_konda_great_crystal.webp</t>
  </si>
  <si>
    <t>Crystal Great Labrys</t>
  </si>
  <si>
    <t>modules/a-knights-dream/Item/equip_weapon_axe_labrys_great_crystal.webp</t>
  </si>
  <si>
    <t>Crystal Great Mace</t>
  </si>
  <si>
    <t>modules/a-knights-dream/Item/equip_weapon_mace_great_crystal.webp</t>
  </si>
  <si>
    <t>Crystal Great Tapal</t>
  </si>
  <si>
    <t>modules/a-knights-dream/Item/equip_weapon_tapal_great_crystal.webp</t>
  </si>
  <si>
    <t>Crystal Great War Bow</t>
  </si>
  <si>
    <t>modules/a-knights-dream/Item/equip_weapon_bow_war_great_crystal.webp</t>
  </si>
  <si>
    <t>Crystal Great War Hammer</t>
  </si>
  <si>
    <t>modules/a-knights-dream/Item/equip_weapon_hammer_war_great_crystal.webp</t>
  </si>
  <si>
    <t>Crystal Great War Pick</t>
  </si>
  <si>
    <t>modules/a-knights-dream/Item/equip_weapon_pick_war_great_crystal.webp</t>
  </si>
  <si>
    <t>Crystal Guisarme</t>
  </si>
  <si>
    <t>modules/a-knights-dream/Item/equip_weapon_guisarme_crystal.webp</t>
  </si>
  <si>
    <t>Crystal Halberd</t>
  </si>
  <si>
    <t>modules/a-knights-dream/Item/equip_weapon_halberd_crystal.webp</t>
  </si>
  <si>
    <t>Crystal Hand Crossbow</t>
  </si>
  <si>
    <t>modules/a-knights-dream/Item/equip_weapon_crossbow_hand_crystal.webp</t>
  </si>
  <si>
    <t>Crystal Hand axe</t>
  </si>
  <si>
    <t>modules/a-knights-dream/Item/equip_weapon_axe_hand_crystal.webp</t>
  </si>
  <si>
    <t>Crystal Heavy Crossbow</t>
  </si>
  <si>
    <t>modules/a-knights-dream/Item/equip_weapon_crossbow_heavy_crystal.webp</t>
  </si>
  <si>
    <t>Crystal Hunting Trap</t>
  </si>
  <si>
    <t>modules/a-knights-dream/Item/equip_weapon_trap_hunting_crystal.webp</t>
  </si>
  <si>
    <t>Crystal Hunting Trap (Large)</t>
  </si>
  <si>
    <t>modules/a-knights-dream/Item/equip_weapon_trap_hunting_large_crystal.webp</t>
  </si>
  <si>
    <t>Crystal Hunting Trap (Small)</t>
  </si>
  <si>
    <t>modules/a-knights-dream/Item/equip_weapon_trap_hunting_small_crystal.webp</t>
  </si>
  <si>
    <t>Crystal Javelin</t>
  </si>
  <si>
    <t>modules/a-knights-dream/Item/equip_weapon_javelin_crystal.webp</t>
  </si>
  <si>
    <t>Crystal Khpesh</t>
  </si>
  <si>
    <t>modules/a-knights-dream/Item/equip_weapon_khpesh_crystal.webp</t>
  </si>
  <si>
    <t>Crystal Khyber</t>
  </si>
  <si>
    <t>modules/a-knights-dream/Item/equip_weapon_khyber_crystal.webp</t>
  </si>
  <si>
    <t>Crystal Konda</t>
  </si>
  <si>
    <t>modules/a-knights-dream/Item/equip_weapon_konda_crystal.webp</t>
  </si>
  <si>
    <t>Crystal Labrys</t>
  </si>
  <si>
    <t>modules/a-knights-dream/Item/equip_weapon_axe_labrys_crystal.webp</t>
  </si>
  <si>
    <t>Crystal Lance</t>
  </si>
  <si>
    <t>modules/a-knights-dream/Item/equip_weapon_lance_crystal.webp</t>
  </si>
  <si>
    <t>Crystal Light Crossbow</t>
  </si>
  <si>
    <t>modules/a-knights-dream/Item/equip_weapon_crossbow_light_crystal.webp</t>
  </si>
  <si>
    <t>Crystal Long Bow</t>
  </si>
  <si>
    <t>modules/a-knights-dream/Item/equip_weapon_bow_long_crystal.webp</t>
  </si>
  <si>
    <t>Crystal Long Spear</t>
  </si>
  <si>
    <t>modules/a-knights-dream/Item/equip_weapon_spear_long_crystal.webp</t>
  </si>
  <si>
    <t>Crystal Lucerince Hammer</t>
  </si>
  <si>
    <t>modules/a-knights-dream/Item/equip_weapon_hammer_lucerince_crystal.webp</t>
  </si>
  <si>
    <t>Crystal Mace</t>
  </si>
  <si>
    <t>modules/a-knights-dream/Item/equip_weapon_mace_crystal.webp</t>
  </si>
  <si>
    <t>Crystal Morningstar</t>
  </si>
  <si>
    <t>modules/a-knights-dream/Item/equip_weapon_morningstar_crystal.webp</t>
  </si>
  <si>
    <t>Crystal Pike</t>
  </si>
  <si>
    <t>modules/a-knights-dream/Item/equip_weapon_pike_crystal.webp</t>
  </si>
  <si>
    <t>Crystal Quarter Staff</t>
  </si>
  <si>
    <t>modules/a-knights-dream/Item/equip_weapon_staff_quarter_crystal.webp</t>
  </si>
  <si>
    <t>Crystal Ranseur</t>
  </si>
  <si>
    <t>modules/a-knights-dream/Item/equip_weapon_ranseur_crystal.webp</t>
  </si>
  <si>
    <t>Crystal Rapier</t>
  </si>
  <si>
    <t>modules/a-knights-dream/Item/equip_weapon_rapier_crystal.webp</t>
  </si>
  <si>
    <t>Crystal Recurve Bow</t>
  </si>
  <si>
    <t>modules/a-knights-dream/Item/equip_weapon_bow_recurve_crystal.webp</t>
  </si>
  <si>
    <t>Crystal Repeater Crossbow</t>
  </si>
  <si>
    <t>modules/a-knights-dream/Item/equip_weapon_crossbow_repeater_crystal.webp</t>
  </si>
  <si>
    <t>Crystal Sabre</t>
  </si>
  <si>
    <t>modules/a-knights-dream/Item/equip_weapon_sabre_crystal.webp</t>
  </si>
  <si>
    <t>Crystal Scimitar</t>
  </si>
  <si>
    <t>modules/a-knights-dream/Item/equip_weapon_scimitar_crystal.webp</t>
  </si>
  <si>
    <t>Crystal Scythe</t>
  </si>
  <si>
    <t>modules/a-knights-dream/Item/equip_weapon_scythe_crystal.webp</t>
  </si>
  <si>
    <t>Crystal Short Bow</t>
  </si>
  <si>
    <t>modules/a-knights-dream/Item/equip_weapon_bow_short_crystal.webp</t>
  </si>
  <si>
    <t>Crystal Short Spear</t>
  </si>
  <si>
    <t>modules/a-knights-dream/Item/equip_weapon_spear_short_crystal.webp</t>
  </si>
  <si>
    <t>Crystal Short Sword</t>
  </si>
  <si>
    <t>modules/a-knights-dream/Item/equip_weapon_sword_short_crystal.webp</t>
  </si>
  <si>
    <t>Crystal Shotel</t>
  </si>
  <si>
    <t>modules/a-knights-dream/Item/equip_weapon_shotel_crystal.webp</t>
  </si>
  <si>
    <t>Crystal Sickle</t>
  </si>
  <si>
    <t>modules/a-knights-dream/Item/equip_weapon_sickle_crystal.webp</t>
  </si>
  <si>
    <t>Crystal Sling</t>
  </si>
  <si>
    <t>modules/a-knights-dream/Item/equip_weapon_sling_crystal.webp</t>
  </si>
  <si>
    <t>Crystal Staff</t>
  </si>
  <si>
    <t>modules/a-knights-dream/Item/equip_weapon_staff_crystal.webp</t>
  </si>
  <si>
    <t>Crystal Staff Sling</t>
  </si>
  <si>
    <t>modules/a-knights-dream/Item/equip_weapon_sling_staff_crystal.webp</t>
  </si>
  <si>
    <t>Crystal Sword</t>
  </si>
  <si>
    <t>modules/a-knights-dream/Item/equip_weapon_sword_crystal.webp</t>
  </si>
  <si>
    <t>Crystal Tapal</t>
  </si>
  <si>
    <t>modules/a-knights-dream/Item/equip_weapon_tapal_crystal.webp</t>
  </si>
  <si>
    <t>Crystal Trident</t>
  </si>
  <si>
    <t>modules/a-knights-dream/Item/equip_weapon_trident_crystal.webp</t>
  </si>
  <si>
    <t>Crystal War Hammer</t>
  </si>
  <si>
    <t>modules/a-knights-dream/Item/equip_weapon_hammer_war_crystal.webp</t>
  </si>
  <si>
    <t>Crystal War Pick</t>
  </si>
  <si>
    <t>modules/a-knights-dream/Item/equip_weapon_pick_war_crystal.webp</t>
  </si>
  <si>
    <t>Crystal Brigantine Cuirass</t>
  </si>
  <si>
    <t>modules/a-knights-dream/Item/equip_armor_brigantine_cuirass_crystal.webp</t>
  </si>
  <si>
    <t>Crystal Brigantine Gauntlets</t>
  </si>
  <si>
    <t>modules/a-knights-dream/Item/equip_armor_brigantine_gauntlets_crystal.webp</t>
  </si>
  <si>
    <t>Crystal Brigantine Greaves</t>
  </si>
  <si>
    <t>modules/a-knights-dream/Item/equip_armor_brigantine_greaves_crystal.webp</t>
  </si>
  <si>
    <t>Crystal Brigantine Helmet</t>
  </si>
  <si>
    <t>modules/a-knights-dream/Item/equip_armor_brigantine_helmet_crystal.webp</t>
  </si>
  <si>
    <t>Crystal Brigantine Pauldron</t>
  </si>
  <si>
    <t>modules/a-knights-dream/Item/equip_armor_brigantine_pauldron_crystal.webp</t>
  </si>
  <si>
    <t>Crystal Chainmail Cuirass</t>
  </si>
  <si>
    <t>modules/a-knights-dream/Item/equip_armor_chainmail_cuirass_crystal.webp</t>
  </si>
  <si>
    <t>Crystal Chainmail Gauntlets</t>
  </si>
  <si>
    <t>modules/a-knights-dream/Item/equip_armor_chainmail_gauntlets_crystal.webp</t>
  </si>
  <si>
    <t>Crystal Chainmail Greaves</t>
  </si>
  <si>
    <t>modules/a-knights-dream/Item/equip_armor_chainmail_greaves_crystal.webp</t>
  </si>
  <si>
    <t>Crystal Chainmail Helmet</t>
  </si>
  <si>
    <t>modules/a-knights-dream/Item/equip_armor_chainmail_helmet_crystal.webp</t>
  </si>
  <si>
    <t>Crystal Chainmail Pauldron</t>
  </si>
  <si>
    <t>modules/a-knights-dream/Item/equip_armor_chainmail_pauldron_crystal.webp</t>
  </si>
  <si>
    <t>Crystal Gamberson Cuirass</t>
  </si>
  <si>
    <t>modules/a-knights-dream/Item/equip_armor_gamberson_cuirass_crystal.webp</t>
  </si>
  <si>
    <t>Crystal Gamberson Gauntlets</t>
  </si>
  <si>
    <t>modules/a-knights-dream/Item/equip_armor_gamberson_gauntlets_crystal.webp</t>
  </si>
  <si>
    <t>Crystal Gamberson Greaves</t>
  </si>
  <si>
    <t>modules/a-knights-dream/Item/equip_armor_gamberson_greaves_crystal.webp</t>
  </si>
  <si>
    <t>Crystal Gamberson Helmet</t>
  </si>
  <si>
    <t>modules/a-knights-dream/Item/equip_armor_gamberson_helmet_crystal.webp</t>
  </si>
  <si>
    <t>Crystal Gamberson Pauldron</t>
  </si>
  <si>
    <t>modules/a-knights-dream/Item/equip_armor_gamberson_pauldron_crystal.webp</t>
  </si>
  <si>
    <t>Crystal Hauberk Cuirass</t>
  </si>
  <si>
    <t>modules/a-knights-dream/Item/equip_armor_hauberk_cuirass_crystal.webp</t>
  </si>
  <si>
    <t>Crystal Hauberk Gauntlets</t>
  </si>
  <si>
    <t>modules/a-knights-dream/Item/equip_armor_hauberk_gauntlets_crystal.webp</t>
  </si>
  <si>
    <t>Crystal Hauberk Greaves</t>
  </si>
  <si>
    <t>modules/a-knights-dream/Item/equip_armor_hauberk_greaves_crystal.webp</t>
  </si>
  <si>
    <t>Crystal Hauberk Helmet</t>
  </si>
  <si>
    <t>modules/a-knights-dream/Item/equip_armor_hauberk_helmet_crystal.webp</t>
  </si>
  <si>
    <t>Crystal Hauberk Pauldron</t>
  </si>
  <si>
    <t>modules/a-knights-dream/Item/equip_armor_hauberk_pauldron_crystal.webp</t>
  </si>
  <si>
    <t>Crystal Jack Cuirass</t>
  </si>
  <si>
    <t>modules/a-knights-dream/Item/equip_armor_jack_cuirass_crystal.webp</t>
  </si>
  <si>
    <t>Crystal Jack Gauntlets</t>
  </si>
  <si>
    <t>modules/a-knights-dream/Item/equip_armor_jack_gauntlets_crystal.webp</t>
  </si>
  <si>
    <t>Crystal Jack Greaves</t>
  </si>
  <si>
    <t>modules/a-knights-dream/Item/equip_armor_jack_greaves_crystal.webp</t>
  </si>
  <si>
    <t>Crystal Jack Helmet</t>
  </si>
  <si>
    <t>modules/a-knights-dream/Item/equip_armor_jack_helmet_crystal.webp</t>
  </si>
  <si>
    <t>Crystal Jack Pauldron</t>
  </si>
  <si>
    <t>modules/a-knights-dream/Item/equip_armor_jack_pauldron_crystal.webp</t>
  </si>
  <si>
    <t>Crystal Lamellar Cuirass</t>
  </si>
  <si>
    <t>modules/a-knights-dream/Item/equip_armor_lamellar_cuirass_crystal.webp</t>
  </si>
  <si>
    <t>Crystal Lamellar Gauntlets</t>
  </si>
  <si>
    <t>modules/a-knights-dream/Item/equip_armor_lamellar_gauntlets_crystal.webp</t>
  </si>
  <si>
    <t>Crystal Lamellar Greaves</t>
  </si>
  <si>
    <t>modules/a-knights-dream/Item/equip_armor_lamellar_greaves_crystal.webp</t>
  </si>
  <si>
    <t>Crystal Lamellar Helmet</t>
  </si>
  <si>
    <t>modules/a-knights-dream/Item/equip_armor_lamellar_helmet_crystal.webp</t>
  </si>
  <si>
    <t>Crystal Lamellar Pauldron</t>
  </si>
  <si>
    <t>modules/a-knights-dream/Item/equip_armor_lamellar_pauldron_crystal.webp</t>
  </si>
  <si>
    <t>Crystal Platemail Cuirass</t>
  </si>
  <si>
    <t>modules/a-knights-dream/Item/equip_armor_platemail_cuirass_crystal.webp</t>
  </si>
  <si>
    <t>Crystal Platemail Gauntlets</t>
  </si>
  <si>
    <t>modules/a-knights-dream/Item/equip_armor_platemail_gauntlets_crystal.webp</t>
  </si>
  <si>
    <t>Crystal Platemail Greaves</t>
  </si>
  <si>
    <t>modules/a-knights-dream/Item/equip_armor_platemail_greaves_crystal.webp</t>
  </si>
  <si>
    <t>Crystal Platemail Helmet</t>
  </si>
  <si>
    <t>modules/a-knights-dream/Item/equip_armor_platemail_helmet_crystal.webp</t>
  </si>
  <si>
    <t>Crystal Platemail Pauldron</t>
  </si>
  <si>
    <t>modules/a-knights-dream/Item/equip_armor_platemail_pauldron_crystal.webp</t>
  </si>
  <si>
    <t>Crystal Tunic Cuirass</t>
  </si>
  <si>
    <t>modules/a-knights-dream/Item/equip_armor_tunic_cuirass_crystal.webp</t>
  </si>
  <si>
    <t>Crystal Tunic Gauntlets</t>
  </si>
  <si>
    <t>modules/a-knights-dream/Item/equip_armor_tunic_gauntlets_crystal.webp</t>
  </si>
  <si>
    <t>Crystal Tunic Greaves</t>
  </si>
  <si>
    <t>modules/a-knights-dream/Item/equip_armor_tunic_greaves_crystal.webp</t>
  </si>
  <si>
    <t>Crystal Tunic Helmet</t>
  </si>
  <si>
    <t>modules/a-knights-dream/Item/equip_armor_tunic_helmet_crystal.webp</t>
  </si>
  <si>
    <t>Crystal Tunic Pauldron</t>
  </si>
  <si>
    <t>modules/a-knights-dream/Item/equip_armor_tunic_pauldron_crystal.webp</t>
  </si>
  <si>
    <t>Crystal Buckler Shield</t>
  </si>
  <si>
    <t>modules/a-knights-dream/Item/equip_armor_shield_buckler_crystal.webp</t>
  </si>
  <si>
    <t>Crystal Heater Shield</t>
  </si>
  <si>
    <t>modules/a-knights-dream/Item/equip_armor_shield_heater_crystal.webp</t>
  </si>
  <si>
    <t>Crystal Kite Shield</t>
  </si>
  <si>
    <t>modules/a-knights-dream/Item/equip_armor_shield_kite_crystal.webp</t>
  </si>
  <si>
    <t>Crystal Oval Shield</t>
  </si>
  <si>
    <t>modules/a-knights-dream/Item/equip_armor_shield_oval_crystal.webp</t>
  </si>
  <si>
    <t>Crystal Round Shield</t>
  </si>
  <si>
    <t>modules/a-knights-dream/Item/equip_armor_shield_round_crystal.webp</t>
  </si>
  <si>
    <t>Crystal Tower Shield</t>
  </si>
  <si>
    <t>modules/a-knights-dream/Item/equip_armor_shield_tower_crystal.webp</t>
  </si>
  <si>
    <t>Elukian'clay</t>
  </si>
  <si>
    <t>Elukian'clay Ball Bearings</t>
  </si>
  <si>
    <t>modules/a-knights-dream/Item/equip_weapon_bearings_elukianclay.webp</t>
  </si>
  <si>
    <t>Elukian'clay Bardiche</t>
  </si>
  <si>
    <t>modules/a-knights-dream/Item/equip_weapon_bardiche_elukianclay.webp</t>
  </si>
  <si>
    <t>Elukian'clay Bastard Sword</t>
  </si>
  <si>
    <t>modules/a-knights-dream/Item/equip_weapon_sword_bastard_elukianclay.webp</t>
  </si>
  <si>
    <t>Elukian'clay Battle Axe</t>
  </si>
  <si>
    <t>modules/a-knights-dream/Item/equip_weapon_axe_battle_elukianclay.webp</t>
  </si>
  <si>
    <t>Elukian'clay Blowgun</t>
  </si>
  <si>
    <t>modules/a-knights-dream/Item/equip_weapon_blowgun_elukianclay.webp</t>
  </si>
  <si>
    <t>Elukian'clay Bolt</t>
  </si>
  <si>
    <t>modules/a-knights-dream/Item/equip_weapon_bolt_elukianclay.webp</t>
  </si>
  <si>
    <t>Elukian'clay Boomerang</t>
  </si>
  <si>
    <t>modules/a-knights-dream/Item/equip_weapon_boomerang_elukianclay.webp</t>
  </si>
  <si>
    <t>Elukian'clay Bow</t>
  </si>
  <si>
    <t>modules/a-knights-dream/Item/equip_weapon_bow_elukianclay.webp</t>
  </si>
  <si>
    <t>Elukian'clay Caltrops</t>
  </si>
  <si>
    <t>modules/a-knights-dream/Item/equip_weapon_caltrops_elukianclay.webp</t>
  </si>
  <si>
    <t>Elukian'clay Cestus</t>
  </si>
  <si>
    <t>modules/a-knights-dream/Item/equip_weapon_cestus_elukianclay.webp</t>
  </si>
  <si>
    <t>Elukian'clay Chain</t>
  </si>
  <si>
    <t>modules/a-knights-dream/Item/equip_weapon_chain_elukianclay.webp</t>
  </si>
  <si>
    <t>Elukian'clay Claymore</t>
  </si>
  <si>
    <t>modules/a-knights-dream/Item/equip_weapon_claymore_elukianclay.webp</t>
  </si>
  <si>
    <t>Elukian'clay Club</t>
  </si>
  <si>
    <t>modules/a-knights-dream/Item/equip_weapon_club_elukianclay.webp</t>
  </si>
  <si>
    <t>Elukian'clay Compound Bow</t>
  </si>
  <si>
    <t>modules/a-knights-dream/Item/equip_weapon_bow_compound_elukianclay.webp</t>
  </si>
  <si>
    <t>Elukian'clay Cutlass</t>
  </si>
  <si>
    <t>modules/a-knights-dream/Item/equip_weapon_cutlass_elukianclay.webp</t>
  </si>
  <si>
    <t>Elukian'clay Dagger</t>
  </si>
  <si>
    <t>modules/a-knights-dream/Item/equip_weapon_dagger_elukianclay.webp</t>
  </si>
  <si>
    <t>Elukian'clay Dart</t>
  </si>
  <si>
    <t>modules/a-knights-dream/Item/equip_weapon_dart_elukianclay.webp</t>
  </si>
  <si>
    <t>Elukian'clay Fauchard Scythe</t>
  </si>
  <si>
    <t>modules/a-knights-dream/Item/equip_weapon_scythe_fauchard_elukianclay.webp</t>
  </si>
  <si>
    <t>Elukian'clay Flail</t>
  </si>
  <si>
    <t>modules/a-knights-dream/Item/equip_weapon_flail_elukianclay.webp</t>
  </si>
  <si>
    <t>Elukian'clay Glaive</t>
  </si>
  <si>
    <t>modules/a-knights-dream/Item/equip_weapon_glaive_elukianclay.webp</t>
  </si>
  <si>
    <t>Elukian'clay Grapple Hook</t>
  </si>
  <si>
    <t>modules/a-knights-dream/Item/equip_weapon_hook_grapple_elukianclay.webp</t>
  </si>
  <si>
    <t>Elukian'clay Great Axe</t>
  </si>
  <si>
    <t>modules/a-knights-dream/Item/equip_weapon_axe_great_elukianclay.webp</t>
  </si>
  <si>
    <t>Elukian'clay Great Club</t>
  </si>
  <si>
    <t>modules/a-knights-dream/Item/equip_weapon_club_great_elukianclay.webp</t>
  </si>
  <si>
    <t>Elukian'clay Great Khyber</t>
  </si>
  <si>
    <t>modules/a-knights-dream/Item/equip_weapon_khyber_great_elukianclay.webp</t>
  </si>
  <si>
    <t>Elukian'clay Great Konda</t>
  </si>
  <si>
    <t>modules/a-knights-dream/Item/equip_weapon_konda_great_elukianclay.webp</t>
  </si>
  <si>
    <t>Elukian'clay Great Labrys</t>
  </si>
  <si>
    <t>modules/a-knights-dream/Item/equip_weapon_axe_labrys_great_elukianclay.webp</t>
  </si>
  <si>
    <t>Elukian'clay Great Mace</t>
  </si>
  <si>
    <t>modules/a-knights-dream/Item/equip_weapon_mace_great_elukianclay.webp</t>
  </si>
  <si>
    <t>Elukian'clay Great Tapal</t>
  </si>
  <si>
    <t>modules/a-knights-dream/Item/equip_weapon_tapal_great_elukianclay.webp</t>
  </si>
  <si>
    <t>Elukian'clay Great War Bow</t>
  </si>
  <si>
    <t>modules/a-knights-dream/Item/equip_weapon_bow_war_great_elukianclay.webp</t>
  </si>
  <si>
    <t>Elukian'clay Great War Hammer</t>
  </si>
  <si>
    <t>modules/a-knights-dream/Item/equip_weapon_hammer_war_great_elukianclay.webp</t>
  </si>
  <si>
    <t>Elukian'clay Great War Pick</t>
  </si>
  <si>
    <t>modules/a-knights-dream/Item/equip_weapon_pick_war_great_elukianclay.webp</t>
  </si>
  <si>
    <t>Elukian'clay Guisarme</t>
  </si>
  <si>
    <t>modules/a-knights-dream/Item/equip_weapon_guisarme_elukianclay.webp</t>
  </si>
  <si>
    <t>Elukian'clay Halberd</t>
  </si>
  <si>
    <t>modules/a-knights-dream/Item/equip_weapon_halberd_elukianclay.webp</t>
  </si>
  <si>
    <t>Elukian'clay Hand Crossbow</t>
  </si>
  <si>
    <t>modules/a-knights-dream/Item/equip_weapon_crossbow_hand_elukianclay.webp</t>
  </si>
  <si>
    <t>Elukian'clay Hand axe</t>
  </si>
  <si>
    <t>modules/a-knights-dream/Item/equip_weapon_axe_hand_elukianclay.webp</t>
  </si>
  <si>
    <t>Elukian'clay Heavy Crossbow</t>
  </si>
  <si>
    <t>modules/a-knights-dream/Item/equip_weapon_crossbow_heavy_elukianclay.webp</t>
  </si>
  <si>
    <t>Elukian'clay Hunting Trap</t>
  </si>
  <si>
    <t>modules/a-knights-dream/Item/equip_weapon_trap_hunting_elukianclay.webp</t>
  </si>
  <si>
    <t>Elukian'clay Hunting Trap (Large)</t>
  </si>
  <si>
    <t>modules/a-knights-dream/Item/equip_weapon_trap_hunting_large_elukianclay.webp</t>
  </si>
  <si>
    <t>Elukian'clay Hunting Trap (Small)</t>
  </si>
  <si>
    <t>modules/a-knights-dream/Item/equip_weapon_trap_hunting_small_elukianclay.webp</t>
  </si>
  <si>
    <t>Elukian'clay Javelin</t>
  </si>
  <si>
    <t>modules/a-knights-dream/Item/equip_weapon_javelin_elukianclay.webp</t>
  </si>
  <si>
    <t>Elukian'clay Khpesh</t>
  </si>
  <si>
    <t>modules/a-knights-dream/Item/equip_weapon_khpesh_elukianclay.webp</t>
  </si>
  <si>
    <t>Elukian'clay Khyber</t>
  </si>
  <si>
    <t>modules/a-knights-dream/Item/equip_weapon_khyber_elukianclay.webp</t>
  </si>
  <si>
    <t>Elukian'clay Konda</t>
  </si>
  <si>
    <t>modules/a-knights-dream/Item/equip_weapon_konda_elukianclay.webp</t>
  </si>
  <si>
    <t>Elukian'clay Labrys</t>
  </si>
  <si>
    <t>modules/a-knights-dream/Item/equip_weapon_axe_labrys_elukianclay.webp</t>
  </si>
  <si>
    <t>Elukian'clay Lance</t>
  </si>
  <si>
    <t>modules/a-knights-dream/Item/equip_weapon_lance_elukianclay.webp</t>
  </si>
  <si>
    <t>Elukian'clay Light Crossbow</t>
  </si>
  <si>
    <t>modules/a-knights-dream/Item/equip_weapon_crossbow_light_elukianclay.webp</t>
  </si>
  <si>
    <t>Elukian'clay Long Bow</t>
  </si>
  <si>
    <t>modules/a-knights-dream/Item/equip_weapon_bow_long_elukianclay.webp</t>
  </si>
  <si>
    <t>Elukian'clay Long Spear</t>
  </si>
  <si>
    <t>modules/a-knights-dream/Item/equip_weapon_spear_long_elukianclay.webp</t>
  </si>
  <si>
    <t>Elukian'clay Lucerince Hammer</t>
  </si>
  <si>
    <t>modules/a-knights-dream/Item/equip_weapon_hammer_lucerince_elukianclay.webp</t>
  </si>
  <si>
    <t>Elukian'clay Mace</t>
  </si>
  <si>
    <t>modules/a-knights-dream/Item/equip_weapon_mace_elukianclay.webp</t>
  </si>
  <si>
    <t>Elukian'clay Morningstar</t>
  </si>
  <si>
    <t>modules/a-knights-dream/Item/equip_weapon_morningstar_elukianclay.webp</t>
  </si>
  <si>
    <t>Elukian'clay Pike</t>
  </si>
  <si>
    <t>modules/a-knights-dream/Item/equip_weapon_pike_elukianclay.webp</t>
  </si>
  <si>
    <t>Elukian'clay Quarter Staff</t>
  </si>
  <si>
    <t>modules/a-knights-dream/Item/equip_weapon_staff_quarter_elukianclay.webp</t>
  </si>
  <si>
    <t>Elukian'clay Ranseur</t>
  </si>
  <si>
    <t>modules/a-knights-dream/Item/equip_weapon_ranseur_elukianclay.webp</t>
  </si>
  <si>
    <t>Elukian'clay Rapier</t>
  </si>
  <si>
    <t>modules/a-knights-dream/Item/equip_weapon_rapier_elukianclay.webp</t>
  </si>
  <si>
    <t>Elukian'clay Recurve Bow</t>
  </si>
  <si>
    <t>modules/a-knights-dream/Item/equip_weapon_bow_recurve_elukianclay.webp</t>
  </si>
  <si>
    <t>Elukian'clay Repeater Crossbow</t>
  </si>
  <si>
    <t>modules/a-knights-dream/Item/equip_weapon_crossbow_repeater_elukianclay.webp</t>
  </si>
  <si>
    <t>Elukian'clay Sabre</t>
  </si>
  <si>
    <t>modules/a-knights-dream/Item/equip_weapon_sabre_elukianclay.webp</t>
  </si>
  <si>
    <t>Elukian'clay Scimitar</t>
  </si>
  <si>
    <t>modules/a-knights-dream/Item/equip_weapon_scimitar_elukianclay.webp</t>
  </si>
  <si>
    <t>Elukian'clay Scythe</t>
  </si>
  <si>
    <t>modules/a-knights-dream/Item/equip_weapon_scythe_elukianclay.webp</t>
  </si>
  <si>
    <t>Elukian'clay Short Bow</t>
  </si>
  <si>
    <t>modules/a-knights-dream/Item/equip_weapon_bow_short_elukianclay.webp</t>
  </si>
  <si>
    <t>Elukian'clay Short Spear</t>
  </si>
  <si>
    <t>modules/a-knights-dream/Item/equip_weapon_spear_short_elukianclay.webp</t>
  </si>
  <si>
    <t>Elukian'clay Short Sword</t>
  </si>
  <si>
    <t>modules/a-knights-dream/Item/equip_weapon_sword_short_elukianclay.webp</t>
  </si>
  <si>
    <t>Elukian'clay Shotel</t>
  </si>
  <si>
    <t>modules/a-knights-dream/Item/equip_weapon_shotel_elukianclay.webp</t>
  </si>
  <si>
    <t>Elukian'clay Sickle</t>
  </si>
  <si>
    <t>modules/a-knights-dream/Item/equip_weapon_sickle_elukianclay.webp</t>
  </si>
  <si>
    <t>Elukian'clay Sling</t>
  </si>
  <si>
    <t>modules/a-knights-dream/Item/equip_weapon_sling_elukianclay.webp</t>
  </si>
  <si>
    <t>Elukian'clay Staff</t>
  </si>
  <si>
    <t>modules/a-knights-dream/Item/equip_weapon_staff_elukianclay.webp</t>
  </si>
  <si>
    <t>Elukian'clay Staff Sling</t>
  </si>
  <si>
    <t>modules/a-knights-dream/Item/equip_weapon_sling_staff_elukianclay.webp</t>
  </si>
  <si>
    <t>Elukian'clay Sword</t>
  </si>
  <si>
    <t>modules/a-knights-dream/Item/equip_weapon_sword_elukianclay.webp</t>
  </si>
  <si>
    <t>Elukian'clay Tapal</t>
  </si>
  <si>
    <t>modules/a-knights-dream/Item/equip_weapon_tapal_elukianclay.webp</t>
  </si>
  <si>
    <t>Elukian'clay Trident</t>
  </si>
  <si>
    <t>modules/a-knights-dream/Item/equip_weapon_trident_elukianclay.webp</t>
  </si>
  <si>
    <t>Elukian'clay War Hammer</t>
  </si>
  <si>
    <t>modules/a-knights-dream/Item/equip_weapon_hammer_war_elukianclay.webp</t>
  </si>
  <si>
    <t>Elukian'clay War Pick</t>
  </si>
  <si>
    <t>modules/a-knights-dream/Item/equip_weapon_pick_war_elukianclay.webp</t>
  </si>
  <si>
    <t>Elukian'clay Brigantine Cuirass</t>
  </si>
  <si>
    <t>modules/a-knights-dream/Item/equip_armor_brigantine_cuirass_elukianclay.webp</t>
  </si>
  <si>
    <t>Elukian'clay Brigantine Gauntlets</t>
  </si>
  <si>
    <t>modules/a-knights-dream/Item/equip_armor_brigantine_gauntlets_elukianclay.webp</t>
  </si>
  <si>
    <t>Elukian'clay Brigantine Greaves</t>
  </si>
  <si>
    <t>modules/a-knights-dream/Item/equip_armor_brigantine_greaves_elukianclay.webp</t>
  </si>
  <si>
    <t>Elukian'clay Brigantine Helmet</t>
  </si>
  <si>
    <t>modules/a-knights-dream/Item/equip_armor_brigantine_helmet_elukianclay.webp</t>
  </si>
  <si>
    <t>Elukian'clay Brigantine Pauldron</t>
  </si>
  <si>
    <t>modules/a-knights-dream/Item/equip_armor_brigantine_pauldron_elukianclay.webp</t>
  </si>
  <si>
    <t>Elukian'clay Chainmail Cuirass</t>
  </si>
  <si>
    <t>modules/a-knights-dream/Item/equip_armor_chainmail_cuirass_elukianclay.webp</t>
  </si>
  <si>
    <t>Elukian'clay Chainmail Gauntlets</t>
  </si>
  <si>
    <t>modules/a-knights-dream/Item/equip_armor_chainmail_gauntlets_elukianclay.webp</t>
  </si>
  <si>
    <t>Elukian'clay Chainmail Greaves</t>
  </si>
  <si>
    <t>modules/a-knights-dream/Item/equip_armor_chainmail_greaves_elukianclay.webp</t>
  </si>
  <si>
    <t>Elukian'clay Chainmail Helmet</t>
  </si>
  <si>
    <t>modules/a-knights-dream/Item/equip_armor_chainmail_helmet_elukianclay.webp</t>
  </si>
  <si>
    <t>Elukian'clay Chainmail Pauldron</t>
  </si>
  <si>
    <t>modules/a-knights-dream/Item/equip_armor_chainmail_pauldron_elukianclay.webp</t>
  </si>
  <si>
    <t>Elukian'clay Gamberson Cuirass</t>
  </si>
  <si>
    <t>modules/a-knights-dream/Item/equip_armor_gamberson_cuirass_elukianclay.webp</t>
  </si>
  <si>
    <t>Elukian'clay Gamberson Gauntlets</t>
  </si>
  <si>
    <t>modules/a-knights-dream/Item/equip_armor_gamberson_gauntlets_elukianclay.webp</t>
  </si>
  <si>
    <t>Elukian'clay Gamberson Greaves</t>
  </si>
  <si>
    <t>modules/a-knights-dream/Item/equip_armor_gamberson_greaves_elukianclay.webp</t>
  </si>
  <si>
    <t>Elukian'clay Gamberson Helmet</t>
  </si>
  <si>
    <t>modules/a-knights-dream/Item/equip_armor_gamberson_helmet_elukianclay.webp</t>
  </si>
  <si>
    <t>Elukian'clay Gamberson Pauldron</t>
  </si>
  <si>
    <t>modules/a-knights-dream/Item/equip_armor_gamberson_pauldron_elukianclay.webp</t>
  </si>
  <si>
    <t>Elukian'clay Hauberk Cuirass</t>
  </si>
  <si>
    <t>modules/a-knights-dream/Item/equip_armor_hauberk_cuirass_elukianclay.webp</t>
  </si>
  <si>
    <t>Elukian'clay Hauberk Gauntlets</t>
  </si>
  <si>
    <t>modules/a-knights-dream/Item/equip_armor_hauberk_gauntlets_elukianclay.webp</t>
  </si>
  <si>
    <t>Elukian'clay Hauberk Greaves</t>
  </si>
  <si>
    <t>modules/a-knights-dream/Item/equip_armor_hauberk_greaves_elukianclay.webp</t>
  </si>
  <si>
    <t>Elukian'clay Hauberk Helmet</t>
  </si>
  <si>
    <t>modules/a-knights-dream/Item/equip_armor_hauberk_helmet_elukianclay.webp</t>
  </si>
  <si>
    <t>Elukian'clay Hauberk Pauldron</t>
  </si>
  <si>
    <t>modules/a-knights-dream/Item/equip_armor_hauberk_pauldron_elukianclay.webp</t>
  </si>
  <si>
    <t>Elukian'clay Jack Cuirass</t>
  </si>
  <si>
    <t>modules/a-knights-dream/Item/equip_armor_jack_cuirass_elukianclay.webp</t>
  </si>
  <si>
    <t>Elukian'clay Jack Gauntlets</t>
  </si>
  <si>
    <t>modules/a-knights-dream/Item/equip_armor_jack_gauntlets_elukianclay.webp</t>
  </si>
  <si>
    <t>Elukian'clay Jack Greaves</t>
  </si>
  <si>
    <t>modules/a-knights-dream/Item/equip_armor_jack_greaves_elukianclay.webp</t>
  </si>
  <si>
    <t>Elukian'clay Jack Helmet</t>
  </si>
  <si>
    <t>modules/a-knights-dream/Item/equip_armor_jack_helmet_elukianclay.webp</t>
  </si>
  <si>
    <t>Elukian'clay Jack Pauldron</t>
  </si>
  <si>
    <t>modules/a-knights-dream/Item/equip_armor_jack_pauldron_elukianclay.webp</t>
  </si>
  <si>
    <t>Elukian'clay Lamellar Cuirass</t>
  </si>
  <si>
    <t>modules/a-knights-dream/Item/equip_armor_lamellar_cuirass_elukianclay.webp</t>
  </si>
  <si>
    <t>Elukian'clay Lamellar Gauntlets</t>
  </si>
  <si>
    <t>modules/a-knights-dream/Item/equip_armor_lamellar_gauntlets_elukianclay.webp</t>
  </si>
  <si>
    <t>Elukian'clay Lamellar Greaves</t>
  </si>
  <si>
    <t>modules/a-knights-dream/Item/equip_armor_lamellar_greaves_elukianclay.webp</t>
  </si>
  <si>
    <t>Elukian'clay Lamellar Helmet</t>
  </si>
  <si>
    <t>modules/a-knights-dream/Item/equip_armor_lamellar_helmet_elukianclay.webp</t>
  </si>
  <si>
    <t>Elukian'clay Lamellar Pauldron</t>
  </si>
  <si>
    <t>modules/a-knights-dream/Item/equip_armor_lamellar_pauldron_elukianclay.webp</t>
  </si>
  <si>
    <t>Elukian'clay Platemail Cuirass</t>
  </si>
  <si>
    <t>modules/a-knights-dream/Item/equip_armor_platemail_cuirass_elukianclay.webp</t>
  </si>
  <si>
    <t>Elukian'clay Platemail Gauntlets</t>
  </si>
  <si>
    <t>modules/a-knights-dream/Item/equip_armor_platemail_gauntlets_elukianclay.webp</t>
  </si>
  <si>
    <t>Elukian'clay Platemail Greaves</t>
  </si>
  <si>
    <t>modules/a-knights-dream/Item/equip_armor_platemail_greaves_elukianclay.webp</t>
  </si>
  <si>
    <t>Elukian'clay Platemail Helmet</t>
  </si>
  <si>
    <t>modules/a-knights-dream/Item/equip_armor_platemail_helmet_elukianclay.webp</t>
  </si>
  <si>
    <t>Elukian'clay Platemail Pauldron</t>
  </si>
  <si>
    <t>modules/a-knights-dream/Item/equip_armor_platemail_pauldron_elukianclay.webp</t>
  </si>
  <si>
    <t>Elukian'clay Tunic Cuirass</t>
  </si>
  <si>
    <t>modules/a-knights-dream/Item/equip_armor_tunic_cuirass_elukianclay.webp</t>
  </si>
  <si>
    <t>Elukian'clay Tunic Gauntlets</t>
  </si>
  <si>
    <t>modules/a-knights-dream/Item/equip_armor_tunic_gauntlets_elukianclay.webp</t>
  </si>
  <si>
    <t>Elukian'clay Tunic Greaves</t>
  </si>
  <si>
    <t>modules/a-knights-dream/Item/equip_armor_tunic_greaves_elukianclay.webp</t>
  </si>
  <si>
    <t>Elukian'clay Tunic Helmet</t>
  </si>
  <si>
    <t>modules/a-knights-dream/Item/equip_armor_tunic_helmet_elukianclay.webp</t>
  </si>
  <si>
    <t>Elukian'clay Tunic Pauldron</t>
  </si>
  <si>
    <t>modules/a-knights-dream/Item/equip_armor_tunic_pauldron_elukianclay.webp</t>
  </si>
  <si>
    <t>Elukian'clay Buckler Shield</t>
  </si>
  <si>
    <t>modules/a-knights-dream/Item/equip_armor_shield_buckler_elukianclay.webp</t>
  </si>
  <si>
    <t>Elukian'clay Heater Shield</t>
  </si>
  <si>
    <t>modules/a-knights-dream/Item/equip_armor_shield_heater_elukianclay.webp</t>
  </si>
  <si>
    <t>Elukian'clay Kite Shield</t>
  </si>
  <si>
    <t>modules/a-knights-dream/Item/equip_armor_shield_kite_elukianclay.webp</t>
  </si>
  <si>
    <t>Elukian'clay Oval Shield</t>
  </si>
  <si>
    <t>modules/a-knights-dream/Item/equip_armor_shield_oval_elukianclay.webp</t>
  </si>
  <si>
    <t>Elukian'clay Round Shield</t>
  </si>
  <si>
    <t>modules/a-knights-dream/Item/equip_armor_shield_round_elukianclay.webp</t>
  </si>
  <si>
    <t>Elukian'clay Tower Shield</t>
  </si>
  <si>
    <t>modules/a-knights-dream/Item/equip_armor_shield_tower_elukianclay.webp</t>
  </si>
  <si>
    <t>Elysian</t>
  </si>
  <si>
    <t>Elysian Ball Bearings</t>
  </si>
  <si>
    <t>modules/a-knights-dream/Item/equip_weapon_bearings_elysian.webp</t>
  </si>
  <si>
    <t>Elysian Bardiche</t>
  </si>
  <si>
    <t>modules/a-knights-dream/Item/equip_weapon_bardiche_elysian.webp</t>
  </si>
  <si>
    <t>Elysian Bastard Sword</t>
  </si>
  <si>
    <t>modules/a-knights-dream/Item/equip_weapon_sword_bastard_elysian.webp</t>
  </si>
  <si>
    <t>Elysian Battle Axe</t>
  </si>
  <si>
    <t>modules/a-knights-dream/Item/equip_weapon_axe_battle_elysian.webp</t>
  </si>
  <si>
    <t>Elysian Blowgun</t>
  </si>
  <si>
    <t>modules/a-knights-dream/Item/equip_weapon_blowgun_elysian.webp</t>
  </si>
  <si>
    <t>Elysian Bolt</t>
  </si>
  <si>
    <t>modules/a-knights-dream/Item/equip_weapon_bolt_elysian.webp</t>
  </si>
  <si>
    <t>Elysian Boomerang</t>
  </si>
  <si>
    <t>modules/a-knights-dream/Item/equip_weapon_boomerang_elysian.webp</t>
  </si>
  <si>
    <t>Elysian Bow</t>
  </si>
  <si>
    <t>modules/a-knights-dream/Item/equip_weapon_bow_elysian.webp</t>
  </si>
  <si>
    <t>Elysian Caltrops</t>
  </si>
  <si>
    <t>modules/a-knights-dream/Item/equip_weapon_caltrops_elysian.webp</t>
  </si>
  <si>
    <t>Elysian Cestus</t>
  </si>
  <si>
    <t>modules/a-knights-dream/Item/equip_weapon_cestus_elysian.webp</t>
  </si>
  <si>
    <t>Elysian Chain</t>
  </si>
  <si>
    <t>modules/a-knights-dream/Item/equip_weapon_chain_elysian.webp</t>
  </si>
  <si>
    <t>Elysian Claymore</t>
  </si>
  <si>
    <t>modules/a-knights-dream/Item/equip_weapon_claymore_elysian.webp</t>
  </si>
  <si>
    <t>Elysian Club</t>
  </si>
  <si>
    <t>modules/a-knights-dream/Item/equip_weapon_club_elysian.webp</t>
  </si>
  <si>
    <t>Elysian Compound Bow</t>
  </si>
  <si>
    <t>modules/a-knights-dream/Item/equip_weapon_bow_compound_elysian.webp</t>
  </si>
  <si>
    <t>Elysian Cutlass</t>
  </si>
  <si>
    <t>modules/a-knights-dream/Item/equip_weapon_cutlass_elysian.webp</t>
  </si>
  <si>
    <t>Elysian Dagger</t>
  </si>
  <si>
    <t>modules/a-knights-dream/Item/equip_weapon_dagger_elysian.webp</t>
  </si>
  <si>
    <t>Elysian Dart</t>
  </si>
  <si>
    <t>modules/a-knights-dream/Item/equip_weapon_dart_elysian.webp</t>
  </si>
  <si>
    <t>Elysian Fauchard Scythe</t>
  </si>
  <si>
    <t>modules/a-knights-dream/Item/equip_weapon_scythe_fauchard_elysian.webp</t>
  </si>
  <si>
    <t>Elysian Flail</t>
  </si>
  <si>
    <t>modules/a-knights-dream/Item/equip_weapon_flail_elysian.webp</t>
  </si>
  <si>
    <t>Elysian Glaive</t>
  </si>
  <si>
    <t>modules/a-knights-dream/Item/equip_weapon_glaive_elysian.webp</t>
  </si>
  <si>
    <t>Elysian Grapple Hook</t>
  </si>
  <si>
    <t>modules/a-knights-dream/Item/equip_weapon_hook_grapple_elysian.webp</t>
  </si>
  <si>
    <t>Elysian Great Axe</t>
  </si>
  <si>
    <t>modules/a-knights-dream/Item/equip_weapon_axe_great_elysian.webp</t>
  </si>
  <si>
    <t>Elysian Great Club</t>
  </si>
  <si>
    <t>modules/a-knights-dream/Item/equip_weapon_club_great_elysian.webp</t>
  </si>
  <si>
    <t>Elysian Great Khyber</t>
  </si>
  <si>
    <t>modules/a-knights-dream/Item/equip_weapon_khyber_great_elysian.webp</t>
  </si>
  <si>
    <t>Elysian Great Konda</t>
  </si>
  <si>
    <t>modules/a-knights-dream/Item/equip_weapon_konda_great_elysian.webp</t>
  </si>
  <si>
    <t>Elysian Great Labrys</t>
  </si>
  <si>
    <t>modules/a-knights-dream/Item/equip_weapon_axe_labrys_great_elysian.webp</t>
  </si>
  <si>
    <t>Elysian Great Mace</t>
  </si>
  <si>
    <t>modules/a-knights-dream/Item/equip_weapon_mace_great_elysian.webp</t>
  </si>
  <si>
    <t>Elysian Great Tapal</t>
  </si>
  <si>
    <t>modules/a-knights-dream/Item/equip_weapon_tapal_great_elysian.webp</t>
  </si>
  <si>
    <t>Elysian Great War Bow</t>
  </si>
  <si>
    <t>modules/a-knights-dream/Item/equip_weapon_bow_war_great_elysian.webp</t>
  </si>
  <si>
    <t>Elysian Great War Hammer</t>
  </si>
  <si>
    <t>modules/a-knights-dream/Item/equip_weapon_hammer_war_great_elysian.webp</t>
  </si>
  <si>
    <t>Elysian Great War Pick</t>
  </si>
  <si>
    <t>modules/a-knights-dream/Item/equip_weapon_pick_war_great_elysian.webp</t>
  </si>
  <si>
    <t>Elysian Guisarme</t>
  </si>
  <si>
    <t>modules/a-knights-dream/Item/equip_weapon_guisarme_elysian.webp</t>
  </si>
  <si>
    <t>Elysian Halberd</t>
  </si>
  <si>
    <t>modules/a-knights-dream/Item/equip_weapon_halberd_elysian.webp</t>
  </si>
  <si>
    <t>Elysian Hand Crossbow</t>
  </si>
  <si>
    <t>modules/a-knights-dream/Item/equip_weapon_crossbow_hand_elysian.webp</t>
  </si>
  <si>
    <t>Elysian Hand axe</t>
  </si>
  <si>
    <t>modules/a-knights-dream/Item/equip_weapon_axe_hand_elysian.webp</t>
  </si>
  <si>
    <t>Elysian Heavy Crossbow</t>
  </si>
  <si>
    <t>modules/a-knights-dream/Item/equip_weapon_crossbow_heavy_elysian.webp</t>
  </si>
  <si>
    <t>Elysian Hunting Trap</t>
  </si>
  <si>
    <t>modules/a-knights-dream/Item/equip_weapon_trap_hunting_elysian.webp</t>
  </si>
  <si>
    <t>Elysian Hunting Trap (Large)</t>
  </si>
  <si>
    <t>modules/a-knights-dream/Item/equip_weapon_trap_hunting_large_elysian.webp</t>
  </si>
  <si>
    <t>Elysian Hunting Trap (Small)</t>
  </si>
  <si>
    <t>modules/a-knights-dream/Item/equip_weapon_trap_hunting_small_elysian.webp</t>
  </si>
  <si>
    <t>Elysian Javelin</t>
  </si>
  <si>
    <t>modules/a-knights-dream/Item/equip_weapon_javelin_elysian.webp</t>
  </si>
  <si>
    <t>Elysian Khpesh</t>
  </si>
  <si>
    <t>modules/a-knights-dream/Item/equip_weapon_khpesh_elysian.webp</t>
  </si>
  <si>
    <t>Elysian Khyber</t>
  </si>
  <si>
    <t>modules/a-knights-dream/Item/equip_weapon_khyber_elysian.webp</t>
  </si>
  <si>
    <t>Elysian Konda</t>
  </si>
  <si>
    <t>modules/a-knights-dream/Item/equip_weapon_konda_elysian.webp</t>
  </si>
  <si>
    <t>Elysian Labrys</t>
  </si>
  <si>
    <t>modules/a-knights-dream/Item/equip_weapon_axe_labrys_elysian.webp</t>
  </si>
  <si>
    <t>Elysian Lance</t>
  </si>
  <si>
    <t>modules/a-knights-dream/Item/equip_weapon_lance_elysian.webp</t>
  </si>
  <si>
    <t>Elysian Light Crossbow</t>
  </si>
  <si>
    <t>modules/a-knights-dream/Item/equip_weapon_crossbow_light_elysian.webp</t>
  </si>
  <si>
    <t>Elysian Long Bow</t>
  </si>
  <si>
    <t>modules/a-knights-dream/Item/equip_weapon_bow_long_elysian.webp</t>
  </si>
  <si>
    <t>Elysian Long Spear</t>
  </si>
  <si>
    <t>modules/a-knights-dream/Item/equip_weapon_spear_long_elysian.webp</t>
  </si>
  <si>
    <t>Elysian Lucerince Hammer</t>
  </si>
  <si>
    <t>modules/a-knights-dream/Item/equip_weapon_hammer_lucerince_elysian.webp</t>
  </si>
  <si>
    <t>Elysian Mace</t>
  </si>
  <si>
    <t>modules/a-knights-dream/Item/equip_weapon_mace_elysian.webp</t>
  </si>
  <si>
    <t>Elysian Morningstar</t>
  </si>
  <si>
    <t>modules/a-knights-dream/Item/equip_weapon_morningstar_elysian.webp</t>
  </si>
  <si>
    <t>Elysian Pike</t>
  </si>
  <si>
    <t>modules/a-knights-dream/Item/equip_weapon_pike_elysian.webp</t>
  </si>
  <si>
    <t>Elysian Quarter Staff</t>
  </si>
  <si>
    <t>modules/a-knights-dream/Item/equip_weapon_staff_quarter_elysian.webp</t>
  </si>
  <si>
    <t>Elysian Ranseur</t>
  </si>
  <si>
    <t>modules/a-knights-dream/Item/equip_weapon_ranseur_elysian.webp</t>
  </si>
  <si>
    <t>Elysian Rapier</t>
  </si>
  <si>
    <t>modules/a-knights-dream/Item/equip_weapon_rapier_elysian.webp</t>
  </si>
  <si>
    <t>Elysian Recurve Bow</t>
  </si>
  <si>
    <t>modules/a-knights-dream/Item/equip_weapon_bow_recurve_elysian.webp</t>
  </si>
  <si>
    <t>Elysian Repeater Crossbow</t>
  </si>
  <si>
    <t>modules/a-knights-dream/Item/equip_weapon_crossbow_repeater_elysian.webp</t>
  </si>
  <si>
    <t>Elysian Sabre</t>
  </si>
  <si>
    <t>modules/a-knights-dream/Item/equip_weapon_sabre_elysian.webp</t>
  </si>
  <si>
    <t>Elysian Scimitar</t>
  </si>
  <si>
    <t>modules/a-knights-dream/Item/equip_weapon_scimitar_elysian.webp</t>
  </si>
  <si>
    <t>Elysian Scythe</t>
  </si>
  <si>
    <t>modules/a-knights-dream/Item/equip_weapon_scythe_elysian.webp</t>
  </si>
  <si>
    <t>Elysian Short Bow</t>
  </si>
  <si>
    <t>modules/a-knights-dream/Item/equip_weapon_bow_short_elysian.webp</t>
  </si>
  <si>
    <t>Elysian Short Spear</t>
  </si>
  <si>
    <t>modules/a-knights-dream/Item/equip_weapon_spear_short_elysian.webp</t>
  </si>
  <si>
    <t>Elysian Short Sword</t>
  </si>
  <si>
    <t>modules/a-knights-dream/Item/equip_weapon_sword_short_elysian.webp</t>
  </si>
  <si>
    <t>Elysian Shotel</t>
  </si>
  <si>
    <t>modules/a-knights-dream/Item/equip_weapon_shotel_elysian.webp</t>
  </si>
  <si>
    <t>Elysian Sickle</t>
  </si>
  <si>
    <t>modules/a-knights-dream/Item/equip_weapon_sickle_elysian.webp</t>
  </si>
  <si>
    <t>Elysian Sling</t>
  </si>
  <si>
    <t>modules/a-knights-dream/Item/equip_weapon_sling_elysian.webp</t>
  </si>
  <si>
    <t>Elysian Staff</t>
  </si>
  <si>
    <t>modules/a-knights-dream/Item/equip_weapon_staff_elysian.webp</t>
  </si>
  <si>
    <t>Elysian Staff Sling</t>
  </si>
  <si>
    <t>modules/a-knights-dream/Item/equip_weapon_sling_staff_elysian.webp</t>
  </si>
  <si>
    <t>Elysian Sword</t>
  </si>
  <si>
    <t>modules/a-knights-dream/Item/equip_weapon_sword_elysian.webp</t>
  </si>
  <si>
    <t>Elysian Tapal</t>
  </si>
  <si>
    <t>modules/a-knights-dream/Item/equip_weapon_tapal_elysian.webp</t>
  </si>
  <si>
    <t>Elysian Trident</t>
  </si>
  <si>
    <t>modules/a-knights-dream/Item/equip_weapon_trident_elysian.webp</t>
  </si>
  <si>
    <t>Elysian War Hammer</t>
  </si>
  <si>
    <t>modules/a-knights-dream/Item/equip_weapon_hammer_war_elysian.webp</t>
  </si>
  <si>
    <t>Elysian War Pick</t>
  </si>
  <si>
    <t>modules/a-knights-dream/Item/equip_weapon_pick_war_elysian.webp</t>
  </si>
  <si>
    <t>Elysian Brigantine Cuirass</t>
  </si>
  <si>
    <t>modules/a-knights-dream/Item/equip_armor_brigantine_cuirass_elysian.webp</t>
  </si>
  <si>
    <t>Elysian Brigantine Gauntlets</t>
  </si>
  <si>
    <t>modules/a-knights-dream/Item/equip_armor_brigantine_gauntlets_elysian.webp</t>
  </si>
  <si>
    <t>Elysian Brigantine Greaves</t>
  </si>
  <si>
    <t>modules/a-knights-dream/Item/equip_armor_brigantine_greaves_elysian.webp</t>
  </si>
  <si>
    <t>Elysian Brigantine Helmet</t>
  </si>
  <si>
    <t>modules/a-knights-dream/Item/equip_armor_brigantine_helmet_elysian.webp</t>
  </si>
  <si>
    <t>Elysian Brigantine Pauldron</t>
  </si>
  <si>
    <t>modules/a-knights-dream/Item/equip_armor_brigantine_pauldron_elysian.webp</t>
  </si>
  <si>
    <t>Elysian Chainmail Cuirass</t>
  </si>
  <si>
    <t>modules/a-knights-dream/Item/equip_armor_chainmail_cuirass_elysian.webp</t>
  </si>
  <si>
    <t>Elysian Chainmail Gauntlets</t>
  </si>
  <si>
    <t>modules/a-knights-dream/Item/equip_armor_chainmail_gauntlets_elysian.webp</t>
  </si>
  <si>
    <t>Elysian Chainmail Greaves</t>
  </si>
  <si>
    <t>modules/a-knights-dream/Item/equip_armor_chainmail_greaves_elysian.webp</t>
  </si>
  <si>
    <t>Elysian Chainmail Helmet</t>
  </si>
  <si>
    <t>modules/a-knights-dream/Item/equip_armor_chainmail_helmet_elysian.webp</t>
  </si>
  <si>
    <t>Elysian Chainmail Pauldron</t>
  </si>
  <si>
    <t>modules/a-knights-dream/Item/equip_armor_chainmail_pauldron_elysian.webp</t>
  </si>
  <si>
    <t>Elysian Gamberson Cuirass</t>
  </si>
  <si>
    <t>modules/a-knights-dream/Item/equip_armor_gamberson_cuirass_elysian.webp</t>
  </si>
  <si>
    <t>Elysian Gamberson Gauntlets</t>
  </si>
  <si>
    <t>modules/a-knights-dream/Item/equip_armor_gamberson_gauntlets_elysian.webp</t>
  </si>
  <si>
    <t>Elysian Gamberson Greaves</t>
  </si>
  <si>
    <t>modules/a-knights-dream/Item/equip_armor_gamberson_greaves_elysian.webp</t>
  </si>
  <si>
    <t>Elysian Gamberson Helmet</t>
  </si>
  <si>
    <t>modules/a-knights-dream/Item/equip_armor_gamberson_helmet_elysian.webp</t>
  </si>
  <si>
    <t>Elysian Gamberson Pauldron</t>
  </si>
  <si>
    <t>modules/a-knights-dream/Item/equip_armor_gamberson_pauldron_elysian.webp</t>
  </si>
  <si>
    <t>Elysian Hauberk Cuirass</t>
  </si>
  <si>
    <t>modules/a-knights-dream/Item/equip_armor_hauberk_cuirass_elysian.webp</t>
  </si>
  <si>
    <t>Elysian Hauberk Gauntlets</t>
  </si>
  <si>
    <t>modules/a-knights-dream/Item/equip_armor_hauberk_gauntlets_elysian.webp</t>
  </si>
  <si>
    <t>Elysian Hauberk Greaves</t>
  </si>
  <si>
    <t>modules/a-knights-dream/Item/equip_armor_hauberk_greaves_elysian.webp</t>
  </si>
  <si>
    <t>Elysian Hauberk Helmet</t>
  </si>
  <si>
    <t>modules/a-knights-dream/Item/equip_armor_hauberk_helmet_elysian.webp</t>
  </si>
  <si>
    <t>Elysian Hauberk Pauldron</t>
  </si>
  <si>
    <t>modules/a-knights-dream/Item/equip_armor_hauberk_pauldron_elysian.webp</t>
  </si>
  <si>
    <t>Elysian Jack Cuirass</t>
  </si>
  <si>
    <t>modules/a-knights-dream/Item/equip_armor_jack_cuirass_elysian.webp</t>
  </si>
  <si>
    <t>Elysian Jack Gauntlets</t>
  </si>
  <si>
    <t>modules/a-knights-dream/Item/equip_armor_jack_gauntlets_elysian.webp</t>
  </si>
  <si>
    <t>Elysian Jack Greaves</t>
  </si>
  <si>
    <t>modules/a-knights-dream/Item/equip_armor_jack_greaves_elysian.webp</t>
  </si>
  <si>
    <t>Elysian Jack Helmet</t>
  </si>
  <si>
    <t>modules/a-knights-dream/Item/equip_armor_jack_helmet_elysian.webp</t>
  </si>
  <si>
    <t>Elysian Jack Pauldron</t>
  </si>
  <si>
    <t>modules/a-knights-dream/Item/equip_armor_jack_pauldron_elysian.webp</t>
  </si>
  <si>
    <t>Elysian Lamellar Cuirass</t>
  </si>
  <si>
    <t>modules/a-knights-dream/Item/equip_armor_lamellar_cuirass_elysian.webp</t>
  </si>
  <si>
    <t>Elysian Lamellar Gauntlets</t>
  </si>
  <si>
    <t>modules/a-knights-dream/Item/equip_armor_lamellar_gauntlets_elysian.webp</t>
  </si>
  <si>
    <t>Elysian Lamellar Greaves</t>
  </si>
  <si>
    <t>modules/a-knights-dream/Item/equip_armor_lamellar_greaves_elysian.webp</t>
  </si>
  <si>
    <t>Elysian Lamellar Helmet</t>
  </si>
  <si>
    <t>modules/a-knights-dream/Item/equip_armor_lamellar_helmet_elysian.webp</t>
  </si>
  <si>
    <t>Elysian Lamellar Pauldron</t>
  </si>
  <si>
    <t>modules/a-knights-dream/Item/equip_armor_lamellar_pauldron_elysian.webp</t>
  </si>
  <si>
    <t>Elysian Platemail Cuirass</t>
  </si>
  <si>
    <t>modules/a-knights-dream/Item/equip_armor_platemail_cuirass_elysian.webp</t>
  </si>
  <si>
    <t>Elysian Platemail Gauntlets</t>
  </si>
  <si>
    <t>modules/a-knights-dream/Item/equip_armor_platemail_gauntlets_elysian.webp</t>
  </si>
  <si>
    <t>Elysian Platemail Greaves</t>
  </si>
  <si>
    <t>modules/a-knights-dream/Item/equip_armor_platemail_greaves_elysian.webp</t>
  </si>
  <si>
    <t>Elysian Platemail Helmet</t>
  </si>
  <si>
    <t>modules/a-knights-dream/Item/equip_armor_platemail_helmet_elysian.webp</t>
  </si>
  <si>
    <t>Elysian Platemail Pauldron</t>
  </si>
  <si>
    <t>modules/a-knights-dream/Item/equip_armor_platemail_pauldron_elysian.webp</t>
  </si>
  <si>
    <t>Elysian Tunic Cuirass</t>
  </si>
  <si>
    <t>modules/a-knights-dream/Item/equip_armor_tunic_cuirass_elysian.webp</t>
  </si>
  <si>
    <t>Elysian Tunic Gauntlets</t>
  </si>
  <si>
    <t>modules/a-knights-dream/Item/equip_armor_tunic_gauntlets_elysian.webp</t>
  </si>
  <si>
    <t>Elysian Tunic Greaves</t>
  </si>
  <si>
    <t>modules/a-knights-dream/Item/equip_armor_tunic_greaves_elysian.webp</t>
  </si>
  <si>
    <t>Elysian Tunic Helmet</t>
  </si>
  <si>
    <t>modules/a-knights-dream/Item/equip_armor_tunic_helmet_elysian.webp</t>
  </si>
  <si>
    <t>Elysian Tunic Pauldron</t>
  </si>
  <si>
    <t>modules/a-knights-dream/Item/equip_armor_tunic_pauldron_elysian.webp</t>
  </si>
  <si>
    <t>Elysian Buckler Shield</t>
  </si>
  <si>
    <t>modules/a-knights-dream/Item/equip_armor_shield_buckler_elysian.webp</t>
  </si>
  <si>
    <t>Elysian Heater Shield</t>
  </si>
  <si>
    <t>modules/a-knights-dream/Item/equip_armor_shield_heater_elysian.webp</t>
  </si>
  <si>
    <t>Elysian Kite Shield</t>
  </si>
  <si>
    <t>modules/a-knights-dream/Item/equip_armor_shield_kite_elysian.webp</t>
  </si>
  <si>
    <t>Elysian Oval Shield</t>
  </si>
  <si>
    <t>modules/a-knights-dream/Item/equip_armor_shield_oval_elysian.webp</t>
  </si>
  <si>
    <t>Elysian Round Shield</t>
  </si>
  <si>
    <t>modules/a-knights-dream/Item/equip_armor_shield_round_elysian.webp</t>
  </si>
  <si>
    <t>Elysian Tower Shield</t>
  </si>
  <si>
    <t>modules/a-knights-dream/Item/equip_armor_shield_tower_elysian.webp</t>
  </si>
  <si>
    <t>Malachite</t>
  </si>
  <si>
    <t>Malachite Ball Bearings</t>
  </si>
  <si>
    <t>modules/a-knights-dream/Item/equip_weapon_bearings_malachite.webp</t>
  </si>
  <si>
    <t>Malachite Bardiche</t>
  </si>
  <si>
    <t>modules/a-knights-dream/Item/equip_weapon_bardiche_malachite.webp</t>
  </si>
  <si>
    <t>Malachite Bastard Sword</t>
  </si>
  <si>
    <t>modules/a-knights-dream/Item/equip_weapon_sword_bastard_malachite.webp</t>
  </si>
  <si>
    <t>Malachite Battle Axe</t>
  </si>
  <si>
    <t>modules/a-knights-dream/Item/equip_weapon_axe_battle_malachite.webp</t>
  </si>
  <si>
    <t>Malachite Blowgun</t>
  </si>
  <si>
    <t>modules/a-knights-dream/Item/equip_weapon_blowgun_malachite.webp</t>
  </si>
  <si>
    <t>Malachite Bolt</t>
  </si>
  <si>
    <t>modules/a-knights-dream/Item/equip_weapon_bolt_malachite.webp</t>
  </si>
  <si>
    <t>Malachite Boomerang</t>
  </si>
  <si>
    <t>modules/a-knights-dream/Item/equip_weapon_boomerang_malachite.webp</t>
  </si>
  <si>
    <t>Malachite Bow</t>
  </si>
  <si>
    <t>modules/a-knights-dream/Item/equip_weapon_bow_malachite.webp</t>
  </si>
  <si>
    <t>Malachite Caltrops</t>
  </si>
  <si>
    <t>modules/a-knights-dream/Item/equip_weapon_caltrops_malachite.webp</t>
  </si>
  <si>
    <t>Malachite Cestus</t>
  </si>
  <si>
    <t>modules/a-knights-dream/Item/equip_weapon_cestus_malachite.webp</t>
  </si>
  <si>
    <t>Malachite Chain</t>
  </si>
  <si>
    <t>modules/a-knights-dream/Item/equip_weapon_chain_malachite.webp</t>
  </si>
  <si>
    <t>Malachite Claymore</t>
  </si>
  <si>
    <t>modules/a-knights-dream/Item/equip_weapon_claymore_malachite.webp</t>
  </si>
  <si>
    <t>Malachite Club</t>
  </si>
  <si>
    <t>modules/a-knights-dream/Item/equip_weapon_club_malachite.webp</t>
  </si>
  <si>
    <t>Malachite Compound Bow</t>
  </si>
  <si>
    <t>modules/a-knights-dream/Item/equip_weapon_bow_compound_malachite.webp</t>
  </si>
  <si>
    <t>Malachite Cutlass</t>
  </si>
  <si>
    <t>modules/a-knights-dream/Item/equip_weapon_cutlass_malachite.webp</t>
  </si>
  <si>
    <t>Malachite Dagger</t>
  </si>
  <si>
    <t>modules/a-knights-dream/Item/equip_weapon_dagger_malachite.webp</t>
  </si>
  <si>
    <t>Malachite Dart</t>
  </si>
  <si>
    <t>modules/a-knights-dream/Item/equip_weapon_dart_malachite.webp</t>
  </si>
  <si>
    <t>Malachite Fauchard Scythe</t>
  </si>
  <si>
    <t>modules/a-knights-dream/Item/equip_weapon_scythe_fauchard_malachite.webp</t>
  </si>
  <si>
    <t>Malachite Flail</t>
  </si>
  <si>
    <t>modules/a-knights-dream/Item/equip_weapon_flail_malachite.webp</t>
  </si>
  <si>
    <t>Malachite Glaive</t>
  </si>
  <si>
    <t>modules/a-knights-dream/Item/equip_weapon_glaive_malachite.webp</t>
  </si>
  <si>
    <t>Malachite Grapple Hook</t>
  </si>
  <si>
    <t>modules/a-knights-dream/Item/equip_weapon_hook_grapple_malachite.webp</t>
  </si>
  <si>
    <t>Malachite Great Axe</t>
  </si>
  <si>
    <t>modules/a-knights-dream/Item/equip_weapon_axe_great_malachite.webp</t>
  </si>
  <si>
    <t>Malachite Great Club</t>
  </si>
  <si>
    <t>modules/a-knights-dream/Item/equip_weapon_club_great_malachite.webp</t>
  </si>
  <si>
    <t>Malachite Great Khyber</t>
  </si>
  <si>
    <t>modules/a-knights-dream/Item/equip_weapon_khyber_great_malachite.webp</t>
  </si>
  <si>
    <t>Malachite Great Konda</t>
  </si>
  <si>
    <t>modules/a-knights-dream/Item/equip_weapon_konda_great_malachite.webp</t>
  </si>
  <si>
    <t>Malachite Great Labrys</t>
  </si>
  <si>
    <t>modules/a-knights-dream/Item/equip_weapon_axe_labrys_great_malachite.webp</t>
  </si>
  <si>
    <t>Malachite Great Mace</t>
  </si>
  <si>
    <t>modules/a-knights-dream/Item/equip_weapon_mace_great_malachite.webp</t>
  </si>
  <si>
    <t>Malachite Great Tapal</t>
  </si>
  <si>
    <t>modules/a-knights-dream/Item/equip_weapon_tapal_great_malachite.webp</t>
  </si>
  <si>
    <t>Malachite Great War Bow</t>
  </si>
  <si>
    <t>modules/a-knights-dream/Item/equip_weapon_bow_war_great_malachite.webp</t>
  </si>
  <si>
    <t>Malachite Great War Hammer</t>
  </si>
  <si>
    <t>modules/a-knights-dream/Item/equip_weapon_hammer_war_great_malachite.webp</t>
  </si>
  <si>
    <t>Malachite Great War Pick</t>
  </si>
  <si>
    <t>modules/a-knights-dream/Item/equip_weapon_pick_war_great_malachite.webp</t>
  </si>
  <si>
    <t>Malachite Guisarme</t>
  </si>
  <si>
    <t>modules/a-knights-dream/Item/equip_weapon_guisarme_malachite.webp</t>
  </si>
  <si>
    <t>Malachite Halberd</t>
  </si>
  <si>
    <t>modules/a-knights-dream/Item/equip_weapon_halberd_malachite.webp</t>
  </si>
  <si>
    <t>Malachite Hand Crossbow</t>
  </si>
  <si>
    <t>modules/a-knights-dream/Item/equip_weapon_crossbow_hand_malachite.webp</t>
  </si>
  <si>
    <t>Malachite Hand axe</t>
  </si>
  <si>
    <t>modules/a-knights-dream/Item/equip_weapon_axe_hand_malachite.webp</t>
  </si>
  <si>
    <t>Malachite Heavy Crossbow</t>
  </si>
  <si>
    <t>modules/a-knights-dream/Item/equip_weapon_crossbow_heavy_malachite.webp</t>
  </si>
  <si>
    <t>Malachite Hunting Trap</t>
  </si>
  <si>
    <t>modules/a-knights-dream/Item/equip_weapon_trap_hunting_malachite.webp</t>
  </si>
  <si>
    <t>Malachite Hunting Trap (Large)</t>
  </si>
  <si>
    <t>modules/a-knights-dream/Item/equip_weapon_trap_hunting_large_malachite.webp</t>
  </si>
  <si>
    <t>Malachite Hunting Trap (Small)</t>
  </si>
  <si>
    <t>modules/a-knights-dream/Item/equip_weapon_trap_hunting_small_malachite.webp</t>
  </si>
  <si>
    <t>Malachite Javelin</t>
  </si>
  <si>
    <t>modules/a-knights-dream/Item/equip_weapon_javelin_malachite.webp</t>
  </si>
  <si>
    <t>Malachite Khpesh</t>
  </si>
  <si>
    <t>modules/a-knights-dream/Item/equip_weapon_khpesh_malachite.webp</t>
  </si>
  <si>
    <t>Malachite Khyber</t>
  </si>
  <si>
    <t>modules/a-knights-dream/Item/equip_weapon_khyber_malachite.webp</t>
  </si>
  <si>
    <t>Malachite Konda</t>
  </si>
  <si>
    <t>modules/a-knights-dream/Item/equip_weapon_konda_malachite.webp</t>
  </si>
  <si>
    <t>Malachite Labrys</t>
  </si>
  <si>
    <t>modules/a-knights-dream/Item/equip_weapon_axe_labrys_malachite.webp</t>
  </si>
  <si>
    <t>Malachite Lance</t>
  </si>
  <si>
    <t>modules/a-knights-dream/Item/equip_weapon_lance_malachite.webp</t>
  </si>
  <si>
    <t>Malachite Light Crossbow</t>
  </si>
  <si>
    <t>modules/a-knights-dream/Item/equip_weapon_crossbow_light_malachite.webp</t>
  </si>
  <si>
    <t>Malachite Long Bow</t>
  </si>
  <si>
    <t>modules/a-knights-dream/Item/equip_weapon_bow_long_malachite.webp</t>
  </si>
  <si>
    <t>Malachite Long Spear</t>
  </si>
  <si>
    <t>modules/a-knights-dream/Item/equip_weapon_spear_long_malachite.webp</t>
  </si>
  <si>
    <t>Malachite Lucerince Hammer</t>
  </si>
  <si>
    <t>modules/a-knights-dream/Item/equip_weapon_hammer_lucerince_malachite.webp</t>
  </si>
  <si>
    <t>Malachite Mace</t>
  </si>
  <si>
    <t>modules/a-knights-dream/Item/equip_weapon_mace_malachite.webp</t>
  </si>
  <si>
    <t>Malachite Morningstar</t>
  </si>
  <si>
    <t>modules/a-knights-dream/Item/equip_weapon_morningstar_malachite.webp</t>
  </si>
  <si>
    <t>Malachite Pike</t>
  </si>
  <si>
    <t>modules/a-knights-dream/Item/equip_weapon_pike_malachite.webp</t>
  </si>
  <si>
    <t>Malachite Quarter Staff</t>
  </si>
  <si>
    <t>modules/a-knights-dream/Item/equip_weapon_staff_quarter_malachite.webp</t>
  </si>
  <si>
    <t>Malachite Ranseur</t>
  </si>
  <si>
    <t>modules/a-knights-dream/Item/equip_weapon_ranseur_malachite.webp</t>
  </si>
  <si>
    <t>Malachite Rapier</t>
  </si>
  <si>
    <t>modules/a-knights-dream/Item/equip_weapon_rapier_malachite.webp</t>
  </si>
  <si>
    <t>Malachite Recurve Bow</t>
  </si>
  <si>
    <t>modules/a-knights-dream/Item/equip_weapon_bow_recurve_malachite.webp</t>
  </si>
  <si>
    <t>Malachite Repeater Crossbow</t>
  </si>
  <si>
    <t>modules/a-knights-dream/Item/equip_weapon_crossbow_repeater_malachite.webp</t>
  </si>
  <si>
    <t>Malachite Sabre</t>
  </si>
  <si>
    <t>modules/a-knights-dream/Item/equip_weapon_sabre_malachite.webp</t>
  </si>
  <si>
    <t>Malachite Scimitar</t>
  </si>
  <si>
    <t>modules/a-knights-dream/Item/equip_weapon_scimitar_malachite.webp</t>
  </si>
  <si>
    <t>Malachite Scythe</t>
  </si>
  <si>
    <t>modules/a-knights-dream/Item/equip_weapon_scythe_malachite.webp</t>
  </si>
  <si>
    <t>Malachite Short Bow</t>
  </si>
  <si>
    <t>modules/a-knights-dream/Item/equip_weapon_bow_short_malachite.webp</t>
  </si>
  <si>
    <t>Malachite Short Spear</t>
  </si>
  <si>
    <t>modules/a-knights-dream/Item/equip_weapon_spear_short_malachite.webp</t>
  </si>
  <si>
    <t>Malachite Short Sword</t>
  </si>
  <si>
    <t>modules/a-knights-dream/Item/equip_weapon_sword_short_malachite.webp</t>
  </si>
  <si>
    <t>Malachite Shotel</t>
  </si>
  <si>
    <t>modules/a-knights-dream/Item/equip_weapon_shotel_malachite.webp</t>
  </si>
  <si>
    <t>Malachite Sickle</t>
  </si>
  <si>
    <t>modules/a-knights-dream/Item/equip_weapon_sickle_malachite.webp</t>
  </si>
  <si>
    <t>Malachite Sling</t>
  </si>
  <si>
    <t>modules/a-knights-dream/Item/equip_weapon_sling_malachite.webp</t>
  </si>
  <si>
    <t>Malachite Staff</t>
  </si>
  <si>
    <t>modules/a-knights-dream/Item/equip_weapon_staff_malachite.webp</t>
  </si>
  <si>
    <t>Malachite Staff Sling</t>
  </si>
  <si>
    <t>modules/a-knights-dream/Item/equip_weapon_sling_staff_malachite.webp</t>
  </si>
  <si>
    <t>Malachite Sword</t>
  </si>
  <si>
    <t>modules/a-knights-dream/Item/equip_weapon_sword_malachite.webp</t>
  </si>
  <si>
    <t>Malachite Tapal</t>
  </si>
  <si>
    <t>modules/a-knights-dream/Item/equip_weapon_tapal_malachite.webp</t>
  </si>
  <si>
    <t>Malachite Trident</t>
  </si>
  <si>
    <t>modules/a-knights-dream/Item/equip_weapon_trident_malachite.webp</t>
  </si>
  <si>
    <t>Malachite War Hammer</t>
  </si>
  <si>
    <t>modules/a-knights-dream/Item/equip_weapon_hammer_war_malachite.webp</t>
  </si>
  <si>
    <t>Malachite War Pick</t>
  </si>
  <si>
    <t>modules/a-knights-dream/Item/equip_weapon_pick_war_malachite.webp</t>
  </si>
  <si>
    <t>Malachite Brigantine Cuirass</t>
  </si>
  <si>
    <t>modules/a-knights-dream/Item/equip_armor_brigantine_cuirass_malachite.webp</t>
  </si>
  <si>
    <t>Malachite Brigantine Gauntlets</t>
  </si>
  <si>
    <t>modules/a-knights-dream/Item/equip_armor_brigantine_gauntlets_malachite.webp</t>
  </si>
  <si>
    <t>Malachite Brigantine Greaves</t>
  </si>
  <si>
    <t>modules/a-knights-dream/Item/equip_armor_brigantine_greaves_malachite.webp</t>
  </si>
  <si>
    <t>Malachite Brigantine Helmet</t>
  </si>
  <si>
    <t>modules/a-knights-dream/Item/equip_armor_brigantine_helmet_malachite.webp</t>
  </si>
  <si>
    <t>Malachite Brigantine Pauldron</t>
  </si>
  <si>
    <t>modules/a-knights-dream/Item/equip_armor_brigantine_pauldron_malachite.webp</t>
  </si>
  <si>
    <t>Malachite Chainmail Cuirass</t>
  </si>
  <si>
    <t>modules/a-knights-dream/Item/equip_armor_chainmail_cuirass_malachite.webp</t>
  </si>
  <si>
    <t>Malachite Chainmail Gauntlets</t>
  </si>
  <si>
    <t>modules/a-knights-dream/Item/equip_armor_chainmail_gauntlets_malachite.webp</t>
  </si>
  <si>
    <t>Malachite Chainmail Greaves</t>
  </si>
  <si>
    <t>modules/a-knights-dream/Item/equip_armor_chainmail_greaves_malachite.webp</t>
  </si>
  <si>
    <t>Malachite Chainmail Helmet</t>
  </si>
  <si>
    <t>modules/a-knights-dream/Item/equip_armor_chainmail_helmet_malachite.webp</t>
  </si>
  <si>
    <t>Malachite Chainmail Pauldron</t>
  </si>
  <si>
    <t>modules/a-knights-dream/Item/equip_armor_chainmail_pauldron_malachite.webp</t>
  </si>
  <si>
    <t>Malachite Gamberson Cuirass</t>
  </si>
  <si>
    <t>modules/a-knights-dream/Item/equip_armor_gamberson_cuirass_malachite.webp</t>
  </si>
  <si>
    <t>Malachite Gamberson Gauntlets</t>
  </si>
  <si>
    <t>modules/a-knights-dream/Item/equip_armor_gamberson_gauntlets_malachite.webp</t>
  </si>
  <si>
    <t>Malachite Gamberson Greaves</t>
  </si>
  <si>
    <t>modules/a-knights-dream/Item/equip_armor_gamberson_greaves_malachite.webp</t>
  </si>
  <si>
    <t>Malachite Gamberson Helmet</t>
  </si>
  <si>
    <t>modules/a-knights-dream/Item/equip_armor_gamberson_helmet_malachite.webp</t>
  </si>
  <si>
    <t>Malachite Gamberson Pauldron</t>
  </si>
  <si>
    <t>modules/a-knights-dream/Item/equip_armor_gamberson_pauldron_malachite.webp</t>
  </si>
  <si>
    <t>Malachite Hauberk Cuirass</t>
  </si>
  <si>
    <t>modules/a-knights-dream/Item/equip_armor_hauberk_cuirass_malachite.webp</t>
  </si>
  <si>
    <t>Malachite Hauberk Gauntlets</t>
  </si>
  <si>
    <t>modules/a-knights-dream/Item/equip_armor_hauberk_gauntlets_malachite.webp</t>
  </si>
  <si>
    <t>Malachite Hauberk Greaves</t>
  </si>
  <si>
    <t>modules/a-knights-dream/Item/equip_armor_hauberk_greaves_malachite.webp</t>
  </si>
  <si>
    <t>Malachite Hauberk Helmet</t>
  </si>
  <si>
    <t>modules/a-knights-dream/Item/equip_armor_hauberk_helmet_malachite.webp</t>
  </si>
  <si>
    <t>Malachite Hauberk Pauldron</t>
  </si>
  <si>
    <t>modules/a-knights-dream/Item/equip_armor_hauberk_pauldron_malachite.webp</t>
  </si>
  <si>
    <t>Malachite Jack Cuirass</t>
  </si>
  <si>
    <t>modules/a-knights-dream/Item/equip_armor_jack_cuirass_malachite.webp</t>
  </si>
  <si>
    <t>Malachite Jack Gauntlets</t>
  </si>
  <si>
    <t>modules/a-knights-dream/Item/equip_armor_jack_gauntlets_malachite.webp</t>
  </si>
  <si>
    <t>Malachite Jack Greaves</t>
  </si>
  <si>
    <t>modules/a-knights-dream/Item/equip_armor_jack_greaves_malachite.webp</t>
  </si>
  <si>
    <t>Malachite Jack Helmet</t>
  </si>
  <si>
    <t>modules/a-knights-dream/Item/equip_armor_jack_helmet_malachite.webp</t>
  </si>
  <si>
    <t>Malachite Jack Pauldron</t>
  </si>
  <si>
    <t>modules/a-knights-dream/Item/equip_armor_jack_pauldron_malachite.webp</t>
  </si>
  <si>
    <t>Malachite Lamellar Cuirass</t>
  </si>
  <si>
    <t>modules/a-knights-dream/Item/equip_armor_lamellar_cuirass_malachite.webp</t>
  </si>
  <si>
    <t>Malachite Lamellar Gauntlets</t>
  </si>
  <si>
    <t>modules/a-knights-dream/Item/equip_armor_lamellar_gauntlets_malachite.webp</t>
  </si>
  <si>
    <t>Malachite Lamellar Greaves</t>
  </si>
  <si>
    <t>modules/a-knights-dream/Item/equip_armor_lamellar_greaves_malachite.webp</t>
  </si>
  <si>
    <t>Malachite Lamellar Helmet</t>
  </si>
  <si>
    <t>modules/a-knights-dream/Item/equip_armor_lamellar_helmet_malachite.webp</t>
  </si>
  <si>
    <t>Malachite Lamellar Pauldron</t>
  </si>
  <si>
    <t>modules/a-knights-dream/Item/equip_armor_lamellar_pauldron_malachite.webp</t>
  </si>
  <si>
    <t>Malachite Platemail Cuirass</t>
  </si>
  <si>
    <t>modules/a-knights-dream/Item/equip_armor_platemail_cuirass_malachite.webp</t>
  </si>
  <si>
    <t>Malachite Platemail Gauntlets</t>
  </si>
  <si>
    <t>modules/a-knights-dream/Item/equip_armor_platemail_gauntlets_malachite.webp</t>
  </si>
  <si>
    <t>Malachite Platemail Greaves</t>
  </si>
  <si>
    <t>modules/a-knights-dream/Item/equip_armor_platemail_greaves_malachite.webp</t>
  </si>
  <si>
    <t>Malachite Platemail Helmet</t>
  </si>
  <si>
    <t>modules/a-knights-dream/Item/equip_armor_platemail_helmet_malachite.webp</t>
  </si>
  <si>
    <t>Malachite Platemail Pauldron</t>
  </si>
  <si>
    <t>modules/a-knights-dream/Item/equip_armor_platemail_pauldron_malachite.webp</t>
  </si>
  <si>
    <t>Malachite Tunic Cuirass</t>
  </si>
  <si>
    <t>modules/a-knights-dream/Item/equip_armor_tunic_cuirass_malachite.webp</t>
  </si>
  <si>
    <t>Malachite Tunic Gauntlets</t>
  </si>
  <si>
    <t>modules/a-knights-dream/Item/equip_armor_tunic_gauntlets_malachite.webp</t>
  </si>
  <si>
    <t>Malachite Tunic Greaves</t>
  </si>
  <si>
    <t>modules/a-knights-dream/Item/equip_armor_tunic_greaves_malachite.webp</t>
  </si>
  <si>
    <t>Malachite Tunic Helmet</t>
  </si>
  <si>
    <t>modules/a-knights-dream/Item/equip_armor_tunic_helmet_malachite.webp</t>
  </si>
  <si>
    <t>Malachite Tunic Pauldron</t>
  </si>
  <si>
    <t>modules/a-knights-dream/Item/equip_armor_tunic_pauldron_malachite.webp</t>
  </si>
  <si>
    <t>Malachite Buckler Shield</t>
  </si>
  <si>
    <t>modules/a-knights-dream/Item/equip_armor_shield_buckler_malachite.webp</t>
  </si>
  <si>
    <t>Malachite Heater Shield</t>
  </si>
  <si>
    <t>modules/a-knights-dream/Item/equip_armor_shield_heater_malachite.webp</t>
  </si>
  <si>
    <t>Malachite Kite Shield</t>
  </si>
  <si>
    <t>modules/a-knights-dream/Item/equip_armor_shield_kite_malachite.webp</t>
  </si>
  <si>
    <t>Malachite Oval Shield</t>
  </si>
  <si>
    <t>modules/a-knights-dream/Item/equip_armor_shield_oval_malachite.webp</t>
  </si>
  <si>
    <t>Malachite Round Shield</t>
  </si>
  <si>
    <t>modules/a-knights-dream/Item/equip_armor_shield_round_malachite.webp</t>
  </si>
  <si>
    <t>Malachite Tower Shield</t>
  </si>
  <si>
    <t>modules/a-knights-dream/Item/equip_armor_shield_tower_malachite.webp</t>
  </si>
  <si>
    <t>Moonstoone</t>
  </si>
  <si>
    <t>Moonstoone Ball Bearings</t>
  </si>
  <si>
    <t>modules/a-knights-dream/Item/equip_weapon_bearings_moonstoone.webp</t>
  </si>
  <si>
    <t>Moonstoone Bardiche</t>
  </si>
  <si>
    <t>modules/a-knights-dream/Item/equip_weapon_bardiche_moonstoone.webp</t>
  </si>
  <si>
    <t>Moonstoone Bastard Sword</t>
  </si>
  <si>
    <t>modules/a-knights-dream/Item/equip_weapon_sword_bastard_moonstoone.webp</t>
  </si>
  <si>
    <t>Moonstoone Battle Axe</t>
  </si>
  <si>
    <t>modules/a-knights-dream/Item/equip_weapon_axe_battle_moonstoone.webp</t>
  </si>
  <si>
    <t>Moonstoone Blowgun</t>
  </si>
  <si>
    <t>modules/a-knights-dream/Item/equip_weapon_blowgun_moonstoone.webp</t>
  </si>
  <si>
    <t>Moonstoone Bolt</t>
  </si>
  <si>
    <t>modules/a-knights-dream/Item/equip_weapon_bolt_moonstoone.webp</t>
  </si>
  <si>
    <t>Moonstoone Boomerang</t>
  </si>
  <si>
    <t>modules/a-knights-dream/Item/equip_weapon_boomerang_moonstoone.webp</t>
  </si>
  <si>
    <t>Moonstoone Bow</t>
  </si>
  <si>
    <t>modules/a-knights-dream/Item/equip_weapon_bow_moonstoone.webp</t>
  </si>
  <si>
    <t>Moonstoone Caltrops</t>
  </si>
  <si>
    <t>modules/a-knights-dream/Item/equip_weapon_caltrops_moonstoone.webp</t>
  </si>
  <si>
    <t>Moonstoone Cestus</t>
  </si>
  <si>
    <t>modules/a-knights-dream/Item/equip_weapon_cestus_moonstoone.webp</t>
  </si>
  <si>
    <t>Moonstoone Chain</t>
  </si>
  <si>
    <t>modules/a-knights-dream/Item/equip_weapon_chain_moonstoone.webp</t>
  </si>
  <si>
    <t>Moonstoone Claymore</t>
  </si>
  <si>
    <t>modules/a-knights-dream/Item/equip_weapon_claymore_moonstoone.webp</t>
  </si>
  <si>
    <t>Moonstoone Club</t>
  </si>
  <si>
    <t>modules/a-knights-dream/Item/equip_weapon_club_moonstoone.webp</t>
  </si>
  <si>
    <t>Moonstoone Compound Bow</t>
  </si>
  <si>
    <t>modules/a-knights-dream/Item/equip_weapon_bow_compound_moonstoone.webp</t>
  </si>
  <si>
    <t>Moonstoone Cutlass</t>
  </si>
  <si>
    <t>modules/a-knights-dream/Item/equip_weapon_cutlass_moonstoone.webp</t>
  </si>
  <si>
    <t>Moonstoone Dagger</t>
  </si>
  <si>
    <t>modules/a-knights-dream/Item/equip_weapon_dagger_moonstoone.webp</t>
  </si>
  <si>
    <t>Moonstoone Dart</t>
  </si>
  <si>
    <t>modules/a-knights-dream/Item/equip_weapon_dart_moonstoone.webp</t>
  </si>
  <si>
    <t>Moonstoone Fauchard Scythe</t>
  </si>
  <si>
    <t>modules/a-knights-dream/Item/equip_weapon_scythe_fauchard_moonstoone.webp</t>
  </si>
  <si>
    <t>Moonstoone Flail</t>
  </si>
  <si>
    <t>modules/a-knights-dream/Item/equip_weapon_flail_moonstoone.webp</t>
  </si>
  <si>
    <t>Moonstoone Glaive</t>
  </si>
  <si>
    <t>modules/a-knights-dream/Item/equip_weapon_glaive_moonstoone.webp</t>
  </si>
  <si>
    <t>Moonstoone Grapple Hook</t>
  </si>
  <si>
    <t>modules/a-knights-dream/Item/equip_weapon_hook_grapple_moonstoone.webp</t>
  </si>
  <si>
    <t>Moonstoone Great Axe</t>
  </si>
  <si>
    <t>modules/a-knights-dream/Item/equip_weapon_axe_great_moonstoone.webp</t>
  </si>
  <si>
    <t>Moonstoone Great Club</t>
  </si>
  <si>
    <t>modules/a-knights-dream/Item/equip_weapon_club_great_moonstoone.webp</t>
  </si>
  <si>
    <t>Moonstoone Great Khyber</t>
  </si>
  <si>
    <t>modules/a-knights-dream/Item/equip_weapon_khyber_great_moonstoone.webp</t>
  </si>
  <si>
    <t>Moonstoone Great Konda</t>
  </si>
  <si>
    <t>modules/a-knights-dream/Item/equip_weapon_konda_great_moonstoone.webp</t>
  </si>
  <si>
    <t>Moonstoone Great Labrys</t>
  </si>
  <si>
    <t>modules/a-knights-dream/Item/equip_weapon_axe_labrys_great_moonstoone.webp</t>
  </si>
  <si>
    <t>Moonstoone Great Mace</t>
  </si>
  <si>
    <t>modules/a-knights-dream/Item/equip_weapon_mace_great_moonstoone.webp</t>
  </si>
  <si>
    <t>Moonstoone Great Tapal</t>
  </si>
  <si>
    <t>modules/a-knights-dream/Item/equip_weapon_tapal_great_moonstoone.webp</t>
  </si>
  <si>
    <t>Moonstoone Great War Bow</t>
  </si>
  <si>
    <t>modules/a-knights-dream/Item/equip_weapon_bow_war_great_moonstoone.webp</t>
  </si>
  <si>
    <t>Moonstoone Great War Hammer</t>
  </si>
  <si>
    <t>modules/a-knights-dream/Item/equip_weapon_hammer_war_great_moonstoone.webp</t>
  </si>
  <si>
    <t>Moonstoone Great War Pick</t>
  </si>
  <si>
    <t>modules/a-knights-dream/Item/equip_weapon_pick_war_great_moonstoone.webp</t>
  </si>
  <si>
    <t>Moonstoone Guisarme</t>
  </si>
  <si>
    <t>modules/a-knights-dream/Item/equip_weapon_guisarme_moonstoone.webp</t>
  </si>
  <si>
    <t>Moonstoone Halberd</t>
  </si>
  <si>
    <t>modules/a-knights-dream/Item/equip_weapon_halberd_moonstoone.webp</t>
  </si>
  <si>
    <t>Moonstoone Hand Crossbow</t>
  </si>
  <si>
    <t>modules/a-knights-dream/Item/equip_weapon_crossbow_hand_moonstoone.webp</t>
  </si>
  <si>
    <t>Moonstoone Hand axe</t>
  </si>
  <si>
    <t>modules/a-knights-dream/Item/equip_weapon_axe_hand_moonstoone.webp</t>
  </si>
  <si>
    <t>Moonstoone Heavy Crossbow</t>
  </si>
  <si>
    <t>modules/a-knights-dream/Item/equip_weapon_crossbow_heavy_moonstoone.webp</t>
  </si>
  <si>
    <t>Moonstoone Hunting Trap</t>
  </si>
  <si>
    <t>modules/a-knights-dream/Item/equip_weapon_trap_hunting_moonstoone.webp</t>
  </si>
  <si>
    <t>Moonstoone Hunting Trap (Large)</t>
  </si>
  <si>
    <t>modules/a-knights-dream/Item/equip_weapon_trap_hunting_large_moonstoone.webp</t>
  </si>
  <si>
    <t>Moonstoone Hunting Trap (Small)</t>
  </si>
  <si>
    <t>modules/a-knights-dream/Item/equip_weapon_trap_hunting_small_moonstoone.webp</t>
  </si>
  <si>
    <t>Moonstoone Javelin</t>
  </si>
  <si>
    <t>modules/a-knights-dream/Item/equip_weapon_javelin_moonstoone.webp</t>
  </si>
  <si>
    <t>Moonstoone Khpesh</t>
  </si>
  <si>
    <t>modules/a-knights-dream/Item/equip_weapon_khpesh_moonstoone.webp</t>
  </si>
  <si>
    <t>Moonstoone Khyber</t>
  </si>
  <si>
    <t>modules/a-knights-dream/Item/equip_weapon_khyber_moonstoone.webp</t>
  </si>
  <si>
    <t>Moonstoone Konda</t>
  </si>
  <si>
    <t>modules/a-knights-dream/Item/equip_weapon_konda_moonstoone.webp</t>
  </si>
  <si>
    <t>Moonstoone Labrys</t>
  </si>
  <si>
    <t>modules/a-knights-dream/Item/equip_weapon_axe_labrys_moonstoone.webp</t>
  </si>
  <si>
    <t>Moonstoone Lance</t>
  </si>
  <si>
    <t>modules/a-knights-dream/Item/equip_weapon_lance_moonstoone.webp</t>
  </si>
  <si>
    <t>Moonstoone Light Crossbow</t>
  </si>
  <si>
    <t>modules/a-knights-dream/Item/equip_weapon_crossbow_light_moonstoone.webp</t>
  </si>
  <si>
    <t>Moonstoone Long Bow</t>
  </si>
  <si>
    <t>modules/a-knights-dream/Item/equip_weapon_bow_long_moonstoone.webp</t>
  </si>
  <si>
    <t>Moonstoone Long Spear</t>
  </si>
  <si>
    <t>modules/a-knights-dream/Item/equip_weapon_spear_long_moonstoone.webp</t>
  </si>
  <si>
    <t>Moonstoone Lucerince Hammer</t>
  </si>
  <si>
    <t>modules/a-knights-dream/Item/equip_weapon_hammer_lucerince_moonstoone.webp</t>
  </si>
  <si>
    <t>Moonstoone Mace</t>
  </si>
  <si>
    <t>modules/a-knights-dream/Item/equip_weapon_mace_moonstoone.webp</t>
  </si>
  <si>
    <t>Moonstoone Morningstar</t>
  </si>
  <si>
    <t>modules/a-knights-dream/Item/equip_weapon_morningstar_moonstoone.webp</t>
  </si>
  <si>
    <t>Moonstoone Pike</t>
  </si>
  <si>
    <t>modules/a-knights-dream/Item/equip_weapon_pike_moonstoone.webp</t>
  </si>
  <si>
    <t>Moonstoone Quarter Staff</t>
  </si>
  <si>
    <t>modules/a-knights-dream/Item/equip_weapon_staff_quarter_moonstoone.webp</t>
  </si>
  <si>
    <t>Moonstoone Ranseur</t>
  </si>
  <si>
    <t>modules/a-knights-dream/Item/equip_weapon_ranseur_moonstoone.webp</t>
  </si>
  <si>
    <t>Moonstoone Rapier</t>
  </si>
  <si>
    <t>modules/a-knights-dream/Item/equip_weapon_rapier_moonstoone.webp</t>
  </si>
  <si>
    <t>Moonstoone Recurve Bow</t>
  </si>
  <si>
    <t>modules/a-knights-dream/Item/equip_weapon_bow_recurve_moonstoone.webp</t>
  </si>
  <si>
    <t>Moonstoone Repeater Crossbow</t>
  </si>
  <si>
    <t>modules/a-knights-dream/Item/equip_weapon_crossbow_repeater_moonstoone.webp</t>
  </si>
  <si>
    <t>Moonstoone Sabre</t>
  </si>
  <si>
    <t>modules/a-knights-dream/Item/equip_weapon_sabre_moonstoone.webp</t>
  </si>
  <si>
    <t>Moonstoone Scimitar</t>
  </si>
  <si>
    <t>modules/a-knights-dream/Item/equip_weapon_scimitar_moonstoone.webp</t>
  </si>
  <si>
    <t>Moonstoone Scythe</t>
  </si>
  <si>
    <t>modules/a-knights-dream/Item/equip_weapon_scythe_moonstoone.webp</t>
  </si>
  <si>
    <t>Moonstoone Short Bow</t>
  </si>
  <si>
    <t>modules/a-knights-dream/Item/equip_weapon_bow_short_moonstoone.webp</t>
  </si>
  <si>
    <t>Moonstoone Short Spear</t>
  </si>
  <si>
    <t>modules/a-knights-dream/Item/equip_weapon_spear_short_moonstoone.webp</t>
  </si>
  <si>
    <t>Moonstoone Short Sword</t>
  </si>
  <si>
    <t>modules/a-knights-dream/Item/equip_weapon_sword_short_moonstoone.webp</t>
  </si>
  <si>
    <t>Moonstoone Shotel</t>
  </si>
  <si>
    <t>modules/a-knights-dream/Item/equip_weapon_shotel_moonstoone.webp</t>
  </si>
  <si>
    <t>Moonstoone Sickle</t>
  </si>
  <si>
    <t>modules/a-knights-dream/Item/equip_weapon_sickle_moonstoone.webp</t>
  </si>
  <si>
    <t>Moonstoone Sling</t>
  </si>
  <si>
    <t>modules/a-knights-dream/Item/equip_weapon_sling_moonstoone.webp</t>
  </si>
  <si>
    <t>Moonstoone Staff</t>
  </si>
  <si>
    <t>modules/a-knights-dream/Item/equip_weapon_staff_moonstoone.webp</t>
  </si>
  <si>
    <t>Moonstoone Staff Sling</t>
  </si>
  <si>
    <t>modules/a-knights-dream/Item/equip_weapon_sling_staff_moonstoone.webp</t>
  </si>
  <si>
    <t>Moonstoone Sword</t>
  </si>
  <si>
    <t>modules/a-knights-dream/Item/equip_weapon_sword_moonstoone.webp</t>
  </si>
  <si>
    <t>Moonstoone Tapal</t>
  </si>
  <si>
    <t>modules/a-knights-dream/Item/equip_weapon_tapal_moonstoone.webp</t>
  </si>
  <si>
    <t>Moonstoone Trident</t>
  </si>
  <si>
    <t>modules/a-knights-dream/Item/equip_weapon_trident_moonstoone.webp</t>
  </si>
  <si>
    <t>Moonstoone War Hammer</t>
  </si>
  <si>
    <t>modules/a-knights-dream/Item/equip_weapon_hammer_war_moonstoone.webp</t>
  </si>
  <si>
    <t>Moonstoone War Pick</t>
  </si>
  <si>
    <t>modules/a-knights-dream/Item/equip_weapon_pick_war_moonstoone.webp</t>
  </si>
  <si>
    <t>Moonstoone Brigantine Cuirass</t>
  </si>
  <si>
    <t>modules/a-knights-dream/Item/equip_armor_brigantine_cuirass_moonstoone.webp</t>
  </si>
  <si>
    <t>Moonstoone Brigantine Gauntlets</t>
  </si>
  <si>
    <t>modules/a-knights-dream/Item/equip_armor_brigantine_gauntlets_moonstoone.webp</t>
  </si>
  <si>
    <t>Moonstoone Brigantine Greaves</t>
  </si>
  <si>
    <t>modules/a-knights-dream/Item/equip_armor_brigantine_greaves_moonstoone.webp</t>
  </si>
  <si>
    <t>Moonstoone Brigantine Helmet</t>
  </si>
  <si>
    <t>modules/a-knights-dream/Item/equip_armor_brigantine_helmet_moonstoone.webp</t>
  </si>
  <si>
    <t>Moonstoone Brigantine Pauldron</t>
  </si>
  <si>
    <t>modules/a-knights-dream/Item/equip_armor_brigantine_pauldron_moonstoone.webp</t>
  </si>
  <si>
    <t>Moonstoone Chainmail Cuirass</t>
  </si>
  <si>
    <t>modules/a-knights-dream/Item/equip_armor_chainmail_cuirass_moonstoone.webp</t>
  </si>
  <si>
    <t>Moonstoone Chainmail Gauntlets</t>
  </si>
  <si>
    <t>modules/a-knights-dream/Item/equip_armor_chainmail_gauntlets_moonstoone.webp</t>
  </si>
  <si>
    <t>Moonstoone Chainmail Greaves</t>
  </si>
  <si>
    <t>modules/a-knights-dream/Item/equip_armor_chainmail_greaves_moonstoone.webp</t>
  </si>
  <si>
    <t>Moonstoone Chainmail Helmet</t>
  </si>
  <si>
    <t>modules/a-knights-dream/Item/equip_armor_chainmail_helmet_moonstoone.webp</t>
  </si>
  <si>
    <t>Moonstoone Chainmail Pauldron</t>
  </si>
  <si>
    <t>modules/a-knights-dream/Item/equip_armor_chainmail_pauldron_moonstoone.webp</t>
  </si>
  <si>
    <t>Moonstoone Gamberson Cuirass</t>
  </si>
  <si>
    <t>modules/a-knights-dream/Item/equip_armor_gamberson_cuirass_moonstoone.webp</t>
  </si>
  <si>
    <t>Moonstoone Gamberson Gauntlets</t>
  </si>
  <si>
    <t>modules/a-knights-dream/Item/equip_armor_gamberson_gauntlets_moonstoone.webp</t>
  </si>
  <si>
    <t>Moonstoone Gamberson Greaves</t>
  </si>
  <si>
    <t>modules/a-knights-dream/Item/equip_armor_gamberson_greaves_moonstoone.webp</t>
  </si>
  <si>
    <t>Moonstoone Gamberson Helmet</t>
  </si>
  <si>
    <t>modules/a-knights-dream/Item/equip_armor_gamberson_helmet_moonstoone.webp</t>
  </si>
  <si>
    <t>Moonstoone Gamberson Pauldron</t>
  </si>
  <si>
    <t>modules/a-knights-dream/Item/equip_armor_gamberson_pauldron_moonstoone.webp</t>
  </si>
  <si>
    <t>Moonstoone Hauberk Cuirass</t>
  </si>
  <si>
    <t>modules/a-knights-dream/Item/equip_armor_hauberk_cuirass_moonstoone.webp</t>
  </si>
  <si>
    <t>Moonstoone Hauberk Gauntlets</t>
  </si>
  <si>
    <t>modules/a-knights-dream/Item/equip_armor_hauberk_gauntlets_moonstoone.webp</t>
  </si>
  <si>
    <t>Moonstoone Hauberk Greaves</t>
  </si>
  <si>
    <t>modules/a-knights-dream/Item/equip_armor_hauberk_greaves_moonstoone.webp</t>
  </si>
  <si>
    <t>Moonstoone Hauberk Helmet</t>
  </si>
  <si>
    <t>modules/a-knights-dream/Item/equip_armor_hauberk_helmet_moonstoone.webp</t>
  </si>
  <si>
    <t>Moonstoone Hauberk Pauldron</t>
  </si>
  <si>
    <t>modules/a-knights-dream/Item/equip_armor_hauberk_pauldron_moonstoone.webp</t>
  </si>
  <si>
    <t>Moonstoone Jack Cuirass</t>
  </si>
  <si>
    <t>modules/a-knights-dream/Item/equip_armor_jack_cuirass_moonstoone.webp</t>
  </si>
  <si>
    <t>Moonstoone Jack Gauntlets</t>
  </si>
  <si>
    <t>modules/a-knights-dream/Item/equip_armor_jack_gauntlets_moonstoone.webp</t>
  </si>
  <si>
    <t>Moonstoone Jack Greaves</t>
  </si>
  <si>
    <t>modules/a-knights-dream/Item/equip_armor_jack_greaves_moonstoone.webp</t>
  </si>
  <si>
    <t>Moonstoone Jack Helmet</t>
  </si>
  <si>
    <t>modules/a-knights-dream/Item/equip_armor_jack_helmet_moonstoone.webp</t>
  </si>
  <si>
    <t>Moonstoone Jack Pauldron</t>
  </si>
  <si>
    <t>modules/a-knights-dream/Item/equip_armor_jack_pauldron_moonstoone.webp</t>
  </si>
  <si>
    <t>Moonstoone Lamellar Cuirass</t>
  </si>
  <si>
    <t>modules/a-knights-dream/Item/equip_armor_lamellar_cuirass_moonstoone.webp</t>
  </si>
  <si>
    <t>Moonstoone Lamellar Gauntlets</t>
  </si>
  <si>
    <t>modules/a-knights-dream/Item/equip_armor_lamellar_gauntlets_moonstoone.webp</t>
  </si>
  <si>
    <t>Moonstoone Lamellar Greaves</t>
  </si>
  <si>
    <t>modules/a-knights-dream/Item/equip_armor_lamellar_greaves_moonstoone.webp</t>
  </si>
  <si>
    <t>Moonstoone Lamellar Helmet</t>
  </si>
  <si>
    <t>modules/a-knights-dream/Item/equip_armor_lamellar_helmet_moonstoone.webp</t>
  </si>
  <si>
    <t>Moonstoone Lamellar Pauldron</t>
  </si>
  <si>
    <t>modules/a-knights-dream/Item/equip_armor_lamellar_pauldron_moonstoone.webp</t>
  </si>
  <si>
    <t>Moonstoone Platemail Cuirass</t>
  </si>
  <si>
    <t>modules/a-knights-dream/Item/equip_armor_platemail_cuirass_moonstoone.webp</t>
  </si>
  <si>
    <t>Moonstoone Platemail Gauntlets</t>
  </si>
  <si>
    <t>modules/a-knights-dream/Item/equip_armor_platemail_gauntlets_moonstoone.webp</t>
  </si>
  <si>
    <t>Moonstoone Platemail Greaves</t>
  </si>
  <si>
    <t>modules/a-knights-dream/Item/equip_armor_platemail_greaves_moonstoone.webp</t>
  </si>
  <si>
    <t>Moonstoone Platemail Helmet</t>
  </si>
  <si>
    <t>modules/a-knights-dream/Item/equip_armor_platemail_helmet_moonstoone.webp</t>
  </si>
  <si>
    <t>Moonstoone Platemail Pauldron</t>
  </si>
  <si>
    <t>modules/a-knights-dream/Item/equip_armor_platemail_pauldron_moonstoone.webp</t>
  </si>
  <si>
    <t>Moonstoone Tunic Cuirass</t>
  </si>
  <si>
    <t>modules/a-knights-dream/Item/equip_armor_tunic_cuirass_moonstoone.webp</t>
  </si>
  <si>
    <t>Moonstoone Tunic Gauntlets</t>
  </si>
  <si>
    <t>modules/a-knights-dream/Item/equip_armor_tunic_gauntlets_moonstoone.webp</t>
  </si>
  <si>
    <t>Moonstoone Tunic Greaves</t>
  </si>
  <si>
    <t>modules/a-knights-dream/Item/equip_armor_tunic_greaves_moonstoone.webp</t>
  </si>
  <si>
    <t>Moonstoone Tunic Helmet</t>
  </si>
  <si>
    <t>modules/a-knights-dream/Item/equip_armor_tunic_helmet_moonstoone.webp</t>
  </si>
  <si>
    <t>Moonstoone Tunic Pauldron</t>
  </si>
  <si>
    <t>modules/a-knights-dream/Item/equip_armor_tunic_pauldron_moonstoone.webp</t>
  </si>
  <si>
    <t>Moonstoone Buckler Shield</t>
  </si>
  <si>
    <t>modules/a-knights-dream/Item/equip_armor_shield_buckler_moonstoone.webp</t>
  </si>
  <si>
    <t>Moonstoone Heater Shield</t>
  </si>
  <si>
    <t>modules/a-knights-dream/Item/equip_armor_shield_heater_moonstoone.webp</t>
  </si>
  <si>
    <t>Moonstoone Kite Shield</t>
  </si>
  <si>
    <t>modules/a-knights-dream/Item/equip_armor_shield_kite_moonstoone.webp</t>
  </si>
  <si>
    <t>Moonstoone Oval Shield</t>
  </si>
  <si>
    <t>modules/a-knights-dream/Item/equip_armor_shield_oval_moonstoone.webp</t>
  </si>
  <si>
    <t>Moonstoone Round Shield</t>
  </si>
  <si>
    <t>modules/a-knights-dream/Item/equip_armor_shield_round_moonstoone.webp</t>
  </si>
  <si>
    <t>Moonstoone Tower Shield</t>
  </si>
  <si>
    <t>modules/a-knights-dream/Item/equip_armor_shield_tower_moonstoone.webp</t>
  </si>
  <si>
    <t>Obsidian</t>
  </si>
  <si>
    <t>Obsidian Ball Bearings</t>
  </si>
  <si>
    <t>modules/a-knights-dream/Item/equip_weapon_bearings_obsidian.webp</t>
  </si>
  <si>
    <t>Obsidian Bardiche</t>
  </si>
  <si>
    <t>modules/a-knights-dream/Item/equip_weapon_bardiche_obsidian.webp</t>
  </si>
  <si>
    <t>Obsidian Bastard Sword</t>
  </si>
  <si>
    <t>modules/a-knights-dream/Item/equip_weapon_sword_bastard_obsidian.webp</t>
  </si>
  <si>
    <t>Obsidian Battle Axe</t>
  </si>
  <si>
    <t>modules/a-knights-dream/Item/equip_weapon_axe_battle_obsidian.webp</t>
  </si>
  <si>
    <t>Obsidian Blowgun</t>
  </si>
  <si>
    <t>modules/a-knights-dream/Item/equip_weapon_blowgun_obsidian.webp</t>
  </si>
  <si>
    <t>Obsidian Bolt</t>
  </si>
  <si>
    <t>modules/a-knights-dream/Item/equip_weapon_bolt_obsidian.webp</t>
  </si>
  <si>
    <t>Obsidian Boomerang</t>
  </si>
  <si>
    <t>modules/a-knights-dream/Item/equip_weapon_boomerang_obsidian.webp</t>
  </si>
  <si>
    <t>Obsidian Bow</t>
  </si>
  <si>
    <t>modules/a-knights-dream/Item/equip_weapon_bow_obsidian.webp</t>
  </si>
  <si>
    <t>Obsidian Caltrops</t>
  </si>
  <si>
    <t>modules/a-knights-dream/Item/equip_weapon_caltrops_obsidian.webp</t>
  </si>
  <si>
    <t>Obsidian Cestus</t>
  </si>
  <si>
    <t>modules/a-knights-dream/Item/equip_weapon_cestus_obsidian.webp</t>
  </si>
  <si>
    <t>Obsidian Chain</t>
  </si>
  <si>
    <t>modules/a-knights-dream/Item/equip_weapon_chain_obsidian.webp</t>
  </si>
  <si>
    <t>Obsidian Claymore</t>
  </si>
  <si>
    <t>modules/a-knights-dream/Item/equip_weapon_claymore_obsidian.webp</t>
  </si>
  <si>
    <t>Obsidian Club</t>
  </si>
  <si>
    <t>modules/a-knights-dream/Item/equip_weapon_club_obsidian.webp</t>
  </si>
  <si>
    <t>Obsidian Compound Bow</t>
  </si>
  <si>
    <t>modules/a-knights-dream/Item/equip_weapon_bow_compound_obsidian.webp</t>
  </si>
  <si>
    <t>Obsidian Cutlass</t>
  </si>
  <si>
    <t>modules/a-knights-dream/Item/equip_weapon_cutlass_obsidian.webp</t>
  </si>
  <si>
    <t>Obsidian Dagger</t>
  </si>
  <si>
    <t>modules/a-knights-dream/Item/equip_weapon_dagger_obsidian.webp</t>
  </si>
  <si>
    <t>Obsidian Dart</t>
  </si>
  <si>
    <t>modules/a-knights-dream/Item/equip_weapon_dart_obsidian.webp</t>
  </si>
  <si>
    <t>Obsidian Fauchard Scythe</t>
  </si>
  <si>
    <t>modules/a-knights-dream/Item/equip_weapon_scythe_fauchard_obsidian.webp</t>
  </si>
  <si>
    <t>Obsidian Flail</t>
  </si>
  <si>
    <t>modules/a-knights-dream/Item/equip_weapon_flail_obsidian.webp</t>
  </si>
  <si>
    <t>Obsidian Glaive</t>
  </si>
  <si>
    <t>modules/a-knights-dream/Item/equip_weapon_glaive_obsidian.webp</t>
  </si>
  <si>
    <t>Obsidian Grapple Hook</t>
  </si>
  <si>
    <t>modules/a-knights-dream/Item/equip_weapon_hook_grapple_obsidian.webp</t>
  </si>
  <si>
    <t>Obsidian Great Axe</t>
  </si>
  <si>
    <t>modules/a-knights-dream/Item/equip_weapon_axe_great_obsidian.webp</t>
  </si>
  <si>
    <t>Obsidian Great Club</t>
  </si>
  <si>
    <t>modules/a-knights-dream/Item/equip_weapon_club_great_obsidian.webp</t>
  </si>
  <si>
    <t>Obsidian Great Khyber</t>
  </si>
  <si>
    <t>modules/a-knights-dream/Item/equip_weapon_khyber_great_obsidian.webp</t>
  </si>
  <si>
    <t>Obsidian Great Konda</t>
  </si>
  <si>
    <t>modules/a-knights-dream/Item/equip_weapon_konda_great_obsidian.webp</t>
  </si>
  <si>
    <t>Obsidian Great Labrys</t>
  </si>
  <si>
    <t>modules/a-knights-dream/Item/equip_weapon_axe_labrys_great_obsidian.webp</t>
  </si>
  <si>
    <t>Obsidian Great Mace</t>
  </si>
  <si>
    <t>modules/a-knights-dream/Item/equip_weapon_mace_great_obsidian.webp</t>
  </si>
  <si>
    <t>Obsidian Great Tapal</t>
  </si>
  <si>
    <t>modules/a-knights-dream/Item/equip_weapon_tapal_great_obsidian.webp</t>
  </si>
  <si>
    <t>Obsidian Great War Bow</t>
  </si>
  <si>
    <t>modules/a-knights-dream/Item/equip_weapon_bow_war_great_obsidian.webp</t>
  </si>
  <si>
    <t>Obsidian Great War Hammer</t>
  </si>
  <si>
    <t>modules/a-knights-dream/Item/equip_weapon_hammer_war_great_obsidian.webp</t>
  </si>
  <si>
    <t>Obsidian Great War Pick</t>
  </si>
  <si>
    <t>modules/a-knights-dream/Item/equip_weapon_pick_war_great_obsidian.webp</t>
  </si>
  <si>
    <t>Obsidian Guisarme</t>
  </si>
  <si>
    <t>modules/a-knights-dream/Item/equip_weapon_guisarme_obsidian.webp</t>
  </si>
  <si>
    <t>Obsidian Halberd</t>
  </si>
  <si>
    <t>modules/a-knights-dream/Item/equip_weapon_halberd_obsidian.webp</t>
  </si>
  <si>
    <t>Obsidian Hand Crossbow</t>
  </si>
  <si>
    <t>modules/a-knights-dream/Item/equip_weapon_crossbow_hand_obsidian.webp</t>
  </si>
  <si>
    <t>Obsidian Hand axe</t>
  </si>
  <si>
    <t>modules/a-knights-dream/Item/equip_weapon_axe_hand_obsidian.webp</t>
  </si>
  <si>
    <t>Obsidian Heavy Crossbow</t>
  </si>
  <si>
    <t>modules/a-knights-dream/Item/equip_weapon_crossbow_heavy_obsidian.webp</t>
  </si>
  <si>
    <t>Obsidian Hunting Trap</t>
  </si>
  <si>
    <t>modules/a-knights-dream/Item/equip_weapon_trap_hunting_obsidian.webp</t>
  </si>
  <si>
    <t>Obsidian Hunting Trap (Large)</t>
  </si>
  <si>
    <t>modules/a-knights-dream/Item/equip_weapon_trap_hunting_large_obsidian.webp</t>
  </si>
  <si>
    <t>Obsidian Hunting Trap (Small)</t>
  </si>
  <si>
    <t>modules/a-knights-dream/Item/equip_weapon_trap_hunting_small_obsidian.webp</t>
  </si>
  <si>
    <t>Obsidian Javelin</t>
  </si>
  <si>
    <t>modules/a-knights-dream/Item/equip_weapon_javelin_obsidian.webp</t>
  </si>
  <si>
    <t>Obsidian Khpesh</t>
  </si>
  <si>
    <t>modules/a-knights-dream/Item/equip_weapon_khpesh_obsidian.webp</t>
  </si>
  <si>
    <t>Obsidian Khyber</t>
  </si>
  <si>
    <t>modules/a-knights-dream/Item/equip_weapon_khyber_obsidian.webp</t>
  </si>
  <si>
    <t>Obsidian Konda</t>
  </si>
  <si>
    <t>modules/a-knights-dream/Item/equip_weapon_konda_obsidian.webp</t>
  </si>
  <si>
    <t>Obsidian Labrys</t>
  </si>
  <si>
    <t>modules/a-knights-dream/Item/equip_weapon_axe_labrys_obsidian.webp</t>
  </si>
  <si>
    <t>Obsidian Lance</t>
  </si>
  <si>
    <t>modules/a-knights-dream/Item/equip_weapon_lance_obsidian.webp</t>
  </si>
  <si>
    <t>Obsidian Light Crossbow</t>
  </si>
  <si>
    <t>modules/a-knights-dream/Item/equip_weapon_crossbow_light_obsidian.webp</t>
  </si>
  <si>
    <t>Obsidian Long Bow</t>
  </si>
  <si>
    <t>modules/a-knights-dream/Item/equip_weapon_bow_long_obsidian.webp</t>
  </si>
  <si>
    <t>Obsidian Long Spear</t>
  </si>
  <si>
    <t>modules/a-knights-dream/Item/equip_weapon_spear_long_obsidian.webp</t>
  </si>
  <si>
    <t>Obsidian Lucerince Hammer</t>
  </si>
  <si>
    <t>modules/a-knights-dream/Item/equip_weapon_hammer_lucerince_obsidian.webp</t>
  </si>
  <si>
    <t>Obsidian Mace</t>
  </si>
  <si>
    <t>modules/a-knights-dream/Item/equip_weapon_mace_obsidian.webp</t>
  </si>
  <si>
    <t>Obsidian Morningstar</t>
  </si>
  <si>
    <t>modules/a-knights-dream/Item/equip_weapon_morningstar_obsidian.webp</t>
  </si>
  <si>
    <t>Obsidian Pike</t>
  </si>
  <si>
    <t>modules/a-knights-dream/Item/equip_weapon_pike_obsidian.webp</t>
  </si>
  <si>
    <t>Obsidian Quarter Staff</t>
  </si>
  <si>
    <t>modules/a-knights-dream/Item/equip_weapon_staff_quarter_obsidian.webp</t>
  </si>
  <si>
    <t>Obsidian Ranseur</t>
  </si>
  <si>
    <t>modules/a-knights-dream/Item/equip_weapon_ranseur_obsidian.webp</t>
  </si>
  <si>
    <t>Obsidian Rapier</t>
  </si>
  <si>
    <t>modules/a-knights-dream/Item/equip_weapon_rapier_obsidian.webp</t>
  </si>
  <si>
    <t>Obsidian Recurve Bow</t>
  </si>
  <si>
    <t>modules/a-knights-dream/Item/equip_weapon_bow_recurve_obsidian.webp</t>
  </si>
  <si>
    <t>Obsidian Repeater Crossbow</t>
  </si>
  <si>
    <t>modules/a-knights-dream/Item/equip_weapon_crossbow_repeater_obsidian.webp</t>
  </si>
  <si>
    <t>Obsidian Sabre</t>
  </si>
  <si>
    <t>modules/a-knights-dream/Item/equip_weapon_sabre_obsidian.webp</t>
  </si>
  <si>
    <t>Obsidian Scimitar</t>
  </si>
  <si>
    <t>modules/a-knights-dream/Item/equip_weapon_scimitar_obsidian.webp</t>
  </si>
  <si>
    <t>Obsidian Scythe</t>
  </si>
  <si>
    <t>modules/a-knights-dream/Item/equip_weapon_scythe_obsidian.webp</t>
  </si>
  <si>
    <t>Obsidian Short Bow</t>
  </si>
  <si>
    <t>modules/a-knights-dream/Item/equip_weapon_bow_short_obsidian.webp</t>
  </si>
  <si>
    <t>Obsidian Short Spear</t>
  </si>
  <si>
    <t>modules/a-knights-dream/Item/equip_weapon_spear_short_obsidian.webp</t>
  </si>
  <si>
    <t>Obsidian Short Sword</t>
  </si>
  <si>
    <t>modules/a-knights-dream/Item/equip_weapon_sword_short_obsidian.webp</t>
  </si>
  <si>
    <t>Obsidian Shotel</t>
  </si>
  <si>
    <t>modules/a-knights-dream/Item/equip_weapon_shotel_obsidian.webp</t>
  </si>
  <si>
    <t>Obsidian Sickle</t>
  </si>
  <si>
    <t>modules/a-knights-dream/Item/equip_weapon_sickle_obsidian.webp</t>
  </si>
  <si>
    <t>Obsidian Sling</t>
  </si>
  <si>
    <t>modules/a-knights-dream/Item/equip_weapon_sling_obsidian.webp</t>
  </si>
  <si>
    <t>Obsidian Staff</t>
  </si>
  <si>
    <t>modules/a-knights-dream/Item/equip_weapon_staff_obsidian.webp</t>
  </si>
  <si>
    <t>Obsidian Staff Sling</t>
  </si>
  <si>
    <t>modules/a-knights-dream/Item/equip_weapon_sling_staff_obsidian.webp</t>
  </si>
  <si>
    <t>Obsidian Sword</t>
  </si>
  <si>
    <t>modules/a-knights-dream/Item/equip_weapon_sword_obsidian.webp</t>
  </si>
  <si>
    <t>Obsidian Tapal</t>
  </si>
  <si>
    <t>modules/a-knights-dream/Item/equip_weapon_tapal_obsidian.webp</t>
  </si>
  <si>
    <t>Obsidian Trident</t>
  </si>
  <si>
    <t>modules/a-knights-dream/Item/equip_weapon_trident_obsidian.webp</t>
  </si>
  <si>
    <t>Obsidian War Hammer</t>
  </si>
  <si>
    <t>modules/a-knights-dream/Item/equip_weapon_hammer_war_obsidian.webp</t>
  </si>
  <si>
    <t>Obsidian War Pick</t>
  </si>
  <si>
    <t>modules/a-knights-dream/Item/equip_weapon_pick_war_obsidian.webp</t>
  </si>
  <si>
    <t>Obsidian Brigantine Cuirass</t>
  </si>
  <si>
    <t>modules/a-knights-dream/Item/equip_armor_brigantine_cuirass_obsidian.webp</t>
  </si>
  <si>
    <t>Obsidian Brigantine Gauntlets</t>
  </si>
  <si>
    <t>modules/a-knights-dream/Item/equip_armor_brigantine_gauntlets_obsidian.webp</t>
  </si>
  <si>
    <t>Obsidian Brigantine Greaves</t>
  </si>
  <si>
    <t>modules/a-knights-dream/Item/equip_armor_brigantine_greaves_obsidian.webp</t>
  </si>
  <si>
    <t>Obsidian Brigantine Helmet</t>
  </si>
  <si>
    <t>modules/a-knights-dream/Item/equip_armor_brigantine_helmet_obsidian.webp</t>
  </si>
  <si>
    <t>Obsidian Brigantine Pauldron</t>
  </si>
  <si>
    <t>modules/a-knights-dream/Item/equip_armor_brigantine_pauldron_obsidian.webp</t>
  </si>
  <si>
    <t>Obsidian Chainmail Cuirass</t>
  </si>
  <si>
    <t>modules/a-knights-dream/Item/equip_armor_chainmail_cuirass_obsidian.webp</t>
  </si>
  <si>
    <t>Obsidian Chainmail Gauntlets</t>
  </si>
  <si>
    <t>modules/a-knights-dream/Item/equip_armor_chainmail_gauntlets_obsidian.webp</t>
  </si>
  <si>
    <t>Obsidian Chainmail Greaves</t>
  </si>
  <si>
    <t>modules/a-knights-dream/Item/equip_armor_chainmail_greaves_obsidian.webp</t>
  </si>
  <si>
    <t>Obsidian Chainmail Helmet</t>
  </si>
  <si>
    <t>modules/a-knights-dream/Item/equip_armor_chainmail_helmet_obsidian.webp</t>
  </si>
  <si>
    <t>Obsidian Chainmail Pauldron</t>
  </si>
  <si>
    <t>modules/a-knights-dream/Item/equip_armor_chainmail_pauldron_obsidian.webp</t>
  </si>
  <si>
    <t>Obsidian Gamberson Cuirass</t>
  </si>
  <si>
    <t>modules/a-knights-dream/Item/equip_armor_gamberson_cuirass_obsidian.webp</t>
  </si>
  <si>
    <t>Obsidian Gamberson Gauntlets</t>
  </si>
  <si>
    <t>modules/a-knights-dream/Item/equip_armor_gamberson_gauntlets_obsidian.webp</t>
  </si>
  <si>
    <t>Obsidian Gamberson Greaves</t>
  </si>
  <si>
    <t>modules/a-knights-dream/Item/equip_armor_gamberson_greaves_obsidian.webp</t>
  </si>
  <si>
    <t>Obsidian Gamberson Helmet</t>
  </si>
  <si>
    <t>modules/a-knights-dream/Item/equip_armor_gamberson_helmet_obsidian.webp</t>
  </si>
  <si>
    <t>Obsidian Gamberson Pauldron</t>
  </si>
  <si>
    <t>modules/a-knights-dream/Item/equip_armor_gamberson_pauldron_obsidian.webp</t>
  </si>
  <si>
    <t>Obsidian Hauberk Cuirass</t>
  </si>
  <si>
    <t>modules/a-knights-dream/Item/equip_armor_hauberk_cuirass_obsidian.webp</t>
  </si>
  <si>
    <t>Obsidian Hauberk Gauntlets</t>
  </si>
  <si>
    <t>modules/a-knights-dream/Item/equip_armor_hauberk_gauntlets_obsidian.webp</t>
  </si>
  <si>
    <t>Obsidian Hauberk Greaves</t>
  </si>
  <si>
    <t>modules/a-knights-dream/Item/equip_armor_hauberk_greaves_obsidian.webp</t>
  </si>
  <si>
    <t>Obsidian Hauberk Helmet</t>
  </si>
  <si>
    <t>modules/a-knights-dream/Item/equip_armor_hauberk_helmet_obsidian.webp</t>
  </si>
  <si>
    <t>Obsidian Hauberk Pauldron</t>
  </si>
  <si>
    <t>modules/a-knights-dream/Item/equip_armor_hauberk_pauldron_obsidian.webp</t>
  </si>
  <si>
    <t>Obsidian Jack Cuirass</t>
  </si>
  <si>
    <t>modules/a-knights-dream/Item/equip_armor_jack_cuirass_obsidian.webp</t>
  </si>
  <si>
    <t>Obsidian Jack Gauntlets</t>
  </si>
  <si>
    <t>modules/a-knights-dream/Item/equip_armor_jack_gauntlets_obsidian.webp</t>
  </si>
  <si>
    <t>Obsidian Jack Greaves</t>
  </si>
  <si>
    <t>modules/a-knights-dream/Item/equip_armor_jack_greaves_obsidian.webp</t>
  </si>
  <si>
    <t>Obsidian Jack Helmet</t>
  </si>
  <si>
    <t>modules/a-knights-dream/Item/equip_armor_jack_helmet_obsidian.webp</t>
  </si>
  <si>
    <t>Obsidian Jack Pauldron</t>
  </si>
  <si>
    <t>modules/a-knights-dream/Item/equip_armor_jack_pauldron_obsidian.webp</t>
  </si>
  <si>
    <t>Obsidian Lamellar Cuirass</t>
  </si>
  <si>
    <t>modules/a-knights-dream/Item/equip_armor_lamellar_cuirass_obsidian.webp</t>
  </si>
  <si>
    <t>Obsidian Lamellar Gauntlets</t>
  </si>
  <si>
    <t>modules/a-knights-dream/Item/equip_armor_lamellar_gauntlets_obsidian.webp</t>
  </si>
  <si>
    <t>Obsidian Lamellar Greaves</t>
  </si>
  <si>
    <t>modules/a-knights-dream/Item/equip_armor_lamellar_greaves_obsidian.webp</t>
  </si>
  <si>
    <t>Obsidian Lamellar Helmet</t>
  </si>
  <si>
    <t>modules/a-knights-dream/Item/equip_armor_lamellar_helmet_obsidian.webp</t>
  </si>
  <si>
    <t>Obsidian Lamellar Pauldron</t>
  </si>
  <si>
    <t>modules/a-knights-dream/Item/equip_armor_lamellar_pauldron_obsidian.webp</t>
  </si>
  <si>
    <t>Obsidian Platemail Cuirass</t>
  </si>
  <si>
    <t>modules/a-knights-dream/Item/equip_armor_platemail_cuirass_obsidian.webp</t>
  </si>
  <si>
    <t>Obsidian Platemail Gauntlets</t>
  </si>
  <si>
    <t>modules/a-knights-dream/Item/equip_armor_platemail_gauntlets_obsidian.webp</t>
  </si>
  <si>
    <t>Obsidian Platemail Greaves</t>
  </si>
  <si>
    <t>modules/a-knights-dream/Item/equip_armor_platemail_greaves_obsidian.webp</t>
  </si>
  <si>
    <t>Obsidian Platemail Helmet</t>
  </si>
  <si>
    <t>modules/a-knights-dream/Item/equip_armor_platemail_helmet_obsidian.webp</t>
  </si>
  <si>
    <t>Obsidian Platemail Pauldron</t>
  </si>
  <si>
    <t>modules/a-knights-dream/Item/equip_armor_platemail_pauldron_obsidian.webp</t>
  </si>
  <si>
    <t>Obsidian Tunic Cuirass</t>
  </si>
  <si>
    <t>modules/a-knights-dream/Item/equip_armor_tunic_cuirass_obsidian.webp</t>
  </si>
  <si>
    <t>Obsidian Tunic Gauntlets</t>
  </si>
  <si>
    <t>modules/a-knights-dream/Item/equip_armor_tunic_gauntlets_obsidian.webp</t>
  </si>
  <si>
    <t>Obsidian Tunic Greaves</t>
  </si>
  <si>
    <t>modules/a-knights-dream/Item/equip_armor_tunic_greaves_obsidian.webp</t>
  </si>
  <si>
    <t>Obsidian Tunic Helmet</t>
  </si>
  <si>
    <t>modules/a-knights-dream/Item/equip_armor_tunic_helmet_obsidian.webp</t>
  </si>
  <si>
    <t>Obsidian Tunic Pauldron</t>
  </si>
  <si>
    <t>modules/a-knights-dream/Item/equip_armor_tunic_pauldron_obsidian.webp</t>
  </si>
  <si>
    <t>Obsidian Buckler Shield</t>
  </si>
  <si>
    <t>modules/a-knights-dream/Item/equip_armor_shield_buckler_obsidian.webp</t>
  </si>
  <si>
    <t>Obsidian Heater Shield</t>
  </si>
  <si>
    <t>modules/a-knights-dream/Item/equip_armor_shield_heater_obsidian.webp</t>
  </si>
  <si>
    <t>Obsidian Kite Shield</t>
  </si>
  <si>
    <t>modules/a-knights-dream/Item/equip_armor_shield_kite_obsidian.webp</t>
  </si>
  <si>
    <t>Obsidian Oval Shield</t>
  </si>
  <si>
    <t>modules/a-knights-dream/Item/equip_armor_shield_oval_obsidian.webp</t>
  </si>
  <si>
    <t>Obsidian Round Shield</t>
  </si>
  <si>
    <t>modules/a-knights-dream/Item/equip_armor_shield_round_obsidian.webp</t>
  </si>
  <si>
    <t>Obsidian Tower Shield</t>
  </si>
  <si>
    <t>modules/a-knights-dream/Item/equip_armor_shield_tower_obsidian.webp</t>
  </si>
  <si>
    <t>Quartz</t>
  </si>
  <si>
    <t>Quartz Ball Bearings</t>
  </si>
  <si>
    <t>modules/a-knights-dream/Item/equip_weapon_bearings_quartz.webp</t>
  </si>
  <si>
    <t>Quartz Bardiche</t>
  </si>
  <si>
    <t>modules/a-knights-dream/Item/equip_weapon_bardiche_quartz.webp</t>
  </si>
  <si>
    <t>Quartz Bastard Sword</t>
  </si>
  <si>
    <t>modules/a-knights-dream/Item/equip_weapon_sword_bastard_quartz.webp</t>
  </si>
  <si>
    <t>Quartz Battle Axe</t>
  </si>
  <si>
    <t>modules/a-knights-dream/Item/equip_weapon_axe_battle_quartz.webp</t>
  </si>
  <si>
    <t>Quartz Blowgun</t>
  </si>
  <si>
    <t>modules/a-knights-dream/Item/equip_weapon_blowgun_quartz.webp</t>
  </si>
  <si>
    <t>Quartz Bolt</t>
  </si>
  <si>
    <t>modules/a-knights-dream/Item/equip_weapon_bolt_quartz.webp</t>
  </si>
  <si>
    <t>Quartz Boomerang</t>
  </si>
  <si>
    <t>modules/a-knights-dream/Item/equip_weapon_boomerang_quartz.webp</t>
  </si>
  <si>
    <t>Quartz Bow</t>
  </si>
  <si>
    <t>modules/a-knights-dream/Item/equip_weapon_bow_quartz.webp</t>
  </si>
  <si>
    <t>Quartz Caltrops</t>
  </si>
  <si>
    <t>modules/a-knights-dream/Item/equip_weapon_caltrops_quartz.webp</t>
  </si>
  <si>
    <t>Quartz Cestus</t>
  </si>
  <si>
    <t>modules/a-knights-dream/Item/equip_weapon_cestus_quartz.webp</t>
  </si>
  <si>
    <t>Quartz Chain</t>
  </si>
  <si>
    <t>modules/a-knights-dream/Item/equip_weapon_chain_quartz.webp</t>
  </si>
  <si>
    <t>Quartz Claymore</t>
  </si>
  <si>
    <t>modules/a-knights-dream/Item/equip_weapon_claymore_quartz.webp</t>
  </si>
  <si>
    <t>Quartz Club</t>
  </si>
  <si>
    <t>modules/a-knights-dream/Item/equip_weapon_club_quartz.webp</t>
  </si>
  <si>
    <t>Quartz Compound Bow</t>
  </si>
  <si>
    <t>modules/a-knights-dream/Item/equip_weapon_bow_compound_quartz.webp</t>
  </si>
  <si>
    <t>Quartz Cutlass</t>
  </si>
  <si>
    <t>modules/a-knights-dream/Item/equip_weapon_cutlass_quartz.webp</t>
  </si>
  <si>
    <t>Quartz Dagger</t>
  </si>
  <si>
    <t>modules/a-knights-dream/Item/equip_weapon_dagger_quartz.webp</t>
  </si>
  <si>
    <t>Quartz Dart</t>
  </si>
  <si>
    <t>modules/a-knights-dream/Item/equip_weapon_dart_quartz.webp</t>
  </si>
  <si>
    <t>Quartz Fauchard Scythe</t>
  </si>
  <si>
    <t>modules/a-knights-dream/Item/equip_weapon_scythe_fauchard_quartz.webp</t>
  </si>
  <si>
    <t>Quartz Flail</t>
  </si>
  <si>
    <t>modules/a-knights-dream/Item/equip_weapon_flail_quartz.webp</t>
  </si>
  <si>
    <t>Quartz Glaive</t>
  </si>
  <si>
    <t>modules/a-knights-dream/Item/equip_weapon_glaive_quartz.webp</t>
  </si>
  <si>
    <t>Quartz Grapple Hook</t>
  </si>
  <si>
    <t>modules/a-knights-dream/Item/equip_weapon_hook_grapple_quartz.webp</t>
  </si>
  <si>
    <t>Quartz Great Axe</t>
  </si>
  <si>
    <t>modules/a-knights-dream/Item/equip_weapon_axe_great_quartz.webp</t>
  </si>
  <si>
    <t>Quartz Great Club</t>
  </si>
  <si>
    <t>modules/a-knights-dream/Item/equip_weapon_club_great_quartz.webp</t>
  </si>
  <si>
    <t>Quartz Great Khyber</t>
  </si>
  <si>
    <t>modules/a-knights-dream/Item/equip_weapon_khyber_great_quartz.webp</t>
  </si>
  <si>
    <t>Quartz Great Konda</t>
  </si>
  <si>
    <t>modules/a-knights-dream/Item/equip_weapon_konda_great_quartz.webp</t>
  </si>
  <si>
    <t>Quartz Great Labrys</t>
  </si>
  <si>
    <t>modules/a-knights-dream/Item/equip_weapon_axe_labrys_great_quartz.webp</t>
  </si>
  <si>
    <t>Quartz Great Mace</t>
  </si>
  <si>
    <t>modules/a-knights-dream/Item/equip_weapon_mace_great_quartz.webp</t>
  </si>
  <si>
    <t>Quartz Great Tapal</t>
  </si>
  <si>
    <t>modules/a-knights-dream/Item/equip_weapon_tapal_great_quartz.webp</t>
  </si>
  <si>
    <t>Quartz Great War Bow</t>
  </si>
  <si>
    <t>modules/a-knights-dream/Item/equip_weapon_bow_war_great_quartz.webp</t>
  </si>
  <si>
    <t>Quartz Great War Hammer</t>
  </si>
  <si>
    <t>modules/a-knights-dream/Item/equip_weapon_hammer_war_great_quartz.webp</t>
  </si>
  <si>
    <t>Quartz Great War Pick</t>
  </si>
  <si>
    <t>modules/a-knights-dream/Item/equip_weapon_pick_war_great_quartz.webp</t>
  </si>
  <si>
    <t>Quartz Guisarme</t>
  </si>
  <si>
    <t>modules/a-knights-dream/Item/equip_weapon_guisarme_quartz.webp</t>
  </si>
  <si>
    <t>Quartz Halberd</t>
  </si>
  <si>
    <t>modules/a-knights-dream/Item/equip_weapon_halberd_quartz.webp</t>
  </si>
  <si>
    <t>Quartz Hand Crossbow</t>
  </si>
  <si>
    <t>modules/a-knights-dream/Item/equip_weapon_crossbow_hand_quartz.webp</t>
  </si>
  <si>
    <t>Quartz Hand axe</t>
  </si>
  <si>
    <t>modules/a-knights-dream/Item/equip_weapon_axe_hand_quartz.webp</t>
  </si>
  <si>
    <t>Quartz Heavy Crossbow</t>
  </si>
  <si>
    <t>modules/a-knights-dream/Item/equip_weapon_crossbow_heavy_quartz.webp</t>
  </si>
  <si>
    <t>Quartz Hunting Trap</t>
  </si>
  <si>
    <t>modules/a-knights-dream/Item/equip_weapon_trap_hunting_quartz.webp</t>
  </si>
  <si>
    <t>Quartz Hunting Trap (Large)</t>
  </si>
  <si>
    <t>modules/a-knights-dream/Item/equip_weapon_trap_hunting_large_quartz.webp</t>
  </si>
  <si>
    <t>Quartz Hunting Trap (Small)</t>
  </si>
  <si>
    <t>modules/a-knights-dream/Item/equip_weapon_trap_hunting_small_quartz.webp</t>
  </si>
  <si>
    <t>Quartz Javelin</t>
  </si>
  <si>
    <t>modules/a-knights-dream/Item/equip_weapon_javelin_quartz.webp</t>
  </si>
  <si>
    <t>Quartz Khpesh</t>
  </si>
  <si>
    <t>modules/a-knights-dream/Item/equip_weapon_khpesh_quartz.webp</t>
  </si>
  <si>
    <t>Quartz Khyber</t>
  </si>
  <si>
    <t>modules/a-knights-dream/Item/equip_weapon_khyber_quartz.webp</t>
  </si>
  <si>
    <t>Quartz Konda</t>
  </si>
  <si>
    <t>modules/a-knights-dream/Item/equip_weapon_konda_quartz.webp</t>
  </si>
  <si>
    <t>Quartz Labrys</t>
  </si>
  <si>
    <t>modules/a-knights-dream/Item/equip_weapon_axe_labrys_quartz.webp</t>
  </si>
  <si>
    <t>Quartz Lance</t>
  </si>
  <si>
    <t>modules/a-knights-dream/Item/equip_weapon_lance_quartz.webp</t>
  </si>
  <si>
    <t>Quartz Light Crossbow</t>
  </si>
  <si>
    <t>modules/a-knights-dream/Item/equip_weapon_crossbow_light_quartz.webp</t>
  </si>
  <si>
    <t>Quartz Long Bow</t>
  </si>
  <si>
    <t>modules/a-knights-dream/Item/equip_weapon_bow_long_quartz.webp</t>
  </si>
  <si>
    <t>Quartz Long Spear</t>
  </si>
  <si>
    <t>modules/a-knights-dream/Item/equip_weapon_spear_long_quartz.webp</t>
  </si>
  <si>
    <t>Quartz Lucerince Hammer</t>
  </si>
  <si>
    <t>modules/a-knights-dream/Item/equip_weapon_hammer_lucerince_quartz.webp</t>
  </si>
  <si>
    <t>Quartz Mace</t>
  </si>
  <si>
    <t>modules/a-knights-dream/Item/equip_weapon_mace_quartz.webp</t>
  </si>
  <si>
    <t>Quartz Morningstar</t>
  </si>
  <si>
    <t>modules/a-knights-dream/Item/equip_weapon_morningstar_quartz.webp</t>
  </si>
  <si>
    <t>Quartz Pike</t>
  </si>
  <si>
    <t>modules/a-knights-dream/Item/equip_weapon_pike_quartz.webp</t>
  </si>
  <si>
    <t>Quartz Quarter Staff</t>
  </si>
  <si>
    <t>modules/a-knights-dream/Item/equip_weapon_staff_quarter_quartz.webp</t>
  </si>
  <si>
    <t>Quartz Ranseur</t>
  </si>
  <si>
    <t>modules/a-knights-dream/Item/equip_weapon_ranseur_quartz.webp</t>
  </si>
  <si>
    <t>Quartz Rapier</t>
  </si>
  <si>
    <t>modules/a-knights-dream/Item/equip_weapon_rapier_quartz.webp</t>
  </si>
  <si>
    <t>Quartz Recurve Bow</t>
  </si>
  <si>
    <t>modules/a-knights-dream/Item/equip_weapon_bow_recurve_quartz.webp</t>
  </si>
  <si>
    <t>Quartz Repeater Crossbow</t>
  </si>
  <si>
    <t>modules/a-knights-dream/Item/equip_weapon_crossbow_repeater_quartz.webp</t>
  </si>
  <si>
    <t>Quartz Sabre</t>
  </si>
  <si>
    <t>modules/a-knights-dream/Item/equip_weapon_sabre_quartz.webp</t>
  </si>
  <si>
    <t>Quartz Scimitar</t>
  </si>
  <si>
    <t>modules/a-knights-dream/Item/equip_weapon_scimitar_quartz.webp</t>
  </si>
  <si>
    <t>Quartz Scythe</t>
  </si>
  <si>
    <t>modules/a-knights-dream/Item/equip_weapon_scythe_quartz.webp</t>
  </si>
  <si>
    <t>Quartz Short Bow</t>
  </si>
  <si>
    <t>modules/a-knights-dream/Item/equip_weapon_bow_short_quartz.webp</t>
  </si>
  <si>
    <t>Quartz Short Spear</t>
  </si>
  <si>
    <t>modules/a-knights-dream/Item/equip_weapon_spear_short_quartz.webp</t>
  </si>
  <si>
    <t>Quartz Short Sword</t>
  </si>
  <si>
    <t>modules/a-knights-dream/Item/equip_weapon_sword_short_quartz.webp</t>
  </si>
  <si>
    <t>Quartz Shotel</t>
  </si>
  <si>
    <t>modules/a-knights-dream/Item/equip_weapon_shotel_quartz.webp</t>
  </si>
  <si>
    <t>Quartz Sickle</t>
  </si>
  <si>
    <t>modules/a-knights-dream/Item/equip_weapon_sickle_quartz.webp</t>
  </si>
  <si>
    <t>Quartz Sling</t>
  </si>
  <si>
    <t>modules/a-knights-dream/Item/equip_weapon_sling_quartz.webp</t>
  </si>
  <si>
    <t>Quartz Staff</t>
  </si>
  <si>
    <t>modules/a-knights-dream/Item/equip_weapon_staff_quartz.webp</t>
  </si>
  <si>
    <t>Quartz Staff Sling</t>
  </si>
  <si>
    <t>modules/a-knights-dream/Item/equip_weapon_sling_staff_quartz.webp</t>
  </si>
  <si>
    <t>Quartz Sword</t>
  </si>
  <si>
    <t>modules/a-knights-dream/Item/equip_weapon_sword_quartz.webp</t>
  </si>
  <si>
    <t>Quartz Tapal</t>
  </si>
  <si>
    <t>modules/a-knights-dream/Item/equip_weapon_tapal_quartz.webp</t>
  </si>
  <si>
    <t>Quartz Trident</t>
  </si>
  <si>
    <t>modules/a-knights-dream/Item/equip_weapon_trident_quartz.webp</t>
  </si>
  <si>
    <t>Quartz War Hammer</t>
  </si>
  <si>
    <t>modules/a-knights-dream/Item/equip_weapon_hammer_war_quartz.webp</t>
  </si>
  <si>
    <t>Quartz War Pick</t>
  </si>
  <si>
    <t>modules/a-knights-dream/Item/equip_weapon_pick_war_quartz.webp</t>
  </si>
  <si>
    <t>Quartz Brigantine Cuirass</t>
  </si>
  <si>
    <t>modules/a-knights-dream/Item/equip_armor_brigantine_cuirass_quartz.webp</t>
  </si>
  <si>
    <t>Quartz Brigantine Gauntlets</t>
  </si>
  <si>
    <t>modules/a-knights-dream/Item/equip_armor_brigantine_gauntlets_quartz.webp</t>
  </si>
  <si>
    <t>Quartz Brigantine Greaves</t>
  </si>
  <si>
    <t>modules/a-knights-dream/Item/equip_armor_brigantine_greaves_quartz.webp</t>
  </si>
  <si>
    <t>Quartz Brigantine Helmet</t>
  </si>
  <si>
    <t>modules/a-knights-dream/Item/equip_armor_brigantine_helmet_quartz.webp</t>
  </si>
  <si>
    <t>Quartz Brigantine Pauldron</t>
  </si>
  <si>
    <t>modules/a-knights-dream/Item/equip_armor_brigantine_pauldron_quartz.webp</t>
  </si>
  <si>
    <t>Quartz Chainmail Cuirass</t>
  </si>
  <si>
    <t>modules/a-knights-dream/Item/equip_armor_chainmail_cuirass_quartz.webp</t>
  </si>
  <si>
    <t>Quartz Chainmail Gauntlets</t>
  </si>
  <si>
    <t>modules/a-knights-dream/Item/equip_armor_chainmail_gauntlets_quartz.webp</t>
  </si>
  <si>
    <t>Quartz Chainmail Greaves</t>
  </si>
  <si>
    <t>modules/a-knights-dream/Item/equip_armor_chainmail_greaves_quartz.webp</t>
  </si>
  <si>
    <t>Quartz Chainmail Helmet</t>
  </si>
  <si>
    <t>modules/a-knights-dream/Item/equip_armor_chainmail_helmet_quartz.webp</t>
  </si>
  <si>
    <t>Quartz Chainmail Pauldron</t>
  </si>
  <si>
    <t>modules/a-knights-dream/Item/equip_armor_chainmail_pauldron_quartz.webp</t>
  </si>
  <si>
    <t>Quartz Gamberson Cuirass</t>
  </si>
  <si>
    <t>modules/a-knights-dream/Item/equip_armor_gamberson_cuirass_quartz.webp</t>
  </si>
  <si>
    <t>Quartz Gamberson Gauntlets</t>
  </si>
  <si>
    <t>modules/a-knights-dream/Item/equip_armor_gamberson_gauntlets_quartz.webp</t>
  </si>
  <si>
    <t>Quartz Gamberson Greaves</t>
  </si>
  <si>
    <t>modules/a-knights-dream/Item/equip_armor_gamberson_greaves_quartz.webp</t>
  </si>
  <si>
    <t>Quartz Gamberson Helmet</t>
  </si>
  <si>
    <t>modules/a-knights-dream/Item/equip_armor_gamberson_helmet_quartz.webp</t>
  </si>
  <si>
    <t>Quartz Gamberson Pauldron</t>
  </si>
  <si>
    <t>modules/a-knights-dream/Item/equip_armor_gamberson_pauldron_quartz.webp</t>
  </si>
  <si>
    <t>Quartz Hauberk Cuirass</t>
  </si>
  <si>
    <t>modules/a-knights-dream/Item/equip_armor_hauberk_cuirass_quartz.webp</t>
  </si>
  <si>
    <t>Quartz Hauberk Gauntlets</t>
  </si>
  <si>
    <t>modules/a-knights-dream/Item/equip_armor_hauberk_gauntlets_quartz.webp</t>
  </si>
  <si>
    <t>Quartz Hauberk Greaves</t>
  </si>
  <si>
    <t>modules/a-knights-dream/Item/equip_armor_hauberk_greaves_quartz.webp</t>
  </si>
  <si>
    <t>Quartz Hauberk Helmet</t>
  </si>
  <si>
    <t>modules/a-knights-dream/Item/equip_armor_hauberk_helmet_quartz.webp</t>
  </si>
  <si>
    <t>Quartz Hauberk Pauldron</t>
  </si>
  <si>
    <t>modules/a-knights-dream/Item/equip_armor_hauberk_pauldron_quartz.webp</t>
  </si>
  <si>
    <t>Quartz Jack Cuirass</t>
  </si>
  <si>
    <t>modules/a-knights-dream/Item/equip_armor_jack_cuirass_quartz.webp</t>
  </si>
  <si>
    <t>Quartz Jack Gauntlets</t>
  </si>
  <si>
    <t>modules/a-knights-dream/Item/equip_armor_jack_gauntlets_quartz.webp</t>
  </si>
  <si>
    <t>Quartz Jack Greaves</t>
  </si>
  <si>
    <t>modules/a-knights-dream/Item/equip_armor_jack_greaves_quartz.webp</t>
  </si>
  <si>
    <t>Quartz Jack Helmet</t>
  </si>
  <si>
    <t>modules/a-knights-dream/Item/equip_armor_jack_helmet_quartz.webp</t>
  </si>
  <si>
    <t>Quartz Jack Pauldron</t>
  </si>
  <si>
    <t>modules/a-knights-dream/Item/equip_armor_jack_pauldron_quartz.webp</t>
  </si>
  <si>
    <t>Quartz Lamellar Cuirass</t>
  </si>
  <si>
    <t>modules/a-knights-dream/Item/equip_armor_lamellar_cuirass_quartz.webp</t>
  </si>
  <si>
    <t>Quartz Lamellar Gauntlets</t>
  </si>
  <si>
    <t>modules/a-knights-dream/Item/equip_armor_lamellar_gauntlets_quartz.webp</t>
  </si>
  <si>
    <t>Quartz Lamellar Greaves</t>
  </si>
  <si>
    <t>modules/a-knights-dream/Item/equip_armor_lamellar_greaves_quartz.webp</t>
  </si>
  <si>
    <t>Quartz Lamellar Helmet</t>
  </si>
  <si>
    <t>modules/a-knights-dream/Item/equip_armor_lamellar_helmet_quartz.webp</t>
  </si>
  <si>
    <t>Quartz Lamellar Pauldron</t>
  </si>
  <si>
    <t>modules/a-knights-dream/Item/equip_armor_lamellar_pauldron_quartz.webp</t>
  </si>
  <si>
    <t>Quartz Platemail Cuirass</t>
  </si>
  <si>
    <t>modules/a-knights-dream/Item/equip_armor_platemail_cuirass_quartz.webp</t>
  </si>
  <si>
    <t>Quartz Platemail Gauntlets</t>
  </si>
  <si>
    <t>modules/a-knights-dream/Item/equip_armor_platemail_gauntlets_quartz.webp</t>
  </si>
  <si>
    <t>Quartz Platemail Greaves</t>
  </si>
  <si>
    <t>modules/a-knights-dream/Item/equip_armor_platemail_greaves_quartz.webp</t>
  </si>
  <si>
    <t>Quartz Platemail Helmet</t>
  </si>
  <si>
    <t>modules/a-knights-dream/Item/equip_armor_platemail_helmet_quartz.webp</t>
  </si>
  <si>
    <t>Quartz Platemail Pauldron</t>
  </si>
  <si>
    <t>modules/a-knights-dream/Item/equip_armor_platemail_pauldron_quartz.webp</t>
  </si>
  <si>
    <t>Quartz Tunic Cuirass</t>
  </si>
  <si>
    <t>modules/a-knights-dream/Item/equip_armor_tunic_cuirass_quartz.webp</t>
  </si>
  <si>
    <t>Quartz Tunic Gauntlets</t>
  </si>
  <si>
    <t>modules/a-knights-dream/Item/equip_armor_tunic_gauntlets_quartz.webp</t>
  </si>
  <si>
    <t>Quartz Tunic Greaves</t>
  </si>
  <si>
    <t>modules/a-knights-dream/Item/equip_armor_tunic_greaves_quartz.webp</t>
  </si>
  <si>
    <t>Quartz Tunic Helmet</t>
  </si>
  <si>
    <t>modules/a-knights-dream/Item/equip_armor_tunic_helmet_quartz.webp</t>
  </si>
  <si>
    <t>Quartz Tunic Pauldron</t>
  </si>
  <si>
    <t>modules/a-knights-dream/Item/equip_armor_tunic_pauldron_quartz.webp</t>
  </si>
  <si>
    <t>Quartz Buckler Shield</t>
  </si>
  <si>
    <t>modules/a-knights-dream/Item/equip_armor_shield_buckler_quartz.webp</t>
  </si>
  <si>
    <t>Quartz Heater Shield</t>
  </si>
  <si>
    <t>modules/a-knights-dream/Item/equip_armor_shield_heater_quartz.webp</t>
  </si>
  <si>
    <t>Quartz Kite Shield</t>
  </si>
  <si>
    <t>modules/a-knights-dream/Item/equip_armor_shield_kite_quartz.webp</t>
  </si>
  <si>
    <t>Quartz Oval Shield</t>
  </si>
  <si>
    <t>modules/a-knights-dream/Item/equip_armor_shield_oval_quartz.webp</t>
  </si>
  <si>
    <t>Quartz Round Shield</t>
  </si>
  <si>
    <t>modules/a-knights-dream/Item/equip_armor_shield_round_quartz.webp</t>
  </si>
  <si>
    <t>Quartz Tower Shield</t>
  </si>
  <si>
    <t>modules/a-knights-dream/Item/equip_armor_shield_tower_quartz.webp</t>
  </si>
  <si>
    <t>Startal</t>
  </si>
  <si>
    <t>Startal Ball Bearings</t>
  </si>
  <si>
    <t>modules/a-knights-dream/Item/equip_weapon_bearings_startal.webp</t>
  </si>
  <si>
    <t>Startal Bardiche</t>
  </si>
  <si>
    <t>modules/a-knights-dream/Item/equip_weapon_bardiche_startal.webp</t>
  </si>
  <si>
    <t>Startal Bastard Sword</t>
  </si>
  <si>
    <t>modules/a-knights-dream/Item/equip_weapon_sword_bastard_startal.webp</t>
  </si>
  <si>
    <t>Startal Battle Axe</t>
  </si>
  <si>
    <t>modules/a-knights-dream/Item/equip_weapon_axe_battle_startal.webp</t>
  </si>
  <si>
    <t>Startal Blowgun</t>
  </si>
  <si>
    <t>modules/a-knights-dream/Item/equip_weapon_blowgun_startal.webp</t>
  </si>
  <si>
    <t>Startal Bolt</t>
  </si>
  <si>
    <t>modules/a-knights-dream/Item/equip_weapon_bolt_startal.webp</t>
  </si>
  <si>
    <t>Startal Boomerang</t>
  </si>
  <si>
    <t>modules/a-knights-dream/Item/equip_weapon_boomerang_startal.webp</t>
  </si>
  <si>
    <t>Startal Bow</t>
  </si>
  <si>
    <t>modules/a-knights-dream/Item/equip_weapon_bow_startal.webp</t>
  </si>
  <si>
    <t>Startal Caltrops</t>
  </si>
  <si>
    <t>modules/a-knights-dream/Item/equip_weapon_caltrops_startal.webp</t>
  </si>
  <si>
    <t>Startal Cestus</t>
  </si>
  <si>
    <t>modules/a-knights-dream/Item/equip_weapon_cestus_startal.webp</t>
  </si>
  <si>
    <t>Startal Chain</t>
  </si>
  <si>
    <t>modules/a-knights-dream/Item/equip_weapon_chain_startal.webp</t>
  </si>
  <si>
    <t>Startal Claymore</t>
  </si>
  <si>
    <t>modules/a-knights-dream/Item/equip_weapon_claymore_startal.webp</t>
  </si>
  <si>
    <t>Startal Club</t>
  </si>
  <si>
    <t>modules/a-knights-dream/Item/equip_weapon_club_startal.webp</t>
  </si>
  <si>
    <t>Startal Compound Bow</t>
  </si>
  <si>
    <t>modules/a-knights-dream/Item/equip_weapon_bow_compound_startal.webp</t>
  </si>
  <si>
    <t>Startal Cutlass</t>
  </si>
  <si>
    <t>modules/a-knights-dream/Item/equip_weapon_cutlass_startal.webp</t>
  </si>
  <si>
    <t>Startal Dagger</t>
  </si>
  <si>
    <t>modules/a-knights-dream/Item/equip_weapon_dagger_startal.webp</t>
  </si>
  <si>
    <t>Startal Dart</t>
  </si>
  <si>
    <t>modules/a-knights-dream/Item/equip_weapon_dart_startal.webp</t>
  </si>
  <si>
    <t>Startal Fauchard Scythe</t>
  </si>
  <si>
    <t>modules/a-knights-dream/Item/equip_weapon_scythe_fauchard_startal.webp</t>
  </si>
  <si>
    <t>Startal Flail</t>
  </si>
  <si>
    <t>modules/a-knights-dream/Item/equip_weapon_flail_startal.webp</t>
  </si>
  <si>
    <t>Startal Glaive</t>
  </si>
  <si>
    <t>modules/a-knights-dream/Item/equip_weapon_glaive_startal.webp</t>
  </si>
  <si>
    <t>Startal Grapple Hook</t>
  </si>
  <si>
    <t>modules/a-knights-dream/Item/equip_weapon_hook_grapple_startal.webp</t>
  </si>
  <si>
    <t>Startal Great Axe</t>
  </si>
  <si>
    <t>modules/a-knights-dream/Item/equip_weapon_axe_great_startal.webp</t>
  </si>
  <si>
    <t>Startal Great Club</t>
  </si>
  <si>
    <t>modules/a-knights-dream/Item/equip_weapon_club_great_startal.webp</t>
  </si>
  <si>
    <t>Startal Great Khyber</t>
  </si>
  <si>
    <t>modules/a-knights-dream/Item/equip_weapon_khyber_great_startal.webp</t>
  </si>
  <si>
    <t>Startal Great Konda</t>
  </si>
  <si>
    <t>modules/a-knights-dream/Item/equip_weapon_konda_great_startal.webp</t>
  </si>
  <si>
    <t>Startal Great Labrys</t>
  </si>
  <si>
    <t>modules/a-knights-dream/Item/equip_weapon_axe_labrys_great_startal.webp</t>
  </si>
  <si>
    <t>Startal Great Mace</t>
  </si>
  <si>
    <t>modules/a-knights-dream/Item/equip_weapon_mace_great_startal.webp</t>
  </si>
  <si>
    <t>Startal Great Tapal</t>
  </si>
  <si>
    <t>modules/a-knights-dream/Item/equip_weapon_tapal_great_startal.webp</t>
  </si>
  <si>
    <t>Startal Great War Bow</t>
  </si>
  <si>
    <t>modules/a-knights-dream/Item/equip_weapon_bow_war_great_startal.webp</t>
  </si>
  <si>
    <t>Startal Great War Hammer</t>
  </si>
  <si>
    <t>modules/a-knights-dream/Item/equip_weapon_hammer_war_great_startal.webp</t>
  </si>
  <si>
    <t>Startal Great War Pick</t>
  </si>
  <si>
    <t>modules/a-knights-dream/Item/equip_weapon_pick_war_great_startal.webp</t>
  </si>
  <si>
    <t>Startal Guisarme</t>
  </si>
  <si>
    <t>modules/a-knights-dream/Item/equip_weapon_guisarme_startal.webp</t>
  </si>
  <si>
    <t>Startal Halberd</t>
  </si>
  <si>
    <t>modules/a-knights-dream/Item/equip_weapon_halberd_startal.webp</t>
  </si>
  <si>
    <t>Startal Hand Crossbow</t>
  </si>
  <si>
    <t>modules/a-knights-dream/Item/equip_weapon_crossbow_hand_startal.webp</t>
  </si>
  <si>
    <t>Startal Hand axe</t>
  </si>
  <si>
    <t>modules/a-knights-dream/Item/equip_weapon_axe_hand_startal.webp</t>
  </si>
  <si>
    <t>Startal Heavy Crossbow</t>
  </si>
  <si>
    <t>modules/a-knights-dream/Item/equip_weapon_crossbow_heavy_startal.webp</t>
  </si>
  <si>
    <t>Startal Hunting Trap</t>
  </si>
  <si>
    <t>modules/a-knights-dream/Item/equip_weapon_trap_hunting_startal.webp</t>
  </si>
  <si>
    <t>Startal Hunting Trap (Large)</t>
  </si>
  <si>
    <t>modules/a-knights-dream/Item/equip_weapon_trap_hunting_large_startal.webp</t>
  </si>
  <si>
    <t>Startal Hunting Trap (Small)</t>
  </si>
  <si>
    <t>modules/a-knights-dream/Item/equip_weapon_trap_hunting_small_startal.webp</t>
  </si>
  <si>
    <t>Startal Javelin</t>
  </si>
  <si>
    <t>modules/a-knights-dream/Item/equip_weapon_javelin_startal.webp</t>
  </si>
  <si>
    <t>Startal Khpesh</t>
  </si>
  <si>
    <t>modules/a-knights-dream/Item/equip_weapon_khpesh_startal.webp</t>
  </si>
  <si>
    <t>Startal Khyber</t>
  </si>
  <si>
    <t>modules/a-knights-dream/Item/equip_weapon_khyber_startal.webp</t>
  </si>
  <si>
    <t>Startal Konda</t>
  </si>
  <si>
    <t>modules/a-knights-dream/Item/equip_weapon_konda_startal.webp</t>
  </si>
  <si>
    <t>Startal Labrys</t>
  </si>
  <si>
    <t>modules/a-knights-dream/Item/equip_weapon_axe_labrys_startal.webp</t>
  </si>
  <si>
    <t>Startal Lance</t>
  </si>
  <si>
    <t>modules/a-knights-dream/Item/equip_weapon_lance_startal.webp</t>
  </si>
  <si>
    <t>Startal Light Crossbow</t>
  </si>
  <si>
    <t>modules/a-knights-dream/Item/equip_weapon_crossbow_light_startal.webp</t>
  </si>
  <si>
    <t>Startal Long Bow</t>
  </si>
  <si>
    <t>modules/a-knights-dream/Item/equip_weapon_bow_long_startal.webp</t>
  </si>
  <si>
    <t>Startal Long Spear</t>
  </si>
  <si>
    <t>modules/a-knights-dream/Item/equip_weapon_spear_long_startal.webp</t>
  </si>
  <si>
    <t>Startal Lucerince Hammer</t>
  </si>
  <si>
    <t>modules/a-knights-dream/Item/equip_weapon_hammer_lucerince_startal.webp</t>
  </si>
  <si>
    <t>Startal Mace</t>
  </si>
  <si>
    <t>modules/a-knights-dream/Item/equip_weapon_mace_startal.webp</t>
  </si>
  <si>
    <t>Startal Morningstar</t>
  </si>
  <si>
    <t>modules/a-knights-dream/Item/equip_weapon_morningstar_startal.webp</t>
  </si>
  <si>
    <t>Startal Pike</t>
  </si>
  <si>
    <t>modules/a-knights-dream/Item/equip_weapon_pike_startal.webp</t>
  </si>
  <si>
    <t>Startal Quarter Staff</t>
  </si>
  <si>
    <t>modules/a-knights-dream/Item/equip_weapon_staff_quarter_startal.webp</t>
  </si>
  <si>
    <t>Startal Ranseur</t>
  </si>
  <si>
    <t>modules/a-knights-dream/Item/equip_weapon_ranseur_startal.webp</t>
  </si>
  <si>
    <t>Startal Rapier</t>
  </si>
  <si>
    <t>modules/a-knights-dream/Item/equip_weapon_rapier_startal.webp</t>
  </si>
  <si>
    <t>Startal Recurve Bow</t>
  </si>
  <si>
    <t>modules/a-knights-dream/Item/equip_weapon_bow_recurve_startal.webp</t>
  </si>
  <si>
    <t>Startal Repeater Crossbow</t>
  </si>
  <si>
    <t>modules/a-knights-dream/Item/equip_weapon_crossbow_repeater_startal.webp</t>
  </si>
  <si>
    <t>Startal Sabre</t>
  </si>
  <si>
    <t>modules/a-knights-dream/Item/equip_weapon_sabre_startal.webp</t>
  </si>
  <si>
    <t>Startal Scimitar</t>
  </si>
  <si>
    <t>modules/a-knights-dream/Item/equip_weapon_scimitar_startal.webp</t>
  </si>
  <si>
    <t>Startal Scythe</t>
  </si>
  <si>
    <t>modules/a-knights-dream/Item/equip_weapon_scythe_startal.webp</t>
  </si>
  <si>
    <t>Startal Short Bow</t>
  </si>
  <si>
    <t>modules/a-knights-dream/Item/equip_weapon_bow_short_startal.webp</t>
  </si>
  <si>
    <t>Startal Short Spear</t>
  </si>
  <si>
    <t>modules/a-knights-dream/Item/equip_weapon_spear_short_startal.webp</t>
  </si>
  <si>
    <t>Startal Short Sword</t>
  </si>
  <si>
    <t>modules/a-knights-dream/Item/equip_weapon_sword_short_startal.webp</t>
  </si>
  <si>
    <t>Startal Shotel</t>
  </si>
  <si>
    <t>modules/a-knights-dream/Item/equip_weapon_shotel_startal.webp</t>
  </si>
  <si>
    <t>Startal Sickle</t>
  </si>
  <si>
    <t>modules/a-knights-dream/Item/equip_weapon_sickle_startal.webp</t>
  </si>
  <si>
    <t>Startal Sling</t>
  </si>
  <si>
    <t>modules/a-knights-dream/Item/equip_weapon_sling_startal.webp</t>
  </si>
  <si>
    <t>Startal Staff</t>
  </si>
  <si>
    <t>modules/a-knights-dream/Item/equip_weapon_staff_startal.webp</t>
  </si>
  <si>
    <t>Startal Staff Sling</t>
  </si>
  <si>
    <t>modules/a-knights-dream/Item/equip_weapon_sling_staff_startal.webp</t>
  </si>
  <si>
    <t>Startal Sword</t>
  </si>
  <si>
    <t>modules/a-knights-dream/Item/equip_weapon_sword_startal.webp</t>
  </si>
  <si>
    <t>Startal Tapal</t>
  </si>
  <si>
    <t>modules/a-knights-dream/Item/equip_weapon_tapal_startal.webp</t>
  </si>
  <si>
    <t>Startal Trident</t>
  </si>
  <si>
    <t>modules/a-knights-dream/Item/equip_weapon_trident_startal.webp</t>
  </si>
  <si>
    <t>Startal War Hammer</t>
  </si>
  <si>
    <t>modules/a-knights-dream/Item/equip_weapon_hammer_war_startal.webp</t>
  </si>
  <si>
    <t>Startal War Pick</t>
  </si>
  <si>
    <t>modules/a-knights-dream/Item/equip_weapon_pick_war_startal.webp</t>
  </si>
  <si>
    <t>Startal Brigantine Cuirass</t>
  </si>
  <si>
    <t>modules/a-knights-dream/Item/equip_armor_brigantine_cuirass_startal.webp</t>
  </si>
  <si>
    <t>Startal Brigantine Gauntlets</t>
  </si>
  <si>
    <t>modules/a-knights-dream/Item/equip_armor_brigantine_gauntlets_startal.webp</t>
  </si>
  <si>
    <t>Startal Brigantine Greaves</t>
  </si>
  <si>
    <t>modules/a-knights-dream/Item/equip_armor_brigantine_greaves_startal.webp</t>
  </si>
  <si>
    <t>Startal Brigantine Helmet</t>
  </si>
  <si>
    <t>modules/a-knights-dream/Item/equip_armor_brigantine_helmet_startal.webp</t>
  </si>
  <si>
    <t>Startal Brigantine Pauldron</t>
  </si>
  <si>
    <t>modules/a-knights-dream/Item/equip_armor_brigantine_pauldron_startal.webp</t>
  </si>
  <si>
    <t>Startal Chainmail Cuirass</t>
  </si>
  <si>
    <t>modules/a-knights-dream/Item/equip_armor_chainmail_cuirass_startal.webp</t>
  </si>
  <si>
    <t>Startal Chainmail Gauntlets</t>
  </si>
  <si>
    <t>modules/a-knights-dream/Item/equip_armor_chainmail_gauntlets_startal.webp</t>
  </si>
  <si>
    <t>Startal Chainmail Greaves</t>
  </si>
  <si>
    <t>modules/a-knights-dream/Item/equip_armor_chainmail_greaves_startal.webp</t>
  </si>
  <si>
    <t>Startal Chainmail Helmet</t>
  </si>
  <si>
    <t>modules/a-knights-dream/Item/equip_armor_chainmail_helmet_startal.webp</t>
  </si>
  <si>
    <t>Startal Chainmail Pauldron</t>
  </si>
  <si>
    <t>modules/a-knights-dream/Item/equip_armor_chainmail_pauldron_startal.webp</t>
  </si>
  <si>
    <t>Startal Gamberson Cuirass</t>
  </si>
  <si>
    <t>modules/a-knights-dream/Item/equip_armor_gamberson_cuirass_startal.webp</t>
  </si>
  <si>
    <t>Startal Gamberson Gauntlets</t>
  </si>
  <si>
    <t>modules/a-knights-dream/Item/equip_armor_gamberson_gauntlets_startal.webp</t>
  </si>
  <si>
    <t>Startal Gamberson Greaves</t>
  </si>
  <si>
    <t>modules/a-knights-dream/Item/equip_armor_gamberson_greaves_startal.webp</t>
  </si>
  <si>
    <t>Startal Gamberson Helmet</t>
  </si>
  <si>
    <t>modules/a-knights-dream/Item/equip_armor_gamberson_helmet_startal.webp</t>
  </si>
  <si>
    <t>Startal Gamberson Pauldron</t>
  </si>
  <si>
    <t>modules/a-knights-dream/Item/equip_armor_gamberson_pauldron_startal.webp</t>
  </si>
  <si>
    <t>Startal Hauberk Cuirass</t>
  </si>
  <si>
    <t>modules/a-knights-dream/Item/equip_armor_hauberk_cuirass_startal.webp</t>
  </si>
  <si>
    <t>Startal Hauberk Gauntlets</t>
  </si>
  <si>
    <t>modules/a-knights-dream/Item/equip_armor_hauberk_gauntlets_startal.webp</t>
  </si>
  <si>
    <t>Startal Hauberk Greaves</t>
  </si>
  <si>
    <t>modules/a-knights-dream/Item/equip_armor_hauberk_greaves_startal.webp</t>
  </si>
  <si>
    <t>Startal Hauberk Helmet</t>
  </si>
  <si>
    <t>modules/a-knights-dream/Item/equip_armor_hauberk_helmet_startal.webp</t>
  </si>
  <si>
    <t>Startal Hauberk Pauldron</t>
  </si>
  <si>
    <t>modules/a-knights-dream/Item/equip_armor_hauberk_pauldron_startal.webp</t>
  </si>
  <si>
    <t>Startal Jack Cuirass</t>
  </si>
  <si>
    <t>modules/a-knights-dream/Item/equip_armor_jack_cuirass_startal.webp</t>
  </si>
  <si>
    <t>Startal Jack Gauntlets</t>
  </si>
  <si>
    <t>modules/a-knights-dream/Item/equip_armor_jack_gauntlets_startal.webp</t>
  </si>
  <si>
    <t>Startal Jack Greaves</t>
  </si>
  <si>
    <t>modules/a-knights-dream/Item/equip_armor_jack_greaves_startal.webp</t>
  </si>
  <si>
    <t>Startal Jack Helmet</t>
  </si>
  <si>
    <t>modules/a-knights-dream/Item/equip_armor_jack_helmet_startal.webp</t>
  </si>
  <si>
    <t>Startal Jack Pauldron</t>
  </si>
  <si>
    <t>modules/a-knights-dream/Item/equip_armor_jack_pauldron_startal.webp</t>
  </si>
  <si>
    <t>Startal Lamellar Cuirass</t>
  </si>
  <si>
    <t>modules/a-knights-dream/Item/equip_armor_lamellar_cuirass_startal.webp</t>
  </si>
  <si>
    <t>Startal Lamellar Gauntlets</t>
  </si>
  <si>
    <t>modules/a-knights-dream/Item/equip_armor_lamellar_gauntlets_startal.webp</t>
  </si>
  <si>
    <t>Startal Lamellar Greaves</t>
  </si>
  <si>
    <t>modules/a-knights-dream/Item/equip_armor_lamellar_greaves_startal.webp</t>
  </si>
  <si>
    <t>Startal Lamellar Helmet</t>
  </si>
  <si>
    <t>modules/a-knights-dream/Item/equip_armor_lamellar_helmet_startal.webp</t>
  </si>
  <si>
    <t>Startal Lamellar Pauldron</t>
  </si>
  <si>
    <t>modules/a-knights-dream/Item/equip_armor_lamellar_pauldron_startal.webp</t>
  </si>
  <si>
    <t>Startal Platemail Cuirass</t>
  </si>
  <si>
    <t>modules/a-knights-dream/Item/equip_armor_platemail_cuirass_startal.webp</t>
  </si>
  <si>
    <t>Startal Platemail Gauntlets</t>
  </si>
  <si>
    <t>modules/a-knights-dream/Item/equip_armor_platemail_gauntlets_startal.webp</t>
  </si>
  <si>
    <t>Startal Platemail Greaves</t>
  </si>
  <si>
    <t>modules/a-knights-dream/Item/equip_armor_platemail_greaves_startal.webp</t>
  </si>
  <si>
    <t>Startal Platemail Helmet</t>
  </si>
  <si>
    <t>modules/a-knights-dream/Item/equip_armor_platemail_helmet_startal.webp</t>
  </si>
  <si>
    <t>Startal Platemail Pauldron</t>
  </si>
  <si>
    <t>modules/a-knights-dream/Item/equip_armor_platemail_pauldron_startal.webp</t>
  </si>
  <si>
    <t>Startal Tunic Cuirass</t>
  </si>
  <si>
    <t>modules/a-knights-dream/Item/equip_armor_tunic_cuirass_startal.webp</t>
  </si>
  <si>
    <t>Startal Tunic Gauntlets</t>
  </si>
  <si>
    <t>modules/a-knights-dream/Item/equip_armor_tunic_gauntlets_startal.webp</t>
  </si>
  <si>
    <t>Startal Tunic Greaves</t>
  </si>
  <si>
    <t>modules/a-knights-dream/Item/equip_armor_tunic_greaves_startal.webp</t>
  </si>
  <si>
    <t>Startal Tunic Helmet</t>
  </si>
  <si>
    <t>modules/a-knights-dream/Item/equip_armor_tunic_helmet_startal.webp</t>
  </si>
  <si>
    <t>Startal Tunic Pauldron</t>
  </si>
  <si>
    <t>modules/a-knights-dream/Item/equip_armor_tunic_pauldron_startal.webp</t>
  </si>
  <si>
    <t>Startal Buckler Shield</t>
  </si>
  <si>
    <t>modules/a-knights-dream/Item/equip_armor_shield_buckler_startal.webp</t>
  </si>
  <si>
    <t>Startal Heater Shield</t>
  </si>
  <si>
    <t>modules/a-knights-dream/Item/equip_armor_shield_heater_startal.webp</t>
  </si>
  <si>
    <t>Startal Kite Shield</t>
  </si>
  <si>
    <t>modules/a-knights-dream/Item/equip_armor_shield_kite_startal.webp</t>
  </si>
  <si>
    <t>Startal Oval Shield</t>
  </si>
  <si>
    <t>modules/a-knights-dream/Item/equip_armor_shield_oval_startal.webp</t>
  </si>
  <si>
    <t>Startal Round Shield</t>
  </si>
  <si>
    <t>modules/a-knights-dream/Item/equip_armor_shield_round_startal.webp</t>
  </si>
  <si>
    <t>Startal Tower Shield</t>
  </si>
  <si>
    <t>modules/a-knights-dream/Item/equip_armor_shield_tower_startal.webp</t>
  </si>
  <si>
    <t>Trueice</t>
  </si>
  <si>
    <t>Trueice Ball Bearings</t>
  </si>
  <si>
    <t>modules/a-knights-dream/Item/equip_weapon_bearings_trueice.webp</t>
  </si>
  <si>
    <t>Trueice Bardiche</t>
  </si>
  <si>
    <t>modules/a-knights-dream/Item/equip_weapon_bardiche_trueice.webp</t>
  </si>
  <si>
    <t>Trueice Bastard Sword</t>
  </si>
  <si>
    <t>modules/a-knights-dream/Item/equip_weapon_sword_bastard_trueice.webp</t>
  </si>
  <si>
    <t>Trueice Battle Axe</t>
  </si>
  <si>
    <t>modules/a-knights-dream/Item/equip_weapon_axe_battle_trueice.webp</t>
  </si>
  <si>
    <t>Trueice Blowgun</t>
  </si>
  <si>
    <t>modules/a-knights-dream/Item/equip_weapon_blowgun_trueice.webp</t>
  </si>
  <si>
    <t>Trueice Bolt</t>
  </si>
  <si>
    <t>modules/a-knights-dream/Item/equip_weapon_bolt_trueice.webp</t>
  </si>
  <si>
    <t>Trueice Boomerang</t>
  </si>
  <si>
    <t>modules/a-knights-dream/Item/equip_weapon_boomerang_trueice.webp</t>
  </si>
  <si>
    <t>Trueice Bow</t>
  </si>
  <si>
    <t>modules/a-knights-dream/Item/equip_weapon_bow_trueice.webp</t>
  </si>
  <si>
    <t>Trueice Caltrops</t>
  </si>
  <si>
    <t>modules/a-knights-dream/Item/equip_weapon_caltrops_trueice.webp</t>
  </si>
  <si>
    <t>Trueice Cestus</t>
  </si>
  <si>
    <t>modules/a-knights-dream/Item/equip_weapon_cestus_trueice.webp</t>
  </si>
  <si>
    <t>Trueice Chain</t>
  </si>
  <si>
    <t>modules/a-knights-dream/Item/equip_weapon_chain_trueice.webp</t>
  </si>
  <si>
    <t>Trueice Claymore</t>
  </si>
  <si>
    <t>modules/a-knights-dream/Item/equip_weapon_claymore_trueice.webp</t>
  </si>
  <si>
    <t>Trueice Club</t>
  </si>
  <si>
    <t>modules/a-knights-dream/Item/equip_weapon_club_trueice.webp</t>
  </si>
  <si>
    <t>Trueice Compound Bow</t>
  </si>
  <si>
    <t>modules/a-knights-dream/Item/equip_weapon_bow_compound_trueice.webp</t>
  </si>
  <si>
    <t>Trueice Cutlass</t>
  </si>
  <si>
    <t>modules/a-knights-dream/Item/equip_weapon_cutlass_trueice.webp</t>
  </si>
  <si>
    <t>Trueice Dagger</t>
  </si>
  <si>
    <t>modules/a-knights-dream/Item/equip_weapon_dagger_trueice.webp</t>
  </si>
  <si>
    <t>Trueice Dart</t>
  </si>
  <si>
    <t>modules/a-knights-dream/Item/equip_weapon_dart_trueice.webp</t>
  </si>
  <si>
    <t>Trueice Fauchard Scythe</t>
  </si>
  <si>
    <t>modules/a-knights-dream/Item/equip_weapon_scythe_fauchard_trueice.webp</t>
  </si>
  <si>
    <t>Trueice Flail</t>
  </si>
  <si>
    <t>modules/a-knights-dream/Item/equip_weapon_flail_trueice.webp</t>
  </si>
  <si>
    <t>Trueice Glaive</t>
  </si>
  <si>
    <t>modules/a-knights-dream/Item/equip_weapon_glaive_trueice.webp</t>
  </si>
  <si>
    <t>Trueice Grapple Hook</t>
  </si>
  <si>
    <t>modules/a-knights-dream/Item/equip_weapon_hook_grapple_trueice.webp</t>
  </si>
  <si>
    <t>Trueice Great Axe</t>
  </si>
  <si>
    <t>modules/a-knights-dream/Item/equip_weapon_axe_great_trueice.webp</t>
  </si>
  <si>
    <t>Trueice Great Club</t>
  </si>
  <si>
    <t>modules/a-knights-dream/Item/equip_weapon_club_great_trueice.webp</t>
  </si>
  <si>
    <t>Trueice Great Khyber</t>
  </si>
  <si>
    <t>modules/a-knights-dream/Item/equip_weapon_khyber_great_trueice.webp</t>
  </si>
  <si>
    <t>Trueice Great Konda</t>
  </si>
  <si>
    <t>modules/a-knights-dream/Item/equip_weapon_konda_great_trueice.webp</t>
  </si>
  <si>
    <t>Trueice Great Labrys</t>
  </si>
  <si>
    <t>modules/a-knights-dream/Item/equip_weapon_axe_labrys_great_trueice.webp</t>
  </si>
  <si>
    <t>Trueice Great Mace</t>
  </si>
  <si>
    <t>modules/a-knights-dream/Item/equip_weapon_mace_great_trueice.webp</t>
  </si>
  <si>
    <t>Trueice Great Tapal</t>
  </si>
  <si>
    <t>modules/a-knights-dream/Item/equip_weapon_tapal_great_trueice.webp</t>
  </si>
  <si>
    <t>Trueice Great War Bow</t>
  </si>
  <si>
    <t>modules/a-knights-dream/Item/equip_weapon_bow_war_great_trueice.webp</t>
  </si>
  <si>
    <t>Trueice Great War Hammer</t>
  </si>
  <si>
    <t>modules/a-knights-dream/Item/equip_weapon_hammer_war_great_trueice.webp</t>
  </si>
  <si>
    <t>Trueice Great War Pick</t>
  </si>
  <si>
    <t>modules/a-knights-dream/Item/equip_weapon_pick_war_great_trueice.webp</t>
  </si>
  <si>
    <t>Trueice Guisarme</t>
  </si>
  <si>
    <t>modules/a-knights-dream/Item/equip_weapon_guisarme_trueice.webp</t>
  </si>
  <si>
    <t>Trueice Halberd</t>
  </si>
  <si>
    <t>modules/a-knights-dream/Item/equip_weapon_halberd_trueice.webp</t>
  </si>
  <si>
    <t>Trueice Hand Crossbow</t>
  </si>
  <si>
    <t>modules/a-knights-dream/Item/equip_weapon_crossbow_hand_trueice.webp</t>
  </si>
  <si>
    <t>Trueice Hand axe</t>
  </si>
  <si>
    <t>modules/a-knights-dream/Item/equip_weapon_axe_hand_trueice.webp</t>
  </si>
  <si>
    <t>Trueice Heavy Crossbow</t>
  </si>
  <si>
    <t>modules/a-knights-dream/Item/equip_weapon_crossbow_heavy_trueice.webp</t>
  </si>
  <si>
    <t>Trueice Hunting Trap</t>
  </si>
  <si>
    <t>modules/a-knights-dream/Item/equip_weapon_trap_hunting_trueice.webp</t>
  </si>
  <si>
    <t>Trueice Hunting Trap (Large)</t>
  </si>
  <si>
    <t>modules/a-knights-dream/Item/equip_weapon_trap_hunting_large_trueice.webp</t>
  </si>
  <si>
    <t>Trueice Hunting Trap (Small)</t>
  </si>
  <si>
    <t>modules/a-knights-dream/Item/equip_weapon_trap_hunting_small_trueice.webp</t>
  </si>
  <si>
    <t>Trueice Javelin</t>
  </si>
  <si>
    <t>modules/a-knights-dream/Item/equip_weapon_javelin_trueice.webp</t>
  </si>
  <si>
    <t>Trueice Khpesh</t>
  </si>
  <si>
    <t>modules/a-knights-dream/Item/equip_weapon_khpesh_trueice.webp</t>
  </si>
  <si>
    <t>Trueice Khyber</t>
  </si>
  <si>
    <t>modules/a-knights-dream/Item/equip_weapon_khyber_trueice.webp</t>
  </si>
  <si>
    <t>Trueice Konda</t>
  </si>
  <si>
    <t>modules/a-knights-dream/Item/equip_weapon_konda_trueice.webp</t>
  </si>
  <si>
    <t>Trueice Labrys</t>
  </si>
  <si>
    <t>modules/a-knights-dream/Item/equip_weapon_axe_labrys_trueice.webp</t>
  </si>
  <si>
    <t>Trueice Lance</t>
  </si>
  <si>
    <t>modules/a-knights-dream/Item/equip_weapon_lance_trueice.webp</t>
  </si>
  <si>
    <t>Trueice Light Crossbow</t>
  </si>
  <si>
    <t>modules/a-knights-dream/Item/equip_weapon_crossbow_light_trueice.webp</t>
  </si>
  <si>
    <t>Trueice Long Bow</t>
  </si>
  <si>
    <t>modules/a-knights-dream/Item/equip_weapon_bow_long_trueice.webp</t>
  </si>
  <si>
    <t>Trueice Long Spear</t>
  </si>
  <si>
    <t>modules/a-knights-dream/Item/equip_weapon_spear_long_trueice.webp</t>
  </si>
  <si>
    <t>Trueice Lucerince Hammer</t>
  </si>
  <si>
    <t>modules/a-knights-dream/Item/equip_weapon_hammer_lucerince_trueice.webp</t>
  </si>
  <si>
    <t>Trueice Mace</t>
  </si>
  <si>
    <t>modules/a-knights-dream/Item/equip_weapon_mace_trueice.webp</t>
  </si>
  <si>
    <t>Trueice Morningstar</t>
  </si>
  <si>
    <t>modules/a-knights-dream/Item/equip_weapon_morningstar_trueice.webp</t>
  </si>
  <si>
    <t>Trueice Pike</t>
  </si>
  <si>
    <t>modules/a-knights-dream/Item/equip_weapon_pike_trueice.webp</t>
  </si>
  <si>
    <t>Trueice Quarter Staff</t>
  </si>
  <si>
    <t>modules/a-knights-dream/Item/equip_weapon_staff_quarter_trueice.webp</t>
  </si>
  <si>
    <t>Trueice Ranseur</t>
  </si>
  <si>
    <t>modules/a-knights-dream/Item/equip_weapon_ranseur_trueice.webp</t>
  </si>
  <si>
    <t>Trueice Rapier</t>
  </si>
  <si>
    <t>modules/a-knights-dream/Item/equip_weapon_rapier_trueice.webp</t>
  </si>
  <si>
    <t>Trueice Recurve Bow</t>
  </si>
  <si>
    <t>modules/a-knights-dream/Item/equip_weapon_bow_recurve_trueice.webp</t>
  </si>
  <si>
    <t>Trueice Repeater Crossbow</t>
  </si>
  <si>
    <t>modules/a-knights-dream/Item/equip_weapon_crossbow_repeater_trueice.webp</t>
  </si>
  <si>
    <t>Trueice Sabre</t>
  </si>
  <si>
    <t>modules/a-knights-dream/Item/equip_weapon_sabre_trueice.webp</t>
  </si>
  <si>
    <t>Trueice Scimitar</t>
  </si>
  <si>
    <t>modules/a-knights-dream/Item/equip_weapon_scimitar_trueice.webp</t>
  </si>
  <si>
    <t>Trueice Scythe</t>
  </si>
  <si>
    <t>modules/a-knights-dream/Item/equip_weapon_scythe_trueice.webp</t>
  </si>
  <si>
    <t>Trueice Short Bow</t>
  </si>
  <si>
    <t>modules/a-knights-dream/Item/equip_weapon_bow_short_trueice.webp</t>
  </si>
  <si>
    <t>Trueice Short Spear</t>
  </si>
  <si>
    <t>modules/a-knights-dream/Item/equip_weapon_spear_short_trueice.webp</t>
  </si>
  <si>
    <t>Trueice Short Sword</t>
  </si>
  <si>
    <t>modules/a-knights-dream/Item/equip_weapon_sword_short_trueice.webp</t>
  </si>
  <si>
    <t>Trueice Shotel</t>
  </si>
  <si>
    <t>modules/a-knights-dream/Item/equip_weapon_shotel_trueice.webp</t>
  </si>
  <si>
    <t>Trueice Sickle</t>
  </si>
  <si>
    <t>modules/a-knights-dream/Item/equip_weapon_sickle_trueice.webp</t>
  </si>
  <si>
    <t>Trueice Sling</t>
  </si>
  <si>
    <t>modules/a-knights-dream/Item/equip_weapon_sling_trueice.webp</t>
  </si>
  <si>
    <t>Trueice Staff</t>
  </si>
  <si>
    <t>modules/a-knights-dream/Item/equip_weapon_staff_trueice.webp</t>
  </si>
  <si>
    <t>Trueice Staff Sling</t>
  </si>
  <si>
    <t>modules/a-knights-dream/Item/equip_weapon_sling_staff_trueice.webp</t>
  </si>
  <si>
    <t>Trueice Sword</t>
  </si>
  <si>
    <t>modules/a-knights-dream/Item/equip_weapon_sword_trueice.webp</t>
  </si>
  <si>
    <t>Trueice Tapal</t>
  </si>
  <si>
    <t>modules/a-knights-dream/Item/equip_weapon_tapal_trueice.webp</t>
  </si>
  <si>
    <t>Trueice Trident</t>
  </si>
  <si>
    <t>modules/a-knights-dream/Item/equip_weapon_trident_trueice.webp</t>
  </si>
  <si>
    <t>Trueice War Hammer</t>
  </si>
  <si>
    <t>modules/a-knights-dream/Item/equip_weapon_hammer_war_trueice.webp</t>
  </si>
  <si>
    <t>Trueice War Pick</t>
  </si>
  <si>
    <t>modules/a-knights-dream/Item/equip_weapon_pick_war_trueice.webp</t>
  </si>
  <si>
    <t>Trueice Brigantine Cuirass</t>
  </si>
  <si>
    <t>modules/a-knights-dream/Item/equip_armor_brigantine_cuirass_trueice.webp</t>
  </si>
  <si>
    <t>Trueice Brigantine Gauntlets</t>
  </si>
  <si>
    <t>modules/a-knights-dream/Item/equip_armor_brigantine_gauntlets_trueice.webp</t>
  </si>
  <si>
    <t>Trueice Brigantine Greaves</t>
  </si>
  <si>
    <t>modules/a-knights-dream/Item/equip_armor_brigantine_greaves_trueice.webp</t>
  </si>
  <si>
    <t>Trueice Brigantine Helmet</t>
  </si>
  <si>
    <t>modules/a-knights-dream/Item/equip_armor_brigantine_helmet_trueice.webp</t>
  </si>
  <si>
    <t>Trueice Brigantine Pauldron</t>
  </si>
  <si>
    <t>modules/a-knights-dream/Item/equip_armor_brigantine_pauldron_trueice.webp</t>
  </si>
  <si>
    <t>Trueice Chainmail Cuirass</t>
  </si>
  <si>
    <t>modules/a-knights-dream/Item/equip_armor_chainmail_cuirass_trueice.webp</t>
  </si>
  <si>
    <t>Trueice Chainmail Gauntlets</t>
  </si>
  <si>
    <t>modules/a-knights-dream/Item/equip_armor_chainmail_gauntlets_trueice.webp</t>
  </si>
  <si>
    <t>Trueice Chainmail Greaves</t>
  </si>
  <si>
    <t>modules/a-knights-dream/Item/equip_armor_chainmail_greaves_trueice.webp</t>
  </si>
  <si>
    <t>Trueice Chainmail Helmet</t>
  </si>
  <si>
    <t>modules/a-knights-dream/Item/equip_armor_chainmail_helmet_trueice.webp</t>
  </si>
  <si>
    <t>Trueice Chainmail Pauldron</t>
  </si>
  <si>
    <t>modules/a-knights-dream/Item/equip_armor_chainmail_pauldron_trueice.webp</t>
  </si>
  <si>
    <t>Trueice Gamberson Cuirass</t>
  </si>
  <si>
    <t>modules/a-knights-dream/Item/equip_armor_gamberson_cuirass_trueice.webp</t>
  </si>
  <si>
    <t>Trueice Gamberson Gauntlets</t>
  </si>
  <si>
    <t>modules/a-knights-dream/Item/equip_armor_gamberson_gauntlets_trueice.webp</t>
  </si>
  <si>
    <t>Trueice Gamberson Greaves</t>
  </si>
  <si>
    <t>modules/a-knights-dream/Item/equip_armor_gamberson_greaves_trueice.webp</t>
  </si>
  <si>
    <t>Trueice Gamberson Helmet</t>
  </si>
  <si>
    <t>modules/a-knights-dream/Item/equip_armor_gamberson_helmet_trueice.webp</t>
  </si>
  <si>
    <t>Trueice Gamberson Pauldron</t>
  </si>
  <si>
    <t>modules/a-knights-dream/Item/equip_armor_gamberson_pauldron_trueice.webp</t>
  </si>
  <si>
    <t>Trueice Hauberk Cuirass</t>
  </si>
  <si>
    <t>modules/a-knights-dream/Item/equip_armor_hauberk_cuirass_trueice.webp</t>
  </si>
  <si>
    <t>Trueice Hauberk Gauntlets</t>
  </si>
  <si>
    <t>modules/a-knights-dream/Item/equip_armor_hauberk_gauntlets_trueice.webp</t>
  </si>
  <si>
    <t>Trueice Hauberk Greaves</t>
  </si>
  <si>
    <t>modules/a-knights-dream/Item/equip_armor_hauberk_greaves_trueice.webp</t>
  </si>
  <si>
    <t>Trueice Hauberk Helmet</t>
  </si>
  <si>
    <t>modules/a-knights-dream/Item/equip_armor_hauberk_helmet_trueice.webp</t>
  </si>
  <si>
    <t>Trueice Hauberk Pauldron</t>
  </si>
  <si>
    <t>modules/a-knights-dream/Item/equip_armor_hauberk_pauldron_trueice.webp</t>
  </si>
  <si>
    <t>Trueice Jack Cuirass</t>
  </si>
  <si>
    <t>modules/a-knights-dream/Item/equip_armor_jack_cuirass_trueice.webp</t>
  </si>
  <si>
    <t>Trueice Jack Gauntlets</t>
  </si>
  <si>
    <t>modules/a-knights-dream/Item/equip_armor_jack_gauntlets_trueice.webp</t>
  </si>
  <si>
    <t>Trueice Jack Greaves</t>
  </si>
  <si>
    <t>modules/a-knights-dream/Item/equip_armor_jack_greaves_trueice.webp</t>
  </si>
  <si>
    <t>Trueice Jack Helmet</t>
  </si>
  <si>
    <t>modules/a-knights-dream/Item/equip_armor_jack_helmet_trueice.webp</t>
  </si>
  <si>
    <t>Trueice Jack Pauldron</t>
  </si>
  <si>
    <t>modules/a-knights-dream/Item/equip_armor_jack_pauldron_trueice.webp</t>
  </si>
  <si>
    <t>Trueice Lamellar Cuirass</t>
  </si>
  <si>
    <t>modules/a-knights-dream/Item/equip_armor_lamellar_cuirass_trueice.webp</t>
  </si>
  <si>
    <t>Trueice Lamellar Gauntlets</t>
  </si>
  <si>
    <t>modules/a-knights-dream/Item/equip_armor_lamellar_gauntlets_trueice.webp</t>
  </si>
  <si>
    <t>Trueice Lamellar Greaves</t>
  </si>
  <si>
    <t>modules/a-knights-dream/Item/equip_armor_lamellar_greaves_trueice.webp</t>
  </si>
  <si>
    <t>Trueice Lamellar Helmet</t>
  </si>
  <si>
    <t>modules/a-knights-dream/Item/equip_armor_lamellar_helmet_trueice.webp</t>
  </si>
  <si>
    <t>Trueice Lamellar Pauldron</t>
  </si>
  <si>
    <t>modules/a-knights-dream/Item/equip_armor_lamellar_pauldron_trueice.webp</t>
  </si>
  <si>
    <t>Trueice Platemail Cuirass</t>
  </si>
  <si>
    <t>modules/a-knights-dream/Item/equip_armor_platemail_cuirass_trueice.webp</t>
  </si>
  <si>
    <t>Trueice Platemail Gauntlets</t>
  </si>
  <si>
    <t>modules/a-knights-dream/Item/equip_armor_platemail_gauntlets_trueice.webp</t>
  </si>
  <si>
    <t>Trueice Platemail Greaves</t>
  </si>
  <si>
    <t>modules/a-knights-dream/Item/equip_armor_platemail_greaves_trueice.webp</t>
  </si>
  <si>
    <t>Trueice Platemail Helmet</t>
  </si>
  <si>
    <t>modules/a-knights-dream/Item/equip_armor_platemail_helmet_trueice.webp</t>
  </si>
  <si>
    <t>Trueice Platemail Pauldron</t>
  </si>
  <si>
    <t>modules/a-knights-dream/Item/equip_armor_platemail_pauldron_trueice.webp</t>
  </si>
  <si>
    <t>Trueice Tunic Cuirass</t>
  </si>
  <si>
    <t>modules/a-knights-dream/Item/equip_armor_tunic_cuirass_trueice.webp</t>
  </si>
  <si>
    <t>Trueice Tunic Gauntlets</t>
  </si>
  <si>
    <t>modules/a-knights-dream/Item/equip_armor_tunic_gauntlets_trueice.webp</t>
  </si>
  <si>
    <t>Trueice Tunic Greaves</t>
  </si>
  <si>
    <t>modules/a-knights-dream/Item/equip_armor_tunic_greaves_trueice.webp</t>
  </si>
  <si>
    <t>Trueice Tunic Helmet</t>
  </si>
  <si>
    <t>modules/a-knights-dream/Item/equip_armor_tunic_helmet_trueice.webp</t>
  </si>
  <si>
    <t>Trueice Tunic Pauldron</t>
  </si>
  <si>
    <t>modules/a-knights-dream/Item/equip_armor_tunic_pauldron_trueice.webp</t>
  </si>
  <si>
    <t>Trueice Buckler Shield</t>
  </si>
  <si>
    <t>modules/a-knights-dream/Item/equip_armor_shield_buckler_trueice.webp</t>
  </si>
  <si>
    <t>Trueice Heater Shield</t>
  </si>
  <si>
    <t>modules/a-knights-dream/Item/equip_armor_shield_heater_trueice.webp</t>
  </si>
  <si>
    <t>Trueice Kite Shield</t>
  </si>
  <si>
    <t>modules/a-knights-dream/Item/equip_armor_shield_kite_trueice.webp</t>
  </si>
  <si>
    <t>Trueice Oval Shield</t>
  </si>
  <si>
    <t>modules/a-knights-dream/Item/equip_armor_shield_oval_trueice.webp</t>
  </si>
  <si>
    <t>Trueice Round Shield</t>
  </si>
  <si>
    <t>modules/a-knights-dream/Item/equip_armor_shield_round_trueice.webp</t>
  </si>
  <si>
    <t>Trueice Tower Shield</t>
  </si>
  <si>
    <t>modules/a-knights-dream/Item/equip_armor_shield_tower_trueice.webp</t>
  </si>
  <si>
    <t>Cloth</t>
  </si>
  <si>
    <t>Cotton</t>
  </si>
  <si>
    <t>Cotton Ball Bearings</t>
  </si>
  <si>
    <t>modules/a-knights-dream/Item/equip_weapon_bearings_cotton.webp</t>
  </si>
  <si>
    <t>Cotton Bardiche</t>
  </si>
  <si>
    <t>modules/a-knights-dream/Item/equip_weapon_bardiche_cotton.webp</t>
  </si>
  <si>
    <t>Cotton Bastard Sword</t>
  </si>
  <si>
    <t>modules/a-knights-dream/Item/equip_weapon_sword_bastard_cotton.webp</t>
  </si>
  <si>
    <t>Cotton Battle Axe</t>
  </si>
  <si>
    <t>modules/a-knights-dream/Item/equip_weapon_axe_battle_cotton.webp</t>
  </si>
  <si>
    <t>Cotton Blowgun</t>
  </si>
  <si>
    <t>modules/a-knights-dream/Item/equip_weapon_blowgun_cotton.webp</t>
  </si>
  <si>
    <t>Cotton Bolt</t>
  </si>
  <si>
    <t>modules/a-knights-dream/Item/equip_weapon_bolt_cotton.webp</t>
  </si>
  <si>
    <t>Cotton Boomerang</t>
  </si>
  <si>
    <t>modules/a-knights-dream/Item/equip_weapon_boomerang_cotton.webp</t>
  </si>
  <si>
    <t>Cotton Bow</t>
  </si>
  <si>
    <t>modules/a-knights-dream/Item/equip_weapon_bow_cotton.webp</t>
  </si>
  <si>
    <t>Cotton Caltrops</t>
  </si>
  <si>
    <t>modules/a-knights-dream/Item/equip_weapon_caltrops_cotton.webp</t>
  </si>
  <si>
    <t>Cotton Cestus</t>
  </si>
  <si>
    <t>modules/a-knights-dream/Item/equip_weapon_cestus_cotton.webp</t>
  </si>
  <si>
    <t>Cotton Chain</t>
  </si>
  <si>
    <t>modules/a-knights-dream/Item/equip_weapon_chain_cotton.webp</t>
  </si>
  <si>
    <t>Cotton Claymore</t>
  </si>
  <si>
    <t>modules/a-knights-dream/Item/equip_weapon_claymore_cotton.webp</t>
  </si>
  <si>
    <t>Cotton Club</t>
  </si>
  <si>
    <t>modules/a-knights-dream/Item/equip_weapon_club_cotton.webp</t>
  </si>
  <si>
    <t>Cotton Compound Bow</t>
  </si>
  <si>
    <t>modules/a-knights-dream/Item/equip_weapon_bow_compound_cotton.webp</t>
  </si>
  <si>
    <t>Cotton Cutlass</t>
  </si>
  <si>
    <t>modules/a-knights-dream/Item/equip_weapon_cutlass_cotton.webp</t>
  </si>
  <si>
    <t>Cotton Dagger</t>
  </si>
  <si>
    <t>modules/a-knights-dream/Item/equip_weapon_dagger_cotton.webp</t>
  </si>
  <si>
    <t>Cotton Dart</t>
  </si>
  <si>
    <t>modules/a-knights-dream/Item/equip_weapon_dart_cotton.webp</t>
  </si>
  <si>
    <t>Cotton Fauchard Scythe</t>
  </si>
  <si>
    <t>modules/a-knights-dream/Item/equip_weapon_scythe_fauchard_cotton.webp</t>
  </si>
  <si>
    <t>Cotton Flail</t>
  </si>
  <si>
    <t>modules/a-knights-dream/Item/equip_weapon_flail_cotton.webp</t>
  </si>
  <si>
    <t>Cotton Glaive</t>
  </si>
  <si>
    <t>modules/a-knights-dream/Item/equip_weapon_glaive_cotton.webp</t>
  </si>
  <si>
    <t>Cotton Grapple Hook</t>
  </si>
  <si>
    <t>modules/a-knights-dream/Item/equip_weapon_hook_grapple_cotton.webp</t>
  </si>
  <si>
    <t>Cotton Great Axe</t>
  </si>
  <si>
    <t>modules/a-knights-dream/Item/equip_weapon_axe_great_cotton.webp</t>
  </si>
  <si>
    <t>Cotton Great Club</t>
  </si>
  <si>
    <t>modules/a-knights-dream/Item/equip_weapon_club_great_cotton.webp</t>
  </si>
  <si>
    <t>Cotton Great Khyber</t>
  </si>
  <si>
    <t>modules/a-knights-dream/Item/equip_weapon_khyber_great_cotton.webp</t>
  </si>
  <si>
    <t>Cotton Great Konda</t>
  </si>
  <si>
    <t>modules/a-knights-dream/Item/equip_weapon_konda_great_cotton.webp</t>
  </si>
  <si>
    <t>Cotton Great Labrys</t>
  </si>
  <si>
    <t>modules/a-knights-dream/Item/equip_weapon_axe_labrys_great_cotton.webp</t>
  </si>
  <si>
    <t>Cotton Great Mace</t>
  </si>
  <si>
    <t>modules/a-knights-dream/Item/equip_weapon_mace_great_cotton.webp</t>
  </si>
  <si>
    <t>Cotton Great Tapal</t>
  </si>
  <si>
    <t>modules/a-knights-dream/Item/equip_weapon_tapal_great_cotton.webp</t>
  </si>
  <si>
    <t>Cotton Great War Bow</t>
  </si>
  <si>
    <t>modules/a-knights-dream/Item/equip_weapon_bow_war_great_cotton.webp</t>
  </si>
  <si>
    <t>Cotton Great War Hammer</t>
  </si>
  <si>
    <t>modules/a-knights-dream/Item/equip_weapon_hammer_war_great_cotton.webp</t>
  </si>
  <si>
    <t>Cotton Great War Pick</t>
  </si>
  <si>
    <t>modules/a-knights-dream/Item/equip_weapon_pick_war_great_cotton.webp</t>
  </si>
  <si>
    <t>Cotton Guisarme</t>
  </si>
  <si>
    <t>modules/a-knights-dream/Item/equip_weapon_guisarme_cotton.webp</t>
  </si>
  <si>
    <t>Cotton Halberd</t>
  </si>
  <si>
    <t>modules/a-knights-dream/Item/equip_weapon_halberd_cotton.webp</t>
  </si>
  <si>
    <t>Cotton Hand Crossbow</t>
  </si>
  <si>
    <t>modules/a-knights-dream/Item/equip_weapon_crossbow_hand_cotton.webp</t>
  </si>
  <si>
    <t>Cotton Hand axe</t>
  </si>
  <si>
    <t>modules/a-knights-dream/Item/equip_weapon_axe_hand_cotton.webp</t>
  </si>
  <si>
    <t>Cotton Heavy Crossbow</t>
  </si>
  <si>
    <t>modules/a-knights-dream/Item/equip_weapon_crossbow_heavy_cotton.webp</t>
  </si>
  <si>
    <t>Cotton Hunting Trap</t>
  </si>
  <si>
    <t>modules/a-knights-dream/Item/equip_weapon_trap_hunting_cotton.webp</t>
  </si>
  <si>
    <t>Cotton Hunting Trap (Large)</t>
  </si>
  <si>
    <t>modules/a-knights-dream/Item/equip_weapon_trap_hunting_large_cotton.webp</t>
  </si>
  <si>
    <t>Cotton Hunting Trap (Small)</t>
  </si>
  <si>
    <t>modules/a-knights-dream/Item/equip_weapon_trap_hunting_small_cotton.webp</t>
  </si>
  <si>
    <t>Cotton Javelin</t>
  </si>
  <si>
    <t>modules/a-knights-dream/Item/equip_weapon_javelin_cotton.webp</t>
  </si>
  <si>
    <t>Cotton Khpesh</t>
  </si>
  <si>
    <t>modules/a-knights-dream/Item/equip_weapon_khpesh_cotton.webp</t>
  </si>
  <si>
    <t>Cotton Khyber</t>
  </si>
  <si>
    <t>modules/a-knights-dream/Item/equip_weapon_khyber_cotton.webp</t>
  </si>
  <si>
    <t>Cotton Konda</t>
  </si>
  <si>
    <t>modules/a-knights-dream/Item/equip_weapon_konda_cotton.webp</t>
  </si>
  <si>
    <t>Cotton Labrys</t>
  </si>
  <si>
    <t>modules/a-knights-dream/Item/equip_weapon_axe_labrys_cotton.webp</t>
  </si>
  <si>
    <t>Cotton Lance</t>
  </si>
  <si>
    <t>modules/a-knights-dream/Item/equip_weapon_lance_cotton.webp</t>
  </si>
  <si>
    <t>Cotton Light Crossbow</t>
  </si>
  <si>
    <t>modules/a-knights-dream/Item/equip_weapon_crossbow_light_cotton.webp</t>
  </si>
  <si>
    <t>Cotton Long Bow</t>
  </si>
  <si>
    <t>modules/a-knights-dream/Item/equip_weapon_bow_long_cotton.webp</t>
  </si>
  <si>
    <t>Cotton Long Spear</t>
  </si>
  <si>
    <t>modules/a-knights-dream/Item/equip_weapon_spear_long_cotton.webp</t>
  </si>
  <si>
    <t>Cotton Lucerince Hammer</t>
  </si>
  <si>
    <t>modules/a-knights-dream/Item/equip_weapon_hammer_lucerince_cotton.webp</t>
  </si>
  <si>
    <t>Cotton Mace</t>
  </si>
  <si>
    <t>modules/a-knights-dream/Item/equip_weapon_mace_cotton.webp</t>
  </si>
  <si>
    <t>Cotton Morningstar</t>
  </si>
  <si>
    <t>modules/a-knights-dream/Item/equip_weapon_morningstar_cotton.webp</t>
  </si>
  <si>
    <t>Cotton Pike</t>
  </si>
  <si>
    <t>modules/a-knights-dream/Item/equip_weapon_pike_cotton.webp</t>
  </si>
  <si>
    <t>Cotton Quarter Staff</t>
  </si>
  <si>
    <t>modules/a-knights-dream/Item/equip_weapon_staff_quarter_cotton.webp</t>
  </si>
  <si>
    <t>Cotton Ranseur</t>
  </si>
  <si>
    <t>modules/a-knights-dream/Item/equip_weapon_ranseur_cotton.webp</t>
  </si>
  <si>
    <t>Cotton Rapier</t>
  </si>
  <si>
    <t>modules/a-knights-dream/Item/equip_weapon_rapier_cotton.webp</t>
  </si>
  <si>
    <t>Cotton Recurve Bow</t>
  </si>
  <si>
    <t>modules/a-knights-dream/Item/equip_weapon_bow_recurve_cotton.webp</t>
  </si>
  <si>
    <t>Cotton Repeater Crossbow</t>
  </si>
  <si>
    <t>modules/a-knights-dream/Item/equip_weapon_crossbow_repeater_cotton.webp</t>
  </si>
  <si>
    <t>Cotton Sabre</t>
  </si>
  <si>
    <t>modules/a-knights-dream/Item/equip_weapon_sabre_cotton.webp</t>
  </si>
  <si>
    <t>Cotton Scimitar</t>
  </si>
  <si>
    <t>modules/a-knights-dream/Item/equip_weapon_scimitar_cotton.webp</t>
  </si>
  <si>
    <t>Cotton Scythe</t>
  </si>
  <si>
    <t>modules/a-knights-dream/Item/equip_weapon_scythe_cotton.webp</t>
  </si>
  <si>
    <t>Cotton Short Bow</t>
  </si>
  <si>
    <t>modules/a-knights-dream/Item/equip_weapon_bow_short_cotton.webp</t>
  </si>
  <si>
    <t>Cotton Short Spear</t>
  </si>
  <si>
    <t>modules/a-knights-dream/Item/equip_weapon_spear_short_cotton.webp</t>
  </si>
  <si>
    <t>Cotton Short Sword</t>
  </si>
  <si>
    <t>modules/a-knights-dream/Item/equip_weapon_sword_short_cotton.webp</t>
  </si>
  <si>
    <t>Cotton Shotel</t>
  </si>
  <si>
    <t>modules/a-knights-dream/Item/equip_weapon_shotel_cotton.webp</t>
  </si>
  <si>
    <t>Cotton Sickle</t>
  </si>
  <si>
    <t>modules/a-knights-dream/Item/equip_weapon_sickle_cotton.webp</t>
  </si>
  <si>
    <t>Cotton Sling</t>
  </si>
  <si>
    <t>modules/a-knights-dream/Item/equip_weapon_sling_cotton.webp</t>
  </si>
  <si>
    <t>Cotton Staff</t>
  </si>
  <si>
    <t>modules/a-knights-dream/Item/equip_weapon_staff_cotton.webp</t>
  </si>
  <si>
    <t>Cotton Staff Sling</t>
  </si>
  <si>
    <t>modules/a-knights-dream/Item/equip_weapon_sling_staff_cotton.webp</t>
  </si>
  <si>
    <t>Cotton Sword</t>
  </si>
  <si>
    <t>modules/a-knights-dream/Item/equip_weapon_sword_cotton.webp</t>
  </si>
  <si>
    <t>Cotton Tapal</t>
  </si>
  <si>
    <t>modules/a-knights-dream/Item/equip_weapon_tapal_cotton.webp</t>
  </si>
  <si>
    <t>Cotton Trident</t>
  </si>
  <si>
    <t>modules/a-knights-dream/Item/equip_weapon_trident_cotton.webp</t>
  </si>
  <si>
    <t>Cotton War Hammer</t>
  </si>
  <si>
    <t>modules/a-knights-dream/Item/equip_weapon_hammer_war_cotton.webp</t>
  </si>
  <si>
    <t>Cotton War Pick</t>
  </si>
  <si>
    <t>modules/a-knights-dream/Item/equip_weapon_pick_war_cotton.webp</t>
  </si>
  <si>
    <t>Cotton Brigantine Cuirass</t>
  </si>
  <si>
    <t>modules/a-knights-dream/Item/equip_armor_brigantine_cuirass_cotton.webp</t>
  </si>
  <si>
    <t>Cotton Brigantine Gauntlets</t>
  </si>
  <si>
    <t>modules/a-knights-dream/Item/equip_armor_brigantine_gauntlets_cotton.webp</t>
  </si>
  <si>
    <t>Cotton Brigantine Greaves</t>
  </si>
  <si>
    <t>modules/a-knights-dream/Item/equip_armor_brigantine_greaves_cotton.webp</t>
  </si>
  <si>
    <t>Cotton Brigantine Helmet</t>
  </si>
  <si>
    <t>modules/a-knights-dream/Item/equip_armor_brigantine_helmet_cotton.webp</t>
  </si>
  <si>
    <t>Cotton Brigantine Pauldron</t>
  </si>
  <si>
    <t>modules/a-knights-dream/Item/equip_armor_brigantine_pauldron_cotton.webp</t>
  </si>
  <si>
    <t>Cotton Chainmail Cuirass</t>
  </si>
  <si>
    <t>modules/a-knights-dream/Item/equip_armor_chainmail_cuirass_cotton.webp</t>
  </si>
  <si>
    <t>Cotton Chainmail Gauntlets</t>
  </si>
  <si>
    <t>modules/a-knights-dream/Item/equip_armor_chainmail_gauntlets_cotton.webp</t>
  </si>
  <si>
    <t>Cotton Chainmail Greaves</t>
  </si>
  <si>
    <t>modules/a-knights-dream/Item/equip_armor_chainmail_greaves_cotton.webp</t>
  </si>
  <si>
    <t>Cotton Chainmail Helmet</t>
  </si>
  <si>
    <t>modules/a-knights-dream/Item/equip_armor_chainmail_helmet_cotton.webp</t>
  </si>
  <si>
    <t>Cotton Chainmail Pauldron</t>
  </si>
  <si>
    <t>modules/a-knights-dream/Item/equip_armor_chainmail_pauldron_cotton.webp</t>
  </si>
  <si>
    <t>Cotton Gamberson Cuirass</t>
  </si>
  <si>
    <t>modules/a-knights-dream/Item/equip_armor_gamberson_cuirass_cotton.webp</t>
  </si>
  <si>
    <t>Cotton Gamberson Gauntlets</t>
  </si>
  <si>
    <t>modules/a-knights-dream/Item/equip_armor_gamberson_gauntlets_cotton.webp</t>
  </si>
  <si>
    <t>Cotton Gamberson Greaves</t>
  </si>
  <si>
    <t>modules/a-knights-dream/Item/equip_armor_gamberson_greaves_cotton.webp</t>
  </si>
  <si>
    <t>Cotton Gamberson Helmet</t>
  </si>
  <si>
    <t>modules/a-knights-dream/Item/equip_armor_gamberson_helmet_cotton.webp</t>
  </si>
  <si>
    <t>Cotton Gamberson Pauldron</t>
  </si>
  <si>
    <t>modules/a-knights-dream/Item/equip_armor_gamberson_pauldron_cotton.webp</t>
  </si>
  <si>
    <t>Cotton Hauberk Cuirass</t>
  </si>
  <si>
    <t>modules/a-knights-dream/Item/equip_armor_hauberk_cuirass_cotton.webp</t>
  </si>
  <si>
    <t>Cotton Hauberk Gauntlets</t>
  </si>
  <si>
    <t>modules/a-knights-dream/Item/equip_armor_hauberk_gauntlets_cotton.webp</t>
  </si>
  <si>
    <t>Cotton Hauberk Greaves</t>
  </si>
  <si>
    <t>modules/a-knights-dream/Item/equip_armor_hauberk_greaves_cotton.webp</t>
  </si>
  <si>
    <t>Cotton Hauberk Helmet</t>
  </si>
  <si>
    <t>modules/a-knights-dream/Item/equip_armor_hauberk_helmet_cotton.webp</t>
  </si>
  <si>
    <t>Cotton Hauberk Pauldron</t>
  </si>
  <si>
    <t>modules/a-knights-dream/Item/equip_armor_hauberk_pauldron_cotton.webp</t>
  </si>
  <si>
    <t>Cotton Jack Cuirass</t>
  </si>
  <si>
    <t>modules/a-knights-dream/Item/equip_armor_jack_cuirass_cotton.webp</t>
  </si>
  <si>
    <t>Cotton Jack Gauntlets</t>
  </si>
  <si>
    <t>modules/a-knights-dream/Item/equip_armor_jack_gauntlets_cotton.webp</t>
  </si>
  <si>
    <t>Cotton Jack Greaves</t>
  </si>
  <si>
    <t>modules/a-knights-dream/Item/equip_armor_jack_greaves_cotton.webp</t>
  </si>
  <si>
    <t>Cotton Jack Helmet</t>
  </si>
  <si>
    <t>modules/a-knights-dream/Item/equip_armor_jack_helmet_cotton.webp</t>
  </si>
  <si>
    <t>Cotton Jack Pauldron</t>
  </si>
  <si>
    <t>modules/a-knights-dream/Item/equip_armor_jack_pauldron_cotton.webp</t>
  </si>
  <si>
    <t>Cotton Lamellar Cuirass</t>
  </si>
  <si>
    <t>modules/a-knights-dream/Item/equip_armor_lamellar_cuirass_cotton.webp</t>
  </si>
  <si>
    <t>Cotton Lamellar Gauntlets</t>
  </si>
  <si>
    <t>modules/a-knights-dream/Item/equip_armor_lamellar_gauntlets_cotton.webp</t>
  </si>
  <si>
    <t>Cotton Lamellar Greaves</t>
  </si>
  <si>
    <t>modules/a-knights-dream/Item/equip_armor_lamellar_greaves_cotton.webp</t>
  </si>
  <si>
    <t>Cotton Lamellar Helmet</t>
  </si>
  <si>
    <t>modules/a-knights-dream/Item/equip_armor_lamellar_helmet_cotton.webp</t>
  </si>
  <si>
    <t>Cotton Lamellar Pauldron</t>
  </si>
  <si>
    <t>modules/a-knights-dream/Item/equip_armor_lamellar_pauldron_cotton.webp</t>
  </si>
  <si>
    <t>Cotton Platemail Cuirass</t>
  </si>
  <si>
    <t>modules/a-knights-dream/Item/equip_armor_platemail_cuirass_cotton.webp</t>
  </si>
  <si>
    <t>Cotton Platemail Gauntlets</t>
  </si>
  <si>
    <t>modules/a-knights-dream/Item/equip_armor_platemail_gauntlets_cotton.webp</t>
  </si>
  <si>
    <t>Cotton Platemail Greaves</t>
  </si>
  <si>
    <t>modules/a-knights-dream/Item/equip_armor_platemail_greaves_cotton.webp</t>
  </si>
  <si>
    <t>Cotton Platemail Helmet</t>
  </si>
  <si>
    <t>modules/a-knights-dream/Item/equip_armor_platemail_helmet_cotton.webp</t>
  </si>
  <si>
    <t>Cotton Platemail Pauldron</t>
  </si>
  <si>
    <t>modules/a-knights-dream/Item/equip_armor_platemail_pauldron_cotton.webp</t>
  </si>
  <si>
    <t>Cotton Tunic Cuirass</t>
  </si>
  <si>
    <t>modules/a-knights-dream/Item/equip_armor_tunic_cuirass_cotton.webp</t>
  </si>
  <si>
    <t>Cotton Tunic Gauntlets</t>
  </si>
  <si>
    <t>modules/a-knights-dream/Item/equip_armor_tunic_gauntlets_cotton.webp</t>
  </si>
  <si>
    <t>Cotton Tunic Greaves</t>
  </si>
  <si>
    <t>modules/a-knights-dream/Item/equip_armor_tunic_greaves_cotton.webp</t>
  </si>
  <si>
    <t>Cotton Tunic Helmet</t>
  </si>
  <si>
    <t>modules/a-knights-dream/Item/equip_armor_tunic_helmet_cotton.webp</t>
  </si>
  <si>
    <t>Cotton Tunic Pauldron</t>
  </si>
  <si>
    <t>modules/a-knights-dream/Item/equip_armor_tunic_pauldron_cotton.webp</t>
  </si>
  <si>
    <t>Cotton Buckler Shield</t>
  </si>
  <si>
    <t>modules/a-knights-dream/Item/equip_armor_shield_buckler_cotton.webp</t>
  </si>
  <si>
    <t>Cotton Heater Shield</t>
  </si>
  <si>
    <t>modules/a-knights-dream/Item/equip_armor_shield_heater_cotton.webp</t>
  </si>
  <si>
    <t>Cotton Kite Shield</t>
  </si>
  <si>
    <t>modules/a-knights-dream/Item/equip_armor_shield_kite_cotton.webp</t>
  </si>
  <si>
    <t>Cotton Oval Shield</t>
  </si>
  <si>
    <t>modules/a-knights-dream/Item/equip_armor_shield_oval_cotton.webp</t>
  </si>
  <si>
    <t>Cotton Round Shield</t>
  </si>
  <si>
    <t>modules/a-knights-dream/Item/equip_armor_shield_round_cotton.webp</t>
  </si>
  <si>
    <t>Cotton Tower Shield</t>
  </si>
  <si>
    <t>modules/a-knights-dream/Item/equip_armor_shield_tower_cotton.webp</t>
  </si>
  <si>
    <t>Hemp</t>
  </si>
  <si>
    <t>Hemp Ball Bearings</t>
  </si>
  <si>
    <t>modules/a-knights-dream/Item/equip_weapon_bearings_hemp.webp</t>
  </si>
  <si>
    <t>Hemp Bardiche</t>
  </si>
  <si>
    <t>modules/a-knights-dream/Item/equip_weapon_bardiche_hemp.webp</t>
  </si>
  <si>
    <t>Hemp Bastard Sword</t>
  </si>
  <si>
    <t>modules/a-knights-dream/Item/equip_weapon_sword_bastard_hemp.webp</t>
  </si>
  <si>
    <t>Hemp Battle Axe</t>
  </si>
  <si>
    <t>modules/a-knights-dream/Item/equip_weapon_axe_battle_hemp.webp</t>
  </si>
  <si>
    <t>Hemp Blowgun</t>
  </si>
  <si>
    <t>modules/a-knights-dream/Item/equip_weapon_blowgun_hemp.webp</t>
  </si>
  <si>
    <t>Hemp Bolt</t>
  </si>
  <si>
    <t>modules/a-knights-dream/Item/equip_weapon_bolt_hemp.webp</t>
  </si>
  <si>
    <t>Hemp Boomerang</t>
  </si>
  <si>
    <t>modules/a-knights-dream/Item/equip_weapon_boomerang_hemp.webp</t>
  </si>
  <si>
    <t>Hemp Bow</t>
  </si>
  <si>
    <t>modules/a-knights-dream/Item/equip_weapon_bow_hemp.webp</t>
  </si>
  <si>
    <t>Hemp Caltrops</t>
  </si>
  <si>
    <t>modules/a-knights-dream/Item/equip_weapon_caltrops_hemp.webp</t>
  </si>
  <si>
    <t>Hemp Cestus</t>
  </si>
  <si>
    <t>modules/a-knights-dream/Item/equip_weapon_cestus_hemp.webp</t>
  </si>
  <si>
    <t>Hemp Chain</t>
  </si>
  <si>
    <t>modules/a-knights-dream/Item/equip_weapon_chain_hemp.webp</t>
  </si>
  <si>
    <t>Hemp Claymore</t>
  </si>
  <si>
    <t>modules/a-knights-dream/Item/equip_weapon_claymore_hemp.webp</t>
  </si>
  <si>
    <t>Hemp Club</t>
  </si>
  <si>
    <t>modules/a-knights-dream/Item/equip_weapon_club_hemp.webp</t>
  </si>
  <si>
    <t>Hemp Compound Bow</t>
  </si>
  <si>
    <t>modules/a-knights-dream/Item/equip_weapon_bow_compound_hemp.webp</t>
  </si>
  <si>
    <t>Hemp Cutlass</t>
  </si>
  <si>
    <t>modules/a-knights-dream/Item/equip_weapon_cutlass_hemp.webp</t>
  </si>
  <si>
    <t>Hemp Dagger</t>
  </si>
  <si>
    <t>modules/a-knights-dream/Item/equip_weapon_dagger_hemp.webp</t>
  </si>
  <si>
    <t>Hemp Dart</t>
  </si>
  <si>
    <t>modules/a-knights-dream/Item/equip_weapon_dart_hemp.webp</t>
  </si>
  <si>
    <t>Hemp Fauchard Scythe</t>
  </si>
  <si>
    <t>modules/a-knights-dream/Item/equip_weapon_scythe_fauchard_hemp.webp</t>
  </si>
  <si>
    <t>Hemp Flail</t>
  </si>
  <si>
    <t>modules/a-knights-dream/Item/equip_weapon_flail_hemp.webp</t>
  </si>
  <si>
    <t>Hemp Glaive</t>
  </si>
  <si>
    <t>modules/a-knights-dream/Item/equip_weapon_glaive_hemp.webp</t>
  </si>
  <si>
    <t>Hemp Grapple Hook</t>
  </si>
  <si>
    <t>modules/a-knights-dream/Item/equip_weapon_hook_grapple_hemp.webp</t>
  </si>
  <si>
    <t>Hemp Great Axe</t>
  </si>
  <si>
    <t>modules/a-knights-dream/Item/equip_weapon_axe_great_hemp.webp</t>
  </si>
  <si>
    <t>Hemp Great Club</t>
  </si>
  <si>
    <t>modules/a-knights-dream/Item/equip_weapon_club_great_hemp.webp</t>
  </si>
  <si>
    <t>Hemp Great Khyber</t>
  </si>
  <si>
    <t>modules/a-knights-dream/Item/equip_weapon_khyber_great_hemp.webp</t>
  </si>
  <si>
    <t>Hemp Great Konda</t>
  </si>
  <si>
    <t>modules/a-knights-dream/Item/equip_weapon_konda_great_hemp.webp</t>
  </si>
  <si>
    <t>Hemp Great Labrys</t>
  </si>
  <si>
    <t>modules/a-knights-dream/Item/equip_weapon_axe_labrys_great_hemp.webp</t>
  </si>
  <si>
    <t>Hemp Great Mace</t>
  </si>
  <si>
    <t>modules/a-knights-dream/Item/equip_weapon_mace_great_hemp.webp</t>
  </si>
  <si>
    <t>Hemp Great Tapal</t>
  </si>
  <si>
    <t>modules/a-knights-dream/Item/equip_weapon_tapal_great_hemp.webp</t>
  </si>
  <si>
    <t>Hemp Great War Bow</t>
  </si>
  <si>
    <t>modules/a-knights-dream/Item/equip_weapon_bow_war_great_hemp.webp</t>
  </si>
  <si>
    <t>Hemp Great War Hammer</t>
  </si>
  <si>
    <t>modules/a-knights-dream/Item/equip_weapon_hammer_war_great_hemp.webp</t>
  </si>
  <si>
    <t>Hemp Great War Pick</t>
  </si>
  <si>
    <t>modules/a-knights-dream/Item/equip_weapon_pick_war_great_hemp.webp</t>
  </si>
  <si>
    <t>Hemp Guisarme</t>
  </si>
  <si>
    <t>modules/a-knights-dream/Item/equip_weapon_guisarme_hemp.webp</t>
  </si>
  <si>
    <t>Hemp Halberd</t>
  </si>
  <si>
    <t>modules/a-knights-dream/Item/equip_weapon_halberd_hemp.webp</t>
  </si>
  <si>
    <t>Hemp Hand Crossbow</t>
  </si>
  <si>
    <t>modules/a-knights-dream/Item/equip_weapon_crossbow_hand_hemp.webp</t>
  </si>
  <si>
    <t>Hemp Hand axe</t>
  </si>
  <si>
    <t>modules/a-knights-dream/Item/equip_weapon_axe_hand_hemp.webp</t>
  </si>
  <si>
    <t>Hemp Heavy Crossbow</t>
  </si>
  <si>
    <t>modules/a-knights-dream/Item/equip_weapon_crossbow_heavy_hemp.webp</t>
  </si>
  <si>
    <t>Hemp Hunting Trap</t>
  </si>
  <si>
    <t>modules/a-knights-dream/Item/equip_weapon_trap_hunting_hemp.webp</t>
  </si>
  <si>
    <t>Hemp Hunting Trap (Large)</t>
  </si>
  <si>
    <t>modules/a-knights-dream/Item/equip_weapon_trap_hunting_large_hemp.webp</t>
  </si>
  <si>
    <t>Hemp Hunting Trap (Small)</t>
  </si>
  <si>
    <t>modules/a-knights-dream/Item/equip_weapon_trap_hunting_small_hemp.webp</t>
  </si>
  <si>
    <t>Hemp Javelin</t>
  </si>
  <si>
    <t>modules/a-knights-dream/Item/equip_weapon_javelin_hemp.webp</t>
  </si>
  <si>
    <t>Hemp Khpesh</t>
  </si>
  <si>
    <t>modules/a-knights-dream/Item/equip_weapon_khpesh_hemp.webp</t>
  </si>
  <si>
    <t>Hemp Khyber</t>
  </si>
  <si>
    <t>modules/a-knights-dream/Item/equip_weapon_khyber_hemp.webp</t>
  </si>
  <si>
    <t>Hemp Konda</t>
  </si>
  <si>
    <t>modules/a-knights-dream/Item/equip_weapon_konda_hemp.webp</t>
  </si>
  <si>
    <t>Hemp Labrys</t>
  </si>
  <si>
    <t>modules/a-knights-dream/Item/equip_weapon_axe_labrys_hemp.webp</t>
  </si>
  <si>
    <t>Hemp Lance</t>
  </si>
  <si>
    <t>modules/a-knights-dream/Item/equip_weapon_lance_hemp.webp</t>
  </si>
  <si>
    <t>Hemp Light Crossbow</t>
  </si>
  <si>
    <t>modules/a-knights-dream/Item/equip_weapon_crossbow_light_hemp.webp</t>
  </si>
  <si>
    <t>Hemp Long Bow</t>
  </si>
  <si>
    <t>modules/a-knights-dream/Item/equip_weapon_bow_long_hemp.webp</t>
  </si>
  <si>
    <t>Hemp Long Spear</t>
  </si>
  <si>
    <t>modules/a-knights-dream/Item/equip_weapon_spear_long_hemp.webp</t>
  </si>
  <si>
    <t>Hemp Lucerince Hammer</t>
  </si>
  <si>
    <t>modules/a-knights-dream/Item/equip_weapon_hammer_lucerince_hemp.webp</t>
  </si>
  <si>
    <t>Hemp Mace</t>
  </si>
  <si>
    <t>modules/a-knights-dream/Item/equip_weapon_mace_hemp.webp</t>
  </si>
  <si>
    <t>Hemp Morningstar</t>
  </si>
  <si>
    <t>modules/a-knights-dream/Item/equip_weapon_morningstar_hemp.webp</t>
  </si>
  <si>
    <t>Hemp Pike</t>
  </si>
  <si>
    <t>modules/a-knights-dream/Item/equip_weapon_pike_hemp.webp</t>
  </si>
  <si>
    <t>Hemp Quarter Staff</t>
  </si>
  <si>
    <t>modules/a-knights-dream/Item/equip_weapon_staff_quarter_hemp.webp</t>
  </si>
  <si>
    <t>Hemp Ranseur</t>
  </si>
  <si>
    <t>modules/a-knights-dream/Item/equip_weapon_ranseur_hemp.webp</t>
  </si>
  <si>
    <t>Hemp Rapier</t>
  </si>
  <si>
    <t>modules/a-knights-dream/Item/equip_weapon_rapier_hemp.webp</t>
  </si>
  <si>
    <t>Hemp Recurve Bow</t>
  </si>
  <si>
    <t>modules/a-knights-dream/Item/equip_weapon_bow_recurve_hemp.webp</t>
  </si>
  <si>
    <t>Hemp Repeater Crossbow</t>
  </si>
  <si>
    <t>modules/a-knights-dream/Item/equip_weapon_crossbow_repeater_hemp.webp</t>
  </si>
  <si>
    <t>Hemp Sabre</t>
  </si>
  <si>
    <t>modules/a-knights-dream/Item/equip_weapon_sabre_hemp.webp</t>
  </si>
  <si>
    <t>Hemp Scimitar</t>
  </si>
  <si>
    <t>modules/a-knights-dream/Item/equip_weapon_scimitar_hemp.webp</t>
  </si>
  <si>
    <t>Hemp Scythe</t>
  </si>
  <si>
    <t>modules/a-knights-dream/Item/equip_weapon_scythe_hemp.webp</t>
  </si>
  <si>
    <t>Hemp Short Bow</t>
  </si>
  <si>
    <t>modules/a-knights-dream/Item/equip_weapon_bow_short_hemp.webp</t>
  </si>
  <si>
    <t>Hemp Short Spear</t>
  </si>
  <si>
    <t>modules/a-knights-dream/Item/equip_weapon_spear_short_hemp.webp</t>
  </si>
  <si>
    <t>Hemp Short Sword</t>
  </si>
  <si>
    <t>modules/a-knights-dream/Item/equip_weapon_sword_short_hemp.webp</t>
  </si>
  <si>
    <t>Hemp Shotel</t>
  </si>
  <si>
    <t>modules/a-knights-dream/Item/equip_weapon_shotel_hemp.webp</t>
  </si>
  <si>
    <t>Hemp Sickle</t>
  </si>
  <si>
    <t>modules/a-knights-dream/Item/equip_weapon_sickle_hemp.webp</t>
  </si>
  <si>
    <t>Hemp Sling</t>
  </si>
  <si>
    <t>modules/a-knights-dream/Item/equip_weapon_sling_hemp.webp</t>
  </si>
  <si>
    <t>Hemp Staff</t>
  </si>
  <si>
    <t>modules/a-knights-dream/Item/equip_weapon_staff_hemp.webp</t>
  </si>
  <si>
    <t>Hemp Staff Sling</t>
  </si>
  <si>
    <t>modules/a-knights-dream/Item/equip_weapon_sling_staff_hemp.webp</t>
  </si>
  <si>
    <t>Hemp Sword</t>
  </si>
  <si>
    <t>modules/a-knights-dream/Item/equip_weapon_sword_hemp.webp</t>
  </si>
  <si>
    <t>Hemp Tapal</t>
  </si>
  <si>
    <t>modules/a-knights-dream/Item/equip_weapon_tapal_hemp.webp</t>
  </si>
  <si>
    <t>Hemp Trident</t>
  </si>
  <si>
    <t>modules/a-knights-dream/Item/equip_weapon_trident_hemp.webp</t>
  </si>
  <si>
    <t>Hemp War Hammer</t>
  </si>
  <si>
    <t>modules/a-knights-dream/Item/equip_weapon_hammer_war_hemp.webp</t>
  </si>
  <si>
    <t>Hemp War Pick</t>
  </si>
  <si>
    <t>modules/a-knights-dream/Item/equip_weapon_pick_war_hemp.webp</t>
  </si>
  <si>
    <t>Hemp Brigantine Cuirass</t>
  </si>
  <si>
    <t>modules/a-knights-dream/Item/equip_armor_brigantine_cuirass_hemp.webp</t>
  </si>
  <si>
    <t>Hemp Brigantine Gauntlets</t>
  </si>
  <si>
    <t>modules/a-knights-dream/Item/equip_armor_brigantine_gauntlets_hemp.webp</t>
  </si>
  <si>
    <t>Hemp Brigantine Greaves</t>
  </si>
  <si>
    <t>modules/a-knights-dream/Item/equip_armor_brigantine_greaves_hemp.webp</t>
  </si>
  <si>
    <t>Hemp Brigantine Helmet</t>
  </si>
  <si>
    <t>modules/a-knights-dream/Item/equip_armor_brigantine_helmet_hemp.webp</t>
  </si>
  <si>
    <t>Hemp Brigantine Pauldron</t>
  </si>
  <si>
    <t>modules/a-knights-dream/Item/equip_armor_brigantine_pauldron_hemp.webp</t>
  </si>
  <si>
    <t>Hemp Chainmail Cuirass</t>
  </si>
  <si>
    <t>modules/a-knights-dream/Item/equip_armor_chainmail_cuirass_hemp.webp</t>
  </si>
  <si>
    <t>Hemp Chainmail Gauntlets</t>
  </si>
  <si>
    <t>modules/a-knights-dream/Item/equip_armor_chainmail_gauntlets_hemp.webp</t>
  </si>
  <si>
    <t>Hemp Chainmail Greaves</t>
  </si>
  <si>
    <t>modules/a-knights-dream/Item/equip_armor_chainmail_greaves_hemp.webp</t>
  </si>
  <si>
    <t>Hemp Chainmail Helmet</t>
  </si>
  <si>
    <t>modules/a-knights-dream/Item/equip_armor_chainmail_helmet_hemp.webp</t>
  </si>
  <si>
    <t>Hemp Chainmail Pauldron</t>
  </si>
  <si>
    <t>modules/a-knights-dream/Item/equip_armor_chainmail_pauldron_hemp.webp</t>
  </si>
  <si>
    <t>Hemp Gamberson Cuirass</t>
  </si>
  <si>
    <t>modules/a-knights-dream/Item/equip_armor_gamberson_cuirass_hemp.webp</t>
  </si>
  <si>
    <t>Hemp Gamberson Gauntlets</t>
  </si>
  <si>
    <t>modules/a-knights-dream/Item/equip_armor_gamberson_gauntlets_hemp.webp</t>
  </si>
  <si>
    <t>Hemp Gamberson Greaves</t>
  </si>
  <si>
    <t>modules/a-knights-dream/Item/equip_armor_gamberson_greaves_hemp.webp</t>
  </si>
  <si>
    <t>Hemp Gamberson Helmet</t>
  </si>
  <si>
    <t>modules/a-knights-dream/Item/equip_armor_gamberson_helmet_hemp.webp</t>
  </si>
  <si>
    <t>Hemp Gamberson Pauldron</t>
  </si>
  <si>
    <t>modules/a-knights-dream/Item/equip_armor_gamberson_pauldron_hemp.webp</t>
  </si>
  <si>
    <t>Hemp Hauberk Cuirass</t>
  </si>
  <si>
    <t>modules/a-knights-dream/Item/equip_armor_hauberk_cuirass_hemp.webp</t>
  </si>
  <si>
    <t>Hemp Hauberk Gauntlets</t>
  </si>
  <si>
    <t>modules/a-knights-dream/Item/equip_armor_hauberk_gauntlets_hemp.webp</t>
  </si>
  <si>
    <t>Hemp Hauberk Greaves</t>
  </si>
  <si>
    <t>modules/a-knights-dream/Item/equip_armor_hauberk_greaves_hemp.webp</t>
  </si>
  <si>
    <t>Hemp Hauberk Helmet</t>
  </si>
  <si>
    <t>modules/a-knights-dream/Item/equip_armor_hauberk_helmet_hemp.webp</t>
  </si>
  <si>
    <t>Hemp Hauberk Pauldron</t>
  </si>
  <si>
    <t>modules/a-knights-dream/Item/equip_armor_hauberk_pauldron_hemp.webp</t>
  </si>
  <si>
    <t>Hemp Jack Cuirass</t>
  </si>
  <si>
    <t>modules/a-knights-dream/Item/equip_armor_jack_cuirass_hemp.webp</t>
  </si>
  <si>
    <t>Hemp Jack Gauntlets</t>
  </si>
  <si>
    <t>modules/a-knights-dream/Item/equip_armor_jack_gauntlets_hemp.webp</t>
  </si>
  <si>
    <t>Hemp Jack Greaves</t>
  </si>
  <si>
    <t>modules/a-knights-dream/Item/equip_armor_jack_greaves_hemp.webp</t>
  </si>
  <si>
    <t>Hemp Jack Helmet</t>
  </si>
  <si>
    <t>modules/a-knights-dream/Item/equip_armor_jack_helmet_hemp.webp</t>
  </si>
  <si>
    <t>Hemp Jack Pauldron</t>
  </si>
  <si>
    <t>modules/a-knights-dream/Item/equip_armor_jack_pauldron_hemp.webp</t>
  </si>
  <si>
    <t>Hemp Lamellar Cuirass</t>
  </si>
  <si>
    <t>modules/a-knights-dream/Item/equip_armor_lamellar_cuirass_hemp.webp</t>
  </si>
  <si>
    <t>Hemp Lamellar Gauntlets</t>
  </si>
  <si>
    <t>modules/a-knights-dream/Item/equip_armor_lamellar_gauntlets_hemp.webp</t>
  </si>
  <si>
    <t>Hemp Lamellar Greaves</t>
  </si>
  <si>
    <t>modules/a-knights-dream/Item/equip_armor_lamellar_greaves_hemp.webp</t>
  </si>
  <si>
    <t>Hemp Lamellar Helmet</t>
  </si>
  <si>
    <t>modules/a-knights-dream/Item/equip_armor_lamellar_helmet_hemp.webp</t>
  </si>
  <si>
    <t>Hemp Lamellar Pauldron</t>
  </si>
  <si>
    <t>modules/a-knights-dream/Item/equip_armor_lamellar_pauldron_hemp.webp</t>
  </si>
  <si>
    <t>Hemp Platemail Cuirass</t>
  </si>
  <si>
    <t>modules/a-knights-dream/Item/equip_armor_platemail_cuirass_hemp.webp</t>
  </si>
  <si>
    <t>Hemp Platemail Gauntlets</t>
  </si>
  <si>
    <t>modules/a-knights-dream/Item/equip_armor_platemail_gauntlets_hemp.webp</t>
  </si>
  <si>
    <t>Hemp Platemail Greaves</t>
  </si>
  <si>
    <t>modules/a-knights-dream/Item/equip_armor_platemail_greaves_hemp.webp</t>
  </si>
  <si>
    <t>Hemp Platemail Helmet</t>
  </si>
  <si>
    <t>modules/a-knights-dream/Item/equip_armor_platemail_helmet_hemp.webp</t>
  </si>
  <si>
    <t>Hemp Platemail Pauldron</t>
  </si>
  <si>
    <t>modules/a-knights-dream/Item/equip_armor_platemail_pauldron_hemp.webp</t>
  </si>
  <si>
    <t>Hemp Tunic Cuirass</t>
  </si>
  <si>
    <t>modules/a-knights-dream/Item/equip_armor_tunic_cuirass_hemp.webp</t>
  </si>
  <si>
    <t>Hemp Tunic Gauntlets</t>
  </si>
  <si>
    <t>modules/a-knights-dream/Item/equip_armor_tunic_gauntlets_hemp.webp</t>
  </si>
  <si>
    <t>Hemp Tunic Greaves</t>
  </si>
  <si>
    <t>modules/a-knights-dream/Item/equip_armor_tunic_greaves_hemp.webp</t>
  </si>
  <si>
    <t>Hemp Tunic Helmet</t>
  </si>
  <si>
    <t>modules/a-knights-dream/Item/equip_armor_tunic_helmet_hemp.webp</t>
  </si>
  <si>
    <t>Hemp Tunic Pauldron</t>
  </si>
  <si>
    <t>modules/a-knights-dream/Item/equip_armor_tunic_pauldron_hemp.webp</t>
  </si>
  <si>
    <t>Hemp Buckler Shield</t>
  </si>
  <si>
    <t>modules/a-knights-dream/Item/equip_armor_shield_buckler_hemp.webp</t>
  </si>
  <si>
    <t>Hemp Heater Shield</t>
  </si>
  <si>
    <t>modules/a-knights-dream/Item/equip_armor_shield_heater_hemp.webp</t>
  </si>
  <si>
    <t>Hemp Kite Shield</t>
  </si>
  <si>
    <t>modules/a-knights-dream/Item/equip_armor_shield_kite_hemp.webp</t>
  </si>
  <si>
    <t>Hemp Oval Shield</t>
  </si>
  <si>
    <t>modules/a-knights-dream/Item/equip_armor_shield_oval_hemp.webp</t>
  </si>
  <si>
    <t>Hemp Round Shield</t>
  </si>
  <si>
    <t>modules/a-knights-dream/Item/equip_armor_shield_round_hemp.webp</t>
  </si>
  <si>
    <t>Hemp Tower Shield</t>
  </si>
  <si>
    <t>modules/a-knights-dream/Item/equip_armor_shield_tower_hemp.webp</t>
  </si>
  <si>
    <t>Jute</t>
  </si>
  <si>
    <t>Jute Ball Bearings</t>
  </si>
  <si>
    <t>modules/a-knights-dream/Item/equip_weapon_bearings_jute.webp</t>
  </si>
  <si>
    <t>Jute Bardiche</t>
  </si>
  <si>
    <t>modules/a-knights-dream/Item/equip_weapon_bardiche_jute.webp</t>
  </si>
  <si>
    <t>Jute Bastard Sword</t>
  </si>
  <si>
    <t>modules/a-knights-dream/Item/equip_weapon_sword_bastard_jute.webp</t>
  </si>
  <si>
    <t>Jute Battle Axe</t>
  </si>
  <si>
    <t>modules/a-knights-dream/Item/equip_weapon_axe_battle_jute.webp</t>
  </si>
  <si>
    <t>Jute Blowgun</t>
  </si>
  <si>
    <t>modules/a-knights-dream/Item/equip_weapon_blowgun_jute.webp</t>
  </si>
  <si>
    <t>Jute Bolt</t>
  </si>
  <si>
    <t>modules/a-knights-dream/Item/equip_weapon_bolt_jute.webp</t>
  </si>
  <si>
    <t>Jute Boomerang</t>
  </si>
  <si>
    <t>modules/a-knights-dream/Item/equip_weapon_boomerang_jute.webp</t>
  </si>
  <si>
    <t>Jute Bow</t>
  </si>
  <si>
    <t>modules/a-knights-dream/Item/equip_weapon_bow_jute.webp</t>
  </si>
  <si>
    <t>Jute Caltrops</t>
  </si>
  <si>
    <t>modules/a-knights-dream/Item/equip_weapon_caltrops_jute.webp</t>
  </si>
  <si>
    <t>Jute Cestus</t>
  </si>
  <si>
    <t>modules/a-knights-dream/Item/equip_weapon_cestus_jute.webp</t>
  </si>
  <si>
    <t>Jute Chain</t>
  </si>
  <si>
    <t>modules/a-knights-dream/Item/equip_weapon_chain_jute.webp</t>
  </si>
  <si>
    <t>Jute Claymore</t>
  </si>
  <si>
    <t>modules/a-knights-dream/Item/equip_weapon_claymore_jute.webp</t>
  </si>
  <si>
    <t>Jute Club</t>
  </si>
  <si>
    <t>modules/a-knights-dream/Item/equip_weapon_club_jute.webp</t>
  </si>
  <si>
    <t>Jute Compound Bow</t>
  </si>
  <si>
    <t>modules/a-knights-dream/Item/equip_weapon_bow_compound_jute.webp</t>
  </si>
  <si>
    <t>Jute Cutlass</t>
  </si>
  <si>
    <t>modules/a-knights-dream/Item/equip_weapon_cutlass_jute.webp</t>
  </si>
  <si>
    <t>Jute Dagger</t>
  </si>
  <si>
    <t>modules/a-knights-dream/Item/equip_weapon_dagger_jute.webp</t>
  </si>
  <si>
    <t>Jute Dart</t>
  </si>
  <si>
    <t>modules/a-knights-dream/Item/equip_weapon_dart_jute.webp</t>
  </si>
  <si>
    <t>Jute Fauchard Scythe</t>
  </si>
  <si>
    <t>modules/a-knights-dream/Item/equip_weapon_scythe_fauchard_jute.webp</t>
  </si>
  <si>
    <t>Jute Flail</t>
  </si>
  <si>
    <t>modules/a-knights-dream/Item/equip_weapon_flail_jute.webp</t>
  </si>
  <si>
    <t>Jute Glaive</t>
  </si>
  <si>
    <t>modules/a-knights-dream/Item/equip_weapon_glaive_jute.webp</t>
  </si>
  <si>
    <t>Jute Grapple Hook</t>
  </si>
  <si>
    <t>modules/a-knights-dream/Item/equip_weapon_hook_grapple_jute.webp</t>
  </si>
  <si>
    <t>Jute Great Axe</t>
  </si>
  <si>
    <t>modules/a-knights-dream/Item/equip_weapon_axe_great_jute.webp</t>
  </si>
  <si>
    <t>Jute Great Club</t>
  </si>
  <si>
    <t>modules/a-knights-dream/Item/equip_weapon_club_great_jute.webp</t>
  </si>
  <si>
    <t>Jute Great Khyber</t>
  </si>
  <si>
    <t>modules/a-knights-dream/Item/equip_weapon_khyber_great_jute.webp</t>
  </si>
  <si>
    <t>Jute Great Konda</t>
  </si>
  <si>
    <t>modules/a-knights-dream/Item/equip_weapon_konda_great_jute.webp</t>
  </si>
  <si>
    <t>Jute Great Labrys</t>
  </si>
  <si>
    <t>modules/a-knights-dream/Item/equip_weapon_axe_labrys_great_jute.webp</t>
  </si>
  <si>
    <t>Jute Great Mace</t>
  </si>
  <si>
    <t>modules/a-knights-dream/Item/equip_weapon_mace_great_jute.webp</t>
  </si>
  <si>
    <t>Jute Great Tapal</t>
  </si>
  <si>
    <t>modules/a-knights-dream/Item/equip_weapon_tapal_great_jute.webp</t>
  </si>
  <si>
    <t>Jute Great War Bow</t>
  </si>
  <si>
    <t>modules/a-knights-dream/Item/equip_weapon_bow_war_great_jute.webp</t>
  </si>
  <si>
    <t>Jute Great War Hammer</t>
  </si>
  <si>
    <t>modules/a-knights-dream/Item/equip_weapon_hammer_war_great_jute.webp</t>
  </si>
  <si>
    <t>Jute Great War Pick</t>
  </si>
  <si>
    <t>modules/a-knights-dream/Item/equip_weapon_pick_war_great_jute.webp</t>
  </si>
  <si>
    <t>Jute Guisarme</t>
  </si>
  <si>
    <t>modules/a-knights-dream/Item/equip_weapon_guisarme_jute.webp</t>
  </si>
  <si>
    <t>Jute Halberd</t>
  </si>
  <si>
    <t>modules/a-knights-dream/Item/equip_weapon_halberd_jute.webp</t>
  </si>
  <si>
    <t>Jute Hand Crossbow</t>
  </si>
  <si>
    <t>modules/a-knights-dream/Item/equip_weapon_crossbow_hand_jute.webp</t>
  </si>
  <si>
    <t>Jute Hand axe</t>
  </si>
  <si>
    <t>modules/a-knights-dream/Item/equip_weapon_axe_hand_jute.webp</t>
  </si>
  <si>
    <t>Jute Heavy Crossbow</t>
  </si>
  <si>
    <t>modules/a-knights-dream/Item/equip_weapon_crossbow_heavy_jute.webp</t>
  </si>
  <si>
    <t>Jute Hunting Trap</t>
  </si>
  <si>
    <t>modules/a-knights-dream/Item/equip_weapon_trap_hunting_jute.webp</t>
  </si>
  <si>
    <t>Jute Hunting Trap (Large)</t>
  </si>
  <si>
    <t>modules/a-knights-dream/Item/equip_weapon_trap_hunting_large_jute.webp</t>
  </si>
  <si>
    <t>Jute Hunting Trap (Small)</t>
  </si>
  <si>
    <t>modules/a-knights-dream/Item/equip_weapon_trap_hunting_small_jute.webp</t>
  </si>
  <si>
    <t>Jute Javelin</t>
  </si>
  <si>
    <t>modules/a-knights-dream/Item/equip_weapon_javelin_jute.webp</t>
  </si>
  <si>
    <t>Jute Khpesh</t>
  </si>
  <si>
    <t>modules/a-knights-dream/Item/equip_weapon_khpesh_jute.webp</t>
  </si>
  <si>
    <t>Jute Khyber</t>
  </si>
  <si>
    <t>modules/a-knights-dream/Item/equip_weapon_khyber_jute.webp</t>
  </si>
  <si>
    <t>Jute Konda</t>
  </si>
  <si>
    <t>modules/a-knights-dream/Item/equip_weapon_konda_jute.webp</t>
  </si>
  <si>
    <t>Jute Labrys</t>
  </si>
  <si>
    <t>modules/a-knights-dream/Item/equip_weapon_axe_labrys_jute.webp</t>
  </si>
  <si>
    <t>Jute Lance</t>
  </si>
  <si>
    <t>modules/a-knights-dream/Item/equip_weapon_lance_jute.webp</t>
  </si>
  <si>
    <t>Jute Light Crossbow</t>
  </si>
  <si>
    <t>modules/a-knights-dream/Item/equip_weapon_crossbow_light_jute.webp</t>
  </si>
  <si>
    <t>Jute Long Bow</t>
  </si>
  <si>
    <t>modules/a-knights-dream/Item/equip_weapon_bow_long_jute.webp</t>
  </si>
  <si>
    <t>Jute Long Spear</t>
  </si>
  <si>
    <t>modules/a-knights-dream/Item/equip_weapon_spear_long_jute.webp</t>
  </si>
  <si>
    <t>Jute Lucerince Hammer</t>
  </si>
  <si>
    <t>modules/a-knights-dream/Item/equip_weapon_hammer_lucerince_jute.webp</t>
  </si>
  <si>
    <t>Jute Mace</t>
  </si>
  <si>
    <t>modules/a-knights-dream/Item/equip_weapon_mace_jute.webp</t>
  </si>
  <si>
    <t>Jute Morningstar</t>
  </si>
  <si>
    <t>modules/a-knights-dream/Item/equip_weapon_morningstar_jute.webp</t>
  </si>
  <si>
    <t>Jute Pike</t>
  </si>
  <si>
    <t>modules/a-knights-dream/Item/equip_weapon_pike_jute.webp</t>
  </si>
  <si>
    <t>Jute Quarter Staff</t>
  </si>
  <si>
    <t>modules/a-knights-dream/Item/equip_weapon_staff_quarter_jute.webp</t>
  </si>
  <si>
    <t>Jute Ranseur</t>
  </si>
  <si>
    <t>modules/a-knights-dream/Item/equip_weapon_ranseur_jute.webp</t>
  </si>
  <si>
    <t>Jute Rapier</t>
  </si>
  <si>
    <t>modules/a-knights-dream/Item/equip_weapon_rapier_jute.webp</t>
  </si>
  <si>
    <t>Jute Recurve Bow</t>
  </si>
  <si>
    <t>modules/a-knights-dream/Item/equip_weapon_bow_recurve_jute.webp</t>
  </si>
  <si>
    <t>Jute Repeater Crossbow</t>
  </si>
  <si>
    <t>modules/a-knights-dream/Item/equip_weapon_crossbow_repeater_jute.webp</t>
  </si>
  <si>
    <t>Jute Sabre</t>
  </si>
  <si>
    <t>modules/a-knights-dream/Item/equip_weapon_sabre_jute.webp</t>
  </si>
  <si>
    <t>Jute Scimitar</t>
  </si>
  <si>
    <t>modules/a-knights-dream/Item/equip_weapon_scimitar_jute.webp</t>
  </si>
  <si>
    <t>Jute Scythe</t>
  </si>
  <si>
    <t>modules/a-knights-dream/Item/equip_weapon_scythe_jute.webp</t>
  </si>
  <si>
    <t>Jute Short Bow</t>
  </si>
  <si>
    <t>modules/a-knights-dream/Item/equip_weapon_bow_short_jute.webp</t>
  </si>
  <si>
    <t>Jute Short Spear</t>
  </si>
  <si>
    <t>modules/a-knights-dream/Item/equip_weapon_spear_short_jute.webp</t>
  </si>
  <si>
    <t>Jute Short Sword</t>
  </si>
  <si>
    <t>modules/a-knights-dream/Item/equip_weapon_sword_short_jute.webp</t>
  </si>
  <si>
    <t>Jute Shotel</t>
  </si>
  <si>
    <t>modules/a-knights-dream/Item/equip_weapon_shotel_jute.webp</t>
  </si>
  <si>
    <t>Jute Sickle</t>
  </si>
  <si>
    <t>modules/a-knights-dream/Item/equip_weapon_sickle_jute.webp</t>
  </si>
  <si>
    <t>Jute Sling</t>
  </si>
  <si>
    <t>modules/a-knights-dream/Item/equip_weapon_sling_jute.webp</t>
  </si>
  <si>
    <t>Jute Staff</t>
  </si>
  <si>
    <t>modules/a-knights-dream/Item/equip_weapon_staff_jute.webp</t>
  </si>
  <si>
    <t>Jute Staff Sling</t>
  </si>
  <si>
    <t>modules/a-knights-dream/Item/equip_weapon_sling_staff_jute.webp</t>
  </si>
  <si>
    <t>Jute Sword</t>
  </si>
  <si>
    <t>modules/a-knights-dream/Item/equip_weapon_sword_jute.webp</t>
  </si>
  <si>
    <t>Jute Tapal</t>
  </si>
  <si>
    <t>modules/a-knights-dream/Item/equip_weapon_tapal_jute.webp</t>
  </si>
  <si>
    <t>Jute Trident</t>
  </si>
  <si>
    <t>modules/a-knights-dream/Item/equip_weapon_trident_jute.webp</t>
  </si>
  <si>
    <t>Jute War Hammer</t>
  </si>
  <si>
    <t>modules/a-knights-dream/Item/equip_weapon_hammer_war_jute.webp</t>
  </si>
  <si>
    <t>Jute War Pick</t>
  </si>
  <si>
    <t>modules/a-knights-dream/Item/equip_weapon_pick_war_jute.webp</t>
  </si>
  <si>
    <t>Jute Brigantine Cuirass</t>
  </si>
  <si>
    <t>modules/a-knights-dream/Item/equip_armor_brigantine_cuirass_jute.webp</t>
  </si>
  <si>
    <t>Jute Brigantine Gauntlets</t>
  </si>
  <si>
    <t>modules/a-knights-dream/Item/equip_armor_brigantine_gauntlets_jute.webp</t>
  </si>
  <si>
    <t>Jute Brigantine Greaves</t>
  </si>
  <si>
    <t>modules/a-knights-dream/Item/equip_armor_brigantine_greaves_jute.webp</t>
  </si>
  <si>
    <t>Jute Brigantine Helmet</t>
  </si>
  <si>
    <t>modules/a-knights-dream/Item/equip_armor_brigantine_helmet_jute.webp</t>
  </si>
  <si>
    <t>Jute Brigantine Pauldron</t>
  </si>
  <si>
    <t>modules/a-knights-dream/Item/equip_armor_brigantine_pauldron_jute.webp</t>
  </si>
  <si>
    <t>Jute Chainmail Cuirass</t>
  </si>
  <si>
    <t>modules/a-knights-dream/Item/equip_armor_chainmail_cuirass_jute.webp</t>
  </si>
  <si>
    <t>Jute Chainmail Gauntlets</t>
  </si>
  <si>
    <t>modules/a-knights-dream/Item/equip_armor_chainmail_gauntlets_jute.webp</t>
  </si>
  <si>
    <t>Jute Chainmail Greaves</t>
  </si>
  <si>
    <t>modules/a-knights-dream/Item/equip_armor_chainmail_greaves_jute.webp</t>
  </si>
  <si>
    <t>Jute Chainmail Helmet</t>
  </si>
  <si>
    <t>modules/a-knights-dream/Item/equip_armor_chainmail_helmet_jute.webp</t>
  </si>
  <si>
    <t>Jute Chainmail Pauldron</t>
  </si>
  <si>
    <t>modules/a-knights-dream/Item/equip_armor_chainmail_pauldron_jute.webp</t>
  </si>
  <si>
    <t>Jute Gamberson Cuirass</t>
  </si>
  <si>
    <t>modules/a-knights-dream/Item/equip_armor_gamberson_cuirass_jute.webp</t>
  </si>
  <si>
    <t>Jute Gamberson Gauntlets</t>
  </si>
  <si>
    <t>modules/a-knights-dream/Item/equip_armor_gamberson_gauntlets_jute.webp</t>
  </si>
  <si>
    <t>Jute Gamberson Greaves</t>
  </si>
  <si>
    <t>modules/a-knights-dream/Item/equip_armor_gamberson_greaves_jute.webp</t>
  </si>
  <si>
    <t>Jute Gamberson Helmet</t>
  </si>
  <si>
    <t>modules/a-knights-dream/Item/equip_armor_gamberson_helmet_jute.webp</t>
  </si>
  <si>
    <t>Jute Gamberson Pauldron</t>
  </si>
  <si>
    <t>modules/a-knights-dream/Item/equip_armor_gamberson_pauldron_jute.webp</t>
  </si>
  <si>
    <t>Jute Hauberk Cuirass</t>
  </si>
  <si>
    <t>modules/a-knights-dream/Item/equip_armor_hauberk_cuirass_jute.webp</t>
  </si>
  <si>
    <t>Jute Hauberk Gauntlets</t>
  </si>
  <si>
    <t>modules/a-knights-dream/Item/equip_armor_hauberk_gauntlets_jute.webp</t>
  </si>
  <si>
    <t>Jute Hauberk Greaves</t>
  </si>
  <si>
    <t>modules/a-knights-dream/Item/equip_armor_hauberk_greaves_jute.webp</t>
  </si>
  <si>
    <t>Jute Hauberk Helmet</t>
  </si>
  <si>
    <t>modules/a-knights-dream/Item/equip_armor_hauberk_helmet_jute.webp</t>
  </si>
  <si>
    <t>Jute Hauberk Pauldron</t>
  </si>
  <si>
    <t>modules/a-knights-dream/Item/equip_armor_hauberk_pauldron_jute.webp</t>
  </si>
  <si>
    <t>Jute Jack Cuirass</t>
  </si>
  <si>
    <t>modules/a-knights-dream/Item/equip_armor_jack_cuirass_jute.webp</t>
  </si>
  <si>
    <t>Jute Jack Gauntlets</t>
  </si>
  <si>
    <t>modules/a-knights-dream/Item/equip_armor_jack_gauntlets_jute.webp</t>
  </si>
  <si>
    <t>Jute Jack Greaves</t>
  </si>
  <si>
    <t>modules/a-knights-dream/Item/equip_armor_jack_greaves_jute.webp</t>
  </si>
  <si>
    <t>Jute Jack Helmet</t>
  </si>
  <si>
    <t>modules/a-knights-dream/Item/equip_armor_jack_helmet_jute.webp</t>
  </si>
  <si>
    <t>Jute Jack Pauldron</t>
  </si>
  <si>
    <t>modules/a-knights-dream/Item/equip_armor_jack_pauldron_jute.webp</t>
  </si>
  <si>
    <t>Jute Lamellar Cuirass</t>
  </si>
  <si>
    <t>modules/a-knights-dream/Item/equip_armor_lamellar_cuirass_jute.webp</t>
  </si>
  <si>
    <t>Jute Lamellar Gauntlets</t>
  </si>
  <si>
    <t>modules/a-knights-dream/Item/equip_armor_lamellar_gauntlets_jute.webp</t>
  </si>
  <si>
    <t>Jute Lamellar Greaves</t>
  </si>
  <si>
    <t>modules/a-knights-dream/Item/equip_armor_lamellar_greaves_jute.webp</t>
  </si>
  <si>
    <t>Jute Lamellar Helmet</t>
  </si>
  <si>
    <t>modules/a-knights-dream/Item/equip_armor_lamellar_helmet_jute.webp</t>
  </si>
  <si>
    <t>Jute Lamellar Pauldron</t>
  </si>
  <si>
    <t>modules/a-knights-dream/Item/equip_armor_lamellar_pauldron_jute.webp</t>
  </si>
  <si>
    <t>Jute Platemail Cuirass</t>
  </si>
  <si>
    <t>modules/a-knights-dream/Item/equip_armor_platemail_cuirass_jute.webp</t>
  </si>
  <si>
    <t>Jute Platemail Gauntlets</t>
  </si>
  <si>
    <t>modules/a-knights-dream/Item/equip_armor_platemail_gauntlets_jute.webp</t>
  </si>
  <si>
    <t>Jute Platemail Greaves</t>
  </si>
  <si>
    <t>modules/a-knights-dream/Item/equip_armor_platemail_greaves_jute.webp</t>
  </si>
  <si>
    <t>Jute Platemail Helmet</t>
  </si>
  <si>
    <t>modules/a-knights-dream/Item/equip_armor_platemail_helmet_jute.webp</t>
  </si>
  <si>
    <t>Jute Platemail Pauldron</t>
  </si>
  <si>
    <t>modules/a-knights-dream/Item/equip_armor_platemail_pauldron_jute.webp</t>
  </si>
  <si>
    <t>Jute Tunic Cuirass</t>
  </si>
  <si>
    <t>modules/a-knights-dream/Item/equip_armor_tunic_cuirass_jute.webp</t>
  </si>
  <si>
    <t>Jute Tunic Gauntlets</t>
  </si>
  <si>
    <t>modules/a-knights-dream/Item/equip_armor_tunic_gauntlets_jute.webp</t>
  </si>
  <si>
    <t>Jute Tunic Greaves</t>
  </si>
  <si>
    <t>modules/a-knights-dream/Item/equip_armor_tunic_greaves_jute.webp</t>
  </si>
  <si>
    <t>Jute Tunic Helmet</t>
  </si>
  <si>
    <t>modules/a-knights-dream/Item/equip_armor_tunic_helmet_jute.webp</t>
  </si>
  <si>
    <t>Jute Tunic Pauldron</t>
  </si>
  <si>
    <t>modules/a-knights-dream/Item/equip_armor_tunic_pauldron_jute.webp</t>
  </si>
  <si>
    <t>Jute Buckler Shield</t>
  </si>
  <si>
    <t>modules/a-knights-dream/Item/equip_armor_shield_buckler_jute.webp</t>
  </si>
  <si>
    <t>Jute Heater Shield</t>
  </si>
  <si>
    <t>modules/a-knights-dream/Item/equip_armor_shield_heater_jute.webp</t>
  </si>
  <si>
    <t>Jute Kite Shield</t>
  </si>
  <si>
    <t>modules/a-knights-dream/Item/equip_armor_shield_kite_jute.webp</t>
  </si>
  <si>
    <t>Jute Oval Shield</t>
  </si>
  <si>
    <t>modules/a-knights-dream/Item/equip_armor_shield_oval_jute.webp</t>
  </si>
  <si>
    <t>Jute Round Shield</t>
  </si>
  <si>
    <t>modules/a-knights-dream/Item/equip_armor_shield_round_jute.webp</t>
  </si>
  <si>
    <t>Jute Tower Shield</t>
  </si>
  <si>
    <t>modules/a-knights-dream/Item/equip_armor_shield_tower_jute.webp</t>
  </si>
  <si>
    <t>Linen</t>
  </si>
  <si>
    <t>Linen Ball Bearings</t>
  </si>
  <si>
    <t>modules/a-knights-dream/Item/equip_weapon_bearings_linen.webp</t>
  </si>
  <si>
    <t>Linen Bardiche</t>
  </si>
  <si>
    <t>modules/a-knights-dream/Item/equip_weapon_bardiche_linen.webp</t>
  </si>
  <si>
    <t>Linen Bastard Sword</t>
  </si>
  <si>
    <t>modules/a-knights-dream/Item/equip_weapon_sword_bastard_linen.webp</t>
  </si>
  <si>
    <t>Linen Battle Axe</t>
  </si>
  <si>
    <t>modules/a-knights-dream/Item/equip_weapon_axe_battle_linen.webp</t>
  </si>
  <si>
    <t>Linen Blowgun</t>
  </si>
  <si>
    <t>modules/a-knights-dream/Item/equip_weapon_blowgun_linen.webp</t>
  </si>
  <si>
    <t>Linen Bolt</t>
  </si>
  <si>
    <t>modules/a-knights-dream/Item/equip_weapon_bolt_linen.webp</t>
  </si>
  <si>
    <t>Linen Boomerang</t>
  </si>
  <si>
    <t>modules/a-knights-dream/Item/equip_weapon_boomerang_linen.webp</t>
  </si>
  <si>
    <t>Linen Bow</t>
  </si>
  <si>
    <t>modules/a-knights-dream/Item/equip_weapon_bow_linen.webp</t>
  </si>
  <si>
    <t>Linen Caltrops</t>
  </si>
  <si>
    <t>modules/a-knights-dream/Item/equip_weapon_caltrops_linen.webp</t>
  </si>
  <si>
    <t>Linen Cestus</t>
  </si>
  <si>
    <t>modules/a-knights-dream/Item/equip_weapon_cestus_linen.webp</t>
  </si>
  <si>
    <t>Linen Chain</t>
  </si>
  <si>
    <t>modules/a-knights-dream/Item/equip_weapon_chain_linen.webp</t>
  </si>
  <si>
    <t>Linen Claymore</t>
  </si>
  <si>
    <t>modules/a-knights-dream/Item/equip_weapon_claymore_linen.webp</t>
  </si>
  <si>
    <t>Linen Club</t>
  </si>
  <si>
    <t>modules/a-knights-dream/Item/equip_weapon_club_linen.webp</t>
  </si>
  <si>
    <t>Linen Compound Bow</t>
  </si>
  <si>
    <t>modules/a-knights-dream/Item/equip_weapon_bow_compound_linen.webp</t>
  </si>
  <si>
    <t>Linen Cutlass</t>
  </si>
  <si>
    <t>modules/a-knights-dream/Item/equip_weapon_cutlass_linen.webp</t>
  </si>
  <si>
    <t>Linen Dagger</t>
  </si>
  <si>
    <t>modules/a-knights-dream/Item/equip_weapon_dagger_linen.webp</t>
  </si>
  <si>
    <t>Linen Dart</t>
  </si>
  <si>
    <t>modules/a-knights-dream/Item/equip_weapon_dart_linen.webp</t>
  </si>
  <si>
    <t>Linen Fauchard Scythe</t>
  </si>
  <si>
    <t>modules/a-knights-dream/Item/equip_weapon_scythe_fauchard_linen.webp</t>
  </si>
  <si>
    <t>Linen Flail</t>
  </si>
  <si>
    <t>modules/a-knights-dream/Item/equip_weapon_flail_linen.webp</t>
  </si>
  <si>
    <t>Linen Glaive</t>
  </si>
  <si>
    <t>modules/a-knights-dream/Item/equip_weapon_glaive_linen.webp</t>
  </si>
  <si>
    <t>Linen Grapple Hook</t>
  </si>
  <si>
    <t>modules/a-knights-dream/Item/equip_weapon_hook_grapple_linen.webp</t>
  </si>
  <si>
    <t>Linen Great Axe</t>
  </si>
  <si>
    <t>modules/a-knights-dream/Item/equip_weapon_axe_great_linen.webp</t>
  </si>
  <si>
    <t>Linen Great Club</t>
  </si>
  <si>
    <t>modules/a-knights-dream/Item/equip_weapon_club_great_linen.webp</t>
  </si>
  <si>
    <t>Linen Great Khyber</t>
  </si>
  <si>
    <t>modules/a-knights-dream/Item/equip_weapon_khyber_great_linen.webp</t>
  </si>
  <si>
    <t>Linen Great Konda</t>
  </si>
  <si>
    <t>modules/a-knights-dream/Item/equip_weapon_konda_great_linen.webp</t>
  </si>
  <si>
    <t>Linen Great Labrys</t>
  </si>
  <si>
    <t>modules/a-knights-dream/Item/equip_weapon_axe_labrys_great_linen.webp</t>
  </si>
  <si>
    <t>Linen Great Mace</t>
  </si>
  <si>
    <t>modules/a-knights-dream/Item/equip_weapon_mace_great_linen.webp</t>
  </si>
  <si>
    <t>Linen Great Tapal</t>
  </si>
  <si>
    <t>modules/a-knights-dream/Item/equip_weapon_tapal_great_linen.webp</t>
  </si>
  <si>
    <t>Linen Great War Bow</t>
  </si>
  <si>
    <t>modules/a-knights-dream/Item/equip_weapon_bow_war_great_linen.webp</t>
  </si>
  <si>
    <t>Linen Great War Hammer</t>
  </si>
  <si>
    <t>modules/a-knights-dream/Item/equip_weapon_hammer_war_great_linen.webp</t>
  </si>
  <si>
    <t>Linen Great War Pick</t>
  </si>
  <si>
    <t>modules/a-knights-dream/Item/equip_weapon_pick_war_great_linen.webp</t>
  </si>
  <si>
    <t>Linen Guisarme</t>
  </si>
  <si>
    <t>modules/a-knights-dream/Item/equip_weapon_guisarme_linen.webp</t>
  </si>
  <si>
    <t>Linen Halberd</t>
  </si>
  <si>
    <t>modules/a-knights-dream/Item/equip_weapon_halberd_linen.webp</t>
  </si>
  <si>
    <t>Linen Hand Crossbow</t>
  </si>
  <si>
    <t>modules/a-knights-dream/Item/equip_weapon_crossbow_hand_linen.webp</t>
  </si>
  <si>
    <t>Linen Hand axe</t>
  </si>
  <si>
    <t>modules/a-knights-dream/Item/equip_weapon_axe_hand_linen.webp</t>
  </si>
  <si>
    <t>Linen Heavy Crossbow</t>
  </si>
  <si>
    <t>modules/a-knights-dream/Item/equip_weapon_crossbow_heavy_linen.webp</t>
  </si>
  <si>
    <t>Linen Hunting Trap</t>
  </si>
  <si>
    <t>modules/a-knights-dream/Item/equip_weapon_trap_hunting_linen.webp</t>
  </si>
  <si>
    <t>Linen Hunting Trap (Large)</t>
  </si>
  <si>
    <t>modules/a-knights-dream/Item/equip_weapon_trap_hunting_large_linen.webp</t>
  </si>
  <si>
    <t>Linen Hunting Trap (Small)</t>
  </si>
  <si>
    <t>modules/a-knights-dream/Item/equip_weapon_trap_hunting_small_linen.webp</t>
  </si>
  <si>
    <t>Linen Javelin</t>
  </si>
  <si>
    <t>modules/a-knights-dream/Item/equip_weapon_javelin_linen.webp</t>
  </si>
  <si>
    <t>Linen Khpesh</t>
  </si>
  <si>
    <t>modules/a-knights-dream/Item/equip_weapon_khpesh_linen.webp</t>
  </si>
  <si>
    <t>Linen Khyber</t>
  </si>
  <si>
    <t>modules/a-knights-dream/Item/equip_weapon_khyber_linen.webp</t>
  </si>
  <si>
    <t>Linen Konda</t>
  </si>
  <si>
    <t>modules/a-knights-dream/Item/equip_weapon_konda_linen.webp</t>
  </si>
  <si>
    <t>Linen Labrys</t>
  </si>
  <si>
    <t>modules/a-knights-dream/Item/equip_weapon_axe_labrys_linen.webp</t>
  </si>
  <si>
    <t>Linen Lance</t>
  </si>
  <si>
    <t>modules/a-knights-dream/Item/equip_weapon_lance_linen.webp</t>
  </si>
  <si>
    <t>Linen Light Crossbow</t>
  </si>
  <si>
    <t>modules/a-knights-dream/Item/equip_weapon_crossbow_light_linen.webp</t>
  </si>
  <si>
    <t>Linen Long Bow</t>
  </si>
  <si>
    <t>modules/a-knights-dream/Item/equip_weapon_bow_long_linen.webp</t>
  </si>
  <si>
    <t>Linen Long Spear</t>
  </si>
  <si>
    <t>modules/a-knights-dream/Item/equip_weapon_spear_long_linen.webp</t>
  </si>
  <si>
    <t>Linen Lucerince Hammer</t>
  </si>
  <si>
    <t>modules/a-knights-dream/Item/equip_weapon_hammer_lucerince_linen.webp</t>
  </si>
  <si>
    <t>Linen Mace</t>
  </si>
  <si>
    <t>modules/a-knights-dream/Item/equip_weapon_mace_linen.webp</t>
  </si>
  <si>
    <t>Linen Morningstar</t>
  </si>
  <si>
    <t>modules/a-knights-dream/Item/equip_weapon_morningstar_linen.webp</t>
  </si>
  <si>
    <t>Linen Pike</t>
  </si>
  <si>
    <t>modules/a-knights-dream/Item/equip_weapon_pike_linen.webp</t>
  </si>
  <si>
    <t>Linen Quarter Staff</t>
  </si>
  <si>
    <t>modules/a-knights-dream/Item/equip_weapon_staff_quarter_linen.webp</t>
  </si>
  <si>
    <t>Linen Ranseur</t>
  </si>
  <si>
    <t>modules/a-knights-dream/Item/equip_weapon_ranseur_linen.webp</t>
  </si>
  <si>
    <t>Linen Rapier</t>
  </si>
  <si>
    <t>modules/a-knights-dream/Item/equip_weapon_rapier_linen.webp</t>
  </si>
  <si>
    <t>Linen Recurve Bow</t>
  </si>
  <si>
    <t>modules/a-knights-dream/Item/equip_weapon_bow_recurve_linen.webp</t>
  </si>
  <si>
    <t>Linen Repeater Crossbow</t>
  </si>
  <si>
    <t>modules/a-knights-dream/Item/equip_weapon_crossbow_repeater_linen.webp</t>
  </si>
  <si>
    <t>Linen Sabre</t>
  </si>
  <si>
    <t>modules/a-knights-dream/Item/equip_weapon_sabre_linen.webp</t>
  </si>
  <si>
    <t>Linen Scimitar</t>
  </si>
  <si>
    <t>modules/a-knights-dream/Item/equip_weapon_scimitar_linen.webp</t>
  </si>
  <si>
    <t>Linen Scythe</t>
  </si>
  <si>
    <t>modules/a-knights-dream/Item/equip_weapon_scythe_linen.webp</t>
  </si>
  <si>
    <t>Linen Short Bow</t>
  </si>
  <si>
    <t>modules/a-knights-dream/Item/equip_weapon_bow_short_linen.webp</t>
  </si>
  <si>
    <t>Linen Short Spear</t>
  </si>
  <si>
    <t>modules/a-knights-dream/Item/equip_weapon_spear_short_linen.webp</t>
  </si>
  <si>
    <t>Linen Short Sword</t>
  </si>
  <si>
    <t>modules/a-knights-dream/Item/equip_weapon_sword_short_linen.webp</t>
  </si>
  <si>
    <t>Linen Shotel</t>
  </si>
  <si>
    <t>modules/a-knights-dream/Item/equip_weapon_shotel_linen.webp</t>
  </si>
  <si>
    <t>Linen Sickle</t>
  </si>
  <si>
    <t>modules/a-knights-dream/Item/equip_weapon_sickle_linen.webp</t>
  </si>
  <si>
    <t>Linen Sling</t>
  </si>
  <si>
    <t>modules/a-knights-dream/Item/equip_weapon_sling_linen.webp</t>
  </si>
  <si>
    <t>Linen Staff</t>
  </si>
  <si>
    <t>modules/a-knights-dream/Item/equip_weapon_staff_linen.webp</t>
  </si>
  <si>
    <t>Linen Staff Sling</t>
  </si>
  <si>
    <t>modules/a-knights-dream/Item/equip_weapon_sling_staff_linen.webp</t>
  </si>
  <si>
    <t>Linen Sword</t>
  </si>
  <si>
    <t>modules/a-knights-dream/Item/equip_weapon_sword_linen.webp</t>
  </si>
  <si>
    <t>Linen Tapal</t>
  </si>
  <si>
    <t>modules/a-knights-dream/Item/equip_weapon_tapal_linen.webp</t>
  </si>
  <si>
    <t>Linen Trident</t>
  </si>
  <si>
    <t>modules/a-knights-dream/Item/equip_weapon_trident_linen.webp</t>
  </si>
  <si>
    <t>Linen War Hammer</t>
  </si>
  <si>
    <t>modules/a-knights-dream/Item/equip_weapon_hammer_war_linen.webp</t>
  </si>
  <si>
    <t>Linen War Pick</t>
  </si>
  <si>
    <t>modules/a-knights-dream/Item/equip_weapon_pick_war_linen.webp</t>
  </si>
  <si>
    <t>Linen Brigantine Cuirass</t>
  </si>
  <si>
    <t>modules/a-knights-dream/Item/equip_armor_brigantine_cuirass_linen.webp</t>
  </si>
  <si>
    <t>Linen Brigantine Gauntlets</t>
  </si>
  <si>
    <t>modules/a-knights-dream/Item/equip_armor_brigantine_gauntlets_linen.webp</t>
  </si>
  <si>
    <t>Linen Brigantine Greaves</t>
  </si>
  <si>
    <t>modules/a-knights-dream/Item/equip_armor_brigantine_greaves_linen.webp</t>
  </si>
  <si>
    <t>Linen Brigantine Helmet</t>
  </si>
  <si>
    <t>modules/a-knights-dream/Item/equip_armor_brigantine_helmet_linen.webp</t>
  </si>
  <si>
    <t>Linen Brigantine Pauldron</t>
  </si>
  <si>
    <t>modules/a-knights-dream/Item/equip_armor_brigantine_pauldron_linen.webp</t>
  </si>
  <si>
    <t>Linen Chainmail Cuirass</t>
  </si>
  <si>
    <t>modules/a-knights-dream/Item/equip_armor_chainmail_cuirass_linen.webp</t>
  </si>
  <si>
    <t>Linen Chainmail Gauntlets</t>
  </si>
  <si>
    <t>modules/a-knights-dream/Item/equip_armor_chainmail_gauntlets_linen.webp</t>
  </si>
  <si>
    <t>Linen Chainmail Greaves</t>
  </si>
  <si>
    <t>modules/a-knights-dream/Item/equip_armor_chainmail_greaves_linen.webp</t>
  </si>
  <si>
    <t>Linen Chainmail Helmet</t>
  </si>
  <si>
    <t>modules/a-knights-dream/Item/equip_armor_chainmail_helmet_linen.webp</t>
  </si>
  <si>
    <t>Linen Chainmail Pauldron</t>
  </si>
  <si>
    <t>modules/a-knights-dream/Item/equip_armor_chainmail_pauldron_linen.webp</t>
  </si>
  <si>
    <t>Linen Gamberson Cuirass</t>
  </si>
  <si>
    <t>modules/a-knights-dream/Item/equip_armor_gamberson_cuirass_linen.webp</t>
  </si>
  <si>
    <t>Linen Gamberson Gauntlets</t>
  </si>
  <si>
    <t>modules/a-knights-dream/Item/equip_armor_gamberson_gauntlets_linen.webp</t>
  </si>
  <si>
    <t>Linen Gamberson Greaves</t>
  </si>
  <si>
    <t>modules/a-knights-dream/Item/equip_armor_gamberson_greaves_linen.webp</t>
  </si>
  <si>
    <t>Linen Gamberson Helmet</t>
  </si>
  <si>
    <t>modules/a-knights-dream/Item/equip_armor_gamberson_helmet_linen.webp</t>
  </si>
  <si>
    <t>Linen Gamberson Pauldron</t>
  </si>
  <si>
    <t>modules/a-knights-dream/Item/equip_armor_gamberson_pauldron_linen.webp</t>
  </si>
  <si>
    <t>Linen Hauberk Cuirass</t>
  </si>
  <si>
    <t>modules/a-knights-dream/Item/equip_armor_hauberk_cuirass_linen.webp</t>
  </si>
  <si>
    <t>Linen Hauberk Gauntlets</t>
  </si>
  <si>
    <t>modules/a-knights-dream/Item/equip_armor_hauberk_gauntlets_linen.webp</t>
  </si>
  <si>
    <t>Linen Hauberk Greaves</t>
  </si>
  <si>
    <t>modules/a-knights-dream/Item/equip_armor_hauberk_greaves_linen.webp</t>
  </si>
  <si>
    <t>Linen Hauberk Helmet</t>
  </si>
  <si>
    <t>modules/a-knights-dream/Item/equip_armor_hauberk_helmet_linen.webp</t>
  </si>
  <si>
    <t>Linen Hauberk Pauldron</t>
  </si>
  <si>
    <t>modules/a-knights-dream/Item/equip_armor_hauberk_pauldron_linen.webp</t>
  </si>
  <si>
    <t>Linen Jack Cuirass</t>
  </si>
  <si>
    <t>modules/a-knights-dream/Item/equip_armor_jack_cuirass_linen.webp</t>
  </si>
  <si>
    <t>Linen Jack Gauntlets</t>
  </si>
  <si>
    <t>modules/a-knights-dream/Item/equip_armor_jack_gauntlets_linen.webp</t>
  </si>
  <si>
    <t>Linen Jack Greaves</t>
  </si>
  <si>
    <t>modules/a-knights-dream/Item/equip_armor_jack_greaves_linen.webp</t>
  </si>
  <si>
    <t>Linen Jack Helmet</t>
  </si>
  <si>
    <t>modules/a-knights-dream/Item/equip_armor_jack_helmet_linen.webp</t>
  </si>
  <si>
    <t>Linen Jack Pauldron</t>
  </si>
  <si>
    <t>modules/a-knights-dream/Item/equip_armor_jack_pauldron_linen.webp</t>
  </si>
  <si>
    <t>Linen Lamellar Cuirass</t>
  </si>
  <si>
    <t>modules/a-knights-dream/Item/equip_armor_lamellar_cuirass_linen.webp</t>
  </si>
  <si>
    <t>Linen Lamellar Gauntlets</t>
  </si>
  <si>
    <t>modules/a-knights-dream/Item/equip_armor_lamellar_gauntlets_linen.webp</t>
  </si>
  <si>
    <t>Linen Lamellar Greaves</t>
  </si>
  <si>
    <t>modules/a-knights-dream/Item/equip_armor_lamellar_greaves_linen.webp</t>
  </si>
  <si>
    <t>Linen Lamellar Helmet</t>
  </si>
  <si>
    <t>modules/a-knights-dream/Item/equip_armor_lamellar_helmet_linen.webp</t>
  </si>
  <si>
    <t>Linen Lamellar Pauldron</t>
  </si>
  <si>
    <t>modules/a-knights-dream/Item/equip_armor_lamellar_pauldron_linen.webp</t>
  </si>
  <si>
    <t>Linen Platemail Cuirass</t>
  </si>
  <si>
    <t>modules/a-knights-dream/Item/equip_armor_platemail_cuirass_linen.webp</t>
  </si>
  <si>
    <t>Linen Platemail Gauntlets</t>
  </si>
  <si>
    <t>modules/a-knights-dream/Item/equip_armor_platemail_gauntlets_linen.webp</t>
  </si>
  <si>
    <t>Linen Platemail Greaves</t>
  </si>
  <si>
    <t>modules/a-knights-dream/Item/equip_armor_platemail_greaves_linen.webp</t>
  </si>
  <si>
    <t>Linen Platemail Helmet</t>
  </si>
  <si>
    <t>modules/a-knights-dream/Item/equip_armor_platemail_helmet_linen.webp</t>
  </si>
  <si>
    <t>Linen Platemail Pauldron</t>
  </si>
  <si>
    <t>modules/a-knights-dream/Item/equip_armor_platemail_pauldron_linen.webp</t>
  </si>
  <si>
    <t>Linen Tunic Cuirass</t>
  </si>
  <si>
    <t>modules/a-knights-dream/Item/equip_armor_tunic_cuirass_linen.webp</t>
  </si>
  <si>
    <t>Linen Tunic Gauntlets</t>
  </si>
  <si>
    <t>modules/a-knights-dream/Item/equip_armor_tunic_gauntlets_linen.webp</t>
  </si>
  <si>
    <t>Linen Tunic Greaves</t>
  </si>
  <si>
    <t>modules/a-knights-dream/Item/equip_armor_tunic_greaves_linen.webp</t>
  </si>
  <si>
    <t>Linen Tunic Helmet</t>
  </si>
  <si>
    <t>modules/a-knights-dream/Item/equip_armor_tunic_helmet_linen.webp</t>
  </si>
  <si>
    <t>Linen Tunic Pauldron</t>
  </si>
  <si>
    <t>modules/a-knights-dream/Item/equip_armor_tunic_pauldron_linen.webp</t>
  </si>
  <si>
    <t>Linen Buckler Shield</t>
  </si>
  <si>
    <t>modules/a-knights-dream/Item/equip_armor_shield_buckler_linen.webp</t>
  </si>
  <si>
    <t>Linen Heater Shield</t>
  </si>
  <si>
    <t>modules/a-knights-dream/Item/equip_armor_shield_heater_linen.webp</t>
  </si>
  <si>
    <t>Linen Kite Shield</t>
  </si>
  <si>
    <t>modules/a-knights-dream/Item/equip_armor_shield_kite_linen.webp</t>
  </si>
  <si>
    <t>Linen Oval Shield</t>
  </si>
  <si>
    <t>modules/a-knights-dream/Item/equip_armor_shield_oval_linen.webp</t>
  </si>
  <si>
    <t>Linen Round Shield</t>
  </si>
  <si>
    <t>modules/a-knights-dream/Item/equip_armor_shield_round_linen.webp</t>
  </si>
  <si>
    <t>Linen Tower Shield</t>
  </si>
  <si>
    <t>modules/a-knights-dream/Item/equip_armor_shield_tower_linen.webp</t>
  </si>
  <si>
    <t>Showilk</t>
  </si>
  <si>
    <t>Showilk Ball Bearings</t>
  </si>
  <si>
    <t>modules/a-knights-dream/Item/equip_weapon_bearings_showilk.webp</t>
  </si>
  <si>
    <t>Showilk Bardiche</t>
  </si>
  <si>
    <t>modules/a-knights-dream/Item/equip_weapon_bardiche_showilk.webp</t>
  </si>
  <si>
    <t>Showilk Bastard Sword</t>
  </si>
  <si>
    <t>modules/a-knights-dream/Item/equip_weapon_sword_bastard_showilk.webp</t>
  </si>
  <si>
    <t>Showilk Battle Axe</t>
  </si>
  <si>
    <t>modules/a-knights-dream/Item/equip_weapon_axe_battle_showilk.webp</t>
  </si>
  <si>
    <t>Showilk Blowgun</t>
  </si>
  <si>
    <t>modules/a-knights-dream/Item/equip_weapon_blowgun_showilk.webp</t>
  </si>
  <si>
    <t>Showilk Bolt</t>
  </si>
  <si>
    <t>modules/a-knights-dream/Item/equip_weapon_bolt_showilk.webp</t>
  </si>
  <si>
    <t>Showilk Boomerang</t>
  </si>
  <si>
    <t>modules/a-knights-dream/Item/equip_weapon_boomerang_showilk.webp</t>
  </si>
  <si>
    <t>Showilk Bow</t>
  </si>
  <si>
    <t>modules/a-knights-dream/Item/equip_weapon_bow_showilk.webp</t>
  </si>
  <si>
    <t>Showilk Caltrops</t>
  </si>
  <si>
    <t>modules/a-knights-dream/Item/equip_weapon_caltrops_showilk.webp</t>
  </si>
  <si>
    <t>Showilk Cestus</t>
  </si>
  <si>
    <t>modules/a-knights-dream/Item/equip_weapon_cestus_showilk.webp</t>
  </si>
  <si>
    <t>Showilk Chain</t>
  </si>
  <si>
    <t>modules/a-knights-dream/Item/equip_weapon_chain_showilk.webp</t>
  </si>
  <si>
    <t>Showilk Claymore</t>
  </si>
  <si>
    <t>modules/a-knights-dream/Item/equip_weapon_claymore_showilk.webp</t>
  </si>
  <si>
    <t>Showilk Club</t>
  </si>
  <si>
    <t>modules/a-knights-dream/Item/equip_weapon_club_showilk.webp</t>
  </si>
  <si>
    <t>Showilk Compound Bow</t>
  </si>
  <si>
    <t>modules/a-knights-dream/Item/equip_weapon_bow_compound_showilk.webp</t>
  </si>
  <si>
    <t>Showilk Cutlass</t>
  </si>
  <si>
    <t>modules/a-knights-dream/Item/equip_weapon_cutlass_showilk.webp</t>
  </si>
  <si>
    <t>Showilk Dagger</t>
  </si>
  <si>
    <t>modules/a-knights-dream/Item/equip_weapon_dagger_showilk.webp</t>
  </si>
  <si>
    <t>Showilk Dart</t>
  </si>
  <si>
    <t>modules/a-knights-dream/Item/equip_weapon_dart_showilk.webp</t>
  </si>
  <si>
    <t>Showilk Fauchard Scythe</t>
  </si>
  <si>
    <t>modules/a-knights-dream/Item/equip_weapon_scythe_fauchard_showilk.webp</t>
  </si>
  <si>
    <t>Showilk Flail</t>
  </si>
  <si>
    <t>modules/a-knights-dream/Item/equip_weapon_flail_showilk.webp</t>
  </si>
  <si>
    <t>Showilk Glaive</t>
  </si>
  <si>
    <t>modules/a-knights-dream/Item/equip_weapon_glaive_showilk.webp</t>
  </si>
  <si>
    <t>Showilk Grapple Hook</t>
  </si>
  <si>
    <t>modules/a-knights-dream/Item/equip_weapon_hook_grapple_showilk.webp</t>
  </si>
  <si>
    <t>Showilk Great Axe</t>
  </si>
  <si>
    <t>modules/a-knights-dream/Item/equip_weapon_axe_great_showilk.webp</t>
  </si>
  <si>
    <t>Showilk Great Club</t>
  </si>
  <si>
    <t>modules/a-knights-dream/Item/equip_weapon_club_great_showilk.webp</t>
  </si>
  <si>
    <t>Showilk Great Khyber</t>
  </si>
  <si>
    <t>modules/a-knights-dream/Item/equip_weapon_khyber_great_showilk.webp</t>
  </si>
  <si>
    <t>Showilk Great Konda</t>
  </si>
  <si>
    <t>modules/a-knights-dream/Item/equip_weapon_konda_great_showilk.webp</t>
  </si>
  <si>
    <t>Showilk Great Labrys</t>
  </si>
  <si>
    <t>modules/a-knights-dream/Item/equip_weapon_axe_labrys_great_showilk.webp</t>
  </si>
  <si>
    <t>Showilk Great Mace</t>
  </si>
  <si>
    <t>modules/a-knights-dream/Item/equip_weapon_mace_great_showilk.webp</t>
  </si>
  <si>
    <t>Showilk Great Tapal</t>
  </si>
  <si>
    <t>modules/a-knights-dream/Item/equip_weapon_tapal_great_showilk.webp</t>
  </si>
  <si>
    <t>Showilk Great War Bow</t>
  </si>
  <si>
    <t>modules/a-knights-dream/Item/equip_weapon_bow_war_great_showilk.webp</t>
  </si>
  <si>
    <t>Showilk Great War Hammer</t>
  </si>
  <si>
    <t>modules/a-knights-dream/Item/equip_weapon_hammer_war_great_showilk.webp</t>
  </si>
  <si>
    <t>Showilk Great War Pick</t>
  </si>
  <si>
    <t>modules/a-knights-dream/Item/equip_weapon_pick_war_great_showilk.webp</t>
  </si>
  <si>
    <t>Showilk Guisarme</t>
  </si>
  <si>
    <t>modules/a-knights-dream/Item/equip_weapon_guisarme_showilk.webp</t>
  </si>
  <si>
    <t>Showilk Halberd</t>
  </si>
  <si>
    <t>modules/a-knights-dream/Item/equip_weapon_halberd_showilk.webp</t>
  </si>
  <si>
    <t>Showilk Hand Crossbow</t>
  </si>
  <si>
    <t>modules/a-knights-dream/Item/equip_weapon_crossbow_hand_showilk.webp</t>
  </si>
  <si>
    <t>Showilk Hand axe</t>
  </si>
  <si>
    <t>modules/a-knights-dream/Item/equip_weapon_axe_hand_showilk.webp</t>
  </si>
  <si>
    <t>Showilk Heavy Crossbow</t>
  </si>
  <si>
    <t>modules/a-knights-dream/Item/equip_weapon_crossbow_heavy_showilk.webp</t>
  </si>
  <si>
    <t>Showilk Hunting Trap</t>
  </si>
  <si>
    <t>modules/a-knights-dream/Item/equip_weapon_trap_hunting_showilk.webp</t>
  </si>
  <si>
    <t>Showilk Hunting Trap (Large)</t>
  </si>
  <si>
    <t>modules/a-knights-dream/Item/equip_weapon_trap_hunting_large_showilk.webp</t>
  </si>
  <si>
    <t>Showilk Hunting Trap (Small)</t>
  </si>
  <si>
    <t>modules/a-knights-dream/Item/equip_weapon_trap_hunting_small_showilk.webp</t>
  </si>
  <si>
    <t>Showilk Javelin</t>
  </si>
  <si>
    <t>modules/a-knights-dream/Item/equip_weapon_javelin_showilk.webp</t>
  </si>
  <si>
    <t>Showilk Khpesh</t>
  </si>
  <si>
    <t>modules/a-knights-dream/Item/equip_weapon_khpesh_showilk.webp</t>
  </si>
  <si>
    <t>Showilk Khyber</t>
  </si>
  <si>
    <t>modules/a-knights-dream/Item/equip_weapon_khyber_showilk.webp</t>
  </si>
  <si>
    <t>Showilk Konda</t>
  </si>
  <si>
    <t>modules/a-knights-dream/Item/equip_weapon_konda_showilk.webp</t>
  </si>
  <si>
    <t>Showilk Labrys</t>
  </si>
  <si>
    <t>modules/a-knights-dream/Item/equip_weapon_axe_labrys_showilk.webp</t>
  </si>
  <si>
    <t>Showilk Lance</t>
  </si>
  <si>
    <t>modules/a-knights-dream/Item/equip_weapon_lance_showilk.webp</t>
  </si>
  <si>
    <t>Showilk Light Crossbow</t>
  </si>
  <si>
    <t>modules/a-knights-dream/Item/equip_weapon_crossbow_light_showilk.webp</t>
  </si>
  <si>
    <t>Showilk Long Bow</t>
  </si>
  <si>
    <t>modules/a-knights-dream/Item/equip_weapon_bow_long_showilk.webp</t>
  </si>
  <si>
    <t>Showilk Long Spear</t>
  </si>
  <si>
    <t>modules/a-knights-dream/Item/equip_weapon_spear_long_showilk.webp</t>
  </si>
  <si>
    <t>Showilk Lucerince Hammer</t>
  </si>
  <si>
    <t>modules/a-knights-dream/Item/equip_weapon_hammer_lucerince_showilk.webp</t>
  </si>
  <si>
    <t>Showilk Mace</t>
  </si>
  <si>
    <t>modules/a-knights-dream/Item/equip_weapon_mace_showilk.webp</t>
  </si>
  <si>
    <t>Showilk Morningstar</t>
  </si>
  <si>
    <t>modules/a-knights-dream/Item/equip_weapon_morningstar_showilk.webp</t>
  </si>
  <si>
    <t>Showilk Pike</t>
  </si>
  <si>
    <t>modules/a-knights-dream/Item/equip_weapon_pike_showilk.webp</t>
  </si>
  <si>
    <t>Showilk Quarter Staff</t>
  </si>
  <si>
    <t>modules/a-knights-dream/Item/equip_weapon_staff_quarter_showilk.webp</t>
  </si>
  <si>
    <t>Showilk Ranseur</t>
  </si>
  <si>
    <t>modules/a-knights-dream/Item/equip_weapon_ranseur_showilk.webp</t>
  </si>
  <si>
    <t>Showilk Rapier</t>
  </si>
  <si>
    <t>modules/a-knights-dream/Item/equip_weapon_rapier_showilk.webp</t>
  </si>
  <si>
    <t>Showilk Recurve Bow</t>
  </si>
  <si>
    <t>modules/a-knights-dream/Item/equip_weapon_bow_recurve_showilk.webp</t>
  </si>
  <si>
    <t>Showilk Repeater Crossbow</t>
  </si>
  <si>
    <t>modules/a-knights-dream/Item/equip_weapon_crossbow_repeater_showilk.webp</t>
  </si>
  <si>
    <t>Showilk Sabre</t>
  </si>
  <si>
    <t>modules/a-knights-dream/Item/equip_weapon_sabre_showilk.webp</t>
  </si>
  <si>
    <t>Showilk Scimitar</t>
  </si>
  <si>
    <t>modules/a-knights-dream/Item/equip_weapon_scimitar_showilk.webp</t>
  </si>
  <si>
    <t>Showilk Scythe</t>
  </si>
  <si>
    <t>modules/a-knights-dream/Item/equip_weapon_scythe_showilk.webp</t>
  </si>
  <si>
    <t>Showilk Short Bow</t>
  </si>
  <si>
    <t>modules/a-knights-dream/Item/equip_weapon_bow_short_showilk.webp</t>
  </si>
  <si>
    <t>Showilk Short Spear</t>
  </si>
  <si>
    <t>modules/a-knights-dream/Item/equip_weapon_spear_short_showilk.webp</t>
  </si>
  <si>
    <t>Showilk Short Sword</t>
  </si>
  <si>
    <t>modules/a-knights-dream/Item/equip_weapon_sword_short_showilk.webp</t>
  </si>
  <si>
    <t>Showilk Shotel</t>
  </si>
  <si>
    <t>modules/a-knights-dream/Item/equip_weapon_shotel_showilk.webp</t>
  </si>
  <si>
    <t>Showilk Sickle</t>
  </si>
  <si>
    <t>modules/a-knights-dream/Item/equip_weapon_sickle_showilk.webp</t>
  </si>
  <si>
    <t>Showilk Sling</t>
  </si>
  <si>
    <t>modules/a-knights-dream/Item/equip_weapon_sling_showilk.webp</t>
  </si>
  <si>
    <t>Showilk Staff</t>
  </si>
  <si>
    <t>modules/a-knights-dream/Item/equip_weapon_staff_showilk.webp</t>
  </si>
  <si>
    <t>Showilk Staff Sling</t>
  </si>
  <si>
    <t>modules/a-knights-dream/Item/equip_weapon_sling_staff_showilk.webp</t>
  </si>
  <si>
    <t>Showilk Sword</t>
  </si>
  <si>
    <t>modules/a-knights-dream/Item/equip_weapon_sword_showilk.webp</t>
  </si>
  <si>
    <t>Showilk Tapal</t>
  </si>
  <si>
    <t>modules/a-knights-dream/Item/equip_weapon_tapal_showilk.webp</t>
  </si>
  <si>
    <t>Showilk Trident</t>
  </si>
  <si>
    <t>modules/a-knights-dream/Item/equip_weapon_trident_showilk.webp</t>
  </si>
  <si>
    <t>Showilk War Hammer</t>
  </si>
  <si>
    <t>modules/a-knights-dream/Item/equip_weapon_hammer_war_showilk.webp</t>
  </si>
  <si>
    <t>Showilk War Pick</t>
  </si>
  <si>
    <t>modules/a-knights-dream/Item/equip_weapon_pick_war_showilk.webp</t>
  </si>
  <si>
    <t>Showilk Brigantine Cuirass</t>
  </si>
  <si>
    <t>modules/a-knights-dream/Item/equip_armor_brigantine_cuirass_showilk.webp</t>
  </si>
  <si>
    <t>Showilk Brigantine Gauntlets</t>
  </si>
  <si>
    <t>modules/a-knights-dream/Item/equip_armor_brigantine_gauntlets_showilk.webp</t>
  </si>
  <si>
    <t>Showilk Brigantine Greaves</t>
  </si>
  <si>
    <t>modules/a-knights-dream/Item/equip_armor_brigantine_greaves_showilk.webp</t>
  </si>
  <si>
    <t>Showilk Brigantine Helmet</t>
  </si>
  <si>
    <t>modules/a-knights-dream/Item/equip_armor_brigantine_helmet_showilk.webp</t>
  </si>
  <si>
    <t>Showilk Brigantine Pauldron</t>
  </si>
  <si>
    <t>modules/a-knights-dream/Item/equip_armor_brigantine_pauldron_showilk.webp</t>
  </si>
  <si>
    <t>Showilk Chainmail Cuirass</t>
  </si>
  <si>
    <t>modules/a-knights-dream/Item/equip_armor_chainmail_cuirass_showilk.webp</t>
  </si>
  <si>
    <t>Showilk Chainmail Gauntlets</t>
  </si>
  <si>
    <t>modules/a-knights-dream/Item/equip_armor_chainmail_gauntlets_showilk.webp</t>
  </si>
  <si>
    <t>Showilk Chainmail Greaves</t>
  </si>
  <si>
    <t>modules/a-knights-dream/Item/equip_armor_chainmail_greaves_showilk.webp</t>
  </si>
  <si>
    <t>Showilk Chainmail Helmet</t>
  </si>
  <si>
    <t>modules/a-knights-dream/Item/equip_armor_chainmail_helmet_showilk.webp</t>
  </si>
  <si>
    <t>Showilk Chainmail Pauldron</t>
  </si>
  <si>
    <t>modules/a-knights-dream/Item/equip_armor_chainmail_pauldron_showilk.webp</t>
  </si>
  <si>
    <t>Showilk Gamberson Cuirass</t>
  </si>
  <si>
    <t>modules/a-knights-dream/Item/equip_armor_gamberson_cuirass_showilk.webp</t>
  </si>
  <si>
    <t>Showilk Gamberson Gauntlets</t>
  </si>
  <si>
    <t>modules/a-knights-dream/Item/equip_armor_gamberson_gauntlets_showilk.webp</t>
  </si>
  <si>
    <t>Showilk Gamberson Greaves</t>
  </si>
  <si>
    <t>modules/a-knights-dream/Item/equip_armor_gamberson_greaves_showilk.webp</t>
  </si>
  <si>
    <t>Showilk Gamberson Helmet</t>
  </si>
  <si>
    <t>modules/a-knights-dream/Item/equip_armor_gamberson_helmet_showilk.webp</t>
  </si>
  <si>
    <t>Showilk Gamberson Pauldron</t>
  </si>
  <si>
    <t>modules/a-knights-dream/Item/equip_armor_gamberson_pauldron_showilk.webp</t>
  </si>
  <si>
    <t>Showilk Hauberk Cuirass</t>
  </si>
  <si>
    <t>modules/a-knights-dream/Item/equip_armor_hauberk_cuirass_showilk.webp</t>
  </si>
  <si>
    <t>Showilk Hauberk Gauntlets</t>
  </si>
  <si>
    <t>modules/a-knights-dream/Item/equip_armor_hauberk_gauntlets_showilk.webp</t>
  </si>
  <si>
    <t>Showilk Hauberk Greaves</t>
  </si>
  <si>
    <t>modules/a-knights-dream/Item/equip_armor_hauberk_greaves_showilk.webp</t>
  </si>
  <si>
    <t>Showilk Hauberk Helmet</t>
  </si>
  <si>
    <t>modules/a-knights-dream/Item/equip_armor_hauberk_helmet_showilk.webp</t>
  </si>
  <si>
    <t>Showilk Hauberk Pauldron</t>
  </si>
  <si>
    <t>modules/a-knights-dream/Item/equip_armor_hauberk_pauldron_showilk.webp</t>
  </si>
  <si>
    <t>Showilk Jack Cuirass</t>
  </si>
  <si>
    <t>modules/a-knights-dream/Item/equip_armor_jack_cuirass_showilk.webp</t>
  </si>
  <si>
    <t>Showilk Jack Gauntlets</t>
  </si>
  <si>
    <t>modules/a-knights-dream/Item/equip_armor_jack_gauntlets_showilk.webp</t>
  </si>
  <si>
    <t>Showilk Jack Greaves</t>
  </si>
  <si>
    <t>modules/a-knights-dream/Item/equip_armor_jack_greaves_showilk.webp</t>
  </si>
  <si>
    <t>Showilk Jack Helmet</t>
  </si>
  <si>
    <t>modules/a-knights-dream/Item/equip_armor_jack_helmet_showilk.webp</t>
  </si>
  <si>
    <t>Showilk Jack Pauldron</t>
  </si>
  <si>
    <t>modules/a-knights-dream/Item/equip_armor_jack_pauldron_showilk.webp</t>
  </si>
  <si>
    <t>Showilk Lamellar Cuirass</t>
  </si>
  <si>
    <t>modules/a-knights-dream/Item/equip_armor_lamellar_cuirass_showilk.webp</t>
  </si>
  <si>
    <t>Showilk Lamellar Gauntlets</t>
  </si>
  <si>
    <t>modules/a-knights-dream/Item/equip_armor_lamellar_gauntlets_showilk.webp</t>
  </si>
  <si>
    <t>Showilk Lamellar Greaves</t>
  </si>
  <si>
    <t>modules/a-knights-dream/Item/equip_armor_lamellar_greaves_showilk.webp</t>
  </si>
  <si>
    <t>Showilk Lamellar Helmet</t>
  </si>
  <si>
    <t>modules/a-knights-dream/Item/equip_armor_lamellar_helmet_showilk.webp</t>
  </si>
  <si>
    <t>Showilk Lamellar Pauldron</t>
  </si>
  <si>
    <t>modules/a-knights-dream/Item/equip_armor_lamellar_pauldron_showilk.webp</t>
  </si>
  <si>
    <t>Showilk Platemail Cuirass</t>
  </si>
  <si>
    <t>modules/a-knights-dream/Item/equip_armor_platemail_cuirass_showilk.webp</t>
  </si>
  <si>
    <t>Showilk Platemail Gauntlets</t>
  </si>
  <si>
    <t>modules/a-knights-dream/Item/equip_armor_platemail_gauntlets_showilk.webp</t>
  </si>
  <si>
    <t>Showilk Platemail Greaves</t>
  </si>
  <si>
    <t>modules/a-knights-dream/Item/equip_armor_platemail_greaves_showilk.webp</t>
  </si>
  <si>
    <t>Showilk Platemail Helmet</t>
  </si>
  <si>
    <t>modules/a-knights-dream/Item/equip_armor_platemail_helmet_showilk.webp</t>
  </si>
  <si>
    <t>Showilk Platemail Pauldron</t>
  </si>
  <si>
    <t>modules/a-knights-dream/Item/equip_armor_platemail_pauldron_showilk.webp</t>
  </si>
  <si>
    <t>Showilk Tunic Cuirass</t>
  </si>
  <si>
    <t>modules/a-knights-dream/Item/equip_armor_tunic_cuirass_showilk.webp</t>
  </si>
  <si>
    <t>Showilk Tunic Gauntlets</t>
  </si>
  <si>
    <t>modules/a-knights-dream/Item/equip_armor_tunic_gauntlets_showilk.webp</t>
  </si>
  <si>
    <t>Showilk Tunic Greaves</t>
  </si>
  <si>
    <t>modules/a-knights-dream/Item/equip_armor_tunic_greaves_showilk.webp</t>
  </si>
  <si>
    <t>Showilk Tunic Helmet</t>
  </si>
  <si>
    <t>modules/a-knights-dream/Item/equip_armor_tunic_helmet_showilk.webp</t>
  </si>
  <si>
    <t>Showilk Tunic Pauldron</t>
  </si>
  <si>
    <t>modules/a-knights-dream/Item/equip_armor_tunic_pauldron_showilk.webp</t>
  </si>
  <si>
    <t>Showilk Buckler Shield</t>
  </si>
  <si>
    <t>modules/a-knights-dream/Item/equip_armor_shield_buckler_showilk.webp</t>
  </si>
  <si>
    <t>Showilk Heater Shield</t>
  </si>
  <si>
    <t>modules/a-knights-dream/Item/equip_armor_shield_heater_showilk.webp</t>
  </si>
  <si>
    <t>Showilk Kite Shield</t>
  </si>
  <si>
    <t>modules/a-knights-dream/Item/equip_armor_shield_kite_showilk.webp</t>
  </si>
  <si>
    <t>Showilk Oval Shield</t>
  </si>
  <si>
    <t>modules/a-knights-dream/Item/equip_armor_shield_oval_showilk.webp</t>
  </si>
  <si>
    <t>Showilk Round Shield</t>
  </si>
  <si>
    <t>modules/a-knights-dream/Item/equip_armor_shield_round_showilk.webp</t>
  </si>
  <si>
    <t>Showilk Tower Shield</t>
  </si>
  <si>
    <t>modules/a-knights-dream/Item/equip_armor_shield_tower_showilk.webp</t>
  </si>
  <si>
    <t>Silk</t>
  </si>
  <si>
    <t>Silk Ball Bearings</t>
  </si>
  <si>
    <t>modules/a-knights-dream/Item/equip_weapon_bearings_silk.webp</t>
  </si>
  <si>
    <t>Silk Bardiche</t>
  </si>
  <si>
    <t>modules/a-knights-dream/Item/equip_weapon_bardiche_silk.webp</t>
  </si>
  <si>
    <t>Silk Bastard Sword</t>
  </si>
  <si>
    <t>modules/a-knights-dream/Item/equip_weapon_sword_bastard_silk.webp</t>
  </si>
  <si>
    <t>Silk Battle Axe</t>
  </si>
  <si>
    <t>modules/a-knights-dream/Item/equip_weapon_axe_battle_silk.webp</t>
  </si>
  <si>
    <t>Silk Blowgun</t>
  </si>
  <si>
    <t>modules/a-knights-dream/Item/equip_weapon_blowgun_silk.webp</t>
  </si>
  <si>
    <t>Silk Bolt</t>
  </si>
  <si>
    <t>modules/a-knights-dream/Item/equip_weapon_bolt_silk.webp</t>
  </si>
  <si>
    <t>Silk Boomerang</t>
  </si>
  <si>
    <t>modules/a-knights-dream/Item/equip_weapon_boomerang_silk.webp</t>
  </si>
  <si>
    <t>Silk Bow</t>
  </si>
  <si>
    <t>modules/a-knights-dream/Item/equip_weapon_bow_silk.webp</t>
  </si>
  <si>
    <t>Silk Caltrops</t>
  </si>
  <si>
    <t>modules/a-knights-dream/Item/equip_weapon_caltrops_silk.webp</t>
  </si>
  <si>
    <t>Silk Cestus</t>
  </si>
  <si>
    <t>modules/a-knights-dream/Item/equip_weapon_cestus_silk.webp</t>
  </si>
  <si>
    <t>Silk Chain</t>
  </si>
  <si>
    <t>modules/a-knights-dream/Item/equip_weapon_chain_silk.webp</t>
  </si>
  <si>
    <t>Silk Claymore</t>
  </si>
  <si>
    <t>modules/a-knights-dream/Item/equip_weapon_claymore_silk.webp</t>
  </si>
  <si>
    <t>Silk Club</t>
  </si>
  <si>
    <t>modules/a-knights-dream/Item/equip_weapon_club_silk.webp</t>
  </si>
  <si>
    <t>Silk Compound Bow</t>
  </si>
  <si>
    <t>modules/a-knights-dream/Item/equip_weapon_bow_compound_silk.webp</t>
  </si>
  <si>
    <t>Silk Cutlass</t>
  </si>
  <si>
    <t>modules/a-knights-dream/Item/equip_weapon_cutlass_silk.webp</t>
  </si>
  <si>
    <t>Silk Dagger</t>
  </si>
  <si>
    <t>modules/a-knights-dream/Item/equip_weapon_dagger_silk.webp</t>
  </si>
  <si>
    <t>Silk Dart</t>
  </si>
  <si>
    <t>modules/a-knights-dream/Item/equip_weapon_dart_silk.webp</t>
  </si>
  <si>
    <t>Silk Fauchard Scythe</t>
  </si>
  <si>
    <t>modules/a-knights-dream/Item/equip_weapon_scythe_fauchard_silk.webp</t>
  </si>
  <si>
    <t>Silk Flail</t>
  </si>
  <si>
    <t>modules/a-knights-dream/Item/equip_weapon_flail_silk.webp</t>
  </si>
  <si>
    <t>Silk Glaive</t>
  </si>
  <si>
    <t>modules/a-knights-dream/Item/equip_weapon_glaive_silk.webp</t>
  </si>
  <si>
    <t>Silk Grapple Hook</t>
  </si>
  <si>
    <t>modules/a-knights-dream/Item/equip_weapon_hook_grapple_silk.webp</t>
  </si>
  <si>
    <t>Silk Great Axe</t>
  </si>
  <si>
    <t>modules/a-knights-dream/Item/equip_weapon_axe_great_silk.webp</t>
  </si>
  <si>
    <t>Silk Great Club</t>
  </si>
  <si>
    <t>modules/a-knights-dream/Item/equip_weapon_club_great_silk.webp</t>
  </si>
  <si>
    <t>Silk Great Khyber</t>
  </si>
  <si>
    <t>modules/a-knights-dream/Item/equip_weapon_khyber_great_silk.webp</t>
  </si>
  <si>
    <t>Silk Great Konda</t>
  </si>
  <si>
    <t>modules/a-knights-dream/Item/equip_weapon_konda_great_silk.webp</t>
  </si>
  <si>
    <t>Silk Great Labrys</t>
  </si>
  <si>
    <t>modules/a-knights-dream/Item/equip_weapon_axe_labrys_great_silk.webp</t>
  </si>
  <si>
    <t>Silk Great Mace</t>
  </si>
  <si>
    <t>modules/a-knights-dream/Item/equip_weapon_mace_great_silk.webp</t>
  </si>
  <si>
    <t>Silk Great Tapal</t>
  </si>
  <si>
    <t>modules/a-knights-dream/Item/equip_weapon_tapal_great_silk.webp</t>
  </si>
  <si>
    <t>Silk Great War Bow</t>
  </si>
  <si>
    <t>modules/a-knights-dream/Item/equip_weapon_bow_war_great_silk.webp</t>
  </si>
  <si>
    <t>Silk Great War Hammer</t>
  </si>
  <si>
    <t>modules/a-knights-dream/Item/equip_weapon_hammer_war_great_silk.webp</t>
  </si>
  <si>
    <t>Silk Great War Pick</t>
  </si>
  <si>
    <t>modules/a-knights-dream/Item/equip_weapon_pick_war_great_silk.webp</t>
  </si>
  <si>
    <t>Silk Guisarme</t>
  </si>
  <si>
    <t>modules/a-knights-dream/Item/equip_weapon_guisarme_silk.webp</t>
  </si>
  <si>
    <t>Silk Halberd</t>
  </si>
  <si>
    <t>modules/a-knights-dream/Item/equip_weapon_halberd_silk.webp</t>
  </si>
  <si>
    <t>Silk Hand Crossbow</t>
  </si>
  <si>
    <t>modules/a-knights-dream/Item/equip_weapon_crossbow_hand_silk.webp</t>
  </si>
  <si>
    <t>Silk Hand axe</t>
  </si>
  <si>
    <t>modules/a-knights-dream/Item/equip_weapon_axe_hand_silk.webp</t>
  </si>
  <si>
    <t>Silk Heavy Crossbow</t>
  </si>
  <si>
    <t>modules/a-knights-dream/Item/equip_weapon_crossbow_heavy_silk.webp</t>
  </si>
  <si>
    <t>Silk Hunting Trap</t>
  </si>
  <si>
    <t>modules/a-knights-dream/Item/equip_weapon_trap_hunting_silk.webp</t>
  </si>
  <si>
    <t>Silk Hunting Trap (Large)</t>
  </si>
  <si>
    <t>modules/a-knights-dream/Item/equip_weapon_trap_hunting_large_silk.webp</t>
  </si>
  <si>
    <t>Silk Hunting Trap (Small)</t>
  </si>
  <si>
    <t>modules/a-knights-dream/Item/equip_weapon_trap_hunting_small_silk.webp</t>
  </si>
  <si>
    <t>Silk Javelin</t>
  </si>
  <si>
    <t>modules/a-knights-dream/Item/equip_weapon_javelin_silk.webp</t>
  </si>
  <si>
    <t>Silk Khpesh</t>
  </si>
  <si>
    <t>modules/a-knights-dream/Item/equip_weapon_khpesh_silk.webp</t>
  </si>
  <si>
    <t>Silk Khyber</t>
  </si>
  <si>
    <t>modules/a-knights-dream/Item/equip_weapon_khyber_silk.webp</t>
  </si>
  <si>
    <t>Silk Konda</t>
  </si>
  <si>
    <t>modules/a-knights-dream/Item/equip_weapon_konda_silk.webp</t>
  </si>
  <si>
    <t>Silk Labrys</t>
  </si>
  <si>
    <t>modules/a-knights-dream/Item/equip_weapon_axe_labrys_silk.webp</t>
  </si>
  <si>
    <t>Silk Lance</t>
  </si>
  <si>
    <t>modules/a-knights-dream/Item/equip_weapon_lance_silk.webp</t>
  </si>
  <si>
    <t>Silk Light Crossbow</t>
  </si>
  <si>
    <t>modules/a-knights-dream/Item/equip_weapon_crossbow_light_silk.webp</t>
  </si>
  <si>
    <t>Silk Long Bow</t>
  </si>
  <si>
    <t>modules/a-knights-dream/Item/equip_weapon_bow_long_silk.webp</t>
  </si>
  <si>
    <t>Silk Long Spear</t>
  </si>
  <si>
    <t>modules/a-knights-dream/Item/equip_weapon_spear_long_silk.webp</t>
  </si>
  <si>
    <t>Silk Lucerince Hammer</t>
  </si>
  <si>
    <t>modules/a-knights-dream/Item/equip_weapon_hammer_lucerince_silk.webp</t>
  </si>
  <si>
    <t>Silk Mace</t>
  </si>
  <si>
    <t>modules/a-knights-dream/Item/equip_weapon_mace_silk.webp</t>
  </si>
  <si>
    <t>Silk Morningstar</t>
  </si>
  <si>
    <t>modules/a-knights-dream/Item/equip_weapon_morningstar_silk.webp</t>
  </si>
  <si>
    <t>Silk Pike</t>
  </si>
  <si>
    <t>modules/a-knights-dream/Item/equip_weapon_pike_silk.webp</t>
  </si>
  <si>
    <t>Silk Quarter Staff</t>
  </si>
  <si>
    <t>modules/a-knights-dream/Item/equip_weapon_staff_quarter_silk.webp</t>
  </si>
  <si>
    <t>Silk Ranseur</t>
  </si>
  <si>
    <t>modules/a-knights-dream/Item/equip_weapon_ranseur_silk.webp</t>
  </si>
  <si>
    <t>Silk Rapier</t>
  </si>
  <si>
    <t>modules/a-knights-dream/Item/equip_weapon_rapier_silk.webp</t>
  </si>
  <si>
    <t>Silk Recurve Bow</t>
  </si>
  <si>
    <t>modules/a-knights-dream/Item/equip_weapon_bow_recurve_silk.webp</t>
  </si>
  <si>
    <t>Silk Repeater Crossbow</t>
  </si>
  <si>
    <t>modules/a-knights-dream/Item/equip_weapon_crossbow_repeater_silk.webp</t>
  </si>
  <si>
    <t>Silk Sabre</t>
  </si>
  <si>
    <t>modules/a-knights-dream/Item/equip_weapon_sabre_silk.webp</t>
  </si>
  <si>
    <t>Silk Scimitar</t>
  </si>
  <si>
    <t>modules/a-knights-dream/Item/equip_weapon_scimitar_silk.webp</t>
  </si>
  <si>
    <t>Silk Scythe</t>
  </si>
  <si>
    <t>modules/a-knights-dream/Item/equip_weapon_scythe_silk.webp</t>
  </si>
  <si>
    <t>Silk Short Bow</t>
  </si>
  <si>
    <t>modules/a-knights-dream/Item/equip_weapon_bow_short_silk.webp</t>
  </si>
  <si>
    <t>Silk Short Spear</t>
  </si>
  <si>
    <t>modules/a-knights-dream/Item/equip_weapon_spear_short_silk.webp</t>
  </si>
  <si>
    <t>Silk Short Sword</t>
  </si>
  <si>
    <t>modules/a-knights-dream/Item/equip_weapon_sword_short_silk.webp</t>
  </si>
  <si>
    <t>Silk Shotel</t>
  </si>
  <si>
    <t>modules/a-knights-dream/Item/equip_weapon_shotel_silk.webp</t>
  </si>
  <si>
    <t>Silk Sickle</t>
  </si>
  <si>
    <t>modules/a-knights-dream/Item/equip_weapon_sickle_silk.webp</t>
  </si>
  <si>
    <t>Silk Sling</t>
  </si>
  <si>
    <t>modules/a-knights-dream/Item/equip_weapon_sling_silk.webp</t>
  </si>
  <si>
    <t>Silk Staff</t>
  </si>
  <si>
    <t>modules/a-knights-dream/Item/equip_weapon_staff_silk.webp</t>
  </si>
  <si>
    <t>Silk Staff Sling</t>
  </si>
  <si>
    <t>modules/a-knights-dream/Item/equip_weapon_sling_staff_silk.webp</t>
  </si>
  <si>
    <t>Silk Sword</t>
  </si>
  <si>
    <t>modules/a-knights-dream/Item/equip_weapon_sword_silk.webp</t>
  </si>
  <si>
    <t>Silk Tapal</t>
  </si>
  <si>
    <t>modules/a-knights-dream/Item/equip_weapon_tapal_silk.webp</t>
  </si>
  <si>
    <t>Silk Trident</t>
  </si>
  <si>
    <t>modules/a-knights-dream/Item/equip_weapon_trident_silk.webp</t>
  </si>
  <si>
    <t>Silk War Hammer</t>
  </si>
  <si>
    <t>modules/a-knights-dream/Item/equip_weapon_hammer_war_silk.webp</t>
  </si>
  <si>
    <t>Silk War Pick</t>
  </si>
  <si>
    <t>modules/a-knights-dream/Item/equip_weapon_pick_war_silk.webp</t>
  </si>
  <si>
    <t>Silk Brigantine Cuirass</t>
  </si>
  <si>
    <t>modules/a-knights-dream/Item/equip_armor_brigantine_cuirass_silk.webp</t>
  </si>
  <si>
    <t>Silk Brigantine Gauntlets</t>
  </si>
  <si>
    <t>modules/a-knights-dream/Item/equip_armor_brigantine_gauntlets_silk.webp</t>
  </si>
  <si>
    <t>Silk Brigantine Greaves</t>
  </si>
  <si>
    <t>modules/a-knights-dream/Item/equip_armor_brigantine_greaves_silk.webp</t>
  </si>
  <si>
    <t>Silk Brigantine Helmet</t>
  </si>
  <si>
    <t>modules/a-knights-dream/Item/equip_armor_brigantine_helmet_silk.webp</t>
  </si>
  <si>
    <t>Silk Brigantine Pauldron</t>
  </si>
  <si>
    <t>modules/a-knights-dream/Item/equip_armor_brigantine_pauldron_silk.webp</t>
  </si>
  <si>
    <t>Silk Chainmail Cuirass</t>
  </si>
  <si>
    <t>modules/a-knights-dream/Item/equip_armor_chainmail_cuirass_silk.webp</t>
  </si>
  <si>
    <t>Silk Chainmail Gauntlets</t>
  </si>
  <si>
    <t>modules/a-knights-dream/Item/equip_armor_chainmail_gauntlets_silk.webp</t>
  </si>
  <si>
    <t>Silk Chainmail Greaves</t>
  </si>
  <si>
    <t>modules/a-knights-dream/Item/equip_armor_chainmail_greaves_silk.webp</t>
  </si>
  <si>
    <t>Silk Chainmail Helmet</t>
  </si>
  <si>
    <t>modules/a-knights-dream/Item/equip_armor_chainmail_helmet_silk.webp</t>
  </si>
  <si>
    <t>Silk Chainmail Pauldron</t>
  </si>
  <si>
    <t>modules/a-knights-dream/Item/equip_armor_chainmail_pauldron_silk.webp</t>
  </si>
  <si>
    <t>Silk Gamberson Cuirass</t>
  </si>
  <si>
    <t>modules/a-knights-dream/Item/equip_armor_gamberson_cuirass_silk.webp</t>
  </si>
  <si>
    <t>Silk Gamberson Gauntlets</t>
  </si>
  <si>
    <t>modules/a-knights-dream/Item/equip_armor_gamberson_gauntlets_silk.webp</t>
  </si>
  <si>
    <t>Silk Gamberson Greaves</t>
  </si>
  <si>
    <t>modules/a-knights-dream/Item/equip_armor_gamberson_greaves_silk.webp</t>
  </si>
  <si>
    <t>Silk Gamberson Helmet</t>
  </si>
  <si>
    <t>modules/a-knights-dream/Item/equip_armor_gamberson_helmet_silk.webp</t>
  </si>
  <si>
    <t>Silk Gamberson Pauldron</t>
  </si>
  <si>
    <t>modules/a-knights-dream/Item/equip_armor_gamberson_pauldron_silk.webp</t>
  </si>
  <si>
    <t>Silk Hauberk Cuirass</t>
  </si>
  <si>
    <t>modules/a-knights-dream/Item/equip_armor_hauberk_cuirass_silk.webp</t>
  </si>
  <si>
    <t>Silk Hauberk Gauntlets</t>
  </si>
  <si>
    <t>modules/a-knights-dream/Item/equip_armor_hauberk_gauntlets_silk.webp</t>
  </si>
  <si>
    <t>Silk Hauberk Greaves</t>
  </si>
  <si>
    <t>modules/a-knights-dream/Item/equip_armor_hauberk_greaves_silk.webp</t>
  </si>
  <si>
    <t>Silk Hauberk Helmet</t>
  </si>
  <si>
    <t>modules/a-knights-dream/Item/equip_armor_hauberk_helmet_silk.webp</t>
  </si>
  <si>
    <t>Silk Hauberk Pauldron</t>
  </si>
  <si>
    <t>modules/a-knights-dream/Item/equip_armor_hauberk_pauldron_silk.webp</t>
  </si>
  <si>
    <t>Silk Jack Cuirass</t>
  </si>
  <si>
    <t>modules/a-knights-dream/Item/equip_armor_jack_cuirass_silk.webp</t>
  </si>
  <si>
    <t>Silk Jack Gauntlets</t>
  </si>
  <si>
    <t>modules/a-knights-dream/Item/equip_armor_jack_gauntlets_silk.webp</t>
  </si>
  <si>
    <t>Silk Jack Greaves</t>
  </si>
  <si>
    <t>modules/a-knights-dream/Item/equip_armor_jack_greaves_silk.webp</t>
  </si>
  <si>
    <t>Silk Jack Helmet</t>
  </si>
  <si>
    <t>modules/a-knights-dream/Item/equip_armor_jack_helmet_silk.webp</t>
  </si>
  <si>
    <t>Silk Jack Pauldron</t>
  </si>
  <si>
    <t>modules/a-knights-dream/Item/equip_armor_jack_pauldron_silk.webp</t>
  </si>
  <si>
    <t>Silk Lamellar Cuirass</t>
  </si>
  <si>
    <t>modules/a-knights-dream/Item/equip_armor_lamellar_cuirass_silk.webp</t>
  </si>
  <si>
    <t>Silk Lamellar Gauntlets</t>
  </si>
  <si>
    <t>modules/a-knights-dream/Item/equip_armor_lamellar_gauntlets_silk.webp</t>
  </si>
  <si>
    <t>Silk Lamellar Greaves</t>
  </si>
  <si>
    <t>modules/a-knights-dream/Item/equip_armor_lamellar_greaves_silk.webp</t>
  </si>
  <si>
    <t>Silk Lamellar Helmet</t>
  </si>
  <si>
    <t>modules/a-knights-dream/Item/equip_armor_lamellar_helmet_silk.webp</t>
  </si>
  <si>
    <t>Silk Lamellar Pauldron</t>
  </si>
  <si>
    <t>modules/a-knights-dream/Item/equip_armor_lamellar_pauldron_silk.webp</t>
  </si>
  <si>
    <t>Silk Platemail Cuirass</t>
  </si>
  <si>
    <t>modules/a-knights-dream/Item/equip_armor_platemail_cuirass_silk.webp</t>
  </si>
  <si>
    <t>Silk Platemail Gauntlets</t>
  </si>
  <si>
    <t>modules/a-knights-dream/Item/equip_armor_platemail_gauntlets_silk.webp</t>
  </si>
  <si>
    <t>Silk Platemail Greaves</t>
  </si>
  <si>
    <t>modules/a-knights-dream/Item/equip_armor_platemail_greaves_silk.webp</t>
  </si>
  <si>
    <t>Silk Platemail Helmet</t>
  </si>
  <si>
    <t>modules/a-knights-dream/Item/equip_armor_platemail_helmet_silk.webp</t>
  </si>
  <si>
    <t>Silk Platemail Pauldron</t>
  </si>
  <si>
    <t>modules/a-knights-dream/Item/equip_armor_platemail_pauldron_silk.webp</t>
  </si>
  <si>
    <t>Silk Tunic Cuirass</t>
  </si>
  <si>
    <t>modules/a-knights-dream/Item/equip_armor_tunic_cuirass_silk.webp</t>
  </si>
  <si>
    <t>Silk Tunic Gauntlets</t>
  </si>
  <si>
    <t>modules/a-knights-dream/Item/equip_armor_tunic_gauntlets_silk.webp</t>
  </si>
  <si>
    <t>Silk Tunic Greaves</t>
  </si>
  <si>
    <t>modules/a-knights-dream/Item/equip_armor_tunic_greaves_silk.webp</t>
  </si>
  <si>
    <t>Silk Tunic Helmet</t>
  </si>
  <si>
    <t>modules/a-knights-dream/Item/equip_armor_tunic_helmet_silk.webp</t>
  </si>
  <si>
    <t>Silk Tunic Pauldron</t>
  </si>
  <si>
    <t>modules/a-knights-dream/Item/equip_armor_tunic_pauldron_silk.webp</t>
  </si>
  <si>
    <t>Silk Buckler Shield</t>
  </si>
  <si>
    <t>modules/a-knights-dream/Item/equip_armor_shield_buckler_silk.webp</t>
  </si>
  <si>
    <t>Silk Heater Shield</t>
  </si>
  <si>
    <t>modules/a-knights-dream/Item/equip_armor_shield_heater_silk.webp</t>
  </si>
  <si>
    <t>Silk Kite Shield</t>
  </si>
  <si>
    <t>modules/a-knights-dream/Item/equip_armor_shield_kite_silk.webp</t>
  </si>
  <si>
    <t>Silk Oval Shield</t>
  </si>
  <si>
    <t>modules/a-knights-dream/Item/equip_armor_shield_oval_silk.webp</t>
  </si>
  <si>
    <t>Silk Round Shield</t>
  </si>
  <si>
    <t>modules/a-knights-dream/Item/equip_armor_shield_round_silk.webp</t>
  </si>
  <si>
    <t>Silk Tower Shield</t>
  </si>
  <si>
    <t>modules/a-knights-dream/Item/equip_armor_shield_tower_silk.webp</t>
  </si>
  <si>
    <t>Susalian</t>
  </si>
  <si>
    <t>Susalian Ball Bearings</t>
  </si>
  <si>
    <t>modules/a-knights-dream/Item/equip_weapon_bearings_susalian.webp</t>
  </si>
  <si>
    <t>Susalian Bardiche</t>
  </si>
  <si>
    <t>modules/a-knights-dream/Item/equip_weapon_bardiche_susalian.webp</t>
  </si>
  <si>
    <t>Susalian Bastard Sword</t>
  </si>
  <si>
    <t>modules/a-knights-dream/Item/equip_weapon_sword_bastard_susalian.webp</t>
  </si>
  <si>
    <t>Susalian Battle Axe</t>
  </si>
  <si>
    <t>modules/a-knights-dream/Item/equip_weapon_axe_battle_susalian.webp</t>
  </si>
  <si>
    <t>Susalian Blowgun</t>
  </si>
  <si>
    <t>modules/a-knights-dream/Item/equip_weapon_blowgun_susalian.webp</t>
  </si>
  <si>
    <t>Susalian Bolt</t>
  </si>
  <si>
    <t>modules/a-knights-dream/Item/equip_weapon_bolt_susalian.webp</t>
  </si>
  <si>
    <t>Susalian Boomerang</t>
  </si>
  <si>
    <t>modules/a-knights-dream/Item/equip_weapon_boomerang_susalian.webp</t>
  </si>
  <si>
    <t>Susalian Bow</t>
  </si>
  <si>
    <t>modules/a-knights-dream/Item/equip_weapon_bow_susalian.webp</t>
  </si>
  <si>
    <t>Susalian Caltrops</t>
  </si>
  <si>
    <t>modules/a-knights-dream/Item/equip_weapon_caltrops_susalian.webp</t>
  </si>
  <si>
    <t>Susalian Cestus</t>
  </si>
  <si>
    <t>modules/a-knights-dream/Item/equip_weapon_cestus_susalian.webp</t>
  </si>
  <si>
    <t>Susalian Chain</t>
  </si>
  <si>
    <t>modules/a-knights-dream/Item/equip_weapon_chain_susalian.webp</t>
  </si>
  <si>
    <t>Susalian Claymore</t>
  </si>
  <si>
    <t>modules/a-knights-dream/Item/equip_weapon_claymore_susalian.webp</t>
  </si>
  <si>
    <t>Susalian Club</t>
  </si>
  <si>
    <t>modules/a-knights-dream/Item/equip_weapon_club_susalian.webp</t>
  </si>
  <si>
    <t>Susalian Compound Bow</t>
  </si>
  <si>
    <t>modules/a-knights-dream/Item/equip_weapon_bow_compound_susalian.webp</t>
  </si>
  <si>
    <t>Susalian Cutlass</t>
  </si>
  <si>
    <t>modules/a-knights-dream/Item/equip_weapon_cutlass_susalian.webp</t>
  </si>
  <si>
    <t>Susalian Dagger</t>
  </si>
  <si>
    <t>modules/a-knights-dream/Item/equip_weapon_dagger_susalian.webp</t>
  </si>
  <si>
    <t>Susalian Dart</t>
  </si>
  <si>
    <t>modules/a-knights-dream/Item/equip_weapon_dart_susalian.webp</t>
  </si>
  <si>
    <t>Susalian Fauchard Scythe</t>
  </si>
  <si>
    <t>modules/a-knights-dream/Item/equip_weapon_scythe_fauchard_susalian.webp</t>
  </si>
  <si>
    <t>Susalian Flail</t>
  </si>
  <si>
    <t>modules/a-knights-dream/Item/equip_weapon_flail_susalian.webp</t>
  </si>
  <si>
    <t>Susalian Glaive</t>
  </si>
  <si>
    <t>modules/a-knights-dream/Item/equip_weapon_glaive_susalian.webp</t>
  </si>
  <si>
    <t>Susalian Grapple Hook</t>
  </si>
  <si>
    <t>modules/a-knights-dream/Item/equip_weapon_hook_grapple_susalian.webp</t>
  </si>
  <si>
    <t>Susalian Great Axe</t>
  </si>
  <si>
    <t>modules/a-knights-dream/Item/equip_weapon_axe_great_susalian.webp</t>
  </si>
  <si>
    <t>Susalian Great Club</t>
  </si>
  <si>
    <t>modules/a-knights-dream/Item/equip_weapon_club_great_susalian.webp</t>
  </si>
  <si>
    <t>Susalian Great Khyber</t>
  </si>
  <si>
    <t>modules/a-knights-dream/Item/equip_weapon_khyber_great_susalian.webp</t>
  </si>
  <si>
    <t>Susalian Great Konda</t>
  </si>
  <si>
    <t>modules/a-knights-dream/Item/equip_weapon_konda_great_susalian.webp</t>
  </si>
  <si>
    <t>Susalian Great Labrys</t>
  </si>
  <si>
    <t>modules/a-knights-dream/Item/equip_weapon_axe_labrys_great_susalian.webp</t>
  </si>
  <si>
    <t>Susalian Great Mace</t>
  </si>
  <si>
    <t>modules/a-knights-dream/Item/equip_weapon_mace_great_susalian.webp</t>
  </si>
  <si>
    <t>Susalian Great Tapal</t>
  </si>
  <si>
    <t>modules/a-knights-dream/Item/equip_weapon_tapal_great_susalian.webp</t>
  </si>
  <si>
    <t>Susalian Great War Bow</t>
  </si>
  <si>
    <t>modules/a-knights-dream/Item/equip_weapon_bow_war_great_susalian.webp</t>
  </si>
  <si>
    <t>Susalian Great War Hammer</t>
  </si>
  <si>
    <t>modules/a-knights-dream/Item/equip_weapon_hammer_war_great_susalian.webp</t>
  </si>
  <si>
    <t>Susalian Great War Pick</t>
  </si>
  <si>
    <t>modules/a-knights-dream/Item/equip_weapon_pick_war_great_susalian.webp</t>
  </si>
  <si>
    <t>Susalian Guisarme</t>
  </si>
  <si>
    <t>modules/a-knights-dream/Item/equip_weapon_guisarme_susalian.webp</t>
  </si>
  <si>
    <t>Susalian Halberd</t>
  </si>
  <si>
    <t>modules/a-knights-dream/Item/equip_weapon_halberd_susalian.webp</t>
  </si>
  <si>
    <t>Susalian Hand Crossbow</t>
  </si>
  <si>
    <t>modules/a-knights-dream/Item/equip_weapon_crossbow_hand_susalian.webp</t>
  </si>
  <si>
    <t>Susalian Hand axe</t>
  </si>
  <si>
    <t>modules/a-knights-dream/Item/equip_weapon_axe_hand_susalian.webp</t>
  </si>
  <si>
    <t>Susalian Heavy Crossbow</t>
  </si>
  <si>
    <t>modules/a-knights-dream/Item/equip_weapon_crossbow_heavy_susalian.webp</t>
  </si>
  <si>
    <t>Susalian Hunting Trap</t>
  </si>
  <si>
    <t>modules/a-knights-dream/Item/equip_weapon_trap_hunting_susalian.webp</t>
  </si>
  <si>
    <t>Susalian Hunting Trap (Large)</t>
  </si>
  <si>
    <t>modules/a-knights-dream/Item/equip_weapon_trap_hunting_large_susalian.webp</t>
  </si>
  <si>
    <t>Susalian Hunting Trap (Small)</t>
  </si>
  <si>
    <t>modules/a-knights-dream/Item/equip_weapon_trap_hunting_small_susalian.webp</t>
  </si>
  <si>
    <t>Susalian Javelin</t>
  </si>
  <si>
    <t>modules/a-knights-dream/Item/equip_weapon_javelin_susalian.webp</t>
  </si>
  <si>
    <t>Susalian Khpesh</t>
  </si>
  <si>
    <t>modules/a-knights-dream/Item/equip_weapon_khpesh_susalian.webp</t>
  </si>
  <si>
    <t>Susalian Khyber</t>
  </si>
  <si>
    <t>modules/a-knights-dream/Item/equip_weapon_khyber_susalian.webp</t>
  </si>
  <si>
    <t>Susalian Konda</t>
  </si>
  <si>
    <t>modules/a-knights-dream/Item/equip_weapon_konda_susalian.webp</t>
  </si>
  <si>
    <t>Susalian Labrys</t>
  </si>
  <si>
    <t>modules/a-knights-dream/Item/equip_weapon_axe_labrys_susalian.webp</t>
  </si>
  <si>
    <t>Susalian Lance</t>
  </si>
  <si>
    <t>modules/a-knights-dream/Item/equip_weapon_lance_susalian.webp</t>
  </si>
  <si>
    <t>Susalian Light Crossbow</t>
  </si>
  <si>
    <t>modules/a-knights-dream/Item/equip_weapon_crossbow_light_susalian.webp</t>
  </si>
  <si>
    <t>Susalian Long Bow</t>
  </si>
  <si>
    <t>modules/a-knights-dream/Item/equip_weapon_bow_long_susalian.webp</t>
  </si>
  <si>
    <t>Susalian Long Spear</t>
  </si>
  <si>
    <t>modules/a-knights-dream/Item/equip_weapon_spear_long_susalian.webp</t>
  </si>
  <si>
    <t>Susalian Lucerince Hammer</t>
  </si>
  <si>
    <t>modules/a-knights-dream/Item/equip_weapon_hammer_lucerince_susalian.webp</t>
  </si>
  <si>
    <t>Susalian Mace</t>
  </si>
  <si>
    <t>modules/a-knights-dream/Item/equip_weapon_mace_susalian.webp</t>
  </si>
  <si>
    <t>Susalian Morningstar</t>
  </si>
  <si>
    <t>modules/a-knights-dream/Item/equip_weapon_morningstar_susalian.webp</t>
  </si>
  <si>
    <t>Susalian Pike</t>
  </si>
  <si>
    <t>modules/a-knights-dream/Item/equip_weapon_pike_susalian.webp</t>
  </si>
  <si>
    <t>Susalian Quarter Staff</t>
  </si>
  <si>
    <t>modules/a-knights-dream/Item/equip_weapon_staff_quarter_susalian.webp</t>
  </si>
  <si>
    <t>Susalian Ranseur</t>
  </si>
  <si>
    <t>modules/a-knights-dream/Item/equip_weapon_ranseur_susalian.webp</t>
  </si>
  <si>
    <t>Susalian Rapier</t>
  </si>
  <si>
    <t>modules/a-knights-dream/Item/equip_weapon_rapier_susalian.webp</t>
  </si>
  <si>
    <t>Susalian Recurve Bow</t>
  </si>
  <si>
    <t>modules/a-knights-dream/Item/equip_weapon_bow_recurve_susalian.webp</t>
  </si>
  <si>
    <t>Susalian Repeater Crossbow</t>
  </si>
  <si>
    <t>modules/a-knights-dream/Item/equip_weapon_crossbow_repeater_susalian.webp</t>
  </si>
  <si>
    <t>Susalian Sabre</t>
  </si>
  <si>
    <t>modules/a-knights-dream/Item/equip_weapon_sabre_susalian.webp</t>
  </si>
  <si>
    <t>Susalian Scimitar</t>
  </si>
  <si>
    <t>modules/a-knights-dream/Item/equip_weapon_scimitar_susalian.webp</t>
  </si>
  <si>
    <t>Susalian Scythe</t>
  </si>
  <si>
    <t>modules/a-knights-dream/Item/equip_weapon_scythe_susalian.webp</t>
  </si>
  <si>
    <t>Susalian Short Bow</t>
  </si>
  <si>
    <t>modules/a-knights-dream/Item/equip_weapon_bow_short_susalian.webp</t>
  </si>
  <si>
    <t>Susalian Short Spear</t>
  </si>
  <si>
    <t>modules/a-knights-dream/Item/equip_weapon_spear_short_susalian.webp</t>
  </si>
  <si>
    <t>Susalian Short Sword</t>
  </si>
  <si>
    <t>modules/a-knights-dream/Item/equip_weapon_sword_short_susalian.webp</t>
  </si>
  <si>
    <t>Susalian Shotel</t>
  </si>
  <si>
    <t>modules/a-knights-dream/Item/equip_weapon_shotel_susalian.webp</t>
  </si>
  <si>
    <t>Susalian Sickle</t>
  </si>
  <si>
    <t>modules/a-knights-dream/Item/equip_weapon_sickle_susalian.webp</t>
  </si>
  <si>
    <t>Susalian Sling</t>
  </si>
  <si>
    <t>modules/a-knights-dream/Item/equip_weapon_sling_susalian.webp</t>
  </si>
  <si>
    <t>Susalian Staff</t>
  </si>
  <si>
    <t>modules/a-knights-dream/Item/equip_weapon_staff_susalian.webp</t>
  </si>
  <si>
    <t>Susalian Staff Sling</t>
  </si>
  <si>
    <t>modules/a-knights-dream/Item/equip_weapon_sling_staff_susalian.webp</t>
  </si>
  <si>
    <t>Susalian Sword</t>
  </si>
  <si>
    <t>modules/a-knights-dream/Item/equip_weapon_sword_susalian.webp</t>
  </si>
  <si>
    <t>Susalian Tapal</t>
  </si>
  <si>
    <t>modules/a-knights-dream/Item/equip_weapon_tapal_susalian.webp</t>
  </si>
  <si>
    <t>Susalian Trident</t>
  </si>
  <si>
    <t>modules/a-knights-dream/Item/equip_weapon_trident_susalian.webp</t>
  </si>
  <si>
    <t>Susalian War Hammer</t>
  </si>
  <si>
    <t>modules/a-knights-dream/Item/equip_weapon_hammer_war_susalian.webp</t>
  </si>
  <si>
    <t>Susalian War Pick</t>
  </si>
  <si>
    <t>modules/a-knights-dream/Item/equip_weapon_pick_war_susalian.webp</t>
  </si>
  <si>
    <t>Susalian Brigantine Cuirass</t>
  </si>
  <si>
    <t>modules/a-knights-dream/Item/equip_armor_brigantine_cuirass_susalian.webp</t>
  </si>
  <si>
    <t>Susalian Brigantine Gauntlets</t>
  </si>
  <si>
    <t>modules/a-knights-dream/Item/equip_armor_brigantine_gauntlets_susalian.webp</t>
  </si>
  <si>
    <t>Susalian Brigantine Greaves</t>
  </si>
  <si>
    <t>modules/a-knights-dream/Item/equip_armor_brigantine_greaves_susalian.webp</t>
  </si>
  <si>
    <t>Susalian Brigantine Helmet</t>
  </si>
  <si>
    <t>modules/a-knights-dream/Item/equip_armor_brigantine_helmet_susalian.webp</t>
  </si>
  <si>
    <t>Susalian Brigantine Pauldron</t>
  </si>
  <si>
    <t>modules/a-knights-dream/Item/equip_armor_brigantine_pauldron_susalian.webp</t>
  </si>
  <si>
    <t>Susalian Chainmail Cuirass</t>
  </si>
  <si>
    <t>modules/a-knights-dream/Item/equip_armor_chainmail_cuirass_susalian.webp</t>
  </si>
  <si>
    <t>Susalian Chainmail Gauntlets</t>
  </si>
  <si>
    <t>modules/a-knights-dream/Item/equip_armor_chainmail_gauntlets_susalian.webp</t>
  </si>
  <si>
    <t>Susalian Chainmail Greaves</t>
  </si>
  <si>
    <t>modules/a-knights-dream/Item/equip_armor_chainmail_greaves_susalian.webp</t>
  </si>
  <si>
    <t>Susalian Chainmail Helmet</t>
  </si>
  <si>
    <t>modules/a-knights-dream/Item/equip_armor_chainmail_helmet_susalian.webp</t>
  </si>
  <si>
    <t>Susalian Chainmail Pauldron</t>
  </si>
  <si>
    <t>modules/a-knights-dream/Item/equip_armor_chainmail_pauldron_susalian.webp</t>
  </si>
  <si>
    <t>Susalian Gamberson Cuirass</t>
  </si>
  <si>
    <t>modules/a-knights-dream/Item/equip_armor_gamberson_cuirass_susalian.webp</t>
  </si>
  <si>
    <t>Susalian Gamberson Gauntlets</t>
  </si>
  <si>
    <t>modules/a-knights-dream/Item/equip_armor_gamberson_gauntlets_susalian.webp</t>
  </si>
  <si>
    <t>Susalian Gamberson Greaves</t>
  </si>
  <si>
    <t>modules/a-knights-dream/Item/equip_armor_gamberson_greaves_susalian.webp</t>
  </si>
  <si>
    <t>Susalian Gamberson Helmet</t>
  </si>
  <si>
    <t>modules/a-knights-dream/Item/equip_armor_gamberson_helmet_susalian.webp</t>
  </si>
  <si>
    <t>Susalian Gamberson Pauldron</t>
  </si>
  <si>
    <t>modules/a-knights-dream/Item/equip_armor_gamberson_pauldron_susalian.webp</t>
  </si>
  <si>
    <t>Susalian Hauberk Cuirass</t>
  </si>
  <si>
    <t>modules/a-knights-dream/Item/equip_armor_hauberk_cuirass_susalian.webp</t>
  </si>
  <si>
    <t>Susalian Hauberk Gauntlets</t>
  </si>
  <si>
    <t>modules/a-knights-dream/Item/equip_armor_hauberk_gauntlets_susalian.webp</t>
  </si>
  <si>
    <t>Susalian Hauberk Greaves</t>
  </si>
  <si>
    <t>modules/a-knights-dream/Item/equip_armor_hauberk_greaves_susalian.webp</t>
  </si>
  <si>
    <t>Susalian Hauberk Helmet</t>
  </si>
  <si>
    <t>modules/a-knights-dream/Item/equip_armor_hauberk_helmet_susalian.webp</t>
  </si>
  <si>
    <t>Susalian Hauberk Pauldron</t>
  </si>
  <si>
    <t>modules/a-knights-dream/Item/equip_armor_hauberk_pauldron_susalian.webp</t>
  </si>
  <si>
    <t>Susalian Jack Cuirass</t>
  </si>
  <si>
    <t>modules/a-knights-dream/Item/equip_armor_jack_cuirass_susalian.webp</t>
  </si>
  <si>
    <t>Susalian Jack Gauntlets</t>
  </si>
  <si>
    <t>modules/a-knights-dream/Item/equip_armor_jack_gauntlets_susalian.webp</t>
  </si>
  <si>
    <t>Susalian Jack Greaves</t>
  </si>
  <si>
    <t>modules/a-knights-dream/Item/equip_armor_jack_greaves_susalian.webp</t>
  </si>
  <si>
    <t>Susalian Jack Helmet</t>
  </si>
  <si>
    <t>modules/a-knights-dream/Item/equip_armor_jack_helmet_susalian.webp</t>
  </si>
  <si>
    <t>Susalian Jack Pauldron</t>
  </si>
  <si>
    <t>modules/a-knights-dream/Item/equip_armor_jack_pauldron_susalian.webp</t>
  </si>
  <si>
    <t>Susalian Lamellar Cuirass</t>
  </si>
  <si>
    <t>modules/a-knights-dream/Item/equip_armor_lamellar_cuirass_susalian.webp</t>
  </si>
  <si>
    <t>Susalian Lamellar Gauntlets</t>
  </si>
  <si>
    <t>modules/a-knights-dream/Item/equip_armor_lamellar_gauntlets_susalian.webp</t>
  </si>
  <si>
    <t>Susalian Lamellar Greaves</t>
  </si>
  <si>
    <t>modules/a-knights-dream/Item/equip_armor_lamellar_greaves_susalian.webp</t>
  </si>
  <si>
    <t>Susalian Lamellar Helmet</t>
  </si>
  <si>
    <t>modules/a-knights-dream/Item/equip_armor_lamellar_helmet_susalian.webp</t>
  </si>
  <si>
    <t>Susalian Lamellar Pauldron</t>
  </si>
  <si>
    <t>modules/a-knights-dream/Item/equip_armor_lamellar_pauldron_susalian.webp</t>
  </si>
  <si>
    <t>Susalian Platemail Cuirass</t>
  </si>
  <si>
    <t>modules/a-knights-dream/Item/equip_armor_platemail_cuirass_susalian.webp</t>
  </si>
  <si>
    <t>Susalian Platemail Gauntlets</t>
  </si>
  <si>
    <t>modules/a-knights-dream/Item/equip_armor_platemail_gauntlets_susalian.webp</t>
  </si>
  <si>
    <t>Susalian Platemail Greaves</t>
  </si>
  <si>
    <t>modules/a-knights-dream/Item/equip_armor_platemail_greaves_susalian.webp</t>
  </si>
  <si>
    <t>Susalian Platemail Helmet</t>
  </si>
  <si>
    <t>modules/a-knights-dream/Item/equip_armor_platemail_helmet_susalian.webp</t>
  </si>
  <si>
    <t>Susalian Platemail Pauldron</t>
  </si>
  <si>
    <t>modules/a-knights-dream/Item/equip_armor_platemail_pauldron_susalian.webp</t>
  </si>
  <si>
    <t>Susalian Tunic Cuirass</t>
  </si>
  <si>
    <t>modules/a-knights-dream/Item/equip_armor_tunic_cuirass_susalian.webp</t>
  </si>
  <si>
    <t>Susalian Tunic Gauntlets</t>
  </si>
  <si>
    <t>modules/a-knights-dream/Item/equip_armor_tunic_gauntlets_susalian.webp</t>
  </si>
  <si>
    <t>Susalian Tunic Greaves</t>
  </si>
  <si>
    <t>modules/a-knights-dream/Item/equip_armor_tunic_greaves_susalian.webp</t>
  </si>
  <si>
    <t>Susalian Tunic Helmet</t>
  </si>
  <si>
    <t>modules/a-knights-dream/Item/equip_armor_tunic_helmet_susalian.webp</t>
  </si>
  <si>
    <t>Susalian Tunic Pauldron</t>
  </si>
  <si>
    <t>modules/a-knights-dream/Item/equip_armor_tunic_pauldron_susalian.webp</t>
  </si>
  <si>
    <t>Susalian Buckler Shield</t>
  </si>
  <si>
    <t>modules/a-knights-dream/Item/equip_armor_shield_buckler_susalian.webp</t>
  </si>
  <si>
    <t>Susalian Heater Shield</t>
  </si>
  <si>
    <t>modules/a-knights-dream/Item/equip_armor_shield_heater_susalian.webp</t>
  </si>
  <si>
    <t>Susalian Kite Shield</t>
  </si>
  <si>
    <t>modules/a-knights-dream/Item/equip_armor_shield_kite_susalian.webp</t>
  </si>
  <si>
    <t>Susalian Oval Shield</t>
  </si>
  <si>
    <t>modules/a-knights-dream/Item/equip_armor_shield_oval_susalian.webp</t>
  </si>
  <si>
    <t>Susalian Round Shield</t>
  </si>
  <si>
    <t>modules/a-knights-dream/Item/equip_armor_shield_round_susalian.webp</t>
  </si>
  <si>
    <t>Susalian Tower Shield</t>
  </si>
  <si>
    <t>modules/a-knights-dream/Item/equip_armor_shield_tower_susalian.webp</t>
  </si>
  <si>
    <t>Thistledown</t>
  </si>
  <si>
    <t>Thistledown Ball Bearings</t>
  </si>
  <si>
    <t>modules/a-knights-dream/Item/equip_weapon_bearings_thistledown.webp</t>
  </si>
  <si>
    <t>Thistledown Bardiche</t>
  </si>
  <si>
    <t>modules/a-knights-dream/Item/equip_weapon_bardiche_thistledown.webp</t>
  </si>
  <si>
    <t>Thistledown Bastard Sword</t>
  </si>
  <si>
    <t>modules/a-knights-dream/Item/equip_weapon_sword_bastard_thistledown.webp</t>
  </si>
  <si>
    <t>Thistledown Battle Axe</t>
  </si>
  <si>
    <t>modules/a-knights-dream/Item/equip_weapon_axe_battle_thistledown.webp</t>
  </si>
  <si>
    <t>Thistledown Blowgun</t>
  </si>
  <si>
    <t>modules/a-knights-dream/Item/equip_weapon_blowgun_thistledown.webp</t>
  </si>
  <si>
    <t>Thistledown Bolt</t>
  </si>
  <si>
    <t>modules/a-knights-dream/Item/equip_weapon_bolt_thistledown.webp</t>
  </si>
  <si>
    <t>Thistledown Boomerang</t>
  </si>
  <si>
    <t>modules/a-knights-dream/Item/equip_weapon_boomerang_thistledown.webp</t>
  </si>
  <si>
    <t>Thistledown Bow</t>
  </si>
  <si>
    <t>modules/a-knights-dream/Item/equip_weapon_bow_thistledown.webp</t>
  </si>
  <si>
    <t>Thistledown Caltrops</t>
  </si>
  <si>
    <t>modules/a-knights-dream/Item/equip_weapon_caltrops_thistledown.webp</t>
  </si>
  <si>
    <t>Thistledown Cestus</t>
  </si>
  <si>
    <t>modules/a-knights-dream/Item/equip_weapon_cestus_thistledown.webp</t>
  </si>
  <si>
    <t>Thistledown Chain</t>
  </si>
  <si>
    <t>modules/a-knights-dream/Item/equip_weapon_chain_thistledown.webp</t>
  </si>
  <si>
    <t>Thistledown Claymore</t>
  </si>
  <si>
    <t>modules/a-knights-dream/Item/equip_weapon_claymore_thistledown.webp</t>
  </si>
  <si>
    <t>Thistledown Club</t>
  </si>
  <si>
    <t>modules/a-knights-dream/Item/equip_weapon_club_thistledown.webp</t>
  </si>
  <si>
    <t>Thistledown Compound Bow</t>
  </si>
  <si>
    <t>modules/a-knights-dream/Item/equip_weapon_bow_compound_thistledown.webp</t>
  </si>
  <si>
    <t>Thistledown Cutlass</t>
  </si>
  <si>
    <t>modules/a-knights-dream/Item/equip_weapon_cutlass_thistledown.webp</t>
  </si>
  <si>
    <t>Thistledown Dagger</t>
  </si>
  <si>
    <t>modules/a-knights-dream/Item/equip_weapon_dagger_thistledown.webp</t>
  </si>
  <si>
    <t>Thistledown Dart</t>
  </si>
  <si>
    <t>modules/a-knights-dream/Item/equip_weapon_dart_thistledown.webp</t>
  </si>
  <si>
    <t>Thistledown Fauchard Scythe</t>
  </si>
  <si>
    <t>modules/a-knights-dream/Item/equip_weapon_scythe_fauchard_thistledown.webp</t>
  </si>
  <si>
    <t>Thistledown Flail</t>
  </si>
  <si>
    <t>modules/a-knights-dream/Item/equip_weapon_flail_thistledown.webp</t>
  </si>
  <si>
    <t>Thistledown Glaive</t>
  </si>
  <si>
    <t>modules/a-knights-dream/Item/equip_weapon_glaive_thistledown.webp</t>
  </si>
  <si>
    <t>Thistledown Grapple Hook</t>
  </si>
  <si>
    <t>modules/a-knights-dream/Item/equip_weapon_hook_grapple_thistledown.webp</t>
  </si>
  <si>
    <t>Thistledown Great Axe</t>
  </si>
  <si>
    <t>modules/a-knights-dream/Item/equip_weapon_axe_great_thistledown.webp</t>
  </si>
  <si>
    <t>Thistledown Great Club</t>
  </si>
  <si>
    <t>modules/a-knights-dream/Item/equip_weapon_club_great_thistledown.webp</t>
  </si>
  <si>
    <t>Thistledown Great Khyber</t>
  </si>
  <si>
    <t>modules/a-knights-dream/Item/equip_weapon_khyber_great_thistledown.webp</t>
  </si>
  <si>
    <t>Thistledown Great Konda</t>
  </si>
  <si>
    <t>modules/a-knights-dream/Item/equip_weapon_konda_great_thistledown.webp</t>
  </si>
  <si>
    <t>Thistledown Great Labrys</t>
  </si>
  <si>
    <t>modules/a-knights-dream/Item/equip_weapon_axe_labrys_great_thistledown.webp</t>
  </si>
  <si>
    <t>Thistledown Great Mace</t>
  </si>
  <si>
    <t>modules/a-knights-dream/Item/equip_weapon_mace_great_thistledown.webp</t>
  </si>
  <si>
    <t>Thistledown Great Tapal</t>
  </si>
  <si>
    <t>modules/a-knights-dream/Item/equip_weapon_tapal_great_thistledown.webp</t>
  </si>
  <si>
    <t>Thistledown Great War Bow</t>
  </si>
  <si>
    <t>modules/a-knights-dream/Item/equip_weapon_bow_war_great_thistledown.webp</t>
  </si>
  <si>
    <t>Thistledown Great War Hammer</t>
  </si>
  <si>
    <t>modules/a-knights-dream/Item/equip_weapon_hammer_war_great_thistledown.webp</t>
  </si>
  <si>
    <t>Thistledown Great War Pick</t>
  </si>
  <si>
    <t>modules/a-knights-dream/Item/equip_weapon_pick_war_great_thistledown.webp</t>
  </si>
  <si>
    <t>Thistledown Guisarme</t>
  </si>
  <si>
    <t>modules/a-knights-dream/Item/equip_weapon_guisarme_thistledown.webp</t>
  </si>
  <si>
    <t>Thistledown Halberd</t>
  </si>
  <si>
    <t>modules/a-knights-dream/Item/equip_weapon_halberd_thistledown.webp</t>
  </si>
  <si>
    <t>Thistledown Hand Crossbow</t>
  </si>
  <si>
    <t>modules/a-knights-dream/Item/equip_weapon_crossbow_hand_thistledown.webp</t>
  </si>
  <si>
    <t>Thistledown Hand axe</t>
  </si>
  <si>
    <t>modules/a-knights-dream/Item/equip_weapon_axe_hand_thistledown.webp</t>
  </si>
  <si>
    <t>Thistledown Heavy Crossbow</t>
  </si>
  <si>
    <t>modules/a-knights-dream/Item/equip_weapon_crossbow_heavy_thistledown.webp</t>
  </si>
  <si>
    <t>Thistledown Hunting Trap</t>
  </si>
  <si>
    <t>modules/a-knights-dream/Item/equip_weapon_trap_hunting_thistledown.webp</t>
  </si>
  <si>
    <t>Thistledown Hunting Trap (Large)</t>
  </si>
  <si>
    <t>modules/a-knights-dream/Item/equip_weapon_trap_hunting_large_thistledown.webp</t>
  </si>
  <si>
    <t>Thistledown Hunting Trap (Small)</t>
  </si>
  <si>
    <t>modules/a-knights-dream/Item/equip_weapon_trap_hunting_small_thistledown.webp</t>
  </si>
  <si>
    <t>Thistledown Javelin</t>
  </si>
  <si>
    <t>modules/a-knights-dream/Item/equip_weapon_javelin_thistledown.webp</t>
  </si>
  <si>
    <t>Thistledown Khpesh</t>
  </si>
  <si>
    <t>modules/a-knights-dream/Item/equip_weapon_khpesh_thistledown.webp</t>
  </si>
  <si>
    <t>Thistledown Khyber</t>
  </si>
  <si>
    <t>modules/a-knights-dream/Item/equip_weapon_khyber_thistledown.webp</t>
  </si>
  <si>
    <t>Thistledown Konda</t>
  </si>
  <si>
    <t>modules/a-knights-dream/Item/equip_weapon_konda_thistledown.webp</t>
  </si>
  <si>
    <t>Thistledown Labrys</t>
  </si>
  <si>
    <t>modules/a-knights-dream/Item/equip_weapon_axe_labrys_thistledown.webp</t>
  </si>
  <si>
    <t>Thistledown Lance</t>
  </si>
  <si>
    <t>modules/a-knights-dream/Item/equip_weapon_lance_thistledown.webp</t>
  </si>
  <si>
    <t>Thistledown Light Crossbow</t>
  </si>
  <si>
    <t>modules/a-knights-dream/Item/equip_weapon_crossbow_light_thistledown.webp</t>
  </si>
  <si>
    <t>Thistledown Long Bow</t>
  </si>
  <si>
    <t>modules/a-knights-dream/Item/equip_weapon_bow_long_thistledown.webp</t>
  </si>
  <si>
    <t>Thistledown Long Spear</t>
  </si>
  <si>
    <t>modules/a-knights-dream/Item/equip_weapon_spear_long_thistledown.webp</t>
  </si>
  <si>
    <t>Thistledown Lucerince Hammer</t>
  </si>
  <si>
    <t>modules/a-knights-dream/Item/equip_weapon_hammer_lucerince_thistledown.webp</t>
  </si>
  <si>
    <t>Thistledown Mace</t>
  </si>
  <si>
    <t>modules/a-knights-dream/Item/equip_weapon_mace_thistledown.webp</t>
  </si>
  <si>
    <t>Thistledown Morningstar</t>
  </si>
  <si>
    <t>modules/a-knights-dream/Item/equip_weapon_morningstar_thistledown.webp</t>
  </si>
  <si>
    <t>Thistledown Pike</t>
  </si>
  <si>
    <t>modules/a-knights-dream/Item/equip_weapon_pike_thistledown.webp</t>
  </si>
  <si>
    <t>Thistledown Quarter Staff</t>
  </si>
  <si>
    <t>modules/a-knights-dream/Item/equip_weapon_staff_quarter_thistledown.webp</t>
  </si>
  <si>
    <t>Thistledown Ranseur</t>
  </si>
  <si>
    <t>modules/a-knights-dream/Item/equip_weapon_ranseur_thistledown.webp</t>
  </si>
  <si>
    <t>Thistledown Rapier</t>
  </si>
  <si>
    <t>modules/a-knights-dream/Item/equip_weapon_rapier_thistledown.webp</t>
  </si>
  <si>
    <t>Thistledown Recurve Bow</t>
  </si>
  <si>
    <t>modules/a-knights-dream/Item/equip_weapon_bow_recurve_thistledown.webp</t>
  </si>
  <si>
    <t>Thistledown Repeater Crossbow</t>
  </si>
  <si>
    <t>modules/a-knights-dream/Item/equip_weapon_crossbow_repeater_thistledown.webp</t>
  </si>
  <si>
    <t>Thistledown Sabre</t>
  </si>
  <si>
    <t>modules/a-knights-dream/Item/equip_weapon_sabre_thistledown.webp</t>
  </si>
  <si>
    <t>Thistledown Scimitar</t>
  </si>
  <si>
    <t>modules/a-knights-dream/Item/equip_weapon_scimitar_thistledown.webp</t>
  </si>
  <si>
    <t>Thistledown Scythe</t>
  </si>
  <si>
    <t>modules/a-knights-dream/Item/equip_weapon_scythe_thistledown.webp</t>
  </si>
  <si>
    <t>Thistledown Short Bow</t>
  </si>
  <si>
    <t>modules/a-knights-dream/Item/equip_weapon_bow_short_thistledown.webp</t>
  </si>
  <si>
    <t>Thistledown Short Spear</t>
  </si>
  <si>
    <t>modules/a-knights-dream/Item/equip_weapon_spear_short_thistledown.webp</t>
  </si>
  <si>
    <t>Thistledown Short Sword</t>
  </si>
  <si>
    <t>modules/a-knights-dream/Item/equip_weapon_sword_short_thistledown.webp</t>
  </si>
  <si>
    <t>Thistledown Shotel</t>
  </si>
  <si>
    <t>modules/a-knights-dream/Item/equip_weapon_shotel_thistledown.webp</t>
  </si>
  <si>
    <t>Thistledown Sickle</t>
  </si>
  <si>
    <t>modules/a-knights-dream/Item/equip_weapon_sickle_thistledown.webp</t>
  </si>
  <si>
    <t>Thistledown Sling</t>
  </si>
  <si>
    <t>modules/a-knights-dream/Item/equip_weapon_sling_thistledown.webp</t>
  </si>
  <si>
    <t>Thistledown Staff</t>
  </si>
  <si>
    <t>modules/a-knights-dream/Item/equip_weapon_staff_thistledown.webp</t>
  </si>
  <si>
    <t>Thistledown Staff Sling</t>
  </si>
  <si>
    <t>modules/a-knights-dream/Item/equip_weapon_sling_staff_thistledown.webp</t>
  </si>
  <si>
    <t>Thistledown Sword</t>
  </si>
  <si>
    <t>modules/a-knights-dream/Item/equip_weapon_sword_thistledown.webp</t>
  </si>
  <si>
    <t>Thistledown Tapal</t>
  </si>
  <si>
    <t>modules/a-knights-dream/Item/equip_weapon_tapal_thistledown.webp</t>
  </si>
  <si>
    <t>Thistledown Trident</t>
  </si>
  <si>
    <t>modules/a-knights-dream/Item/equip_weapon_trident_thistledown.webp</t>
  </si>
  <si>
    <t>Thistledown War Hammer</t>
  </si>
  <si>
    <t>modules/a-knights-dream/Item/equip_weapon_hammer_war_thistledown.webp</t>
  </si>
  <si>
    <t>Thistledown War Pick</t>
  </si>
  <si>
    <t>modules/a-knights-dream/Item/equip_weapon_pick_war_thistledown.webp</t>
  </si>
  <si>
    <t>Thistledown Brigantine Cuirass</t>
  </si>
  <si>
    <t>modules/a-knights-dream/Item/equip_armor_brigantine_cuirass_thistledown.webp</t>
  </si>
  <si>
    <t>Thistledown Brigantine Gauntlets</t>
  </si>
  <si>
    <t>modules/a-knights-dream/Item/equip_armor_brigantine_gauntlets_thistledown.webp</t>
  </si>
  <si>
    <t>Thistledown Brigantine Greaves</t>
  </si>
  <si>
    <t>modules/a-knights-dream/Item/equip_armor_brigantine_greaves_thistledown.webp</t>
  </si>
  <si>
    <t>Thistledown Brigantine Helmet</t>
  </si>
  <si>
    <t>modules/a-knights-dream/Item/equip_armor_brigantine_helmet_thistledown.webp</t>
  </si>
  <si>
    <t>Thistledown Brigantine Pauldron</t>
  </si>
  <si>
    <t>modules/a-knights-dream/Item/equip_armor_brigantine_pauldron_thistledown.webp</t>
  </si>
  <si>
    <t>Thistledown Chainmail Cuirass</t>
  </si>
  <si>
    <t>modules/a-knights-dream/Item/equip_armor_chainmail_cuirass_thistledown.webp</t>
  </si>
  <si>
    <t>Thistledown Chainmail Gauntlets</t>
  </si>
  <si>
    <t>modules/a-knights-dream/Item/equip_armor_chainmail_gauntlets_thistledown.webp</t>
  </si>
  <si>
    <t>Thistledown Chainmail Greaves</t>
  </si>
  <si>
    <t>modules/a-knights-dream/Item/equip_armor_chainmail_greaves_thistledown.webp</t>
  </si>
  <si>
    <t>Thistledown Chainmail Helmet</t>
  </si>
  <si>
    <t>modules/a-knights-dream/Item/equip_armor_chainmail_helmet_thistledown.webp</t>
  </si>
  <si>
    <t>Thistledown Chainmail Pauldron</t>
  </si>
  <si>
    <t>modules/a-knights-dream/Item/equip_armor_chainmail_pauldron_thistledown.webp</t>
  </si>
  <si>
    <t>Thistledown Gamberson Cuirass</t>
  </si>
  <si>
    <t>modules/a-knights-dream/Item/equip_armor_gamberson_cuirass_thistledown.webp</t>
  </si>
  <si>
    <t>Thistledown Gamberson Gauntlets</t>
  </si>
  <si>
    <t>modules/a-knights-dream/Item/equip_armor_gamberson_gauntlets_thistledown.webp</t>
  </si>
  <si>
    <t>Thistledown Gamberson Greaves</t>
  </si>
  <si>
    <t>modules/a-knights-dream/Item/equip_armor_gamberson_greaves_thistledown.webp</t>
  </si>
  <si>
    <t>Thistledown Gamberson Helmet</t>
  </si>
  <si>
    <t>modules/a-knights-dream/Item/equip_armor_gamberson_helmet_thistledown.webp</t>
  </si>
  <si>
    <t>Thistledown Gamberson Pauldron</t>
  </si>
  <si>
    <t>modules/a-knights-dream/Item/equip_armor_gamberson_pauldron_thistledown.webp</t>
  </si>
  <si>
    <t>Thistledown Hauberk Cuirass</t>
  </si>
  <si>
    <t>modules/a-knights-dream/Item/equip_armor_hauberk_cuirass_thistledown.webp</t>
  </si>
  <si>
    <t>Thistledown Hauberk Gauntlets</t>
  </si>
  <si>
    <t>modules/a-knights-dream/Item/equip_armor_hauberk_gauntlets_thistledown.webp</t>
  </si>
  <si>
    <t>Thistledown Hauberk Greaves</t>
  </si>
  <si>
    <t>modules/a-knights-dream/Item/equip_armor_hauberk_greaves_thistledown.webp</t>
  </si>
  <si>
    <t>Thistledown Hauberk Helmet</t>
  </si>
  <si>
    <t>modules/a-knights-dream/Item/equip_armor_hauberk_helmet_thistledown.webp</t>
  </si>
  <si>
    <t>Thistledown Hauberk Pauldron</t>
  </si>
  <si>
    <t>modules/a-knights-dream/Item/equip_armor_hauberk_pauldron_thistledown.webp</t>
  </si>
  <si>
    <t>Thistledown Jack Cuirass</t>
  </si>
  <si>
    <t>modules/a-knights-dream/Item/equip_armor_jack_cuirass_thistledown.webp</t>
  </si>
  <si>
    <t>Thistledown Jack Gauntlets</t>
  </si>
  <si>
    <t>modules/a-knights-dream/Item/equip_armor_jack_gauntlets_thistledown.webp</t>
  </si>
  <si>
    <t>Thistledown Jack Greaves</t>
  </si>
  <si>
    <t>modules/a-knights-dream/Item/equip_armor_jack_greaves_thistledown.webp</t>
  </si>
  <si>
    <t>Thistledown Jack Helmet</t>
  </si>
  <si>
    <t>modules/a-knights-dream/Item/equip_armor_jack_helmet_thistledown.webp</t>
  </si>
  <si>
    <t>Thistledown Jack Pauldron</t>
  </si>
  <si>
    <t>modules/a-knights-dream/Item/equip_armor_jack_pauldron_thistledown.webp</t>
  </si>
  <si>
    <t>Thistledown Lamellar Cuirass</t>
  </si>
  <si>
    <t>modules/a-knights-dream/Item/equip_armor_lamellar_cuirass_thistledown.webp</t>
  </si>
  <si>
    <t>Thistledown Lamellar Gauntlets</t>
  </si>
  <si>
    <t>modules/a-knights-dream/Item/equip_armor_lamellar_gauntlets_thistledown.webp</t>
  </si>
  <si>
    <t>Thistledown Lamellar Greaves</t>
  </si>
  <si>
    <t>modules/a-knights-dream/Item/equip_armor_lamellar_greaves_thistledown.webp</t>
  </si>
  <si>
    <t>Thistledown Lamellar Helmet</t>
  </si>
  <si>
    <t>modules/a-knights-dream/Item/equip_armor_lamellar_helmet_thistledown.webp</t>
  </si>
  <si>
    <t>Thistledown Lamellar Pauldron</t>
  </si>
  <si>
    <t>modules/a-knights-dream/Item/equip_armor_lamellar_pauldron_thistledown.webp</t>
  </si>
  <si>
    <t>Thistledown Platemail Cuirass</t>
  </si>
  <si>
    <t>modules/a-knights-dream/Item/equip_armor_platemail_cuirass_thistledown.webp</t>
  </si>
  <si>
    <t>Thistledown Platemail Gauntlets</t>
  </si>
  <si>
    <t>modules/a-knights-dream/Item/equip_armor_platemail_gauntlets_thistledown.webp</t>
  </si>
  <si>
    <t>Thistledown Platemail Greaves</t>
  </si>
  <si>
    <t>modules/a-knights-dream/Item/equip_armor_platemail_greaves_thistledown.webp</t>
  </si>
  <si>
    <t>Thistledown Platemail Helmet</t>
  </si>
  <si>
    <t>modules/a-knights-dream/Item/equip_armor_platemail_helmet_thistledown.webp</t>
  </si>
  <si>
    <t>Thistledown Platemail Pauldron</t>
  </si>
  <si>
    <t>modules/a-knights-dream/Item/equip_armor_platemail_pauldron_thistledown.webp</t>
  </si>
  <si>
    <t>Thistledown Tunic Cuirass</t>
  </si>
  <si>
    <t>modules/a-knights-dream/Item/equip_armor_tunic_cuirass_thistledown.webp</t>
  </si>
  <si>
    <t>Thistledown Tunic Gauntlets</t>
  </si>
  <si>
    <t>modules/a-knights-dream/Item/equip_armor_tunic_gauntlets_thistledown.webp</t>
  </si>
  <si>
    <t>Thistledown Tunic Greaves</t>
  </si>
  <si>
    <t>modules/a-knights-dream/Item/equip_armor_tunic_greaves_thistledown.webp</t>
  </si>
  <si>
    <t>Thistledown Tunic Helmet</t>
  </si>
  <si>
    <t>modules/a-knights-dream/Item/equip_armor_tunic_helmet_thistledown.webp</t>
  </si>
  <si>
    <t>Thistledown Tunic Pauldron</t>
  </si>
  <si>
    <t>modules/a-knights-dream/Item/equip_armor_tunic_pauldron_thistledown.webp</t>
  </si>
  <si>
    <t>Thistledown Buckler Shield</t>
  </si>
  <si>
    <t>modules/a-knights-dream/Item/equip_armor_shield_buckler_thistledown.webp</t>
  </si>
  <si>
    <t>Thistledown Heater Shield</t>
  </si>
  <si>
    <t>modules/a-knights-dream/Item/equip_armor_shield_heater_thistledown.webp</t>
  </si>
  <si>
    <t>Thistledown Kite Shield</t>
  </si>
  <si>
    <t>modules/a-knights-dream/Item/equip_armor_shield_kite_thistledown.webp</t>
  </si>
  <si>
    <t>Thistledown Oval Shield</t>
  </si>
  <si>
    <t>modules/a-knights-dream/Item/equip_armor_shield_oval_thistledown.webp</t>
  </si>
  <si>
    <t>Thistledown Round Shield</t>
  </si>
  <si>
    <t>modules/a-knights-dream/Item/equip_armor_shield_round_thistledown.webp</t>
  </si>
  <si>
    <t>Thistledown Tower Shield</t>
  </si>
  <si>
    <t>modules/a-knights-dream/Item/equip_armor_shield_tower_thistledown.webp</t>
  </si>
  <si>
    <t>Twislle</t>
  </si>
  <si>
    <t>Twislle Ball Bearings</t>
  </si>
  <si>
    <t>modules/a-knights-dream/Item/equip_weapon_bearings_twislle.webp</t>
  </si>
  <si>
    <t>Twislle Bardiche</t>
  </si>
  <si>
    <t>modules/a-knights-dream/Item/equip_weapon_bardiche_twislle.webp</t>
  </si>
  <si>
    <t>Twislle Bastard Sword</t>
  </si>
  <si>
    <t>modules/a-knights-dream/Item/equip_weapon_sword_bastard_twislle.webp</t>
  </si>
  <si>
    <t>Twislle Battle Axe</t>
  </si>
  <si>
    <t>modules/a-knights-dream/Item/equip_weapon_axe_battle_twislle.webp</t>
  </si>
  <si>
    <t>Twislle Blowgun</t>
  </si>
  <si>
    <t>modules/a-knights-dream/Item/equip_weapon_blowgun_twislle.webp</t>
  </si>
  <si>
    <t>Twislle Bolt</t>
  </si>
  <si>
    <t>modules/a-knights-dream/Item/equip_weapon_bolt_twislle.webp</t>
  </si>
  <si>
    <t>Twislle Boomerang</t>
  </si>
  <si>
    <t>modules/a-knights-dream/Item/equip_weapon_boomerang_twislle.webp</t>
  </si>
  <si>
    <t>Twislle Bow</t>
  </si>
  <si>
    <t>modules/a-knights-dream/Item/equip_weapon_bow_twislle.webp</t>
  </si>
  <si>
    <t>Twislle Caltrops</t>
  </si>
  <si>
    <t>modules/a-knights-dream/Item/equip_weapon_caltrops_twislle.webp</t>
  </si>
  <si>
    <t>Twislle Cestus</t>
  </si>
  <si>
    <t>modules/a-knights-dream/Item/equip_weapon_cestus_twislle.webp</t>
  </si>
  <si>
    <t>Twislle Chain</t>
  </si>
  <si>
    <t>modules/a-knights-dream/Item/equip_weapon_chain_twislle.webp</t>
  </si>
  <si>
    <t>Twislle Claymore</t>
  </si>
  <si>
    <t>modules/a-knights-dream/Item/equip_weapon_claymore_twislle.webp</t>
  </si>
  <si>
    <t>Twislle Club</t>
  </si>
  <si>
    <t>modules/a-knights-dream/Item/equip_weapon_club_twislle.webp</t>
  </si>
  <si>
    <t>Twislle Compound Bow</t>
  </si>
  <si>
    <t>modules/a-knights-dream/Item/equip_weapon_bow_compound_twislle.webp</t>
  </si>
  <si>
    <t>Twislle Cutlass</t>
  </si>
  <si>
    <t>modules/a-knights-dream/Item/equip_weapon_cutlass_twislle.webp</t>
  </si>
  <si>
    <t>Twislle Dagger</t>
  </si>
  <si>
    <t>modules/a-knights-dream/Item/equip_weapon_dagger_twislle.webp</t>
  </si>
  <si>
    <t>Twislle Dart</t>
  </si>
  <si>
    <t>modules/a-knights-dream/Item/equip_weapon_dart_twislle.webp</t>
  </si>
  <si>
    <t>Twislle Fauchard Scythe</t>
  </si>
  <si>
    <t>modules/a-knights-dream/Item/equip_weapon_scythe_fauchard_twislle.webp</t>
  </si>
  <si>
    <t>Twislle Flail</t>
  </si>
  <si>
    <t>modules/a-knights-dream/Item/equip_weapon_flail_twislle.webp</t>
  </si>
  <si>
    <t>Twislle Glaive</t>
  </si>
  <si>
    <t>modules/a-knights-dream/Item/equip_weapon_glaive_twislle.webp</t>
  </si>
  <si>
    <t>Twislle Grapple Hook</t>
  </si>
  <si>
    <t>modules/a-knights-dream/Item/equip_weapon_hook_grapple_twislle.webp</t>
  </si>
  <si>
    <t>Twislle Great Axe</t>
  </si>
  <si>
    <t>modules/a-knights-dream/Item/equip_weapon_axe_great_twislle.webp</t>
  </si>
  <si>
    <t>Twislle Great Club</t>
  </si>
  <si>
    <t>modules/a-knights-dream/Item/equip_weapon_club_great_twislle.webp</t>
  </si>
  <si>
    <t>Twislle Great Khyber</t>
  </si>
  <si>
    <t>modules/a-knights-dream/Item/equip_weapon_khyber_great_twislle.webp</t>
  </si>
  <si>
    <t>Twislle Great Konda</t>
  </si>
  <si>
    <t>modules/a-knights-dream/Item/equip_weapon_konda_great_twislle.webp</t>
  </si>
  <si>
    <t>Twislle Great Labrys</t>
  </si>
  <si>
    <t>modules/a-knights-dream/Item/equip_weapon_axe_labrys_great_twislle.webp</t>
  </si>
  <si>
    <t>Twislle Great Mace</t>
  </si>
  <si>
    <t>modules/a-knights-dream/Item/equip_weapon_mace_great_twislle.webp</t>
  </si>
  <si>
    <t>Twislle Great Tapal</t>
  </si>
  <si>
    <t>modules/a-knights-dream/Item/equip_weapon_tapal_great_twislle.webp</t>
  </si>
  <si>
    <t>Twislle Great War Bow</t>
  </si>
  <si>
    <t>modules/a-knights-dream/Item/equip_weapon_bow_war_great_twislle.webp</t>
  </si>
  <si>
    <t>Twislle Great War Hammer</t>
  </si>
  <si>
    <t>modules/a-knights-dream/Item/equip_weapon_hammer_war_great_twislle.webp</t>
  </si>
  <si>
    <t>Twislle Great War Pick</t>
  </si>
  <si>
    <t>modules/a-knights-dream/Item/equip_weapon_pick_war_great_twislle.webp</t>
  </si>
  <si>
    <t>Twislle Guisarme</t>
  </si>
  <si>
    <t>modules/a-knights-dream/Item/equip_weapon_guisarme_twislle.webp</t>
  </si>
  <si>
    <t>Twislle Halberd</t>
  </si>
  <si>
    <t>modules/a-knights-dream/Item/equip_weapon_halberd_twislle.webp</t>
  </si>
  <si>
    <t>Twislle Hand Crossbow</t>
  </si>
  <si>
    <t>modules/a-knights-dream/Item/equip_weapon_crossbow_hand_twislle.webp</t>
  </si>
  <si>
    <t>Twislle Hand axe</t>
  </si>
  <si>
    <t>modules/a-knights-dream/Item/equip_weapon_axe_hand_twislle.webp</t>
  </si>
  <si>
    <t>Twislle Heavy Crossbow</t>
  </si>
  <si>
    <t>modules/a-knights-dream/Item/equip_weapon_crossbow_heavy_twislle.webp</t>
  </si>
  <si>
    <t>Twislle Hunting Trap</t>
  </si>
  <si>
    <t>modules/a-knights-dream/Item/equip_weapon_trap_hunting_twislle.webp</t>
  </si>
  <si>
    <t>Twislle Hunting Trap (Large)</t>
  </si>
  <si>
    <t>modules/a-knights-dream/Item/equip_weapon_trap_hunting_large_twislle.webp</t>
  </si>
  <si>
    <t>Twislle Hunting Trap (Small)</t>
  </si>
  <si>
    <t>modules/a-knights-dream/Item/equip_weapon_trap_hunting_small_twislle.webp</t>
  </si>
  <si>
    <t>Twislle Javelin</t>
  </si>
  <si>
    <t>modules/a-knights-dream/Item/equip_weapon_javelin_twislle.webp</t>
  </si>
  <si>
    <t>Twislle Khpesh</t>
  </si>
  <si>
    <t>modules/a-knights-dream/Item/equip_weapon_khpesh_twislle.webp</t>
  </si>
  <si>
    <t>Twislle Khyber</t>
  </si>
  <si>
    <t>modules/a-knights-dream/Item/equip_weapon_khyber_twislle.webp</t>
  </si>
  <si>
    <t>Twislle Konda</t>
  </si>
  <si>
    <t>modules/a-knights-dream/Item/equip_weapon_konda_twislle.webp</t>
  </si>
  <si>
    <t>Twislle Labrys</t>
  </si>
  <si>
    <t>modules/a-knights-dream/Item/equip_weapon_axe_labrys_twislle.webp</t>
  </si>
  <si>
    <t>Twislle Lance</t>
  </si>
  <si>
    <t>modules/a-knights-dream/Item/equip_weapon_lance_twislle.webp</t>
  </si>
  <si>
    <t>Twislle Light Crossbow</t>
  </si>
  <si>
    <t>modules/a-knights-dream/Item/equip_weapon_crossbow_light_twislle.webp</t>
  </si>
  <si>
    <t>Twislle Long Bow</t>
  </si>
  <si>
    <t>modules/a-knights-dream/Item/equip_weapon_bow_long_twislle.webp</t>
  </si>
  <si>
    <t>Twislle Long Spear</t>
  </si>
  <si>
    <t>modules/a-knights-dream/Item/equip_weapon_spear_long_twislle.webp</t>
  </si>
  <si>
    <t>Twislle Lucerince Hammer</t>
  </si>
  <si>
    <t>modules/a-knights-dream/Item/equip_weapon_hammer_lucerince_twislle.webp</t>
  </si>
  <si>
    <t>Twislle Mace</t>
  </si>
  <si>
    <t>modules/a-knights-dream/Item/equip_weapon_mace_twislle.webp</t>
  </si>
  <si>
    <t>Twislle Morningstar</t>
  </si>
  <si>
    <t>modules/a-knights-dream/Item/equip_weapon_morningstar_twislle.webp</t>
  </si>
  <si>
    <t>Twislle Pike</t>
  </si>
  <si>
    <t>modules/a-knights-dream/Item/equip_weapon_pike_twislle.webp</t>
  </si>
  <si>
    <t>Twislle Quarter Staff</t>
  </si>
  <si>
    <t>modules/a-knights-dream/Item/equip_weapon_staff_quarter_twislle.webp</t>
  </si>
  <si>
    <t>Twislle Ranseur</t>
  </si>
  <si>
    <t>modules/a-knights-dream/Item/equip_weapon_ranseur_twislle.webp</t>
  </si>
  <si>
    <t>Twislle Rapier</t>
  </si>
  <si>
    <t>modules/a-knights-dream/Item/equip_weapon_rapier_twislle.webp</t>
  </si>
  <si>
    <t>Twislle Recurve Bow</t>
  </si>
  <si>
    <t>modules/a-knights-dream/Item/equip_weapon_bow_recurve_twislle.webp</t>
  </si>
  <si>
    <t>Twislle Repeater Crossbow</t>
  </si>
  <si>
    <t>modules/a-knights-dream/Item/equip_weapon_crossbow_repeater_twislle.webp</t>
  </si>
  <si>
    <t>Twislle Sabre</t>
  </si>
  <si>
    <t>modules/a-knights-dream/Item/equip_weapon_sabre_twislle.webp</t>
  </si>
  <si>
    <t>Twislle Scimitar</t>
  </si>
  <si>
    <t>modules/a-knights-dream/Item/equip_weapon_scimitar_twislle.webp</t>
  </si>
  <si>
    <t>Twislle Scythe</t>
  </si>
  <si>
    <t>modules/a-knights-dream/Item/equip_weapon_scythe_twislle.webp</t>
  </si>
  <si>
    <t>Twislle Short Bow</t>
  </si>
  <si>
    <t>modules/a-knights-dream/Item/equip_weapon_bow_short_twislle.webp</t>
  </si>
  <si>
    <t>Twislle Short Spear</t>
  </si>
  <si>
    <t>modules/a-knights-dream/Item/equip_weapon_spear_short_twislle.webp</t>
  </si>
  <si>
    <t>Twislle Short Sword</t>
  </si>
  <si>
    <t>modules/a-knights-dream/Item/equip_weapon_sword_short_twislle.webp</t>
  </si>
  <si>
    <t>Twislle Shotel</t>
  </si>
  <si>
    <t>modules/a-knights-dream/Item/equip_weapon_shotel_twislle.webp</t>
  </si>
  <si>
    <t>Twislle Sickle</t>
  </si>
  <si>
    <t>modules/a-knights-dream/Item/equip_weapon_sickle_twislle.webp</t>
  </si>
  <si>
    <t>Twislle Sling</t>
  </si>
  <si>
    <t>modules/a-knights-dream/Item/equip_weapon_sling_twislle.webp</t>
  </si>
  <si>
    <t>Twislle Staff</t>
  </si>
  <si>
    <t>modules/a-knights-dream/Item/equip_weapon_staff_twislle.webp</t>
  </si>
  <si>
    <t>Twislle Staff Sling</t>
  </si>
  <si>
    <t>modules/a-knights-dream/Item/equip_weapon_sling_staff_twislle.webp</t>
  </si>
  <si>
    <t>Twislle Sword</t>
  </si>
  <si>
    <t>modules/a-knights-dream/Item/equip_weapon_sword_twislle.webp</t>
  </si>
  <si>
    <t>Twislle Tapal</t>
  </si>
  <si>
    <t>modules/a-knights-dream/Item/equip_weapon_tapal_twislle.webp</t>
  </si>
  <si>
    <t>Twislle Trident</t>
  </si>
  <si>
    <t>modules/a-knights-dream/Item/equip_weapon_trident_twislle.webp</t>
  </si>
  <si>
    <t>Twislle War Hammer</t>
  </si>
  <si>
    <t>modules/a-knights-dream/Item/equip_weapon_hammer_war_twislle.webp</t>
  </si>
  <si>
    <t>Twislle War Pick</t>
  </si>
  <si>
    <t>modules/a-knights-dream/Item/equip_weapon_pick_war_twislle.webp</t>
  </si>
  <si>
    <t>Twislle Brigantine Cuirass</t>
  </si>
  <si>
    <t>modules/a-knights-dream/Item/equip_armor_brigantine_cuirass_twislle.webp</t>
  </si>
  <si>
    <t>Twislle Brigantine Gauntlets</t>
  </si>
  <si>
    <t>modules/a-knights-dream/Item/equip_armor_brigantine_gauntlets_twislle.webp</t>
  </si>
  <si>
    <t>Twislle Brigantine Greaves</t>
  </si>
  <si>
    <t>modules/a-knights-dream/Item/equip_armor_brigantine_greaves_twislle.webp</t>
  </si>
  <si>
    <t>Twislle Brigantine Helmet</t>
  </si>
  <si>
    <t>modules/a-knights-dream/Item/equip_armor_brigantine_helmet_twislle.webp</t>
  </si>
  <si>
    <t>Twislle Brigantine Pauldron</t>
  </si>
  <si>
    <t>modules/a-knights-dream/Item/equip_armor_brigantine_pauldron_twislle.webp</t>
  </si>
  <si>
    <t>Twislle Chainmail Cuirass</t>
  </si>
  <si>
    <t>modules/a-knights-dream/Item/equip_armor_chainmail_cuirass_twislle.webp</t>
  </si>
  <si>
    <t>Twislle Chainmail Gauntlets</t>
  </si>
  <si>
    <t>modules/a-knights-dream/Item/equip_armor_chainmail_gauntlets_twislle.webp</t>
  </si>
  <si>
    <t>Twislle Chainmail Greaves</t>
  </si>
  <si>
    <t>modules/a-knights-dream/Item/equip_armor_chainmail_greaves_twislle.webp</t>
  </si>
  <si>
    <t>Twislle Chainmail Helmet</t>
  </si>
  <si>
    <t>modules/a-knights-dream/Item/equip_armor_chainmail_helmet_twislle.webp</t>
  </si>
  <si>
    <t>Twislle Chainmail Pauldron</t>
  </si>
  <si>
    <t>modules/a-knights-dream/Item/equip_armor_chainmail_pauldron_twislle.webp</t>
  </si>
  <si>
    <t>Twislle Gamberson Cuirass</t>
  </si>
  <si>
    <t>modules/a-knights-dream/Item/equip_armor_gamberson_cuirass_twislle.webp</t>
  </si>
  <si>
    <t>Twislle Gamberson Gauntlets</t>
  </si>
  <si>
    <t>modules/a-knights-dream/Item/equip_armor_gamberson_gauntlets_twislle.webp</t>
  </si>
  <si>
    <t>Twislle Gamberson Greaves</t>
  </si>
  <si>
    <t>modules/a-knights-dream/Item/equip_armor_gamberson_greaves_twislle.webp</t>
  </si>
  <si>
    <t>Twislle Gamberson Helmet</t>
  </si>
  <si>
    <t>modules/a-knights-dream/Item/equip_armor_gamberson_helmet_twislle.webp</t>
  </si>
  <si>
    <t>Twislle Gamberson Pauldron</t>
  </si>
  <si>
    <t>modules/a-knights-dream/Item/equip_armor_gamberson_pauldron_twislle.webp</t>
  </si>
  <si>
    <t>Twislle Hauberk Cuirass</t>
  </si>
  <si>
    <t>modules/a-knights-dream/Item/equip_armor_hauberk_cuirass_twislle.webp</t>
  </si>
  <si>
    <t>Twislle Hauberk Gauntlets</t>
  </si>
  <si>
    <t>modules/a-knights-dream/Item/equip_armor_hauberk_gauntlets_twislle.webp</t>
  </si>
  <si>
    <t>Twislle Hauberk Greaves</t>
  </si>
  <si>
    <t>modules/a-knights-dream/Item/equip_armor_hauberk_greaves_twislle.webp</t>
  </si>
  <si>
    <t>Twislle Hauberk Helmet</t>
  </si>
  <si>
    <t>modules/a-knights-dream/Item/equip_armor_hauberk_helmet_twislle.webp</t>
  </si>
  <si>
    <t>Twislle Hauberk Pauldron</t>
  </si>
  <si>
    <t>modules/a-knights-dream/Item/equip_armor_hauberk_pauldron_twislle.webp</t>
  </si>
  <si>
    <t>Twislle Jack Cuirass</t>
  </si>
  <si>
    <t>modules/a-knights-dream/Item/equip_armor_jack_cuirass_twislle.webp</t>
  </si>
  <si>
    <t>Twislle Jack Gauntlets</t>
  </si>
  <si>
    <t>modules/a-knights-dream/Item/equip_armor_jack_gauntlets_twislle.webp</t>
  </si>
  <si>
    <t>Twislle Jack Greaves</t>
  </si>
  <si>
    <t>modules/a-knights-dream/Item/equip_armor_jack_greaves_twislle.webp</t>
  </si>
  <si>
    <t>Twislle Jack Helmet</t>
  </si>
  <si>
    <t>modules/a-knights-dream/Item/equip_armor_jack_helmet_twislle.webp</t>
  </si>
  <si>
    <t>Twislle Jack Pauldron</t>
  </si>
  <si>
    <t>modules/a-knights-dream/Item/equip_armor_jack_pauldron_twislle.webp</t>
  </si>
  <si>
    <t>Twislle Lamellar Cuirass</t>
  </si>
  <si>
    <t>modules/a-knights-dream/Item/equip_armor_lamellar_cuirass_twislle.webp</t>
  </si>
  <si>
    <t>Twislle Lamellar Gauntlets</t>
  </si>
  <si>
    <t>modules/a-knights-dream/Item/equip_armor_lamellar_gauntlets_twislle.webp</t>
  </si>
  <si>
    <t>Twislle Lamellar Greaves</t>
  </si>
  <si>
    <t>modules/a-knights-dream/Item/equip_armor_lamellar_greaves_twislle.webp</t>
  </si>
  <si>
    <t>Twislle Lamellar Helmet</t>
  </si>
  <si>
    <t>modules/a-knights-dream/Item/equip_armor_lamellar_helmet_twislle.webp</t>
  </si>
  <si>
    <t>Twislle Lamellar Pauldron</t>
  </si>
  <si>
    <t>modules/a-knights-dream/Item/equip_armor_lamellar_pauldron_twislle.webp</t>
  </si>
  <si>
    <t>Twislle Platemail Cuirass</t>
  </si>
  <si>
    <t>modules/a-knights-dream/Item/equip_armor_platemail_cuirass_twislle.webp</t>
  </si>
  <si>
    <t>Twislle Platemail Gauntlets</t>
  </si>
  <si>
    <t>modules/a-knights-dream/Item/equip_armor_platemail_gauntlets_twislle.webp</t>
  </si>
  <si>
    <t>Twislle Platemail Greaves</t>
  </si>
  <si>
    <t>modules/a-knights-dream/Item/equip_armor_platemail_greaves_twislle.webp</t>
  </si>
  <si>
    <t>Twislle Platemail Helmet</t>
  </si>
  <si>
    <t>modules/a-knights-dream/Item/equip_armor_platemail_helmet_twislle.webp</t>
  </si>
  <si>
    <t>Twislle Platemail Pauldron</t>
  </si>
  <si>
    <t>modules/a-knights-dream/Item/equip_armor_platemail_pauldron_twislle.webp</t>
  </si>
  <si>
    <t>Twislle Tunic Cuirass</t>
  </si>
  <si>
    <t>modules/a-knights-dream/Item/equip_armor_tunic_cuirass_twislle.webp</t>
  </si>
  <si>
    <t>Twislle Tunic Gauntlets</t>
  </si>
  <si>
    <t>modules/a-knights-dream/Item/equip_armor_tunic_gauntlets_twislle.webp</t>
  </si>
  <si>
    <t>Twislle Tunic Greaves</t>
  </si>
  <si>
    <t>modules/a-knights-dream/Item/equip_armor_tunic_greaves_twislle.webp</t>
  </si>
  <si>
    <t>Twislle Tunic Helmet</t>
  </si>
  <si>
    <t>modules/a-knights-dream/Item/equip_armor_tunic_helmet_twislle.webp</t>
  </si>
  <si>
    <t>Twislle Tunic Pauldron</t>
  </si>
  <si>
    <t>modules/a-knights-dream/Item/equip_armor_tunic_pauldron_twislle.webp</t>
  </si>
  <si>
    <t>Twislle Buckler Shield</t>
  </si>
  <si>
    <t>modules/a-knights-dream/Item/equip_armor_shield_buckler_twislle.webp</t>
  </si>
  <si>
    <t>Twislle Heater Shield</t>
  </si>
  <si>
    <t>modules/a-knights-dream/Item/equip_armor_shield_heater_twislle.webp</t>
  </si>
  <si>
    <t>Twislle Kite Shield</t>
  </si>
  <si>
    <t>modules/a-knights-dream/Item/equip_armor_shield_kite_twislle.webp</t>
  </si>
  <si>
    <t>Twislle Oval Shield</t>
  </si>
  <si>
    <t>modules/a-knights-dream/Item/equip_armor_shield_oval_twislle.webp</t>
  </si>
  <si>
    <t>Twislle Round Shield</t>
  </si>
  <si>
    <t>modules/a-knights-dream/Item/equip_armor_shield_round_twislle.webp</t>
  </si>
  <si>
    <t>Twislle Tower Shield</t>
  </si>
  <si>
    <t>modules/a-knights-dream/Item/equip_armor_shield_tower_twislle.webp</t>
  </si>
  <si>
    <t>Wetsulf</t>
  </si>
  <si>
    <t>Wetsulf Ball Bearings</t>
  </si>
  <si>
    <t>modules/a-knights-dream/Item/equip_weapon_bearings_wetsulf.webp</t>
  </si>
  <si>
    <t>Wetsulf Bardiche</t>
  </si>
  <si>
    <t>modules/a-knights-dream/Item/equip_weapon_bardiche_wetsulf.webp</t>
  </si>
  <si>
    <t>Wetsulf Bastard Sword</t>
  </si>
  <si>
    <t>modules/a-knights-dream/Item/equip_weapon_sword_bastard_wetsulf.webp</t>
  </si>
  <si>
    <t>Wetsulf Battle Axe</t>
  </si>
  <si>
    <t>modules/a-knights-dream/Item/equip_weapon_axe_battle_wetsulf.webp</t>
  </si>
  <si>
    <t>Wetsulf Blowgun</t>
  </si>
  <si>
    <t>modules/a-knights-dream/Item/equip_weapon_blowgun_wetsulf.webp</t>
  </si>
  <si>
    <t>Wetsulf Bolt</t>
  </si>
  <si>
    <t>modules/a-knights-dream/Item/equip_weapon_bolt_wetsulf.webp</t>
  </si>
  <si>
    <t>Wetsulf Boomerang</t>
  </si>
  <si>
    <t>modules/a-knights-dream/Item/equip_weapon_boomerang_wetsulf.webp</t>
  </si>
  <si>
    <t>Wetsulf Bow</t>
  </si>
  <si>
    <t>modules/a-knights-dream/Item/equip_weapon_bow_wetsulf.webp</t>
  </si>
  <si>
    <t>Wetsulf Caltrops</t>
  </si>
  <si>
    <t>modules/a-knights-dream/Item/equip_weapon_caltrops_wetsulf.webp</t>
  </si>
  <si>
    <t>Wetsulf Cestus</t>
  </si>
  <si>
    <t>modules/a-knights-dream/Item/equip_weapon_cestus_wetsulf.webp</t>
  </si>
  <si>
    <t>Wetsulf Chain</t>
  </si>
  <si>
    <t>modules/a-knights-dream/Item/equip_weapon_chain_wetsulf.webp</t>
  </si>
  <si>
    <t>Wetsulf Claymore</t>
  </si>
  <si>
    <t>modules/a-knights-dream/Item/equip_weapon_claymore_wetsulf.webp</t>
  </si>
  <si>
    <t>Wetsulf Club</t>
  </si>
  <si>
    <t>modules/a-knights-dream/Item/equip_weapon_club_wetsulf.webp</t>
  </si>
  <si>
    <t>Wetsulf Compound Bow</t>
  </si>
  <si>
    <t>modules/a-knights-dream/Item/equip_weapon_bow_compound_wetsulf.webp</t>
  </si>
  <si>
    <t>Wetsulf Cutlass</t>
  </si>
  <si>
    <t>modules/a-knights-dream/Item/equip_weapon_cutlass_wetsulf.webp</t>
  </si>
  <si>
    <t>Wetsulf Dagger</t>
  </si>
  <si>
    <t>modules/a-knights-dream/Item/equip_weapon_dagger_wetsulf.webp</t>
  </si>
  <si>
    <t>Wetsulf Dart</t>
  </si>
  <si>
    <t>modules/a-knights-dream/Item/equip_weapon_dart_wetsulf.webp</t>
  </si>
  <si>
    <t>Wetsulf Fauchard Scythe</t>
  </si>
  <si>
    <t>modules/a-knights-dream/Item/equip_weapon_scythe_fauchard_wetsulf.webp</t>
  </si>
  <si>
    <t>Wetsulf Flail</t>
  </si>
  <si>
    <t>modules/a-knights-dream/Item/equip_weapon_flail_wetsulf.webp</t>
  </si>
  <si>
    <t>Wetsulf Glaive</t>
  </si>
  <si>
    <t>modules/a-knights-dream/Item/equip_weapon_glaive_wetsulf.webp</t>
  </si>
  <si>
    <t>Wetsulf Grapple Hook</t>
  </si>
  <si>
    <t>modules/a-knights-dream/Item/equip_weapon_hook_grapple_wetsulf.webp</t>
  </si>
  <si>
    <t>Wetsulf Great Axe</t>
  </si>
  <si>
    <t>modules/a-knights-dream/Item/equip_weapon_axe_great_wetsulf.webp</t>
  </si>
  <si>
    <t>Wetsulf Great Club</t>
  </si>
  <si>
    <t>modules/a-knights-dream/Item/equip_weapon_club_great_wetsulf.webp</t>
  </si>
  <si>
    <t>Wetsulf Great Khyber</t>
  </si>
  <si>
    <t>modules/a-knights-dream/Item/equip_weapon_khyber_great_wetsulf.webp</t>
  </si>
  <si>
    <t>Wetsulf Great Konda</t>
  </si>
  <si>
    <t>modules/a-knights-dream/Item/equip_weapon_konda_great_wetsulf.webp</t>
  </si>
  <si>
    <t>Wetsulf Great Labrys</t>
  </si>
  <si>
    <t>modules/a-knights-dream/Item/equip_weapon_axe_labrys_great_wetsulf.webp</t>
  </si>
  <si>
    <t>Wetsulf Great Mace</t>
  </si>
  <si>
    <t>modules/a-knights-dream/Item/equip_weapon_mace_great_wetsulf.webp</t>
  </si>
  <si>
    <t>Wetsulf Great Tapal</t>
  </si>
  <si>
    <t>modules/a-knights-dream/Item/equip_weapon_tapal_great_wetsulf.webp</t>
  </si>
  <si>
    <t>Wetsulf Great War Bow</t>
  </si>
  <si>
    <t>modules/a-knights-dream/Item/equip_weapon_bow_war_great_wetsulf.webp</t>
  </si>
  <si>
    <t>Wetsulf Great War Hammer</t>
  </si>
  <si>
    <t>modules/a-knights-dream/Item/equip_weapon_hammer_war_great_wetsulf.webp</t>
  </si>
  <si>
    <t>Wetsulf Great War Pick</t>
  </si>
  <si>
    <t>modules/a-knights-dream/Item/equip_weapon_pick_war_great_wetsulf.webp</t>
  </si>
  <si>
    <t>Wetsulf Guisarme</t>
  </si>
  <si>
    <t>modules/a-knights-dream/Item/equip_weapon_guisarme_wetsulf.webp</t>
  </si>
  <si>
    <t>Wetsulf Halberd</t>
  </si>
  <si>
    <t>modules/a-knights-dream/Item/equip_weapon_halberd_wetsulf.webp</t>
  </si>
  <si>
    <t>Wetsulf Hand Crossbow</t>
  </si>
  <si>
    <t>modules/a-knights-dream/Item/equip_weapon_crossbow_hand_wetsulf.webp</t>
  </si>
  <si>
    <t>Wetsulf Hand axe</t>
  </si>
  <si>
    <t>modules/a-knights-dream/Item/equip_weapon_axe_hand_wetsulf.webp</t>
  </si>
  <si>
    <t>Wetsulf Heavy Crossbow</t>
  </si>
  <si>
    <t>modules/a-knights-dream/Item/equip_weapon_crossbow_heavy_wetsulf.webp</t>
  </si>
  <si>
    <t>Wetsulf Hunting Trap</t>
  </si>
  <si>
    <t>modules/a-knights-dream/Item/equip_weapon_trap_hunting_wetsulf.webp</t>
  </si>
  <si>
    <t>Wetsulf Hunting Trap (Large)</t>
  </si>
  <si>
    <t>modules/a-knights-dream/Item/equip_weapon_trap_hunting_large_wetsulf.webp</t>
  </si>
  <si>
    <t>Wetsulf Hunting Trap (Small)</t>
  </si>
  <si>
    <t>modules/a-knights-dream/Item/equip_weapon_trap_hunting_small_wetsulf.webp</t>
  </si>
  <si>
    <t>Wetsulf Javelin</t>
  </si>
  <si>
    <t>modules/a-knights-dream/Item/equip_weapon_javelin_wetsulf.webp</t>
  </si>
  <si>
    <t>Wetsulf Khpesh</t>
  </si>
  <si>
    <t>modules/a-knights-dream/Item/equip_weapon_khpesh_wetsulf.webp</t>
  </si>
  <si>
    <t>Wetsulf Khyber</t>
  </si>
  <si>
    <t>modules/a-knights-dream/Item/equip_weapon_khyber_wetsulf.webp</t>
  </si>
  <si>
    <t>Wetsulf Konda</t>
  </si>
  <si>
    <t>modules/a-knights-dream/Item/equip_weapon_konda_wetsulf.webp</t>
  </si>
  <si>
    <t>Wetsulf Labrys</t>
  </si>
  <si>
    <t>modules/a-knights-dream/Item/equip_weapon_axe_labrys_wetsulf.webp</t>
  </si>
  <si>
    <t>Wetsulf Lance</t>
  </si>
  <si>
    <t>modules/a-knights-dream/Item/equip_weapon_lance_wetsulf.webp</t>
  </si>
  <si>
    <t>Wetsulf Light Crossbow</t>
  </si>
  <si>
    <t>modules/a-knights-dream/Item/equip_weapon_crossbow_light_wetsulf.webp</t>
  </si>
  <si>
    <t>Wetsulf Long Bow</t>
  </si>
  <si>
    <t>modules/a-knights-dream/Item/equip_weapon_bow_long_wetsulf.webp</t>
  </si>
  <si>
    <t>Wetsulf Long Spear</t>
  </si>
  <si>
    <t>modules/a-knights-dream/Item/equip_weapon_spear_long_wetsulf.webp</t>
  </si>
  <si>
    <t>Wetsulf Lucerince Hammer</t>
  </si>
  <si>
    <t>modules/a-knights-dream/Item/equip_weapon_hammer_lucerince_wetsulf.webp</t>
  </si>
  <si>
    <t>Wetsulf Mace</t>
  </si>
  <si>
    <t>modules/a-knights-dream/Item/equip_weapon_mace_wetsulf.webp</t>
  </si>
  <si>
    <t>Wetsulf Morningstar</t>
  </si>
  <si>
    <t>modules/a-knights-dream/Item/equip_weapon_morningstar_wetsulf.webp</t>
  </si>
  <si>
    <t>Wetsulf Pike</t>
  </si>
  <si>
    <t>modules/a-knights-dream/Item/equip_weapon_pike_wetsulf.webp</t>
  </si>
  <si>
    <t>Wetsulf Quarter Staff</t>
  </si>
  <si>
    <t>modules/a-knights-dream/Item/equip_weapon_staff_quarter_wetsulf.webp</t>
  </si>
  <si>
    <t>Wetsulf Ranseur</t>
  </si>
  <si>
    <t>modules/a-knights-dream/Item/equip_weapon_ranseur_wetsulf.webp</t>
  </si>
  <si>
    <t>Wetsulf Rapier</t>
  </si>
  <si>
    <t>modules/a-knights-dream/Item/equip_weapon_rapier_wetsulf.webp</t>
  </si>
  <si>
    <t>Wetsulf Recurve Bow</t>
  </si>
  <si>
    <t>modules/a-knights-dream/Item/equip_weapon_bow_recurve_wetsulf.webp</t>
  </si>
  <si>
    <t>Wetsulf Repeater Crossbow</t>
  </si>
  <si>
    <t>modules/a-knights-dream/Item/equip_weapon_crossbow_repeater_wetsulf.webp</t>
  </si>
  <si>
    <t>Wetsulf Sabre</t>
  </si>
  <si>
    <t>modules/a-knights-dream/Item/equip_weapon_sabre_wetsulf.webp</t>
  </si>
  <si>
    <t>Wetsulf Scimitar</t>
  </si>
  <si>
    <t>modules/a-knights-dream/Item/equip_weapon_scimitar_wetsulf.webp</t>
  </si>
  <si>
    <t>Wetsulf Scythe</t>
  </si>
  <si>
    <t>modules/a-knights-dream/Item/equip_weapon_scythe_wetsulf.webp</t>
  </si>
  <si>
    <t>Wetsulf Short Bow</t>
  </si>
  <si>
    <t>modules/a-knights-dream/Item/equip_weapon_bow_short_wetsulf.webp</t>
  </si>
  <si>
    <t>Wetsulf Short Spear</t>
  </si>
  <si>
    <t>modules/a-knights-dream/Item/equip_weapon_spear_short_wetsulf.webp</t>
  </si>
  <si>
    <t>Wetsulf Short Sword</t>
  </si>
  <si>
    <t>modules/a-knights-dream/Item/equip_weapon_sword_short_wetsulf.webp</t>
  </si>
  <si>
    <t>Wetsulf Shotel</t>
  </si>
  <si>
    <t>modules/a-knights-dream/Item/equip_weapon_shotel_wetsulf.webp</t>
  </si>
  <si>
    <t>Wetsulf Sickle</t>
  </si>
  <si>
    <t>modules/a-knights-dream/Item/equip_weapon_sickle_wetsulf.webp</t>
  </si>
  <si>
    <t>Wetsulf Sling</t>
  </si>
  <si>
    <t>modules/a-knights-dream/Item/equip_weapon_sling_wetsulf.webp</t>
  </si>
  <si>
    <t>Wetsulf Staff</t>
  </si>
  <si>
    <t>modules/a-knights-dream/Item/equip_weapon_staff_wetsulf.webp</t>
  </si>
  <si>
    <t>Wetsulf Staff Sling</t>
  </si>
  <si>
    <t>modules/a-knights-dream/Item/equip_weapon_sling_staff_wetsulf.webp</t>
  </si>
  <si>
    <t>Wetsulf Sword</t>
  </si>
  <si>
    <t>modules/a-knights-dream/Item/equip_weapon_sword_wetsulf.webp</t>
  </si>
  <si>
    <t>Wetsulf Tapal</t>
  </si>
  <si>
    <t>modules/a-knights-dream/Item/equip_weapon_tapal_wetsulf.webp</t>
  </si>
  <si>
    <t>Wetsulf Trident</t>
  </si>
  <si>
    <t>modules/a-knights-dream/Item/equip_weapon_trident_wetsulf.webp</t>
  </si>
  <si>
    <t>Wetsulf War Hammer</t>
  </si>
  <si>
    <t>modules/a-knights-dream/Item/equip_weapon_hammer_war_wetsulf.webp</t>
  </si>
  <si>
    <t>Wetsulf War Pick</t>
  </si>
  <si>
    <t>modules/a-knights-dream/Item/equip_weapon_pick_war_wetsulf.webp</t>
  </si>
  <si>
    <t>Wetsulf Brigantine Cuirass</t>
  </si>
  <si>
    <t>modules/a-knights-dream/Item/equip_armor_brigantine_cuirass_wetsulf.webp</t>
  </si>
  <si>
    <t>Wetsulf Brigantine Gauntlets</t>
  </si>
  <si>
    <t>modules/a-knights-dream/Item/equip_armor_brigantine_gauntlets_wetsulf.webp</t>
  </si>
  <si>
    <t>Wetsulf Brigantine Greaves</t>
  </si>
  <si>
    <t>modules/a-knights-dream/Item/equip_armor_brigantine_greaves_wetsulf.webp</t>
  </si>
  <si>
    <t>Wetsulf Brigantine Helmet</t>
  </si>
  <si>
    <t>modules/a-knights-dream/Item/equip_armor_brigantine_helmet_wetsulf.webp</t>
  </si>
  <si>
    <t>Wetsulf Brigantine Pauldron</t>
  </si>
  <si>
    <t>modules/a-knights-dream/Item/equip_armor_brigantine_pauldron_wetsulf.webp</t>
  </si>
  <si>
    <t>Wetsulf Chainmail Cuirass</t>
  </si>
  <si>
    <t>modules/a-knights-dream/Item/equip_armor_chainmail_cuirass_wetsulf.webp</t>
  </si>
  <si>
    <t>Wetsulf Chainmail Gauntlets</t>
  </si>
  <si>
    <t>modules/a-knights-dream/Item/equip_armor_chainmail_gauntlets_wetsulf.webp</t>
  </si>
  <si>
    <t>Wetsulf Chainmail Greaves</t>
  </si>
  <si>
    <t>modules/a-knights-dream/Item/equip_armor_chainmail_greaves_wetsulf.webp</t>
  </si>
  <si>
    <t>Wetsulf Chainmail Helmet</t>
  </si>
  <si>
    <t>modules/a-knights-dream/Item/equip_armor_chainmail_helmet_wetsulf.webp</t>
  </si>
  <si>
    <t>Wetsulf Chainmail Pauldron</t>
  </si>
  <si>
    <t>modules/a-knights-dream/Item/equip_armor_chainmail_pauldron_wetsulf.webp</t>
  </si>
  <si>
    <t>Wetsulf Gamberson Cuirass</t>
  </si>
  <si>
    <t>modules/a-knights-dream/Item/equip_armor_gamberson_cuirass_wetsulf.webp</t>
  </si>
  <si>
    <t>Wetsulf Gamberson Gauntlets</t>
  </si>
  <si>
    <t>modules/a-knights-dream/Item/equip_armor_gamberson_gauntlets_wetsulf.webp</t>
  </si>
  <si>
    <t>Wetsulf Gamberson Greaves</t>
  </si>
  <si>
    <t>modules/a-knights-dream/Item/equip_armor_gamberson_greaves_wetsulf.webp</t>
  </si>
  <si>
    <t>Wetsulf Gamberson Helmet</t>
  </si>
  <si>
    <t>modules/a-knights-dream/Item/equip_armor_gamberson_helmet_wetsulf.webp</t>
  </si>
  <si>
    <t>Wetsulf Gamberson Pauldron</t>
  </si>
  <si>
    <t>modules/a-knights-dream/Item/equip_armor_gamberson_pauldron_wetsulf.webp</t>
  </si>
  <si>
    <t>Wetsulf Hauberk Cuirass</t>
  </si>
  <si>
    <t>modules/a-knights-dream/Item/equip_armor_hauberk_cuirass_wetsulf.webp</t>
  </si>
  <si>
    <t>Wetsulf Hauberk Gauntlets</t>
  </si>
  <si>
    <t>modules/a-knights-dream/Item/equip_armor_hauberk_gauntlets_wetsulf.webp</t>
  </si>
  <si>
    <t>Wetsulf Hauberk Greaves</t>
  </si>
  <si>
    <t>modules/a-knights-dream/Item/equip_armor_hauberk_greaves_wetsulf.webp</t>
  </si>
  <si>
    <t>Wetsulf Hauberk Helmet</t>
  </si>
  <si>
    <t>modules/a-knights-dream/Item/equip_armor_hauberk_helmet_wetsulf.webp</t>
  </si>
  <si>
    <t>Wetsulf Hauberk Pauldron</t>
  </si>
  <si>
    <t>modules/a-knights-dream/Item/equip_armor_hauberk_pauldron_wetsulf.webp</t>
  </si>
  <si>
    <t>Wetsulf Jack Cuirass</t>
  </si>
  <si>
    <t>modules/a-knights-dream/Item/equip_armor_jack_cuirass_wetsulf.webp</t>
  </si>
  <si>
    <t>Wetsulf Jack Gauntlets</t>
  </si>
  <si>
    <t>modules/a-knights-dream/Item/equip_armor_jack_gauntlets_wetsulf.webp</t>
  </si>
  <si>
    <t>Wetsulf Jack Greaves</t>
  </si>
  <si>
    <t>modules/a-knights-dream/Item/equip_armor_jack_greaves_wetsulf.webp</t>
  </si>
  <si>
    <t>Wetsulf Jack Helmet</t>
  </si>
  <si>
    <t>modules/a-knights-dream/Item/equip_armor_jack_helmet_wetsulf.webp</t>
  </si>
  <si>
    <t>Wetsulf Jack Pauldron</t>
  </si>
  <si>
    <t>modules/a-knights-dream/Item/equip_armor_jack_pauldron_wetsulf.webp</t>
  </si>
  <si>
    <t>Wetsulf Lamellar Cuirass</t>
  </si>
  <si>
    <t>modules/a-knights-dream/Item/equip_armor_lamellar_cuirass_wetsulf.webp</t>
  </si>
  <si>
    <t>Wetsulf Lamellar Gauntlets</t>
  </si>
  <si>
    <t>modules/a-knights-dream/Item/equip_armor_lamellar_gauntlets_wetsulf.webp</t>
  </si>
  <si>
    <t>Wetsulf Lamellar Greaves</t>
  </si>
  <si>
    <t>modules/a-knights-dream/Item/equip_armor_lamellar_greaves_wetsulf.webp</t>
  </si>
  <si>
    <t>Wetsulf Lamellar Helmet</t>
  </si>
  <si>
    <t>modules/a-knights-dream/Item/equip_armor_lamellar_helmet_wetsulf.webp</t>
  </si>
  <si>
    <t>Wetsulf Lamellar Pauldron</t>
  </si>
  <si>
    <t>modules/a-knights-dream/Item/equip_armor_lamellar_pauldron_wetsulf.webp</t>
  </si>
  <si>
    <t>Wetsulf Platemail Cuirass</t>
  </si>
  <si>
    <t>modules/a-knights-dream/Item/equip_armor_platemail_cuirass_wetsulf.webp</t>
  </si>
  <si>
    <t>Wetsulf Platemail Gauntlets</t>
  </si>
  <si>
    <t>modules/a-knights-dream/Item/equip_armor_platemail_gauntlets_wetsulf.webp</t>
  </si>
  <si>
    <t>Wetsulf Platemail Greaves</t>
  </si>
  <si>
    <t>modules/a-knights-dream/Item/equip_armor_platemail_greaves_wetsulf.webp</t>
  </si>
  <si>
    <t>Wetsulf Platemail Helmet</t>
  </si>
  <si>
    <t>modules/a-knights-dream/Item/equip_armor_platemail_helmet_wetsulf.webp</t>
  </si>
  <si>
    <t>Wetsulf Platemail Pauldron</t>
  </si>
  <si>
    <t>modules/a-knights-dream/Item/equip_armor_platemail_pauldron_wetsulf.webp</t>
  </si>
  <si>
    <t>Wetsulf Tunic Cuirass</t>
  </si>
  <si>
    <t>modules/a-knights-dream/Item/equip_armor_tunic_cuirass_wetsulf.webp</t>
  </si>
  <si>
    <t>Wetsulf Tunic Gauntlets</t>
  </si>
  <si>
    <t>modules/a-knights-dream/Item/equip_armor_tunic_gauntlets_wetsulf.webp</t>
  </si>
  <si>
    <t>Wetsulf Tunic Greaves</t>
  </si>
  <si>
    <t>modules/a-knights-dream/Item/equip_armor_tunic_greaves_wetsulf.webp</t>
  </si>
  <si>
    <t>Wetsulf Tunic Helmet</t>
  </si>
  <si>
    <t>modules/a-knights-dream/Item/equip_armor_tunic_helmet_wetsulf.webp</t>
  </si>
  <si>
    <t>Wetsulf Tunic Pauldron</t>
  </si>
  <si>
    <t>modules/a-knights-dream/Item/equip_armor_tunic_pauldron_wetsulf.webp</t>
  </si>
  <si>
    <t>Wetsulf Buckler Shield</t>
  </si>
  <si>
    <t>modules/a-knights-dream/Item/equip_armor_shield_buckler_wetsulf.webp</t>
  </si>
  <si>
    <t>Wetsulf Heater Shield</t>
  </si>
  <si>
    <t>modules/a-knights-dream/Item/equip_armor_shield_heater_wetsulf.webp</t>
  </si>
  <si>
    <t>Wetsulf Kite Shield</t>
  </si>
  <si>
    <t>modules/a-knights-dream/Item/equip_armor_shield_kite_wetsulf.webp</t>
  </si>
  <si>
    <t>Wetsulf Oval Shield</t>
  </si>
  <si>
    <t>modules/a-knights-dream/Item/equip_armor_shield_oval_wetsulf.webp</t>
  </si>
  <si>
    <t>Wetsulf Round Shield</t>
  </si>
  <si>
    <t>modules/a-knights-dream/Item/equip_armor_shield_round_wetsulf.webp</t>
  </si>
  <si>
    <t>Wetsulf Tower Shield</t>
  </si>
  <si>
    <t>modules/a-knights-dream/Item/equip_armor_shield_tower_wetsulf.webp</t>
  </si>
  <si>
    <t>Wool</t>
  </si>
  <si>
    <t>Wool Ball Bearings</t>
  </si>
  <si>
    <t>modules/a-knights-dream/Item/equip_weapon_bearings_wool.webp</t>
  </si>
  <si>
    <t>Wool Bardiche</t>
  </si>
  <si>
    <t>modules/a-knights-dream/Item/equip_weapon_bardiche_wool.webp</t>
  </si>
  <si>
    <t>Wool Bastard Sword</t>
  </si>
  <si>
    <t>modules/a-knights-dream/Item/equip_weapon_sword_bastard_wool.webp</t>
  </si>
  <si>
    <t>Wool Battle Axe</t>
  </si>
  <si>
    <t>modules/a-knights-dream/Item/equip_weapon_axe_battle_wool.webp</t>
  </si>
  <si>
    <t>Wool Blowgun</t>
  </si>
  <si>
    <t>modules/a-knights-dream/Item/equip_weapon_blowgun_wool.webp</t>
  </si>
  <si>
    <t>Wool Bolt</t>
  </si>
  <si>
    <t>modules/a-knights-dream/Item/equip_weapon_bolt_wool.webp</t>
  </si>
  <si>
    <t>Wool Boomerang</t>
  </si>
  <si>
    <t>modules/a-knights-dream/Item/equip_weapon_boomerang_wool.webp</t>
  </si>
  <si>
    <t>Wool Bow</t>
  </si>
  <si>
    <t>modules/a-knights-dream/Item/equip_weapon_bow_wool.webp</t>
  </si>
  <si>
    <t>Wool Caltrops</t>
  </si>
  <si>
    <t>modules/a-knights-dream/Item/equip_weapon_caltrops_wool.webp</t>
  </si>
  <si>
    <t>Wool Cestus</t>
  </si>
  <si>
    <t>modules/a-knights-dream/Item/equip_weapon_cestus_wool.webp</t>
  </si>
  <si>
    <t>Wool Chain</t>
  </si>
  <si>
    <t>modules/a-knights-dream/Item/equip_weapon_chain_wool.webp</t>
  </si>
  <si>
    <t>Wool Claymore</t>
  </si>
  <si>
    <t>modules/a-knights-dream/Item/equip_weapon_claymore_wool.webp</t>
  </si>
  <si>
    <t>Wool Club</t>
  </si>
  <si>
    <t>modules/a-knights-dream/Item/equip_weapon_club_wool.webp</t>
  </si>
  <si>
    <t>Wool Compound Bow</t>
  </si>
  <si>
    <t>modules/a-knights-dream/Item/equip_weapon_bow_compound_wool.webp</t>
  </si>
  <si>
    <t>Wool Cutlass</t>
  </si>
  <si>
    <t>modules/a-knights-dream/Item/equip_weapon_cutlass_wool.webp</t>
  </si>
  <si>
    <t>Wool Dagger</t>
  </si>
  <si>
    <t>modules/a-knights-dream/Item/equip_weapon_dagger_wool.webp</t>
  </si>
  <si>
    <t>Wool Dart</t>
  </si>
  <si>
    <t>modules/a-knights-dream/Item/equip_weapon_dart_wool.webp</t>
  </si>
  <si>
    <t>Wool Fauchard Scythe</t>
  </si>
  <si>
    <t>modules/a-knights-dream/Item/equip_weapon_scythe_fauchard_wool.webp</t>
  </si>
  <si>
    <t>Wool Flail</t>
  </si>
  <si>
    <t>modules/a-knights-dream/Item/equip_weapon_flail_wool.webp</t>
  </si>
  <si>
    <t>Wool Glaive</t>
  </si>
  <si>
    <t>modules/a-knights-dream/Item/equip_weapon_glaive_wool.webp</t>
  </si>
  <si>
    <t>Wool Grapple Hook</t>
  </si>
  <si>
    <t>modules/a-knights-dream/Item/equip_weapon_hook_grapple_wool.webp</t>
  </si>
  <si>
    <t>Wool Great Axe</t>
  </si>
  <si>
    <t>modules/a-knights-dream/Item/equip_weapon_axe_great_wool.webp</t>
  </si>
  <si>
    <t>Wool Great Club</t>
  </si>
  <si>
    <t>modules/a-knights-dream/Item/equip_weapon_club_great_wool.webp</t>
  </si>
  <si>
    <t>Wool Great Khyber</t>
  </si>
  <si>
    <t>modules/a-knights-dream/Item/equip_weapon_khyber_great_wool.webp</t>
  </si>
  <si>
    <t>Wool Great Konda</t>
  </si>
  <si>
    <t>modules/a-knights-dream/Item/equip_weapon_konda_great_wool.webp</t>
  </si>
  <si>
    <t>Wool Great Labrys</t>
  </si>
  <si>
    <t>modules/a-knights-dream/Item/equip_weapon_axe_labrys_great_wool.webp</t>
  </si>
  <si>
    <t>Wool Great Mace</t>
  </si>
  <si>
    <t>modules/a-knights-dream/Item/equip_weapon_mace_great_wool.webp</t>
  </si>
  <si>
    <t>Wool Great Tapal</t>
  </si>
  <si>
    <t>modules/a-knights-dream/Item/equip_weapon_tapal_great_wool.webp</t>
  </si>
  <si>
    <t>Wool Great War Bow</t>
  </si>
  <si>
    <t>modules/a-knights-dream/Item/equip_weapon_bow_war_great_wool.webp</t>
  </si>
  <si>
    <t>Wool Great War Hammer</t>
  </si>
  <si>
    <t>modules/a-knights-dream/Item/equip_weapon_hammer_war_great_wool.webp</t>
  </si>
  <si>
    <t>Wool Great War Pick</t>
  </si>
  <si>
    <t>modules/a-knights-dream/Item/equip_weapon_pick_war_great_wool.webp</t>
  </si>
  <si>
    <t>Wool Guisarme</t>
  </si>
  <si>
    <t>modules/a-knights-dream/Item/equip_weapon_guisarme_wool.webp</t>
  </si>
  <si>
    <t>Wool Halberd</t>
  </si>
  <si>
    <t>modules/a-knights-dream/Item/equip_weapon_halberd_wool.webp</t>
  </si>
  <si>
    <t>Wool Hand Crossbow</t>
  </si>
  <si>
    <t>modules/a-knights-dream/Item/equip_weapon_crossbow_hand_wool.webp</t>
  </si>
  <si>
    <t>Wool Hand axe</t>
  </si>
  <si>
    <t>modules/a-knights-dream/Item/equip_weapon_axe_hand_wool.webp</t>
  </si>
  <si>
    <t>Wool Heavy Crossbow</t>
  </si>
  <si>
    <t>modules/a-knights-dream/Item/equip_weapon_crossbow_heavy_wool.webp</t>
  </si>
  <si>
    <t>Wool Hunting Trap</t>
  </si>
  <si>
    <t>modules/a-knights-dream/Item/equip_weapon_trap_hunting_wool.webp</t>
  </si>
  <si>
    <t>Wool Hunting Trap (Large)</t>
  </si>
  <si>
    <t>modules/a-knights-dream/Item/equip_weapon_trap_hunting_large_wool.webp</t>
  </si>
  <si>
    <t>Wool Hunting Trap (Small)</t>
  </si>
  <si>
    <t>modules/a-knights-dream/Item/equip_weapon_trap_hunting_small_wool.webp</t>
  </si>
  <si>
    <t>Wool Javelin</t>
  </si>
  <si>
    <t>modules/a-knights-dream/Item/equip_weapon_javelin_wool.webp</t>
  </si>
  <si>
    <t>Wool Khpesh</t>
  </si>
  <si>
    <t>modules/a-knights-dream/Item/equip_weapon_khpesh_wool.webp</t>
  </si>
  <si>
    <t>Wool Khyber</t>
  </si>
  <si>
    <t>modules/a-knights-dream/Item/equip_weapon_khyber_wool.webp</t>
  </si>
  <si>
    <t>Wool Konda</t>
  </si>
  <si>
    <t>modules/a-knights-dream/Item/equip_weapon_konda_wool.webp</t>
  </si>
  <si>
    <t>Wool Labrys</t>
  </si>
  <si>
    <t>modules/a-knights-dream/Item/equip_weapon_axe_labrys_wool.webp</t>
  </si>
  <si>
    <t>Wool Lance</t>
  </si>
  <si>
    <t>modules/a-knights-dream/Item/equip_weapon_lance_wool.webp</t>
  </si>
  <si>
    <t>Wool Light Crossbow</t>
  </si>
  <si>
    <t>modules/a-knights-dream/Item/equip_weapon_crossbow_light_wool.webp</t>
  </si>
  <si>
    <t>Wool Long Bow</t>
  </si>
  <si>
    <t>modules/a-knights-dream/Item/equip_weapon_bow_long_wool.webp</t>
  </si>
  <si>
    <t>Wool Long Spear</t>
  </si>
  <si>
    <t>modules/a-knights-dream/Item/equip_weapon_spear_long_wool.webp</t>
  </si>
  <si>
    <t>Wool Lucerince Hammer</t>
  </si>
  <si>
    <t>modules/a-knights-dream/Item/equip_weapon_hammer_lucerince_wool.webp</t>
  </si>
  <si>
    <t>Wool Mace</t>
  </si>
  <si>
    <t>modules/a-knights-dream/Item/equip_weapon_mace_wool.webp</t>
  </si>
  <si>
    <t>Wool Morningstar</t>
  </si>
  <si>
    <t>modules/a-knights-dream/Item/equip_weapon_morningstar_wool.webp</t>
  </si>
  <si>
    <t>Wool Pike</t>
  </si>
  <si>
    <t>modules/a-knights-dream/Item/equip_weapon_pike_wool.webp</t>
  </si>
  <si>
    <t>Wool Quarter Staff</t>
  </si>
  <si>
    <t>modules/a-knights-dream/Item/equip_weapon_staff_quarter_wool.webp</t>
  </si>
  <si>
    <t>Wool Ranseur</t>
  </si>
  <si>
    <t>modules/a-knights-dream/Item/equip_weapon_ranseur_wool.webp</t>
  </si>
  <si>
    <t>Wool Rapier</t>
  </si>
  <si>
    <t>modules/a-knights-dream/Item/equip_weapon_rapier_wool.webp</t>
  </si>
  <si>
    <t>Wool Recurve Bow</t>
  </si>
  <si>
    <t>modules/a-knights-dream/Item/equip_weapon_bow_recurve_wool.webp</t>
  </si>
  <si>
    <t>Wool Repeater Crossbow</t>
  </si>
  <si>
    <t>modules/a-knights-dream/Item/equip_weapon_crossbow_repeater_wool.webp</t>
  </si>
  <si>
    <t>Wool Sabre</t>
  </si>
  <si>
    <t>modules/a-knights-dream/Item/equip_weapon_sabre_wool.webp</t>
  </si>
  <si>
    <t>Wool Scimitar</t>
  </si>
  <si>
    <t>modules/a-knights-dream/Item/equip_weapon_scimitar_wool.webp</t>
  </si>
  <si>
    <t>Wool Scythe</t>
  </si>
  <si>
    <t>modules/a-knights-dream/Item/equip_weapon_scythe_wool.webp</t>
  </si>
  <si>
    <t>Wool Short Bow</t>
  </si>
  <si>
    <t>modules/a-knights-dream/Item/equip_weapon_bow_short_wool.webp</t>
  </si>
  <si>
    <t>Wool Short Spear</t>
  </si>
  <si>
    <t>modules/a-knights-dream/Item/equip_weapon_spear_short_wool.webp</t>
  </si>
  <si>
    <t>Wool Short Sword</t>
  </si>
  <si>
    <t>modules/a-knights-dream/Item/equip_weapon_sword_short_wool.webp</t>
  </si>
  <si>
    <t>Wool Shotel</t>
  </si>
  <si>
    <t>modules/a-knights-dream/Item/equip_weapon_shotel_wool.webp</t>
  </si>
  <si>
    <t>Wool Sickle</t>
  </si>
  <si>
    <t>modules/a-knights-dream/Item/equip_weapon_sickle_wool.webp</t>
  </si>
  <si>
    <t>Wool Sling</t>
  </si>
  <si>
    <t>modules/a-knights-dream/Item/equip_weapon_sling_wool.webp</t>
  </si>
  <si>
    <t>Wool Staff</t>
  </si>
  <si>
    <t>modules/a-knights-dream/Item/equip_weapon_staff_wool.webp</t>
  </si>
  <si>
    <t>Wool Staff Sling</t>
  </si>
  <si>
    <t>modules/a-knights-dream/Item/equip_weapon_sling_staff_wool.webp</t>
  </si>
  <si>
    <t>Wool Sword</t>
  </si>
  <si>
    <t>modules/a-knights-dream/Item/equip_weapon_sword_wool.webp</t>
  </si>
  <si>
    <t>Wool Tapal</t>
  </si>
  <si>
    <t>modules/a-knights-dream/Item/equip_weapon_tapal_wool.webp</t>
  </si>
  <si>
    <t>Wool Trident</t>
  </si>
  <si>
    <t>modules/a-knights-dream/Item/equip_weapon_trident_wool.webp</t>
  </si>
  <si>
    <t>Wool War Hammer</t>
  </si>
  <si>
    <t>modules/a-knights-dream/Item/equip_weapon_hammer_war_wool.webp</t>
  </si>
  <si>
    <t>Wool War Pick</t>
  </si>
  <si>
    <t>modules/a-knights-dream/Item/equip_weapon_pick_war_wool.webp</t>
  </si>
  <si>
    <t>Wool Brigantine Cuirass</t>
  </si>
  <si>
    <t>modules/a-knights-dream/Item/equip_armor_brigantine_cuirass_wool.webp</t>
  </si>
  <si>
    <t>Wool Brigantine Gauntlets</t>
  </si>
  <si>
    <t>modules/a-knights-dream/Item/equip_armor_brigantine_gauntlets_wool.webp</t>
  </si>
  <si>
    <t>Wool Brigantine Greaves</t>
  </si>
  <si>
    <t>modules/a-knights-dream/Item/equip_armor_brigantine_greaves_wool.webp</t>
  </si>
  <si>
    <t>Wool Brigantine Helmet</t>
  </si>
  <si>
    <t>modules/a-knights-dream/Item/equip_armor_brigantine_helmet_wool.webp</t>
  </si>
  <si>
    <t>Wool Brigantine Pauldron</t>
  </si>
  <si>
    <t>modules/a-knights-dream/Item/equip_armor_brigantine_pauldron_wool.webp</t>
  </si>
  <si>
    <t>Wool Chainmail Cuirass</t>
  </si>
  <si>
    <t>modules/a-knights-dream/Item/equip_armor_chainmail_cuirass_wool.webp</t>
  </si>
  <si>
    <t>Wool Chainmail Gauntlets</t>
  </si>
  <si>
    <t>modules/a-knights-dream/Item/equip_armor_chainmail_gauntlets_wool.webp</t>
  </si>
  <si>
    <t>Wool Chainmail Greaves</t>
  </si>
  <si>
    <t>modules/a-knights-dream/Item/equip_armor_chainmail_greaves_wool.webp</t>
  </si>
  <si>
    <t>Wool Chainmail Helmet</t>
  </si>
  <si>
    <t>modules/a-knights-dream/Item/equip_armor_chainmail_helmet_wool.webp</t>
  </si>
  <si>
    <t>Wool Chainmail Pauldron</t>
  </si>
  <si>
    <t>modules/a-knights-dream/Item/equip_armor_chainmail_pauldron_wool.webp</t>
  </si>
  <si>
    <t>Wool Gamberson Cuirass</t>
  </si>
  <si>
    <t>modules/a-knights-dream/Item/equip_armor_gamberson_cuirass_wool.webp</t>
  </si>
  <si>
    <t>Wool Gamberson Gauntlets</t>
  </si>
  <si>
    <t>modules/a-knights-dream/Item/equip_armor_gamberson_gauntlets_wool.webp</t>
  </si>
  <si>
    <t>Wool Gamberson Greaves</t>
  </si>
  <si>
    <t>modules/a-knights-dream/Item/equip_armor_gamberson_greaves_wool.webp</t>
  </si>
  <si>
    <t>Wool Gamberson Helmet</t>
  </si>
  <si>
    <t>modules/a-knights-dream/Item/equip_armor_gamberson_helmet_wool.webp</t>
  </si>
  <si>
    <t>Wool Gamberson Pauldron</t>
  </si>
  <si>
    <t>modules/a-knights-dream/Item/equip_armor_gamberson_pauldron_wool.webp</t>
  </si>
  <si>
    <t>Wool Hauberk Cuirass</t>
  </si>
  <si>
    <t>modules/a-knights-dream/Item/equip_armor_hauberk_cuirass_wool.webp</t>
  </si>
  <si>
    <t>Wool Hauberk Gauntlets</t>
  </si>
  <si>
    <t>modules/a-knights-dream/Item/equip_armor_hauberk_gauntlets_wool.webp</t>
  </si>
  <si>
    <t>Wool Hauberk Greaves</t>
  </si>
  <si>
    <t>modules/a-knights-dream/Item/equip_armor_hauberk_greaves_wool.webp</t>
  </si>
  <si>
    <t>Wool Hauberk Helmet</t>
  </si>
  <si>
    <t>modules/a-knights-dream/Item/equip_armor_hauberk_helmet_wool.webp</t>
  </si>
  <si>
    <t>Wool Hauberk Pauldron</t>
  </si>
  <si>
    <t>modules/a-knights-dream/Item/equip_armor_hauberk_pauldron_wool.webp</t>
  </si>
  <si>
    <t>Wool Jack Cuirass</t>
  </si>
  <si>
    <t>modules/a-knights-dream/Item/equip_armor_jack_cuirass_wool.webp</t>
  </si>
  <si>
    <t>Wool Jack Gauntlets</t>
  </si>
  <si>
    <t>modules/a-knights-dream/Item/equip_armor_jack_gauntlets_wool.webp</t>
  </si>
  <si>
    <t>Wool Jack Greaves</t>
  </si>
  <si>
    <t>modules/a-knights-dream/Item/equip_armor_jack_greaves_wool.webp</t>
  </si>
  <si>
    <t>Wool Jack Helmet</t>
  </si>
  <si>
    <t>modules/a-knights-dream/Item/equip_armor_jack_helmet_wool.webp</t>
  </si>
  <si>
    <t>Wool Jack Pauldron</t>
  </si>
  <si>
    <t>modules/a-knights-dream/Item/equip_armor_jack_pauldron_wool.webp</t>
  </si>
  <si>
    <t>Wool Lamellar Cuirass</t>
  </si>
  <si>
    <t>modules/a-knights-dream/Item/equip_armor_lamellar_cuirass_wool.webp</t>
  </si>
  <si>
    <t>Wool Lamellar Gauntlets</t>
  </si>
  <si>
    <t>modules/a-knights-dream/Item/equip_armor_lamellar_gauntlets_wool.webp</t>
  </si>
  <si>
    <t>Wool Lamellar Greaves</t>
  </si>
  <si>
    <t>modules/a-knights-dream/Item/equip_armor_lamellar_greaves_wool.webp</t>
  </si>
  <si>
    <t>Wool Lamellar Helmet</t>
  </si>
  <si>
    <t>modules/a-knights-dream/Item/equip_armor_lamellar_helmet_wool.webp</t>
  </si>
  <si>
    <t>Wool Lamellar Pauldron</t>
  </si>
  <si>
    <t>modules/a-knights-dream/Item/equip_armor_lamellar_pauldron_wool.webp</t>
  </si>
  <si>
    <t>Wool Platemail Cuirass</t>
  </si>
  <si>
    <t>modules/a-knights-dream/Item/equip_armor_platemail_cuirass_wool.webp</t>
  </si>
  <si>
    <t>Wool Platemail Gauntlets</t>
  </si>
  <si>
    <t>modules/a-knights-dream/Item/equip_armor_platemail_gauntlets_wool.webp</t>
  </si>
  <si>
    <t>Wool Platemail Greaves</t>
  </si>
  <si>
    <t>modules/a-knights-dream/Item/equip_armor_platemail_greaves_wool.webp</t>
  </si>
  <si>
    <t>Wool Platemail Helmet</t>
  </si>
  <si>
    <t>modules/a-knights-dream/Item/equip_armor_platemail_helmet_wool.webp</t>
  </si>
  <si>
    <t>Wool Platemail Pauldron</t>
  </si>
  <si>
    <t>modules/a-knights-dream/Item/equip_armor_platemail_pauldron_wool.webp</t>
  </si>
  <si>
    <t>Wool Tunic Cuirass</t>
  </si>
  <si>
    <t>modules/a-knights-dream/Item/equip_armor_tunic_cuirass_wool.webp</t>
  </si>
  <si>
    <t>Wool Tunic Gauntlets</t>
  </si>
  <si>
    <t>modules/a-knights-dream/Item/equip_armor_tunic_gauntlets_wool.webp</t>
  </si>
  <si>
    <t>Wool Tunic Greaves</t>
  </si>
  <si>
    <t>modules/a-knights-dream/Item/equip_armor_tunic_greaves_wool.webp</t>
  </si>
  <si>
    <t>Wool Tunic Helmet</t>
  </si>
  <si>
    <t>modules/a-knights-dream/Item/equip_armor_tunic_helmet_wool.webp</t>
  </si>
  <si>
    <t>Wool Tunic Pauldron</t>
  </si>
  <si>
    <t>modules/a-knights-dream/Item/equip_armor_tunic_pauldron_wool.webp</t>
  </si>
  <si>
    <t>Wool Buckler Shield</t>
  </si>
  <si>
    <t>modules/a-knights-dream/Item/equip_armor_shield_buckler_wool.webp</t>
  </si>
  <si>
    <t>Wool Heater Shield</t>
  </si>
  <si>
    <t>modules/a-knights-dream/Item/equip_armor_shield_heater_wool.webp</t>
  </si>
  <si>
    <t>Wool Kite Shield</t>
  </si>
  <si>
    <t>modules/a-knights-dream/Item/equip_armor_shield_kite_wool.webp</t>
  </si>
  <si>
    <t>Wool Oval Shield</t>
  </si>
  <si>
    <t>modules/a-knights-dream/Item/equip_armor_shield_oval_wool.webp</t>
  </si>
  <si>
    <t>Wool Round Shield</t>
  </si>
  <si>
    <t>modules/a-knights-dream/Item/equip_armor_shield_round_wool.webp</t>
  </si>
  <si>
    <t>Wool Tower Shield</t>
  </si>
  <si>
    <t>modules/a-knights-dream/Item/equip_armor_shield_tower_wool.webp</t>
  </si>
  <si>
    <t>Ysgardian</t>
  </si>
  <si>
    <t>Ysgardian Ball Bearings</t>
  </si>
  <si>
    <t>modules/a-knights-dream/Item/equip_weapon_bearings_ysgardian.webp</t>
  </si>
  <si>
    <t>Ysgardian Bardiche</t>
  </si>
  <si>
    <t>modules/a-knights-dream/Item/equip_weapon_bardiche_ysgardian.webp</t>
  </si>
  <si>
    <t>Ysgardian Bastard Sword</t>
  </si>
  <si>
    <t>modules/a-knights-dream/Item/equip_weapon_sword_bastard_ysgardian.webp</t>
  </si>
  <si>
    <t>Ysgardian Battle Axe</t>
  </si>
  <si>
    <t>modules/a-knights-dream/Item/equip_weapon_axe_battle_ysgardian.webp</t>
  </si>
  <si>
    <t>Ysgardian Blowgun</t>
  </si>
  <si>
    <t>modules/a-knights-dream/Item/equip_weapon_blowgun_ysgardian.webp</t>
  </si>
  <si>
    <t>Ysgardian Bolt</t>
  </si>
  <si>
    <t>modules/a-knights-dream/Item/equip_weapon_bolt_ysgardian.webp</t>
  </si>
  <si>
    <t>Ysgardian Boomerang</t>
  </si>
  <si>
    <t>modules/a-knights-dream/Item/equip_weapon_boomerang_ysgardian.webp</t>
  </si>
  <si>
    <t>Ysgardian Bow</t>
  </si>
  <si>
    <t>modules/a-knights-dream/Item/equip_weapon_bow_ysgardian.webp</t>
  </si>
  <si>
    <t>Ysgardian Caltrops</t>
  </si>
  <si>
    <t>modules/a-knights-dream/Item/equip_weapon_caltrops_ysgardian.webp</t>
  </si>
  <si>
    <t>Ysgardian Cestus</t>
  </si>
  <si>
    <t>modules/a-knights-dream/Item/equip_weapon_cestus_ysgardian.webp</t>
  </si>
  <si>
    <t>Ysgardian Chain</t>
  </si>
  <si>
    <t>modules/a-knights-dream/Item/equip_weapon_chain_ysgardian.webp</t>
  </si>
  <si>
    <t>Ysgardian Claymore</t>
  </si>
  <si>
    <t>modules/a-knights-dream/Item/equip_weapon_claymore_ysgardian.webp</t>
  </si>
  <si>
    <t>Ysgardian Club</t>
  </si>
  <si>
    <t>modules/a-knights-dream/Item/equip_weapon_club_ysgardian.webp</t>
  </si>
  <si>
    <t>Ysgardian Compound Bow</t>
  </si>
  <si>
    <t>modules/a-knights-dream/Item/equip_weapon_bow_compound_ysgardian.webp</t>
  </si>
  <si>
    <t>Ysgardian Cutlass</t>
  </si>
  <si>
    <t>modules/a-knights-dream/Item/equip_weapon_cutlass_ysgardian.webp</t>
  </si>
  <si>
    <t>Ysgardian Dagger</t>
  </si>
  <si>
    <t>modules/a-knights-dream/Item/equip_weapon_dagger_ysgardian.webp</t>
  </si>
  <si>
    <t>Ysgardian Dart</t>
  </si>
  <si>
    <t>modules/a-knights-dream/Item/equip_weapon_dart_ysgardian.webp</t>
  </si>
  <si>
    <t>Ysgardian Fauchard Scythe</t>
  </si>
  <si>
    <t>modules/a-knights-dream/Item/equip_weapon_scythe_fauchard_ysgardian.webp</t>
  </si>
  <si>
    <t>Ysgardian Flail</t>
  </si>
  <si>
    <t>modules/a-knights-dream/Item/equip_weapon_flail_ysgardian.webp</t>
  </si>
  <si>
    <t>Ysgardian Glaive</t>
  </si>
  <si>
    <t>modules/a-knights-dream/Item/equip_weapon_glaive_ysgardian.webp</t>
  </si>
  <si>
    <t>Ysgardian Grapple Hook</t>
  </si>
  <si>
    <t>modules/a-knights-dream/Item/equip_weapon_hook_grapple_ysgardian.webp</t>
  </si>
  <si>
    <t>Ysgardian Great Axe</t>
  </si>
  <si>
    <t>modules/a-knights-dream/Item/equip_weapon_axe_great_ysgardian.webp</t>
  </si>
  <si>
    <t>Ysgardian Great Club</t>
  </si>
  <si>
    <t>modules/a-knights-dream/Item/equip_weapon_club_great_ysgardian.webp</t>
  </si>
  <si>
    <t>Ysgardian Great Khyber</t>
  </si>
  <si>
    <t>modules/a-knights-dream/Item/equip_weapon_khyber_great_ysgardian.webp</t>
  </si>
  <si>
    <t>Ysgardian Great Konda</t>
  </si>
  <si>
    <t>modules/a-knights-dream/Item/equip_weapon_konda_great_ysgardian.webp</t>
  </si>
  <si>
    <t>Ysgardian Great Labrys</t>
  </si>
  <si>
    <t>modules/a-knights-dream/Item/equip_weapon_axe_labrys_great_ysgardian.webp</t>
  </si>
  <si>
    <t>Ysgardian Great Mace</t>
  </si>
  <si>
    <t>modules/a-knights-dream/Item/equip_weapon_mace_great_ysgardian.webp</t>
  </si>
  <si>
    <t>Ysgardian Great Tapal</t>
  </si>
  <si>
    <t>modules/a-knights-dream/Item/equip_weapon_tapal_great_ysgardian.webp</t>
  </si>
  <si>
    <t>Ysgardian Great War Bow</t>
  </si>
  <si>
    <t>modules/a-knights-dream/Item/equip_weapon_bow_war_great_ysgardian.webp</t>
  </si>
  <si>
    <t>Ysgardian Great War Hammer</t>
  </si>
  <si>
    <t>modules/a-knights-dream/Item/equip_weapon_hammer_war_great_ysgardian.webp</t>
  </si>
  <si>
    <t>Ysgardian Great War Pick</t>
  </si>
  <si>
    <t>modules/a-knights-dream/Item/equip_weapon_pick_war_great_ysgardian.webp</t>
  </si>
  <si>
    <t>Ysgardian Guisarme</t>
  </si>
  <si>
    <t>modules/a-knights-dream/Item/equip_weapon_guisarme_ysgardian.webp</t>
  </si>
  <si>
    <t>Ysgardian Halberd</t>
  </si>
  <si>
    <t>modules/a-knights-dream/Item/equip_weapon_halberd_ysgardian.webp</t>
  </si>
  <si>
    <t>Ysgardian Hand Crossbow</t>
  </si>
  <si>
    <t>modules/a-knights-dream/Item/equip_weapon_crossbow_hand_ysgardian.webp</t>
  </si>
  <si>
    <t>Ysgardian Hand axe</t>
  </si>
  <si>
    <t>modules/a-knights-dream/Item/equip_weapon_axe_hand_ysgardian.webp</t>
  </si>
  <si>
    <t>Ysgardian Heavy Crossbow</t>
  </si>
  <si>
    <t>modules/a-knights-dream/Item/equip_weapon_crossbow_heavy_ysgardian.webp</t>
  </si>
  <si>
    <t>Ysgardian Hunting Trap</t>
  </si>
  <si>
    <t>modules/a-knights-dream/Item/equip_weapon_trap_hunting_ysgardian.webp</t>
  </si>
  <si>
    <t>Ysgardian Hunting Trap (Large)</t>
  </si>
  <si>
    <t>modules/a-knights-dream/Item/equip_weapon_trap_hunting_large_ysgardian.webp</t>
  </si>
  <si>
    <t>Ysgardian Hunting Trap (Small)</t>
  </si>
  <si>
    <t>modules/a-knights-dream/Item/equip_weapon_trap_hunting_small_ysgardian.webp</t>
  </si>
  <si>
    <t>Ysgardian Javelin</t>
  </si>
  <si>
    <t>modules/a-knights-dream/Item/equip_weapon_javelin_ysgardian.webp</t>
  </si>
  <si>
    <t>Ysgardian Khpesh</t>
  </si>
  <si>
    <t>modules/a-knights-dream/Item/equip_weapon_khpesh_ysgardian.webp</t>
  </si>
  <si>
    <t>Ysgardian Khyber</t>
  </si>
  <si>
    <t>modules/a-knights-dream/Item/equip_weapon_khyber_ysgardian.webp</t>
  </si>
  <si>
    <t>Ysgardian Konda</t>
  </si>
  <si>
    <t>modules/a-knights-dream/Item/equip_weapon_konda_ysgardian.webp</t>
  </si>
  <si>
    <t>Ysgardian Labrys</t>
  </si>
  <si>
    <t>modules/a-knights-dream/Item/equip_weapon_axe_labrys_ysgardian.webp</t>
  </si>
  <si>
    <t>Ysgardian Lance</t>
  </si>
  <si>
    <t>modules/a-knights-dream/Item/equip_weapon_lance_ysgardian.webp</t>
  </si>
  <si>
    <t>Ysgardian Light Crossbow</t>
  </si>
  <si>
    <t>modules/a-knights-dream/Item/equip_weapon_crossbow_light_ysgardian.webp</t>
  </si>
  <si>
    <t>Ysgardian Long Bow</t>
  </si>
  <si>
    <t>modules/a-knights-dream/Item/equip_weapon_bow_long_ysgardian.webp</t>
  </si>
  <si>
    <t>Ysgardian Long Spear</t>
  </si>
  <si>
    <t>modules/a-knights-dream/Item/equip_weapon_spear_long_ysgardian.webp</t>
  </si>
  <si>
    <t>Ysgardian Lucerince Hammer</t>
  </si>
  <si>
    <t>modules/a-knights-dream/Item/equip_weapon_hammer_lucerince_ysgardian.webp</t>
  </si>
  <si>
    <t>Ysgardian Mace</t>
  </si>
  <si>
    <t>modules/a-knights-dream/Item/equip_weapon_mace_ysgardian.webp</t>
  </si>
  <si>
    <t>Ysgardian Morningstar</t>
  </si>
  <si>
    <t>modules/a-knights-dream/Item/equip_weapon_morningstar_ysgardian.webp</t>
  </si>
  <si>
    <t>Ysgardian Pike</t>
  </si>
  <si>
    <t>modules/a-knights-dream/Item/equip_weapon_pike_ysgardian.webp</t>
  </si>
  <si>
    <t>Ysgardian Quarter Staff</t>
  </si>
  <si>
    <t>modules/a-knights-dream/Item/equip_weapon_staff_quarter_ysgardian.webp</t>
  </si>
  <si>
    <t>Ysgardian Ranseur</t>
  </si>
  <si>
    <t>modules/a-knights-dream/Item/equip_weapon_ranseur_ysgardian.webp</t>
  </si>
  <si>
    <t>Ysgardian Rapier</t>
  </si>
  <si>
    <t>modules/a-knights-dream/Item/equip_weapon_rapier_ysgardian.webp</t>
  </si>
  <si>
    <t>Ysgardian Recurve Bow</t>
  </si>
  <si>
    <t>modules/a-knights-dream/Item/equip_weapon_bow_recurve_ysgardian.webp</t>
  </si>
  <si>
    <t>Ysgardian Repeater Crossbow</t>
  </si>
  <si>
    <t>modules/a-knights-dream/Item/equip_weapon_crossbow_repeater_ysgardian.webp</t>
  </si>
  <si>
    <t>Ysgardian Sabre</t>
  </si>
  <si>
    <t>modules/a-knights-dream/Item/equip_weapon_sabre_ysgardian.webp</t>
  </si>
  <si>
    <t>Ysgardian Scimitar</t>
  </si>
  <si>
    <t>modules/a-knights-dream/Item/equip_weapon_scimitar_ysgardian.webp</t>
  </si>
  <si>
    <t>Ysgardian Scythe</t>
  </si>
  <si>
    <t>modules/a-knights-dream/Item/equip_weapon_scythe_ysgardian.webp</t>
  </si>
  <si>
    <t>Ysgardian Short Bow</t>
  </si>
  <si>
    <t>modules/a-knights-dream/Item/equip_weapon_bow_short_ysgardian.webp</t>
  </si>
  <si>
    <t>Ysgardian Short Spear</t>
  </si>
  <si>
    <t>modules/a-knights-dream/Item/equip_weapon_spear_short_ysgardian.webp</t>
  </si>
  <si>
    <t>Ysgardian Short Sword</t>
  </si>
  <si>
    <t>modules/a-knights-dream/Item/equip_weapon_sword_short_ysgardian.webp</t>
  </si>
  <si>
    <t>Ysgardian Shotel</t>
  </si>
  <si>
    <t>modules/a-knights-dream/Item/equip_weapon_shotel_ysgardian.webp</t>
  </si>
  <si>
    <t>Ysgardian Sickle</t>
  </si>
  <si>
    <t>modules/a-knights-dream/Item/equip_weapon_sickle_ysgardian.webp</t>
  </si>
  <si>
    <t>Ysgardian Sling</t>
  </si>
  <si>
    <t>modules/a-knights-dream/Item/equip_weapon_sling_ysgardian.webp</t>
  </si>
  <si>
    <t>Ysgardian Staff</t>
  </si>
  <si>
    <t>modules/a-knights-dream/Item/equip_weapon_staff_ysgardian.webp</t>
  </si>
  <si>
    <t>Ysgardian Staff Sling</t>
  </si>
  <si>
    <t>modules/a-knights-dream/Item/equip_weapon_sling_staff_ysgardian.webp</t>
  </si>
  <si>
    <t>Ysgardian Sword</t>
  </si>
  <si>
    <t>modules/a-knights-dream/Item/equip_weapon_sword_ysgardian.webp</t>
  </si>
  <si>
    <t>Ysgardian Tapal</t>
  </si>
  <si>
    <t>modules/a-knights-dream/Item/equip_weapon_tapal_ysgardian.webp</t>
  </si>
  <si>
    <t>Ysgardian Trident</t>
  </si>
  <si>
    <t>modules/a-knights-dream/Item/equip_weapon_trident_ysgardian.webp</t>
  </si>
  <si>
    <t>Ysgardian War Hammer</t>
  </si>
  <si>
    <t>modules/a-knights-dream/Item/equip_weapon_hammer_war_ysgardian.webp</t>
  </si>
  <si>
    <t>Ysgardian War Pick</t>
  </si>
  <si>
    <t>modules/a-knights-dream/Item/equip_weapon_pick_war_ysgardian.webp</t>
  </si>
  <si>
    <t>Ysgardian Brigantine Cuirass</t>
  </si>
  <si>
    <t>modules/a-knights-dream/Item/equip_armor_brigantine_cuirass_ysgardian.webp</t>
  </si>
  <si>
    <t>Ysgardian Brigantine Gauntlets</t>
  </si>
  <si>
    <t>modules/a-knights-dream/Item/equip_armor_brigantine_gauntlets_ysgardian.webp</t>
  </si>
  <si>
    <t>Ysgardian Brigantine Greaves</t>
  </si>
  <si>
    <t>modules/a-knights-dream/Item/equip_armor_brigantine_greaves_ysgardian.webp</t>
  </si>
  <si>
    <t>Ysgardian Brigantine Helmet</t>
  </si>
  <si>
    <t>modules/a-knights-dream/Item/equip_armor_brigantine_helmet_ysgardian.webp</t>
  </si>
  <si>
    <t>Ysgardian Brigantine Pauldron</t>
  </si>
  <si>
    <t>modules/a-knights-dream/Item/equip_armor_brigantine_pauldron_ysgardian.webp</t>
  </si>
  <si>
    <t>Ysgardian Chainmail Cuirass</t>
  </si>
  <si>
    <t>modules/a-knights-dream/Item/equip_armor_chainmail_cuirass_ysgardian.webp</t>
  </si>
  <si>
    <t>Ysgardian Chainmail Gauntlets</t>
  </si>
  <si>
    <t>modules/a-knights-dream/Item/equip_armor_chainmail_gauntlets_ysgardian.webp</t>
  </si>
  <si>
    <t>Ysgardian Chainmail Greaves</t>
  </si>
  <si>
    <t>modules/a-knights-dream/Item/equip_armor_chainmail_greaves_ysgardian.webp</t>
  </si>
  <si>
    <t>Ysgardian Chainmail Helmet</t>
  </si>
  <si>
    <t>modules/a-knights-dream/Item/equip_armor_chainmail_helmet_ysgardian.webp</t>
  </si>
  <si>
    <t>Ysgardian Chainmail Pauldron</t>
  </si>
  <si>
    <t>modules/a-knights-dream/Item/equip_armor_chainmail_pauldron_ysgardian.webp</t>
  </si>
  <si>
    <t>Ysgardian Gamberson Cuirass</t>
  </si>
  <si>
    <t>modules/a-knights-dream/Item/equip_armor_gamberson_cuirass_ysgardian.webp</t>
  </si>
  <si>
    <t>Ysgardian Gamberson Gauntlets</t>
  </si>
  <si>
    <t>modules/a-knights-dream/Item/equip_armor_gamberson_gauntlets_ysgardian.webp</t>
  </si>
  <si>
    <t>Ysgardian Gamberson Greaves</t>
  </si>
  <si>
    <t>modules/a-knights-dream/Item/equip_armor_gamberson_greaves_ysgardian.webp</t>
  </si>
  <si>
    <t>Ysgardian Gamberson Helmet</t>
  </si>
  <si>
    <t>modules/a-knights-dream/Item/equip_armor_gamberson_helmet_ysgardian.webp</t>
  </si>
  <si>
    <t>Ysgardian Gamberson Pauldron</t>
  </si>
  <si>
    <t>modules/a-knights-dream/Item/equip_armor_gamberson_pauldron_ysgardian.webp</t>
  </si>
  <si>
    <t>Ysgardian Hauberk Cuirass</t>
  </si>
  <si>
    <t>modules/a-knights-dream/Item/equip_armor_hauberk_cuirass_ysgardian.webp</t>
  </si>
  <si>
    <t>Ysgardian Hauberk Gauntlets</t>
  </si>
  <si>
    <t>modules/a-knights-dream/Item/equip_armor_hauberk_gauntlets_ysgardian.webp</t>
  </si>
  <si>
    <t>Ysgardian Hauberk Greaves</t>
  </si>
  <si>
    <t>modules/a-knights-dream/Item/equip_armor_hauberk_greaves_ysgardian.webp</t>
  </si>
  <si>
    <t>Ysgardian Hauberk Helmet</t>
  </si>
  <si>
    <t>modules/a-knights-dream/Item/equip_armor_hauberk_helmet_ysgardian.webp</t>
  </si>
  <si>
    <t>Ysgardian Hauberk Pauldron</t>
  </si>
  <si>
    <t>modules/a-knights-dream/Item/equip_armor_hauberk_pauldron_ysgardian.webp</t>
  </si>
  <si>
    <t>Ysgardian Jack Cuirass</t>
  </si>
  <si>
    <t>modules/a-knights-dream/Item/equip_armor_jack_cuirass_ysgardian.webp</t>
  </si>
  <si>
    <t>Ysgardian Jack Gauntlets</t>
  </si>
  <si>
    <t>modules/a-knights-dream/Item/equip_armor_jack_gauntlets_ysgardian.webp</t>
  </si>
  <si>
    <t>Ysgardian Jack Greaves</t>
  </si>
  <si>
    <t>modules/a-knights-dream/Item/equip_armor_jack_greaves_ysgardian.webp</t>
  </si>
  <si>
    <t>Ysgardian Jack Helmet</t>
  </si>
  <si>
    <t>modules/a-knights-dream/Item/equip_armor_jack_helmet_ysgardian.webp</t>
  </si>
  <si>
    <t>Ysgardian Jack Pauldron</t>
  </si>
  <si>
    <t>modules/a-knights-dream/Item/equip_armor_jack_pauldron_ysgardian.webp</t>
  </si>
  <si>
    <t>Ysgardian Lamellar Cuirass</t>
  </si>
  <si>
    <t>modules/a-knights-dream/Item/equip_armor_lamellar_cuirass_ysgardian.webp</t>
  </si>
  <si>
    <t>Ysgardian Lamellar Gauntlets</t>
  </si>
  <si>
    <t>modules/a-knights-dream/Item/equip_armor_lamellar_gauntlets_ysgardian.webp</t>
  </si>
  <si>
    <t>Ysgardian Lamellar Greaves</t>
  </si>
  <si>
    <t>modules/a-knights-dream/Item/equip_armor_lamellar_greaves_ysgardian.webp</t>
  </si>
  <si>
    <t>Ysgardian Lamellar Helmet</t>
  </si>
  <si>
    <t>modules/a-knights-dream/Item/equip_armor_lamellar_helmet_ysgardian.webp</t>
  </si>
  <si>
    <t>Ysgardian Lamellar Pauldron</t>
  </si>
  <si>
    <t>modules/a-knights-dream/Item/equip_armor_lamellar_pauldron_ysgardian.webp</t>
  </si>
  <si>
    <t>Ysgardian Platemail Cuirass</t>
  </si>
  <si>
    <t>modules/a-knights-dream/Item/equip_armor_platemail_cuirass_ysgardian.webp</t>
  </si>
  <si>
    <t>Ysgardian Platemail Gauntlets</t>
  </si>
  <si>
    <t>modules/a-knights-dream/Item/equip_armor_platemail_gauntlets_ysgardian.webp</t>
  </si>
  <si>
    <t>Ysgardian Platemail Greaves</t>
  </si>
  <si>
    <t>modules/a-knights-dream/Item/equip_armor_platemail_greaves_ysgardian.webp</t>
  </si>
  <si>
    <t>Ysgardian Platemail Helmet</t>
  </si>
  <si>
    <t>modules/a-knights-dream/Item/equip_armor_platemail_helmet_ysgardian.webp</t>
  </si>
  <si>
    <t>Ysgardian Platemail Pauldron</t>
  </si>
  <si>
    <t>modules/a-knights-dream/Item/equip_armor_platemail_pauldron_ysgardian.webp</t>
  </si>
  <si>
    <t>Ysgardian Tunic Cuirass</t>
  </si>
  <si>
    <t>modules/a-knights-dream/Item/equip_armor_tunic_cuirass_ysgardian.webp</t>
  </si>
  <si>
    <t>Ysgardian Tunic Gauntlets</t>
  </si>
  <si>
    <t>modules/a-knights-dream/Item/equip_armor_tunic_gauntlets_ysgardian.webp</t>
  </si>
  <si>
    <t>Ysgardian Tunic Greaves</t>
  </si>
  <si>
    <t>modules/a-knights-dream/Item/equip_armor_tunic_greaves_ysgardian.webp</t>
  </si>
  <si>
    <t>Ysgardian Tunic Helmet</t>
  </si>
  <si>
    <t>modules/a-knights-dream/Item/equip_armor_tunic_helmet_ysgardian.webp</t>
  </si>
  <si>
    <t>Ysgardian Tunic Pauldron</t>
  </si>
  <si>
    <t>modules/a-knights-dream/Item/equip_armor_tunic_pauldron_ysgardian.webp</t>
  </si>
  <si>
    <t>Ysgardian Buckler Shield</t>
  </si>
  <si>
    <t>modules/a-knights-dream/Item/equip_armor_shield_buckler_ysgardian.webp</t>
  </si>
  <si>
    <t>Ysgardian Heater Shield</t>
  </si>
  <si>
    <t>modules/a-knights-dream/Item/equip_armor_shield_heater_ysgardian.webp</t>
  </si>
  <si>
    <t>Ysgardian Kite Shield</t>
  </si>
  <si>
    <t>modules/a-knights-dream/Item/equip_armor_shield_kite_ysgardian.webp</t>
  </si>
  <si>
    <t>Ysgardian Oval Shield</t>
  </si>
  <si>
    <t>modules/a-knights-dream/Item/equip_armor_shield_oval_ysgardian.webp</t>
  </si>
  <si>
    <t>Ysgardian Round Shield</t>
  </si>
  <si>
    <t>modules/a-knights-dream/Item/equip_armor_shield_round_ysgardian.webp</t>
  </si>
  <si>
    <t>Ysgardian Tower Shield</t>
  </si>
  <si>
    <t>modules/a-knights-dream/Item/equip_armor_shield_tower_ysgardian.webp</t>
  </si>
  <si>
    <t>Leather</t>
  </si>
  <si>
    <t>Abyski</t>
  </si>
  <si>
    <t>Abyski Ball Bearings</t>
  </si>
  <si>
    <t>modules/a-knights-dream/Item/equip_weapon_bearings_abyski.webp</t>
  </si>
  <si>
    <t>Abyski Bardiche</t>
  </si>
  <si>
    <t>modules/a-knights-dream/Item/equip_weapon_bardiche_abyski.webp</t>
  </si>
  <si>
    <t>Abyski Bastard Sword</t>
  </si>
  <si>
    <t>modules/a-knights-dream/Item/equip_weapon_sword_bastard_abyski.webp</t>
  </si>
  <si>
    <t>Abyski Battle Axe</t>
  </si>
  <si>
    <t>modules/a-knights-dream/Item/equip_weapon_axe_battle_abyski.webp</t>
  </si>
  <si>
    <t>Abyski Blowgun</t>
  </si>
  <si>
    <t>modules/a-knights-dream/Item/equip_weapon_blowgun_abyski.webp</t>
  </si>
  <si>
    <t>Abyski Bolt</t>
  </si>
  <si>
    <t>modules/a-knights-dream/Item/equip_weapon_bolt_abyski.webp</t>
  </si>
  <si>
    <t>Abyski Boomerang</t>
  </si>
  <si>
    <t>modules/a-knights-dream/Item/equip_weapon_boomerang_abyski.webp</t>
  </si>
  <si>
    <t>Abyski Bow</t>
  </si>
  <si>
    <t>modules/a-knights-dream/Item/equip_weapon_bow_abyski.webp</t>
  </si>
  <si>
    <t>Abyski Caltrops</t>
  </si>
  <si>
    <t>modules/a-knights-dream/Item/equip_weapon_caltrops_abyski.webp</t>
  </si>
  <si>
    <t>Abyski Cestus</t>
  </si>
  <si>
    <t>modules/a-knights-dream/Item/equip_weapon_cestus_abyski.webp</t>
  </si>
  <si>
    <t>Abyski Chain</t>
  </si>
  <si>
    <t>modules/a-knights-dream/Item/equip_weapon_chain_abyski.webp</t>
  </si>
  <si>
    <t>Abyski Claymore</t>
  </si>
  <si>
    <t>modules/a-knights-dream/Item/equip_weapon_claymore_abyski.webp</t>
  </si>
  <si>
    <t>Abyski Club</t>
  </si>
  <si>
    <t>modules/a-knights-dream/Item/equip_weapon_club_abyski.webp</t>
  </si>
  <si>
    <t>Abyski Compound Bow</t>
  </si>
  <si>
    <t>modules/a-knights-dream/Item/equip_weapon_bow_compound_abyski.webp</t>
  </si>
  <si>
    <t>Abyski Cutlass</t>
  </si>
  <si>
    <t>modules/a-knights-dream/Item/equip_weapon_cutlass_abyski.webp</t>
  </si>
  <si>
    <t>Abyski Dagger</t>
  </si>
  <si>
    <t>modules/a-knights-dream/Item/equip_weapon_dagger_abyski.webp</t>
  </si>
  <si>
    <t>Abyski Dart</t>
  </si>
  <si>
    <t>modules/a-knights-dream/Item/equip_weapon_dart_abyski.webp</t>
  </si>
  <si>
    <t>Abyski Fauchard Scythe</t>
  </si>
  <si>
    <t>modules/a-knights-dream/Item/equip_weapon_scythe_fauchard_abyski.webp</t>
  </si>
  <si>
    <t>Abyski Flail</t>
  </si>
  <si>
    <t>modules/a-knights-dream/Item/equip_weapon_flail_abyski.webp</t>
  </si>
  <si>
    <t>Abyski Glaive</t>
  </si>
  <si>
    <t>modules/a-knights-dream/Item/equip_weapon_glaive_abyski.webp</t>
  </si>
  <si>
    <t>Abyski Grapple Hook</t>
  </si>
  <si>
    <t>modules/a-knights-dream/Item/equip_weapon_hook_grapple_abyski.webp</t>
  </si>
  <si>
    <t>Abyski Great Axe</t>
  </si>
  <si>
    <t>modules/a-knights-dream/Item/equip_weapon_axe_great_abyski.webp</t>
  </si>
  <si>
    <t>Abyski Great Club</t>
  </si>
  <si>
    <t>modules/a-knights-dream/Item/equip_weapon_club_great_abyski.webp</t>
  </si>
  <si>
    <t>Abyski Great Khyber</t>
  </si>
  <si>
    <t>modules/a-knights-dream/Item/equip_weapon_khyber_great_abyski.webp</t>
  </si>
  <si>
    <t>Abyski Great Konda</t>
  </si>
  <si>
    <t>modules/a-knights-dream/Item/equip_weapon_konda_great_abyski.webp</t>
  </si>
  <si>
    <t>Abyski Great Labrys</t>
  </si>
  <si>
    <t>modules/a-knights-dream/Item/equip_weapon_axe_labrys_great_abyski.webp</t>
  </si>
  <si>
    <t>Abyski Great Mace</t>
  </si>
  <si>
    <t>modules/a-knights-dream/Item/equip_weapon_mace_great_abyski.webp</t>
  </si>
  <si>
    <t>Abyski Great Tapal</t>
  </si>
  <si>
    <t>modules/a-knights-dream/Item/equip_weapon_tapal_great_abyski.webp</t>
  </si>
  <si>
    <t>Abyski Great War Bow</t>
  </si>
  <si>
    <t>modules/a-knights-dream/Item/equip_weapon_bow_war_great_abyski.webp</t>
  </si>
  <si>
    <t>Abyski Great War Hammer</t>
  </si>
  <si>
    <t>modules/a-knights-dream/Item/equip_weapon_hammer_war_great_abyski.webp</t>
  </si>
  <si>
    <t>Abyski Great War Pick</t>
  </si>
  <si>
    <t>modules/a-knights-dream/Item/equip_weapon_pick_war_great_abyski.webp</t>
  </si>
  <si>
    <t>Abyski Guisarme</t>
  </si>
  <si>
    <t>modules/a-knights-dream/Item/equip_weapon_guisarme_abyski.webp</t>
  </si>
  <si>
    <t>Abyski Halberd</t>
  </si>
  <si>
    <t>modules/a-knights-dream/Item/equip_weapon_halberd_abyski.webp</t>
  </si>
  <si>
    <t>Abyski Hand Crossbow</t>
  </si>
  <si>
    <t>modules/a-knights-dream/Item/equip_weapon_crossbow_hand_abyski.webp</t>
  </si>
  <si>
    <t>Abyski Hand axe</t>
  </si>
  <si>
    <t>modules/a-knights-dream/Item/equip_weapon_axe_hand_abyski.webp</t>
  </si>
  <si>
    <t>Abyski Heavy Crossbow</t>
  </si>
  <si>
    <t>modules/a-knights-dream/Item/equip_weapon_crossbow_heavy_abyski.webp</t>
  </si>
  <si>
    <t>Abyski Hunting Trap</t>
  </si>
  <si>
    <t>modules/a-knights-dream/Item/equip_weapon_trap_hunting_abyski.webp</t>
  </si>
  <si>
    <t>Abyski Hunting Trap (Large)</t>
  </si>
  <si>
    <t>modules/a-knights-dream/Item/equip_weapon_trap_hunting_large_abyski.webp</t>
  </si>
  <si>
    <t>Abyski Hunting Trap (Small)</t>
  </si>
  <si>
    <t>modules/a-knights-dream/Item/equip_weapon_trap_hunting_small_abyski.webp</t>
  </si>
  <si>
    <t>Abyski Javelin</t>
  </si>
  <si>
    <t>modules/a-knights-dream/Item/equip_weapon_javelin_abyski.webp</t>
  </si>
  <si>
    <t>Abyski Khpesh</t>
  </si>
  <si>
    <t>modules/a-knights-dream/Item/equip_weapon_khpesh_abyski.webp</t>
  </si>
  <si>
    <t>Abyski Khyber</t>
  </si>
  <si>
    <t>modules/a-knights-dream/Item/equip_weapon_khyber_abyski.webp</t>
  </si>
  <si>
    <t>Abyski Konda</t>
  </si>
  <si>
    <t>modules/a-knights-dream/Item/equip_weapon_konda_abyski.webp</t>
  </si>
  <si>
    <t>Abyski Labrys</t>
  </si>
  <si>
    <t>modules/a-knights-dream/Item/equip_weapon_axe_labrys_abyski.webp</t>
  </si>
  <si>
    <t>Abyski Lance</t>
  </si>
  <si>
    <t>modules/a-knights-dream/Item/equip_weapon_lance_abyski.webp</t>
  </si>
  <si>
    <t>Abyski Light Crossbow</t>
  </si>
  <si>
    <t>modules/a-knights-dream/Item/equip_weapon_crossbow_light_abyski.webp</t>
  </si>
  <si>
    <t>Abyski Long Bow</t>
  </si>
  <si>
    <t>modules/a-knights-dream/Item/equip_weapon_bow_long_abyski.webp</t>
  </si>
  <si>
    <t>Abyski Long Spear</t>
  </si>
  <si>
    <t>modules/a-knights-dream/Item/equip_weapon_spear_long_abyski.webp</t>
  </si>
  <si>
    <t>Abyski Lucerince Hammer</t>
  </si>
  <si>
    <t>modules/a-knights-dream/Item/equip_weapon_hammer_lucerince_abyski.webp</t>
  </si>
  <si>
    <t>Abyski Mace</t>
  </si>
  <si>
    <t>modules/a-knights-dream/Item/equip_weapon_mace_abyski.webp</t>
  </si>
  <si>
    <t>Abyski Morningstar</t>
  </si>
  <si>
    <t>modules/a-knights-dream/Item/equip_weapon_morningstar_abyski.webp</t>
  </si>
  <si>
    <t>Abyski Pike</t>
  </si>
  <si>
    <t>modules/a-knights-dream/Item/equip_weapon_pike_abyski.webp</t>
  </si>
  <si>
    <t>Abyski Quarter Staff</t>
  </si>
  <si>
    <t>modules/a-knights-dream/Item/equip_weapon_staff_quarter_abyski.webp</t>
  </si>
  <si>
    <t>Abyski Ranseur</t>
  </si>
  <si>
    <t>modules/a-knights-dream/Item/equip_weapon_ranseur_abyski.webp</t>
  </si>
  <si>
    <t>Abyski Rapier</t>
  </si>
  <si>
    <t>modules/a-knights-dream/Item/equip_weapon_rapier_abyski.webp</t>
  </si>
  <si>
    <t>Abyski Recurve Bow</t>
  </si>
  <si>
    <t>modules/a-knights-dream/Item/equip_weapon_bow_recurve_abyski.webp</t>
  </si>
  <si>
    <t>Abyski Repeater Crossbow</t>
  </si>
  <si>
    <t>modules/a-knights-dream/Item/equip_weapon_crossbow_repeater_abyski.webp</t>
  </si>
  <si>
    <t>Abyski Sabre</t>
  </si>
  <si>
    <t>modules/a-knights-dream/Item/equip_weapon_sabre_abyski.webp</t>
  </si>
  <si>
    <t>Abyski Scimitar</t>
  </si>
  <si>
    <t>modules/a-knights-dream/Item/equip_weapon_scimitar_abyski.webp</t>
  </si>
  <si>
    <t>Abyski Scythe</t>
  </si>
  <si>
    <t>modules/a-knights-dream/Item/equip_weapon_scythe_abyski.webp</t>
  </si>
  <si>
    <t>Abyski Short Bow</t>
  </si>
  <si>
    <t>modules/a-knights-dream/Item/equip_weapon_bow_short_abyski.webp</t>
  </si>
  <si>
    <t>Abyski Short Spear</t>
  </si>
  <si>
    <t>modules/a-knights-dream/Item/equip_weapon_spear_short_abyski.webp</t>
  </si>
  <si>
    <t>Abyski Short Sword</t>
  </si>
  <si>
    <t>modules/a-knights-dream/Item/equip_weapon_sword_short_abyski.webp</t>
  </si>
  <si>
    <t>Abyski Shotel</t>
  </si>
  <si>
    <t>modules/a-knights-dream/Item/equip_weapon_shotel_abyski.webp</t>
  </si>
  <si>
    <t>Abyski Sickle</t>
  </si>
  <si>
    <t>modules/a-knights-dream/Item/equip_weapon_sickle_abyski.webp</t>
  </si>
  <si>
    <t>Abyski Sling</t>
  </si>
  <si>
    <t>modules/a-knights-dream/Item/equip_weapon_sling_abyski.webp</t>
  </si>
  <si>
    <t>Abyski Staff</t>
  </si>
  <si>
    <t>modules/a-knights-dream/Item/equip_weapon_staff_abyski.webp</t>
  </si>
  <si>
    <t>Abyski Staff Sling</t>
  </si>
  <si>
    <t>modules/a-knights-dream/Item/equip_weapon_sling_staff_abyski.webp</t>
  </si>
  <si>
    <t>Abyski Sword</t>
  </si>
  <si>
    <t>modules/a-knights-dream/Item/equip_weapon_sword_abyski.webp</t>
  </si>
  <si>
    <t>Abyski Tapal</t>
  </si>
  <si>
    <t>modules/a-knights-dream/Item/equip_weapon_tapal_abyski.webp</t>
  </si>
  <si>
    <t>Abyski Trident</t>
  </si>
  <si>
    <t>modules/a-knights-dream/Item/equip_weapon_trident_abyski.webp</t>
  </si>
  <si>
    <t>Abyski War Hammer</t>
  </si>
  <si>
    <t>modules/a-knights-dream/Item/equip_weapon_hammer_war_abyski.webp</t>
  </si>
  <si>
    <t>Abyski War Pick</t>
  </si>
  <si>
    <t>modules/a-knights-dream/Item/equip_weapon_pick_war_abyski.webp</t>
  </si>
  <si>
    <t>Abyski Brigantine Cuirass</t>
  </si>
  <si>
    <t>modules/a-knights-dream/Item/equip_armor_brigantine_cuirass_abyski.webp</t>
  </si>
  <si>
    <t>Abyski Brigantine Gauntlets</t>
  </si>
  <si>
    <t>modules/a-knights-dream/Item/equip_armor_brigantine_gauntlets_abyski.webp</t>
  </si>
  <si>
    <t>Abyski Brigantine Greaves</t>
  </si>
  <si>
    <t>modules/a-knights-dream/Item/equip_armor_brigantine_greaves_abyski.webp</t>
  </si>
  <si>
    <t>Abyski Brigantine Helmet</t>
  </si>
  <si>
    <t>modules/a-knights-dream/Item/equip_armor_brigantine_helmet_abyski.webp</t>
  </si>
  <si>
    <t>Abyski Brigantine Pauldron</t>
  </si>
  <si>
    <t>modules/a-knights-dream/Item/equip_armor_brigantine_pauldron_abyski.webp</t>
  </si>
  <si>
    <t>Abyski Chainmail Cuirass</t>
  </si>
  <si>
    <t>modules/a-knights-dream/Item/equip_armor_chainmail_cuirass_abyski.webp</t>
  </si>
  <si>
    <t>Abyski Chainmail Gauntlets</t>
  </si>
  <si>
    <t>modules/a-knights-dream/Item/equip_armor_chainmail_gauntlets_abyski.webp</t>
  </si>
  <si>
    <t>Abyski Chainmail Greaves</t>
  </si>
  <si>
    <t>modules/a-knights-dream/Item/equip_armor_chainmail_greaves_abyski.webp</t>
  </si>
  <si>
    <t>Abyski Chainmail Helmet</t>
  </si>
  <si>
    <t>modules/a-knights-dream/Item/equip_armor_chainmail_helmet_abyski.webp</t>
  </si>
  <si>
    <t>Abyski Chainmail Pauldron</t>
  </si>
  <si>
    <t>modules/a-knights-dream/Item/equip_armor_chainmail_pauldron_abyski.webp</t>
  </si>
  <si>
    <t>Abyski Gamberson Cuirass</t>
  </si>
  <si>
    <t>modules/a-knights-dream/Item/equip_armor_gamberson_cuirass_abyski.webp</t>
  </si>
  <si>
    <t>Abyski Gamberson Gauntlets</t>
  </si>
  <si>
    <t>modules/a-knights-dream/Item/equip_armor_gamberson_gauntlets_abyski.webp</t>
  </si>
  <si>
    <t>Abyski Gamberson Greaves</t>
  </si>
  <si>
    <t>modules/a-knights-dream/Item/equip_armor_gamberson_greaves_abyski.webp</t>
  </si>
  <si>
    <t>Abyski Gamberson Helmet</t>
  </si>
  <si>
    <t>modules/a-knights-dream/Item/equip_armor_gamberson_helmet_abyski.webp</t>
  </si>
  <si>
    <t>Abyski Gamberson Pauldron</t>
  </si>
  <si>
    <t>modules/a-knights-dream/Item/equip_armor_gamberson_pauldron_abyski.webp</t>
  </si>
  <si>
    <t>Abyski Hauberk Cuirass</t>
  </si>
  <si>
    <t>modules/a-knights-dream/Item/equip_armor_hauberk_cuirass_abyski.webp</t>
  </si>
  <si>
    <t>Abyski Hauberk Gauntlets</t>
  </si>
  <si>
    <t>modules/a-knights-dream/Item/equip_armor_hauberk_gauntlets_abyski.webp</t>
  </si>
  <si>
    <t>Abyski Hauberk Greaves</t>
  </si>
  <si>
    <t>modules/a-knights-dream/Item/equip_armor_hauberk_greaves_abyski.webp</t>
  </si>
  <si>
    <t>Abyski Hauberk Helmet</t>
  </si>
  <si>
    <t>modules/a-knights-dream/Item/equip_armor_hauberk_helmet_abyski.webp</t>
  </si>
  <si>
    <t>Abyski Hauberk Pauldron</t>
  </si>
  <si>
    <t>modules/a-knights-dream/Item/equip_armor_hauberk_pauldron_abyski.webp</t>
  </si>
  <si>
    <t>Abyski Jack Cuirass</t>
  </si>
  <si>
    <t>modules/a-knights-dream/Item/equip_armor_jack_cuirass_abyski.webp</t>
  </si>
  <si>
    <t>Abyski Jack Gauntlets</t>
  </si>
  <si>
    <t>modules/a-knights-dream/Item/equip_armor_jack_gauntlets_abyski.webp</t>
  </si>
  <si>
    <t>Abyski Jack Greaves</t>
  </si>
  <si>
    <t>modules/a-knights-dream/Item/equip_armor_jack_greaves_abyski.webp</t>
  </si>
  <si>
    <t>Abyski Jack Helmet</t>
  </si>
  <si>
    <t>modules/a-knights-dream/Item/equip_armor_jack_helmet_abyski.webp</t>
  </si>
  <si>
    <t>Abyski Jack Pauldron</t>
  </si>
  <si>
    <t>modules/a-knights-dream/Item/equip_armor_jack_pauldron_abyski.webp</t>
  </si>
  <si>
    <t>Abyski Lamellar Cuirass</t>
  </si>
  <si>
    <t>modules/a-knights-dream/Item/equip_armor_lamellar_cuirass_abyski.webp</t>
  </si>
  <si>
    <t>Abyski Lamellar Gauntlets</t>
  </si>
  <si>
    <t>modules/a-knights-dream/Item/equip_armor_lamellar_gauntlets_abyski.webp</t>
  </si>
  <si>
    <t>Abyski Lamellar Greaves</t>
  </si>
  <si>
    <t>modules/a-knights-dream/Item/equip_armor_lamellar_greaves_abyski.webp</t>
  </si>
  <si>
    <t>Abyski Lamellar Helmet</t>
  </si>
  <si>
    <t>modules/a-knights-dream/Item/equip_armor_lamellar_helmet_abyski.webp</t>
  </si>
  <si>
    <t>Abyski Lamellar Pauldron</t>
  </si>
  <si>
    <t>modules/a-knights-dream/Item/equip_armor_lamellar_pauldron_abyski.webp</t>
  </si>
  <si>
    <t>Abyski Platemail Cuirass</t>
  </si>
  <si>
    <t>modules/a-knights-dream/Item/equip_armor_platemail_cuirass_abyski.webp</t>
  </si>
  <si>
    <t>Abyski Platemail Gauntlets</t>
  </si>
  <si>
    <t>modules/a-knights-dream/Item/equip_armor_platemail_gauntlets_abyski.webp</t>
  </si>
  <si>
    <t>Abyski Platemail Greaves</t>
  </si>
  <si>
    <t>modules/a-knights-dream/Item/equip_armor_platemail_greaves_abyski.webp</t>
  </si>
  <si>
    <t>Abyski Platemail Helmet</t>
  </si>
  <si>
    <t>modules/a-knights-dream/Item/equip_armor_platemail_helmet_abyski.webp</t>
  </si>
  <si>
    <t>Abyski Platemail Pauldron</t>
  </si>
  <si>
    <t>modules/a-knights-dream/Item/equip_armor_platemail_pauldron_abyski.webp</t>
  </si>
  <si>
    <t>Abyski Tunic Cuirass</t>
  </si>
  <si>
    <t>modules/a-knights-dream/Item/equip_armor_tunic_cuirass_abyski.webp</t>
  </si>
  <si>
    <t>Abyski Tunic Gauntlets</t>
  </si>
  <si>
    <t>modules/a-knights-dream/Item/equip_armor_tunic_gauntlets_abyski.webp</t>
  </si>
  <si>
    <t>Abyski Tunic Greaves</t>
  </si>
  <si>
    <t>modules/a-knights-dream/Item/equip_armor_tunic_greaves_abyski.webp</t>
  </si>
  <si>
    <t>Abyski Tunic Helmet</t>
  </si>
  <si>
    <t>modules/a-knights-dream/Item/equip_armor_tunic_helmet_abyski.webp</t>
  </si>
  <si>
    <t>Abyski Tunic Pauldron</t>
  </si>
  <si>
    <t>modules/a-knights-dream/Item/equip_armor_tunic_pauldron_abyski.webp</t>
  </si>
  <si>
    <t>Abyski Buckler Shield</t>
  </si>
  <si>
    <t>modules/a-knights-dream/Item/equip_armor_shield_buckler_abyski.webp</t>
  </si>
  <si>
    <t>Abyski Heater Shield</t>
  </si>
  <si>
    <t>modules/a-knights-dream/Item/equip_armor_shield_heater_abyski.webp</t>
  </si>
  <si>
    <t>Abyski Kite Shield</t>
  </si>
  <si>
    <t>modules/a-knights-dream/Item/equip_armor_shield_kite_abyski.webp</t>
  </si>
  <si>
    <t>Abyski Oval Shield</t>
  </si>
  <si>
    <t>modules/a-knights-dream/Item/equip_armor_shield_oval_abyski.webp</t>
  </si>
  <si>
    <t>Abyski Round Shield</t>
  </si>
  <si>
    <t>modules/a-knights-dream/Item/equip_armor_shield_round_abyski.webp</t>
  </si>
  <si>
    <t>Abyski Tower Shield</t>
  </si>
  <si>
    <t>modules/a-knights-dream/Item/equip_armor_shield_tower_abyski.webp</t>
  </si>
  <si>
    <t>Boiplate</t>
  </si>
  <si>
    <t>Boiplate Ball Bearings</t>
  </si>
  <si>
    <t>modules/a-knights-dream/Item/equip_weapon_bearings_boiplate.webp</t>
  </si>
  <si>
    <t>Boiplate Bardiche</t>
  </si>
  <si>
    <t>modules/a-knights-dream/Item/equip_weapon_bardiche_boiplate.webp</t>
  </si>
  <si>
    <t>Boiplate Bastard Sword</t>
  </si>
  <si>
    <t>modules/a-knights-dream/Item/equip_weapon_sword_bastard_boiplate.webp</t>
  </si>
  <si>
    <t>Boiplate Battle Axe</t>
  </si>
  <si>
    <t>modules/a-knights-dream/Item/equip_weapon_axe_battle_boiplate.webp</t>
  </si>
  <si>
    <t>Boiplate Blowgun</t>
  </si>
  <si>
    <t>modules/a-knights-dream/Item/equip_weapon_blowgun_boiplate.webp</t>
  </si>
  <si>
    <t>Boiplate Bolt</t>
  </si>
  <si>
    <t>modules/a-knights-dream/Item/equip_weapon_bolt_boiplate.webp</t>
  </si>
  <si>
    <t>Boiplate Boomerang</t>
  </si>
  <si>
    <t>modules/a-knights-dream/Item/equip_weapon_boomerang_boiplate.webp</t>
  </si>
  <si>
    <t>Boiplate Bow</t>
  </si>
  <si>
    <t>modules/a-knights-dream/Item/equip_weapon_bow_boiplate.webp</t>
  </si>
  <si>
    <t>Boiplate Caltrops</t>
  </si>
  <si>
    <t>modules/a-knights-dream/Item/equip_weapon_caltrops_boiplate.webp</t>
  </si>
  <si>
    <t>Boiplate Cestus</t>
  </si>
  <si>
    <t>modules/a-knights-dream/Item/equip_weapon_cestus_boiplate.webp</t>
  </si>
  <si>
    <t>Boiplate Chain</t>
  </si>
  <si>
    <t>modules/a-knights-dream/Item/equip_weapon_chain_boiplate.webp</t>
  </si>
  <si>
    <t>Boiplate Claymore</t>
  </si>
  <si>
    <t>modules/a-knights-dream/Item/equip_weapon_claymore_boiplate.webp</t>
  </si>
  <si>
    <t>Boiplate Club</t>
  </si>
  <si>
    <t>modules/a-knights-dream/Item/equip_weapon_club_boiplate.webp</t>
  </si>
  <si>
    <t>Boiplate Compound Bow</t>
  </si>
  <si>
    <t>modules/a-knights-dream/Item/equip_weapon_bow_compound_boiplate.webp</t>
  </si>
  <si>
    <t>Boiplate Cutlass</t>
  </si>
  <si>
    <t>modules/a-knights-dream/Item/equip_weapon_cutlass_boiplate.webp</t>
  </si>
  <si>
    <t>Boiplate Dagger</t>
  </si>
  <si>
    <t>modules/a-knights-dream/Item/equip_weapon_dagger_boiplate.webp</t>
  </si>
  <si>
    <t>Boiplate Dart</t>
  </si>
  <si>
    <t>modules/a-knights-dream/Item/equip_weapon_dart_boiplate.webp</t>
  </si>
  <si>
    <t>Boiplate Fauchard Scythe</t>
  </si>
  <si>
    <t>modules/a-knights-dream/Item/equip_weapon_scythe_fauchard_boiplate.webp</t>
  </si>
  <si>
    <t>Boiplate Flail</t>
  </si>
  <si>
    <t>modules/a-knights-dream/Item/equip_weapon_flail_boiplate.webp</t>
  </si>
  <si>
    <t>Boiplate Glaive</t>
  </si>
  <si>
    <t>modules/a-knights-dream/Item/equip_weapon_glaive_boiplate.webp</t>
  </si>
  <si>
    <t>Boiplate Grapple Hook</t>
  </si>
  <si>
    <t>modules/a-knights-dream/Item/equip_weapon_hook_grapple_boiplate.webp</t>
  </si>
  <si>
    <t>Boiplate Great Axe</t>
  </si>
  <si>
    <t>modules/a-knights-dream/Item/equip_weapon_axe_great_boiplate.webp</t>
  </si>
  <si>
    <t>Boiplate Great Club</t>
  </si>
  <si>
    <t>modules/a-knights-dream/Item/equip_weapon_club_great_boiplate.webp</t>
  </si>
  <si>
    <t>Boiplate Great Khyber</t>
  </si>
  <si>
    <t>modules/a-knights-dream/Item/equip_weapon_khyber_great_boiplate.webp</t>
  </si>
  <si>
    <t>Boiplate Great Konda</t>
  </si>
  <si>
    <t>modules/a-knights-dream/Item/equip_weapon_konda_great_boiplate.webp</t>
  </si>
  <si>
    <t>Boiplate Great Labrys</t>
  </si>
  <si>
    <t>modules/a-knights-dream/Item/equip_weapon_axe_labrys_great_boiplate.webp</t>
  </si>
  <si>
    <t>Boiplate Great Mace</t>
  </si>
  <si>
    <t>modules/a-knights-dream/Item/equip_weapon_mace_great_boiplate.webp</t>
  </si>
  <si>
    <t>Boiplate Great Tapal</t>
  </si>
  <si>
    <t>modules/a-knights-dream/Item/equip_weapon_tapal_great_boiplate.webp</t>
  </si>
  <si>
    <t>Boiplate Great War Bow</t>
  </si>
  <si>
    <t>modules/a-knights-dream/Item/equip_weapon_bow_war_great_boiplate.webp</t>
  </si>
  <si>
    <t>Boiplate Great War Hammer</t>
  </si>
  <si>
    <t>modules/a-knights-dream/Item/equip_weapon_hammer_war_great_boiplate.webp</t>
  </si>
  <si>
    <t>Boiplate Great War Pick</t>
  </si>
  <si>
    <t>modules/a-knights-dream/Item/equip_weapon_pick_war_great_boiplate.webp</t>
  </si>
  <si>
    <t>Boiplate Guisarme</t>
  </si>
  <si>
    <t>modules/a-knights-dream/Item/equip_weapon_guisarme_boiplate.webp</t>
  </si>
  <si>
    <t>Boiplate Halberd</t>
  </si>
  <si>
    <t>modules/a-knights-dream/Item/equip_weapon_halberd_boiplate.webp</t>
  </si>
  <si>
    <t>Boiplate Hand Crossbow</t>
  </si>
  <si>
    <t>modules/a-knights-dream/Item/equip_weapon_crossbow_hand_boiplate.webp</t>
  </si>
  <si>
    <t>Boiplate Hand axe</t>
  </si>
  <si>
    <t>modules/a-knights-dream/Item/equip_weapon_axe_hand_boiplate.webp</t>
  </si>
  <si>
    <t>Boiplate Heavy Crossbow</t>
  </si>
  <si>
    <t>modules/a-knights-dream/Item/equip_weapon_crossbow_heavy_boiplate.webp</t>
  </si>
  <si>
    <t>Boiplate Hunting Trap</t>
  </si>
  <si>
    <t>modules/a-knights-dream/Item/equip_weapon_trap_hunting_boiplate.webp</t>
  </si>
  <si>
    <t>Boiplate Hunting Trap (Large)</t>
  </si>
  <si>
    <t>modules/a-knights-dream/Item/equip_weapon_trap_hunting_large_boiplate.webp</t>
  </si>
  <si>
    <t>Boiplate Hunting Trap (Small)</t>
  </si>
  <si>
    <t>modules/a-knights-dream/Item/equip_weapon_trap_hunting_small_boiplate.webp</t>
  </si>
  <si>
    <t>Boiplate Javelin</t>
  </si>
  <si>
    <t>modules/a-knights-dream/Item/equip_weapon_javelin_boiplate.webp</t>
  </si>
  <si>
    <t>Boiplate Khpesh</t>
  </si>
  <si>
    <t>modules/a-knights-dream/Item/equip_weapon_khpesh_boiplate.webp</t>
  </si>
  <si>
    <t>Boiplate Khyber</t>
  </si>
  <si>
    <t>modules/a-knights-dream/Item/equip_weapon_khyber_boiplate.webp</t>
  </si>
  <si>
    <t>Boiplate Konda</t>
  </si>
  <si>
    <t>modules/a-knights-dream/Item/equip_weapon_konda_boiplate.webp</t>
  </si>
  <si>
    <t>Boiplate Labrys</t>
  </si>
  <si>
    <t>modules/a-knights-dream/Item/equip_weapon_axe_labrys_boiplate.webp</t>
  </si>
  <si>
    <t>Boiplate Lance</t>
  </si>
  <si>
    <t>modules/a-knights-dream/Item/equip_weapon_lance_boiplate.webp</t>
  </si>
  <si>
    <t>Boiplate Light Crossbow</t>
  </si>
  <si>
    <t>modules/a-knights-dream/Item/equip_weapon_crossbow_light_boiplate.webp</t>
  </si>
  <si>
    <t>Boiplate Long Bow</t>
  </si>
  <si>
    <t>modules/a-knights-dream/Item/equip_weapon_bow_long_boiplate.webp</t>
  </si>
  <si>
    <t>Boiplate Long Spear</t>
  </si>
  <si>
    <t>modules/a-knights-dream/Item/equip_weapon_spear_long_boiplate.webp</t>
  </si>
  <si>
    <t>Boiplate Lucerince Hammer</t>
  </si>
  <si>
    <t>modules/a-knights-dream/Item/equip_weapon_hammer_lucerince_boiplate.webp</t>
  </si>
  <si>
    <t>Boiplate Mace</t>
  </si>
  <si>
    <t>modules/a-knights-dream/Item/equip_weapon_mace_boiplate.webp</t>
  </si>
  <si>
    <t>Boiplate Morningstar</t>
  </si>
  <si>
    <t>modules/a-knights-dream/Item/equip_weapon_morningstar_boiplate.webp</t>
  </si>
  <si>
    <t>Boiplate Pike</t>
  </si>
  <si>
    <t>modules/a-knights-dream/Item/equip_weapon_pike_boiplate.webp</t>
  </si>
  <si>
    <t>Boiplate Quarter Staff</t>
  </si>
  <si>
    <t>modules/a-knights-dream/Item/equip_weapon_staff_quarter_boiplate.webp</t>
  </si>
  <si>
    <t>Boiplate Ranseur</t>
  </si>
  <si>
    <t>modules/a-knights-dream/Item/equip_weapon_ranseur_boiplate.webp</t>
  </si>
  <si>
    <t>Boiplate Rapier</t>
  </si>
  <si>
    <t>modules/a-knights-dream/Item/equip_weapon_rapier_boiplate.webp</t>
  </si>
  <si>
    <t>Boiplate Recurve Bow</t>
  </si>
  <si>
    <t>modules/a-knights-dream/Item/equip_weapon_bow_recurve_boiplate.webp</t>
  </si>
  <si>
    <t>Boiplate Repeater Crossbow</t>
  </si>
  <si>
    <t>modules/a-knights-dream/Item/equip_weapon_crossbow_repeater_boiplate.webp</t>
  </si>
  <si>
    <t>Boiplate Sabre</t>
  </si>
  <si>
    <t>modules/a-knights-dream/Item/equip_weapon_sabre_boiplate.webp</t>
  </si>
  <si>
    <t>Boiplate Scimitar</t>
  </si>
  <si>
    <t>modules/a-knights-dream/Item/equip_weapon_scimitar_boiplate.webp</t>
  </si>
  <si>
    <t>Boiplate Scythe</t>
  </si>
  <si>
    <t>modules/a-knights-dream/Item/equip_weapon_scythe_boiplate.webp</t>
  </si>
  <si>
    <t>Boiplate Short Bow</t>
  </si>
  <si>
    <t>modules/a-knights-dream/Item/equip_weapon_bow_short_boiplate.webp</t>
  </si>
  <si>
    <t>Boiplate Short Spear</t>
  </si>
  <si>
    <t>modules/a-knights-dream/Item/equip_weapon_spear_short_boiplate.webp</t>
  </si>
  <si>
    <t>Boiplate Short Sword</t>
  </si>
  <si>
    <t>modules/a-knights-dream/Item/equip_weapon_sword_short_boiplate.webp</t>
  </si>
  <si>
    <t>Boiplate Shotel</t>
  </si>
  <si>
    <t>modules/a-knights-dream/Item/equip_weapon_shotel_boiplate.webp</t>
  </si>
  <si>
    <t>Boiplate Sickle</t>
  </si>
  <si>
    <t>modules/a-knights-dream/Item/equip_weapon_sickle_boiplate.webp</t>
  </si>
  <si>
    <t>Boiplate Sling</t>
  </si>
  <si>
    <t>modules/a-knights-dream/Item/equip_weapon_sling_boiplate.webp</t>
  </si>
  <si>
    <t>Boiplate Staff</t>
  </si>
  <si>
    <t>modules/a-knights-dream/Item/equip_weapon_staff_boiplate.webp</t>
  </si>
  <si>
    <t>Boiplate Staff Sling</t>
  </si>
  <si>
    <t>modules/a-knights-dream/Item/equip_weapon_sling_staff_boiplate.webp</t>
  </si>
  <si>
    <t>Boiplate Sword</t>
  </si>
  <si>
    <t>modules/a-knights-dream/Item/equip_weapon_sword_boiplate.webp</t>
  </si>
  <si>
    <t>Boiplate Tapal</t>
  </si>
  <si>
    <t>modules/a-knights-dream/Item/equip_weapon_tapal_boiplate.webp</t>
  </si>
  <si>
    <t>Boiplate Trident</t>
  </si>
  <si>
    <t>modules/a-knights-dream/Item/equip_weapon_trident_boiplate.webp</t>
  </si>
  <si>
    <t>Boiplate War Hammer</t>
  </si>
  <si>
    <t>modules/a-knights-dream/Item/equip_weapon_hammer_war_boiplate.webp</t>
  </si>
  <si>
    <t>Boiplate War Pick</t>
  </si>
  <si>
    <t>modules/a-knights-dream/Item/equip_weapon_pick_war_boiplate.webp</t>
  </si>
  <si>
    <t>Boiplate Brigantine Cuirass</t>
  </si>
  <si>
    <t>modules/a-knights-dream/Item/equip_armor_brigantine_cuirass_boiplate.webp</t>
  </si>
  <si>
    <t>Boiplate Brigantine Gauntlets</t>
  </si>
  <si>
    <t>modules/a-knights-dream/Item/equip_armor_brigantine_gauntlets_boiplate.webp</t>
  </si>
  <si>
    <t>Boiplate Brigantine Greaves</t>
  </si>
  <si>
    <t>modules/a-knights-dream/Item/equip_armor_brigantine_greaves_boiplate.webp</t>
  </si>
  <si>
    <t>Boiplate Brigantine Helmet</t>
  </si>
  <si>
    <t>modules/a-knights-dream/Item/equip_armor_brigantine_helmet_boiplate.webp</t>
  </si>
  <si>
    <t>Boiplate Brigantine Pauldron</t>
  </si>
  <si>
    <t>modules/a-knights-dream/Item/equip_armor_brigantine_pauldron_boiplate.webp</t>
  </si>
  <si>
    <t>Boiplate Chainmail Cuirass</t>
  </si>
  <si>
    <t>modules/a-knights-dream/Item/equip_armor_chainmail_cuirass_boiplate.webp</t>
  </si>
  <si>
    <t>Boiplate Chainmail Gauntlets</t>
  </si>
  <si>
    <t>modules/a-knights-dream/Item/equip_armor_chainmail_gauntlets_boiplate.webp</t>
  </si>
  <si>
    <t>Boiplate Chainmail Greaves</t>
  </si>
  <si>
    <t>modules/a-knights-dream/Item/equip_armor_chainmail_greaves_boiplate.webp</t>
  </si>
  <si>
    <t>Boiplate Chainmail Helmet</t>
  </si>
  <si>
    <t>modules/a-knights-dream/Item/equip_armor_chainmail_helmet_boiplate.webp</t>
  </si>
  <si>
    <t>Boiplate Chainmail Pauldron</t>
  </si>
  <si>
    <t>modules/a-knights-dream/Item/equip_armor_chainmail_pauldron_boiplate.webp</t>
  </si>
  <si>
    <t>Boiplate Gamberson Cuirass</t>
  </si>
  <si>
    <t>modules/a-knights-dream/Item/equip_armor_gamberson_cuirass_boiplate.webp</t>
  </si>
  <si>
    <t>Boiplate Gamberson Gauntlets</t>
  </si>
  <si>
    <t>modules/a-knights-dream/Item/equip_armor_gamberson_gauntlets_boiplate.webp</t>
  </si>
  <si>
    <t>Boiplate Gamberson Greaves</t>
  </si>
  <si>
    <t>modules/a-knights-dream/Item/equip_armor_gamberson_greaves_boiplate.webp</t>
  </si>
  <si>
    <t>Boiplate Gamberson Helmet</t>
  </si>
  <si>
    <t>modules/a-knights-dream/Item/equip_armor_gamberson_helmet_boiplate.webp</t>
  </si>
  <si>
    <t>Boiplate Gamberson Pauldron</t>
  </si>
  <si>
    <t>modules/a-knights-dream/Item/equip_armor_gamberson_pauldron_boiplate.webp</t>
  </si>
  <si>
    <t>Boiplate Hauberk Cuirass</t>
  </si>
  <si>
    <t>modules/a-knights-dream/Item/equip_armor_hauberk_cuirass_boiplate.webp</t>
  </si>
  <si>
    <t>Boiplate Hauberk Gauntlets</t>
  </si>
  <si>
    <t>modules/a-knights-dream/Item/equip_armor_hauberk_gauntlets_boiplate.webp</t>
  </si>
  <si>
    <t>Boiplate Hauberk Greaves</t>
  </si>
  <si>
    <t>modules/a-knights-dream/Item/equip_armor_hauberk_greaves_boiplate.webp</t>
  </si>
  <si>
    <t>Boiplate Hauberk Helmet</t>
  </si>
  <si>
    <t>modules/a-knights-dream/Item/equip_armor_hauberk_helmet_boiplate.webp</t>
  </si>
  <si>
    <t>Boiplate Hauberk Pauldron</t>
  </si>
  <si>
    <t>modules/a-knights-dream/Item/equip_armor_hauberk_pauldron_boiplate.webp</t>
  </si>
  <si>
    <t>Boiplate Jack Cuirass</t>
  </si>
  <si>
    <t>modules/a-knights-dream/Item/equip_armor_jack_cuirass_boiplate.webp</t>
  </si>
  <si>
    <t>Boiplate Jack Gauntlets</t>
  </si>
  <si>
    <t>modules/a-knights-dream/Item/equip_armor_jack_gauntlets_boiplate.webp</t>
  </si>
  <si>
    <t>Boiplate Jack Greaves</t>
  </si>
  <si>
    <t>modules/a-knights-dream/Item/equip_armor_jack_greaves_boiplate.webp</t>
  </si>
  <si>
    <t>Boiplate Jack Helmet</t>
  </si>
  <si>
    <t>modules/a-knights-dream/Item/equip_armor_jack_helmet_boiplate.webp</t>
  </si>
  <si>
    <t>Boiplate Jack Pauldron</t>
  </si>
  <si>
    <t>modules/a-knights-dream/Item/equip_armor_jack_pauldron_boiplate.webp</t>
  </si>
  <si>
    <t>Boiplate Lamellar Cuirass</t>
  </si>
  <si>
    <t>modules/a-knights-dream/Item/equip_armor_lamellar_cuirass_boiplate.webp</t>
  </si>
  <si>
    <t>Boiplate Lamellar Gauntlets</t>
  </si>
  <si>
    <t>modules/a-knights-dream/Item/equip_armor_lamellar_gauntlets_boiplate.webp</t>
  </si>
  <si>
    <t>Boiplate Lamellar Greaves</t>
  </si>
  <si>
    <t>modules/a-knights-dream/Item/equip_armor_lamellar_greaves_boiplate.webp</t>
  </si>
  <si>
    <t>Boiplate Lamellar Helmet</t>
  </si>
  <si>
    <t>modules/a-knights-dream/Item/equip_armor_lamellar_helmet_boiplate.webp</t>
  </si>
  <si>
    <t>Boiplate Lamellar Pauldron</t>
  </si>
  <si>
    <t>modules/a-knights-dream/Item/equip_armor_lamellar_pauldron_boiplate.webp</t>
  </si>
  <si>
    <t>Boiplate Platemail Cuirass</t>
  </si>
  <si>
    <t>modules/a-knights-dream/Item/equip_armor_platemail_cuirass_boiplate.webp</t>
  </si>
  <si>
    <t>Boiplate Platemail Gauntlets</t>
  </si>
  <si>
    <t>modules/a-knights-dream/Item/equip_armor_platemail_gauntlets_boiplate.webp</t>
  </si>
  <si>
    <t>Boiplate Platemail Greaves</t>
  </si>
  <si>
    <t>modules/a-knights-dream/Item/equip_armor_platemail_greaves_boiplate.webp</t>
  </si>
  <si>
    <t>Boiplate Platemail Helmet</t>
  </si>
  <si>
    <t>modules/a-knights-dream/Item/equip_armor_platemail_helmet_boiplate.webp</t>
  </si>
  <si>
    <t>Boiplate Platemail Pauldron</t>
  </si>
  <si>
    <t>modules/a-knights-dream/Item/equip_armor_platemail_pauldron_boiplate.webp</t>
  </si>
  <si>
    <t>Boiplate Tunic Cuirass</t>
  </si>
  <si>
    <t>modules/a-knights-dream/Item/equip_armor_tunic_cuirass_boiplate.webp</t>
  </si>
  <si>
    <t>Boiplate Tunic Gauntlets</t>
  </si>
  <si>
    <t>modules/a-knights-dream/Item/equip_armor_tunic_gauntlets_boiplate.webp</t>
  </si>
  <si>
    <t>Boiplate Tunic Greaves</t>
  </si>
  <si>
    <t>modules/a-knights-dream/Item/equip_armor_tunic_greaves_boiplate.webp</t>
  </si>
  <si>
    <t>Boiplate Tunic Helmet</t>
  </si>
  <si>
    <t>modules/a-knights-dream/Item/equip_armor_tunic_helmet_boiplate.webp</t>
  </si>
  <si>
    <t>Boiplate Tunic Pauldron</t>
  </si>
  <si>
    <t>modules/a-knights-dream/Item/equip_armor_tunic_pauldron_boiplate.webp</t>
  </si>
  <si>
    <t>Boiplate Buckler Shield</t>
  </si>
  <si>
    <t>modules/a-knights-dream/Item/equip_armor_shield_buckler_boiplate.webp</t>
  </si>
  <si>
    <t>Boiplate Heater Shield</t>
  </si>
  <si>
    <t>modules/a-knights-dream/Item/equip_armor_shield_heater_boiplate.webp</t>
  </si>
  <si>
    <t>Boiplate Kite Shield</t>
  </si>
  <si>
    <t>modules/a-knights-dream/Item/equip_armor_shield_kite_boiplate.webp</t>
  </si>
  <si>
    <t>Boiplate Oval Shield</t>
  </si>
  <si>
    <t>modules/a-knights-dream/Item/equip_armor_shield_oval_boiplate.webp</t>
  </si>
  <si>
    <t>Boiplate Round Shield</t>
  </si>
  <si>
    <t>modules/a-knights-dream/Item/equip_armor_shield_round_boiplate.webp</t>
  </si>
  <si>
    <t>Boiplate Tower Shield</t>
  </si>
  <si>
    <t>modules/a-knights-dream/Item/equip_armor_shield_tower_boiplate.webp</t>
  </si>
  <si>
    <t>Cuero</t>
  </si>
  <si>
    <t>Cuero Ball Bearings</t>
  </si>
  <si>
    <t>modules/a-knights-dream/Item/equip_weapon_bearings_cuero.webp</t>
  </si>
  <si>
    <t>Cuero Bardiche</t>
  </si>
  <si>
    <t>modules/a-knights-dream/Item/equip_weapon_bardiche_cuero.webp</t>
  </si>
  <si>
    <t>Cuero Bastard Sword</t>
  </si>
  <si>
    <t>modules/a-knights-dream/Item/equip_weapon_sword_bastard_cuero.webp</t>
  </si>
  <si>
    <t>Cuero Battle Axe</t>
  </si>
  <si>
    <t>modules/a-knights-dream/Item/equip_weapon_axe_battle_cuero.webp</t>
  </si>
  <si>
    <t>Cuero Blowgun</t>
  </si>
  <si>
    <t>modules/a-knights-dream/Item/equip_weapon_blowgun_cuero.webp</t>
  </si>
  <si>
    <t>Cuero Bolt</t>
  </si>
  <si>
    <t>modules/a-knights-dream/Item/equip_weapon_bolt_cuero.webp</t>
  </si>
  <si>
    <t>Cuero Boomerang</t>
  </si>
  <si>
    <t>modules/a-knights-dream/Item/equip_weapon_boomerang_cuero.webp</t>
  </si>
  <si>
    <t>Cuero Bow</t>
  </si>
  <si>
    <t>modules/a-knights-dream/Item/equip_weapon_bow_cuero.webp</t>
  </si>
  <si>
    <t>Cuero Caltrops</t>
  </si>
  <si>
    <t>modules/a-knights-dream/Item/equip_weapon_caltrops_cuero.webp</t>
  </si>
  <si>
    <t>Cuero Cestus</t>
  </si>
  <si>
    <t>modules/a-knights-dream/Item/equip_weapon_cestus_cuero.webp</t>
  </si>
  <si>
    <t>Cuero Chain</t>
  </si>
  <si>
    <t>modules/a-knights-dream/Item/equip_weapon_chain_cuero.webp</t>
  </si>
  <si>
    <t>Cuero Claymore</t>
  </si>
  <si>
    <t>modules/a-knights-dream/Item/equip_weapon_claymore_cuero.webp</t>
  </si>
  <si>
    <t>Cuero Club</t>
  </si>
  <si>
    <t>modules/a-knights-dream/Item/equip_weapon_club_cuero.webp</t>
  </si>
  <si>
    <t>Cuero Compound Bow</t>
  </si>
  <si>
    <t>modules/a-knights-dream/Item/equip_weapon_bow_compound_cuero.webp</t>
  </si>
  <si>
    <t>Cuero Cutlass</t>
  </si>
  <si>
    <t>modules/a-knights-dream/Item/equip_weapon_cutlass_cuero.webp</t>
  </si>
  <si>
    <t>Cuero Dagger</t>
  </si>
  <si>
    <t>modules/a-knights-dream/Item/equip_weapon_dagger_cuero.webp</t>
  </si>
  <si>
    <t>Cuero Dart</t>
  </si>
  <si>
    <t>modules/a-knights-dream/Item/equip_weapon_dart_cuero.webp</t>
  </si>
  <si>
    <t>Cuero Fauchard Scythe</t>
  </si>
  <si>
    <t>modules/a-knights-dream/Item/equip_weapon_scythe_fauchard_cuero.webp</t>
  </si>
  <si>
    <t>Cuero Flail</t>
  </si>
  <si>
    <t>modules/a-knights-dream/Item/equip_weapon_flail_cuero.webp</t>
  </si>
  <si>
    <t>Cuero Glaive</t>
  </si>
  <si>
    <t>modules/a-knights-dream/Item/equip_weapon_glaive_cuero.webp</t>
  </si>
  <si>
    <t>Cuero Grapple Hook</t>
  </si>
  <si>
    <t>modules/a-knights-dream/Item/equip_weapon_hook_grapple_cuero.webp</t>
  </si>
  <si>
    <t>Cuero Great Axe</t>
  </si>
  <si>
    <t>modules/a-knights-dream/Item/equip_weapon_axe_great_cuero.webp</t>
  </si>
  <si>
    <t>Cuero Great Club</t>
  </si>
  <si>
    <t>modules/a-knights-dream/Item/equip_weapon_club_great_cuero.webp</t>
  </si>
  <si>
    <t>Cuero Great Khyber</t>
  </si>
  <si>
    <t>modules/a-knights-dream/Item/equip_weapon_khyber_great_cuero.webp</t>
  </si>
  <si>
    <t>Cuero Great Konda</t>
  </si>
  <si>
    <t>modules/a-knights-dream/Item/equip_weapon_konda_great_cuero.webp</t>
  </si>
  <si>
    <t>Cuero Great Labrys</t>
  </si>
  <si>
    <t>modules/a-knights-dream/Item/equip_weapon_axe_labrys_great_cuero.webp</t>
  </si>
  <si>
    <t>Cuero Great Mace</t>
  </si>
  <si>
    <t>modules/a-knights-dream/Item/equip_weapon_mace_great_cuero.webp</t>
  </si>
  <si>
    <t>Cuero Great Tapal</t>
  </si>
  <si>
    <t>modules/a-knights-dream/Item/equip_weapon_tapal_great_cuero.webp</t>
  </si>
  <si>
    <t>Cuero Great War Bow</t>
  </si>
  <si>
    <t>modules/a-knights-dream/Item/equip_weapon_bow_war_great_cuero.webp</t>
  </si>
  <si>
    <t>Cuero Great War Hammer</t>
  </si>
  <si>
    <t>modules/a-knights-dream/Item/equip_weapon_hammer_war_great_cuero.webp</t>
  </si>
  <si>
    <t>Cuero Great War Pick</t>
  </si>
  <si>
    <t>modules/a-knights-dream/Item/equip_weapon_pick_war_great_cuero.webp</t>
  </si>
  <si>
    <t>Cuero Guisarme</t>
  </si>
  <si>
    <t>modules/a-knights-dream/Item/equip_weapon_guisarme_cuero.webp</t>
  </si>
  <si>
    <t>Cuero Halberd</t>
  </si>
  <si>
    <t>modules/a-knights-dream/Item/equip_weapon_halberd_cuero.webp</t>
  </si>
  <si>
    <t>Cuero Hand Crossbow</t>
  </si>
  <si>
    <t>modules/a-knights-dream/Item/equip_weapon_crossbow_hand_cuero.webp</t>
  </si>
  <si>
    <t>Cuero Hand axe</t>
  </si>
  <si>
    <t>modules/a-knights-dream/Item/equip_weapon_axe_hand_cuero.webp</t>
  </si>
  <si>
    <t>Cuero Heavy Crossbow</t>
  </si>
  <si>
    <t>modules/a-knights-dream/Item/equip_weapon_crossbow_heavy_cuero.webp</t>
  </si>
  <si>
    <t>Cuero Hunting Trap</t>
  </si>
  <si>
    <t>modules/a-knights-dream/Item/equip_weapon_trap_hunting_cuero.webp</t>
  </si>
  <si>
    <t>Cuero Hunting Trap (Large)</t>
  </si>
  <si>
    <t>modules/a-knights-dream/Item/equip_weapon_trap_hunting_large_cuero.webp</t>
  </si>
  <si>
    <t>Cuero Hunting Trap (Small)</t>
  </si>
  <si>
    <t>modules/a-knights-dream/Item/equip_weapon_trap_hunting_small_cuero.webp</t>
  </si>
  <si>
    <t>Cuero Javelin</t>
  </si>
  <si>
    <t>modules/a-knights-dream/Item/equip_weapon_javelin_cuero.webp</t>
  </si>
  <si>
    <t>Cuero Khpesh</t>
  </si>
  <si>
    <t>modules/a-knights-dream/Item/equip_weapon_khpesh_cuero.webp</t>
  </si>
  <si>
    <t>Cuero Khyber</t>
  </si>
  <si>
    <t>modules/a-knights-dream/Item/equip_weapon_khyber_cuero.webp</t>
  </si>
  <si>
    <t>Cuero Konda</t>
  </si>
  <si>
    <t>modules/a-knights-dream/Item/equip_weapon_konda_cuero.webp</t>
  </si>
  <si>
    <t>Cuero Labrys</t>
  </si>
  <si>
    <t>modules/a-knights-dream/Item/equip_weapon_axe_labrys_cuero.webp</t>
  </si>
  <si>
    <t>Cuero Lance</t>
  </si>
  <si>
    <t>modules/a-knights-dream/Item/equip_weapon_lance_cuero.webp</t>
  </si>
  <si>
    <t>Cuero Light Crossbow</t>
  </si>
  <si>
    <t>modules/a-knights-dream/Item/equip_weapon_crossbow_light_cuero.webp</t>
  </si>
  <si>
    <t>Cuero Long Bow</t>
  </si>
  <si>
    <t>modules/a-knights-dream/Item/equip_weapon_bow_long_cuero.webp</t>
  </si>
  <si>
    <t>Cuero Long Spear</t>
  </si>
  <si>
    <t>modules/a-knights-dream/Item/equip_weapon_spear_long_cuero.webp</t>
  </si>
  <si>
    <t>Cuero Lucerince Hammer</t>
  </si>
  <si>
    <t>modules/a-knights-dream/Item/equip_weapon_hammer_lucerince_cuero.webp</t>
  </si>
  <si>
    <t>Cuero Mace</t>
  </si>
  <si>
    <t>modules/a-knights-dream/Item/equip_weapon_mace_cuero.webp</t>
  </si>
  <si>
    <t>Cuero Morningstar</t>
  </si>
  <si>
    <t>modules/a-knights-dream/Item/equip_weapon_morningstar_cuero.webp</t>
  </si>
  <si>
    <t>Cuero Pike</t>
  </si>
  <si>
    <t>modules/a-knights-dream/Item/equip_weapon_pike_cuero.webp</t>
  </si>
  <si>
    <t>Cuero Quarter Staff</t>
  </si>
  <si>
    <t>modules/a-knights-dream/Item/equip_weapon_staff_quarter_cuero.webp</t>
  </si>
  <si>
    <t>Cuero Ranseur</t>
  </si>
  <si>
    <t>modules/a-knights-dream/Item/equip_weapon_ranseur_cuero.webp</t>
  </si>
  <si>
    <t>Cuero Rapier</t>
  </si>
  <si>
    <t>modules/a-knights-dream/Item/equip_weapon_rapier_cuero.webp</t>
  </si>
  <si>
    <t>Cuero Recurve Bow</t>
  </si>
  <si>
    <t>modules/a-knights-dream/Item/equip_weapon_bow_recurve_cuero.webp</t>
  </si>
  <si>
    <t>Cuero Repeater Crossbow</t>
  </si>
  <si>
    <t>modules/a-knights-dream/Item/equip_weapon_crossbow_repeater_cuero.webp</t>
  </si>
  <si>
    <t>Cuero Sabre</t>
  </si>
  <si>
    <t>modules/a-knights-dream/Item/equip_weapon_sabre_cuero.webp</t>
  </si>
  <si>
    <t>Cuero Scimitar</t>
  </si>
  <si>
    <t>modules/a-knights-dream/Item/equip_weapon_scimitar_cuero.webp</t>
  </si>
  <si>
    <t>Cuero Scythe</t>
  </si>
  <si>
    <t>modules/a-knights-dream/Item/equip_weapon_scythe_cuero.webp</t>
  </si>
  <si>
    <t>Cuero Short Bow</t>
  </si>
  <si>
    <t>modules/a-knights-dream/Item/equip_weapon_bow_short_cuero.webp</t>
  </si>
  <si>
    <t>Cuero Short Spear</t>
  </si>
  <si>
    <t>modules/a-knights-dream/Item/equip_weapon_spear_short_cuero.webp</t>
  </si>
  <si>
    <t>Cuero Short Sword</t>
  </si>
  <si>
    <t>modules/a-knights-dream/Item/equip_weapon_sword_short_cuero.webp</t>
  </si>
  <si>
    <t>Cuero Shotel</t>
  </si>
  <si>
    <t>modules/a-knights-dream/Item/equip_weapon_shotel_cuero.webp</t>
  </si>
  <si>
    <t>Cuero Sickle</t>
  </si>
  <si>
    <t>modules/a-knights-dream/Item/equip_weapon_sickle_cuero.webp</t>
  </si>
  <si>
    <t>Cuero Sling</t>
  </si>
  <si>
    <t>modules/a-knights-dream/Item/equip_weapon_sling_cuero.webp</t>
  </si>
  <si>
    <t>Cuero Staff</t>
  </si>
  <si>
    <t>modules/a-knights-dream/Item/equip_weapon_staff_cuero.webp</t>
  </si>
  <si>
    <t>Cuero Staff Sling</t>
  </si>
  <si>
    <t>modules/a-knights-dream/Item/equip_weapon_sling_staff_cuero.webp</t>
  </si>
  <si>
    <t>Cuero Sword</t>
  </si>
  <si>
    <t>modules/a-knights-dream/Item/equip_weapon_sword_cuero.webp</t>
  </si>
  <si>
    <t>Cuero Tapal</t>
  </si>
  <si>
    <t>modules/a-knights-dream/Item/equip_weapon_tapal_cuero.webp</t>
  </si>
  <si>
    <t>Cuero Trident</t>
  </si>
  <si>
    <t>modules/a-knights-dream/Item/equip_weapon_trident_cuero.webp</t>
  </si>
  <si>
    <t>Cuero War Hammer</t>
  </si>
  <si>
    <t>modules/a-knights-dream/Item/equip_weapon_hammer_war_cuero.webp</t>
  </si>
  <si>
    <t>Cuero War Pick</t>
  </si>
  <si>
    <t>modules/a-knights-dream/Item/equip_weapon_pick_war_cuero.webp</t>
  </si>
  <si>
    <t>Cuero Brigantine Cuirass</t>
  </si>
  <si>
    <t>modules/a-knights-dream/Item/equip_armor_brigantine_cuirass_cuero.webp</t>
  </si>
  <si>
    <t>Cuero Brigantine Gauntlets</t>
  </si>
  <si>
    <t>modules/a-knights-dream/Item/equip_armor_brigantine_gauntlets_cuero.webp</t>
  </si>
  <si>
    <t>Cuero Brigantine Greaves</t>
  </si>
  <si>
    <t>modules/a-knights-dream/Item/equip_armor_brigantine_greaves_cuero.webp</t>
  </si>
  <si>
    <t>Cuero Brigantine Helmet</t>
  </si>
  <si>
    <t>modules/a-knights-dream/Item/equip_armor_brigantine_helmet_cuero.webp</t>
  </si>
  <si>
    <t>Cuero Brigantine Pauldron</t>
  </si>
  <si>
    <t>modules/a-knights-dream/Item/equip_armor_brigantine_pauldron_cuero.webp</t>
  </si>
  <si>
    <t>Cuero Chainmail Cuirass</t>
  </si>
  <si>
    <t>modules/a-knights-dream/Item/equip_armor_chainmail_cuirass_cuero.webp</t>
  </si>
  <si>
    <t>Cuero Chainmail Gauntlets</t>
  </si>
  <si>
    <t>modules/a-knights-dream/Item/equip_armor_chainmail_gauntlets_cuero.webp</t>
  </si>
  <si>
    <t>Cuero Chainmail Greaves</t>
  </si>
  <si>
    <t>modules/a-knights-dream/Item/equip_armor_chainmail_greaves_cuero.webp</t>
  </si>
  <si>
    <t>Cuero Chainmail Helmet</t>
  </si>
  <si>
    <t>modules/a-knights-dream/Item/equip_armor_chainmail_helmet_cuero.webp</t>
  </si>
  <si>
    <t>Cuero Chainmail Pauldron</t>
  </si>
  <si>
    <t>modules/a-knights-dream/Item/equip_armor_chainmail_pauldron_cuero.webp</t>
  </si>
  <si>
    <t>Cuero Gamberson Cuirass</t>
  </si>
  <si>
    <t>modules/a-knights-dream/Item/equip_armor_gamberson_cuirass_cuero.webp</t>
  </si>
  <si>
    <t>Cuero Gamberson Gauntlets</t>
  </si>
  <si>
    <t>modules/a-knights-dream/Item/equip_armor_gamberson_gauntlets_cuero.webp</t>
  </si>
  <si>
    <t>Cuero Gamberson Greaves</t>
  </si>
  <si>
    <t>modules/a-knights-dream/Item/equip_armor_gamberson_greaves_cuero.webp</t>
  </si>
  <si>
    <t>Cuero Gamberson Helmet</t>
  </si>
  <si>
    <t>modules/a-knights-dream/Item/equip_armor_gamberson_helmet_cuero.webp</t>
  </si>
  <si>
    <t>Cuero Gamberson Pauldron</t>
  </si>
  <si>
    <t>modules/a-knights-dream/Item/equip_armor_gamberson_pauldron_cuero.webp</t>
  </si>
  <si>
    <t>Cuero Hauberk Cuirass</t>
  </si>
  <si>
    <t>modules/a-knights-dream/Item/equip_armor_hauberk_cuirass_cuero.webp</t>
  </si>
  <si>
    <t>Cuero Hauberk Gauntlets</t>
  </si>
  <si>
    <t>modules/a-knights-dream/Item/equip_armor_hauberk_gauntlets_cuero.webp</t>
  </si>
  <si>
    <t>Cuero Hauberk Greaves</t>
  </si>
  <si>
    <t>modules/a-knights-dream/Item/equip_armor_hauberk_greaves_cuero.webp</t>
  </si>
  <si>
    <t>Cuero Hauberk Helmet</t>
  </si>
  <si>
    <t>modules/a-knights-dream/Item/equip_armor_hauberk_helmet_cuero.webp</t>
  </si>
  <si>
    <t>Cuero Hauberk Pauldron</t>
  </si>
  <si>
    <t>modules/a-knights-dream/Item/equip_armor_hauberk_pauldron_cuero.webp</t>
  </si>
  <si>
    <t>Cuero Jack Cuirass</t>
  </si>
  <si>
    <t>modules/a-knights-dream/Item/equip_armor_jack_cuirass_cuero.webp</t>
  </si>
  <si>
    <t>Cuero Jack Gauntlets</t>
  </si>
  <si>
    <t>modules/a-knights-dream/Item/equip_armor_jack_gauntlets_cuero.webp</t>
  </si>
  <si>
    <t>Cuero Jack Greaves</t>
  </si>
  <si>
    <t>modules/a-knights-dream/Item/equip_armor_jack_greaves_cuero.webp</t>
  </si>
  <si>
    <t>Cuero Jack Helmet</t>
  </si>
  <si>
    <t>modules/a-knights-dream/Item/equip_armor_jack_helmet_cuero.webp</t>
  </si>
  <si>
    <t>Cuero Jack Pauldron</t>
  </si>
  <si>
    <t>modules/a-knights-dream/Item/equip_armor_jack_pauldron_cuero.webp</t>
  </si>
  <si>
    <t>Cuero Lamellar Cuirass</t>
  </si>
  <si>
    <t>modules/a-knights-dream/Item/equip_armor_lamellar_cuirass_cuero.webp</t>
  </si>
  <si>
    <t>Cuero Lamellar Gauntlets</t>
  </si>
  <si>
    <t>modules/a-knights-dream/Item/equip_armor_lamellar_gauntlets_cuero.webp</t>
  </si>
  <si>
    <t>Cuero Lamellar Greaves</t>
  </si>
  <si>
    <t>modules/a-knights-dream/Item/equip_armor_lamellar_greaves_cuero.webp</t>
  </si>
  <si>
    <t>Cuero Lamellar Helmet</t>
  </si>
  <si>
    <t>modules/a-knights-dream/Item/equip_armor_lamellar_helmet_cuero.webp</t>
  </si>
  <si>
    <t>Cuero Lamellar Pauldron</t>
  </si>
  <si>
    <t>modules/a-knights-dream/Item/equip_armor_lamellar_pauldron_cuero.webp</t>
  </si>
  <si>
    <t>Cuero Platemail Cuirass</t>
  </si>
  <si>
    <t>modules/a-knights-dream/Item/equip_armor_platemail_cuirass_cuero.webp</t>
  </si>
  <si>
    <t>Cuero Platemail Gauntlets</t>
  </si>
  <si>
    <t>modules/a-knights-dream/Item/equip_armor_platemail_gauntlets_cuero.webp</t>
  </si>
  <si>
    <t>Cuero Platemail Greaves</t>
  </si>
  <si>
    <t>modules/a-knights-dream/Item/equip_armor_platemail_greaves_cuero.webp</t>
  </si>
  <si>
    <t>Cuero Platemail Helmet</t>
  </si>
  <si>
    <t>modules/a-knights-dream/Item/equip_armor_platemail_helmet_cuero.webp</t>
  </si>
  <si>
    <t>Cuero Platemail Pauldron</t>
  </si>
  <si>
    <t>modules/a-knights-dream/Item/equip_armor_platemail_pauldron_cuero.webp</t>
  </si>
  <si>
    <t>Cuero Tunic Cuirass</t>
  </si>
  <si>
    <t>modules/a-knights-dream/Item/equip_armor_tunic_cuirass_cuero.webp</t>
  </si>
  <si>
    <t>Cuero Tunic Gauntlets</t>
  </si>
  <si>
    <t>modules/a-knights-dream/Item/equip_armor_tunic_gauntlets_cuero.webp</t>
  </si>
  <si>
    <t>Cuero Tunic Greaves</t>
  </si>
  <si>
    <t>modules/a-knights-dream/Item/equip_armor_tunic_greaves_cuero.webp</t>
  </si>
  <si>
    <t>Cuero Tunic Helmet</t>
  </si>
  <si>
    <t>modules/a-knights-dream/Item/equip_armor_tunic_helmet_cuero.webp</t>
  </si>
  <si>
    <t>Cuero Tunic Pauldron</t>
  </si>
  <si>
    <t>modules/a-knights-dream/Item/equip_armor_tunic_pauldron_cuero.webp</t>
  </si>
  <si>
    <t>Cuero Buckler Shield</t>
  </si>
  <si>
    <t>modules/a-knights-dream/Item/equip_armor_shield_buckler_cuero.webp</t>
  </si>
  <si>
    <t>Cuero Heater Shield</t>
  </si>
  <si>
    <t>modules/a-knights-dream/Item/equip_armor_shield_heater_cuero.webp</t>
  </si>
  <si>
    <t>Cuero Kite Shield</t>
  </si>
  <si>
    <t>modules/a-knights-dream/Item/equip_armor_shield_kite_cuero.webp</t>
  </si>
  <si>
    <t>Cuero Oval Shield</t>
  </si>
  <si>
    <t>modules/a-knights-dream/Item/equip_armor_shield_oval_cuero.webp</t>
  </si>
  <si>
    <t>Cuero Round Shield</t>
  </si>
  <si>
    <t>modules/a-knights-dream/Item/equip_armor_shield_round_cuero.webp</t>
  </si>
  <si>
    <t>Cuero Tower Shield</t>
  </si>
  <si>
    <t>modules/a-knights-dream/Item/equip_armor_shield_tower_cuero.webp</t>
  </si>
  <si>
    <t>Dammo</t>
  </si>
  <si>
    <t>Dammo Ball Bearings</t>
  </si>
  <si>
    <t>modules/a-knights-dream/Item/equip_weapon_bearings_dammo.webp</t>
  </si>
  <si>
    <t>Dammo Bardiche</t>
  </si>
  <si>
    <t>modules/a-knights-dream/Item/equip_weapon_bardiche_dammo.webp</t>
  </si>
  <si>
    <t>Dammo Bastard Sword</t>
  </si>
  <si>
    <t>modules/a-knights-dream/Item/equip_weapon_sword_bastard_dammo.webp</t>
  </si>
  <si>
    <t>Dammo Battle Axe</t>
  </si>
  <si>
    <t>modules/a-knights-dream/Item/equip_weapon_axe_battle_dammo.webp</t>
  </si>
  <si>
    <t>Dammo Blowgun</t>
  </si>
  <si>
    <t>modules/a-knights-dream/Item/equip_weapon_blowgun_dammo.webp</t>
  </si>
  <si>
    <t>Dammo Bolt</t>
  </si>
  <si>
    <t>modules/a-knights-dream/Item/equip_weapon_bolt_dammo.webp</t>
  </si>
  <si>
    <t>Dammo Boomerang</t>
  </si>
  <si>
    <t>modules/a-knights-dream/Item/equip_weapon_boomerang_dammo.webp</t>
  </si>
  <si>
    <t>Dammo Bow</t>
  </si>
  <si>
    <t>modules/a-knights-dream/Item/equip_weapon_bow_dammo.webp</t>
  </si>
  <si>
    <t>Dammo Caltrops</t>
  </si>
  <si>
    <t>modules/a-knights-dream/Item/equip_weapon_caltrops_dammo.webp</t>
  </si>
  <si>
    <t>Dammo Cestus</t>
  </si>
  <si>
    <t>modules/a-knights-dream/Item/equip_weapon_cestus_dammo.webp</t>
  </si>
  <si>
    <t>Dammo Chain</t>
  </si>
  <si>
    <t>modules/a-knights-dream/Item/equip_weapon_chain_dammo.webp</t>
  </si>
  <si>
    <t>Dammo Claymore</t>
  </si>
  <si>
    <t>modules/a-knights-dream/Item/equip_weapon_claymore_dammo.webp</t>
  </si>
  <si>
    <t>Dammo Club</t>
  </si>
  <si>
    <t>modules/a-knights-dream/Item/equip_weapon_club_dammo.webp</t>
  </si>
  <si>
    <t>Dammo Compound Bow</t>
  </si>
  <si>
    <t>modules/a-knights-dream/Item/equip_weapon_bow_compound_dammo.webp</t>
  </si>
  <si>
    <t>Dammo Cutlass</t>
  </si>
  <si>
    <t>modules/a-knights-dream/Item/equip_weapon_cutlass_dammo.webp</t>
  </si>
  <si>
    <t>Dammo Dagger</t>
  </si>
  <si>
    <t>modules/a-knights-dream/Item/equip_weapon_dagger_dammo.webp</t>
  </si>
  <si>
    <t>Dammo Dart</t>
  </si>
  <si>
    <t>modules/a-knights-dream/Item/equip_weapon_dart_dammo.webp</t>
  </si>
  <si>
    <t>Dammo Fauchard Scythe</t>
  </si>
  <si>
    <t>modules/a-knights-dream/Item/equip_weapon_scythe_fauchard_dammo.webp</t>
  </si>
  <si>
    <t>Dammo Flail</t>
  </si>
  <si>
    <t>modules/a-knights-dream/Item/equip_weapon_flail_dammo.webp</t>
  </si>
  <si>
    <t>Dammo Glaive</t>
  </si>
  <si>
    <t>modules/a-knights-dream/Item/equip_weapon_glaive_dammo.webp</t>
  </si>
  <si>
    <t>Dammo Grapple Hook</t>
  </si>
  <si>
    <t>modules/a-knights-dream/Item/equip_weapon_hook_grapple_dammo.webp</t>
  </si>
  <si>
    <t>Dammo Great Axe</t>
  </si>
  <si>
    <t>modules/a-knights-dream/Item/equip_weapon_axe_great_dammo.webp</t>
  </si>
  <si>
    <t>Dammo Great Club</t>
  </si>
  <si>
    <t>modules/a-knights-dream/Item/equip_weapon_club_great_dammo.webp</t>
  </si>
  <si>
    <t>Dammo Great Khyber</t>
  </si>
  <si>
    <t>modules/a-knights-dream/Item/equip_weapon_khyber_great_dammo.webp</t>
  </si>
  <si>
    <t>Dammo Great Konda</t>
  </si>
  <si>
    <t>modules/a-knights-dream/Item/equip_weapon_konda_great_dammo.webp</t>
  </si>
  <si>
    <t>Dammo Great Labrys</t>
  </si>
  <si>
    <t>modules/a-knights-dream/Item/equip_weapon_axe_labrys_great_dammo.webp</t>
  </si>
  <si>
    <t>Dammo Great Mace</t>
  </si>
  <si>
    <t>modules/a-knights-dream/Item/equip_weapon_mace_great_dammo.webp</t>
  </si>
  <si>
    <t>Dammo Great Tapal</t>
  </si>
  <si>
    <t>modules/a-knights-dream/Item/equip_weapon_tapal_great_dammo.webp</t>
  </si>
  <si>
    <t>Dammo Great War Bow</t>
  </si>
  <si>
    <t>modules/a-knights-dream/Item/equip_weapon_bow_war_great_dammo.webp</t>
  </si>
  <si>
    <t>Dammo Great War Hammer</t>
  </si>
  <si>
    <t>modules/a-knights-dream/Item/equip_weapon_hammer_war_great_dammo.webp</t>
  </si>
  <si>
    <t>Dammo Great War Pick</t>
  </si>
  <si>
    <t>modules/a-knights-dream/Item/equip_weapon_pick_war_great_dammo.webp</t>
  </si>
  <si>
    <t>Dammo Guisarme</t>
  </si>
  <si>
    <t>modules/a-knights-dream/Item/equip_weapon_guisarme_dammo.webp</t>
  </si>
  <si>
    <t>Dammo Halberd</t>
  </si>
  <si>
    <t>modules/a-knights-dream/Item/equip_weapon_halberd_dammo.webp</t>
  </si>
  <si>
    <t>Dammo Hand Crossbow</t>
  </si>
  <si>
    <t>modules/a-knights-dream/Item/equip_weapon_crossbow_hand_dammo.webp</t>
  </si>
  <si>
    <t>Dammo Hand axe</t>
  </si>
  <si>
    <t>modules/a-knights-dream/Item/equip_weapon_axe_hand_dammo.webp</t>
  </si>
  <si>
    <t>Dammo Heavy Crossbow</t>
  </si>
  <si>
    <t>modules/a-knights-dream/Item/equip_weapon_crossbow_heavy_dammo.webp</t>
  </si>
  <si>
    <t>Dammo Hunting Trap</t>
  </si>
  <si>
    <t>modules/a-knights-dream/Item/equip_weapon_trap_hunting_dammo.webp</t>
  </si>
  <si>
    <t>Dammo Hunting Trap (Large)</t>
  </si>
  <si>
    <t>modules/a-knights-dream/Item/equip_weapon_trap_hunting_large_dammo.webp</t>
  </si>
  <si>
    <t>Dammo Hunting Trap (Small)</t>
  </si>
  <si>
    <t>modules/a-knights-dream/Item/equip_weapon_trap_hunting_small_dammo.webp</t>
  </si>
  <si>
    <t>Dammo Javelin</t>
  </si>
  <si>
    <t>modules/a-knights-dream/Item/equip_weapon_javelin_dammo.webp</t>
  </si>
  <si>
    <t>Dammo Khpesh</t>
  </si>
  <si>
    <t>modules/a-knights-dream/Item/equip_weapon_khpesh_dammo.webp</t>
  </si>
  <si>
    <t>Dammo Khyber</t>
  </si>
  <si>
    <t>modules/a-knights-dream/Item/equip_weapon_khyber_dammo.webp</t>
  </si>
  <si>
    <t>Dammo Konda</t>
  </si>
  <si>
    <t>modules/a-knights-dream/Item/equip_weapon_konda_dammo.webp</t>
  </si>
  <si>
    <t>Dammo Labrys</t>
  </si>
  <si>
    <t>modules/a-knights-dream/Item/equip_weapon_axe_labrys_dammo.webp</t>
  </si>
  <si>
    <t>Dammo Lance</t>
  </si>
  <si>
    <t>modules/a-knights-dream/Item/equip_weapon_lance_dammo.webp</t>
  </si>
  <si>
    <t>Dammo Light Crossbow</t>
  </si>
  <si>
    <t>modules/a-knights-dream/Item/equip_weapon_crossbow_light_dammo.webp</t>
  </si>
  <si>
    <t>Dammo Long Bow</t>
  </si>
  <si>
    <t>modules/a-knights-dream/Item/equip_weapon_bow_long_dammo.webp</t>
  </si>
  <si>
    <t>Dammo Long Spear</t>
  </si>
  <si>
    <t>modules/a-knights-dream/Item/equip_weapon_spear_long_dammo.webp</t>
  </si>
  <si>
    <t>Dammo Lucerince Hammer</t>
  </si>
  <si>
    <t>modules/a-knights-dream/Item/equip_weapon_hammer_lucerince_dammo.webp</t>
  </si>
  <si>
    <t>Dammo Mace</t>
  </si>
  <si>
    <t>modules/a-knights-dream/Item/equip_weapon_mace_dammo.webp</t>
  </si>
  <si>
    <t>Dammo Morningstar</t>
  </si>
  <si>
    <t>modules/a-knights-dream/Item/equip_weapon_morningstar_dammo.webp</t>
  </si>
  <si>
    <t>Dammo Pike</t>
  </si>
  <si>
    <t>modules/a-knights-dream/Item/equip_weapon_pike_dammo.webp</t>
  </si>
  <si>
    <t>Dammo Quarter Staff</t>
  </si>
  <si>
    <t>modules/a-knights-dream/Item/equip_weapon_staff_quarter_dammo.webp</t>
  </si>
  <si>
    <t>Dammo Ranseur</t>
  </si>
  <si>
    <t>modules/a-knights-dream/Item/equip_weapon_ranseur_dammo.webp</t>
  </si>
  <si>
    <t>Dammo Rapier</t>
  </si>
  <si>
    <t>modules/a-knights-dream/Item/equip_weapon_rapier_dammo.webp</t>
  </si>
  <si>
    <t>Dammo Recurve Bow</t>
  </si>
  <si>
    <t>modules/a-knights-dream/Item/equip_weapon_bow_recurve_dammo.webp</t>
  </si>
  <si>
    <t>Dammo Repeater Crossbow</t>
  </si>
  <si>
    <t>modules/a-knights-dream/Item/equip_weapon_crossbow_repeater_dammo.webp</t>
  </si>
  <si>
    <t>Dammo Sabre</t>
  </si>
  <si>
    <t>modules/a-knights-dream/Item/equip_weapon_sabre_dammo.webp</t>
  </si>
  <si>
    <t>Dammo Scimitar</t>
  </si>
  <si>
    <t>modules/a-knights-dream/Item/equip_weapon_scimitar_dammo.webp</t>
  </si>
  <si>
    <t>Dammo Scythe</t>
  </si>
  <si>
    <t>modules/a-knights-dream/Item/equip_weapon_scythe_dammo.webp</t>
  </si>
  <si>
    <t>Dammo Short Bow</t>
  </si>
  <si>
    <t>modules/a-knights-dream/Item/equip_weapon_bow_short_dammo.webp</t>
  </si>
  <si>
    <t>Dammo Short Spear</t>
  </si>
  <si>
    <t>modules/a-knights-dream/Item/equip_weapon_spear_short_dammo.webp</t>
  </si>
  <si>
    <t>Dammo Short Sword</t>
  </si>
  <si>
    <t>modules/a-knights-dream/Item/equip_weapon_sword_short_dammo.webp</t>
  </si>
  <si>
    <t>Dammo Shotel</t>
  </si>
  <si>
    <t>modules/a-knights-dream/Item/equip_weapon_shotel_dammo.webp</t>
  </si>
  <si>
    <t>Dammo Sickle</t>
  </si>
  <si>
    <t>modules/a-knights-dream/Item/equip_weapon_sickle_dammo.webp</t>
  </si>
  <si>
    <t>Dammo Sling</t>
  </si>
  <si>
    <t>modules/a-knights-dream/Item/equip_weapon_sling_dammo.webp</t>
  </si>
  <si>
    <t>Dammo Staff</t>
  </si>
  <si>
    <t>modules/a-knights-dream/Item/equip_weapon_staff_dammo.webp</t>
  </si>
  <si>
    <t>Dammo Staff Sling</t>
  </si>
  <si>
    <t>modules/a-knights-dream/Item/equip_weapon_sling_staff_dammo.webp</t>
  </si>
  <si>
    <t>Dammo Sword</t>
  </si>
  <si>
    <t>modules/a-knights-dream/Item/equip_weapon_sword_dammo.webp</t>
  </si>
  <si>
    <t>Dammo Tapal</t>
  </si>
  <si>
    <t>modules/a-knights-dream/Item/equip_weapon_tapal_dammo.webp</t>
  </si>
  <si>
    <t>Dammo Trident</t>
  </si>
  <si>
    <t>modules/a-knights-dream/Item/equip_weapon_trident_dammo.webp</t>
  </si>
  <si>
    <t>Dammo War Hammer</t>
  </si>
  <si>
    <t>modules/a-knights-dream/Item/equip_weapon_hammer_war_dammo.webp</t>
  </si>
  <si>
    <t>Dammo War Pick</t>
  </si>
  <si>
    <t>modules/a-knights-dream/Item/equip_weapon_pick_war_dammo.webp</t>
  </si>
  <si>
    <t>Dammo Brigantine Cuirass</t>
  </si>
  <si>
    <t>modules/a-knights-dream/Item/equip_armor_brigantine_cuirass_dammo.webp</t>
  </si>
  <si>
    <t>Dammo Brigantine Gauntlets</t>
  </si>
  <si>
    <t>modules/a-knights-dream/Item/equip_armor_brigantine_gauntlets_dammo.webp</t>
  </si>
  <si>
    <t>Dammo Brigantine Greaves</t>
  </si>
  <si>
    <t>modules/a-knights-dream/Item/equip_armor_brigantine_greaves_dammo.webp</t>
  </si>
  <si>
    <t>Dammo Brigantine Helmet</t>
  </si>
  <si>
    <t>modules/a-knights-dream/Item/equip_armor_brigantine_helmet_dammo.webp</t>
  </si>
  <si>
    <t>Dammo Brigantine Pauldron</t>
  </si>
  <si>
    <t>modules/a-knights-dream/Item/equip_armor_brigantine_pauldron_dammo.webp</t>
  </si>
  <si>
    <t>Dammo Chainmail Cuirass</t>
  </si>
  <si>
    <t>modules/a-knights-dream/Item/equip_armor_chainmail_cuirass_dammo.webp</t>
  </si>
  <si>
    <t>Dammo Chainmail Gauntlets</t>
  </si>
  <si>
    <t>modules/a-knights-dream/Item/equip_armor_chainmail_gauntlets_dammo.webp</t>
  </si>
  <si>
    <t>Dammo Chainmail Greaves</t>
  </si>
  <si>
    <t>modules/a-knights-dream/Item/equip_armor_chainmail_greaves_dammo.webp</t>
  </si>
  <si>
    <t>Dammo Chainmail Helmet</t>
  </si>
  <si>
    <t>modules/a-knights-dream/Item/equip_armor_chainmail_helmet_dammo.webp</t>
  </si>
  <si>
    <t>Dammo Chainmail Pauldron</t>
  </si>
  <si>
    <t>modules/a-knights-dream/Item/equip_armor_chainmail_pauldron_dammo.webp</t>
  </si>
  <si>
    <t>Dammo Gamberson Cuirass</t>
  </si>
  <si>
    <t>modules/a-knights-dream/Item/equip_armor_gamberson_cuirass_dammo.webp</t>
  </si>
  <si>
    <t>Dammo Gamberson Gauntlets</t>
  </si>
  <si>
    <t>modules/a-knights-dream/Item/equip_armor_gamberson_gauntlets_dammo.webp</t>
  </si>
  <si>
    <t>Dammo Gamberson Greaves</t>
  </si>
  <si>
    <t>modules/a-knights-dream/Item/equip_armor_gamberson_greaves_dammo.webp</t>
  </si>
  <si>
    <t>Dammo Gamberson Helmet</t>
  </si>
  <si>
    <t>modules/a-knights-dream/Item/equip_armor_gamberson_helmet_dammo.webp</t>
  </si>
  <si>
    <t>Dammo Gamberson Pauldron</t>
  </si>
  <si>
    <t>modules/a-knights-dream/Item/equip_armor_gamberson_pauldron_dammo.webp</t>
  </si>
  <si>
    <t>Dammo Hauberk Cuirass</t>
  </si>
  <si>
    <t>modules/a-knights-dream/Item/equip_armor_hauberk_cuirass_dammo.webp</t>
  </si>
  <si>
    <t>Dammo Hauberk Gauntlets</t>
  </si>
  <si>
    <t>modules/a-knights-dream/Item/equip_armor_hauberk_gauntlets_dammo.webp</t>
  </si>
  <si>
    <t>Dammo Hauberk Greaves</t>
  </si>
  <si>
    <t>modules/a-knights-dream/Item/equip_armor_hauberk_greaves_dammo.webp</t>
  </si>
  <si>
    <t>Dammo Hauberk Helmet</t>
  </si>
  <si>
    <t>modules/a-knights-dream/Item/equip_armor_hauberk_helmet_dammo.webp</t>
  </si>
  <si>
    <t>Dammo Hauberk Pauldron</t>
  </si>
  <si>
    <t>modules/a-knights-dream/Item/equip_armor_hauberk_pauldron_dammo.webp</t>
  </si>
  <si>
    <t>Dammo Jack Cuirass</t>
  </si>
  <si>
    <t>modules/a-knights-dream/Item/equip_armor_jack_cuirass_dammo.webp</t>
  </si>
  <si>
    <t>Dammo Jack Gauntlets</t>
  </si>
  <si>
    <t>modules/a-knights-dream/Item/equip_armor_jack_gauntlets_dammo.webp</t>
  </si>
  <si>
    <t>Dammo Jack Greaves</t>
  </si>
  <si>
    <t>modules/a-knights-dream/Item/equip_armor_jack_greaves_dammo.webp</t>
  </si>
  <si>
    <t>Dammo Jack Helmet</t>
  </si>
  <si>
    <t>modules/a-knights-dream/Item/equip_armor_jack_helmet_dammo.webp</t>
  </si>
  <si>
    <t>Dammo Jack Pauldron</t>
  </si>
  <si>
    <t>modules/a-knights-dream/Item/equip_armor_jack_pauldron_dammo.webp</t>
  </si>
  <si>
    <t>Dammo Lamellar Cuirass</t>
  </si>
  <si>
    <t>modules/a-knights-dream/Item/equip_armor_lamellar_cuirass_dammo.webp</t>
  </si>
  <si>
    <t>Dammo Lamellar Gauntlets</t>
  </si>
  <si>
    <t>modules/a-knights-dream/Item/equip_armor_lamellar_gauntlets_dammo.webp</t>
  </si>
  <si>
    <t>Dammo Lamellar Greaves</t>
  </si>
  <si>
    <t>modules/a-knights-dream/Item/equip_armor_lamellar_greaves_dammo.webp</t>
  </si>
  <si>
    <t>Dammo Lamellar Helmet</t>
  </si>
  <si>
    <t>modules/a-knights-dream/Item/equip_armor_lamellar_helmet_dammo.webp</t>
  </si>
  <si>
    <t>Dammo Lamellar Pauldron</t>
  </si>
  <si>
    <t>modules/a-knights-dream/Item/equip_armor_lamellar_pauldron_dammo.webp</t>
  </si>
  <si>
    <t>Dammo Platemail Cuirass</t>
  </si>
  <si>
    <t>modules/a-knights-dream/Item/equip_armor_platemail_cuirass_dammo.webp</t>
  </si>
  <si>
    <t>Dammo Platemail Gauntlets</t>
  </si>
  <si>
    <t>modules/a-knights-dream/Item/equip_armor_platemail_gauntlets_dammo.webp</t>
  </si>
  <si>
    <t>Dammo Platemail Greaves</t>
  </si>
  <si>
    <t>modules/a-knights-dream/Item/equip_armor_platemail_greaves_dammo.webp</t>
  </si>
  <si>
    <t>Dammo Platemail Helmet</t>
  </si>
  <si>
    <t>modules/a-knights-dream/Item/equip_armor_platemail_helmet_dammo.webp</t>
  </si>
  <si>
    <t>Dammo Platemail Pauldron</t>
  </si>
  <si>
    <t>modules/a-knights-dream/Item/equip_armor_platemail_pauldron_dammo.webp</t>
  </si>
  <si>
    <t>Dammo Tunic Cuirass</t>
  </si>
  <si>
    <t>modules/a-knights-dream/Item/equip_armor_tunic_cuirass_dammo.webp</t>
  </si>
  <si>
    <t>Dammo Tunic Gauntlets</t>
  </si>
  <si>
    <t>modules/a-knights-dream/Item/equip_armor_tunic_gauntlets_dammo.webp</t>
  </si>
  <si>
    <t>Dammo Tunic Greaves</t>
  </si>
  <si>
    <t>modules/a-knights-dream/Item/equip_armor_tunic_greaves_dammo.webp</t>
  </si>
  <si>
    <t>Dammo Tunic Helmet</t>
  </si>
  <si>
    <t>modules/a-knights-dream/Item/equip_armor_tunic_helmet_dammo.webp</t>
  </si>
  <si>
    <t>Dammo Tunic Pauldron</t>
  </si>
  <si>
    <t>modules/a-knights-dream/Item/equip_armor_tunic_pauldron_dammo.webp</t>
  </si>
  <si>
    <t>Dammo Buckler Shield</t>
  </si>
  <si>
    <t>modules/a-knights-dream/Item/equip_armor_shield_buckler_dammo.webp</t>
  </si>
  <si>
    <t>Dammo Heater Shield</t>
  </si>
  <si>
    <t>modules/a-knights-dream/Item/equip_armor_shield_heater_dammo.webp</t>
  </si>
  <si>
    <t>Dammo Kite Shield</t>
  </si>
  <si>
    <t>modules/a-knights-dream/Item/equip_armor_shield_kite_dammo.webp</t>
  </si>
  <si>
    <t>Dammo Oval Shield</t>
  </si>
  <si>
    <t>modules/a-knights-dream/Item/equip_armor_shield_oval_dammo.webp</t>
  </si>
  <si>
    <t>Dammo Round Shield</t>
  </si>
  <si>
    <t>modules/a-knights-dream/Item/equip_armor_shield_round_dammo.webp</t>
  </si>
  <si>
    <t>Dammo Tower Shield</t>
  </si>
  <si>
    <t>modules/a-knights-dream/Item/equip_armor_shield_tower_dammo.webp</t>
  </si>
  <si>
    <t>Feyken</t>
  </si>
  <si>
    <t>Feyken Ball Bearings</t>
  </si>
  <si>
    <t>modules/a-knights-dream/Item/equip_weapon_bearings_feyken.webp</t>
  </si>
  <si>
    <t>Feyken Bardiche</t>
  </si>
  <si>
    <t>modules/a-knights-dream/Item/equip_weapon_bardiche_feyken.webp</t>
  </si>
  <si>
    <t>Feyken Bastard Sword</t>
  </si>
  <si>
    <t>modules/a-knights-dream/Item/equip_weapon_sword_bastard_feyken.webp</t>
  </si>
  <si>
    <t>Feyken Battle Axe</t>
  </si>
  <si>
    <t>modules/a-knights-dream/Item/equip_weapon_axe_battle_feyken.webp</t>
  </si>
  <si>
    <t>Feyken Blowgun</t>
  </si>
  <si>
    <t>modules/a-knights-dream/Item/equip_weapon_blowgun_feyken.webp</t>
  </si>
  <si>
    <t>Feyken Bolt</t>
  </si>
  <si>
    <t>modules/a-knights-dream/Item/equip_weapon_bolt_feyken.webp</t>
  </si>
  <si>
    <t>Feyken Boomerang</t>
  </si>
  <si>
    <t>modules/a-knights-dream/Item/equip_weapon_boomerang_feyken.webp</t>
  </si>
  <si>
    <t>Feyken Bow</t>
  </si>
  <si>
    <t>modules/a-knights-dream/Item/equip_weapon_bow_feyken.webp</t>
  </si>
  <si>
    <t>Feyken Caltrops</t>
  </si>
  <si>
    <t>modules/a-knights-dream/Item/equip_weapon_caltrops_feyken.webp</t>
  </si>
  <si>
    <t>Feyken Cestus</t>
  </si>
  <si>
    <t>modules/a-knights-dream/Item/equip_weapon_cestus_feyken.webp</t>
  </si>
  <si>
    <t>Feyken Chain</t>
  </si>
  <si>
    <t>modules/a-knights-dream/Item/equip_weapon_chain_feyken.webp</t>
  </si>
  <si>
    <t>Feyken Claymore</t>
  </si>
  <si>
    <t>modules/a-knights-dream/Item/equip_weapon_claymore_feyken.webp</t>
  </si>
  <si>
    <t>Feyken Club</t>
  </si>
  <si>
    <t>modules/a-knights-dream/Item/equip_weapon_club_feyken.webp</t>
  </si>
  <si>
    <t>Feyken Compound Bow</t>
  </si>
  <si>
    <t>modules/a-knights-dream/Item/equip_weapon_bow_compound_feyken.webp</t>
  </si>
  <si>
    <t>Feyken Cutlass</t>
  </si>
  <si>
    <t>modules/a-knights-dream/Item/equip_weapon_cutlass_feyken.webp</t>
  </si>
  <si>
    <t>Feyken Dagger</t>
  </si>
  <si>
    <t>modules/a-knights-dream/Item/equip_weapon_dagger_feyken.webp</t>
  </si>
  <si>
    <t>Feyken Dart</t>
  </si>
  <si>
    <t>modules/a-knights-dream/Item/equip_weapon_dart_feyken.webp</t>
  </si>
  <si>
    <t>Feyken Fauchard Scythe</t>
  </si>
  <si>
    <t>modules/a-knights-dream/Item/equip_weapon_scythe_fauchard_feyken.webp</t>
  </si>
  <si>
    <t>Feyken Flail</t>
  </si>
  <si>
    <t>modules/a-knights-dream/Item/equip_weapon_flail_feyken.webp</t>
  </si>
  <si>
    <t>Feyken Glaive</t>
  </si>
  <si>
    <t>modules/a-knights-dream/Item/equip_weapon_glaive_feyken.webp</t>
  </si>
  <si>
    <t>Feyken Grapple Hook</t>
  </si>
  <si>
    <t>modules/a-knights-dream/Item/equip_weapon_hook_grapple_feyken.webp</t>
  </si>
  <si>
    <t>Feyken Great Axe</t>
  </si>
  <si>
    <t>modules/a-knights-dream/Item/equip_weapon_axe_great_feyken.webp</t>
  </si>
  <si>
    <t>Feyken Great Club</t>
  </si>
  <si>
    <t>modules/a-knights-dream/Item/equip_weapon_club_great_feyken.webp</t>
  </si>
  <si>
    <t>Feyken Great Khyber</t>
  </si>
  <si>
    <t>modules/a-knights-dream/Item/equip_weapon_khyber_great_feyken.webp</t>
  </si>
  <si>
    <t>Feyken Great Konda</t>
  </si>
  <si>
    <t>modules/a-knights-dream/Item/equip_weapon_konda_great_feyken.webp</t>
  </si>
  <si>
    <t>Feyken Great Labrys</t>
  </si>
  <si>
    <t>modules/a-knights-dream/Item/equip_weapon_axe_labrys_great_feyken.webp</t>
  </si>
  <si>
    <t>Feyken Great Mace</t>
  </si>
  <si>
    <t>modules/a-knights-dream/Item/equip_weapon_mace_great_feyken.webp</t>
  </si>
  <si>
    <t>Feyken Great Tapal</t>
  </si>
  <si>
    <t>modules/a-knights-dream/Item/equip_weapon_tapal_great_feyken.webp</t>
  </si>
  <si>
    <t>Feyken Great War Bow</t>
  </si>
  <si>
    <t>modules/a-knights-dream/Item/equip_weapon_bow_war_great_feyken.webp</t>
  </si>
  <si>
    <t>Feyken Great War Hammer</t>
  </si>
  <si>
    <t>modules/a-knights-dream/Item/equip_weapon_hammer_war_great_feyken.webp</t>
  </si>
  <si>
    <t>Feyken Great War Pick</t>
  </si>
  <si>
    <t>modules/a-knights-dream/Item/equip_weapon_pick_war_great_feyken.webp</t>
  </si>
  <si>
    <t>Feyken Guisarme</t>
  </si>
  <si>
    <t>modules/a-knights-dream/Item/equip_weapon_guisarme_feyken.webp</t>
  </si>
  <si>
    <t>Feyken Halberd</t>
  </si>
  <si>
    <t>modules/a-knights-dream/Item/equip_weapon_halberd_feyken.webp</t>
  </si>
  <si>
    <t>Feyken Hand Crossbow</t>
  </si>
  <si>
    <t>modules/a-knights-dream/Item/equip_weapon_crossbow_hand_feyken.webp</t>
  </si>
  <si>
    <t>Feyken Hand axe</t>
  </si>
  <si>
    <t>modules/a-knights-dream/Item/equip_weapon_axe_hand_feyken.webp</t>
  </si>
  <si>
    <t>Feyken Heavy Crossbow</t>
  </si>
  <si>
    <t>modules/a-knights-dream/Item/equip_weapon_crossbow_heavy_feyken.webp</t>
  </si>
  <si>
    <t>Feyken Hunting Trap</t>
  </si>
  <si>
    <t>modules/a-knights-dream/Item/equip_weapon_trap_hunting_feyken.webp</t>
  </si>
  <si>
    <t>Feyken Hunting Trap (Large)</t>
  </si>
  <si>
    <t>modules/a-knights-dream/Item/equip_weapon_trap_hunting_large_feyken.webp</t>
  </si>
  <si>
    <t>Feyken Hunting Trap (Small)</t>
  </si>
  <si>
    <t>modules/a-knights-dream/Item/equip_weapon_trap_hunting_small_feyken.webp</t>
  </si>
  <si>
    <t>Feyken Javelin</t>
  </si>
  <si>
    <t>modules/a-knights-dream/Item/equip_weapon_javelin_feyken.webp</t>
  </si>
  <si>
    <t>Feyken Khpesh</t>
  </si>
  <si>
    <t>modules/a-knights-dream/Item/equip_weapon_khpesh_feyken.webp</t>
  </si>
  <si>
    <t>Feyken Khyber</t>
  </si>
  <si>
    <t>modules/a-knights-dream/Item/equip_weapon_khyber_feyken.webp</t>
  </si>
  <si>
    <t>Feyken Konda</t>
  </si>
  <si>
    <t>modules/a-knights-dream/Item/equip_weapon_konda_feyken.webp</t>
  </si>
  <si>
    <t>Feyken Labrys</t>
  </si>
  <si>
    <t>modules/a-knights-dream/Item/equip_weapon_axe_labrys_feyken.webp</t>
  </si>
  <si>
    <t>Feyken Lance</t>
  </si>
  <si>
    <t>modules/a-knights-dream/Item/equip_weapon_lance_feyken.webp</t>
  </si>
  <si>
    <t>Feyken Light Crossbow</t>
  </si>
  <si>
    <t>modules/a-knights-dream/Item/equip_weapon_crossbow_light_feyken.webp</t>
  </si>
  <si>
    <t>Feyken Long Bow</t>
  </si>
  <si>
    <t>modules/a-knights-dream/Item/equip_weapon_bow_long_feyken.webp</t>
  </si>
  <si>
    <t>Feyken Long Spear</t>
  </si>
  <si>
    <t>modules/a-knights-dream/Item/equip_weapon_spear_long_feyken.webp</t>
  </si>
  <si>
    <t>Feyken Lucerince Hammer</t>
  </si>
  <si>
    <t>modules/a-knights-dream/Item/equip_weapon_hammer_lucerince_feyken.webp</t>
  </si>
  <si>
    <t>Feyken Mace</t>
  </si>
  <si>
    <t>modules/a-knights-dream/Item/equip_weapon_mace_feyken.webp</t>
  </si>
  <si>
    <t>Feyken Morningstar</t>
  </si>
  <si>
    <t>modules/a-knights-dream/Item/equip_weapon_morningstar_feyken.webp</t>
  </si>
  <si>
    <t>Feyken Pike</t>
  </si>
  <si>
    <t>modules/a-knights-dream/Item/equip_weapon_pike_feyken.webp</t>
  </si>
  <si>
    <t>Feyken Quarter Staff</t>
  </si>
  <si>
    <t>modules/a-knights-dream/Item/equip_weapon_staff_quarter_feyken.webp</t>
  </si>
  <si>
    <t>Feyken Ranseur</t>
  </si>
  <si>
    <t>modules/a-knights-dream/Item/equip_weapon_ranseur_feyken.webp</t>
  </si>
  <si>
    <t>Feyken Rapier</t>
  </si>
  <si>
    <t>modules/a-knights-dream/Item/equip_weapon_rapier_feyken.webp</t>
  </si>
  <si>
    <t>Feyken Recurve Bow</t>
  </si>
  <si>
    <t>modules/a-knights-dream/Item/equip_weapon_bow_recurve_feyken.webp</t>
  </si>
  <si>
    <t>Feyken Repeater Crossbow</t>
  </si>
  <si>
    <t>modules/a-knights-dream/Item/equip_weapon_crossbow_repeater_feyken.webp</t>
  </si>
  <si>
    <t>Feyken Sabre</t>
  </si>
  <si>
    <t>modules/a-knights-dream/Item/equip_weapon_sabre_feyken.webp</t>
  </si>
  <si>
    <t>Feyken Scimitar</t>
  </si>
  <si>
    <t>modules/a-knights-dream/Item/equip_weapon_scimitar_feyken.webp</t>
  </si>
  <si>
    <t>Feyken Scythe</t>
  </si>
  <si>
    <t>modules/a-knights-dream/Item/equip_weapon_scythe_feyken.webp</t>
  </si>
  <si>
    <t>Feyken Short Bow</t>
  </si>
  <si>
    <t>modules/a-knights-dream/Item/equip_weapon_bow_short_feyken.webp</t>
  </si>
  <si>
    <t>Feyken Short Spear</t>
  </si>
  <si>
    <t>modules/a-knights-dream/Item/equip_weapon_spear_short_feyken.webp</t>
  </si>
  <si>
    <t>Feyken Short Sword</t>
  </si>
  <si>
    <t>modules/a-knights-dream/Item/equip_weapon_sword_short_feyken.webp</t>
  </si>
  <si>
    <t>Feyken Shotel</t>
  </si>
  <si>
    <t>modules/a-knights-dream/Item/equip_weapon_shotel_feyken.webp</t>
  </si>
  <si>
    <t>Feyken Sickle</t>
  </si>
  <si>
    <t>modules/a-knights-dream/Item/equip_weapon_sickle_feyken.webp</t>
  </si>
  <si>
    <t>Feyken Sling</t>
  </si>
  <si>
    <t>modules/a-knights-dream/Item/equip_weapon_sling_feyken.webp</t>
  </si>
  <si>
    <t>Feyken Staff</t>
  </si>
  <si>
    <t>modules/a-knights-dream/Item/equip_weapon_staff_feyken.webp</t>
  </si>
  <si>
    <t>Feyken Staff Sling</t>
  </si>
  <si>
    <t>modules/a-knights-dream/Item/equip_weapon_sling_staff_feyken.webp</t>
  </si>
  <si>
    <t>Feyken Sword</t>
  </si>
  <si>
    <t>modules/a-knights-dream/Item/equip_weapon_sword_feyken.webp</t>
  </si>
  <si>
    <t>Feyken Tapal</t>
  </si>
  <si>
    <t>modules/a-knights-dream/Item/equip_weapon_tapal_feyken.webp</t>
  </si>
  <si>
    <t>Feyken Trident</t>
  </si>
  <si>
    <t>modules/a-knights-dream/Item/equip_weapon_trident_feyken.webp</t>
  </si>
  <si>
    <t>Feyken War Hammer</t>
  </si>
  <si>
    <t>modules/a-knights-dream/Item/equip_weapon_hammer_war_feyken.webp</t>
  </si>
  <si>
    <t>Feyken War Pick</t>
  </si>
  <si>
    <t>modules/a-knights-dream/Item/equip_weapon_pick_war_feyken.webp</t>
  </si>
  <si>
    <t>Feyken Brigantine Cuirass</t>
  </si>
  <si>
    <t>modules/a-knights-dream/Item/equip_armor_brigantine_cuirass_feyken.webp</t>
  </si>
  <si>
    <t>Feyken Brigantine Gauntlets</t>
  </si>
  <si>
    <t>modules/a-knights-dream/Item/equip_armor_brigantine_gauntlets_feyken.webp</t>
  </si>
  <si>
    <t>Feyken Brigantine Greaves</t>
  </si>
  <si>
    <t>modules/a-knights-dream/Item/equip_armor_brigantine_greaves_feyken.webp</t>
  </si>
  <si>
    <t>Feyken Brigantine Helmet</t>
  </si>
  <si>
    <t>modules/a-knights-dream/Item/equip_armor_brigantine_helmet_feyken.webp</t>
  </si>
  <si>
    <t>Feyken Brigantine Pauldron</t>
  </si>
  <si>
    <t>modules/a-knights-dream/Item/equip_armor_brigantine_pauldron_feyken.webp</t>
  </si>
  <si>
    <t>Feyken Chainmail Cuirass</t>
  </si>
  <si>
    <t>modules/a-knights-dream/Item/equip_armor_chainmail_cuirass_feyken.webp</t>
  </si>
  <si>
    <t>Feyken Chainmail Gauntlets</t>
  </si>
  <si>
    <t>modules/a-knights-dream/Item/equip_armor_chainmail_gauntlets_feyken.webp</t>
  </si>
  <si>
    <t>Feyken Chainmail Greaves</t>
  </si>
  <si>
    <t>modules/a-knights-dream/Item/equip_armor_chainmail_greaves_feyken.webp</t>
  </si>
  <si>
    <t>Feyken Chainmail Helmet</t>
  </si>
  <si>
    <t>modules/a-knights-dream/Item/equip_armor_chainmail_helmet_feyken.webp</t>
  </si>
  <si>
    <t>Feyken Chainmail Pauldron</t>
  </si>
  <si>
    <t>modules/a-knights-dream/Item/equip_armor_chainmail_pauldron_feyken.webp</t>
  </si>
  <si>
    <t>Feyken Gamberson Cuirass</t>
  </si>
  <si>
    <t>modules/a-knights-dream/Item/equip_armor_gamberson_cuirass_feyken.webp</t>
  </si>
  <si>
    <t>Feyken Gamberson Gauntlets</t>
  </si>
  <si>
    <t>modules/a-knights-dream/Item/equip_armor_gamberson_gauntlets_feyken.webp</t>
  </si>
  <si>
    <t>Feyken Gamberson Greaves</t>
  </si>
  <si>
    <t>modules/a-knights-dream/Item/equip_armor_gamberson_greaves_feyken.webp</t>
  </si>
  <si>
    <t>Feyken Gamberson Helmet</t>
  </si>
  <si>
    <t>modules/a-knights-dream/Item/equip_armor_gamberson_helmet_feyken.webp</t>
  </si>
  <si>
    <t>Feyken Gamberson Pauldron</t>
  </si>
  <si>
    <t>modules/a-knights-dream/Item/equip_armor_gamberson_pauldron_feyken.webp</t>
  </si>
  <si>
    <t>Feyken Hauberk Cuirass</t>
  </si>
  <si>
    <t>modules/a-knights-dream/Item/equip_armor_hauberk_cuirass_feyken.webp</t>
  </si>
  <si>
    <t>Feyken Hauberk Gauntlets</t>
  </si>
  <si>
    <t>modules/a-knights-dream/Item/equip_armor_hauberk_gauntlets_feyken.webp</t>
  </si>
  <si>
    <t>Feyken Hauberk Greaves</t>
  </si>
  <si>
    <t>modules/a-knights-dream/Item/equip_armor_hauberk_greaves_feyken.webp</t>
  </si>
  <si>
    <t>Feyken Hauberk Helmet</t>
  </si>
  <si>
    <t>modules/a-knights-dream/Item/equip_armor_hauberk_helmet_feyken.webp</t>
  </si>
  <si>
    <t>Feyken Hauberk Pauldron</t>
  </si>
  <si>
    <t>modules/a-knights-dream/Item/equip_armor_hauberk_pauldron_feyken.webp</t>
  </si>
  <si>
    <t>Feyken Jack Cuirass</t>
  </si>
  <si>
    <t>modules/a-knights-dream/Item/equip_armor_jack_cuirass_feyken.webp</t>
  </si>
  <si>
    <t>Feyken Jack Gauntlets</t>
  </si>
  <si>
    <t>modules/a-knights-dream/Item/equip_armor_jack_gauntlets_feyken.webp</t>
  </si>
  <si>
    <t>Feyken Jack Greaves</t>
  </si>
  <si>
    <t>modules/a-knights-dream/Item/equip_armor_jack_greaves_feyken.webp</t>
  </si>
  <si>
    <t>Feyken Jack Helmet</t>
  </si>
  <si>
    <t>modules/a-knights-dream/Item/equip_armor_jack_helmet_feyken.webp</t>
  </si>
  <si>
    <t>Feyken Jack Pauldron</t>
  </si>
  <si>
    <t>modules/a-knights-dream/Item/equip_armor_jack_pauldron_feyken.webp</t>
  </si>
  <si>
    <t>Feyken Lamellar Cuirass</t>
  </si>
  <si>
    <t>modules/a-knights-dream/Item/equip_armor_lamellar_cuirass_feyken.webp</t>
  </si>
  <si>
    <t>Feyken Lamellar Gauntlets</t>
  </si>
  <si>
    <t>modules/a-knights-dream/Item/equip_armor_lamellar_gauntlets_feyken.webp</t>
  </si>
  <si>
    <t>Feyken Lamellar Greaves</t>
  </si>
  <si>
    <t>modules/a-knights-dream/Item/equip_armor_lamellar_greaves_feyken.webp</t>
  </si>
  <si>
    <t>Feyken Lamellar Helmet</t>
  </si>
  <si>
    <t>modules/a-knights-dream/Item/equip_armor_lamellar_helmet_feyken.webp</t>
  </si>
  <si>
    <t>Feyken Lamellar Pauldron</t>
  </si>
  <si>
    <t>modules/a-knights-dream/Item/equip_armor_lamellar_pauldron_feyken.webp</t>
  </si>
  <si>
    <t>Feyken Platemail Cuirass</t>
  </si>
  <si>
    <t>modules/a-knights-dream/Item/equip_armor_platemail_cuirass_feyken.webp</t>
  </si>
  <si>
    <t>Feyken Platemail Gauntlets</t>
  </si>
  <si>
    <t>modules/a-knights-dream/Item/equip_armor_platemail_gauntlets_feyken.webp</t>
  </si>
  <si>
    <t>Feyken Platemail Greaves</t>
  </si>
  <si>
    <t>modules/a-knights-dream/Item/equip_armor_platemail_greaves_feyken.webp</t>
  </si>
  <si>
    <t>Feyken Platemail Helmet</t>
  </si>
  <si>
    <t>modules/a-knights-dream/Item/equip_armor_platemail_helmet_feyken.webp</t>
  </si>
  <si>
    <t>Feyken Platemail Pauldron</t>
  </si>
  <si>
    <t>modules/a-knights-dream/Item/equip_armor_platemail_pauldron_feyken.webp</t>
  </si>
  <si>
    <t>Feyken Tunic Cuirass</t>
  </si>
  <si>
    <t>modules/a-knights-dream/Item/equip_armor_tunic_cuirass_feyken.webp</t>
  </si>
  <si>
    <t>Feyken Tunic Gauntlets</t>
  </si>
  <si>
    <t>modules/a-knights-dream/Item/equip_armor_tunic_gauntlets_feyken.webp</t>
  </si>
  <si>
    <t>Feyken Tunic Greaves</t>
  </si>
  <si>
    <t>modules/a-knights-dream/Item/equip_armor_tunic_greaves_feyken.webp</t>
  </si>
  <si>
    <t>Feyken Tunic Helmet</t>
  </si>
  <si>
    <t>modules/a-knights-dream/Item/equip_armor_tunic_helmet_feyken.webp</t>
  </si>
  <si>
    <t>Feyken Tunic Pauldron</t>
  </si>
  <si>
    <t>modules/a-knights-dream/Item/equip_armor_tunic_pauldron_feyken.webp</t>
  </si>
  <si>
    <t>Feyken Buckler Shield</t>
  </si>
  <si>
    <t>modules/a-knights-dream/Item/equip_armor_shield_buckler_feyken.webp</t>
  </si>
  <si>
    <t>Feyken Heater Shield</t>
  </si>
  <si>
    <t>modules/a-knights-dream/Item/equip_armor_shield_heater_feyken.webp</t>
  </si>
  <si>
    <t>Feyken Kite Shield</t>
  </si>
  <si>
    <t>modules/a-knights-dream/Item/equip_armor_shield_kite_feyken.webp</t>
  </si>
  <si>
    <t>Feyken Oval Shield</t>
  </si>
  <si>
    <t>modules/a-knights-dream/Item/equip_armor_shield_oval_feyken.webp</t>
  </si>
  <si>
    <t>Feyken Round Shield</t>
  </si>
  <si>
    <t>modules/a-knights-dream/Item/equip_armor_shield_round_feyken.webp</t>
  </si>
  <si>
    <t>Feyken Tower Shield</t>
  </si>
  <si>
    <t>modules/a-knights-dream/Item/equip_armor_shield_tower_feyken.webp</t>
  </si>
  <si>
    <t>Fourure</t>
  </si>
  <si>
    <t>Fourure Ball Bearings</t>
  </si>
  <si>
    <t>modules/a-knights-dream/Item/equip_weapon_bearings_fourure.webp</t>
  </si>
  <si>
    <t>Fourure Bardiche</t>
  </si>
  <si>
    <t>modules/a-knights-dream/Item/equip_weapon_bardiche_fourure.webp</t>
  </si>
  <si>
    <t>Fourure Bastard Sword</t>
  </si>
  <si>
    <t>modules/a-knights-dream/Item/equip_weapon_sword_bastard_fourure.webp</t>
  </si>
  <si>
    <t>Fourure Battle Axe</t>
  </si>
  <si>
    <t>modules/a-knights-dream/Item/equip_weapon_axe_battle_fourure.webp</t>
  </si>
  <si>
    <t>Fourure Blowgun</t>
  </si>
  <si>
    <t>modules/a-knights-dream/Item/equip_weapon_blowgun_fourure.webp</t>
  </si>
  <si>
    <t>Fourure Bolt</t>
  </si>
  <si>
    <t>modules/a-knights-dream/Item/equip_weapon_bolt_fourure.webp</t>
  </si>
  <si>
    <t>Fourure Boomerang</t>
  </si>
  <si>
    <t>modules/a-knights-dream/Item/equip_weapon_boomerang_fourure.webp</t>
  </si>
  <si>
    <t>Fourure Bow</t>
  </si>
  <si>
    <t>modules/a-knights-dream/Item/equip_weapon_bow_fourure.webp</t>
  </si>
  <si>
    <t>Fourure Caltrops</t>
  </si>
  <si>
    <t>modules/a-knights-dream/Item/equip_weapon_caltrops_fourure.webp</t>
  </si>
  <si>
    <t>Fourure Cestus</t>
  </si>
  <si>
    <t>modules/a-knights-dream/Item/equip_weapon_cestus_fourure.webp</t>
  </si>
  <si>
    <t>Fourure Chain</t>
  </si>
  <si>
    <t>modules/a-knights-dream/Item/equip_weapon_chain_fourure.webp</t>
  </si>
  <si>
    <t>Fourure Claymore</t>
  </si>
  <si>
    <t>modules/a-knights-dream/Item/equip_weapon_claymore_fourure.webp</t>
  </si>
  <si>
    <t>Fourure Club</t>
  </si>
  <si>
    <t>modules/a-knights-dream/Item/equip_weapon_club_fourure.webp</t>
  </si>
  <si>
    <t>Fourure Compound Bow</t>
  </si>
  <si>
    <t>modules/a-knights-dream/Item/equip_weapon_bow_compound_fourure.webp</t>
  </si>
  <si>
    <t>Fourure Cutlass</t>
  </si>
  <si>
    <t>modules/a-knights-dream/Item/equip_weapon_cutlass_fourure.webp</t>
  </si>
  <si>
    <t>Fourure Dagger</t>
  </si>
  <si>
    <t>modules/a-knights-dream/Item/equip_weapon_dagger_fourure.webp</t>
  </si>
  <si>
    <t>Fourure Dart</t>
  </si>
  <si>
    <t>modules/a-knights-dream/Item/equip_weapon_dart_fourure.webp</t>
  </si>
  <si>
    <t>Fourure Fauchard Scythe</t>
  </si>
  <si>
    <t>modules/a-knights-dream/Item/equip_weapon_scythe_fauchard_fourure.webp</t>
  </si>
  <si>
    <t>Fourure Flail</t>
  </si>
  <si>
    <t>modules/a-knights-dream/Item/equip_weapon_flail_fourure.webp</t>
  </si>
  <si>
    <t>Fourure Glaive</t>
  </si>
  <si>
    <t>modules/a-knights-dream/Item/equip_weapon_glaive_fourure.webp</t>
  </si>
  <si>
    <t>Fourure Grapple Hook</t>
  </si>
  <si>
    <t>modules/a-knights-dream/Item/equip_weapon_hook_grapple_fourure.webp</t>
  </si>
  <si>
    <t>Fourure Great Axe</t>
  </si>
  <si>
    <t>modules/a-knights-dream/Item/equip_weapon_axe_great_fourure.webp</t>
  </si>
  <si>
    <t>Fourure Great Club</t>
  </si>
  <si>
    <t>modules/a-knights-dream/Item/equip_weapon_club_great_fourure.webp</t>
  </si>
  <si>
    <t>Fourure Great Khyber</t>
  </si>
  <si>
    <t>modules/a-knights-dream/Item/equip_weapon_khyber_great_fourure.webp</t>
  </si>
  <si>
    <t>Fourure Great Konda</t>
  </si>
  <si>
    <t>modules/a-knights-dream/Item/equip_weapon_konda_great_fourure.webp</t>
  </si>
  <si>
    <t>Fourure Great Labrys</t>
  </si>
  <si>
    <t>modules/a-knights-dream/Item/equip_weapon_axe_labrys_great_fourure.webp</t>
  </si>
  <si>
    <t>Fourure Great Mace</t>
  </si>
  <si>
    <t>modules/a-knights-dream/Item/equip_weapon_mace_great_fourure.webp</t>
  </si>
  <si>
    <t>Fourure Great Tapal</t>
  </si>
  <si>
    <t>modules/a-knights-dream/Item/equip_weapon_tapal_great_fourure.webp</t>
  </si>
  <si>
    <t>Fourure Great War Bow</t>
  </si>
  <si>
    <t>modules/a-knights-dream/Item/equip_weapon_bow_war_great_fourure.webp</t>
  </si>
  <si>
    <t>Fourure Great War Hammer</t>
  </si>
  <si>
    <t>modules/a-knights-dream/Item/equip_weapon_hammer_war_great_fourure.webp</t>
  </si>
  <si>
    <t>Fourure Great War Pick</t>
  </si>
  <si>
    <t>modules/a-knights-dream/Item/equip_weapon_pick_war_great_fourure.webp</t>
  </si>
  <si>
    <t>Fourure Guisarme</t>
  </si>
  <si>
    <t>modules/a-knights-dream/Item/equip_weapon_guisarme_fourure.webp</t>
  </si>
  <si>
    <t>Fourure Halberd</t>
  </si>
  <si>
    <t>modules/a-knights-dream/Item/equip_weapon_halberd_fourure.webp</t>
  </si>
  <si>
    <t>Fourure Hand Crossbow</t>
  </si>
  <si>
    <t>modules/a-knights-dream/Item/equip_weapon_crossbow_hand_fourure.webp</t>
  </si>
  <si>
    <t>Fourure Hand axe</t>
  </si>
  <si>
    <t>modules/a-knights-dream/Item/equip_weapon_axe_hand_fourure.webp</t>
  </si>
  <si>
    <t>Fourure Heavy Crossbow</t>
  </si>
  <si>
    <t>modules/a-knights-dream/Item/equip_weapon_crossbow_heavy_fourure.webp</t>
  </si>
  <si>
    <t>Fourure Hunting Trap</t>
  </si>
  <si>
    <t>modules/a-knights-dream/Item/equip_weapon_trap_hunting_fourure.webp</t>
  </si>
  <si>
    <t>Fourure Hunting Trap (Large)</t>
  </si>
  <si>
    <t>modules/a-knights-dream/Item/equip_weapon_trap_hunting_large_fourure.webp</t>
  </si>
  <si>
    <t>Fourure Hunting Trap (Small)</t>
  </si>
  <si>
    <t>modules/a-knights-dream/Item/equip_weapon_trap_hunting_small_fourure.webp</t>
  </si>
  <si>
    <t>Fourure Javelin</t>
  </si>
  <si>
    <t>modules/a-knights-dream/Item/equip_weapon_javelin_fourure.webp</t>
  </si>
  <si>
    <t>Fourure Khpesh</t>
  </si>
  <si>
    <t>modules/a-knights-dream/Item/equip_weapon_khpesh_fourure.webp</t>
  </si>
  <si>
    <t>Fourure Khyber</t>
  </si>
  <si>
    <t>modules/a-knights-dream/Item/equip_weapon_khyber_fourure.webp</t>
  </si>
  <si>
    <t>Fourure Konda</t>
  </si>
  <si>
    <t>modules/a-knights-dream/Item/equip_weapon_konda_fourure.webp</t>
  </si>
  <si>
    <t>Fourure Labrys</t>
  </si>
  <si>
    <t>modules/a-knights-dream/Item/equip_weapon_axe_labrys_fourure.webp</t>
  </si>
  <si>
    <t>Fourure Lance</t>
  </si>
  <si>
    <t>modules/a-knights-dream/Item/equip_weapon_lance_fourure.webp</t>
  </si>
  <si>
    <t>Fourure Light Crossbow</t>
  </si>
  <si>
    <t>modules/a-knights-dream/Item/equip_weapon_crossbow_light_fourure.webp</t>
  </si>
  <si>
    <t>Fourure Long Bow</t>
  </si>
  <si>
    <t>modules/a-knights-dream/Item/equip_weapon_bow_long_fourure.webp</t>
  </si>
  <si>
    <t>Fourure Long Spear</t>
  </si>
  <si>
    <t>modules/a-knights-dream/Item/equip_weapon_spear_long_fourure.webp</t>
  </si>
  <si>
    <t>Fourure Lucerince Hammer</t>
  </si>
  <si>
    <t>modules/a-knights-dream/Item/equip_weapon_hammer_lucerince_fourure.webp</t>
  </si>
  <si>
    <t>Fourure Mace</t>
  </si>
  <si>
    <t>modules/a-knights-dream/Item/equip_weapon_mace_fourure.webp</t>
  </si>
  <si>
    <t>Fourure Morningstar</t>
  </si>
  <si>
    <t>modules/a-knights-dream/Item/equip_weapon_morningstar_fourure.webp</t>
  </si>
  <si>
    <t>Fourure Pike</t>
  </si>
  <si>
    <t>modules/a-knights-dream/Item/equip_weapon_pike_fourure.webp</t>
  </si>
  <si>
    <t>Fourure Quarter Staff</t>
  </si>
  <si>
    <t>modules/a-knights-dream/Item/equip_weapon_staff_quarter_fourure.webp</t>
  </si>
  <si>
    <t>Fourure Ranseur</t>
  </si>
  <si>
    <t>modules/a-knights-dream/Item/equip_weapon_ranseur_fourure.webp</t>
  </si>
  <si>
    <t>Fourure Rapier</t>
  </si>
  <si>
    <t>modules/a-knights-dream/Item/equip_weapon_rapier_fourure.webp</t>
  </si>
  <si>
    <t>Fourure Recurve Bow</t>
  </si>
  <si>
    <t>modules/a-knights-dream/Item/equip_weapon_bow_recurve_fourure.webp</t>
  </si>
  <si>
    <t>Fourure Repeater Crossbow</t>
  </si>
  <si>
    <t>modules/a-knights-dream/Item/equip_weapon_crossbow_repeater_fourure.webp</t>
  </si>
  <si>
    <t>Fourure Sabre</t>
  </si>
  <si>
    <t>modules/a-knights-dream/Item/equip_weapon_sabre_fourure.webp</t>
  </si>
  <si>
    <t>Fourure Scimitar</t>
  </si>
  <si>
    <t>modules/a-knights-dream/Item/equip_weapon_scimitar_fourure.webp</t>
  </si>
  <si>
    <t>Fourure Scythe</t>
  </si>
  <si>
    <t>modules/a-knights-dream/Item/equip_weapon_scythe_fourure.webp</t>
  </si>
  <si>
    <t>Fourure Short Bow</t>
  </si>
  <si>
    <t>modules/a-knights-dream/Item/equip_weapon_bow_short_fourure.webp</t>
  </si>
  <si>
    <t>Fourure Short Spear</t>
  </si>
  <si>
    <t>modules/a-knights-dream/Item/equip_weapon_spear_short_fourure.webp</t>
  </si>
  <si>
    <t>Fourure Short Sword</t>
  </si>
  <si>
    <t>modules/a-knights-dream/Item/equip_weapon_sword_short_fourure.webp</t>
  </si>
  <si>
    <t>Fourure Shotel</t>
  </si>
  <si>
    <t>modules/a-knights-dream/Item/equip_weapon_shotel_fourure.webp</t>
  </si>
  <si>
    <t>Fourure Sickle</t>
  </si>
  <si>
    <t>modules/a-knights-dream/Item/equip_weapon_sickle_fourure.webp</t>
  </si>
  <si>
    <t>Fourure Sling</t>
  </si>
  <si>
    <t>modules/a-knights-dream/Item/equip_weapon_sling_fourure.webp</t>
  </si>
  <si>
    <t>Fourure Staff</t>
  </si>
  <si>
    <t>modules/a-knights-dream/Item/equip_weapon_staff_fourure.webp</t>
  </si>
  <si>
    <t>Fourure Staff Sling</t>
  </si>
  <si>
    <t>modules/a-knights-dream/Item/equip_weapon_sling_staff_fourure.webp</t>
  </si>
  <si>
    <t>Fourure Sword</t>
  </si>
  <si>
    <t>modules/a-knights-dream/Item/equip_weapon_sword_fourure.webp</t>
  </si>
  <si>
    <t>Fourure Tapal</t>
  </si>
  <si>
    <t>modules/a-knights-dream/Item/equip_weapon_tapal_fourure.webp</t>
  </si>
  <si>
    <t>Fourure Trident</t>
  </si>
  <si>
    <t>modules/a-knights-dream/Item/equip_weapon_trident_fourure.webp</t>
  </si>
  <si>
    <t>Fourure War Hammer</t>
  </si>
  <si>
    <t>modules/a-knights-dream/Item/equip_weapon_hammer_war_fourure.webp</t>
  </si>
  <si>
    <t>Fourure War Pick</t>
  </si>
  <si>
    <t>modules/a-knights-dream/Item/equip_weapon_pick_war_fourure.webp</t>
  </si>
  <si>
    <t>Fourure Brigantine Cuirass</t>
  </si>
  <si>
    <t>modules/a-knights-dream/Item/equip_armor_brigantine_cuirass_fourure.webp</t>
  </si>
  <si>
    <t>Fourure Brigantine Gauntlets</t>
  </si>
  <si>
    <t>modules/a-knights-dream/Item/equip_armor_brigantine_gauntlets_fourure.webp</t>
  </si>
  <si>
    <t>Fourure Brigantine Greaves</t>
  </si>
  <si>
    <t>modules/a-knights-dream/Item/equip_armor_brigantine_greaves_fourure.webp</t>
  </si>
  <si>
    <t>Fourure Brigantine Helmet</t>
  </si>
  <si>
    <t>modules/a-knights-dream/Item/equip_armor_brigantine_helmet_fourure.webp</t>
  </si>
  <si>
    <t>Fourure Brigantine Pauldron</t>
  </si>
  <si>
    <t>modules/a-knights-dream/Item/equip_armor_brigantine_pauldron_fourure.webp</t>
  </si>
  <si>
    <t>Fourure Chainmail Cuirass</t>
  </si>
  <si>
    <t>modules/a-knights-dream/Item/equip_armor_chainmail_cuirass_fourure.webp</t>
  </si>
  <si>
    <t>Fourure Chainmail Gauntlets</t>
  </si>
  <si>
    <t>modules/a-knights-dream/Item/equip_armor_chainmail_gauntlets_fourure.webp</t>
  </si>
  <si>
    <t>Fourure Chainmail Greaves</t>
  </si>
  <si>
    <t>modules/a-knights-dream/Item/equip_armor_chainmail_greaves_fourure.webp</t>
  </si>
  <si>
    <t>Fourure Chainmail Helmet</t>
  </si>
  <si>
    <t>modules/a-knights-dream/Item/equip_armor_chainmail_helmet_fourure.webp</t>
  </si>
  <si>
    <t>Fourure Chainmail Pauldron</t>
  </si>
  <si>
    <t>modules/a-knights-dream/Item/equip_armor_chainmail_pauldron_fourure.webp</t>
  </si>
  <si>
    <t>Fourure Gamberson Cuirass</t>
  </si>
  <si>
    <t>modules/a-knights-dream/Item/equip_armor_gamberson_cuirass_fourure.webp</t>
  </si>
  <si>
    <t>Fourure Gamberson Gauntlets</t>
  </si>
  <si>
    <t>modules/a-knights-dream/Item/equip_armor_gamberson_gauntlets_fourure.webp</t>
  </si>
  <si>
    <t>Fourure Gamberson Greaves</t>
  </si>
  <si>
    <t>modules/a-knights-dream/Item/equip_armor_gamberson_greaves_fourure.webp</t>
  </si>
  <si>
    <t>Fourure Gamberson Helmet</t>
  </si>
  <si>
    <t>modules/a-knights-dream/Item/equip_armor_gamberson_helmet_fourure.webp</t>
  </si>
  <si>
    <t>Fourure Gamberson Pauldron</t>
  </si>
  <si>
    <t>modules/a-knights-dream/Item/equip_armor_gamberson_pauldron_fourure.webp</t>
  </si>
  <si>
    <t>Fourure Hauberk Cuirass</t>
  </si>
  <si>
    <t>modules/a-knights-dream/Item/equip_armor_hauberk_cuirass_fourure.webp</t>
  </si>
  <si>
    <t>Fourure Hauberk Gauntlets</t>
  </si>
  <si>
    <t>modules/a-knights-dream/Item/equip_armor_hauberk_gauntlets_fourure.webp</t>
  </si>
  <si>
    <t>Fourure Hauberk Greaves</t>
  </si>
  <si>
    <t>modules/a-knights-dream/Item/equip_armor_hauberk_greaves_fourure.webp</t>
  </si>
  <si>
    <t>Fourure Hauberk Helmet</t>
  </si>
  <si>
    <t>modules/a-knights-dream/Item/equip_armor_hauberk_helmet_fourure.webp</t>
  </si>
  <si>
    <t>Fourure Hauberk Pauldron</t>
  </si>
  <si>
    <t>modules/a-knights-dream/Item/equip_armor_hauberk_pauldron_fourure.webp</t>
  </si>
  <si>
    <t>Fourure Jack Cuirass</t>
  </si>
  <si>
    <t>modules/a-knights-dream/Item/equip_armor_jack_cuirass_fourure.webp</t>
  </si>
  <si>
    <t>Fourure Jack Gauntlets</t>
  </si>
  <si>
    <t>modules/a-knights-dream/Item/equip_armor_jack_gauntlets_fourure.webp</t>
  </si>
  <si>
    <t>Fourure Jack Greaves</t>
  </si>
  <si>
    <t>modules/a-knights-dream/Item/equip_armor_jack_greaves_fourure.webp</t>
  </si>
  <si>
    <t>Fourure Jack Helmet</t>
  </si>
  <si>
    <t>modules/a-knights-dream/Item/equip_armor_jack_helmet_fourure.webp</t>
  </si>
  <si>
    <t>Fourure Jack Pauldron</t>
  </si>
  <si>
    <t>modules/a-knights-dream/Item/equip_armor_jack_pauldron_fourure.webp</t>
  </si>
  <si>
    <t>Fourure Lamellar Cuirass</t>
  </si>
  <si>
    <t>modules/a-knights-dream/Item/equip_armor_lamellar_cuirass_fourure.webp</t>
  </si>
  <si>
    <t>Fourure Lamellar Gauntlets</t>
  </si>
  <si>
    <t>modules/a-knights-dream/Item/equip_armor_lamellar_gauntlets_fourure.webp</t>
  </si>
  <si>
    <t>Fourure Lamellar Greaves</t>
  </si>
  <si>
    <t>modules/a-knights-dream/Item/equip_armor_lamellar_greaves_fourure.webp</t>
  </si>
  <si>
    <t>Fourure Lamellar Helmet</t>
  </si>
  <si>
    <t>modules/a-knights-dream/Item/equip_armor_lamellar_helmet_fourure.webp</t>
  </si>
  <si>
    <t>Fourure Lamellar Pauldron</t>
  </si>
  <si>
    <t>modules/a-knights-dream/Item/equip_armor_lamellar_pauldron_fourure.webp</t>
  </si>
  <si>
    <t>Fourure Platemail Cuirass</t>
  </si>
  <si>
    <t>modules/a-knights-dream/Item/equip_armor_platemail_cuirass_fourure.webp</t>
  </si>
  <si>
    <t>Fourure Platemail Gauntlets</t>
  </si>
  <si>
    <t>modules/a-knights-dream/Item/equip_armor_platemail_gauntlets_fourure.webp</t>
  </si>
  <si>
    <t>Fourure Platemail Greaves</t>
  </si>
  <si>
    <t>modules/a-knights-dream/Item/equip_armor_platemail_greaves_fourure.webp</t>
  </si>
  <si>
    <t>Fourure Platemail Helmet</t>
  </si>
  <si>
    <t>modules/a-knights-dream/Item/equip_armor_platemail_helmet_fourure.webp</t>
  </si>
  <si>
    <t>Fourure Platemail Pauldron</t>
  </si>
  <si>
    <t>modules/a-knights-dream/Item/equip_armor_platemail_pauldron_fourure.webp</t>
  </si>
  <si>
    <t>Fourure Tunic Cuirass</t>
  </si>
  <si>
    <t>modules/a-knights-dream/Item/equip_armor_tunic_cuirass_fourure.webp</t>
  </si>
  <si>
    <t>Fourure Tunic Gauntlets</t>
  </si>
  <si>
    <t>modules/a-knights-dream/Item/equip_armor_tunic_gauntlets_fourure.webp</t>
  </si>
  <si>
    <t>Fourure Tunic Greaves</t>
  </si>
  <si>
    <t>modules/a-knights-dream/Item/equip_armor_tunic_greaves_fourure.webp</t>
  </si>
  <si>
    <t>Fourure Tunic Helmet</t>
  </si>
  <si>
    <t>modules/a-knights-dream/Item/equip_armor_tunic_helmet_fourure.webp</t>
  </si>
  <si>
    <t>Fourure Tunic Pauldron</t>
  </si>
  <si>
    <t>modules/a-knights-dream/Item/equip_armor_tunic_pauldron_fourure.webp</t>
  </si>
  <si>
    <t>Fourure Buckler Shield</t>
  </si>
  <si>
    <t>modules/a-knights-dream/Item/equip_armor_shield_buckler_fourure.webp</t>
  </si>
  <si>
    <t>Fourure Heater Shield</t>
  </si>
  <si>
    <t>modules/a-knights-dream/Item/equip_armor_shield_heater_fourure.webp</t>
  </si>
  <si>
    <t>Fourure Kite Shield</t>
  </si>
  <si>
    <t>modules/a-knights-dream/Item/equip_armor_shield_kite_fourure.webp</t>
  </si>
  <si>
    <t>Fourure Oval Shield</t>
  </si>
  <si>
    <t>modules/a-knights-dream/Item/equip_armor_shield_oval_fourure.webp</t>
  </si>
  <si>
    <t>Fourure Round Shield</t>
  </si>
  <si>
    <t>modules/a-knights-dream/Item/equip_armor_shield_round_fourure.webp</t>
  </si>
  <si>
    <t>Fourure Tower Shield</t>
  </si>
  <si>
    <t>modules/a-knights-dream/Item/equip_armor_shield_tower_fourure.webp</t>
  </si>
  <si>
    <t>Jeepers</t>
  </si>
  <si>
    <t>Jeepers Ball Bearings</t>
  </si>
  <si>
    <t>modules/a-knights-dream/Item/equip_weapon_bearings_jeepers.webp</t>
  </si>
  <si>
    <t>Jeepers Bardiche</t>
  </si>
  <si>
    <t>modules/a-knights-dream/Item/equip_weapon_bardiche_jeepers.webp</t>
  </si>
  <si>
    <t>Jeepers Bastard Sword</t>
  </si>
  <si>
    <t>modules/a-knights-dream/Item/equip_weapon_sword_bastard_jeepers.webp</t>
  </si>
  <si>
    <t>Jeepers Battle Axe</t>
  </si>
  <si>
    <t>modules/a-knights-dream/Item/equip_weapon_axe_battle_jeepers.webp</t>
  </si>
  <si>
    <t>Jeepers Blowgun</t>
  </si>
  <si>
    <t>modules/a-knights-dream/Item/equip_weapon_blowgun_jeepers.webp</t>
  </si>
  <si>
    <t>Jeepers Bolt</t>
  </si>
  <si>
    <t>modules/a-knights-dream/Item/equip_weapon_bolt_jeepers.webp</t>
  </si>
  <si>
    <t>Jeepers Boomerang</t>
  </si>
  <si>
    <t>modules/a-knights-dream/Item/equip_weapon_boomerang_jeepers.webp</t>
  </si>
  <si>
    <t>Jeepers Bow</t>
  </si>
  <si>
    <t>modules/a-knights-dream/Item/equip_weapon_bow_jeepers.webp</t>
  </si>
  <si>
    <t>Jeepers Caltrops</t>
  </si>
  <si>
    <t>modules/a-knights-dream/Item/equip_weapon_caltrops_jeepers.webp</t>
  </si>
  <si>
    <t>Jeepers Cestus</t>
  </si>
  <si>
    <t>modules/a-knights-dream/Item/equip_weapon_cestus_jeepers.webp</t>
  </si>
  <si>
    <t>Jeepers Chain</t>
  </si>
  <si>
    <t>modules/a-knights-dream/Item/equip_weapon_chain_jeepers.webp</t>
  </si>
  <si>
    <t>Jeepers Claymore</t>
  </si>
  <si>
    <t>modules/a-knights-dream/Item/equip_weapon_claymore_jeepers.webp</t>
  </si>
  <si>
    <t>Jeepers Club</t>
  </si>
  <si>
    <t>modules/a-knights-dream/Item/equip_weapon_club_jeepers.webp</t>
  </si>
  <si>
    <t>Jeepers Compound Bow</t>
  </si>
  <si>
    <t>modules/a-knights-dream/Item/equip_weapon_bow_compound_jeepers.webp</t>
  </si>
  <si>
    <t>Jeepers Cutlass</t>
  </si>
  <si>
    <t>modules/a-knights-dream/Item/equip_weapon_cutlass_jeepers.webp</t>
  </si>
  <si>
    <t>Jeepers Dagger</t>
  </si>
  <si>
    <t>modules/a-knights-dream/Item/equip_weapon_dagger_jeepers.webp</t>
  </si>
  <si>
    <t>Jeepers Dart</t>
  </si>
  <si>
    <t>modules/a-knights-dream/Item/equip_weapon_dart_jeepers.webp</t>
  </si>
  <si>
    <t>Jeepers Fauchard Scythe</t>
  </si>
  <si>
    <t>modules/a-knights-dream/Item/equip_weapon_scythe_fauchard_jeepers.webp</t>
  </si>
  <si>
    <t>Jeepers Flail</t>
  </si>
  <si>
    <t>modules/a-knights-dream/Item/equip_weapon_flail_jeepers.webp</t>
  </si>
  <si>
    <t>Jeepers Glaive</t>
  </si>
  <si>
    <t>modules/a-knights-dream/Item/equip_weapon_glaive_jeepers.webp</t>
  </si>
  <si>
    <t>Jeepers Grapple Hook</t>
  </si>
  <si>
    <t>modules/a-knights-dream/Item/equip_weapon_hook_grapple_jeepers.webp</t>
  </si>
  <si>
    <t>Jeepers Great Axe</t>
  </si>
  <si>
    <t>modules/a-knights-dream/Item/equip_weapon_axe_great_jeepers.webp</t>
  </si>
  <si>
    <t>Jeepers Great Club</t>
  </si>
  <si>
    <t>modules/a-knights-dream/Item/equip_weapon_club_great_jeepers.webp</t>
  </si>
  <si>
    <t>Jeepers Great Khyber</t>
  </si>
  <si>
    <t>modules/a-knights-dream/Item/equip_weapon_khyber_great_jeepers.webp</t>
  </si>
  <si>
    <t>Jeepers Great Konda</t>
  </si>
  <si>
    <t>modules/a-knights-dream/Item/equip_weapon_konda_great_jeepers.webp</t>
  </si>
  <si>
    <t>Jeepers Great Labrys</t>
  </si>
  <si>
    <t>modules/a-knights-dream/Item/equip_weapon_axe_labrys_great_jeepers.webp</t>
  </si>
  <si>
    <t>Jeepers Great Mace</t>
  </si>
  <si>
    <t>modules/a-knights-dream/Item/equip_weapon_mace_great_jeepers.webp</t>
  </si>
  <si>
    <t>Jeepers Great Tapal</t>
  </si>
  <si>
    <t>modules/a-knights-dream/Item/equip_weapon_tapal_great_jeepers.webp</t>
  </si>
  <si>
    <t>Jeepers Great War Bow</t>
  </si>
  <si>
    <t>modules/a-knights-dream/Item/equip_weapon_bow_war_great_jeepers.webp</t>
  </si>
  <si>
    <t>Jeepers Great War Hammer</t>
  </si>
  <si>
    <t>modules/a-knights-dream/Item/equip_weapon_hammer_war_great_jeepers.webp</t>
  </si>
  <si>
    <t>Jeepers Great War Pick</t>
  </si>
  <si>
    <t>modules/a-knights-dream/Item/equip_weapon_pick_war_great_jeepers.webp</t>
  </si>
  <si>
    <t>Jeepers Guisarme</t>
  </si>
  <si>
    <t>modules/a-knights-dream/Item/equip_weapon_guisarme_jeepers.webp</t>
  </si>
  <si>
    <t>Jeepers Halberd</t>
  </si>
  <si>
    <t>modules/a-knights-dream/Item/equip_weapon_halberd_jeepers.webp</t>
  </si>
  <si>
    <t>Jeepers Hand Crossbow</t>
  </si>
  <si>
    <t>modules/a-knights-dream/Item/equip_weapon_crossbow_hand_jeepers.webp</t>
  </si>
  <si>
    <t>Jeepers Hand axe</t>
  </si>
  <si>
    <t>modules/a-knights-dream/Item/equip_weapon_axe_hand_jeepers.webp</t>
  </si>
  <si>
    <t>Jeepers Heavy Crossbow</t>
  </si>
  <si>
    <t>modules/a-knights-dream/Item/equip_weapon_crossbow_heavy_jeepers.webp</t>
  </si>
  <si>
    <t>Jeepers Hunting Trap</t>
  </si>
  <si>
    <t>modules/a-knights-dream/Item/equip_weapon_trap_hunting_jeepers.webp</t>
  </si>
  <si>
    <t>Jeepers Hunting Trap (Large)</t>
  </si>
  <si>
    <t>modules/a-knights-dream/Item/equip_weapon_trap_hunting_large_jeepers.webp</t>
  </si>
  <si>
    <t>Jeepers Hunting Trap (Small)</t>
  </si>
  <si>
    <t>modules/a-knights-dream/Item/equip_weapon_trap_hunting_small_jeepers.webp</t>
  </si>
  <si>
    <t>Jeepers Javelin</t>
  </si>
  <si>
    <t>modules/a-knights-dream/Item/equip_weapon_javelin_jeepers.webp</t>
  </si>
  <si>
    <t>Jeepers Khpesh</t>
  </si>
  <si>
    <t>modules/a-knights-dream/Item/equip_weapon_khpesh_jeepers.webp</t>
  </si>
  <si>
    <t>Jeepers Khyber</t>
  </si>
  <si>
    <t>modules/a-knights-dream/Item/equip_weapon_khyber_jeepers.webp</t>
  </si>
  <si>
    <t>Jeepers Konda</t>
  </si>
  <si>
    <t>modules/a-knights-dream/Item/equip_weapon_konda_jeepers.webp</t>
  </si>
  <si>
    <t>Jeepers Labrys</t>
  </si>
  <si>
    <t>modules/a-knights-dream/Item/equip_weapon_axe_labrys_jeepers.webp</t>
  </si>
  <si>
    <t>Jeepers Lance</t>
  </si>
  <si>
    <t>modules/a-knights-dream/Item/equip_weapon_lance_jeepers.webp</t>
  </si>
  <si>
    <t>Jeepers Light Crossbow</t>
  </si>
  <si>
    <t>modules/a-knights-dream/Item/equip_weapon_crossbow_light_jeepers.webp</t>
  </si>
  <si>
    <t>Jeepers Long Bow</t>
  </si>
  <si>
    <t>modules/a-knights-dream/Item/equip_weapon_bow_long_jeepers.webp</t>
  </si>
  <si>
    <t>Jeepers Long Spear</t>
  </si>
  <si>
    <t>modules/a-knights-dream/Item/equip_weapon_spear_long_jeepers.webp</t>
  </si>
  <si>
    <t>Jeepers Lucerince Hammer</t>
  </si>
  <si>
    <t>modules/a-knights-dream/Item/equip_weapon_hammer_lucerince_jeepers.webp</t>
  </si>
  <si>
    <t>Jeepers Mace</t>
  </si>
  <si>
    <t>modules/a-knights-dream/Item/equip_weapon_mace_jeepers.webp</t>
  </si>
  <si>
    <t>Jeepers Morningstar</t>
  </si>
  <si>
    <t>modules/a-knights-dream/Item/equip_weapon_morningstar_jeepers.webp</t>
  </si>
  <si>
    <t>Jeepers Pike</t>
  </si>
  <si>
    <t>modules/a-knights-dream/Item/equip_weapon_pike_jeepers.webp</t>
  </si>
  <si>
    <t>Jeepers Quarter Staff</t>
  </si>
  <si>
    <t>modules/a-knights-dream/Item/equip_weapon_staff_quarter_jeepers.webp</t>
  </si>
  <si>
    <t>Jeepers Ranseur</t>
  </si>
  <si>
    <t>modules/a-knights-dream/Item/equip_weapon_ranseur_jeepers.webp</t>
  </si>
  <si>
    <t>Jeepers Rapier</t>
  </si>
  <si>
    <t>modules/a-knights-dream/Item/equip_weapon_rapier_jeepers.webp</t>
  </si>
  <si>
    <t>Jeepers Recurve Bow</t>
  </si>
  <si>
    <t>modules/a-knights-dream/Item/equip_weapon_bow_recurve_jeepers.webp</t>
  </si>
  <si>
    <t>Jeepers Repeater Crossbow</t>
  </si>
  <si>
    <t>modules/a-knights-dream/Item/equip_weapon_crossbow_repeater_jeepers.webp</t>
  </si>
  <si>
    <t>Jeepers Sabre</t>
  </si>
  <si>
    <t>modules/a-knights-dream/Item/equip_weapon_sabre_jeepers.webp</t>
  </si>
  <si>
    <t>Jeepers Scimitar</t>
  </si>
  <si>
    <t>modules/a-knights-dream/Item/equip_weapon_scimitar_jeepers.webp</t>
  </si>
  <si>
    <t>Jeepers Scythe</t>
  </si>
  <si>
    <t>modules/a-knights-dream/Item/equip_weapon_scythe_jeepers.webp</t>
  </si>
  <si>
    <t>Jeepers Short Bow</t>
  </si>
  <si>
    <t>modules/a-knights-dream/Item/equip_weapon_bow_short_jeepers.webp</t>
  </si>
  <si>
    <t>Jeepers Short Spear</t>
  </si>
  <si>
    <t>modules/a-knights-dream/Item/equip_weapon_spear_short_jeepers.webp</t>
  </si>
  <si>
    <t>Jeepers Short Sword</t>
  </si>
  <si>
    <t>modules/a-knights-dream/Item/equip_weapon_sword_short_jeepers.webp</t>
  </si>
  <si>
    <t>Jeepers Shotel</t>
  </si>
  <si>
    <t>modules/a-knights-dream/Item/equip_weapon_shotel_jeepers.webp</t>
  </si>
  <si>
    <t>Jeepers Sickle</t>
  </si>
  <si>
    <t>modules/a-knights-dream/Item/equip_weapon_sickle_jeepers.webp</t>
  </si>
  <si>
    <t>Jeepers Sling</t>
  </si>
  <si>
    <t>modules/a-knights-dream/Item/equip_weapon_sling_jeepers.webp</t>
  </si>
  <si>
    <t>Jeepers Staff</t>
  </si>
  <si>
    <t>modules/a-knights-dream/Item/equip_weapon_staff_jeepers.webp</t>
  </si>
  <si>
    <t>Jeepers Staff Sling</t>
  </si>
  <si>
    <t>modules/a-knights-dream/Item/equip_weapon_sling_staff_jeepers.webp</t>
  </si>
  <si>
    <t>Jeepers Sword</t>
  </si>
  <si>
    <t>modules/a-knights-dream/Item/equip_weapon_sword_jeepers.webp</t>
  </si>
  <si>
    <t>Jeepers Tapal</t>
  </si>
  <si>
    <t>modules/a-knights-dream/Item/equip_weapon_tapal_jeepers.webp</t>
  </si>
  <si>
    <t>Jeepers Trident</t>
  </si>
  <si>
    <t>modules/a-knights-dream/Item/equip_weapon_trident_jeepers.webp</t>
  </si>
  <si>
    <t>Jeepers War Hammer</t>
  </si>
  <si>
    <t>modules/a-knights-dream/Item/equip_weapon_hammer_war_jeepers.webp</t>
  </si>
  <si>
    <t>Jeepers War Pick</t>
  </si>
  <si>
    <t>modules/a-knights-dream/Item/equip_weapon_pick_war_jeepers.webp</t>
  </si>
  <si>
    <t>Jeepers Brigantine Cuirass</t>
  </si>
  <si>
    <t>modules/a-knights-dream/Item/equip_armor_brigantine_cuirass_jeepers.webp</t>
  </si>
  <si>
    <t>Jeepers Brigantine Gauntlets</t>
  </si>
  <si>
    <t>modules/a-knights-dream/Item/equip_armor_brigantine_gauntlets_jeepers.webp</t>
  </si>
  <si>
    <t>Jeepers Brigantine Greaves</t>
  </si>
  <si>
    <t>modules/a-knights-dream/Item/equip_armor_brigantine_greaves_jeepers.webp</t>
  </si>
  <si>
    <t>Jeepers Brigantine Helmet</t>
  </si>
  <si>
    <t>modules/a-knights-dream/Item/equip_armor_brigantine_helmet_jeepers.webp</t>
  </si>
  <si>
    <t>Jeepers Brigantine Pauldron</t>
  </si>
  <si>
    <t>modules/a-knights-dream/Item/equip_armor_brigantine_pauldron_jeepers.webp</t>
  </si>
  <si>
    <t>Jeepers Chainmail Cuirass</t>
  </si>
  <si>
    <t>modules/a-knights-dream/Item/equip_armor_chainmail_cuirass_jeepers.webp</t>
  </si>
  <si>
    <t>Jeepers Chainmail Gauntlets</t>
  </si>
  <si>
    <t>modules/a-knights-dream/Item/equip_armor_chainmail_gauntlets_jeepers.webp</t>
  </si>
  <si>
    <t>Jeepers Chainmail Greaves</t>
  </si>
  <si>
    <t>modules/a-knights-dream/Item/equip_armor_chainmail_greaves_jeepers.webp</t>
  </si>
  <si>
    <t>Jeepers Chainmail Helmet</t>
  </si>
  <si>
    <t>modules/a-knights-dream/Item/equip_armor_chainmail_helmet_jeepers.webp</t>
  </si>
  <si>
    <t>Jeepers Chainmail Pauldron</t>
  </si>
  <si>
    <t>modules/a-knights-dream/Item/equip_armor_chainmail_pauldron_jeepers.webp</t>
  </si>
  <si>
    <t>Jeepers Gamberson Cuirass</t>
  </si>
  <si>
    <t>modules/a-knights-dream/Item/equip_armor_gamberson_cuirass_jeepers.webp</t>
  </si>
  <si>
    <t>Jeepers Gamberson Gauntlets</t>
  </si>
  <si>
    <t>modules/a-knights-dream/Item/equip_armor_gamberson_gauntlets_jeepers.webp</t>
  </si>
  <si>
    <t>Jeepers Gamberson Greaves</t>
  </si>
  <si>
    <t>modules/a-knights-dream/Item/equip_armor_gamberson_greaves_jeepers.webp</t>
  </si>
  <si>
    <t>Jeepers Gamberson Helmet</t>
  </si>
  <si>
    <t>modules/a-knights-dream/Item/equip_armor_gamberson_helmet_jeepers.webp</t>
  </si>
  <si>
    <t>Jeepers Gamberson Pauldron</t>
  </si>
  <si>
    <t>modules/a-knights-dream/Item/equip_armor_gamberson_pauldron_jeepers.webp</t>
  </si>
  <si>
    <t>Jeepers Hauberk Cuirass</t>
  </si>
  <si>
    <t>modules/a-knights-dream/Item/equip_armor_hauberk_cuirass_jeepers.webp</t>
  </si>
  <si>
    <t>Jeepers Hauberk Gauntlets</t>
  </si>
  <si>
    <t>modules/a-knights-dream/Item/equip_armor_hauberk_gauntlets_jeepers.webp</t>
  </si>
  <si>
    <t>Jeepers Hauberk Greaves</t>
  </si>
  <si>
    <t>modules/a-knights-dream/Item/equip_armor_hauberk_greaves_jeepers.webp</t>
  </si>
  <si>
    <t>Jeepers Hauberk Helmet</t>
  </si>
  <si>
    <t>modules/a-knights-dream/Item/equip_armor_hauberk_helmet_jeepers.webp</t>
  </si>
  <si>
    <t>Jeepers Hauberk Pauldron</t>
  </si>
  <si>
    <t>modules/a-knights-dream/Item/equip_armor_hauberk_pauldron_jeepers.webp</t>
  </si>
  <si>
    <t>Jeepers Jack Cuirass</t>
  </si>
  <si>
    <t>modules/a-knights-dream/Item/equip_armor_jack_cuirass_jeepers.webp</t>
  </si>
  <si>
    <t>Jeepers Jack Gauntlets</t>
  </si>
  <si>
    <t>modules/a-knights-dream/Item/equip_armor_jack_gauntlets_jeepers.webp</t>
  </si>
  <si>
    <t>Jeepers Jack Greaves</t>
  </si>
  <si>
    <t>modules/a-knights-dream/Item/equip_armor_jack_greaves_jeepers.webp</t>
  </si>
  <si>
    <t>Jeepers Jack Helmet</t>
  </si>
  <si>
    <t>modules/a-knights-dream/Item/equip_armor_jack_helmet_jeepers.webp</t>
  </si>
  <si>
    <t>Jeepers Jack Pauldron</t>
  </si>
  <si>
    <t>modules/a-knights-dream/Item/equip_armor_jack_pauldron_jeepers.webp</t>
  </si>
  <si>
    <t>Jeepers Lamellar Cuirass</t>
  </si>
  <si>
    <t>modules/a-knights-dream/Item/equip_armor_lamellar_cuirass_jeepers.webp</t>
  </si>
  <si>
    <t>Jeepers Lamellar Gauntlets</t>
  </si>
  <si>
    <t>modules/a-knights-dream/Item/equip_armor_lamellar_gauntlets_jeepers.webp</t>
  </si>
  <si>
    <t>Jeepers Lamellar Greaves</t>
  </si>
  <si>
    <t>modules/a-knights-dream/Item/equip_armor_lamellar_greaves_jeepers.webp</t>
  </si>
  <si>
    <t>Jeepers Lamellar Helmet</t>
  </si>
  <si>
    <t>modules/a-knights-dream/Item/equip_armor_lamellar_helmet_jeepers.webp</t>
  </si>
  <si>
    <t>Jeepers Lamellar Pauldron</t>
  </si>
  <si>
    <t>modules/a-knights-dream/Item/equip_armor_lamellar_pauldron_jeepers.webp</t>
  </si>
  <si>
    <t>Jeepers Platemail Cuirass</t>
  </si>
  <si>
    <t>modules/a-knights-dream/Item/equip_armor_platemail_cuirass_jeepers.webp</t>
  </si>
  <si>
    <t>Jeepers Platemail Gauntlets</t>
  </si>
  <si>
    <t>modules/a-knights-dream/Item/equip_armor_platemail_gauntlets_jeepers.webp</t>
  </si>
  <si>
    <t>Jeepers Platemail Greaves</t>
  </si>
  <si>
    <t>modules/a-knights-dream/Item/equip_armor_platemail_greaves_jeepers.webp</t>
  </si>
  <si>
    <t>Jeepers Platemail Helmet</t>
  </si>
  <si>
    <t>modules/a-knights-dream/Item/equip_armor_platemail_helmet_jeepers.webp</t>
  </si>
  <si>
    <t>Jeepers Platemail Pauldron</t>
  </si>
  <si>
    <t>modules/a-knights-dream/Item/equip_armor_platemail_pauldron_jeepers.webp</t>
  </si>
  <si>
    <t>Jeepers Tunic Cuirass</t>
  </si>
  <si>
    <t>modules/a-knights-dream/Item/equip_armor_tunic_cuirass_jeepers.webp</t>
  </si>
  <si>
    <t>Jeepers Tunic Gauntlets</t>
  </si>
  <si>
    <t>modules/a-knights-dream/Item/equip_armor_tunic_gauntlets_jeepers.webp</t>
  </si>
  <si>
    <t>Jeepers Tunic Greaves</t>
  </si>
  <si>
    <t>modules/a-knights-dream/Item/equip_armor_tunic_greaves_jeepers.webp</t>
  </si>
  <si>
    <t>Jeepers Tunic Helmet</t>
  </si>
  <si>
    <t>modules/a-knights-dream/Item/equip_armor_tunic_helmet_jeepers.webp</t>
  </si>
  <si>
    <t>Jeepers Tunic Pauldron</t>
  </si>
  <si>
    <t>modules/a-knights-dream/Item/equip_armor_tunic_pauldron_jeepers.webp</t>
  </si>
  <si>
    <t>Jeepers Buckler Shield</t>
  </si>
  <si>
    <t>modules/a-knights-dream/Item/equip_armor_shield_buckler_jeepers.webp</t>
  </si>
  <si>
    <t>Jeepers Heater Shield</t>
  </si>
  <si>
    <t>modules/a-knights-dream/Item/equip_armor_shield_heater_jeepers.webp</t>
  </si>
  <si>
    <t>Jeepers Kite Shield</t>
  </si>
  <si>
    <t>modules/a-knights-dream/Item/equip_armor_shield_kite_jeepers.webp</t>
  </si>
  <si>
    <t>Jeepers Oval Shield</t>
  </si>
  <si>
    <t>modules/a-knights-dream/Item/equip_armor_shield_oval_jeepers.webp</t>
  </si>
  <si>
    <t>Jeepers Round Shield</t>
  </si>
  <si>
    <t>modules/a-knights-dream/Item/equip_armor_shield_round_jeepers.webp</t>
  </si>
  <si>
    <t>Jeepers Tower Shield</t>
  </si>
  <si>
    <t>modules/a-knights-dream/Item/equip_armor_shield_tower_jeepers.webp</t>
  </si>
  <si>
    <t>Kozusina</t>
  </si>
  <si>
    <t>Kozusina Ball Bearings</t>
  </si>
  <si>
    <t>modules/a-knights-dream/Item/equip_weapon_bearings_kozusina.webp</t>
  </si>
  <si>
    <t>Kozusina Bardiche</t>
  </si>
  <si>
    <t>modules/a-knights-dream/Item/equip_weapon_bardiche_kozusina.webp</t>
  </si>
  <si>
    <t>Kozusina Bastard Sword</t>
  </si>
  <si>
    <t>modules/a-knights-dream/Item/equip_weapon_sword_bastard_kozusina.webp</t>
  </si>
  <si>
    <t>Kozusina Battle Axe</t>
  </si>
  <si>
    <t>modules/a-knights-dream/Item/equip_weapon_axe_battle_kozusina.webp</t>
  </si>
  <si>
    <t>Kozusina Blowgun</t>
  </si>
  <si>
    <t>modules/a-knights-dream/Item/equip_weapon_blowgun_kozusina.webp</t>
  </si>
  <si>
    <t>Kozusina Bolt</t>
  </si>
  <si>
    <t>modules/a-knights-dream/Item/equip_weapon_bolt_kozusina.webp</t>
  </si>
  <si>
    <t>Kozusina Boomerang</t>
  </si>
  <si>
    <t>modules/a-knights-dream/Item/equip_weapon_boomerang_kozusina.webp</t>
  </si>
  <si>
    <t>Kozusina Bow</t>
  </si>
  <si>
    <t>modules/a-knights-dream/Item/equip_weapon_bow_kozusina.webp</t>
  </si>
  <si>
    <t>Kozusina Caltrops</t>
  </si>
  <si>
    <t>modules/a-knights-dream/Item/equip_weapon_caltrops_kozusina.webp</t>
  </si>
  <si>
    <t>Kozusina Cestus</t>
  </si>
  <si>
    <t>modules/a-knights-dream/Item/equip_weapon_cestus_kozusina.webp</t>
  </si>
  <si>
    <t>Kozusina Chain</t>
  </si>
  <si>
    <t>modules/a-knights-dream/Item/equip_weapon_chain_kozusina.webp</t>
  </si>
  <si>
    <t>Kozusina Claymore</t>
  </si>
  <si>
    <t>modules/a-knights-dream/Item/equip_weapon_claymore_kozusina.webp</t>
  </si>
  <si>
    <t>Kozusina Club</t>
  </si>
  <si>
    <t>modules/a-knights-dream/Item/equip_weapon_club_kozusina.webp</t>
  </si>
  <si>
    <t>Kozusina Compound Bow</t>
  </si>
  <si>
    <t>modules/a-knights-dream/Item/equip_weapon_bow_compound_kozusina.webp</t>
  </si>
  <si>
    <t>Kozusina Cutlass</t>
  </si>
  <si>
    <t>modules/a-knights-dream/Item/equip_weapon_cutlass_kozusina.webp</t>
  </si>
  <si>
    <t>Kozusina Dagger</t>
  </si>
  <si>
    <t>modules/a-knights-dream/Item/equip_weapon_dagger_kozusina.webp</t>
  </si>
  <si>
    <t>Kozusina Dart</t>
  </si>
  <si>
    <t>modules/a-knights-dream/Item/equip_weapon_dart_kozusina.webp</t>
  </si>
  <si>
    <t>Kozusina Fauchard Scythe</t>
  </si>
  <si>
    <t>modules/a-knights-dream/Item/equip_weapon_scythe_fauchard_kozusina.webp</t>
  </si>
  <si>
    <t>Kozusina Flail</t>
  </si>
  <si>
    <t>modules/a-knights-dream/Item/equip_weapon_flail_kozusina.webp</t>
  </si>
  <si>
    <t>Kozusina Glaive</t>
  </si>
  <si>
    <t>modules/a-knights-dream/Item/equip_weapon_glaive_kozusina.webp</t>
  </si>
  <si>
    <t>Kozusina Grapple Hook</t>
  </si>
  <si>
    <t>modules/a-knights-dream/Item/equip_weapon_hook_grapple_kozusina.webp</t>
  </si>
  <si>
    <t>Kozusina Great Axe</t>
  </si>
  <si>
    <t>modules/a-knights-dream/Item/equip_weapon_axe_great_kozusina.webp</t>
  </si>
  <si>
    <t>Kozusina Great Club</t>
  </si>
  <si>
    <t>modules/a-knights-dream/Item/equip_weapon_club_great_kozusina.webp</t>
  </si>
  <si>
    <t>Kozusina Great Khyber</t>
  </si>
  <si>
    <t>modules/a-knights-dream/Item/equip_weapon_khyber_great_kozusina.webp</t>
  </si>
  <si>
    <t>Kozusina Great Konda</t>
  </si>
  <si>
    <t>modules/a-knights-dream/Item/equip_weapon_konda_great_kozusina.webp</t>
  </si>
  <si>
    <t>Kozusina Great Labrys</t>
  </si>
  <si>
    <t>modules/a-knights-dream/Item/equip_weapon_axe_labrys_great_kozusina.webp</t>
  </si>
  <si>
    <t>Kozusina Great Mace</t>
  </si>
  <si>
    <t>modules/a-knights-dream/Item/equip_weapon_mace_great_kozusina.webp</t>
  </si>
  <si>
    <t>Kozusina Great Tapal</t>
  </si>
  <si>
    <t>modules/a-knights-dream/Item/equip_weapon_tapal_great_kozusina.webp</t>
  </si>
  <si>
    <t>Kozusina Great War Bow</t>
  </si>
  <si>
    <t>modules/a-knights-dream/Item/equip_weapon_bow_war_great_kozusina.webp</t>
  </si>
  <si>
    <t>Kozusina Great War Hammer</t>
  </si>
  <si>
    <t>modules/a-knights-dream/Item/equip_weapon_hammer_war_great_kozusina.webp</t>
  </si>
  <si>
    <t>Kozusina Great War Pick</t>
  </si>
  <si>
    <t>modules/a-knights-dream/Item/equip_weapon_pick_war_great_kozusina.webp</t>
  </si>
  <si>
    <t>Kozusina Guisarme</t>
  </si>
  <si>
    <t>modules/a-knights-dream/Item/equip_weapon_guisarme_kozusina.webp</t>
  </si>
  <si>
    <t>Kozusina Halberd</t>
  </si>
  <si>
    <t>modules/a-knights-dream/Item/equip_weapon_halberd_kozusina.webp</t>
  </si>
  <si>
    <t>Kozusina Hand Crossbow</t>
  </si>
  <si>
    <t>modules/a-knights-dream/Item/equip_weapon_crossbow_hand_kozusina.webp</t>
  </si>
  <si>
    <t>Kozusina Hand axe</t>
  </si>
  <si>
    <t>modules/a-knights-dream/Item/equip_weapon_axe_hand_kozusina.webp</t>
  </si>
  <si>
    <t>Kozusina Heavy Crossbow</t>
  </si>
  <si>
    <t>modules/a-knights-dream/Item/equip_weapon_crossbow_heavy_kozusina.webp</t>
  </si>
  <si>
    <t>Kozusina Hunting Trap</t>
  </si>
  <si>
    <t>modules/a-knights-dream/Item/equip_weapon_trap_hunting_kozusina.webp</t>
  </si>
  <si>
    <t>Kozusina Hunting Trap (Large)</t>
  </si>
  <si>
    <t>modules/a-knights-dream/Item/equip_weapon_trap_hunting_large_kozusina.webp</t>
  </si>
  <si>
    <t>Kozusina Hunting Trap (Small)</t>
  </si>
  <si>
    <t>modules/a-knights-dream/Item/equip_weapon_trap_hunting_small_kozusina.webp</t>
  </si>
  <si>
    <t>Kozusina Javelin</t>
  </si>
  <si>
    <t>modules/a-knights-dream/Item/equip_weapon_javelin_kozusina.webp</t>
  </si>
  <si>
    <t>Kozusina Khpesh</t>
  </si>
  <si>
    <t>modules/a-knights-dream/Item/equip_weapon_khpesh_kozusina.webp</t>
  </si>
  <si>
    <t>Kozusina Khyber</t>
  </si>
  <si>
    <t>modules/a-knights-dream/Item/equip_weapon_khyber_kozusina.webp</t>
  </si>
  <si>
    <t>Kozusina Konda</t>
  </si>
  <si>
    <t>modules/a-knights-dream/Item/equip_weapon_konda_kozusina.webp</t>
  </si>
  <si>
    <t>Kozusina Labrys</t>
  </si>
  <si>
    <t>modules/a-knights-dream/Item/equip_weapon_axe_labrys_kozusina.webp</t>
  </si>
  <si>
    <t>Kozusina Lance</t>
  </si>
  <si>
    <t>modules/a-knights-dream/Item/equip_weapon_lance_kozusina.webp</t>
  </si>
  <si>
    <t>Kozusina Light Crossbow</t>
  </si>
  <si>
    <t>modules/a-knights-dream/Item/equip_weapon_crossbow_light_kozusina.webp</t>
  </si>
  <si>
    <t>Kozusina Long Bow</t>
  </si>
  <si>
    <t>modules/a-knights-dream/Item/equip_weapon_bow_long_kozusina.webp</t>
  </si>
  <si>
    <t>Kozusina Long Spear</t>
  </si>
  <si>
    <t>modules/a-knights-dream/Item/equip_weapon_spear_long_kozusina.webp</t>
  </si>
  <si>
    <t>Kozusina Lucerince Hammer</t>
  </si>
  <si>
    <t>modules/a-knights-dream/Item/equip_weapon_hammer_lucerince_kozusina.webp</t>
  </si>
  <si>
    <t>Kozusina Mace</t>
  </si>
  <si>
    <t>modules/a-knights-dream/Item/equip_weapon_mace_kozusina.webp</t>
  </si>
  <si>
    <t>Kozusina Morningstar</t>
  </si>
  <si>
    <t>modules/a-knights-dream/Item/equip_weapon_morningstar_kozusina.webp</t>
  </si>
  <si>
    <t>Kozusina Pike</t>
  </si>
  <si>
    <t>modules/a-knights-dream/Item/equip_weapon_pike_kozusina.webp</t>
  </si>
  <si>
    <t>Kozusina Quarter Staff</t>
  </si>
  <si>
    <t>modules/a-knights-dream/Item/equip_weapon_staff_quarter_kozusina.webp</t>
  </si>
  <si>
    <t>Kozusina Ranseur</t>
  </si>
  <si>
    <t>modules/a-knights-dream/Item/equip_weapon_ranseur_kozusina.webp</t>
  </si>
  <si>
    <t>Kozusina Rapier</t>
  </si>
  <si>
    <t>modules/a-knights-dream/Item/equip_weapon_rapier_kozusina.webp</t>
  </si>
  <si>
    <t>Kozusina Recurve Bow</t>
  </si>
  <si>
    <t>modules/a-knights-dream/Item/equip_weapon_bow_recurve_kozusina.webp</t>
  </si>
  <si>
    <t>Kozusina Repeater Crossbow</t>
  </si>
  <si>
    <t>modules/a-knights-dream/Item/equip_weapon_crossbow_repeater_kozusina.webp</t>
  </si>
  <si>
    <t>Kozusina Sabre</t>
  </si>
  <si>
    <t>modules/a-knights-dream/Item/equip_weapon_sabre_kozusina.webp</t>
  </si>
  <si>
    <t>Kozusina Scimitar</t>
  </si>
  <si>
    <t>modules/a-knights-dream/Item/equip_weapon_scimitar_kozusina.webp</t>
  </si>
  <si>
    <t>Kozusina Scythe</t>
  </si>
  <si>
    <t>modules/a-knights-dream/Item/equip_weapon_scythe_kozusina.webp</t>
  </si>
  <si>
    <t>Kozusina Short Bow</t>
  </si>
  <si>
    <t>modules/a-knights-dream/Item/equip_weapon_bow_short_kozusina.webp</t>
  </si>
  <si>
    <t>Kozusina Short Spear</t>
  </si>
  <si>
    <t>modules/a-knights-dream/Item/equip_weapon_spear_short_kozusina.webp</t>
  </si>
  <si>
    <t>Kozusina Short Sword</t>
  </si>
  <si>
    <t>modules/a-knights-dream/Item/equip_weapon_sword_short_kozusina.webp</t>
  </si>
  <si>
    <t>Kozusina Shotel</t>
  </si>
  <si>
    <t>modules/a-knights-dream/Item/equip_weapon_shotel_kozusina.webp</t>
  </si>
  <si>
    <t>Kozusina Sickle</t>
  </si>
  <si>
    <t>modules/a-knights-dream/Item/equip_weapon_sickle_kozusina.webp</t>
  </si>
  <si>
    <t>Kozusina Sling</t>
  </si>
  <si>
    <t>modules/a-knights-dream/Item/equip_weapon_sling_kozusina.webp</t>
  </si>
  <si>
    <t>Kozusina Staff</t>
  </si>
  <si>
    <t>modules/a-knights-dream/Item/equip_weapon_staff_kozusina.webp</t>
  </si>
  <si>
    <t>Kozusina Staff Sling</t>
  </si>
  <si>
    <t>modules/a-knights-dream/Item/equip_weapon_sling_staff_kozusina.webp</t>
  </si>
  <si>
    <t>Kozusina Sword</t>
  </si>
  <si>
    <t>modules/a-knights-dream/Item/equip_weapon_sword_kozusina.webp</t>
  </si>
  <si>
    <t>Kozusina Tapal</t>
  </si>
  <si>
    <t>modules/a-knights-dream/Item/equip_weapon_tapal_kozusina.webp</t>
  </si>
  <si>
    <t>Kozusina Trident</t>
  </si>
  <si>
    <t>modules/a-knights-dream/Item/equip_weapon_trident_kozusina.webp</t>
  </si>
  <si>
    <t>Kozusina War Hammer</t>
  </si>
  <si>
    <t>modules/a-knights-dream/Item/equip_weapon_hammer_war_kozusina.webp</t>
  </si>
  <si>
    <t>Kozusina War Pick</t>
  </si>
  <si>
    <t>modules/a-knights-dream/Item/equip_weapon_pick_war_kozusina.webp</t>
  </si>
  <si>
    <t>Kozusina Brigantine Cuirass</t>
  </si>
  <si>
    <t>modules/a-knights-dream/Item/equip_armor_brigantine_cuirass_kozusina.webp</t>
  </si>
  <si>
    <t>Kozusina Brigantine Gauntlets</t>
  </si>
  <si>
    <t>modules/a-knights-dream/Item/equip_armor_brigantine_gauntlets_kozusina.webp</t>
  </si>
  <si>
    <t>Kozusina Brigantine Greaves</t>
  </si>
  <si>
    <t>modules/a-knights-dream/Item/equip_armor_brigantine_greaves_kozusina.webp</t>
  </si>
  <si>
    <t>Kozusina Brigantine Helmet</t>
  </si>
  <si>
    <t>modules/a-knights-dream/Item/equip_armor_brigantine_helmet_kozusina.webp</t>
  </si>
  <si>
    <t>Kozusina Brigantine Pauldron</t>
  </si>
  <si>
    <t>modules/a-knights-dream/Item/equip_armor_brigantine_pauldron_kozusina.webp</t>
  </si>
  <si>
    <t>Kozusina Chainmail Cuirass</t>
  </si>
  <si>
    <t>modules/a-knights-dream/Item/equip_armor_chainmail_cuirass_kozusina.webp</t>
  </si>
  <si>
    <t>Kozusina Chainmail Gauntlets</t>
  </si>
  <si>
    <t>modules/a-knights-dream/Item/equip_armor_chainmail_gauntlets_kozusina.webp</t>
  </si>
  <si>
    <t>Kozusina Chainmail Greaves</t>
  </si>
  <si>
    <t>modules/a-knights-dream/Item/equip_armor_chainmail_greaves_kozusina.webp</t>
  </si>
  <si>
    <t>Kozusina Chainmail Helmet</t>
  </si>
  <si>
    <t>modules/a-knights-dream/Item/equip_armor_chainmail_helmet_kozusina.webp</t>
  </si>
  <si>
    <t>Kozusina Chainmail Pauldron</t>
  </si>
  <si>
    <t>modules/a-knights-dream/Item/equip_armor_chainmail_pauldron_kozusina.webp</t>
  </si>
  <si>
    <t>Kozusina Gamberson Cuirass</t>
  </si>
  <si>
    <t>modules/a-knights-dream/Item/equip_armor_gamberson_cuirass_kozusina.webp</t>
  </si>
  <si>
    <t>Kozusina Gamberson Gauntlets</t>
  </si>
  <si>
    <t>modules/a-knights-dream/Item/equip_armor_gamberson_gauntlets_kozusina.webp</t>
  </si>
  <si>
    <t>Kozusina Gamberson Greaves</t>
  </si>
  <si>
    <t>modules/a-knights-dream/Item/equip_armor_gamberson_greaves_kozusina.webp</t>
  </si>
  <si>
    <t>Kozusina Gamberson Helmet</t>
  </si>
  <si>
    <t>modules/a-knights-dream/Item/equip_armor_gamberson_helmet_kozusina.webp</t>
  </si>
  <si>
    <t>Kozusina Gamberson Pauldron</t>
  </si>
  <si>
    <t>modules/a-knights-dream/Item/equip_armor_gamberson_pauldron_kozusina.webp</t>
  </si>
  <si>
    <t>Kozusina Hauberk Cuirass</t>
  </si>
  <si>
    <t>modules/a-knights-dream/Item/equip_armor_hauberk_cuirass_kozusina.webp</t>
  </si>
  <si>
    <t>Kozusina Hauberk Gauntlets</t>
  </si>
  <si>
    <t>modules/a-knights-dream/Item/equip_armor_hauberk_gauntlets_kozusina.webp</t>
  </si>
  <si>
    <t>Kozusina Hauberk Greaves</t>
  </si>
  <si>
    <t>modules/a-knights-dream/Item/equip_armor_hauberk_greaves_kozusina.webp</t>
  </si>
  <si>
    <t>Kozusina Hauberk Helmet</t>
  </si>
  <si>
    <t>modules/a-knights-dream/Item/equip_armor_hauberk_helmet_kozusina.webp</t>
  </si>
  <si>
    <t>Kozusina Hauberk Pauldron</t>
  </si>
  <si>
    <t>modules/a-knights-dream/Item/equip_armor_hauberk_pauldron_kozusina.webp</t>
  </si>
  <si>
    <t>Kozusina Jack Cuirass</t>
  </si>
  <si>
    <t>modules/a-knights-dream/Item/equip_armor_jack_cuirass_kozusina.webp</t>
  </si>
  <si>
    <t>Kozusina Jack Gauntlets</t>
  </si>
  <si>
    <t>modules/a-knights-dream/Item/equip_armor_jack_gauntlets_kozusina.webp</t>
  </si>
  <si>
    <t>Kozusina Jack Greaves</t>
  </si>
  <si>
    <t>modules/a-knights-dream/Item/equip_armor_jack_greaves_kozusina.webp</t>
  </si>
  <si>
    <t>Kozusina Jack Helmet</t>
  </si>
  <si>
    <t>modules/a-knights-dream/Item/equip_armor_jack_helmet_kozusina.webp</t>
  </si>
  <si>
    <t>Kozusina Jack Pauldron</t>
  </si>
  <si>
    <t>modules/a-knights-dream/Item/equip_armor_jack_pauldron_kozusina.webp</t>
  </si>
  <si>
    <t>Kozusina Lamellar Cuirass</t>
  </si>
  <si>
    <t>modules/a-knights-dream/Item/equip_armor_lamellar_cuirass_kozusina.webp</t>
  </si>
  <si>
    <t>Kozusina Lamellar Gauntlets</t>
  </si>
  <si>
    <t>modules/a-knights-dream/Item/equip_armor_lamellar_gauntlets_kozusina.webp</t>
  </si>
  <si>
    <t>Kozusina Lamellar Greaves</t>
  </si>
  <si>
    <t>modules/a-knights-dream/Item/equip_armor_lamellar_greaves_kozusina.webp</t>
  </si>
  <si>
    <t>Kozusina Lamellar Helmet</t>
  </si>
  <si>
    <t>modules/a-knights-dream/Item/equip_armor_lamellar_helmet_kozusina.webp</t>
  </si>
  <si>
    <t>Kozusina Lamellar Pauldron</t>
  </si>
  <si>
    <t>modules/a-knights-dream/Item/equip_armor_lamellar_pauldron_kozusina.webp</t>
  </si>
  <si>
    <t>Kozusina Platemail Cuirass</t>
  </si>
  <si>
    <t>modules/a-knights-dream/Item/equip_armor_platemail_cuirass_kozusina.webp</t>
  </si>
  <si>
    <t>Kozusina Platemail Gauntlets</t>
  </si>
  <si>
    <t>modules/a-knights-dream/Item/equip_armor_platemail_gauntlets_kozusina.webp</t>
  </si>
  <si>
    <t>Kozusina Platemail Greaves</t>
  </si>
  <si>
    <t>modules/a-knights-dream/Item/equip_armor_platemail_greaves_kozusina.webp</t>
  </si>
  <si>
    <t>Kozusina Platemail Helmet</t>
  </si>
  <si>
    <t>modules/a-knights-dream/Item/equip_armor_platemail_helmet_kozusina.webp</t>
  </si>
  <si>
    <t>Kozusina Platemail Pauldron</t>
  </si>
  <si>
    <t>modules/a-knights-dream/Item/equip_armor_platemail_pauldron_kozusina.webp</t>
  </si>
  <si>
    <t>Kozusina Tunic Cuirass</t>
  </si>
  <si>
    <t>modules/a-knights-dream/Item/equip_armor_tunic_cuirass_kozusina.webp</t>
  </si>
  <si>
    <t>Kozusina Tunic Gauntlets</t>
  </si>
  <si>
    <t>modules/a-knights-dream/Item/equip_armor_tunic_gauntlets_kozusina.webp</t>
  </si>
  <si>
    <t>Kozusina Tunic Greaves</t>
  </si>
  <si>
    <t>modules/a-knights-dream/Item/equip_armor_tunic_greaves_kozusina.webp</t>
  </si>
  <si>
    <t>Kozusina Tunic Helmet</t>
  </si>
  <si>
    <t>modules/a-knights-dream/Item/equip_armor_tunic_helmet_kozusina.webp</t>
  </si>
  <si>
    <t>Kozusina Tunic Pauldron</t>
  </si>
  <si>
    <t>modules/a-knights-dream/Item/equip_armor_tunic_pauldron_kozusina.webp</t>
  </si>
  <si>
    <t>Kozusina Buckler Shield</t>
  </si>
  <si>
    <t>modules/a-knights-dream/Item/equip_armor_shield_buckler_kozusina.webp</t>
  </si>
  <si>
    <t>Kozusina Heater Shield</t>
  </si>
  <si>
    <t>modules/a-knights-dream/Item/equip_armor_shield_heater_kozusina.webp</t>
  </si>
  <si>
    <t>Kozusina Kite Shield</t>
  </si>
  <si>
    <t>modules/a-knights-dream/Item/equip_armor_shield_kite_kozusina.webp</t>
  </si>
  <si>
    <t>Kozusina Oval Shield</t>
  </si>
  <si>
    <t>modules/a-knights-dream/Item/equip_armor_shield_oval_kozusina.webp</t>
  </si>
  <si>
    <t>Kozusina Round Shield</t>
  </si>
  <si>
    <t>modules/a-knights-dream/Item/equip_armor_shield_round_kozusina.webp</t>
  </si>
  <si>
    <t>Kozusina Tower Shield</t>
  </si>
  <si>
    <t>modules/a-knights-dream/Item/equip_armor_shield_tower_kozusina.webp</t>
  </si>
  <si>
    <t>Olyther</t>
  </si>
  <si>
    <t>Olyther Ball Bearings</t>
  </si>
  <si>
    <t>modules/a-knights-dream/Item/equip_weapon_bearings_olyther.webp</t>
  </si>
  <si>
    <t>Olyther Bardiche</t>
  </si>
  <si>
    <t>modules/a-knights-dream/Item/equip_weapon_bardiche_olyther.webp</t>
  </si>
  <si>
    <t>Olyther Bastard Sword</t>
  </si>
  <si>
    <t>modules/a-knights-dream/Item/equip_weapon_sword_bastard_olyther.webp</t>
  </si>
  <si>
    <t>Olyther Battle Axe</t>
  </si>
  <si>
    <t>modules/a-knights-dream/Item/equip_weapon_axe_battle_olyther.webp</t>
  </si>
  <si>
    <t>Olyther Blowgun</t>
  </si>
  <si>
    <t>modules/a-knights-dream/Item/equip_weapon_blowgun_olyther.webp</t>
  </si>
  <si>
    <t>Olyther Bolt</t>
  </si>
  <si>
    <t>modules/a-knights-dream/Item/equip_weapon_bolt_olyther.webp</t>
  </si>
  <si>
    <t>Olyther Boomerang</t>
  </si>
  <si>
    <t>modules/a-knights-dream/Item/equip_weapon_boomerang_olyther.webp</t>
  </si>
  <si>
    <t>Olyther Bow</t>
  </si>
  <si>
    <t>modules/a-knights-dream/Item/equip_weapon_bow_olyther.webp</t>
  </si>
  <si>
    <t>Olyther Caltrops</t>
  </si>
  <si>
    <t>modules/a-knights-dream/Item/equip_weapon_caltrops_olyther.webp</t>
  </si>
  <si>
    <t>Olyther Cestus</t>
  </si>
  <si>
    <t>modules/a-knights-dream/Item/equip_weapon_cestus_olyther.webp</t>
  </si>
  <si>
    <t>Olyther Chain</t>
  </si>
  <si>
    <t>modules/a-knights-dream/Item/equip_weapon_chain_olyther.webp</t>
  </si>
  <si>
    <t>Olyther Claymore</t>
  </si>
  <si>
    <t>modules/a-knights-dream/Item/equip_weapon_claymore_olyther.webp</t>
  </si>
  <si>
    <t>Olyther Club</t>
  </si>
  <si>
    <t>modules/a-knights-dream/Item/equip_weapon_club_olyther.webp</t>
  </si>
  <si>
    <t>Olyther Compound Bow</t>
  </si>
  <si>
    <t>modules/a-knights-dream/Item/equip_weapon_bow_compound_olyther.webp</t>
  </si>
  <si>
    <t>Olyther Cutlass</t>
  </si>
  <si>
    <t>modules/a-knights-dream/Item/equip_weapon_cutlass_olyther.webp</t>
  </si>
  <si>
    <t>Olyther Dagger</t>
  </si>
  <si>
    <t>modules/a-knights-dream/Item/equip_weapon_dagger_olyther.webp</t>
  </si>
  <si>
    <t>Olyther Dart</t>
  </si>
  <si>
    <t>modules/a-knights-dream/Item/equip_weapon_dart_olyther.webp</t>
  </si>
  <si>
    <t>Olyther Fauchard Scythe</t>
  </si>
  <si>
    <t>modules/a-knights-dream/Item/equip_weapon_scythe_fauchard_olyther.webp</t>
  </si>
  <si>
    <t>Olyther Flail</t>
  </si>
  <si>
    <t>modules/a-knights-dream/Item/equip_weapon_flail_olyther.webp</t>
  </si>
  <si>
    <t>Olyther Glaive</t>
  </si>
  <si>
    <t>modules/a-knights-dream/Item/equip_weapon_glaive_olyther.webp</t>
  </si>
  <si>
    <t>Olyther Grapple Hook</t>
  </si>
  <si>
    <t>modules/a-knights-dream/Item/equip_weapon_hook_grapple_olyther.webp</t>
  </si>
  <si>
    <t>Olyther Great Axe</t>
  </si>
  <si>
    <t>modules/a-knights-dream/Item/equip_weapon_axe_great_olyther.webp</t>
  </si>
  <si>
    <t>Olyther Great Club</t>
  </si>
  <si>
    <t>modules/a-knights-dream/Item/equip_weapon_club_great_olyther.webp</t>
  </si>
  <si>
    <t>Olyther Great Khyber</t>
  </si>
  <si>
    <t>modules/a-knights-dream/Item/equip_weapon_khyber_great_olyther.webp</t>
  </si>
  <si>
    <t>Olyther Great Konda</t>
  </si>
  <si>
    <t>modules/a-knights-dream/Item/equip_weapon_konda_great_olyther.webp</t>
  </si>
  <si>
    <t>Olyther Great Labrys</t>
  </si>
  <si>
    <t>modules/a-knights-dream/Item/equip_weapon_axe_labrys_great_olyther.webp</t>
  </si>
  <si>
    <t>Olyther Great Mace</t>
  </si>
  <si>
    <t>modules/a-knights-dream/Item/equip_weapon_mace_great_olyther.webp</t>
  </si>
  <si>
    <t>Olyther Great Tapal</t>
  </si>
  <si>
    <t>modules/a-knights-dream/Item/equip_weapon_tapal_great_olyther.webp</t>
  </si>
  <si>
    <t>Olyther Great War Bow</t>
  </si>
  <si>
    <t>modules/a-knights-dream/Item/equip_weapon_bow_war_great_olyther.webp</t>
  </si>
  <si>
    <t>Olyther Great War Hammer</t>
  </si>
  <si>
    <t>modules/a-knights-dream/Item/equip_weapon_hammer_war_great_olyther.webp</t>
  </si>
  <si>
    <t>Olyther Great War Pick</t>
  </si>
  <si>
    <t>modules/a-knights-dream/Item/equip_weapon_pick_war_great_olyther.webp</t>
  </si>
  <si>
    <t>Olyther Guisarme</t>
  </si>
  <si>
    <t>modules/a-knights-dream/Item/equip_weapon_guisarme_olyther.webp</t>
  </si>
  <si>
    <t>Olyther Halberd</t>
  </si>
  <si>
    <t>modules/a-knights-dream/Item/equip_weapon_halberd_olyther.webp</t>
  </si>
  <si>
    <t>Olyther Hand Crossbow</t>
  </si>
  <si>
    <t>modules/a-knights-dream/Item/equip_weapon_crossbow_hand_olyther.webp</t>
  </si>
  <si>
    <t>Olyther Hand axe</t>
  </si>
  <si>
    <t>modules/a-knights-dream/Item/equip_weapon_axe_hand_olyther.webp</t>
  </si>
  <si>
    <t>Olyther Heavy Crossbow</t>
  </si>
  <si>
    <t>modules/a-knights-dream/Item/equip_weapon_crossbow_heavy_olyther.webp</t>
  </si>
  <si>
    <t>Olyther Hunting Trap</t>
  </si>
  <si>
    <t>modules/a-knights-dream/Item/equip_weapon_trap_hunting_olyther.webp</t>
  </si>
  <si>
    <t>Olyther Hunting Trap (Large)</t>
  </si>
  <si>
    <t>modules/a-knights-dream/Item/equip_weapon_trap_hunting_large_olyther.webp</t>
  </si>
  <si>
    <t>Olyther Hunting Trap (Small)</t>
  </si>
  <si>
    <t>modules/a-knights-dream/Item/equip_weapon_trap_hunting_small_olyther.webp</t>
  </si>
  <si>
    <t>Olyther Javelin</t>
  </si>
  <si>
    <t>modules/a-knights-dream/Item/equip_weapon_javelin_olyther.webp</t>
  </si>
  <si>
    <t>Olyther Khpesh</t>
  </si>
  <si>
    <t>modules/a-knights-dream/Item/equip_weapon_khpesh_olyther.webp</t>
  </si>
  <si>
    <t>Olyther Khyber</t>
  </si>
  <si>
    <t>modules/a-knights-dream/Item/equip_weapon_khyber_olyther.webp</t>
  </si>
  <si>
    <t>Olyther Konda</t>
  </si>
  <si>
    <t>modules/a-knights-dream/Item/equip_weapon_konda_olyther.webp</t>
  </si>
  <si>
    <t>Olyther Labrys</t>
  </si>
  <si>
    <t>modules/a-knights-dream/Item/equip_weapon_axe_labrys_olyther.webp</t>
  </si>
  <si>
    <t>Olyther Lance</t>
  </si>
  <si>
    <t>modules/a-knights-dream/Item/equip_weapon_lance_olyther.webp</t>
  </si>
  <si>
    <t>Olyther Light Crossbow</t>
  </si>
  <si>
    <t>modules/a-knights-dream/Item/equip_weapon_crossbow_light_olyther.webp</t>
  </si>
  <si>
    <t>Olyther Long Bow</t>
  </si>
  <si>
    <t>modules/a-knights-dream/Item/equip_weapon_bow_long_olyther.webp</t>
  </si>
  <si>
    <t>Olyther Long Spear</t>
  </si>
  <si>
    <t>modules/a-knights-dream/Item/equip_weapon_spear_long_olyther.webp</t>
  </si>
  <si>
    <t>Olyther Lucerince Hammer</t>
  </si>
  <si>
    <t>modules/a-knights-dream/Item/equip_weapon_hammer_lucerince_olyther.webp</t>
  </si>
  <si>
    <t>Olyther Mace</t>
  </si>
  <si>
    <t>modules/a-knights-dream/Item/equip_weapon_mace_olyther.webp</t>
  </si>
  <si>
    <t>Olyther Morningstar</t>
  </si>
  <si>
    <t>modules/a-knights-dream/Item/equip_weapon_morningstar_olyther.webp</t>
  </si>
  <si>
    <t>Olyther Pike</t>
  </si>
  <si>
    <t>modules/a-knights-dream/Item/equip_weapon_pike_olyther.webp</t>
  </si>
  <si>
    <t>Olyther Quarter Staff</t>
  </si>
  <si>
    <t>modules/a-knights-dream/Item/equip_weapon_staff_quarter_olyther.webp</t>
  </si>
  <si>
    <t>Olyther Ranseur</t>
  </si>
  <si>
    <t>modules/a-knights-dream/Item/equip_weapon_ranseur_olyther.webp</t>
  </si>
  <si>
    <t>Olyther Rapier</t>
  </si>
  <si>
    <t>modules/a-knights-dream/Item/equip_weapon_rapier_olyther.webp</t>
  </si>
  <si>
    <t>Olyther Recurve Bow</t>
  </si>
  <si>
    <t>modules/a-knights-dream/Item/equip_weapon_bow_recurve_olyther.webp</t>
  </si>
  <si>
    <t>Olyther Repeater Crossbow</t>
  </si>
  <si>
    <t>modules/a-knights-dream/Item/equip_weapon_crossbow_repeater_olyther.webp</t>
  </si>
  <si>
    <t>Olyther Sabre</t>
  </si>
  <si>
    <t>modules/a-knights-dream/Item/equip_weapon_sabre_olyther.webp</t>
  </si>
  <si>
    <t>Olyther Scimitar</t>
  </si>
  <si>
    <t>modules/a-knights-dream/Item/equip_weapon_scimitar_olyther.webp</t>
  </si>
  <si>
    <t>Olyther Scythe</t>
  </si>
  <si>
    <t>modules/a-knights-dream/Item/equip_weapon_scythe_olyther.webp</t>
  </si>
  <si>
    <t>Olyther Short Bow</t>
  </si>
  <si>
    <t>modules/a-knights-dream/Item/equip_weapon_bow_short_olyther.webp</t>
  </si>
  <si>
    <t>Olyther Short Spear</t>
  </si>
  <si>
    <t>modules/a-knights-dream/Item/equip_weapon_spear_short_olyther.webp</t>
  </si>
  <si>
    <t>Olyther Short Sword</t>
  </si>
  <si>
    <t>modules/a-knights-dream/Item/equip_weapon_sword_short_olyther.webp</t>
  </si>
  <si>
    <t>Olyther Shotel</t>
  </si>
  <si>
    <t>modules/a-knights-dream/Item/equip_weapon_shotel_olyther.webp</t>
  </si>
  <si>
    <t>Olyther Sickle</t>
  </si>
  <si>
    <t>modules/a-knights-dream/Item/equip_weapon_sickle_olyther.webp</t>
  </si>
  <si>
    <t>Olyther Sling</t>
  </si>
  <si>
    <t>modules/a-knights-dream/Item/equip_weapon_sling_olyther.webp</t>
  </si>
  <si>
    <t>Olyther Staff</t>
  </si>
  <si>
    <t>modules/a-knights-dream/Item/equip_weapon_staff_olyther.webp</t>
  </si>
  <si>
    <t>Olyther Staff Sling</t>
  </si>
  <si>
    <t>modules/a-knights-dream/Item/equip_weapon_sling_staff_olyther.webp</t>
  </si>
  <si>
    <t>Olyther Sword</t>
  </si>
  <si>
    <t>modules/a-knights-dream/Item/equip_weapon_sword_olyther.webp</t>
  </si>
  <si>
    <t>Olyther Tapal</t>
  </si>
  <si>
    <t>modules/a-knights-dream/Item/equip_weapon_tapal_olyther.webp</t>
  </si>
  <si>
    <t>Olyther Trident</t>
  </si>
  <si>
    <t>modules/a-knights-dream/Item/equip_weapon_trident_olyther.webp</t>
  </si>
  <si>
    <t>Olyther War Hammer</t>
  </si>
  <si>
    <t>modules/a-knights-dream/Item/equip_weapon_hammer_war_olyther.webp</t>
  </si>
  <si>
    <t>Olyther War Pick</t>
  </si>
  <si>
    <t>modules/a-knights-dream/Item/equip_weapon_pick_war_olyther.webp</t>
  </si>
  <si>
    <t>Olyther Brigantine Cuirass</t>
  </si>
  <si>
    <t>modules/a-knights-dream/Item/equip_armor_brigantine_cuirass_olyther.webp</t>
  </si>
  <si>
    <t>Olyther Brigantine Gauntlets</t>
  </si>
  <si>
    <t>modules/a-knights-dream/Item/equip_armor_brigantine_gauntlets_olyther.webp</t>
  </si>
  <si>
    <t>Olyther Brigantine Greaves</t>
  </si>
  <si>
    <t>modules/a-knights-dream/Item/equip_armor_brigantine_greaves_olyther.webp</t>
  </si>
  <si>
    <t>Olyther Brigantine Helmet</t>
  </si>
  <si>
    <t>modules/a-knights-dream/Item/equip_armor_brigantine_helmet_olyther.webp</t>
  </si>
  <si>
    <t>Olyther Brigantine Pauldron</t>
  </si>
  <si>
    <t>modules/a-knights-dream/Item/equip_armor_brigantine_pauldron_olyther.webp</t>
  </si>
  <si>
    <t>Olyther Chainmail Cuirass</t>
  </si>
  <si>
    <t>modules/a-knights-dream/Item/equip_armor_chainmail_cuirass_olyther.webp</t>
  </si>
  <si>
    <t>Olyther Chainmail Gauntlets</t>
  </si>
  <si>
    <t>modules/a-knights-dream/Item/equip_armor_chainmail_gauntlets_olyther.webp</t>
  </si>
  <si>
    <t>Olyther Chainmail Greaves</t>
  </si>
  <si>
    <t>modules/a-knights-dream/Item/equip_armor_chainmail_greaves_olyther.webp</t>
  </si>
  <si>
    <t>Olyther Chainmail Helmet</t>
  </si>
  <si>
    <t>modules/a-knights-dream/Item/equip_armor_chainmail_helmet_olyther.webp</t>
  </si>
  <si>
    <t>Olyther Chainmail Pauldron</t>
  </si>
  <si>
    <t>modules/a-knights-dream/Item/equip_armor_chainmail_pauldron_olyther.webp</t>
  </si>
  <si>
    <t>Olyther Gamberson Cuirass</t>
  </si>
  <si>
    <t>modules/a-knights-dream/Item/equip_armor_gamberson_cuirass_olyther.webp</t>
  </si>
  <si>
    <t>Olyther Gamberson Gauntlets</t>
  </si>
  <si>
    <t>modules/a-knights-dream/Item/equip_armor_gamberson_gauntlets_olyther.webp</t>
  </si>
  <si>
    <t>Olyther Gamberson Greaves</t>
  </si>
  <si>
    <t>modules/a-knights-dream/Item/equip_armor_gamberson_greaves_olyther.webp</t>
  </si>
  <si>
    <t>Olyther Gamberson Helmet</t>
  </si>
  <si>
    <t>modules/a-knights-dream/Item/equip_armor_gamberson_helmet_olyther.webp</t>
  </si>
  <si>
    <t>Olyther Gamberson Pauldron</t>
  </si>
  <si>
    <t>modules/a-knights-dream/Item/equip_armor_gamberson_pauldron_olyther.webp</t>
  </si>
  <si>
    <t>Olyther Hauberk Cuirass</t>
  </si>
  <si>
    <t>modules/a-knights-dream/Item/equip_armor_hauberk_cuirass_olyther.webp</t>
  </si>
  <si>
    <t>Olyther Hauberk Gauntlets</t>
  </si>
  <si>
    <t>modules/a-knights-dream/Item/equip_armor_hauberk_gauntlets_olyther.webp</t>
  </si>
  <si>
    <t>Olyther Hauberk Greaves</t>
  </si>
  <si>
    <t>modules/a-knights-dream/Item/equip_armor_hauberk_greaves_olyther.webp</t>
  </si>
  <si>
    <t>Olyther Hauberk Helmet</t>
  </si>
  <si>
    <t>modules/a-knights-dream/Item/equip_armor_hauberk_helmet_olyther.webp</t>
  </si>
  <si>
    <t>Olyther Hauberk Pauldron</t>
  </si>
  <si>
    <t>modules/a-knights-dream/Item/equip_armor_hauberk_pauldron_olyther.webp</t>
  </si>
  <si>
    <t>Olyther Jack Cuirass</t>
  </si>
  <si>
    <t>modules/a-knights-dream/Item/equip_armor_jack_cuirass_olyther.webp</t>
  </si>
  <si>
    <t>Olyther Jack Gauntlets</t>
  </si>
  <si>
    <t>modules/a-knights-dream/Item/equip_armor_jack_gauntlets_olyther.webp</t>
  </si>
  <si>
    <t>Olyther Jack Greaves</t>
  </si>
  <si>
    <t>modules/a-knights-dream/Item/equip_armor_jack_greaves_olyther.webp</t>
  </si>
  <si>
    <t>Olyther Jack Helmet</t>
  </si>
  <si>
    <t>modules/a-knights-dream/Item/equip_armor_jack_helmet_olyther.webp</t>
  </si>
  <si>
    <t>Olyther Jack Pauldron</t>
  </si>
  <si>
    <t>modules/a-knights-dream/Item/equip_armor_jack_pauldron_olyther.webp</t>
  </si>
  <si>
    <t>Olyther Lamellar Cuirass</t>
  </si>
  <si>
    <t>modules/a-knights-dream/Item/equip_armor_lamellar_cuirass_olyther.webp</t>
  </si>
  <si>
    <t>Olyther Lamellar Gauntlets</t>
  </si>
  <si>
    <t>modules/a-knights-dream/Item/equip_armor_lamellar_gauntlets_olyther.webp</t>
  </si>
  <si>
    <t>Olyther Lamellar Greaves</t>
  </si>
  <si>
    <t>modules/a-knights-dream/Item/equip_armor_lamellar_greaves_olyther.webp</t>
  </si>
  <si>
    <t>Olyther Lamellar Helmet</t>
  </si>
  <si>
    <t>modules/a-knights-dream/Item/equip_armor_lamellar_helmet_olyther.webp</t>
  </si>
  <si>
    <t>Olyther Lamellar Pauldron</t>
  </si>
  <si>
    <t>modules/a-knights-dream/Item/equip_armor_lamellar_pauldron_olyther.webp</t>
  </si>
  <si>
    <t>Olyther Platemail Cuirass</t>
  </si>
  <si>
    <t>modules/a-knights-dream/Item/equip_armor_platemail_cuirass_olyther.webp</t>
  </si>
  <si>
    <t>Olyther Platemail Gauntlets</t>
  </si>
  <si>
    <t>modules/a-knights-dream/Item/equip_armor_platemail_gauntlets_olyther.webp</t>
  </si>
  <si>
    <t>Olyther Platemail Greaves</t>
  </si>
  <si>
    <t>modules/a-knights-dream/Item/equip_armor_platemail_greaves_olyther.webp</t>
  </si>
  <si>
    <t>Olyther Platemail Helmet</t>
  </si>
  <si>
    <t>modules/a-knights-dream/Item/equip_armor_platemail_helmet_olyther.webp</t>
  </si>
  <si>
    <t>Olyther Platemail Pauldron</t>
  </si>
  <si>
    <t>modules/a-knights-dream/Item/equip_armor_platemail_pauldron_olyther.webp</t>
  </si>
  <si>
    <t>Olyther Tunic Cuirass</t>
  </si>
  <si>
    <t>modules/a-knights-dream/Item/equip_armor_tunic_cuirass_olyther.webp</t>
  </si>
  <si>
    <t>Olyther Tunic Gauntlets</t>
  </si>
  <si>
    <t>modules/a-knights-dream/Item/equip_armor_tunic_gauntlets_olyther.webp</t>
  </si>
  <si>
    <t>Olyther Tunic Greaves</t>
  </si>
  <si>
    <t>modules/a-knights-dream/Item/equip_armor_tunic_greaves_olyther.webp</t>
  </si>
  <si>
    <t>Olyther Tunic Helmet</t>
  </si>
  <si>
    <t>modules/a-knights-dream/Item/equip_armor_tunic_helmet_olyther.webp</t>
  </si>
  <si>
    <t>Olyther Tunic Pauldron</t>
  </si>
  <si>
    <t>modules/a-knights-dream/Item/equip_armor_tunic_pauldron_olyther.webp</t>
  </si>
  <si>
    <t>Olyther Buckler Shield</t>
  </si>
  <si>
    <t>modules/a-knights-dream/Item/equip_armor_shield_buckler_olyther.webp</t>
  </si>
  <si>
    <t>Olyther Heater Shield</t>
  </si>
  <si>
    <t>modules/a-knights-dream/Item/equip_armor_shield_heater_olyther.webp</t>
  </si>
  <si>
    <t>Olyther Kite Shield</t>
  </si>
  <si>
    <t>modules/a-knights-dream/Item/equip_armor_shield_kite_olyther.webp</t>
  </si>
  <si>
    <t>Olyther Oval Shield</t>
  </si>
  <si>
    <t>modules/a-knights-dream/Item/equip_armor_shield_oval_olyther.webp</t>
  </si>
  <si>
    <t>Olyther Round Shield</t>
  </si>
  <si>
    <t>modules/a-knights-dream/Item/equip_armor_shield_round_olyther.webp</t>
  </si>
  <si>
    <t>Olyther Tower Shield</t>
  </si>
  <si>
    <t>modules/a-knights-dream/Item/equip_armor_shield_tower_olyther.webp</t>
  </si>
  <si>
    <t>Pelt</t>
  </si>
  <si>
    <t>Pelt Ball Bearings</t>
  </si>
  <si>
    <t>modules/a-knights-dream/Item/equip_weapon_bearings_pelt.webp</t>
  </si>
  <si>
    <t>Pelt Bardiche</t>
  </si>
  <si>
    <t>modules/a-knights-dream/Item/equip_weapon_bardiche_pelt.webp</t>
  </si>
  <si>
    <t>Pelt Bastard Sword</t>
  </si>
  <si>
    <t>modules/a-knights-dream/Item/equip_weapon_sword_bastard_pelt.webp</t>
  </si>
  <si>
    <t>Pelt Battle Axe</t>
  </si>
  <si>
    <t>modules/a-knights-dream/Item/equip_weapon_axe_battle_pelt.webp</t>
  </si>
  <si>
    <t>Pelt Blowgun</t>
  </si>
  <si>
    <t>modules/a-knights-dream/Item/equip_weapon_blowgun_pelt.webp</t>
  </si>
  <si>
    <t>Pelt Bolt</t>
  </si>
  <si>
    <t>modules/a-knights-dream/Item/equip_weapon_bolt_pelt.webp</t>
  </si>
  <si>
    <t>Pelt Boomerang</t>
  </si>
  <si>
    <t>modules/a-knights-dream/Item/equip_weapon_boomerang_pelt.webp</t>
  </si>
  <si>
    <t>Pelt Bow</t>
  </si>
  <si>
    <t>modules/a-knights-dream/Item/equip_weapon_bow_pelt.webp</t>
  </si>
  <si>
    <t>Pelt Caltrops</t>
  </si>
  <si>
    <t>modules/a-knights-dream/Item/equip_weapon_caltrops_pelt.webp</t>
  </si>
  <si>
    <t>Pelt Cestus</t>
  </si>
  <si>
    <t>modules/a-knights-dream/Item/equip_weapon_cestus_pelt.webp</t>
  </si>
  <si>
    <t>Pelt Chain</t>
  </si>
  <si>
    <t>modules/a-knights-dream/Item/equip_weapon_chain_pelt.webp</t>
  </si>
  <si>
    <t>Pelt Claymore</t>
  </si>
  <si>
    <t>modules/a-knights-dream/Item/equip_weapon_claymore_pelt.webp</t>
  </si>
  <si>
    <t>Pelt Club</t>
  </si>
  <si>
    <t>modules/a-knights-dream/Item/equip_weapon_club_pelt.webp</t>
  </si>
  <si>
    <t>Pelt Compound Bow</t>
  </si>
  <si>
    <t>modules/a-knights-dream/Item/equip_weapon_bow_compound_pelt.webp</t>
  </si>
  <si>
    <t>Pelt Cutlass</t>
  </si>
  <si>
    <t>modules/a-knights-dream/Item/equip_weapon_cutlass_pelt.webp</t>
  </si>
  <si>
    <t>Pelt Dagger</t>
  </si>
  <si>
    <t>modules/a-knights-dream/Item/equip_weapon_dagger_pelt.webp</t>
  </si>
  <si>
    <t>Pelt Dart</t>
  </si>
  <si>
    <t>modules/a-knights-dream/Item/equip_weapon_dart_pelt.webp</t>
  </si>
  <si>
    <t>Pelt Fauchard Scythe</t>
  </si>
  <si>
    <t>modules/a-knights-dream/Item/equip_weapon_scythe_fauchard_pelt.webp</t>
  </si>
  <si>
    <t>Pelt Flail</t>
  </si>
  <si>
    <t>modules/a-knights-dream/Item/equip_weapon_flail_pelt.webp</t>
  </si>
  <si>
    <t>Pelt Glaive</t>
  </si>
  <si>
    <t>modules/a-knights-dream/Item/equip_weapon_glaive_pelt.webp</t>
  </si>
  <si>
    <t>Pelt Grapple Hook</t>
  </si>
  <si>
    <t>modules/a-knights-dream/Item/equip_weapon_hook_grapple_pelt.webp</t>
  </si>
  <si>
    <t>Pelt Great Axe</t>
  </si>
  <si>
    <t>modules/a-knights-dream/Item/equip_weapon_axe_great_pelt.webp</t>
  </si>
  <si>
    <t>Pelt Great Club</t>
  </si>
  <si>
    <t>modules/a-knights-dream/Item/equip_weapon_club_great_pelt.webp</t>
  </si>
  <si>
    <t>Pelt Great Khyber</t>
  </si>
  <si>
    <t>modules/a-knights-dream/Item/equip_weapon_khyber_great_pelt.webp</t>
  </si>
  <si>
    <t>Pelt Great Konda</t>
  </si>
  <si>
    <t>modules/a-knights-dream/Item/equip_weapon_konda_great_pelt.webp</t>
  </si>
  <si>
    <t>Pelt Great Labrys</t>
  </si>
  <si>
    <t>modules/a-knights-dream/Item/equip_weapon_axe_labrys_great_pelt.webp</t>
  </si>
  <si>
    <t>Pelt Great Mace</t>
  </si>
  <si>
    <t>modules/a-knights-dream/Item/equip_weapon_mace_great_pelt.webp</t>
  </si>
  <si>
    <t>Pelt Great Tapal</t>
  </si>
  <si>
    <t>modules/a-knights-dream/Item/equip_weapon_tapal_great_pelt.webp</t>
  </si>
  <si>
    <t>Pelt Great War Bow</t>
  </si>
  <si>
    <t>modules/a-knights-dream/Item/equip_weapon_bow_war_great_pelt.webp</t>
  </si>
  <si>
    <t>Pelt Great War Hammer</t>
  </si>
  <si>
    <t>modules/a-knights-dream/Item/equip_weapon_hammer_war_great_pelt.webp</t>
  </si>
  <si>
    <t>Pelt Great War Pick</t>
  </si>
  <si>
    <t>modules/a-knights-dream/Item/equip_weapon_pick_war_great_pelt.webp</t>
  </si>
  <si>
    <t>Pelt Guisarme</t>
  </si>
  <si>
    <t>modules/a-knights-dream/Item/equip_weapon_guisarme_pelt.webp</t>
  </si>
  <si>
    <t>Pelt Halberd</t>
  </si>
  <si>
    <t>modules/a-knights-dream/Item/equip_weapon_halberd_pelt.webp</t>
  </si>
  <si>
    <t>Pelt Hand Crossbow</t>
  </si>
  <si>
    <t>modules/a-knights-dream/Item/equip_weapon_crossbow_hand_pelt.webp</t>
  </si>
  <si>
    <t>Pelt Hand axe</t>
  </si>
  <si>
    <t>modules/a-knights-dream/Item/equip_weapon_axe_hand_pelt.webp</t>
  </si>
  <si>
    <t>Pelt Heavy Crossbow</t>
  </si>
  <si>
    <t>modules/a-knights-dream/Item/equip_weapon_crossbow_heavy_pelt.webp</t>
  </si>
  <si>
    <t>Pelt Hunting Trap</t>
  </si>
  <si>
    <t>modules/a-knights-dream/Item/equip_weapon_trap_hunting_pelt.webp</t>
  </si>
  <si>
    <t>Pelt Hunting Trap (Large)</t>
  </si>
  <si>
    <t>modules/a-knights-dream/Item/equip_weapon_trap_hunting_large_pelt.webp</t>
  </si>
  <si>
    <t>Pelt Hunting Trap (Small)</t>
  </si>
  <si>
    <t>modules/a-knights-dream/Item/equip_weapon_trap_hunting_small_pelt.webp</t>
  </si>
  <si>
    <t>Pelt Javelin</t>
  </si>
  <si>
    <t>modules/a-knights-dream/Item/equip_weapon_javelin_pelt.webp</t>
  </si>
  <si>
    <t>Pelt Khpesh</t>
  </si>
  <si>
    <t>modules/a-knights-dream/Item/equip_weapon_khpesh_pelt.webp</t>
  </si>
  <si>
    <t>Pelt Khyber</t>
  </si>
  <si>
    <t>modules/a-knights-dream/Item/equip_weapon_khyber_pelt.webp</t>
  </si>
  <si>
    <t>Pelt Konda</t>
  </si>
  <si>
    <t>modules/a-knights-dream/Item/equip_weapon_konda_pelt.webp</t>
  </si>
  <si>
    <t>Pelt Labrys</t>
  </si>
  <si>
    <t>modules/a-knights-dream/Item/equip_weapon_axe_labrys_pelt.webp</t>
  </si>
  <si>
    <t>Pelt Lance</t>
  </si>
  <si>
    <t>modules/a-knights-dream/Item/equip_weapon_lance_pelt.webp</t>
  </si>
  <si>
    <t>Pelt Light Crossbow</t>
  </si>
  <si>
    <t>modules/a-knights-dream/Item/equip_weapon_crossbow_light_pelt.webp</t>
  </si>
  <si>
    <t>Pelt Long Bow</t>
  </si>
  <si>
    <t>modules/a-knights-dream/Item/equip_weapon_bow_long_pelt.webp</t>
  </si>
  <si>
    <t>Pelt Long Spear</t>
  </si>
  <si>
    <t>modules/a-knights-dream/Item/equip_weapon_spear_long_pelt.webp</t>
  </si>
  <si>
    <t>Pelt Lucerince Hammer</t>
  </si>
  <si>
    <t>modules/a-knights-dream/Item/equip_weapon_hammer_lucerince_pelt.webp</t>
  </si>
  <si>
    <t>Pelt Mace</t>
  </si>
  <si>
    <t>modules/a-knights-dream/Item/equip_weapon_mace_pelt.webp</t>
  </si>
  <si>
    <t>Pelt Morningstar</t>
  </si>
  <si>
    <t>modules/a-knights-dream/Item/equip_weapon_morningstar_pelt.webp</t>
  </si>
  <si>
    <t>Pelt Pike</t>
  </si>
  <si>
    <t>modules/a-knights-dream/Item/equip_weapon_pike_pelt.webp</t>
  </si>
  <si>
    <t>Pelt Quarter Staff</t>
  </si>
  <si>
    <t>modules/a-knights-dream/Item/equip_weapon_staff_quarter_pelt.webp</t>
  </si>
  <si>
    <t>Pelt Ranseur</t>
  </si>
  <si>
    <t>modules/a-knights-dream/Item/equip_weapon_ranseur_pelt.webp</t>
  </si>
  <si>
    <t>Pelt Rapier</t>
  </si>
  <si>
    <t>modules/a-knights-dream/Item/equip_weapon_rapier_pelt.webp</t>
  </si>
  <si>
    <t>Pelt Recurve Bow</t>
  </si>
  <si>
    <t>modules/a-knights-dream/Item/equip_weapon_bow_recurve_pelt.webp</t>
  </si>
  <si>
    <t>Pelt Repeater Crossbow</t>
  </si>
  <si>
    <t>modules/a-knights-dream/Item/equip_weapon_crossbow_repeater_pelt.webp</t>
  </si>
  <si>
    <t>Pelt Sabre</t>
  </si>
  <si>
    <t>modules/a-knights-dream/Item/equip_weapon_sabre_pelt.webp</t>
  </si>
  <si>
    <t>Pelt Scimitar</t>
  </si>
  <si>
    <t>modules/a-knights-dream/Item/equip_weapon_scimitar_pelt.webp</t>
  </si>
  <si>
    <t>Pelt Scythe</t>
  </si>
  <si>
    <t>modules/a-knights-dream/Item/equip_weapon_scythe_pelt.webp</t>
  </si>
  <si>
    <t>Pelt Short Bow</t>
  </si>
  <si>
    <t>modules/a-knights-dream/Item/equip_weapon_bow_short_pelt.webp</t>
  </si>
  <si>
    <t>Pelt Short Spear</t>
  </si>
  <si>
    <t>modules/a-knights-dream/Item/equip_weapon_spear_short_pelt.webp</t>
  </si>
  <si>
    <t>Pelt Short Sword</t>
  </si>
  <si>
    <t>modules/a-knights-dream/Item/equip_weapon_sword_short_pelt.webp</t>
  </si>
  <si>
    <t>Pelt Shotel</t>
  </si>
  <si>
    <t>modules/a-knights-dream/Item/equip_weapon_shotel_pelt.webp</t>
  </si>
  <si>
    <t>Pelt Sickle</t>
  </si>
  <si>
    <t>modules/a-knights-dream/Item/equip_weapon_sickle_pelt.webp</t>
  </si>
  <si>
    <t>Pelt Sling</t>
  </si>
  <si>
    <t>modules/a-knights-dream/Item/equip_weapon_sling_pelt.webp</t>
  </si>
  <si>
    <t>Pelt Staff</t>
  </si>
  <si>
    <t>modules/a-knights-dream/Item/equip_weapon_staff_pelt.webp</t>
  </si>
  <si>
    <t>Pelt Staff Sling</t>
  </si>
  <si>
    <t>modules/a-knights-dream/Item/equip_weapon_sling_staff_pelt.webp</t>
  </si>
  <si>
    <t>Pelt Sword</t>
  </si>
  <si>
    <t>modules/a-knights-dream/Item/equip_weapon_sword_pelt.webp</t>
  </si>
  <si>
    <t>Pelt Tapal</t>
  </si>
  <si>
    <t>modules/a-knights-dream/Item/equip_weapon_tapal_pelt.webp</t>
  </si>
  <si>
    <t>Pelt Trident</t>
  </si>
  <si>
    <t>modules/a-knights-dream/Item/equip_weapon_trident_pelt.webp</t>
  </si>
  <si>
    <t>Pelt War Hammer</t>
  </si>
  <si>
    <t>modules/a-knights-dream/Item/equip_weapon_hammer_war_pelt.webp</t>
  </si>
  <si>
    <t>Pelt War Pick</t>
  </si>
  <si>
    <t>modules/a-knights-dream/Item/equip_weapon_pick_war_pelt.webp</t>
  </si>
  <si>
    <t>Pelt Brigantine Cuirass</t>
  </si>
  <si>
    <t>modules/a-knights-dream/Item/equip_armor_brigantine_cuirass_pelt.webp</t>
  </si>
  <si>
    <t>Pelt Brigantine Gauntlets</t>
  </si>
  <si>
    <t>modules/a-knights-dream/Item/equip_armor_brigantine_gauntlets_pelt.webp</t>
  </si>
  <si>
    <t>Pelt Brigantine Greaves</t>
  </si>
  <si>
    <t>modules/a-knights-dream/Item/equip_armor_brigantine_greaves_pelt.webp</t>
  </si>
  <si>
    <t>Pelt Brigantine Helmet</t>
  </si>
  <si>
    <t>modules/a-knights-dream/Item/equip_armor_brigantine_helmet_pelt.webp</t>
  </si>
  <si>
    <t>Pelt Brigantine Pauldron</t>
  </si>
  <si>
    <t>modules/a-knights-dream/Item/equip_armor_brigantine_pauldron_pelt.webp</t>
  </si>
  <si>
    <t>Pelt Chainmail Cuirass</t>
  </si>
  <si>
    <t>modules/a-knights-dream/Item/equip_armor_chainmail_cuirass_pelt.webp</t>
  </si>
  <si>
    <t>Pelt Chainmail Gauntlets</t>
  </si>
  <si>
    <t>modules/a-knights-dream/Item/equip_armor_chainmail_gauntlets_pelt.webp</t>
  </si>
  <si>
    <t>Pelt Chainmail Greaves</t>
  </si>
  <si>
    <t>modules/a-knights-dream/Item/equip_armor_chainmail_greaves_pelt.webp</t>
  </si>
  <si>
    <t>Pelt Chainmail Helmet</t>
  </si>
  <si>
    <t>modules/a-knights-dream/Item/equip_armor_chainmail_helmet_pelt.webp</t>
  </si>
  <si>
    <t>Pelt Chainmail Pauldron</t>
  </si>
  <si>
    <t>modules/a-knights-dream/Item/equip_armor_chainmail_pauldron_pelt.webp</t>
  </si>
  <si>
    <t>Pelt Gamberson Cuirass</t>
  </si>
  <si>
    <t>modules/a-knights-dream/Item/equip_armor_gamberson_cuirass_pelt.webp</t>
  </si>
  <si>
    <t>Pelt Gamberson Gauntlets</t>
  </si>
  <si>
    <t>modules/a-knights-dream/Item/equip_armor_gamberson_gauntlets_pelt.webp</t>
  </si>
  <si>
    <t>Pelt Gamberson Greaves</t>
  </si>
  <si>
    <t>modules/a-knights-dream/Item/equip_armor_gamberson_greaves_pelt.webp</t>
  </si>
  <si>
    <t>Pelt Gamberson Helmet</t>
  </si>
  <si>
    <t>modules/a-knights-dream/Item/equip_armor_gamberson_helmet_pelt.webp</t>
  </si>
  <si>
    <t>Pelt Gamberson Pauldron</t>
  </si>
  <si>
    <t>modules/a-knights-dream/Item/equip_armor_gamberson_pauldron_pelt.webp</t>
  </si>
  <si>
    <t>Pelt Hauberk Cuirass</t>
  </si>
  <si>
    <t>modules/a-knights-dream/Item/equip_armor_hauberk_cuirass_pelt.webp</t>
  </si>
  <si>
    <t>Pelt Hauberk Gauntlets</t>
  </si>
  <si>
    <t>modules/a-knights-dream/Item/equip_armor_hauberk_gauntlets_pelt.webp</t>
  </si>
  <si>
    <t>Pelt Hauberk Greaves</t>
  </si>
  <si>
    <t>modules/a-knights-dream/Item/equip_armor_hauberk_greaves_pelt.webp</t>
  </si>
  <si>
    <t>Pelt Hauberk Helmet</t>
  </si>
  <si>
    <t>modules/a-knights-dream/Item/equip_armor_hauberk_helmet_pelt.webp</t>
  </si>
  <si>
    <t>Pelt Hauberk Pauldron</t>
  </si>
  <si>
    <t>modules/a-knights-dream/Item/equip_armor_hauberk_pauldron_pelt.webp</t>
  </si>
  <si>
    <t>Pelt Jack Cuirass</t>
  </si>
  <si>
    <t>modules/a-knights-dream/Item/equip_armor_jack_cuirass_pelt.webp</t>
  </si>
  <si>
    <t>Pelt Jack Gauntlets</t>
  </si>
  <si>
    <t>modules/a-knights-dream/Item/equip_armor_jack_gauntlets_pelt.webp</t>
  </si>
  <si>
    <t>Pelt Jack Greaves</t>
  </si>
  <si>
    <t>modules/a-knights-dream/Item/equip_armor_jack_greaves_pelt.webp</t>
  </si>
  <si>
    <t>Pelt Jack Helmet</t>
  </si>
  <si>
    <t>modules/a-knights-dream/Item/equip_armor_jack_helmet_pelt.webp</t>
  </si>
  <si>
    <t>Pelt Jack Pauldron</t>
  </si>
  <si>
    <t>modules/a-knights-dream/Item/equip_armor_jack_pauldron_pelt.webp</t>
  </si>
  <si>
    <t>Pelt Lamellar Cuirass</t>
  </si>
  <si>
    <t>modules/a-knights-dream/Item/equip_armor_lamellar_cuirass_pelt.webp</t>
  </si>
  <si>
    <t>Pelt Lamellar Gauntlets</t>
  </si>
  <si>
    <t>modules/a-knights-dream/Item/equip_armor_lamellar_gauntlets_pelt.webp</t>
  </si>
  <si>
    <t>Pelt Lamellar Greaves</t>
  </si>
  <si>
    <t>modules/a-knights-dream/Item/equip_armor_lamellar_greaves_pelt.webp</t>
  </si>
  <si>
    <t>Pelt Lamellar Helmet</t>
  </si>
  <si>
    <t>modules/a-knights-dream/Item/equip_armor_lamellar_helmet_pelt.webp</t>
  </si>
  <si>
    <t>Pelt Lamellar Pauldron</t>
  </si>
  <si>
    <t>modules/a-knights-dream/Item/equip_armor_lamellar_pauldron_pelt.webp</t>
  </si>
  <si>
    <t>Pelt Platemail Cuirass</t>
  </si>
  <si>
    <t>modules/a-knights-dream/Item/equip_armor_platemail_cuirass_pelt.webp</t>
  </si>
  <si>
    <t>Pelt Platemail Gauntlets</t>
  </si>
  <si>
    <t>modules/a-knights-dream/Item/equip_armor_platemail_gauntlets_pelt.webp</t>
  </si>
  <si>
    <t>Pelt Platemail Greaves</t>
  </si>
  <si>
    <t>modules/a-knights-dream/Item/equip_armor_platemail_greaves_pelt.webp</t>
  </si>
  <si>
    <t>Pelt Platemail Helmet</t>
  </si>
  <si>
    <t>modules/a-knights-dream/Item/equip_armor_platemail_helmet_pelt.webp</t>
  </si>
  <si>
    <t>Pelt Platemail Pauldron</t>
  </si>
  <si>
    <t>modules/a-knights-dream/Item/equip_armor_platemail_pauldron_pelt.webp</t>
  </si>
  <si>
    <t>Pelt Tunic Cuirass</t>
  </si>
  <si>
    <t>modules/a-knights-dream/Item/equip_armor_tunic_cuirass_pelt.webp</t>
  </si>
  <si>
    <t>Pelt Tunic Gauntlets</t>
  </si>
  <si>
    <t>modules/a-knights-dream/Item/equip_armor_tunic_gauntlets_pelt.webp</t>
  </si>
  <si>
    <t>Pelt Tunic Greaves</t>
  </si>
  <si>
    <t>modules/a-knights-dream/Item/equip_armor_tunic_greaves_pelt.webp</t>
  </si>
  <si>
    <t>Pelt Tunic Helmet</t>
  </si>
  <si>
    <t>modules/a-knights-dream/Item/equip_armor_tunic_helmet_pelt.webp</t>
  </si>
  <si>
    <t>Pelt Tunic Pauldron</t>
  </si>
  <si>
    <t>modules/a-knights-dream/Item/equip_armor_tunic_pauldron_pelt.webp</t>
  </si>
  <si>
    <t>Pelt Buckler Shield</t>
  </si>
  <si>
    <t>modules/a-knights-dream/Item/equip_armor_shield_buckler_pelt.webp</t>
  </si>
  <si>
    <t>Pelt Heater Shield</t>
  </si>
  <si>
    <t>modules/a-knights-dream/Item/equip_armor_shield_heater_pelt.webp</t>
  </si>
  <si>
    <t>Pelt Kite Shield</t>
  </si>
  <si>
    <t>modules/a-knights-dream/Item/equip_armor_shield_kite_pelt.webp</t>
  </si>
  <si>
    <t>Pelt Oval Shield</t>
  </si>
  <si>
    <t>modules/a-knights-dream/Item/equip_armor_shield_oval_pelt.webp</t>
  </si>
  <si>
    <t>Pelt Round Shield</t>
  </si>
  <si>
    <t>modules/a-knights-dream/Item/equip_armor_shield_round_pelt.webp</t>
  </si>
  <si>
    <t>Pelt Tower Shield</t>
  </si>
  <si>
    <t>modules/a-knights-dream/Item/equip_armor_shield_tower_pelt.webp</t>
  </si>
  <si>
    <t>Pigskin</t>
  </si>
  <si>
    <t>Pigskin Ball Bearings</t>
  </si>
  <si>
    <t>modules/a-knights-dream/Item/equip_weapon_bearings_pigskin.webp</t>
  </si>
  <si>
    <t>Pigskin Bardiche</t>
  </si>
  <si>
    <t>modules/a-knights-dream/Item/equip_weapon_bardiche_pigskin.webp</t>
  </si>
  <si>
    <t>Pigskin Bastard Sword</t>
  </si>
  <si>
    <t>modules/a-knights-dream/Item/equip_weapon_sword_bastard_pigskin.webp</t>
  </si>
  <si>
    <t>Pigskin Battle Axe</t>
  </si>
  <si>
    <t>modules/a-knights-dream/Item/equip_weapon_axe_battle_pigskin.webp</t>
  </si>
  <si>
    <t>Pigskin Blowgun</t>
  </si>
  <si>
    <t>modules/a-knights-dream/Item/equip_weapon_blowgun_pigskin.webp</t>
  </si>
  <si>
    <t>Pigskin Bolt</t>
  </si>
  <si>
    <t>modules/a-knights-dream/Item/equip_weapon_bolt_pigskin.webp</t>
  </si>
  <si>
    <t>Pigskin Boomerang</t>
  </si>
  <si>
    <t>modules/a-knights-dream/Item/equip_weapon_boomerang_pigskin.webp</t>
  </si>
  <si>
    <t>Pigskin Bow</t>
  </si>
  <si>
    <t>modules/a-knights-dream/Item/equip_weapon_bow_pigskin.webp</t>
  </si>
  <si>
    <t>Pigskin Caltrops</t>
  </si>
  <si>
    <t>modules/a-knights-dream/Item/equip_weapon_caltrops_pigskin.webp</t>
  </si>
  <si>
    <t>Pigskin Cestus</t>
  </si>
  <si>
    <t>modules/a-knights-dream/Item/equip_weapon_cestus_pigskin.webp</t>
  </si>
  <si>
    <t>Pigskin Chain</t>
  </si>
  <si>
    <t>modules/a-knights-dream/Item/equip_weapon_chain_pigskin.webp</t>
  </si>
  <si>
    <t>Pigskin Claymore</t>
  </si>
  <si>
    <t>modules/a-knights-dream/Item/equip_weapon_claymore_pigskin.webp</t>
  </si>
  <si>
    <t>Pigskin Club</t>
  </si>
  <si>
    <t>modules/a-knights-dream/Item/equip_weapon_club_pigskin.webp</t>
  </si>
  <si>
    <t>Pigskin Compound Bow</t>
  </si>
  <si>
    <t>modules/a-knights-dream/Item/equip_weapon_bow_compound_pigskin.webp</t>
  </si>
  <si>
    <t>Pigskin Cutlass</t>
  </si>
  <si>
    <t>modules/a-knights-dream/Item/equip_weapon_cutlass_pigskin.webp</t>
  </si>
  <si>
    <t>Pigskin Dagger</t>
  </si>
  <si>
    <t>modules/a-knights-dream/Item/equip_weapon_dagger_pigskin.webp</t>
  </si>
  <si>
    <t>Pigskin Dart</t>
  </si>
  <si>
    <t>modules/a-knights-dream/Item/equip_weapon_dart_pigskin.webp</t>
  </si>
  <si>
    <t>Pigskin Fauchard Scythe</t>
  </si>
  <si>
    <t>modules/a-knights-dream/Item/equip_weapon_scythe_fauchard_pigskin.webp</t>
  </si>
  <si>
    <t>Pigskin Flail</t>
  </si>
  <si>
    <t>modules/a-knights-dream/Item/equip_weapon_flail_pigskin.webp</t>
  </si>
  <si>
    <t>Pigskin Glaive</t>
  </si>
  <si>
    <t>modules/a-knights-dream/Item/equip_weapon_glaive_pigskin.webp</t>
  </si>
  <si>
    <t>Pigskin Grapple Hook</t>
  </si>
  <si>
    <t>modules/a-knights-dream/Item/equip_weapon_hook_grapple_pigskin.webp</t>
  </si>
  <si>
    <t>Pigskin Great Axe</t>
  </si>
  <si>
    <t>modules/a-knights-dream/Item/equip_weapon_axe_great_pigskin.webp</t>
  </si>
  <si>
    <t>Pigskin Great Club</t>
  </si>
  <si>
    <t>modules/a-knights-dream/Item/equip_weapon_club_great_pigskin.webp</t>
  </si>
  <si>
    <t>Pigskin Great Khyber</t>
  </si>
  <si>
    <t>modules/a-knights-dream/Item/equip_weapon_khyber_great_pigskin.webp</t>
  </si>
  <si>
    <t>Pigskin Great Konda</t>
  </si>
  <si>
    <t>modules/a-knights-dream/Item/equip_weapon_konda_great_pigskin.webp</t>
  </si>
  <si>
    <t>Pigskin Great Labrys</t>
  </si>
  <si>
    <t>modules/a-knights-dream/Item/equip_weapon_axe_labrys_great_pigskin.webp</t>
  </si>
  <si>
    <t>Pigskin Great Mace</t>
  </si>
  <si>
    <t>modules/a-knights-dream/Item/equip_weapon_mace_great_pigskin.webp</t>
  </si>
  <si>
    <t>Pigskin Great Tapal</t>
  </si>
  <si>
    <t>modules/a-knights-dream/Item/equip_weapon_tapal_great_pigskin.webp</t>
  </si>
  <si>
    <t>Pigskin Great War Bow</t>
  </si>
  <si>
    <t>modules/a-knights-dream/Item/equip_weapon_bow_war_great_pigskin.webp</t>
  </si>
  <si>
    <t>Pigskin Great War Hammer</t>
  </si>
  <si>
    <t>modules/a-knights-dream/Item/equip_weapon_hammer_war_great_pigskin.webp</t>
  </si>
  <si>
    <t>Pigskin Great War Pick</t>
  </si>
  <si>
    <t>modules/a-knights-dream/Item/equip_weapon_pick_war_great_pigskin.webp</t>
  </si>
  <si>
    <t>Pigskin Guisarme</t>
  </si>
  <si>
    <t>modules/a-knights-dream/Item/equip_weapon_guisarme_pigskin.webp</t>
  </si>
  <si>
    <t>Pigskin Halberd</t>
  </si>
  <si>
    <t>modules/a-knights-dream/Item/equip_weapon_halberd_pigskin.webp</t>
  </si>
  <si>
    <t>Pigskin Hand Crossbow</t>
  </si>
  <si>
    <t>modules/a-knights-dream/Item/equip_weapon_crossbow_hand_pigskin.webp</t>
  </si>
  <si>
    <t>Pigskin Hand axe</t>
  </si>
  <si>
    <t>modules/a-knights-dream/Item/equip_weapon_axe_hand_pigskin.webp</t>
  </si>
  <si>
    <t>Pigskin Heavy Crossbow</t>
  </si>
  <si>
    <t>modules/a-knights-dream/Item/equip_weapon_crossbow_heavy_pigskin.webp</t>
  </si>
  <si>
    <t>Pigskin Hunting Trap</t>
  </si>
  <si>
    <t>modules/a-knights-dream/Item/equip_weapon_trap_hunting_pigskin.webp</t>
  </si>
  <si>
    <t>Pigskin Hunting Trap (Large)</t>
  </si>
  <si>
    <t>modules/a-knights-dream/Item/equip_weapon_trap_hunting_large_pigskin.webp</t>
  </si>
  <si>
    <t>Pigskin Hunting Trap (Small)</t>
  </si>
  <si>
    <t>modules/a-knights-dream/Item/equip_weapon_trap_hunting_small_pigskin.webp</t>
  </si>
  <si>
    <t>Pigskin Javelin</t>
  </si>
  <si>
    <t>modules/a-knights-dream/Item/equip_weapon_javelin_pigskin.webp</t>
  </si>
  <si>
    <t>Pigskin Khpesh</t>
  </si>
  <si>
    <t>modules/a-knights-dream/Item/equip_weapon_khpesh_pigskin.webp</t>
  </si>
  <si>
    <t>Pigskin Khyber</t>
  </si>
  <si>
    <t>modules/a-knights-dream/Item/equip_weapon_khyber_pigskin.webp</t>
  </si>
  <si>
    <t>Pigskin Konda</t>
  </si>
  <si>
    <t>modules/a-knights-dream/Item/equip_weapon_konda_pigskin.webp</t>
  </si>
  <si>
    <t>Pigskin Labrys</t>
  </si>
  <si>
    <t>modules/a-knights-dream/Item/equip_weapon_axe_labrys_pigskin.webp</t>
  </si>
  <si>
    <t>Pigskin Lance</t>
  </si>
  <si>
    <t>modules/a-knights-dream/Item/equip_weapon_lance_pigskin.webp</t>
  </si>
  <si>
    <t>Pigskin Light Crossbow</t>
  </si>
  <si>
    <t>modules/a-knights-dream/Item/equip_weapon_crossbow_light_pigskin.webp</t>
  </si>
  <si>
    <t>Pigskin Long Bow</t>
  </si>
  <si>
    <t>modules/a-knights-dream/Item/equip_weapon_bow_long_pigskin.webp</t>
  </si>
  <si>
    <t>Pigskin Long Spear</t>
  </si>
  <si>
    <t>modules/a-knights-dream/Item/equip_weapon_spear_long_pigskin.webp</t>
  </si>
  <si>
    <t>Pigskin Lucerince Hammer</t>
  </si>
  <si>
    <t>modules/a-knights-dream/Item/equip_weapon_hammer_lucerince_pigskin.webp</t>
  </si>
  <si>
    <t>Pigskin Mace</t>
  </si>
  <si>
    <t>modules/a-knights-dream/Item/equip_weapon_mace_pigskin.webp</t>
  </si>
  <si>
    <t>Pigskin Morningstar</t>
  </si>
  <si>
    <t>modules/a-knights-dream/Item/equip_weapon_morningstar_pigskin.webp</t>
  </si>
  <si>
    <t>Pigskin Pike</t>
  </si>
  <si>
    <t>modules/a-knights-dream/Item/equip_weapon_pike_pigskin.webp</t>
  </si>
  <si>
    <t>Pigskin Quarter Staff</t>
  </si>
  <si>
    <t>modules/a-knights-dream/Item/equip_weapon_staff_quarter_pigskin.webp</t>
  </si>
  <si>
    <t>Pigskin Ranseur</t>
  </si>
  <si>
    <t>modules/a-knights-dream/Item/equip_weapon_ranseur_pigskin.webp</t>
  </si>
  <si>
    <t>Pigskin Rapier</t>
  </si>
  <si>
    <t>modules/a-knights-dream/Item/equip_weapon_rapier_pigskin.webp</t>
  </si>
  <si>
    <t>Pigskin Recurve Bow</t>
  </si>
  <si>
    <t>modules/a-knights-dream/Item/equip_weapon_bow_recurve_pigskin.webp</t>
  </si>
  <si>
    <t>Pigskin Repeater Crossbow</t>
  </si>
  <si>
    <t>modules/a-knights-dream/Item/equip_weapon_crossbow_repeater_pigskin.webp</t>
  </si>
  <si>
    <t>Pigskin Sabre</t>
  </si>
  <si>
    <t>modules/a-knights-dream/Item/equip_weapon_sabre_pigskin.webp</t>
  </si>
  <si>
    <t>Pigskin Scimitar</t>
  </si>
  <si>
    <t>modules/a-knights-dream/Item/equip_weapon_scimitar_pigskin.webp</t>
  </si>
  <si>
    <t>Pigskin Scythe</t>
  </si>
  <si>
    <t>modules/a-knights-dream/Item/equip_weapon_scythe_pigskin.webp</t>
  </si>
  <si>
    <t>Pigskin Short Bow</t>
  </si>
  <si>
    <t>modules/a-knights-dream/Item/equip_weapon_bow_short_pigskin.webp</t>
  </si>
  <si>
    <t>Pigskin Short Spear</t>
  </si>
  <si>
    <t>modules/a-knights-dream/Item/equip_weapon_spear_short_pigskin.webp</t>
  </si>
  <si>
    <t>Pigskin Short Sword</t>
  </si>
  <si>
    <t>modules/a-knights-dream/Item/equip_weapon_sword_short_pigskin.webp</t>
  </si>
  <si>
    <t>Pigskin Shotel</t>
  </si>
  <si>
    <t>modules/a-knights-dream/Item/equip_weapon_shotel_pigskin.webp</t>
  </si>
  <si>
    <t>Pigskin Sickle</t>
  </si>
  <si>
    <t>modules/a-knights-dream/Item/equip_weapon_sickle_pigskin.webp</t>
  </si>
  <si>
    <t>Pigskin Sling</t>
  </si>
  <si>
    <t>modules/a-knights-dream/Item/equip_weapon_sling_pigskin.webp</t>
  </si>
  <si>
    <t>Pigskin Staff</t>
  </si>
  <si>
    <t>modules/a-knights-dream/Item/equip_weapon_staff_pigskin.webp</t>
  </si>
  <si>
    <t>Pigskin Staff Sling</t>
  </si>
  <si>
    <t>modules/a-knights-dream/Item/equip_weapon_sling_staff_pigskin.webp</t>
  </si>
  <si>
    <t>Pigskin Sword</t>
  </si>
  <si>
    <t>modules/a-knights-dream/Item/equip_weapon_sword_pigskin.webp</t>
  </si>
  <si>
    <t>Pigskin Tapal</t>
  </si>
  <si>
    <t>modules/a-knights-dream/Item/equip_weapon_tapal_pigskin.webp</t>
  </si>
  <si>
    <t>Pigskin Trident</t>
  </si>
  <si>
    <t>modules/a-knights-dream/Item/equip_weapon_trident_pigskin.webp</t>
  </si>
  <si>
    <t>Pigskin War Hammer</t>
  </si>
  <si>
    <t>modules/a-knights-dream/Item/equip_weapon_hammer_war_pigskin.webp</t>
  </si>
  <si>
    <t>Pigskin War Pick</t>
  </si>
  <si>
    <t>modules/a-knights-dream/Item/equip_weapon_pick_war_pigskin.webp</t>
  </si>
  <si>
    <t>Pigskin Brigantine Cuirass</t>
  </si>
  <si>
    <t>modules/a-knights-dream/Item/equip_armor_brigantine_cuirass_pigskin.webp</t>
  </si>
  <si>
    <t>Pigskin Brigantine Gauntlets</t>
  </si>
  <si>
    <t>modules/a-knights-dream/Item/equip_armor_brigantine_gauntlets_pigskin.webp</t>
  </si>
  <si>
    <t>Pigskin Brigantine Greaves</t>
  </si>
  <si>
    <t>modules/a-knights-dream/Item/equip_armor_brigantine_greaves_pigskin.webp</t>
  </si>
  <si>
    <t>Pigskin Brigantine Helmet</t>
  </si>
  <si>
    <t>modules/a-knights-dream/Item/equip_armor_brigantine_helmet_pigskin.webp</t>
  </si>
  <si>
    <t>Pigskin Brigantine Pauldron</t>
  </si>
  <si>
    <t>modules/a-knights-dream/Item/equip_armor_brigantine_pauldron_pigskin.webp</t>
  </si>
  <si>
    <t>Pigskin Chainmail Cuirass</t>
  </si>
  <si>
    <t>modules/a-knights-dream/Item/equip_armor_chainmail_cuirass_pigskin.webp</t>
  </si>
  <si>
    <t>Pigskin Chainmail Gauntlets</t>
  </si>
  <si>
    <t>modules/a-knights-dream/Item/equip_armor_chainmail_gauntlets_pigskin.webp</t>
  </si>
  <si>
    <t>Pigskin Chainmail Greaves</t>
  </si>
  <si>
    <t>modules/a-knights-dream/Item/equip_armor_chainmail_greaves_pigskin.webp</t>
  </si>
  <si>
    <t>Pigskin Chainmail Helmet</t>
  </si>
  <si>
    <t>modules/a-knights-dream/Item/equip_armor_chainmail_helmet_pigskin.webp</t>
  </si>
  <si>
    <t>Pigskin Chainmail Pauldron</t>
  </si>
  <si>
    <t>modules/a-knights-dream/Item/equip_armor_chainmail_pauldron_pigskin.webp</t>
  </si>
  <si>
    <t>Pigskin Gamberson Cuirass</t>
  </si>
  <si>
    <t>modules/a-knights-dream/Item/equip_armor_gamberson_cuirass_pigskin.webp</t>
  </si>
  <si>
    <t>Pigskin Gamberson Gauntlets</t>
  </si>
  <si>
    <t>modules/a-knights-dream/Item/equip_armor_gamberson_gauntlets_pigskin.webp</t>
  </si>
  <si>
    <t>Pigskin Gamberson Greaves</t>
  </si>
  <si>
    <t>modules/a-knights-dream/Item/equip_armor_gamberson_greaves_pigskin.webp</t>
  </si>
  <si>
    <t>Pigskin Gamberson Helmet</t>
  </si>
  <si>
    <t>modules/a-knights-dream/Item/equip_armor_gamberson_helmet_pigskin.webp</t>
  </si>
  <si>
    <t>Pigskin Gamberson Pauldron</t>
  </si>
  <si>
    <t>modules/a-knights-dream/Item/equip_armor_gamberson_pauldron_pigskin.webp</t>
  </si>
  <si>
    <t>Pigskin Hauberk Cuirass</t>
  </si>
  <si>
    <t>modules/a-knights-dream/Item/equip_armor_hauberk_cuirass_pigskin.webp</t>
  </si>
  <si>
    <t>Pigskin Hauberk Gauntlets</t>
  </si>
  <si>
    <t>modules/a-knights-dream/Item/equip_armor_hauberk_gauntlets_pigskin.webp</t>
  </si>
  <si>
    <t>Pigskin Hauberk Greaves</t>
  </si>
  <si>
    <t>modules/a-knights-dream/Item/equip_armor_hauberk_greaves_pigskin.webp</t>
  </si>
  <si>
    <t>Pigskin Hauberk Helmet</t>
  </si>
  <si>
    <t>modules/a-knights-dream/Item/equip_armor_hauberk_helmet_pigskin.webp</t>
  </si>
  <si>
    <t>Pigskin Hauberk Pauldron</t>
  </si>
  <si>
    <t>modules/a-knights-dream/Item/equip_armor_hauberk_pauldron_pigskin.webp</t>
  </si>
  <si>
    <t>Pigskin Jack Cuirass</t>
  </si>
  <si>
    <t>modules/a-knights-dream/Item/equip_armor_jack_cuirass_pigskin.webp</t>
  </si>
  <si>
    <t>Pigskin Jack Gauntlets</t>
  </si>
  <si>
    <t>modules/a-knights-dream/Item/equip_armor_jack_gauntlets_pigskin.webp</t>
  </si>
  <si>
    <t>Pigskin Jack Greaves</t>
  </si>
  <si>
    <t>modules/a-knights-dream/Item/equip_armor_jack_greaves_pigskin.webp</t>
  </si>
  <si>
    <t>Pigskin Jack Helmet</t>
  </si>
  <si>
    <t>modules/a-knights-dream/Item/equip_armor_jack_helmet_pigskin.webp</t>
  </si>
  <si>
    <t>Pigskin Jack Pauldron</t>
  </si>
  <si>
    <t>modules/a-knights-dream/Item/equip_armor_jack_pauldron_pigskin.webp</t>
  </si>
  <si>
    <t>Pigskin Lamellar Cuirass</t>
  </si>
  <si>
    <t>modules/a-knights-dream/Item/equip_armor_lamellar_cuirass_pigskin.webp</t>
  </si>
  <si>
    <t>Pigskin Lamellar Gauntlets</t>
  </si>
  <si>
    <t>modules/a-knights-dream/Item/equip_armor_lamellar_gauntlets_pigskin.webp</t>
  </si>
  <si>
    <t>Pigskin Lamellar Greaves</t>
  </si>
  <si>
    <t>modules/a-knights-dream/Item/equip_armor_lamellar_greaves_pigskin.webp</t>
  </si>
  <si>
    <t>Pigskin Lamellar Helmet</t>
  </si>
  <si>
    <t>modules/a-knights-dream/Item/equip_armor_lamellar_helmet_pigskin.webp</t>
  </si>
  <si>
    <t>Pigskin Lamellar Pauldron</t>
  </si>
  <si>
    <t>modules/a-knights-dream/Item/equip_armor_lamellar_pauldron_pigskin.webp</t>
  </si>
  <si>
    <t>Pigskin Platemail Cuirass</t>
  </si>
  <si>
    <t>modules/a-knights-dream/Item/equip_armor_platemail_cuirass_pigskin.webp</t>
  </si>
  <si>
    <t>Pigskin Platemail Gauntlets</t>
  </si>
  <si>
    <t>modules/a-knights-dream/Item/equip_armor_platemail_gauntlets_pigskin.webp</t>
  </si>
  <si>
    <t>Pigskin Platemail Greaves</t>
  </si>
  <si>
    <t>modules/a-knights-dream/Item/equip_armor_platemail_greaves_pigskin.webp</t>
  </si>
  <si>
    <t>Pigskin Platemail Helmet</t>
  </si>
  <si>
    <t>modules/a-knights-dream/Item/equip_armor_platemail_helmet_pigskin.webp</t>
  </si>
  <si>
    <t>Pigskin Platemail Pauldron</t>
  </si>
  <si>
    <t>modules/a-knights-dream/Item/equip_armor_platemail_pauldron_pigskin.webp</t>
  </si>
  <si>
    <t>Pigskin Tunic Cuirass</t>
  </si>
  <si>
    <t>modules/a-knights-dream/Item/equip_armor_tunic_cuirass_pigskin.webp</t>
  </si>
  <si>
    <t>Pigskin Tunic Gauntlets</t>
  </si>
  <si>
    <t>modules/a-knights-dream/Item/equip_armor_tunic_gauntlets_pigskin.webp</t>
  </si>
  <si>
    <t>Pigskin Tunic Greaves</t>
  </si>
  <si>
    <t>modules/a-knights-dream/Item/equip_armor_tunic_greaves_pigskin.webp</t>
  </si>
  <si>
    <t>Pigskin Tunic Helmet</t>
  </si>
  <si>
    <t>modules/a-knights-dream/Item/equip_armor_tunic_helmet_pigskin.webp</t>
  </si>
  <si>
    <t>Pigskin Tunic Pauldron</t>
  </si>
  <si>
    <t>modules/a-knights-dream/Item/equip_armor_tunic_pauldron_pigskin.webp</t>
  </si>
  <si>
    <t>Pigskin Buckler Shield</t>
  </si>
  <si>
    <t>modules/a-knights-dream/Item/equip_armor_shield_buckler_pigskin.webp</t>
  </si>
  <si>
    <t>Pigskin Heater Shield</t>
  </si>
  <si>
    <t>modules/a-knights-dream/Item/equip_armor_shield_heater_pigskin.webp</t>
  </si>
  <si>
    <t>Pigskin Kite Shield</t>
  </si>
  <si>
    <t>modules/a-knights-dream/Item/equip_armor_shield_kite_pigskin.webp</t>
  </si>
  <si>
    <t>Pigskin Oval Shield</t>
  </si>
  <si>
    <t>modules/a-knights-dream/Item/equip_armor_shield_oval_pigskin.webp</t>
  </si>
  <si>
    <t>Pigskin Round Shield</t>
  </si>
  <si>
    <t>modules/a-knights-dream/Item/equip_armor_shield_round_pigskin.webp</t>
  </si>
  <si>
    <t>Pigskin Tower Shield</t>
  </si>
  <si>
    <t>modules/a-knights-dream/Item/equip_armor_shield_tower_pigskin.webp</t>
  </si>
  <si>
    <t>dar'ether</t>
  </si>
  <si>
    <t>dar'ether Ball Bearings</t>
  </si>
  <si>
    <t>modules/a-knights-dream/Item/equip_weapon_bearings_darether.webp</t>
  </si>
  <si>
    <t>dar'ether Bardiche</t>
  </si>
  <si>
    <t>modules/a-knights-dream/Item/equip_weapon_bardiche_darether.webp</t>
  </si>
  <si>
    <t>dar'ether Bastard Sword</t>
  </si>
  <si>
    <t>modules/a-knights-dream/Item/equip_weapon_sword_bastard_darether.webp</t>
  </si>
  <si>
    <t>dar'ether Battle Axe</t>
  </si>
  <si>
    <t>modules/a-knights-dream/Item/equip_weapon_axe_battle_darether.webp</t>
  </si>
  <si>
    <t>dar'ether Blowgun</t>
  </si>
  <si>
    <t>modules/a-knights-dream/Item/equip_weapon_blowgun_darether.webp</t>
  </si>
  <si>
    <t>dar'ether Bolt</t>
  </si>
  <si>
    <t>modules/a-knights-dream/Item/equip_weapon_bolt_darether.webp</t>
  </si>
  <si>
    <t>dar'ether Boomerang</t>
  </si>
  <si>
    <t>modules/a-knights-dream/Item/equip_weapon_boomerang_darether.webp</t>
  </si>
  <si>
    <t>dar'ether Bow</t>
  </si>
  <si>
    <t>modules/a-knights-dream/Item/equip_weapon_bow_darether.webp</t>
  </si>
  <si>
    <t>dar'ether Caltrops</t>
  </si>
  <si>
    <t>modules/a-knights-dream/Item/equip_weapon_caltrops_darether.webp</t>
  </si>
  <si>
    <t>dar'ether Cestus</t>
  </si>
  <si>
    <t>modules/a-knights-dream/Item/equip_weapon_cestus_darether.webp</t>
  </si>
  <si>
    <t>dar'ether Chain</t>
  </si>
  <si>
    <t>modules/a-knights-dream/Item/equip_weapon_chain_darether.webp</t>
  </si>
  <si>
    <t>dar'ether Claymore</t>
  </si>
  <si>
    <t>modules/a-knights-dream/Item/equip_weapon_claymore_darether.webp</t>
  </si>
  <si>
    <t>dar'ether Club</t>
  </si>
  <si>
    <t>modules/a-knights-dream/Item/equip_weapon_club_darether.webp</t>
  </si>
  <si>
    <t>dar'ether Compound Bow</t>
  </si>
  <si>
    <t>modules/a-knights-dream/Item/equip_weapon_bow_compound_darether.webp</t>
  </si>
  <si>
    <t>dar'ether Cutlass</t>
  </si>
  <si>
    <t>modules/a-knights-dream/Item/equip_weapon_cutlass_darether.webp</t>
  </si>
  <si>
    <t>dar'ether Dagger</t>
  </si>
  <si>
    <t>modules/a-knights-dream/Item/equip_weapon_dagger_darether.webp</t>
  </si>
  <si>
    <t>dar'ether Dart</t>
  </si>
  <si>
    <t>modules/a-knights-dream/Item/equip_weapon_dart_darether.webp</t>
  </si>
  <si>
    <t>dar'ether Fauchard Scythe</t>
  </si>
  <si>
    <t>modules/a-knights-dream/Item/equip_weapon_scythe_fauchard_darether.webp</t>
  </si>
  <si>
    <t>dar'ether Flail</t>
  </si>
  <si>
    <t>modules/a-knights-dream/Item/equip_weapon_flail_darether.webp</t>
  </si>
  <si>
    <t>dar'ether Glaive</t>
  </si>
  <si>
    <t>modules/a-knights-dream/Item/equip_weapon_glaive_darether.webp</t>
  </si>
  <si>
    <t>dar'ether Grapple Hook</t>
  </si>
  <si>
    <t>modules/a-knights-dream/Item/equip_weapon_hook_grapple_darether.webp</t>
  </si>
  <si>
    <t>dar'ether Great Axe</t>
  </si>
  <si>
    <t>modules/a-knights-dream/Item/equip_weapon_axe_great_darether.webp</t>
  </si>
  <si>
    <t>dar'ether Great Club</t>
  </si>
  <si>
    <t>modules/a-knights-dream/Item/equip_weapon_club_great_darether.webp</t>
  </si>
  <si>
    <t>dar'ether Great Khyber</t>
  </si>
  <si>
    <t>modules/a-knights-dream/Item/equip_weapon_khyber_great_darether.webp</t>
  </si>
  <si>
    <t>dar'ether Great Konda</t>
  </si>
  <si>
    <t>modules/a-knights-dream/Item/equip_weapon_konda_great_darether.webp</t>
  </si>
  <si>
    <t>dar'ether Great Labrys</t>
  </si>
  <si>
    <t>modules/a-knights-dream/Item/equip_weapon_axe_labrys_great_darether.webp</t>
  </si>
  <si>
    <t>dar'ether Great Mace</t>
  </si>
  <si>
    <t>modules/a-knights-dream/Item/equip_weapon_mace_great_darether.webp</t>
  </si>
  <si>
    <t>dar'ether Great Tapal</t>
  </si>
  <si>
    <t>modules/a-knights-dream/Item/equip_weapon_tapal_great_darether.webp</t>
  </si>
  <si>
    <t>dar'ether Great War Bow</t>
  </si>
  <si>
    <t>modules/a-knights-dream/Item/equip_weapon_bow_war_great_darether.webp</t>
  </si>
  <si>
    <t>dar'ether Great War Hammer</t>
  </si>
  <si>
    <t>modules/a-knights-dream/Item/equip_weapon_hammer_war_great_darether.webp</t>
  </si>
  <si>
    <t>dar'ether Great War Pick</t>
  </si>
  <si>
    <t>modules/a-knights-dream/Item/equip_weapon_pick_war_great_darether.webp</t>
  </si>
  <si>
    <t>dar'ether Guisarme</t>
  </si>
  <si>
    <t>modules/a-knights-dream/Item/equip_weapon_guisarme_darether.webp</t>
  </si>
  <si>
    <t>dar'ether Halberd</t>
  </si>
  <si>
    <t>modules/a-knights-dream/Item/equip_weapon_halberd_darether.webp</t>
  </si>
  <si>
    <t>dar'ether Hand Crossbow</t>
  </si>
  <si>
    <t>modules/a-knights-dream/Item/equip_weapon_crossbow_hand_darether.webp</t>
  </si>
  <si>
    <t>dar'ether Hand axe</t>
  </si>
  <si>
    <t>modules/a-knights-dream/Item/equip_weapon_axe_hand_darether.webp</t>
  </si>
  <si>
    <t>dar'ether Heavy Crossbow</t>
  </si>
  <si>
    <t>modules/a-knights-dream/Item/equip_weapon_crossbow_heavy_darether.webp</t>
  </si>
  <si>
    <t>dar'ether Hunting Trap</t>
  </si>
  <si>
    <t>modules/a-knights-dream/Item/equip_weapon_trap_hunting_darether.webp</t>
  </si>
  <si>
    <t>dar'ether Hunting Trap (Large)</t>
  </si>
  <si>
    <t>modules/a-knights-dream/Item/equip_weapon_trap_hunting_large_darether.webp</t>
  </si>
  <si>
    <t>dar'ether Hunting Trap (Small)</t>
  </si>
  <si>
    <t>modules/a-knights-dream/Item/equip_weapon_trap_hunting_small_darether.webp</t>
  </si>
  <si>
    <t>dar'ether Javelin</t>
  </si>
  <si>
    <t>modules/a-knights-dream/Item/equip_weapon_javelin_darether.webp</t>
  </si>
  <si>
    <t>dar'ether Khpesh</t>
  </si>
  <si>
    <t>modules/a-knights-dream/Item/equip_weapon_khpesh_darether.webp</t>
  </si>
  <si>
    <t>dar'ether Khyber</t>
  </si>
  <si>
    <t>modules/a-knights-dream/Item/equip_weapon_khyber_darether.webp</t>
  </si>
  <si>
    <t>dar'ether Konda</t>
  </si>
  <si>
    <t>modules/a-knights-dream/Item/equip_weapon_konda_darether.webp</t>
  </si>
  <si>
    <t>dar'ether Labrys</t>
  </si>
  <si>
    <t>modules/a-knights-dream/Item/equip_weapon_axe_labrys_darether.webp</t>
  </si>
  <si>
    <t>dar'ether Lance</t>
  </si>
  <si>
    <t>modules/a-knights-dream/Item/equip_weapon_lance_darether.webp</t>
  </si>
  <si>
    <t>dar'ether Light Crossbow</t>
  </si>
  <si>
    <t>modules/a-knights-dream/Item/equip_weapon_crossbow_light_darether.webp</t>
  </si>
  <si>
    <t>dar'ether Long Bow</t>
  </si>
  <si>
    <t>modules/a-knights-dream/Item/equip_weapon_bow_long_darether.webp</t>
  </si>
  <si>
    <t>dar'ether Long Spear</t>
  </si>
  <si>
    <t>modules/a-knights-dream/Item/equip_weapon_spear_long_darether.webp</t>
  </si>
  <si>
    <t>dar'ether Lucerince Hammer</t>
  </si>
  <si>
    <t>modules/a-knights-dream/Item/equip_weapon_hammer_lucerince_darether.webp</t>
  </si>
  <si>
    <t>dar'ether Mace</t>
  </si>
  <si>
    <t>modules/a-knights-dream/Item/equip_weapon_mace_darether.webp</t>
  </si>
  <si>
    <t>dar'ether Morningstar</t>
  </si>
  <si>
    <t>modules/a-knights-dream/Item/equip_weapon_morningstar_darether.webp</t>
  </si>
  <si>
    <t>dar'ether Pike</t>
  </si>
  <si>
    <t>modules/a-knights-dream/Item/equip_weapon_pike_darether.webp</t>
  </si>
  <si>
    <t>dar'ether Quarter Staff</t>
  </si>
  <si>
    <t>modules/a-knights-dream/Item/equip_weapon_staff_quarter_darether.webp</t>
  </si>
  <si>
    <t>dar'ether Ranseur</t>
  </si>
  <si>
    <t>modules/a-knights-dream/Item/equip_weapon_ranseur_darether.webp</t>
  </si>
  <si>
    <t>dar'ether Rapier</t>
  </si>
  <si>
    <t>modules/a-knights-dream/Item/equip_weapon_rapier_darether.webp</t>
  </si>
  <si>
    <t>dar'ether Recurve Bow</t>
  </si>
  <si>
    <t>modules/a-knights-dream/Item/equip_weapon_bow_recurve_darether.webp</t>
  </si>
  <si>
    <t>dar'ether Repeater Crossbow</t>
  </si>
  <si>
    <t>modules/a-knights-dream/Item/equip_weapon_crossbow_repeater_darether.webp</t>
  </si>
  <si>
    <t>dar'ether Sabre</t>
  </si>
  <si>
    <t>modules/a-knights-dream/Item/equip_weapon_sabre_darether.webp</t>
  </si>
  <si>
    <t>dar'ether Scimitar</t>
  </si>
  <si>
    <t>modules/a-knights-dream/Item/equip_weapon_scimitar_darether.webp</t>
  </si>
  <si>
    <t>dar'ether Scythe</t>
  </si>
  <si>
    <t>modules/a-knights-dream/Item/equip_weapon_scythe_darether.webp</t>
  </si>
  <si>
    <t>dar'ether Short Bow</t>
  </si>
  <si>
    <t>modules/a-knights-dream/Item/equip_weapon_bow_short_darether.webp</t>
  </si>
  <si>
    <t>dar'ether Short Spear</t>
  </si>
  <si>
    <t>modules/a-knights-dream/Item/equip_weapon_spear_short_darether.webp</t>
  </si>
  <si>
    <t>dar'ether Short Sword</t>
  </si>
  <si>
    <t>modules/a-knights-dream/Item/equip_weapon_sword_short_darether.webp</t>
  </si>
  <si>
    <t>dar'ether Shotel</t>
  </si>
  <si>
    <t>modules/a-knights-dream/Item/equip_weapon_shotel_darether.webp</t>
  </si>
  <si>
    <t>dar'ether Sickle</t>
  </si>
  <si>
    <t>modules/a-knights-dream/Item/equip_weapon_sickle_darether.webp</t>
  </si>
  <si>
    <t>dar'ether Sling</t>
  </si>
  <si>
    <t>modules/a-knights-dream/Item/equip_weapon_sling_darether.webp</t>
  </si>
  <si>
    <t>dar'ether Staff</t>
  </si>
  <si>
    <t>modules/a-knights-dream/Item/equip_weapon_staff_darether.webp</t>
  </si>
  <si>
    <t>dar'ether Staff Sling</t>
  </si>
  <si>
    <t>modules/a-knights-dream/Item/equip_weapon_sling_staff_darether.webp</t>
  </si>
  <si>
    <t>dar'ether Sword</t>
  </si>
  <si>
    <t>modules/a-knights-dream/Item/equip_weapon_sword_darether.webp</t>
  </si>
  <si>
    <t>dar'ether Tapal</t>
  </si>
  <si>
    <t>modules/a-knights-dream/Item/equip_weapon_tapal_darether.webp</t>
  </si>
  <si>
    <t>dar'ether Trident</t>
  </si>
  <si>
    <t>modules/a-knights-dream/Item/equip_weapon_trident_darether.webp</t>
  </si>
  <si>
    <t>dar'ether War Hammer</t>
  </si>
  <si>
    <t>modules/a-knights-dream/Item/equip_weapon_hammer_war_darether.webp</t>
  </si>
  <si>
    <t>dar'ether War Pick</t>
  </si>
  <si>
    <t>modules/a-knights-dream/Item/equip_weapon_pick_war_darether.webp</t>
  </si>
  <si>
    <t>dar'ether Brigantine Cuirass</t>
  </si>
  <si>
    <t>modules/a-knights-dream/Item/equip_armor_brigantine_cuirass_darether.webp</t>
  </si>
  <si>
    <t>dar'ether Brigantine Gauntlets</t>
  </si>
  <si>
    <t>modules/a-knights-dream/Item/equip_armor_brigantine_gauntlets_darether.webp</t>
  </si>
  <si>
    <t>dar'ether Brigantine Greaves</t>
  </si>
  <si>
    <t>modules/a-knights-dream/Item/equip_armor_brigantine_greaves_darether.webp</t>
  </si>
  <si>
    <t>dar'ether Brigantine Helmet</t>
  </si>
  <si>
    <t>modules/a-knights-dream/Item/equip_armor_brigantine_helmet_darether.webp</t>
  </si>
  <si>
    <t>dar'ether Brigantine Pauldron</t>
  </si>
  <si>
    <t>modules/a-knights-dream/Item/equip_armor_brigantine_pauldron_darether.webp</t>
  </si>
  <si>
    <t>dar'ether Chainmail Cuirass</t>
  </si>
  <si>
    <t>modules/a-knights-dream/Item/equip_armor_chainmail_cuirass_darether.webp</t>
  </si>
  <si>
    <t>dar'ether Chainmail Gauntlets</t>
  </si>
  <si>
    <t>modules/a-knights-dream/Item/equip_armor_chainmail_gauntlets_darether.webp</t>
  </si>
  <si>
    <t>dar'ether Chainmail Greaves</t>
  </si>
  <si>
    <t>modules/a-knights-dream/Item/equip_armor_chainmail_greaves_darether.webp</t>
  </si>
  <si>
    <t>dar'ether Chainmail Helmet</t>
  </si>
  <si>
    <t>modules/a-knights-dream/Item/equip_armor_chainmail_helmet_darether.webp</t>
  </si>
  <si>
    <t>dar'ether Chainmail Pauldron</t>
  </si>
  <si>
    <t>modules/a-knights-dream/Item/equip_armor_chainmail_pauldron_darether.webp</t>
  </si>
  <si>
    <t>dar'ether Gamberson Cuirass</t>
  </si>
  <si>
    <t>modules/a-knights-dream/Item/equip_armor_gamberson_cuirass_darether.webp</t>
  </si>
  <si>
    <t>dar'ether Gamberson Gauntlets</t>
  </si>
  <si>
    <t>modules/a-knights-dream/Item/equip_armor_gamberson_gauntlets_darether.webp</t>
  </si>
  <si>
    <t>dar'ether Gamberson Greaves</t>
  </si>
  <si>
    <t>modules/a-knights-dream/Item/equip_armor_gamberson_greaves_darether.webp</t>
  </si>
  <si>
    <t>dar'ether Gamberson Helmet</t>
  </si>
  <si>
    <t>modules/a-knights-dream/Item/equip_armor_gamberson_helmet_darether.webp</t>
  </si>
  <si>
    <t>dar'ether Gamberson Pauldron</t>
  </si>
  <si>
    <t>modules/a-knights-dream/Item/equip_armor_gamberson_pauldron_darether.webp</t>
  </si>
  <si>
    <t>dar'ether Hauberk Cuirass</t>
  </si>
  <si>
    <t>modules/a-knights-dream/Item/equip_armor_hauberk_cuirass_darether.webp</t>
  </si>
  <si>
    <t>dar'ether Hauberk Gauntlets</t>
  </si>
  <si>
    <t>modules/a-knights-dream/Item/equip_armor_hauberk_gauntlets_darether.webp</t>
  </si>
  <si>
    <t>dar'ether Hauberk Greaves</t>
  </si>
  <si>
    <t>modules/a-knights-dream/Item/equip_armor_hauberk_greaves_darether.webp</t>
  </si>
  <si>
    <t>dar'ether Hauberk Helmet</t>
  </si>
  <si>
    <t>modules/a-knights-dream/Item/equip_armor_hauberk_helmet_darether.webp</t>
  </si>
  <si>
    <t>dar'ether Hauberk Pauldron</t>
  </si>
  <si>
    <t>modules/a-knights-dream/Item/equip_armor_hauberk_pauldron_darether.webp</t>
  </si>
  <si>
    <t>dar'ether Jack Cuirass</t>
  </si>
  <si>
    <t>modules/a-knights-dream/Item/equip_armor_jack_cuirass_darether.webp</t>
  </si>
  <si>
    <t>dar'ether Jack Gauntlets</t>
  </si>
  <si>
    <t>modules/a-knights-dream/Item/equip_armor_jack_gauntlets_darether.webp</t>
  </si>
  <si>
    <t>dar'ether Jack Greaves</t>
  </si>
  <si>
    <t>modules/a-knights-dream/Item/equip_armor_jack_greaves_darether.webp</t>
  </si>
  <si>
    <t>dar'ether Jack Helmet</t>
  </si>
  <si>
    <t>modules/a-knights-dream/Item/equip_armor_jack_helmet_darether.webp</t>
  </si>
  <si>
    <t>dar'ether Jack Pauldron</t>
  </si>
  <si>
    <t>modules/a-knights-dream/Item/equip_armor_jack_pauldron_darether.webp</t>
  </si>
  <si>
    <t>dar'ether Lamellar Cuirass</t>
  </si>
  <si>
    <t>modules/a-knights-dream/Item/equip_armor_lamellar_cuirass_darether.webp</t>
  </si>
  <si>
    <t>dar'ether Lamellar Gauntlets</t>
  </si>
  <si>
    <t>modules/a-knights-dream/Item/equip_armor_lamellar_gauntlets_darether.webp</t>
  </si>
  <si>
    <t>dar'ether Lamellar Greaves</t>
  </si>
  <si>
    <t>modules/a-knights-dream/Item/equip_armor_lamellar_greaves_darether.webp</t>
  </si>
  <si>
    <t>dar'ether Lamellar Helmet</t>
  </si>
  <si>
    <t>modules/a-knights-dream/Item/equip_armor_lamellar_helmet_darether.webp</t>
  </si>
  <si>
    <t>dar'ether Lamellar Pauldron</t>
  </si>
  <si>
    <t>modules/a-knights-dream/Item/equip_armor_lamellar_pauldron_darether.webp</t>
  </si>
  <si>
    <t>dar'ether Platemail Cuirass</t>
  </si>
  <si>
    <t>modules/a-knights-dream/Item/equip_armor_platemail_cuirass_darether.webp</t>
  </si>
  <si>
    <t>dar'ether Platemail Gauntlets</t>
  </si>
  <si>
    <t>modules/a-knights-dream/Item/equip_armor_platemail_gauntlets_darether.webp</t>
  </si>
  <si>
    <t>dar'ether Platemail Greaves</t>
  </si>
  <si>
    <t>modules/a-knights-dream/Item/equip_armor_platemail_greaves_darether.webp</t>
  </si>
  <si>
    <t>dar'ether Platemail Helmet</t>
  </si>
  <si>
    <t>modules/a-knights-dream/Item/equip_armor_platemail_helmet_darether.webp</t>
  </si>
  <si>
    <t>dar'ether Platemail Pauldron</t>
  </si>
  <si>
    <t>modules/a-knights-dream/Item/equip_armor_platemail_pauldron_darether.webp</t>
  </si>
  <si>
    <t>dar'ether Tunic Cuirass</t>
  </si>
  <si>
    <t>modules/a-knights-dream/Item/equip_armor_tunic_cuirass_darether.webp</t>
  </si>
  <si>
    <t>dar'ether Tunic Gauntlets</t>
  </si>
  <si>
    <t>modules/a-knights-dream/Item/equip_armor_tunic_gauntlets_darether.webp</t>
  </si>
  <si>
    <t>dar'ether Tunic Greaves</t>
  </si>
  <si>
    <t>modules/a-knights-dream/Item/equip_armor_tunic_greaves_darether.webp</t>
  </si>
  <si>
    <t>dar'ether Tunic Helmet</t>
  </si>
  <si>
    <t>modules/a-knights-dream/Item/equip_armor_tunic_helmet_darether.webp</t>
  </si>
  <si>
    <t>dar'ether Tunic Pauldron</t>
  </si>
  <si>
    <t>modules/a-knights-dream/Item/equip_armor_tunic_pauldron_darether.webp</t>
  </si>
  <si>
    <t>dar'ether Buckler Shield</t>
  </si>
  <si>
    <t>modules/a-knights-dream/Item/equip_armor_shield_buckler_darether.webp</t>
  </si>
  <si>
    <t>dar'ether Heater Shield</t>
  </si>
  <si>
    <t>modules/a-knights-dream/Item/equip_armor_shield_heater_darether.webp</t>
  </si>
  <si>
    <t>dar'ether Kite Shield</t>
  </si>
  <si>
    <t>modules/a-knights-dream/Item/equip_armor_shield_kite_darether.webp</t>
  </si>
  <si>
    <t>dar'ether Oval Shield</t>
  </si>
  <si>
    <t>modules/a-knights-dream/Item/equip_armor_shield_oval_darether.webp</t>
  </si>
  <si>
    <t>dar'ether Round Shield</t>
  </si>
  <si>
    <t>modules/a-knights-dream/Item/equip_armor_shield_round_darether.webp</t>
  </si>
  <si>
    <t>dar'ether Tower Shield</t>
  </si>
  <si>
    <t>modules/a-knights-dream/Item/equip_armor_shield_tower_darether.webp</t>
  </si>
  <si>
    <t>Glass</t>
  </si>
  <si>
    <t>Amber</t>
  </si>
  <si>
    <t>Amber Ball Bearings</t>
  </si>
  <si>
    <t>modules/a-knights-dream/Item/equip_weapon_bearings_amber.webp</t>
  </si>
  <si>
    <t>Amber Bardiche</t>
  </si>
  <si>
    <t>modules/a-knights-dream/Item/equip_weapon_bardiche_amber.webp</t>
  </si>
  <si>
    <t>Amber Bastard Sword</t>
  </si>
  <si>
    <t>modules/a-knights-dream/Item/equip_weapon_sword_bastard_amber.webp</t>
  </si>
  <si>
    <t>Amber Battle Axe</t>
  </si>
  <si>
    <t>modules/a-knights-dream/Item/equip_weapon_axe_battle_amber.webp</t>
  </si>
  <si>
    <t>Amber Blowgun</t>
  </si>
  <si>
    <t>modules/a-knights-dream/Item/equip_weapon_blowgun_amber.webp</t>
  </si>
  <si>
    <t>Amber Bolt</t>
  </si>
  <si>
    <t>modules/a-knights-dream/Item/equip_weapon_bolt_amber.webp</t>
  </si>
  <si>
    <t>Amber Boomerang</t>
  </si>
  <si>
    <t>modules/a-knights-dream/Item/equip_weapon_boomerang_amber.webp</t>
  </si>
  <si>
    <t>Amber Bow</t>
  </si>
  <si>
    <t>modules/a-knights-dream/Item/equip_weapon_bow_amber.webp</t>
  </si>
  <si>
    <t>Amber Caltrops</t>
  </si>
  <si>
    <t>modules/a-knights-dream/Item/equip_weapon_caltrops_amber.webp</t>
  </si>
  <si>
    <t>Amber Cestus</t>
  </si>
  <si>
    <t>modules/a-knights-dream/Item/equip_weapon_cestus_amber.webp</t>
  </si>
  <si>
    <t>Amber Chain</t>
  </si>
  <si>
    <t>modules/a-knights-dream/Item/equip_weapon_chain_amber.webp</t>
  </si>
  <si>
    <t>Amber Claymore</t>
  </si>
  <si>
    <t>modules/a-knights-dream/Item/equip_weapon_claymore_amber.webp</t>
  </si>
  <si>
    <t>Amber Club</t>
  </si>
  <si>
    <t>modules/a-knights-dream/Item/equip_weapon_club_amber.webp</t>
  </si>
  <si>
    <t>Amber Compound Bow</t>
  </si>
  <si>
    <t>modules/a-knights-dream/Item/equip_weapon_bow_compound_amber.webp</t>
  </si>
  <si>
    <t>Amber Cutlass</t>
  </si>
  <si>
    <t>modules/a-knights-dream/Item/equip_weapon_cutlass_amber.webp</t>
  </si>
  <si>
    <t>Amber Dagger</t>
  </si>
  <si>
    <t>modules/a-knights-dream/Item/equip_weapon_dagger_amber.webp</t>
  </si>
  <si>
    <t>Amber Dart</t>
  </si>
  <si>
    <t>modules/a-knights-dream/Item/equip_weapon_dart_amber.webp</t>
  </si>
  <si>
    <t>Amber Fauchard Scythe</t>
  </si>
  <si>
    <t>modules/a-knights-dream/Item/equip_weapon_scythe_fauchard_amber.webp</t>
  </si>
  <si>
    <t>Amber Flail</t>
  </si>
  <si>
    <t>modules/a-knights-dream/Item/equip_weapon_flail_amber.webp</t>
  </si>
  <si>
    <t>Amber Glaive</t>
  </si>
  <si>
    <t>modules/a-knights-dream/Item/equip_weapon_glaive_amber.webp</t>
  </si>
  <si>
    <t>Amber Grapple Hook</t>
  </si>
  <si>
    <t>modules/a-knights-dream/Item/equip_weapon_hook_grapple_amber.webp</t>
  </si>
  <si>
    <t>Amber Great Axe</t>
  </si>
  <si>
    <t>modules/a-knights-dream/Item/equip_weapon_axe_great_amber.webp</t>
  </si>
  <si>
    <t>Amber Great Club</t>
  </si>
  <si>
    <t>modules/a-knights-dream/Item/equip_weapon_club_great_amber.webp</t>
  </si>
  <si>
    <t>Amber Great Khyber</t>
  </si>
  <si>
    <t>modules/a-knights-dream/Item/equip_weapon_khyber_great_amber.webp</t>
  </si>
  <si>
    <t>Amber Great Konda</t>
  </si>
  <si>
    <t>modules/a-knights-dream/Item/equip_weapon_konda_great_amber.webp</t>
  </si>
  <si>
    <t>Amber Great Labrys</t>
  </si>
  <si>
    <t>modules/a-knights-dream/Item/equip_weapon_axe_labrys_great_amber.webp</t>
  </si>
  <si>
    <t>Amber Great Mace</t>
  </si>
  <si>
    <t>modules/a-knights-dream/Item/equip_weapon_mace_great_amber.webp</t>
  </si>
  <si>
    <t>Amber Great Tapal</t>
  </si>
  <si>
    <t>modules/a-knights-dream/Item/equip_weapon_tapal_great_amber.webp</t>
  </si>
  <si>
    <t>Amber Great War Bow</t>
  </si>
  <si>
    <t>modules/a-knights-dream/Item/equip_weapon_bow_war_great_amber.webp</t>
  </si>
  <si>
    <t>Amber Great War Hammer</t>
  </si>
  <si>
    <t>modules/a-knights-dream/Item/equip_weapon_hammer_war_great_amber.webp</t>
  </si>
  <si>
    <t>Amber Great War Pick</t>
  </si>
  <si>
    <t>modules/a-knights-dream/Item/equip_weapon_pick_war_great_amber.webp</t>
  </si>
  <si>
    <t>Amber Guisarme</t>
  </si>
  <si>
    <t>modules/a-knights-dream/Item/equip_weapon_guisarme_amber.webp</t>
  </si>
  <si>
    <t>Amber Halberd</t>
  </si>
  <si>
    <t>modules/a-knights-dream/Item/equip_weapon_halberd_amber.webp</t>
  </si>
  <si>
    <t>Amber Hand Crossbow</t>
  </si>
  <si>
    <t>modules/a-knights-dream/Item/equip_weapon_crossbow_hand_amber.webp</t>
  </si>
  <si>
    <t>Amber Hand axe</t>
  </si>
  <si>
    <t>modules/a-knights-dream/Item/equip_weapon_axe_hand_amber.webp</t>
  </si>
  <si>
    <t>Amber Heavy Crossbow</t>
  </si>
  <si>
    <t>modules/a-knights-dream/Item/equip_weapon_crossbow_heavy_amber.webp</t>
  </si>
  <si>
    <t>Amber Hunting Trap</t>
  </si>
  <si>
    <t>modules/a-knights-dream/Item/equip_weapon_trap_hunting_amber.webp</t>
  </si>
  <si>
    <t>Amber Hunting Trap (Large)</t>
  </si>
  <si>
    <t>modules/a-knights-dream/Item/equip_weapon_trap_hunting_large_amber.webp</t>
  </si>
  <si>
    <t>Amber Hunting Trap (Small)</t>
  </si>
  <si>
    <t>modules/a-knights-dream/Item/equip_weapon_trap_hunting_small_amber.webp</t>
  </si>
  <si>
    <t>Amber Javelin</t>
  </si>
  <si>
    <t>modules/a-knights-dream/Item/equip_weapon_javelin_amber.webp</t>
  </si>
  <si>
    <t>Amber Khpesh</t>
  </si>
  <si>
    <t>modules/a-knights-dream/Item/equip_weapon_khpesh_amber.webp</t>
  </si>
  <si>
    <t>Amber Khyber</t>
  </si>
  <si>
    <t>modules/a-knights-dream/Item/equip_weapon_khyber_amber.webp</t>
  </si>
  <si>
    <t>Amber Konda</t>
  </si>
  <si>
    <t>modules/a-knights-dream/Item/equip_weapon_konda_amber.webp</t>
  </si>
  <si>
    <t>Amber Labrys</t>
  </si>
  <si>
    <t>modules/a-knights-dream/Item/equip_weapon_axe_labrys_amber.webp</t>
  </si>
  <si>
    <t>Amber Lance</t>
  </si>
  <si>
    <t>modules/a-knights-dream/Item/equip_weapon_lance_amber.webp</t>
  </si>
  <si>
    <t>Amber Light Crossbow</t>
  </si>
  <si>
    <t>modules/a-knights-dream/Item/equip_weapon_crossbow_light_amber.webp</t>
  </si>
  <si>
    <t>Amber Long Bow</t>
  </si>
  <si>
    <t>modules/a-knights-dream/Item/equip_weapon_bow_long_amber.webp</t>
  </si>
  <si>
    <t>Amber Long Spear</t>
  </si>
  <si>
    <t>modules/a-knights-dream/Item/equip_weapon_spear_long_amber.webp</t>
  </si>
  <si>
    <t>Amber Lucerince Hammer</t>
  </si>
  <si>
    <t>modules/a-knights-dream/Item/equip_weapon_hammer_lucerince_amber.webp</t>
  </si>
  <si>
    <t>Amber Mace</t>
  </si>
  <si>
    <t>modules/a-knights-dream/Item/equip_weapon_mace_amber.webp</t>
  </si>
  <si>
    <t>Amber Morningstar</t>
  </si>
  <si>
    <t>modules/a-knights-dream/Item/equip_weapon_morningstar_amber.webp</t>
  </si>
  <si>
    <t>Amber Pike</t>
  </si>
  <si>
    <t>modules/a-knights-dream/Item/equip_weapon_pike_amber.webp</t>
  </si>
  <si>
    <t>Amber Quarter Staff</t>
  </si>
  <si>
    <t>modules/a-knights-dream/Item/equip_weapon_staff_quarter_amber.webp</t>
  </si>
  <si>
    <t>Amber Ranseur</t>
  </si>
  <si>
    <t>modules/a-knights-dream/Item/equip_weapon_ranseur_amber.webp</t>
  </si>
  <si>
    <t>Amber Rapier</t>
  </si>
  <si>
    <t>modules/a-knights-dream/Item/equip_weapon_rapier_amber.webp</t>
  </si>
  <si>
    <t>Amber Recurve Bow</t>
  </si>
  <si>
    <t>modules/a-knights-dream/Item/equip_weapon_bow_recurve_amber.webp</t>
  </si>
  <si>
    <t>Amber Repeater Crossbow</t>
  </si>
  <si>
    <t>modules/a-knights-dream/Item/equip_weapon_crossbow_repeater_amber.webp</t>
  </si>
  <si>
    <t>Amber Sabre</t>
  </si>
  <si>
    <t>modules/a-knights-dream/Item/equip_weapon_sabre_amber.webp</t>
  </si>
  <si>
    <t>Amber Scimitar</t>
  </si>
  <si>
    <t>modules/a-knights-dream/Item/equip_weapon_scimitar_amber.webp</t>
  </si>
  <si>
    <t>Amber Scythe</t>
  </si>
  <si>
    <t>modules/a-knights-dream/Item/equip_weapon_scythe_amber.webp</t>
  </si>
  <si>
    <t>Amber Short Bow</t>
  </si>
  <si>
    <t>modules/a-knights-dream/Item/equip_weapon_bow_short_amber.webp</t>
  </si>
  <si>
    <t>Amber Short Spear</t>
  </si>
  <si>
    <t>modules/a-knights-dream/Item/equip_weapon_spear_short_amber.webp</t>
  </si>
  <si>
    <t>Amber Short Sword</t>
  </si>
  <si>
    <t>modules/a-knights-dream/Item/equip_weapon_sword_short_amber.webp</t>
  </si>
  <si>
    <t>Amber Shotel</t>
  </si>
  <si>
    <t>modules/a-knights-dream/Item/equip_weapon_shotel_amber.webp</t>
  </si>
  <si>
    <t>Amber Sickle</t>
  </si>
  <si>
    <t>modules/a-knights-dream/Item/equip_weapon_sickle_amber.webp</t>
  </si>
  <si>
    <t>Amber Sling</t>
  </si>
  <si>
    <t>modules/a-knights-dream/Item/equip_weapon_sling_amber.webp</t>
  </si>
  <si>
    <t>Amber Staff</t>
  </si>
  <si>
    <t>modules/a-knights-dream/Item/equip_weapon_staff_amber.webp</t>
  </si>
  <si>
    <t>Amber Staff Sling</t>
  </si>
  <si>
    <t>modules/a-knights-dream/Item/equip_weapon_sling_staff_amber.webp</t>
  </si>
  <si>
    <t>Amber Sword</t>
  </si>
  <si>
    <t>modules/a-knights-dream/Item/equip_weapon_sword_amber.webp</t>
  </si>
  <si>
    <t>Amber Tapal</t>
  </si>
  <si>
    <t>modules/a-knights-dream/Item/equip_weapon_tapal_amber.webp</t>
  </si>
  <si>
    <t>Amber Trident</t>
  </si>
  <si>
    <t>modules/a-knights-dream/Item/equip_weapon_trident_amber.webp</t>
  </si>
  <si>
    <t>Amber War Hammer</t>
  </si>
  <si>
    <t>modules/a-knights-dream/Item/equip_weapon_hammer_war_amber.webp</t>
  </si>
  <si>
    <t>Amber War Pick</t>
  </si>
  <si>
    <t>modules/a-knights-dream/Item/equip_weapon_pick_war_amber.webp</t>
  </si>
  <si>
    <t>Amber Brigantine Cuirass</t>
  </si>
  <si>
    <t>modules/a-knights-dream/Item/equip_armor_brigantine_cuirass_amber.webp</t>
  </si>
  <si>
    <t>Amber Brigantine Gauntlets</t>
  </si>
  <si>
    <t>modules/a-knights-dream/Item/equip_armor_brigantine_gauntlets_amber.webp</t>
  </si>
  <si>
    <t>Amber Brigantine Greaves</t>
  </si>
  <si>
    <t>modules/a-knights-dream/Item/equip_armor_brigantine_greaves_amber.webp</t>
  </si>
  <si>
    <t>Amber Brigantine Helmet</t>
  </si>
  <si>
    <t>modules/a-knights-dream/Item/equip_armor_brigantine_helmet_amber.webp</t>
  </si>
  <si>
    <t>Amber Brigantine Pauldron</t>
  </si>
  <si>
    <t>modules/a-knights-dream/Item/equip_armor_brigantine_pauldron_amber.webp</t>
  </si>
  <si>
    <t>Amber Chainmail Cuirass</t>
  </si>
  <si>
    <t>modules/a-knights-dream/Item/equip_armor_chainmail_cuirass_amber.webp</t>
  </si>
  <si>
    <t>Amber Chainmail Gauntlets</t>
  </si>
  <si>
    <t>modules/a-knights-dream/Item/equip_armor_chainmail_gauntlets_amber.webp</t>
  </si>
  <si>
    <t>Amber Chainmail Greaves</t>
  </si>
  <si>
    <t>modules/a-knights-dream/Item/equip_armor_chainmail_greaves_amber.webp</t>
  </si>
  <si>
    <t>Amber Chainmail Helmet</t>
  </si>
  <si>
    <t>modules/a-knights-dream/Item/equip_armor_chainmail_helmet_amber.webp</t>
  </si>
  <si>
    <t>Amber Chainmail Pauldron</t>
  </si>
  <si>
    <t>modules/a-knights-dream/Item/equip_armor_chainmail_pauldron_amber.webp</t>
  </si>
  <si>
    <t>Amber Gamberson Cuirass</t>
  </si>
  <si>
    <t>modules/a-knights-dream/Item/equip_armor_gamberson_cuirass_amber.webp</t>
  </si>
  <si>
    <t>Amber Gamberson Gauntlets</t>
  </si>
  <si>
    <t>modules/a-knights-dream/Item/equip_armor_gamberson_gauntlets_amber.webp</t>
  </si>
  <si>
    <t>Amber Gamberson Greaves</t>
  </si>
  <si>
    <t>modules/a-knights-dream/Item/equip_armor_gamberson_greaves_amber.webp</t>
  </si>
  <si>
    <t>Amber Gamberson Helmet</t>
  </si>
  <si>
    <t>modules/a-knights-dream/Item/equip_armor_gamberson_helmet_amber.webp</t>
  </si>
  <si>
    <t>Amber Gamberson Pauldron</t>
  </si>
  <si>
    <t>modules/a-knights-dream/Item/equip_armor_gamberson_pauldron_amber.webp</t>
  </si>
  <si>
    <t>Amber Hauberk Cuirass</t>
  </si>
  <si>
    <t>modules/a-knights-dream/Item/equip_armor_hauberk_cuirass_amber.webp</t>
  </si>
  <si>
    <t>Amber Hauberk Gauntlets</t>
  </si>
  <si>
    <t>modules/a-knights-dream/Item/equip_armor_hauberk_gauntlets_amber.webp</t>
  </si>
  <si>
    <t>Amber Hauberk Greaves</t>
  </si>
  <si>
    <t>modules/a-knights-dream/Item/equip_armor_hauberk_greaves_amber.webp</t>
  </si>
  <si>
    <t>Amber Hauberk Helmet</t>
  </si>
  <si>
    <t>modules/a-knights-dream/Item/equip_armor_hauberk_helmet_amber.webp</t>
  </si>
  <si>
    <t>Amber Hauberk Pauldron</t>
  </si>
  <si>
    <t>modules/a-knights-dream/Item/equip_armor_hauberk_pauldron_amber.webp</t>
  </si>
  <si>
    <t>Amber Jack Cuirass</t>
  </si>
  <si>
    <t>modules/a-knights-dream/Item/equip_armor_jack_cuirass_amber.webp</t>
  </si>
  <si>
    <t>Amber Jack Gauntlets</t>
  </si>
  <si>
    <t>modules/a-knights-dream/Item/equip_armor_jack_gauntlets_amber.webp</t>
  </si>
  <si>
    <t>Amber Jack Greaves</t>
  </si>
  <si>
    <t>modules/a-knights-dream/Item/equip_armor_jack_greaves_amber.webp</t>
  </si>
  <si>
    <t>Amber Jack Helmet</t>
  </si>
  <si>
    <t>modules/a-knights-dream/Item/equip_armor_jack_helmet_amber.webp</t>
  </si>
  <si>
    <t>Amber Jack Pauldron</t>
  </si>
  <si>
    <t>modules/a-knights-dream/Item/equip_armor_jack_pauldron_amber.webp</t>
  </si>
  <si>
    <t>Amber Lamellar Cuirass</t>
  </si>
  <si>
    <t>modules/a-knights-dream/Item/equip_armor_lamellar_cuirass_amber.webp</t>
  </si>
  <si>
    <t>Amber Lamellar Gauntlets</t>
  </si>
  <si>
    <t>modules/a-knights-dream/Item/equip_armor_lamellar_gauntlets_amber.webp</t>
  </si>
  <si>
    <t>Amber Lamellar Greaves</t>
  </si>
  <si>
    <t>modules/a-knights-dream/Item/equip_armor_lamellar_greaves_amber.webp</t>
  </si>
  <si>
    <t>Amber Lamellar Helmet</t>
  </si>
  <si>
    <t>modules/a-knights-dream/Item/equip_armor_lamellar_helmet_amber.webp</t>
  </si>
  <si>
    <t>Amber Lamellar Pauldron</t>
  </si>
  <si>
    <t>modules/a-knights-dream/Item/equip_armor_lamellar_pauldron_amber.webp</t>
  </si>
  <si>
    <t>Amber Platemail Cuirass</t>
  </si>
  <si>
    <t>modules/a-knights-dream/Item/equip_armor_platemail_cuirass_amber.webp</t>
  </si>
  <si>
    <t>Amber Platemail Gauntlets</t>
  </si>
  <si>
    <t>modules/a-knights-dream/Item/equip_armor_platemail_gauntlets_amber.webp</t>
  </si>
  <si>
    <t>Amber Platemail Greaves</t>
  </si>
  <si>
    <t>modules/a-knights-dream/Item/equip_armor_platemail_greaves_amber.webp</t>
  </si>
  <si>
    <t>Amber Platemail Helmet</t>
  </si>
  <si>
    <t>modules/a-knights-dream/Item/equip_armor_platemail_helmet_amber.webp</t>
  </si>
  <si>
    <t>Amber Platemail Pauldron</t>
  </si>
  <si>
    <t>modules/a-knights-dream/Item/equip_armor_platemail_pauldron_amber.webp</t>
  </si>
  <si>
    <t>Amber Tunic Cuirass</t>
  </si>
  <si>
    <t>modules/a-knights-dream/Item/equip_armor_tunic_cuirass_amber.webp</t>
  </si>
  <si>
    <t>Amber Tunic Gauntlets</t>
  </si>
  <si>
    <t>modules/a-knights-dream/Item/equip_armor_tunic_gauntlets_amber.webp</t>
  </si>
  <si>
    <t>Amber Tunic Greaves</t>
  </si>
  <si>
    <t>modules/a-knights-dream/Item/equip_armor_tunic_greaves_amber.webp</t>
  </si>
  <si>
    <t>Amber Tunic Helmet</t>
  </si>
  <si>
    <t>modules/a-knights-dream/Item/equip_armor_tunic_helmet_amber.webp</t>
  </si>
  <si>
    <t>Amber Tunic Pauldron</t>
  </si>
  <si>
    <t>modules/a-knights-dream/Item/equip_armor_tunic_pauldron_amber.webp</t>
  </si>
  <si>
    <t>Amber Buckler Shield</t>
  </si>
  <si>
    <t>modules/a-knights-dream/Item/equip_armor_shield_buckler_amber.webp</t>
  </si>
  <si>
    <t>Amber Heater Shield</t>
  </si>
  <si>
    <t>modules/a-knights-dream/Item/equip_armor_shield_heater_amber.webp</t>
  </si>
  <si>
    <t>Amber Kite Shield</t>
  </si>
  <si>
    <t>modules/a-knights-dream/Item/equip_armor_shield_kite_amber.webp</t>
  </si>
  <si>
    <t>Amber Oval Shield</t>
  </si>
  <si>
    <t>modules/a-knights-dream/Item/equip_armor_shield_oval_amber.webp</t>
  </si>
  <si>
    <t>Amber Round Shield</t>
  </si>
  <si>
    <t>modules/a-knights-dream/Item/equip_armor_shield_round_amber.webp</t>
  </si>
  <si>
    <t>Amber Tower Shield</t>
  </si>
  <si>
    <t>modules/a-knights-dream/Item/equip_armor_shield_tower_amber.webp</t>
  </si>
  <si>
    <t>Beskar</t>
  </si>
  <si>
    <t>Beskar Ball Bearings</t>
  </si>
  <si>
    <t>modules/a-knights-dream/Item/equip_weapon_bearings_beskar.webp</t>
  </si>
  <si>
    <t>Beskar Bardiche</t>
  </si>
  <si>
    <t>modules/a-knights-dream/Item/equip_weapon_bardiche_beskar.webp</t>
  </si>
  <si>
    <t>Beskar Bastard Sword</t>
  </si>
  <si>
    <t>modules/a-knights-dream/Item/equip_weapon_sword_bastard_beskar.webp</t>
  </si>
  <si>
    <t>Beskar Battle Axe</t>
  </si>
  <si>
    <t>modules/a-knights-dream/Item/equip_weapon_axe_battle_beskar.webp</t>
  </si>
  <si>
    <t>Beskar Blowgun</t>
  </si>
  <si>
    <t>modules/a-knights-dream/Item/equip_weapon_blowgun_beskar.webp</t>
  </si>
  <si>
    <t>Beskar Bolt</t>
  </si>
  <si>
    <t>modules/a-knights-dream/Item/equip_weapon_bolt_beskar.webp</t>
  </si>
  <si>
    <t>Beskar Boomerang</t>
  </si>
  <si>
    <t>modules/a-knights-dream/Item/equip_weapon_boomerang_beskar.webp</t>
  </si>
  <si>
    <t>Beskar Bow</t>
  </si>
  <si>
    <t>modules/a-knights-dream/Item/equip_weapon_bow_beskar.webp</t>
  </si>
  <si>
    <t>Beskar Caltrops</t>
  </si>
  <si>
    <t>modules/a-knights-dream/Item/equip_weapon_caltrops_beskar.webp</t>
  </si>
  <si>
    <t>Beskar Cestus</t>
  </si>
  <si>
    <t>modules/a-knights-dream/Item/equip_weapon_cestus_beskar.webp</t>
  </si>
  <si>
    <t>Beskar Chain</t>
  </si>
  <si>
    <t>modules/a-knights-dream/Item/equip_weapon_chain_beskar.webp</t>
  </si>
  <si>
    <t>Beskar Claymore</t>
  </si>
  <si>
    <t>modules/a-knights-dream/Item/equip_weapon_claymore_beskar.webp</t>
  </si>
  <si>
    <t>Beskar Club</t>
  </si>
  <si>
    <t>modules/a-knights-dream/Item/equip_weapon_club_beskar.webp</t>
  </si>
  <si>
    <t>Beskar Compound Bow</t>
  </si>
  <si>
    <t>modules/a-knights-dream/Item/equip_weapon_bow_compound_beskar.webp</t>
  </si>
  <si>
    <t>Beskar Cutlass</t>
  </si>
  <si>
    <t>modules/a-knights-dream/Item/equip_weapon_cutlass_beskar.webp</t>
  </si>
  <si>
    <t>Beskar Dagger</t>
  </si>
  <si>
    <t>modules/a-knights-dream/Item/equip_weapon_dagger_beskar.webp</t>
  </si>
  <si>
    <t>Beskar Dart</t>
  </si>
  <si>
    <t>modules/a-knights-dream/Item/equip_weapon_dart_beskar.webp</t>
  </si>
  <si>
    <t>Beskar Fauchard Scythe</t>
  </si>
  <si>
    <t>modules/a-knights-dream/Item/equip_weapon_scythe_fauchard_beskar.webp</t>
  </si>
  <si>
    <t>Beskar Flail</t>
  </si>
  <si>
    <t>modules/a-knights-dream/Item/equip_weapon_flail_beskar.webp</t>
  </si>
  <si>
    <t>Beskar Glaive</t>
  </si>
  <si>
    <t>modules/a-knights-dream/Item/equip_weapon_glaive_beskar.webp</t>
  </si>
  <si>
    <t>Beskar Grapple Hook</t>
  </si>
  <si>
    <t>modules/a-knights-dream/Item/equip_weapon_hook_grapple_beskar.webp</t>
  </si>
  <si>
    <t>Beskar Great Axe</t>
  </si>
  <si>
    <t>modules/a-knights-dream/Item/equip_weapon_axe_great_beskar.webp</t>
  </si>
  <si>
    <t>Beskar Great Club</t>
  </si>
  <si>
    <t>modules/a-knights-dream/Item/equip_weapon_club_great_beskar.webp</t>
  </si>
  <si>
    <t>Beskar Great Khyber</t>
  </si>
  <si>
    <t>modules/a-knights-dream/Item/equip_weapon_khyber_great_beskar.webp</t>
  </si>
  <si>
    <t>Beskar Great Konda</t>
  </si>
  <si>
    <t>modules/a-knights-dream/Item/equip_weapon_konda_great_beskar.webp</t>
  </si>
  <si>
    <t>Beskar Great Labrys</t>
  </si>
  <si>
    <t>modules/a-knights-dream/Item/equip_weapon_axe_labrys_great_beskar.webp</t>
  </si>
  <si>
    <t>Beskar Great Mace</t>
  </si>
  <si>
    <t>modules/a-knights-dream/Item/equip_weapon_mace_great_beskar.webp</t>
  </si>
  <si>
    <t>Beskar Great Tapal</t>
  </si>
  <si>
    <t>modules/a-knights-dream/Item/equip_weapon_tapal_great_beskar.webp</t>
  </si>
  <si>
    <t>Beskar Great War Bow</t>
  </si>
  <si>
    <t>modules/a-knights-dream/Item/equip_weapon_bow_war_great_beskar.webp</t>
  </si>
  <si>
    <t>Beskar Great War Hammer</t>
  </si>
  <si>
    <t>modules/a-knights-dream/Item/equip_weapon_hammer_war_great_beskar.webp</t>
  </si>
  <si>
    <t>Beskar Great War Pick</t>
  </si>
  <si>
    <t>modules/a-knights-dream/Item/equip_weapon_pick_war_great_beskar.webp</t>
  </si>
  <si>
    <t>Beskar Guisarme</t>
  </si>
  <si>
    <t>modules/a-knights-dream/Item/equip_weapon_guisarme_beskar.webp</t>
  </si>
  <si>
    <t>Beskar Halberd</t>
  </si>
  <si>
    <t>modules/a-knights-dream/Item/equip_weapon_halberd_beskar.webp</t>
  </si>
  <si>
    <t>Beskar Hand Crossbow</t>
  </si>
  <si>
    <t>modules/a-knights-dream/Item/equip_weapon_crossbow_hand_beskar.webp</t>
  </si>
  <si>
    <t>Beskar Hand axe</t>
  </si>
  <si>
    <t>modules/a-knights-dream/Item/equip_weapon_axe_hand_beskar.webp</t>
  </si>
  <si>
    <t>Beskar Heavy Crossbow</t>
  </si>
  <si>
    <t>modules/a-knights-dream/Item/equip_weapon_crossbow_heavy_beskar.webp</t>
  </si>
  <si>
    <t>Beskar Hunting Trap</t>
  </si>
  <si>
    <t>modules/a-knights-dream/Item/equip_weapon_trap_hunting_beskar.webp</t>
  </si>
  <si>
    <t>Beskar Hunting Trap (Large)</t>
  </si>
  <si>
    <t>modules/a-knights-dream/Item/equip_weapon_trap_hunting_large_beskar.webp</t>
  </si>
  <si>
    <t>Beskar Hunting Trap (Small)</t>
  </si>
  <si>
    <t>modules/a-knights-dream/Item/equip_weapon_trap_hunting_small_beskar.webp</t>
  </si>
  <si>
    <t>Beskar Javelin</t>
  </si>
  <si>
    <t>modules/a-knights-dream/Item/equip_weapon_javelin_beskar.webp</t>
  </si>
  <si>
    <t>Beskar Khpesh</t>
  </si>
  <si>
    <t>modules/a-knights-dream/Item/equip_weapon_khpesh_beskar.webp</t>
  </si>
  <si>
    <t>Beskar Khyber</t>
  </si>
  <si>
    <t>modules/a-knights-dream/Item/equip_weapon_khyber_beskar.webp</t>
  </si>
  <si>
    <t>Beskar Konda</t>
  </si>
  <si>
    <t>modules/a-knights-dream/Item/equip_weapon_konda_beskar.webp</t>
  </si>
  <si>
    <t>Beskar Labrys</t>
  </si>
  <si>
    <t>modules/a-knights-dream/Item/equip_weapon_axe_labrys_beskar.webp</t>
  </si>
  <si>
    <t>Beskar Lance</t>
  </si>
  <si>
    <t>modules/a-knights-dream/Item/equip_weapon_lance_beskar.webp</t>
  </si>
  <si>
    <t>Beskar Light Crossbow</t>
  </si>
  <si>
    <t>modules/a-knights-dream/Item/equip_weapon_crossbow_light_beskar.webp</t>
  </si>
  <si>
    <t>Beskar Long Bow</t>
  </si>
  <si>
    <t>modules/a-knights-dream/Item/equip_weapon_bow_long_beskar.webp</t>
  </si>
  <si>
    <t>Beskar Long Spear</t>
  </si>
  <si>
    <t>modules/a-knights-dream/Item/equip_weapon_spear_long_beskar.webp</t>
  </si>
  <si>
    <t>Beskar Lucerince Hammer</t>
  </si>
  <si>
    <t>modules/a-knights-dream/Item/equip_weapon_hammer_lucerince_beskar.webp</t>
  </si>
  <si>
    <t>Beskar Mace</t>
  </si>
  <si>
    <t>modules/a-knights-dream/Item/equip_weapon_mace_beskar.webp</t>
  </si>
  <si>
    <t>Beskar Morningstar</t>
  </si>
  <si>
    <t>modules/a-knights-dream/Item/equip_weapon_morningstar_beskar.webp</t>
  </si>
  <si>
    <t>Beskar Pike</t>
  </si>
  <si>
    <t>modules/a-knights-dream/Item/equip_weapon_pike_beskar.webp</t>
  </si>
  <si>
    <t>Beskar Quarter Staff</t>
  </si>
  <si>
    <t>modules/a-knights-dream/Item/equip_weapon_staff_quarter_beskar.webp</t>
  </si>
  <si>
    <t>Beskar Ranseur</t>
  </si>
  <si>
    <t>modules/a-knights-dream/Item/equip_weapon_ranseur_beskar.webp</t>
  </si>
  <si>
    <t>Beskar Rapier</t>
  </si>
  <si>
    <t>modules/a-knights-dream/Item/equip_weapon_rapier_beskar.webp</t>
  </si>
  <si>
    <t>Beskar Recurve Bow</t>
  </si>
  <si>
    <t>modules/a-knights-dream/Item/equip_weapon_bow_recurve_beskar.webp</t>
  </si>
  <si>
    <t>Beskar Repeater Crossbow</t>
  </si>
  <si>
    <t>modules/a-knights-dream/Item/equip_weapon_crossbow_repeater_beskar.webp</t>
  </si>
  <si>
    <t>Beskar Sabre</t>
  </si>
  <si>
    <t>modules/a-knights-dream/Item/equip_weapon_sabre_beskar.webp</t>
  </si>
  <si>
    <t>Beskar Scimitar</t>
  </si>
  <si>
    <t>modules/a-knights-dream/Item/equip_weapon_scimitar_beskar.webp</t>
  </si>
  <si>
    <t>Beskar Scythe</t>
  </si>
  <si>
    <t>modules/a-knights-dream/Item/equip_weapon_scythe_beskar.webp</t>
  </si>
  <si>
    <t>Beskar Short Bow</t>
  </si>
  <si>
    <t>modules/a-knights-dream/Item/equip_weapon_bow_short_beskar.webp</t>
  </si>
  <si>
    <t>Beskar Short Spear</t>
  </si>
  <si>
    <t>modules/a-knights-dream/Item/equip_weapon_spear_short_beskar.webp</t>
  </si>
  <si>
    <t>Beskar Short Sword</t>
  </si>
  <si>
    <t>modules/a-knights-dream/Item/equip_weapon_sword_short_beskar.webp</t>
  </si>
  <si>
    <t>Beskar Shotel</t>
  </si>
  <si>
    <t>modules/a-knights-dream/Item/equip_weapon_shotel_beskar.webp</t>
  </si>
  <si>
    <t>Beskar Sickle</t>
  </si>
  <si>
    <t>modules/a-knights-dream/Item/equip_weapon_sickle_beskar.webp</t>
  </si>
  <si>
    <t>Beskar Sling</t>
  </si>
  <si>
    <t>modules/a-knights-dream/Item/equip_weapon_sling_beskar.webp</t>
  </si>
  <si>
    <t>Beskar Staff</t>
  </si>
  <si>
    <t>modules/a-knights-dream/Item/equip_weapon_staff_beskar.webp</t>
  </si>
  <si>
    <t>Beskar Staff Sling</t>
  </si>
  <si>
    <t>modules/a-knights-dream/Item/equip_weapon_sling_staff_beskar.webp</t>
  </si>
  <si>
    <t>Beskar Sword</t>
  </si>
  <si>
    <t>modules/a-knights-dream/Item/equip_weapon_sword_beskar.webp</t>
  </si>
  <si>
    <t>Beskar Tapal</t>
  </si>
  <si>
    <t>modules/a-knights-dream/Item/equip_weapon_tapal_beskar.webp</t>
  </si>
  <si>
    <t>Beskar Trident</t>
  </si>
  <si>
    <t>modules/a-knights-dream/Item/equip_weapon_trident_beskar.webp</t>
  </si>
  <si>
    <t>Beskar War Hammer</t>
  </si>
  <si>
    <t>modules/a-knights-dream/Item/equip_weapon_hammer_war_beskar.webp</t>
  </si>
  <si>
    <t>Beskar War Pick</t>
  </si>
  <si>
    <t>modules/a-knights-dream/Item/equip_weapon_pick_war_beskar.webp</t>
  </si>
  <si>
    <t>Beskar Brigantine Cuirass</t>
  </si>
  <si>
    <t>modules/a-knights-dream/Item/equip_armor_brigantine_cuirass_beskar.webp</t>
  </si>
  <si>
    <t>Beskar Brigantine Gauntlets</t>
  </si>
  <si>
    <t>modules/a-knights-dream/Item/equip_armor_brigantine_gauntlets_beskar.webp</t>
  </si>
  <si>
    <t>Beskar Brigantine Greaves</t>
  </si>
  <si>
    <t>modules/a-knights-dream/Item/equip_armor_brigantine_greaves_beskar.webp</t>
  </si>
  <si>
    <t>Beskar Brigantine Helmet</t>
  </si>
  <si>
    <t>modules/a-knights-dream/Item/equip_armor_brigantine_helmet_beskar.webp</t>
  </si>
  <si>
    <t>Beskar Brigantine Pauldron</t>
  </si>
  <si>
    <t>modules/a-knights-dream/Item/equip_armor_brigantine_pauldron_beskar.webp</t>
  </si>
  <si>
    <t>Beskar Chainmail Cuirass</t>
  </si>
  <si>
    <t>modules/a-knights-dream/Item/equip_armor_chainmail_cuirass_beskar.webp</t>
  </si>
  <si>
    <t>Beskar Chainmail Gauntlets</t>
  </si>
  <si>
    <t>modules/a-knights-dream/Item/equip_armor_chainmail_gauntlets_beskar.webp</t>
  </si>
  <si>
    <t>Beskar Chainmail Greaves</t>
  </si>
  <si>
    <t>modules/a-knights-dream/Item/equip_armor_chainmail_greaves_beskar.webp</t>
  </si>
  <si>
    <t>Beskar Chainmail Helmet</t>
  </si>
  <si>
    <t>modules/a-knights-dream/Item/equip_armor_chainmail_helmet_beskar.webp</t>
  </si>
  <si>
    <t>Beskar Chainmail Pauldron</t>
  </si>
  <si>
    <t>modules/a-knights-dream/Item/equip_armor_chainmail_pauldron_beskar.webp</t>
  </si>
  <si>
    <t>Beskar Gamberson Cuirass</t>
  </si>
  <si>
    <t>modules/a-knights-dream/Item/equip_armor_gamberson_cuirass_beskar.webp</t>
  </si>
  <si>
    <t>Beskar Gamberson Gauntlets</t>
  </si>
  <si>
    <t>modules/a-knights-dream/Item/equip_armor_gamberson_gauntlets_beskar.webp</t>
  </si>
  <si>
    <t>Beskar Gamberson Greaves</t>
  </si>
  <si>
    <t>modules/a-knights-dream/Item/equip_armor_gamberson_greaves_beskar.webp</t>
  </si>
  <si>
    <t>Beskar Gamberson Helmet</t>
  </si>
  <si>
    <t>modules/a-knights-dream/Item/equip_armor_gamberson_helmet_beskar.webp</t>
  </si>
  <si>
    <t>Beskar Gamberson Pauldron</t>
  </si>
  <si>
    <t>modules/a-knights-dream/Item/equip_armor_gamberson_pauldron_beskar.webp</t>
  </si>
  <si>
    <t>Beskar Hauberk Cuirass</t>
  </si>
  <si>
    <t>modules/a-knights-dream/Item/equip_armor_hauberk_cuirass_beskar.webp</t>
  </si>
  <si>
    <t>Beskar Hauberk Gauntlets</t>
  </si>
  <si>
    <t>modules/a-knights-dream/Item/equip_armor_hauberk_gauntlets_beskar.webp</t>
  </si>
  <si>
    <t>Beskar Hauberk Greaves</t>
  </si>
  <si>
    <t>modules/a-knights-dream/Item/equip_armor_hauberk_greaves_beskar.webp</t>
  </si>
  <si>
    <t>Beskar Hauberk Helmet</t>
  </si>
  <si>
    <t>modules/a-knights-dream/Item/equip_armor_hauberk_helmet_beskar.webp</t>
  </si>
  <si>
    <t>Beskar Hauberk Pauldron</t>
  </si>
  <si>
    <t>modules/a-knights-dream/Item/equip_armor_hauberk_pauldron_beskar.webp</t>
  </si>
  <si>
    <t>Beskar Jack Cuirass</t>
  </si>
  <si>
    <t>modules/a-knights-dream/Item/equip_armor_jack_cuirass_beskar.webp</t>
  </si>
  <si>
    <t>Beskar Jack Gauntlets</t>
  </si>
  <si>
    <t>modules/a-knights-dream/Item/equip_armor_jack_gauntlets_beskar.webp</t>
  </si>
  <si>
    <t>Beskar Jack Greaves</t>
  </si>
  <si>
    <t>modules/a-knights-dream/Item/equip_armor_jack_greaves_beskar.webp</t>
  </si>
  <si>
    <t>Beskar Jack Helmet</t>
  </si>
  <si>
    <t>modules/a-knights-dream/Item/equip_armor_jack_helmet_beskar.webp</t>
  </si>
  <si>
    <t>Beskar Jack Pauldron</t>
  </si>
  <si>
    <t>modules/a-knights-dream/Item/equip_armor_jack_pauldron_beskar.webp</t>
  </si>
  <si>
    <t>Beskar Lamellar Cuirass</t>
  </si>
  <si>
    <t>modules/a-knights-dream/Item/equip_armor_lamellar_cuirass_beskar.webp</t>
  </si>
  <si>
    <t>Beskar Lamellar Gauntlets</t>
  </si>
  <si>
    <t>modules/a-knights-dream/Item/equip_armor_lamellar_gauntlets_beskar.webp</t>
  </si>
  <si>
    <t>Beskar Lamellar Greaves</t>
  </si>
  <si>
    <t>modules/a-knights-dream/Item/equip_armor_lamellar_greaves_beskar.webp</t>
  </si>
  <si>
    <t>Beskar Lamellar Helmet</t>
  </si>
  <si>
    <t>modules/a-knights-dream/Item/equip_armor_lamellar_helmet_beskar.webp</t>
  </si>
  <si>
    <t>Beskar Lamellar Pauldron</t>
  </si>
  <si>
    <t>modules/a-knights-dream/Item/equip_armor_lamellar_pauldron_beskar.webp</t>
  </si>
  <si>
    <t>Beskar Platemail Cuirass</t>
  </si>
  <si>
    <t>modules/a-knights-dream/Item/equip_armor_platemail_cuirass_beskar.webp</t>
  </si>
  <si>
    <t>Beskar Platemail Gauntlets</t>
  </si>
  <si>
    <t>modules/a-knights-dream/Item/equip_armor_platemail_gauntlets_beskar.webp</t>
  </si>
  <si>
    <t>Beskar Platemail Greaves</t>
  </si>
  <si>
    <t>modules/a-knights-dream/Item/equip_armor_platemail_greaves_beskar.webp</t>
  </si>
  <si>
    <t>Beskar Platemail Helmet</t>
  </si>
  <si>
    <t>modules/a-knights-dream/Item/equip_armor_platemail_helmet_beskar.webp</t>
  </si>
  <si>
    <t>Beskar Platemail Pauldron</t>
  </si>
  <si>
    <t>modules/a-knights-dream/Item/equip_armor_platemail_pauldron_beskar.webp</t>
  </si>
  <si>
    <t>Beskar Tunic Cuirass</t>
  </si>
  <si>
    <t>modules/a-knights-dream/Item/equip_armor_tunic_cuirass_beskar.webp</t>
  </si>
  <si>
    <t>Beskar Tunic Gauntlets</t>
  </si>
  <si>
    <t>modules/a-knights-dream/Item/equip_armor_tunic_gauntlets_beskar.webp</t>
  </si>
  <si>
    <t>Beskar Tunic Greaves</t>
  </si>
  <si>
    <t>modules/a-knights-dream/Item/equip_armor_tunic_greaves_beskar.webp</t>
  </si>
  <si>
    <t>Beskar Tunic Helmet</t>
  </si>
  <si>
    <t>modules/a-knights-dream/Item/equip_armor_tunic_helmet_beskar.webp</t>
  </si>
  <si>
    <t>Beskar Tunic Pauldron</t>
  </si>
  <si>
    <t>modules/a-knights-dream/Item/equip_armor_tunic_pauldron_beskar.webp</t>
  </si>
  <si>
    <t>Beskar Buckler Shield</t>
  </si>
  <si>
    <t>modules/a-knights-dream/Item/equip_armor_shield_buckler_beskar.webp</t>
  </si>
  <si>
    <t>Beskar Heater Shield</t>
  </si>
  <si>
    <t>modules/a-knights-dream/Item/equip_armor_shield_heater_beskar.webp</t>
  </si>
  <si>
    <t>Beskar Kite Shield</t>
  </si>
  <si>
    <t>modules/a-knights-dream/Item/equip_armor_shield_kite_beskar.webp</t>
  </si>
  <si>
    <t>Beskar Oval Shield</t>
  </si>
  <si>
    <t>modules/a-knights-dream/Item/equip_armor_shield_oval_beskar.webp</t>
  </si>
  <si>
    <t>Beskar Round Shield</t>
  </si>
  <si>
    <t>modules/a-knights-dream/Item/equip_armor_shield_round_beskar.webp</t>
  </si>
  <si>
    <t>Beskar Tower Shield</t>
  </si>
  <si>
    <t>modules/a-knights-dream/Item/equip_armor_shield_tower_beskar.webp</t>
  </si>
  <si>
    <t>Byeshk</t>
  </si>
  <si>
    <t>Byeshk Ball Bearings</t>
  </si>
  <si>
    <t>modules/a-knights-dream/Item/equip_weapon_bearings_byeshk.webp</t>
  </si>
  <si>
    <t>Byeshk Bardiche</t>
  </si>
  <si>
    <t>modules/a-knights-dream/Item/equip_weapon_bardiche_byeshk.webp</t>
  </si>
  <si>
    <t>Byeshk Bastard Sword</t>
  </si>
  <si>
    <t>modules/a-knights-dream/Item/equip_weapon_sword_bastard_byeshk.webp</t>
  </si>
  <si>
    <t>Byeshk Battle Axe</t>
  </si>
  <si>
    <t>modules/a-knights-dream/Item/equip_weapon_axe_battle_byeshk.webp</t>
  </si>
  <si>
    <t>Byeshk Blowgun</t>
  </si>
  <si>
    <t>modules/a-knights-dream/Item/equip_weapon_blowgun_byeshk.webp</t>
  </si>
  <si>
    <t>Byeshk Bolt</t>
  </si>
  <si>
    <t>modules/a-knights-dream/Item/equip_weapon_bolt_byeshk.webp</t>
  </si>
  <si>
    <t>Byeshk Boomerang</t>
  </si>
  <si>
    <t>modules/a-knights-dream/Item/equip_weapon_boomerang_byeshk.webp</t>
  </si>
  <si>
    <t>Byeshk Bow</t>
  </si>
  <si>
    <t>modules/a-knights-dream/Item/equip_weapon_bow_byeshk.webp</t>
  </si>
  <si>
    <t>Byeshk Caltrops</t>
  </si>
  <si>
    <t>modules/a-knights-dream/Item/equip_weapon_caltrops_byeshk.webp</t>
  </si>
  <si>
    <t>Byeshk Cestus</t>
  </si>
  <si>
    <t>modules/a-knights-dream/Item/equip_weapon_cestus_byeshk.webp</t>
  </si>
  <si>
    <t>Byeshk Chain</t>
  </si>
  <si>
    <t>modules/a-knights-dream/Item/equip_weapon_chain_byeshk.webp</t>
  </si>
  <si>
    <t>Byeshk Claymore</t>
  </si>
  <si>
    <t>modules/a-knights-dream/Item/equip_weapon_claymore_byeshk.webp</t>
  </si>
  <si>
    <t>Byeshk Club</t>
  </si>
  <si>
    <t>modules/a-knights-dream/Item/equip_weapon_club_byeshk.webp</t>
  </si>
  <si>
    <t>Byeshk Compound Bow</t>
  </si>
  <si>
    <t>modules/a-knights-dream/Item/equip_weapon_bow_compound_byeshk.webp</t>
  </si>
  <si>
    <t>Byeshk Cutlass</t>
  </si>
  <si>
    <t>modules/a-knights-dream/Item/equip_weapon_cutlass_byeshk.webp</t>
  </si>
  <si>
    <t>Byeshk Dagger</t>
  </si>
  <si>
    <t>modules/a-knights-dream/Item/equip_weapon_dagger_byeshk.webp</t>
  </si>
  <si>
    <t>Byeshk Dart</t>
  </si>
  <si>
    <t>modules/a-knights-dream/Item/equip_weapon_dart_byeshk.webp</t>
  </si>
  <si>
    <t>Byeshk Fauchard Scythe</t>
  </si>
  <si>
    <t>modules/a-knights-dream/Item/equip_weapon_scythe_fauchard_byeshk.webp</t>
  </si>
  <si>
    <t>Byeshk Flail</t>
  </si>
  <si>
    <t>modules/a-knights-dream/Item/equip_weapon_flail_byeshk.webp</t>
  </si>
  <si>
    <t>Byeshk Glaive</t>
  </si>
  <si>
    <t>modules/a-knights-dream/Item/equip_weapon_glaive_byeshk.webp</t>
  </si>
  <si>
    <t>Byeshk Grapple Hook</t>
  </si>
  <si>
    <t>modules/a-knights-dream/Item/equip_weapon_hook_grapple_byeshk.webp</t>
  </si>
  <si>
    <t>Byeshk Great Axe</t>
  </si>
  <si>
    <t>modules/a-knights-dream/Item/equip_weapon_axe_great_byeshk.webp</t>
  </si>
  <si>
    <t>Byeshk Great Club</t>
  </si>
  <si>
    <t>modules/a-knights-dream/Item/equip_weapon_club_great_byeshk.webp</t>
  </si>
  <si>
    <t>Byeshk Great Khyber</t>
  </si>
  <si>
    <t>modules/a-knights-dream/Item/equip_weapon_khyber_great_byeshk.webp</t>
  </si>
  <si>
    <t>Byeshk Great Konda</t>
  </si>
  <si>
    <t>modules/a-knights-dream/Item/equip_weapon_konda_great_byeshk.webp</t>
  </si>
  <si>
    <t>Byeshk Great Labrys</t>
  </si>
  <si>
    <t>modules/a-knights-dream/Item/equip_weapon_axe_labrys_great_byeshk.webp</t>
  </si>
  <si>
    <t>Byeshk Great Mace</t>
  </si>
  <si>
    <t>modules/a-knights-dream/Item/equip_weapon_mace_great_byeshk.webp</t>
  </si>
  <si>
    <t>Byeshk Great Tapal</t>
  </si>
  <si>
    <t>modules/a-knights-dream/Item/equip_weapon_tapal_great_byeshk.webp</t>
  </si>
  <si>
    <t>Byeshk Great War Bow</t>
  </si>
  <si>
    <t>modules/a-knights-dream/Item/equip_weapon_bow_war_great_byeshk.webp</t>
  </si>
  <si>
    <t>Byeshk Great War Hammer</t>
  </si>
  <si>
    <t>modules/a-knights-dream/Item/equip_weapon_hammer_war_great_byeshk.webp</t>
  </si>
  <si>
    <t>Byeshk Great War Pick</t>
  </si>
  <si>
    <t>modules/a-knights-dream/Item/equip_weapon_pick_war_great_byeshk.webp</t>
  </si>
  <si>
    <t>Byeshk Guisarme</t>
  </si>
  <si>
    <t>modules/a-knights-dream/Item/equip_weapon_guisarme_byeshk.webp</t>
  </si>
  <si>
    <t>Byeshk Halberd</t>
  </si>
  <si>
    <t>modules/a-knights-dream/Item/equip_weapon_halberd_byeshk.webp</t>
  </si>
  <si>
    <t>Byeshk Hand Crossbow</t>
  </si>
  <si>
    <t>modules/a-knights-dream/Item/equip_weapon_crossbow_hand_byeshk.webp</t>
  </si>
  <si>
    <t>Byeshk Hand axe</t>
  </si>
  <si>
    <t>modules/a-knights-dream/Item/equip_weapon_axe_hand_byeshk.webp</t>
  </si>
  <si>
    <t>Byeshk Heavy Crossbow</t>
  </si>
  <si>
    <t>modules/a-knights-dream/Item/equip_weapon_crossbow_heavy_byeshk.webp</t>
  </si>
  <si>
    <t>Byeshk Hunting Trap</t>
  </si>
  <si>
    <t>modules/a-knights-dream/Item/equip_weapon_trap_hunting_byeshk.webp</t>
  </si>
  <si>
    <t>Byeshk Hunting Trap (Large)</t>
  </si>
  <si>
    <t>modules/a-knights-dream/Item/equip_weapon_trap_hunting_large_byeshk.webp</t>
  </si>
  <si>
    <t>Byeshk Hunting Trap (Small)</t>
  </si>
  <si>
    <t>modules/a-knights-dream/Item/equip_weapon_trap_hunting_small_byeshk.webp</t>
  </si>
  <si>
    <t>Byeshk Javelin</t>
  </si>
  <si>
    <t>modules/a-knights-dream/Item/equip_weapon_javelin_byeshk.webp</t>
  </si>
  <si>
    <t>Byeshk Khpesh</t>
  </si>
  <si>
    <t>modules/a-knights-dream/Item/equip_weapon_khpesh_byeshk.webp</t>
  </si>
  <si>
    <t>Byeshk Khyber</t>
  </si>
  <si>
    <t>modules/a-knights-dream/Item/equip_weapon_khyber_byeshk.webp</t>
  </si>
  <si>
    <t>Byeshk Konda</t>
  </si>
  <si>
    <t>modules/a-knights-dream/Item/equip_weapon_konda_byeshk.webp</t>
  </si>
  <si>
    <t>Byeshk Labrys</t>
  </si>
  <si>
    <t>modules/a-knights-dream/Item/equip_weapon_axe_labrys_byeshk.webp</t>
  </si>
  <si>
    <t>Byeshk Lance</t>
  </si>
  <si>
    <t>modules/a-knights-dream/Item/equip_weapon_lance_byeshk.webp</t>
  </si>
  <si>
    <t>Byeshk Light Crossbow</t>
  </si>
  <si>
    <t>modules/a-knights-dream/Item/equip_weapon_crossbow_light_byeshk.webp</t>
  </si>
  <si>
    <t>Byeshk Long Bow</t>
  </si>
  <si>
    <t>modules/a-knights-dream/Item/equip_weapon_bow_long_byeshk.webp</t>
  </si>
  <si>
    <t>Byeshk Long Spear</t>
  </si>
  <si>
    <t>modules/a-knights-dream/Item/equip_weapon_spear_long_byeshk.webp</t>
  </si>
  <si>
    <t>Byeshk Lucerince Hammer</t>
  </si>
  <si>
    <t>modules/a-knights-dream/Item/equip_weapon_hammer_lucerince_byeshk.webp</t>
  </si>
  <si>
    <t>Byeshk Mace</t>
  </si>
  <si>
    <t>modules/a-knights-dream/Item/equip_weapon_mace_byeshk.webp</t>
  </si>
  <si>
    <t>Byeshk Morningstar</t>
  </si>
  <si>
    <t>modules/a-knights-dream/Item/equip_weapon_morningstar_byeshk.webp</t>
  </si>
  <si>
    <t>Byeshk Pike</t>
  </si>
  <si>
    <t>modules/a-knights-dream/Item/equip_weapon_pike_byeshk.webp</t>
  </si>
  <si>
    <t>Byeshk Quarter Staff</t>
  </si>
  <si>
    <t>modules/a-knights-dream/Item/equip_weapon_staff_quarter_byeshk.webp</t>
  </si>
  <si>
    <t>Byeshk Ranseur</t>
  </si>
  <si>
    <t>modules/a-knights-dream/Item/equip_weapon_ranseur_byeshk.webp</t>
  </si>
  <si>
    <t>Byeshk Rapier</t>
  </si>
  <si>
    <t>modules/a-knights-dream/Item/equip_weapon_rapier_byeshk.webp</t>
  </si>
  <si>
    <t>Byeshk Recurve Bow</t>
  </si>
  <si>
    <t>modules/a-knights-dream/Item/equip_weapon_bow_recurve_byeshk.webp</t>
  </si>
  <si>
    <t>Byeshk Repeater Crossbow</t>
  </si>
  <si>
    <t>modules/a-knights-dream/Item/equip_weapon_crossbow_repeater_byeshk.webp</t>
  </si>
  <si>
    <t>Byeshk Sabre</t>
  </si>
  <si>
    <t>modules/a-knights-dream/Item/equip_weapon_sabre_byeshk.webp</t>
  </si>
  <si>
    <t>Byeshk Scimitar</t>
  </si>
  <si>
    <t>modules/a-knights-dream/Item/equip_weapon_scimitar_byeshk.webp</t>
  </si>
  <si>
    <t>Byeshk Scythe</t>
  </si>
  <si>
    <t>modules/a-knights-dream/Item/equip_weapon_scythe_byeshk.webp</t>
  </si>
  <si>
    <t>Byeshk Short Bow</t>
  </si>
  <si>
    <t>modules/a-knights-dream/Item/equip_weapon_bow_short_byeshk.webp</t>
  </si>
  <si>
    <t>Byeshk Short Spear</t>
  </si>
  <si>
    <t>modules/a-knights-dream/Item/equip_weapon_spear_short_byeshk.webp</t>
  </si>
  <si>
    <t>Byeshk Short Sword</t>
  </si>
  <si>
    <t>modules/a-knights-dream/Item/equip_weapon_sword_short_byeshk.webp</t>
  </si>
  <si>
    <t>Byeshk Shotel</t>
  </si>
  <si>
    <t>modules/a-knights-dream/Item/equip_weapon_shotel_byeshk.webp</t>
  </si>
  <si>
    <t>Byeshk Sickle</t>
  </si>
  <si>
    <t>modules/a-knights-dream/Item/equip_weapon_sickle_byeshk.webp</t>
  </si>
  <si>
    <t>Byeshk Sling</t>
  </si>
  <si>
    <t>modules/a-knights-dream/Item/equip_weapon_sling_byeshk.webp</t>
  </si>
  <si>
    <t>Byeshk Staff</t>
  </si>
  <si>
    <t>modules/a-knights-dream/Item/equip_weapon_staff_byeshk.webp</t>
  </si>
  <si>
    <t>Byeshk Staff Sling</t>
  </si>
  <si>
    <t>modules/a-knights-dream/Item/equip_weapon_sling_staff_byeshk.webp</t>
  </si>
  <si>
    <t>Byeshk Sword</t>
  </si>
  <si>
    <t>modules/a-knights-dream/Item/equip_weapon_sword_byeshk.webp</t>
  </si>
  <si>
    <t>Byeshk Tapal</t>
  </si>
  <si>
    <t>modules/a-knights-dream/Item/equip_weapon_tapal_byeshk.webp</t>
  </si>
  <si>
    <t>Byeshk Trident</t>
  </si>
  <si>
    <t>modules/a-knights-dream/Item/equip_weapon_trident_byeshk.webp</t>
  </si>
  <si>
    <t>Byeshk War Hammer</t>
  </si>
  <si>
    <t>modules/a-knights-dream/Item/equip_weapon_hammer_war_byeshk.webp</t>
  </si>
  <si>
    <t>Byeshk War Pick</t>
  </si>
  <si>
    <t>modules/a-knights-dream/Item/equip_weapon_pick_war_byeshk.webp</t>
  </si>
  <si>
    <t>Byeshk Brigantine Cuirass</t>
  </si>
  <si>
    <t>modules/a-knights-dream/Item/equip_armor_brigantine_cuirass_byeshk.webp</t>
  </si>
  <si>
    <t>Byeshk Brigantine Gauntlets</t>
  </si>
  <si>
    <t>modules/a-knights-dream/Item/equip_armor_brigantine_gauntlets_byeshk.webp</t>
  </si>
  <si>
    <t>Byeshk Brigantine Greaves</t>
  </si>
  <si>
    <t>modules/a-knights-dream/Item/equip_armor_brigantine_greaves_byeshk.webp</t>
  </si>
  <si>
    <t>Byeshk Brigantine Helmet</t>
  </si>
  <si>
    <t>modules/a-knights-dream/Item/equip_armor_brigantine_helmet_byeshk.webp</t>
  </si>
  <si>
    <t>Byeshk Brigantine Pauldron</t>
  </si>
  <si>
    <t>modules/a-knights-dream/Item/equip_armor_brigantine_pauldron_byeshk.webp</t>
  </si>
  <si>
    <t>Byeshk Chainmail Cuirass</t>
  </si>
  <si>
    <t>modules/a-knights-dream/Item/equip_armor_chainmail_cuirass_byeshk.webp</t>
  </si>
  <si>
    <t>Byeshk Chainmail Gauntlets</t>
  </si>
  <si>
    <t>modules/a-knights-dream/Item/equip_armor_chainmail_gauntlets_byeshk.webp</t>
  </si>
  <si>
    <t>Byeshk Chainmail Greaves</t>
  </si>
  <si>
    <t>modules/a-knights-dream/Item/equip_armor_chainmail_greaves_byeshk.webp</t>
  </si>
  <si>
    <t>Byeshk Chainmail Helmet</t>
  </si>
  <si>
    <t>modules/a-knights-dream/Item/equip_armor_chainmail_helmet_byeshk.webp</t>
  </si>
  <si>
    <t>Byeshk Chainmail Pauldron</t>
  </si>
  <si>
    <t>modules/a-knights-dream/Item/equip_armor_chainmail_pauldron_byeshk.webp</t>
  </si>
  <si>
    <t>Byeshk Gamberson Cuirass</t>
  </si>
  <si>
    <t>modules/a-knights-dream/Item/equip_armor_gamberson_cuirass_byeshk.webp</t>
  </si>
  <si>
    <t>Byeshk Gamberson Gauntlets</t>
  </si>
  <si>
    <t>modules/a-knights-dream/Item/equip_armor_gamberson_gauntlets_byeshk.webp</t>
  </si>
  <si>
    <t>Byeshk Gamberson Greaves</t>
  </si>
  <si>
    <t>modules/a-knights-dream/Item/equip_armor_gamberson_greaves_byeshk.webp</t>
  </si>
  <si>
    <t>Byeshk Gamberson Helmet</t>
  </si>
  <si>
    <t>modules/a-knights-dream/Item/equip_armor_gamberson_helmet_byeshk.webp</t>
  </si>
  <si>
    <t>Byeshk Gamberson Pauldron</t>
  </si>
  <si>
    <t>modules/a-knights-dream/Item/equip_armor_gamberson_pauldron_byeshk.webp</t>
  </si>
  <si>
    <t>Byeshk Hauberk Cuirass</t>
  </si>
  <si>
    <t>modules/a-knights-dream/Item/equip_armor_hauberk_cuirass_byeshk.webp</t>
  </si>
  <si>
    <t>Byeshk Hauberk Gauntlets</t>
  </si>
  <si>
    <t>modules/a-knights-dream/Item/equip_armor_hauberk_gauntlets_byeshk.webp</t>
  </si>
  <si>
    <t>Byeshk Hauberk Greaves</t>
  </si>
  <si>
    <t>modules/a-knights-dream/Item/equip_armor_hauberk_greaves_byeshk.webp</t>
  </si>
  <si>
    <t>Byeshk Hauberk Helmet</t>
  </si>
  <si>
    <t>modules/a-knights-dream/Item/equip_armor_hauberk_helmet_byeshk.webp</t>
  </si>
  <si>
    <t>Byeshk Hauberk Pauldron</t>
  </si>
  <si>
    <t>modules/a-knights-dream/Item/equip_armor_hauberk_pauldron_byeshk.webp</t>
  </si>
  <si>
    <t>Byeshk Jack Cuirass</t>
  </si>
  <si>
    <t>modules/a-knights-dream/Item/equip_armor_jack_cuirass_byeshk.webp</t>
  </si>
  <si>
    <t>Byeshk Jack Gauntlets</t>
  </si>
  <si>
    <t>modules/a-knights-dream/Item/equip_armor_jack_gauntlets_byeshk.webp</t>
  </si>
  <si>
    <t>Byeshk Jack Greaves</t>
  </si>
  <si>
    <t>modules/a-knights-dream/Item/equip_armor_jack_greaves_byeshk.webp</t>
  </si>
  <si>
    <t>Byeshk Jack Helmet</t>
  </si>
  <si>
    <t>modules/a-knights-dream/Item/equip_armor_jack_helmet_byeshk.webp</t>
  </si>
  <si>
    <t>Byeshk Jack Pauldron</t>
  </si>
  <si>
    <t>modules/a-knights-dream/Item/equip_armor_jack_pauldron_byeshk.webp</t>
  </si>
  <si>
    <t>Byeshk Lamellar Cuirass</t>
  </si>
  <si>
    <t>modules/a-knights-dream/Item/equip_armor_lamellar_cuirass_byeshk.webp</t>
  </si>
  <si>
    <t>Byeshk Lamellar Gauntlets</t>
  </si>
  <si>
    <t>modules/a-knights-dream/Item/equip_armor_lamellar_gauntlets_byeshk.webp</t>
  </si>
  <si>
    <t>Byeshk Lamellar Greaves</t>
  </si>
  <si>
    <t>modules/a-knights-dream/Item/equip_armor_lamellar_greaves_byeshk.webp</t>
  </si>
  <si>
    <t>Byeshk Lamellar Helmet</t>
  </si>
  <si>
    <t>modules/a-knights-dream/Item/equip_armor_lamellar_helmet_byeshk.webp</t>
  </si>
  <si>
    <t>Byeshk Lamellar Pauldron</t>
  </si>
  <si>
    <t>modules/a-knights-dream/Item/equip_armor_lamellar_pauldron_byeshk.webp</t>
  </si>
  <si>
    <t>Byeshk Platemail Cuirass</t>
  </si>
  <si>
    <t>modules/a-knights-dream/Item/equip_armor_platemail_cuirass_byeshk.webp</t>
  </si>
  <si>
    <t>Byeshk Platemail Gauntlets</t>
  </si>
  <si>
    <t>modules/a-knights-dream/Item/equip_armor_platemail_gauntlets_byeshk.webp</t>
  </si>
  <si>
    <t>Byeshk Platemail Greaves</t>
  </si>
  <si>
    <t>modules/a-knights-dream/Item/equip_armor_platemail_greaves_byeshk.webp</t>
  </si>
  <si>
    <t>Byeshk Platemail Helmet</t>
  </si>
  <si>
    <t>modules/a-knights-dream/Item/equip_armor_platemail_helmet_byeshk.webp</t>
  </si>
  <si>
    <t>Byeshk Platemail Pauldron</t>
  </si>
  <si>
    <t>modules/a-knights-dream/Item/equip_armor_platemail_pauldron_byeshk.webp</t>
  </si>
  <si>
    <t>Byeshk Tunic Cuirass</t>
  </si>
  <si>
    <t>modules/a-knights-dream/Item/equip_armor_tunic_cuirass_byeshk.webp</t>
  </si>
  <si>
    <t>Byeshk Tunic Gauntlets</t>
  </si>
  <si>
    <t>modules/a-knights-dream/Item/equip_armor_tunic_gauntlets_byeshk.webp</t>
  </si>
  <si>
    <t>Byeshk Tunic Greaves</t>
  </si>
  <si>
    <t>modules/a-knights-dream/Item/equip_armor_tunic_greaves_byeshk.webp</t>
  </si>
  <si>
    <t>Byeshk Tunic Helmet</t>
  </si>
  <si>
    <t>modules/a-knights-dream/Item/equip_armor_tunic_helmet_byeshk.webp</t>
  </si>
  <si>
    <t>Byeshk Tunic Pauldron</t>
  </si>
  <si>
    <t>modules/a-knights-dream/Item/equip_armor_tunic_pauldron_byeshk.webp</t>
  </si>
  <si>
    <t>Byeshk Buckler Shield</t>
  </si>
  <si>
    <t>modules/a-knights-dream/Item/equip_armor_shield_buckler_byeshk.webp</t>
  </si>
  <si>
    <t>Byeshk Heater Shield</t>
  </si>
  <si>
    <t>modules/a-knights-dream/Item/equip_armor_shield_heater_byeshk.webp</t>
  </si>
  <si>
    <t>Byeshk Kite Shield</t>
  </si>
  <si>
    <t>modules/a-knights-dream/Item/equip_armor_shield_kite_byeshk.webp</t>
  </si>
  <si>
    <t>Byeshk Oval Shield</t>
  </si>
  <si>
    <t>modules/a-knights-dream/Item/equip_armor_shield_oval_byeshk.webp</t>
  </si>
  <si>
    <t>Byeshk Round Shield</t>
  </si>
  <si>
    <t>modules/a-knights-dream/Item/equip_armor_shield_round_byeshk.webp</t>
  </si>
  <si>
    <t>Byeshk Tower Shield</t>
  </si>
  <si>
    <t>modules/a-knights-dream/Item/equip_armor_shield_tower_byeshk.webp</t>
  </si>
  <si>
    <t>Dimeriti</t>
  </si>
  <si>
    <t>Dimeriti Ball Bearings</t>
  </si>
  <si>
    <t>modules/a-knights-dream/Item/equip_weapon_bearings_dimeriti.webp</t>
  </si>
  <si>
    <t>Dimeriti Bardiche</t>
  </si>
  <si>
    <t>modules/a-knights-dream/Item/equip_weapon_bardiche_dimeriti.webp</t>
  </si>
  <si>
    <t>Dimeriti Bastard Sword</t>
  </si>
  <si>
    <t>modules/a-knights-dream/Item/equip_weapon_sword_bastard_dimeriti.webp</t>
  </si>
  <si>
    <t>Dimeriti Battle Axe</t>
  </si>
  <si>
    <t>modules/a-knights-dream/Item/equip_weapon_axe_battle_dimeriti.webp</t>
  </si>
  <si>
    <t>Dimeriti Blowgun</t>
  </si>
  <si>
    <t>modules/a-knights-dream/Item/equip_weapon_blowgun_dimeriti.webp</t>
  </si>
  <si>
    <t>Dimeriti Bolt</t>
  </si>
  <si>
    <t>modules/a-knights-dream/Item/equip_weapon_bolt_dimeriti.webp</t>
  </si>
  <si>
    <t>Dimeriti Boomerang</t>
  </si>
  <si>
    <t>modules/a-knights-dream/Item/equip_weapon_boomerang_dimeriti.webp</t>
  </si>
  <si>
    <t>Dimeriti Bow</t>
  </si>
  <si>
    <t>modules/a-knights-dream/Item/equip_weapon_bow_dimeriti.webp</t>
  </si>
  <si>
    <t>Dimeriti Caltrops</t>
  </si>
  <si>
    <t>modules/a-knights-dream/Item/equip_weapon_caltrops_dimeriti.webp</t>
  </si>
  <si>
    <t>Dimeriti Cestus</t>
  </si>
  <si>
    <t>modules/a-knights-dream/Item/equip_weapon_cestus_dimeriti.webp</t>
  </si>
  <si>
    <t>Dimeriti Chain</t>
  </si>
  <si>
    <t>modules/a-knights-dream/Item/equip_weapon_chain_dimeriti.webp</t>
  </si>
  <si>
    <t>Dimeriti Claymore</t>
  </si>
  <si>
    <t>modules/a-knights-dream/Item/equip_weapon_claymore_dimeriti.webp</t>
  </si>
  <si>
    <t>Dimeriti Club</t>
  </si>
  <si>
    <t>modules/a-knights-dream/Item/equip_weapon_club_dimeriti.webp</t>
  </si>
  <si>
    <t>Dimeriti Compound Bow</t>
  </si>
  <si>
    <t>modules/a-knights-dream/Item/equip_weapon_bow_compound_dimeriti.webp</t>
  </si>
  <si>
    <t>Dimeriti Cutlass</t>
  </si>
  <si>
    <t>modules/a-knights-dream/Item/equip_weapon_cutlass_dimeriti.webp</t>
  </si>
  <si>
    <t>Dimeriti Dagger</t>
  </si>
  <si>
    <t>modules/a-knights-dream/Item/equip_weapon_dagger_dimeriti.webp</t>
  </si>
  <si>
    <t>Dimeriti Dart</t>
  </si>
  <si>
    <t>modules/a-knights-dream/Item/equip_weapon_dart_dimeriti.webp</t>
  </si>
  <si>
    <t>Dimeriti Fauchard Scythe</t>
  </si>
  <si>
    <t>modules/a-knights-dream/Item/equip_weapon_scythe_fauchard_dimeriti.webp</t>
  </si>
  <si>
    <t>Dimeriti Flail</t>
  </si>
  <si>
    <t>modules/a-knights-dream/Item/equip_weapon_flail_dimeriti.webp</t>
  </si>
  <si>
    <t>Dimeriti Glaive</t>
  </si>
  <si>
    <t>modules/a-knights-dream/Item/equip_weapon_glaive_dimeriti.webp</t>
  </si>
  <si>
    <t>Dimeriti Grapple Hook</t>
  </si>
  <si>
    <t>modules/a-knights-dream/Item/equip_weapon_hook_grapple_dimeriti.webp</t>
  </si>
  <si>
    <t>Dimeriti Great Axe</t>
  </si>
  <si>
    <t>modules/a-knights-dream/Item/equip_weapon_axe_great_dimeriti.webp</t>
  </si>
  <si>
    <t>Dimeriti Great Club</t>
  </si>
  <si>
    <t>modules/a-knights-dream/Item/equip_weapon_club_great_dimeriti.webp</t>
  </si>
  <si>
    <t>Dimeriti Great Khyber</t>
  </si>
  <si>
    <t>modules/a-knights-dream/Item/equip_weapon_khyber_great_dimeriti.webp</t>
  </si>
  <si>
    <t>Dimeriti Great Konda</t>
  </si>
  <si>
    <t>modules/a-knights-dream/Item/equip_weapon_konda_great_dimeriti.webp</t>
  </si>
  <si>
    <t>Dimeriti Great Labrys</t>
  </si>
  <si>
    <t>modules/a-knights-dream/Item/equip_weapon_axe_labrys_great_dimeriti.webp</t>
  </si>
  <si>
    <t>Dimeriti Great Mace</t>
  </si>
  <si>
    <t>modules/a-knights-dream/Item/equip_weapon_mace_great_dimeriti.webp</t>
  </si>
  <si>
    <t>Dimeriti Great Tapal</t>
  </si>
  <si>
    <t>modules/a-knights-dream/Item/equip_weapon_tapal_great_dimeriti.webp</t>
  </si>
  <si>
    <t>Dimeriti Great War Bow</t>
  </si>
  <si>
    <t>modules/a-knights-dream/Item/equip_weapon_bow_war_great_dimeriti.webp</t>
  </si>
  <si>
    <t>Dimeriti Great War Hammer</t>
  </si>
  <si>
    <t>modules/a-knights-dream/Item/equip_weapon_hammer_war_great_dimeriti.webp</t>
  </si>
  <si>
    <t>Dimeriti Great War Pick</t>
  </si>
  <si>
    <t>modules/a-knights-dream/Item/equip_weapon_pick_war_great_dimeriti.webp</t>
  </si>
  <si>
    <t>Dimeriti Guisarme</t>
  </si>
  <si>
    <t>modules/a-knights-dream/Item/equip_weapon_guisarme_dimeriti.webp</t>
  </si>
  <si>
    <t>Dimeriti Halberd</t>
  </si>
  <si>
    <t>modules/a-knights-dream/Item/equip_weapon_halberd_dimeriti.webp</t>
  </si>
  <si>
    <t>Dimeriti Hand Crossbow</t>
  </si>
  <si>
    <t>modules/a-knights-dream/Item/equip_weapon_crossbow_hand_dimeriti.webp</t>
  </si>
  <si>
    <t>Dimeriti Hand axe</t>
  </si>
  <si>
    <t>modules/a-knights-dream/Item/equip_weapon_axe_hand_dimeriti.webp</t>
  </si>
  <si>
    <t>Dimeriti Heavy Crossbow</t>
  </si>
  <si>
    <t>modules/a-knights-dream/Item/equip_weapon_crossbow_heavy_dimeriti.webp</t>
  </si>
  <si>
    <t>Dimeriti Hunting Trap</t>
  </si>
  <si>
    <t>modules/a-knights-dream/Item/equip_weapon_trap_hunting_dimeriti.webp</t>
  </si>
  <si>
    <t>Dimeriti Hunting Trap (Large)</t>
  </si>
  <si>
    <t>modules/a-knights-dream/Item/equip_weapon_trap_hunting_large_dimeriti.webp</t>
  </si>
  <si>
    <t>Dimeriti Hunting Trap (Small)</t>
  </si>
  <si>
    <t>modules/a-knights-dream/Item/equip_weapon_trap_hunting_small_dimeriti.webp</t>
  </si>
  <si>
    <t>Dimeriti Javelin</t>
  </si>
  <si>
    <t>modules/a-knights-dream/Item/equip_weapon_javelin_dimeriti.webp</t>
  </si>
  <si>
    <t>Dimeriti Khpesh</t>
  </si>
  <si>
    <t>modules/a-knights-dream/Item/equip_weapon_khpesh_dimeriti.webp</t>
  </si>
  <si>
    <t>Dimeriti Khyber</t>
  </si>
  <si>
    <t>modules/a-knights-dream/Item/equip_weapon_khyber_dimeriti.webp</t>
  </si>
  <si>
    <t>Dimeriti Konda</t>
  </si>
  <si>
    <t>modules/a-knights-dream/Item/equip_weapon_konda_dimeriti.webp</t>
  </si>
  <si>
    <t>Dimeriti Labrys</t>
  </si>
  <si>
    <t>modules/a-knights-dream/Item/equip_weapon_axe_labrys_dimeriti.webp</t>
  </si>
  <si>
    <t>Dimeriti Lance</t>
  </si>
  <si>
    <t>modules/a-knights-dream/Item/equip_weapon_lance_dimeriti.webp</t>
  </si>
  <si>
    <t>Dimeriti Light Crossbow</t>
  </si>
  <si>
    <t>modules/a-knights-dream/Item/equip_weapon_crossbow_light_dimeriti.webp</t>
  </si>
  <si>
    <t>Dimeriti Long Bow</t>
  </si>
  <si>
    <t>modules/a-knights-dream/Item/equip_weapon_bow_long_dimeriti.webp</t>
  </si>
  <si>
    <t>Dimeriti Long Spear</t>
  </si>
  <si>
    <t>modules/a-knights-dream/Item/equip_weapon_spear_long_dimeriti.webp</t>
  </si>
  <si>
    <t>Dimeriti Lucerince Hammer</t>
  </si>
  <si>
    <t>modules/a-knights-dream/Item/equip_weapon_hammer_lucerince_dimeriti.webp</t>
  </si>
  <si>
    <t>Dimeriti Mace</t>
  </si>
  <si>
    <t>modules/a-knights-dream/Item/equip_weapon_mace_dimeriti.webp</t>
  </si>
  <si>
    <t>Dimeriti Morningstar</t>
  </si>
  <si>
    <t>modules/a-knights-dream/Item/equip_weapon_morningstar_dimeriti.webp</t>
  </si>
  <si>
    <t>Dimeriti Pike</t>
  </si>
  <si>
    <t>modules/a-knights-dream/Item/equip_weapon_pike_dimeriti.webp</t>
  </si>
  <si>
    <t>Dimeriti Quarter Staff</t>
  </si>
  <si>
    <t>modules/a-knights-dream/Item/equip_weapon_staff_quarter_dimeriti.webp</t>
  </si>
  <si>
    <t>Dimeriti Ranseur</t>
  </si>
  <si>
    <t>modules/a-knights-dream/Item/equip_weapon_ranseur_dimeriti.webp</t>
  </si>
  <si>
    <t>Dimeriti Rapier</t>
  </si>
  <si>
    <t>modules/a-knights-dream/Item/equip_weapon_rapier_dimeriti.webp</t>
  </si>
  <si>
    <t>Dimeriti Recurve Bow</t>
  </si>
  <si>
    <t>modules/a-knights-dream/Item/equip_weapon_bow_recurve_dimeriti.webp</t>
  </si>
  <si>
    <t>Dimeriti Repeater Crossbow</t>
  </si>
  <si>
    <t>modules/a-knights-dream/Item/equip_weapon_crossbow_repeater_dimeriti.webp</t>
  </si>
  <si>
    <t>Dimeriti Sabre</t>
  </si>
  <si>
    <t>modules/a-knights-dream/Item/equip_weapon_sabre_dimeriti.webp</t>
  </si>
  <si>
    <t>Dimeriti Scimitar</t>
  </si>
  <si>
    <t>modules/a-knights-dream/Item/equip_weapon_scimitar_dimeriti.webp</t>
  </si>
  <si>
    <t>Dimeriti Scythe</t>
  </si>
  <si>
    <t>modules/a-knights-dream/Item/equip_weapon_scythe_dimeriti.webp</t>
  </si>
  <si>
    <t>Dimeriti Short Bow</t>
  </si>
  <si>
    <t>modules/a-knights-dream/Item/equip_weapon_bow_short_dimeriti.webp</t>
  </si>
  <si>
    <t>Dimeriti Short Spear</t>
  </si>
  <si>
    <t>modules/a-knights-dream/Item/equip_weapon_spear_short_dimeriti.webp</t>
  </si>
  <si>
    <t>Dimeriti Short Sword</t>
  </si>
  <si>
    <t>modules/a-knights-dream/Item/equip_weapon_sword_short_dimeriti.webp</t>
  </si>
  <si>
    <t>Dimeriti Shotel</t>
  </si>
  <si>
    <t>modules/a-knights-dream/Item/equip_weapon_shotel_dimeriti.webp</t>
  </si>
  <si>
    <t>Dimeriti Sickle</t>
  </si>
  <si>
    <t>modules/a-knights-dream/Item/equip_weapon_sickle_dimeriti.webp</t>
  </si>
  <si>
    <t>Dimeriti Sling</t>
  </si>
  <si>
    <t>modules/a-knights-dream/Item/equip_weapon_sling_dimeriti.webp</t>
  </si>
  <si>
    <t>Dimeriti Staff</t>
  </si>
  <si>
    <t>modules/a-knights-dream/Item/equip_weapon_staff_dimeriti.webp</t>
  </si>
  <si>
    <t>Dimeriti Staff Sling</t>
  </si>
  <si>
    <t>modules/a-knights-dream/Item/equip_weapon_sling_staff_dimeriti.webp</t>
  </si>
  <si>
    <t>Dimeriti Sword</t>
  </si>
  <si>
    <t>modules/a-knights-dream/Item/equip_weapon_sword_dimeriti.webp</t>
  </si>
  <si>
    <t>Dimeriti Tapal</t>
  </si>
  <si>
    <t>modules/a-knights-dream/Item/equip_weapon_tapal_dimeriti.webp</t>
  </si>
  <si>
    <t>Dimeriti Trident</t>
  </si>
  <si>
    <t>modules/a-knights-dream/Item/equip_weapon_trident_dimeriti.webp</t>
  </si>
  <si>
    <t>Dimeriti War Hammer</t>
  </si>
  <si>
    <t>modules/a-knights-dream/Item/equip_weapon_hammer_war_dimeriti.webp</t>
  </si>
  <si>
    <t>Dimeriti War Pick</t>
  </si>
  <si>
    <t>modules/a-knights-dream/Item/equip_weapon_pick_war_dimeriti.webp</t>
  </si>
  <si>
    <t>Dimeriti Brigantine Cuirass</t>
  </si>
  <si>
    <t>modules/a-knights-dream/Item/equip_armor_brigantine_cuirass_dimeriti.webp</t>
  </si>
  <si>
    <t>Dimeriti Brigantine Gauntlets</t>
  </si>
  <si>
    <t>modules/a-knights-dream/Item/equip_armor_brigantine_gauntlets_dimeriti.webp</t>
  </si>
  <si>
    <t>Dimeriti Brigantine Greaves</t>
  </si>
  <si>
    <t>modules/a-knights-dream/Item/equip_armor_brigantine_greaves_dimeriti.webp</t>
  </si>
  <si>
    <t>Dimeriti Brigantine Helmet</t>
  </si>
  <si>
    <t>modules/a-knights-dream/Item/equip_armor_brigantine_helmet_dimeriti.webp</t>
  </si>
  <si>
    <t>Dimeriti Brigantine Pauldron</t>
  </si>
  <si>
    <t>modules/a-knights-dream/Item/equip_armor_brigantine_pauldron_dimeriti.webp</t>
  </si>
  <si>
    <t>Dimeriti Chainmail Cuirass</t>
  </si>
  <si>
    <t>modules/a-knights-dream/Item/equip_armor_chainmail_cuirass_dimeriti.webp</t>
  </si>
  <si>
    <t>Dimeriti Chainmail Gauntlets</t>
  </si>
  <si>
    <t>modules/a-knights-dream/Item/equip_armor_chainmail_gauntlets_dimeriti.webp</t>
  </si>
  <si>
    <t>Dimeriti Chainmail Greaves</t>
  </si>
  <si>
    <t>modules/a-knights-dream/Item/equip_armor_chainmail_greaves_dimeriti.webp</t>
  </si>
  <si>
    <t>Dimeriti Chainmail Helmet</t>
  </si>
  <si>
    <t>modules/a-knights-dream/Item/equip_armor_chainmail_helmet_dimeriti.webp</t>
  </si>
  <si>
    <t>Dimeriti Chainmail Pauldron</t>
  </si>
  <si>
    <t>modules/a-knights-dream/Item/equip_armor_chainmail_pauldron_dimeriti.webp</t>
  </si>
  <si>
    <t>Dimeriti Gamberson Cuirass</t>
  </si>
  <si>
    <t>modules/a-knights-dream/Item/equip_armor_gamberson_cuirass_dimeriti.webp</t>
  </si>
  <si>
    <t>Dimeriti Gamberson Gauntlets</t>
  </si>
  <si>
    <t>modules/a-knights-dream/Item/equip_armor_gamberson_gauntlets_dimeriti.webp</t>
  </si>
  <si>
    <t>Dimeriti Gamberson Greaves</t>
  </si>
  <si>
    <t>modules/a-knights-dream/Item/equip_armor_gamberson_greaves_dimeriti.webp</t>
  </si>
  <si>
    <t>Dimeriti Gamberson Helmet</t>
  </si>
  <si>
    <t>modules/a-knights-dream/Item/equip_armor_gamberson_helmet_dimeriti.webp</t>
  </si>
  <si>
    <t>Dimeriti Gamberson Pauldron</t>
  </si>
  <si>
    <t>modules/a-knights-dream/Item/equip_armor_gamberson_pauldron_dimeriti.webp</t>
  </si>
  <si>
    <t>Dimeriti Hauberk Cuirass</t>
  </si>
  <si>
    <t>modules/a-knights-dream/Item/equip_armor_hauberk_cuirass_dimeriti.webp</t>
  </si>
  <si>
    <t>Dimeriti Hauberk Gauntlets</t>
  </si>
  <si>
    <t>modules/a-knights-dream/Item/equip_armor_hauberk_gauntlets_dimeriti.webp</t>
  </si>
  <si>
    <t>Dimeriti Hauberk Greaves</t>
  </si>
  <si>
    <t>modules/a-knights-dream/Item/equip_armor_hauberk_greaves_dimeriti.webp</t>
  </si>
  <si>
    <t>Dimeriti Hauberk Helmet</t>
  </si>
  <si>
    <t>modules/a-knights-dream/Item/equip_armor_hauberk_helmet_dimeriti.webp</t>
  </si>
  <si>
    <t>Dimeriti Hauberk Pauldron</t>
  </si>
  <si>
    <t>modules/a-knights-dream/Item/equip_armor_hauberk_pauldron_dimeriti.webp</t>
  </si>
  <si>
    <t>Dimeriti Jack Cuirass</t>
  </si>
  <si>
    <t>modules/a-knights-dream/Item/equip_armor_jack_cuirass_dimeriti.webp</t>
  </si>
  <si>
    <t>Dimeriti Jack Gauntlets</t>
  </si>
  <si>
    <t>modules/a-knights-dream/Item/equip_armor_jack_gauntlets_dimeriti.webp</t>
  </si>
  <si>
    <t>Dimeriti Jack Greaves</t>
  </si>
  <si>
    <t>modules/a-knights-dream/Item/equip_armor_jack_greaves_dimeriti.webp</t>
  </si>
  <si>
    <t>Dimeriti Jack Helmet</t>
  </si>
  <si>
    <t>modules/a-knights-dream/Item/equip_armor_jack_helmet_dimeriti.webp</t>
  </si>
  <si>
    <t>Dimeriti Jack Pauldron</t>
  </si>
  <si>
    <t>modules/a-knights-dream/Item/equip_armor_jack_pauldron_dimeriti.webp</t>
  </si>
  <si>
    <t>Dimeriti Lamellar Cuirass</t>
  </si>
  <si>
    <t>modules/a-knights-dream/Item/equip_armor_lamellar_cuirass_dimeriti.webp</t>
  </si>
  <si>
    <t>Dimeriti Lamellar Gauntlets</t>
  </si>
  <si>
    <t>modules/a-knights-dream/Item/equip_armor_lamellar_gauntlets_dimeriti.webp</t>
  </si>
  <si>
    <t>Dimeriti Lamellar Greaves</t>
  </si>
  <si>
    <t>modules/a-knights-dream/Item/equip_armor_lamellar_greaves_dimeriti.webp</t>
  </si>
  <si>
    <t>Dimeriti Lamellar Helmet</t>
  </si>
  <si>
    <t>modules/a-knights-dream/Item/equip_armor_lamellar_helmet_dimeriti.webp</t>
  </si>
  <si>
    <t>Dimeriti Lamellar Pauldron</t>
  </si>
  <si>
    <t>modules/a-knights-dream/Item/equip_armor_lamellar_pauldron_dimeriti.webp</t>
  </si>
  <si>
    <t>Dimeriti Platemail Cuirass</t>
  </si>
  <si>
    <t>modules/a-knights-dream/Item/equip_armor_platemail_cuirass_dimeriti.webp</t>
  </si>
  <si>
    <t>Dimeriti Platemail Gauntlets</t>
  </si>
  <si>
    <t>modules/a-knights-dream/Item/equip_armor_platemail_gauntlets_dimeriti.webp</t>
  </si>
  <si>
    <t>Dimeriti Platemail Greaves</t>
  </si>
  <si>
    <t>modules/a-knights-dream/Item/equip_armor_platemail_greaves_dimeriti.webp</t>
  </si>
  <si>
    <t>Dimeriti Platemail Helmet</t>
  </si>
  <si>
    <t>modules/a-knights-dream/Item/equip_armor_platemail_helmet_dimeriti.webp</t>
  </si>
  <si>
    <t>Dimeriti Platemail Pauldron</t>
  </si>
  <si>
    <t>modules/a-knights-dream/Item/equip_armor_platemail_pauldron_dimeriti.webp</t>
  </si>
  <si>
    <t>Dimeriti Tunic Cuirass</t>
  </si>
  <si>
    <t>modules/a-knights-dream/Item/equip_armor_tunic_cuirass_dimeriti.webp</t>
  </si>
  <si>
    <t>Dimeriti Tunic Gauntlets</t>
  </si>
  <si>
    <t>modules/a-knights-dream/Item/equip_armor_tunic_gauntlets_dimeriti.webp</t>
  </si>
  <si>
    <t>Dimeriti Tunic Greaves</t>
  </si>
  <si>
    <t>modules/a-knights-dream/Item/equip_armor_tunic_greaves_dimeriti.webp</t>
  </si>
  <si>
    <t>Dimeriti Tunic Helmet</t>
  </si>
  <si>
    <t>modules/a-knights-dream/Item/equip_armor_tunic_helmet_dimeriti.webp</t>
  </si>
  <si>
    <t>Dimeriti Tunic Pauldron</t>
  </si>
  <si>
    <t>modules/a-knights-dream/Item/equip_armor_tunic_pauldron_dimeriti.webp</t>
  </si>
  <si>
    <t>Dimeriti Buckler Shield</t>
  </si>
  <si>
    <t>modules/a-knights-dream/Item/equip_armor_shield_buckler_dimeriti.webp</t>
  </si>
  <si>
    <t>Dimeriti Heater Shield</t>
  </si>
  <si>
    <t>modules/a-knights-dream/Item/equip_armor_shield_heater_dimeriti.webp</t>
  </si>
  <si>
    <t>Dimeriti Kite Shield</t>
  </si>
  <si>
    <t>modules/a-knights-dream/Item/equip_armor_shield_kite_dimeriti.webp</t>
  </si>
  <si>
    <t>Dimeriti Oval Shield</t>
  </si>
  <si>
    <t>modules/a-knights-dream/Item/equip_armor_shield_oval_dimeriti.webp</t>
  </si>
  <si>
    <t>Dimeriti Round Shield</t>
  </si>
  <si>
    <t>modules/a-knights-dream/Item/equip_armor_shield_round_dimeriti.webp</t>
  </si>
  <si>
    <t>Dimeriti Tower Shield</t>
  </si>
  <si>
    <t>modules/a-knights-dream/Item/equip_armor_shield_tower_dimeriti.webp</t>
  </si>
  <si>
    <t>Ebony</t>
  </si>
  <si>
    <t>Ebony Ball Bearings</t>
  </si>
  <si>
    <t>modules/a-knights-dream/Item/equip_weapon_bearings_ebony.webp</t>
  </si>
  <si>
    <t>Ebony Bardiche</t>
  </si>
  <si>
    <t>modules/a-knights-dream/Item/equip_weapon_bardiche_ebony.webp</t>
  </si>
  <si>
    <t>Ebony Bastard Sword</t>
  </si>
  <si>
    <t>modules/a-knights-dream/Item/equip_weapon_sword_bastard_ebony.webp</t>
  </si>
  <si>
    <t>Ebony Battle Axe</t>
  </si>
  <si>
    <t>modules/a-knights-dream/Item/equip_weapon_axe_battle_ebony.webp</t>
  </si>
  <si>
    <t>Ebony Blowgun</t>
  </si>
  <si>
    <t>modules/a-knights-dream/Item/equip_weapon_blowgun_ebony.webp</t>
  </si>
  <si>
    <t>Ebony Bolt</t>
  </si>
  <si>
    <t>modules/a-knights-dream/Item/equip_weapon_bolt_ebony.webp</t>
  </si>
  <si>
    <t>Ebony Boomerang</t>
  </si>
  <si>
    <t>modules/a-knights-dream/Item/equip_weapon_boomerang_ebony.webp</t>
  </si>
  <si>
    <t>Ebony Bow</t>
  </si>
  <si>
    <t>modules/a-knights-dream/Item/equip_weapon_bow_ebony.webp</t>
  </si>
  <si>
    <t>Ebony Caltrops</t>
  </si>
  <si>
    <t>modules/a-knights-dream/Item/equip_weapon_caltrops_ebony.webp</t>
  </si>
  <si>
    <t>Ebony Cestus</t>
  </si>
  <si>
    <t>modules/a-knights-dream/Item/equip_weapon_cestus_ebony.webp</t>
  </si>
  <si>
    <t>Ebony Chain</t>
  </si>
  <si>
    <t>modules/a-knights-dream/Item/equip_weapon_chain_ebony.webp</t>
  </si>
  <si>
    <t>Ebony Claymore</t>
  </si>
  <si>
    <t>modules/a-knights-dream/Item/equip_weapon_claymore_ebony.webp</t>
  </si>
  <si>
    <t>Ebony Club</t>
  </si>
  <si>
    <t>modules/a-knights-dream/Item/equip_weapon_club_ebony.webp</t>
  </si>
  <si>
    <t>Ebony Compound Bow</t>
  </si>
  <si>
    <t>modules/a-knights-dream/Item/equip_weapon_bow_compound_ebony.webp</t>
  </si>
  <si>
    <t>Ebony Cutlass</t>
  </si>
  <si>
    <t>modules/a-knights-dream/Item/equip_weapon_cutlass_ebony.webp</t>
  </si>
  <si>
    <t>Ebony Dagger</t>
  </si>
  <si>
    <t>modules/a-knights-dream/Item/equip_weapon_dagger_ebony.webp</t>
  </si>
  <si>
    <t>Ebony Dart</t>
  </si>
  <si>
    <t>modules/a-knights-dream/Item/equip_weapon_dart_ebony.webp</t>
  </si>
  <si>
    <t>Ebony Fauchard Scythe</t>
  </si>
  <si>
    <t>modules/a-knights-dream/Item/equip_weapon_scythe_fauchard_ebony.webp</t>
  </si>
  <si>
    <t>Ebony Flail</t>
  </si>
  <si>
    <t>modules/a-knights-dream/Item/equip_weapon_flail_ebony.webp</t>
  </si>
  <si>
    <t>Ebony Glaive</t>
  </si>
  <si>
    <t>modules/a-knights-dream/Item/equip_weapon_glaive_ebony.webp</t>
  </si>
  <si>
    <t>Ebony Grapple Hook</t>
  </si>
  <si>
    <t>modules/a-knights-dream/Item/equip_weapon_hook_grapple_ebony.webp</t>
  </si>
  <si>
    <t>Ebony Great Axe</t>
  </si>
  <si>
    <t>modules/a-knights-dream/Item/equip_weapon_axe_great_ebony.webp</t>
  </si>
  <si>
    <t>Ebony Great Club</t>
  </si>
  <si>
    <t>modules/a-knights-dream/Item/equip_weapon_club_great_ebony.webp</t>
  </si>
  <si>
    <t>Ebony Great Khyber</t>
  </si>
  <si>
    <t>modules/a-knights-dream/Item/equip_weapon_khyber_great_ebony.webp</t>
  </si>
  <si>
    <t>Ebony Great Konda</t>
  </si>
  <si>
    <t>modules/a-knights-dream/Item/equip_weapon_konda_great_ebony.webp</t>
  </si>
  <si>
    <t>Ebony Great Labrys</t>
  </si>
  <si>
    <t>modules/a-knights-dream/Item/equip_weapon_axe_labrys_great_ebony.webp</t>
  </si>
  <si>
    <t>Ebony Great Mace</t>
  </si>
  <si>
    <t>modules/a-knights-dream/Item/equip_weapon_mace_great_ebony.webp</t>
  </si>
  <si>
    <t>Ebony Great Tapal</t>
  </si>
  <si>
    <t>modules/a-knights-dream/Item/equip_weapon_tapal_great_ebony.webp</t>
  </si>
  <si>
    <t>Ebony Great War Bow</t>
  </si>
  <si>
    <t>modules/a-knights-dream/Item/equip_weapon_bow_war_great_ebony.webp</t>
  </si>
  <si>
    <t>Ebony Great War Hammer</t>
  </si>
  <si>
    <t>modules/a-knights-dream/Item/equip_weapon_hammer_war_great_ebony.webp</t>
  </si>
  <si>
    <t>Ebony Great War Pick</t>
  </si>
  <si>
    <t>modules/a-knights-dream/Item/equip_weapon_pick_war_great_ebony.webp</t>
  </si>
  <si>
    <t>Ebony Guisarme</t>
  </si>
  <si>
    <t>modules/a-knights-dream/Item/equip_weapon_guisarme_ebony.webp</t>
  </si>
  <si>
    <t>Ebony Halberd</t>
  </si>
  <si>
    <t>modules/a-knights-dream/Item/equip_weapon_halberd_ebony.webp</t>
  </si>
  <si>
    <t>Ebony Hand Crossbow</t>
  </si>
  <si>
    <t>modules/a-knights-dream/Item/equip_weapon_crossbow_hand_ebony.webp</t>
  </si>
  <si>
    <t>Ebony Hand axe</t>
  </si>
  <si>
    <t>modules/a-knights-dream/Item/equip_weapon_axe_hand_ebony.webp</t>
  </si>
  <si>
    <t>Ebony Heavy Crossbow</t>
  </si>
  <si>
    <t>modules/a-knights-dream/Item/equip_weapon_crossbow_heavy_ebony.webp</t>
  </si>
  <si>
    <t>Ebony Hunting Trap</t>
  </si>
  <si>
    <t>modules/a-knights-dream/Item/equip_weapon_trap_hunting_ebony.webp</t>
  </si>
  <si>
    <t>Ebony Hunting Trap (Large)</t>
  </si>
  <si>
    <t>modules/a-knights-dream/Item/equip_weapon_trap_hunting_large_ebony.webp</t>
  </si>
  <si>
    <t>Ebony Hunting Trap (Small)</t>
  </si>
  <si>
    <t>modules/a-knights-dream/Item/equip_weapon_trap_hunting_small_ebony.webp</t>
  </si>
  <si>
    <t>Ebony Javelin</t>
  </si>
  <si>
    <t>modules/a-knights-dream/Item/equip_weapon_javelin_ebony.webp</t>
  </si>
  <si>
    <t>Ebony Khpesh</t>
  </si>
  <si>
    <t>modules/a-knights-dream/Item/equip_weapon_khpesh_ebony.webp</t>
  </si>
  <si>
    <t>Ebony Khyber</t>
  </si>
  <si>
    <t>modules/a-knights-dream/Item/equip_weapon_khyber_ebony.webp</t>
  </si>
  <si>
    <t>Ebony Konda</t>
  </si>
  <si>
    <t>modules/a-knights-dream/Item/equip_weapon_konda_ebony.webp</t>
  </si>
  <si>
    <t>Ebony Labrys</t>
  </si>
  <si>
    <t>modules/a-knights-dream/Item/equip_weapon_axe_labrys_ebony.webp</t>
  </si>
  <si>
    <t>Ebony Lance</t>
  </si>
  <si>
    <t>modules/a-knights-dream/Item/equip_weapon_lance_ebony.webp</t>
  </si>
  <si>
    <t>Ebony Light Crossbow</t>
  </si>
  <si>
    <t>modules/a-knights-dream/Item/equip_weapon_crossbow_light_ebony.webp</t>
  </si>
  <si>
    <t>Ebony Long Bow</t>
  </si>
  <si>
    <t>modules/a-knights-dream/Item/equip_weapon_bow_long_ebony.webp</t>
  </si>
  <si>
    <t>Ebony Long Spear</t>
  </si>
  <si>
    <t>modules/a-knights-dream/Item/equip_weapon_spear_long_ebony.webp</t>
  </si>
  <si>
    <t>Ebony Lucerince Hammer</t>
  </si>
  <si>
    <t>modules/a-knights-dream/Item/equip_weapon_hammer_lucerince_ebony.webp</t>
  </si>
  <si>
    <t>Ebony Mace</t>
  </si>
  <si>
    <t>modules/a-knights-dream/Item/equip_weapon_mace_ebony.webp</t>
  </si>
  <si>
    <t>Ebony Morningstar</t>
  </si>
  <si>
    <t>modules/a-knights-dream/Item/equip_weapon_morningstar_ebony.webp</t>
  </si>
  <si>
    <t>Ebony Pike</t>
  </si>
  <si>
    <t>modules/a-knights-dream/Item/equip_weapon_pike_ebony.webp</t>
  </si>
  <si>
    <t>Ebony Quarter Staff</t>
  </si>
  <si>
    <t>modules/a-knights-dream/Item/equip_weapon_staff_quarter_ebony.webp</t>
  </si>
  <si>
    <t>Ebony Ranseur</t>
  </si>
  <si>
    <t>modules/a-knights-dream/Item/equip_weapon_ranseur_ebony.webp</t>
  </si>
  <si>
    <t>Ebony Rapier</t>
  </si>
  <si>
    <t>modules/a-knights-dream/Item/equip_weapon_rapier_ebony.webp</t>
  </si>
  <si>
    <t>Ebony Recurve Bow</t>
  </si>
  <si>
    <t>modules/a-knights-dream/Item/equip_weapon_bow_recurve_ebony.webp</t>
  </si>
  <si>
    <t>Ebony Repeater Crossbow</t>
  </si>
  <si>
    <t>modules/a-knights-dream/Item/equip_weapon_crossbow_repeater_ebony.webp</t>
  </si>
  <si>
    <t>Ebony Sabre</t>
  </si>
  <si>
    <t>modules/a-knights-dream/Item/equip_weapon_sabre_ebony.webp</t>
  </si>
  <si>
    <t>Ebony Scimitar</t>
  </si>
  <si>
    <t>modules/a-knights-dream/Item/equip_weapon_scimitar_ebony.webp</t>
  </si>
  <si>
    <t>Ebony Scythe</t>
  </si>
  <si>
    <t>modules/a-knights-dream/Item/equip_weapon_scythe_ebony.webp</t>
  </si>
  <si>
    <t>Ebony Short Bow</t>
  </si>
  <si>
    <t>modules/a-knights-dream/Item/equip_weapon_bow_short_ebony.webp</t>
  </si>
  <si>
    <t>Ebony Short Spear</t>
  </si>
  <si>
    <t>modules/a-knights-dream/Item/equip_weapon_spear_short_ebony.webp</t>
  </si>
  <si>
    <t>Ebony Short Sword</t>
  </si>
  <si>
    <t>modules/a-knights-dream/Item/equip_weapon_sword_short_ebony.webp</t>
  </si>
  <si>
    <t>Ebony Shotel</t>
  </si>
  <si>
    <t>modules/a-knights-dream/Item/equip_weapon_shotel_ebony.webp</t>
  </si>
  <si>
    <t>Ebony Sickle</t>
  </si>
  <si>
    <t>modules/a-knights-dream/Item/equip_weapon_sickle_ebony.webp</t>
  </si>
  <si>
    <t>Ebony Sling</t>
  </si>
  <si>
    <t>modules/a-knights-dream/Item/equip_weapon_sling_ebony.webp</t>
  </si>
  <si>
    <t>Ebony Staff</t>
  </si>
  <si>
    <t>modules/a-knights-dream/Item/equip_weapon_staff_ebony.webp</t>
  </si>
  <si>
    <t>Ebony Staff Sling</t>
  </si>
  <si>
    <t>modules/a-knights-dream/Item/equip_weapon_sling_staff_ebony.webp</t>
  </si>
  <si>
    <t>Ebony Sword</t>
  </si>
  <si>
    <t>modules/a-knights-dream/Item/equip_weapon_sword_ebony.webp</t>
  </si>
  <si>
    <t>Ebony Tapal</t>
  </si>
  <si>
    <t>modules/a-knights-dream/Item/equip_weapon_tapal_ebony.webp</t>
  </si>
  <si>
    <t>Ebony Trident</t>
  </si>
  <si>
    <t>modules/a-knights-dream/Item/equip_weapon_trident_ebony.webp</t>
  </si>
  <si>
    <t>Ebony War Hammer</t>
  </si>
  <si>
    <t>modules/a-knights-dream/Item/equip_weapon_hammer_war_ebony.webp</t>
  </si>
  <si>
    <t>Ebony War Pick</t>
  </si>
  <si>
    <t>modules/a-knights-dream/Item/equip_weapon_pick_war_ebony.webp</t>
  </si>
  <si>
    <t>Ebony Brigantine Cuirass</t>
  </si>
  <si>
    <t>modules/a-knights-dream/Item/equip_armor_brigantine_cuirass_ebony.webp</t>
  </si>
  <si>
    <t>Ebony Brigantine Gauntlets</t>
  </si>
  <si>
    <t>modules/a-knights-dream/Item/equip_armor_brigantine_gauntlets_ebony.webp</t>
  </si>
  <si>
    <t>Ebony Brigantine Greaves</t>
  </si>
  <si>
    <t>modules/a-knights-dream/Item/equip_armor_brigantine_greaves_ebony.webp</t>
  </si>
  <si>
    <t>Ebony Brigantine Helmet</t>
  </si>
  <si>
    <t>modules/a-knights-dream/Item/equip_armor_brigantine_helmet_ebony.webp</t>
  </si>
  <si>
    <t>Ebony Brigantine Pauldron</t>
  </si>
  <si>
    <t>modules/a-knights-dream/Item/equip_armor_brigantine_pauldron_ebony.webp</t>
  </si>
  <si>
    <t>Ebony Chainmail Cuirass</t>
  </si>
  <si>
    <t>modules/a-knights-dream/Item/equip_armor_chainmail_cuirass_ebony.webp</t>
  </si>
  <si>
    <t>Ebony Chainmail Gauntlets</t>
  </si>
  <si>
    <t>modules/a-knights-dream/Item/equip_armor_chainmail_gauntlets_ebony.webp</t>
  </si>
  <si>
    <t>Ebony Chainmail Greaves</t>
  </si>
  <si>
    <t>modules/a-knights-dream/Item/equip_armor_chainmail_greaves_ebony.webp</t>
  </si>
  <si>
    <t>Ebony Chainmail Helmet</t>
  </si>
  <si>
    <t>modules/a-knights-dream/Item/equip_armor_chainmail_helmet_ebony.webp</t>
  </si>
  <si>
    <t>Ebony Chainmail Pauldron</t>
  </si>
  <si>
    <t>modules/a-knights-dream/Item/equip_armor_chainmail_pauldron_ebony.webp</t>
  </si>
  <si>
    <t>Ebony Gamberson Cuirass</t>
  </si>
  <si>
    <t>modules/a-knights-dream/Item/equip_armor_gamberson_cuirass_ebony.webp</t>
  </si>
  <si>
    <t>Ebony Gamberson Gauntlets</t>
  </si>
  <si>
    <t>modules/a-knights-dream/Item/equip_armor_gamberson_gauntlets_ebony.webp</t>
  </si>
  <si>
    <t>Ebony Gamberson Greaves</t>
  </si>
  <si>
    <t>modules/a-knights-dream/Item/equip_armor_gamberson_greaves_ebony.webp</t>
  </si>
  <si>
    <t>Ebony Gamberson Helmet</t>
  </si>
  <si>
    <t>modules/a-knights-dream/Item/equip_armor_gamberson_helmet_ebony.webp</t>
  </si>
  <si>
    <t>Ebony Gamberson Pauldron</t>
  </si>
  <si>
    <t>modules/a-knights-dream/Item/equip_armor_gamberson_pauldron_ebony.webp</t>
  </si>
  <si>
    <t>Ebony Hauberk Cuirass</t>
  </si>
  <si>
    <t>modules/a-knights-dream/Item/equip_armor_hauberk_cuirass_ebony.webp</t>
  </si>
  <si>
    <t>Ebony Hauberk Gauntlets</t>
  </si>
  <si>
    <t>modules/a-knights-dream/Item/equip_armor_hauberk_gauntlets_ebony.webp</t>
  </si>
  <si>
    <t>Ebony Hauberk Greaves</t>
  </si>
  <si>
    <t>modules/a-knights-dream/Item/equip_armor_hauberk_greaves_ebony.webp</t>
  </si>
  <si>
    <t>Ebony Hauberk Helmet</t>
  </si>
  <si>
    <t>modules/a-knights-dream/Item/equip_armor_hauberk_helmet_ebony.webp</t>
  </si>
  <si>
    <t>Ebony Hauberk Pauldron</t>
  </si>
  <si>
    <t>modules/a-knights-dream/Item/equip_armor_hauberk_pauldron_ebony.webp</t>
  </si>
  <si>
    <t>Ebony Jack Cuirass</t>
  </si>
  <si>
    <t>modules/a-knights-dream/Item/equip_armor_jack_cuirass_ebony.webp</t>
  </si>
  <si>
    <t>Ebony Jack Gauntlets</t>
  </si>
  <si>
    <t>modules/a-knights-dream/Item/equip_armor_jack_gauntlets_ebony.webp</t>
  </si>
  <si>
    <t>Ebony Jack Greaves</t>
  </si>
  <si>
    <t>modules/a-knights-dream/Item/equip_armor_jack_greaves_ebony.webp</t>
  </si>
  <si>
    <t>Ebony Jack Helmet</t>
  </si>
  <si>
    <t>modules/a-knights-dream/Item/equip_armor_jack_helmet_ebony.webp</t>
  </si>
  <si>
    <t>Ebony Jack Pauldron</t>
  </si>
  <si>
    <t>modules/a-knights-dream/Item/equip_armor_jack_pauldron_ebony.webp</t>
  </si>
  <si>
    <t>Ebony Lamellar Cuirass</t>
  </si>
  <si>
    <t>modules/a-knights-dream/Item/equip_armor_lamellar_cuirass_ebony.webp</t>
  </si>
  <si>
    <t>Ebony Lamellar Gauntlets</t>
  </si>
  <si>
    <t>modules/a-knights-dream/Item/equip_armor_lamellar_gauntlets_ebony.webp</t>
  </si>
  <si>
    <t>Ebony Lamellar Greaves</t>
  </si>
  <si>
    <t>modules/a-knights-dream/Item/equip_armor_lamellar_greaves_ebony.webp</t>
  </si>
  <si>
    <t>Ebony Lamellar Helmet</t>
  </si>
  <si>
    <t>modules/a-knights-dream/Item/equip_armor_lamellar_helmet_ebony.webp</t>
  </si>
  <si>
    <t>Ebony Lamellar Pauldron</t>
  </si>
  <si>
    <t>modules/a-knights-dream/Item/equip_armor_lamellar_pauldron_ebony.webp</t>
  </si>
  <si>
    <t>Ebony Platemail Cuirass</t>
  </si>
  <si>
    <t>modules/a-knights-dream/Item/equip_armor_platemail_cuirass_ebony.webp</t>
  </si>
  <si>
    <t>Ebony Platemail Gauntlets</t>
  </si>
  <si>
    <t>modules/a-knights-dream/Item/equip_armor_platemail_gauntlets_ebony.webp</t>
  </si>
  <si>
    <t>Ebony Platemail Greaves</t>
  </si>
  <si>
    <t>modules/a-knights-dream/Item/equip_armor_platemail_greaves_ebony.webp</t>
  </si>
  <si>
    <t>Ebony Platemail Helmet</t>
  </si>
  <si>
    <t>modules/a-knights-dream/Item/equip_armor_platemail_helmet_ebony.webp</t>
  </si>
  <si>
    <t>Ebony Platemail Pauldron</t>
  </si>
  <si>
    <t>modules/a-knights-dream/Item/equip_armor_platemail_pauldron_ebony.webp</t>
  </si>
  <si>
    <t>Ebony Tunic Cuirass</t>
  </si>
  <si>
    <t>modules/a-knights-dream/Item/equip_armor_tunic_cuirass_ebony.webp</t>
  </si>
  <si>
    <t>Ebony Tunic Gauntlets</t>
  </si>
  <si>
    <t>modules/a-knights-dream/Item/equip_armor_tunic_gauntlets_ebony.webp</t>
  </si>
  <si>
    <t>Ebony Tunic Greaves</t>
  </si>
  <si>
    <t>modules/a-knights-dream/Item/equip_armor_tunic_greaves_ebony.webp</t>
  </si>
  <si>
    <t>Ebony Tunic Helmet</t>
  </si>
  <si>
    <t>modules/a-knights-dream/Item/equip_armor_tunic_helmet_ebony.webp</t>
  </si>
  <si>
    <t>Ebony Tunic Pauldron</t>
  </si>
  <si>
    <t>modules/a-knights-dream/Item/equip_armor_tunic_pauldron_ebony.webp</t>
  </si>
  <si>
    <t>Ebony Buckler Shield</t>
  </si>
  <si>
    <t>modules/a-knights-dream/Item/equip_armor_shield_buckler_ebony.webp</t>
  </si>
  <si>
    <t>Ebony Heater Shield</t>
  </si>
  <si>
    <t>modules/a-knights-dream/Item/equip_armor_shield_heater_ebony.webp</t>
  </si>
  <si>
    <t>Ebony Kite Shield</t>
  </si>
  <si>
    <t>modules/a-knights-dream/Item/equip_armor_shield_kite_ebony.webp</t>
  </si>
  <si>
    <t>Ebony Oval Shield</t>
  </si>
  <si>
    <t>modules/a-knights-dream/Item/equip_armor_shield_oval_ebony.webp</t>
  </si>
  <si>
    <t>Ebony Round Shield</t>
  </si>
  <si>
    <t>modules/a-knights-dream/Item/equip_armor_shield_round_ebony.webp</t>
  </si>
  <si>
    <t>Ebony Tower Shield</t>
  </si>
  <si>
    <t>modules/a-knights-dream/Item/equip_armor_shield_tower_ebony.webp</t>
  </si>
  <si>
    <t>Glasteal</t>
  </si>
  <si>
    <t>Glasteal Ball Bearings</t>
  </si>
  <si>
    <t>modules/a-knights-dream/Item/equip_weapon_bearings_glasteal.webp</t>
  </si>
  <si>
    <t>Glasteal Bardiche</t>
  </si>
  <si>
    <t>modules/a-knights-dream/Item/equip_weapon_bardiche_glasteal.webp</t>
  </si>
  <si>
    <t>Glasteal Bastard Sword</t>
  </si>
  <si>
    <t>modules/a-knights-dream/Item/equip_weapon_sword_bastard_glasteal.webp</t>
  </si>
  <si>
    <t>Glasteal Battle Axe</t>
  </si>
  <si>
    <t>modules/a-knights-dream/Item/equip_weapon_axe_battle_glasteal.webp</t>
  </si>
  <si>
    <t>Glasteal Blowgun</t>
  </si>
  <si>
    <t>modules/a-knights-dream/Item/equip_weapon_blowgun_glasteal.webp</t>
  </si>
  <si>
    <t>Glasteal Bolt</t>
  </si>
  <si>
    <t>modules/a-knights-dream/Item/equip_weapon_bolt_glasteal.webp</t>
  </si>
  <si>
    <t>Glasteal Boomerang</t>
  </si>
  <si>
    <t>modules/a-knights-dream/Item/equip_weapon_boomerang_glasteal.webp</t>
  </si>
  <si>
    <t>Glasteal Bow</t>
  </si>
  <si>
    <t>modules/a-knights-dream/Item/equip_weapon_bow_glasteal.webp</t>
  </si>
  <si>
    <t>Glasteal Caltrops</t>
  </si>
  <si>
    <t>modules/a-knights-dream/Item/equip_weapon_caltrops_glasteal.webp</t>
  </si>
  <si>
    <t>Glasteal Cestus</t>
  </si>
  <si>
    <t>modules/a-knights-dream/Item/equip_weapon_cestus_glasteal.webp</t>
  </si>
  <si>
    <t>Glasteal Chain</t>
  </si>
  <si>
    <t>modules/a-knights-dream/Item/equip_weapon_chain_glasteal.webp</t>
  </si>
  <si>
    <t>Glasteal Claymore</t>
  </si>
  <si>
    <t>modules/a-knights-dream/Item/equip_weapon_claymore_glasteal.webp</t>
  </si>
  <si>
    <t>Glasteal Club</t>
  </si>
  <si>
    <t>modules/a-knights-dream/Item/equip_weapon_club_glasteal.webp</t>
  </si>
  <si>
    <t>Glasteal Compound Bow</t>
  </si>
  <si>
    <t>modules/a-knights-dream/Item/equip_weapon_bow_compound_glasteal.webp</t>
  </si>
  <si>
    <t>Glasteal Cutlass</t>
  </si>
  <si>
    <t>modules/a-knights-dream/Item/equip_weapon_cutlass_glasteal.webp</t>
  </si>
  <si>
    <t>Glasteal Dagger</t>
  </si>
  <si>
    <t>modules/a-knights-dream/Item/equip_weapon_dagger_glasteal.webp</t>
  </si>
  <si>
    <t>Glasteal Dart</t>
  </si>
  <si>
    <t>modules/a-knights-dream/Item/equip_weapon_dart_glasteal.webp</t>
  </si>
  <si>
    <t>Glasteal Fauchard Scythe</t>
  </si>
  <si>
    <t>modules/a-knights-dream/Item/equip_weapon_scythe_fauchard_glasteal.webp</t>
  </si>
  <si>
    <t>Glasteal Flail</t>
  </si>
  <si>
    <t>modules/a-knights-dream/Item/equip_weapon_flail_glasteal.webp</t>
  </si>
  <si>
    <t>Glasteal Glaive</t>
  </si>
  <si>
    <t>modules/a-knights-dream/Item/equip_weapon_glaive_glasteal.webp</t>
  </si>
  <si>
    <t>Glasteal Grapple Hook</t>
  </si>
  <si>
    <t>modules/a-knights-dream/Item/equip_weapon_hook_grapple_glasteal.webp</t>
  </si>
  <si>
    <t>Glasteal Great Axe</t>
  </si>
  <si>
    <t>modules/a-knights-dream/Item/equip_weapon_axe_great_glasteal.webp</t>
  </si>
  <si>
    <t>Glasteal Great Club</t>
  </si>
  <si>
    <t>modules/a-knights-dream/Item/equip_weapon_club_great_glasteal.webp</t>
  </si>
  <si>
    <t>Glasteal Great Khyber</t>
  </si>
  <si>
    <t>modules/a-knights-dream/Item/equip_weapon_khyber_great_glasteal.webp</t>
  </si>
  <si>
    <t>Glasteal Great Konda</t>
  </si>
  <si>
    <t>modules/a-knights-dream/Item/equip_weapon_konda_great_glasteal.webp</t>
  </si>
  <si>
    <t>Glasteal Great Labrys</t>
  </si>
  <si>
    <t>modules/a-knights-dream/Item/equip_weapon_axe_labrys_great_glasteal.webp</t>
  </si>
  <si>
    <t>Glasteal Great Mace</t>
  </si>
  <si>
    <t>modules/a-knights-dream/Item/equip_weapon_mace_great_glasteal.webp</t>
  </si>
  <si>
    <t>Glasteal Great Tapal</t>
  </si>
  <si>
    <t>modules/a-knights-dream/Item/equip_weapon_tapal_great_glasteal.webp</t>
  </si>
  <si>
    <t>Glasteal Great War Bow</t>
  </si>
  <si>
    <t>modules/a-knights-dream/Item/equip_weapon_bow_war_great_glasteal.webp</t>
  </si>
  <si>
    <t>Glasteal Great War Hammer</t>
  </si>
  <si>
    <t>modules/a-knights-dream/Item/equip_weapon_hammer_war_great_glasteal.webp</t>
  </si>
  <si>
    <t>Glasteal Great War Pick</t>
  </si>
  <si>
    <t>modules/a-knights-dream/Item/equip_weapon_pick_war_great_glasteal.webp</t>
  </si>
  <si>
    <t>Glasteal Guisarme</t>
  </si>
  <si>
    <t>modules/a-knights-dream/Item/equip_weapon_guisarme_glasteal.webp</t>
  </si>
  <si>
    <t>Glasteal Halberd</t>
  </si>
  <si>
    <t>modules/a-knights-dream/Item/equip_weapon_halberd_glasteal.webp</t>
  </si>
  <si>
    <t>Glasteal Hand Crossbow</t>
  </si>
  <si>
    <t>modules/a-knights-dream/Item/equip_weapon_crossbow_hand_glasteal.webp</t>
  </si>
  <si>
    <t>Glasteal Hand axe</t>
  </si>
  <si>
    <t>modules/a-knights-dream/Item/equip_weapon_axe_hand_glasteal.webp</t>
  </si>
  <si>
    <t>Glasteal Heavy Crossbow</t>
  </si>
  <si>
    <t>modules/a-knights-dream/Item/equip_weapon_crossbow_heavy_glasteal.webp</t>
  </si>
  <si>
    <t>Glasteal Hunting Trap</t>
  </si>
  <si>
    <t>modules/a-knights-dream/Item/equip_weapon_trap_hunting_glasteal.webp</t>
  </si>
  <si>
    <t>Glasteal Hunting Trap (Large)</t>
  </si>
  <si>
    <t>modules/a-knights-dream/Item/equip_weapon_trap_hunting_large_glasteal.webp</t>
  </si>
  <si>
    <t>Glasteal Hunting Trap (Small)</t>
  </si>
  <si>
    <t>modules/a-knights-dream/Item/equip_weapon_trap_hunting_small_glasteal.webp</t>
  </si>
  <si>
    <t>Glasteal Javelin</t>
  </si>
  <si>
    <t>modules/a-knights-dream/Item/equip_weapon_javelin_glasteal.webp</t>
  </si>
  <si>
    <t>Glasteal Khpesh</t>
  </si>
  <si>
    <t>modules/a-knights-dream/Item/equip_weapon_khpesh_glasteal.webp</t>
  </si>
  <si>
    <t>Glasteal Khyber</t>
  </si>
  <si>
    <t>modules/a-knights-dream/Item/equip_weapon_khyber_glasteal.webp</t>
  </si>
  <si>
    <t>Glasteal Konda</t>
  </si>
  <si>
    <t>modules/a-knights-dream/Item/equip_weapon_konda_glasteal.webp</t>
  </si>
  <si>
    <t>Glasteal Labrys</t>
  </si>
  <si>
    <t>modules/a-knights-dream/Item/equip_weapon_axe_labrys_glasteal.webp</t>
  </si>
  <si>
    <t>Glasteal Lance</t>
  </si>
  <si>
    <t>modules/a-knights-dream/Item/equip_weapon_lance_glasteal.webp</t>
  </si>
  <si>
    <t>Glasteal Light Crossbow</t>
  </si>
  <si>
    <t>modules/a-knights-dream/Item/equip_weapon_crossbow_light_glasteal.webp</t>
  </si>
  <si>
    <t>Glasteal Long Bow</t>
  </si>
  <si>
    <t>modules/a-knights-dream/Item/equip_weapon_bow_long_glasteal.webp</t>
  </si>
  <si>
    <t>Glasteal Long Spear</t>
  </si>
  <si>
    <t>modules/a-knights-dream/Item/equip_weapon_spear_long_glasteal.webp</t>
  </si>
  <si>
    <t>Glasteal Lucerince Hammer</t>
  </si>
  <si>
    <t>modules/a-knights-dream/Item/equip_weapon_hammer_lucerince_glasteal.webp</t>
  </si>
  <si>
    <t>Glasteal Mace</t>
  </si>
  <si>
    <t>modules/a-knights-dream/Item/equip_weapon_mace_glasteal.webp</t>
  </si>
  <si>
    <t>Glasteal Morningstar</t>
  </si>
  <si>
    <t>modules/a-knights-dream/Item/equip_weapon_morningstar_glasteal.webp</t>
  </si>
  <si>
    <t>Glasteal Pike</t>
  </si>
  <si>
    <t>modules/a-knights-dream/Item/equip_weapon_pike_glasteal.webp</t>
  </si>
  <si>
    <t>Glasteal Quarter Staff</t>
  </si>
  <si>
    <t>modules/a-knights-dream/Item/equip_weapon_staff_quarter_glasteal.webp</t>
  </si>
  <si>
    <t>Glasteal Ranseur</t>
  </si>
  <si>
    <t>modules/a-knights-dream/Item/equip_weapon_ranseur_glasteal.webp</t>
  </si>
  <si>
    <t>Glasteal Rapier</t>
  </si>
  <si>
    <t>modules/a-knights-dream/Item/equip_weapon_rapier_glasteal.webp</t>
  </si>
  <si>
    <t>Glasteal Recurve Bow</t>
  </si>
  <si>
    <t>modules/a-knights-dream/Item/equip_weapon_bow_recurve_glasteal.webp</t>
  </si>
  <si>
    <t>Glasteal Repeater Crossbow</t>
  </si>
  <si>
    <t>modules/a-knights-dream/Item/equip_weapon_crossbow_repeater_glasteal.webp</t>
  </si>
  <si>
    <t>Glasteal Sabre</t>
  </si>
  <si>
    <t>modules/a-knights-dream/Item/equip_weapon_sabre_glasteal.webp</t>
  </si>
  <si>
    <t>Glasteal Scimitar</t>
  </si>
  <si>
    <t>modules/a-knights-dream/Item/equip_weapon_scimitar_glasteal.webp</t>
  </si>
  <si>
    <t>Glasteal Scythe</t>
  </si>
  <si>
    <t>modules/a-knights-dream/Item/equip_weapon_scythe_glasteal.webp</t>
  </si>
  <si>
    <t>Glasteal Short Bow</t>
  </si>
  <si>
    <t>modules/a-knights-dream/Item/equip_weapon_bow_short_glasteal.webp</t>
  </si>
  <si>
    <t>Glasteal Short Spear</t>
  </si>
  <si>
    <t>modules/a-knights-dream/Item/equip_weapon_spear_short_glasteal.webp</t>
  </si>
  <si>
    <t>Glasteal Short Sword</t>
  </si>
  <si>
    <t>modules/a-knights-dream/Item/equip_weapon_sword_short_glasteal.webp</t>
  </si>
  <si>
    <t>Glasteal Shotel</t>
  </si>
  <si>
    <t>modules/a-knights-dream/Item/equip_weapon_shotel_glasteal.webp</t>
  </si>
  <si>
    <t>Glasteal Sickle</t>
  </si>
  <si>
    <t>modules/a-knights-dream/Item/equip_weapon_sickle_glasteal.webp</t>
  </si>
  <si>
    <t>Glasteal Sling</t>
  </si>
  <si>
    <t>modules/a-knights-dream/Item/equip_weapon_sling_glasteal.webp</t>
  </si>
  <si>
    <t>Glasteal Staff</t>
  </si>
  <si>
    <t>modules/a-knights-dream/Item/equip_weapon_staff_glasteal.webp</t>
  </si>
  <si>
    <t>Glasteal Staff Sling</t>
  </si>
  <si>
    <t>modules/a-knights-dream/Item/equip_weapon_sling_staff_glasteal.webp</t>
  </si>
  <si>
    <t>Glasteal Sword</t>
  </si>
  <si>
    <t>modules/a-knights-dream/Item/equip_weapon_sword_glasteal.webp</t>
  </si>
  <si>
    <t>Glasteal Tapal</t>
  </si>
  <si>
    <t>modules/a-knights-dream/Item/equip_weapon_tapal_glasteal.webp</t>
  </si>
  <si>
    <t>Glasteal Trident</t>
  </si>
  <si>
    <t>modules/a-knights-dream/Item/equip_weapon_trident_glasteal.webp</t>
  </si>
  <si>
    <t>Glasteal War Hammer</t>
  </si>
  <si>
    <t>modules/a-knights-dream/Item/equip_weapon_hammer_war_glasteal.webp</t>
  </si>
  <si>
    <t>Glasteal War Pick</t>
  </si>
  <si>
    <t>modules/a-knights-dream/Item/equip_weapon_pick_war_glasteal.webp</t>
  </si>
  <si>
    <t>Glasteal Brigantine Cuirass</t>
  </si>
  <si>
    <t>modules/a-knights-dream/Item/equip_armor_brigantine_cuirass_glasteal.webp</t>
  </si>
  <si>
    <t>Glasteal Brigantine Gauntlets</t>
  </si>
  <si>
    <t>modules/a-knights-dream/Item/equip_armor_brigantine_gauntlets_glasteal.webp</t>
  </si>
  <si>
    <t>Glasteal Brigantine Greaves</t>
  </si>
  <si>
    <t>modules/a-knights-dream/Item/equip_armor_brigantine_greaves_glasteal.webp</t>
  </si>
  <si>
    <t>Glasteal Brigantine Helmet</t>
  </si>
  <si>
    <t>modules/a-knights-dream/Item/equip_armor_brigantine_helmet_glasteal.webp</t>
  </si>
  <si>
    <t>Glasteal Brigantine Pauldron</t>
  </si>
  <si>
    <t>modules/a-knights-dream/Item/equip_armor_brigantine_pauldron_glasteal.webp</t>
  </si>
  <si>
    <t>Glasteal Chainmail Cuirass</t>
  </si>
  <si>
    <t>modules/a-knights-dream/Item/equip_armor_chainmail_cuirass_glasteal.webp</t>
  </si>
  <si>
    <t>Glasteal Chainmail Gauntlets</t>
  </si>
  <si>
    <t>modules/a-knights-dream/Item/equip_armor_chainmail_gauntlets_glasteal.webp</t>
  </si>
  <si>
    <t>Glasteal Chainmail Greaves</t>
  </si>
  <si>
    <t>modules/a-knights-dream/Item/equip_armor_chainmail_greaves_glasteal.webp</t>
  </si>
  <si>
    <t>Glasteal Chainmail Helmet</t>
  </si>
  <si>
    <t>modules/a-knights-dream/Item/equip_armor_chainmail_helmet_glasteal.webp</t>
  </si>
  <si>
    <t>Glasteal Chainmail Pauldron</t>
  </si>
  <si>
    <t>modules/a-knights-dream/Item/equip_armor_chainmail_pauldron_glasteal.webp</t>
  </si>
  <si>
    <t>Glasteal Gamberson Cuirass</t>
  </si>
  <si>
    <t>modules/a-knights-dream/Item/equip_armor_gamberson_cuirass_glasteal.webp</t>
  </si>
  <si>
    <t>Glasteal Gamberson Gauntlets</t>
  </si>
  <si>
    <t>modules/a-knights-dream/Item/equip_armor_gamberson_gauntlets_glasteal.webp</t>
  </si>
  <si>
    <t>Glasteal Gamberson Greaves</t>
  </si>
  <si>
    <t>modules/a-knights-dream/Item/equip_armor_gamberson_greaves_glasteal.webp</t>
  </si>
  <si>
    <t>Glasteal Gamberson Helmet</t>
  </si>
  <si>
    <t>modules/a-knights-dream/Item/equip_armor_gamberson_helmet_glasteal.webp</t>
  </si>
  <si>
    <t>Glasteal Gamberson Pauldron</t>
  </si>
  <si>
    <t>modules/a-knights-dream/Item/equip_armor_gamberson_pauldron_glasteal.webp</t>
  </si>
  <si>
    <t>Glasteal Hauberk Cuirass</t>
  </si>
  <si>
    <t>modules/a-knights-dream/Item/equip_armor_hauberk_cuirass_glasteal.webp</t>
  </si>
  <si>
    <t>Glasteal Hauberk Gauntlets</t>
  </si>
  <si>
    <t>modules/a-knights-dream/Item/equip_armor_hauberk_gauntlets_glasteal.webp</t>
  </si>
  <si>
    <t>Glasteal Hauberk Greaves</t>
  </si>
  <si>
    <t>modules/a-knights-dream/Item/equip_armor_hauberk_greaves_glasteal.webp</t>
  </si>
  <si>
    <t>Glasteal Hauberk Helmet</t>
  </si>
  <si>
    <t>modules/a-knights-dream/Item/equip_armor_hauberk_helmet_glasteal.webp</t>
  </si>
  <si>
    <t>Glasteal Hauberk Pauldron</t>
  </si>
  <si>
    <t>modules/a-knights-dream/Item/equip_armor_hauberk_pauldron_glasteal.webp</t>
  </si>
  <si>
    <t>Glasteal Jack Cuirass</t>
  </si>
  <si>
    <t>modules/a-knights-dream/Item/equip_armor_jack_cuirass_glasteal.webp</t>
  </si>
  <si>
    <t>Glasteal Jack Gauntlets</t>
  </si>
  <si>
    <t>modules/a-knights-dream/Item/equip_armor_jack_gauntlets_glasteal.webp</t>
  </si>
  <si>
    <t>Glasteal Jack Greaves</t>
  </si>
  <si>
    <t>modules/a-knights-dream/Item/equip_armor_jack_greaves_glasteal.webp</t>
  </si>
  <si>
    <t>Glasteal Jack Helmet</t>
  </si>
  <si>
    <t>modules/a-knights-dream/Item/equip_armor_jack_helmet_glasteal.webp</t>
  </si>
  <si>
    <t>Glasteal Jack Pauldron</t>
  </si>
  <si>
    <t>modules/a-knights-dream/Item/equip_armor_jack_pauldron_glasteal.webp</t>
  </si>
  <si>
    <t>Glasteal Lamellar Cuirass</t>
  </si>
  <si>
    <t>modules/a-knights-dream/Item/equip_armor_lamellar_cuirass_glasteal.webp</t>
  </si>
  <si>
    <t>Glasteal Lamellar Gauntlets</t>
  </si>
  <si>
    <t>modules/a-knights-dream/Item/equip_armor_lamellar_gauntlets_glasteal.webp</t>
  </si>
  <si>
    <t>Glasteal Lamellar Greaves</t>
  </si>
  <si>
    <t>modules/a-knights-dream/Item/equip_armor_lamellar_greaves_glasteal.webp</t>
  </si>
  <si>
    <t>Glasteal Lamellar Helmet</t>
  </si>
  <si>
    <t>modules/a-knights-dream/Item/equip_armor_lamellar_helmet_glasteal.webp</t>
  </si>
  <si>
    <t>Glasteal Lamellar Pauldron</t>
  </si>
  <si>
    <t>modules/a-knights-dream/Item/equip_armor_lamellar_pauldron_glasteal.webp</t>
  </si>
  <si>
    <t>Glasteal Platemail Cuirass</t>
  </si>
  <si>
    <t>modules/a-knights-dream/Item/equip_armor_platemail_cuirass_glasteal.webp</t>
  </si>
  <si>
    <t>Glasteal Platemail Gauntlets</t>
  </si>
  <si>
    <t>modules/a-knights-dream/Item/equip_armor_platemail_gauntlets_glasteal.webp</t>
  </si>
  <si>
    <t>Glasteal Platemail Greaves</t>
  </si>
  <si>
    <t>modules/a-knights-dream/Item/equip_armor_platemail_greaves_glasteal.webp</t>
  </si>
  <si>
    <t>Glasteal Platemail Helmet</t>
  </si>
  <si>
    <t>modules/a-knights-dream/Item/equip_armor_platemail_helmet_glasteal.webp</t>
  </si>
  <si>
    <t>Glasteal Platemail Pauldron</t>
  </si>
  <si>
    <t>modules/a-knights-dream/Item/equip_armor_platemail_pauldron_glasteal.webp</t>
  </si>
  <si>
    <t>Glasteal Tunic Cuirass</t>
  </si>
  <si>
    <t>modules/a-knights-dream/Item/equip_armor_tunic_cuirass_glasteal.webp</t>
  </si>
  <si>
    <t>Glasteal Tunic Gauntlets</t>
  </si>
  <si>
    <t>modules/a-knights-dream/Item/equip_armor_tunic_gauntlets_glasteal.webp</t>
  </si>
  <si>
    <t>Glasteal Tunic Greaves</t>
  </si>
  <si>
    <t>modules/a-knights-dream/Item/equip_armor_tunic_greaves_glasteal.webp</t>
  </si>
  <si>
    <t>Glasteal Tunic Helmet</t>
  </si>
  <si>
    <t>modules/a-knights-dream/Item/equip_armor_tunic_helmet_glasteal.webp</t>
  </si>
  <si>
    <t>Glasteal Tunic Pauldron</t>
  </si>
  <si>
    <t>modules/a-knights-dream/Item/equip_armor_tunic_pauldron_glasteal.webp</t>
  </si>
  <si>
    <t>Glasteal Buckler Shield</t>
  </si>
  <si>
    <t>modules/a-knights-dream/Item/equip_armor_shield_buckler_glasteal.webp</t>
  </si>
  <si>
    <t>Glasteal Heater Shield</t>
  </si>
  <si>
    <t>modules/a-knights-dream/Item/equip_armor_shield_heater_glasteal.webp</t>
  </si>
  <si>
    <t>Glasteal Kite Shield</t>
  </si>
  <si>
    <t>modules/a-knights-dream/Item/equip_armor_shield_kite_glasteal.webp</t>
  </si>
  <si>
    <t>Glasteal Oval Shield</t>
  </si>
  <si>
    <t>modules/a-knights-dream/Item/equip_armor_shield_oval_glasteal.webp</t>
  </si>
  <si>
    <t>Glasteal Round Shield</t>
  </si>
  <si>
    <t>modules/a-knights-dream/Item/equip_armor_shield_round_glasteal.webp</t>
  </si>
  <si>
    <t>Glasteal Tower Shield</t>
  </si>
  <si>
    <t>modules/a-knights-dream/Item/equip_armor_shield_tower_glasteal.webp</t>
  </si>
  <si>
    <t>Lass</t>
  </si>
  <si>
    <t>Lass Ball Bearings</t>
  </si>
  <si>
    <t>modules/a-knights-dream/Item/equip_weapon_bearings_lass.webp</t>
  </si>
  <si>
    <t>Lass Bardiche</t>
  </si>
  <si>
    <t>modules/a-knights-dream/Item/equip_weapon_bardiche_lass.webp</t>
  </si>
  <si>
    <t>Lass Bastard Sword</t>
  </si>
  <si>
    <t>modules/a-knights-dream/Item/equip_weapon_sword_bastard_lass.webp</t>
  </si>
  <si>
    <t>Lass Battle Axe</t>
  </si>
  <si>
    <t>modules/a-knights-dream/Item/equip_weapon_axe_battle_lass.webp</t>
  </si>
  <si>
    <t>Lass Blowgun</t>
  </si>
  <si>
    <t>modules/a-knights-dream/Item/equip_weapon_blowgun_lass.webp</t>
  </si>
  <si>
    <t>Lass Bolt</t>
  </si>
  <si>
    <t>modules/a-knights-dream/Item/equip_weapon_bolt_lass.webp</t>
  </si>
  <si>
    <t>Lass Boomerang</t>
  </si>
  <si>
    <t>modules/a-knights-dream/Item/equip_weapon_boomerang_lass.webp</t>
  </si>
  <si>
    <t>Lass Bow</t>
  </si>
  <si>
    <t>modules/a-knights-dream/Item/equip_weapon_bow_lass.webp</t>
  </si>
  <si>
    <t>Lass Caltrops</t>
  </si>
  <si>
    <t>modules/a-knights-dream/Item/equip_weapon_caltrops_lass.webp</t>
  </si>
  <si>
    <t>Lass Cestus</t>
  </si>
  <si>
    <t>modules/a-knights-dream/Item/equip_weapon_cestus_lass.webp</t>
  </si>
  <si>
    <t>Lass Chain</t>
  </si>
  <si>
    <t>modules/a-knights-dream/Item/equip_weapon_chain_lass.webp</t>
  </si>
  <si>
    <t>Lass Claymore</t>
  </si>
  <si>
    <t>modules/a-knights-dream/Item/equip_weapon_claymore_lass.webp</t>
  </si>
  <si>
    <t>Lass Club</t>
  </si>
  <si>
    <t>modules/a-knights-dream/Item/equip_weapon_club_lass.webp</t>
  </si>
  <si>
    <t>Lass Compound Bow</t>
  </si>
  <si>
    <t>modules/a-knights-dream/Item/equip_weapon_bow_compound_lass.webp</t>
  </si>
  <si>
    <t>Lass Cutlass</t>
  </si>
  <si>
    <t>modules/a-knights-dream/Item/equip_weapon_cutlass_lass.webp</t>
  </si>
  <si>
    <t>Lass Dagger</t>
  </si>
  <si>
    <t>modules/a-knights-dream/Item/equip_weapon_dagger_lass.webp</t>
  </si>
  <si>
    <t>Lass Dart</t>
  </si>
  <si>
    <t>modules/a-knights-dream/Item/equip_weapon_dart_lass.webp</t>
  </si>
  <si>
    <t>Lass Fauchard Scythe</t>
  </si>
  <si>
    <t>modules/a-knights-dream/Item/equip_weapon_scythe_fauchard_lass.webp</t>
  </si>
  <si>
    <t>Lass Flail</t>
  </si>
  <si>
    <t>modules/a-knights-dream/Item/equip_weapon_flail_lass.webp</t>
  </si>
  <si>
    <t>Lass Glaive</t>
  </si>
  <si>
    <t>modules/a-knights-dream/Item/equip_weapon_glaive_lass.webp</t>
  </si>
  <si>
    <t>Lass Grapple Hook</t>
  </si>
  <si>
    <t>modules/a-knights-dream/Item/equip_weapon_hook_grapple_lass.webp</t>
  </si>
  <si>
    <t>Lass Great Axe</t>
  </si>
  <si>
    <t>modules/a-knights-dream/Item/equip_weapon_axe_great_lass.webp</t>
  </si>
  <si>
    <t>Lass Great Club</t>
  </si>
  <si>
    <t>modules/a-knights-dream/Item/equip_weapon_club_great_lass.webp</t>
  </si>
  <si>
    <t>Lass Great Khyber</t>
  </si>
  <si>
    <t>modules/a-knights-dream/Item/equip_weapon_khyber_great_lass.webp</t>
  </si>
  <si>
    <t>Lass Great Konda</t>
  </si>
  <si>
    <t>modules/a-knights-dream/Item/equip_weapon_konda_great_lass.webp</t>
  </si>
  <si>
    <t>Lass Great Labrys</t>
  </si>
  <si>
    <t>modules/a-knights-dream/Item/equip_weapon_axe_labrys_great_lass.webp</t>
  </si>
  <si>
    <t>Lass Great Mace</t>
  </si>
  <si>
    <t>modules/a-knights-dream/Item/equip_weapon_mace_great_lass.webp</t>
  </si>
  <si>
    <t>Lass Great Tapal</t>
  </si>
  <si>
    <t>modules/a-knights-dream/Item/equip_weapon_tapal_great_lass.webp</t>
  </si>
  <si>
    <t>Lass Great War Bow</t>
  </si>
  <si>
    <t>modules/a-knights-dream/Item/equip_weapon_bow_war_great_lass.webp</t>
  </si>
  <si>
    <t>Lass Great War Hammer</t>
  </si>
  <si>
    <t>modules/a-knights-dream/Item/equip_weapon_hammer_war_great_lass.webp</t>
  </si>
  <si>
    <t>Lass Great War Pick</t>
  </si>
  <si>
    <t>modules/a-knights-dream/Item/equip_weapon_pick_war_great_lass.webp</t>
  </si>
  <si>
    <t>Lass Guisarme</t>
  </si>
  <si>
    <t>modules/a-knights-dream/Item/equip_weapon_guisarme_lass.webp</t>
  </si>
  <si>
    <t>Lass Halberd</t>
  </si>
  <si>
    <t>modules/a-knights-dream/Item/equip_weapon_halberd_lass.webp</t>
  </si>
  <si>
    <t>Lass Hand Crossbow</t>
  </si>
  <si>
    <t>modules/a-knights-dream/Item/equip_weapon_crossbow_hand_lass.webp</t>
  </si>
  <si>
    <t>Lass Hand axe</t>
  </si>
  <si>
    <t>modules/a-knights-dream/Item/equip_weapon_axe_hand_lass.webp</t>
  </si>
  <si>
    <t>Lass Heavy Crossbow</t>
  </si>
  <si>
    <t>modules/a-knights-dream/Item/equip_weapon_crossbow_heavy_lass.webp</t>
  </si>
  <si>
    <t>Lass Hunting Trap</t>
  </si>
  <si>
    <t>modules/a-knights-dream/Item/equip_weapon_trap_hunting_lass.webp</t>
  </si>
  <si>
    <t>Lass Hunting Trap (Large)</t>
  </si>
  <si>
    <t>modules/a-knights-dream/Item/equip_weapon_trap_hunting_large_lass.webp</t>
  </si>
  <si>
    <t>Lass Hunting Trap (Small)</t>
  </si>
  <si>
    <t>modules/a-knights-dream/Item/equip_weapon_trap_hunting_small_lass.webp</t>
  </si>
  <si>
    <t>Lass Javelin</t>
  </si>
  <si>
    <t>modules/a-knights-dream/Item/equip_weapon_javelin_lass.webp</t>
  </si>
  <si>
    <t>Lass Khpesh</t>
  </si>
  <si>
    <t>modules/a-knights-dream/Item/equip_weapon_khpesh_lass.webp</t>
  </si>
  <si>
    <t>Lass Khyber</t>
  </si>
  <si>
    <t>modules/a-knights-dream/Item/equip_weapon_khyber_lass.webp</t>
  </si>
  <si>
    <t>Lass Konda</t>
  </si>
  <si>
    <t>modules/a-knights-dream/Item/equip_weapon_konda_lass.webp</t>
  </si>
  <si>
    <t>Lass Labrys</t>
  </si>
  <si>
    <t>modules/a-knights-dream/Item/equip_weapon_axe_labrys_lass.webp</t>
  </si>
  <si>
    <t>Lass Lance</t>
  </si>
  <si>
    <t>modules/a-knights-dream/Item/equip_weapon_lance_lass.webp</t>
  </si>
  <si>
    <t>Lass Light Crossbow</t>
  </si>
  <si>
    <t>modules/a-knights-dream/Item/equip_weapon_crossbow_light_lass.webp</t>
  </si>
  <si>
    <t>Lass Long Bow</t>
  </si>
  <si>
    <t>modules/a-knights-dream/Item/equip_weapon_bow_long_lass.webp</t>
  </si>
  <si>
    <t>Lass Long Spear</t>
  </si>
  <si>
    <t>modules/a-knights-dream/Item/equip_weapon_spear_long_lass.webp</t>
  </si>
  <si>
    <t>Lass Lucerince Hammer</t>
  </si>
  <si>
    <t>modules/a-knights-dream/Item/equip_weapon_hammer_lucerince_lass.webp</t>
  </si>
  <si>
    <t>Lass Mace</t>
  </si>
  <si>
    <t>modules/a-knights-dream/Item/equip_weapon_mace_lass.webp</t>
  </si>
  <si>
    <t>Lass Morningstar</t>
  </si>
  <si>
    <t>modules/a-knights-dream/Item/equip_weapon_morningstar_lass.webp</t>
  </si>
  <si>
    <t>Lass Pike</t>
  </si>
  <si>
    <t>modules/a-knights-dream/Item/equip_weapon_pike_lass.webp</t>
  </si>
  <si>
    <t>Lass Quarter Staff</t>
  </si>
  <si>
    <t>modules/a-knights-dream/Item/equip_weapon_staff_quarter_lass.webp</t>
  </si>
  <si>
    <t>Lass Ranseur</t>
  </si>
  <si>
    <t>modules/a-knights-dream/Item/equip_weapon_ranseur_lass.webp</t>
  </si>
  <si>
    <t>Lass Rapier</t>
  </si>
  <si>
    <t>modules/a-knights-dream/Item/equip_weapon_rapier_lass.webp</t>
  </si>
  <si>
    <t>Lass Recurve Bow</t>
  </si>
  <si>
    <t>modules/a-knights-dream/Item/equip_weapon_bow_recurve_lass.webp</t>
  </si>
  <si>
    <t>Lass Repeater Crossbow</t>
  </si>
  <si>
    <t>modules/a-knights-dream/Item/equip_weapon_crossbow_repeater_lass.webp</t>
  </si>
  <si>
    <t>Lass Sabre</t>
  </si>
  <si>
    <t>modules/a-knights-dream/Item/equip_weapon_sabre_lass.webp</t>
  </si>
  <si>
    <t>Lass Scimitar</t>
  </si>
  <si>
    <t>modules/a-knights-dream/Item/equip_weapon_scimitar_lass.webp</t>
  </si>
  <si>
    <t>Lass Scythe</t>
  </si>
  <si>
    <t>modules/a-knights-dream/Item/equip_weapon_scythe_lass.webp</t>
  </si>
  <si>
    <t>Lass Short Bow</t>
  </si>
  <si>
    <t>modules/a-knights-dream/Item/equip_weapon_bow_short_lass.webp</t>
  </si>
  <si>
    <t>Lass Short Spear</t>
  </si>
  <si>
    <t>modules/a-knights-dream/Item/equip_weapon_spear_short_lass.webp</t>
  </si>
  <si>
    <t>Lass Short Sword</t>
  </si>
  <si>
    <t>modules/a-knights-dream/Item/equip_weapon_sword_short_lass.webp</t>
  </si>
  <si>
    <t>Lass Shotel</t>
  </si>
  <si>
    <t>modules/a-knights-dream/Item/equip_weapon_shotel_lass.webp</t>
  </si>
  <si>
    <t>Lass Sickle</t>
  </si>
  <si>
    <t>modules/a-knights-dream/Item/equip_weapon_sickle_lass.webp</t>
  </si>
  <si>
    <t>Lass Sling</t>
  </si>
  <si>
    <t>modules/a-knights-dream/Item/equip_weapon_sling_lass.webp</t>
  </si>
  <si>
    <t>Lass Staff</t>
  </si>
  <si>
    <t>modules/a-knights-dream/Item/equip_weapon_staff_lass.webp</t>
  </si>
  <si>
    <t>Lass Staff Sling</t>
  </si>
  <si>
    <t>modules/a-knights-dream/Item/equip_weapon_sling_staff_lass.webp</t>
  </si>
  <si>
    <t>Lass Sword</t>
  </si>
  <si>
    <t>modules/a-knights-dream/Item/equip_weapon_sword_lass.webp</t>
  </si>
  <si>
    <t>Lass Tapal</t>
  </si>
  <si>
    <t>modules/a-knights-dream/Item/equip_weapon_tapal_lass.webp</t>
  </si>
  <si>
    <t>Lass Trident</t>
  </si>
  <si>
    <t>modules/a-knights-dream/Item/equip_weapon_trident_lass.webp</t>
  </si>
  <si>
    <t>Lass War Hammer</t>
  </si>
  <si>
    <t>modules/a-knights-dream/Item/equip_weapon_hammer_war_lass.webp</t>
  </si>
  <si>
    <t>Lass War Pick</t>
  </si>
  <si>
    <t>modules/a-knights-dream/Item/equip_weapon_pick_war_lass.webp</t>
  </si>
  <si>
    <t>Lass Brigantine Cuirass</t>
  </si>
  <si>
    <t>modules/a-knights-dream/Item/equip_armor_brigantine_cuirass_lass.webp</t>
  </si>
  <si>
    <t>Lass Brigantine Gauntlets</t>
  </si>
  <si>
    <t>modules/a-knights-dream/Item/equip_armor_brigantine_gauntlets_lass.webp</t>
  </si>
  <si>
    <t>Lass Brigantine Greaves</t>
  </si>
  <si>
    <t>modules/a-knights-dream/Item/equip_armor_brigantine_greaves_lass.webp</t>
  </si>
  <si>
    <t>Lass Brigantine Helmet</t>
  </si>
  <si>
    <t>modules/a-knights-dream/Item/equip_armor_brigantine_helmet_lass.webp</t>
  </si>
  <si>
    <t>Lass Brigantine Pauldron</t>
  </si>
  <si>
    <t>modules/a-knights-dream/Item/equip_armor_brigantine_pauldron_lass.webp</t>
  </si>
  <si>
    <t>Lass Chainmail Cuirass</t>
  </si>
  <si>
    <t>modules/a-knights-dream/Item/equip_armor_chainmail_cuirass_lass.webp</t>
  </si>
  <si>
    <t>Lass Chainmail Gauntlets</t>
  </si>
  <si>
    <t>modules/a-knights-dream/Item/equip_armor_chainmail_gauntlets_lass.webp</t>
  </si>
  <si>
    <t>Lass Chainmail Greaves</t>
  </si>
  <si>
    <t>modules/a-knights-dream/Item/equip_armor_chainmail_greaves_lass.webp</t>
  </si>
  <si>
    <t>Lass Chainmail Helmet</t>
  </si>
  <si>
    <t>modules/a-knights-dream/Item/equip_armor_chainmail_helmet_lass.webp</t>
  </si>
  <si>
    <t>Lass Chainmail Pauldron</t>
  </si>
  <si>
    <t>modules/a-knights-dream/Item/equip_armor_chainmail_pauldron_lass.webp</t>
  </si>
  <si>
    <t>Lass Gamberson Cuirass</t>
  </si>
  <si>
    <t>modules/a-knights-dream/Item/equip_armor_gamberson_cuirass_lass.webp</t>
  </si>
  <si>
    <t>Lass Gamberson Gauntlets</t>
  </si>
  <si>
    <t>modules/a-knights-dream/Item/equip_armor_gamberson_gauntlets_lass.webp</t>
  </si>
  <si>
    <t>Lass Gamberson Greaves</t>
  </si>
  <si>
    <t>modules/a-knights-dream/Item/equip_armor_gamberson_greaves_lass.webp</t>
  </si>
  <si>
    <t>Lass Gamberson Helmet</t>
  </si>
  <si>
    <t>modules/a-knights-dream/Item/equip_armor_gamberson_helmet_lass.webp</t>
  </si>
  <si>
    <t>Lass Gamberson Pauldron</t>
  </si>
  <si>
    <t>modules/a-knights-dream/Item/equip_armor_gamberson_pauldron_lass.webp</t>
  </si>
  <si>
    <t>Lass Hauberk Cuirass</t>
  </si>
  <si>
    <t>modules/a-knights-dream/Item/equip_armor_hauberk_cuirass_lass.webp</t>
  </si>
  <si>
    <t>Lass Hauberk Gauntlets</t>
  </si>
  <si>
    <t>modules/a-knights-dream/Item/equip_armor_hauberk_gauntlets_lass.webp</t>
  </si>
  <si>
    <t>Lass Hauberk Greaves</t>
  </si>
  <si>
    <t>modules/a-knights-dream/Item/equip_armor_hauberk_greaves_lass.webp</t>
  </si>
  <si>
    <t>Lass Hauberk Helmet</t>
  </si>
  <si>
    <t>modules/a-knights-dream/Item/equip_armor_hauberk_helmet_lass.webp</t>
  </si>
  <si>
    <t>Lass Hauberk Pauldron</t>
  </si>
  <si>
    <t>modules/a-knights-dream/Item/equip_armor_hauberk_pauldron_lass.webp</t>
  </si>
  <si>
    <t>Lass Jack Cuirass</t>
  </si>
  <si>
    <t>modules/a-knights-dream/Item/equip_armor_jack_cuirass_lass.webp</t>
  </si>
  <si>
    <t>Lass Jack Gauntlets</t>
  </si>
  <si>
    <t>modules/a-knights-dream/Item/equip_armor_jack_gauntlets_lass.webp</t>
  </si>
  <si>
    <t>Lass Jack Greaves</t>
  </si>
  <si>
    <t>modules/a-knights-dream/Item/equip_armor_jack_greaves_lass.webp</t>
  </si>
  <si>
    <t>Lass Jack Helmet</t>
  </si>
  <si>
    <t>modules/a-knights-dream/Item/equip_armor_jack_helmet_lass.webp</t>
  </si>
  <si>
    <t>Lass Jack Pauldron</t>
  </si>
  <si>
    <t>modules/a-knights-dream/Item/equip_armor_jack_pauldron_lass.webp</t>
  </si>
  <si>
    <t>Lass Lamellar Cuirass</t>
  </si>
  <si>
    <t>modules/a-knights-dream/Item/equip_armor_lamellar_cuirass_lass.webp</t>
  </si>
  <si>
    <t>Lass Lamellar Gauntlets</t>
  </si>
  <si>
    <t>modules/a-knights-dream/Item/equip_armor_lamellar_gauntlets_lass.webp</t>
  </si>
  <si>
    <t>Lass Lamellar Greaves</t>
  </si>
  <si>
    <t>modules/a-knights-dream/Item/equip_armor_lamellar_greaves_lass.webp</t>
  </si>
  <si>
    <t>Lass Lamellar Helmet</t>
  </si>
  <si>
    <t>modules/a-knights-dream/Item/equip_armor_lamellar_helmet_lass.webp</t>
  </si>
  <si>
    <t>Lass Lamellar Pauldron</t>
  </si>
  <si>
    <t>modules/a-knights-dream/Item/equip_armor_lamellar_pauldron_lass.webp</t>
  </si>
  <si>
    <t>Lass Platemail Cuirass</t>
  </si>
  <si>
    <t>modules/a-knights-dream/Item/equip_armor_platemail_cuirass_lass.webp</t>
  </si>
  <si>
    <t>Lass Platemail Gauntlets</t>
  </si>
  <si>
    <t>modules/a-knights-dream/Item/equip_armor_platemail_gauntlets_lass.webp</t>
  </si>
  <si>
    <t>Lass Platemail Greaves</t>
  </si>
  <si>
    <t>modules/a-knights-dream/Item/equip_armor_platemail_greaves_lass.webp</t>
  </si>
  <si>
    <t>Lass Platemail Helmet</t>
  </si>
  <si>
    <t>modules/a-knights-dream/Item/equip_armor_platemail_helmet_lass.webp</t>
  </si>
  <si>
    <t>Lass Platemail Pauldron</t>
  </si>
  <si>
    <t>modules/a-knights-dream/Item/equip_armor_platemail_pauldron_lass.webp</t>
  </si>
  <si>
    <t>Lass Tunic Cuirass</t>
  </si>
  <si>
    <t>modules/a-knights-dream/Item/equip_armor_tunic_cuirass_lass.webp</t>
  </si>
  <si>
    <t>Lass Tunic Gauntlets</t>
  </si>
  <si>
    <t>modules/a-knights-dream/Item/equip_armor_tunic_gauntlets_lass.webp</t>
  </si>
  <si>
    <t>Lass Tunic Greaves</t>
  </si>
  <si>
    <t>modules/a-knights-dream/Item/equip_armor_tunic_greaves_lass.webp</t>
  </si>
  <si>
    <t>Lass Tunic Helmet</t>
  </si>
  <si>
    <t>modules/a-knights-dream/Item/equip_armor_tunic_helmet_lass.webp</t>
  </si>
  <si>
    <t>Lass Tunic Pauldron</t>
  </si>
  <si>
    <t>modules/a-knights-dream/Item/equip_armor_tunic_pauldron_lass.webp</t>
  </si>
  <si>
    <t>Lass Buckler Shield</t>
  </si>
  <si>
    <t>modules/a-knights-dream/Item/equip_armor_shield_buckler_lass.webp</t>
  </si>
  <si>
    <t>Lass Heater Shield</t>
  </si>
  <si>
    <t>modules/a-knights-dream/Item/equip_armor_shield_heater_lass.webp</t>
  </si>
  <si>
    <t>Lass Kite Shield</t>
  </si>
  <si>
    <t>modules/a-knights-dream/Item/equip_armor_shield_kite_lass.webp</t>
  </si>
  <si>
    <t>Lass Oval Shield</t>
  </si>
  <si>
    <t>modules/a-knights-dream/Item/equip_armor_shield_oval_lass.webp</t>
  </si>
  <si>
    <t>Lass Round Shield</t>
  </si>
  <si>
    <t>modules/a-knights-dream/Item/equip_armor_shield_round_lass.webp</t>
  </si>
  <si>
    <t>Lass Tower Shield</t>
  </si>
  <si>
    <t>modules/a-knights-dream/Item/equip_armor_shield_tower_lass.webp</t>
  </si>
  <si>
    <t>Plutite</t>
  </si>
  <si>
    <t>Plutite Ball Bearings</t>
  </si>
  <si>
    <t>modules/a-knights-dream/Item/equip_weapon_bearings_plutite.webp</t>
  </si>
  <si>
    <t>Plutite Bardiche</t>
  </si>
  <si>
    <t>modules/a-knights-dream/Item/equip_weapon_bardiche_plutite.webp</t>
  </si>
  <si>
    <t>Plutite Bastard Sword</t>
  </si>
  <si>
    <t>modules/a-knights-dream/Item/equip_weapon_sword_bastard_plutite.webp</t>
  </si>
  <si>
    <t>Plutite Battle Axe</t>
  </si>
  <si>
    <t>modules/a-knights-dream/Item/equip_weapon_axe_battle_plutite.webp</t>
  </si>
  <si>
    <t>Plutite Blowgun</t>
  </si>
  <si>
    <t>modules/a-knights-dream/Item/equip_weapon_blowgun_plutite.webp</t>
  </si>
  <si>
    <t>Plutite Bolt</t>
  </si>
  <si>
    <t>modules/a-knights-dream/Item/equip_weapon_bolt_plutite.webp</t>
  </si>
  <si>
    <t>Plutite Boomerang</t>
  </si>
  <si>
    <t>modules/a-knights-dream/Item/equip_weapon_boomerang_plutite.webp</t>
  </si>
  <si>
    <t>Plutite Bow</t>
  </si>
  <si>
    <t>modules/a-knights-dream/Item/equip_weapon_bow_plutite.webp</t>
  </si>
  <si>
    <t>Plutite Caltrops</t>
  </si>
  <si>
    <t>modules/a-knights-dream/Item/equip_weapon_caltrops_plutite.webp</t>
  </si>
  <si>
    <t>Plutite Cestus</t>
  </si>
  <si>
    <t>modules/a-knights-dream/Item/equip_weapon_cestus_plutite.webp</t>
  </si>
  <si>
    <t>Plutite Chain</t>
  </si>
  <si>
    <t>modules/a-knights-dream/Item/equip_weapon_chain_plutite.webp</t>
  </si>
  <si>
    <t>Plutite Claymore</t>
  </si>
  <si>
    <t>modules/a-knights-dream/Item/equip_weapon_claymore_plutite.webp</t>
  </si>
  <si>
    <t>Plutite Club</t>
  </si>
  <si>
    <t>modules/a-knights-dream/Item/equip_weapon_club_plutite.webp</t>
  </si>
  <si>
    <t>Plutite Compound Bow</t>
  </si>
  <si>
    <t>modules/a-knights-dream/Item/equip_weapon_bow_compound_plutite.webp</t>
  </si>
  <si>
    <t>Plutite Cutlass</t>
  </si>
  <si>
    <t>modules/a-knights-dream/Item/equip_weapon_cutlass_plutite.webp</t>
  </si>
  <si>
    <t>Plutite Dagger</t>
  </si>
  <si>
    <t>modules/a-knights-dream/Item/equip_weapon_dagger_plutite.webp</t>
  </si>
  <si>
    <t>Plutite Dart</t>
  </si>
  <si>
    <t>modules/a-knights-dream/Item/equip_weapon_dart_plutite.webp</t>
  </si>
  <si>
    <t>Plutite Fauchard Scythe</t>
  </si>
  <si>
    <t>modules/a-knights-dream/Item/equip_weapon_scythe_fauchard_plutite.webp</t>
  </si>
  <si>
    <t>Plutite Flail</t>
  </si>
  <si>
    <t>modules/a-knights-dream/Item/equip_weapon_flail_plutite.webp</t>
  </si>
  <si>
    <t>Plutite Glaive</t>
  </si>
  <si>
    <t>modules/a-knights-dream/Item/equip_weapon_glaive_plutite.webp</t>
  </si>
  <si>
    <t>Plutite Grapple Hook</t>
  </si>
  <si>
    <t>modules/a-knights-dream/Item/equip_weapon_hook_grapple_plutite.webp</t>
  </si>
  <si>
    <t>Plutite Great Axe</t>
  </si>
  <si>
    <t>modules/a-knights-dream/Item/equip_weapon_axe_great_plutite.webp</t>
  </si>
  <si>
    <t>Plutite Great Club</t>
  </si>
  <si>
    <t>modules/a-knights-dream/Item/equip_weapon_club_great_plutite.webp</t>
  </si>
  <si>
    <t>Plutite Great Khyber</t>
  </si>
  <si>
    <t>modules/a-knights-dream/Item/equip_weapon_khyber_great_plutite.webp</t>
  </si>
  <si>
    <t>Plutite Great Konda</t>
  </si>
  <si>
    <t>modules/a-knights-dream/Item/equip_weapon_konda_great_plutite.webp</t>
  </si>
  <si>
    <t>Plutite Great Labrys</t>
  </si>
  <si>
    <t>modules/a-knights-dream/Item/equip_weapon_axe_labrys_great_plutite.webp</t>
  </si>
  <si>
    <t>Plutite Great Mace</t>
  </si>
  <si>
    <t>modules/a-knights-dream/Item/equip_weapon_mace_great_plutite.webp</t>
  </si>
  <si>
    <t>Plutite Great Tapal</t>
  </si>
  <si>
    <t>modules/a-knights-dream/Item/equip_weapon_tapal_great_plutite.webp</t>
  </si>
  <si>
    <t>Plutite Great War Bow</t>
  </si>
  <si>
    <t>modules/a-knights-dream/Item/equip_weapon_bow_war_great_plutite.webp</t>
  </si>
  <si>
    <t>Plutite Great War Hammer</t>
  </si>
  <si>
    <t>modules/a-knights-dream/Item/equip_weapon_hammer_war_great_plutite.webp</t>
  </si>
  <si>
    <t>Plutite Great War Pick</t>
  </si>
  <si>
    <t>modules/a-knights-dream/Item/equip_weapon_pick_war_great_plutite.webp</t>
  </si>
  <si>
    <t>Plutite Guisarme</t>
  </si>
  <si>
    <t>modules/a-knights-dream/Item/equip_weapon_guisarme_plutite.webp</t>
  </si>
  <si>
    <t>Plutite Halberd</t>
  </si>
  <si>
    <t>modules/a-knights-dream/Item/equip_weapon_halberd_plutite.webp</t>
  </si>
  <si>
    <t>Plutite Hand Crossbow</t>
  </si>
  <si>
    <t>modules/a-knights-dream/Item/equip_weapon_crossbow_hand_plutite.webp</t>
  </si>
  <si>
    <t>Plutite Hand axe</t>
  </si>
  <si>
    <t>modules/a-knights-dream/Item/equip_weapon_axe_hand_plutite.webp</t>
  </si>
  <si>
    <t>Plutite Heavy Crossbow</t>
  </si>
  <si>
    <t>modules/a-knights-dream/Item/equip_weapon_crossbow_heavy_plutite.webp</t>
  </si>
  <si>
    <t>Plutite Hunting Trap</t>
  </si>
  <si>
    <t>modules/a-knights-dream/Item/equip_weapon_trap_hunting_plutite.webp</t>
  </si>
  <si>
    <t>Plutite Hunting Trap (Large)</t>
  </si>
  <si>
    <t>modules/a-knights-dream/Item/equip_weapon_trap_hunting_large_plutite.webp</t>
  </si>
  <si>
    <t>Plutite Hunting Trap (Small)</t>
  </si>
  <si>
    <t>modules/a-knights-dream/Item/equip_weapon_trap_hunting_small_plutite.webp</t>
  </si>
  <si>
    <t>Plutite Javelin</t>
  </si>
  <si>
    <t>modules/a-knights-dream/Item/equip_weapon_javelin_plutite.webp</t>
  </si>
  <si>
    <t>Plutite Khpesh</t>
  </si>
  <si>
    <t>modules/a-knights-dream/Item/equip_weapon_khpesh_plutite.webp</t>
  </si>
  <si>
    <t>Plutite Khyber</t>
  </si>
  <si>
    <t>modules/a-knights-dream/Item/equip_weapon_khyber_plutite.webp</t>
  </si>
  <si>
    <t>Plutite Konda</t>
  </si>
  <si>
    <t>modules/a-knights-dream/Item/equip_weapon_konda_plutite.webp</t>
  </si>
  <si>
    <t>Plutite Labrys</t>
  </si>
  <si>
    <t>modules/a-knights-dream/Item/equip_weapon_axe_labrys_plutite.webp</t>
  </si>
  <si>
    <t>Plutite Lance</t>
  </si>
  <si>
    <t>modules/a-knights-dream/Item/equip_weapon_lance_plutite.webp</t>
  </si>
  <si>
    <t>Plutite Light Crossbow</t>
  </si>
  <si>
    <t>modules/a-knights-dream/Item/equip_weapon_crossbow_light_plutite.webp</t>
  </si>
  <si>
    <t>Plutite Long Bow</t>
  </si>
  <si>
    <t>modules/a-knights-dream/Item/equip_weapon_bow_long_plutite.webp</t>
  </si>
  <si>
    <t>Plutite Long Spear</t>
  </si>
  <si>
    <t>modules/a-knights-dream/Item/equip_weapon_spear_long_plutite.webp</t>
  </si>
  <si>
    <t>Plutite Lucerince Hammer</t>
  </si>
  <si>
    <t>modules/a-knights-dream/Item/equip_weapon_hammer_lucerince_plutite.webp</t>
  </si>
  <si>
    <t>Plutite Mace</t>
  </si>
  <si>
    <t>modules/a-knights-dream/Item/equip_weapon_mace_plutite.webp</t>
  </si>
  <si>
    <t>Plutite Morningstar</t>
  </si>
  <si>
    <t>modules/a-knights-dream/Item/equip_weapon_morningstar_plutite.webp</t>
  </si>
  <si>
    <t>Plutite Pike</t>
  </si>
  <si>
    <t>modules/a-knights-dream/Item/equip_weapon_pike_plutite.webp</t>
  </si>
  <si>
    <t>Plutite Quarter Staff</t>
  </si>
  <si>
    <t>modules/a-knights-dream/Item/equip_weapon_staff_quarter_plutite.webp</t>
  </si>
  <si>
    <t>Plutite Ranseur</t>
  </si>
  <si>
    <t>modules/a-knights-dream/Item/equip_weapon_ranseur_plutite.webp</t>
  </si>
  <si>
    <t>Plutite Rapier</t>
  </si>
  <si>
    <t>modules/a-knights-dream/Item/equip_weapon_rapier_plutite.webp</t>
  </si>
  <si>
    <t>Plutite Recurve Bow</t>
  </si>
  <si>
    <t>modules/a-knights-dream/Item/equip_weapon_bow_recurve_plutite.webp</t>
  </si>
  <si>
    <t>Plutite Repeater Crossbow</t>
  </si>
  <si>
    <t>modules/a-knights-dream/Item/equip_weapon_crossbow_repeater_plutite.webp</t>
  </si>
  <si>
    <t>Plutite Sabre</t>
  </si>
  <si>
    <t>modules/a-knights-dream/Item/equip_weapon_sabre_plutite.webp</t>
  </si>
  <si>
    <t>Plutite Scimitar</t>
  </si>
  <si>
    <t>modules/a-knights-dream/Item/equip_weapon_scimitar_plutite.webp</t>
  </si>
  <si>
    <t>Plutite Scythe</t>
  </si>
  <si>
    <t>modules/a-knights-dream/Item/equip_weapon_scythe_plutite.webp</t>
  </si>
  <si>
    <t>Plutite Short Bow</t>
  </si>
  <si>
    <t>modules/a-knights-dream/Item/equip_weapon_bow_short_plutite.webp</t>
  </si>
  <si>
    <t>Plutite Short Spear</t>
  </si>
  <si>
    <t>modules/a-knights-dream/Item/equip_weapon_spear_short_plutite.webp</t>
  </si>
  <si>
    <t>Plutite Short Sword</t>
  </si>
  <si>
    <t>modules/a-knights-dream/Item/equip_weapon_sword_short_plutite.webp</t>
  </si>
  <si>
    <t>Plutite Shotel</t>
  </si>
  <si>
    <t>modules/a-knights-dream/Item/equip_weapon_shotel_plutite.webp</t>
  </si>
  <si>
    <t>Plutite Sickle</t>
  </si>
  <si>
    <t>modules/a-knights-dream/Item/equip_weapon_sickle_plutite.webp</t>
  </si>
  <si>
    <t>Plutite Sling</t>
  </si>
  <si>
    <t>modules/a-knights-dream/Item/equip_weapon_sling_plutite.webp</t>
  </si>
  <si>
    <t>Plutite Staff</t>
  </si>
  <si>
    <t>modules/a-knights-dream/Item/equip_weapon_staff_plutite.webp</t>
  </si>
  <si>
    <t>Plutite Staff Sling</t>
  </si>
  <si>
    <t>modules/a-knights-dream/Item/equip_weapon_sling_staff_plutite.webp</t>
  </si>
  <si>
    <t>Plutite Sword</t>
  </si>
  <si>
    <t>modules/a-knights-dream/Item/equip_weapon_sword_plutite.webp</t>
  </si>
  <si>
    <t>Plutite Tapal</t>
  </si>
  <si>
    <t>modules/a-knights-dream/Item/equip_weapon_tapal_plutite.webp</t>
  </si>
  <si>
    <t>Plutite Trident</t>
  </si>
  <si>
    <t>modules/a-knights-dream/Item/equip_weapon_trident_plutite.webp</t>
  </si>
  <si>
    <t>Plutite War Hammer</t>
  </si>
  <si>
    <t>modules/a-knights-dream/Item/equip_weapon_hammer_war_plutite.webp</t>
  </si>
  <si>
    <t>Plutite War Pick</t>
  </si>
  <si>
    <t>modules/a-knights-dream/Item/equip_weapon_pick_war_plutite.webp</t>
  </si>
  <si>
    <t>Plutite Brigantine Cuirass</t>
  </si>
  <si>
    <t>modules/a-knights-dream/Item/equip_armor_brigantine_cuirass_plutite.webp</t>
  </si>
  <si>
    <t>Plutite Brigantine Gauntlets</t>
  </si>
  <si>
    <t>modules/a-knights-dream/Item/equip_armor_brigantine_gauntlets_plutite.webp</t>
  </si>
  <si>
    <t>Plutite Brigantine Greaves</t>
  </si>
  <si>
    <t>modules/a-knights-dream/Item/equip_armor_brigantine_greaves_plutite.webp</t>
  </si>
  <si>
    <t>Plutite Brigantine Helmet</t>
  </si>
  <si>
    <t>modules/a-knights-dream/Item/equip_armor_brigantine_helmet_plutite.webp</t>
  </si>
  <si>
    <t>Plutite Brigantine Pauldron</t>
  </si>
  <si>
    <t>modules/a-knights-dream/Item/equip_armor_brigantine_pauldron_plutite.webp</t>
  </si>
  <si>
    <t>Plutite Chainmail Cuirass</t>
  </si>
  <si>
    <t>modules/a-knights-dream/Item/equip_armor_chainmail_cuirass_plutite.webp</t>
  </si>
  <si>
    <t>Plutite Chainmail Gauntlets</t>
  </si>
  <si>
    <t>modules/a-knights-dream/Item/equip_armor_chainmail_gauntlets_plutite.webp</t>
  </si>
  <si>
    <t>Plutite Chainmail Greaves</t>
  </si>
  <si>
    <t>modules/a-knights-dream/Item/equip_armor_chainmail_greaves_plutite.webp</t>
  </si>
  <si>
    <t>Plutite Chainmail Helmet</t>
  </si>
  <si>
    <t>modules/a-knights-dream/Item/equip_armor_chainmail_helmet_plutite.webp</t>
  </si>
  <si>
    <t>Plutite Chainmail Pauldron</t>
  </si>
  <si>
    <t>modules/a-knights-dream/Item/equip_armor_chainmail_pauldron_plutite.webp</t>
  </si>
  <si>
    <t>Plutite Gamberson Cuirass</t>
  </si>
  <si>
    <t>modules/a-knights-dream/Item/equip_armor_gamberson_cuirass_plutite.webp</t>
  </si>
  <si>
    <t>Plutite Gamberson Gauntlets</t>
  </si>
  <si>
    <t>modules/a-knights-dream/Item/equip_armor_gamberson_gauntlets_plutite.webp</t>
  </si>
  <si>
    <t>Plutite Gamberson Greaves</t>
  </si>
  <si>
    <t>modules/a-knights-dream/Item/equip_armor_gamberson_greaves_plutite.webp</t>
  </si>
  <si>
    <t>Plutite Gamberson Helmet</t>
  </si>
  <si>
    <t>modules/a-knights-dream/Item/equip_armor_gamberson_helmet_plutite.webp</t>
  </si>
  <si>
    <t>Plutite Gamberson Pauldron</t>
  </si>
  <si>
    <t>modules/a-knights-dream/Item/equip_armor_gamberson_pauldron_plutite.webp</t>
  </si>
  <si>
    <t>Plutite Hauberk Cuirass</t>
  </si>
  <si>
    <t>modules/a-knights-dream/Item/equip_armor_hauberk_cuirass_plutite.webp</t>
  </si>
  <si>
    <t>Plutite Hauberk Gauntlets</t>
  </si>
  <si>
    <t>modules/a-knights-dream/Item/equip_armor_hauberk_gauntlets_plutite.webp</t>
  </si>
  <si>
    <t>Plutite Hauberk Greaves</t>
  </si>
  <si>
    <t>modules/a-knights-dream/Item/equip_armor_hauberk_greaves_plutite.webp</t>
  </si>
  <si>
    <t>Plutite Hauberk Helmet</t>
  </si>
  <si>
    <t>modules/a-knights-dream/Item/equip_armor_hauberk_helmet_plutite.webp</t>
  </si>
  <si>
    <t>Plutite Hauberk Pauldron</t>
  </si>
  <si>
    <t>modules/a-knights-dream/Item/equip_armor_hauberk_pauldron_plutite.webp</t>
  </si>
  <si>
    <t>Plutite Jack Cuirass</t>
  </si>
  <si>
    <t>modules/a-knights-dream/Item/equip_armor_jack_cuirass_plutite.webp</t>
  </si>
  <si>
    <t>Plutite Jack Gauntlets</t>
  </si>
  <si>
    <t>modules/a-knights-dream/Item/equip_armor_jack_gauntlets_plutite.webp</t>
  </si>
  <si>
    <t>Plutite Jack Greaves</t>
  </si>
  <si>
    <t>modules/a-knights-dream/Item/equip_armor_jack_greaves_plutite.webp</t>
  </si>
  <si>
    <t>Plutite Jack Helmet</t>
  </si>
  <si>
    <t>modules/a-knights-dream/Item/equip_armor_jack_helmet_plutite.webp</t>
  </si>
  <si>
    <t>Plutite Jack Pauldron</t>
  </si>
  <si>
    <t>modules/a-knights-dream/Item/equip_armor_jack_pauldron_plutite.webp</t>
  </si>
  <si>
    <t>Plutite Lamellar Cuirass</t>
  </si>
  <si>
    <t>modules/a-knights-dream/Item/equip_armor_lamellar_cuirass_plutite.webp</t>
  </si>
  <si>
    <t>Plutite Lamellar Gauntlets</t>
  </si>
  <si>
    <t>modules/a-knights-dream/Item/equip_armor_lamellar_gauntlets_plutite.webp</t>
  </si>
  <si>
    <t>Plutite Lamellar Greaves</t>
  </si>
  <si>
    <t>modules/a-knights-dream/Item/equip_armor_lamellar_greaves_plutite.webp</t>
  </si>
  <si>
    <t>Plutite Lamellar Helmet</t>
  </si>
  <si>
    <t>modules/a-knights-dream/Item/equip_armor_lamellar_helmet_plutite.webp</t>
  </si>
  <si>
    <t>Plutite Lamellar Pauldron</t>
  </si>
  <si>
    <t>modules/a-knights-dream/Item/equip_armor_lamellar_pauldron_plutite.webp</t>
  </si>
  <si>
    <t>Plutite Platemail Cuirass</t>
  </si>
  <si>
    <t>modules/a-knights-dream/Item/equip_armor_platemail_cuirass_plutite.webp</t>
  </si>
  <si>
    <t>Plutite Platemail Gauntlets</t>
  </si>
  <si>
    <t>modules/a-knights-dream/Item/equip_armor_platemail_gauntlets_plutite.webp</t>
  </si>
  <si>
    <t>Plutite Platemail Greaves</t>
  </si>
  <si>
    <t>modules/a-knights-dream/Item/equip_armor_platemail_greaves_plutite.webp</t>
  </si>
  <si>
    <t>Plutite Platemail Helmet</t>
  </si>
  <si>
    <t>modules/a-knights-dream/Item/equip_armor_platemail_helmet_plutite.webp</t>
  </si>
  <si>
    <t>Plutite Platemail Pauldron</t>
  </si>
  <si>
    <t>modules/a-knights-dream/Item/equip_armor_platemail_pauldron_plutite.webp</t>
  </si>
  <si>
    <t>Plutite Tunic Cuirass</t>
  </si>
  <si>
    <t>modules/a-knights-dream/Item/equip_armor_tunic_cuirass_plutite.webp</t>
  </si>
  <si>
    <t>Plutite Tunic Gauntlets</t>
  </si>
  <si>
    <t>modules/a-knights-dream/Item/equip_armor_tunic_gauntlets_plutite.webp</t>
  </si>
  <si>
    <t>Plutite Tunic Greaves</t>
  </si>
  <si>
    <t>modules/a-knights-dream/Item/equip_armor_tunic_greaves_plutite.webp</t>
  </si>
  <si>
    <t>Plutite Tunic Helmet</t>
  </si>
  <si>
    <t>modules/a-knights-dream/Item/equip_armor_tunic_helmet_plutite.webp</t>
  </si>
  <si>
    <t>Plutite Tunic Pauldron</t>
  </si>
  <si>
    <t>modules/a-knights-dream/Item/equip_armor_tunic_pauldron_plutite.webp</t>
  </si>
  <si>
    <t>Plutite Buckler Shield</t>
  </si>
  <si>
    <t>modules/a-knights-dream/Item/equip_armor_shield_buckler_plutite.webp</t>
  </si>
  <si>
    <t>Plutite Heater Shield</t>
  </si>
  <si>
    <t>modules/a-knights-dream/Item/equip_armor_shield_heater_plutite.webp</t>
  </si>
  <si>
    <t>Plutite Kite Shield</t>
  </si>
  <si>
    <t>modules/a-knights-dream/Item/equip_armor_shield_kite_plutite.webp</t>
  </si>
  <si>
    <t>Plutite Oval Shield</t>
  </si>
  <si>
    <t>modules/a-knights-dream/Item/equip_armor_shield_oval_plutite.webp</t>
  </si>
  <si>
    <t>Plutite Round Shield</t>
  </si>
  <si>
    <t>modules/a-knights-dream/Item/equip_armor_shield_round_plutite.webp</t>
  </si>
  <si>
    <t>Plutite Tower Shield</t>
  </si>
  <si>
    <t>modules/a-knights-dream/Item/equip_armor_shield_tower_plutite.webp</t>
  </si>
  <si>
    <t>Pursuit</t>
  </si>
  <si>
    <t>Pursuit Ball Bearings</t>
  </si>
  <si>
    <t>modules/a-knights-dream/Item/equip_weapon_bearings_pursuit.webp</t>
  </si>
  <si>
    <t>Pursuit Bardiche</t>
  </si>
  <si>
    <t>modules/a-knights-dream/Item/equip_weapon_bardiche_pursuit.webp</t>
  </si>
  <si>
    <t>Pursuit Bastard Sword</t>
  </si>
  <si>
    <t>modules/a-knights-dream/Item/equip_weapon_sword_bastard_pursuit.webp</t>
  </si>
  <si>
    <t>Pursuit Battle Axe</t>
  </si>
  <si>
    <t>modules/a-knights-dream/Item/equip_weapon_axe_battle_pursuit.webp</t>
  </si>
  <si>
    <t>Pursuit Blowgun</t>
  </si>
  <si>
    <t>modules/a-knights-dream/Item/equip_weapon_blowgun_pursuit.webp</t>
  </si>
  <si>
    <t>Pursuit Bolt</t>
  </si>
  <si>
    <t>modules/a-knights-dream/Item/equip_weapon_bolt_pursuit.webp</t>
  </si>
  <si>
    <t>Pursuit Boomerang</t>
  </si>
  <si>
    <t>modules/a-knights-dream/Item/equip_weapon_boomerang_pursuit.webp</t>
  </si>
  <si>
    <t>Pursuit Bow</t>
  </si>
  <si>
    <t>modules/a-knights-dream/Item/equip_weapon_bow_pursuit.webp</t>
  </si>
  <si>
    <t>Pursuit Caltrops</t>
  </si>
  <si>
    <t>modules/a-knights-dream/Item/equip_weapon_caltrops_pursuit.webp</t>
  </si>
  <si>
    <t>Pursuit Cestus</t>
  </si>
  <si>
    <t>modules/a-knights-dream/Item/equip_weapon_cestus_pursuit.webp</t>
  </si>
  <si>
    <t>Pursuit Chain</t>
  </si>
  <si>
    <t>modules/a-knights-dream/Item/equip_weapon_chain_pursuit.webp</t>
  </si>
  <si>
    <t>Pursuit Claymore</t>
  </si>
  <si>
    <t>modules/a-knights-dream/Item/equip_weapon_claymore_pursuit.webp</t>
  </si>
  <si>
    <t>Pursuit Club</t>
  </si>
  <si>
    <t>modules/a-knights-dream/Item/equip_weapon_club_pursuit.webp</t>
  </si>
  <si>
    <t>Pursuit Compound Bow</t>
  </si>
  <si>
    <t>modules/a-knights-dream/Item/equip_weapon_bow_compound_pursuit.webp</t>
  </si>
  <si>
    <t>Pursuit Cutlass</t>
  </si>
  <si>
    <t>modules/a-knights-dream/Item/equip_weapon_cutlass_pursuit.webp</t>
  </si>
  <si>
    <t>Pursuit Dagger</t>
  </si>
  <si>
    <t>modules/a-knights-dream/Item/equip_weapon_dagger_pursuit.webp</t>
  </si>
  <si>
    <t>Pursuit Dart</t>
  </si>
  <si>
    <t>modules/a-knights-dream/Item/equip_weapon_dart_pursuit.webp</t>
  </si>
  <si>
    <t>Pursuit Fauchard Scythe</t>
  </si>
  <si>
    <t>modules/a-knights-dream/Item/equip_weapon_scythe_fauchard_pursuit.webp</t>
  </si>
  <si>
    <t>Pursuit Flail</t>
  </si>
  <si>
    <t>modules/a-knights-dream/Item/equip_weapon_flail_pursuit.webp</t>
  </si>
  <si>
    <t>Pursuit Glaive</t>
  </si>
  <si>
    <t>modules/a-knights-dream/Item/equip_weapon_glaive_pursuit.webp</t>
  </si>
  <si>
    <t>Pursuit Grapple Hook</t>
  </si>
  <si>
    <t>modules/a-knights-dream/Item/equip_weapon_hook_grapple_pursuit.webp</t>
  </si>
  <si>
    <t>Pursuit Great Axe</t>
  </si>
  <si>
    <t>modules/a-knights-dream/Item/equip_weapon_axe_great_pursuit.webp</t>
  </si>
  <si>
    <t>Pursuit Great Club</t>
  </si>
  <si>
    <t>modules/a-knights-dream/Item/equip_weapon_club_great_pursuit.webp</t>
  </si>
  <si>
    <t>Pursuit Great Khyber</t>
  </si>
  <si>
    <t>modules/a-knights-dream/Item/equip_weapon_khyber_great_pursuit.webp</t>
  </si>
  <si>
    <t>Pursuit Great Konda</t>
  </si>
  <si>
    <t>modules/a-knights-dream/Item/equip_weapon_konda_great_pursuit.webp</t>
  </si>
  <si>
    <t>Pursuit Great Labrys</t>
  </si>
  <si>
    <t>modules/a-knights-dream/Item/equip_weapon_axe_labrys_great_pursuit.webp</t>
  </si>
  <si>
    <t>Pursuit Great Mace</t>
  </si>
  <si>
    <t>modules/a-knights-dream/Item/equip_weapon_mace_great_pursuit.webp</t>
  </si>
  <si>
    <t>Pursuit Great Tapal</t>
  </si>
  <si>
    <t>modules/a-knights-dream/Item/equip_weapon_tapal_great_pursuit.webp</t>
  </si>
  <si>
    <t>Pursuit Great War Bow</t>
  </si>
  <si>
    <t>modules/a-knights-dream/Item/equip_weapon_bow_war_great_pursuit.webp</t>
  </si>
  <si>
    <t>Pursuit Great War Hammer</t>
  </si>
  <si>
    <t>modules/a-knights-dream/Item/equip_weapon_hammer_war_great_pursuit.webp</t>
  </si>
  <si>
    <t>Pursuit Great War Pick</t>
  </si>
  <si>
    <t>modules/a-knights-dream/Item/equip_weapon_pick_war_great_pursuit.webp</t>
  </si>
  <si>
    <t>Pursuit Guisarme</t>
  </si>
  <si>
    <t>modules/a-knights-dream/Item/equip_weapon_guisarme_pursuit.webp</t>
  </si>
  <si>
    <t>Pursuit Halberd</t>
  </si>
  <si>
    <t>modules/a-knights-dream/Item/equip_weapon_halberd_pursuit.webp</t>
  </si>
  <si>
    <t>Pursuit Hand Crossbow</t>
  </si>
  <si>
    <t>modules/a-knights-dream/Item/equip_weapon_crossbow_hand_pursuit.webp</t>
  </si>
  <si>
    <t>Pursuit Hand axe</t>
  </si>
  <si>
    <t>modules/a-knights-dream/Item/equip_weapon_axe_hand_pursuit.webp</t>
  </si>
  <si>
    <t>Pursuit Heavy Crossbow</t>
  </si>
  <si>
    <t>modules/a-knights-dream/Item/equip_weapon_crossbow_heavy_pursuit.webp</t>
  </si>
  <si>
    <t>Pursuit Hunting Trap</t>
  </si>
  <si>
    <t>modules/a-knights-dream/Item/equip_weapon_trap_hunting_pursuit.webp</t>
  </si>
  <si>
    <t>Pursuit Hunting Trap (Large)</t>
  </si>
  <si>
    <t>modules/a-knights-dream/Item/equip_weapon_trap_hunting_large_pursuit.webp</t>
  </si>
  <si>
    <t>Pursuit Hunting Trap (Small)</t>
  </si>
  <si>
    <t>modules/a-knights-dream/Item/equip_weapon_trap_hunting_small_pursuit.webp</t>
  </si>
  <si>
    <t>Pursuit Javelin</t>
  </si>
  <si>
    <t>modules/a-knights-dream/Item/equip_weapon_javelin_pursuit.webp</t>
  </si>
  <si>
    <t>Pursuit Khpesh</t>
  </si>
  <si>
    <t>modules/a-knights-dream/Item/equip_weapon_khpesh_pursuit.webp</t>
  </si>
  <si>
    <t>Pursuit Khyber</t>
  </si>
  <si>
    <t>modules/a-knights-dream/Item/equip_weapon_khyber_pursuit.webp</t>
  </si>
  <si>
    <t>Pursuit Konda</t>
  </si>
  <si>
    <t>modules/a-knights-dream/Item/equip_weapon_konda_pursuit.webp</t>
  </si>
  <si>
    <t>Pursuit Labrys</t>
  </si>
  <si>
    <t>modules/a-knights-dream/Item/equip_weapon_axe_labrys_pursuit.webp</t>
  </si>
  <si>
    <t>Pursuit Lance</t>
  </si>
  <si>
    <t>modules/a-knights-dream/Item/equip_weapon_lance_pursuit.webp</t>
  </si>
  <si>
    <t>Pursuit Light Crossbow</t>
  </si>
  <si>
    <t>modules/a-knights-dream/Item/equip_weapon_crossbow_light_pursuit.webp</t>
  </si>
  <si>
    <t>Pursuit Long Bow</t>
  </si>
  <si>
    <t>modules/a-knights-dream/Item/equip_weapon_bow_long_pursuit.webp</t>
  </si>
  <si>
    <t>Pursuit Long Spear</t>
  </si>
  <si>
    <t>modules/a-knights-dream/Item/equip_weapon_spear_long_pursuit.webp</t>
  </si>
  <si>
    <t>Pursuit Lucerince Hammer</t>
  </si>
  <si>
    <t>modules/a-knights-dream/Item/equip_weapon_hammer_lucerince_pursuit.webp</t>
  </si>
  <si>
    <t>Pursuit Mace</t>
  </si>
  <si>
    <t>modules/a-knights-dream/Item/equip_weapon_mace_pursuit.webp</t>
  </si>
  <si>
    <t>Pursuit Morningstar</t>
  </si>
  <si>
    <t>modules/a-knights-dream/Item/equip_weapon_morningstar_pursuit.webp</t>
  </si>
  <si>
    <t>Pursuit Pike</t>
  </si>
  <si>
    <t>modules/a-knights-dream/Item/equip_weapon_pike_pursuit.webp</t>
  </si>
  <si>
    <t>Pursuit Quarter Staff</t>
  </si>
  <si>
    <t>modules/a-knights-dream/Item/equip_weapon_staff_quarter_pursuit.webp</t>
  </si>
  <si>
    <t>Pursuit Ranseur</t>
  </si>
  <si>
    <t>modules/a-knights-dream/Item/equip_weapon_ranseur_pursuit.webp</t>
  </si>
  <si>
    <t>Pursuit Rapier</t>
  </si>
  <si>
    <t>modules/a-knights-dream/Item/equip_weapon_rapier_pursuit.webp</t>
  </si>
  <si>
    <t>Pursuit Recurve Bow</t>
  </si>
  <si>
    <t>modules/a-knights-dream/Item/equip_weapon_bow_recurve_pursuit.webp</t>
  </si>
  <si>
    <t>Pursuit Repeater Crossbow</t>
  </si>
  <si>
    <t>modules/a-knights-dream/Item/equip_weapon_crossbow_repeater_pursuit.webp</t>
  </si>
  <si>
    <t>Pursuit Sabre</t>
  </si>
  <si>
    <t>modules/a-knights-dream/Item/equip_weapon_sabre_pursuit.webp</t>
  </si>
  <si>
    <t>Pursuit Scimitar</t>
  </si>
  <si>
    <t>modules/a-knights-dream/Item/equip_weapon_scimitar_pursuit.webp</t>
  </si>
  <si>
    <t>Pursuit Scythe</t>
  </si>
  <si>
    <t>modules/a-knights-dream/Item/equip_weapon_scythe_pursuit.webp</t>
  </si>
  <si>
    <t>Pursuit Short Bow</t>
  </si>
  <si>
    <t>modules/a-knights-dream/Item/equip_weapon_bow_short_pursuit.webp</t>
  </si>
  <si>
    <t>Pursuit Short Spear</t>
  </si>
  <si>
    <t>modules/a-knights-dream/Item/equip_weapon_spear_short_pursuit.webp</t>
  </si>
  <si>
    <t>Pursuit Short Sword</t>
  </si>
  <si>
    <t>modules/a-knights-dream/Item/equip_weapon_sword_short_pursuit.webp</t>
  </si>
  <si>
    <t>Pursuit Shotel</t>
  </si>
  <si>
    <t>modules/a-knights-dream/Item/equip_weapon_shotel_pursuit.webp</t>
  </si>
  <si>
    <t>Pursuit Sickle</t>
  </si>
  <si>
    <t>modules/a-knights-dream/Item/equip_weapon_sickle_pursuit.webp</t>
  </si>
  <si>
    <t>Pursuit Sling</t>
  </si>
  <si>
    <t>modules/a-knights-dream/Item/equip_weapon_sling_pursuit.webp</t>
  </si>
  <si>
    <t>Pursuit Staff</t>
  </si>
  <si>
    <t>modules/a-knights-dream/Item/equip_weapon_staff_pursuit.webp</t>
  </si>
  <si>
    <t>Pursuit Staff Sling</t>
  </si>
  <si>
    <t>modules/a-knights-dream/Item/equip_weapon_sling_staff_pursuit.webp</t>
  </si>
  <si>
    <t>Pursuit Sword</t>
  </si>
  <si>
    <t>modules/a-knights-dream/Item/equip_weapon_sword_pursuit.webp</t>
  </si>
  <si>
    <t>Pursuit Tapal</t>
  </si>
  <si>
    <t>modules/a-knights-dream/Item/equip_weapon_tapal_pursuit.webp</t>
  </si>
  <si>
    <t>Pursuit Trident</t>
  </si>
  <si>
    <t>modules/a-knights-dream/Item/equip_weapon_trident_pursuit.webp</t>
  </si>
  <si>
    <t>Pursuit War Hammer</t>
  </si>
  <si>
    <t>modules/a-knights-dream/Item/equip_weapon_hammer_war_pursuit.webp</t>
  </si>
  <si>
    <t>Pursuit War Pick</t>
  </si>
  <si>
    <t>modules/a-knights-dream/Item/equip_weapon_pick_war_pursuit.webp</t>
  </si>
  <si>
    <t>Pursuit Brigantine Cuirass</t>
  </si>
  <si>
    <t>modules/a-knights-dream/Item/equip_armor_brigantine_cuirass_pursuit.webp</t>
  </si>
  <si>
    <t>Pursuit Brigantine Gauntlets</t>
  </si>
  <si>
    <t>modules/a-knights-dream/Item/equip_armor_brigantine_gauntlets_pursuit.webp</t>
  </si>
  <si>
    <t>Pursuit Brigantine Greaves</t>
  </si>
  <si>
    <t>modules/a-knights-dream/Item/equip_armor_brigantine_greaves_pursuit.webp</t>
  </si>
  <si>
    <t>Pursuit Brigantine Helmet</t>
  </si>
  <si>
    <t>modules/a-knights-dream/Item/equip_armor_brigantine_helmet_pursuit.webp</t>
  </si>
  <si>
    <t>Pursuit Brigantine Pauldron</t>
  </si>
  <si>
    <t>modules/a-knights-dream/Item/equip_armor_brigantine_pauldron_pursuit.webp</t>
  </si>
  <si>
    <t>Pursuit Chainmail Cuirass</t>
  </si>
  <si>
    <t>modules/a-knights-dream/Item/equip_armor_chainmail_cuirass_pursuit.webp</t>
  </si>
  <si>
    <t>Pursuit Chainmail Gauntlets</t>
  </si>
  <si>
    <t>modules/a-knights-dream/Item/equip_armor_chainmail_gauntlets_pursuit.webp</t>
  </si>
  <si>
    <t>Pursuit Chainmail Greaves</t>
  </si>
  <si>
    <t>modules/a-knights-dream/Item/equip_armor_chainmail_greaves_pursuit.webp</t>
  </si>
  <si>
    <t>Pursuit Chainmail Helmet</t>
  </si>
  <si>
    <t>modules/a-knights-dream/Item/equip_armor_chainmail_helmet_pursuit.webp</t>
  </si>
  <si>
    <t>Pursuit Chainmail Pauldron</t>
  </si>
  <si>
    <t>modules/a-knights-dream/Item/equip_armor_chainmail_pauldron_pursuit.webp</t>
  </si>
  <si>
    <t>Pursuit Gamberson Cuirass</t>
  </si>
  <si>
    <t>modules/a-knights-dream/Item/equip_armor_gamberson_cuirass_pursuit.webp</t>
  </si>
  <si>
    <t>Pursuit Gamberson Gauntlets</t>
  </si>
  <si>
    <t>modules/a-knights-dream/Item/equip_armor_gamberson_gauntlets_pursuit.webp</t>
  </si>
  <si>
    <t>Pursuit Gamberson Greaves</t>
  </si>
  <si>
    <t>modules/a-knights-dream/Item/equip_armor_gamberson_greaves_pursuit.webp</t>
  </si>
  <si>
    <t>Pursuit Gamberson Helmet</t>
  </si>
  <si>
    <t>modules/a-knights-dream/Item/equip_armor_gamberson_helmet_pursuit.webp</t>
  </si>
  <si>
    <t>Pursuit Gamberson Pauldron</t>
  </si>
  <si>
    <t>modules/a-knights-dream/Item/equip_armor_gamberson_pauldron_pursuit.webp</t>
  </si>
  <si>
    <t>Pursuit Hauberk Cuirass</t>
  </si>
  <si>
    <t>modules/a-knights-dream/Item/equip_armor_hauberk_cuirass_pursuit.webp</t>
  </si>
  <si>
    <t>Pursuit Hauberk Gauntlets</t>
  </si>
  <si>
    <t>modules/a-knights-dream/Item/equip_armor_hauberk_gauntlets_pursuit.webp</t>
  </si>
  <si>
    <t>Pursuit Hauberk Greaves</t>
  </si>
  <si>
    <t>modules/a-knights-dream/Item/equip_armor_hauberk_greaves_pursuit.webp</t>
  </si>
  <si>
    <t>Pursuit Hauberk Helmet</t>
  </si>
  <si>
    <t>modules/a-knights-dream/Item/equip_armor_hauberk_helmet_pursuit.webp</t>
  </si>
  <si>
    <t>Pursuit Hauberk Pauldron</t>
  </si>
  <si>
    <t>modules/a-knights-dream/Item/equip_armor_hauberk_pauldron_pursuit.webp</t>
  </si>
  <si>
    <t>Pursuit Jack Cuirass</t>
  </si>
  <si>
    <t>modules/a-knights-dream/Item/equip_armor_jack_cuirass_pursuit.webp</t>
  </si>
  <si>
    <t>Pursuit Jack Gauntlets</t>
  </si>
  <si>
    <t>modules/a-knights-dream/Item/equip_armor_jack_gauntlets_pursuit.webp</t>
  </si>
  <si>
    <t>Pursuit Jack Greaves</t>
  </si>
  <si>
    <t>modules/a-knights-dream/Item/equip_armor_jack_greaves_pursuit.webp</t>
  </si>
  <si>
    <t>Pursuit Jack Helmet</t>
  </si>
  <si>
    <t>modules/a-knights-dream/Item/equip_armor_jack_helmet_pursuit.webp</t>
  </si>
  <si>
    <t>Pursuit Jack Pauldron</t>
  </si>
  <si>
    <t>modules/a-knights-dream/Item/equip_armor_jack_pauldron_pursuit.webp</t>
  </si>
  <si>
    <t>Pursuit Lamellar Cuirass</t>
  </si>
  <si>
    <t>modules/a-knights-dream/Item/equip_armor_lamellar_cuirass_pursuit.webp</t>
  </si>
  <si>
    <t>Pursuit Lamellar Gauntlets</t>
  </si>
  <si>
    <t>modules/a-knights-dream/Item/equip_armor_lamellar_gauntlets_pursuit.webp</t>
  </si>
  <si>
    <t>Pursuit Lamellar Greaves</t>
  </si>
  <si>
    <t>modules/a-knights-dream/Item/equip_armor_lamellar_greaves_pursuit.webp</t>
  </si>
  <si>
    <t>Pursuit Lamellar Helmet</t>
  </si>
  <si>
    <t>modules/a-knights-dream/Item/equip_armor_lamellar_helmet_pursuit.webp</t>
  </si>
  <si>
    <t>Pursuit Lamellar Pauldron</t>
  </si>
  <si>
    <t>modules/a-knights-dream/Item/equip_armor_lamellar_pauldron_pursuit.webp</t>
  </si>
  <si>
    <t>Pursuit Platemail Cuirass</t>
  </si>
  <si>
    <t>modules/a-knights-dream/Item/equip_armor_platemail_cuirass_pursuit.webp</t>
  </si>
  <si>
    <t>Pursuit Platemail Gauntlets</t>
  </si>
  <si>
    <t>modules/a-knights-dream/Item/equip_armor_platemail_gauntlets_pursuit.webp</t>
  </si>
  <si>
    <t>Pursuit Platemail Greaves</t>
  </si>
  <si>
    <t>modules/a-knights-dream/Item/equip_armor_platemail_greaves_pursuit.webp</t>
  </si>
  <si>
    <t>Pursuit Platemail Helmet</t>
  </si>
  <si>
    <t>modules/a-knights-dream/Item/equip_armor_platemail_helmet_pursuit.webp</t>
  </si>
  <si>
    <t>Pursuit Platemail Pauldron</t>
  </si>
  <si>
    <t>modules/a-knights-dream/Item/equip_armor_platemail_pauldron_pursuit.webp</t>
  </si>
  <si>
    <t>Pursuit Tunic Cuirass</t>
  </si>
  <si>
    <t>modules/a-knights-dream/Item/equip_armor_tunic_cuirass_pursuit.webp</t>
  </si>
  <si>
    <t>Pursuit Tunic Gauntlets</t>
  </si>
  <si>
    <t>modules/a-knights-dream/Item/equip_armor_tunic_gauntlets_pursuit.webp</t>
  </si>
  <si>
    <t>Pursuit Tunic Greaves</t>
  </si>
  <si>
    <t>modules/a-knights-dream/Item/equip_armor_tunic_greaves_pursuit.webp</t>
  </si>
  <si>
    <t>Pursuit Tunic Helmet</t>
  </si>
  <si>
    <t>modules/a-knights-dream/Item/equip_armor_tunic_helmet_pursuit.webp</t>
  </si>
  <si>
    <t>Pursuit Tunic Pauldron</t>
  </si>
  <si>
    <t>modules/a-knights-dream/Item/equip_armor_tunic_pauldron_pursuit.webp</t>
  </si>
  <si>
    <t>Pursuit Buckler Shield</t>
  </si>
  <si>
    <t>modules/a-knights-dream/Item/equip_armor_shield_buckler_pursuit.webp</t>
  </si>
  <si>
    <t>Pursuit Heater Shield</t>
  </si>
  <si>
    <t>modules/a-knights-dream/Item/equip_armor_shield_heater_pursuit.webp</t>
  </si>
  <si>
    <t>Pursuit Kite Shield</t>
  </si>
  <si>
    <t>modules/a-knights-dream/Item/equip_armor_shield_kite_pursuit.webp</t>
  </si>
  <si>
    <t>Pursuit Oval Shield</t>
  </si>
  <si>
    <t>modules/a-knights-dream/Item/equip_armor_shield_oval_pursuit.webp</t>
  </si>
  <si>
    <t>Pursuit Round Shield</t>
  </si>
  <si>
    <t>modules/a-knights-dream/Item/equip_armor_shield_round_pursuit.webp</t>
  </si>
  <si>
    <t>Pursuit Tower Shield</t>
  </si>
  <si>
    <t>modules/a-knights-dream/Item/equip_armor_shield_tower_pursuit.webp</t>
  </si>
  <si>
    <t>Shimmer Ring</t>
  </si>
  <si>
    <t>Shimmer Ring Ball Bearings</t>
  </si>
  <si>
    <t>modules/a-knights-dream/Item/equip_weapon_bearings_shimmer_ring.webp</t>
  </si>
  <si>
    <t>Shimmer Ring Bardiche</t>
  </si>
  <si>
    <t>modules/a-knights-dream/Item/equip_weapon_bardiche_shimmer_ring.webp</t>
  </si>
  <si>
    <t>Shimmer Ring Bastard Sword</t>
  </si>
  <si>
    <t>modules/a-knights-dream/Item/equip_weapon_sword_bastard_shimmer_ring.webp</t>
  </si>
  <si>
    <t>Shimmer Ring Battle Axe</t>
  </si>
  <si>
    <t>modules/a-knights-dream/Item/equip_weapon_axe_battle_shimmer_ring.webp</t>
  </si>
  <si>
    <t>Shimmer Ring Blowgun</t>
  </si>
  <si>
    <t>modules/a-knights-dream/Item/equip_weapon_blowgun_shimmer_ring.webp</t>
  </si>
  <si>
    <t>Shimmer Ring Bolt</t>
  </si>
  <si>
    <t>modules/a-knights-dream/Item/equip_weapon_bolt_shimmer_ring.webp</t>
  </si>
  <si>
    <t>Shimmer Ring Boomerang</t>
  </si>
  <si>
    <t>modules/a-knights-dream/Item/equip_weapon_boomerang_shimmer_ring.webp</t>
  </si>
  <si>
    <t>Shimmer Ring Bow</t>
  </si>
  <si>
    <t>modules/a-knights-dream/Item/equip_weapon_bow_shimmer_ring.webp</t>
  </si>
  <si>
    <t>Shimmer Ring Caltrops</t>
  </si>
  <si>
    <t>modules/a-knights-dream/Item/equip_weapon_caltrops_shimmer_ring.webp</t>
  </si>
  <si>
    <t>Shimmer Ring Cestus</t>
  </si>
  <si>
    <t>modules/a-knights-dream/Item/equip_weapon_cestus_shimmer_ring.webp</t>
  </si>
  <si>
    <t>Shimmer Ring Chain</t>
  </si>
  <si>
    <t>modules/a-knights-dream/Item/equip_weapon_chain_shimmer_ring.webp</t>
  </si>
  <si>
    <t>Shimmer Ring Claymore</t>
  </si>
  <si>
    <t>modules/a-knights-dream/Item/equip_weapon_claymore_shimmer_ring.webp</t>
  </si>
  <si>
    <t>Shimmer Ring Club</t>
  </si>
  <si>
    <t>modules/a-knights-dream/Item/equip_weapon_club_shimmer_ring.webp</t>
  </si>
  <si>
    <t>Shimmer Ring Compound Bow</t>
  </si>
  <si>
    <t>modules/a-knights-dream/Item/equip_weapon_bow_compound_shimmer_ring.webp</t>
  </si>
  <si>
    <t>Shimmer Ring Cutlass</t>
  </si>
  <si>
    <t>modules/a-knights-dream/Item/equip_weapon_cutlass_shimmer_ring.webp</t>
  </si>
  <si>
    <t>Shimmer Ring Dagger</t>
  </si>
  <si>
    <t>modules/a-knights-dream/Item/equip_weapon_dagger_shimmer_ring.webp</t>
  </si>
  <si>
    <t>Shimmer Ring Dart</t>
  </si>
  <si>
    <t>modules/a-knights-dream/Item/equip_weapon_dart_shimmer_ring.webp</t>
  </si>
  <si>
    <t>Shimmer Ring Fauchard Scythe</t>
  </si>
  <si>
    <t>modules/a-knights-dream/Item/equip_weapon_scythe_fauchard_shimmer_ring.webp</t>
  </si>
  <si>
    <t>Shimmer Ring Flail</t>
  </si>
  <si>
    <t>modules/a-knights-dream/Item/equip_weapon_flail_shimmer_ring.webp</t>
  </si>
  <si>
    <t>Shimmer Ring Glaive</t>
  </si>
  <si>
    <t>modules/a-knights-dream/Item/equip_weapon_glaive_shimmer_ring.webp</t>
  </si>
  <si>
    <t>Shimmer Ring Grapple Hook</t>
  </si>
  <si>
    <t>modules/a-knights-dream/Item/equip_weapon_hook_grapple_shimmer_ring.webp</t>
  </si>
  <si>
    <t>Shimmer Ring Great Axe</t>
  </si>
  <si>
    <t>modules/a-knights-dream/Item/equip_weapon_axe_great_shimmer_ring.webp</t>
  </si>
  <si>
    <t>Shimmer Ring Great Club</t>
  </si>
  <si>
    <t>modules/a-knights-dream/Item/equip_weapon_club_great_shimmer_ring.webp</t>
  </si>
  <si>
    <t>Shimmer Ring Great Khyber</t>
  </si>
  <si>
    <t>modules/a-knights-dream/Item/equip_weapon_khyber_great_shimmer_ring.webp</t>
  </si>
  <si>
    <t>Shimmer Ring Great Konda</t>
  </si>
  <si>
    <t>modules/a-knights-dream/Item/equip_weapon_konda_great_shimmer_ring.webp</t>
  </si>
  <si>
    <t>Shimmer Ring Great Labrys</t>
  </si>
  <si>
    <t>modules/a-knights-dream/Item/equip_weapon_axe_labrys_great_shimmer_ring.webp</t>
  </si>
  <si>
    <t>Shimmer Ring Great Mace</t>
  </si>
  <si>
    <t>modules/a-knights-dream/Item/equip_weapon_mace_great_shimmer_ring.webp</t>
  </si>
  <si>
    <t>Shimmer Ring Great Tapal</t>
  </si>
  <si>
    <t>modules/a-knights-dream/Item/equip_weapon_tapal_great_shimmer_ring.webp</t>
  </si>
  <si>
    <t>Shimmer Ring Great War Bow</t>
  </si>
  <si>
    <t>modules/a-knights-dream/Item/equip_weapon_bow_war_great_shimmer_ring.webp</t>
  </si>
  <si>
    <t>Shimmer Ring Great War Hammer</t>
  </si>
  <si>
    <t>modules/a-knights-dream/Item/equip_weapon_hammer_war_great_shimmer_ring.webp</t>
  </si>
  <si>
    <t>Shimmer Ring Great War Pick</t>
  </si>
  <si>
    <t>modules/a-knights-dream/Item/equip_weapon_pick_war_great_shimmer_ring.webp</t>
  </si>
  <si>
    <t>Shimmer Ring Guisarme</t>
  </si>
  <si>
    <t>modules/a-knights-dream/Item/equip_weapon_guisarme_shimmer_ring.webp</t>
  </si>
  <si>
    <t>Shimmer Ring Halberd</t>
  </si>
  <si>
    <t>modules/a-knights-dream/Item/equip_weapon_halberd_shimmer_ring.webp</t>
  </si>
  <si>
    <t>Shimmer Ring Hand Crossbow</t>
  </si>
  <si>
    <t>modules/a-knights-dream/Item/equip_weapon_crossbow_hand_shimmer_ring.webp</t>
  </si>
  <si>
    <t>Shimmer Ring Hand axe</t>
  </si>
  <si>
    <t>modules/a-knights-dream/Item/equip_weapon_axe_hand_shimmer_ring.webp</t>
  </si>
  <si>
    <t>Shimmer Ring Heavy Crossbow</t>
  </si>
  <si>
    <t>modules/a-knights-dream/Item/equip_weapon_crossbow_heavy_shimmer_ring.webp</t>
  </si>
  <si>
    <t>Shimmer Ring Hunting Trap</t>
  </si>
  <si>
    <t>modules/a-knights-dream/Item/equip_weapon_trap_hunting_shimmer_ring.webp</t>
  </si>
  <si>
    <t>Shimmer Ring Hunting Trap (Large)</t>
  </si>
  <si>
    <t>modules/a-knights-dream/Item/equip_weapon_trap_hunting_large_shimmer_ring.webp</t>
  </si>
  <si>
    <t>Shimmer Ring Hunting Trap (Small)</t>
  </si>
  <si>
    <t>modules/a-knights-dream/Item/equip_weapon_trap_hunting_small_shimmer_ring.webp</t>
  </si>
  <si>
    <t>Shimmer Ring Javelin</t>
  </si>
  <si>
    <t>modules/a-knights-dream/Item/equip_weapon_javelin_shimmer_ring.webp</t>
  </si>
  <si>
    <t>Shimmer Ring Khpesh</t>
  </si>
  <si>
    <t>modules/a-knights-dream/Item/equip_weapon_khpesh_shimmer_ring.webp</t>
  </si>
  <si>
    <t>Shimmer Ring Khyber</t>
  </si>
  <si>
    <t>modules/a-knights-dream/Item/equip_weapon_khyber_shimmer_ring.webp</t>
  </si>
  <si>
    <t>Shimmer Ring Konda</t>
  </si>
  <si>
    <t>modules/a-knights-dream/Item/equip_weapon_konda_shimmer_ring.webp</t>
  </si>
  <si>
    <t>Shimmer Ring Labrys</t>
  </si>
  <si>
    <t>modules/a-knights-dream/Item/equip_weapon_axe_labrys_shimmer_ring.webp</t>
  </si>
  <si>
    <t>Shimmer Ring Lance</t>
  </si>
  <si>
    <t>modules/a-knights-dream/Item/equip_weapon_lance_shimmer_ring.webp</t>
  </si>
  <si>
    <t>Shimmer Ring Light Crossbow</t>
  </si>
  <si>
    <t>modules/a-knights-dream/Item/equip_weapon_crossbow_light_shimmer_ring.webp</t>
  </si>
  <si>
    <t>Shimmer Ring Long Bow</t>
  </si>
  <si>
    <t>modules/a-knights-dream/Item/equip_weapon_bow_long_shimmer_ring.webp</t>
  </si>
  <si>
    <t>Shimmer Ring Long Spear</t>
  </si>
  <si>
    <t>modules/a-knights-dream/Item/equip_weapon_spear_long_shimmer_ring.webp</t>
  </si>
  <si>
    <t>Shimmer Ring Lucerince Hammer</t>
  </si>
  <si>
    <t>modules/a-knights-dream/Item/equip_weapon_hammer_lucerince_shimmer_ring.webp</t>
  </si>
  <si>
    <t>Shimmer Ring Mace</t>
  </si>
  <si>
    <t>modules/a-knights-dream/Item/equip_weapon_mace_shimmer_ring.webp</t>
  </si>
  <si>
    <t>Shimmer Ring Morningstar</t>
  </si>
  <si>
    <t>modules/a-knights-dream/Item/equip_weapon_morningstar_shimmer_ring.webp</t>
  </si>
  <si>
    <t>Shimmer Ring Pike</t>
  </si>
  <si>
    <t>modules/a-knights-dream/Item/equip_weapon_pike_shimmer_ring.webp</t>
  </si>
  <si>
    <t>Shimmer Ring Quarter Staff</t>
  </si>
  <si>
    <t>modules/a-knights-dream/Item/equip_weapon_staff_quarter_shimmer_ring.webp</t>
  </si>
  <si>
    <t>Shimmer Ring Ranseur</t>
  </si>
  <si>
    <t>modules/a-knights-dream/Item/equip_weapon_ranseur_shimmer_ring.webp</t>
  </si>
  <si>
    <t>Shimmer Ring Rapier</t>
  </si>
  <si>
    <t>modules/a-knights-dream/Item/equip_weapon_rapier_shimmer_ring.webp</t>
  </si>
  <si>
    <t>Shimmer Ring Recurve Bow</t>
  </si>
  <si>
    <t>modules/a-knights-dream/Item/equip_weapon_bow_recurve_shimmer_ring.webp</t>
  </si>
  <si>
    <t>Shimmer Ring Repeater Crossbow</t>
  </si>
  <si>
    <t>modules/a-knights-dream/Item/equip_weapon_crossbow_repeater_shimmer_ring.webp</t>
  </si>
  <si>
    <t>Shimmer Ring Sabre</t>
  </si>
  <si>
    <t>modules/a-knights-dream/Item/equip_weapon_sabre_shimmer_ring.webp</t>
  </si>
  <si>
    <t>Shimmer Ring Scimitar</t>
  </si>
  <si>
    <t>modules/a-knights-dream/Item/equip_weapon_scimitar_shimmer_ring.webp</t>
  </si>
  <si>
    <t>Shimmer Ring Scythe</t>
  </si>
  <si>
    <t>modules/a-knights-dream/Item/equip_weapon_scythe_shimmer_ring.webp</t>
  </si>
  <si>
    <t>Shimmer Ring Short Bow</t>
  </si>
  <si>
    <t>modules/a-knights-dream/Item/equip_weapon_bow_short_shimmer_ring.webp</t>
  </si>
  <si>
    <t>Shimmer Ring Short Spear</t>
  </si>
  <si>
    <t>modules/a-knights-dream/Item/equip_weapon_spear_short_shimmer_ring.webp</t>
  </si>
  <si>
    <t>Shimmer Ring Short Sword</t>
  </si>
  <si>
    <t>modules/a-knights-dream/Item/equip_weapon_sword_short_shimmer_ring.webp</t>
  </si>
  <si>
    <t>Shimmer Ring Shotel</t>
  </si>
  <si>
    <t>modules/a-knights-dream/Item/equip_weapon_shotel_shimmer_ring.webp</t>
  </si>
  <si>
    <t>Shimmer Ring Sickle</t>
  </si>
  <si>
    <t>modules/a-knights-dream/Item/equip_weapon_sickle_shimmer_ring.webp</t>
  </si>
  <si>
    <t>Shimmer Ring Sling</t>
  </si>
  <si>
    <t>modules/a-knights-dream/Item/equip_weapon_sling_shimmer_ring.webp</t>
  </si>
  <si>
    <t>Shimmer Ring Staff</t>
  </si>
  <si>
    <t>modules/a-knights-dream/Item/equip_weapon_staff_shimmer_ring.webp</t>
  </si>
  <si>
    <t>Shimmer Ring Staff Sling</t>
  </si>
  <si>
    <t>modules/a-knights-dream/Item/equip_weapon_sling_staff_shimmer_ring.webp</t>
  </si>
  <si>
    <t>Shimmer Ring Sword</t>
  </si>
  <si>
    <t>modules/a-knights-dream/Item/equip_weapon_sword_shimmer_ring.webp</t>
  </si>
  <si>
    <t>Shimmer Ring Tapal</t>
  </si>
  <si>
    <t>modules/a-knights-dream/Item/equip_weapon_tapal_shimmer_ring.webp</t>
  </si>
  <si>
    <t>Shimmer Ring Trident</t>
  </si>
  <si>
    <t>modules/a-knights-dream/Item/equip_weapon_trident_shimmer_ring.webp</t>
  </si>
  <si>
    <t>Shimmer Ring War Hammer</t>
  </si>
  <si>
    <t>modules/a-knights-dream/Item/equip_weapon_hammer_war_shimmer_ring.webp</t>
  </si>
  <si>
    <t>Shimmer Ring War Pick</t>
  </si>
  <si>
    <t>modules/a-knights-dream/Item/equip_weapon_pick_war_shimmer_ring.webp</t>
  </si>
  <si>
    <t>Shimmer Ring Brigantine Cuirass</t>
  </si>
  <si>
    <t>modules/a-knights-dream/Item/equip_armor_brigantine_cuirass_shimmer_ring.webp</t>
  </si>
  <si>
    <t>Shimmer Ring Brigantine Gauntlets</t>
  </si>
  <si>
    <t>modules/a-knights-dream/Item/equip_armor_brigantine_gauntlets_shimmer_ring.webp</t>
  </si>
  <si>
    <t>Shimmer Ring Brigantine Greaves</t>
  </si>
  <si>
    <t>modules/a-knights-dream/Item/equip_armor_brigantine_greaves_shimmer_ring.webp</t>
  </si>
  <si>
    <t>Shimmer Ring Brigantine Helmet</t>
  </si>
  <si>
    <t>modules/a-knights-dream/Item/equip_armor_brigantine_helmet_shimmer_ring.webp</t>
  </si>
  <si>
    <t>Shimmer Ring Brigantine Pauldron</t>
  </si>
  <si>
    <t>modules/a-knights-dream/Item/equip_armor_brigantine_pauldron_shimmer_ring.webp</t>
  </si>
  <si>
    <t>Shimmer Ring Chainmail Cuirass</t>
  </si>
  <si>
    <t>modules/a-knights-dream/Item/equip_armor_chainmail_cuirass_shimmer_ring.webp</t>
  </si>
  <si>
    <t>Shimmer Ring Chainmail Gauntlets</t>
  </si>
  <si>
    <t>modules/a-knights-dream/Item/equip_armor_chainmail_gauntlets_shimmer_ring.webp</t>
  </si>
  <si>
    <t>Shimmer Ring Chainmail Greaves</t>
  </si>
  <si>
    <t>modules/a-knights-dream/Item/equip_armor_chainmail_greaves_shimmer_ring.webp</t>
  </si>
  <si>
    <t>Shimmer Ring Chainmail Helmet</t>
  </si>
  <si>
    <t>modules/a-knights-dream/Item/equip_armor_chainmail_helmet_shimmer_ring.webp</t>
  </si>
  <si>
    <t>Shimmer Ring Chainmail Pauldron</t>
  </si>
  <si>
    <t>modules/a-knights-dream/Item/equip_armor_chainmail_pauldron_shimmer_ring.webp</t>
  </si>
  <si>
    <t>Shimmer Ring Gamberson Cuirass</t>
  </si>
  <si>
    <t>modules/a-knights-dream/Item/equip_armor_gamberson_cuirass_shimmer_ring.webp</t>
  </si>
  <si>
    <t>Shimmer Ring Gamberson Gauntlets</t>
  </si>
  <si>
    <t>modules/a-knights-dream/Item/equip_armor_gamberson_gauntlets_shimmer_ring.webp</t>
  </si>
  <si>
    <t>Shimmer Ring Gamberson Greaves</t>
  </si>
  <si>
    <t>modules/a-knights-dream/Item/equip_armor_gamberson_greaves_shimmer_ring.webp</t>
  </si>
  <si>
    <t>Shimmer Ring Gamberson Helmet</t>
  </si>
  <si>
    <t>modules/a-knights-dream/Item/equip_armor_gamberson_helmet_shimmer_ring.webp</t>
  </si>
  <si>
    <t>Shimmer Ring Gamberson Pauldron</t>
  </si>
  <si>
    <t>modules/a-knights-dream/Item/equip_armor_gamberson_pauldron_shimmer_ring.webp</t>
  </si>
  <si>
    <t>Shimmer Ring Hauberk Cuirass</t>
  </si>
  <si>
    <t>modules/a-knights-dream/Item/equip_armor_hauberk_cuirass_shimmer_ring.webp</t>
  </si>
  <si>
    <t>Shimmer Ring Hauberk Gauntlets</t>
  </si>
  <si>
    <t>modules/a-knights-dream/Item/equip_armor_hauberk_gauntlets_shimmer_ring.webp</t>
  </si>
  <si>
    <t>Shimmer Ring Hauberk Greaves</t>
  </si>
  <si>
    <t>modules/a-knights-dream/Item/equip_armor_hauberk_greaves_shimmer_ring.webp</t>
  </si>
  <si>
    <t>Shimmer Ring Hauberk Helmet</t>
  </si>
  <si>
    <t>modules/a-knights-dream/Item/equip_armor_hauberk_helmet_shimmer_ring.webp</t>
  </si>
  <si>
    <t>Shimmer Ring Hauberk Pauldron</t>
  </si>
  <si>
    <t>modules/a-knights-dream/Item/equip_armor_hauberk_pauldron_shimmer_ring.webp</t>
  </si>
  <si>
    <t>Shimmer Ring Jack Cuirass</t>
  </si>
  <si>
    <t>modules/a-knights-dream/Item/equip_armor_jack_cuirass_shimmer_ring.webp</t>
  </si>
  <si>
    <t>Shimmer Ring Jack Gauntlets</t>
  </si>
  <si>
    <t>modules/a-knights-dream/Item/equip_armor_jack_gauntlets_shimmer_ring.webp</t>
  </si>
  <si>
    <t>Shimmer Ring Jack Greaves</t>
  </si>
  <si>
    <t>modules/a-knights-dream/Item/equip_armor_jack_greaves_shimmer_ring.webp</t>
  </si>
  <si>
    <t>Shimmer Ring Jack Helmet</t>
  </si>
  <si>
    <t>modules/a-knights-dream/Item/equip_armor_jack_helmet_shimmer_ring.webp</t>
  </si>
  <si>
    <t>Shimmer Ring Jack Pauldron</t>
  </si>
  <si>
    <t>modules/a-knights-dream/Item/equip_armor_jack_pauldron_shimmer_ring.webp</t>
  </si>
  <si>
    <t>Shimmer Ring Lamellar Cuirass</t>
  </si>
  <si>
    <t>modules/a-knights-dream/Item/equip_armor_lamellar_cuirass_shimmer_ring.webp</t>
  </si>
  <si>
    <t>Shimmer Ring Lamellar Gauntlets</t>
  </si>
  <si>
    <t>modules/a-knights-dream/Item/equip_armor_lamellar_gauntlets_shimmer_ring.webp</t>
  </si>
  <si>
    <t>Shimmer Ring Lamellar Greaves</t>
  </si>
  <si>
    <t>modules/a-knights-dream/Item/equip_armor_lamellar_greaves_shimmer_ring.webp</t>
  </si>
  <si>
    <t>Shimmer Ring Lamellar Helmet</t>
  </si>
  <si>
    <t>modules/a-knights-dream/Item/equip_armor_lamellar_helmet_shimmer_ring.webp</t>
  </si>
  <si>
    <t>Shimmer Ring Lamellar Pauldron</t>
  </si>
  <si>
    <t>modules/a-knights-dream/Item/equip_armor_lamellar_pauldron_shimmer_ring.webp</t>
  </si>
  <si>
    <t>Shimmer Ring Platemail Cuirass</t>
  </si>
  <si>
    <t>modules/a-knights-dream/Item/equip_armor_platemail_cuirass_shimmer_ring.webp</t>
  </si>
  <si>
    <t>Shimmer Ring Platemail Gauntlets</t>
  </si>
  <si>
    <t>modules/a-knights-dream/Item/equip_armor_platemail_gauntlets_shimmer_ring.webp</t>
  </si>
  <si>
    <t>Shimmer Ring Platemail Greaves</t>
  </si>
  <si>
    <t>modules/a-knights-dream/Item/equip_armor_platemail_greaves_shimmer_ring.webp</t>
  </si>
  <si>
    <t>Shimmer Ring Platemail Helmet</t>
  </si>
  <si>
    <t>modules/a-knights-dream/Item/equip_armor_platemail_helmet_shimmer_ring.webp</t>
  </si>
  <si>
    <t>Shimmer Ring Platemail Pauldron</t>
  </si>
  <si>
    <t>modules/a-knights-dream/Item/equip_armor_platemail_pauldron_shimmer_ring.webp</t>
  </si>
  <si>
    <t>Shimmer Ring Tunic Cuirass</t>
  </si>
  <si>
    <t>modules/a-knights-dream/Item/equip_armor_tunic_cuirass_shimmer_ring.webp</t>
  </si>
  <si>
    <t>Shimmer Ring Tunic Gauntlets</t>
  </si>
  <si>
    <t>modules/a-knights-dream/Item/equip_armor_tunic_gauntlets_shimmer_ring.webp</t>
  </si>
  <si>
    <t>Shimmer Ring Tunic Greaves</t>
  </si>
  <si>
    <t>modules/a-knights-dream/Item/equip_armor_tunic_greaves_shimmer_ring.webp</t>
  </si>
  <si>
    <t>Shimmer Ring Tunic Helmet</t>
  </si>
  <si>
    <t>modules/a-knights-dream/Item/equip_armor_tunic_helmet_shimmer_ring.webp</t>
  </si>
  <si>
    <t>Shimmer Ring Tunic Pauldron</t>
  </si>
  <si>
    <t>modules/a-knights-dream/Item/equip_armor_tunic_pauldron_shimmer_ring.webp</t>
  </si>
  <si>
    <t>Shimmer Ring Buckler Shield</t>
  </si>
  <si>
    <t>modules/a-knights-dream/Item/equip_armor_shield_buckler_shimmer_ring.webp</t>
  </si>
  <si>
    <t>Shimmer Ring Heater Shield</t>
  </si>
  <si>
    <t>modules/a-knights-dream/Item/equip_armor_shield_heater_shimmer_ring.webp</t>
  </si>
  <si>
    <t>Shimmer Ring Kite Shield</t>
  </si>
  <si>
    <t>modules/a-knights-dream/Item/equip_armor_shield_kite_shimmer_ring.webp</t>
  </si>
  <si>
    <t>Shimmer Ring Oval Shield</t>
  </si>
  <si>
    <t>modules/a-knights-dream/Item/equip_armor_shield_oval_shimmer_ring.webp</t>
  </si>
  <si>
    <t>Shimmer Ring Round Shield</t>
  </si>
  <si>
    <t>modules/a-knights-dream/Item/equip_armor_shield_round_shimmer_ring.webp</t>
  </si>
  <si>
    <t>Shimmer Ring Tower Shield</t>
  </si>
  <si>
    <t>modules/a-knights-dream/Item/equip_armor_shield_tower_shimmer_ring.webp</t>
  </si>
  <si>
    <t>Shimmring</t>
  </si>
  <si>
    <t>Shimmring Ball Bearings</t>
  </si>
  <si>
    <t>modules/a-knights-dream/Item/equip_weapon_bearings_shimmring.webp</t>
  </si>
  <si>
    <t>Shimmring Bardiche</t>
  </si>
  <si>
    <t>modules/a-knights-dream/Item/equip_weapon_bardiche_shimmring.webp</t>
  </si>
  <si>
    <t>Shimmring Bastard Sword</t>
  </si>
  <si>
    <t>modules/a-knights-dream/Item/equip_weapon_sword_bastard_shimmring.webp</t>
  </si>
  <si>
    <t>Shimmring Battle Axe</t>
  </si>
  <si>
    <t>modules/a-knights-dream/Item/equip_weapon_axe_battle_shimmring.webp</t>
  </si>
  <si>
    <t>Shimmring Blowgun</t>
  </si>
  <si>
    <t>modules/a-knights-dream/Item/equip_weapon_blowgun_shimmring.webp</t>
  </si>
  <si>
    <t>Shimmring Bolt</t>
  </si>
  <si>
    <t>modules/a-knights-dream/Item/equip_weapon_bolt_shimmring.webp</t>
  </si>
  <si>
    <t>Shimmring Boomerang</t>
  </si>
  <si>
    <t>modules/a-knights-dream/Item/equip_weapon_boomerang_shimmring.webp</t>
  </si>
  <si>
    <t>Shimmring Bow</t>
  </si>
  <si>
    <t>modules/a-knights-dream/Item/equip_weapon_bow_shimmring.webp</t>
  </si>
  <si>
    <t>Shimmring Caltrops</t>
  </si>
  <si>
    <t>modules/a-knights-dream/Item/equip_weapon_caltrops_shimmring.webp</t>
  </si>
  <si>
    <t>Shimmring Cestus</t>
  </si>
  <si>
    <t>modules/a-knights-dream/Item/equip_weapon_cestus_shimmring.webp</t>
  </si>
  <si>
    <t>Shimmring Chain</t>
  </si>
  <si>
    <t>modules/a-knights-dream/Item/equip_weapon_chain_shimmring.webp</t>
  </si>
  <si>
    <t>Shimmring Claymore</t>
  </si>
  <si>
    <t>modules/a-knights-dream/Item/equip_weapon_claymore_shimmring.webp</t>
  </si>
  <si>
    <t>Shimmring Club</t>
  </si>
  <si>
    <t>modules/a-knights-dream/Item/equip_weapon_club_shimmring.webp</t>
  </si>
  <si>
    <t>Shimmring Compound Bow</t>
  </si>
  <si>
    <t>modules/a-knights-dream/Item/equip_weapon_bow_compound_shimmring.webp</t>
  </si>
  <si>
    <t>Shimmring Cutlass</t>
  </si>
  <si>
    <t>modules/a-knights-dream/Item/equip_weapon_cutlass_shimmring.webp</t>
  </si>
  <si>
    <t>Shimmring Dagger</t>
  </si>
  <si>
    <t>modules/a-knights-dream/Item/equip_weapon_dagger_shimmring.webp</t>
  </si>
  <si>
    <t>Shimmring Dart</t>
  </si>
  <si>
    <t>modules/a-knights-dream/Item/equip_weapon_dart_shimmring.webp</t>
  </si>
  <si>
    <t>Shimmring Fauchard Scythe</t>
  </si>
  <si>
    <t>modules/a-knights-dream/Item/equip_weapon_scythe_fauchard_shimmring.webp</t>
  </si>
  <si>
    <t>Shimmring Flail</t>
  </si>
  <si>
    <t>modules/a-knights-dream/Item/equip_weapon_flail_shimmring.webp</t>
  </si>
  <si>
    <t>Shimmring Glaive</t>
  </si>
  <si>
    <t>modules/a-knights-dream/Item/equip_weapon_glaive_shimmring.webp</t>
  </si>
  <si>
    <t>Shimmring Grapple Hook</t>
  </si>
  <si>
    <t>modules/a-knights-dream/Item/equip_weapon_hook_grapple_shimmring.webp</t>
  </si>
  <si>
    <t>Shimmring Great Axe</t>
  </si>
  <si>
    <t>modules/a-knights-dream/Item/equip_weapon_axe_great_shimmring.webp</t>
  </si>
  <si>
    <t>Shimmring Great Club</t>
  </si>
  <si>
    <t>modules/a-knights-dream/Item/equip_weapon_club_great_shimmring.webp</t>
  </si>
  <si>
    <t>Shimmring Great Khyber</t>
  </si>
  <si>
    <t>modules/a-knights-dream/Item/equip_weapon_khyber_great_shimmring.webp</t>
  </si>
  <si>
    <t>Shimmring Great Konda</t>
  </si>
  <si>
    <t>modules/a-knights-dream/Item/equip_weapon_konda_great_shimmring.webp</t>
  </si>
  <si>
    <t>Shimmring Great Labrys</t>
  </si>
  <si>
    <t>modules/a-knights-dream/Item/equip_weapon_axe_labrys_great_shimmring.webp</t>
  </si>
  <si>
    <t>Shimmring Great Mace</t>
  </si>
  <si>
    <t>modules/a-knights-dream/Item/equip_weapon_mace_great_shimmring.webp</t>
  </si>
  <si>
    <t>Shimmring Great Tapal</t>
  </si>
  <si>
    <t>modules/a-knights-dream/Item/equip_weapon_tapal_great_shimmring.webp</t>
  </si>
  <si>
    <t>Shimmring Great War Bow</t>
  </si>
  <si>
    <t>modules/a-knights-dream/Item/equip_weapon_bow_war_great_shimmring.webp</t>
  </si>
  <si>
    <t>Shimmring Great War Hammer</t>
  </si>
  <si>
    <t>modules/a-knights-dream/Item/equip_weapon_hammer_war_great_shimmring.webp</t>
  </si>
  <si>
    <t>Shimmring Great War Pick</t>
  </si>
  <si>
    <t>modules/a-knights-dream/Item/equip_weapon_pick_war_great_shimmring.webp</t>
  </si>
  <si>
    <t>Shimmring Guisarme</t>
  </si>
  <si>
    <t>modules/a-knights-dream/Item/equip_weapon_guisarme_shimmring.webp</t>
  </si>
  <si>
    <t>Shimmring Halberd</t>
  </si>
  <si>
    <t>modules/a-knights-dream/Item/equip_weapon_halberd_shimmring.webp</t>
  </si>
  <si>
    <t>Shimmring Hand Crossbow</t>
  </si>
  <si>
    <t>modules/a-knights-dream/Item/equip_weapon_crossbow_hand_shimmring.webp</t>
  </si>
  <si>
    <t>Shimmring Hand axe</t>
  </si>
  <si>
    <t>modules/a-knights-dream/Item/equip_weapon_axe_hand_shimmring.webp</t>
  </si>
  <si>
    <t>Shimmring Heavy Crossbow</t>
  </si>
  <si>
    <t>modules/a-knights-dream/Item/equip_weapon_crossbow_heavy_shimmring.webp</t>
  </si>
  <si>
    <t>Shimmring Hunting Trap</t>
  </si>
  <si>
    <t>modules/a-knights-dream/Item/equip_weapon_trap_hunting_shimmring.webp</t>
  </si>
  <si>
    <t>Shimmring Hunting Trap (Large)</t>
  </si>
  <si>
    <t>modules/a-knights-dream/Item/equip_weapon_trap_hunting_large_shimmring.webp</t>
  </si>
  <si>
    <t>Shimmring Hunting Trap (Small)</t>
  </si>
  <si>
    <t>modules/a-knights-dream/Item/equip_weapon_trap_hunting_small_shimmring.webp</t>
  </si>
  <si>
    <t>Shimmring Javelin</t>
  </si>
  <si>
    <t>modules/a-knights-dream/Item/equip_weapon_javelin_shimmring.webp</t>
  </si>
  <si>
    <t>Shimmring Khpesh</t>
  </si>
  <si>
    <t>modules/a-knights-dream/Item/equip_weapon_khpesh_shimmring.webp</t>
  </si>
  <si>
    <t>Shimmring Khyber</t>
  </si>
  <si>
    <t>modules/a-knights-dream/Item/equip_weapon_khyber_shimmring.webp</t>
  </si>
  <si>
    <t>Shimmring Konda</t>
  </si>
  <si>
    <t>modules/a-knights-dream/Item/equip_weapon_konda_shimmring.webp</t>
  </si>
  <si>
    <t>Shimmring Labrys</t>
  </si>
  <si>
    <t>modules/a-knights-dream/Item/equip_weapon_axe_labrys_shimmring.webp</t>
  </si>
  <si>
    <t>Shimmring Lance</t>
  </si>
  <si>
    <t>modules/a-knights-dream/Item/equip_weapon_lance_shimmring.webp</t>
  </si>
  <si>
    <t>Shimmring Light Crossbow</t>
  </si>
  <si>
    <t>modules/a-knights-dream/Item/equip_weapon_crossbow_light_shimmring.webp</t>
  </si>
  <si>
    <t>Shimmring Long Bow</t>
  </si>
  <si>
    <t>modules/a-knights-dream/Item/equip_weapon_bow_long_shimmring.webp</t>
  </si>
  <si>
    <t>Shimmring Long Spear</t>
  </si>
  <si>
    <t>modules/a-knights-dream/Item/equip_weapon_spear_long_shimmring.webp</t>
  </si>
  <si>
    <t>Shimmring Lucerince Hammer</t>
  </si>
  <si>
    <t>modules/a-knights-dream/Item/equip_weapon_hammer_lucerince_shimmring.webp</t>
  </si>
  <si>
    <t>Shimmring Mace</t>
  </si>
  <si>
    <t>modules/a-knights-dream/Item/equip_weapon_mace_shimmring.webp</t>
  </si>
  <si>
    <t>Shimmring Morningstar</t>
  </si>
  <si>
    <t>modules/a-knights-dream/Item/equip_weapon_morningstar_shimmring.webp</t>
  </si>
  <si>
    <t>Shimmring Pike</t>
  </si>
  <si>
    <t>modules/a-knights-dream/Item/equip_weapon_pike_shimmring.webp</t>
  </si>
  <si>
    <t>Shimmring Quarter Staff</t>
  </si>
  <si>
    <t>modules/a-knights-dream/Item/equip_weapon_staff_quarter_shimmring.webp</t>
  </si>
  <si>
    <t>Shimmring Ranseur</t>
  </si>
  <si>
    <t>modules/a-knights-dream/Item/equip_weapon_ranseur_shimmring.webp</t>
  </si>
  <si>
    <t>Shimmring Rapier</t>
  </si>
  <si>
    <t>modules/a-knights-dream/Item/equip_weapon_rapier_shimmring.webp</t>
  </si>
  <si>
    <t>Shimmring Recurve Bow</t>
  </si>
  <si>
    <t>modules/a-knights-dream/Item/equip_weapon_bow_recurve_shimmring.webp</t>
  </si>
  <si>
    <t>Shimmring Repeater Crossbow</t>
  </si>
  <si>
    <t>modules/a-knights-dream/Item/equip_weapon_crossbow_repeater_shimmring.webp</t>
  </si>
  <si>
    <t>Shimmring Sabre</t>
  </si>
  <si>
    <t>modules/a-knights-dream/Item/equip_weapon_sabre_shimmring.webp</t>
  </si>
  <si>
    <t>Shimmring Scimitar</t>
  </si>
  <si>
    <t>modules/a-knights-dream/Item/equip_weapon_scimitar_shimmring.webp</t>
  </si>
  <si>
    <t>Shimmring Scythe</t>
  </si>
  <si>
    <t>modules/a-knights-dream/Item/equip_weapon_scythe_shimmring.webp</t>
  </si>
  <si>
    <t>Shimmring Short Bow</t>
  </si>
  <si>
    <t>modules/a-knights-dream/Item/equip_weapon_bow_short_shimmring.webp</t>
  </si>
  <si>
    <t>Shimmring Short Spear</t>
  </si>
  <si>
    <t>modules/a-knights-dream/Item/equip_weapon_spear_short_shimmring.webp</t>
  </si>
  <si>
    <t>Shimmring Short Sword</t>
  </si>
  <si>
    <t>modules/a-knights-dream/Item/equip_weapon_sword_short_shimmring.webp</t>
  </si>
  <si>
    <t>Shimmring Shotel</t>
  </si>
  <si>
    <t>modules/a-knights-dream/Item/equip_weapon_shotel_shimmring.webp</t>
  </si>
  <si>
    <t>Shimmring Sickle</t>
  </si>
  <si>
    <t>modules/a-knights-dream/Item/equip_weapon_sickle_shimmring.webp</t>
  </si>
  <si>
    <t>Shimmring Sling</t>
  </si>
  <si>
    <t>modules/a-knights-dream/Item/equip_weapon_sling_shimmring.webp</t>
  </si>
  <si>
    <t>Shimmring Staff</t>
  </si>
  <si>
    <t>modules/a-knights-dream/Item/equip_weapon_staff_shimmring.webp</t>
  </si>
  <si>
    <t>Shimmring Staff Sling</t>
  </si>
  <si>
    <t>modules/a-knights-dream/Item/equip_weapon_sling_staff_shimmring.webp</t>
  </si>
  <si>
    <t>Shimmring Sword</t>
  </si>
  <si>
    <t>modules/a-knights-dream/Item/equip_weapon_sword_shimmring.webp</t>
  </si>
  <si>
    <t>Shimmring Tapal</t>
  </si>
  <si>
    <t>modules/a-knights-dream/Item/equip_weapon_tapal_shimmring.webp</t>
  </si>
  <si>
    <t>Shimmring Trident</t>
  </si>
  <si>
    <t>modules/a-knights-dream/Item/equip_weapon_trident_shimmring.webp</t>
  </si>
  <si>
    <t>Shimmring War Hammer</t>
  </si>
  <si>
    <t>modules/a-knights-dream/Item/equip_weapon_hammer_war_shimmring.webp</t>
  </si>
  <si>
    <t>Shimmring War Pick</t>
  </si>
  <si>
    <t>modules/a-knights-dream/Item/equip_weapon_pick_war_shimmring.webp</t>
  </si>
  <si>
    <t>Shimmring Brigantine Cuirass</t>
  </si>
  <si>
    <t>modules/a-knights-dream/Item/equip_armor_brigantine_cuirass_shimmring.webp</t>
  </si>
  <si>
    <t>Shimmring Brigantine Gauntlets</t>
  </si>
  <si>
    <t>modules/a-knights-dream/Item/equip_armor_brigantine_gauntlets_shimmring.webp</t>
  </si>
  <si>
    <t>Shimmring Brigantine Greaves</t>
  </si>
  <si>
    <t>modules/a-knights-dream/Item/equip_armor_brigantine_greaves_shimmring.webp</t>
  </si>
  <si>
    <t>Shimmring Brigantine Helmet</t>
  </si>
  <si>
    <t>modules/a-knights-dream/Item/equip_armor_brigantine_helmet_shimmring.webp</t>
  </si>
  <si>
    <t>Shimmring Brigantine Pauldron</t>
  </si>
  <si>
    <t>modules/a-knights-dream/Item/equip_armor_brigantine_pauldron_shimmring.webp</t>
  </si>
  <si>
    <t>Shimmring Chainmail Cuirass</t>
  </si>
  <si>
    <t>modules/a-knights-dream/Item/equip_armor_chainmail_cuirass_shimmring.webp</t>
  </si>
  <si>
    <t>Shimmring Chainmail Gauntlets</t>
  </si>
  <si>
    <t>modules/a-knights-dream/Item/equip_armor_chainmail_gauntlets_shimmring.webp</t>
  </si>
  <si>
    <t>Shimmring Chainmail Greaves</t>
  </si>
  <si>
    <t>modules/a-knights-dream/Item/equip_armor_chainmail_greaves_shimmring.webp</t>
  </si>
  <si>
    <t>Shimmring Chainmail Helmet</t>
  </si>
  <si>
    <t>modules/a-knights-dream/Item/equip_armor_chainmail_helmet_shimmring.webp</t>
  </si>
  <si>
    <t>Shimmring Chainmail Pauldron</t>
  </si>
  <si>
    <t>modules/a-knights-dream/Item/equip_armor_chainmail_pauldron_shimmring.webp</t>
  </si>
  <si>
    <t>Shimmring Gamberson Cuirass</t>
  </si>
  <si>
    <t>modules/a-knights-dream/Item/equip_armor_gamberson_cuirass_shimmring.webp</t>
  </si>
  <si>
    <t>Shimmring Gamberson Gauntlets</t>
  </si>
  <si>
    <t>modules/a-knights-dream/Item/equip_armor_gamberson_gauntlets_shimmring.webp</t>
  </si>
  <si>
    <t>Shimmring Gamberson Greaves</t>
  </si>
  <si>
    <t>modules/a-knights-dream/Item/equip_armor_gamberson_greaves_shimmring.webp</t>
  </si>
  <si>
    <t>Shimmring Gamberson Helmet</t>
  </si>
  <si>
    <t>modules/a-knights-dream/Item/equip_armor_gamberson_helmet_shimmring.webp</t>
  </si>
  <si>
    <t>Shimmring Gamberson Pauldron</t>
  </si>
  <si>
    <t>modules/a-knights-dream/Item/equip_armor_gamberson_pauldron_shimmring.webp</t>
  </si>
  <si>
    <t>Shimmring Hauberk Cuirass</t>
  </si>
  <si>
    <t>modules/a-knights-dream/Item/equip_armor_hauberk_cuirass_shimmring.webp</t>
  </si>
  <si>
    <t>Shimmring Hauberk Gauntlets</t>
  </si>
  <si>
    <t>modules/a-knights-dream/Item/equip_armor_hauberk_gauntlets_shimmring.webp</t>
  </si>
  <si>
    <t>Shimmring Hauberk Greaves</t>
  </si>
  <si>
    <t>modules/a-knights-dream/Item/equip_armor_hauberk_greaves_shimmring.webp</t>
  </si>
  <si>
    <t>Shimmring Hauberk Helmet</t>
  </si>
  <si>
    <t>modules/a-knights-dream/Item/equip_armor_hauberk_helmet_shimmring.webp</t>
  </si>
  <si>
    <t>Shimmring Hauberk Pauldron</t>
  </si>
  <si>
    <t>modules/a-knights-dream/Item/equip_armor_hauberk_pauldron_shimmring.webp</t>
  </si>
  <si>
    <t>Shimmring Jack Cuirass</t>
  </si>
  <si>
    <t>modules/a-knights-dream/Item/equip_armor_jack_cuirass_shimmring.webp</t>
  </si>
  <si>
    <t>Shimmring Jack Gauntlets</t>
  </si>
  <si>
    <t>modules/a-knights-dream/Item/equip_armor_jack_gauntlets_shimmring.webp</t>
  </si>
  <si>
    <t>Shimmring Jack Greaves</t>
  </si>
  <si>
    <t>modules/a-knights-dream/Item/equip_armor_jack_greaves_shimmring.webp</t>
  </si>
  <si>
    <t>Shimmring Jack Helmet</t>
  </si>
  <si>
    <t>modules/a-knights-dream/Item/equip_armor_jack_helmet_shimmring.webp</t>
  </si>
  <si>
    <t>Shimmring Jack Pauldron</t>
  </si>
  <si>
    <t>modules/a-knights-dream/Item/equip_armor_jack_pauldron_shimmring.webp</t>
  </si>
  <si>
    <t>Shimmring Lamellar Cuirass</t>
  </si>
  <si>
    <t>modules/a-knights-dream/Item/equip_armor_lamellar_cuirass_shimmring.webp</t>
  </si>
  <si>
    <t>Shimmring Lamellar Gauntlets</t>
  </si>
  <si>
    <t>modules/a-knights-dream/Item/equip_armor_lamellar_gauntlets_shimmring.webp</t>
  </si>
  <si>
    <t>Shimmring Lamellar Greaves</t>
  </si>
  <si>
    <t>modules/a-knights-dream/Item/equip_armor_lamellar_greaves_shimmring.webp</t>
  </si>
  <si>
    <t>Shimmring Lamellar Helmet</t>
  </si>
  <si>
    <t>modules/a-knights-dream/Item/equip_armor_lamellar_helmet_shimmring.webp</t>
  </si>
  <si>
    <t>Shimmring Lamellar Pauldron</t>
  </si>
  <si>
    <t>modules/a-knights-dream/Item/equip_armor_lamellar_pauldron_shimmring.webp</t>
  </si>
  <si>
    <t>Shimmring Platemail Cuirass</t>
  </si>
  <si>
    <t>modules/a-knights-dream/Item/equip_armor_platemail_cuirass_shimmring.webp</t>
  </si>
  <si>
    <t>Shimmring Platemail Gauntlets</t>
  </si>
  <si>
    <t>modules/a-knights-dream/Item/equip_armor_platemail_gauntlets_shimmring.webp</t>
  </si>
  <si>
    <t>Shimmring Platemail Greaves</t>
  </si>
  <si>
    <t>modules/a-knights-dream/Item/equip_armor_platemail_greaves_shimmring.webp</t>
  </si>
  <si>
    <t>Shimmring Platemail Helmet</t>
  </si>
  <si>
    <t>modules/a-knights-dream/Item/equip_armor_platemail_helmet_shimmring.webp</t>
  </si>
  <si>
    <t>Shimmring Platemail Pauldron</t>
  </si>
  <si>
    <t>modules/a-knights-dream/Item/equip_armor_platemail_pauldron_shimmring.webp</t>
  </si>
  <si>
    <t>Shimmring Tunic Cuirass</t>
  </si>
  <si>
    <t>modules/a-knights-dream/Item/equip_armor_tunic_cuirass_shimmring.webp</t>
  </si>
  <si>
    <t>Shimmring Tunic Gauntlets</t>
  </si>
  <si>
    <t>modules/a-knights-dream/Item/equip_armor_tunic_gauntlets_shimmring.webp</t>
  </si>
  <si>
    <t>Shimmring Tunic Greaves</t>
  </si>
  <si>
    <t>modules/a-knights-dream/Item/equip_armor_tunic_greaves_shimmring.webp</t>
  </si>
  <si>
    <t>Shimmring Tunic Helmet</t>
  </si>
  <si>
    <t>modules/a-knights-dream/Item/equip_armor_tunic_helmet_shimmring.webp</t>
  </si>
  <si>
    <t>Shimmring Tunic Pauldron</t>
  </si>
  <si>
    <t>modules/a-knights-dream/Item/equip_armor_tunic_pauldron_shimmring.webp</t>
  </si>
  <si>
    <t>Shimmring Buckler Shield</t>
  </si>
  <si>
    <t>modules/a-knights-dream/Item/equip_armor_shield_buckler_shimmring.webp</t>
  </si>
  <si>
    <t>Shimmring Heater Shield</t>
  </si>
  <si>
    <t>modules/a-knights-dream/Item/equip_armor_shield_heater_shimmring.webp</t>
  </si>
  <si>
    <t>Shimmring Kite Shield</t>
  </si>
  <si>
    <t>modules/a-knights-dream/Item/equip_armor_shield_kite_shimmring.webp</t>
  </si>
  <si>
    <t>Shimmring Oval Shield</t>
  </si>
  <si>
    <t>modules/a-knights-dream/Item/equip_armor_shield_oval_shimmring.webp</t>
  </si>
  <si>
    <t>Shimmring Round Shield</t>
  </si>
  <si>
    <t>modules/a-knights-dream/Item/equip_armor_shield_round_shimmring.webp</t>
  </si>
  <si>
    <t>Shimmring Tower Shield</t>
  </si>
  <si>
    <t>modules/a-knights-dream/Item/equip_armor_shield_tower_shimmring.webp</t>
  </si>
  <si>
    <t>Stygian</t>
  </si>
  <si>
    <t>Stygian Ball Bearings</t>
  </si>
  <si>
    <t>modules/a-knights-dream/Item/equip_weapon_bearings_stygian.webp</t>
  </si>
  <si>
    <t>Stygian Bardiche</t>
  </si>
  <si>
    <t>modules/a-knights-dream/Item/equip_weapon_bardiche_stygian.webp</t>
  </si>
  <si>
    <t>Stygian Bastard Sword</t>
  </si>
  <si>
    <t>modules/a-knights-dream/Item/equip_weapon_sword_bastard_stygian.webp</t>
  </si>
  <si>
    <t>Stygian Battle Axe</t>
  </si>
  <si>
    <t>modules/a-knights-dream/Item/equip_weapon_axe_battle_stygian.webp</t>
  </si>
  <si>
    <t>Stygian Blowgun</t>
  </si>
  <si>
    <t>modules/a-knights-dream/Item/equip_weapon_blowgun_stygian.webp</t>
  </si>
  <si>
    <t>Stygian Bolt</t>
  </si>
  <si>
    <t>modules/a-knights-dream/Item/equip_weapon_bolt_stygian.webp</t>
  </si>
  <si>
    <t>Stygian Boomerang</t>
  </si>
  <si>
    <t>modules/a-knights-dream/Item/equip_weapon_boomerang_stygian.webp</t>
  </si>
  <si>
    <t>Stygian Bow</t>
  </si>
  <si>
    <t>modules/a-knights-dream/Item/equip_weapon_bow_stygian.webp</t>
  </si>
  <si>
    <t>Stygian Caltrops</t>
  </si>
  <si>
    <t>modules/a-knights-dream/Item/equip_weapon_caltrops_stygian.webp</t>
  </si>
  <si>
    <t>Stygian Cestus</t>
  </si>
  <si>
    <t>modules/a-knights-dream/Item/equip_weapon_cestus_stygian.webp</t>
  </si>
  <si>
    <t>Stygian Chain</t>
  </si>
  <si>
    <t>modules/a-knights-dream/Item/equip_weapon_chain_stygian.webp</t>
  </si>
  <si>
    <t>Stygian Claymore</t>
  </si>
  <si>
    <t>modules/a-knights-dream/Item/equip_weapon_claymore_stygian.webp</t>
  </si>
  <si>
    <t>Stygian Club</t>
  </si>
  <si>
    <t>modules/a-knights-dream/Item/equip_weapon_club_stygian.webp</t>
  </si>
  <si>
    <t>Stygian Compound Bow</t>
  </si>
  <si>
    <t>modules/a-knights-dream/Item/equip_weapon_bow_compound_stygian.webp</t>
  </si>
  <si>
    <t>Stygian Cutlass</t>
  </si>
  <si>
    <t>modules/a-knights-dream/Item/equip_weapon_cutlass_stygian.webp</t>
  </si>
  <si>
    <t>Stygian Dagger</t>
  </si>
  <si>
    <t>modules/a-knights-dream/Item/equip_weapon_dagger_stygian.webp</t>
  </si>
  <si>
    <t>Stygian Dart</t>
  </si>
  <si>
    <t>modules/a-knights-dream/Item/equip_weapon_dart_stygian.webp</t>
  </si>
  <si>
    <t>Stygian Fauchard Scythe</t>
  </si>
  <si>
    <t>modules/a-knights-dream/Item/equip_weapon_scythe_fauchard_stygian.webp</t>
  </si>
  <si>
    <t>Stygian Flail</t>
  </si>
  <si>
    <t>modules/a-knights-dream/Item/equip_weapon_flail_stygian.webp</t>
  </si>
  <si>
    <t>Stygian Glaive</t>
  </si>
  <si>
    <t>modules/a-knights-dream/Item/equip_weapon_glaive_stygian.webp</t>
  </si>
  <si>
    <t>Stygian Grapple Hook</t>
  </si>
  <si>
    <t>modules/a-knights-dream/Item/equip_weapon_hook_grapple_stygian.webp</t>
  </si>
  <si>
    <t>Stygian Great Axe</t>
  </si>
  <si>
    <t>modules/a-knights-dream/Item/equip_weapon_axe_great_stygian.webp</t>
  </si>
  <si>
    <t>Stygian Great Club</t>
  </si>
  <si>
    <t>modules/a-knights-dream/Item/equip_weapon_club_great_stygian.webp</t>
  </si>
  <si>
    <t>Stygian Great Khyber</t>
  </si>
  <si>
    <t>modules/a-knights-dream/Item/equip_weapon_khyber_great_stygian.webp</t>
  </si>
  <si>
    <t>Stygian Great Konda</t>
  </si>
  <si>
    <t>modules/a-knights-dream/Item/equip_weapon_konda_great_stygian.webp</t>
  </si>
  <si>
    <t>Stygian Great Labrys</t>
  </si>
  <si>
    <t>modules/a-knights-dream/Item/equip_weapon_axe_labrys_great_stygian.webp</t>
  </si>
  <si>
    <t>Stygian Great Mace</t>
  </si>
  <si>
    <t>modules/a-knights-dream/Item/equip_weapon_mace_great_stygian.webp</t>
  </si>
  <si>
    <t>Stygian Great Tapal</t>
  </si>
  <si>
    <t>modules/a-knights-dream/Item/equip_weapon_tapal_great_stygian.webp</t>
  </si>
  <si>
    <t>Stygian Great War Bow</t>
  </si>
  <si>
    <t>modules/a-knights-dream/Item/equip_weapon_bow_war_great_stygian.webp</t>
  </si>
  <si>
    <t>Stygian Great War Hammer</t>
  </si>
  <si>
    <t>modules/a-knights-dream/Item/equip_weapon_hammer_war_great_stygian.webp</t>
  </si>
  <si>
    <t>Stygian Great War Pick</t>
  </si>
  <si>
    <t>modules/a-knights-dream/Item/equip_weapon_pick_war_great_stygian.webp</t>
  </si>
  <si>
    <t>Stygian Guisarme</t>
  </si>
  <si>
    <t>modules/a-knights-dream/Item/equip_weapon_guisarme_stygian.webp</t>
  </si>
  <si>
    <t>Stygian Halberd</t>
  </si>
  <si>
    <t>modules/a-knights-dream/Item/equip_weapon_halberd_stygian.webp</t>
  </si>
  <si>
    <t>Stygian Hand Crossbow</t>
  </si>
  <si>
    <t>modules/a-knights-dream/Item/equip_weapon_crossbow_hand_stygian.webp</t>
  </si>
  <si>
    <t>Stygian Hand axe</t>
  </si>
  <si>
    <t>modules/a-knights-dream/Item/equip_weapon_axe_hand_stygian.webp</t>
  </si>
  <si>
    <t>Stygian Heavy Crossbow</t>
  </si>
  <si>
    <t>modules/a-knights-dream/Item/equip_weapon_crossbow_heavy_stygian.webp</t>
  </si>
  <si>
    <t>Stygian Hunting Trap</t>
  </si>
  <si>
    <t>modules/a-knights-dream/Item/equip_weapon_trap_hunting_stygian.webp</t>
  </si>
  <si>
    <t>Stygian Hunting Trap (Large)</t>
  </si>
  <si>
    <t>modules/a-knights-dream/Item/equip_weapon_trap_hunting_large_stygian.webp</t>
  </si>
  <si>
    <t>Stygian Hunting Trap (Small)</t>
  </si>
  <si>
    <t>modules/a-knights-dream/Item/equip_weapon_trap_hunting_small_stygian.webp</t>
  </si>
  <si>
    <t>Stygian Javelin</t>
  </si>
  <si>
    <t>modules/a-knights-dream/Item/equip_weapon_javelin_stygian.webp</t>
  </si>
  <si>
    <t>Stygian Khpesh</t>
  </si>
  <si>
    <t>modules/a-knights-dream/Item/equip_weapon_khpesh_stygian.webp</t>
  </si>
  <si>
    <t>Stygian Khyber</t>
  </si>
  <si>
    <t>modules/a-knights-dream/Item/equip_weapon_khyber_stygian.webp</t>
  </si>
  <si>
    <t>Stygian Konda</t>
  </si>
  <si>
    <t>modules/a-knights-dream/Item/equip_weapon_konda_stygian.webp</t>
  </si>
  <si>
    <t>Stygian Labrys</t>
  </si>
  <si>
    <t>modules/a-knights-dream/Item/equip_weapon_axe_labrys_stygian.webp</t>
  </si>
  <si>
    <t>Stygian Lance</t>
  </si>
  <si>
    <t>modules/a-knights-dream/Item/equip_weapon_lance_stygian.webp</t>
  </si>
  <si>
    <t>Stygian Light Crossbow</t>
  </si>
  <si>
    <t>modules/a-knights-dream/Item/equip_weapon_crossbow_light_stygian.webp</t>
  </si>
  <si>
    <t>Stygian Long Bow</t>
  </si>
  <si>
    <t>modules/a-knights-dream/Item/equip_weapon_bow_long_stygian.webp</t>
  </si>
  <si>
    <t>Stygian Long Spear</t>
  </si>
  <si>
    <t>modules/a-knights-dream/Item/equip_weapon_spear_long_stygian.webp</t>
  </si>
  <si>
    <t>Stygian Lucerince Hammer</t>
  </si>
  <si>
    <t>modules/a-knights-dream/Item/equip_weapon_hammer_lucerince_stygian.webp</t>
  </si>
  <si>
    <t>Stygian Mace</t>
  </si>
  <si>
    <t>modules/a-knights-dream/Item/equip_weapon_mace_stygian.webp</t>
  </si>
  <si>
    <t>Stygian Morningstar</t>
  </si>
  <si>
    <t>modules/a-knights-dream/Item/equip_weapon_morningstar_stygian.webp</t>
  </si>
  <si>
    <t>Stygian Pike</t>
  </si>
  <si>
    <t>modules/a-knights-dream/Item/equip_weapon_pike_stygian.webp</t>
  </si>
  <si>
    <t>Stygian Quarter Staff</t>
  </si>
  <si>
    <t>modules/a-knights-dream/Item/equip_weapon_staff_quarter_stygian.webp</t>
  </si>
  <si>
    <t>Stygian Ranseur</t>
  </si>
  <si>
    <t>modules/a-knights-dream/Item/equip_weapon_ranseur_stygian.webp</t>
  </si>
  <si>
    <t>Stygian Rapier</t>
  </si>
  <si>
    <t>modules/a-knights-dream/Item/equip_weapon_rapier_stygian.webp</t>
  </si>
  <si>
    <t>Stygian Recurve Bow</t>
  </si>
  <si>
    <t>modules/a-knights-dream/Item/equip_weapon_bow_recurve_stygian.webp</t>
  </si>
  <si>
    <t>Stygian Repeater Crossbow</t>
  </si>
  <si>
    <t>modules/a-knights-dream/Item/equip_weapon_crossbow_repeater_stygian.webp</t>
  </si>
  <si>
    <t>Stygian Sabre</t>
  </si>
  <si>
    <t>modules/a-knights-dream/Item/equip_weapon_sabre_stygian.webp</t>
  </si>
  <si>
    <t>Stygian Scimitar</t>
  </si>
  <si>
    <t>modules/a-knights-dream/Item/equip_weapon_scimitar_stygian.webp</t>
  </si>
  <si>
    <t>Stygian Scythe</t>
  </si>
  <si>
    <t>modules/a-knights-dream/Item/equip_weapon_scythe_stygian.webp</t>
  </si>
  <si>
    <t>Stygian Short Bow</t>
  </si>
  <si>
    <t>modules/a-knights-dream/Item/equip_weapon_bow_short_stygian.webp</t>
  </si>
  <si>
    <t>Stygian Short Spear</t>
  </si>
  <si>
    <t>modules/a-knights-dream/Item/equip_weapon_spear_short_stygian.webp</t>
  </si>
  <si>
    <t>Stygian Short Sword</t>
  </si>
  <si>
    <t>modules/a-knights-dream/Item/equip_weapon_sword_short_stygian.webp</t>
  </si>
  <si>
    <t>Stygian Shotel</t>
  </si>
  <si>
    <t>modules/a-knights-dream/Item/equip_weapon_shotel_stygian.webp</t>
  </si>
  <si>
    <t>Stygian Sickle</t>
  </si>
  <si>
    <t>modules/a-knights-dream/Item/equip_weapon_sickle_stygian.webp</t>
  </si>
  <si>
    <t>Stygian Sling</t>
  </si>
  <si>
    <t>modules/a-knights-dream/Item/equip_weapon_sling_stygian.webp</t>
  </si>
  <si>
    <t>Stygian Staff</t>
  </si>
  <si>
    <t>modules/a-knights-dream/Item/equip_weapon_staff_stygian.webp</t>
  </si>
  <si>
    <t>Stygian Staff Sling</t>
  </si>
  <si>
    <t>modules/a-knights-dream/Item/equip_weapon_sling_staff_stygian.webp</t>
  </si>
  <si>
    <t>Stygian Sword</t>
  </si>
  <si>
    <t>modules/a-knights-dream/Item/equip_weapon_sword_stygian.webp</t>
  </si>
  <si>
    <t>Stygian Tapal</t>
  </si>
  <si>
    <t>modules/a-knights-dream/Item/equip_weapon_tapal_stygian.webp</t>
  </si>
  <si>
    <t>Stygian Trident</t>
  </si>
  <si>
    <t>modules/a-knights-dream/Item/equip_weapon_trident_stygian.webp</t>
  </si>
  <si>
    <t>Stygian War Hammer</t>
  </si>
  <si>
    <t>modules/a-knights-dream/Item/equip_weapon_hammer_war_stygian.webp</t>
  </si>
  <si>
    <t>Stygian War Pick</t>
  </si>
  <si>
    <t>modules/a-knights-dream/Item/equip_weapon_pick_war_stygian.webp</t>
  </si>
  <si>
    <t>Stygian Brigantine Cuirass</t>
  </si>
  <si>
    <t>modules/a-knights-dream/Item/equip_armor_brigantine_cuirass_stygian.webp</t>
  </si>
  <si>
    <t>Stygian Brigantine Gauntlets</t>
  </si>
  <si>
    <t>modules/a-knights-dream/Item/equip_armor_brigantine_gauntlets_stygian.webp</t>
  </si>
  <si>
    <t>Stygian Brigantine Greaves</t>
  </si>
  <si>
    <t>modules/a-knights-dream/Item/equip_armor_brigantine_greaves_stygian.webp</t>
  </si>
  <si>
    <t>Stygian Brigantine Helmet</t>
  </si>
  <si>
    <t>modules/a-knights-dream/Item/equip_armor_brigantine_helmet_stygian.webp</t>
  </si>
  <si>
    <t>Stygian Brigantine Pauldron</t>
  </si>
  <si>
    <t>modules/a-knights-dream/Item/equip_armor_brigantine_pauldron_stygian.webp</t>
  </si>
  <si>
    <t>Stygian Chainmail Cuirass</t>
  </si>
  <si>
    <t>modules/a-knights-dream/Item/equip_armor_chainmail_cuirass_stygian.webp</t>
  </si>
  <si>
    <t>Stygian Chainmail Gauntlets</t>
  </si>
  <si>
    <t>modules/a-knights-dream/Item/equip_armor_chainmail_gauntlets_stygian.webp</t>
  </si>
  <si>
    <t>Stygian Chainmail Greaves</t>
  </si>
  <si>
    <t>modules/a-knights-dream/Item/equip_armor_chainmail_greaves_stygian.webp</t>
  </si>
  <si>
    <t>Stygian Chainmail Helmet</t>
  </si>
  <si>
    <t>modules/a-knights-dream/Item/equip_armor_chainmail_helmet_stygian.webp</t>
  </si>
  <si>
    <t>Stygian Chainmail Pauldron</t>
  </si>
  <si>
    <t>modules/a-knights-dream/Item/equip_armor_chainmail_pauldron_stygian.webp</t>
  </si>
  <si>
    <t>Stygian Gamberson Cuirass</t>
  </si>
  <si>
    <t>modules/a-knights-dream/Item/equip_armor_gamberson_cuirass_stygian.webp</t>
  </si>
  <si>
    <t>Stygian Gamberson Gauntlets</t>
  </si>
  <si>
    <t>modules/a-knights-dream/Item/equip_armor_gamberson_gauntlets_stygian.webp</t>
  </si>
  <si>
    <t>Stygian Gamberson Greaves</t>
  </si>
  <si>
    <t>modules/a-knights-dream/Item/equip_armor_gamberson_greaves_stygian.webp</t>
  </si>
  <si>
    <t>Stygian Gamberson Helmet</t>
  </si>
  <si>
    <t>modules/a-knights-dream/Item/equip_armor_gamberson_helmet_stygian.webp</t>
  </si>
  <si>
    <t>Stygian Gamberson Pauldron</t>
  </si>
  <si>
    <t>modules/a-knights-dream/Item/equip_armor_gamberson_pauldron_stygian.webp</t>
  </si>
  <si>
    <t>Stygian Hauberk Cuirass</t>
  </si>
  <si>
    <t>modules/a-knights-dream/Item/equip_armor_hauberk_cuirass_stygian.webp</t>
  </si>
  <si>
    <t>Stygian Hauberk Gauntlets</t>
  </si>
  <si>
    <t>modules/a-knights-dream/Item/equip_armor_hauberk_gauntlets_stygian.webp</t>
  </si>
  <si>
    <t>Stygian Hauberk Greaves</t>
  </si>
  <si>
    <t>modules/a-knights-dream/Item/equip_armor_hauberk_greaves_stygian.webp</t>
  </si>
  <si>
    <t>Stygian Hauberk Helmet</t>
  </si>
  <si>
    <t>modules/a-knights-dream/Item/equip_armor_hauberk_helmet_stygian.webp</t>
  </si>
  <si>
    <t>Stygian Hauberk Pauldron</t>
  </si>
  <si>
    <t>modules/a-knights-dream/Item/equip_armor_hauberk_pauldron_stygian.webp</t>
  </si>
  <si>
    <t>Stygian Jack Cuirass</t>
  </si>
  <si>
    <t>modules/a-knights-dream/Item/equip_armor_jack_cuirass_stygian.webp</t>
  </si>
  <si>
    <t>Stygian Jack Gauntlets</t>
  </si>
  <si>
    <t>modules/a-knights-dream/Item/equip_armor_jack_gauntlets_stygian.webp</t>
  </si>
  <si>
    <t>Stygian Jack Greaves</t>
  </si>
  <si>
    <t>modules/a-knights-dream/Item/equip_armor_jack_greaves_stygian.webp</t>
  </si>
  <si>
    <t>Stygian Jack Helmet</t>
  </si>
  <si>
    <t>modules/a-knights-dream/Item/equip_armor_jack_helmet_stygian.webp</t>
  </si>
  <si>
    <t>Stygian Jack Pauldron</t>
  </si>
  <si>
    <t>modules/a-knights-dream/Item/equip_armor_jack_pauldron_stygian.webp</t>
  </si>
  <si>
    <t>Stygian Lamellar Cuirass</t>
  </si>
  <si>
    <t>modules/a-knights-dream/Item/equip_armor_lamellar_cuirass_stygian.webp</t>
  </si>
  <si>
    <t>Stygian Lamellar Gauntlets</t>
  </si>
  <si>
    <t>modules/a-knights-dream/Item/equip_armor_lamellar_gauntlets_stygian.webp</t>
  </si>
  <si>
    <t>Stygian Lamellar Greaves</t>
  </si>
  <si>
    <t>modules/a-knights-dream/Item/equip_armor_lamellar_greaves_stygian.webp</t>
  </si>
  <si>
    <t>Stygian Lamellar Helmet</t>
  </si>
  <si>
    <t>modules/a-knights-dream/Item/equip_armor_lamellar_helmet_stygian.webp</t>
  </si>
  <si>
    <t>Stygian Lamellar Pauldron</t>
  </si>
  <si>
    <t>modules/a-knights-dream/Item/equip_armor_lamellar_pauldron_stygian.webp</t>
  </si>
  <si>
    <t>Stygian Platemail Cuirass</t>
  </si>
  <si>
    <t>modules/a-knights-dream/Item/equip_armor_platemail_cuirass_stygian.webp</t>
  </si>
  <si>
    <t>Stygian Platemail Gauntlets</t>
  </si>
  <si>
    <t>modules/a-knights-dream/Item/equip_armor_platemail_gauntlets_stygian.webp</t>
  </si>
  <si>
    <t>Stygian Platemail Greaves</t>
  </si>
  <si>
    <t>modules/a-knights-dream/Item/equip_armor_platemail_greaves_stygian.webp</t>
  </si>
  <si>
    <t>Stygian Platemail Helmet</t>
  </si>
  <si>
    <t>modules/a-knights-dream/Item/equip_armor_platemail_helmet_stygian.webp</t>
  </si>
  <si>
    <t>Stygian Platemail Pauldron</t>
  </si>
  <si>
    <t>modules/a-knights-dream/Item/equip_armor_platemail_pauldron_stygian.webp</t>
  </si>
  <si>
    <t>Stygian Tunic Cuirass</t>
  </si>
  <si>
    <t>modules/a-knights-dream/Item/equip_armor_tunic_cuirass_stygian.webp</t>
  </si>
  <si>
    <t>Stygian Tunic Gauntlets</t>
  </si>
  <si>
    <t>modules/a-knights-dream/Item/equip_armor_tunic_gauntlets_stygian.webp</t>
  </si>
  <si>
    <t>Stygian Tunic Greaves</t>
  </si>
  <si>
    <t>modules/a-knights-dream/Item/equip_armor_tunic_greaves_stygian.webp</t>
  </si>
  <si>
    <t>Stygian Tunic Helmet</t>
  </si>
  <si>
    <t>modules/a-knights-dream/Item/equip_armor_tunic_helmet_stygian.webp</t>
  </si>
  <si>
    <t>Stygian Tunic Pauldron</t>
  </si>
  <si>
    <t>modules/a-knights-dream/Item/equip_armor_tunic_pauldron_stygian.webp</t>
  </si>
  <si>
    <t>Stygian Buckler Shield</t>
  </si>
  <si>
    <t>modules/a-knights-dream/Item/equip_armor_shield_buckler_stygian.webp</t>
  </si>
  <si>
    <t>Stygian Heater Shield</t>
  </si>
  <si>
    <t>modules/a-knights-dream/Item/equip_armor_shield_heater_stygian.webp</t>
  </si>
  <si>
    <t>Stygian Kite Shield</t>
  </si>
  <si>
    <t>modules/a-knights-dream/Item/equip_armor_shield_kite_stygian.webp</t>
  </si>
  <si>
    <t>Stygian Oval Shield</t>
  </si>
  <si>
    <t>modules/a-knights-dream/Item/equip_armor_shield_oval_stygian.webp</t>
  </si>
  <si>
    <t>Stygian Round Shield</t>
  </si>
  <si>
    <t>modules/a-knights-dream/Item/equip_armor_shield_round_stygian.webp</t>
  </si>
  <si>
    <t>Stygian Tower Shield</t>
  </si>
  <si>
    <t>modules/a-knights-dream/Item/equip_armor_shield_tower_stygian.webp</t>
  </si>
  <si>
    <t>Osso</t>
  </si>
  <si>
    <t>Bone</t>
  </si>
  <si>
    <t>Bone Ball Bearings</t>
  </si>
  <si>
    <t>modules/a-knights-dream/Item/equip_weapon_bearings_bone.webp</t>
  </si>
  <si>
    <t>Bone Bardiche</t>
  </si>
  <si>
    <t>modules/a-knights-dream/Item/equip_weapon_bardiche_bone.webp</t>
  </si>
  <si>
    <t>Bone Bastard Sword</t>
  </si>
  <si>
    <t>modules/a-knights-dream/Item/equip_weapon_sword_bastard_bone.webp</t>
  </si>
  <si>
    <t>Bone Battle Axe</t>
  </si>
  <si>
    <t>modules/a-knights-dream/Item/equip_weapon_axe_battle_bone.webp</t>
  </si>
  <si>
    <t>Bone Blowgun</t>
  </si>
  <si>
    <t>modules/a-knights-dream/Item/equip_weapon_blowgun_bone.webp</t>
  </si>
  <si>
    <t>Bone Bolt</t>
  </si>
  <si>
    <t>modules/a-knights-dream/Item/equip_weapon_bolt_bone.webp</t>
  </si>
  <si>
    <t>Bone Boomerang</t>
  </si>
  <si>
    <t>modules/a-knights-dream/Item/equip_weapon_boomerang_bone.webp</t>
  </si>
  <si>
    <t>Bone Bow</t>
  </si>
  <si>
    <t>modules/a-knights-dream/Item/equip_weapon_bow_bone.webp</t>
  </si>
  <si>
    <t>Bone Caltrops</t>
  </si>
  <si>
    <t>modules/a-knights-dream/Item/equip_weapon_caltrops_bone.webp</t>
  </si>
  <si>
    <t>Bone Cestus</t>
  </si>
  <si>
    <t>modules/a-knights-dream/Item/equip_weapon_cestus_bone.webp</t>
  </si>
  <si>
    <t>Bone Chain</t>
  </si>
  <si>
    <t>modules/a-knights-dream/Item/equip_weapon_chain_bone.webp</t>
  </si>
  <si>
    <t>Bone Claymore</t>
  </si>
  <si>
    <t>modules/a-knights-dream/Item/equip_weapon_claymore_bone.webp</t>
  </si>
  <si>
    <t>Bone Club</t>
  </si>
  <si>
    <t>modules/a-knights-dream/Item/equip_weapon_club_bone.webp</t>
  </si>
  <si>
    <t>Bone Compound Bow</t>
  </si>
  <si>
    <t>modules/a-knights-dream/Item/equip_weapon_bow_compound_bone.webp</t>
  </si>
  <si>
    <t>Bone Cutlass</t>
  </si>
  <si>
    <t>modules/a-knights-dream/Item/equip_weapon_cutlass_bone.webp</t>
  </si>
  <si>
    <t>Bone Dagger</t>
  </si>
  <si>
    <t>modules/a-knights-dream/Item/equip_weapon_dagger_bone.webp</t>
  </si>
  <si>
    <t>Bone Dart</t>
  </si>
  <si>
    <t>modules/a-knights-dream/Item/equip_weapon_dart_bone.webp</t>
  </si>
  <si>
    <t>Bone Fauchard Scythe</t>
  </si>
  <si>
    <t>modules/a-knights-dream/Item/equip_weapon_scythe_fauchard_bone.webp</t>
  </si>
  <si>
    <t>Bone Flail</t>
  </si>
  <si>
    <t>modules/a-knights-dream/Item/equip_weapon_flail_bone.webp</t>
  </si>
  <si>
    <t>Bone Glaive</t>
  </si>
  <si>
    <t>modules/a-knights-dream/Item/equip_weapon_glaive_bone.webp</t>
  </si>
  <si>
    <t>Bone Grapple Hook</t>
  </si>
  <si>
    <t>modules/a-knights-dream/Item/equip_weapon_hook_grapple_bone.webp</t>
  </si>
  <si>
    <t>Bone Great Axe</t>
  </si>
  <si>
    <t>modules/a-knights-dream/Item/equip_weapon_axe_great_bone.webp</t>
  </si>
  <si>
    <t>Bone Great Club</t>
  </si>
  <si>
    <t>modules/a-knights-dream/Item/equip_weapon_club_great_bone.webp</t>
  </si>
  <si>
    <t>Bone Great Khyber</t>
  </si>
  <si>
    <t>modules/a-knights-dream/Item/equip_weapon_khyber_great_bone.webp</t>
  </si>
  <si>
    <t>Bone Great Konda</t>
  </si>
  <si>
    <t>modules/a-knights-dream/Item/equip_weapon_konda_great_bone.webp</t>
  </si>
  <si>
    <t>Bone Great Labrys</t>
  </si>
  <si>
    <t>modules/a-knights-dream/Item/equip_weapon_axe_labrys_great_bone.webp</t>
  </si>
  <si>
    <t>Bone Great Mace</t>
  </si>
  <si>
    <t>modules/a-knights-dream/Item/equip_weapon_mace_great_bone.webp</t>
  </si>
  <si>
    <t>Bone Great Tapal</t>
  </si>
  <si>
    <t>modules/a-knights-dream/Item/equip_weapon_tapal_great_bone.webp</t>
  </si>
  <si>
    <t>Bone Great War Bow</t>
  </si>
  <si>
    <t>modules/a-knights-dream/Item/equip_weapon_bow_war_great_bone.webp</t>
  </si>
  <si>
    <t>Bone Great War Hammer</t>
  </si>
  <si>
    <t>modules/a-knights-dream/Item/equip_weapon_hammer_war_great_bone.webp</t>
  </si>
  <si>
    <t>Bone Great War Pick</t>
  </si>
  <si>
    <t>modules/a-knights-dream/Item/equip_weapon_pick_war_great_bone.webp</t>
  </si>
  <si>
    <t>Bone Guisarme</t>
  </si>
  <si>
    <t>modules/a-knights-dream/Item/equip_weapon_guisarme_bone.webp</t>
  </si>
  <si>
    <t>Bone Halberd</t>
  </si>
  <si>
    <t>modules/a-knights-dream/Item/equip_weapon_halberd_bone.webp</t>
  </si>
  <si>
    <t>Bone Hand Crossbow</t>
  </si>
  <si>
    <t>modules/a-knights-dream/Item/equip_weapon_crossbow_hand_bone.webp</t>
  </si>
  <si>
    <t>Bone Hand axe</t>
  </si>
  <si>
    <t>modules/a-knights-dream/Item/equip_weapon_axe_hand_bone.webp</t>
  </si>
  <si>
    <t>Bone Heavy Crossbow</t>
  </si>
  <si>
    <t>modules/a-knights-dream/Item/equip_weapon_crossbow_heavy_bone.webp</t>
  </si>
  <si>
    <t>Bone Hunting Trap</t>
  </si>
  <si>
    <t>modules/a-knights-dream/Item/equip_weapon_trap_hunting_bone.webp</t>
  </si>
  <si>
    <t>Bone Hunting Trap (Large)</t>
  </si>
  <si>
    <t>modules/a-knights-dream/Item/equip_weapon_trap_hunting_large_bone.webp</t>
  </si>
  <si>
    <t>Bone Hunting Trap (Small)</t>
  </si>
  <si>
    <t>modules/a-knights-dream/Item/equip_weapon_trap_hunting_small_bone.webp</t>
  </si>
  <si>
    <t>Bone Javelin</t>
  </si>
  <si>
    <t>modules/a-knights-dream/Item/equip_weapon_javelin_bone.webp</t>
  </si>
  <si>
    <t>Bone Khpesh</t>
  </si>
  <si>
    <t>modules/a-knights-dream/Item/equip_weapon_khpesh_bone.webp</t>
  </si>
  <si>
    <t>Bone Khyber</t>
  </si>
  <si>
    <t>modules/a-knights-dream/Item/equip_weapon_khyber_bone.webp</t>
  </si>
  <si>
    <t>Bone Konda</t>
  </si>
  <si>
    <t>modules/a-knights-dream/Item/equip_weapon_konda_bone.webp</t>
  </si>
  <si>
    <t>Bone Labrys</t>
  </si>
  <si>
    <t>modules/a-knights-dream/Item/equip_weapon_axe_labrys_bone.webp</t>
  </si>
  <si>
    <t>Bone Lance</t>
  </si>
  <si>
    <t>modules/a-knights-dream/Item/equip_weapon_lance_bone.webp</t>
  </si>
  <si>
    <t>Bone Light Crossbow</t>
  </si>
  <si>
    <t>modules/a-knights-dream/Item/equip_weapon_crossbow_light_bone.webp</t>
  </si>
  <si>
    <t>Bone Long Bow</t>
  </si>
  <si>
    <t>modules/a-knights-dream/Item/equip_weapon_bow_long_bone.webp</t>
  </si>
  <si>
    <t>Bone Long Spear</t>
  </si>
  <si>
    <t>modules/a-knights-dream/Item/equip_weapon_spear_long_bone.webp</t>
  </si>
  <si>
    <t>Bone Lucerince Hammer</t>
  </si>
  <si>
    <t>modules/a-knights-dream/Item/equip_weapon_hammer_lucerince_bone.webp</t>
  </si>
  <si>
    <t>Bone Mace</t>
  </si>
  <si>
    <t>modules/a-knights-dream/Item/equip_weapon_mace_bone.webp</t>
  </si>
  <si>
    <t>Bone Morningstar</t>
  </si>
  <si>
    <t>modules/a-knights-dream/Item/equip_weapon_morningstar_bone.webp</t>
  </si>
  <si>
    <t>Bone Pike</t>
  </si>
  <si>
    <t>modules/a-knights-dream/Item/equip_weapon_pike_bone.webp</t>
  </si>
  <si>
    <t>Bone Quarter Staff</t>
  </si>
  <si>
    <t>modules/a-knights-dream/Item/equip_weapon_staff_quarter_bone.webp</t>
  </si>
  <si>
    <t>Bone Ranseur</t>
  </si>
  <si>
    <t>modules/a-knights-dream/Item/equip_weapon_ranseur_bone.webp</t>
  </si>
  <si>
    <t>Bone Rapier</t>
  </si>
  <si>
    <t>modules/a-knights-dream/Item/equip_weapon_rapier_bone.webp</t>
  </si>
  <si>
    <t>Bone Recurve Bow</t>
  </si>
  <si>
    <t>modules/a-knights-dream/Item/equip_weapon_bow_recurve_bone.webp</t>
  </si>
  <si>
    <t>Bone Repeater Crossbow</t>
  </si>
  <si>
    <t>modules/a-knights-dream/Item/equip_weapon_crossbow_repeater_bone.webp</t>
  </si>
  <si>
    <t>Bone Sabre</t>
  </si>
  <si>
    <t>modules/a-knights-dream/Item/equip_weapon_sabre_bone.webp</t>
  </si>
  <si>
    <t>Bone Scimitar</t>
  </si>
  <si>
    <t>modules/a-knights-dream/Item/equip_weapon_scimitar_bone.webp</t>
  </si>
  <si>
    <t>Bone Scythe</t>
  </si>
  <si>
    <t>modules/a-knights-dream/Item/equip_weapon_scythe_bone.webp</t>
  </si>
  <si>
    <t>Bone Short Bow</t>
  </si>
  <si>
    <t>modules/a-knights-dream/Item/equip_weapon_bow_short_bone.webp</t>
  </si>
  <si>
    <t>Bone Short Spear</t>
  </si>
  <si>
    <t>modules/a-knights-dream/Item/equip_weapon_spear_short_bone.webp</t>
  </si>
  <si>
    <t>Bone Short Sword</t>
  </si>
  <si>
    <t>modules/a-knights-dream/Item/equip_weapon_sword_short_bone.webp</t>
  </si>
  <si>
    <t>Bone Shotel</t>
  </si>
  <si>
    <t>modules/a-knights-dream/Item/equip_weapon_shotel_bone.webp</t>
  </si>
  <si>
    <t>Bone Sickle</t>
  </si>
  <si>
    <t>modules/a-knights-dream/Item/equip_weapon_sickle_bone.webp</t>
  </si>
  <si>
    <t>Bone Sling</t>
  </si>
  <si>
    <t>modules/a-knights-dream/Item/equip_weapon_sling_bone.webp</t>
  </si>
  <si>
    <t>Bone Staff</t>
  </si>
  <si>
    <t>modules/a-knights-dream/Item/equip_weapon_staff_bone.webp</t>
  </si>
  <si>
    <t>Bone Staff Sling</t>
  </si>
  <si>
    <t>modules/a-knights-dream/Item/equip_weapon_sling_staff_bone.webp</t>
  </si>
  <si>
    <t>Bone Sword</t>
  </si>
  <si>
    <t>modules/a-knights-dream/Item/equip_weapon_sword_bone.webp</t>
  </si>
  <si>
    <t>Bone Tapal</t>
  </si>
  <si>
    <t>modules/a-knights-dream/Item/equip_weapon_tapal_bone.webp</t>
  </si>
  <si>
    <t>Bone Trident</t>
  </si>
  <si>
    <t>modules/a-knights-dream/Item/equip_weapon_trident_bone.webp</t>
  </si>
  <si>
    <t>Bone War Hammer</t>
  </si>
  <si>
    <t>modules/a-knights-dream/Item/equip_weapon_hammer_war_bone.webp</t>
  </si>
  <si>
    <t>Bone War Pick</t>
  </si>
  <si>
    <t>modules/a-knights-dream/Item/equip_weapon_pick_war_bone.webp</t>
  </si>
  <si>
    <t>Bone Brigantine Cuirass</t>
  </si>
  <si>
    <t>modules/a-knights-dream/Item/equip_armor_brigantine_cuirass_bone.webp</t>
  </si>
  <si>
    <t>Bone Brigantine Gauntlets</t>
  </si>
  <si>
    <t>modules/a-knights-dream/Item/equip_armor_brigantine_gauntlets_bone.webp</t>
  </si>
  <si>
    <t>Bone Brigantine Greaves</t>
  </si>
  <si>
    <t>modules/a-knights-dream/Item/equip_armor_brigantine_greaves_bone.webp</t>
  </si>
  <si>
    <t>Bone Brigantine Helmet</t>
  </si>
  <si>
    <t>modules/a-knights-dream/Item/equip_armor_brigantine_helmet_bone.webp</t>
  </si>
  <si>
    <t>Bone Brigantine Pauldron</t>
  </si>
  <si>
    <t>modules/a-knights-dream/Item/equip_armor_brigantine_pauldron_bone.webp</t>
  </si>
  <si>
    <t>Bone Chainmail Cuirass</t>
  </si>
  <si>
    <t>modules/a-knights-dream/Item/equip_armor_chainmail_cuirass_bone.webp</t>
  </si>
  <si>
    <t>Bone Chainmail Gauntlets</t>
  </si>
  <si>
    <t>modules/a-knights-dream/Item/equip_armor_chainmail_gauntlets_bone.webp</t>
  </si>
  <si>
    <t>Bone Chainmail Greaves</t>
  </si>
  <si>
    <t>modules/a-knights-dream/Item/equip_armor_chainmail_greaves_bone.webp</t>
  </si>
  <si>
    <t>Bone Chainmail Helmet</t>
  </si>
  <si>
    <t>modules/a-knights-dream/Item/equip_armor_chainmail_helmet_bone.webp</t>
  </si>
  <si>
    <t>Bone Chainmail Pauldron</t>
  </si>
  <si>
    <t>modules/a-knights-dream/Item/equip_armor_chainmail_pauldron_bone.webp</t>
  </si>
  <si>
    <t>Bone Gamberson Cuirass</t>
  </si>
  <si>
    <t>modules/a-knights-dream/Item/equip_armor_gamberson_cuirass_bone.webp</t>
  </si>
  <si>
    <t>Bone Gamberson Gauntlets</t>
  </si>
  <si>
    <t>modules/a-knights-dream/Item/equip_armor_gamberson_gauntlets_bone.webp</t>
  </si>
  <si>
    <t>Bone Gamberson Greaves</t>
  </si>
  <si>
    <t>modules/a-knights-dream/Item/equip_armor_gamberson_greaves_bone.webp</t>
  </si>
  <si>
    <t>Bone Gamberson Helmet</t>
  </si>
  <si>
    <t>modules/a-knights-dream/Item/equip_armor_gamberson_helmet_bone.webp</t>
  </si>
  <si>
    <t>Bone Gamberson Pauldron</t>
  </si>
  <si>
    <t>modules/a-knights-dream/Item/equip_armor_gamberson_pauldron_bone.webp</t>
  </si>
  <si>
    <t>Bone Hauberk Cuirass</t>
  </si>
  <si>
    <t>modules/a-knights-dream/Item/equip_armor_hauberk_cuirass_bone.webp</t>
  </si>
  <si>
    <t>Bone Hauberk Gauntlets</t>
  </si>
  <si>
    <t>modules/a-knights-dream/Item/equip_armor_hauberk_gauntlets_bone.webp</t>
  </si>
  <si>
    <t>Bone Hauberk Greaves</t>
  </si>
  <si>
    <t>modules/a-knights-dream/Item/equip_armor_hauberk_greaves_bone.webp</t>
  </si>
  <si>
    <t>Bone Hauberk Helmet</t>
  </si>
  <si>
    <t>modules/a-knights-dream/Item/equip_armor_hauberk_helmet_bone.webp</t>
  </si>
  <si>
    <t>Bone Hauberk Pauldron</t>
  </si>
  <si>
    <t>modules/a-knights-dream/Item/equip_armor_hauberk_pauldron_bone.webp</t>
  </si>
  <si>
    <t>Bone Jack Cuirass</t>
  </si>
  <si>
    <t>modules/a-knights-dream/Item/equip_armor_jack_cuirass_bone.webp</t>
  </si>
  <si>
    <t>Bone Jack Gauntlets</t>
  </si>
  <si>
    <t>modules/a-knights-dream/Item/equip_armor_jack_gauntlets_bone.webp</t>
  </si>
  <si>
    <t>Bone Jack Greaves</t>
  </si>
  <si>
    <t>modules/a-knights-dream/Item/equip_armor_jack_greaves_bone.webp</t>
  </si>
  <si>
    <t>Bone Jack Helmet</t>
  </si>
  <si>
    <t>modules/a-knights-dream/Item/equip_armor_jack_helmet_bone.webp</t>
  </si>
  <si>
    <t>Bone Jack Pauldron</t>
  </si>
  <si>
    <t>modules/a-knights-dream/Item/equip_armor_jack_pauldron_bone.webp</t>
  </si>
  <si>
    <t>Bone Lamellar Cuirass</t>
  </si>
  <si>
    <t>modules/a-knights-dream/Item/equip_armor_lamellar_cuirass_bone.webp</t>
  </si>
  <si>
    <t>Bone Lamellar Gauntlets</t>
  </si>
  <si>
    <t>modules/a-knights-dream/Item/equip_armor_lamellar_gauntlets_bone.webp</t>
  </si>
  <si>
    <t>Bone Lamellar Greaves</t>
  </si>
  <si>
    <t>modules/a-knights-dream/Item/equip_armor_lamellar_greaves_bone.webp</t>
  </si>
  <si>
    <t>Bone Lamellar Helmet</t>
  </si>
  <si>
    <t>modules/a-knights-dream/Item/equip_armor_lamellar_helmet_bone.webp</t>
  </si>
  <si>
    <t>Bone Lamellar Pauldron</t>
  </si>
  <si>
    <t>modules/a-knights-dream/Item/equip_armor_lamellar_pauldron_bone.webp</t>
  </si>
  <si>
    <t>Bone Platemail Cuirass</t>
  </si>
  <si>
    <t>modules/a-knights-dream/Item/equip_armor_platemail_cuirass_bone.webp</t>
  </si>
  <si>
    <t>Bone Platemail Gauntlets</t>
  </si>
  <si>
    <t>modules/a-knights-dream/Item/equip_armor_platemail_gauntlets_bone.webp</t>
  </si>
  <si>
    <t>Bone Platemail Greaves</t>
  </si>
  <si>
    <t>modules/a-knights-dream/Item/equip_armor_platemail_greaves_bone.webp</t>
  </si>
  <si>
    <t>Bone Platemail Helmet</t>
  </si>
  <si>
    <t>modules/a-knights-dream/Item/equip_armor_platemail_helmet_bone.webp</t>
  </si>
  <si>
    <t>Bone Platemail Pauldron</t>
  </si>
  <si>
    <t>modules/a-knights-dream/Item/equip_armor_platemail_pauldron_bone.webp</t>
  </si>
  <si>
    <t>Bone Tunic Cuirass</t>
  </si>
  <si>
    <t>modules/a-knights-dream/Item/equip_armor_tunic_cuirass_bone.webp</t>
  </si>
  <si>
    <t>Bone Tunic Gauntlets</t>
  </si>
  <si>
    <t>modules/a-knights-dream/Item/equip_armor_tunic_gauntlets_bone.webp</t>
  </si>
  <si>
    <t>Bone Tunic Greaves</t>
  </si>
  <si>
    <t>modules/a-knights-dream/Item/equip_armor_tunic_greaves_bone.webp</t>
  </si>
  <si>
    <t>Bone Tunic Helmet</t>
  </si>
  <si>
    <t>modules/a-knights-dream/Item/equip_armor_tunic_helmet_bone.webp</t>
  </si>
  <si>
    <t>Bone Tunic Pauldron</t>
  </si>
  <si>
    <t>modules/a-knights-dream/Item/equip_armor_tunic_pauldron_bone.webp</t>
  </si>
  <si>
    <t>Bone Buckler Shield</t>
  </si>
  <si>
    <t>modules/a-knights-dream/Item/equip_armor_shield_buckler_bone.webp</t>
  </si>
  <si>
    <t>Bone Heater Shield</t>
  </si>
  <si>
    <t>modules/a-knights-dream/Item/equip_armor_shield_heater_bone.webp</t>
  </si>
  <si>
    <t>Bone Kite Shield</t>
  </si>
  <si>
    <t>modules/a-knights-dream/Item/equip_armor_shield_kite_bone.webp</t>
  </si>
  <si>
    <t>Bone Oval Shield</t>
  </si>
  <si>
    <t>modules/a-knights-dream/Item/equip_armor_shield_oval_bone.webp</t>
  </si>
  <si>
    <t>Bone Round Shield</t>
  </si>
  <si>
    <t>modules/a-knights-dream/Item/equip_armor_shield_round_bone.webp</t>
  </si>
  <si>
    <t>Bone Tower Shield</t>
  </si>
  <si>
    <t>modules/a-knights-dream/Item/equip_armor_shield_tower_bone.webp</t>
  </si>
  <si>
    <t>Bonemold</t>
  </si>
  <si>
    <t>Bonemold Ball Bearings</t>
  </si>
  <si>
    <t>modules/a-knights-dream/Item/equip_weapon_bearings_bonemold.webp</t>
  </si>
  <si>
    <t>Bonemold Bardiche</t>
  </si>
  <si>
    <t>modules/a-knights-dream/Item/equip_weapon_bardiche_bonemold.webp</t>
  </si>
  <si>
    <t>Bonemold Bastard Sword</t>
  </si>
  <si>
    <t>modules/a-knights-dream/Item/equip_weapon_sword_bastard_bonemold.webp</t>
  </si>
  <si>
    <t>Bonemold Battle Axe</t>
  </si>
  <si>
    <t>modules/a-knights-dream/Item/equip_weapon_axe_battle_bonemold.webp</t>
  </si>
  <si>
    <t>Bonemold Blowgun</t>
  </si>
  <si>
    <t>modules/a-knights-dream/Item/equip_weapon_blowgun_bonemold.webp</t>
  </si>
  <si>
    <t>Bonemold Bolt</t>
  </si>
  <si>
    <t>modules/a-knights-dream/Item/equip_weapon_bolt_bonemold.webp</t>
  </si>
  <si>
    <t>Bonemold Boomerang</t>
  </si>
  <si>
    <t>modules/a-knights-dream/Item/equip_weapon_boomerang_bonemold.webp</t>
  </si>
  <si>
    <t>Bonemold Bow</t>
  </si>
  <si>
    <t>modules/a-knights-dream/Item/equip_weapon_bow_bonemold.webp</t>
  </si>
  <si>
    <t>Bonemold Caltrops</t>
  </si>
  <si>
    <t>modules/a-knights-dream/Item/equip_weapon_caltrops_bonemold.webp</t>
  </si>
  <si>
    <t>Bonemold Cestus</t>
  </si>
  <si>
    <t>modules/a-knights-dream/Item/equip_weapon_cestus_bonemold.webp</t>
  </si>
  <si>
    <t>Bonemold Chain</t>
  </si>
  <si>
    <t>modules/a-knights-dream/Item/equip_weapon_chain_bonemold.webp</t>
  </si>
  <si>
    <t>Bonemold Claymore</t>
  </si>
  <si>
    <t>modules/a-knights-dream/Item/equip_weapon_claymore_bonemold.webp</t>
  </si>
  <si>
    <t>Bonemold Club</t>
  </si>
  <si>
    <t>modules/a-knights-dream/Item/equip_weapon_club_bonemold.webp</t>
  </si>
  <si>
    <t>Bonemold Compound Bow</t>
  </si>
  <si>
    <t>modules/a-knights-dream/Item/equip_weapon_bow_compound_bonemold.webp</t>
  </si>
  <si>
    <t>Bonemold Cutlass</t>
  </si>
  <si>
    <t>modules/a-knights-dream/Item/equip_weapon_cutlass_bonemold.webp</t>
  </si>
  <si>
    <t>Bonemold Dagger</t>
  </si>
  <si>
    <t>modules/a-knights-dream/Item/equip_weapon_dagger_bonemold.webp</t>
  </si>
  <si>
    <t>Bonemold Dart</t>
  </si>
  <si>
    <t>modules/a-knights-dream/Item/equip_weapon_dart_bonemold.webp</t>
  </si>
  <si>
    <t>Bonemold Fauchard Scythe</t>
  </si>
  <si>
    <t>modules/a-knights-dream/Item/equip_weapon_scythe_fauchard_bonemold.webp</t>
  </si>
  <si>
    <t>Bonemold Flail</t>
  </si>
  <si>
    <t>modules/a-knights-dream/Item/equip_weapon_flail_bonemold.webp</t>
  </si>
  <si>
    <t>Bonemold Glaive</t>
  </si>
  <si>
    <t>modules/a-knights-dream/Item/equip_weapon_glaive_bonemold.webp</t>
  </si>
  <si>
    <t>Bonemold Grapple Hook</t>
  </si>
  <si>
    <t>modules/a-knights-dream/Item/equip_weapon_hook_grapple_bonemold.webp</t>
  </si>
  <si>
    <t>Bonemold Great Axe</t>
  </si>
  <si>
    <t>modules/a-knights-dream/Item/equip_weapon_axe_great_bonemold.webp</t>
  </si>
  <si>
    <t>Bonemold Great Club</t>
  </si>
  <si>
    <t>modules/a-knights-dream/Item/equip_weapon_club_great_bonemold.webp</t>
  </si>
  <si>
    <t>Bonemold Great Khyber</t>
  </si>
  <si>
    <t>modules/a-knights-dream/Item/equip_weapon_khyber_great_bonemold.webp</t>
  </si>
  <si>
    <t>Bonemold Great Konda</t>
  </si>
  <si>
    <t>modules/a-knights-dream/Item/equip_weapon_konda_great_bonemold.webp</t>
  </si>
  <si>
    <t>Bonemold Great Labrys</t>
  </si>
  <si>
    <t>modules/a-knights-dream/Item/equip_weapon_axe_labrys_great_bonemold.webp</t>
  </si>
  <si>
    <t>Bonemold Great Mace</t>
  </si>
  <si>
    <t>modules/a-knights-dream/Item/equip_weapon_mace_great_bonemold.webp</t>
  </si>
  <si>
    <t>Bonemold Great Tapal</t>
  </si>
  <si>
    <t>modules/a-knights-dream/Item/equip_weapon_tapal_great_bonemold.webp</t>
  </si>
  <si>
    <t>Bonemold Great War Bow</t>
  </si>
  <si>
    <t>modules/a-knights-dream/Item/equip_weapon_bow_war_great_bonemold.webp</t>
  </si>
  <si>
    <t>Bonemold Great War Hammer</t>
  </si>
  <si>
    <t>modules/a-knights-dream/Item/equip_weapon_hammer_war_great_bonemold.webp</t>
  </si>
  <si>
    <t>Bonemold Great War Pick</t>
  </si>
  <si>
    <t>modules/a-knights-dream/Item/equip_weapon_pick_war_great_bonemold.webp</t>
  </si>
  <si>
    <t>Bonemold Guisarme</t>
  </si>
  <si>
    <t>modules/a-knights-dream/Item/equip_weapon_guisarme_bonemold.webp</t>
  </si>
  <si>
    <t>Bonemold Halberd</t>
  </si>
  <si>
    <t>modules/a-knights-dream/Item/equip_weapon_halberd_bonemold.webp</t>
  </si>
  <si>
    <t>Bonemold Hand Crossbow</t>
  </si>
  <si>
    <t>modules/a-knights-dream/Item/equip_weapon_crossbow_hand_bonemold.webp</t>
  </si>
  <si>
    <t>Bonemold Hand axe</t>
  </si>
  <si>
    <t>modules/a-knights-dream/Item/equip_weapon_axe_hand_bonemold.webp</t>
  </si>
  <si>
    <t>Bonemold Heavy Crossbow</t>
  </si>
  <si>
    <t>modules/a-knights-dream/Item/equip_weapon_crossbow_heavy_bonemold.webp</t>
  </si>
  <si>
    <t>Bonemold Hunting Trap</t>
  </si>
  <si>
    <t>modules/a-knights-dream/Item/equip_weapon_trap_hunting_bonemold.webp</t>
  </si>
  <si>
    <t>Bonemold Hunting Trap (Large)</t>
  </si>
  <si>
    <t>modules/a-knights-dream/Item/equip_weapon_trap_hunting_large_bonemold.webp</t>
  </si>
  <si>
    <t>Bonemold Hunting Trap (Small)</t>
  </si>
  <si>
    <t>modules/a-knights-dream/Item/equip_weapon_trap_hunting_small_bonemold.webp</t>
  </si>
  <si>
    <t>Bonemold Javelin</t>
  </si>
  <si>
    <t>modules/a-knights-dream/Item/equip_weapon_javelin_bonemold.webp</t>
  </si>
  <si>
    <t>Bonemold Khpesh</t>
  </si>
  <si>
    <t>modules/a-knights-dream/Item/equip_weapon_khpesh_bonemold.webp</t>
  </si>
  <si>
    <t>Bonemold Khyber</t>
  </si>
  <si>
    <t>modules/a-knights-dream/Item/equip_weapon_khyber_bonemold.webp</t>
  </si>
  <si>
    <t>Bonemold Konda</t>
  </si>
  <si>
    <t>modules/a-knights-dream/Item/equip_weapon_konda_bonemold.webp</t>
  </si>
  <si>
    <t>Bonemold Labrys</t>
  </si>
  <si>
    <t>modules/a-knights-dream/Item/equip_weapon_axe_labrys_bonemold.webp</t>
  </si>
  <si>
    <t>Bonemold Lance</t>
  </si>
  <si>
    <t>modules/a-knights-dream/Item/equip_weapon_lance_bonemold.webp</t>
  </si>
  <si>
    <t>Bonemold Light Crossbow</t>
  </si>
  <si>
    <t>modules/a-knights-dream/Item/equip_weapon_crossbow_light_bonemold.webp</t>
  </si>
  <si>
    <t>Bonemold Long Bow</t>
  </si>
  <si>
    <t>modules/a-knights-dream/Item/equip_weapon_bow_long_bonemold.webp</t>
  </si>
  <si>
    <t>Bonemold Long Spear</t>
  </si>
  <si>
    <t>modules/a-knights-dream/Item/equip_weapon_spear_long_bonemold.webp</t>
  </si>
  <si>
    <t>Bonemold Lucerince Hammer</t>
  </si>
  <si>
    <t>modules/a-knights-dream/Item/equip_weapon_hammer_lucerince_bonemold.webp</t>
  </si>
  <si>
    <t>Bonemold Mace</t>
  </si>
  <si>
    <t>modules/a-knights-dream/Item/equip_weapon_mace_bonemold.webp</t>
  </si>
  <si>
    <t>Bonemold Morningstar</t>
  </si>
  <si>
    <t>modules/a-knights-dream/Item/equip_weapon_morningstar_bonemold.webp</t>
  </si>
  <si>
    <t>Bonemold Pike</t>
  </si>
  <si>
    <t>modules/a-knights-dream/Item/equip_weapon_pike_bonemold.webp</t>
  </si>
  <si>
    <t>Bonemold Quarter Staff</t>
  </si>
  <si>
    <t>modules/a-knights-dream/Item/equip_weapon_staff_quarter_bonemold.webp</t>
  </si>
  <si>
    <t>Bonemold Ranseur</t>
  </si>
  <si>
    <t>modules/a-knights-dream/Item/equip_weapon_ranseur_bonemold.webp</t>
  </si>
  <si>
    <t>Bonemold Rapier</t>
  </si>
  <si>
    <t>modules/a-knights-dream/Item/equip_weapon_rapier_bonemold.webp</t>
  </si>
  <si>
    <t>Bonemold Recurve Bow</t>
  </si>
  <si>
    <t>modules/a-knights-dream/Item/equip_weapon_bow_recurve_bonemold.webp</t>
  </si>
  <si>
    <t>Bonemold Repeater Crossbow</t>
  </si>
  <si>
    <t>modules/a-knights-dream/Item/equip_weapon_crossbow_repeater_bonemold.webp</t>
  </si>
  <si>
    <t>Bonemold Sabre</t>
  </si>
  <si>
    <t>modules/a-knights-dream/Item/equip_weapon_sabre_bonemold.webp</t>
  </si>
  <si>
    <t>Bonemold Scimitar</t>
  </si>
  <si>
    <t>modules/a-knights-dream/Item/equip_weapon_scimitar_bonemold.webp</t>
  </si>
  <si>
    <t>Bonemold Scythe</t>
  </si>
  <si>
    <t>modules/a-knights-dream/Item/equip_weapon_scythe_bonemold.webp</t>
  </si>
  <si>
    <t>Bonemold Short Bow</t>
  </si>
  <si>
    <t>modules/a-knights-dream/Item/equip_weapon_bow_short_bonemold.webp</t>
  </si>
  <si>
    <t>Bonemold Short Spear</t>
  </si>
  <si>
    <t>modules/a-knights-dream/Item/equip_weapon_spear_short_bonemold.webp</t>
  </si>
  <si>
    <t>Bonemold Short Sword</t>
  </si>
  <si>
    <t>modules/a-knights-dream/Item/equip_weapon_sword_short_bonemold.webp</t>
  </si>
  <si>
    <t>Bonemold Shotel</t>
  </si>
  <si>
    <t>modules/a-knights-dream/Item/equip_weapon_shotel_bonemold.webp</t>
  </si>
  <si>
    <t>Bonemold Sickle</t>
  </si>
  <si>
    <t>modules/a-knights-dream/Item/equip_weapon_sickle_bonemold.webp</t>
  </si>
  <si>
    <t>Bonemold Sling</t>
  </si>
  <si>
    <t>modules/a-knights-dream/Item/equip_weapon_sling_bonemold.webp</t>
  </si>
  <si>
    <t>Bonemold Staff</t>
  </si>
  <si>
    <t>modules/a-knights-dream/Item/equip_weapon_staff_bonemold.webp</t>
  </si>
  <si>
    <t>Bonemold Staff Sling</t>
  </si>
  <si>
    <t>modules/a-knights-dream/Item/equip_weapon_sling_staff_bonemold.webp</t>
  </si>
  <si>
    <t>Bonemold Sword</t>
  </si>
  <si>
    <t>modules/a-knights-dream/Item/equip_weapon_sword_bonemold.webp</t>
  </si>
  <si>
    <t>Bonemold Tapal</t>
  </si>
  <si>
    <t>modules/a-knights-dream/Item/equip_weapon_tapal_bonemold.webp</t>
  </si>
  <si>
    <t>Bonemold Trident</t>
  </si>
  <si>
    <t>modules/a-knights-dream/Item/equip_weapon_trident_bonemold.webp</t>
  </si>
  <si>
    <t>Bonemold War Hammer</t>
  </si>
  <si>
    <t>modules/a-knights-dream/Item/equip_weapon_hammer_war_bonemold.webp</t>
  </si>
  <si>
    <t>Bonemold War Pick</t>
  </si>
  <si>
    <t>modules/a-knights-dream/Item/equip_weapon_pick_war_bonemold.webp</t>
  </si>
  <si>
    <t>Bonemold Brigantine Cuirass</t>
  </si>
  <si>
    <t>modules/a-knights-dream/Item/equip_armor_brigantine_cuirass_bonemold.webp</t>
  </si>
  <si>
    <t>Bonemold Brigantine Gauntlets</t>
  </si>
  <si>
    <t>modules/a-knights-dream/Item/equip_armor_brigantine_gauntlets_bonemold.webp</t>
  </si>
  <si>
    <t>Bonemold Brigantine Greaves</t>
  </si>
  <si>
    <t>modules/a-knights-dream/Item/equip_armor_brigantine_greaves_bonemold.webp</t>
  </si>
  <si>
    <t>Bonemold Brigantine Helmet</t>
  </si>
  <si>
    <t>modules/a-knights-dream/Item/equip_armor_brigantine_helmet_bonemold.webp</t>
  </si>
  <si>
    <t>Bonemold Brigantine Pauldron</t>
  </si>
  <si>
    <t>modules/a-knights-dream/Item/equip_armor_brigantine_pauldron_bonemold.webp</t>
  </si>
  <si>
    <t>Bonemold Chainmail Cuirass</t>
  </si>
  <si>
    <t>modules/a-knights-dream/Item/equip_armor_chainmail_cuirass_bonemold.webp</t>
  </si>
  <si>
    <t>Bonemold Chainmail Gauntlets</t>
  </si>
  <si>
    <t>modules/a-knights-dream/Item/equip_armor_chainmail_gauntlets_bonemold.webp</t>
  </si>
  <si>
    <t>Bonemold Chainmail Greaves</t>
  </si>
  <si>
    <t>modules/a-knights-dream/Item/equip_armor_chainmail_greaves_bonemold.webp</t>
  </si>
  <si>
    <t>Bonemold Chainmail Helmet</t>
  </si>
  <si>
    <t>modules/a-knights-dream/Item/equip_armor_chainmail_helmet_bonemold.webp</t>
  </si>
  <si>
    <t>Bonemold Chainmail Pauldron</t>
  </si>
  <si>
    <t>modules/a-knights-dream/Item/equip_armor_chainmail_pauldron_bonemold.webp</t>
  </si>
  <si>
    <t>Bonemold Gamberson Cuirass</t>
  </si>
  <si>
    <t>modules/a-knights-dream/Item/equip_armor_gamberson_cuirass_bonemold.webp</t>
  </si>
  <si>
    <t>Bonemold Gamberson Gauntlets</t>
  </si>
  <si>
    <t>modules/a-knights-dream/Item/equip_armor_gamberson_gauntlets_bonemold.webp</t>
  </si>
  <si>
    <t>Bonemold Gamberson Greaves</t>
  </si>
  <si>
    <t>modules/a-knights-dream/Item/equip_armor_gamberson_greaves_bonemold.webp</t>
  </si>
  <si>
    <t>Bonemold Gamberson Helmet</t>
  </si>
  <si>
    <t>modules/a-knights-dream/Item/equip_armor_gamberson_helmet_bonemold.webp</t>
  </si>
  <si>
    <t>Bonemold Gamberson Pauldron</t>
  </si>
  <si>
    <t>modules/a-knights-dream/Item/equip_armor_gamberson_pauldron_bonemold.webp</t>
  </si>
  <si>
    <t>Bonemold Hauberk Cuirass</t>
  </si>
  <si>
    <t>modules/a-knights-dream/Item/equip_armor_hauberk_cuirass_bonemold.webp</t>
  </si>
  <si>
    <t>Bonemold Hauberk Gauntlets</t>
  </si>
  <si>
    <t>modules/a-knights-dream/Item/equip_armor_hauberk_gauntlets_bonemold.webp</t>
  </si>
  <si>
    <t>Bonemold Hauberk Greaves</t>
  </si>
  <si>
    <t>modules/a-knights-dream/Item/equip_armor_hauberk_greaves_bonemold.webp</t>
  </si>
  <si>
    <t>Bonemold Hauberk Helmet</t>
  </si>
  <si>
    <t>modules/a-knights-dream/Item/equip_armor_hauberk_helmet_bonemold.webp</t>
  </si>
  <si>
    <t>Bonemold Hauberk Pauldron</t>
  </si>
  <si>
    <t>modules/a-knights-dream/Item/equip_armor_hauberk_pauldron_bonemold.webp</t>
  </si>
  <si>
    <t>Bonemold Jack Cuirass</t>
  </si>
  <si>
    <t>modules/a-knights-dream/Item/equip_armor_jack_cuirass_bonemold.webp</t>
  </si>
  <si>
    <t>Bonemold Jack Gauntlets</t>
  </si>
  <si>
    <t>modules/a-knights-dream/Item/equip_armor_jack_gauntlets_bonemold.webp</t>
  </si>
  <si>
    <t>Bonemold Jack Greaves</t>
  </si>
  <si>
    <t>modules/a-knights-dream/Item/equip_armor_jack_greaves_bonemold.webp</t>
  </si>
  <si>
    <t>Bonemold Jack Helmet</t>
  </si>
  <si>
    <t>modules/a-knights-dream/Item/equip_armor_jack_helmet_bonemold.webp</t>
  </si>
  <si>
    <t>Bonemold Jack Pauldron</t>
  </si>
  <si>
    <t>modules/a-knights-dream/Item/equip_armor_jack_pauldron_bonemold.webp</t>
  </si>
  <si>
    <t>Bonemold Lamellar Cuirass</t>
  </si>
  <si>
    <t>modules/a-knights-dream/Item/equip_armor_lamellar_cuirass_bonemold.webp</t>
  </si>
  <si>
    <t>Bonemold Lamellar Gauntlets</t>
  </si>
  <si>
    <t>modules/a-knights-dream/Item/equip_armor_lamellar_gauntlets_bonemold.webp</t>
  </si>
  <si>
    <t>Bonemold Lamellar Greaves</t>
  </si>
  <si>
    <t>modules/a-knights-dream/Item/equip_armor_lamellar_greaves_bonemold.webp</t>
  </si>
  <si>
    <t>Bonemold Lamellar Helmet</t>
  </si>
  <si>
    <t>modules/a-knights-dream/Item/equip_armor_lamellar_helmet_bonemold.webp</t>
  </si>
  <si>
    <t>Bonemold Lamellar Pauldron</t>
  </si>
  <si>
    <t>modules/a-knights-dream/Item/equip_armor_lamellar_pauldron_bonemold.webp</t>
  </si>
  <si>
    <t>Bonemold Platemail Cuirass</t>
  </si>
  <si>
    <t>modules/a-knights-dream/Item/equip_armor_platemail_cuirass_bonemold.webp</t>
  </si>
  <si>
    <t>Bonemold Platemail Gauntlets</t>
  </si>
  <si>
    <t>modules/a-knights-dream/Item/equip_armor_platemail_gauntlets_bonemold.webp</t>
  </si>
  <si>
    <t>Bonemold Platemail Greaves</t>
  </si>
  <si>
    <t>modules/a-knights-dream/Item/equip_armor_platemail_greaves_bonemold.webp</t>
  </si>
  <si>
    <t>Bonemold Platemail Helmet</t>
  </si>
  <si>
    <t>modules/a-knights-dream/Item/equip_armor_platemail_helmet_bonemold.webp</t>
  </si>
  <si>
    <t>Bonemold Platemail Pauldron</t>
  </si>
  <si>
    <t>modules/a-knights-dream/Item/equip_armor_platemail_pauldron_bonemold.webp</t>
  </si>
  <si>
    <t>Bonemold Tunic Cuirass</t>
  </si>
  <si>
    <t>modules/a-knights-dream/Item/equip_armor_tunic_cuirass_bonemold.webp</t>
  </si>
  <si>
    <t>Bonemold Tunic Gauntlets</t>
  </si>
  <si>
    <t>modules/a-knights-dream/Item/equip_armor_tunic_gauntlets_bonemold.webp</t>
  </si>
  <si>
    <t>Bonemold Tunic Greaves</t>
  </si>
  <si>
    <t>modules/a-knights-dream/Item/equip_armor_tunic_greaves_bonemold.webp</t>
  </si>
  <si>
    <t>Bonemold Tunic Helmet</t>
  </si>
  <si>
    <t>modules/a-knights-dream/Item/equip_armor_tunic_helmet_bonemold.webp</t>
  </si>
  <si>
    <t>Bonemold Tunic Pauldron</t>
  </si>
  <si>
    <t>modules/a-knights-dream/Item/equip_armor_tunic_pauldron_bonemold.webp</t>
  </si>
  <si>
    <t>Bonemold Buckler Shield</t>
  </si>
  <si>
    <t>modules/a-knights-dream/Item/equip_armor_shield_buckler_bonemold.webp</t>
  </si>
  <si>
    <t>Bonemold Heater Shield</t>
  </si>
  <si>
    <t>modules/a-knights-dream/Item/equip_armor_shield_heater_bonemold.webp</t>
  </si>
  <si>
    <t>Bonemold Kite Shield</t>
  </si>
  <si>
    <t>modules/a-knights-dream/Item/equip_armor_shield_kite_bonemold.webp</t>
  </si>
  <si>
    <t>Bonemold Oval Shield</t>
  </si>
  <si>
    <t>modules/a-knights-dream/Item/equip_armor_shield_oval_bonemold.webp</t>
  </si>
  <si>
    <t>Bonemold Round Shield</t>
  </si>
  <si>
    <t>modules/a-knights-dream/Item/equip_armor_shield_round_bonemold.webp</t>
  </si>
  <si>
    <t>Bonemold Tower Shield</t>
  </si>
  <si>
    <t>modules/a-knights-dream/Item/equip_armor_shield_tower_bonemold.webp</t>
  </si>
  <si>
    <t>Chitin</t>
  </si>
  <si>
    <t>Chitin Ball Bearings</t>
  </si>
  <si>
    <t>modules/a-knights-dream/Item/equip_weapon_bearings_chitin.webp</t>
  </si>
  <si>
    <t>Chitin Bardiche</t>
  </si>
  <si>
    <t>modules/a-knights-dream/Item/equip_weapon_bardiche_chitin.webp</t>
  </si>
  <si>
    <t>Chitin Bastard Sword</t>
  </si>
  <si>
    <t>modules/a-knights-dream/Item/equip_weapon_sword_bastard_chitin.webp</t>
  </si>
  <si>
    <t>Chitin Battle Axe</t>
  </si>
  <si>
    <t>modules/a-knights-dream/Item/equip_weapon_axe_battle_chitin.webp</t>
  </si>
  <si>
    <t>Chitin Blowgun</t>
  </si>
  <si>
    <t>modules/a-knights-dream/Item/equip_weapon_blowgun_chitin.webp</t>
  </si>
  <si>
    <t>Chitin Bolt</t>
  </si>
  <si>
    <t>modules/a-knights-dream/Item/equip_weapon_bolt_chitin.webp</t>
  </si>
  <si>
    <t>Chitin Boomerang</t>
  </si>
  <si>
    <t>modules/a-knights-dream/Item/equip_weapon_boomerang_chitin.webp</t>
  </si>
  <si>
    <t>Chitin Bow</t>
  </si>
  <si>
    <t>modules/a-knights-dream/Item/equip_weapon_bow_chitin.webp</t>
  </si>
  <si>
    <t>Chitin Caltrops</t>
  </si>
  <si>
    <t>modules/a-knights-dream/Item/equip_weapon_caltrops_chitin.webp</t>
  </si>
  <si>
    <t>Chitin Cestus</t>
  </si>
  <si>
    <t>modules/a-knights-dream/Item/equip_weapon_cestus_chitin.webp</t>
  </si>
  <si>
    <t>Chitin Chain</t>
  </si>
  <si>
    <t>modules/a-knights-dream/Item/equip_weapon_chain_chitin.webp</t>
  </si>
  <si>
    <t>Chitin Claymore</t>
  </si>
  <si>
    <t>modules/a-knights-dream/Item/equip_weapon_claymore_chitin.webp</t>
  </si>
  <si>
    <t>Chitin Club</t>
  </si>
  <si>
    <t>modules/a-knights-dream/Item/equip_weapon_club_chitin.webp</t>
  </si>
  <si>
    <t>Chitin Compound Bow</t>
  </si>
  <si>
    <t>modules/a-knights-dream/Item/equip_weapon_bow_compound_chitin.webp</t>
  </si>
  <si>
    <t>Chitin Cutlass</t>
  </si>
  <si>
    <t>modules/a-knights-dream/Item/equip_weapon_cutlass_chitin.webp</t>
  </si>
  <si>
    <t>Chitin Dagger</t>
  </si>
  <si>
    <t>modules/a-knights-dream/Item/equip_weapon_dagger_chitin.webp</t>
  </si>
  <si>
    <t>Chitin Dart</t>
  </si>
  <si>
    <t>modules/a-knights-dream/Item/equip_weapon_dart_chitin.webp</t>
  </si>
  <si>
    <t>Chitin Fauchard Scythe</t>
  </si>
  <si>
    <t>modules/a-knights-dream/Item/equip_weapon_scythe_fauchard_chitin.webp</t>
  </si>
  <si>
    <t>Chitin Flail</t>
  </si>
  <si>
    <t>modules/a-knights-dream/Item/equip_weapon_flail_chitin.webp</t>
  </si>
  <si>
    <t>Chitin Glaive</t>
  </si>
  <si>
    <t>modules/a-knights-dream/Item/equip_weapon_glaive_chitin.webp</t>
  </si>
  <si>
    <t>Chitin Grapple Hook</t>
  </si>
  <si>
    <t>modules/a-knights-dream/Item/equip_weapon_hook_grapple_chitin.webp</t>
  </si>
  <si>
    <t>Chitin Great Axe</t>
  </si>
  <si>
    <t>modules/a-knights-dream/Item/equip_weapon_axe_great_chitin.webp</t>
  </si>
  <si>
    <t>Chitin Great Club</t>
  </si>
  <si>
    <t>modules/a-knights-dream/Item/equip_weapon_club_great_chitin.webp</t>
  </si>
  <si>
    <t>Chitin Great Khyber</t>
  </si>
  <si>
    <t>modules/a-knights-dream/Item/equip_weapon_khyber_great_chitin.webp</t>
  </si>
  <si>
    <t>Chitin Great Konda</t>
  </si>
  <si>
    <t>modules/a-knights-dream/Item/equip_weapon_konda_great_chitin.webp</t>
  </si>
  <si>
    <t>Chitin Great Labrys</t>
  </si>
  <si>
    <t>modules/a-knights-dream/Item/equip_weapon_axe_labrys_great_chitin.webp</t>
  </si>
  <si>
    <t>Chitin Great Mace</t>
  </si>
  <si>
    <t>modules/a-knights-dream/Item/equip_weapon_mace_great_chitin.webp</t>
  </si>
  <si>
    <t>Chitin Great Tapal</t>
  </si>
  <si>
    <t>modules/a-knights-dream/Item/equip_weapon_tapal_great_chitin.webp</t>
  </si>
  <si>
    <t>Chitin Great War Bow</t>
  </si>
  <si>
    <t>modules/a-knights-dream/Item/equip_weapon_bow_war_great_chitin.webp</t>
  </si>
  <si>
    <t>Chitin Great War Hammer</t>
  </si>
  <si>
    <t>modules/a-knights-dream/Item/equip_weapon_hammer_war_great_chitin.webp</t>
  </si>
  <si>
    <t>Chitin Great War Pick</t>
  </si>
  <si>
    <t>modules/a-knights-dream/Item/equip_weapon_pick_war_great_chitin.webp</t>
  </si>
  <si>
    <t>Chitin Guisarme</t>
  </si>
  <si>
    <t>modules/a-knights-dream/Item/equip_weapon_guisarme_chitin.webp</t>
  </si>
  <si>
    <t>Chitin Halberd</t>
  </si>
  <si>
    <t>modules/a-knights-dream/Item/equip_weapon_halberd_chitin.webp</t>
  </si>
  <si>
    <t>Chitin Hand Crossbow</t>
  </si>
  <si>
    <t>modules/a-knights-dream/Item/equip_weapon_crossbow_hand_chitin.webp</t>
  </si>
  <si>
    <t>Chitin Hand axe</t>
  </si>
  <si>
    <t>modules/a-knights-dream/Item/equip_weapon_axe_hand_chitin.webp</t>
  </si>
  <si>
    <t>Chitin Heavy Crossbow</t>
  </si>
  <si>
    <t>modules/a-knights-dream/Item/equip_weapon_crossbow_heavy_chitin.webp</t>
  </si>
  <si>
    <t>Chitin Hunting Trap</t>
  </si>
  <si>
    <t>modules/a-knights-dream/Item/equip_weapon_trap_hunting_chitin.webp</t>
  </si>
  <si>
    <t>Chitin Hunting Trap (Large)</t>
  </si>
  <si>
    <t>modules/a-knights-dream/Item/equip_weapon_trap_hunting_large_chitin.webp</t>
  </si>
  <si>
    <t>Chitin Hunting Trap (Small)</t>
  </si>
  <si>
    <t>modules/a-knights-dream/Item/equip_weapon_trap_hunting_small_chitin.webp</t>
  </si>
  <si>
    <t>Chitin Javelin</t>
  </si>
  <si>
    <t>modules/a-knights-dream/Item/equip_weapon_javelin_chitin.webp</t>
  </si>
  <si>
    <t>Chitin Khpesh</t>
  </si>
  <si>
    <t>modules/a-knights-dream/Item/equip_weapon_khpesh_chitin.webp</t>
  </si>
  <si>
    <t>Chitin Khyber</t>
  </si>
  <si>
    <t>modules/a-knights-dream/Item/equip_weapon_khyber_chitin.webp</t>
  </si>
  <si>
    <t>Chitin Konda</t>
  </si>
  <si>
    <t>modules/a-knights-dream/Item/equip_weapon_konda_chitin.webp</t>
  </si>
  <si>
    <t>Chitin Labrys</t>
  </si>
  <si>
    <t>modules/a-knights-dream/Item/equip_weapon_axe_labrys_chitin.webp</t>
  </si>
  <si>
    <t>Chitin Lance</t>
  </si>
  <si>
    <t>modules/a-knights-dream/Item/equip_weapon_lance_chitin.webp</t>
  </si>
  <si>
    <t>Chitin Light Crossbow</t>
  </si>
  <si>
    <t>modules/a-knights-dream/Item/equip_weapon_crossbow_light_chitin.webp</t>
  </si>
  <si>
    <t>Chitin Long Bow</t>
  </si>
  <si>
    <t>modules/a-knights-dream/Item/equip_weapon_bow_long_chitin.webp</t>
  </si>
  <si>
    <t>Chitin Long Spear</t>
  </si>
  <si>
    <t>modules/a-knights-dream/Item/equip_weapon_spear_long_chitin.webp</t>
  </si>
  <si>
    <t>Chitin Lucerince Hammer</t>
  </si>
  <si>
    <t>modules/a-knights-dream/Item/equip_weapon_hammer_lucerince_chitin.webp</t>
  </si>
  <si>
    <t>Chitin Mace</t>
  </si>
  <si>
    <t>modules/a-knights-dream/Item/equip_weapon_mace_chitin.webp</t>
  </si>
  <si>
    <t>Chitin Morningstar</t>
  </si>
  <si>
    <t>modules/a-knights-dream/Item/equip_weapon_morningstar_chitin.webp</t>
  </si>
  <si>
    <t>Chitin Pike</t>
  </si>
  <si>
    <t>modules/a-knights-dream/Item/equip_weapon_pike_chitin.webp</t>
  </si>
  <si>
    <t>Chitin Quarter Staff</t>
  </si>
  <si>
    <t>modules/a-knights-dream/Item/equip_weapon_staff_quarter_chitin.webp</t>
  </si>
  <si>
    <t>Chitin Ranseur</t>
  </si>
  <si>
    <t>modules/a-knights-dream/Item/equip_weapon_ranseur_chitin.webp</t>
  </si>
  <si>
    <t>Chitin Rapier</t>
  </si>
  <si>
    <t>modules/a-knights-dream/Item/equip_weapon_rapier_chitin.webp</t>
  </si>
  <si>
    <t>Chitin Recurve Bow</t>
  </si>
  <si>
    <t>modules/a-knights-dream/Item/equip_weapon_bow_recurve_chitin.webp</t>
  </si>
  <si>
    <t>Chitin Repeater Crossbow</t>
  </si>
  <si>
    <t>modules/a-knights-dream/Item/equip_weapon_crossbow_repeater_chitin.webp</t>
  </si>
  <si>
    <t>Chitin Sabre</t>
  </si>
  <si>
    <t>modules/a-knights-dream/Item/equip_weapon_sabre_chitin.webp</t>
  </si>
  <si>
    <t>Chitin Scimitar</t>
  </si>
  <si>
    <t>modules/a-knights-dream/Item/equip_weapon_scimitar_chitin.webp</t>
  </si>
  <si>
    <t>Chitin Scythe</t>
  </si>
  <si>
    <t>modules/a-knights-dream/Item/equip_weapon_scythe_chitin.webp</t>
  </si>
  <si>
    <t>Chitin Short Bow</t>
  </si>
  <si>
    <t>modules/a-knights-dream/Item/equip_weapon_bow_short_chitin.webp</t>
  </si>
  <si>
    <t>Chitin Short Spear</t>
  </si>
  <si>
    <t>modules/a-knights-dream/Item/equip_weapon_spear_short_chitin.webp</t>
  </si>
  <si>
    <t>Chitin Short Sword</t>
  </si>
  <si>
    <t>modules/a-knights-dream/Item/equip_weapon_sword_short_chitin.webp</t>
  </si>
  <si>
    <t>Chitin Shotel</t>
  </si>
  <si>
    <t>modules/a-knights-dream/Item/equip_weapon_shotel_chitin.webp</t>
  </si>
  <si>
    <t>Chitin Sickle</t>
  </si>
  <si>
    <t>modules/a-knights-dream/Item/equip_weapon_sickle_chitin.webp</t>
  </si>
  <si>
    <t>Chitin Sling</t>
  </si>
  <si>
    <t>modules/a-knights-dream/Item/equip_weapon_sling_chitin.webp</t>
  </si>
  <si>
    <t>Chitin Staff</t>
  </si>
  <si>
    <t>modules/a-knights-dream/Item/equip_weapon_staff_chitin.webp</t>
  </si>
  <si>
    <t>Chitin Staff Sling</t>
  </si>
  <si>
    <t>modules/a-knights-dream/Item/equip_weapon_sling_staff_chitin.webp</t>
  </si>
  <si>
    <t>Chitin Sword</t>
  </si>
  <si>
    <t>modules/a-knights-dream/Item/equip_weapon_sword_chitin.webp</t>
  </si>
  <si>
    <t>Chitin Tapal</t>
  </si>
  <si>
    <t>modules/a-knights-dream/Item/equip_weapon_tapal_chitin.webp</t>
  </si>
  <si>
    <t>Chitin Trident</t>
  </si>
  <si>
    <t>modules/a-knights-dream/Item/equip_weapon_trident_chitin.webp</t>
  </si>
  <si>
    <t>Chitin War Hammer</t>
  </si>
  <si>
    <t>modules/a-knights-dream/Item/equip_weapon_hammer_war_chitin.webp</t>
  </si>
  <si>
    <t>Chitin War Pick</t>
  </si>
  <si>
    <t>modules/a-knights-dream/Item/equip_weapon_pick_war_chitin.webp</t>
  </si>
  <si>
    <t>Chitin Brigantine Cuirass</t>
  </si>
  <si>
    <t>modules/a-knights-dream/Item/equip_armor_brigantine_cuirass_chitin.webp</t>
  </si>
  <si>
    <t>Chitin Brigantine Gauntlets</t>
  </si>
  <si>
    <t>modules/a-knights-dream/Item/equip_armor_brigantine_gauntlets_chitin.webp</t>
  </si>
  <si>
    <t>Chitin Brigantine Greaves</t>
  </si>
  <si>
    <t>modules/a-knights-dream/Item/equip_armor_brigantine_greaves_chitin.webp</t>
  </si>
  <si>
    <t>Chitin Brigantine Helmet</t>
  </si>
  <si>
    <t>modules/a-knights-dream/Item/equip_armor_brigantine_helmet_chitin.webp</t>
  </si>
  <si>
    <t>Chitin Brigantine Pauldron</t>
  </si>
  <si>
    <t>modules/a-knights-dream/Item/equip_armor_brigantine_pauldron_chitin.webp</t>
  </si>
  <si>
    <t>Chitin Chainmail Cuirass</t>
  </si>
  <si>
    <t>modules/a-knights-dream/Item/equip_armor_chainmail_cuirass_chitin.webp</t>
  </si>
  <si>
    <t>Chitin Chainmail Gauntlets</t>
  </si>
  <si>
    <t>modules/a-knights-dream/Item/equip_armor_chainmail_gauntlets_chitin.webp</t>
  </si>
  <si>
    <t>Chitin Chainmail Greaves</t>
  </si>
  <si>
    <t>modules/a-knights-dream/Item/equip_armor_chainmail_greaves_chitin.webp</t>
  </si>
  <si>
    <t>Chitin Chainmail Helmet</t>
  </si>
  <si>
    <t>modules/a-knights-dream/Item/equip_armor_chainmail_helmet_chitin.webp</t>
  </si>
  <si>
    <t>Chitin Chainmail Pauldron</t>
  </si>
  <si>
    <t>modules/a-knights-dream/Item/equip_armor_chainmail_pauldron_chitin.webp</t>
  </si>
  <si>
    <t>Chitin Gamberson Cuirass</t>
  </si>
  <si>
    <t>modules/a-knights-dream/Item/equip_armor_gamberson_cuirass_chitin.webp</t>
  </si>
  <si>
    <t>Chitin Gamberson Gauntlets</t>
  </si>
  <si>
    <t>modules/a-knights-dream/Item/equip_armor_gamberson_gauntlets_chitin.webp</t>
  </si>
  <si>
    <t>Chitin Gamberson Greaves</t>
  </si>
  <si>
    <t>modules/a-knights-dream/Item/equip_armor_gamberson_greaves_chitin.webp</t>
  </si>
  <si>
    <t>Chitin Gamberson Helmet</t>
  </si>
  <si>
    <t>modules/a-knights-dream/Item/equip_armor_gamberson_helmet_chitin.webp</t>
  </si>
  <si>
    <t>Chitin Gamberson Pauldron</t>
  </si>
  <si>
    <t>modules/a-knights-dream/Item/equip_armor_gamberson_pauldron_chitin.webp</t>
  </si>
  <si>
    <t>Chitin Hauberk Cuirass</t>
  </si>
  <si>
    <t>modules/a-knights-dream/Item/equip_armor_hauberk_cuirass_chitin.webp</t>
  </si>
  <si>
    <t>Chitin Hauberk Gauntlets</t>
  </si>
  <si>
    <t>modules/a-knights-dream/Item/equip_armor_hauberk_gauntlets_chitin.webp</t>
  </si>
  <si>
    <t>Chitin Hauberk Greaves</t>
  </si>
  <si>
    <t>modules/a-knights-dream/Item/equip_armor_hauberk_greaves_chitin.webp</t>
  </si>
  <si>
    <t>Chitin Hauberk Helmet</t>
  </si>
  <si>
    <t>modules/a-knights-dream/Item/equip_armor_hauberk_helmet_chitin.webp</t>
  </si>
  <si>
    <t>Chitin Hauberk Pauldron</t>
  </si>
  <si>
    <t>modules/a-knights-dream/Item/equip_armor_hauberk_pauldron_chitin.webp</t>
  </si>
  <si>
    <t>Chitin Jack Cuirass</t>
  </si>
  <si>
    <t>modules/a-knights-dream/Item/equip_armor_jack_cuirass_chitin.webp</t>
  </si>
  <si>
    <t>Chitin Jack Gauntlets</t>
  </si>
  <si>
    <t>modules/a-knights-dream/Item/equip_armor_jack_gauntlets_chitin.webp</t>
  </si>
  <si>
    <t>Chitin Jack Greaves</t>
  </si>
  <si>
    <t>modules/a-knights-dream/Item/equip_armor_jack_greaves_chitin.webp</t>
  </si>
  <si>
    <t>Chitin Jack Helmet</t>
  </si>
  <si>
    <t>modules/a-knights-dream/Item/equip_armor_jack_helmet_chitin.webp</t>
  </si>
  <si>
    <t>Chitin Jack Pauldron</t>
  </si>
  <si>
    <t>modules/a-knights-dream/Item/equip_armor_jack_pauldron_chitin.webp</t>
  </si>
  <si>
    <t>Chitin Lamellar Cuirass</t>
  </si>
  <si>
    <t>modules/a-knights-dream/Item/equip_armor_lamellar_cuirass_chitin.webp</t>
  </si>
  <si>
    <t>Chitin Lamellar Gauntlets</t>
  </si>
  <si>
    <t>modules/a-knights-dream/Item/equip_armor_lamellar_gauntlets_chitin.webp</t>
  </si>
  <si>
    <t>Chitin Lamellar Greaves</t>
  </si>
  <si>
    <t>modules/a-knights-dream/Item/equip_armor_lamellar_greaves_chitin.webp</t>
  </si>
  <si>
    <t>Chitin Lamellar Helmet</t>
  </si>
  <si>
    <t>modules/a-knights-dream/Item/equip_armor_lamellar_helmet_chitin.webp</t>
  </si>
  <si>
    <t>Chitin Lamellar Pauldron</t>
  </si>
  <si>
    <t>modules/a-knights-dream/Item/equip_armor_lamellar_pauldron_chitin.webp</t>
  </si>
  <si>
    <t>Chitin Platemail Cuirass</t>
  </si>
  <si>
    <t>modules/a-knights-dream/Item/equip_armor_platemail_cuirass_chitin.webp</t>
  </si>
  <si>
    <t>Chitin Platemail Gauntlets</t>
  </si>
  <si>
    <t>modules/a-knights-dream/Item/equip_armor_platemail_gauntlets_chitin.webp</t>
  </si>
  <si>
    <t>Chitin Platemail Greaves</t>
  </si>
  <si>
    <t>modules/a-knights-dream/Item/equip_armor_platemail_greaves_chitin.webp</t>
  </si>
  <si>
    <t>Chitin Platemail Helmet</t>
  </si>
  <si>
    <t>modules/a-knights-dream/Item/equip_armor_platemail_helmet_chitin.webp</t>
  </si>
  <si>
    <t>Chitin Platemail Pauldron</t>
  </si>
  <si>
    <t>modules/a-knights-dream/Item/equip_armor_platemail_pauldron_chitin.webp</t>
  </si>
  <si>
    <t>Chitin Tunic Cuirass</t>
  </si>
  <si>
    <t>modules/a-knights-dream/Item/equip_armor_tunic_cuirass_chitin.webp</t>
  </si>
  <si>
    <t>Chitin Tunic Gauntlets</t>
  </si>
  <si>
    <t>modules/a-knights-dream/Item/equip_armor_tunic_gauntlets_chitin.webp</t>
  </si>
  <si>
    <t>Chitin Tunic Greaves</t>
  </si>
  <si>
    <t>modules/a-knights-dream/Item/equip_armor_tunic_greaves_chitin.webp</t>
  </si>
  <si>
    <t>Chitin Tunic Helmet</t>
  </si>
  <si>
    <t>modules/a-knights-dream/Item/equip_armor_tunic_helmet_chitin.webp</t>
  </si>
  <si>
    <t>Chitin Tunic Pauldron</t>
  </si>
  <si>
    <t>modules/a-knights-dream/Item/equip_armor_tunic_pauldron_chitin.webp</t>
  </si>
  <si>
    <t>Chitin Buckler Shield</t>
  </si>
  <si>
    <t>modules/a-knights-dream/Item/equip_armor_shield_buckler_chitin.webp</t>
  </si>
  <si>
    <t>Chitin Heater Shield</t>
  </si>
  <si>
    <t>modules/a-knights-dream/Item/equip_armor_shield_heater_chitin.webp</t>
  </si>
  <si>
    <t>Chitin Kite Shield</t>
  </si>
  <si>
    <t>modules/a-knights-dream/Item/equip_armor_shield_kite_chitin.webp</t>
  </si>
  <si>
    <t>Chitin Oval Shield</t>
  </si>
  <si>
    <t>modules/a-knights-dream/Item/equip_armor_shield_oval_chitin.webp</t>
  </si>
  <si>
    <t>Chitin Round Shield</t>
  </si>
  <si>
    <t>modules/a-knights-dream/Item/equip_armor_shield_round_chitin.webp</t>
  </si>
  <si>
    <t>Chitin Tower Shield</t>
  </si>
  <si>
    <t>modules/a-knights-dream/Item/equip_armor_shield_tower_chitin.webp</t>
  </si>
  <si>
    <t>Draco</t>
  </si>
  <si>
    <t>Draco Ball Bearings</t>
  </si>
  <si>
    <t>modules/a-knights-dream/Item/equip_weapon_bearings_draco.webp</t>
  </si>
  <si>
    <t>Draco Bardiche</t>
  </si>
  <si>
    <t>modules/a-knights-dream/Item/equip_weapon_bardiche_draco.webp</t>
  </si>
  <si>
    <t>Draco Bastard Sword</t>
  </si>
  <si>
    <t>modules/a-knights-dream/Item/equip_weapon_sword_bastard_draco.webp</t>
  </si>
  <si>
    <t>Draco Battle Axe</t>
  </si>
  <si>
    <t>modules/a-knights-dream/Item/equip_weapon_axe_battle_draco.webp</t>
  </si>
  <si>
    <t>Draco Blowgun</t>
  </si>
  <si>
    <t>modules/a-knights-dream/Item/equip_weapon_blowgun_draco.webp</t>
  </si>
  <si>
    <t>Draco Bolt</t>
  </si>
  <si>
    <t>modules/a-knights-dream/Item/equip_weapon_bolt_draco.webp</t>
  </si>
  <si>
    <t>Draco Boomerang</t>
  </si>
  <si>
    <t>modules/a-knights-dream/Item/equip_weapon_boomerang_draco.webp</t>
  </si>
  <si>
    <t>Draco Bow</t>
  </si>
  <si>
    <t>modules/a-knights-dream/Item/equip_weapon_bow_draco.webp</t>
  </si>
  <si>
    <t>Draco Caltrops</t>
  </si>
  <si>
    <t>modules/a-knights-dream/Item/equip_weapon_caltrops_draco.webp</t>
  </si>
  <si>
    <t>Draco Cestus</t>
  </si>
  <si>
    <t>modules/a-knights-dream/Item/equip_weapon_cestus_draco.webp</t>
  </si>
  <si>
    <t>Draco Chain</t>
  </si>
  <si>
    <t>modules/a-knights-dream/Item/equip_weapon_chain_draco.webp</t>
  </si>
  <si>
    <t>Draco Claymore</t>
  </si>
  <si>
    <t>modules/a-knights-dream/Item/equip_weapon_claymore_draco.webp</t>
  </si>
  <si>
    <t>Draco Club</t>
  </si>
  <si>
    <t>modules/a-knights-dream/Item/equip_weapon_club_draco.webp</t>
  </si>
  <si>
    <t>Draco Compound Bow</t>
  </si>
  <si>
    <t>modules/a-knights-dream/Item/equip_weapon_bow_compound_draco.webp</t>
  </si>
  <si>
    <t>Draco Cutlass</t>
  </si>
  <si>
    <t>modules/a-knights-dream/Item/equip_weapon_cutlass_draco.webp</t>
  </si>
  <si>
    <t>Draco Dagger</t>
  </si>
  <si>
    <t>modules/a-knights-dream/Item/equip_weapon_dagger_draco.webp</t>
  </si>
  <si>
    <t>Draco Dart</t>
  </si>
  <si>
    <t>modules/a-knights-dream/Item/equip_weapon_dart_draco.webp</t>
  </si>
  <si>
    <t>Draco Fauchard Scythe</t>
  </si>
  <si>
    <t>modules/a-knights-dream/Item/equip_weapon_scythe_fauchard_draco.webp</t>
  </si>
  <si>
    <t>Draco Flail</t>
  </si>
  <si>
    <t>modules/a-knights-dream/Item/equip_weapon_flail_draco.webp</t>
  </si>
  <si>
    <t>Draco Glaive</t>
  </si>
  <si>
    <t>modules/a-knights-dream/Item/equip_weapon_glaive_draco.webp</t>
  </si>
  <si>
    <t>Draco Grapple Hook</t>
  </si>
  <si>
    <t>modules/a-knights-dream/Item/equip_weapon_hook_grapple_draco.webp</t>
  </si>
  <si>
    <t>Draco Great Axe</t>
  </si>
  <si>
    <t>modules/a-knights-dream/Item/equip_weapon_axe_great_draco.webp</t>
  </si>
  <si>
    <t>Draco Great Club</t>
  </si>
  <si>
    <t>modules/a-knights-dream/Item/equip_weapon_club_great_draco.webp</t>
  </si>
  <si>
    <t>Draco Great Khyber</t>
  </si>
  <si>
    <t>modules/a-knights-dream/Item/equip_weapon_khyber_great_draco.webp</t>
  </si>
  <si>
    <t>Draco Great Konda</t>
  </si>
  <si>
    <t>modules/a-knights-dream/Item/equip_weapon_konda_great_draco.webp</t>
  </si>
  <si>
    <t>Draco Great Labrys</t>
  </si>
  <si>
    <t>modules/a-knights-dream/Item/equip_weapon_axe_labrys_great_draco.webp</t>
  </si>
  <si>
    <t>Draco Great Mace</t>
  </si>
  <si>
    <t>modules/a-knights-dream/Item/equip_weapon_mace_great_draco.webp</t>
  </si>
  <si>
    <t>Draco Great Tapal</t>
  </si>
  <si>
    <t>modules/a-knights-dream/Item/equip_weapon_tapal_great_draco.webp</t>
  </si>
  <si>
    <t>Draco Great War Bow</t>
  </si>
  <si>
    <t>modules/a-knights-dream/Item/equip_weapon_bow_war_great_draco.webp</t>
  </si>
  <si>
    <t>Draco Great War Hammer</t>
  </si>
  <si>
    <t>modules/a-knights-dream/Item/equip_weapon_hammer_war_great_draco.webp</t>
  </si>
  <si>
    <t>Draco Great War Pick</t>
  </si>
  <si>
    <t>modules/a-knights-dream/Item/equip_weapon_pick_war_great_draco.webp</t>
  </si>
  <si>
    <t>Draco Guisarme</t>
  </si>
  <si>
    <t>modules/a-knights-dream/Item/equip_weapon_guisarme_draco.webp</t>
  </si>
  <si>
    <t>Draco Halberd</t>
  </si>
  <si>
    <t>modules/a-knights-dream/Item/equip_weapon_halberd_draco.webp</t>
  </si>
  <si>
    <t>Draco Hand Crossbow</t>
  </si>
  <si>
    <t>modules/a-knights-dream/Item/equip_weapon_crossbow_hand_draco.webp</t>
  </si>
  <si>
    <t>Draco Hand axe</t>
  </si>
  <si>
    <t>modules/a-knights-dream/Item/equip_weapon_axe_hand_draco.webp</t>
  </si>
  <si>
    <t>Draco Heavy Crossbow</t>
  </si>
  <si>
    <t>modules/a-knights-dream/Item/equip_weapon_crossbow_heavy_draco.webp</t>
  </si>
  <si>
    <t>Draco Hunting Trap</t>
  </si>
  <si>
    <t>modules/a-knights-dream/Item/equip_weapon_trap_hunting_draco.webp</t>
  </si>
  <si>
    <t>Draco Hunting Trap (Large)</t>
  </si>
  <si>
    <t>modules/a-knights-dream/Item/equip_weapon_trap_hunting_large_draco.webp</t>
  </si>
  <si>
    <t>Draco Hunting Trap (Small)</t>
  </si>
  <si>
    <t>modules/a-knights-dream/Item/equip_weapon_trap_hunting_small_draco.webp</t>
  </si>
  <si>
    <t>Draco Javelin</t>
  </si>
  <si>
    <t>modules/a-knights-dream/Item/equip_weapon_javelin_draco.webp</t>
  </si>
  <si>
    <t>Draco Khpesh</t>
  </si>
  <si>
    <t>modules/a-knights-dream/Item/equip_weapon_khpesh_draco.webp</t>
  </si>
  <si>
    <t>Draco Khyber</t>
  </si>
  <si>
    <t>modules/a-knights-dream/Item/equip_weapon_khyber_draco.webp</t>
  </si>
  <si>
    <t>Draco Konda</t>
  </si>
  <si>
    <t>modules/a-knights-dream/Item/equip_weapon_konda_draco.webp</t>
  </si>
  <si>
    <t>Draco Labrys</t>
  </si>
  <si>
    <t>modules/a-knights-dream/Item/equip_weapon_axe_labrys_draco.webp</t>
  </si>
  <si>
    <t>Draco Lance</t>
  </si>
  <si>
    <t>modules/a-knights-dream/Item/equip_weapon_lance_draco.webp</t>
  </si>
  <si>
    <t>Draco Light Crossbow</t>
  </si>
  <si>
    <t>modules/a-knights-dream/Item/equip_weapon_crossbow_light_draco.webp</t>
  </si>
  <si>
    <t>Draco Long Bow</t>
  </si>
  <si>
    <t>modules/a-knights-dream/Item/equip_weapon_bow_long_draco.webp</t>
  </si>
  <si>
    <t>Draco Long Spear</t>
  </si>
  <si>
    <t>modules/a-knights-dream/Item/equip_weapon_spear_long_draco.webp</t>
  </si>
  <si>
    <t>Draco Lucerince Hammer</t>
  </si>
  <si>
    <t>modules/a-knights-dream/Item/equip_weapon_hammer_lucerince_draco.webp</t>
  </si>
  <si>
    <t>Draco Mace</t>
  </si>
  <si>
    <t>modules/a-knights-dream/Item/equip_weapon_mace_draco.webp</t>
  </si>
  <si>
    <t>Draco Morningstar</t>
  </si>
  <si>
    <t>modules/a-knights-dream/Item/equip_weapon_morningstar_draco.webp</t>
  </si>
  <si>
    <t>Draco Pike</t>
  </si>
  <si>
    <t>modules/a-knights-dream/Item/equip_weapon_pike_draco.webp</t>
  </si>
  <si>
    <t>Draco Quarter Staff</t>
  </si>
  <si>
    <t>modules/a-knights-dream/Item/equip_weapon_staff_quarter_draco.webp</t>
  </si>
  <si>
    <t>Draco Ranseur</t>
  </si>
  <si>
    <t>modules/a-knights-dream/Item/equip_weapon_ranseur_draco.webp</t>
  </si>
  <si>
    <t>Draco Rapier</t>
  </si>
  <si>
    <t>modules/a-knights-dream/Item/equip_weapon_rapier_draco.webp</t>
  </si>
  <si>
    <t>Draco Recurve Bow</t>
  </si>
  <si>
    <t>modules/a-knights-dream/Item/equip_weapon_bow_recurve_draco.webp</t>
  </si>
  <si>
    <t>Draco Repeater Crossbow</t>
  </si>
  <si>
    <t>modules/a-knights-dream/Item/equip_weapon_crossbow_repeater_draco.webp</t>
  </si>
  <si>
    <t>Draco Sabre</t>
  </si>
  <si>
    <t>modules/a-knights-dream/Item/equip_weapon_sabre_draco.webp</t>
  </si>
  <si>
    <t>Draco Scimitar</t>
  </si>
  <si>
    <t>modules/a-knights-dream/Item/equip_weapon_scimitar_draco.webp</t>
  </si>
  <si>
    <t>Draco Scythe</t>
  </si>
  <si>
    <t>modules/a-knights-dream/Item/equip_weapon_scythe_draco.webp</t>
  </si>
  <si>
    <t>Draco Short Bow</t>
  </si>
  <si>
    <t>modules/a-knights-dream/Item/equip_weapon_bow_short_draco.webp</t>
  </si>
  <si>
    <t>Draco Short Spear</t>
  </si>
  <si>
    <t>modules/a-knights-dream/Item/equip_weapon_spear_short_draco.webp</t>
  </si>
  <si>
    <t>Draco Short Sword</t>
  </si>
  <si>
    <t>modules/a-knights-dream/Item/equip_weapon_sword_short_draco.webp</t>
  </si>
  <si>
    <t>Draco Shotel</t>
  </si>
  <si>
    <t>modules/a-knights-dream/Item/equip_weapon_shotel_draco.webp</t>
  </si>
  <si>
    <t>Draco Sickle</t>
  </si>
  <si>
    <t>modules/a-knights-dream/Item/equip_weapon_sickle_draco.webp</t>
  </si>
  <si>
    <t>Draco Sling</t>
  </si>
  <si>
    <t>modules/a-knights-dream/Item/equip_weapon_sling_draco.webp</t>
  </si>
  <si>
    <t>Draco Staff</t>
  </si>
  <si>
    <t>modules/a-knights-dream/Item/equip_weapon_staff_draco.webp</t>
  </si>
  <si>
    <t>Draco Staff Sling</t>
  </si>
  <si>
    <t>modules/a-knights-dream/Item/equip_weapon_sling_staff_draco.webp</t>
  </si>
  <si>
    <t>Draco Sword</t>
  </si>
  <si>
    <t>modules/a-knights-dream/Item/equip_weapon_sword_draco.webp</t>
  </si>
  <si>
    <t>Draco Tapal</t>
  </si>
  <si>
    <t>modules/a-knights-dream/Item/equip_weapon_tapal_draco.webp</t>
  </si>
  <si>
    <t>Draco Trident</t>
  </si>
  <si>
    <t>modules/a-knights-dream/Item/equip_weapon_trident_draco.webp</t>
  </si>
  <si>
    <t>Draco War Hammer</t>
  </si>
  <si>
    <t>modules/a-knights-dream/Item/equip_weapon_hammer_war_draco.webp</t>
  </si>
  <si>
    <t>Draco War Pick</t>
  </si>
  <si>
    <t>modules/a-knights-dream/Item/equip_weapon_pick_war_draco.webp</t>
  </si>
  <si>
    <t>Draco Brigantine Cuirass</t>
  </si>
  <si>
    <t>modules/a-knights-dream/Item/equip_armor_brigantine_cuirass_draco.webp</t>
  </si>
  <si>
    <t>Draco Brigantine Gauntlets</t>
  </si>
  <si>
    <t>modules/a-knights-dream/Item/equip_armor_brigantine_gauntlets_draco.webp</t>
  </si>
  <si>
    <t>Draco Brigantine Greaves</t>
  </si>
  <si>
    <t>modules/a-knights-dream/Item/equip_armor_brigantine_greaves_draco.webp</t>
  </si>
  <si>
    <t>Draco Brigantine Helmet</t>
  </si>
  <si>
    <t>modules/a-knights-dream/Item/equip_armor_brigantine_helmet_draco.webp</t>
  </si>
  <si>
    <t>Draco Brigantine Pauldron</t>
  </si>
  <si>
    <t>modules/a-knights-dream/Item/equip_armor_brigantine_pauldron_draco.webp</t>
  </si>
  <si>
    <t>Draco Chainmail Cuirass</t>
  </si>
  <si>
    <t>modules/a-knights-dream/Item/equip_armor_chainmail_cuirass_draco.webp</t>
  </si>
  <si>
    <t>Draco Chainmail Gauntlets</t>
  </si>
  <si>
    <t>modules/a-knights-dream/Item/equip_armor_chainmail_gauntlets_draco.webp</t>
  </si>
  <si>
    <t>Draco Chainmail Greaves</t>
  </si>
  <si>
    <t>modules/a-knights-dream/Item/equip_armor_chainmail_greaves_draco.webp</t>
  </si>
  <si>
    <t>Draco Chainmail Helmet</t>
  </si>
  <si>
    <t>modules/a-knights-dream/Item/equip_armor_chainmail_helmet_draco.webp</t>
  </si>
  <si>
    <t>Draco Chainmail Pauldron</t>
  </si>
  <si>
    <t>modules/a-knights-dream/Item/equip_armor_chainmail_pauldron_draco.webp</t>
  </si>
  <si>
    <t>Draco Gamberson Cuirass</t>
  </si>
  <si>
    <t>modules/a-knights-dream/Item/equip_armor_gamberson_cuirass_draco.webp</t>
  </si>
  <si>
    <t>Draco Gamberson Gauntlets</t>
  </si>
  <si>
    <t>modules/a-knights-dream/Item/equip_armor_gamberson_gauntlets_draco.webp</t>
  </si>
  <si>
    <t>Draco Gamberson Greaves</t>
  </si>
  <si>
    <t>modules/a-knights-dream/Item/equip_armor_gamberson_greaves_draco.webp</t>
  </si>
  <si>
    <t>Draco Gamberson Helmet</t>
  </si>
  <si>
    <t>modules/a-knights-dream/Item/equip_armor_gamberson_helmet_draco.webp</t>
  </si>
  <si>
    <t>Draco Gamberson Pauldron</t>
  </si>
  <si>
    <t>modules/a-knights-dream/Item/equip_armor_gamberson_pauldron_draco.webp</t>
  </si>
  <si>
    <t>Draco Hauberk Cuirass</t>
  </si>
  <si>
    <t>modules/a-knights-dream/Item/equip_armor_hauberk_cuirass_draco.webp</t>
  </si>
  <si>
    <t>Draco Hauberk Gauntlets</t>
  </si>
  <si>
    <t>modules/a-knights-dream/Item/equip_armor_hauberk_gauntlets_draco.webp</t>
  </si>
  <si>
    <t>Draco Hauberk Greaves</t>
  </si>
  <si>
    <t>modules/a-knights-dream/Item/equip_armor_hauberk_greaves_draco.webp</t>
  </si>
  <si>
    <t>Draco Hauberk Helmet</t>
  </si>
  <si>
    <t>modules/a-knights-dream/Item/equip_armor_hauberk_helmet_draco.webp</t>
  </si>
  <si>
    <t>Draco Hauberk Pauldron</t>
  </si>
  <si>
    <t>modules/a-knights-dream/Item/equip_armor_hauberk_pauldron_draco.webp</t>
  </si>
  <si>
    <t>Draco Jack Cuirass</t>
  </si>
  <si>
    <t>modules/a-knights-dream/Item/equip_armor_jack_cuirass_draco.webp</t>
  </si>
  <si>
    <t>Draco Jack Gauntlets</t>
  </si>
  <si>
    <t>modules/a-knights-dream/Item/equip_armor_jack_gauntlets_draco.webp</t>
  </si>
  <si>
    <t>Draco Jack Greaves</t>
  </si>
  <si>
    <t>modules/a-knights-dream/Item/equip_armor_jack_greaves_draco.webp</t>
  </si>
  <si>
    <t>Draco Jack Helmet</t>
  </si>
  <si>
    <t>modules/a-knights-dream/Item/equip_armor_jack_helmet_draco.webp</t>
  </si>
  <si>
    <t>Draco Jack Pauldron</t>
  </si>
  <si>
    <t>modules/a-knights-dream/Item/equip_armor_jack_pauldron_draco.webp</t>
  </si>
  <si>
    <t>Draco Lamellar Cuirass</t>
  </si>
  <si>
    <t>modules/a-knights-dream/Item/equip_armor_lamellar_cuirass_draco.webp</t>
  </si>
  <si>
    <t>Draco Lamellar Gauntlets</t>
  </si>
  <si>
    <t>modules/a-knights-dream/Item/equip_armor_lamellar_gauntlets_draco.webp</t>
  </si>
  <si>
    <t>Draco Lamellar Greaves</t>
  </si>
  <si>
    <t>modules/a-knights-dream/Item/equip_armor_lamellar_greaves_draco.webp</t>
  </si>
  <si>
    <t>Draco Lamellar Helmet</t>
  </si>
  <si>
    <t>modules/a-knights-dream/Item/equip_armor_lamellar_helmet_draco.webp</t>
  </si>
  <si>
    <t>Draco Lamellar Pauldron</t>
  </si>
  <si>
    <t>modules/a-knights-dream/Item/equip_armor_lamellar_pauldron_draco.webp</t>
  </si>
  <si>
    <t>Draco Platemail Cuirass</t>
  </si>
  <si>
    <t>modules/a-knights-dream/Item/equip_armor_platemail_cuirass_draco.webp</t>
  </si>
  <si>
    <t>Draco Platemail Gauntlets</t>
  </si>
  <si>
    <t>modules/a-knights-dream/Item/equip_armor_platemail_gauntlets_draco.webp</t>
  </si>
  <si>
    <t>Draco Platemail Greaves</t>
  </si>
  <si>
    <t>modules/a-knights-dream/Item/equip_armor_platemail_greaves_draco.webp</t>
  </si>
  <si>
    <t>Draco Platemail Helmet</t>
  </si>
  <si>
    <t>modules/a-knights-dream/Item/equip_armor_platemail_helmet_draco.webp</t>
  </si>
  <si>
    <t>Draco Platemail Pauldron</t>
  </si>
  <si>
    <t>modules/a-knights-dream/Item/equip_armor_platemail_pauldron_draco.webp</t>
  </si>
  <si>
    <t>Draco Tunic Cuirass</t>
  </si>
  <si>
    <t>modules/a-knights-dream/Item/equip_armor_tunic_cuirass_draco.webp</t>
  </si>
  <si>
    <t>Draco Tunic Gauntlets</t>
  </si>
  <si>
    <t>modules/a-knights-dream/Item/equip_armor_tunic_gauntlets_draco.webp</t>
  </si>
  <si>
    <t>Draco Tunic Greaves</t>
  </si>
  <si>
    <t>modules/a-knights-dream/Item/equip_armor_tunic_greaves_draco.webp</t>
  </si>
  <si>
    <t>Draco Tunic Helmet</t>
  </si>
  <si>
    <t>modules/a-knights-dream/Item/equip_armor_tunic_helmet_draco.webp</t>
  </si>
  <si>
    <t>Draco Tunic Pauldron</t>
  </si>
  <si>
    <t>modules/a-knights-dream/Item/equip_armor_tunic_pauldron_draco.webp</t>
  </si>
  <si>
    <t>Draco Buckler Shield</t>
  </si>
  <si>
    <t>modules/a-knights-dream/Item/equip_armor_shield_buckler_draco.webp</t>
  </si>
  <si>
    <t>Draco Heater Shield</t>
  </si>
  <si>
    <t>modules/a-knights-dream/Item/equip_armor_shield_heater_draco.webp</t>
  </si>
  <si>
    <t>Draco Kite Shield</t>
  </si>
  <si>
    <t>modules/a-knights-dream/Item/equip_armor_shield_kite_draco.webp</t>
  </si>
  <si>
    <t>Draco Oval Shield</t>
  </si>
  <si>
    <t>modules/a-knights-dream/Item/equip_armor_shield_oval_draco.webp</t>
  </si>
  <si>
    <t>Draco Round Shield</t>
  </si>
  <si>
    <t>modules/a-knights-dream/Item/equip_armor_shield_round_draco.webp</t>
  </si>
  <si>
    <t>Draco Tower Shield</t>
  </si>
  <si>
    <t>modules/a-knights-dream/Item/equip_armor_shield_tower_draco.webp</t>
  </si>
  <si>
    <t>Forsworn</t>
  </si>
  <si>
    <t>Forsworn Ball Bearings</t>
  </si>
  <si>
    <t>modules/a-knights-dream/Item/equip_weapon_bearings_forsworn.webp</t>
  </si>
  <si>
    <t>Forsworn Bardiche</t>
  </si>
  <si>
    <t>modules/a-knights-dream/Item/equip_weapon_bardiche_forsworn.webp</t>
  </si>
  <si>
    <t>Forsworn Bastard Sword</t>
  </si>
  <si>
    <t>modules/a-knights-dream/Item/equip_weapon_sword_bastard_forsworn.webp</t>
  </si>
  <si>
    <t>Forsworn Battle Axe</t>
  </si>
  <si>
    <t>modules/a-knights-dream/Item/equip_weapon_axe_battle_forsworn.webp</t>
  </si>
  <si>
    <t>Forsworn Blowgun</t>
  </si>
  <si>
    <t>modules/a-knights-dream/Item/equip_weapon_blowgun_forsworn.webp</t>
  </si>
  <si>
    <t>Forsworn Bolt</t>
  </si>
  <si>
    <t>modules/a-knights-dream/Item/equip_weapon_bolt_forsworn.webp</t>
  </si>
  <si>
    <t>Forsworn Boomerang</t>
  </si>
  <si>
    <t>modules/a-knights-dream/Item/equip_weapon_boomerang_forsworn.webp</t>
  </si>
  <si>
    <t>Forsworn Bow</t>
  </si>
  <si>
    <t>modules/a-knights-dream/Item/equip_weapon_bow_forsworn.webp</t>
  </si>
  <si>
    <t>Forsworn Caltrops</t>
  </si>
  <si>
    <t>modules/a-knights-dream/Item/equip_weapon_caltrops_forsworn.webp</t>
  </si>
  <si>
    <t>Forsworn Cestus</t>
  </si>
  <si>
    <t>modules/a-knights-dream/Item/equip_weapon_cestus_forsworn.webp</t>
  </si>
  <si>
    <t>Forsworn Chain</t>
  </si>
  <si>
    <t>modules/a-knights-dream/Item/equip_weapon_chain_forsworn.webp</t>
  </si>
  <si>
    <t>Forsworn Claymore</t>
  </si>
  <si>
    <t>modules/a-knights-dream/Item/equip_weapon_claymore_forsworn.webp</t>
  </si>
  <si>
    <t>Forsworn Club</t>
  </si>
  <si>
    <t>modules/a-knights-dream/Item/equip_weapon_club_forsworn.webp</t>
  </si>
  <si>
    <t>Forsworn Compound Bow</t>
  </si>
  <si>
    <t>modules/a-knights-dream/Item/equip_weapon_bow_compound_forsworn.webp</t>
  </si>
  <si>
    <t>Forsworn Cutlass</t>
  </si>
  <si>
    <t>modules/a-knights-dream/Item/equip_weapon_cutlass_forsworn.webp</t>
  </si>
  <si>
    <t>Forsworn Dagger</t>
  </si>
  <si>
    <t>modules/a-knights-dream/Item/equip_weapon_dagger_forsworn.webp</t>
  </si>
  <si>
    <t>Forsworn Dart</t>
  </si>
  <si>
    <t>modules/a-knights-dream/Item/equip_weapon_dart_forsworn.webp</t>
  </si>
  <si>
    <t>Forsworn Fauchard Scythe</t>
  </si>
  <si>
    <t>modules/a-knights-dream/Item/equip_weapon_scythe_fauchard_forsworn.webp</t>
  </si>
  <si>
    <t>Forsworn Flail</t>
  </si>
  <si>
    <t>modules/a-knights-dream/Item/equip_weapon_flail_forsworn.webp</t>
  </si>
  <si>
    <t>Forsworn Glaive</t>
  </si>
  <si>
    <t>modules/a-knights-dream/Item/equip_weapon_glaive_forsworn.webp</t>
  </si>
  <si>
    <t>Forsworn Grapple Hook</t>
  </si>
  <si>
    <t>modules/a-knights-dream/Item/equip_weapon_hook_grapple_forsworn.webp</t>
  </si>
  <si>
    <t>Forsworn Great Axe</t>
  </si>
  <si>
    <t>modules/a-knights-dream/Item/equip_weapon_axe_great_forsworn.webp</t>
  </si>
  <si>
    <t>Forsworn Great Club</t>
  </si>
  <si>
    <t>modules/a-knights-dream/Item/equip_weapon_club_great_forsworn.webp</t>
  </si>
  <si>
    <t>Forsworn Great Khyber</t>
  </si>
  <si>
    <t>modules/a-knights-dream/Item/equip_weapon_khyber_great_forsworn.webp</t>
  </si>
  <si>
    <t>Forsworn Great Konda</t>
  </si>
  <si>
    <t>modules/a-knights-dream/Item/equip_weapon_konda_great_forsworn.webp</t>
  </si>
  <si>
    <t>Forsworn Great Labrys</t>
  </si>
  <si>
    <t>modules/a-knights-dream/Item/equip_weapon_axe_labrys_great_forsworn.webp</t>
  </si>
  <si>
    <t>Forsworn Great Mace</t>
  </si>
  <si>
    <t>modules/a-knights-dream/Item/equip_weapon_mace_great_forsworn.webp</t>
  </si>
  <si>
    <t>Forsworn Great Tapal</t>
  </si>
  <si>
    <t>modules/a-knights-dream/Item/equip_weapon_tapal_great_forsworn.webp</t>
  </si>
  <si>
    <t>Forsworn Great War Bow</t>
  </si>
  <si>
    <t>modules/a-knights-dream/Item/equip_weapon_bow_war_great_forsworn.webp</t>
  </si>
  <si>
    <t>Forsworn Great War Hammer</t>
  </si>
  <si>
    <t>modules/a-knights-dream/Item/equip_weapon_hammer_war_great_forsworn.webp</t>
  </si>
  <si>
    <t>Forsworn Great War Pick</t>
  </si>
  <si>
    <t>modules/a-knights-dream/Item/equip_weapon_pick_war_great_forsworn.webp</t>
  </si>
  <si>
    <t>Forsworn Guisarme</t>
  </si>
  <si>
    <t>modules/a-knights-dream/Item/equip_weapon_guisarme_forsworn.webp</t>
  </si>
  <si>
    <t>Forsworn Halberd</t>
  </si>
  <si>
    <t>modules/a-knights-dream/Item/equip_weapon_halberd_forsworn.webp</t>
  </si>
  <si>
    <t>Forsworn Hand Crossbow</t>
  </si>
  <si>
    <t>modules/a-knights-dream/Item/equip_weapon_crossbow_hand_forsworn.webp</t>
  </si>
  <si>
    <t>Forsworn Hand axe</t>
  </si>
  <si>
    <t>modules/a-knights-dream/Item/equip_weapon_axe_hand_forsworn.webp</t>
  </si>
  <si>
    <t>Forsworn Heavy Crossbow</t>
  </si>
  <si>
    <t>modules/a-knights-dream/Item/equip_weapon_crossbow_heavy_forsworn.webp</t>
  </si>
  <si>
    <t>Forsworn Hunting Trap</t>
  </si>
  <si>
    <t>modules/a-knights-dream/Item/equip_weapon_trap_hunting_forsworn.webp</t>
  </si>
  <si>
    <t>Forsworn Hunting Trap (Large)</t>
  </si>
  <si>
    <t>modules/a-knights-dream/Item/equip_weapon_trap_hunting_large_forsworn.webp</t>
  </si>
  <si>
    <t>Forsworn Hunting Trap (Small)</t>
  </si>
  <si>
    <t>modules/a-knights-dream/Item/equip_weapon_trap_hunting_small_forsworn.webp</t>
  </si>
  <si>
    <t>Forsworn Javelin</t>
  </si>
  <si>
    <t>modules/a-knights-dream/Item/equip_weapon_javelin_forsworn.webp</t>
  </si>
  <si>
    <t>Forsworn Khpesh</t>
  </si>
  <si>
    <t>modules/a-knights-dream/Item/equip_weapon_khpesh_forsworn.webp</t>
  </si>
  <si>
    <t>Forsworn Khyber</t>
  </si>
  <si>
    <t>modules/a-knights-dream/Item/equip_weapon_khyber_forsworn.webp</t>
  </si>
  <si>
    <t>Forsworn Konda</t>
  </si>
  <si>
    <t>modules/a-knights-dream/Item/equip_weapon_konda_forsworn.webp</t>
  </si>
  <si>
    <t>Forsworn Labrys</t>
  </si>
  <si>
    <t>modules/a-knights-dream/Item/equip_weapon_axe_labrys_forsworn.webp</t>
  </si>
  <si>
    <t>Forsworn Lance</t>
  </si>
  <si>
    <t>modules/a-knights-dream/Item/equip_weapon_lance_forsworn.webp</t>
  </si>
  <si>
    <t>Forsworn Light Crossbow</t>
  </si>
  <si>
    <t>modules/a-knights-dream/Item/equip_weapon_crossbow_light_forsworn.webp</t>
  </si>
  <si>
    <t>Forsworn Long Bow</t>
  </si>
  <si>
    <t>modules/a-knights-dream/Item/equip_weapon_bow_long_forsworn.webp</t>
  </si>
  <si>
    <t>Forsworn Long Spear</t>
  </si>
  <si>
    <t>modules/a-knights-dream/Item/equip_weapon_spear_long_forsworn.webp</t>
  </si>
  <si>
    <t>Forsworn Lucerince Hammer</t>
  </si>
  <si>
    <t>modules/a-knights-dream/Item/equip_weapon_hammer_lucerince_forsworn.webp</t>
  </si>
  <si>
    <t>Forsworn Mace</t>
  </si>
  <si>
    <t>modules/a-knights-dream/Item/equip_weapon_mace_forsworn.webp</t>
  </si>
  <si>
    <t>Forsworn Morningstar</t>
  </si>
  <si>
    <t>modules/a-knights-dream/Item/equip_weapon_morningstar_forsworn.webp</t>
  </si>
  <si>
    <t>Forsworn Pike</t>
  </si>
  <si>
    <t>modules/a-knights-dream/Item/equip_weapon_pike_forsworn.webp</t>
  </si>
  <si>
    <t>Forsworn Quarter Staff</t>
  </si>
  <si>
    <t>modules/a-knights-dream/Item/equip_weapon_staff_quarter_forsworn.webp</t>
  </si>
  <si>
    <t>Forsworn Ranseur</t>
  </si>
  <si>
    <t>modules/a-knights-dream/Item/equip_weapon_ranseur_forsworn.webp</t>
  </si>
  <si>
    <t>Forsworn Rapier</t>
  </si>
  <si>
    <t>modules/a-knights-dream/Item/equip_weapon_rapier_forsworn.webp</t>
  </si>
  <si>
    <t>Forsworn Recurve Bow</t>
  </si>
  <si>
    <t>modules/a-knights-dream/Item/equip_weapon_bow_recurve_forsworn.webp</t>
  </si>
  <si>
    <t>Forsworn Repeater Crossbow</t>
  </si>
  <si>
    <t>modules/a-knights-dream/Item/equip_weapon_crossbow_repeater_forsworn.webp</t>
  </si>
  <si>
    <t>Forsworn Sabre</t>
  </si>
  <si>
    <t>modules/a-knights-dream/Item/equip_weapon_sabre_forsworn.webp</t>
  </si>
  <si>
    <t>Forsworn Scimitar</t>
  </si>
  <si>
    <t>modules/a-knights-dream/Item/equip_weapon_scimitar_forsworn.webp</t>
  </si>
  <si>
    <t>Forsworn Scythe</t>
  </si>
  <si>
    <t>modules/a-knights-dream/Item/equip_weapon_scythe_forsworn.webp</t>
  </si>
  <si>
    <t>Forsworn Short Bow</t>
  </si>
  <si>
    <t>modules/a-knights-dream/Item/equip_weapon_bow_short_forsworn.webp</t>
  </si>
  <si>
    <t>Forsworn Short Spear</t>
  </si>
  <si>
    <t>modules/a-knights-dream/Item/equip_weapon_spear_short_forsworn.webp</t>
  </si>
  <si>
    <t>Forsworn Short Sword</t>
  </si>
  <si>
    <t>modules/a-knights-dream/Item/equip_weapon_sword_short_forsworn.webp</t>
  </si>
  <si>
    <t>Forsworn Shotel</t>
  </si>
  <si>
    <t>modules/a-knights-dream/Item/equip_weapon_shotel_forsworn.webp</t>
  </si>
  <si>
    <t>Forsworn Sickle</t>
  </si>
  <si>
    <t>modules/a-knights-dream/Item/equip_weapon_sickle_forsworn.webp</t>
  </si>
  <si>
    <t>Forsworn Sling</t>
  </si>
  <si>
    <t>modules/a-knights-dream/Item/equip_weapon_sling_forsworn.webp</t>
  </si>
  <si>
    <t>Forsworn Staff</t>
  </si>
  <si>
    <t>modules/a-knights-dream/Item/equip_weapon_staff_forsworn.webp</t>
  </si>
  <si>
    <t>Forsworn Staff Sling</t>
  </si>
  <si>
    <t>modules/a-knights-dream/Item/equip_weapon_sling_staff_forsworn.webp</t>
  </si>
  <si>
    <t>Forsworn Sword</t>
  </si>
  <si>
    <t>modules/a-knights-dream/Item/equip_weapon_sword_forsworn.webp</t>
  </si>
  <si>
    <t>Forsworn Tapal</t>
  </si>
  <si>
    <t>modules/a-knights-dream/Item/equip_weapon_tapal_forsworn.webp</t>
  </si>
  <si>
    <t>Forsworn Trident</t>
  </si>
  <si>
    <t>modules/a-knights-dream/Item/equip_weapon_trident_forsworn.webp</t>
  </si>
  <si>
    <t>Forsworn War Hammer</t>
  </si>
  <si>
    <t>modules/a-knights-dream/Item/equip_weapon_hammer_war_forsworn.webp</t>
  </si>
  <si>
    <t>Forsworn War Pick</t>
  </si>
  <si>
    <t>modules/a-knights-dream/Item/equip_weapon_pick_war_forsworn.webp</t>
  </si>
  <si>
    <t>Forsworn Brigantine Cuirass</t>
  </si>
  <si>
    <t>modules/a-knights-dream/Item/equip_armor_brigantine_cuirass_forsworn.webp</t>
  </si>
  <si>
    <t>Forsworn Brigantine Gauntlets</t>
  </si>
  <si>
    <t>modules/a-knights-dream/Item/equip_armor_brigantine_gauntlets_forsworn.webp</t>
  </si>
  <si>
    <t>Forsworn Brigantine Greaves</t>
  </si>
  <si>
    <t>modules/a-knights-dream/Item/equip_armor_brigantine_greaves_forsworn.webp</t>
  </si>
  <si>
    <t>Forsworn Brigantine Helmet</t>
  </si>
  <si>
    <t>modules/a-knights-dream/Item/equip_armor_brigantine_helmet_forsworn.webp</t>
  </si>
  <si>
    <t>Forsworn Brigantine Pauldron</t>
  </si>
  <si>
    <t>modules/a-knights-dream/Item/equip_armor_brigantine_pauldron_forsworn.webp</t>
  </si>
  <si>
    <t>Forsworn Chainmail Cuirass</t>
  </si>
  <si>
    <t>modules/a-knights-dream/Item/equip_armor_chainmail_cuirass_forsworn.webp</t>
  </si>
  <si>
    <t>Forsworn Chainmail Gauntlets</t>
  </si>
  <si>
    <t>modules/a-knights-dream/Item/equip_armor_chainmail_gauntlets_forsworn.webp</t>
  </si>
  <si>
    <t>Forsworn Chainmail Greaves</t>
  </si>
  <si>
    <t>modules/a-knights-dream/Item/equip_armor_chainmail_greaves_forsworn.webp</t>
  </si>
  <si>
    <t>Forsworn Chainmail Helmet</t>
  </si>
  <si>
    <t>modules/a-knights-dream/Item/equip_armor_chainmail_helmet_forsworn.webp</t>
  </si>
  <si>
    <t>Forsworn Chainmail Pauldron</t>
  </si>
  <si>
    <t>modules/a-knights-dream/Item/equip_armor_chainmail_pauldron_forsworn.webp</t>
  </si>
  <si>
    <t>Forsworn Gamberson Cuirass</t>
  </si>
  <si>
    <t>modules/a-knights-dream/Item/equip_armor_gamberson_cuirass_forsworn.webp</t>
  </si>
  <si>
    <t>Forsworn Gamberson Gauntlets</t>
  </si>
  <si>
    <t>modules/a-knights-dream/Item/equip_armor_gamberson_gauntlets_forsworn.webp</t>
  </si>
  <si>
    <t>Forsworn Gamberson Greaves</t>
  </si>
  <si>
    <t>modules/a-knights-dream/Item/equip_armor_gamberson_greaves_forsworn.webp</t>
  </si>
  <si>
    <t>Forsworn Gamberson Helmet</t>
  </si>
  <si>
    <t>modules/a-knights-dream/Item/equip_armor_gamberson_helmet_forsworn.webp</t>
  </si>
  <si>
    <t>Forsworn Gamberson Pauldron</t>
  </si>
  <si>
    <t>modules/a-knights-dream/Item/equip_armor_gamberson_pauldron_forsworn.webp</t>
  </si>
  <si>
    <t>Forsworn Hauberk Cuirass</t>
  </si>
  <si>
    <t>modules/a-knights-dream/Item/equip_armor_hauberk_cuirass_forsworn.webp</t>
  </si>
  <si>
    <t>Forsworn Hauberk Gauntlets</t>
  </si>
  <si>
    <t>modules/a-knights-dream/Item/equip_armor_hauberk_gauntlets_forsworn.webp</t>
  </si>
  <si>
    <t>Forsworn Hauberk Greaves</t>
  </si>
  <si>
    <t>modules/a-knights-dream/Item/equip_armor_hauberk_greaves_forsworn.webp</t>
  </si>
  <si>
    <t>Forsworn Hauberk Helmet</t>
  </si>
  <si>
    <t>modules/a-knights-dream/Item/equip_armor_hauberk_helmet_forsworn.webp</t>
  </si>
  <si>
    <t>Forsworn Hauberk Pauldron</t>
  </si>
  <si>
    <t>modules/a-knights-dream/Item/equip_armor_hauberk_pauldron_forsworn.webp</t>
  </si>
  <si>
    <t>Forsworn Jack Cuirass</t>
  </si>
  <si>
    <t>modules/a-knights-dream/Item/equip_armor_jack_cuirass_forsworn.webp</t>
  </si>
  <si>
    <t>Forsworn Jack Gauntlets</t>
  </si>
  <si>
    <t>modules/a-knights-dream/Item/equip_armor_jack_gauntlets_forsworn.webp</t>
  </si>
  <si>
    <t>Forsworn Jack Greaves</t>
  </si>
  <si>
    <t>modules/a-knights-dream/Item/equip_armor_jack_greaves_forsworn.webp</t>
  </si>
  <si>
    <t>Forsworn Jack Helmet</t>
  </si>
  <si>
    <t>modules/a-knights-dream/Item/equip_armor_jack_helmet_forsworn.webp</t>
  </si>
  <si>
    <t>Forsworn Jack Pauldron</t>
  </si>
  <si>
    <t>modules/a-knights-dream/Item/equip_armor_jack_pauldron_forsworn.webp</t>
  </si>
  <si>
    <t>Forsworn Lamellar Cuirass</t>
  </si>
  <si>
    <t>modules/a-knights-dream/Item/equip_armor_lamellar_cuirass_forsworn.webp</t>
  </si>
  <si>
    <t>Forsworn Lamellar Gauntlets</t>
  </si>
  <si>
    <t>modules/a-knights-dream/Item/equip_armor_lamellar_gauntlets_forsworn.webp</t>
  </si>
  <si>
    <t>Forsworn Lamellar Greaves</t>
  </si>
  <si>
    <t>modules/a-knights-dream/Item/equip_armor_lamellar_greaves_forsworn.webp</t>
  </si>
  <si>
    <t>Forsworn Lamellar Helmet</t>
  </si>
  <si>
    <t>modules/a-knights-dream/Item/equip_armor_lamellar_helmet_forsworn.webp</t>
  </si>
  <si>
    <t>Forsworn Lamellar Pauldron</t>
  </si>
  <si>
    <t>modules/a-knights-dream/Item/equip_armor_lamellar_pauldron_forsworn.webp</t>
  </si>
  <si>
    <t>Forsworn Platemail Cuirass</t>
  </si>
  <si>
    <t>modules/a-knights-dream/Item/equip_armor_platemail_cuirass_forsworn.webp</t>
  </si>
  <si>
    <t>Forsworn Platemail Gauntlets</t>
  </si>
  <si>
    <t>modules/a-knights-dream/Item/equip_armor_platemail_gauntlets_forsworn.webp</t>
  </si>
  <si>
    <t>Forsworn Platemail Greaves</t>
  </si>
  <si>
    <t>modules/a-knights-dream/Item/equip_armor_platemail_greaves_forsworn.webp</t>
  </si>
  <si>
    <t>Forsworn Platemail Helmet</t>
  </si>
  <si>
    <t>modules/a-knights-dream/Item/equip_armor_platemail_helmet_forsworn.webp</t>
  </si>
  <si>
    <t>Forsworn Platemail Pauldron</t>
  </si>
  <si>
    <t>modules/a-knights-dream/Item/equip_armor_platemail_pauldron_forsworn.webp</t>
  </si>
  <si>
    <t>Forsworn Tunic Cuirass</t>
  </si>
  <si>
    <t>modules/a-knights-dream/Item/equip_armor_tunic_cuirass_forsworn.webp</t>
  </si>
  <si>
    <t>Forsworn Tunic Gauntlets</t>
  </si>
  <si>
    <t>modules/a-knights-dream/Item/equip_armor_tunic_gauntlets_forsworn.webp</t>
  </si>
  <si>
    <t>Forsworn Tunic Greaves</t>
  </si>
  <si>
    <t>modules/a-knights-dream/Item/equip_armor_tunic_greaves_forsworn.webp</t>
  </si>
  <si>
    <t>Forsworn Tunic Helmet</t>
  </si>
  <si>
    <t>modules/a-knights-dream/Item/equip_armor_tunic_helmet_forsworn.webp</t>
  </si>
  <si>
    <t>Forsworn Tunic Pauldron</t>
  </si>
  <si>
    <t>modules/a-knights-dream/Item/equip_armor_tunic_pauldron_forsworn.webp</t>
  </si>
  <si>
    <t>Forsworn Buckler Shield</t>
  </si>
  <si>
    <t>modules/a-knights-dream/Item/equip_armor_shield_buckler_forsworn.webp</t>
  </si>
  <si>
    <t>Forsworn Heater Shield</t>
  </si>
  <si>
    <t>modules/a-knights-dream/Item/equip_armor_shield_heater_forsworn.webp</t>
  </si>
  <si>
    <t>Forsworn Kite Shield</t>
  </si>
  <si>
    <t>modules/a-knights-dream/Item/equip_armor_shield_kite_forsworn.webp</t>
  </si>
  <si>
    <t>Forsworn Oval Shield</t>
  </si>
  <si>
    <t>modules/a-knights-dream/Item/equip_armor_shield_oval_forsworn.webp</t>
  </si>
  <si>
    <t>Forsworn Round Shield</t>
  </si>
  <si>
    <t>modules/a-knights-dream/Item/equip_armor_shield_round_forsworn.webp</t>
  </si>
  <si>
    <t>Forsworn Tower Shield</t>
  </si>
  <si>
    <t>modules/a-knights-dream/Item/equip_armor_shield_tower_forsworn.webp</t>
  </si>
  <si>
    <t>Ivory</t>
  </si>
  <si>
    <t>Ivory Ball Bearings</t>
  </si>
  <si>
    <t>modules/a-knights-dream/Item/equip_weapon_bearings_ivory.webp</t>
  </si>
  <si>
    <t>Ivory Bardiche</t>
  </si>
  <si>
    <t>modules/a-knights-dream/Item/equip_weapon_bardiche_ivory.webp</t>
  </si>
  <si>
    <t>Ivory Bastard Sword</t>
  </si>
  <si>
    <t>modules/a-knights-dream/Item/equip_weapon_sword_bastard_ivory.webp</t>
  </si>
  <si>
    <t>Ivory Battle Axe</t>
  </si>
  <si>
    <t>modules/a-knights-dream/Item/equip_weapon_axe_battle_ivory.webp</t>
  </si>
  <si>
    <t>Ivory Blowgun</t>
  </si>
  <si>
    <t>modules/a-knights-dream/Item/equip_weapon_blowgun_ivory.webp</t>
  </si>
  <si>
    <t>Ivory Bolt</t>
  </si>
  <si>
    <t>modules/a-knights-dream/Item/equip_weapon_bolt_ivory.webp</t>
  </si>
  <si>
    <t>Ivory Boomerang</t>
  </si>
  <si>
    <t>modules/a-knights-dream/Item/equip_weapon_boomerang_ivory.webp</t>
  </si>
  <si>
    <t>Ivory Bow</t>
  </si>
  <si>
    <t>modules/a-knights-dream/Item/equip_weapon_bow_ivory.webp</t>
  </si>
  <si>
    <t>Ivory Caltrops</t>
  </si>
  <si>
    <t>modules/a-knights-dream/Item/equip_weapon_caltrops_ivory.webp</t>
  </si>
  <si>
    <t>Ivory Cestus</t>
  </si>
  <si>
    <t>modules/a-knights-dream/Item/equip_weapon_cestus_ivory.webp</t>
  </si>
  <si>
    <t>Ivory Chain</t>
  </si>
  <si>
    <t>modules/a-knights-dream/Item/equip_weapon_chain_ivory.webp</t>
  </si>
  <si>
    <t>Ivory Claymore</t>
  </si>
  <si>
    <t>modules/a-knights-dream/Item/equip_weapon_claymore_ivory.webp</t>
  </si>
  <si>
    <t>Ivory Club</t>
  </si>
  <si>
    <t>modules/a-knights-dream/Item/equip_weapon_club_ivory.webp</t>
  </si>
  <si>
    <t>Ivory Compound Bow</t>
  </si>
  <si>
    <t>modules/a-knights-dream/Item/equip_weapon_bow_compound_ivory.webp</t>
  </si>
  <si>
    <t>Ivory Cutlass</t>
  </si>
  <si>
    <t>modules/a-knights-dream/Item/equip_weapon_cutlass_ivory.webp</t>
  </si>
  <si>
    <t>Ivory Dagger</t>
  </si>
  <si>
    <t>modules/a-knights-dream/Item/equip_weapon_dagger_ivory.webp</t>
  </si>
  <si>
    <t>Ivory Dart</t>
  </si>
  <si>
    <t>modules/a-knights-dream/Item/equip_weapon_dart_ivory.webp</t>
  </si>
  <si>
    <t>Ivory Fauchard Scythe</t>
  </si>
  <si>
    <t>modules/a-knights-dream/Item/equip_weapon_scythe_fauchard_ivory.webp</t>
  </si>
  <si>
    <t>Ivory Flail</t>
  </si>
  <si>
    <t>modules/a-knights-dream/Item/equip_weapon_flail_ivory.webp</t>
  </si>
  <si>
    <t>Ivory Glaive</t>
  </si>
  <si>
    <t>modules/a-knights-dream/Item/equip_weapon_glaive_ivory.webp</t>
  </si>
  <si>
    <t>Ivory Grapple Hook</t>
  </si>
  <si>
    <t>modules/a-knights-dream/Item/equip_weapon_hook_grapple_ivory.webp</t>
  </si>
  <si>
    <t>Ivory Great Axe</t>
  </si>
  <si>
    <t>modules/a-knights-dream/Item/equip_weapon_axe_great_ivory.webp</t>
  </si>
  <si>
    <t>Ivory Great Club</t>
  </si>
  <si>
    <t>modules/a-knights-dream/Item/equip_weapon_club_great_ivory.webp</t>
  </si>
  <si>
    <t>Ivory Great Khyber</t>
  </si>
  <si>
    <t>modules/a-knights-dream/Item/equip_weapon_khyber_great_ivory.webp</t>
  </si>
  <si>
    <t>Ivory Great Konda</t>
  </si>
  <si>
    <t>modules/a-knights-dream/Item/equip_weapon_konda_great_ivory.webp</t>
  </si>
  <si>
    <t>Ivory Great Labrys</t>
  </si>
  <si>
    <t>modules/a-knights-dream/Item/equip_weapon_axe_labrys_great_ivory.webp</t>
  </si>
  <si>
    <t>Ivory Great Mace</t>
  </si>
  <si>
    <t>modules/a-knights-dream/Item/equip_weapon_mace_great_ivory.webp</t>
  </si>
  <si>
    <t>Ivory Great Tapal</t>
  </si>
  <si>
    <t>modules/a-knights-dream/Item/equip_weapon_tapal_great_ivory.webp</t>
  </si>
  <si>
    <t>Ivory Great War Bow</t>
  </si>
  <si>
    <t>modules/a-knights-dream/Item/equip_weapon_bow_war_great_ivory.webp</t>
  </si>
  <si>
    <t>Ivory Great War Hammer</t>
  </si>
  <si>
    <t>modules/a-knights-dream/Item/equip_weapon_hammer_war_great_ivory.webp</t>
  </si>
  <si>
    <t>Ivory Great War Pick</t>
  </si>
  <si>
    <t>modules/a-knights-dream/Item/equip_weapon_pick_war_great_ivory.webp</t>
  </si>
  <si>
    <t>Ivory Guisarme</t>
  </si>
  <si>
    <t>modules/a-knights-dream/Item/equip_weapon_guisarme_ivory.webp</t>
  </si>
  <si>
    <t>Ivory Halberd</t>
  </si>
  <si>
    <t>modules/a-knights-dream/Item/equip_weapon_halberd_ivory.webp</t>
  </si>
  <si>
    <t>Ivory Hand Crossbow</t>
  </si>
  <si>
    <t>modules/a-knights-dream/Item/equip_weapon_crossbow_hand_ivory.webp</t>
  </si>
  <si>
    <t>Ivory Hand axe</t>
  </si>
  <si>
    <t>modules/a-knights-dream/Item/equip_weapon_axe_hand_ivory.webp</t>
  </si>
  <si>
    <t>Ivory Heavy Crossbow</t>
  </si>
  <si>
    <t>modules/a-knights-dream/Item/equip_weapon_crossbow_heavy_ivory.webp</t>
  </si>
  <si>
    <t>Ivory Hunting Trap</t>
  </si>
  <si>
    <t>modules/a-knights-dream/Item/equip_weapon_trap_hunting_ivory.webp</t>
  </si>
  <si>
    <t>Ivory Hunting Trap (Large)</t>
  </si>
  <si>
    <t>modules/a-knights-dream/Item/equip_weapon_trap_hunting_large_ivory.webp</t>
  </si>
  <si>
    <t>Ivory Hunting Trap (Small)</t>
  </si>
  <si>
    <t>modules/a-knights-dream/Item/equip_weapon_trap_hunting_small_ivory.webp</t>
  </si>
  <si>
    <t>Ivory Javelin</t>
  </si>
  <si>
    <t>modules/a-knights-dream/Item/equip_weapon_javelin_ivory.webp</t>
  </si>
  <si>
    <t>Ivory Khpesh</t>
  </si>
  <si>
    <t>modules/a-knights-dream/Item/equip_weapon_khpesh_ivory.webp</t>
  </si>
  <si>
    <t>Ivory Khyber</t>
  </si>
  <si>
    <t>modules/a-knights-dream/Item/equip_weapon_khyber_ivory.webp</t>
  </si>
  <si>
    <t>Ivory Konda</t>
  </si>
  <si>
    <t>modules/a-knights-dream/Item/equip_weapon_konda_ivory.webp</t>
  </si>
  <si>
    <t>Ivory Labrys</t>
  </si>
  <si>
    <t>modules/a-knights-dream/Item/equip_weapon_axe_labrys_ivory.webp</t>
  </si>
  <si>
    <t>Ivory Lance</t>
  </si>
  <si>
    <t>modules/a-knights-dream/Item/equip_weapon_lance_ivory.webp</t>
  </si>
  <si>
    <t>Ivory Light Crossbow</t>
  </si>
  <si>
    <t>modules/a-knights-dream/Item/equip_weapon_crossbow_light_ivory.webp</t>
  </si>
  <si>
    <t>Ivory Long Bow</t>
  </si>
  <si>
    <t>modules/a-knights-dream/Item/equip_weapon_bow_long_ivory.webp</t>
  </si>
  <si>
    <t>Ivory Long Spear</t>
  </si>
  <si>
    <t>modules/a-knights-dream/Item/equip_weapon_spear_long_ivory.webp</t>
  </si>
  <si>
    <t>Ivory Lucerince Hammer</t>
  </si>
  <si>
    <t>modules/a-knights-dream/Item/equip_weapon_hammer_lucerince_ivory.webp</t>
  </si>
  <si>
    <t>Ivory Mace</t>
  </si>
  <si>
    <t>modules/a-knights-dream/Item/equip_weapon_mace_ivory.webp</t>
  </si>
  <si>
    <t>Ivory Morningstar</t>
  </si>
  <si>
    <t>modules/a-knights-dream/Item/equip_weapon_morningstar_ivory.webp</t>
  </si>
  <si>
    <t>Ivory Pike</t>
  </si>
  <si>
    <t>modules/a-knights-dream/Item/equip_weapon_pike_ivory.webp</t>
  </si>
  <si>
    <t>Ivory Quarter Staff</t>
  </si>
  <si>
    <t>modules/a-knights-dream/Item/equip_weapon_staff_quarter_ivory.webp</t>
  </si>
  <si>
    <t>Ivory Ranseur</t>
  </si>
  <si>
    <t>modules/a-knights-dream/Item/equip_weapon_ranseur_ivory.webp</t>
  </si>
  <si>
    <t>Ivory Rapier</t>
  </si>
  <si>
    <t>modules/a-knights-dream/Item/equip_weapon_rapier_ivory.webp</t>
  </si>
  <si>
    <t>Ivory Recurve Bow</t>
  </si>
  <si>
    <t>modules/a-knights-dream/Item/equip_weapon_bow_recurve_ivory.webp</t>
  </si>
  <si>
    <t>Ivory Repeater Crossbow</t>
  </si>
  <si>
    <t>modules/a-knights-dream/Item/equip_weapon_crossbow_repeater_ivory.webp</t>
  </si>
  <si>
    <t>Ivory Sabre</t>
  </si>
  <si>
    <t>modules/a-knights-dream/Item/equip_weapon_sabre_ivory.webp</t>
  </si>
  <si>
    <t>Ivory Scimitar</t>
  </si>
  <si>
    <t>modules/a-knights-dream/Item/equip_weapon_scimitar_ivory.webp</t>
  </si>
  <si>
    <t>Ivory Scythe</t>
  </si>
  <si>
    <t>modules/a-knights-dream/Item/equip_weapon_scythe_ivory.webp</t>
  </si>
  <si>
    <t>Ivory Short Bow</t>
  </si>
  <si>
    <t>modules/a-knights-dream/Item/equip_weapon_bow_short_ivory.webp</t>
  </si>
  <si>
    <t>Ivory Short Spear</t>
  </si>
  <si>
    <t>modules/a-knights-dream/Item/equip_weapon_spear_short_ivory.webp</t>
  </si>
  <si>
    <t>Ivory Short Sword</t>
  </si>
  <si>
    <t>modules/a-knights-dream/Item/equip_weapon_sword_short_ivory.webp</t>
  </si>
  <si>
    <t>Ivory Shotel</t>
  </si>
  <si>
    <t>modules/a-knights-dream/Item/equip_weapon_shotel_ivory.webp</t>
  </si>
  <si>
    <t>Ivory Sickle</t>
  </si>
  <si>
    <t>modules/a-knights-dream/Item/equip_weapon_sickle_ivory.webp</t>
  </si>
  <si>
    <t>Ivory Sling</t>
  </si>
  <si>
    <t>modules/a-knights-dream/Item/equip_weapon_sling_ivory.webp</t>
  </si>
  <si>
    <t>Ivory Staff</t>
  </si>
  <si>
    <t>modules/a-knights-dream/Item/equip_weapon_staff_ivory.webp</t>
  </si>
  <si>
    <t>Ivory Staff Sling</t>
  </si>
  <si>
    <t>modules/a-knights-dream/Item/equip_weapon_sling_staff_ivory.webp</t>
  </si>
  <si>
    <t>Ivory Sword</t>
  </si>
  <si>
    <t>modules/a-knights-dream/Item/equip_weapon_sword_ivory.webp</t>
  </si>
  <si>
    <t>Ivory Tapal</t>
  </si>
  <si>
    <t>modules/a-knights-dream/Item/equip_weapon_tapal_ivory.webp</t>
  </si>
  <si>
    <t>Ivory Trident</t>
  </si>
  <si>
    <t>modules/a-knights-dream/Item/equip_weapon_trident_ivory.webp</t>
  </si>
  <si>
    <t>Ivory War Hammer</t>
  </si>
  <si>
    <t>modules/a-knights-dream/Item/equip_weapon_hammer_war_ivory.webp</t>
  </si>
  <si>
    <t>Ivory War Pick</t>
  </si>
  <si>
    <t>modules/a-knights-dream/Item/equip_weapon_pick_war_ivory.webp</t>
  </si>
  <si>
    <t>Ivory Brigantine Cuirass</t>
  </si>
  <si>
    <t>modules/a-knights-dream/Item/equip_armor_brigantine_cuirass_ivory.webp</t>
  </si>
  <si>
    <t>Ivory Brigantine Gauntlets</t>
  </si>
  <si>
    <t>modules/a-knights-dream/Item/equip_armor_brigantine_gauntlets_ivory.webp</t>
  </si>
  <si>
    <t>Ivory Brigantine Greaves</t>
  </si>
  <si>
    <t>modules/a-knights-dream/Item/equip_armor_brigantine_greaves_ivory.webp</t>
  </si>
  <si>
    <t>Ivory Brigantine Helmet</t>
  </si>
  <si>
    <t>modules/a-knights-dream/Item/equip_armor_brigantine_helmet_ivory.webp</t>
  </si>
  <si>
    <t>Ivory Brigantine Pauldron</t>
  </si>
  <si>
    <t>modules/a-knights-dream/Item/equip_armor_brigantine_pauldron_ivory.webp</t>
  </si>
  <si>
    <t>Ivory Chainmail Cuirass</t>
  </si>
  <si>
    <t>modules/a-knights-dream/Item/equip_armor_chainmail_cuirass_ivory.webp</t>
  </si>
  <si>
    <t>Ivory Chainmail Gauntlets</t>
  </si>
  <si>
    <t>modules/a-knights-dream/Item/equip_armor_chainmail_gauntlets_ivory.webp</t>
  </si>
  <si>
    <t>Ivory Chainmail Greaves</t>
  </si>
  <si>
    <t>modules/a-knights-dream/Item/equip_armor_chainmail_greaves_ivory.webp</t>
  </si>
  <si>
    <t>Ivory Chainmail Helmet</t>
  </si>
  <si>
    <t>modules/a-knights-dream/Item/equip_armor_chainmail_helmet_ivory.webp</t>
  </si>
  <si>
    <t>Ivory Chainmail Pauldron</t>
  </si>
  <si>
    <t>modules/a-knights-dream/Item/equip_armor_chainmail_pauldron_ivory.webp</t>
  </si>
  <si>
    <t>Ivory Gamberson Cuirass</t>
  </si>
  <si>
    <t>modules/a-knights-dream/Item/equip_armor_gamberson_cuirass_ivory.webp</t>
  </si>
  <si>
    <t>Ivory Gamberson Gauntlets</t>
  </si>
  <si>
    <t>modules/a-knights-dream/Item/equip_armor_gamberson_gauntlets_ivory.webp</t>
  </si>
  <si>
    <t>Ivory Gamberson Greaves</t>
  </si>
  <si>
    <t>modules/a-knights-dream/Item/equip_armor_gamberson_greaves_ivory.webp</t>
  </si>
  <si>
    <t>Ivory Gamberson Helmet</t>
  </si>
  <si>
    <t>modules/a-knights-dream/Item/equip_armor_gamberson_helmet_ivory.webp</t>
  </si>
  <si>
    <t>Ivory Gamberson Pauldron</t>
  </si>
  <si>
    <t>modules/a-knights-dream/Item/equip_armor_gamberson_pauldron_ivory.webp</t>
  </si>
  <si>
    <t>Ivory Hauberk Cuirass</t>
  </si>
  <si>
    <t>modules/a-knights-dream/Item/equip_armor_hauberk_cuirass_ivory.webp</t>
  </si>
  <si>
    <t>Ivory Hauberk Gauntlets</t>
  </si>
  <si>
    <t>modules/a-knights-dream/Item/equip_armor_hauberk_gauntlets_ivory.webp</t>
  </si>
  <si>
    <t>Ivory Hauberk Greaves</t>
  </si>
  <si>
    <t>modules/a-knights-dream/Item/equip_armor_hauberk_greaves_ivory.webp</t>
  </si>
  <si>
    <t>Ivory Hauberk Helmet</t>
  </si>
  <si>
    <t>modules/a-knights-dream/Item/equip_armor_hauberk_helmet_ivory.webp</t>
  </si>
  <si>
    <t>Ivory Hauberk Pauldron</t>
  </si>
  <si>
    <t>modules/a-knights-dream/Item/equip_armor_hauberk_pauldron_ivory.webp</t>
  </si>
  <si>
    <t>Ivory Jack Cuirass</t>
  </si>
  <si>
    <t>modules/a-knights-dream/Item/equip_armor_jack_cuirass_ivory.webp</t>
  </si>
  <si>
    <t>Ivory Jack Gauntlets</t>
  </si>
  <si>
    <t>modules/a-knights-dream/Item/equip_armor_jack_gauntlets_ivory.webp</t>
  </si>
  <si>
    <t>Ivory Jack Greaves</t>
  </si>
  <si>
    <t>modules/a-knights-dream/Item/equip_armor_jack_greaves_ivory.webp</t>
  </si>
  <si>
    <t>Ivory Jack Helmet</t>
  </si>
  <si>
    <t>modules/a-knights-dream/Item/equip_armor_jack_helmet_ivory.webp</t>
  </si>
  <si>
    <t>Ivory Jack Pauldron</t>
  </si>
  <si>
    <t>modules/a-knights-dream/Item/equip_armor_jack_pauldron_ivory.webp</t>
  </si>
  <si>
    <t>Ivory Lamellar Cuirass</t>
  </si>
  <si>
    <t>modules/a-knights-dream/Item/equip_armor_lamellar_cuirass_ivory.webp</t>
  </si>
  <si>
    <t>Ivory Lamellar Gauntlets</t>
  </si>
  <si>
    <t>modules/a-knights-dream/Item/equip_armor_lamellar_gauntlets_ivory.webp</t>
  </si>
  <si>
    <t>Ivory Lamellar Greaves</t>
  </si>
  <si>
    <t>modules/a-knights-dream/Item/equip_armor_lamellar_greaves_ivory.webp</t>
  </si>
  <si>
    <t>Ivory Lamellar Helmet</t>
  </si>
  <si>
    <t>modules/a-knights-dream/Item/equip_armor_lamellar_helmet_ivory.webp</t>
  </si>
  <si>
    <t>Ivory Lamellar Pauldron</t>
  </si>
  <si>
    <t>modules/a-knights-dream/Item/equip_armor_lamellar_pauldron_ivory.webp</t>
  </si>
  <si>
    <t>Ivory Platemail Cuirass</t>
  </si>
  <si>
    <t>modules/a-knights-dream/Item/equip_armor_platemail_cuirass_ivory.webp</t>
  </si>
  <si>
    <t>Ivory Platemail Gauntlets</t>
  </si>
  <si>
    <t>modules/a-knights-dream/Item/equip_armor_platemail_gauntlets_ivory.webp</t>
  </si>
  <si>
    <t>Ivory Platemail Greaves</t>
  </si>
  <si>
    <t>modules/a-knights-dream/Item/equip_armor_platemail_greaves_ivory.webp</t>
  </si>
  <si>
    <t>Ivory Platemail Helmet</t>
  </si>
  <si>
    <t>modules/a-knights-dream/Item/equip_armor_platemail_helmet_ivory.webp</t>
  </si>
  <si>
    <t>Ivory Platemail Pauldron</t>
  </si>
  <si>
    <t>modules/a-knights-dream/Item/equip_armor_platemail_pauldron_ivory.webp</t>
  </si>
  <si>
    <t>Ivory Tunic Cuirass</t>
  </si>
  <si>
    <t>modules/a-knights-dream/Item/equip_armor_tunic_cuirass_ivory.webp</t>
  </si>
  <si>
    <t>Ivory Tunic Gauntlets</t>
  </si>
  <si>
    <t>modules/a-knights-dream/Item/equip_armor_tunic_gauntlets_ivory.webp</t>
  </si>
  <si>
    <t>Ivory Tunic Greaves</t>
  </si>
  <si>
    <t>modules/a-knights-dream/Item/equip_armor_tunic_greaves_ivory.webp</t>
  </si>
  <si>
    <t>Ivory Tunic Helmet</t>
  </si>
  <si>
    <t>modules/a-knights-dream/Item/equip_armor_tunic_helmet_ivory.webp</t>
  </si>
  <si>
    <t>Ivory Tunic Pauldron</t>
  </si>
  <si>
    <t>modules/a-knights-dream/Item/equip_armor_tunic_pauldron_ivory.webp</t>
  </si>
  <si>
    <t>Ivory Buckler Shield</t>
  </si>
  <si>
    <t>modules/a-knights-dream/Item/equip_armor_shield_buckler_ivory.webp</t>
  </si>
  <si>
    <t>Ivory Heater Shield</t>
  </si>
  <si>
    <t>modules/a-knights-dream/Item/equip_armor_shield_heater_ivory.webp</t>
  </si>
  <si>
    <t>Ivory Kite Shield</t>
  </si>
  <si>
    <t>modules/a-knights-dream/Item/equip_armor_shield_kite_ivory.webp</t>
  </si>
  <si>
    <t>Ivory Oval Shield</t>
  </si>
  <si>
    <t>modules/a-knights-dream/Item/equip_armor_shield_oval_ivory.webp</t>
  </si>
  <si>
    <t>Ivory Round Shield</t>
  </si>
  <si>
    <t>modules/a-knights-dream/Item/equip_armor_shield_round_ivory.webp</t>
  </si>
  <si>
    <t>Ivory Tower Shield</t>
  </si>
  <si>
    <t>modules/a-knights-dream/Item/equip_armor_shield_tower_ivory.webp</t>
  </si>
  <si>
    <t>Kaorti</t>
  </si>
  <si>
    <t>Kaorti Ball Bearings</t>
  </si>
  <si>
    <t>modules/a-knights-dream/Item/equip_weapon_bearings_kaorti.webp</t>
  </si>
  <si>
    <t>Kaorti Bardiche</t>
  </si>
  <si>
    <t>modules/a-knights-dream/Item/equip_weapon_bardiche_kaorti.webp</t>
  </si>
  <si>
    <t>Kaorti Bastard Sword</t>
  </si>
  <si>
    <t>modules/a-knights-dream/Item/equip_weapon_sword_bastard_kaorti.webp</t>
  </si>
  <si>
    <t>Kaorti Battle Axe</t>
  </si>
  <si>
    <t>modules/a-knights-dream/Item/equip_weapon_axe_battle_kaorti.webp</t>
  </si>
  <si>
    <t>Kaorti Blowgun</t>
  </si>
  <si>
    <t>modules/a-knights-dream/Item/equip_weapon_blowgun_kaorti.webp</t>
  </si>
  <si>
    <t>Kaorti Bolt</t>
  </si>
  <si>
    <t>modules/a-knights-dream/Item/equip_weapon_bolt_kaorti.webp</t>
  </si>
  <si>
    <t>Kaorti Boomerang</t>
  </si>
  <si>
    <t>modules/a-knights-dream/Item/equip_weapon_boomerang_kaorti.webp</t>
  </si>
  <si>
    <t>Kaorti Bow</t>
  </si>
  <si>
    <t>modules/a-knights-dream/Item/equip_weapon_bow_kaorti.webp</t>
  </si>
  <si>
    <t>Kaorti Caltrops</t>
  </si>
  <si>
    <t>modules/a-knights-dream/Item/equip_weapon_caltrops_kaorti.webp</t>
  </si>
  <si>
    <t>Kaorti Cestus</t>
  </si>
  <si>
    <t>modules/a-knights-dream/Item/equip_weapon_cestus_kaorti.webp</t>
  </si>
  <si>
    <t>Kaorti Chain</t>
  </si>
  <si>
    <t>modules/a-knights-dream/Item/equip_weapon_chain_kaorti.webp</t>
  </si>
  <si>
    <t>Kaorti Claymore</t>
  </si>
  <si>
    <t>modules/a-knights-dream/Item/equip_weapon_claymore_kaorti.webp</t>
  </si>
  <si>
    <t>Kaorti Club</t>
  </si>
  <si>
    <t>modules/a-knights-dream/Item/equip_weapon_club_kaorti.webp</t>
  </si>
  <si>
    <t>Kaorti Compound Bow</t>
  </si>
  <si>
    <t>modules/a-knights-dream/Item/equip_weapon_bow_compound_kaorti.webp</t>
  </si>
  <si>
    <t>Kaorti Cutlass</t>
  </si>
  <si>
    <t>modules/a-knights-dream/Item/equip_weapon_cutlass_kaorti.webp</t>
  </si>
  <si>
    <t>Kaorti Dagger</t>
  </si>
  <si>
    <t>modules/a-knights-dream/Item/equip_weapon_dagger_kaorti.webp</t>
  </si>
  <si>
    <t>Kaorti Dart</t>
  </si>
  <si>
    <t>modules/a-knights-dream/Item/equip_weapon_dart_kaorti.webp</t>
  </si>
  <si>
    <t>Kaorti Fauchard Scythe</t>
  </si>
  <si>
    <t>modules/a-knights-dream/Item/equip_weapon_scythe_fauchard_kaorti.webp</t>
  </si>
  <si>
    <t>Kaorti Flail</t>
  </si>
  <si>
    <t>modules/a-knights-dream/Item/equip_weapon_flail_kaorti.webp</t>
  </si>
  <si>
    <t>Kaorti Glaive</t>
  </si>
  <si>
    <t>modules/a-knights-dream/Item/equip_weapon_glaive_kaorti.webp</t>
  </si>
  <si>
    <t>Kaorti Grapple Hook</t>
  </si>
  <si>
    <t>modules/a-knights-dream/Item/equip_weapon_hook_grapple_kaorti.webp</t>
  </si>
  <si>
    <t>Kaorti Great Axe</t>
  </si>
  <si>
    <t>modules/a-knights-dream/Item/equip_weapon_axe_great_kaorti.webp</t>
  </si>
  <si>
    <t>Kaorti Great Club</t>
  </si>
  <si>
    <t>modules/a-knights-dream/Item/equip_weapon_club_great_kaorti.webp</t>
  </si>
  <si>
    <t>Kaorti Great Khyber</t>
  </si>
  <si>
    <t>modules/a-knights-dream/Item/equip_weapon_khyber_great_kaorti.webp</t>
  </si>
  <si>
    <t>Kaorti Great Konda</t>
  </si>
  <si>
    <t>modules/a-knights-dream/Item/equip_weapon_konda_great_kaorti.webp</t>
  </si>
  <si>
    <t>Kaorti Great Labrys</t>
  </si>
  <si>
    <t>modules/a-knights-dream/Item/equip_weapon_axe_labrys_great_kaorti.webp</t>
  </si>
  <si>
    <t>Kaorti Great Mace</t>
  </si>
  <si>
    <t>modules/a-knights-dream/Item/equip_weapon_mace_great_kaorti.webp</t>
  </si>
  <si>
    <t>Kaorti Great Tapal</t>
  </si>
  <si>
    <t>modules/a-knights-dream/Item/equip_weapon_tapal_great_kaorti.webp</t>
  </si>
  <si>
    <t>Kaorti Great War Bow</t>
  </si>
  <si>
    <t>modules/a-knights-dream/Item/equip_weapon_bow_war_great_kaorti.webp</t>
  </si>
  <si>
    <t>Kaorti Great War Hammer</t>
  </si>
  <si>
    <t>modules/a-knights-dream/Item/equip_weapon_hammer_war_great_kaorti.webp</t>
  </si>
  <si>
    <t>Kaorti Great War Pick</t>
  </si>
  <si>
    <t>modules/a-knights-dream/Item/equip_weapon_pick_war_great_kaorti.webp</t>
  </si>
  <si>
    <t>Kaorti Guisarme</t>
  </si>
  <si>
    <t>modules/a-knights-dream/Item/equip_weapon_guisarme_kaorti.webp</t>
  </si>
  <si>
    <t>Kaorti Halberd</t>
  </si>
  <si>
    <t>modules/a-knights-dream/Item/equip_weapon_halberd_kaorti.webp</t>
  </si>
  <si>
    <t>Kaorti Hand Crossbow</t>
  </si>
  <si>
    <t>modules/a-knights-dream/Item/equip_weapon_crossbow_hand_kaorti.webp</t>
  </si>
  <si>
    <t>Kaorti Hand axe</t>
  </si>
  <si>
    <t>modules/a-knights-dream/Item/equip_weapon_axe_hand_kaorti.webp</t>
  </si>
  <si>
    <t>Kaorti Heavy Crossbow</t>
  </si>
  <si>
    <t>modules/a-knights-dream/Item/equip_weapon_crossbow_heavy_kaorti.webp</t>
  </si>
  <si>
    <t>Kaorti Hunting Trap</t>
  </si>
  <si>
    <t>modules/a-knights-dream/Item/equip_weapon_trap_hunting_kaorti.webp</t>
  </si>
  <si>
    <t>Kaorti Hunting Trap (Large)</t>
  </si>
  <si>
    <t>modules/a-knights-dream/Item/equip_weapon_trap_hunting_large_kaorti.webp</t>
  </si>
  <si>
    <t>Kaorti Hunting Trap (Small)</t>
  </si>
  <si>
    <t>modules/a-knights-dream/Item/equip_weapon_trap_hunting_small_kaorti.webp</t>
  </si>
  <si>
    <t>Kaorti Javelin</t>
  </si>
  <si>
    <t>modules/a-knights-dream/Item/equip_weapon_javelin_kaorti.webp</t>
  </si>
  <si>
    <t>Kaorti Khpesh</t>
  </si>
  <si>
    <t>modules/a-knights-dream/Item/equip_weapon_khpesh_kaorti.webp</t>
  </si>
  <si>
    <t>Kaorti Khyber</t>
  </si>
  <si>
    <t>modules/a-knights-dream/Item/equip_weapon_khyber_kaorti.webp</t>
  </si>
  <si>
    <t>Kaorti Konda</t>
  </si>
  <si>
    <t>modules/a-knights-dream/Item/equip_weapon_konda_kaorti.webp</t>
  </si>
  <si>
    <t>Kaorti Labrys</t>
  </si>
  <si>
    <t>modules/a-knights-dream/Item/equip_weapon_axe_labrys_kaorti.webp</t>
  </si>
  <si>
    <t>Kaorti Lance</t>
  </si>
  <si>
    <t>modules/a-knights-dream/Item/equip_weapon_lance_kaorti.webp</t>
  </si>
  <si>
    <t>Kaorti Light Crossbow</t>
  </si>
  <si>
    <t>modules/a-knights-dream/Item/equip_weapon_crossbow_light_kaorti.webp</t>
  </si>
  <si>
    <t>Kaorti Long Bow</t>
  </si>
  <si>
    <t>modules/a-knights-dream/Item/equip_weapon_bow_long_kaorti.webp</t>
  </si>
  <si>
    <t>Kaorti Long Spear</t>
  </si>
  <si>
    <t>modules/a-knights-dream/Item/equip_weapon_spear_long_kaorti.webp</t>
  </si>
  <si>
    <t>Kaorti Lucerince Hammer</t>
  </si>
  <si>
    <t>modules/a-knights-dream/Item/equip_weapon_hammer_lucerince_kaorti.webp</t>
  </si>
  <si>
    <t>Kaorti Mace</t>
  </si>
  <si>
    <t>modules/a-knights-dream/Item/equip_weapon_mace_kaorti.webp</t>
  </si>
  <si>
    <t>Kaorti Morningstar</t>
  </si>
  <si>
    <t>modules/a-knights-dream/Item/equip_weapon_morningstar_kaorti.webp</t>
  </si>
  <si>
    <t>Kaorti Pike</t>
  </si>
  <si>
    <t>modules/a-knights-dream/Item/equip_weapon_pike_kaorti.webp</t>
  </si>
  <si>
    <t>Kaorti Quarter Staff</t>
  </si>
  <si>
    <t>modules/a-knights-dream/Item/equip_weapon_staff_quarter_kaorti.webp</t>
  </si>
  <si>
    <t>Kaorti Ranseur</t>
  </si>
  <si>
    <t>modules/a-knights-dream/Item/equip_weapon_ranseur_kaorti.webp</t>
  </si>
  <si>
    <t>Kaorti Rapier</t>
  </si>
  <si>
    <t>modules/a-knights-dream/Item/equip_weapon_rapier_kaorti.webp</t>
  </si>
  <si>
    <t>Kaorti Recurve Bow</t>
  </si>
  <si>
    <t>modules/a-knights-dream/Item/equip_weapon_bow_recurve_kaorti.webp</t>
  </si>
  <si>
    <t>Kaorti Repeater Crossbow</t>
  </si>
  <si>
    <t>modules/a-knights-dream/Item/equip_weapon_crossbow_repeater_kaorti.webp</t>
  </si>
  <si>
    <t>Kaorti Sabre</t>
  </si>
  <si>
    <t>modules/a-knights-dream/Item/equip_weapon_sabre_kaorti.webp</t>
  </si>
  <si>
    <t>Kaorti Scimitar</t>
  </si>
  <si>
    <t>modules/a-knights-dream/Item/equip_weapon_scimitar_kaorti.webp</t>
  </si>
  <si>
    <t>Kaorti Scythe</t>
  </si>
  <si>
    <t>modules/a-knights-dream/Item/equip_weapon_scythe_kaorti.webp</t>
  </si>
  <si>
    <t>Kaorti Short Bow</t>
  </si>
  <si>
    <t>modules/a-knights-dream/Item/equip_weapon_bow_short_kaorti.webp</t>
  </si>
  <si>
    <t>Kaorti Short Spear</t>
  </si>
  <si>
    <t>modules/a-knights-dream/Item/equip_weapon_spear_short_kaorti.webp</t>
  </si>
  <si>
    <t>Kaorti Short Sword</t>
  </si>
  <si>
    <t>modules/a-knights-dream/Item/equip_weapon_sword_short_kaorti.webp</t>
  </si>
  <si>
    <t>Kaorti Shotel</t>
  </si>
  <si>
    <t>modules/a-knights-dream/Item/equip_weapon_shotel_kaorti.webp</t>
  </si>
  <si>
    <t>Kaorti Sickle</t>
  </si>
  <si>
    <t>modules/a-knights-dream/Item/equip_weapon_sickle_kaorti.webp</t>
  </si>
  <si>
    <t>Kaorti Sling</t>
  </si>
  <si>
    <t>modules/a-knights-dream/Item/equip_weapon_sling_kaorti.webp</t>
  </si>
  <si>
    <t>Kaorti Staff</t>
  </si>
  <si>
    <t>modules/a-knights-dream/Item/equip_weapon_staff_kaorti.webp</t>
  </si>
  <si>
    <t>Kaorti Staff Sling</t>
  </si>
  <si>
    <t>modules/a-knights-dream/Item/equip_weapon_sling_staff_kaorti.webp</t>
  </si>
  <si>
    <t>Kaorti Sword</t>
  </si>
  <si>
    <t>modules/a-knights-dream/Item/equip_weapon_sword_kaorti.webp</t>
  </si>
  <si>
    <t>Kaorti Tapal</t>
  </si>
  <si>
    <t>modules/a-knights-dream/Item/equip_weapon_tapal_kaorti.webp</t>
  </si>
  <si>
    <t>Kaorti Trident</t>
  </si>
  <si>
    <t>modules/a-knights-dream/Item/equip_weapon_trident_kaorti.webp</t>
  </si>
  <si>
    <t>Kaorti War Hammer</t>
  </si>
  <si>
    <t>modules/a-knights-dream/Item/equip_weapon_hammer_war_kaorti.webp</t>
  </si>
  <si>
    <t>Kaorti War Pick</t>
  </si>
  <si>
    <t>modules/a-knights-dream/Item/equip_weapon_pick_war_kaorti.webp</t>
  </si>
  <si>
    <t>Kaorti Brigantine Cuirass</t>
  </si>
  <si>
    <t>modules/a-knights-dream/Item/equip_armor_brigantine_cuirass_kaorti.webp</t>
  </si>
  <si>
    <t>Kaorti Brigantine Gauntlets</t>
  </si>
  <si>
    <t>modules/a-knights-dream/Item/equip_armor_brigantine_gauntlets_kaorti.webp</t>
  </si>
  <si>
    <t>Kaorti Brigantine Greaves</t>
  </si>
  <si>
    <t>modules/a-knights-dream/Item/equip_armor_brigantine_greaves_kaorti.webp</t>
  </si>
  <si>
    <t>Kaorti Brigantine Helmet</t>
  </si>
  <si>
    <t>modules/a-knights-dream/Item/equip_armor_brigantine_helmet_kaorti.webp</t>
  </si>
  <si>
    <t>Kaorti Brigantine Pauldron</t>
  </si>
  <si>
    <t>modules/a-knights-dream/Item/equip_armor_brigantine_pauldron_kaorti.webp</t>
  </si>
  <si>
    <t>Kaorti Chainmail Cuirass</t>
  </si>
  <si>
    <t>modules/a-knights-dream/Item/equip_armor_chainmail_cuirass_kaorti.webp</t>
  </si>
  <si>
    <t>Kaorti Chainmail Gauntlets</t>
  </si>
  <si>
    <t>modules/a-knights-dream/Item/equip_armor_chainmail_gauntlets_kaorti.webp</t>
  </si>
  <si>
    <t>Kaorti Chainmail Greaves</t>
  </si>
  <si>
    <t>modules/a-knights-dream/Item/equip_armor_chainmail_greaves_kaorti.webp</t>
  </si>
  <si>
    <t>Kaorti Chainmail Helmet</t>
  </si>
  <si>
    <t>modules/a-knights-dream/Item/equip_armor_chainmail_helmet_kaorti.webp</t>
  </si>
  <si>
    <t>Kaorti Chainmail Pauldron</t>
  </si>
  <si>
    <t>modules/a-knights-dream/Item/equip_armor_chainmail_pauldron_kaorti.webp</t>
  </si>
  <si>
    <t>Kaorti Gamberson Cuirass</t>
  </si>
  <si>
    <t>modules/a-knights-dream/Item/equip_armor_gamberson_cuirass_kaorti.webp</t>
  </si>
  <si>
    <t>Kaorti Gamberson Gauntlets</t>
  </si>
  <si>
    <t>modules/a-knights-dream/Item/equip_armor_gamberson_gauntlets_kaorti.webp</t>
  </si>
  <si>
    <t>Kaorti Gamberson Greaves</t>
  </si>
  <si>
    <t>modules/a-knights-dream/Item/equip_armor_gamberson_greaves_kaorti.webp</t>
  </si>
  <si>
    <t>Kaorti Gamberson Helmet</t>
  </si>
  <si>
    <t>modules/a-knights-dream/Item/equip_armor_gamberson_helmet_kaorti.webp</t>
  </si>
  <si>
    <t>Kaorti Gamberson Pauldron</t>
  </si>
  <si>
    <t>modules/a-knights-dream/Item/equip_armor_gamberson_pauldron_kaorti.webp</t>
  </si>
  <si>
    <t>Kaorti Hauberk Cuirass</t>
  </si>
  <si>
    <t>modules/a-knights-dream/Item/equip_armor_hauberk_cuirass_kaorti.webp</t>
  </si>
  <si>
    <t>Kaorti Hauberk Gauntlets</t>
  </si>
  <si>
    <t>modules/a-knights-dream/Item/equip_armor_hauberk_gauntlets_kaorti.webp</t>
  </si>
  <si>
    <t>Kaorti Hauberk Greaves</t>
  </si>
  <si>
    <t>modules/a-knights-dream/Item/equip_armor_hauberk_greaves_kaorti.webp</t>
  </si>
  <si>
    <t>Kaorti Hauberk Helmet</t>
  </si>
  <si>
    <t>modules/a-knights-dream/Item/equip_armor_hauberk_helmet_kaorti.webp</t>
  </si>
  <si>
    <t>Kaorti Hauberk Pauldron</t>
  </si>
  <si>
    <t>modules/a-knights-dream/Item/equip_armor_hauberk_pauldron_kaorti.webp</t>
  </si>
  <si>
    <t>Kaorti Jack Cuirass</t>
  </si>
  <si>
    <t>modules/a-knights-dream/Item/equip_armor_jack_cuirass_kaorti.webp</t>
  </si>
  <si>
    <t>Kaorti Jack Gauntlets</t>
  </si>
  <si>
    <t>modules/a-knights-dream/Item/equip_armor_jack_gauntlets_kaorti.webp</t>
  </si>
  <si>
    <t>Kaorti Jack Greaves</t>
  </si>
  <si>
    <t>modules/a-knights-dream/Item/equip_armor_jack_greaves_kaorti.webp</t>
  </si>
  <si>
    <t>Kaorti Jack Helmet</t>
  </si>
  <si>
    <t>modules/a-knights-dream/Item/equip_armor_jack_helmet_kaorti.webp</t>
  </si>
  <si>
    <t>Kaorti Jack Pauldron</t>
  </si>
  <si>
    <t>modules/a-knights-dream/Item/equip_armor_jack_pauldron_kaorti.webp</t>
  </si>
  <si>
    <t>Kaorti Lamellar Cuirass</t>
  </si>
  <si>
    <t>modules/a-knights-dream/Item/equip_armor_lamellar_cuirass_kaorti.webp</t>
  </si>
  <si>
    <t>Kaorti Lamellar Gauntlets</t>
  </si>
  <si>
    <t>modules/a-knights-dream/Item/equip_armor_lamellar_gauntlets_kaorti.webp</t>
  </si>
  <si>
    <t>Kaorti Lamellar Greaves</t>
  </si>
  <si>
    <t>modules/a-knights-dream/Item/equip_armor_lamellar_greaves_kaorti.webp</t>
  </si>
  <si>
    <t>Kaorti Lamellar Helmet</t>
  </si>
  <si>
    <t>modules/a-knights-dream/Item/equip_armor_lamellar_helmet_kaorti.webp</t>
  </si>
  <si>
    <t>Kaorti Lamellar Pauldron</t>
  </si>
  <si>
    <t>modules/a-knights-dream/Item/equip_armor_lamellar_pauldron_kaorti.webp</t>
  </si>
  <si>
    <t>Kaorti Platemail Cuirass</t>
  </si>
  <si>
    <t>modules/a-knights-dream/Item/equip_armor_platemail_cuirass_kaorti.webp</t>
  </si>
  <si>
    <t>Kaorti Platemail Gauntlets</t>
  </si>
  <si>
    <t>modules/a-knights-dream/Item/equip_armor_platemail_gauntlets_kaorti.webp</t>
  </si>
  <si>
    <t>Kaorti Platemail Greaves</t>
  </si>
  <si>
    <t>modules/a-knights-dream/Item/equip_armor_platemail_greaves_kaorti.webp</t>
  </si>
  <si>
    <t>Kaorti Platemail Helmet</t>
  </si>
  <si>
    <t>modules/a-knights-dream/Item/equip_armor_platemail_helmet_kaorti.webp</t>
  </si>
  <si>
    <t>Kaorti Platemail Pauldron</t>
  </si>
  <si>
    <t>modules/a-knights-dream/Item/equip_armor_platemail_pauldron_kaorti.webp</t>
  </si>
  <si>
    <t>Kaorti Tunic Cuirass</t>
  </si>
  <si>
    <t>modules/a-knights-dream/Item/equip_armor_tunic_cuirass_kaorti.webp</t>
  </si>
  <si>
    <t>Kaorti Tunic Gauntlets</t>
  </si>
  <si>
    <t>modules/a-knights-dream/Item/equip_armor_tunic_gauntlets_kaorti.webp</t>
  </si>
  <si>
    <t>Kaorti Tunic Greaves</t>
  </si>
  <si>
    <t>modules/a-knights-dream/Item/equip_armor_tunic_greaves_kaorti.webp</t>
  </si>
  <si>
    <t>Kaorti Tunic Helmet</t>
  </si>
  <si>
    <t>modules/a-knights-dream/Item/equip_armor_tunic_helmet_kaorti.webp</t>
  </si>
  <si>
    <t>Kaorti Tunic Pauldron</t>
  </si>
  <si>
    <t>modules/a-knights-dream/Item/equip_armor_tunic_pauldron_kaorti.webp</t>
  </si>
  <si>
    <t>Kaorti Buckler Shield</t>
  </si>
  <si>
    <t>modules/a-knights-dream/Item/equip_armor_shield_buckler_kaorti.webp</t>
  </si>
  <si>
    <t>Kaorti Heater Shield</t>
  </si>
  <si>
    <t>modules/a-knights-dream/Item/equip_armor_shield_heater_kaorti.webp</t>
  </si>
  <si>
    <t>Kaorti Kite Shield</t>
  </si>
  <si>
    <t>modules/a-knights-dream/Item/equip_armor_shield_kite_kaorti.webp</t>
  </si>
  <si>
    <t>Kaorti Oval Shield</t>
  </si>
  <si>
    <t>modules/a-knights-dream/Item/equip_armor_shield_oval_kaorti.webp</t>
  </si>
  <si>
    <t>Kaorti Round Shield</t>
  </si>
  <si>
    <t>modules/a-knights-dream/Item/equip_armor_shield_round_kaorti.webp</t>
  </si>
  <si>
    <t>Kaorti Tower Shield</t>
  </si>
  <si>
    <t>modules/a-knights-dream/Item/equip_armor_shield_tower_kaorti.webp</t>
  </si>
  <si>
    <t>Longgu</t>
  </si>
  <si>
    <t>Longgu Ball Bearings</t>
  </si>
  <si>
    <t>modules/a-knights-dream/Item/equip_weapon_bearings_longgu.webp</t>
  </si>
  <si>
    <t>Longgu Bardiche</t>
  </si>
  <si>
    <t>modules/a-knights-dream/Item/equip_weapon_bardiche_longgu.webp</t>
  </si>
  <si>
    <t>Longgu Bastard Sword</t>
  </si>
  <si>
    <t>modules/a-knights-dream/Item/equip_weapon_sword_bastard_longgu.webp</t>
  </si>
  <si>
    <t>Longgu Battle Axe</t>
  </si>
  <si>
    <t>modules/a-knights-dream/Item/equip_weapon_axe_battle_longgu.webp</t>
  </si>
  <si>
    <t>Longgu Blowgun</t>
  </si>
  <si>
    <t>modules/a-knights-dream/Item/equip_weapon_blowgun_longgu.webp</t>
  </si>
  <si>
    <t>Longgu Bolt</t>
  </si>
  <si>
    <t>modules/a-knights-dream/Item/equip_weapon_bolt_longgu.webp</t>
  </si>
  <si>
    <t>Longgu Boomerang</t>
  </si>
  <si>
    <t>modules/a-knights-dream/Item/equip_weapon_boomerang_longgu.webp</t>
  </si>
  <si>
    <t>Longgu Bow</t>
  </si>
  <si>
    <t>modules/a-knights-dream/Item/equip_weapon_bow_longgu.webp</t>
  </si>
  <si>
    <t>Longgu Caltrops</t>
  </si>
  <si>
    <t>modules/a-knights-dream/Item/equip_weapon_caltrops_longgu.webp</t>
  </si>
  <si>
    <t>Longgu Cestus</t>
  </si>
  <si>
    <t>modules/a-knights-dream/Item/equip_weapon_cestus_longgu.webp</t>
  </si>
  <si>
    <t>Longgu Chain</t>
  </si>
  <si>
    <t>modules/a-knights-dream/Item/equip_weapon_chain_longgu.webp</t>
  </si>
  <si>
    <t>Longgu Claymore</t>
  </si>
  <si>
    <t>modules/a-knights-dream/Item/equip_weapon_claymore_longgu.webp</t>
  </si>
  <si>
    <t>Longgu Club</t>
  </si>
  <si>
    <t>modules/a-knights-dream/Item/equip_weapon_club_longgu.webp</t>
  </si>
  <si>
    <t>Longgu Compound Bow</t>
  </si>
  <si>
    <t>modules/a-knights-dream/Item/equip_weapon_bow_compound_longgu.webp</t>
  </si>
  <si>
    <t>Longgu Cutlass</t>
  </si>
  <si>
    <t>modules/a-knights-dream/Item/equip_weapon_cutlass_longgu.webp</t>
  </si>
  <si>
    <t>Longgu Dagger</t>
  </si>
  <si>
    <t>modules/a-knights-dream/Item/equip_weapon_dagger_longgu.webp</t>
  </si>
  <si>
    <t>Longgu Dart</t>
  </si>
  <si>
    <t>modules/a-knights-dream/Item/equip_weapon_dart_longgu.webp</t>
  </si>
  <si>
    <t>Longgu Fauchard Scythe</t>
  </si>
  <si>
    <t>modules/a-knights-dream/Item/equip_weapon_scythe_fauchard_longgu.webp</t>
  </si>
  <si>
    <t>Longgu Flail</t>
  </si>
  <si>
    <t>modules/a-knights-dream/Item/equip_weapon_flail_longgu.webp</t>
  </si>
  <si>
    <t>Longgu Glaive</t>
  </si>
  <si>
    <t>modules/a-knights-dream/Item/equip_weapon_glaive_longgu.webp</t>
  </si>
  <si>
    <t>Longgu Grapple Hook</t>
  </si>
  <si>
    <t>modules/a-knights-dream/Item/equip_weapon_hook_grapple_longgu.webp</t>
  </si>
  <si>
    <t>Longgu Great Axe</t>
  </si>
  <si>
    <t>modules/a-knights-dream/Item/equip_weapon_axe_great_longgu.webp</t>
  </si>
  <si>
    <t>Longgu Great Club</t>
  </si>
  <si>
    <t>modules/a-knights-dream/Item/equip_weapon_club_great_longgu.webp</t>
  </si>
  <si>
    <t>Longgu Great Khyber</t>
  </si>
  <si>
    <t>modules/a-knights-dream/Item/equip_weapon_khyber_great_longgu.webp</t>
  </si>
  <si>
    <t>Longgu Great Konda</t>
  </si>
  <si>
    <t>modules/a-knights-dream/Item/equip_weapon_konda_great_longgu.webp</t>
  </si>
  <si>
    <t>Longgu Great Labrys</t>
  </si>
  <si>
    <t>modules/a-knights-dream/Item/equip_weapon_axe_labrys_great_longgu.webp</t>
  </si>
  <si>
    <t>Longgu Great Mace</t>
  </si>
  <si>
    <t>modules/a-knights-dream/Item/equip_weapon_mace_great_longgu.webp</t>
  </si>
  <si>
    <t>Longgu Great Tapal</t>
  </si>
  <si>
    <t>modules/a-knights-dream/Item/equip_weapon_tapal_great_longgu.webp</t>
  </si>
  <si>
    <t>Longgu Great War Bow</t>
  </si>
  <si>
    <t>modules/a-knights-dream/Item/equip_weapon_bow_war_great_longgu.webp</t>
  </si>
  <si>
    <t>Longgu Great War Hammer</t>
  </si>
  <si>
    <t>modules/a-knights-dream/Item/equip_weapon_hammer_war_great_longgu.webp</t>
  </si>
  <si>
    <t>Longgu Great War Pick</t>
  </si>
  <si>
    <t>modules/a-knights-dream/Item/equip_weapon_pick_war_great_longgu.webp</t>
  </si>
  <si>
    <t>Longgu Guisarme</t>
  </si>
  <si>
    <t>modules/a-knights-dream/Item/equip_weapon_guisarme_longgu.webp</t>
  </si>
  <si>
    <t>Longgu Halberd</t>
  </si>
  <si>
    <t>modules/a-knights-dream/Item/equip_weapon_halberd_longgu.webp</t>
  </si>
  <si>
    <t>Longgu Hand Crossbow</t>
  </si>
  <si>
    <t>modules/a-knights-dream/Item/equip_weapon_crossbow_hand_longgu.webp</t>
  </si>
  <si>
    <t>Longgu Hand axe</t>
  </si>
  <si>
    <t>modules/a-knights-dream/Item/equip_weapon_axe_hand_longgu.webp</t>
  </si>
  <si>
    <t>Longgu Heavy Crossbow</t>
  </si>
  <si>
    <t>modules/a-knights-dream/Item/equip_weapon_crossbow_heavy_longgu.webp</t>
  </si>
  <si>
    <t>Longgu Hunting Trap</t>
  </si>
  <si>
    <t>modules/a-knights-dream/Item/equip_weapon_trap_hunting_longgu.webp</t>
  </si>
  <si>
    <t>Longgu Hunting Trap (Large)</t>
  </si>
  <si>
    <t>modules/a-knights-dream/Item/equip_weapon_trap_hunting_large_longgu.webp</t>
  </si>
  <si>
    <t>Longgu Hunting Trap (Small)</t>
  </si>
  <si>
    <t>modules/a-knights-dream/Item/equip_weapon_trap_hunting_small_longgu.webp</t>
  </si>
  <si>
    <t>Longgu Javelin</t>
  </si>
  <si>
    <t>modules/a-knights-dream/Item/equip_weapon_javelin_longgu.webp</t>
  </si>
  <si>
    <t>Longgu Khpesh</t>
  </si>
  <si>
    <t>modules/a-knights-dream/Item/equip_weapon_khpesh_longgu.webp</t>
  </si>
  <si>
    <t>Longgu Khyber</t>
  </si>
  <si>
    <t>modules/a-knights-dream/Item/equip_weapon_khyber_longgu.webp</t>
  </si>
  <si>
    <t>Longgu Konda</t>
  </si>
  <si>
    <t>modules/a-knights-dream/Item/equip_weapon_konda_longgu.webp</t>
  </si>
  <si>
    <t>Longgu Labrys</t>
  </si>
  <si>
    <t>modules/a-knights-dream/Item/equip_weapon_axe_labrys_longgu.webp</t>
  </si>
  <si>
    <t>Longgu Lance</t>
  </si>
  <si>
    <t>modules/a-knights-dream/Item/equip_weapon_lance_longgu.webp</t>
  </si>
  <si>
    <t>Longgu Light Crossbow</t>
  </si>
  <si>
    <t>modules/a-knights-dream/Item/equip_weapon_crossbow_light_longgu.webp</t>
  </si>
  <si>
    <t>Longgu Long Bow</t>
  </si>
  <si>
    <t>modules/a-knights-dream/Item/equip_weapon_bow_long_longgu.webp</t>
  </si>
  <si>
    <t>Longgu Long Spear</t>
  </si>
  <si>
    <t>modules/a-knights-dream/Item/equip_weapon_spear_long_longgu.webp</t>
  </si>
  <si>
    <t>Longgu Lucerince Hammer</t>
  </si>
  <si>
    <t>modules/a-knights-dream/Item/equip_weapon_hammer_lucerince_longgu.webp</t>
  </si>
  <si>
    <t>Longgu Mace</t>
  </si>
  <si>
    <t>modules/a-knights-dream/Item/equip_weapon_mace_longgu.webp</t>
  </si>
  <si>
    <t>Longgu Morningstar</t>
  </si>
  <si>
    <t>modules/a-knights-dream/Item/equip_weapon_morningstar_longgu.webp</t>
  </si>
  <si>
    <t>Longgu Pike</t>
  </si>
  <si>
    <t>modules/a-knights-dream/Item/equip_weapon_pike_longgu.webp</t>
  </si>
  <si>
    <t>Longgu Quarter Staff</t>
  </si>
  <si>
    <t>modules/a-knights-dream/Item/equip_weapon_staff_quarter_longgu.webp</t>
  </si>
  <si>
    <t>Longgu Ranseur</t>
  </si>
  <si>
    <t>modules/a-knights-dream/Item/equip_weapon_ranseur_longgu.webp</t>
  </si>
  <si>
    <t>Longgu Rapier</t>
  </si>
  <si>
    <t>modules/a-knights-dream/Item/equip_weapon_rapier_longgu.webp</t>
  </si>
  <si>
    <t>Longgu Recurve Bow</t>
  </si>
  <si>
    <t>modules/a-knights-dream/Item/equip_weapon_bow_recurve_longgu.webp</t>
  </si>
  <si>
    <t>Longgu Repeater Crossbow</t>
  </si>
  <si>
    <t>modules/a-knights-dream/Item/equip_weapon_crossbow_repeater_longgu.webp</t>
  </si>
  <si>
    <t>Longgu Sabre</t>
  </si>
  <si>
    <t>modules/a-knights-dream/Item/equip_weapon_sabre_longgu.webp</t>
  </si>
  <si>
    <t>Longgu Scimitar</t>
  </si>
  <si>
    <t>modules/a-knights-dream/Item/equip_weapon_scimitar_longgu.webp</t>
  </si>
  <si>
    <t>Longgu Scythe</t>
  </si>
  <si>
    <t>modules/a-knights-dream/Item/equip_weapon_scythe_longgu.webp</t>
  </si>
  <si>
    <t>Longgu Short Bow</t>
  </si>
  <si>
    <t>modules/a-knights-dream/Item/equip_weapon_bow_short_longgu.webp</t>
  </si>
  <si>
    <t>Longgu Short Spear</t>
  </si>
  <si>
    <t>modules/a-knights-dream/Item/equip_weapon_spear_short_longgu.webp</t>
  </si>
  <si>
    <t>Longgu Short Sword</t>
  </si>
  <si>
    <t>modules/a-knights-dream/Item/equip_weapon_sword_short_longgu.webp</t>
  </si>
  <si>
    <t>Longgu Shotel</t>
  </si>
  <si>
    <t>modules/a-knights-dream/Item/equip_weapon_shotel_longgu.webp</t>
  </si>
  <si>
    <t>Longgu Sickle</t>
  </si>
  <si>
    <t>modules/a-knights-dream/Item/equip_weapon_sickle_longgu.webp</t>
  </si>
  <si>
    <t>Longgu Sling</t>
  </si>
  <si>
    <t>modules/a-knights-dream/Item/equip_weapon_sling_longgu.webp</t>
  </si>
  <si>
    <t>Longgu Staff</t>
  </si>
  <si>
    <t>modules/a-knights-dream/Item/equip_weapon_staff_longgu.webp</t>
  </si>
  <si>
    <t>Longgu Staff Sling</t>
  </si>
  <si>
    <t>modules/a-knights-dream/Item/equip_weapon_sling_staff_longgu.webp</t>
  </si>
  <si>
    <t>Longgu Sword</t>
  </si>
  <si>
    <t>modules/a-knights-dream/Item/equip_weapon_sword_longgu.webp</t>
  </si>
  <si>
    <t>Longgu Tapal</t>
  </si>
  <si>
    <t>modules/a-knights-dream/Item/equip_weapon_tapal_longgu.webp</t>
  </si>
  <si>
    <t>Longgu Trident</t>
  </si>
  <si>
    <t>modules/a-knights-dream/Item/equip_weapon_trident_longgu.webp</t>
  </si>
  <si>
    <t>Longgu War Hammer</t>
  </si>
  <si>
    <t>modules/a-knights-dream/Item/equip_weapon_hammer_war_longgu.webp</t>
  </si>
  <si>
    <t>Longgu War Pick</t>
  </si>
  <si>
    <t>modules/a-knights-dream/Item/equip_weapon_pick_war_longgu.webp</t>
  </si>
  <si>
    <t>Longgu Brigantine Cuirass</t>
  </si>
  <si>
    <t>modules/a-knights-dream/Item/equip_armor_brigantine_cuirass_longgu.webp</t>
  </si>
  <si>
    <t>Longgu Brigantine Gauntlets</t>
  </si>
  <si>
    <t>modules/a-knights-dream/Item/equip_armor_brigantine_gauntlets_longgu.webp</t>
  </si>
  <si>
    <t>Longgu Brigantine Greaves</t>
  </si>
  <si>
    <t>modules/a-knights-dream/Item/equip_armor_brigantine_greaves_longgu.webp</t>
  </si>
  <si>
    <t>Longgu Brigantine Helmet</t>
  </si>
  <si>
    <t>modules/a-knights-dream/Item/equip_armor_brigantine_helmet_longgu.webp</t>
  </si>
  <si>
    <t>Longgu Brigantine Pauldron</t>
  </si>
  <si>
    <t>modules/a-knights-dream/Item/equip_armor_brigantine_pauldron_longgu.webp</t>
  </si>
  <si>
    <t>Longgu Chainmail Cuirass</t>
  </si>
  <si>
    <t>modules/a-knights-dream/Item/equip_armor_chainmail_cuirass_longgu.webp</t>
  </si>
  <si>
    <t>Longgu Chainmail Gauntlets</t>
  </si>
  <si>
    <t>modules/a-knights-dream/Item/equip_armor_chainmail_gauntlets_longgu.webp</t>
  </si>
  <si>
    <t>Longgu Chainmail Greaves</t>
  </si>
  <si>
    <t>modules/a-knights-dream/Item/equip_armor_chainmail_greaves_longgu.webp</t>
  </si>
  <si>
    <t>Longgu Chainmail Helmet</t>
  </si>
  <si>
    <t>modules/a-knights-dream/Item/equip_armor_chainmail_helmet_longgu.webp</t>
  </si>
  <si>
    <t>Longgu Chainmail Pauldron</t>
  </si>
  <si>
    <t>modules/a-knights-dream/Item/equip_armor_chainmail_pauldron_longgu.webp</t>
  </si>
  <si>
    <t>Longgu Gamberson Cuirass</t>
  </si>
  <si>
    <t>modules/a-knights-dream/Item/equip_armor_gamberson_cuirass_longgu.webp</t>
  </si>
  <si>
    <t>Longgu Gamberson Gauntlets</t>
  </si>
  <si>
    <t>modules/a-knights-dream/Item/equip_armor_gamberson_gauntlets_longgu.webp</t>
  </si>
  <si>
    <t>Longgu Gamberson Greaves</t>
  </si>
  <si>
    <t>modules/a-knights-dream/Item/equip_armor_gamberson_greaves_longgu.webp</t>
  </si>
  <si>
    <t>Longgu Gamberson Helmet</t>
  </si>
  <si>
    <t>modules/a-knights-dream/Item/equip_armor_gamberson_helmet_longgu.webp</t>
  </si>
  <si>
    <t>Longgu Gamberson Pauldron</t>
  </si>
  <si>
    <t>modules/a-knights-dream/Item/equip_armor_gamberson_pauldron_longgu.webp</t>
  </si>
  <si>
    <t>Longgu Hauberk Cuirass</t>
  </si>
  <si>
    <t>modules/a-knights-dream/Item/equip_armor_hauberk_cuirass_longgu.webp</t>
  </si>
  <si>
    <t>Longgu Hauberk Gauntlets</t>
  </si>
  <si>
    <t>modules/a-knights-dream/Item/equip_armor_hauberk_gauntlets_longgu.webp</t>
  </si>
  <si>
    <t>Longgu Hauberk Greaves</t>
  </si>
  <si>
    <t>modules/a-knights-dream/Item/equip_armor_hauberk_greaves_longgu.webp</t>
  </si>
  <si>
    <t>Longgu Hauberk Helmet</t>
  </si>
  <si>
    <t>modules/a-knights-dream/Item/equip_armor_hauberk_helmet_longgu.webp</t>
  </si>
  <si>
    <t>Longgu Hauberk Pauldron</t>
  </si>
  <si>
    <t>modules/a-knights-dream/Item/equip_armor_hauberk_pauldron_longgu.webp</t>
  </si>
  <si>
    <t>Longgu Jack Cuirass</t>
  </si>
  <si>
    <t>modules/a-knights-dream/Item/equip_armor_jack_cuirass_longgu.webp</t>
  </si>
  <si>
    <t>Longgu Jack Gauntlets</t>
  </si>
  <si>
    <t>modules/a-knights-dream/Item/equip_armor_jack_gauntlets_longgu.webp</t>
  </si>
  <si>
    <t>Longgu Jack Greaves</t>
  </si>
  <si>
    <t>modules/a-knights-dream/Item/equip_armor_jack_greaves_longgu.webp</t>
  </si>
  <si>
    <t>Longgu Jack Helmet</t>
  </si>
  <si>
    <t>modules/a-knights-dream/Item/equip_armor_jack_helmet_longgu.webp</t>
  </si>
  <si>
    <t>Longgu Jack Pauldron</t>
  </si>
  <si>
    <t>modules/a-knights-dream/Item/equip_armor_jack_pauldron_longgu.webp</t>
  </si>
  <si>
    <t>Longgu Lamellar Cuirass</t>
  </si>
  <si>
    <t>modules/a-knights-dream/Item/equip_armor_lamellar_cuirass_longgu.webp</t>
  </si>
  <si>
    <t>Longgu Lamellar Gauntlets</t>
  </si>
  <si>
    <t>modules/a-knights-dream/Item/equip_armor_lamellar_gauntlets_longgu.webp</t>
  </si>
  <si>
    <t>Longgu Lamellar Greaves</t>
  </si>
  <si>
    <t>modules/a-knights-dream/Item/equip_armor_lamellar_greaves_longgu.webp</t>
  </si>
  <si>
    <t>Longgu Lamellar Helmet</t>
  </si>
  <si>
    <t>modules/a-knights-dream/Item/equip_armor_lamellar_helmet_longgu.webp</t>
  </si>
  <si>
    <t>Longgu Lamellar Pauldron</t>
  </si>
  <si>
    <t>modules/a-knights-dream/Item/equip_armor_lamellar_pauldron_longgu.webp</t>
  </si>
  <si>
    <t>Longgu Platemail Cuirass</t>
  </si>
  <si>
    <t>modules/a-knights-dream/Item/equip_armor_platemail_cuirass_longgu.webp</t>
  </si>
  <si>
    <t>Longgu Platemail Gauntlets</t>
  </si>
  <si>
    <t>modules/a-knights-dream/Item/equip_armor_platemail_gauntlets_longgu.webp</t>
  </si>
  <si>
    <t>Longgu Platemail Greaves</t>
  </si>
  <si>
    <t>modules/a-knights-dream/Item/equip_armor_platemail_greaves_longgu.webp</t>
  </si>
  <si>
    <t>Longgu Platemail Helmet</t>
  </si>
  <si>
    <t>modules/a-knights-dream/Item/equip_armor_platemail_helmet_longgu.webp</t>
  </si>
  <si>
    <t>Longgu Platemail Pauldron</t>
  </si>
  <si>
    <t>modules/a-knights-dream/Item/equip_armor_platemail_pauldron_longgu.webp</t>
  </si>
  <si>
    <t>Longgu Tunic Cuirass</t>
  </si>
  <si>
    <t>modules/a-knights-dream/Item/equip_armor_tunic_cuirass_longgu.webp</t>
  </si>
  <si>
    <t>Longgu Tunic Gauntlets</t>
  </si>
  <si>
    <t>modules/a-knights-dream/Item/equip_armor_tunic_gauntlets_longgu.webp</t>
  </si>
  <si>
    <t>Longgu Tunic Greaves</t>
  </si>
  <si>
    <t>modules/a-knights-dream/Item/equip_armor_tunic_greaves_longgu.webp</t>
  </si>
  <si>
    <t>Longgu Tunic Helmet</t>
  </si>
  <si>
    <t>modules/a-knights-dream/Item/equip_armor_tunic_helmet_longgu.webp</t>
  </si>
  <si>
    <t>Longgu Tunic Pauldron</t>
  </si>
  <si>
    <t>modules/a-knights-dream/Item/equip_armor_tunic_pauldron_longgu.webp</t>
  </si>
  <si>
    <t>Longgu Buckler Shield</t>
  </si>
  <si>
    <t>modules/a-knights-dream/Item/equip_armor_shield_buckler_longgu.webp</t>
  </si>
  <si>
    <t>Longgu Heater Shield</t>
  </si>
  <si>
    <t>modules/a-knights-dream/Item/equip_armor_shield_heater_longgu.webp</t>
  </si>
  <si>
    <t>Longgu Kite Shield</t>
  </si>
  <si>
    <t>modules/a-knights-dream/Item/equip_armor_shield_kite_longgu.webp</t>
  </si>
  <si>
    <t>Longgu Oval Shield</t>
  </si>
  <si>
    <t>modules/a-knights-dream/Item/equip_armor_shield_oval_longgu.webp</t>
  </si>
  <si>
    <t>Longgu Round Shield</t>
  </si>
  <si>
    <t>modules/a-knights-dream/Item/equip_armor_shield_round_longgu.webp</t>
  </si>
  <si>
    <t>Longgu Tower Shield</t>
  </si>
  <si>
    <t>modules/a-knights-dream/Item/equip_armor_shield_tower_longgu.webp</t>
  </si>
  <si>
    <t>Ohmu</t>
  </si>
  <si>
    <t>Ohmu Ball Bearings</t>
  </si>
  <si>
    <t>modules/a-knights-dream/Item/equip_weapon_bearings_ohmu.webp</t>
  </si>
  <si>
    <t>Ohmu Bardiche</t>
  </si>
  <si>
    <t>modules/a-knights-dream/Item/equip_weapon_bardiche_ohmu.webp</t>
  </si>
  <si>
    <t>Ohmu Bastard Sword</t>
  </si>
  <si>
    <t>modules/a-knights-dream/Item/equip_weapon_sword_bastard_ohmu.webp</t>
  </si>
  <si>
    <t>Ohmu Battle Axe</t>
  </si>
  <si>
    <t>modules/a-knights-dream/Item/equip_weapon_axe_battle_ohmu.webp</t>
  </si>
  <si>
    <t>Ohmu Blowgun</t>
  </si>
  <si>
    <t>modules/a-knights-dream/Item/equip_weapon_blowgun_ohmu.webp</t>
  </si>
  <si>
    <t>Ohmu Bolt</t>
  </si>
  <si>
    <t>modules/a-knights-dream/Item/equip_weapon_bolt_ohmu.webp</t>
  </si>
  <si>
    <t>Ohmu Boomerang</t>
  </si>
  <si>
    <t>modules/a-knights-dream/Item/equip_weapon_boomerang_ohmu.webp</t>
  </si>
  <si>
    <t>Ohmu Bow</t>
  </si>
  <si>
    <t>modules/a-knights-dream/Item/equip_weapon_bow_ohmu.webp</t>
  </si>
  <si>
    <t>Ohmu Caltrops</t>
  </si>
  <si>
    <t>modules/a-knights-dream/Item/equip_weapon_caltrops_ohmu.webp</t>
  </si>
  <si>
    <t>Ohmu Cestus</t>
  </si>
  <si>
    <t>modules/a-knights-dream/Item/equip_weapon_cestus_ohmu.webp</t>
  </si>
  <si>
    <t>Ohmu Chain</t>
  </si>
  <si>
    <t>modules/a-knights-dream/Item/equip_weapon_chain_ohmu.webp</t>
  </si>
  <si>
    <t>Ohmu Claymore</t>
  </si>
  <si>
    <t>modules/a-knights-dream/Item/equip_weapon_claymore_ohmu.webp</t>
  </si>
  <si>
    <t>Ohmu Club</t>
  </si>
  <si>
    <t>modules/a-knights-dream/Item/equip_weapon_club_ohmu.webp</t>
  </si>
  <si>
    <t>Ohmu Compound Bow</t>
  </si>
  <si>
    <t>modules/a-knights-dream/Item/equip_weapon_bow_compound_ohmu.webp</t>
  </si>
  <si>
    <t>Ohmu Cutlass</t>
  </si>
  <si>
    <t>modules/a-knights-dream/Item/equip_weapon_cutlass_ohmu.webp</t>
  </si>
  <si>
    <t>Ohmu Dagger</t>
  </si>
  <si>
    <t>modules/a-knights-dream/Item/equip_weapon_dagger_ohmu.webp</t>
  </si>
  <si>
    <t>Ohmu Dart</t>
  </si>
  <si>
    <t>modules/a-knights-dream/Item/equip_weapon_dart_ohmu.webp</t>
  </si>
  <si>
    <t>Ohmu Fauchard Scythe</t>
  </si>
  <si>
    <t>modules/a-knights-dream/Item/equip_weapon_scythe_fauchard_ohmu.webp</t>
  </si>
  <si>
    <t>Ohmu Flail</t>
  </si>
  <si>
    <t>modules/a-knights-dream/Item/equip_weapon_flail_ohmu.webp</t>
  </si>
  <si>
    <t>Ohmu Glaive</t>
  </si>
  <si>
    <t>modules/a-knights-dream/Item/equip_weapon_glaive_ohmu.webp</t>
  </si>
  <si>
    <t>Ohmu Grapple Hook</t>
  </si>
  <si>
    <t>modules/a-knights-dream/Item/equip_weapon_hook_grapple_ohmu.webp</t>
  </si>
  <si>
    <t>Ohmu Great Axe</t>
  </si>
  <si>
    <t>modules/a-knights-dream/Item/equip_weapon_axe_great_ohmu.webp</t>
  </si>
  <si>
    <t>Ohmu Great Club</t>
  </si>
  <si>
    <t>modules/a-knights-dream/Item/equip_weapon_club_great_ohmu.webp</t>
  </si>
  <si>
    <t>Ohmu Great Khyber</t>
  </si>
  <si>
    <t>modules/a-knights-dream/Item/equip_weapon_khyber_great_ohmu.webp</t>
  </si>
  <si>
    <t>Ohmu Great Konda</t>
  </si>
  <si>
    <t>modules/a-knights-dream/Item/equip_weapon_konda_great_ohmu.webp</t>
  </si>
  <si>
    <t>Ohmu Great Labrys</t>
  </si>
  <si>
    <t>modules/a-knights-dream/Item/equip_weapon_axe_labrys_great_ohmu.webp</t>
  </si>
  <si>
    <t>Ohmu Great Mace</t>
  </si>
  <si>
    <t>modules/a-knights-dream/Item/equip_weapon_mace_great_ohmu.webp</t>
  </si>
  <si>
    <t>Ohmu Great Tapal</t>
  </si>
  <si>
    <t>modules/a-knights-dream/Item/equip_weapon_tapal_great_ohmu.webp</t>
  </si>
  <si>
    <t>Ohmu Great War Bow</t>
  </si>
  <si>
    <t>modules/a-knights-dream/Item/equip_weapon_bow_war_great_ohmu.webp</t>
  </si>
  <si>
    <t>Ohmu Great War Hammer</t>
  </si>
  <si>
    <t>modules/a-knights-dream/Item/equip_weapon_hammer_war_great_ohmu.webp</t>
  </si>
  <si>
    <t>Ohmu Great War Pick</t>
  </si>
  <si>
    <t>modules/a-knights-dream/Item/equip_weapon_pick_war_great_ohmu.webp</t>
  </si>
  <si>
    <t>Ohmu Guisarme</t>
  </si>
  <si>
    <t>modules/a-knights-dream/Item/equip_weapon_guisarme_ohmu.webp</t>
  </si>
  <si>
    <t>Ohmu Halberd</t>
  </si>
  <si>
    <t>modules/a-knights-dream/Item/equip_weapon_halberd_ohmu.webp</t>
  </si>
  <si>
    <t>Ohmu Hand Crossbow</t>
  </si>
  <si>
    <t>modules/a-knights-dream/Item/equip_weapon_crossbow_hand_ohmu.webp</t>
  </si>
  <si>
    <t>Ohmu Hand axe</t>
  </si>
  <si>
    <t>modules/a-knights-dream/Item/equip_weapon_axe_hand_ohmu.webp</t>
  </si>
  <si>
    <t>Ohmu Heavy Crossbow</t>
  </si>
  <si>
    <t>modules/a-knights-dream/Item/equip_weapon_crossbow_heavy_ohmu.webp</t>
  </si>
  <si>
    <t>Ohmu Hunting Trap</t>
  </si>
  <si>
    <t>modules/a-knights-dream/Item/equip_weapon_trap_hunting_ohmu.webp</t>
  </si>
  <si>
    <t>Ohmu Hunting Trap (Large)</t>
  </si>
  <si>
    <t>modules/a-knights-dream/Item/equip_weapon_trap_hunting_large_ohmu.webp</t>
  </si>
  <si>
    <t>Ohmu Hunting Trap (Small)</t>
  </si>
  <si>
    <t>modules/a-knights-dream/Item/equip_weapon_trap_hunting_small_ohmu.webp</t>
  </si>
  <si>
    <t>Ohmu Javelin</t>
  </si>
  <si>
    <t>modules/a-knights-dream/Item/equip_weapon_javelin_ohmu.webp</t>
  </si>
  <si>
    <t>Ohmu Khpesh</t>
  </si>
  <si>
    <t>modules/a-knights-dream/Item/equip_weapon_khpesh_ohmu.webp</t>
  </si>
  <si>
    <t>Ohmu Khyber</t>
  </si>
  <si>
    <t>modules/a-knights-dream/Item/equip_weapon_khyber_ohmu.webp</t>
  </si>
  <si>
    <t>Ohmu Konda</t>
  </si>
  <si>
    <t>modules/a-knights-dream/Item/equip_weapon_konda_ohmu.webp</t>
  </si>
  <si>
    <t>Ohmu Labrys</t>
  </si>
  <si>
    <t>modules/a-knights-dream/Item/equip_weapon_axe_labrys_ohmu.webp</t>
  </si>
  <si>
    <t>Ohmu Lance</t>
  </si>
  <si>
    <t>modules/a-knights-dream/Item/equip_weapon_lance_ohmu.webp</t>
  </si>
  <si>
    <t>Ohmu Light Crossbow</t>
  </si>
  <si>
    <t>modules/a-knights-dream/Item/equip_weapon_crossbow_light_ohmu.webp</t>
  </si>
  <si>
    <t>Ohmu Long Bow</t>
  </si>
  <si>
    <t>modules/a-knights-dream/Item/equip_weapon_bow_long_ohmu.webp</t>
  </si>
  <si>
    <t>Ohmu Long Spear</t>
  </si>
  <si>
    <t>modules/a-knights-dream/Item/equip_weapon_spear_long_ohmu.webp</t>
  </si>
  <si>
    <t>Ohmu Lucerince Hammer</t>
  </si>
  <si>
    <t>modules/a-knights-dream/Item/equip_weapon_hammer_lucerince_ohmu.webp</t>
  </si>
  <si>
    <t>Ohmu Mace</t>
  </si>
  <si>
    <t>modules/a-knights-dream/Item/equip_weapon_mace_ohmu.webp</t>
  </si>
  <si>
    <t>Ohmu Morningstar</t>
  </si>
  <si>
    <t>modules/a-knights-dream/Item/equip_weapon_morningstar_ohmu.webp</t>
  </si>
  <si>
    <t>Ohmu Pike</t>
  </si>
  <si>
    <t>modules/a-knights-dream/Item/equip_weapon_pike_ohmu.webp</t>
  </si>
  <si>
    <t>Ohmu Quarter Staff</t>
  </si>
  <si>
    <t>modules/a-knights-dream/Item/equip_weapon_staff_quarter_ohmu.webp</t>
  </si>
  <si>
    <t>Ohmu Ranseur</t>
  </si>
  <si>
    <t>modules/a-knights-dream/Item/equip_weapon_ranseur_ohmu.webp</t>
  </si>
  <si>
    <t>Ohmu Rapier</t>
  </si>
  <si>
    <t>modules/a-knights-dream/Item/equip_weapon_rapier_ohmu.webp</t>
  </si>
  <si>
    <t>Ohmu Recurve Bow</t>
  </si>
  <si>
    <t>modules/a-knights-dream/Item/equip_weapon_bow_recurve_ohmu.webp</t>
  </si>
  <si>
    <t>Ohmu Repeater Crossbow</t>
  </si>
  <si>
    <t>modules/a-knights-dream/Item/equip_weapon_crossbow_repeater_ohmu.webp</t>
  </si>
  <si>
    <t>Ohmu Sabre</t>
  </si>
  <si>
    <t>modules/a-knights-dream/Item/equip_weapon_sabre_ohmu.webp</t>
  </si>
  <si>
    <t>Ohmu Scimitar</t>
  </si>
  <si>
    <t>modules/a-knights-dream/Item/equip_weapon_scimitar_ohmu.webp</t>
  </si>
  <si>
    <t>Ohmu Scythe</t>
  </si>
  <si>
    <t>modules/a-knights-dream/Item/equip_weapon_scythe_ohmu.webp</t>
  </si>
  <si>
    <t>Ohmu Short Bow</t>
  </si>
  <si>
    <t>modules/a-knights-dream/Item/equip_weapon_bow_short_ohmu.webp</t>
  </si>
  <si>
    <t>Ohmu Short Spear</t>
  </si>
  <si>
    <t>modules/a-knights-dream/Item/equip_weapon_spear_short_ohmu.webp</t>
  </si>
  <si>
    <t>Ohmu Short Sword</t>
  </si>
  <si>
    <t>modules/a-knights-dream/Item/equip_weapon_sword_short_ohmu.webp</t>
  </si>
  <si>
    <t>Ohmu Shotel</t>
  </si>
  <si>
    <t>modules/a-knights-dream/Item/equip_weapon_shotel_ohmu.webp</t>
  </si>
  <si>
    <t>Ohmu Sickle</t>
  </si>
  <si>
    <t>modules/a-knights-dream/Item/equip_weapon_sickle_ohmu.webp</t>
  </si>
  <si>
    <t>Ohmu Sling</t>
  </si>
  <si>
    <t>modules/a-knights-dream/Item/equip_weapon_sling_ohmu.webp</t>
  </si>
  <si>
    <t>Ohmu Staff</t>
  </si>
  <si>
    <t>modules/a-knights-dream/Item/equip_weapon_staff_ohmu.webp</t>
  </si>
  <si>
    <t>Ohmu Staff Sling</t>
  </si>
  <si>
    <t>modules/a-knights-dream/Item/equip_weapon_sling_staff_ohmu.webp</t>
  </si>
  <si>
    <t>Ohmu Sword</t>
  </si>
  <si>
    <t>modules/a-knights-dream/Item/equip_weapon_sword_ohmu.webp</t>
  </si>
  <si>
    <t>Ohmu Tapal</t>
  </si>
  <si>
    <t>modules/a-knights-dream/Item/equip_weapon_tapal_ohmu.webp</t>
  </si>
  <si>
    <t>Ohmu Trident</t>
  </si>
  <si>
    <t>modules/a-knights-dream/Item/equip_weapon_trident_ohmu.webp</t>
  </si>
  <si>
    <t>Ohmu War Hammer</t>
  </si>
  <si>
    <t>modules/a-knights-dream/Item/equip_weapon_hammer_war_ohmu.webp</t>
  </si>
  <si>
    <t>Ohmu War Pick</t>
  </si>
  <si>
    <t>modules/a-knights-dream/Item/equip_weapon_pick_war_ohmu.webp</t>
  </si>
  <si>
    <t>Ohmu Brigantine Cuirass</t>
  </si>
  <si>
    <t>modules/a-knights-dream/Item/equip_armor_brigantine_cuirass_ohmu.webp</t>
  </si>
  <si>
    <t>Ohmu Brigantine Gauntlets</t>
  </si>
  <si>
    <t>modules/a-knights-dream/Item/equip_armor_brigantine_gauntlets_ohmu.webp</t>
  </si>
  <si>
    <t>Ohmu Brigantine Greaves</t>
  </si>
  <si>
    <t>modules/a-knights-dream/Item/equip_armor_brigantine_greaves_ohmu.webp</t>
  </si>
  <si>
    <t>Ohmu Brigantine Helmet</t>
  </si>
  <si>
    <t>modules/a-knights-dream/Item/equip_armor_brigantine_helmet_ohmu.webp</t>
  </si>
  <si>
    <t>Ohmu Brigantine Pauldron</t>
  </si>
  <si>
    <t>modules/a-knights-dream/Item/equip_armor_brigantine_pauldron_ohmu.webp</t>
  </si>
  <si>
    <t>Ohmu Chainmail Cuirass</t>
  </si>
  <si>
    <t>modules/a-knights-dream/Item/equip_armor_chainmail_cuirass_ohmu.webp</t>
  </si>
  <si>
    <t>Ohmu Chainmail Gauntlets</t>
  </si>
  <si>
    <t>modules/a-knights-dream/Item/equip_armor_chainmail_gauntlets_ohmu.webp</t>
  </si>
  <si>
    <t>Ohmu Chainmail Greaves</t>
  </si>
  <si>
    <t>modules/a-knights-dream/Item/equip_armor_chainmail_greaves_ohmu.webp</t>
  </si>
  <si>
    <t>Ohmu Chainmail Helmet</t>
  </si>
  <si>
    <t>modules/a-knights-dream/Item/equip_armor_chainmail_helmet_ohmu.webp</t>
  </si>
  <si>
    <t>Ohmu Chainmail Pauldron</t>
  </si>
  <si>
    <t>modules/a-knights-dream/Item/equip_armor_chainmail_pauldron_ohmu.webp</t>
  </si>
  <si>
    <t>Ohmu Gamberson Cuirass</t>
  </si>
  <si>
    <t>modules/a-knights-dream/Item/equip_armor_gamberson_cuirass_ohmu.webp</t>
  </si>
  <si>
    <t>Ohmu Gamberson Gauntlets</t>
  </si>
  <si>
    <t>modules/a-knights-dream/Item/equip_armor_gamberson_gauntlets_ohmu.webp</t>
  </si>
  <si>
    <t>Ohmu Gamberson Greaves</t>
  </si>
  <si>
    <t>modules/a-knights-dream/Item/equip_armor_gamberson_greaves_ohmu.webp</t>
  </si>
  <si>
    <t>Ohmu Gamberson Helmet</t>
  </si>
  <si>
    <t>modules/a-knights-dream/Item/equip_armor_gamberson_helmet_ohmu.webp</t>
  </si>
  <si>
    <t>Ohmu Gamberson Pauldron</t>
  </si>
  <si>
    <t>modules/a-knights-dream/Item/equip_armor_gamberson_pauldron_ohmu.webp</t>
  </si>
  <si>
    <t>Ohmu Hauberk Cuirass</t>
  </si>
  <si>
    <t>modules/a-knights-dream/Item/equip_armor_hauberk_cuirass_ohmu.webp</t>
  </si>
  <si>
    <t>Ohmu Hauberk Gauntlets</t>
  </si>
  <si>
    <t>modules/a-knights-dream/Item/equip_armor_hauberk_gauntlets_ohmu.webp</t>
  </si>
  <si>
    <t>Ohmu Hauberk Greaves</t>
  </si>
  <si>
    <t>modules/a-knights-dream/Item/equip_armor_hauberk_greaves_ohmu.webp</t>
  </si>
  <si>
    <t>Ohmu Hauberk Helmet</t>
  </si>
  <si>
    <t>modules/a-knights-dream/Item/equip_armor_hauberk_helmet_ohmu.webp</t>
  </si>
  <si>
    <t>Ohmu Hauberk Pauldron</t>
  </si>
  <si>
    <t>modules/a-knights-dream/Item/equip_armor_hauberk_pauldron_ohmu.webp</t>
  </si>
  <si>
    <t>Ohmu Jack Cuirass</t>
  </si>
  <si>
    <t>modules/a-knights-dream/Item/equip_armor_jack_cuirass_ohmu.webp</t>
  </si>
  <si>
    <t>Ohmu Jack Gauntlets</t>
  </si>
  <si>
    <t>modules/a-knights-dream/Item/equip_armor_jack_gauntlets_ohmu.webp</t>
  </si>
  <si>
    <t>Ohmu Jack Greaves</t>
  </si>
  <si>
    <t>modules/a-knights-dream/Item/equip_armor_jack_greaves_ohmu.webp</t>
  </si>
  <si>
    <t>Ohmu Jack Helmet</t>
  </si>
  <si>
    <t>modules/a-knights-dream/Item/equip_armor_jack_helmet_ohmu.webp</t>
  </si>
  <si>
    <t>Ohmu Jack Pauldron</t>
  </si>
  <si>
    <t>modules/a-knights-dream/Item/equip_armor_jack_pauldron_ohmu.webp</t>
  </si>
  <si>
    <t>Ohmu Lamellar Cuirass</t>
  </si>
  <si>
    <t>modules/a-knights-dream/Item/equip_armor_lamellar_cuirass_ohmu.webp</t>
  </si>
  <si>
    <t>Ohmu Lamellar Gauntlets</t>
  </si>
  <si>
    <t>modules/a-knights-dream/Item/equip_armor_lamellar_gauntlets_ohmu.webp</t>
  </si>
  <si>
    <t>Ohmu Lamellar Greaves</t>
  </si>
  <si>
    <t>modules/a-knights-dream/Item/equip_armor_lamellar_greaves_ohmu.webp</t>
  </si>
  <si>
    <t>Ohmu Lamellar Helmet</t>
  </si>
  <si>
    <t>modules/a-knights-dream/Item/equip_armor_lamellar_helmet_ohmu.webp</t>
  </si>
  <si>
    <t>Ohmu Lamellar Pauldron</t>
  </si>
  <si>
    <t>modules/a-knights-dream/Item/equip_armor_lamellar_pauldron_ohmu.webp</t>
  </si>
  <si>
    <t>Ohmu Platemail Cuirass</t>
  </si>
  <si>
    <t>modules/a-knights-dream/Item/equip_armor_platemail_cuirass_ohmu.webp</t>
  </si>
  <si>
    <t>Ohmu Platemail Gauntlets</t>
  </si>
  <si>
    <t>modules/a-knights-dream/Item/equip_armor_platemail_gauntlets_ohmu.webp</t>
  </si>
  <si>
    <t>Ohmu Platemail Greaves</t>
  </si>
  <si>
    <t>modules/a-knights-dream/Item/equip_armor_platemail_greaves_ohmu.webp</t>
  </si>
  <si>
    <t>Ohmu Platemail Helmet</t>
  </si>
  <si>
    <t>modules/a-knights-dream/Item/equip_armor_platemail_helmet_ohmu.webp</t>
  </si>
  <si>
    <t>Ohmu Platemail Pauldron</t>
  </si>
  <si>
    <t>modules/a-knights-dream/Item/equip_armor_platemail_pauldron_ohmu.webp</t>
  </si>
  <si>
    <t>Ohmu Tunic Cuirass</t>
  </si>
  <si>
    <t>modules/a-knights-dream/Item/equip_armor_tunic_cuirass_ohmu.webp</t>
  </si>
  <si>
    <t>Ohmu Tunic Gauntlets</t>
  </si>
  <si>
    <t>modules/a-knights-dream/Item/equip_armor_tunic_gauntlets_ohmu.webp</t>
  </si>
  <si>
    <t>Ohmu Tunic Greaves</t>
  </si>
  <si>
    <t>modules/a-knights-dream/Item/equip_armor_tunic_greaves_ohmu.webp</t>
  </si>
  <si>
    <t>Ohmu Tunic Helmet</t>
  </si>
  <si>
    <t>modules/a-knights-dream/Item/equip_armor_tunic_helmet_ohmu.webp</t>
  </si>
  <si>
    <t>Ohmu Tunic Pauldron</t>
  </si>
  <si>
    <t>modules/a-knights-dream/Item/equip_armor_tunic_pauldron_ohmu.webp</t>
  </si>
  <si>
    <t>Ohmu Buckler Shield</t>
  </si>
  <si>
    <t>modules/a-knights-dream/Item/equip_armor_shield_buckler_ohmu.webp</t>
  </si>
  <si>
    <t>Ohmu Heater Shield</t>
  </si>
  <si>
    <t>modules/a-knights-dream/Item/equip_armor_shield_heater_ohmu.webp</t>
  </si>
  <si>
    <t>Ohmu Kite Shield</t>
  </si>
  <si>
    <t>modules/a-knights-dream/Item/equip_armor_shield_kite_ohmu.webp</t>
  </si>
  <si>
    <t>Ohmu Oval Shield</t>
  </si>
  <si>
    <t>modules/a-knights-dream/Item/equip_armor_shield_oval_ohmu.webp</t>
  </si>
  <si>
    <t>Ohmu Round Shield</t>
  </si>
  <si>
    <t>modules/a-knights-dream/Item/equip_armor_shield_round_ohmu.webp</t>
  </si>
  <si>
    <t>Ohmu Tower Shield</t>
  </si>
  <si>
    <t>modules/a-knights-dream/Item/equip_armor_shield_tower_ohmu.webp</t>
  </si>
  <si>
    <t>Scale</t>
  </si>
  <si>
    <t>Scale Ball Bearings</t>
  </si>
  <si>
    <t>modules/a-knights-dream/Item/equip_weapon_bearings_scale.webp</t>
  </si>
  <si>
    <t>Scale Bardiche</t>
  </si>
  <si>
    <t>modules/a-knights-dream/Item/equip_weapon_bardiche_scale.webp</t>
  </si>
  <si>
    <t>Scale Bastard Sword</t>
  </si>
  <si>
    <t>modules/a-knights-dream/Item/equip_weapon_sword_bastard_scale.webp</t>
  </si>
  <si>
    <t>Scale Battle Axe</t>
  </si>
  <si>
    <t>modules/a-knights-dream/Item/equip_weapon_axe_battle_scale.webp</t>
  </si>
  <si>
    <t>Scale Blowgun</t>
  </si>
  <si>
    <t>modules/a-knights-dream/Item/equip_weapon_blowgun_scale.webp</t>
  </si>
  <si>
    <t>Scale Bolt</t>
  </si>
  <si>
    <t>modules/a-knights-dream/Item/equip_weapon_bolt_scale.webp</t>
  </si>
  <si>
    <t>Scale Boomerang</t>
  </si>
  <si>
    <t>modules/a-knights-dream/Item/equip_weapon_boomerang_scale.webp</t>
  </si>
  <si>
    <t>Scale Bow</t>
  </si>
  <si>
    <t>modules/a-knights-dream/Item/equip_weapon_bow_scale.webp</t>
  </si>
  <si>
    <t>Scale Caltrops</t>
  </si>
  <si>
    <t>modules/a-knights-dream/Item/equip_weapon_caltrops_scale.webp</t>
  </si>
  <si>
    <t>Scale Cestus</t>
  </si>
  <si>
    <t>modules/a-knights-dream/Item/equip_weapon_cestus_scale.webp</t>
  </si>
  <si>
    <t>Scale Chain</t>
  </si>
  <si>
    <t>modules/a-knights-dream/Item/equip_weapon_chain_scale.webp</t>
  </si>
  <si>
    <t>Scale Claymore</t>
  </si>
  <si>
    <t>modules/a-knights-dream/Item/equip_weapon_claymore_scale.webp</t>
  </si>
  <si>
    <t>Scale Club</t>
  </si>
  <si>
    <t>modules/a-knights-dream/Item/equip_weapon_club_scale.webp</t>
  </si>
  <si>
    <t>Scale Compound Bow</t>
  </si>
  <si>
    <t>modules/a-knights-dream/Item/equip_weapon_bow_compound_scale.webp</t>
  </si>
  <si>
    <t>Scale Cutlass</t>
  </si>
  <si>
    <t>modules/a-knights-dream/Item/equip_weapon_cutlass_scale.webp</t>
  </si>
  <si>
    <t>Scale Dagger</t>
  </si>
  <si>
    <t>modules/a-knights-dream/Item/equip_weapon_dagger_scale.webp</t>
  </si>
  <si>
    <t>Scale Dart</t>
  </si>
  <si>
    <t>modules/a-knights-dream/Item/equip_weapon_dart_scale.webp</t>
  </si>
  <si>
    <t>Scale Fauchard Scythe</t>
  </si>
  <si>
    <t>modules/a-knights-dream/Item/equip_weapon_scythe_fauchard_scale.webp</t>
  </si>
  <si>
    <t>Scale Flail</t>
  </si>
  <si>
    <t>modules/a-knights-dream/Item/equip_weapon_flail_scale.webp</t>
  </si>
  <si>
    <t>Scale Glaive</t>
  </si>
  <si>
    <t>modules/a-knights-dream/Item/equip_weapon_glaive_scale.webp</t>
  </si>
  <si>
    <t>Scale Grapple Hook</t>
  </si>
  <si>
    <t>modules/a-knights-dream/Item/equip_weapon_hook_grapple_scale.webp</t>
  </si>
  <si>
    <t>Scale Great Axe</t>
  </si>
  <si>
    <t>modules/a-knights-dream/Item/equip_weapon_axe_great_scale.webp</t>
  </si>
  <si>
    <t>Scale Great Club</t>
  </si>
  <si>
    <t>modules/a-knights-dream/Item/equip_weapon_club_great_scale.webp</t>
  </si>
  <si>
    <t>Scale Great Khyber</t>
  </si>
  <si>
    <t>modules/a-knights-dream/Item/equip_weapon_khyber_great_scale.webp</t>
  </si>
  <si>
    <t>Scale Great Konda</t>
  </si>
  <si>
    <t>modules/a-knights-dream/Item/equip_weapon_konda_great_scale.webp</t>
  </si>
  <si>
    <t>Scale Great Labrys</t>
  </si>
  <si>
    <t>modules/a-knights-dream/Item/equip_weapon_axe_labrys_great_scale.webp</t>
  </si>
  <si>
    <t>Scale Great Mace</t>
  </si>
  <si>
    <t>modules/a-knights-dream/Item/equip_weapon_mace_great_scale.webp</t>
  </si>
  <si>
    <t>Scale Great Tapal</t>
  </si>
  <si>
    <t>modules/a-knights-dream/Item/equip_weapon_tapal_great_scale.webp</t>
  </si>
  <si>
    <t>Scale Great War Bow</t>
  </si>
  <si>
    <t>modules/a-knights-dream/Item/equip_weapon_bow_war_great_scale.webp</t>
  </si>
  <si>
    <t>Scale Great War Hammer</t>
  </si>
  <si>
    <t>modules/a-knights-dream/Item/equip_weapon_hammer_war_great_scale.webp</t>
  </si>
  <si>
    <t>Scale Great War Pick</t>
  </si>
  <si>
    <t>modules/a-knights-dream/Item/equip_weapon_pick_war_great_scale.webp</t>
  </si>
  <si>
    <t>Scale Guisarme</t>
  </si>
  <si>
    <t>modules/a-knights-dream/Item/equip_weapon_guisarme_scale.webp</t>
  </si>
  <si>
    <t>Scale Halberd</t>
  </si>
  <si>
    <t>modules/a-knights-dream/Item/equip_weapon_halberd_scale.webp</t>
  </si>
  <si>
    <t>Scale Hand Crossbow</t>
  </si>
  <si>
    <t>modules/a-knights-dream/Item/equip_weapon_crossbow_hand_scale.webp</t>
  </si>
  <si>
    <t>Scale Hand axe</t>
  </si>
  <si>
    <t>modules/a-knights-dream/Item/equip_weapon_axe_hand_scale.webp</t>
  </si>
  <si>
    <t>Scale Heavy Crossbow</t>
  </si>
  <si>
    <t>modules/a-knights-dream/Item/equip_weapon_crossbow_heavy_scale.webp</t>
  </si>
  <si>
    <t>Scale Hunting Trap</t>
  </si>
  <si>
    <t>modules/a-knights-dream/Item/equip_weapon_trap_hunting_scale.webp</t>
  </si>
  <si>
    <t>Scale Hunting Trap (Large)</t>
  </si>
  <si>
    <t>modules/a-knights-dream/Item/equip_weapon_trap_hunting_large_scale.webp</t>
  </si>
  <si>
    <t>Scale Hunting Trap (Small)</t>
  </si>
  <si>
    <t>modules/a-knights-dream/Item/equip_weapon_trap_hunting_small_scale.webp</t>
  </si>
  <si>
    <t>Scale Javelin</t>
  </si>
  <si>
    <t>modules/a-knights-dream/Item/equip_weapon_javelin_scale.webp</t>
  </si>
  <si>
    <t>Scale Khpesh</t>
  </si>
  <si>
    <t>modules/a-knights-dream/Item/equip_weapon_khpesh_scale.webp</t>
  </si>
  <si>
    <t>Scale Khyber</t>
  </si>
  <si>
    <t>modules/a-knights-dream/Item/equip_weapon_khyber_scale.webp</t>
  </si>
  <si>
    <t>Scale Konda</t>
  </si>
  <si>
    <t>modules/a-knights-dream/Item/equip_weapon_konda_scale.webp</t>
  </si>
  <si>
    <t>Scale Labrys</t>
  </si>
  <si>
    <t>modules/a-knights-dream/Item/equip_weapon_axe_labrys_scale.webp</t>
  </si>
  <si>
    <t>Scale Lance</t>
  </si>
  <si>
    <t>modules/a-knights-dream/Item/equip_weapon_lance_scale.webp</t>
  </si>
  <si>
    <t>Scale Light Crossbow</t>
  </si>
  <si>
    <t>modules/a-knights-dream/Item/equip_weapon_crossbow_light_scale.webp</t>
  </si>
  <si>
    <t>Scale Long Bow</t>
  </si>
  <si>
    <t>modules/a-knights-dream/Item/equip_weapon_bow_long_scale.webp</t>
  </si>
  <si>
    <t>Scale Long Spear</t>
  </si>
  <si>
    <t>modules/a-knights-dream/Item/equip_weapon_spear_long_scale.webp</t>
  </si>
  <si>
    <t>Scale Lucerince Hammer</t>
  </si>
  <si>
    <t>modules/a-knights-dream/Item/equip_weapon_hammer_lucerince_scale.webp</t>
  </si>
  <si>
    <t>Scale Mace</t>
  </si>
  <si>
    <t>modules/a-knights-dream/Item/equip_weapon_mace_scale.webp</t>
  </si>
  <si>
    <t>Scale Morningstar</t>
  </si>
  <si>
    <t>modules/a-knights-dream/Item/equip_weapon_morningstar_scale.webp</t>
  </si>
  <si>
    <t>Scale Pike</t>
  </si>
  <si>
    <t>modules/a-knights-dream/Item/equip_weapon_pike_scale.webp</t>
  </si>
  <si>
    <t>Scale Quarter Staff</t>
  </si>
  <si>
    <t>modules/a-knights-dream/Item/equip_weapon_staff_quarter_scale.webp</t>
  </si>
  <si>
    <t>Scale Ranseur</t>
  </si>
  <si>
    <t>modules/a-knights-dream/Item/equip_weapon_ranseur_scale.webp</t>
  </si>
  <si>
    <t>Scale Rapier</t>
  </si>
  <si>
    <t>modules/a-knights-dream/Item/equip_weapon_rapier_scale.webp</t>
  </si>
  <si>
    <t>Scale Recurve Bow</t>
  </si>
  <si>
    <t>modules/a-knights-dream/Item/equip_weapon_bow_recurve_scale.webp</t>
  </si>
  <si>
    <t>Scale Repeater Crossbow</t>
  </si>
  <si>
    <t>modules/a-knights-dream/Item/equip_weapon_crossbow_repeater_scale.webp</t>
  </si>
  <si>
    <t>Scale Sabre</t>
  </si>
  <si>
    <t>modules/a-knights-dream/Item/equip_weapon_sabre_scale.webp</t>
  </si>
  <si>
    <t>Scale Scimitar</t>
  </si>
  <si>
    <t>modules/a-knights-dream/Item/equip_weapon_scimitar_scale.webp</t>
  </si>
  <si>
    <t>Scale Scythe</t>
  </si>
  <si>
    <t>modules/a-knights-dream/Item/equip_weapon_scythe_scale.webp</t>
  </si>
  <si>
    <t>Scale Short Bow</t>
  </si>
  <si>
    <t>modules/a-knights-dream/Item/equip_weapon_bow_short_scale.webp</t>
  </si>
  <si>
    <t>Scale Short Spear</t>
  </si>
  <si>
    <t>modules/a-knights-dream/Item/equip_weapon_spear_short_scale.webp</t>
  </si>
  <si>
    <t>Scale Short Sword</t>
  </si>
  <si>
    <t>modules/a-knights-dream/Item/equip_weapon_sword_short_scale.webp</t>
  </si>
  <si>
    <t>Scale Shotel</t>
  </si>
  <si>
    <t>modules/a-knights-dream/Item/equip_weapon_shotel_scale.webp</t>
  </si>
  <si>
    <t>Scale Sickle</t>
  </si>
  <si>
    <t>modules/a-knights-dream/Item/equip_weapon_sickle_scale.webp</t>
  </si>
  <si>
    <t>Scale Sling</t>
  </si>
  <si>
    <t>modules/a-knights-dream/Item/equip_weapon_sling_scale.webp</t>
  </si>
  <si>
    <t>Scale Staff</t>
  </si>
  <si>
    <t>modules/a-knights-dream/Item/equip_weapon_staff_scale.webp</t>
  </si>
  <si>
    <t>Scale Staff Sling</t>
  </si>
  <si>
    <t>modules/a-knights-dream/Item/equip_weapon_sling_staff_scale.webp</t>
  </si>
  <si>
    <t>Scale Sword</t>
  </si>
  <si>
    <t>modules/a-knights-dream/Item/equip_weapon_sword_scale.webp</t>
  </si>
  <si>
    <t>Scale Tapal</t>
  </si>
  <si>
    <t>modules/a-knights-dream/Item/equip_weapon_tapal_scale.webp</t>
  </si>
  <si>
    <t>Scale Trident</t>
  </si>
  <si>
    <t>modules/a-knights-dream/Item/equip_weapon_trident_scale.webp</t>
  </si>
  <si>
    <t>Scale War Hammer</t>
  </si>
  <si>
    <t>modules/a-knights-dream/Item/equip_weapon_hammer_war_scale.webp</t>
  </si>
  <si>
    <t>Scale War Pick</t>
  </si>
  <si>
    <t>modules/a-knights-dream/Item/equip_weapon_pick_war_scale.webp</t>
  </si>
  <si>
    <t>Scale Brigantine Cuirass</t>
  </si>
  <si>
    <t>modules/a-knights-dream/Item/equip_armor_brigantine_cuirass_scale.webp</t>
  </si>
  <si>
    <t>Scale Brigantine Gauntlets</t>
  </si>
  <si>
    <t>modules/a-knights-dream/Item/equip_armor_brigantine_gauntlets_scale.webp</t>
  </si>
  <si>
    <t>Scale Brigantine Greaves</t>
  </si>
  <si>
    <t>modules/a-knights-dream/Item/equip_armor_brigantine_greaves_scale.webp</t>
  </si>
  <si>
    <t>Scale Brigantine Helmet</t>
  </si>
  <si>
    <t>modules/a-knights-dream/Item/equip_armor_brigantine_helmet_scale.webp</t>
  </si>
  <si>
    <t>Scale Brigantine Pauldron</t>
  </si>
  <si>
    <t>modules/a-knights-dream/Item/equip_armor_brigantine_pauldron_scale.webp</t>
  </si>
  <si>
    <t>Scale Chainmail Cuirass</t>
  </si>
  <si>
    <t>modules/a-knights-dream/Item/equip_armor_chainmail_cuirass_scale.webp</t>
  </si>
  <si>
    <t>Scale Chainmail Gauntlets</t>
  </si>
  <si>
    <t>modules/a-knights-dream/Item/equip_armor_chainmail_gauntlets_scale.webp</t>
  </si>
  <si>
    <t>Scale Chainmail Greaves</t>
  </si>
  <si>
    <t>modules/a-knights-dream/Item/equip_armor_chainmail_greaves_scale.webp</t>
  </si>
  <si>
    <t>Scale Chainmail Helmet</t>
  </si>
  <si>
    <t>modules/a-knights-dream/Item/equip_armor_chainmail_helmet_scale.webp</t>
  </si>
  <si>
    <t>Scale Chainmail Pauldron</t>
  </si>
  <si>
    <t>modules/a-knights-dream/Item/equip_armor_chainmail_pauldron_scale.webp</t>
  </si>
  <si>
    <t>Scale Gamberson Cuirass</t>
  </si>
  <si>
    <t>modules/a-knights-dream/Item/equip_armor_gamberson_cuirass_scale.webp</t>
  </si>
  <si>
    <t>Scale Gamberson Gauntlets</t>
  </si>
  <si>
    <t>modules/a-knights-dream/Item/equip_armor_gamberson_gauntlets_scale.webp</t>
  </si>
  <si>
    <t>Scale Gamberson Greaves</t>
  </si>
  <si>
    <t>modules/a-knights-dream/Item/equip_armor_gamberson_greaves_scale.webp</t>
  </si>
  <si>
    <t>Scale Gamberson Helmet</t>
  </si>
  <si>
    <t>modules/a-knights-dream/Item/equip_armor_gamberson_helmet_scale.webp</t>
  </si>
  <si>
    <t>Scale Gamberson Pauldron</t>
  </si>
  <si>
    <t>modules/a-knights-dream/Item/equip_armor_gamberson_pauldron_scale.webp</t>
  </si>
  <si>
    <t>Scale Hauberk Cuirass</t>
  </si>
  <si>
    <t>modules/a-knights-dream/Item/equip_armor_hauberk_cuirass_scale.webp</t>
  </si>
  <si>
    <t>Scale Hauberk Gauntlets</t>
  </si>
  <si>
    <t>modules/a-knights-dream/Item/equip_armor_hauberk_gauntlets_scale.webp</t>
  </si>
  <si>
    <t>Scale Hauberk Greaves</t>
  </si>
  <si>
    <t>modules/a-knights-dream/Item/equip_armor_hauberk_greaves_scale.webp</t>
  </si>
  <si>
    <t>Scale Hauberk Helmet</t>
  </si>
  <si>
    <t>modules/a-knights-dream/Item/equip_armor_hauberk_helmet_scale.webp</t>
  </si>
  <si>
    <t>Scale Hauberk Pauldron</t>
  </si>
  <si>
    <t>modules/a-knights-dream/Item/equip_armor_hauberk_pauldron_scale.webp</t>
  </si>
  <si>
    <t>Scale Jack Cuirass</t>
  </si>
  <si>
    <t>modules/a-knights-dream/Item/equip_armor_jack_cuirass_scale.webp</t>
  </si>
  <si>
    <t>Scale Jack Gauntlets</t>
  </si>
  <si>
    <t>modules/a-knights-dream/Item/equip_armor_jack_gauntlets_scale.webp</t>
  </si>
  <si>
    <t>Scale Jack Greaves</t>
  </si>
  <si>
    <t>modules/a-knights-dream/Item/equip_armor_jack_greaves_scale.webp</t>
  </si>
  <si>
    <t>Scale Jack Helmet</t>
  </si>
  <si>
    <t>modules/a-knights-dream/Item/equip_armor_jack_helmet_scale.webp</t>
  </si>
  <si>
    <t>Scale Jack Pauldron</t>
  </si>
  <si>
    <t>modules/a-knights-dream/Item/equip_armor_jack_pauldron_scale.webp</t>
  </si>
  <si>
    <t>Scale Lamellar Cuirass</t>
  </si>
  <si>
    <t>modules/a-knights-dream/Item/equip_armor_lamellar_cuirass_scale.webp</t>
  </si>
  <si>
    <t>Scale Lamellar Gauntlets</t>
  </si>
  <si>
    <t>modules/a-knights-dream/Item/equip_armor_lamellar_gauntlets_scale.webp</t>
  </si>
  <si>
    <t>Scale Lamellar Greaves</t>
  </si>
  <si>
    <t>modules/a-knights-dream/Item/equip_armor_lamellar_greaves_scale.webp</t>
  </si>
  <si>
    <t>Scale Lamellar Helmet</t>
  </si>
  <si>
    <t>modules/a-knights-dream/Item/equip_armor_lamellar_helmet_scale.webp</t>
  </si>
  <si>
    <t>Scale Lamellar Pauldron</t>
  </si>
  <si>
    <t>modules/a-knights-dream/Item/equip_armor_lamellar_pauldron_scale.webp</t>
  </si>
  <si>
    <t>Scale Platemail Cuirass</t>
  </si>
  <si>
    <t>modules/a-knights-dream/Item/equip_armor_platemail_cuirass_scale.webp</t>
  </si>
  <si>
    <t>Scale Platemail Gauntlets</t>
  </si>
  <si>
    <t>modules/a-knights-dream/Item/equip_armor_platemail_gauntlets_scale.webp</t>
  </si>
  <si>
    <t>Scale Platemail Greaves</t>
  </si>
  <si>
    <t>modules/a-knights-dream/Item/equip_armor_platemail_greaves_scale.webp</t>
  </si>
  <si>
    <t>Scale Platemail Helmet</t>
  </si>
  <si>
    <t>modules/a-knights-dream/Item/equip_armor_platemail_helmet_scale.webp</t>
  </si>
  <si>
    <t>Scale Platemail Pauldron</t>
  </si>
  <si>
    <t>modules/a-knights-dream/Item/equip_armor_platemail_pauldron_scale.webp</t>
  </si>
  <si>
    <t xml:space="preserve"> </t>
  </si>
  <si>
    <t>Scale Tunic Cuirass</t>
  </si>
  <si>
    <t>modules/a-knights-dream/Item/equip_armor_tunic_cuirass_scale.webp</t>
  </si>
  <si>
    <t>Scale Tunic Gauntlets</t>
  </si>
  <si>
    <t>modules/a-knights-dream/Item/equip_armor_tunic_gauntlets_scale.webp</t>
  </si>
  <si>
    <t>Scale Tunic Greaves</t>
  </si>
  <si>
    <t>modules/a-knights-dream/Item/equip_armor_tunic_greaves_scale.webp</t>
  </si>
  <si>
    <t>Scale Tunic Helmet</t>
  </si>
  <si>
    <t>modules/a-knights-dream/Item/equip_armor_tunic_helmet_scale.webp</t>
  </si>
  <si>
    <t>Scale Tunic Pauldron</t>
  </si>
  <si>
    <t>modules/a-knights-dream/Item/equip_armor_tunic_pauldron_scale.webp</t>
  </si>
  <si>
    <t>Scale Buckler Shield</t>
  </si>
  <si>
    <t>modules/a-knights-dream/Item/equip_armor_shield_buckler_scale.webp</t>
  </si>
  <si>
    <t>Scale Heater Shield</t>
  </si>
  <si>
    <t>modules/a-knights-dream/Item/equip_armor_shield_heater_scale.webp</t>
  </si>
  <si>
    <t>Scale Kite Shield</t>
  </si>
  <si>
    <t>modules/a-knights-dream/Item/equip_armor_shield_kite_scale.webp</t>
  </si>
  <si>
    <t>Scale Oval Shield</t>
  </si>
  <si>
    <t>modules/a-knights-dream/Item/equip_armor_shield_oval_scale.webp</t>
  </si>
  <si>
    <t>Scale Round Shield</t>
  </si>
  <si>
    <t>modules/a-knights-dream/Item/equip_armor_shield_round_scale.webp</t>
  </si>
  <si>
    <t>Scale Tower Shield</t>
  </si>
  <si>
    <t>modules/a-knights-dream/Item/equip_armor_shield_tower_scale.webp</t>
  </si>
  <si>
    <t>Ingot</t>
  </si>
  <si>
    <t>Heaviest Item</t>
  </si>
  <si>
    <t>Lightest Item</t>
  </si>
  <si>
    <t>Heaviest Name</t>
  </si>
  <si>
    <t>Lightest Name</t>
  </si>
  <si>
    <t>Armor LBs</t>
  </si>
  <si>
    <t>LBs Avg</t>
  </si>
  <si>
    <t>Weapon LBs</t>
  </si>
  <si>
    <t>Column1</t>
  </si>
  <si>
    <t>Lightest Material</t>
  </si>
  <si>
    <t>Min Ingot</t>
  </si>
  <si>
    <t>Heaviest Material</t>
  </si>
  <si>
    <t>Max Ingot</t>
  </si>
  <si>
    <t># Materials</t>
  </si>
  <si>
    <t>0.25 – 0.52</t>
  </si>
  <si>
    <t>0.42 – 0.97</t>
  </si>
  <si>
    <t>0.79 – 1.82</t>
  </si>
  <si>
    <t>1.49 – 3.42</t>
  </si>
  <si>
    <t>2.79 – 6.40</t>
  </si>
  <si>
    <t>5.22 – 11.98</t>
  </si>
  <si>
    <t>9.78 – 20.00</t>
  </si>
  <si>
    <t>Normal POE Weight</t>
  </si>
  <si>
    <t xml:space="preserve">POE: Material Rarity Calc  </t>
  </si>
  <si>
    <t xml:space="preserve">POE: Upper Rarity Calc  </t>
  </si>
  <si>
    <t xml:space="preserve">POE: Lower Rarity Calc  </t>
  </si>
  <si>
    <t xml:space="preserve">POE: Feywild Rarity Calc  </t>
  </si>
  <si>
    <t xml:space="preserve">POE: Shadowfell Rarity Calc  </t>
  </si>
  <si>
    <t>Home Plane Rarity</t>
  </si>
  <si>
    <t xml:space="preserve">POE: Underdark Rarity Calc  </t>
  </si>
  <si>
    <t>Table</t>
  </si>
  <si>
    <t>Craft</t>
  </si>
  <si>
    <t>Table Overview</t>
  </si>
  <si>
    <t>Feywild</t>
  </si>
  <si>
    <t>Upper</t>
  </si>
  <si>
    <t>Lower</t>
  </si>
  <si>
    <t>POE Count</t>
  </si>
  <si>
    <t>Shimmer</t>
  </si>
  <si>
    <t>Ring</t>
  </si>
  <si>
    <t>Adamant</t>
  </si>
  <si>
    <t>Arambarium</t>
  </si>
  <si>
    <t>Arjale</t>
  </si>
  <si>
    <t>green</t>
  </si>
  <si>
    <t>steel</t>
  </si>
  <si>
    <t>Barium</t>
  </si>
  <si>
    <t>Brass</t>
  </si>
  <si>
    <t>Celestial</t>
  </si>
  <si>
    <t>Chromium</t>
  </si>
  <si>
    <t>Cobalt</t>
  </si>
  <si>
    <t>Dajavva</t>
  </si>
  <si>
    <t>Darksteel</t>
  </si>
  <si>
    <t>Dlarun</t>
  </si>
  <si>
    <t>Electrum</t>
  </si>
  <si>
    <t>Elven</t>
  </si>
  <si>
    <t>Favored</t>
  </si>
  <si>
    <t>mineral</t>
  </si>
  <si>
    <t>Hellthorn</t>
  </si>
  <si>
    <t>Lead</t>
  </si>
  <si>
    <t>Lithium</t>
  </si>
  <si>
    <t>Magnesium</t>
  </si>
  <si>
    <t>Manganese</t>
  </si>
  <si>
    <t>Mercury</t>
  </si>
  <si>
    <t>Mithral</t>
  </si>
  <si>
    <t>Molybdenum</t>
  </si>
  <si>
    <t>Nickel</t>
  </si>
  <si>
    <t>Orcslayer</t>
  </si>
  <si>
    <t>Palladium</t>
  </si>
  <si>
    <t>Pewter</t>
  </si>
  <si>
    <t>Pyrohydram</t>
  </si>
  <si>
    <t>Slag</t>
  </si>
  <si>
    <t>Solanian</t>
  </si>
  <si>
    <t>truesteel</t>
  </si>
  <si>
    <t>Star</t>
  </si>
  <si>
    <t>metal</t>
  </si>
  <si>
    <t>Tantulhor</t>
  </si>
  <si>
    <t>Telstang</t>
  </si>
  <si>
    <t>Titanium</t>
  </si>
  <si>
    <t>Titansteel</t>
  </si>
  <si>
    <t>Whitesteel</t>
  </si>
  <si>
    <t>Wootz</t>
  </si>
  <si>
    <t>Zardazil</t>
  </si>
  <si>
    <t>Zinc</t>
  </si>
  <si>
    <t>Zirconium</t>
  </si>
  <si>
    <t>Home POE</t>
  </si>
  <si>
    <t>Effect</t>
  </si>
  <si>
    <t>Common Trade POE's</t>
  </si>
  <si>
    <t>Feywild, Shadowfell</t>
  </si>
  <si>
    <t>Feywild, Upper</t>
  </si>
  <si>
    <t>Home Rarity</t>
  </si>
  <si>
    <t>Frostfell, Cania, Stygia, Layer of Agathys</t>
  </si>
  <si>
    <t>All</t>
  </si>
  <si>
    <t>Nine Hells</t>
  </si>
  <si>
    <t>grants sonic resistance. MoF</t>
  </si>
  <si>
    <t>effective against incorporeal attacks as if made of force, only a breastplate, shield, or heavy armor can be made from this material. PH</t>
  </si>
  <si>
    <t>restores itself if sundered. BoED</t>
  </si>
  <si>
    <t>reduces ASF. A&amp;EG</t>
  </si>
  <si>
    <t>Blueice: reduces armor category, ACP, and ASF (for cold spells) and increases MDB. FB</t>
  </si>
  <si>
    <t>1 less AC bonus compared to normal steel armors. Dragon Magazine 319 p 40</t>
  </si>
  <si>
    <t>Bronzewood reduces weight, doesn't affect hide in woodlands. A&amp;EG</t>
  </si>
  <si>
    <t>replaces metal, increases MDB. RotD</t>
  </si>
  <si>
    <t>grants cold resistance. MoF</t>
  </si>
  <si>
    <t>grants a +1 resistance bonus to saves. PGtE</t>
  </si>
  <si>
    <t>reduces ASF, ACP, armor category and increases MDB. A&amp;EG</t>
  </si>
  <si>
    <t>grants acid resistance. MoF</t>
  </si>
  <si>
    <t>Darkwood</t>
  </si>
  <si>
    <t>reduces weight and ACP (shields only).</t>
  </si>
  <si>
    <t>grants fire resistance. MoF</t>
  </si>
  <si>
    <t>reduces armor category, ASF and ACP, increases MDB. MoF</t>
  </si>
  <si>
    <t>increases ACP, does not apply ACP to swim. A&amp;EG</t>
  </si>
  <si>
    <t>-2 attack and damage (min 1), hardness 6, 10 hp/inch, weighs half as much. Dragon 319</t>
  </si>
  <si>
    <t>deals bonus damage with bludgeoning weapons, bypasses the DR of daelkyr. ECS</t>
  </si>
  <si>
    <t>20 hp/inch, hardness 8, used to make special talismans. Dragon 315</t>
  </si>
  <si>
    <t>replaces metal (Deep Crystal: deals bonus damage by channeling power points). EXH</t>
  </si>
  <si>
    <t>Elven Darkleaf: reduces ASF, ACP, armor category and increases MDB. A&amp;EG</t>
  </si>
  <si>
    <t>Fever Iron: deals bonus fire damage. MoF</t>
  </si>
  <si>
    <t>Glassteel: armor — reduces armor category, ACP and ASF, increases MDB; weapon — makes hidden weapons harder to spot; stronger and lighter than iron. RoF (nerfed in CoV)</t>
  </si>
  <si>
    <t>Alchemical Gold: armor — grants fire/acid resistance, increases armor category, ACP &amp; ASF, decreases MDB; weapon — increases damage dice. MoF</t>
  </si>
  <si>
    <t>deals bonus electricity damage (Underdark update: +1 fire &amp; +1 electric for weapons, cold resistance 2 for armor; counts as silver). MoF/Underdark</t>
  </si>
  <si>
    <t>weapon — crit becomes x4 for slashing/piercing (Exotic Weapon), no effect on other items; armor — protects wearer from effects of the Material Plane. FF</t>
  </si>
  <si>
    <t>Elven Leafweave: reduces ASF and ACP, increases MDB, cannot replace metal armors. A&amp;EG</t>
  </si>
  <si>
    <t>armor — weighs half as much, counts as one category lighter, -10% ASF, +2 MDB, -3 ACP; counts as silver for DR. DMG</t>
  </si>
  <si>
    <t>(Mithril/Mithral) armor — weighs half as much, counts as one category lighter, -10% ASF, +2 MDB, -3 ACP; counts as silver for DR. DMG</t>
  </si>
  <si>
    <t>Purple Mournlode: armor — resistance bonus vs spells/SLA/Su of undead, damages undead used as holy symbol; weapon — overcomes undead DR as silver/cold iron. MoE</t>
  </si>
  <si>
    <t>Blood Obsidian: +1 natural enhancement bonus on damage, hardness 12, 30 hp/inch. Dragon 319</t>
  </si>
  <si>
    <t>Oerthblood: must be alloyed into a primarily metallic item; armor — grants DR and luck bonus to saves vs magic; weapon — +1 luck bonus on attack &amp; damage, applies penalty if hit. Dragon 351</t>
  </si>
  <si>
    <t>Alchemical Platinum: armor — grants cold/sonic resistance, increases armor category, ACP &amp; ASF, decreases MDB; weapon — increases damage dice. MoF</t>
  </si>
  <si>
    <t>replicates mithral, required to craft emotional armor (Calming, Dreadful, Vengeful). SoS</t>
  </si>
  <si>
    <t>Silk Armor: used for light armor, non-masterwork can be enchanted, takes half the time to add enhancements. Dragon 298</t>
  </si>
  <si>
    <t>Alchemical Silver: bypasses /silver DR, -1 to weapon damage rolls (min 1). DMG</t>
  </si>
  <si>
    <t>Solanian/Solarian Truesteel: +1 bonus to confirm critical hits. BoED</t>
  </si>
  <si>
    <t>Starmetal: replicates adamantine and deals extra damage to extraplanar creatures. CW</t>
  </si>
  <si>
    <t>Stygian Ice: chance to break when dealing damage, deals bonus cold damage, chance to deal WIS damage on hit. FB</t>
  </si>
  <si>
    <t>Susalian Chainweave: grants damage reduction /piercing. CM</t>
  </si>
  <si>
    <t>armor renders the wearer incapable of/immune to shapechanging (e.g. polymorph); priced as mithral. MoF/FR</t>
  </si>
  <si>
    <t>used for padded armor, grants a bonus to Hide checks in shadowy/dark areas. RotW</t>
  </si>
  <si>
    <t>Solarian Truesteel: +1 bonus to confirm critical hits. BoED</t>
  </si>
  <si>
    <t>Ysgardian Heartwire: increases AC vs critical confirms. A&amp;EG</t>
  </si>
  <si>
    <t>weapons made of this are blood-bonded to a single person, gain 'body phase' (intangible to the wielder). MoF/FR</t>
  </si>
  <si>
    <t>x1.5 heavier than steel (no further effect listed in the index). A&amp;EG</t>
  </si>
  <si>
    <t>(best-guess match: Cold Iron) bypasses /cold iron damage reduction. DMG</t>
  </si>
  <si>
    <t>(best-guess match: Wildwood) reduces AC bonus, ACP and ASF, increases MDB; no ACP when hiding in undergrowth; heals itself in water or sunlight. RotW</t>
  </si>
  <si>
    <t>Material (Khorvaire)</t>
  </si>
  <si>
    <t>Outer</t>
  </si>
  <si>
    <t>Limbo, Pandemonium</t>
  </si>
  <si>
    <t>Stygia (native), Nine Hells (trade)</t>
  </si>
  <si>
    <t>—</t>
  </si>
  <si>
    <t>Material (Underdark mines)</t>
  </si>
  <si>
    <t>Material (Faerûn Underdark)</t>
  </si>
  <si>
    <t>Material (Faerûn)</t>
  </si>
  <si>
    <t>Astral</t>
  </si>
  <si>
    <t>Far Realm</t>
  </si>
  <si>
    <t>Material (rare)</t>
  </si>
  <si>
    <t>Material (Oerth/Greyhawk)</t>
  </si>
  <si>
    <t>Material (Sarlona)</t>
  </si>
  <si>
    <t>Material (meteorites)</t>
  </si>
  <si>
    <t>Material (Cormyr)</t>
  </si>
  <si>
    <t>Underdark, Material</t>
  </si>
  <si>
    <t>Feywild, Material (Faerûn)</t>
  </si>
  <si>
    <t>Material (rare salvage)</t>
  </si>
  <si>
    <t>Material (volcanic regions)</t>
  </si>
  <si>
    <t>Material (rare incursions)</t>
  </si>
  <si>
    <t>Material (Eberron, Mournland)</t>
  </si>
  <si>
    <t>Material (volcanic, dragon lairs)</t>
  </si>
  <si>
    <t>Ysgard, Material</t>
  </si>
  <si>
    <t>Material (other setting)</t>
  </si>
  <si>
    <t>Mandalore (Star Wars)</t>
  </si>
  <si>
    <t>Morrowind (Elder Scrolls)</t>
  </si>
  <si>
    <t>Material (very rare)</t>
  </si>
  <si>
    <t>— (legendary/Atlantean)</t>
  </si>
  <si>
    <t>Material (woodlands)</t>
  </si>
  <si>
    <t>grants crit damage reduction. DMG</t>
  </si>
  <si>
    <t>Material/Shadow seam</t>
  </si>
  <si>
    <t>Umbral Ore: weapons/items slowly evaporate into black dust under sunlight as positive energy unravels the crystalline structure; usable only in darkness or kept covered. Homebrew</t>
  </si>
  <si>
    <t>Underdark, Shadowfell (surface trade only in sealed/shielded containers)</t>
  </si>
  <si>
    <t>enhancement bonus to damage. A&amp;EG</t>
  </si>
  <si>
    <t>Amaratha</t>
  </si>
  <si>
    <t>Beljuril</t>
  </si>
  <si>
    <t>Black Opal</t>
  </si>
  <si>
    <t>Black Sapphire</t>
  </si>
  <si>
    <t>Diamond</t>
  </si>
  <si>
    <t>Emerald</t>
  </si>
  <si>
    <t>Fire Opal</t>
  </si>
  <si>
    <t>Jacinth</t>
  </si>
  <si>
    <t>Jasmal</t>
  </si>
  <si>
    <t>King's Tear</t>
  </si>
  <si>
    <t>Moonbar</t>
  </si>
  <si>
    <t>Opal</t>
  </si>
  <si>
    <t>Orblen</t>
  </si>
  <si>
    <t>Orl</t>
  </si>
  <si>
    <t>Ravenar</t>
  </si>
  <si>
    <t>Red Tear</t>
  </si>
  <si>
    <t>Rogue Stone</t>
  </si>
  <si>
    <t>Ruby</t>
  </si>
  <si>
    <t>Sapphire</t>
  </si>
  <si>
    <t>Star Ruby</t>
  </si>
  <si>
    <t>Star Sapphire</t>
  </si>
  <si>
    <t>Tomb Jade</t>
  </si>
  <si>
    <t>Water Opal</t>
  </si>
  <si>
    <t>Zendalure</t>
  </si>
  <si>
    <t>Gem</t>
  </si>
  <si>
    <t>increases CL for energy resist spells. MoF</t>
  </si>
  <si>
    <t>electricity descriptors. MoF</t>
  </si>
  <si>
    <t>force descriptors. MoF</t>
  </si>
  <si>
    <t>darkness descriptors. MoF</t>
  </si>
  <si>
    <t>increases CL for healing spells. MoF</t>
  </si>
  <si>
    <t>enchantments. MoF</t>
  </si>
  <si>
    <t>fire descriptors. MoF</t>
  </si>
  <si>
    <t>increases CL for spells that provide enhancements to armaments. MoF</t>
  </si>
  <si>
    <t>divinations. MoF</t>
  </si>
  <si>
    <t>conjuration (calling) spells. MoF</t>
  </si>
  <si>
    <t>enchantment (charm) spells. MoF</t>
  </si>
  <si>
    <t>conjuration (creation) spells. MoF</t>
  </si>
  <si>
    <t>chaotic descriptors and spells that provide luck bonuses. MoF</t>
  </si>
  <si>
    <t>sonic descriptor. MoF</t>
  </si>
  <si>
    <t>transmutation. MoF</t>
  </si>
  <si>
    <t>teleportation and chaotic. MoF</t>
  </si>
  <si>
    <t>evocation. MoF</t>
  </si>
  <si>
    <t>conjuration (summoning). MoF</t>
  </si>
  <si>
    <t>illusion. MoF</t>
  </si>
  <si>
    <t>abjuration. MoF</t>
  </si>
  <si>
    <t>enchantment (compulsion). MoF</t>
  </si>
  <si>
    <t>divination. MoF</t>
  </si>
  <si>
    <t>necromancy. MoF</t>
  </si>
  <si>
    <t>Rarity Tier Reference</t>
  </si>
  <si>
    <t>#</t>
  </si>
  <si>
    <t>Tier</t>
  </si>
  <si>
    <t>Level Rec</t>
  </si>
  <si>
    <t>Description</t>
  </si>
  <si>
    <t>Value</t>
  </si>
  <si>
    <t>Mundane</t>
  </si>
  <si>
    <t>Non-magical, ordinary equipment.</t>
  </si>
  <si>
    <t>Standard cost</t>
  </si>
  <si>
    <t>Common</t>
  </si>
  <si>
    <t>1st+</t>
  </si>
  <si>
    <t>Basic magic items, trinkets, potions of healing, and minor utility gear.</t>
  </si>
  <si>
    <t>100 – 500 gp</t>
  </si>
  <si>
    <t>Uncommon</t>
  </si>
  <si>
    <t>Items that provide noticeable benefits, such as a +1 weapon, Bag of Holding, or specific resistance-granting armors.</t>
  </si>
  <si>
    <t>101 – 500 gp</t>
  </si>
  <si>
    <t>Rare</t>
  </si>
  <si>
    <t>5th+</t>
  </si>
  <si>
    <t>Significant upgrades, such as a +2 weapon, Fly potions, or stat-boosting items like Belt of Giant Strength.</t>
  </si>
  <si>
    <t>501 – 5,000 gp</t>
  </si>
  <si>
    <t>Very Rare</t>
  </si>
  <si>
    <t>11th+</t>
  </si>
  <si>
    <t>Highly powerful equipment that can alter the tide of combat, such as +3 weapons or high-level spell scrolls.</t>
  </si>
  <si>
    <t>5,001 – 50,000 gp</t>
  </si>
  <si>
    <t>Legendary</t>
  </si>
  <si>
    <t>17th+</t>
  </si>
  <si>
    <t>World-shaking items, powerful artifacts, and unique equipment reserved for top-tier adventurers.</t>
  </si>
  <si>
    <t>50,001+ gp</t>
  </si>
  <si>
    <t>Artifact</t>
  </si>
  <si>
    <t>20th</t>
  </si>
  <si>
    <t>Unique, one-of-a-kind relics of immense power (often with their own personalities or corrupting effects) that drive major campaign narratives.</t>
  </si>
  <si>
    <t>Priceless</t>
  </si>
  <si>
    <t>Source Book Abbreviations</t>
  </si>
  <si>
    <t>Abbrev.</t>
  </si>
  <si>
    <t>Source</t>
  </si>
  <si>
    <t>DMG</t>
  </si>
  <si>
    <t>Dungeon Master's Guide (3.5e core)</t>
  </si>
  <si>
    <t>PH</t>
  </si>
  <si>
    <t>Planar Handbook</t>
  </si>
  <si>
    <t>MoF</t>
  </si>
  <si>
    <t>Magic of Faerûn</t>
  </si>
  <si>
    <t>RoF</t>
  </si>
  <si>
    <t>Races of Faerûn</t>
  </si>
  <si>
    <t>FB</t>
  </si>
  <si>
    <t>Frostburn</t>
  </si>
  <si>
    <t>A&amp;EG</t>
  </si>
  <si>
    <t>Arms and Equipment Guide</t>
  </si>
  <si>
    <t>BoED</t>
  </si>
  <si>
    <t>Book of Exalted Deeds</t>
  </si>
  <si>
    <t>ECS</t>
  </si>
  <si>
    <t>Eberron Campaign Setting</t>
  </si>
  <si>
    <t>PGtE</t>
  </si>
  <si>
    <t>Player's Guide to Eberron</t>
  </si>
  <si>
    <t>MoE</t>
  </si>
  <si>
    <t>Magic of Eberron</t>
  </si>
  <si>
    <t>SoS</t>
  </si>
  <si>
    <t>Secrets of Sarlona</t>
  </si>
  <si>
    <t>CoV</t>
  </si>
  <si>
    <t>Champions of Valor</t>
  </si>
  <si>
    <t>CW</t>
  </si>
  <si>
    <t>Complete Warrior</t>
  </si>
  <si>
    <t>CAr</t>
  </si>
  <si>
    <t>Complete Arcane</t>
  </si>
  <si>
    <t>CM</t>
  </si>
  <si>
    <t>Complete Mage</t>
  </si>
  <si>
    <t>RotD</t>
  </si>
  <si>
    <t>Races of the Dragon</t>
  </si>
  <si>
    <t>RotW</t>
  </si>
  <si>
    <t>Races of the Wild</t>
  </si>
  <si>
    <t>FF</t>
  </si>
  <si>
    <t>Fiend Folio</t>
  </si>
  <si>
    <t>EXH</t>
  </si>
  <si>
    <t>Expanded Psionics Handbook</t>
  </si>
  <si>
    <t>SW</t>
  </si>
  <si>
    <t>Stormwrack</t>
  </si>
  <si>
    <t>Draconomicon</t>
  </si>
  <si>
    <t>FR</t>
  </si>
  <si>
    <t>Forgotten Realms Campaign Setting</t>
  </si>
  <si>
    <t>Dragon</t>
  </si>
  <si>
    <t>Dragon Magazine (issue cited inline)</t>
  </si>
  <si>
    <t>Game-Term Abbreviations</t>
  </si>
  <si>
    <t>Meaning</t>
  </si>
  <si>
    <t>AC</t>
  </si>
  <si>
    <t>Armor Class</t>
  </si>
  <si>
    <t>ACP</t>
  </si>
  <si>
    <t>Armor Check Penalty</t>
  </si>
  <si>
    <t>ASF</t>
  </si>
  <si>
    <t>Arcane Spell Failure</t>
  </si>
  <si>
    <t>MDB</t>
  </si>
  <si>
    <t>Maximum Dexterity Bonus (armor)</t>
  </si>
  <si>
    <t>DR</t>
  </si>
  <si>
    <t>Damage Reduction</t>
  </si>
  <si>
    <t>CL</t>
  </si>
  <si>
    <t>Caster Level</t>
  </si>
  <si>
    <t>SLA / SL</t>
  </si>
  <si>
    <t>Spell-Like Ability</t>
  </si>
  <si>
    <t>Su</t>
  </si>
  <si>
    <t>Supernatural ability</t>
  </si>
  <si>
    <t>hp</t>
  </si>
  <si>
    <t>hit points</t>
  </si>
  <si>
    <t>gp</t>
  </si>
  <si>
    <t>gold pieces</t>
  </si>
  <si>
    <t>POE</t>
  </si>
  <si>
    <t>Plane Of Existence (this sheet's term)</t>
  </si>
  <si>
    <t>MW</t>
  </si>
  <si>
    <t>Masterwork</t>
  </si>
  <si>
    <t>KD</t>
  </si>
  <si>
    <t>A Knight's Dream</t>
  </si>
  <si>
    <t>Source Book</t>
  </si>
  <si>
    <t/>
  </si>
  <si>
    <t>Dragon Magazine 319</t>
  </si>
  <si>
    <t>Dragon Magazine 319 p 40</t>
  </si>
  <si>
    <t>Dragon Magazine 315</t>
  </si>
  <si>
    <t>Homebrew</t>
  </si>
  <si>
    <t>RoF (nerfed in CoV)</t>
  </si>
  <si>
    <t>MoF/Underdark</t>
  </si>
  <si>
    <t>Dragon Magazine 351</t>
  </si>
  <si>
    <t>Dragon Magazine 298</t>
  </si>
  <si>
    <t>MoF/FR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</si>
</sst>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1"/>
      <name val="Calibri"/>
      <charset val="1"/>
    </font>
    <font>
      <b/>
      <sz val="11"/>
      <color theme="1"/>
      <name val="Calibri"/>
      <family val="2"/>
      <charset val="1"/>
    </font>
    <font>
      <b/>
      <sz val="11"/>
      <color theme="1"/>
      <name val="Calibri"/>
      <family val="2"/>
    </font>
    <font>
      <b/>
      <sz val="11"/>
      <color theme="0"/>
      <name val="Calibri"/>
      <family val="2"/>
    </font>
    <font>
      <b/>
      <sz val="11"/>
      <color theme="0" tint="-0.14999847407452621"/>
      <name val="Calibri"/>
      <family val="2"/>
      <charset val="1"/>
    </font>
    <font>
      <sz val="11"/>
      <color theme="0" tint="-0.14999847407452621"/>
      <name val="Calibri"/>
      <family val="2"/>
      <charset val="1"/>
    </font>
    <font>
      <b/>
      <sz val="11"/>
      <color theme="0" tint="-0.14999847407452621"/>
      <name val="Calibri"/>
      <family val="2"/>
    </font>
    <font>
      <sz val="11"/>
      <name val="Calibri"/>
      <family val="2"/>
      <charset val="1"/>
    </font>
    <font>
      <sz val="11"/>
      <color theme="0"/>
      <name val="Calibri"/>
      <family val="2"/>
      <charset val="1"/>
    </font>
    <font>
      <b/>
      <sz val="11"/>
      <name val="Calibri"/>
      <family val="2"/>
    </font>
    <font>
      <sz val="8"/>
      <name val="Calibri"/>
      <family val="2"/>
      <charset val="1"/>
    </font>
    <font>
      <b/>
      <sz val="11"/>
      <color rgb="FFFFFFFF"/>
      <name val="Calibri"/>
      <family val="2"/>
      <charset val="1"/>
    </font>
    <font>
      <b/>
      <sz val="11"/>
      <color rgb="FFFFFFFF"/>
      <name val="Calibri"/>
    </font>
    <font>
      <sz val="9"/>
      <color indexed="81"/>
      <name val="Tahoma"/>
      <charset val="1"/>
    </font>
    <font>
      <b/>
      <sz val="9"/>
      <color indexed="81"/>
      <name val="Tahoma"/>
      <charset val="1"/>
    </font>
    <font>
      <b/>
      <sz val="13"/>
      <color rgb="FFFFFFFF"/>
      <name val="Calibri"/>
      <family val="2"/>
      <charset val="1"/>
    </font>
  </fonts>
  <fills count="13">
    <fill>
      <patternFill patternType="none"/>
    </fill>
    <fill>
      <patternFill patternType="gray125"/>
    </fill>
    <fill>
      <patternFill patternType="solid">
        <fgColor theme="1" tint="0.14999847407452621"/>
        <bgColor indexed="64"/>
      </patternFill>
    </fill>
    <fill>
      <patternFill patternType="solid">
        <fgColor theme="2" tint="-0.499984740745262"/>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1" tint="0.34998626667073579"/>
        <bgColor indexed="64"/>
      </patternFill>
    </fill>
    <fill>
      <patternFill patternType="solid">
        <fgColor theme="2" tint="-0.749992370372631"/>
        <bgColor indexed="6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2E5266"/>
        <bgColor indexed="64"/>
      </patternFill>
    </fill>
    <fill>
      <patternFill patternType="solid">
        <fgColor rgb="FF4F6D7A"/>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72">
    <xf numFmtId="0" fontId="0" fillId="0" borderId="0" xfId="0"/>
    <xf numFmtId="0" fontId="0" fillId="0" borderId="0" xfId="0" applyAlignment="1">
      <alignment horizontal="center" vertical="center"/>
    </xf>
    <xf numFmtId="0" fontId="1" fillId="0" borderId="0" xfId="0" applyFont="1"/>
    <xf numFmtId="0" fontId="2" fillId="0" borderId="0" xfId="0" applyFont="1" applyAlignment="1">
      <alignment horizontal="center" vertical="center"/>
    </xf>
    <xf numFmtId="1" fontId="0" fillId="0" borderId="0" xfId="0" applyNumberFormat="1" applyAlignment="1">
      <alignment horizontal="center"/>
    </xf>
    <xf numFmtId="0" fontId="0" fillId="0" borderId="0" xfId="0" applyAlignment="1">
      <alignment horizontal="center"/>
    </xf>
    <xf numFmtId="0" fontId="3" fillId="0" borderId="0" xfId="0" applyFont="1" applyAlignment="1">
      <alignment horizontal="center" vertical="center"/>
    </xf>
    <xf numFmtId="0" fontId="5" fillId="2" borderId="0" xfId="0" applyFont="1" applyFill="1" applyAlignment="1">
      <alignment horizontal="center" vertical="center"/>
    </xf>
    <xf numFmtId="0" fontId="6" fillId="2" borderId="0" xfId="0" applyFont="1" applyFill="1"/>
    <xf numFmtId="0" fontId="6" fillId="2" borderId="0" xfId="0" applyFont="1" applyFill="1" applyAlignment="1">
      <alignment horizontal="center"/>
    </xf>
    <xf numFmtId="1" fontId="6" fillId="2" borderId="0" xfId="0" applyNumberFormat="1" applyFont="1" applyFill="1" applyAlignment="1">
      <alignment horizontal="center"/>
    </xf>
    <xf numFmtId="0" fontId="0" fillId="3" borderId="1" xfId="0" applyFill="1" applyBorder="1"/>
    <xf numFmtId="0" fontId="0" fillId="3" borderId="1" xfId="0" applyFill="1" applyBorder="1" applyAlignment="1">
      <alignment vertical="center" wrapText="1"/>
    </xf>
    <xf numFmtId="0" fontId="8" fillId="3" borderId="1" xfId="0" applyFont="1" applyFill="1" applyBorder="1"/>
    <xf numFmtId="0" fontId="0" fillId="4" borderId="1" xfId="0" applyFill="1" applyBorder="1"/>
    <xf numFmtId="0" fontId="8" fillId="4" borderId="1" xfId="0" applyFont="1" applyFill="1" applyBorder="1"/>
    <xf numFmtId="0" fontId="0" fillId="4" borderId="1" xfId="0" applyFill="1" applyBorder="1" applyAlignment="1">
      <alignment vertical="center" wrapText="1"/>
    </xf>
    <xf numFmtId="0" fontId="9" fillId="5" borderId="1" xfId="0" applyFont="1" applyFill="1" applyBorder="1"/>
    <xf numFmtId="0" fontId="9" fillId="5" borderId="1" xfId="0" applyFont="1" applyFill="1" applyBorder="1" applyAlignment="1">
      <alignment vertical="center" wrapText="1"/>
    </xf>
    <xf numFmtId="0" fontId="9" fillId="6" borderId="1" xfId="0" applyFont="1" applyFill="1" applyBorder="1"/>
    <xf numFmtId="0" fontId="9" fillId="6" borderId="1" xfId="0" applyFont="1" applyFill="1" applyBorder="1" applyAlignment="1">
      <alignment vertical="center" wrapText="1"/>
    </xf>
    <xf numFmtId="0" fontId="9" fillId="7" borderId="1" xfId="0" applyFont="1" applyFill="1" applyBorder="1"/>
    <xf numFmtId="0" fontId="9" fillId="7" borderId="1" xfId="0" applyFont="1" applyFill="1" applyBorder="1" applyAlignment="1">
      <alignment vertical="center" wrapText="1"/>
    </xf>
    <xf numFmtId="0" fontId="9" fillId="7" borderId="1" xfId="0" applyFont="1" applyFill="1" applyBorder="1" applyAlignment="1">
      <alignment horizontal="center"/>
    </xf>
    <xf numFmtId="0" fontId="9" fillId="8" borderId="1" xfId="0" applyFont="1" applyFill="1" applyBorder="1"/>
    <xf numFmtId="0" fontId="9" fillId="8" borderId="1" xfId="0" applyFont="1" applyFill="1" applyBorder="1" applyAlignment="1">
      <alignment vertical="center" wrapText="1"/>
    </xf>
    <xf numFmtId="0" fontId="10" fillId="0" borderId="0" xfId="0" applyFont="1"/>
    <xf numFmtId="0" fontId="0" fillId="9" borderId="6" xfId="0" applyFill="1" applyBorder="1"/>
    <xf numFmtId="0" fontId="13" fillId="10" borderId="0" xfId="0" applyFont="1" applyFill="1"/>
    <xf numFmtId="0" fontId="12" fillId="11" borderId="0" xfId="0" applyFont="1" applyFill="1"/>
    <xf numFmtId="0" fontId="12" fillId="12" borderId="10" xfId="0" applyFont="1" applyFill="1" applyBorder="1" applyAlignment="1">
      <alignment horizontal="center"/>
    </xf>
    <xf numFmtId="0" fontId="12" fillId="12" borderId="11" xfId="0" applyFont="1" applyFill="1" applyBorder="1"/>
    <xf numFmtId="0" fontId="12" fillId="12" borderId="12" xfId="0" applyFont="1" applyFill="1" applyBorder="1"/>
    <xf numFmtId="0" fontId="0" fillId="0" borderId="12" xfId="0" applyBorder="1"/>
    <xf numFmtId="0" fontId="0" fillId="0" borderId="15" xfId="0" applyBorder="1"/>
    <xf numFmtId="0" fontId="0" fillId="0" borderId="10" xfId="0" applyBorder="1"/>
    <xf numFmtId="0" fontId="0" fillId="0" borderId="13" xfId="0" applyBorder="1"/>
    <xf numFmtId="0" fontId="0" fillId="0" borderId="10" xfId="0" applyBorder="1" applyAlignment="1">
      <alignment horizontal="center" vertical="top"/>
    </xf>
    <xf numFmtId="0" fontId="0" fillId="0" borderId="11" xfId="0" applyBorder="1" applyAlignment="1">
      <alignment vertical="top"/>
    </xf>
    <xf numFmtId="0" fontId="0" fillId="0" borderId="11" xfId="0" applyBorder="1" applyAlignment="1">
      <alignment vertical="top" wrapText="1"/>
    </xf>
    <xf numFmtId="0" fontId="0" fillId="0" borderId="12" xfId="0" applyBorder="1" applyAlignment="1">
      <alignment vertical="top"/>
    </xf>
    <xf numFmtId="0" fontId="0" fillId="0" borderId="13" xfId="0" applyBorder="1" applyAlignment="1">
      <alignment horizontal="center" vertical="top"/>
    </xf>
    <xf numFmtId="0" fontId="0" fillId="0" borderId="14" xfId="0" applyBorder="1" applyAlignment="1">
      <alignment vertical="top"/>
    </xf>
    <xf numFmtId="0" fontId="0" fillId="0" borderId="14" xfId="0" applyBorder="1" applyAlignment="1">
      <alignment vertical="top" wrapText="1"/>
    </xf>
    <xf numFmtId="0" fontId="0" fillId="0" borderId="15" xfId="0" applyBorder="1" applyAlignment="1">
      <alignment vertical="top"/>
    </xf>
    <xf numFmtId="0" fontId="16" fillId="11" borderId="7" xfId="0" applyFont="1" applyFill="1" applyBorder="1" applyAlignment="1">
      <alignment horizontal="center"/>
    </xf>
    <xf numFmtId="0" fontId="16" fillId="11" borderId="8" xfId="0" applyFont="1" applyFill="1" applyBorder="1" applyAlignment="1">
      <alignment horizontal="center"/>
    </xf>
    <xf numFmtId="0" fontId="16" fillId="11" borderId="9"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4" fillId="5" borderId="5" xfId="0" applyFont="1" applyFill="1" applyBorder="1" applyAlignment="1">
      <alignment horizontal="center"/>
    </xf>
    <xf numFmtId="0" fontId="4" fillId="6" borderId="3" xfId="0" applyFont="1" applyFill="1" applyBorder="1" applyAlignment="1">
      <alignment horizontal="center"/>
    </xf>
    <xf numFmtId="0" fontId="4" fillId="6" borderId="4" xfId="0" applyFont="1" applyFill="1" applyBorder="1" applyAlignment="1">
      <alignment horizontal="center"/>
    </xf>
    <xf numFmtId="0" fontId="4" fillId="6" borderId="5" xfId="0" applyFont="1" applyFill="1" applyBorder="1" applyAlignment="1">
      <alignment horizontal="center"/>
    </xf>
    <xf numFmtId="0" fontId="7" fillId="2" borderId="0" xfId="0" applyFont="1" applyFill="1" applyAlignment="1">
      <alignment horizontal="center" vertical="center"/>
    </xf>
    <xf numFmtId="0" fontId="6" fillId="2" borderId="0" xfId="0" applyFont="1" applyFill="1" applyAlignment="1">
      <alignment horizontal="center" vertical="center"/>
    </xf>
    <xf numFmtId="0" fontId="3" fillId="3" borderId="1" xfId="0" applyFont="1" applyFill="1" applyBorder="1" applyAlignment="1">
      <alignment horizontal="center"/>
    </xf>
    <xf numFmtId="0" fontId="3" fillId="4" borderId="1" xfId="0" applyFont="1" applyFill="1" applyBorder="1" applyAlignment="1">
      <alignment horizontal="center"/>
    </xf>
    <xf numFmtId="0" fontId="4" fillId="8" borderId="1" xfId="0" applyFont="1" applyFill="1" applyBorder="1" applyAlignment="1">
      <alignment horizontal="center"/>
    </xf>
    <xf numFmtId="0" fontId="0" fillId="4" borderId="2" xfId="0" applyFill="1" applyBorder="1" applyAlignment="1">
      <alignment horizontal="center" vertical="center"/>
    </xf>
    <xf numFmtId="0" fontId="0" fillId="4" borderId="0" xfId="0" applyFill="1" applyAlignment="1">
      <alignment horizontal="center" vertical="center"/>
    </xf>
    <xf numFmtId="0" fontId="16" fillId="11" borderId="16" xfId="0" applyFont="1" applyFill="1" applyBorder="1" applyAlignment="1">
      <alignment horizontal="center"/>
    </xf>
    <xf numFmtId="0" fontId="16" fillId="11" borderId="17" xfId="0" applyFont="1" applyFill="1" applyBorder="1" applyAlignment="1">
      <alignment horizontal="center"/>
    </xf>
    <xf numFmtId="0" fontId="16" fillId="11" borderId="18" xfId="0" applyFont="1" applyFill="1" applyBorder="1" applyAlignment="1">
      <alignment horizontal="center"/>
    </xf>
    <xf numFmtId="0" fontId="16" fillId="11" borderId="19" xfId="0" applyFont="1" applyFill="1" applyBorder="1" applyAlignment="1">
      <alignment horizontal="center"/>
    </xf>
    <xf numFmtId="0" fontId="12" fillId="12" borderId="20" xfId="0" applyFont="1" applyFill="1" applyBorder="1" applyAlignment="1">
      <alignment horizontal="center"/>
    </xf>
    <xf numFmtId="0" fontId="12" fillId="12" borderId="21" xfId="0" applyFont="1" applyFill="1"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0" xfId="0" applyNumberFormat="1"/>
  </cellXfs>
  <cellStyles count="1">
    <cellStyle name="Normal" xfId="0" builtinId="0"/>
  </cellStyles>
  <dxfs count="16">
    <dxf>
      <font>
        <color rgb="FF9C0006"/>
      </font>
      <fill>
        <patternFill>
          <bgColor rgb="FFFFC7CE"/>
        </patternFill>
      </fill>
    </dxf>
    <dxf>
      <numFmt numFmtId="0" formatCode="General"/>
    </dxf>
    <dxf>
      <font>
        <b val="0"/>
        <i val="0"/>
        <strike val="0"/>
        <condense val="0"/>
        <extend val="0"/>
        <outline val="0"/>
        <shadow val="0"/>
        <u val="none"/>
        <vertAlign val="baseline"/>
        <sz val="11"/>
        <color theme="0" tint="-0.14999847407452621"/>
        <name val="Calibri"/>
        <family val="2"/>
        <charset val="1"/>
        <scheme val="none"/>
      </font>
      <numFmt numFmtId="1" formatCode="0"/>
      <fill>
        <patternFill patternType="solid">
          <fgColor indexed="64"/>
          <bgColor theme="1"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tint="-0.14999847407452621"/>
        <name val="Calibri"/>
        <family val="2"/>
        <charset val="1"/>
        <scheme val="none"/>
      </font>
      <numFmt numFmtId="0" formatCode="General"/>
      <fill>
        <patternFill patternType="solid">
          <fgColor indexed="64"/>
          <bgColor theme="1"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tint="-0.14999847407452621"/>
        <name val="Calibri"/>
        <family val="2"/>
        <charset val="1"/>
        <scheme val="none"/>
      </font>
      <numFmt numFmtId="0" formatCode="General"/>
      <fill>
        <patternFill patternType="solid">
          <fgColor indexed="64"/>
          <bgColor theme="1"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tint="-0.14999847407452621"/>
        <name val="Calibri"/>
        <family val="2"/>
        <charset val="1"/>
        <scheme val="none"/>
      </font>
      <numFmt numFmtId="0" formatCode="General"/>
      <fill>
        <patternFill patternType="solid">
          <fgColor indexed="64"/>
          <bgColor theme="1"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tint="-0.14999847407452621"/>
        <name val="Calibri"/>
        <family val="2"/>
        <charset val="1"/>
        <scheme val="none"/>
      </font>
      <fill>
        <patternFill patternType="solid">
          <fgColor indexed="64"/>
          <bgColor theme="1" tint="0.14999847407452621"/>
        </patternFill>
      </fill>
    </dxf>
    <dxf>
      <font>
        <b val="0"/>
        <i val="0"/>
        <strike val="0"/>
        <condense val="0"/>
        <extend val="0"/>
        <outline val="0"/>
        <shadow val="0"/>
        <u val="none"/>
        <vertAlign val="baseline"/>
        <sz val="11"/>
        <color theme="0" tint="-0.14999847407452621"/>
        <name val="Calibri"/>
        <family val="2"/>
        <charset val="1"/>
        <scheme val="none"/>
      </font>
      <fill>
        <patternFill patternType="solid">
          <fgColor indexed="64"/>
          <bgColor theme="1" tint="0.14999847407452621"/>
        </patternFill>
      </fill>
    </dxf>
    <dxf>
      <font>
        <b val="0"/>
        <i val="0"/>
        <strike val="0"/>
        <condense val="0"/>
        <extend val="0"/>
        <outline val="0"/>
        <shadow val="0"/>
        <u val="none"/>
        <vertAlign val="baseline"/>
        <sz val="11"/>
        <color theme="0" tint="-0.14999847407452621"/>
        <name val="Calibri"/>
        <family val="2"/>
        <charset val="1"/>
        <scheme val="none"/>
      </font>
      <fill>
        <patternFill patternType="solid">
          <fgColor indexed="64"/>
          <bgColor theme="1" tint="0.14999847407452621"/>
        </patternFill>
      </fill>
      <alignment horizontal="center" vertical="bottom" textRotation="0" wrapText="0" indent="0" justifyLastLine="0" shrinkToFit="0" readingOrder="0"/>
    </dxf>
    <dxf>
      <font>
        <b/>
        <i val="0"/>
        <strike val="0"/>
        <condense val="0"/>
        <extend val="0"/>
        <outline val="0"/>
        <shadow val="0"/>
        <u val="none"/>
        <vertAlign val="baseline"/>
        <sz val="11"/>
        <color theme="0" tint="-0.14999847407452621"/>
        <name val="Calibri"/>
        <family val="2"/>
        <charset val="1"/>
        <scheme val="none"/>
      </font>
      <fill>
        <patternFill patternType="solid">
          <fgColor indexed="64"/>
          <bgColor theme="1" tint="0.14999847407452621"/>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worksheet" Target="worksheets/sheet4.xml"/><Relationship Id="rId10" Type="http://schemas.openxmlformats.org/officeDocument/2006/relationships/worksheet" Target="worksheets/sheet5.xml"/><Relationship Id="rId11" Type="http://schemas.openxmlformats.org/officeDocument/2006/relationships/worksheet" Target="worksheets/sheet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1C0A1A-82B5-4786-B537-AB55A6B6BF39}" name="Table2" displayName="Table2" ref="G11:R119" totalsRowShown="0" headerRowDxfId="13">
  <autoFilter ref="G11:R119" xr:uid="{0F1C0A1A-82B5-4786-B537-AB55A6B6BF39}"/>
  <sortState xmlns:xlrd2="http://schemas.microsoft.com/office/spreadsheetml/2017/richdata2" ref="G12:R119">
    <sortCondition ref="H11:H119"/>
  </sortState>
  <tableColumns count="12">
    <tableColumn id="1" xr3:uid="{EEE62E81-BBA0-4632-A175-485C421A433C}" name="Category"/>
    <tableColumn id="2" xr3:uid="{29AE5092-57EF-4DFF-9CA5-69F40D01D9EF}" name="Craft"/>
    <tableColumn id="3" xr3:uid="{64B6137A-D137-4184-916A-85E90AB089BD}" name="Ingot"/>
    <tableColumn id="4" xr3:uid="{E8427311-3070-4DFC-BFA8-D9D081B97FE9}" name="Heaviest Item">
      <calculatedColumnFormula>_xlfn.MAXIFS(Import!$G$2:$G$12853,Import!$B$2:$B$12853,$H12)</calculatedColumnFormula>
    </tableColumn>
    <tableColumn id="5" xr3:uid="{C9E22954-57C6-4631-9DB2-228321DE01E2}" name="Lightest Item">
      <calculatedColumnFormula>_xlfn.MINIFS(Import!$G$2:$G$12853,Import!$B$2:$B$12853,$H12)</calculatedColumnFormula>
    </tableColumn>
    <tableColumn id="6" xr3:uid="{1FDEB256-107D-413A-B1AD-F8608FAD3DD1}" name="Heaviest Name">
      <calculatedColumnFormula array="1">IFERROR(_xlfn.TEXTAFTER(INDEX(Import!$D$2:$D$12853,MATCH(1,(Import!$B$2:$B$12853=$H12)*(Import!$G$2:$G$12853=$J12),0))," "),"")</calculatedColumnFormula>
    </tableColumn>
    <tableColumn id="7" xr3:uid="{0AA311F0-4185-438A-9170-3A86976E4B54}" name="Lightest Name">
      <calculatedColumnFormula array="1">IFERROR(_xlfn.TEXTAFTER(INDEX(Import!$D$2:$D$12853,MATCH(1,(Import!$B$2:$B$12853=$H12)*(Import!$G$2:$G$12853=$K12),0))," "),"")</calculatedColumnFormula>
    </tableColumn>
    <tableColumn id="8" xr3:uid="{34EE15E7-8DF0-4424-9F59-73A8273DEE83}" name="Weapon LBs" dataDxfId="12">
      <calculatedColumnFormula>SUMIFS(Import!$G$2:$G$12853,Import!$B$2:$B$12853,$H12,Import!$C$2:$C$12853,"Weapon")</calculatedColumnFormula>
    </tableColumn>
    <tableColumn id="9" xr3:uid="{41ACA82B-91F4-4FE6-A116-8DB1926329F5}" name="Armor LBs" dataDxfId="11">
      <calculatedColumnFormula>SUMIFS(Import!$G$2:$G$12853,Import!$B$2:$B$12853,$H12,Import!$C$2:$C$12853,"Armor")</calculatedColumnFormula>
    </tableColumn>
    <tableColumn id="10" xr3:uid="{E5ED3961-7876-4AA4-8ABF-D6EED71FFF30}" name="LBs Avg">
      <calculatedColumnFormula>AVERAGE(N12:O12)</calculatedColumnFormula>
    </tableColumn>
    <tableColumn id="12" xr3:uid="{150B5B86-7BEA-4E3B-95C4-90429B9775F5}" name="Home POE"/>
    <tableColumn id="11" xr3:uid="{73F04227-B611-45F1-BB6D-D64A50CA8352}" name="Home Plane Rarity" dataDxfId="10">
      <calculatedColumnFormula>_xlfn.LET(_xlpm.v,_xlfn.XLOOKUP(Table2[[#This Row],[Craft]],Table4[Material],Table4[Home Rarity],""),IF(_xlpm.v="","",_xlpm.v))</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19822A-CC06-4D75-87D0-5A740F12228A}" name="Table3" displayName="Table3" ref="G2:L9" totalsRowShown="0" headerRowDxfId="9" dataDxfId="8">
  <autoFilter ref="G2:L9" xr:uid="{2B19822A-CC06-4D75-87D0-5A740F12228A}"/>
  <sortState xmlns:xlrd2="http://schemas.microsoft.com/office/spreadsheetml/2017/richdata2" ref="G3:L9">
    <sortCondition ref="K2:K9"/>
  </sortState>
  <tableColumns count="6">
    <tableColumn id="1" xr3:uid="{367C0A7F-08B9-4FA7-A870-1E9E96853694}" name="Category" dataDxfId="7"/>
    <tableColumn id="2" xr3:uid="{4626076A-A7EE-4B78-BB73-5DE9EB74FE4E}" name="Lightest Material" dataDxfId="6"/>
    <tableColumn id="3" xr3:uid="{5C3F89E5-E84C-4C95-A351-A69C0096E251}" name="Min Ingot" dataDxfId="5">
      <calculatedColumnFormula>ROUND(_xlfn.MINIFS($I$12:$I$119,$G$12:$G$119,G3,$I$12:$I$119,"&gt;0"),2)</calculatedColumnFormula>
    </tableColumn>
    <tableColumn id="4" xr3:uid="{1B072562-E5F7-4A59-9636-520814465480}" name="Heaviest Material" dataDxfId="4"/>
    <tableColumn id="5" xr3:uid="{B3732B8F-5F43-4AC4-AD3B-DEDDE44E73B9}" name="Max Ingot" dataDxfId="3">
      <calculatedColumnFormula>ROUND(_xlfn.MAXIFS($I$12:$I$119,$G$12:$G$119,G3,$I$12:$I$119,"&gt;0"),2)</calculatedColumnFormula>
    </tableColumn>
    <tableColumn id="6" xr3:uid="{FA0EF4CD-0DF6-489A-856D-D8B62EB281E0}" name="# Materials" dataDxfId="2">
      <calculatedColumnFormula>COUNTIFS($G$12:$G$119,G3,$I$12:$I$119,"&gt;0")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7945" totalsRowShown="0">
  <autoFilter ref="A1:G7945" xr:uid="{00000000-0009-0000-0100-000001000000}">
    <filterColumn colId="1">
      <filters>
        <filter val="Iron"/>
      </filters>
    </filterColumn>
  </autoFilter>
  <sortState xmlns:xlrd2="http://schemas.microsoft.com/office/spreadsheetml/2017/richdata2" ref="A1668:G1786">
    <sortCondition descending="1" ref="G1:G7945"/>
  </sortState>
  <tableColumns count="7">
    <tableColumn id="1" xr3:uid="{00000000-0010-0000-0000-000001000000}" name="Category">
      <calculatedColumnFormula>_xlfn.XLOOKUP(B2,Ingot!$H$12:$H$119,Ingot!$G$12:$G$119,"")</calculatedColumnFormula>
    </tableColumn>
    <tableColumn id="2" xr3:uid="{00000000-0010-0000-0000-000002000000}" name="Craft"/>
    <tableColumn id="3" xr3:uid="{00000000-0010-0000-0000-000003000000}" name="Equipment"/>
    <tableColumn id="4" xr3:uid="{00000000-0010-0000-0000-000004000000}" name="New Item Name"/>
    <tableColumn id="5" xr3:uid="{00000000-0010-0000-0000-000005000000}" name="New Image Path"/>
    <tableColumn id="6" xr3:uid="{00000000-0010-0000-0000-000006000000}" name="Magical"/>
    <tableColumn id="7" xr3:uid="{00000000-0010-0000-0000-000007000000}" name="Item Weigh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D324E1-0B9C-487F-AB87-0D87F210B151}" name="Table4" displayName="Table4" ref="A1:H178" totalsRowShown="0">
  <autoFilter ref="A1:H178" xr:uid="{87D324E1-0B9C-487F-AB87-0D87F210B151}"/>
  <sortState xmlns:xlrd2="http://schemas.microsoft.com/office/spreadsheetml/2017/richdata2" ref="B2:H154">
    <sortCondition ref="B1:B154"/>
  </sortState>
  <tableColumns count="8">
    <tableColumn id="8" xr3:uid="{D321C49B-025E-4CAB-B340-3078799B8BC7}" name="Source Book" dataDxfId="1"/>
    <tableColumn id="1" xr3:uid="{BDA86F5B-9C8C-4368-AB3D-A7A5355E7A75}" name="Category" dataDxfId="15">
      <calculatedColumnFormula>IFERROR(_xlfn.XLOOKUP(C2,Table2[Craft],Table2[Category]),"")</calculatedColumnFormula>
    </tableColumn>
    <tableColumn id="7" xr3:uid="{4279BA85-D5C1-430D-A0B1-5E99D28F5ECB}" name="Material"/>
    <tableColumn id="2" xr3:uid="{AE83BC29-844D-43A9-9A27-DBDE0A359653}" name="Home POE"/>
    <tableColumn id="6" xr3:uid="{CEC0F260-7A6C-4EA7-9DE9-A60588A9FF7A}" name="Home Rarity" dataDxfId="14"/>
    <tableColumn id="3" xr3:uid="{4F1ED9B7-8A04-4A3A-AE76-D2A5AF9EDCE6}" name="Effect"/>
    <tableColumn id="4" xr3:uid="{66D44EC3-EEFB-4173-982A-44B3B9867B0B}" name="Common Trade POE's"/>
    <tableColumn id="5" xr3:uid="{321582C6-E043-47FA-A05C-312E625C7A87}" name="Column1"/>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J123" totalsRowShown="0">
  <autoFilter ref="A1:J123"/>
  <tableColumns count="10">
    <tableColumn id="1" name="Material Name"/>
    <tableColumn id="2" name="Category"/>
    <tableColumn id="3" name="Weight Factor"/>
    <tableColumn id="4" name="Override Factor"/>
    <tableColumn id="5" name="Own Property Key"/>
    <tableColumn id="6" name="Key Source"/>
    <tableColumn id="7" name="Also Triggers Native Property"/>
    <tableColumn id="8" name="In External Override File?"/>
    <tableColumn id="9" name="Proposed 3-Letter Key"/>
    <tableColumn id="10" name="3-Letter Key Notes"/>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L4" totalsRowShown="0">
  <autoFilter ref="A1:L4"/>
  <tableColumns count="12">
    <tableColumn id="1" name="Effect Name"/>
    <tableColumn id="2" name="Scope"/>
    <tableColumn id="3" name="Trigger"/>
    <tableColumn id="4" name="dnd5e Mechanism"/>
    <tableColumn id="5" name="Status"/>
    <tableColumn id="6" name="Code Location"/>
    <tableColumn id="7" name="Plain-Language Summary"/>
    <tableColumn id="8" name="Verified Mechanical Detail"/>
    <tableColumn id="9" name="Real-World Use Case"/>
    <tableColumn id="10" name="Balance Notes"/>
    <tableColumn id="11" name="Open Questions"/>
    <tableColumn id="12" name="Last Updated"/>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1:F14" totalsRowShown="0">
  <autoFilter ref="A1:F14"/>
  <tableColumns count="6">
    <tableColumn id="1" name="Item"/>
    <tableColumn id="2" name="Area / File"/>
    <tableColumn id="3" name="Status"/>
    <tableColumn id="4" name="Notes"/>
    <tableColumn id="5" name="Date Logged"/>
    <tableColumn id="6" name="Date Resolv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2551E37-24F8-4459-BC34-5F364E0390E8}">
  <we:reference id="wa200009404" version="1.0.0.8" store="en-US" storeType="OMEX"/>
  <we:alternateReferences>
    <we:reference id="wa200009404" version="1.0.0.8" store="en-US" storeType="OMEX"/>
  </we:alternateReferences>
  <we:properties>
    <we:property name="claude.fileId" value="&quot;e64041d5-1df8-43ec-906f-0b34b1cf607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9"/>
  <sheetViews>
    <sheetView zoomScale="129" zoomScaleNormal="100" workbookViewId="0">
      <pane ySplit="9" topLeftCell="A10" activePane="bottomLeft" state="frozen"/>
      <selection pane="bottomLeft" activeCell="G10" sqref="G10:R10"/>
    </sheetView>
  </sheetViews>
  <sheetFormatPr defaultColWidth="8.6640625" defaultRowHeight="14.25" x14ac:dyDescent="0.45"/>
  <cols>
    <col min="1" max="1" width="9.796875" customWidth="1"/>
    <col min="2" max="2" width="16.265625" customWidth="1"/>
    <col min="3" max="3" width="10.19921875" customWidth="1"/>
    <col min="4" max="4" width="16.86328125" customWidth="1"/>
    <col min="5" max="5" width="11.73046875" bestFit="1" customWidth="1"/>
    <col min="6" max="6" width="11.59765625" customWidth="1"/>
    <col min="7" max="7" width="9.796875" customWidth="1"/>
    <col min="8" max="8" width="18.86328125" bestFit="1" customWidth="1"/>
    <col min="9" max="9" width="13.06640625" bestFit="1" customWidth="1"/>
    <col min="10" max="10" width="19.46484375" bestFit="1" customWidth="1"/>
    <col min="11" max="11" width="15.796875" bestFit="1" customWidth="1"/>
    <col min="12" max="12" width="17.73046875" bestFit="1" customWidth="1"/>
    <col min="13" max="13" width="16.796875" bestFit="1" customWidth="1"/>
    <col min="14" max="14" width="15.1328125" style="5" bestFit="1" customWidth="1"/>
    <col min="15" max="15" width="13.46484375" style="5" bestFit="1" customWidth="1"/>
    <col min="16" max="16" width="11.33203125" bestFit="1" customWidth="1"/>
    <col min="17" max="17" width="19.6640625" bestFit="1" customWidth="1"/>
    <col min="18" max="18" width="11.33203125" style="1" customWidth="1"/>
  </cols>
  <sheetData>
    <row r="1" spans="1:18" s="1" customFormat="1" ht="14.25" customHeight="1" x14ac:dyDescent="0.45">
      <c r="A1" s="56" t="s">
        <v>25854</v>
      </c>
      <c r="B1" s="56"/>
      <c r="C1" s="56"/>
      <c r="D1" s="56"/>
      <c r="E1" s="56"/>
      <c r="F1" s="56"/>
      <c r="G1" s="54" t="s">
        <v>25863</v>
      </c>
      <c r="H1" s="55"/>
      <c r="I1" s="55"/>
      <c r="J1" s="55"/>
      <c r="K1" s="55"/>
      <c r="L1" s="55"/>
    </row>
    <row r="2" spans="1:18" ht="14.25" customHeight="1" x14ac:dyDescent="0.45">
      <c r="A2" s="11"/>
      <c r="B2" s="11" t="s">
        <v>25853</v>
      </c>
      <c r="C2" s="11" t="s">
        <v>25867</v>
      </c>
      <c r="D2" s="11"/>
      <c r="E2" s="11"/>
      <c r="F2" s="11"/>
      <c r="G2" s="7" t="s">
        <v>0</v>
      </c>
      <c r="H2" s="7" t="s">
        <v>25841</v>
      </c>
      <c r="I2" s="7" t="s">
        <v>25842</v>
      </c>
      <c r="J2" s="7" t="s">
        <v>25843</v>
      </c>
      <c r="K2" s="7" t="s">
        <v>25844</v>
      </c>
      <c r="L2" s="7" t="s">
        <v>25845</v>
      </c>
    </row>
    <row r="3" spans="1:18" ht="14.25" customHeight="1" x14ac:dyDescent="0.45">
      <c r="A3" s="13" t="s">
        <v>14833</v>
      </c>
      <c r="B3" s="12" t="s">
        <v>25846</v>
      </c>
      <c r="C3" s="11">
        <f>COUNTIFS(Table2[Home POE],"Material",Table2[Category],A3)</f>
        <v>8</v>
      </c>
      <c r="D3" s="11"/>
      <c r="E3" s="11"/>
      <c r="F3" s="11"/>
      <c r="G3" s="8" t="s">
        <v>14833</v>
      </c>
      <c r="H3" s="8" t="str" cm="1">
        <f t="array" ref="H3">INDEX($H$12:$H$119,MATCH(1,($G$12:$G$119=G3)*($I$12:$I$119=I3),0))</f>
        <v>Silk</v>
      </c>
      <c r="I3" s="9">
        <f t="shared" ref="I3:I9" si="0">ROUND(_xlfn.MINIFS($I$12:$I$119,$G$12:$G$119,G3,$I$12:$I$119,"&gt;0"),2)</f>
        <v>0.25</v>
      </c>
      <c r="J3" s="9" t="str" cm="1">
        <f t="array" ref="J3">INDEX($H$12:$H$119,MATCH(1,($G$12:$G$119=G3)*($I$12:$I$119=K3),0))</f>
        <v>Wetsulf</v>
      </c>
      <c r="K3" s="9">
        <f t="shared" ref="K3:K9" si="1">ROUND(_xlfn.MAXIFS($I$12:$I$119,$G$12:$G$119,G3,$I$12:$I$119,"&gt;0"),2)</f>
        <v>5.0999999999999996</v>
      </c>
      <c r="L3" s="10">
        <f t="shared" ref="L3:L9" si="2">COUNTIFS($G$12:$G$119,G3,$I$12:$I$119,"&gt;0")</f>
        <v>12</v>
      </c>
    </row>
    <row r="4" spans="1:18" ht="14.25" customHeight="1" x14ac:dyDescent="0.45">
      <c r="A4" s="13" t="s">
        <v>17702</v>
      </c>
      <c r="B4" s="12" t="s">
        <v>25847</v>
      </c>
      <c r="C4" s="11">
        <f>COUNTIFS(Table2[Home POE],"Material",Table2[Category],A4)</f>
        <v>3</v>
      </c>
      <c r="D4" s="11"/>
      <c r="E4" s="11"/>
      <c r="F4" s="11"/>
      <c r="G4" s="8" t="s">
        <v>17702</v>
      </c>
      <c r="H4" s="8" t="str" cm="1">
        <f t="array" ref="H4">INDEX($H$12:$H$119,MATCH(1,($G$12:$G$119=G4)*(ROUND($I$12:$I$119,2)=I4),0))</f>
        <v>Olyther</v>
      </c>
      <c r="I4" s="9">
        <f t="shared" si="0"/>
        <v>1.75</v>
      </c>
      <c r="J4" s="9" t="str" cm="1">
        <f t="array" ref="J4">INDEX($H$12:$H$119,MATCH(1,($G$12:$G$119=G4)*(ROUND($I$12:$I$119,2)=K4),0))</f>
        <v>Pelt</v>
      </c>
      <c r="K4" s="9">
        <f t="shared" si="1"/>
        <v>5.83</v>
      </c>
      <c r="L4" s="10">
        <f t="shared" si="2"/>
        <v>12</v>
      </c>
    </row>
    <row r="5" spans="1:18" ht="14.25" customHeight="1" x14ac:dyDescent="0.45">
      <c r="A5" s="13" t="s">
        <v>5989</v>
      </c>
      <c r="B5" s="12" t="s">
        <v>25848</v>
      </c>
      <c r="C5" s="11">
        <f>COUNTIFS(Table2[Home POE],"Material",Table2[Category],A5)</f>
        <v>12</v>
      </c>
      <c r="D5" s="11"/>
      <c r="E5" s="11"/>
      <c r="F5" s="11"/>
      <c r="G5" s="8" t="s">
        <v>5989</v>
      </c>
      <c r="H5" s="8" t="str" cm="1">
        <f t="array" ref="H5">INDEX($H$12:$H$119,MATCH(1,($G$12:$G$119=G5)*($I$12:$I$119=I5),0))</f>
        <v>Pine</v>
      </c>
      <c r="I5" s="9">
        <f t="shared" si="0"/>
        <v>4.5</v>
      </c>
      <c r="J5" s="9" t="str" cm="1">
        <f t="array" ref="J5">INDEX($H$12:$H$119,MATCH(1,($G$12:$G$119=G5)*($I$12:$I$119=K5),0))</f>
        <v>Oak</v>
      </c>
      <c r="K5" s="9">
        <f t="shared" si="1"/>
        <v>13</v>
      </c>
      <c r="L5" s="10">
        <f t="shared" si="2"/>
        <v>11</v>
      </c>
    </row>
    <row r="6" spans="1:18" ht="14.25" customHeight="1" x14ac:dyDescent="0.45">
      <c r="A6" s="13" t="s">
        <v>23440</v>
      </c>
      <c r="B6" s="12" t="s">
        <v>25849</v>
      </c>
      <c r="C6" s="11">
        <f>COUNTIFS(Table2[Home POE],"Material",Table2[Category],A6)</f>
        <v>5</v>
      </c>
      <c r="D6" s="11"/>
      <c r="E6" s="11"/>
      <c r="F6" s="11"/>
      <c r="G6" s="8" t="s">
        <v>23440</v>
      </c>
      <c r="H6" s="8" t="str" cm="1">
        <f t="array" ref="H6">INDEX($H$12:$H$119,MATCH(1,($G$12:$G$119=G6)*($I$12:$I$119=I6),0))</f>
        <v>Ohmu</v>
      </c>
      <c r="I6" s="9">
        <f t="shared" si="0"/>
        <v>4</v>
      </c>
      <c r="J6" s="9" t="str" cm="1">
        <f t="array" ref="J6">INDEX($H$12:$H$119,MATCH(1,($G$12:$G$119=G6)*($I$12:$I$119=K6),0))</f>
        <v>Bonemold</v>
      </c>
      <c r="K6" s="9">
        <f t="shared" si="1"/>
        <v>14</v>
      </c>
      <c r="L6" s="10">
        <f t="shared" si="2"/>
        <v>6</v>
      </c>
    </row>
    <row r="7" spans="1:18" ht="14.25" customHeight="1" x14ac:dyDescent="0.45">
      <c r="A7" s="13" t="s">
        <v>20571</v>
      </c>
      <c r="B7" s="12" t="s">
        <v>25850</v>
      </c>
      <c r="C7" s="11">
        <f>COUNTIFS(Table2[Home POE],"Material",Table2[Category],A7)</f>
        <v>4</v>
      </c>
      <c r="D7" s="11"/>
      <c r="E7" s="11"/>
      <c r="F7" s="11"/>
      <c r="G7" s="8" t="s">
        <v>20571</v>
      </c>
      <c r="H7" s="8" t="str" cm="1">
        <f t="array" ref="H7">INDEX($H$12:$H$119,MATCH(1,($G$12:$G$119=G7)*($I$12:$I$119=I7),0))</f>
        <v>Lass</v>
      </c>
      <c r="I7" s="9">
        <f t="shared" si="0"/>
        <v>6</v>
      </c>
      <c r="J7" s="9" t="str" cm="1">
        <f t="array" ref="J7">INDEX($H$12:$H$119,MATCH(1,($G$12:$G$119=G7)*($I$12:$I$119=K7),0))</f>
        <v>Ebony</v>
      </c>
      <c r="K7" s="9">
        <f t="shared" si="1"/>
        <v>17.5</v>
      </c>
      <c r="L7" s="10">
        <f t="shared" si="2"/>
        <v>11</v>
      </c>
    </row>
    <row r="8" spans="1:18" ht="14.25" customHeight="1" x14ac:dyDescent="0.45">
      <c r="A8" s="13" t="s">
        <v>2403</v>
      </c>
      <c r="B8" s="12" t="s">
        <v>25851</v>
      </c>
      <c r="C8" s="11">
        <f>COUNTIFS(Table2[Home POE],"Material",Table2[Category],A8)</f>
        <v>9</v>
      </c>
      <c r="D8" s="11"/>
      <c r="E8" s="11"/>
      <c r="F8" s="11"/>
      <c r="G8" s="8" t="s">
        <v>2403</v>
      </c>
      <c r="H8" s="8" t="str" cm="1">
        <f t="array" ref="H8">INDEX($H$12:$H$119,MATCH(1,($G$12:$G$119=G8)*($I$12:$I$119=I8),0))</f>
        <v>Trueice</v>
      </c>
      <c r="I8" s="9">
        <f t="shared" si="0"/>
        <v>8</v>
      </c>
      <c r="J8" s="9" t="str" cm="1">
        <f t="array" ref="J8">INDEX($H$12:$H$119,MATCH(1,($G$12:$G$119=G8)*($I$12:$I$119=K8),0))</f>
        <v>Elysian</v>
      </c>
      <c r="K8" s="9">
        <f t="shared" si="1"/>
        <v>19.5</v>
      </c>
      <c r="L8" s="10">
        <f t="shared" si="2"/>
        <v>8</v>
      </c>
    </row>
    <row r="9" spans="1:18" ht="14.25" customHeight="1" x14ac:dyDescent="0.45">
      <c r="A9" s="13" t="s">
        <v>8</v>
      </c>
      <c r="B9" s="12" t="s">
        <v>25852</v>
      </c>
      <c r="C9" s="11">
        <f>COUNTIFS(Table2[Home POE],"Material",Table2[Category],A9)</f>
        <v>12</v>
      </c>
      <c r="D9" s="11"/>
      <c r="E9" s="11"/>
      <c r="F9" s="11"/>
      <c r="G9" s="8" t="s">
        <v>8</v>
      </c>
      <c r="H9" s="8" t="str" cm="1">
        <f t="array" ref="H9">INDEX($H$12:$H$119,MATCH(1,($G$12:$G$119=G9)*($I$12:$I$119=I9),0))</f>
        <v>Tin</v>
      </c>
      <c r="I9" s="9">
        <f t="shared" si="0"/>
        <v>7</v>
      </c>
      <c r="J9" s="9" t="str" cm="1">
        <f t="array" ref="J9">INDEX($H$12:$H$119,MATCH(1,($G$12:$G$119=G9)*($I$12:$I$119=K9),0))</f>
        <v>Adamantine</v>
      </c>
      <c r="K9" s="9">
        <f t="shared" si="1"/>
        <v>20</v>
      </c>
      <c r="L9" s="10">
        <f t="shared" si="2"/>
        <v>13</v>
      </c>
    </row>
    <row r="10" spans="1:18" ht="14.25" customHeight="1" x14ac:dyDescent="0.45">
      <c r="A10" s="58" t="s">
        <v>25860</v>
      </c>
      <c r="B10" s="58"/>
      <c r="C10" s="58"/>
      <c r="D10" s="58"/>
      <c r="E10" s="58"/>
      <c r="F10" s="58"/>
      <c r="G10" s="59" t="s">
        <v>25861</v>
      </c>
      <c r="H10" s="60"/>
      <c r="I10" s="60"/>
      <c r="J10" s="60"/>
      <c r="K10" s="60"/>
      <c r="L10" s="60"/>
      <c r="M10" s="60"/>
      <c r="N10" s="60"/>
      <c r="O10" s="60"/>
      <c r="P10" s="60"/>
      <c r="Q10" s="60"/>
      <c r="R10" s="60"/>
    </row>
    <row r="11" spans="1:18" ht="14.25" customHeight="1" x14ac:dyDescent="0.45">
      <c r="A11" s="24"/>
      <c r="B11" s="24" t="s">
        <v>25853</v>
      </c>
      <c r="C11" s="24"/>
      <c r="D11" s="24"/>
      <c r="E11" s="24"/>
      <c r="F11" s="24"/>
      <c r="G11" s="6" t="s">
        <v>0</v>
      </c>
      <c r="H11" s="6" t="s">
        <v>25862</v>
      </c>
      <c r="I11" s="6" t="s">
        <v>25832</v>
      </c>
      <c r="J11" s="6" t="s">
        <v>25833</v>
      </c>
      <c r="K11" s="6" t="s">
        <v>25834</v>
      </c>
      <c r="L11" s="6" t="s">
        <v>25835</v>
      </c>
      <c r="M11" s="6" t="s">
        <v>25836</v>
      </c>
      <c r="N11" s="3" t="s">
        <v>25839</v>
      </c>
      <c r="O11" s="3" t="s">
        <v>25837</v>
      </c>
      <c r="P11" s="6" t="s">
        <v>25838</v>
      </c>
      <c r="Q11" s="6" t="s">
        <v>25914</v>
      </c>
      <c r="R11" s="6" t="s">
        <v>25859</v>
      </c>
    </row>
    <row r="12" spans="1:18" ht="14.25" customHeight="1" x14ac:dyDescent="0.45">
      <c r="A12" s="24" t="s">
        <v>14833</v>
      </c>
      <c r="B12" s="25" t="s">
        <v>25846</v>
      </c>
      <c r="C12" s="24">
        <f>COUNTIFS(Table2[Home POE],"Underdark",Table2[Category],A12)</f>
        <v>0</v>
      </c>
      <c r="D12" s="24"/>
      <c r="E12" s="24"/>
      <c r="F12" s="24"/>
      <c r="G12" t="s">
        <v>17702</v>
      </c>
      <c r="H12" t="s">
        <v>17703</v>
      </c>
      <c r="I12">
        <v>4</v>
      </c>
      <c r="J12">
        <f>_xlfn.MAXIFS(Import!$G$2:$G$12853,Import!$B$2:$B$12853,$H12)</f>
        <v>22.67</v>
      </c>
      <c r="K12">
        <f>_xlfn.MINIFS(Import!$G$2:$G$12853,Import!$B$2:$B$12853,$H12)</f>
        <v>0.04</v>
      </c>
      <c r="L12" t="str" cm="1">
        <f t="array" ref="L12">IFERROR(_xlfn.TEXTAFTER(INDEX(Import!$D$2:$D$12853,MATCH(1,(Import!$B$2:$B$12853=$H12)*(Import!$G$2:$G$12853=$J12),0))," "),"")</f>
        <v>Hunting Trap (Large)</v>
      </c>
      <c r="M12" t="str" cm="1">
        <f t="array" ref="M12">IFERROR(_xlfn.TEXTAFTER(INDEX(Import!$D$2:$D$12853,MATCH(1,(Import!$B$2:$B$12853=$H12)*(Import!$G$2:$G$12853=$K12),0))," "),"")</f>
        <v>Bolt</v>
      </c>
      <c r="N12" s="4">
        <f>SUMIFS(Import!$G$2:$G$12853,Import!$B$2:$B$12853,$H12,Import!$C$2:$C$12853,"Weapon")</f>
        <v>356.90000000000003</v>
      </c>
      <c r="O12" s="4">
        <f>SUMIFS(Import!$G$2:$G$12853,Import!$B$2:$B$12853,$H12,Import!$C$2:$C$12853,"Armor")</f>
        <v>329.42</v>
      </c>
      <c r="P12">
        <f t="shared" ref="P12:P43" si="3">AVERAGE(N12:O12)</f>
        <v>343.16</v>
      </c>
      <c r="Q12" t="str">
        <f>_xlfn.LET(_xlpm.v,_xlfn.XLOOKUP(Table2[[#This Row],[Craft]],Table4[Material],Table4[Home POE],""),IF(_xlpm.v="","",_xlpm.v))</f>
        <v/>
      </c>
      <c r="R12" s="1" t="str">
        <f>_xlfn.LET(_xlpm.v,_xlfn.XLOOKUP(Table2[[#This Row],[Craft]],Table4[Material],Table4[Home Rarity],""),IF(_xlpm.v="","",_xlpm.v))</f>
        <v/>
      </c>
    </row>
    <row r="13" spans="1:18" ht="14.25" customHeight="1" x14ac:dyDescent="0.45">
      <c r="A13" s="24" t="s">
        <v>17702</v>
      </c>
      <c r="B13" s="25" t="s">
        <v>25847</v>
      </c>
      <c r="C13" s="24">
        <f>COUNTIFS(Table2[Home POE],"Underdark",Table2[Category],A13)</f>
        <v>0</v>
      </c>
      <c r="D13" s="24"/>
      <c r="E13" s="24"/>
      <c r="F13" s="24"/>
      <c r="G13" t="s">
        <v>8</v>
      </c>
      <c r="H13" t="s">
        <v>9</v>
      </c>
      <c r="I13">
        <v>20</v>
      </c>
      <c r="J13">
        <f>_xlfn.MAXIFS(Import!$G$2:$G$12853,Import!$B$2:$B$12853,$H13)</f>
        <v>49.75</v>
      </c>
      <c r="K13">
        <f>_xlfn.MINIFS(Import!$G$2:$G$12853,Import!$B$2:$B$12853,$H13)</f>
        <v>0.04</v>
      </c>
      <c r="L13" t="str" cm="1">
        <f t="array" ref="L13">IFERROR(_xlfn.TEXTAFTER(INDEX(Import!$D$2:$D$12853,MATCH(1,(Import!$B$2:$B$12853=$H13)*(Import!$G$2:$G$12853=$J13),0))," "),"")</f>
        <v>Tower Shield</v>
      </c>
      <c r="M13" t="str" cm="1">
        <f t="array" ref="M13">IFERROR(_xlfn.TEXTAFTER(INDEX(Import!$D$2:$D$12853,MATCH(1,(Import!$B$2:$B$12853=$H13)*(Import!$G$2:$G$12853=$K13),0))," "),"")</f>
        <v>Bolt</v>
      </c>
      <c r="N13" s="4">
        <f>SUMIFS(Import!$G$2:$G$12853,Import!$B$2:$B$12853,$H13,Import!$C$2:$C$12853,"Weapon")</f>
        <v>356.90000000000003</v>
      </c>
      <c r="O13" s="4">
        <f>SUMIFS(Import!$G$2:$G$12853,Import!$B$2:$B$12853,$H13,Import!$C$2:$C$12853,"Armor")</f>
        <v>506.70999999999992</v>
      </c>
      <c r="P13">
        <f t="shared" si="3"/>
        <v>431.80499999999995</v>
      </c>
      <c r="Q13" t="str">
        <f>_xlfn.LET(_xlpm.v,_xlfn.XLOOKUP(Table2[[#This Row],[Craft]],Table4[Material],Table4[Home POE],""),IF(_xlpm.v="","",_xlpm.v))</f>
        <v>Material</v>
      </c>
      <c r="R13" s="1">
        <f>_xlfn.LET(_xlpm.v,_xlfn.XLOOKUP(Table2[[#This Row],[Craft]],Table4[Material],Table4[Home Rarity],""),IF(_xlpm.v="","",_xlpm.v))</f>
        <v>4</v>
      </c>
    </row>
    <row r="14" spans="1:18" ht="14.25" customHeight="1" x14ac:dyDescent="0.45">
      <c r="A14" s="24" t="s">
        <v>5989</v>
      </c>
      <c r="B14" s="25" t="s">
        <v>25848</v>
      </c>
      <c r="C14" s="24">
        <f>COUNTIFS(Table2[Home POE],"Underdark",Table2[Category],A14)</f>
        <v>0</v>
      </c>
      <c r="D14" s="24"/>
      <c r="E14" s="24"/>
      <c r="F14" s="24"/>
      <c r="G14" t="s">
        <v>20571</v>
      </c>
      <c r="H14" t="s">
        <v>20572</v>
      </c>
      <c r="I14">
        <v>7</v>
      </c>
      <c r="J14">
        <f>_xlfn.MAXIFS(Import!$G$2:$G$12853,Import!$B$2:$B$12853,$H14)</f>
        <v>31</v>
      </c>
      <c r="K14">
        <f>_xlfn.MINIFS(Import!$G$2:$G$12853,Import!$B$2:$B$12853,$H14)</f>
        <v>0.04</v>
      </c>
      <c r="L14" t="str" cm="1">
        <f t="array" ref="L14">IFERROR(_xlfn.TEXTAFTER(INDEX(Import!$D$2:$D$12853,MATCH(1,(Import!$B$2:$B$12853=$H14)*(Import!$G$2:$G$12853=$J14),0))," "),"")</f>
        <v>Lamellar Cuirass</v>
      </c>
      <c r="M14" t="str" cm="1">
        <f t="array" ref="M14">IFERROR(_xlfn.TEXTAFTER(INDEX(Import!$D$2:$D$12853,MATCH(1,(Import!$B$2:$B$12853=$H14)*(Import!$G$2:$G$12853=$K14),0))," "),"")</f>
        <v>Bolt</v>
      </c>
      <c r="N14" s="4">
        <f>SUMIFS(Import!$G$2:$G$12853,Import!$B$2:$B$12853,$H14,Import!$C$2:$C$12853,"Weapon")</f>
        <v>356.90000000000003</v>
      </c>
      <c r="O14" s="4">
        <f>SUMIFS(Import!$G$2:$G$12853,Import!$B$2:$B$12853,$H14,Import!$C$2:$C$12853,"Armor")</f>
        <v>414.99999999999994</v>
      </c>
      <c r="P14">
        <f t="shared" si="3"/>
        <v>385.95</v>
      </c>
      <c r="Q14" t="str">
        <f>_xlfn.LET(_xlpm.v,_xlfn.XLOOKUP(Table2[[#This Row],[Craft]],Table4[Material],Table4[Home POE],""),IF(_xlpm.v="","",_xlpm.v))</f>
        <v>Material</v>
      </c>
      <c r="R14" s="1">
        <f>_xlfn.LET(_xlpm.v,_xlfn.XLOOKUP(Table2[[#This Row],[Craft]],Table4[Material],Table4[Home Rarity],""),IF(_xlpm.v="","",_xlpm.v))</f>
        <v>3</v>
      </c>
    </row>
    <row r="15" spans="1:18" ht="14.25" customHeight="1" x14ac:dyDescent="0.45">
      <c r="A15" s="24" t="s">
        <v>23440</v>
      </c>
      <c r="B15" s="25" t="s">
        <v>25849</v>
      </c>
      <c r="C15" s="24">
        <f>COUNTIFS(Table2[Home POE],"Underdark",Table2[Category],A15)</f>
        <v>0</v>
      </c>
      <c r="D15" s="24"/>
      <c r="E15" s="24"/>
      <c r="F15" s="24"/>
      <c r="G15" t="s">
        <v>8</v>
      </c>
      <c r="H15" t="s">
        <v>252</v>
      </c>
      <c r="J15">
        <f>_xlfn.MAXIFS(Import!$G$2:$G$12853,Import!$B$2:$B$12853,$H15)</f>
        <v>38</v>
      </c>
      <c r="K15">
        <f>_xlfn.MINIFS(Import!$G$2:$G$12853,Import!$B$2:$B$12853,$H15)</f>
        <v>0.04</v>
      </c>
      <c r="L15" t="str" cm="1">
        <f t="array" ref="L15">IFERROR(_xlfn.TEXTAFTER(INDEX(Import!$D$2:$D$12853,MATCH(1,(Import!$B$2:$B$12853=$H15)*(Import!$G$2:$G$12853=$J15),0))," "),"")</f>
        <v>Lamellar Cuirass</v>
      </c>
      <c r="M15" t="str" cm="1">
        <f t="array" ref="M15">IFERROR(_xlfn.TEXTAFTER(INDEX(Import!$D$2:$D$12853,MATCH(1,(Import!$B$2:$B$12853=$H15)*(Import!$G$2:$G$12853=$K15),0))," "),"")</f>
        <v>Bolt</v>
      </c>
      <c r="N15" s="4">
        <f>SUMIFS(Import!$G$2:$G$12853,Import!$B$2:$B$12853,$H15,Import!$C$2:$C$12853,"Weapon")</f>
        <v>356.90000000000003</v>
      </c>
      <c r="O15" s="4">
        <f>SUMIFS(Import!$G$2:$G$12853,Import!$B$2:$B$12853,$H15,Import!$C$2:$C$12853,"Armor")</f>
        <v>483.3</v>
      </c>
      <c r="P15">
        <f t="shared" si="3"/>
        <v>420.1</v>
      </c>
      <c r="Q15" t="str">
        <f>_xlfn.LET(_xlpm.v,_xlfn.XLOOKUP(Table2[[#This Row],[Craft]],Table4[Material],Table4[Home POE],""),IF(_xlpm.v="","",_xlpm.v))</f>
        <v>Feywild</v>
      </c>
      <c r="R15" s="1" t="str">
        <f>_xlfn.LET(_xlpm.v,_xlfn.XLOOKUP(Table2[[#This Row],[Craft]],Table4[Material],Table4[Home Rarity],""),IF(_xlpm.v="","",_xlpm.v))</f>
        <v/>
      </c>
    </row>
    <row r="16" spans="1:18" ht="14.25" customHeight="1" x14ac:dyDescent="0.45">
      <c r="A16" s="24" t="s">
        <v>20571</v>
      </c>
      <c r="B16" s="25" t="s">
        <v>25850</v>
      </c>
      <c r="C16" s="24">
        <f>COUNTIFS(Table2[Home POE],"Underdark",Table2[Category],A16)</f>
        <v>0</v>
      </c>
      <c r="D16" s="24"/>
      <c r="E16" s="24"/>
      <c r="F16" s="24"/>
      <c r="G16" t="s">
        <v>5989</v>
      </c>
      <c r="H16" t="s">
        <v>5990</v>
      </c>
      <c r="I16">
        <v>11.5</v>
      </c>
      <c r="J16">
        <f>_xlfn.MAXIFS(Import!$G$2:$G$12853,Import!$B$2:$B$12853,$H16)</f>
        <v>27.55</v>
      </c>
      <c r="K16">
        <f>_xlfn.MINIFS(Import!$G$2:$G$12853,Import!$B$2:$B$12853,$H16)</f>
        <v>0.04</v>
      </c>
      <c r="L16" t="str" cm="1">
        <f t="array" ref="L16">IFERROR(_xlfn.TEXTAFTER(INDEX(Import!$D$2:$D$12853,MATCH(1,(Import!$B$2:$B$12853=$H16)*(Import!$G$2:$G$12853=$J16),0))," "),"")</f>
        <v>Lamellar Cuirass</v>
      </c>
      <c r="M16" t="str" cm="1">
        <f t="array" ref="M16">IFERROR(_xlfn.TEXTAFTER(INDEX(Import!$D$2:$D$12853,MATCH(1,(Import!$B$2:$B$12853=$H16)*(Import!$G$2:$G$12853=$K16),0))," "),"")</f>
        <v>Bolt</v>
      </c>
      <c r="N16" s="4">
        <f>SUMIFS(Import!$G$2:$G$12853,Import!$B$2:$B$12853,$H16,Import!$C$2:$C$12853,"Weapon")</f>
        <v>356.90000000000003</v>
      </c>
      <c r="O16" s="4">
        <f>SUMIFS(Import!$G$2:$G$12853,Import!$B$2:$B$12853,$H16,Import!$C$2:$C$12853,"Armor")</f>
        <v>388.82</v>
      </c>
      <c r="P16">
        <f t="shared" si="3"/>
        <v>372.86</v>
      </c>
      <c r="Q16" t="str">
        <f>_xlfn.LET(_xlpm.v,_xlfn.XLOOKUP(Table2[[#This Row],[Craft]],Table4[Material],Table4[Home POE],""),IF(_xlpm.v="","",_xlpm.v))</f>
        <v>Material</v>
      </c>
      <c r="R16" s="1">
        <f>_xlfn.LET(_xlpm.v,_xlfn.XLOOKUP(Table2[[#This Row],[Craft]],Table4[Material],Table4[Home Rarity],""),IF(_xlpm.v="","",_xlpm.v))</f>
        <v>1</v>
      </c>
    </row>
    <row r="17" spans="1:18" ht="14.25" customHeight="1" x14ac:dyDescent="0.45">
      <c r="A17" s="24" t="s">
        <v>2403</v>
      </c>
      <c r="B17" s="25" t="s">
        <v>25851</v>
      </c>
      <c r="C17" s="24">
        <f>COUNTIFS(Table2[Home POE],"Underdark",Table2[Category],A17)</f>
        <v>0</v>
      </c>
      <c r="D17" s="24"/>
      <c r="E17" s="24"/>
      <c r="F17" s="24"/>
      <c r="G17" t="s">
        <v>8</v>
      </c>
      <c r="H17" t="s">
        <v>491</v>
      </c>
      <c r="J17">
        <f>_xlfn.MAXIFS(Import!$G$2:$G$12853,Import!$B$2:$B$12853,$H17)</f>
        <v>38</v>
      </c>
      <c r="K17">
        <f>_xlfn.MINIFS(Import!$G$2:$G$12853,Import!$B$2:$B$12853,$H17)</f>
        <v>0.04</v>
      </c>
      <c r="L17" t="str" cm="1">
        <f t="array" ref="L17">IFERROR(_xlfn.TEXTAFTER(INDEX(Import!$D$2:$D$12853,MATCH(1,(Import!$B$2:$B$12853=$H17)*(Import!$G$2:$G$12853=$J17),0))," "),"")</f>
        <v>Lamellar Cuirass</v>
      </c>
      <c r="M17" t="str" cm="1">
        <f t="array" ref="M17">IFERROR(_xlfn.TEXTAFTER(INDEX(Import!$D$2:$D$12853,MATCH(1,(Import!$B$2:$B$12853=$H17)*(Import!$G$2:$G$12853=$K17),0))," "),"")</f>
        <v>Bolt</v>
      </c>
      <c r="N17" s="4">
        <f>SUMIFS(Import!$G$2:$G$12853,Import!$B$2:$B$12853,$H17,Import!$C$2:$C$12853,"Weapon")</f>
        <v>356.90000000000003</v>
      </c>
      <c r="O17" s="4">
        <f>SUMIFS(Import!$G$2:$G$12853,Import!$B$2:$B$12853,$H17,Import!$C$2:$C$12853,"Armor")</f>
        <v>483.3</v>
      </c>
      <c r="P17">
        <f t="shared" si="3"/>
        <v>420.1</v>
      </c>
      <c r="Q17" t="str">
        <f>_xlfn.LET(_xlpm.v,_xlfn.XLOOKUP(Table2[[#This Row],[Craft]],Table4[Material],Table4[Home POE],""),IF(_xlpm.v="","",_xlpm.v))</f>
        <v>Upper</v>
      </c>
      <c r="R17" s="1">
        <f>_xlfn.LET(_xlpm.v,_xlfn.XLOOKUP(Table2[[#This Row],[Craft]],Table4[Material],Table4[Home Rarity],""),IF(_xlpm.v="","",_xlpm.v))</f>
        <v>5</v>
      </c>
    </row>
    <row r="18" spans="1:18" ht="14.25" customHeight="1" x14ac:dyDescent="0.45">
      <c r="A18" s="24" t="s">
        <v>8</v>
      </c>
      <c r="B18" s="25" t="s">
        <v>25852</v>
      </c>
      <c r="C18" s="24">
        <f>COUNTIFS(Table2[Home POE],"Underdark",Table2[Category],A18)</f>
        <v>0</v>
      </c>
      <c r="D18" s="24"/>
      <c r="E18" s="24"/>
      <c r="F18" s="24"/>
      <c r="G18" t="s">
        <v>8</v>
      </c>
      <c r="H18" t="s">
        <v>730</v>
      </c>
      <c r="I18">
        <v>18</v>
      </c>
      <c r="J18">
        <f>_xlfn.MAXIFS(Import!$G$2:$G$12853,Import!$B$2:$B$12853,$H18)</f>
        <v>43.75</v>
      </c>
      <c r="K18">
        <f>_xlfn.MINIFS(Import!$G$2:$G$12853,Import!$B$2:$B$12853,$H18)</f>
        <v>0.04</v>
      </c>
      <c r="L18" t="str" cm="1">
        <f t="array" ref="L18">IFERROR(_xlfn.TEXTAFTER(INDEX(Import!$D$2:$D$12853,MATCH(1,(Import!$B$2:$B$12853=$H18)*(Import!$G$2:$G$12853=$J18),0))," "),"")</f>
        <v>Tower Shield</v>
      </c>
      <c r="M18" t="str" cm="1">
        <f t="array" ref="M18">IFERROR(_xlfn.TEXTAFTER(INDEX(Import!$D$2:$D$12853,MATCH(1,(Import!$B$2:$B$12853=$H18)*(Import!$G$2:$G$12853=$K18),0))," "),"")</f>
        <v>Bolt</v>
      </c>
      <c r="N18" s="4">
        <f>SUMIFS(Import!$G$2:$G$12853,Import!$B$2:$B$12853,$H18,Import!$C$2:$C$12853,"Weapon")</f>
        <v>356.90000000000003</v>
      </c>
      <c r="O18" s="4">
        <f>SUMIFS(Import!$G$2:$G$12853,Import!$B$2:$B$12853,$H18,Import!$C$2:$C$12853,"Armor")</f>
        <v>500.28999999999996</v>
      </c>
      <c r="P18">
        <f t="shared" si="3"/>
        <v>428.59500000000003</v>
      </c>
      <c r="Q18" t="str">
        <f>_xlfn.LET(_xlpm.v,_xlfn.XLOOKUP(Table2[[#This Row],[Craft]],Table4[Material],Table4[Home POE],""),IF(_xlpm.v="","",_xlpm.v))</f>
        <v>Lower</v>
      </c>
      <c r="R18" s="1">
        <f>_xlfn.LET(_xlpm.v,_xlfn.XLOOKUP(Table2[[#This Row],[Craft]],Table4[Material],Table4[Home Rarity],""),IF(_xlpm.v="","",_xlpm.v))</f>
        <v>3</v>
      </c>
    </row>
    <row r="19" spans="1:18" ht="14.25" customHeight="1" x14ac:dyDescent="0.45">
      <c r="A19" s="57" t="s">
        <v>25855</v>
      </c>
      <c r="B19" s="57"/>
      <c r="C19" s="57"/>
      <c r="D19" s="57"/>
      <c r="E19" s="57"/>
      <c r="F19" s="57"/>
      <c r="G19" t="s">
        <v>20571</v>
      </c>
      <c r="H19" t="s">
        <v>20811</v>
      </c>
      <c r="I19">
        <v>12</v>
      </c>
      <c r="J19">
        <f>_xlfn.MAXIFS(Import!$G$2:$G$12853,Import!$B$2:$B$12853,$H19)</f>
        <v>32.5</v>
      </c>
      <c r="K19">
        <f>_xlfn.MINIFS(Import!$G$2:$G$12853,Import!$B$2:$B$12853,$H19)</f>
        <v>0.04</v>
      </c>
      <c r="L19" t="str" cm="1">
        <f t="array" ref="L19">IFERROR(_xlfn.TEXTAFTER(INDEX(Import!$D$2:$D$12853,MATCH(1,(Import!$B$2:$B$12853=$H19)*(Import!$G$2:$G$12853=$J19),0))," "),"")</f>
        <v>Lamellar Cuirass</v>
      </c>
      <c r="M19" t="str" cm="1">
        <f t="array" ref="M19">IFERROR(_xlfn.TEXTAFTER(INDEX(Import!$D$2:$D$12853,MATCH(1,(Import!$B$2:$B$12853=$H19)*(Import!$G$2:$G$12853=$K19),0))," "),"")</f>
        <v>Bolt</v>
      </c>
      <c r="N19" s="4">
        <f>SUMIFS(Import!$G$2:$G$12853,Import!$B$2:$B$12853,$H19,Import!$C$2:$C$12853,"Weapon")</f>
        <v>356.90000000000003</v>
      </c>
      <c r="O19" s="4">
        <f>SUMIFS(Import!$G$2:$G$12853,Import!$B$2:$B$12853,$H19,Import!$C$2:$C$12853,"Armor")</f>
        <v>430.2</v>
      </c>
      <c r="P19">
        <f t="shared" si="3"/>
        <v>393.55</v>
      </c>
      <c r="Q19" t="str">
        <f>_xlfn.LET(_xlpm.v,_xlfn.XLOOKUP(Table2[[#This Row],[Craft]],Table4[Material],Table4[Home POE],""),IF(_xlpm.v="","",_xlpm.v))</f>
        <v>Material (other setting)</v>
      </c>
      <c r="R19" s="1">
        <f>_xlfn.LET(_xlpm.v,_xlfn.XLOOKUP(Table2[[#This Row],[Craft]],Table4[Material],Table4[Home Rarity],""),IF(_xlpm.v="","",_xlpm.v))</f>
        <v>4</v>
      </c>
    </row>
    <row r="20" spans="1:18" ht="14.25" customHeight="1" x14ac:dyDescent="0.45">
      <c r="A20" s="14"/>
      <c r="B20" s="14" t="s">
        <v>25853</v>
      </c>
      <c r="C20" s="14"/>
      <c r="D20" s="14"/>
      <c r="E20" s="14"/>
      <c r="F20" s="14"/>
      <c r="G20" t="s">
        <v>5989</v>
      </c>
      <c r="H20" t="s">
        <v>6229</v>
      </c>
      <c r="I20">
        <v>8</v>
      </c>
      <c r="J20">
        <f>_xlfn.MAXIFS(Import!$G$2:$G$12853,Import!$B$2:$B$12853,$H20)</f>
        <v>26.53</v>
      </c>
      <c r="K20">
        <f>_xlfn.MINIFS(Import!$G$2:$G$12853,Import!$B$2:$B$12853,$H20)</f>
        <v>0.04</v>
      </c>
      <c r="L20" t="str" cm="1">
        <f t="array" ref="L20">IFERROR(_xlfn.TEXTAFTER(INDEX(Import!$D$2:$D$12853,MATCH(1,(Import!$B$2:$B$12853=$H20)*(Import!$G$2:$G$12853=$J20),0))," "),"")</f>
        <v>Lamellar Cuirass</v>
      </c>
      <c r="M20" t="str" cm="1">
        <f t="array" ref="M20">IFERROR(_xlfn.TEXTAFTER(INDEX(Import!$D$2:$D$12853,MATCH(1,(Import!$B$2:$B$12853=$H20)*(Import!$G$2:$G$12853=$K20),0))," "),"")</f>
        <v>Bolt</v>
      </c>
      <c r="N20" s="4">
        <f>SUMIFS(Import!$G$2:$G$12853,Import!$B$2:$B$12853,$H20,Import!$C$2:$C$12853,"Weapon")</f>
        <v>356.90000000000003</v>
      </c>
      <c r="O20" s="4">
        <f>SUMIFS(Import!$G$2:$G$12853,Import!$B$2:$B$12853,$H20,Import!$C$2:$C$12853,"Armor")</f>
        <v>379.86000000000007</v>
      </c>
      <c r="P20">
        <f t="shared" si="3"/>
        <v>368.38000000000005</v>
      </c>
      <c r="Q20" t="str">
        <f>_xlfn.LET(_xlpm.v,_xlfn.XLOOKUP(Table2[[#This Row],[Craft]],Table4[Material],Table4[Home POE],""),IF(_xlpm.v="","",_xlpm.v))</f>
        <v>Material</v>
      </c>
      <c r="R20" s="1">
        <f>_xlfn.LET(_xlpm.v,_xlfn.XLOOKUP(Table2[[#This Row],[Craft]],Table4[Material],Table4[Home Rarity],""),IF(_xlpm.v="","",_xlpm.v))</f>
        <v>1</v>
      </c>
    </row>
    <row r="21" spans="1:18" ht="14.25" customHeight="1" x14ac:dyDescent="0.45">
      <c r="A21" s="15" t="s">
        <v>14833</v>
      </c>
      <c r="B21" s="16" t="s">
        <v>25846</v>
      </c>
      <c r="C21" s="14">
        <f>COUNTIFS(Table2[Home POE],"Upper",Table2[Category],A21)</f>
        <v>0</v>
      </c>
      <c r="D21" s="14"/>
      <c r="E21" s="14"/>
      <c r="F21" s="14"/>
      <c r="G21" t="s">
        <v>5989</v>
      </c>
      <c r="H21" t="s">
        <v>6468</v>
      </c>
      <c r="J21">
        <f>_xlfn.MAXIFS(Import!$G$2:$G$12853,Import!$B$2:$B$12853,$H21)</f>
        <v>26.8</v>
      </c>
      <c r="K21">
        <f>_xlfn.MINIFS(Import!$G$2:$G$12853,Import!$B$2:$B$12853,$H21)</f>
        <v>0.04</v>
      </c>
      <c r="L21" t="str" cm="1">
        <f t="array" ref="L21">IFERROR(_xlfn.TEXTAFTER(INDEX(Import!$D$2:$D$12853,MATCH(1,(Import!$B$2:$B$12853=$H21)*(Import!$G$2:$G$12853=$J21),0))," "),"")</f>
        <v>Lamellar Cuirass</v>
      </c>
      <c r="M21" t="str" cm="1">
        <f t="array" ref="M21">IFERROR(_xlfn.TEXTAFTER(INDEX(Import!$D$2:$D$12853,MATCH(1,(Import!$B$2:$B$12853=$H21)*(Import!$G$2:$G$12853=$K21),0))," "),"")</f>
        <v>Bolt</v>
      </c>
      <c r="N21" s="4">
        <f>SUMIFS(Import!$G$2:$G$12853,Import!$B$2:$B$12853,$H21,Import!$C$2:$C$12853,"Weapon")</f>
        <v>356.90000000000003</v>
      </c>
      <c r="O21" s="4">
        <f>SUMIFS(Import!$G$2:$G$12853,Import!$B$2:$B$12853,$H21,Import!$C$2:$C$12853,"Armor")</f>
        <v>382.22000000000008</v>
      </c>
      <c r="P21">
        <f t="shared" si="3"/>
        <v>369.56000000000006</v>
      </c>
      <c r="Q21" t="str">
        <f>_xlfn.LET(_xlpm.v,_xlfn.XLOOKUP(Table2[[#This Row],[Craft]],Table4[Material],Table4[Home POE],""),IF(_xlpm.v="","",_xlpm.v))</f>
        <v/>
      </c>
      <c r="R21" s="1" t="str">
        <f>_xlfn.LET(_xlpm.v,_xlfn.XLOOKUP(Table2[[#This Row],[Craft]],Table4[Material],Table4[Home Rarity],""),IF(_xlpm.v="","",_xlpm.v))</f>
        <v/>
      </c>
    </row>
    <row r="22" spans="1:18" ht="14.25" customHeight="1" x14ac:dyDescent="0.45">
      <c r="A22" s="15" t="s">
        <v>17702</v>
      </c>
      <c r="B22" s="16" t="s">
        <v>25847</v>
      </c>
      <c r="C22" s="14">
        <f>COUNTIFS(Table2[Home POE],"Upper",Table2[Category],A22)</f>
        <v>0</v>
      </c>
      <c r="D22" s="14"/>
      <c r="E22" s="14"/>
      <c r="F22" s="14"/>
      <c r="G22" t="s">
        <v>5989</v>
      </c>
      <c r="H22" t="s">
        <v>6707</v>
      </c>
      <c r="J22">
        <f>_xlfn.MAXIFS(Import!$G$2:$G$12853,Import!$B$2:$B$12853,$H22)</f>
        <v>26.8</v>
      </c>
      <c r="K22">
        <f>_xlfn.MINIFS(Import!$G$2:$G$12853,Import!$B$2:$B$12853,$H22)</f>
        <v>0.04</v>
      </c>
      <c r="L22" t="str" cm="1">
        <f t="array" ref="L22">IFERROR(_xlfn.TEXTAFTER(INDEX(Import!$D$2:$D$12853,MATCH(1,(Import!$B$2:$B$12853=$H22)*(Import!$G$2:$G$12853=$J22),0))," "),"")</f>
        <v>Lamellar Cuirass</v>
      </c>
      <c r="M22" t="str" cm="1">
        <f t="array" ref="M22">IFERROR(_xlfn.TEXTAFTER(INDEX(Import!$D$2:$D$12853,MATCH(1,(Import!$B$2:$B$12853=$H22)*(Import!$G$2:$G$12853=$K22),0))," "),"")</f>
        <v>Bolt</v>
      </c>
      <c r="N22" s="4">
        <f>SUMIFS(Import!$G$2:$G$12853,Import!$B$2:$B$12853,$H22,Import!$C$2:$C$12853,"Weapon")</f>
        <v>356.90000000000003</v>
      </c>
      <c r="O22" s="4">
        <f>SUMIFS(Import!$G$2:$G$12853,Import!$B$2:$B$12853,$H22,Import!$C$2:$C$12853,"Armor")</f>
        <v>382.22000000000008</v>
      </c>
      <c r="P22">
        <f t="shared" si="3"/>
        <v>369.56000000000006</v>
      </c>
      <c r="Q22" t="str">
        <f>_xlfn.LET(_xlpm.v,_xlfn.XLOOKUP(Table2[[#This Row],[Craft]],Table4[Material],Table4[Home POE],""),IF(_xlpm.v="","",_xlpm.v))</f>
        <v/>
      </c>
      <c r="R22" s="1" t="str">
        <f>_xlfn.LET(_xlpm.v,_xlfn.XLOOKUP(Table2[[#This Row],[Craft]],Table4[Material],Table4[Home Rarity],""),IF(_xlpm.v="","",_xlpm.v))</f>
        <v/>
      </c>
    </row>
    <row r="23" spans="1:18" ht="14.25" customHeight="1" x14ac:dyDescent="0.45">
      <c r="A23" s="15" t="s">
        <v>5989</v>
      </c>
      <c r="B23" s="16" t="s">
        <v>25848</v>
      </c>
      <c r="C23" s="14">
        <f>COUNTIFS(Table2[Home POE],"Upper",Table2[Category],A23)</f>
        <v>0</v>
      </c>
      <c r="D23" s="14"/>
      <c r="E23" s="14"/>
      <c r="F23" s="14"/>
      <c r="G23" t="s">
        <v>2403</v>
      </c>
      <c r="H23" t="s">
        <v>11726</v>
      </c>
      <c r="J23">
        <f>_xlfn.MAXIFS(Import!$G$2:$G$12853,Import!$B$2:$B$12853,$H23)</f>
        <v>48.5</v>
      </c>
      <c r="K23">
        <f>_xlfn.MINIFS(Import!$G$2:$G$12853,Import!$B$2:$B$12853,$H23)</f>
        <v>0.04</v>
      </c>
      <c r="L23" t="str" cm="1">
        <f t="array" ref="L23">IFERROR(_xlfn.TEXTAFTER(INDEX(Import!$D$2:$D$12853,MATCH(1,(Import!$B$2:$B$12853=$H23)*(Import!$G$2:$G$12853=$J23),0))," "),"")</f>
        <v>Lamellar Cuirass</v>
      </c>
      <c r="M23" t="str" cm="1">
        <f t="array" ref="M23">IFERROR(_xlfn.TEXTAFTER(INDEX(Import!$D$2:$D$12853,MATCH(1,(Import!$B$2:$B$12853=$H23)*(Import!$G$2:$G$12853=$K23),0))," "),"")</f>
        <v>Bolt</v>
      </c>
      <c r="N23" s="4">
        <f>SUMIFS(Import!$G$2:$G$12853,Import!$B$2:$B$12853,$H23,Import!$C$2:$C$12853,"Weapon")</f>
        <v>356.90000000000003</v>
      </c>
      <c r="O23" s="4">
        <f>SUMIFS(Import!$G$2:$G$12853,Import!$B$2:$B$12853,$H23,Import!$C$2:$C$12853,"Armor")</f>
        <v>624.74</v>
      </c>
      <c r="P23">
        <f t="shared" si="3"/>
        <v>490.82000000000005</v>
      </c>
      <c r="Q23" t="str">
        <f>_xlfn.LET(_xlpm.v,_xlfn.XLOOKUP(Table2[[#This Row],[Craft]],Table4[Material],Table4[Home POE],""),IF(_xlpm.v="","",_xlpm.v))</f>
        <v>Lower</v>
      </c>
      <c r="R23" s="1">
        <f>_xlfn.LET(_xlpm.v,_xlfn.XLOOKUP(Table2[[#This Row],[Craft]],Table4[Material],Table4[Home Rarity],""),IF(_xlpm.v="","",_xlpm.v))</f>
        <v>3</v>
      </c>
    </row>
    <row r="24" spans="1:18" ht="14.25" customHeight="1" x14ac:dyDescent="0.45">
      <c r="A24" s="15" t="s">
        <v>23440</v>
      </c>
      <c r="B24" s="16" t="s">
        <v>25849</v>
      </c>
      <c r="C24" s="14">
        <f>COUNTIFS(Table2[Home POE],"Upper",Table2[Category],A24)</f>
        <v>0</v>
      </c>
      <c r="D24" s="14"/>
      <c r="E24" s="14"/>
      <c r="F24" s="14"/>
      <c r="G24" t="s">
        <v>5989</v>
      </c>
      <c r="H24" t="s">
        <v>6946</v>
      </c>
      <c r="I24">
        <v>9</v>
      </c>
      <c r="J24">
        <f>_xlfn.MAXIFS(Import!$G$2:$G$12853,Import!$B$2:$B$12853,$H24)</f>
        <v>26.8</v>
      </c>
      <c r="K24">
        <f>_xlfn.MINIFS(Import!$G$2:$G$12853,Import!$B$2:$B$12853,$H24)</f>
        <v>0.04</v>
      </c>
      <c r="L24" t="str" cm="1">
        <f t="array" ref="L24">IFERROR(_xlfn.TEXTAFTER(INDEX(Import!$D$2:$D$12853,MATCH(1,(Import!$B$2:$B$12853=$H24)*(Import!$G$2:$G$12853=$J24),0))," "),"")</f>
        <v>Lamellar Cuirass</v>
      </c>
      <c r="M24" t="str" cm="1">
        <f t="array" ref="M24">IFERROR(_xlfn.TEXTAFTER(INDEX(Import!$D$2:$D$12853,MATCH(1,(Import!$B$2:$B$12853=$H24)*(Import!$G$2:$G$12853=$K24),0))," "),"")</f>
        <v>Bolt</v>
      </c>
      <c r="N24" s="4">
        <f>SUMIFS(Import!$G$2:$G$12853,Import!$B$2:$B$12853,$H24,Import!$C$2:$C$12853,"Weapon")</f>
        <v>356.90000000000003</v>
      </c>
      <c r="O24" s="4">
        <f>SUMIFS(Import!$G$2:$G$12853,Import!$B$2:$B$12853,$H24,Import!$C$2:$C$12853,"Armor")</f>
        <v>382.22000000000008</v>
      </c>
      <c r="P24">
        <f t="shared" si="3"/>
        <v>369.56000000000006</v>
      </c>
      <c r="Q24" t="str">
        <f>_xlfn.LET(_xlpm.v,_xlfn.XLOOKUP(Table2[[#This Row],[Craft]],Table4[Material],Table4[Home POE],""),IF(_xlpm.v="","",_xlpm.v))</f>
        <v/>
      </c>
      <c r="R24" s="1" t="str">
        <f>_xlfn.LET(_xlpm.v,_xlfn.XLOOKUP(Table2[[#This Row],[Craft]],Table4[Material],Table4[Home Rarity],""),IF(_xlpm.v="","",_xlpm.v))</f>
        <v/>
      </c>
    </row>
    <row r="25" spans="1:18" ht="14.25" customHeight="1" x14ac:dyDescent="0.45">
      <c r="A25" s="15" t="s">
        <v>20571</v>
      </c>
      <c r="B25" s="16" t="s">
        <v>25850</v>
      </c>
      <c r="C25" s="14">
        <f>COUNTIFS(Table2[Home POE],"Upper",Table2[Category],A25)</f>
        <v>0</v>
      </c>
      <c r="D25" s="14"/>
      <c r="E25" s="14"/>
      <c r="F25" s="14"/>
      <c r="G25" t="s">
        <v>17702</v>
      </c>
      <c r="H25" t="s">
        <v>17942</v>
      </c>
      <c r="I25">
        <v>3</v>
      </c>
      <c r="J25">
        <f>_xlfn.MAXIFS(Import!$G$2:$G$12853,Import!$B$2:$B$12853,$H25)</f>
        <v>22.67</v>
      </c>
      <c r="K25">
        <f>_xlfn.MINIFS(Import!$G$2:$G$12853,Import!$B$2:$B$12853,$H25)</f>
        <v>0.04</v>
      </c>
      <c r="L25" t="str" cm="1">
        <f t="array" ref="L25">IFERROR(_xlfn.TEXTAFTER(INDEX(Import!$D$2:$D$12853,MATCH(1,(Import!$B$2:$B$12853=$H25)*(Import!$G$2:$G$12853=$J25),0))," "),"")</f>
        <v>Hunting Trap (Large)</v>
      </c>
      <c r="M25" t="str" cm="1">
        <f t="array" ref="M25">IFERROR(_xlfn.TEXTAFTER(INDEX(Import!$D$2:$D$12853,MATCH(1,(Import!$B$2:$B$12853=$H25)*(Import!$G$2:$G$12853=$K25),0))," "),"")</f>
        <v>Bolt</v>
      </c>
      <c r="N25" s="4">
        <f>SUMIFS(Import!$G$2:$G$12853,Import!$B$2:$B$12853,$H25,Import!$C$2:$C$12853,"Weapon")</f>
        <v>356.90000000000003</v>
      </c>
      <c r="O25" s="4">
        <f>SUMIFS(Import!$G$2:$G$12853,Import!$B$2:$B$12853,$H25,Import!$C$2:$C$12853,"Armor")</f>
        <v>328.3</v>
      </c>
      <c r="P25">
        <f t="shared" si="3"/>
        <v>342.6</v>
      </c>
      <c r="Q25" t="str">
        <f>_xlfn.LET(_xlpm.v,_xlfn.XLOOKUP(Table2[[#This Row],[Craft]],Table4[Material],Table4[Home POE],""),IF(_xlpm.v="","",_xlpm.v))</f>
        <v/>
      </c>
      <c r="R25" s="1" t="str">
        <f>_xlfn.LET(_xlpm.v,_xlfn.XLOOKUP(Table2[[#This Row],[Craft]],Table4[Material],Table4[Home Rarity],""),IF(_xlpm.v="","",_xlpm.v))</f>
        <v/>
      </c>
    </row>
    <row r="26" spans="1:18" ht="14.25" customHeight="1" x14ac:dyDescent="0.45">
      <c r="A26" s="15" t="s">
        <v>2403</v>
      </c>
      <c r="B26" s="16" t="s">
        <v>25851</v>
      </c>
      <c r="C26" s="14">
        <f>COUNTIFS(Table2[Home POE],"Upper",Table2[Category],A26)</f>
        <v>1</v>
      </c>
      <c r="D26" s="14"/>
      <c r="E26" s="14"/>
      <c r="F26" s="14"/>
      <c r="G26" t="s">
        <v>23440</v>
      </c>
      <c r="H26" t="s">
        <v>23441</v>
      </c>
      <c r="I26">
        <v>5.5</v>
      </c>
      <c r="J26">
        <f>_xlfn.MAXIFS(Import!$G$2:$G$12853,Import!$B$2:$B$12853,$H26)</f>
        <v>22.67</v>
      </c>
      <c r="K26">
        <f>_xlfn.MINIFS(Import!$G$2:$G$12853,Import!$B$2:$B$12853,$H26)</f>
        <v>0.04</v>
      </c>
      <c r="L26" t="str" cm="1">
        <f t="array" ref="L26">IFERROR(_xlfn.TEXTAFTER(INDEX(Import!$D$2:$D$12853,MATCH(1,(Import!$B$2:$B$12853=$H26)*(Import!$G$2:$G$12853=$J26),0))," "),"")</f>
        <v>Hunting Trap (Large)</v>
      </c>
      <c r="M26" t="str" cm="1">
        <f t="array" ref="M26">IFERROR(_xlfn.TEXTAFTER(INDEX(Import!$D$2:$D$12853,MATCH(1,(Import!$B$2:$B$12853=$H26)*(Import!$G$2:$G$12853=$K26),0))," "),"")</f>
        <v>Bolt</v>
      </c>
      <c r="N26" s="4">
        <f>SUMIFS(Import!$G$2:$G$12853,Import!$B$2:$B$12853,$H26,Import!$C$2:$C$12853,"Weapon")</f>
        <v>356.90000000000003</v>
      </c>
      <c r="O26" s="4">
        <f>SUMIFS(Import!$G$2:$G$12853,Import!$B$2:$B$12853,$H26,Import!$C$2:$C$12853,"Armor")</f>
        <v>348.80000000000007</v>
      </c>
      <c r="P26">
        <f t="shared" si="3"/>
        <v>352.85</v>
      </c>
      <c r="Q26" t="str">
        <f>_xlfn.LET(_xlpm.v,_xlfn.XLOOKUP(Table2[[#This Row],[Craft]],Table4[Material],Table4[Home POE],""),IF(_xlpm.v="","",_xlpm.v))</f>
        <v>Material</v>
      </c>
      <c r="R26" s="1">
        <f>_xlfn.LET(_xlpm.v,_xlfn.XLOOKUP(Table2[[#This Row],[Craft]],Table4[Material],Table4[Home Rarity],""),IF(_xlpm.v="","",_xlpm.v))</f>
        <v>1</v>
      </c>
    </row>
    <row r="27" spans="1:18" ht="14.25" customHeight="1" x14ac:dyDescent="0.45">
      <c r="A27" s="15" t="s">
        <v>8</v>
      </c>
      <c r="B27" s="16" t="s">
        <v>25852</v>
      </c>
      <c r="C27" s="14">
        <f>COUNTIFS(Table2[Home POE],"Upper",Table2[Category],A27)</f>
        <v>1</v>
      </c>
      <c r="D27" s="14"/>
      <c r="E27" s="14"/>
      <c r="F27" s="14"/>
      <c r="G27" t="s">
        <v>23440</v>
      </c>
      <c r="H27" t="s">
        <v>23680</v>
      </c>
      <c r="I27">
        <v>14</v>
      </c>
      <c r="J27">
        <f>_xlfn.MAXIFS(Import!$G$2:$G$12853,Import!$B$2:$B$12853,$H27)</f>
        <v>31.75</v>
      </c>
      <c r="K27">
        <f>_xlfn.MINIFS(Import!$G$2:$G$12853,Import!$B$2:$B$12853,$H27)</f>
        <v>0.04</v>
      </c>
      <c r="L27" t="str" cm="1">
        <f t="array" ref="L27">IFERROR(_xlfn.TEXTAFTER(INDEX(Import!$D$2:$D$12853,MATCH(1,(Import!$B$2:$B$12853=$H27)*(Import!$G$2:$G$12853=$J27),0))," "),"")</f>
        <v>Tower Shield</v>
      </c>
      <c r="M27" t="str" cm="1">
        <f t="array" ref="M27">IFERROR(_xlfn.TEXTAFTER(INDEX(Import!$D$2:$D$12853,MATCH(1,(Import!$B$2:$B$12853=$H27)*(Import!$G$2:$G$12853=$K27),0))," "),"")</f>
        <v>Bolt</v>
      </c>
      <c r="N27" s="4">
        <f>SUMIFS(Import!$G$2:$G$12853,Import!$B$2:$B$12853,$H27,Import!$C$2:$C$12853,"Weapon")</f>
        <v>356.90000000000003</v>
      </c>
      <c r="O27" s="4">
        <f>SUMIFS(Import!$G$2:$G$12853,Import!$B$2:$B$12853,$H27,Import!$C$2:$C$12853,"Armor")</f>
        <v>360</v>
      </c>
      <c r="P27">
        <f t="shared" si="3"/>
        <v>358.45000000000005</v>
      </c>
      <c r="Q27" t="str">
        <f>_xlfn.LET(_xlpm.v,_xlfn.XLOOKUP(Table2[[#This Row],[Craft]],Table4[Material],Table4[Home POE],""),IF(_xlpm.v="","",_xlpm.v))</f>
        <v>Material</v>
      </c>
      <c r="R27" s="1">
        <f>_xlfn.LET(_xlpm.v,_xlfn.XLOOKUP(Table2[[#This Row],[Craft]],Table4[Material],Table4[Home Rarity],""),IF(_xlpm.v="","",_xlpm.v))</f>
        <v>2</v>
      </c>
    </row>
    <row r="28" spans="1:18" ht="14.25" customHeight="1" x14ac:dyDescent="0.45">
      <c r="A28" s="48" t="s">
        <v>25856</v>
      </c>
      <c r="B28" s="49"/>
      <c r="C28" s="49"/>
      <c r="D28" s="49"/>
      <c r="E28" s="49"/>
      <c r="F28" s="50"/>
      <c r="G28" t="s">
        <v>5989</v>
      </c>
      <c r="H28" t="s">
        <v>7185</v>
      </c>
      <c r="I28">
        <v>12.5</v>
      </c>
      <c r="J28">
        <f>_xlfn.MAXIFS(Import!$G$2:$G$12853,Import!$B$2:$B$12853,$H28)</f>
        <v>27.85</v>
      </c>
      <c r="K28">
        <f>_xlfn.MINIFS(Import!$G$2:$G$12853,Import!$B$2:$B$12853,$H28)</f>
        <v>0.04</v>
      </c>
      <c r="L28" t="str" cm="1">
        <f t="array" ref="L28">IFERROR(_xlfn.TEXTAFTER(INDEX(Import!$D$2:$D$12853,MATCH(1,(Import!$B$2:$B$12853=$H28)*(Import!$G$2:$G$12853=$J28),0))," "),"")</f>
        <v>Lamellar Cuirass</v>
      </c>
      <c r="M28" t="str" cm="1">
        <f t="array" ref="M28">IFERROR(_xlfn.TEXTAFTER(INDEX(Import!$D$2:$D$12853,MATCH(1,(Import!$B$2:$B$12853=$H28)*(Import!$G$2:$G$12853=$K28),0))," "),"")</f>
        <v>Bolt</v>
      </c>
      <c r="N28" s="4">
        <f>SUMIFS(Import!$G$2:$G$12853,Import!$B$2:$B$12853,$H28,Import!$C$2:$C$12853,"Weapon")</f>
        <v>356.90000000000003</v>
      </c>
      <c r="O28" s="4">
        <f>SUMIFS(Import!$G$2:$G$12853,Import!$B$2:$B$12853,$H28,Import!$C$2:$C$12853,"Armor")</f>
        <v>391.48</v>
      </c>
      <c r="P28">
        <f t="shared" si="3"/>
        <v>374.19000000000005</v>
      </c>
      <c r="Q28" t="str">
        <f>_xlfn.LET(_xlpm.v,_xlfn.XLOOKUP(Table2[[#This Row],[Craft]],Table4[Material],Table4[Home POE],""),IF(_xlpm.v="","",_xlpm.v))</f>
        <v/>
      </c>
      <c r="R28" s="1" t="str">
        <f>_xlfn.LET(_xlpm.v,_xlfn.XLOOKUP(Table2[[#This Row],[Craft]],Table4[Material],Table4[Home Rarity],""),IF(_xlpm.v="","",_xlpm.v))</f>
        <v/>
      </c>
    </row>
    <row r="29" spans="1:18" ht="14.25" customHeight="1" x14ac:dyDescent="0.45">
      <c r="A29" s="17"/>
      <c r="B29" s="17" t="s">
        <v>25853</v>
      </c>
      <c r="C29" s="17"/>
      <c r="D29" s="17"/>
      <c r="E29" s="17"/>
      <c r="F29" s="17"/>
      <c r="G29" t="s">
        <v>8</v>
      </c>
      <c r="H29" t="s">
        <v>969</v>
      </c>
      <c r="I29">
        <v>8.5</v>
      </c>
      <c r="J29">
        <f>_xlfn.MAXIFS(Import!$G$2:$G$12853,Import!$B$2:$B$12853,$H29)</f>
        <v>36.93</v>
      </c>
      <c r="K29">
        <f>_xlfn.MINIFS(Import!$G$2:$G$12853,Import!$B$2:$B$12853,$H29)</f>
        <v>0.04</v>
      </c>
      <c r="L29" t="str" cm="1">
        <f t="array" ref="L29">IFERROR(_xlfn.TEXTAFTER(INDEX(Import!$D$2:$D$12853,MATCH(1,(Import!$B$2:$B$12853=$H29)*(Import!$G$2:$G$12853=$J29),0))," "),"")</f>
        <v>Lamellar Cuirass</v>
      </c>
      <c r="M29" t="str" cm="1">
        <f t="array" ref="M29">IFERROR(_xlfn.TEXTAFTER(INDEX(Import!$D$2:$D$12853,MATCH(1,(Import!$B$2:$B$12853=$H29)*(Import!$G$2:$G$12853=$K29),0))," "),"")</f>
        <v>Bolt</v>
      </c>
      <c r="N29" s="4">
        <f>SUMIFS(Import!$G$2:$G$12853,Import!$B$2:$B$12853,$H29,Import!$C$2:$C$12853,"Weapon")</f>
        <v>356.90000000000003</v>
      </c>
      <c r="O29" s="4">
        <f>SUMIFS(Import!$G$2:$G$12853,Import!$B$2:$B$12853,$H29,Import!$C$2:$C$12853,"Armor")</f>
        <v>471.38000000000005</v>
      </c>
      <c r="P29">
        <f t="shared" si="3"/>
        <v>414.14000000000004</v>
      </c>
      <c r="Q29" t="str">
        <f>_xlfn.LET(_xlpm.v,_xlfn.XLOOKUP(Table2[[#This Row],[Craft]],Table4[Material],Table4[Home POE],""),IF(_xlpm.v="","",_xlpm.v))</f>
        <v/>
      </c>
      <c r="R29" s="1" t="str">
        <f>_xlfn.LET(_xlpm.v,_xlfn.XLOOKUP(Table2[[#This Row],[Craft]],Table4[Material],Table4[Home Rarity],""),IF(_xlpm.v="","",_xlpm.v))</f>
        <v/>
      </c>
    </row>
    <row r="30" spans="1:18" ht="14.25" customHeight="1" x14ac:dyDescent="0.45">
      <c r="A30" s="17" t="s">
        <v>14833</v>
      </c>
      <c r="B30" s="18" t="s">
        <v>25846</v>
      </c>
      <c r="C30" s="17">
        <f>COUNTIFS(Table2[Home POE],"Lower",Table2[Category],A30)</f>
        <v>0</v>
      </c>
      <c r="D30" s="17"/>
      <c r="E30" s="17"/>
      <c r="F30" s="17"/>
      <c r="G30" t="s">
        <v>5989</v>
      </c>
      <c r="H30" t="s">
        <v>7424</v>
      </c>
      <c r="J30">
        <f>_xlfn.MAXIFS(Import!$G$2:$G$12853,Import!$B$2:$B$12853,$H30)</f>
        <v>26.8</v>
      </c>
      <c r="K30">
        <f>_xlfn.MINIFS(Import!$G$2:$G$12853,Import!$B$2:$B$12853,$H30)</f>
        <v>0.04</v>
      </c>
      <c r="L30" t="str" cm="1">
        <f t="array" ref="L30">IFERROR(_xlfn.TEXTAFTER(INDEX(Import!$D$2:$D$12853,MATCH(1,(Import!$B$2:$B$12853=$H30)*(Import!$G$2:$G$12853=$J30),0))," "),"")</f>
        <v>Lamellar Cuirass</v>
      </c>
      <c r="M30" t="str" cm="1">
        <f t="array" ref="M30">IFERROR(_xlfn.TEXTAFTER(INDEX(Import!$D$2:$D$12853,MATCH(1,(Import!$B$2:$B$12853=$H30)*(Import!$G$2:$G$12853=$K30),0))," "),"")</f>
        <v>Bolt</v>
      </c>
      <c r="N30" s="4">
        <f>SUMIFS(Import!$G$2:$G$12853,Import!$B$2:$B$12853,$H30,Import!$C$2:$C$12853,"Weapon")</f>
        <v>356.90000000000003</v>
      </c>
      <c r="O30" s="4">
        <f>SUMIFS(Import!$G$2:$G$12853,Import!$B$2:$B$12853,$H30,Import!$C$2:$C$12853,"Armor")</f>
        <v>382.22000000000008</v>
      </c>
      <c r="P30">
        <f t="shared" si="3"/>
        <v>369.56000000000006</v>
      </c>
      <c r="Q30" t="str">
        <f>_xlfn.LET(_xlpm.v,_xlfn.XLOOKUP(Table2[[#This Row],[Craft]],Table4[Material],Table4[Home POE],""),IF(_xlpm.v="","",_xlpm.v))</f>
        <v/>
      </c>
      <c r="R30" s="1" t="str">
        <f>_xlfn.LET(_xlpm.v,_xlfn.XLOOKUP(Table2[[#This Row],[Craft]],Table4[Material],Table4[Home Rarity],""),IF(_xlpm.v="","",_xlpm.v))</f>
        <v/>
      </c>
    </row>
    <row r="31" spans="1:18" ht="14.25" customHeight="1" x14ac:dyDescent="0.45">
      <c r="A31" s="17" t="s">
        <v>17702</v>
      </c>
      <c r="B31" s="18" t="s">
        <v>25847</v>
      </c>
      <c r="C31" s="17">
        <f>COUNTIFS(Table2[Home POE],"Lower",Table2[Category],A31)</f>
        <v>0</v>
      </c>
      <c r="D31" s="17"/>
      <c r="E31" s="17"/>
      <c r="F31" s="17"/>
      <c r="G31" t="s">
        <v>20571</v>
      </c>
      <c r="H31" t="s">
        <v>21050</v>
      </c>
      <c r="I31">
        <v>17</v>
      </c>
      <c r="J31">
        <f>_xlfn.MAXIFS(Import!$G$2:$G$12853,Import!$B$2:$B$12853,$H31)</f>
        <v>40.75</v>
      </c>
      <c r="K31">
        <f>_xlfn.MINIFS(Import!$G$2:$G$12853,Import!$B$2:$B$12853,$H31)</f>
        <v>0.04</v>
      </c>
      <c r="L31" t="str" cm="1">
        <f t="array" ref="L31">IFERROR(_xlfn.TEXTAFTER(INDEX(Import!$D$2:$D$12853,MATCH(1,(Import!$B$2:$B$12853=$H31)*(Import!$G$2:$G$12853=$J31),0))," "),"")</f>
        <v>Tower Shield</v>
      </c>
      <c r="M31" t="str" cm="1">
        <f t="array" ref="M31">IFERROR(_xlfn.TEXTAFTER(INDEX(Import!$D$2:$D$12853,MATCH(1,(Import!$B$2:$B$12853=$H31)*(Import!$G$2:$G$12853=$K31),0))," "),"")</f>
        <v>Bolt</v>
      </c>
      <c r="N31" s="4">
        <f>SUMIFS(Import!$G$2:$G$12853,Import!$B$2:$B$12853,$H31,Import!$C$2:$C$12853,"Weapon")</f>
        <v>356.90000000000003</v>
      </c>
      <c r="O31" s="4">
        <f>SUMIFS(Import!$G$2:$G$12853,Import!$B$2:$B$12853,$H31,Import!$C$2:$C$12853,"Armor")</f>
        <v>444.66000000000008</v>
      </c>
      <c r="P31">
        <f t="shared" si="3"/>
        <v>400.78000000000009</v>
      </c>
      <c r="Q31" t="str">
        <f>_xlfn.LET(_xlpm.v,_xlfn.XLOOKUP(Table2[[#This Row],[Craft]],Table4[Material],Table4[Home POE],""),IF(_xlpm.v="","",_xlpm.v))</f>
        <v>Material</v>
      </c>
      <c r="R31" s="1">
        <f>_xlfn.LET(_xlpm.v,_xlfn.XLOOKUP(Table2[[#This Row],[Craft]],Table4[Material],Table4[Home Rarity],""),IF(_xlpm.v="","",_xlpm.v))</f>
        <v>3</v>
      </c>
    </row>
    <row r="32" spans="1:18" ht="14.25" customHeight="1" x14ac:dyDescent="0.45">
      <c r="A32" s="17" t="s">
        <v>5989</v>
      </c>
      <c r="B32" s="18" t="s">
        <v>25848</v>
      </c>
      <c r="C32" s="17">
        <f>COUNTIFS(Table2[Home POE],"Lower",Table2[Category],A32)</f>
        <v>0</v>
      </c>
      <c r="D32" s="17"/>
      <c r="E32" s="17"/>
      <c r="F32" s="17"/>
      <c r="G32" t="s">
        <v>2403</v>
      </c>
      <c r="H32" t="s">
        <v>11965</v>
      </c>
      <c r="I32">
        <v>13</v>
      </c>
      <c r="J32">
        <f>_xlfn.MAXIFS(Import!$G$2:$G$12853,Import!$B$2:$B$12853,$H32)</f>
        <v>48</v>
      </c>
      <c r="K32">
        <f>_xlfn.MINIFS(Import!$G$2:$G$12853,Import!$B$2:$B$12853,$H32)</f>
        <v>0.04</v>
      </c>
      <c r="L32" t="str" cm="1">
        <f t="array" ref="L32">IFERROR(_xlfn.TEXTAFTER(INDEX(Import!$D$2:$D$12853,MATCH(1,(Import!$B$2:$B$12853=$H32)*(Import!$G$2:$G$12853=$J32),0))," "),"")</f>
        <v>Lamellar Cuirass</v>
      </c>
      <c r="M32" t="str" cm="1">
        <f t="array" ref="M32">IFERROR(_xlfn.TEXTAFTER(INDEX(Import!$D$2:$D$12853,MATCH(1,(Import!$B$2:$B$12853=$H32)*(Import!$G$2:$G$12853=$K32),0))," "),"")</f>
        <v>Bolt</v>
      </c>
      <c r="N32" s="4">
        <f>SUMIFS(Import!$G$2:$G$12853,Import!$B$2:$B$12853,$H32,Import!$C$2:$C$12853,"Weapon")</f>
        <v>356.90000000000003</v>
      </c>
      <c r="O32" s="4">
        <f>SUMIFS(Import!$G$2:$G$12853,Import!$B$2:$B$12853,$H32,Import!$C$2:$C$12853,"Armor")</f>
        <v>617.55999999999983</v>
      </c>
      <c r="P32">
        <f t="shared" si="3"/>
        <v>487.2299999999999</v>
      </c>
      <c r="Q32" t="str">
        <f>_xlfn.LET(_xlpm.v,_xlfn.XLOOKUP(Table2[[#This Row],[Craft]],Table4[Material],Table4[Home POE],""),IF(_xlpm.v="","",_xlpm.v))</f>
        <v>Material</v>
      </c>
      <c r="R32" s="1">
        <f>_xlfn.LET(_xlpm.v,_xlfn.XLOOKUP(Table2[[#This Row],[Craft]],Table4[Material],Table4[Home Rarity],""),IF(_xlpm.v="","",_xlpm.v))</f>
        <v>1</v>
      </c>
    </row>
    <row r="33" spans="1:18" ht="14.25" customHeight="1" x14ac:dyDescent="0.45">
      <c r="A33" s="17" t="s">
        <v>23440</v>
      </c>
      <c r="B33" s="18" t="s">
        <v>25849</v>
      </c>
      <c r="C33" s="17">
        <f>COUNTIFS(Table2[Home POE],"Lower",Table2[Category],A33)</f>
        <v>0</v>
      </c>
      <c r="D33" s="17"/>
      <c r="E33" s="17"/>
      <c r="F33" s="17"/>
      <c r="G33" t="s">
        <v>23440</v>
      </c>
      <c r="H33" t="s">
        <v>23919</v>
      </c>
      <c r="I33">
        <v>6</v>
      </c>
      <c r="J33">
        <f>_xlfn.MAXIFS(Import!$G$2:$G$12853,Import!$B$2:$B$12853,$H33)</f>
        <v>22.8</v>
      </c>
      <c r="K33">
        <f>_xlfn.MINIFS(Import!$G$2:$G$12853,Import!$B$2:$B$12853,$H33)</f>
        <v>0.04</v>
      </c>
      <c r="L33" t="str" cm="1">
        <f t="array" ref="L33">IFERROR(_xlfn.TEXTAFTER(INDEX(Import!$D$2:$D$12853,MATCH(1,(Import!$B$2:$B$12853=$H33)*(Import!$G$2:$G$12853=$J33),0))," "),"")</f>
        <v>Lamellar Cuirass</v>
      </c>
      <c r="M33" t="str" cm="1">
        <f t="array" ref="M33">IFERROR(_xlfn.TEXTAFTER(INDEX(Import!$D$2:$D$12853,MATCH(1,(Import!$B$2:$B$12853=$H33)*(Import!$G$2:$G$12853=$K33),0))," "),"")</f>
        <v>Bolt</v>
      </c>
      <c r="N33" s="4">
        <f>SUMIFS(Import!$G$2:$G$12853,Import!$B$2:$B$12853,$H33,Import!$C$2:$C$12853,"Weapon")</f>
        <v>356.90000000000003</v>
      </c>
      <c r="O33" s="4">
        <f>SUMIFS(Import!$G$2:$G$12853,Import!$B$2:$B$12853,$H33,Import!$C$2:$C$12853,"Armor")</f>
        <v>350.40000000000003</v>
      </c>
      <c r="P33">
        <f t="shared" si="3"/>
        <v>353.65000000000003</v>
      </c>
      <c r="Q33" t="str">
        <f>_xlfn.LET(_xlpm.v,_xlfn.XLOOKUP(Table2[[#This Row],[Craft]],Table4[Material],Table4[Home POE],""),IF(_xlpm.v="","",_xlpm.v))</f>
        <v>Material</v>
      </c>
      <c r="R33" s="1">
        <f>_xlfn.LET(_xlpm.v,_xlfn.XLOOKUP(Table2[[#This Row],[Craft]],Table4[Material],Table4[Home Rarity],""),IF(_xlpm.v="","",_xlpm.v))</f>
        <v>1</v>
      </c>
    </row>
    <row r="34" spans="1:18" ht="14.25" customHeight="1" x14ac:dyDescent="0.45">
      <c r="A34" s="17" t="s">
        <v>20571</v>
      </c>
      <c r="B34" s="18" t="s">
        <v>25850</v>
      </c>
      <c r="C34" s="17">
        <f>COUNTIFS(Table2[Home POE],"Lower",Table2[Category],A34)</f>
        <v>1</v>
      </c>
      <c r="D34" s="17"/>
      <c r="E34" s="17"/>
      <c r="F34" s="17"/>
      <c r="G34" t="s">
        <v>8</v>
      </c>
      <c r="H34" t="s">
        <v>1208</v>
      </c>
      <c r="I34">
        <v>13.5</v>
      </c>
      <c r="J34">
        <f>_xlfn.MAXIFS(Import!$G$2:$G$12853,Import!$B$2:$B$12853,$H34)</f>
        <v>38.270000000000003</v>
      </c>
      <c r="K34">
        <f>_xlfn.MINIFS(Import!$G$2:$G$12853,Import!$B$2:$B$12853,$H34)</f>
        <v>0.04</v>
      </c>
      <c r="L34" t="str" cm="1">
        <f t="array" ref="L34">IFERROR(_xlfn.TEXTAFTER(INDEX(Import!$D$2:$D$12853,MATCH(1,(Import!$B$2:$B$12853=$H34)*(Import!$G$2:$G$12853=$J34),0))," "),"")</f>
        <v>Lamellar Cuirass</v>
      </c>
      <c r="M34" t="str" cm="1">
        <f t="array" ref="M34">IFERROR(_xlfn.TEXTAFTER(INDEX(Import!$D$2:$D$12853,MATCH(1,(Import!$B$2:$B$12853=$H34)*(Import!$G$2:$G$12853=$K34),0))," "),"")</f>
        <v>Bolt</v>
      </c>
      <c r="N34" s="4">
        <f>SUMIFS(Import!$G$2:$G$12853,Import!$B$2:$B$12853,$H34,Import!$C$2:$C$12853,"Weapon")</f>
        <v>356.90000000000003</v>
      </c>
      <c r="O34" s="4">
        <f>SUMIFS(Import!$G$2:$G$12853,Import!$B$2:$B$12853,$H34,Import!$C$2:$C$12853,"Armor")</f>
        <v>486.25999999999988</v>
      </c>
      <c r="P34">
        <f t="shared" si="3"/>
        <v>421.57999999999993</v>
      </c>
      <c r="Q34" t="str">
        <f>_xlfn.LET(_xlpm.v,_xlfn.XLOOKUP(Table2[[#This Row],[Craft]],Table4[Material],Table4[Home POE],""),IF(_xlpm.v="","",_xlpm.v))</f>
        <v/>
      </c>
      <c r="R34" s="1" t="str">
        <f>_xlfn.LET(_xlpm.v,_xlfn.XLOOKUP(Table2[[#This Row],[Craft]],Table4[Material],Table4[Home Rarity],""),IF(_xlpm.v="","",_xlpm.v))</f>
        <v/>
      </c>
    </row>
    <row r="35" spans="1:18" ht="14.25" customHeight="1" x14ac:dyDescent="0.45">
      <c r="A35" s="17" t="s">
        <v>2403</v>
      </c>
      <c r="B35" s="18" t="s">
        <v>25851</v>
      </c>
      <c r="C35" s="17">
        <f>COUNTIFS(Table2[Home POE],"Lower",Table2[Category],A35)</f>
        <v>1</v>
      </c>
      <c r="D35" s="17"/>
      <c r="E35" s="17"/>
      <c r="F35" s="17"/>
      <c r="G35" t="s">
        <v>2403</v>
      </c>
      <c r="H35" t="s">
        <v>12204</v>
      </c>
      <c r="J35">
        <f>_xlfn.MAXIFS(Import!$G$2:$G$12853,Import!$B$2:$B$12853,$H35)</f>
        <v>48.5</v>
      </c>
      <c r="K35">
        <f>_xlfn.MINIFS(Import!$G$2:$G$12853,Import!$B$2:$B$12853,$H35)</f>
        <v>0.04</v>
      </c>
      <c r="L35" t="str" cm="1">
        <f t="array" ref="L35">IFERROR(_xlfn.TEXTAFTER(INDEX(Import!$D$2:$D$12853,MATCH(1,(Import!$B$2:$B$12853=$H35)*(Import!$G$2:$G$12853=$J35),0))," "),"")</f>
        <v>Lamellar Cuirass</v>
      </c>
      <c r="M35" t="str" cm="1">
        <f t="array" ref="M35">IFERROR(_xlfn.TEXTAFTER(INDEX(Import!$D$2:$D$12853,MATCH(1,(Import!$B$2:$B$12853=$H35)*(Import!$G$2:$G$12853=$K35),0))," "),"")</f>
        <v>Bolt</v>
      </c>
      <c r="N35" s="4">
        <f>SUMIFS(Import!$G$2:$G$12853,Import!$B$2:$B$12853,$H35,Import!$C$2:$C$12853,"Weapon")</f>
        <v>356.90000000000003</v>
      </c>
      <c r="O35" s="4">
        <f>SUMIFS(Import!$G$2:$G$12853,Import!$B$2:$B$12853,$H35,Import!$C$2:$C$12853,"Armor")</f>
        <v>624.74</v>
      </c>
      <c r="P35">
        <f t="shared" si="3"/>
        <v>490.82000000000005</v>
      </c>
      <c r="Q35" t="str">
        <f>_xlfn.LET(_xlpm.v,_xlfn.XLOOKUP(Table2[[#This Row],[Craft]],Table4[Material],Table4[Home POE],""),IF(_xlpm.v="","",_xlpm.v))</f>
        <v>Material</v>
      </c>
      <c r="R35" s="1">
        <f>_xlfn.LET(_xlpm.v,_xlfn.XLOOKUP(Table2[[#This Row],[Craft]],Table4[Material],Table4[Home Rarity],""),IF(_xlpm.v="","",_xlpm.v))</f>
        <v>2</v>
      </c>
    </row>
    <row r="36" spans="1:18" ht="14.25" customHeight="1" x14ac:dyDescent="0.45">
      <c r="A36" s="17" t="s">
        <v>8</v>
      </c>
      <c r="B36" s="18" t="s">
        <v>25852</v>
      </c>
      <c r="C36" s="17">
        <f>COUNTIFS(Table2[Home POE],"Lower",Table2[Category],A36)</f>
        <v>1</v>
      </c>
      <c r="D36" s="17"/>
      <c r="E36" s="17"/>
      <c r="F36" s="17"/>
      <c r="G36" t="s">
        <v>8</v>
      </c>
      <c r="H36" t="s">
        <v>1447</v>
      </c>
      <c r="I36">
        <v>10.5</v>
      </c>
      <c r="J36">
        <f>_xlfn.MAXIFS(Import!$G$2:$G$12853,Import!$B$2:$B$12853,$H36)</f>
        <v>37.47</v>
      </c>
      <c r="K36">
        <f>_xlfn.MINIFS(Import!$G$2:$G$12853,Import!$B$2:$B$12853,$H36)</f>
        <v>0.04</v>
      </c>
      <c r="L36" t="str" cm="1">
        <f t="array" ref="L36">IFERROR(_xlfn.TEXTAFTER(INDEX(Import!$D$2:$D$12853,MATCH(1,(Import!$B$2:$B$12853=$H36)*(Import!$G$2:$G$12853=$J36),0))," "),"")</f>
        <v>Lamellar Cuirass</v>
      </c>
      <c r="M36" t="str" cm="1">
        <f t="array" ref="M36">IFERROR(_xlfn.TEXTAFTER(INDEX(Import!$D$2:$D$12853,MATCH(1,(Import!$B$2:$B$12853=$H36)*(Import!$G$2:$G$12853=$K36),0))," "),"")</f>
        <v>Bolt</v>
      </c>
      <c r="N36" s="4">
        <f>SUMIFS(Import!$G$2:$G$12853,Import!$B$2:$B$12853,$H36,Import!$C$2:$C$12853,"Weapon")</f>
        <v>356.90000000000003</v>
      </c>
      <c r="O36" s="4">
        <f>SUMIFS(Import!$G$2:$G$12853,Import!$B$2:$B$12853,$H36,Import!$C$2:$C$12853,"Armor")</f>
        <v>477.30000000000018</v>
      </c>
      <c r="P36">
        <f t="shared" si="3"/>
        <v>417.10000000000014</v>
      </c>
      <c r="Q36" t="str">
        <f>_xlfn.LET(_xlpm.v,_xlfn.XLOOKUP(Table2[[#This Row],[Craft]],Table4[Material],Table4[Home POE],""),IF(_xlpm.v="","",_xlpm.v))</f>
        <v/>
      </c>
      <c r="R36" s="1" t="str">
        <f>_xlfn.LET(_xlpm.v,_xlfn.XLOOKUP(Table2[[#This Row],[Craft]],Table4[Material],Table4[Home Rarity],""),IF(_xlpm.v="","",_xlpm.v))</f>
        <v/>
      </c>
    </row>
    <row r="37" spans="1:18" ht="14.25" customHeight="1" x14ac:dyDescent="0.45">
      <c r="A37" s="51" t="s">
        <v>25857</v>
      </c>
      <c r="B37" s="52"/>
      <c r="C37" s="52"/>
      <c r="D37" s="52"/>
      <c r="E37" s="52"/>
      <c r="F37" s="53"/>
      <c r="G37" t="s">
        <v>2403</v>
      </c>
      <c r="H37" t="s">
        <v>12443</v>
      </c>
      <c r="I37">
        <v>15</v>
      </c>
      <c r="J37">
        <f>_xlfn.MAXIFS(Import!$G$2:$G$12853,Import!$B$2:$B$12853,$H37)</f>
        <v>48.4</v>
      </c>
      <c r="K37">
        <f>_xlfn.MINIFS(Import!$G$2:$G$12853,Import!$B$2:$B$12853,$H37)</f>
        <v>0.04</v>
      </c>
      <c r="L37" t="str" cm="1">
        <f t="array" ref="L37">IFERROR(_xlfn.TEXTAFTER(INDEX(Import!$D$2:$D$12853,MATCH(1,(Import!$B$2:$B$12853=$H37)*(Import!$G$2:$G$12853=$J37),0))," "),"")</f>
        <v>Lamellar Cuirass</v>
      </c>
      <c r="M37" t="str" cm="1">
        <f t="array" ref="M37">IFERROR(_xlfn.TEXTAFTER(INDEX(Import!$D$2:$D$12853,MATCH(1,(Import!$B$2:$B$12853=$H37)*(Import!$G$2:$G$12853=$K37),0))," "),"")</f>
        <v>Bolt</v>
      </c>
      <c r="N37" s="4">
        <f>SUMIFS(Import!$G$2:$G$12853,Import!$B$2:$B$12853,$H37,Import!$C$2:$C$12853,"Weapon")</f>
        <v>356.90000000000003</v>
      </c>
      <c r="O37" s="4">
        <f>SUMIFS(Import!$G$2:$G$12853,Import!$B$2:$B$12853,$H37,Import!$C$2:$C$12853,"Armor")</f>
        <v>623.24</v>
      </c>
      <c r="P37">
        <f t="shared" si="3"/>
        <v>490.07000000000005</v>
      </c>
      <c r="Q37" t="str">
        <f>_xlfn.LET(_xlpm.v,_xlfn.XLOOKUP(Table2[[#This Row],[Craft]],Table4[Material],Table4[Home POE],""),IF(_xlpm.v="","",_xlpm.v))</f>
        <v>Material</v>
      </c>
      <c r="R37" s="1">
        <f>_xlfn.LET(_xlpm.v,_xlfn.XLOOKUP(Table2[[#This Row],[Craft]],Table4[Material],Table4[Home Rarity],""),IF(_xlpm.v="","",_xlpm.v))</f>
        <v>4</v>
      </c>
    </row>
    <row r="38" spans="1:18" ht="14.25" customHeight="1" x14ac:dyDescent="0.45">
      <c r="A38" s="19"/>
      <c r="B38" s="19" t="s">
        <v>25853</v>
      </c>
      <c r="C38" s="19"/>
      <c r="D38" s="19"/>
      <c r="E38" s="19"/>
      <c r="F38" s="19"/>
      <c r="G38" t="s">
        <v>14833</v>
      </c>
      <c r="H38" t="s">
        <v>14834</v>
      </c>
      <c r="I38">
        <v>1.2</v>
      </c>
      <c r="J38">
        <f>_xlfn.MAXIFS(Import!$G$2:$G$12853,Import!$B$2:$B$12853,$H38)</f>
        <v>22.67</v>
      </c>
      <c r="K38">
        <f>_xlfn.MINIFS(Import!$G$2:$G$12853,Import!$B$2:$B$12853,$H38)</f>
        <v>0.04</v>
      </c>
      <c r="L38" t="str" cm="1">
        <f t="array" ref="L38">IFERROR(_xlfn.TEXTAFTER(INDEX(Import!$D$2:$D$12853,MATCH(1,(Import!$B$2:$B$12853=$H38)*(Import!$G$2:$G$12853=$J38),0))," "),"")</f>
        <v>Hunting Trap (Large)</v>
      </c>
      <c r="M38" t="str" cm="1">
        <f t="array" ref="M38">IFERROR(_xlfn.TEXTAFTER(INDEX(Import!$D$2:$D$12853,MATCH(1,(Import!$B$2:$B$12853=$H38)*(Import!$G$2:$G$12853=$K38),0))," "),"")</f>
        <v>Bolt</v>
      </c>
      <c r="N38" s="4">
        <f>SUMIFS(Import!$G$2:$G$12853,Import!$B$2:$B$12853,$H38,Import!$C$2:$C$12853,"Weapon")</f>
        <v>356.90000000000003</v>
      </c>
      <c r="O38" s="4">
        <f>SUMIFS(Import!$G$2:$G$12853,Import!$B$2:$B$12853,$H38,Import!$C$2:$C$12853,"Armor")</f>
        <v>312.80000000000007</v>
      </c>
      <c r="P38">
        <f t="shared" si="3"/>
        <v>334.85</v>
      </c>
      <c r="Q38" t="str">
        <f>_xlfn.LET(_xlpm.v,_xlfn.XLOOKUP(Table2[[#This Row],[Craft]],Table4[Material],Table4[Home POE],""),IF(_xlpm.v="","",_xlpm.v))</f>
        <v>Material</v>
      </c>
      <c r="R38" s="1">
        <f>_xlfn.LET(_xlpm.v,_xlfn.XLOOKUP(Table2[[#This Row],[Craft]],Table4[Material],Table4[Home Rarity],""),IF(_xlpm.v="","",_xlpm.v))</f>
        <v>2</v>
      </c>
    </row>
    <row r="39" spans="1:18" ht="14.25" customHeight="1" x14ac:dyDescent="0.45">
      <c r="A39" s="19" t="s">
        <v>14833</v>
      </c>
      <c r="B39" s="20" t="s">
        <v>25846</v>
      </c>
      <c r="C39" s="19">
        <f>COUNTIFS(Table2[Home POE],"Feywild",Table2[Category],A39)</f>
        <v>0</v>
      </c>
      <c r="D39" s="19"/>
      <c r="E39" s="19"/>
      <c r="F39" s="19"/>
      <c r="G39" t="s">
        <v>2403</v>
      </c>
      <c r="H39" t="s">
        <v>12682</v>
      </c>
      <c r="I39">
        <v>16</v>
      </c>
      <c r="J39">
        <f>_xlfn.MAXIFS(Import!$G$2:$G$12853,Import!$B$2:$B$12853,$H39)</f>
        <v>48.69</v>
      </c>
      <c r="K39">
        <f>_xlfn.MINIFS(Import!$G$2:$G$12853,Import!$B$2:$B$12853,$H39)</f>
        <v>0.04</v>
      </c>
      <c r="L39" t="str" cm="1">
        <f t="array" ref="L39">IFERROR(_xlfn.TEXTAFTER(INDEX(Import!$D$2:$D$12853,MATCH(1,(Import!$B$2:$B$12853=$H39)*(Import!$G$2:$G$12853=$J39),0))," "),"")</f>
        <v>Lamellar Cuirass</v>
      </c>
      <c r="M39" t="str" cm="1">
        <f t="array" ref="M39">IFERROR(_xlfn.TEXTAFTER(INDEX(Import!$D$2:$D$12853,MATCH(1,(Import!$B$2:$B$12853=$H39)*(Import!$G$2:$G$12853=$K39),0))," "),"")</f>
        <v>Bolt</v>
      </c>
      <c r="N39" s="4">
        <f>SUMIFS(Import!$G$2:$G$12853,Import!$B$2:$B$12853,$H39,Import!$C$2:$C$12853,"Weapon")</f>
        <v>356.90000000000003</v>
      </c>
      <c r="O39" s="4">
        <f>SUMIFS(Import!$G$2:$G$12853,Import!$B$2:$B$12853,$H39,Import!$C$2:$C$12853,"Armor")</f>
        <v>627.46000000000026</v>
      </c>
      <c r="P39">
        <f t="shared" si="3"/>
        <v>492.18000000000018</v>
      </c>
      <c r="Q39" t="str">
        <f>_xlfn.LET(_xlpm.v,_xlfn.XLOOKUP(Table2[[#This Row],[Craft]],Table4[Material],Table4[Home POE],""),IF(_xlpm.v="","",_xlpm.v))</f>
        <v>Material</v>
      </c>
      <c r="R39" s="1">
        <f>_xlfn.LET(_xlpm.v,_xlfn.XLOOKUP(Table2[[#This Row],[Craft]],Table4[Material],Table4[Home Rarity],""),IF(_xlpm.v="","",_xlpm.v))</f>
        <v>3</v>
      </c>
    </row>
    <row r="40" spans="1:18" ht="14.25" customHeight="1" x14ac:dyDescent="0.45">
      <c r="A40" s="19" t="s">
        <v>17702</v>
      </c>
      <c r="B40" s="20" t="s">
        <v>25847</v>
      </c>
      <c r="C40" s="19">
        <f>COUNTIFS(Table2[Home POE],"Feywild",Table2[Category],A40)</f>
        <v>0</v>
      </c>
      <c r="D40" s="19"/>
      <c r="E40" s="19"/>
      <c r="F40" s="19"/>
      <c r="G40" t="s">
        <v>17702</v>
      </c>
      <c r="H40" t="s">
        <v>18181</v>
      </c>
      <c r="I40">
        <v>4.3</v>
      </c>
      <c r="J40">
        <f>_xlfn.MAXIFS(Import!$G$2:$G$12853,Import!$B$2:$B$12853,$H40)</f>
        <v>22.67</v>
      </c>
      <c r="K40">
        <f>_xlfn.MINIFS(Import!$G$2:$G$12853,Import!$B$2:$B$12853,$H40)</f>
        <v>0.04</v>
      </c>
      <c r="L40" t="str" cm="1">
        <f t="array" ref="L40">IFERROR(_xlfn.TEXTAFTER(INDEX(Import!$D$2:$D$12853,MATCH(1,(Import!$B$2:$B$12853=$H40)*(Import!$G$2:$G$12853=$J40),0))," "),"")</f>
        <v>Hunting Trap (Large)</v>
      </c>
      <c r="M40" t="str" cm="1">
        <f t="array" ref="M40">IFERROR(_xlfn.TEXTAFTER(INDEX(Import!$D$2:$D$12853,MATCH(1,(Import!$B$2:$B$12853=$H40)*(Import!$G$2:$G$12853=$K40),0))," "),"")</f>
        <v>Bolt</v>
      </c>
      <c r="N40" s="4">
        <f>SUMIFS(Import!$G$2:$G$12853,Import!$B$2:$B$12853,$H40,Import!$C$2:$C$12853,"Weapon")</f>
        <v>356.90000000000003</v>
      </c>
      <c r="O40" s="4">
        <f>SUMIFS(Import!$G$2:$G$12853,Import!$B$2:$B$12853,$H40,Import!$C$2:$C$12853,"Armor")</f>
        <v>328.3</v>
      </c>
      <c r="P40">
        <f t="shared" si="3"/>
        <v>342.6</v>
      </c>
      <c r="Q40" t="str">
        <f>_xlfn.LET(_xlpm.v,_xlfn.XLOOKUP(Table2[[#This Row],[Craft]],Table4[Material],Table4[Home POE],""),IF(_xlpm.v="","",_xlpm.v))</f>
        <v>Material</v>
      </c>
      <c r="R40" s="1">
        <f>_xlfn.LET(_xlpm.v,_xlfn.XLOOKUP(Table2[[#This Row],[Craft]],Table4[Material],Table4[Home Rarity],""),IF(_xlpm.v="","",_xlpm.v))</f>
        <v>1</v>
      </c>
    </row>
    <row r="41" spans="1:18" ht="14.25" customHeight="1" x14ac:dyDescent="0.45">
      <c r="A41" s="19" t="s">
        <v>5989</v>
      </c>
      <c r="B41" s="20" t="s">
        <v>25848</v>
      </c>
      <c r="C41" s="19">
        <f>COUNTIFS(Table2[Home POE],"Feywild",Table2[Category],A41)</f>
        <v>2</v>
      </c>
      <c r="D41" s="19"/>
      <c r="E41" s="19"/>
      <c r="F41" s="19"/>
      <c r="G41" t="s">
        <v>8</v>
      </c>
      <c r="H41" t="s">
        <v>1686</v>
      </c>
      <c r="J41">
        <f>_xlfn.MAXIFS(Import!$G$2:$G$12853,Import!$B$2:$B$12853,$H41)</f>
        <v>38</v>
      </c>
      <c r="K41">
        <f>_xlfn.MINIFS(Import!$G$2:$G$12853,Import!$B$2:$B$12853,$H41)</f>
        <v>0.04</v>
      </c>
      <c r="L41" t="str" cm="1">
        <f t="array" ref="L41">IFERROR(_xlfn.TEXTAFTER(INDEX(Import!$D$2:$D$12853,MATCH(1,(Import!$B$2:$B$12853=$H41)*(Import!$G$2:$G$12853=$J41),0))," "),"")</f>
        <v>Lamellar Cuirass</v>
      </c>
      <c r="M41" t="str" cm="1">
        <f t="array" ref="M41">IFERROR(_xlfn.TEXTAFTER(INDEX(Import!$D$2:$D$12853,MATCH(1,(Import!$B$2:$B$12853=$H41)*(Import!$G$2:$G$12853=$K41),0))," "),"")</f>
        <v>Bolt</v>
      </c>
      <c r="N41" s="4">
        <f>SUMIFS(Import!$G$2:$G$12853,Import!$B$2:$B$12853,$H41,Import!$C$2:$C$12853,"Weapon")</f>
        <v>356.90000000000003</v>
      </c>
      <c r="O41" s="4">
        <f>SUMIFS(Import!$G$2:$G$12853,Import!$B$2:$B$12853,$H41,Import!$C$2:$C$12853,"Armor")</f>
        <v>483.3</v>
      </c>
      <c r="P41">
        <f t="shared" si="3"/>
        <v>420.1</v>
      </c>
      <c r="Q41" t="str">
        <f>_xlfn.LET(_xlpm.v,_xlfn.XLOOKUP(Table2[[#This Row],[Craft]],Table4[Material],Table4[Home POE],""),IF(_xlpm.v="","",_xlpm.v))</f>
        <v/>
      </c>
      <c r="R41" s="1" t="str">
        <f>_xlfn.LET(_xlpm.v,_xlfn.XLOOKUP(Table2[[#This Row],[Craft]],Table4[Material],Table4[Home Rarity],""),IF(_xlpm.v="","",_xlpm.v))</f>
        <v/>
      </c>
    </row>
    <row r="42" spans="1:18" ht="14.25" customHeight="1" x14ac:dyDescent="0.45">
      <c r="A42" s="19" t="s">
        <v>23440</v>
      </c>
      <c r="B42" s="20" t="s">
        <v>25849</v>
      </c>
      <c r="C42" s="19">
        <f>COUNTIFS(Table2[Home POE],"Feywild",Table2[Category],A42)</f>
        <v>0</v>
      </c>
      <c r="D42" s="19"/>
      <c r="E42" s="19"/>
      <c r="F42" s="19"/>
      <c r="G42" t="s">
        <v>17702</v>
      </c>
      <c r="H42" t="s">
        <v>18420</v>
      </c>
      <c r="I42">
        <v>5</v>
      </c>
      <c r="J42">
        <f>_xlfn.MAXIFS(Import!$G$2:$G$12853,Import!$B$2:$B$12853,$H42)</f>
        <v>22.67</v>
      </c>
      <c r="K42">
        <f>_xlfn.MINIFS(Import!$G$2:$G$12853,Import!$B$2:$B$12853,$H42)</f>
        <v>0.04</v>
      </c>
      <c r="L42" t="str" cm="1">
        <f t="array" ref="L42">IFERROR(_xlfn.TEXTAFTER(INDEX(Import!$D$2:$D$12853,MATCH(1,(Import!$B$2:$B$12853=$H42)*(Import!$G$2:$G$12853=$J42),0))," "),"")</f>
        <v>Hunting Trap (Large)</v>
      </c>
      <c r="M42" t="str" cm="1">
        <f t="array" ref="M42">IFERROR(_xlfn.TEXTAFTER(INDEX(Import!$D$2:$D$12853,MATCH(1,(Import!$B$2:$B$12853=$H42)*(Import!$G$2:$G$12853=$K42),0))," "),"")</f>
        <v>Bolt</v>
      </c>
      <c r="N42" s="4">
        <f>SUMIFS(Import!$G$2:$G$12853,Import!$B$2:$B$12853,$H42,Import!$C$2:$C$12853,"Weapon")</f>
        <v>356.90000000000003</v>
      </c>
      <c r="O42" s="4">
        <f>SUMIFS(Import!$G$2:$G$12853,Import!$B$2:$B$12853,$H42,Import!$C$2:$C$12853,"Armor")</f>
        <v>328.3</v>
      </c>
      <c r="P42">
        <f t="shared" si="3"/>
        <v>342.6</v>
      </c>
      <c r="Q42" t="str">
        <f>_xlfn.LET(_xlpm.v,_xlfn.XLOOKUP(Table2[[#This Row],[Craft]],Table4[Material],Table4[Home POE],""),IF(_xlpm.v="","",_xlpm.v))</f>
        <v/>
      </c>
      <c r="R42" s="1" t="str">
        <f>_xlfn.LET(_xlpm.v,_xlfn.XLOOKUP(Table2[[#This Row],[Craft]],Table4[Material],Table4[Home Rarity],""),IF(_xlpm.v="","",_xlpm.v))</f>
        <v/>
      </c>
    </row>
    <row r="43" spans="1:18" ht="14.25" customHeight="1" x14ac:dyDescent="0.45">
      <c r="A43" s="19" t="s">
        <v>20571</v>
      </c>
      <c r="B43" s="20" t="s">
        <v>25850</v>
      </c>
      <c r="C43" s="19">
        <f>COUNTIFS(Table2[Home POE],"Feywild",Table2[Category],A43)</f>
        <v>0</v>
      </c>
      <c r="D43" s="19"/>
      <c r="E43" s="19"/>
      <c r="F43" s="19"/>
      <c r="G43" t="s">
        <v>17702</v>
      </c>
      <c r="H43" t="s">
        <v>20332</v>
      </c>
      <c r="I43">
        <v>3.5</v>
      </c>
      <c r="J43">
        <f>_xlfn.MAXIFS(Import!$G$2:$G$12853,Import!$B$2:$B$12853,$H43)</f>
        <v>22.67</v>
      </c>
      <c r="K43">
        <f>_xlfn.MINIFS(Import!$G$2:$G$12853,Import!$B$2:$B$12853,$H43)</f>
        <v>0.04</v>
      </c>
      <c r="L43" t="str" cm="1">
        <f t="array" ref="L43">IFERROR(_xlfn.TEXTAFTER(INDEX(Import!$D$2:$D$12853,MATCH(1,(Import!$B$2:$B$12853=$H43)*(Import!$G$2:$G$12853=$J43),0))," "),"")</f>
        <v>Hunting Trap (Large)</v>
      </c>
      <c r="M43" t="str" cm="1">
        <f t="array" ref="M43">IFERROR(_xlfn.TEXTAFTER(INDEX(Import!$D$2:$D$12853,MATCH(1,(Import!$B$2:$B$12853=$H43)*(Import!$G$2:$G$12853=$K43),0))," "),"")</f>
        <v>Bolt</v>
      </c>
      <c r="N43" s="4">
        <f>SUMIFS(Import!$G$2:$G$12853,Import!$B$2:$B$12853,$H43,Import!$C$2:$C$12853,"Weapon")</f>
        <v>356.90000000000003</v>
      </c>
      <c r="O43" s="4">
        <f>SUMIFS(Import!$G$2:$G$12853,Import!$B$2:$B$12853,$H43,Import!$C$2:$C$12853,"Armor")</f>
        <v>330.86</v>
      </c>
      <c r="P43">
        <f t="shared" si="3"/>
        <v>343.88</v>
      </c>
      <c r="Q43" t="str">
        <f>_xlfn.LET(_xlpm.v,_xlfn.XLOOKUP(Table2[[#This Row],[Craft]],Table4[Material],Table4[Home POE],""),IF(_xlpm.v="","",_xlpm.v))</f>
        <v>Material/Shadow seam</v>
      </c>
      <c r="R43" s="1">
        <f>_xlfn.LET(_xlpm.v,_xlfn.XLOOKUP(Table2[[#This Row],[Craft]],Table4[Material],Table4[Home Rarity],""),IF(_xlpm.v="","",_xlpm.v))</f>
        <v>4</v>
      </c>
    </row>
    <row r="44" spans="1:18" ht="14.25" customHeight="1" x14ac:dyDescent="0.45">
      <c r="A44" s="19" t="s">
        <v>2403</v>
      </c>
      <c r="B44" s="20" t="s">
        <v>25851</v>
      </c>
      <c r="C44" s="19">
        <f>COUNTIFS(Table2[Home POE],"Feywild",Table2[Category],A44)</f>
        <v>0</v>
      </c>
      <c r="D44" s="19"/>
      <c r="E44" s="19"/>
      <c r="F44" s="19"/>
      <c r="G44" t="s">
        <v>5989</v>
      </c>
      <c r="H44" t="s">
        <v>7663</v>
      </c>
      <c r="J44">
        <f>_xlfn.MAXIFS(Import!$G$2:$G$12853,Import!$B$2:$B$12853,$H44)</f>
        <v>26.8</v>
      </c>
      <c r="K44">
        <f>_xlfn.MINIFS(Import!$G$2:$G$12853,Import!$B$2:$B$12853,$H44)</f>
        <v>0.04</v>
      </c>
      <c r="L44" t="str" cm="1">
        <f t="array" ref="L44">IFERROR(_xlfn.TEXTAFTER(INDEX(Import!$D$2:$D$12853,MATCH(1,(Import!$B$2:$B$12853=$H44)*(Import!$G$2:$G$12853=$J44),0))," "),"")</f>
        <v>Lamellar Cuirass</v>
      </c>
      <c r="M44" t="str" cm="1">
        <f t="array" ref="M44">IFERROR(_xlfn.TEXTAFTER(INDEX(Import!$D$2:$D$12853,MATCH(1,(Import!$B$2:$B$12853=$H44)*(Import!$G$2:$G$12853=$K44),0))," "),"")</f>
        <v>Bolt</v>
      </c>
      <c r="N44" s="4">
        <f>SUMIFS(Import!$G$2:$G$12853,Import!$B$2:$B$12853,$H44,Import!$C$2:$C$12853,"Weapon")</f>
        <v>356.90000000000003</v>
      </c>
      <c r="O44" s="4">
        <f>SUMIFS(Import!$G$2:$G$12853,Import!$B$2:$B$12853,$H44,Import!$C$2:$C$12853,"Armor")</f>
        <v>382.22000000000008</v>
      </c>
      <c r="P44">
        <f t="shared" ref="P44:P75" si="4">AVERAGE(N44:O44)</f>
        <v>369.56000000000006</v>
      </c>
      <c r="Q44" t="str">
        <f>_xlfn.LET(_xlpm.v,_xlfn.XLOOKUP(Table2[[#This Row],[Craft]],Table4[Material],Table4[Home POE],""),IF(_xlpm.v="","",_xlpm.v))</f>
        <v>Feywild</v>
      </c>
      <c r="R44" s="1">
        <f>_xlfn.LET(_xlpm.v,_xlfn.XLOOKUP(Table2[[#This Row],[Craft]],Table4[Material],Table4[Home Rarity],""),IF(_xlpm.v="","",_xlpm.v))</f>
        <v>2</v>
      </c>
    </row>
    <row r="45" spans="1:18" ht="14.25" customHeight="1" x14ac:dyDescent="0.45">
      <c r="A45" s="19" t="s">
        <v>8</v>
      </c>
      <c r="B45" s="20" t="s">
        <v>25852</v>
      </c>
      <c r="C45" s="19">
        <f>COUNTIFS(Table2[Home POE],"Feywild",Table2[Category],A45)</f>
        <v>1</v>
      </c>
      <c r="D45" s="19"/>
      <c r="E45" s="19"/>
      <c r="F45" s="19"/>
      <c r="G45" t="s">
        <v>8</v>
      </c>
      <c r="H45" t="s">
        <v>1925</v>
      </c>
      <c r="J45">
        <f>_xlfn.MAXIFS(Import!$G$2:$G$12853,Import!$B$2:$B$12853,$H45)</f>
        <v>38</v>
      </c>
      <c r="K45">
        <f>_xlfn.MINIFS(Import!$G$2:$G$12853,Import!$B$2:$B$12853,$H45)</f>
        <v>0.04</v>
      </c>
      <c r="L45" t="str" cm="1">
        <f t="array" ref="L45">IFERROR(_xlfn.TEXTAFTER(INDEX(Import!$D$2:$D$12853,MATCH(1,(Import!$B$2:$B$12853=$H45)*(Import!$G$2:$G$12853=$J45),0))," "),"")</f>
        <v>Lamellar Cuirass</v>
      </c>
      <c r="M45" t="str" cm="1">
        <f t="array" ref="M45">IFERROR(_xlfn.TEXTAFTER(INDEX(Import!$D$2:$D$12853,MATCH(1,(Import!$B$2:$B$12853=$H45)*(Import!$G$2:$G$12853=$K45),0))," "),"")</f>
        <v>Bolt</v>
      </c>
      <c r="N45" s="4">
        <f>SUMIFS(Import!$G$2:$G$12853,Import!$B$2:$B$12853,$H45,Import!$C$2:$C$12853,"Weapon")</f>
        <v>356.90000000000003</v>
      </c>
      <c r="O45" s="4">
        <f>SUMIFS(Import!$G$2:$G$12853,Import!$B$2:$B$12853,$H45,Import!$C$2:$C$12853,"Armor")</f>
        <v>483.3</v>
      </c>
      <c r="P45">
        <f t="shared" si="4"/>
        <v>420.1</v>
      </c>
      <c r="Q45" t="str">
        <f>_xlfn.LET(_xlpm.v,_xlfn.XLOOKUP(Table2[[#This Row],[Craft]],Table4[Material],Table4[Home POE],""),IF(_xlpm.v="","",_xlpm.v))</f>
        <v/>
      </c>
      <c r="R45" s="1" t="str">
        <f>_xlfn.LET(_xlpm.v,_xlfn.XLOOKUP(Table2[[#This Row],[Craft]],Table4[Material],Table4[Home Rarity],""),IF(_xlpm.v="","",_xlpm.v))</f>
        <v/>
      </c>
    </row>
    <row r="46" spans="1:18" ht="14.25" customHeight="1" x14ac:dyDescent="0.45">
      <c r="A46" s="23" t="s">
        <v>25858</v>
      </c>
      <c r="B46" s="23"/>
      <c r="C46" s="23"/>
      <c r="D46" s="23"/>
      <c r="E46" s="23"/>
      <c r="F46" s="23"/>
      <c r="G46" t="s">
        <v>20571</v>
      </c>
      <c r="H46" t="s">
        <v>21289</v>
      </c>
      <c r="I46">
        <v>14.5</v>
      </c>
      <c r="J46">
        <f>_xlfn.MAXIFS(Import!$G$2:$G$12853,Import!$B$2:$B$12853,$H46)</f>
        <v>33.25</v>
      </c>
      <c r="K46">
        <f>_xlfn.MINIFS(Import!$G$2:$G$12853,Import!$B$2:$B$12853,$H46)</f>
        <v>0.04</v>
      </c>
      <c r="L46" t="str" cm="1">
        <f t="array" ref="L46">IFERROR(_xlfn.TEXTAFTER(INDEX(Import!$D$2:$D$12853,MATCH(1,(Import!$B$2:$B$12853=$H46)*(Import!$G$2:$G$12853=$J46),0))," "),"")</f>
        <v>Tower Shield</v>
      </c>
      <c r="M46" t="str" cm="1">
        <f t="array" ref="M46">IFERROR(_xlfn.TEXTAFTER(INDEX(Import!$D$2:$D$12853,MATCH(1,(Import!$B$2:$B$12853=$H46)*(Import!$G$2:$G$12853=$K46),0))," "),"")</f>
        <v>Bolt</v>
      </c>
      <c r="N46" s="4">
        <f>SUMIFS(Import!$G$2:$G$12853,Import!$B$2:$B$12853,$H46,Import!$C$2:$C$12853,"Weapon")</f>
        <v>356.90000000000003</v>
      </c>
      <c r="O46" s="4">
        <f>SUMIFS(Import!$G$2:$G$12853,Import!$B$2:$B$12853,$H46,Import!$C$2:$C$12853,"Armor")</f>
        <v>437.39999999999992</v>
      </c>
      <c r="P46">
        <f t="shared" si="4"/>
        <v>397.15</v>
      </c>
      <c r="Q46" t="str">
        <f>_xlfn.LET(_xlpm.v,_xlfn.XLOOKUP(Table2[[#This Row],[Craft]],Table4[Material],Table4[Home POE],""),IF(_xlpm.v="","",_xlpm.v))</f>
        <v/>
      </c>
      <c r="R46" s="1" t="str">
        <f>_xlfn.LET(_xlpm.v,_xlfn.XLOOKUP(Table2[[#This Row],[Craft]],Table4[Material],Table4[Home Rarity],""),IF(_xlpm.v="","",_xlpm.v))</f>
        <v/>
      </c>
    </row>
    <row r="47" spans="1:18" ht="14.25" customHeight="1" x14ac:dyDescent="0.45">
      <c r="A47" s="21"/>
      <c r="B47" s="21" t="s">
        <v>25853</v>
      </c>
      <c r="C47" s="21"/>
      <c r="D47" s="21"/>
      <c r="E47" s="21"/>
      <c r="F47" s="21"/>
      <c r="G47" t="s">
        <v>23440</v>
      </c>
      <c r="H47" t="s">
        <v>24158</v>
      </c>
      <c r="J47">
        <f>_xlfn.MAXIFS(Import!$G$2:$G$12853,Import!$B$2:$B$12853,$H47)</f>
        <v>23</v>
      </c>
      <c r="K47">
        <f>_xlfn.MINIFS(Import!$G$2:$G$12853,Import!$B$2:$B$12853,$H47)</f>
        <v>0.04</v>
      </c>
      <c r="L47" t="str" cm="1">
        <f t="array" ref="L47">IFERROR(_xlfn.TEXTAFTER(INDEX(Import!$D$2:$D$12853,MATCH(1,(Import!$B$2:$B$12853=$H47)*(Import!$G$2:$G$12853=$J47),0))," "),"")</f>
        <v>Lamellar Cuirass</v>
      </c>
      <c r="M47" t="str" cm="1">
        <f t="array" ref="M47">IFERROR(_xlfn.TEXTAFTER(INDEX(Import!$D$2:$D$12853,MATCH(1,(Import!$B$2:$B$12853=$H47)*(Import!$G$2:$G$12853=$K47),0))," "),"")</f>
        <v>Bolt</v>
      </c>
      <c r="N47" s="4">
        <f>SUMIFS(Import!$G$2:$G$12853,Import!$B$2:$B$12853,$H47,Import!$C$2:$C$12853,"Weapon")</f>
        <v>356.90000000000003</v>
      </c>
      <c r="O47" s="4">
        <f>SUMIFS(Import!$G$2:$G$12853,Import!$B$2:$B$12853,$H47,Import!$C$2:$C$12853,"Armor")</f>
        <v>352</v>
      </c>
      <c r="P47">
        <f t="shared" si="4"/>
        <v>354.45000000000005</v>
      </c>
      <c r="Q47" t="str">
        <f>_xlfn.LET(_xlpm.v,_xlfn.XLOOKUP(Table2[[#This Row],[Craft]],Table4[Material],Table4[Home POE],""),IF(_xlpm.v="","",_xlpm.v))</f>
        <v/>
      </c>
      <c r="R47" s="1" t="str">
        <f>_xlfn.LET(_xlpm.v,_xlfn.XLOOKUP(Table2[[#This Row],[Craft]],Table4[Material],Table4[Home Rarity],""),IF(_xlpm.v="","",_xlpm.v))</f>
        <v/>
      </c>
    </row>
    <row r="48" spans="1:18" ht="14.25" customHeight="1" x14ac:dyDescent="0.45">
      <c r="A48" s="21" t="s">
        <v>14833</v>
      </c>
      <c r="B48" s="22" t="s">
        <v>25846</v>
      </c>
      <c r="C48" s="21">
        <f>COUNTIFS(Table2[Home POE],"Shadowfell",Table2[Category],A48)</f>
        <v>0</v>
      </c>
      <c r="D48" s="21"/>
      <c r="E48" s="21"/>
      <c r="F48" s="21"/>
      <c r="G48" t="s">
        <v>8</v>
      </c>
      <c r="H48" t="s">
        <v>2164</v>
      </c>
      <c r="J48">
        <f>_xlfn.MAXIFS(Import!$G$2:$G$12853,Import!$B$2:$B$12853,$H48)</f>
        <v>38</v>
      </c>
      <c r="K48">
        <f>_xlfn.MINIFS(Import!$G$2:$G$12853,Import!$B$2:$B$12853,$H48)</f>
        <v>0.04</v>
      </c>
      <c r="L48" t="str" cm="1">
        <f t="array" ref="L48">IFERROR(_xlfn.TEXTAFTER(INDEX(Import!$D$2:$D$12853,MATCH(1,(Import!$B$2:$B$12853=$H48)*(Import!$G$2:$G$12853=$J48),0))," "),"")</f>
        <v>Lamellar Cuirass</v>
      </c>
      <c r="M48" t="str" cm="1">
        <f t="array" ref="M48">IFERROR(_xlfn.TEXTAFTER(INDEX(Import!$D$2:$D$12853,MATCH(1,(Import!$B$2:$B$12853=$H48)*(Import!$G$2:$G$12853=$K48),0))," "),"")</f>
        <v>Bolt</v>
      </c>
      <c r="N48" s="4">
        <f>SUMIFS(Import!$G$2:$G$12853,Import!$B$2:$B$12853,$H48,Import!$C$2:$C$12853,"Weapon")</f>
        <v>356.90000000000003</v>
      </c>
      <c r="O48" s="4">
        <f>SUMIFS(Import!$G$2:$G$12853,Import!$B$2:$B$12853,$H48,Import!$C$2:$C$12853,"Armor")</f>
        <v>483.3</v>
      </c>
      <c r="P48">
        <f t="shared" si="4"/>
        <v>420.1</v>
      </c>
      <c r="Q48" t="str">
        <f>_xlfn.LET(_xlpm.v,_xlfn.XLOOKUP(Table2[[#This Row],[Craft]],Table4[Material],Table4[Home POE],""),IF(_xlpm.v="","",_xlpm.v))</f>
        <v>Astral</v>
      </c>
      <c r="R48" s="1">
        <f>_xlfn.LET(_xlpm.v,_xlfn.XLOOKUP(Table2[[#This Row],[Craft]],Table4[Material],Table4[Home Rarity],""),IF(_xlpm.v="","",_xlpm.v))</f>
        <v>2</v>
      </c>
    </row>
    <row r="49" spans="1:18" ht="14.25" customHeight="1" x14ac:dyDescent="0.45">
      <c r="A49" s="21" t="s">
        <v>17702</v>
      </c>
      <c r="B49" s="22" t="s">
        <v>25847</v>
      </c>
      <c r="C49" s="21">
        <f>COUNTIFS(Table2[Home POE],"Shadowfell",Table2[Category],A49)</f>
        <v>0</v>
      </c>
      <c r="D49" s="21"/>
      <c r="E49" s="21"/>
      <c r="F49" s="21"/>
      <c r="G49" t="s">
        <v>5989</v>
      </c>
      <c r="H49" t="s">
        <v>7902</v>
      </c>
      <c r="J49">
        <f>_xlfn.MAXIFS(Import!$G$2:$G$12853,Import!$B$2:$B$12853,$H49)</f>
        <v>26.8</v>
      </c>
      <c r="K49">
        <f>_xlfn.MINIFS(Import!$G$2:$G$12853,Import!$B$2:$B$12853,$H49)</f>
        <v>0.04</v>
      </c>
      <c r="L49" t="str" cm="1">
        <f t="array" ref="L49">IFERROR(_xlfn.TEXTAFTER(INDEX(Import!$D$2:$D$12853,MATCH(1,(Import!$B$2:$B$12853=$H49)*(Import!$G$2:$G$12853=$J49),0))," "),"")</f>
        <v>Lamellar Cuirass</v>
      </c>
      <c r="M49" t="str" cm="1">
        <f t="array" ref="M49">IFERROR(_xlfn.TEXTAFTER(INDEX(Import!$D$2:$D$12853,MATCH(1,(Import!$B$2:$B$12853=$H49)*(Import!$G$2:$G$12853=$K49),0))," "),"")</f>
        <v>Bolt</v>
      </c>
      <c r="N49" s="4">
        <f>SUMIFS(Import!$G$2:$G$12853,Import!$B$2:$B$12853,$H49,Import!$C$2:$C$12853,"Weapon")</f>
        <v>356.90000000000003</v>
      </c>
      <c r="O49" s="4">
        <f>SUMIFS(Import!$G$2:$G$12853,Import!$B$2:$B$12853,$H49,Import!$C$2:$C$12853,"Armor")</f>
        <v>382.22000000000008</v>
      </c>
      <c r="P49">
        <f t="shared" si="4"/>
        <v>369.56000000000006</v>
      </c>
      <c r="Q49" t="str">
        <f>_xlfn.LET(_xlpm.v,_xlfn.XLOOKUP(Table2[[#This Row],[Craft]],Table4[Material],Table4[Home POE],""),IF(_xlpm.v="","",_xlpm.v))</f>
        <v/>
      </c>
      <c r="R49" s="1" t="str">
        <f>_xlfn.LET(_xlpm.v,_xlfn.XLOOKUP(Table2[[#This Row],[Craft]],Table4[Material],Table4[Home Rarity],""),IF(_xlpm.v="","",_xlpm.v))</f>
        <v/>
      </c>
    </row>
    <row r="50" spans="1:18" ht="14.25" customHeight="1" x14ac:dyDescent="0.45">
      <c r="A50" s="21" t="s">
        <v>5989</v>
      </c>
      <c r="B50" s="22" t="s">
        <v>25848</v>
      </c>
      <c r="C50" s="21">
        <f>COUNTIFS(Table2[Home POE],"Shadowfell",Table2[Category],A50)</f>
        <v>0</v>
      </c>
      <c r="D50" s="21"/>
      <c r="E50" s="21"/>
      <c r="F50" s="21"/>
      <c r="G50" t="s">
        <v>20571</v>
      </c>
      <c r="H50" t="s">
        <v>21528</v>
      </c>
      <c r="I50">
        <v>17.5</v>
      </c>
      <c r="J50">
        <f>_xlfn.MAXIFS(Import!$G$2:$G$12853,Import!$B$2:$B$12853,$H50)</f>
        <v>42.25</v>
      </c>
      <c r="K50">
        <f>_xlfn.MINIFS(Import!$G$2:$G$12853,Import!$B$2:$B$12853,$H50)</f>
        <v>0.04</v>
      </c>
      <c r="L50" t="str" cm="1">
        <f t="array" ref="L50">IFERROR(_xlfn.TEXTAFTER(INDEX(Import!$D$2:$D$12853,MATCH(1,(Import!$B$2:$B$12853=$H50)*(Import!$G$2:$G$12853=$J50),0))," "),"")</f>
        <v>Tower Shield</v>
      </c>
      <c r="M50" t="str" cm="1">
        <f t="array" ref="M50">IFERROR(_xlfn.TEXTAFTER(INDEX(Import!$D$2:$D$12853,MATCH(1,(Import!$B$2:$B$12853=$H50)*(Import!$G$2:$G$12853=$K50),0))," "),"")</f>
        <v>Bolt</v>
      </c>
      <c r="N50" s="4">
        <f>SUMIFS(Import!$G$2:$G$12853,Import!$B$2:$B$12853,$H50,Import!$C$2:$C$12853,"Weapon")</f>
        <v>356.90000000000003</v>
      </c>
      <c r="O50" s="4">
        <f>SUMIFS(Import!$G$2:$G$12853,Import!$B$2:$B$12853,$H50,Import!$C$2:$C$12853,"Armor")</f>
        <v>446.2</v>
      </c>
      <c r="P50">
        <f t="shared" si="4"/>
        <v>401.55</v>
      </c>
      <c r="Q50" t="str">
        <f>_xlfn.LET(_xlpm.v,_xlfn.XLOOKUP(Table2[[#This Row],[Craft]],Table4[Material],Table4[Home POE],""),IF(_xlpm.v="","",_xlpm.v))</f>
        <v>Material</v>
      </c>
      <c r="R50" s="1">
        <f>_xlfn.LET(_xlpm.v,_xlfn.XLOOKUP(Table2[[#This Row],[Craft]],Table4[Material],Table4[Home Rarity],""),IF(_xlpm.v="","",_xlpm.v))</f>
        <v>3</v>
      </c>
    </row>
    <row r="51" spans="1:18" ht="14.25" customHeight="1" x14ac:dyDescent="0.45">
      <c r="A51" s="21" t="s">
        <v>23440</v>
      </c>
      <c r="B51" s="22" t="s">
        <v>25849</v>
      </c>
      <c r="C51" s="21">
        <f>COUNTIFS(Table2[Home POE],"Shadowfell",Table2[Category],A51)</f>
        <v>0</v>
      </c>
      <c r="D51" s="21"/>
      <c r="E51" s="21"/>
      <c r="F51" s="21"/>
      <c r="G51" t="s">
        <v>5989</v>
      </c>
      <c r="H51" t="s">
        <v>8141</v>
      </c>
      <c r="I51">
        <v>6</v>
      </c>
      <c r="J51">
        <f>_xlfn.MAXIFS(Import!$G$2:$G$12853,Import!$B$2:$B$12853,$H51)</f>
        <v>26</v>
      </c>
      <c r="K51">
        <f>_xlfn.MINIFS(Import!$G$2:$G$12853,Import!$B$2:$B$12853,$H51)</f>
        <v>0.04</v>
      </c>
      <c r="L51" t="str" cm="1">
        <f t="array" ref="L51">IFERROR(_xlfn.TEXTAFTER(INDEX(Import!$D$2:$D$12853,MATCH(1,(Import!$B$2:$B$12853=$H51)*(Import!$G$2:$G$12853=$J51),0))," "),"")</f>
        <v>Lamellar Cuirass</v>
      </c>
      <c r="M51" t="str" cm="1">
        <f t="array" ref="M51">IFERROR(_xlfn.TEXTAFTER(INDEX(Import!$D$2:$D$12853,MATCH(1,(Import!$B$2:$B$12853=$H51)*(Import!$G$2:$G$12853=$K51),0))," "),"")</f>
        <v>Bolt</v>
      </c>
      <c r="N51" s="4">
        <f>SUMIFS(Import!$G$2:$G$12853,Import!$B$2:$B$12853,$H51,Import!$C$2:$C$12853,"Weapon")</f>
        <v>356.90000000000003</v>
      </c>
      <c r="O51" s="4">
        <f>SUMIFS(Import!$G$2:$G$12853,Import!$B$2:$B$12853,$H51,Import!$C$2:$C$12853,"Armor")</f>
        <v>375.2999999999999</v>
      </c>
      <c r="P51">
        <f t="shared" si="4"/>
        <v>366.09999999999997</v>
      </c>
      <c r="Q51" t="str">
        <f>_xlfn.LET(_xlpm.v,_xlfn.XLOOKUP(Table2[[#This Row],[Craft]],Table4[Material],Table4[Home POE],""),IF(_xlpm.v="","",_xlpm.v))</f>
        <v>Material</v>
      </c>
      <c r="R51" s="1">
        <f>_xlfn.LET(_xlpm.v,_xlfn.XLOOKUP(Table2[[#This Row],[Craft]],Table4[Material],Table4[Home Rarity],""),IF(_xlpm.v="","",_xlpm.v))</f>
        <v>1</v>
      </c>
    </row>
    <row r="52" spans="1:18" ht="14.25" customHeight="1" x14ac:dyDescent="0.45">
      <c r="A52" s="21" t="s">
        <v>20571</v>
      </c>
      <c r="B52" s="22" t="s">
        <v>25850</v>
      </c>
      <c r="C52" s="21">
        <f>COUNTIFS(Table2[Home POE],"Shadowfell",Table2[Category],A52)</f>
        <v>0</v>
      </c>
      <c r="D52" s="21"/>
      <c r="E52" s="21"/>
      <c r="F52" s="21"/>
      <c r="G52" t="s">
        <v>2403</v>
      </c>
      <c r="H52" t="s">
        <v>12921</v>
      </c>
      <c r="J52">
        <f>_xlfn.MAXIFS(Import!$G$2:$G$12853,Import!$B$2:$B$12853,$H52)</f>
        <v>48.5</v>
      </c>
      <c r="K52">
        <f>_xlfn.MINIFS(Import!$G$2:$G$12853,Import!$B$2:$B$12853,$H52)</f>
        <v>0.04</v>
      </c>
      <c r="L52" t="str" cm="1">
        <f t="array" ref="L52">IFERROR(_xlfn.TEXTAFTER(INDEX(Import!$D$2:$D$12853,MATCH(1,(Import!$B$2:$B$12853=$H52)*(Import!$G$2:$G$12853=$J52),0))," "),"")</f>
        <v>Lamellar Cuirass</v>
      </c>
      <c r="M52" t="str" cm="1">
        <f t="array" ref="M52">IFERROR(_xlfn.TEXTAFTER(INDEX(Import!$D$2:$D$12853,MATCH(1,(Import!$B$2:$B$12853=$H52)*(Import!$G$2:$G$12853=$K52),0))," "),"")</f>
        <v>Bolt</v>
      </c>
      <c r="N52" s="4">
        <f>SUMIFS(Import!$G$2:$G$12853,Import!$B$2:$B$12853,$H52,Import!$C$2:$C$12853,"Weapon")</f>
        <v>356.90000000000003</v>
      </c>
      <c r="O52" s="4">
        <f>SUMIFS(Import!$G$2:$G$12853,Import!$B$2:$B$12853,$H52,Import!$C$2:$C$12853,"Armor")</f>
        <v>624.74</v>
      </c>
      <c r="P52">
        <f t="shared" si="4"/>
        <v>490.82000000000005</v>
      </c>
      <c r="Q52" t="str">
        <f>_xlfn.LET(_xlpm.v,_xlfn.XLOOKUP(Table2[[#This Row],[Craft]],Table4[Material],Table4[Home POE],""),IF(_xlpm.v="","",_xlpm.v))</f>
        <v/>
      </c>
      <c r="R52" s="1" t="str">
        <f>_xlfn.LET(_xlpm.v,_xlfn.XLOOKUP(Table2[[#This Row],[Craft]],Table4[Material],Table4[Home Rarity],""),IF(_xlpm.v="","",_xlpm.v))</f>
        <v/>
      </c>
    </row>
    <row r="53" spans="1:18" ht="14.25" customHeight="1" x14ac:dyDescent="0.45">
      <c r="A53" s="21" t="s">
        <v>2403</v>
      </c>
      <c r="B53" s="22" t="s">
        <v>25851</v>
      </c>
      <c r="C53" s="21">
        <f>COUNTIFS(Table2[Home POE],"Shadowfell",Table2[Category],A53)</f>
        <v>0</v>
      </c>
      <c r="D53" s="21"/>
      <c r="E53" s="21"/>
      <c r="F53" s="21"/>
      <c r="G53" t="s">
        <v>2403</v>
      </c>
      <c r="H53" t="s">
        <v>13160</v>
      </c>
      <c r="I53">
        <v>19.5</v>
      </c>
      <c r="J53">
        <f>_xlfn.MAXIFS(Import!$G$2:$G$12853,Import!$B$2:$B$12853,$H53)</f>
        <v>50</v>
      </c>
      <c r="K53">
        <f>_xlfn.MINIFS(Import!$G$2:$G$12853,Import!$B$2:$B$12853,$H53)</f>
        <v>0.04</v>
      </c>
      <c r="L53" t="str" cm="1">
        <f t="array" ref="L53">IFERROR(_xlfn.TEXTAFTER(INDEX(Import!$D$2:$D$12853,MATCH(1,(Import!$B$2:$B$12853=$H53)*(Import!$G$2:$G$12853=$J53),0))," "),"")</f>
        <v>Lamellar Cuirass</v>
      </c>
      <c r="M53" t="str" cm="1">
        <f t="array" ref="M53">IFERROR(_xlfn.TEXTAFTER(INDEX(Import!$D$2:$D$12853,MATCH(1,(Import!$B$2:$B$12853=$H53)*(Import!$G$2:$G$12853=$K53),0))," "),"")</f>
        <v>Bolt</v>
      </c>
      <c r="N53" s="4">
        <f>SUMIFS(Import!$G$2:$G$12853,Import!$B$2:$B$12853,$H53,Import!$C$2:$C$12853,"Weapon")</f>
        <v>356.90000000000003</v>
      </c>
      <c r="O53" s="4">
        <f>SUMIFS(Import!$G$2:$G$12853,Import!$B$2:$B$12853,$H53,Import!$C$2:$C$12853,"Armor")</f>
        <v>646.20000000000016</v>
      </c>
      <c r="P53">
        <f t="shared" si="4"/>
        <v>501.55000000000007</v>
      </c>
      <c r="Q53" t="str">
        <f>_xlfn.LET(_xlpm.v,_xlfn.XLOOKUP(Table2[[#This Row],[Craft]],Table4[Material],Table4[Home POE],""),IF(_xlpm.v="","",_xlpm.v))</f>
        <v>Upper</v>
      </c>
      <c r="R53" s="1">
        <f>_xlfn.LET(_xlpm.v,_xlfn.XLOOKUP(Table2[[#This Row],[Craft]],Table4[Material],Table4[Home Rarity],""),IF(_xlpm.v="","",_xlpm.v))</f>
        <v>4</v>
      </c>
    </row>
    <row r="54" spans="1:18" ht="14.25" customHeight="1" x14ac:dyDescent="0.45">
      <c r="A54" s="21" t="s">
        <v>8</v>
      </c>
      <c r="B54" s="22" t="s">
        <v>25852</v>
      </c>
      <c r="C54" s="21">
        <f>COUNTIFS(Table2[Home POE],"Shadowfell",Table2[Category],A54)</f>
        <v>0</v>
      </c>
      <c r="D54" s="21"/>
      <c r="E54" s="21"/>
      <c r="F54" s="21"/>
      <c r="G54" t="s">
        <v>2403</v>
      </c>
      <c r="H54" t="s">
        <v>2404</v>
      </c>
      <c r="J54">
        <f>_xlfn.MAXIFS(Import!$G$2:$G$12853,Import!$B$2:$B$12853,$H54)</f>
        <v>48.5</v>
      </c>
      <c r="K54">
        <f>_xlfn.MINIFS(Import!$G$2:$G$12853,Import!$B$2:$B$12853,$H54)</f>
        <v>0.04</v>
      </c>
      <c r="L54" t="str" cm="1">
        <f t="array" ref="L54">IFERROR(_xlfn.TEXTAFTER(INDEX(Import!$D$2:$D$12853,MATCH(1,(Import!$B$2:$B$12853=$H54)*(Import!$G$2:$G$12853=$J54),0))," "),"")</f>
        <v>Lamellar Cuirass</v>
      </c>
      <c r="M54" t="str" cm="1">
        <f t="array" ref="M54">IFERROR(_xlfn.TEXTAFTER(INDEX(Import!$D$2:$D$12853,MATCH(1,(Import!$B$2:$B$12853=$H54)*(Import!$G$2:$G$12853=$K54),0))," "),"")</f>
        <v>Bolt</v>
      </c>
      <c r="N54" s="4">
        <f>SUMIFS(Import!$G$2:$G$12853,Import!$B$2:$B$12853,$H54,Import!$C$2:$C$12853,"Weapon")</f>
        <v>356.90000000000003</v>
      </c>
      <c r="O54" s="4">
        <f>SUMIFS(Import!$G$2:$G$12853,Import!$B$2:$B$12853,$H54,Import!$C$2:$C$12853,"Armor")</f>
        <v>624.74</v>
      </c>
      <c r="P54">
        <f t="shared" si="4"/>
        <v>490.82000000000005</v>
      </c>
      <c r="Q54" t="str">
        <f>_xlfn.LET(_xlpm.v,_xlfn.XLOOKUP(Table2[[#This Row],[Craft]],Table4[Material],Table4[Home POE],""),IF(_xlpm.v="","",_xlpm.v))</f>
        <v>Outer</v>
      </c>
      <c r="R54" s="1">
        <f>_xlfn.LET(_xlpm.v,_xlfn.XLOOKUP(Table2[[#This Row],[Craft]],Table4[Material],Table4[Home Rarity],""),IF(_xlpm.v="","",_xlpm.v))</f>
        <v>3</v>
      </c>
    </row>
    <row r="55" spans="1:18" ht="14.25" customHeight="1" x14ac:dyDescent="0.45">
      <c r="G55" t="s">
        <v>8</v>
      </c>
      <c r="H55" t="s">
        <v>2643</v>
      </c>
      <c r="J55">
        <f>_xlfn.MAXIFS(Import!$G$2:$G$12853,Import!$B$2:$B$12853,$H55)</f>
        <v>38</v>
      </c>
      <c r="K55">
        <f>_xlfn.MINIFS(Import!$G$2:$G$12853,Import!$B$2:$B$12853,$H55)</f>
        <v>0.04</v>
      </c>
      <c r="L55" t="str" cm="1">
        <f t="array" ref="L55">IFERROR(_xlfn.TEXTAFTER(INDEX(Import!$D$2:$D$12853,MATCH(1,(Import!$B$2:$B$12853=$H55)*(Import!$G$2:$G$12853=$J55),0))," "),"")</f>
        <v>Lamellar Cuirass</v>
      </c>
      <c r="M55" t="str" cm="1">
        <f t="array" ref="M55">IFERROR(_xlfn.TEXTAFTER(INDEX(Import!$D$2:$D$12853,MATCH(1,(Import!$B$2:$B$12853=$H55)*(Import!$G$2:$G$12853=$K55),0))," "),"")</f>
        <v>Bolt</v>
      </c>
      <c r="N55" s="4">
        <f>SUMIFS(Import!$G$2:$G$12853,Import!$B$2:$B$12853,$H55,Import!$C$2:$C$12853,"Weapon")</f>
        <v>356.90000000000003</v>
      </c>
      <c r="O55" s="4">
        <f>SUMIFS(Import!$G$2:$G$12853,Import!$B$2:$B$12853,$H55,Import!$C$2:$C$12853,"Armor")</f>
        <v>483.3</v>
      </c>
      <c r="P55">
        <f t="shared" si="4"/>
        <v>420.1</v>
      </c>
      <c r="Q55" t="str">
        <f>_xlfn.LET(_xlpm.v,_xlfn.XLOOKUP(Table2[[#This Row],[Craft]],Table4[Material],Table4[Home POE],""),IF(_xlpm.v="","",_xlpm.v))</f>
        <v>Material</v>
      </c>
      <c r="R55" s="1">
        <f>_xlfn.LET(_xlpm.v,_xlfn.XLOOKUP(Table2[[#This Row],[Craft]],Table4[Material],Table4[Home Rarity],""),IF(_xlpm.v="","",_xlpm.v))</f>
        <v>3</v>
      </c>
    </row>
    <row r="56" spans="1:18" ht="14.25" customHeight="1" x14ac:dyDescent="0.45">
      <c r="G56" t="s">
        <v>17702</v>
      </c>
      <c r="H56" t="s">
        <v>18659</v>
      </c>
      <c r="I56">
        <v>4.2</v>
      </c>
      <c r="J56">
        <f>_xlfn.MAXIFS(Import!$G$2:$G$12853,Import!$B$2:$B$12853,$H56)</f>
        <v>22.67</v>
      </c>
      <c r="K56">
        <f>_xlfn.MINIFS(Import!$G$2:$G$12853,Import!$B$2:$B$12853,$H56)</f>
        <v>0.04</v>
      </c>
      <c r="L56" t="str" cm="1">
        <f t="array" ref="L56">IFERROR(_xlfn.TEXTAFTER(INDEX(Import!$D$2:$D$12853,MATCH(1,(Import!$B$2:$B$12853=$H56)*(Import!$G$2:$G$12853=$J56),0))," "),"")</f>
        <v>Hunting Trap (Large)</v>
      </c>
      <c r="M56" t="str" cm="1">
        <f t="array" ref="M56">IFERROR(_xlfn.TEXTAFTER(INDEX(Import!$D$2:$D$12853,MATCH(1,(Import!$B$2:$B$12853=$H56)*(Import!$G$2:$G$12853=$K56),0))," "),"")</f>
        <v>Bolt</v>
      </c>
      <c r="N56" s="4">
        <f>SUMIFS(Import!$G$2:$G$12853,Import!$B$2:$B$12853,$H56,Import!$C$2:$C$12853,"Weapon")</f>
        <v>356.90000000000003</v>
      </c>
      <c r="O56" s="4">
        <f>SUMIFS(Import!$G$2:$G$12853,Import!$B$2:$B$12853,$H56,Import!$C$2:$C$12853,"Armor")</f>
        <v>321.89999999999998</v>
      </c>
      <c r="P56">
        <f t="shared" si="4"/>
        <v>339.4</v>
      </c>
      <c r="Q56" t="str">
        <f>_xlfn.LET(_xlpm.v,_xlfn.XLOOKUP(Table2[[#This Row],[Craft]],Table4[Material],Table4[Home POE],""),IF(_xlpm.v="","",_xlpm.v))</f>
        <v/>
      </c>
      <c r="R56" s="1" t="str">
        <f>_xlfn.LET(_xlpm.v,_xlfn.XLOOKUP(Table2[[#This Row],[Craft]],Table4[Material],Table4[Home Rarity],""),IF(_xlpm.v="","",_xlpm.v))</f>
        <v/>
      </c>
    </row>
    <row r="57" spans="1:18" ht="14.25" customHeight="1" x14ac:dyDescent="0.45">
      <c r="G57" t="s">
        <v>23440</v>
      </c>
      <c r="H57" t="s">
        <v>24397</v>
      </c>
      <c r="J57">
        <f>_xlfn.MAXIFS(Import!$G$2:$G$12853,Import!$B$2:$B$12853,$H57)</f>
        <v>23</v>
      </c>
      <c r="K57">
        <f>_xlfn.MINIFS(Import!$G$2:$G$12853,Import!$B$2:$B$12853,$H57)</f>
        <v>0.04</v>
      </c>
      <c r="L57" t="str" cm="1">
        <f t="array" ref="L57">IFERROR(_xlfn.TEXTAFTER(INDEX(Import!$D$2:$D$12853,MATCH(1,(Import!$B$2:$B$12853=$H57)*(Import!$G$2:$G$12853=$J57),0))," "),"")</f>
        <v>Lamellar Cuirass</v>
      </c>
      <c r="M57" t="str" cm="1">
        <f t="array" ref="M57">IFERROR(_xlfn.TEXTAFTER(INDEX(Import!$D$2:$D$12853,MATCH(1,(Import!$B$2:$B$12853=$H57)*(Import!$G$2:$G$12853=$K57),0))," "),"")</f>
        <v>Bolt</v>
      </c>
      <c r="N57" s="4">
        <f>SUMIFS(Import!$G$2:$G$12853,Import!$B$2:$B$12853,$H57,Import!$C$2:$C$12853,"Weapon")</f>
        <v>356.90000000000003</v>
      </c>
      <c r="O57" s="4">
        <f>SUMIFS(Import!$G$2:$G$12853,Import!$B$2:$B$12853,$H57,Import!$C$2:$C$12853,"Armor")</f>
        <v>352</v>
      </c>
      <c r="P57">
        <f t="shared" si="4"/>
        <v>354.45000000000005</v>
      </c>
      <c r="Q57" t="str">
        <f>_xlfn.LET(_xlpm.v,_xlfn.XLOOKUP(Table2[[#This Row],[Craft]],Table4[Material],Table4[Home POE],""),IF(_xlpm.v="","",_xlpm.v))</f>
        <v/>
      </c>
      <c r="R57" s="1" t="str">
        <f>_xlfn.LET(_xlpm.v,_xlfn.XLOOKUP(Table2[[#This Row],[Craft]],Table4[Material],Table4[Home Rarity],""),IF(_xlpm.v="","",_xlpm.v))</f>
        <v/>
      </c>
    </row>
    <row r="58" spans="1:18" ht="14.25" customHeight="1" x14ac:dyDescent="0.45">
      <c r="G58" t="s">
        <v>17702</v>
      </c>
      <c r="H58" t="s">
        <v>18898</v>
      </c>
      <c r="I58">
        <v>3.625</v>
      </c>
      <c r="J58">
        <f>_xlfn.MAXIFS(Import!$G$2:$G$12853,Import!$B$2:$B$12853,$H58)</f>
        <v>22.67</v>
      </c>
      <c r="K58">
        <f>_xlfn.MINIFS(Import!$G$2:$G$12853,Import!$B$2:$B$12853,$H58)</f>
        <v>0.04</v>
      </c>
      <c r="L58" t="str" cm="1">
        <f t="array" ref="L58">IFERROR(_xlfn.TEXTAFTER(INDEX(Import!$D$2:$D$12853,MATCH(1,(Import!$B$2:$B$12853=$H58)*(Import!$G$2:$G$12853=$J58),0))," "),"")</f>
        <v>Hunting Trap (Large)</v>
      </c>
      <c r="M58" t="str" cm="1">
        <f t="array" ref="M58">IFERROR(_xlfn.TEXTAFTER(INDEX(Import!$D$2:$D$12853,MATCH(1,(Import!$B$2:$B$12853=$H58)*(Import!$G$2:$G$12853=$K58),0))," "),"")</f>
        <v>Bolt</v>
      </c>
      <c r="N58" s="4">
        <f>SUMIFS(Import!$G$2:$G$12853,Import!$B$2:$B$12853,$H58,Import!$C$2:$C$12853,"Weapon")</f>
        <v>356.90000000000003</v>
      </c>
      <c r="O58" s="4">
        <f>SUMIFS(Import!$G$2:$G$12853,Import!$B$2:$B$12853,$H58,Import!$C$2:$C$12853,"Armor")</f>
        <v>328.3</v>
      </c>
      <c r="P58">
        <f t="shared" si="4"/>
        <v>342.6</v>
      </c>
      <c r="Q58" t="str">
        <f>_xlfn.LET(_xlpm.v,_xlfn.XLOOKUP(Table2[[#This Row],[Craft]],Table4[Material],Table4[Home POE],""),IF(_xlpm.v="","",_xlpm.v))</f>
        <v/>
      </c>
      <c r="R58" s="1" t="str">
        <f>_xlfn.LET(_xlpm.v,_xlfn.XLOOKUP(Table2[[#This Row],[Craft]],Table4[Material],Table4[Home Rarity],""),IF(_xlpm.v="","",_xlpm.v))</f>
        <v/>
      </c>
    </row>
    <row r="59" spans="1:18" ht="14.25" customHeight="1" x14ac:dyDescent="0.45">
      <c r="G59" t="s">
        <v>20571</v>
      </c>
      <c r="H59" t="s">
        <v>21767</v>
      </c>
      <c r="I59">
        <v>12</v>
      </c>
      <c r="J59">
        <f>_xlfn.MAXIFS(Import!$G$2:$G$12853,Import!$B$2:$B$12853,$H59)</f>
        <v>32.5</v>
      </c>
      <c r="K59">
        <f>_xlfn.MINIFS(Import!$G$2:$G$12853,Import!$B$2:$B$12853,$H59)</f>
        <v>0.04</v>
      </c>
      <c r="L59" t="str" cm="1">
        <f t="array" ref="L59">IFERROR(_xlfn.TEXTAFTER(INDEX(Import!$D$2:$D$12853,MATCH(1,(Import!$B$2:$B$12853=$H59)*(Import!$G$2:$G$12853=$J59),0))," "),"")</f>
        <v>Lamellar Cuirass</v>
      </c>
      <c r="M59" t="str" cm="1">
        <f t="array" ref="M59">IFERROR(_xlfn.TEXTAFTER(INDEX(Import!$D$2:$D$12853,MATCH(1,(Import!$B$2:$B$12853=$H59)*(Import!$G$2:$G$12853=$K59),0))," "),"")</f>
        <v>Bolt</v>
      </c>
      <c r="N59" s="4">
        <f>SUMIFS(Import!$G$2:$G$12853,Import!$B$2:$B$12853,$H59,Import!$C$2:$C$12853,"Weapon")</f>
        <v>356.90000000000003</v>
      </c>
      <c r="O59" s="4">
        <f>SUMIFS(Import!$G$2:$G$12853,Import!$B$2:$B$12853,$H59,Import!$C$2:$C$12853,"Armor")</f>
        <v>430.2</v>
      </c>
      <c r="P59">
        <f t="shared" si="4"/>
        <v>393.55</v>
      </c>
      <c r="Q59" t="str">
        <f>_xlfn.LET(_xlpm.v,_xlfn.XLOOKUP(Table2[[#This Row],[Craft]],Table4[Material],Table4[Home POE],""),IF(_xlpm.v="","",_xlpm.v))</f>
        <v>Material</v>
      </c>
      <c r="R59" s="1">
        <f>_xlfn.LET(_xlpm.v,_xlfn.XLOOKUP(Table2[[#This Row],[Craft]],Table4[Material],Table4[Home Rarity],""),IF(_xlpm.v="","",_xlpm.v))</f>
        <v>4</v>
      </c>
    </row>
    <row r="60" spans="1:18" ht="14.25" customHeight="1" x14ac:dyDescent="0.45">
      <c r="G60" t="s">
        <v>8</v>
      </c>
      <c r="H60" t="s">
        <v>2882</v>
      </c>
      <c r="I60">
        <v>15.5</v>
      </c>
      <c r="J60">
        <f>_xlfn.MAXIFS(Import!$G$2:$G$12853,Import!$B$2:$B$12853,$H60)</f>
        <v>38.799999999999997</v>
      </c>
      <c r="K60">
        <f>_xlfn.MINIFS(Import!$G$2:$G$12853,Import!$B$2:$B$12853,$H60)</f>
        <v>0.04</v>
      </c>
      <c r="L60" t="str" cm="1">
        <f t="array" ref="L60">IFERROR(_xlfn.TEXTAFTER(INDEX(Import!$D$2:$D$12853,MATCH(1,(Import!$B$2:$B$12853=$H60)*(Import!$G$2:$G$12853=$J60),0))," "),"")</f>
        <v>Lamellar Cuirass</v>
      </c>
      <c r="M60" t="str" cm="1">
        <f t="array" ref="M60">IFERROR(_xlfn.TEXTAFTER(INDEX(Import!$D$2:$D$12853,MATCH(1,(Import!$B$2:$B$12853=$H60)*(Import!$G$2:$G$12853=$K60),0))," "),"")</f>
        <v>Bolt</v>
      </c>
      <c r="N60" s="4">
        <f>SUMIFS(Import!$G$2:$G$12853,Import!$B$2:$B$12853,$H60,Import!$C$2:$C$12853,"Weapon")</f>
        <v>356.90000000000003</v>
      </c>
      <c r="O60" s="4">
        <f>SUMIFS(Import!$G$2:$G$12853,Import!$B$2:$B$12853,$H60,Import!$C$2:$C$12853,"Armor")</f>
        <v>492.3900000000001</v>
      </c>
      <c r="P60">
        <f t="shared" si="4"/>
        <v>424.6450000000001</v>
      </c>
      <c r="Q60" t="str">
        <f>_xlfn.LET(_xlpm.v,_xlfn.XLOOKUP(Table2[[#This Row],[Craft]],Table4[Material],Table4[Home POE],""),IF(_xlpm.v="","",_xlpm.v))</f>
        <v>Material</v>
      </c>
      <c r="R60" s="1">
        <f>_xlfn.LET(_xlpm.v,_xlfn.XLOOKUP(Table2[[#This Row],[Craft]],Table4[Material],Table4[Home Rarity],""),IF(_xlpm.v="","",_xlpm.v))</f>
        <v>3</v>
      </c>
    </row>
    <row r="61" spans="1:18" ht="14.25" customHeight="1" x14ac:dyDescent="0.45">
      <c r="G61" t="s">
        <v>5989</v>
      </c>
      <c r="H61" t="s">
        <v>8380</v>
      </c>
      <c r="I61">
        <v>6</v>
      </c>
      <c r="J61">
        <f>_xlfn.MAXIFS(Import!$G$2:$G$12853,Import!$B$2:$B$12853,$H61)</f>
        <v>26</v>
      </c>
      <c r="K61">
        <f>_xlfn.MINIFS(Import!$G$2:$G$12853,Import!$B$2:$B$12853,$H61)</f>
        <v>0.04</v>
      </c>
      <c r="L61" t="str" cm="1">
        <f t="array" ref="L61">IFERROR(_xlfn.TEXTAFTER(INDEX(Import!$D$2:$D$12853,MATCH(1,(Import!$B$2:$B$12853=$H61)*(Import!$G$2:$G$12853=$J61),0))," "),"")</f>
        <v>Lamellar Cuirass</v>
      </c>
      <c r="M61" t="str" cm="1">
        <f t="array" ref="M61">IFERROR(_xlfn.TEXTAFTER(INDEX(Import!$D$2:$D$12853,MATCH(1,(Import!$B$2:$B$12853=$H61)*(Import!$G$2:$G$12853=$K61),0))," "),"")</f>
        <v>Bolt</v>
      </c>
      <c r="N61" s="4">
        <f>SUMIFS(Import!$G$2:$G$12853,Import!$B$2:$B$12853,$H61,Import!$C$2:$C$12853,"Weapon")</f>
        <v>356.90000000000003</v>
      </c>
      <c r="O61" s="4">
        <f>SUMIFS(Import!$G$2:$G$12853,Import!$B$2:$B$12853,$H61,Import!$C$2:$C$12853,"Armor")</f>
        <v>375.2999999999999</v>
      </c>
      <c r="P61">
        <f t="shared" si="4"/>
        <v>366.09999999999997</v>
      </c>
      <c r="Q61" t="str">
        <f>_xlfn.LET(_xlpm.v,_xlfn.XLOOKUP(Table2[[#This Row],[Craft]],Table4[Material],Table4[Home POE],""),IF(_xlpm.v="","",_xlpm.v))</f>
        <v>Material</v>
      </c>
      <c r="R61" s="1">
        <f>_xlfn.LET(_xlpm.v,_xlfn.XLOOKUP(Table2[[#This Row],[Craft]],Table4[Material],Table4[Home Rarity],""),IF(_xlpm.v="","",_xlpm.v))</f>
        <v>1</v>
      </c>
    </row>
    <row r="62" spans="1:18" ht="14.25" customHeight="1" x14ac:dyDescent="0.45">
      <c r="G62" t="s">
        <v>14833</v>
      </c>
      <c r="H62" t="s">
        <v>15073</v>
      </c>
      <c r="I62">
        <v>1.5</v>
      </c>
      <c r="J62">
        <f>_xlfn.MAXIFS(Import!$G$2:$G$12853,Import!$B$2:$B$12853,$H62)</f>
        <v>22.67</v>
      </c>
      <c r="K62">
        <f>_xlfn.MINIFS(Import!$G$2:$G$12853,Import!$B$2:$B$12853,$H62)</f>
        <v>-5.75</v>
      </c>
      <c r="L62" t="str" cm="1">
        <f t="array" ref="L62">IFERROR(_xlfn.TEXTAFTER(INDEX(Import!$D$2:$D$12853,MATCH(1,(Import!$B$2:$B$12853=$H62)*(Import!$G$2:$G$12853=$J62),0))," "),"")</f>
        <v>Hunting Trap (Large)</v>
      </c>
      <c r="M62" t="str" cm="1">
        <f t="array" ref="M62">IFERROR(_xlfn.TEXTAFTER(INDEX(Import!$D$2:$D$12853,MATCH(1,(Import!$B$2:$B$12853=$H62)*(Import!$G$2:$G$12853=$K62),0))," "),"")</f>
        <v>Tower Shield</v>
      </c>
      <c r="N62" s="4">
        <f>SUMIFS(Import!$G$2:$G$12853,Import!$B$2:$B$12853,$H62,Import!$C$2:$C$12853,"Weapon")</f>
        <v>356.90000000000003</v>
      </c>
      <c r="O62" s="4">
        <f>SUMIFS(Import!$G$2:$G$12853,Import!$B$2:$B$12853,$H62,Import!$C$2:$C$12853,"Armor")</f>
        <v>314.71999999999997</v>
      </c>
      <c r="P62">
        <f t="shared" si="4"/>
        <v>335.81</v>
      </c>
      <c r="Q62" t="str">
        <f>_xlfn.LET(_xlpm.v,_xlfn.XLOOKUP(Table2[[#This Row],[Craft]],Table4[Material],Table4[Home POE],""),IF(_xlpm.v="","",_xlpm.v))</f>
        <v>Material</v>
      </c>
      <c r="R62" s="1">
        <f>_xlfn.LET(_xlpm.v,_xlfn.XLOOKUP(Table2[[#This Row],[Craft]],Table4[Material],Table4[Home Rarity],""),IF(_xlpm.v="","",_xlpm.v))</f>
        <v>1</v>
      </c>
    </row>
    <row r="63" spans="1:18" ht="14.25" customHeight="1" x14ac:dyDescent="0.45">
      <c r="G63" t="s">
        <v>8</v>
      </c>
      <c r="H63" t="s">
        <v>3121</v>
      </c>
      <c r="J63">
        <f>_xlfn.MAXIFS(Import!$G$2:$G$12853,Import!$B$2:$B$12853,$H63)</f>
        <v>38</v>
      </c>
      <c r="K63">
        <f>_xlfn.MINIFS(Import!$G$2:$G$12853,Import!$B$2:$B$12853,$H63)</f>
        <v>0.04</v>
      </c>
      <c r="L63" t="str" cm="1">
        <f t="array" ref="L63">IFERROR(_xlfn.TEXTAFTER(INDEX(Import!$D$2:$D$12853,MATCH(1,(Import!$B$2:$B$12853=$H63)*(Import!$G$2:$G$12853=$J63),0))," "),"")</f>
        <v>Lamellar Cuirass</v>
      </c>
      <c r="M63" t="str" cm="1">
        <f t="array" ref="M63">IFERROR(_xlfn.TEXTAFTER(INDEX(Import!$D$2:$D$12853,MATCH(1,(Import!$B$2:$B$12853=$H63)*(Import!$G$2:$G$12853=$K63),0))," "),"")</f>
        <v>Bolt</v>
      </c>
      <c r="N63" s="4">
        <f>SUMIFS(Import!$G$2:$G$12853,Import!$B$2:$B$12853,$H63,Import!$C$2:$C$12853,"Weapon")</f>
        <v>356.90000000000003</v>
      </c>
      <c r="O63" s="4">
        <f>SUMIFS(Import!$G$2:$G$12853,Import!$B$2:$B$12853,$H63,Import!$C$2:$C$12853,"Armor")</f>
        <v>483.3</v>
      </c>
      <c r="P63">
        <f t="shared" si="4"/>
        <v>420.1</v>
      </c>
      <c r="Q63" t="str">
        <f>_xlfn.LET(_xlpm.v,_xlfn.XLOOKUP(Table2[[#This Row],[Craft]],Table4[Material],Table4[Home POE],""),IF(_xlpm.v="","",_xlpm.v))</f>
        <v>Material</v>
      </c>
      <c r="R63" s="1">
        <f>_xlfn.LET(_xlpm.v,_xlfn.XLOOKUP(Table2[[#This Row],[Craft]],Table4[Material],Table4[Home Rarity],""),IF(_xlpm.v="","",_xlpm.v))</f>
        <v>4</v>
      </c>
    </row>
    <row r="64" spans="1:18" ht="14.25" customHeight="1" x14ac:dyDescent="0.45">
      <c r="G64" t="s">
        <v>5989</v>
      </c>
      <c r="H64" t="s">
        <v>8619</v>
      </c>
      <c r="I64">
        <v>9</v>
      </c>
      <c r="J64">
        <f>_xlfn.MAXIFS(Import!$G$2:$G$12853,Import!$B$2:$B$12853,$H64)</f>
        <v>26.8</v>
      </c>
      <c r="K64">
        <f>_xlfn.MINIFS(Import!$G$2:$G$12853,Import!$B$2:$B$12853,$H64)</f>
        <v>0.04</v>
      </c>
      <c r="L64" t="str" cm="1">
        <f t="array" ref="L64">IFERROR(_xlfn.TEXTAFTER(INDEX(Import!$D$2:$D$12853,MATCH(1,(Import!$B$2:$B$12853=$H64)*(Import!$G$2:$G$12853=$J64),0))," "),"")</f>
        <v>Lamellar Cuirass</v>
      </c>
      <c r="M64" t="str" cm="1">
        <f t="array" ref="M64">IFERROR(_xlfn.TEXTAFTER(INDEX(Import!$D$2:$D$12853,MATCH(1,(Import!$B$2:$B$12853=$H64)*(Import!$G$2:$G$12853=$K64),0))," "),"")</f>
        <v>Bolt</v>
      </c>
      <c r="N64" s="4">
        <f>SUMIFS(Import!$G$2:$G$12853,Import!$B$2:$B$12853,$H64,Import!$C$2:$C$12853,"Weapon")</f>
        <v>356.90000000000003</v>
      </c>
      <c r="O64" s="4">
        <f>SUMIFS(Import!$G$2:$G$12853,Import!$B$2:$B$12853,$H64,Import!$C$2:$C$12853,"Armor")</f>
        <v>382.22000000000008</v>
      </c>
      <c r="P64">
        <f t="shared" si="4"/>
        <v>369.56000000000006</v>
      </c>
      <c r="Q64" t="str">
        <f>_xlfn.LET(_xlpm.v,_xlfn.XLOOKUP(Table2[[#This Row],[Craft]],Table4[Material],Table4[Home POE],""),IF(_xlpm.v="","",_xlpm.v))</f>
        <v>Material</v>
      </c>
      <c r="R64" s="1">
        <f>_xlfn.LET(_xlpm.v,_xlfn.XLOOKUP(Table2[[#This Row],[Craft]],Table4[Material],Table4[Home Rarity],""),IF(_xlpm.v="","",_xlpm.v))</f>
        <v>1</v>
      </c>
    </row>
    <row r="65" spans="7:18" ht="14.25" customHeight="1" x14ac:dyDescent="0.45">
      <c r="G65" t="s">
        <v>5989</v>
      </c>
      <c r="H65" t="s">
        <v>8858</v>
      </c>
      <c r="J65">
        <f>_xlfn.MAXIFS(Import!$G$2:$G$12853,Import!$B$2:$B$12853,$H65)</f>
        <v>26.8</v>
      </c>
      <c r="K65">
        <f>_xlfn.MINIFS(Import!$G$2:$G$12853,Import!$B$2:$B$12853,$H65)</f>
        <v>0.04</v>
      </c>
      <c r="L65" t="str" cm="1">
        <f t="array" ref="L65">IFERROR(_xlfn.TEXTAFTER(INDEX(Import!$D$2:$D$12853,MATCH(1,(Import!$B$2:$B$12853=$H65)*(Import!$G$2:$G$12853=$J65),0))," "),"")</f>
        <v>Lamellar Cuirass</v>
      </c>
      <c r="M65" t="str" cm="1">
        <f t="array" ref="M65">IFERROR(_xlfn.TEXTAFTER(INDEX(Import!$D$2:$D$12853,MATCH(1,(Import!$B$2:$B$12853=$H65)*(Import!$G$2:$G$12853=$K65),0))," "),"")</f>
        <v>Bolt</v>
      </c>
      <c r="N65" s="4">
        <f>SUMIFS(Import!$G$2:$G$12853,Import!$B$2:$B$12853,$H65,Import!$C$2:$C$12853,"Weapon")</f>
        <v>356.90000000000003</v>
      </c>
      <c r="O65" s="4">
        <f>SUMIFS(Import!$G$2:$G$12853,Import!$B$2:$B$12853,$H65,Import!$C$2:$C$12853,"Armor")</f>
        <v>382.22000000000008</v>
      </c>
      <c r="P65">
        <f t="shared" si="4"/>
        <v>369.56000000000006</v>
      </c>
      <c r="Q65" t="str">
        <f>_xlfn.LET(_xlpm.v,_xlfn.XLOOKUP(Table2[[#This Row],[Craft]],Table4[Material],Table4[Home POE],""),IF(_xlpm.v="","",_xlpm.v))</f>
        <v>Material</v>
      </c>
      <c r="R65" s="1">
        <f>_xlfn.LET(_xlpm.v,_xlfn.XLOOKUP(Table2[[#This Row],[Craft]],Table4[Material],Table4[Home Rarity],""),IF(_xlpm.v="","",_xlpm.v))</f>
        <v>3</v>
      </c>
    </row>
    <row r="66" spans="7:18" ht="14.25" customHeight="1" x14ac:dyDescent="0.45">
      <c r="G66" t="s">
        <v>5989</v>
      </c>
      <c r="H66" t="s">
        <v>9097</v>
      </c>
      <c r="J66">
        <f>_xlfn.MAXIFS(Import!$G$2:$G$12853,Import!$B$2:$B$12853,$H66)</f>
        <v>26.8</v>
      </c>
      <c r="K66">
        <f>_xlfn.MINIFS(Import!$G$2:$G$12853,Import!$B$2:$B$12853,$H66)</f>
        <v>0.04</v>
      </c>
      <c r="L66" t="str" cm="1">
        <f t="array" ref="L66">IFERROR(_xlfn.TEXTAFTER(INDEX(Import!$D$2:$D$12853,MATCH(1,(Import!$B$2:$B$12853=$H66)*(Import!$G$2:$G$12853=$J66),0))," "),"")</f>
        <v>Lamellar Cuirass</v>
      </c>
      <c r="M66" t="str" cm="1">
        <f t="array" ref="M66">IFERROR(_xlfn.TEXTAFTER(INDEX(Import!$D$2:$D$12853,MATCH(1,(Import!$B$2:$B$12853=$H66)*(Import!$G$2:$G$12853=$K66),0))," "),"")</f>
        <v>Bolt</v>
      </c>
      <c r="N66" s="4">
        <f>SUMIFS(Import!$G$2:$G$12853,Import!$B$2:$B$12853,$H66,Import!$C$2:$C$12853,"Weapon")</f>
        <v>356.90000000000003</v>
      </c>
      <c r="O66" s="4">
        <f>SUMIFS(Import!$G$2:$G$12853,Import!$B$2:$B$12853,$H66,Import!$C$2:$C$12853,"Armor")</f>
        <v>382.22000000000008</v>
      </c>
      <c r="P66">
        <f t="shared" si="4"/>
        <v>369.56000000000006</v>
      </c>
      <c r="Q66" t="str">
        <f>_xlfn.LET(_xlpm.v,_xlfn.XLOOKUP(Table2[[#This Row],[Craft]],Table4[Material],Table4[Home POE],""),IF(_xlpm.v="","",_xlpm.v))</f>
        <v/>
      </c>
      <c r="R66" s="1" t="str">
        <f>_xlfn.LET(_xlpm.v,_xlfn.XLOOKUP(Table2[[#This Row],[Craft]],Table4[Material],Table4[Home Rarity],""),IF(_xlpm.v="","",_xlpm.v))</f>
        <v/>
      </c>
    </row>
    <row r="67" spans="7:18" ht="14.25" customHeight="1" x14ac:dyDescent="0.45">
      <c r="G67" t="s">
        <v>8</v>
      </c>
      <c r="H67" t="s">
        <v>3360</v>
      </c>
      <c r="I67">
        <v>12.5</v>
      </c>
      <c r="J67">
        <f>_xlfn.MAXIFS(Import!$G$2:$G$12853,Import!$B$2:$B$12853,$H67)</f>
        <v>38</v>
      </c>
      <c r="K67">
        <f>_xlfn.MINIFS(Import!$G$2:$G$12853,Import!$B$2:$B$12853,$H67)</f>
        <v>0.04</v>
      </c>
      <c r="L67" t="str" cm="1">
        <f t="array" ref="L67">IFERROR(_xlfn.TEXTAFTER(INDEX(Import!$D$2:$D$12853,MATCH(1,(Import!$B$2:$B$12853=$H67)*(Import!$G$2:$G$12853=$J67),0))," "),"")</f>
        <v>Lamellar Cuirass</v>
      </c>
      <c r="M67" t="str" cm="1">
        <f t="array" ref="M67">IFERROR(_xlfn.TEXTAFTER(INDEX(Import!$D$2:$D$12853,MATCH(1,(Import!$B$2:$B$12853=$H67)*(Import!$G$2:$G$12853=$K67),0))," "),"")</f>
        <v>Bolt</v>
      </c>
      <c r="N67" s="4">
        <f>SUMIFS(Import!$G$2:$G$12853,Import!$B$2:$B$12853,$H67,Import!$C$2:$C$12853,"Weapon")</f>
        <v>336.65999999999997</v>
      </c>
      <c r="O67" s="4">
        <f>SUMIFS(Import!$G$2:$G$12853,Import!$B$2:$B$12853,$H67,Import!$C$2:$C$12853,"Armor")</f>
        <v>483.3</v>
      </c>
      <c r="P67">
        <f t="shared" si="4"/>
        <v>409.98</v>
      </c>
      <c r="Q67" t="str">
        <f>_xlfn.LET(_xlpm.v,_xlfn.XLOOKUP(Table2[[#This Row],[Craft]],Table4[Material],Table4[Home POE],""),IF(_xlpm.v="","",_xlpm.v))</f>
        <v/>
      </c>
      <c r="R67" s="1" t="str">
        <f>_xlfn.LET(_xlpm.v,_xlfn.XLOOKUP(Table2[[#This Row],[Craft]],Table4[Material],Table4[Home Rarity],""),IF(_xlpm.v="","",_xlpm.v))</f>
        <v/>
      </c>
    </row>
    <row r="68" spans="7:18" ht="14.25" customHeight="1" x14ac:dyDescent="0.45">
      <c r="G68" t="s">
        <v>23440</v>
      </c>
      <c r="H68" t="s">
        <v>24636</v>
      </c>
      <c r="I68">
        <v>12.25</v>
      </c>
      <c r="J68">
        <f>_xlfn.MAXIFS(Import!$G$2:$G$12853,Import!$B$2:$B$12853,$H68)</f>
        <v>26.5</v>
      </c>
      <c r="K68">
        <f>_xlfn.MINIFS(Import!$G$2:$G$12853,Import!$B$2:$B$12853,$H68)</f>
        <v>0.04</v>
      </c>
      <c r="L68" t="str" cm="1">
        <f t="array" ref="L68">IFERROR(_xlfn.TEXTAFTER(INDEX(Import!$D$2:$D$12853,MATCH(1,(Import!$B$2:$B$12853=$H68)*(Import!$G$2:$G$12853=$J68),0))," "),"")</f>
        <v>Tower Shield</v>
      </c>
      <c r="M68" t="str" cm="1">
        <f t="array" ref="M68">IFERROR(_xlfn.TEXTAFTER(INDEX(Import!$D$2:$D$12853,MATCH(1,(Import!$B$2:$B$12853=$H68)*(Import!$G$2:$G$12853=$K68),0))," "),"")</f>
        <v>Bolt</v>
      </c>
      <c r="N68" s="4">
        <f>SUMIFS(Import!$G$2:$G$12853,Import!$B$2:$B$12853,$H68,Import!$C$2:$C$12853,"Weapon")</f>
        <v>356.90000000000003</v>
      </c>
      <c r="O68" s="4">
        <f>SUMIFS(Import!$G$2:$G$12853,Import!$B$2:$B$12853,$H68,Import!$C$2:$C$12853,"Armor")</f>
        <v>358.15999999999997</v>
      </c>
      <c r="P68">
        <f t="shared" si="4"/>
        <v>357.53</v>
      </c>
      <c r="Q68" t="str">
        <f>_xlfn.LET(_xlpm.v,_xlfn.XLOOKUP(Table2[[#This Row],[Craft]],Table4[Material],Table4[Home POE],""),IF(_xlpm.v="","",_xlpm.v))</f>
        <v>Material</v>
      </c>
      <c r="R68" s="1">
        <f>_xlfn.LET(_xlpm.v,_xlfn.XLOOKUP(Table2[[#This Row],[Craft]],Table4[Material],Table4[Home Rarity],""),IF(_xlpm.v="","",_xlpm.v))</f>
        <v>3</v>
      </c>
    </row>
    <row r="69" spans="7:18" ht="14.25" customHeight="1" x14ac:dyDescent="0.45">
      <c r="G69" t="s">
        <v>17702</v>
      </c>
      <c r="H69" t="s">
        <v>19137</v>
      </c>
      <c r="I69">
        <v>2.5</v>
      </c>
      <c r="J69">
        <f>_xlfn.MAXIFS(Import!$G$2:$G$12853,Import!$B$2:$B$12853,$H69)</f>
        <v>22.67</v>
      </c>
      <c r="K69">
        <f>_xlfn.MINIFS(Import!$G$2:$G$12853,Import!$B$2:$B$12853,$H69)</f>
        <v>0.04</v>
      </c>
      <c r="L69" t="str" cm="1">
        <f t="array" ref="L69">IFERROR(_xlfn.TEXTAFTER(INDEX(Import!$D$2:$D$12853,MATCH(1,(Import!$B$2:$B$12853=$H69)*(Import!$G$2:$G$12853=$J69),0))," "),"")</f>
        <v>Hunting Trap (Large)</v>
      </c>
      <c r="M69" t="str" cm="1">
        <f t="array" ref="M69">IFERROR(_xlfn.TEXTAFTER(INDEX(Import!$D$2:$D$12853,MATCH(1,(Import!$B$2:$B$12853=$H69)*(Import!$G$2:$G$12853=$K69),0))," "),"")</f>
        <v>Bolt</v>
      </c>
      <c r="N69" s="4">
        <f>SUMIFS(Import!$G$2:$G$12853,Import!$B$2:$B$12853,$H69,Import!$C$2:$C$12853,"Weapon")</f>
        <v>356.90000000000003</v>
      </c>
      <c r="O69" s="4">
        <f>SUMIFS(Import!$G$2:$G$12853,Import!$B$2:$B$12853,$H69,Import!$C$2:$C$12853,"Armor")</f>
        <v>328.3</v>
      </c>
      <c r="P69">
        <f t="shared" si="4"/>
        <v>342.6</v>
      </c>
      <c r="Q69" t="str">
        <f>_xlfn.LET(_xlpm.v,_xlfn.XLOOKUP(Table2[[#This Row],[Craft]],Table4[Material],Table4[Home POE],""),IF(_xlpm.v="","",_xlpm.v))</f>
        <v/>
      </c>
      <c r="R69" s="1" t="str">
        <f>_xlfn.LET(_xlpm.v,_xlfn.XLOOKUP(Table2[[#This Row],[Craft]],Table4[Material],Table4[Home Rarity],""),IF(_xlpm.v="","",_xlpm.v))</f>
        <v/>
      </c>
    </row>
    <row r="70" spans="7:18" ht="14.25" customHeight="1" x14ac:dyDescent="0.45">
      <c r="G70" t="s">
        <v>5989</v>
      </c>
      <c r="H70" t="s">
        <v>9336</v>
      </c>
      <c r="J70">
        <f>_xlfn.MAXIFS(Import!$G$2:$G$12853,Import!$B$2:$B$12853,$H70)</f>
        <v>26.8</v>
      </c>
      <c r="K70">
        <f>_xlfn.MINIFS(Import!$G$2:$G$12853,Import!$B$2:$B$12853,$H70)</f>
        <v>0.04</v>
      </c>
      <c r="L70" t="str" cm="1">
        <f t="array" ref="L70">IFERROR(_xlfn.TEXTAFTER(INDEX(Import!$D$2:$D$12853,MATCH(1,(Import!$B$2:$B$12853=$H70)*(Import!$G$2:$G$12853=$J70),0))," "),"")</f>
        <v>Lamellar Cuirass</v>
      </c>
      <c r="M70" t="str" cm="1">
        <f t="array" ref="M70">IFERROR(_xlfn.TEXTAFTER(INDEX(Import!$D$2:$D$12853,MATCH(1,(Import!$B$2:$B$12853=$H70)*(Import!$G$2:$G$12853=$K70),0))," "),"")</f>
        <v>Bolt</v>
      </c>
      <c r="N70" s="4">
        <f>SUMIFS(Import!$G$2:$G$12853,Import!$B$2:$B$12853,$H70,Import!$C$2:$C$12853,"Weapon")</f>
        <v>356.90000000000003</v>
      </c>
      <c r="O70" s="4">
        <f>SUMIFS(Import!$G$2:$G$12853,Import!$B$2:$B$12853,$H70,Import!$C$2:$C$12853,"Armor")</f>
        <v>382.22000000000008</v>
      </c>
      <c r="P70">
        <f t="shared" si="4"/>
        <v>369.56000000000006</v>
      </c>
      <c r="Q70" t="str">
        <f>_xlfn.LET(_xlpm.v,_xlfn.XLOOKUP(Table2[[#This Row],[Craft]],Table4[Material],Table4[Home POE],""),IF(_xlpm.v="","",_xlpm.v))</f>
        <v>Material</v>
      </c>
      <c r="R70" s="1">
        <f>_xlfn.LET(_xlpm.v,_xlfn.XLOOKUP(Table2[[#This Row],[Craft]],Table4[Material],Table4[Home Rarity],""),IF(_xlpm.v="","",_xlpm.v))</f>
        <v>1</v>
      </c>
    </row>
    <row r="71" spans="7:18" ht="14.25" customHeight="1" x14ac:dyDescent="0.45">
      <c r="G71" t="s">
        <v>14833</v>
      </c>
      <c r="H71" t="s">
        <v>15312</v>
      </c>
      <c r="I71">
        <v>1</v>
      </c>
      <c r="J71">
        <f>_xlfn.MAXIFS(Import!$G$2:$G$12853,Import!$B$2:$B$12853,$H71)</f>
        <v>22.67</v>
      </c>
      <c r="K71">
        <f>_xlfn.MINIFS(Import!$G$2:$G$12853,Import!$B$2:$B$12853,$H71)</f>
        <v>0.04</v>
      </c>
      <c r="L71" t="str" cm="1">
        <f t="array" ref="L71">IFERROR(_xlfn.TEXTAFTER(INDEX(Import!$D$2:$D$12853,MATCH(1,(Import!$B$2:$B$12853=$H71)*(Import!$G$2:$G$12853=$J71),0))," "),"")</f>
        <v>Hunting Trap (Large)</v>
      </c>
      <c r="M71" t="str" cm="1">
        <f t="array" ref="M71">IFERROR(_xlfn.TEXTAFTER(INDEX(Import!$D$2:$D$12853,MATCH(1,(Import!$B$2:$B$12853=$H71)*(Import!$G$2:$G$12853=$K71),0))," "),"")</f>
        <v>Bolt</v>
      </c>
      <c r="N71" s="4">
        <f>SUMIFS(Import!$G$2:$G$12853,Import!$B$2:$B$12853,$H71,Import!$C$2:$C$12853,"Weapon")</f>
        <v>356.90000000000003</v>
      </c>
      <c r="O71" s="4">
        <f>SUMIFS(Import!$G$2:$G$12853,Import!$B$2:$B$12853,$H71,Import!$C$2:$C$12853,"Armor")</f>
        <v>312.80000000000007</v>
      </c>
      <c r="P71">
        <f t="shared" si="4"/>
        <v>334.85</v>
      </c>
      <c r="Q71" t="str">
        <f>_xlfn.LET(_xlpm.v,_xlfn.XLOOKUP(Table2[[#This Row],[Craft]],Table4[Material],Table4[Home POE],""),IF(_xlpm.v="","",_xlpm.v))</f>
        <v>Material</v>
      </c>
      <c r="R71" s="1">
        <f>_xlfn.LET(_xlpm.v,_xlfn.XLOOKUP(Table2[[#This Row],[Craft]],Table4[Material],Table4[Home Rarity],""),IF(_xlpm.v="","",_xlpm.v))</f>
        <v>1</v>
      </c>
    </row>
    <row r="72" spans="7:18" ht="14.25" customHeight="1" x14ac:dyDescent="0.45">
      <c r="G72" t="s">
        <v>23440</v>
      </c>
      <c r="H72" t="s">
        <v>24875</v>
      </c>
      <c r="J72">
        <f>_xlfn.MAXIFS(Import!$G$2:$G$12853,Import!$B$2:$B$12853,$H72)</f>
        <v>23</v>
      </c>
      <c r="K72">
        <f>_xlfn.MINIFS(Import!$G$2:$G$12853,Import!$B$2:$B$12853,$H72)</f>
        <v>0.04</v>
      </c>
      <c r="L72" t="str" cm="1">
        <f t="array" ref="L72">IFERROR(_xlfn.TEXTAFTER(INDEX(Import!$D$2:$D$12853,MATCH(1,(Import!$B$2:$B$12853=$H72)*(Import!$G$2:$G$12853=$J72),0))," "),"")</f>
        <v>Lamellar Cuirass</v>
      </c>
      <c r="M72" t="str" cm="1">
        <f t="array" ref="M72">IFERROR(_xlfn.TEXTAFTER(INDEX(Import!$D$2:$D$12853,MATCH(1,(Import!$B$2:$B$12853=$H72)*(Import!$G$2:$G$12853=$K72),0))," "),"")</f>
        <v>Bolt</v>
      </c>
      <c r="N72" s="4">
        <f>SUMIFS(Import!$G$2:$G$12853,Import!$B$2:$B$12853,$H72,Import!$C$2:$C$12853,"Weapon")</f>
        <v>356.90000000000003</v>
      </c>
      <c r="O72" s="4">
        <f>SUMIFS(Import!$G$2:$G$12853,Import!$B$2:$B$12853,$H72,Import!$C$2:$C$12853,"Armor")</f>
        <v>352</v>
      </c>
      <c r="P72">
        <f t="shared" si="4"/>
        <v>354.45000000000005</v>
      </c>
      <c r="Q72" t="str">
        <f>_xlfn.LET(_xlpm.v,_xlfn.XLOOKUP(Table2[[#This Row],[Craft]],Table4[Material],Table4[Home POE],""),IF(_xlpm.v="","",_xlpm.v))</f>
        <v>Far Realm</v>
      </c>
      <c r="R72" s="1">
        <f>_xlfn.LET(_xlpm.v,_xlfn.XLOOKUP(Table2[[#This Row],[Craft]],Table4[Material],Table4[Home Rarity],""),IF(_xlpm.v="","",_xlpm.v))</f>
        <v>3</v>
      </c>
    </row>
    <row r="73" spans="7:18" ht="14.25" customHeight="1" x14ac:dyDescent="0.45">
      <c r="G73" t="s">
        <v>17702</v>
      </c>
      <c r="H73" t="s">
        <v>19376</v>
      </c>
      <c r="I73">
        <v>2.4</v>
      </c>
      <c r="J73">
        <f>_xlfn.MAXIFS(Import!$G$2:$G$12853,Import!$B$2:$B$12853,$H73)</f>
        <v>22.67</v>
      </c>
      <c r="K73">
        <f>_xlfn.MINIFS(Import!$G$2:$G$12853,Import!$B$2:$B$12853,$H73)</f>
        <v>0.04</v>
      </c>
      <c r="L73" t="str" cm="1">
        <f t="array" ref="L73">IFERROR(_xlfn.TEXTAFTER(INDEX(Import!$D$2:$D$12853,MATCH(1,(Import!$B$2:$B$12853=$H73)*(Import!$G$2:$G$12853=$J73),0))," "),"")</f>
        <v>Hunting Trap (Large)</v>
      </c>
      <c r="M73" t="str" cm="1">
        <f t="array" ref="M73">IFERROR(_xlfn.TEXTAFTER(INDEX(Import!$D$2:$D$12853,MATCH(1,(Import!$B$2:$B$12853=$H73)*(Import!$G$2:$G$12853=$K73),0))," "),"")</f>
        <v>Bolt</v>
      </c>
      <c r="N73" s="4">
        <f>SUMIFS(Import!$G$2:$G$12853,Import!$B$2:$B$12853,$H73,Import!$C$2:$C$12853,"Weapon")</f>
        <v>356.90000000000003</v>
      </c>
      <c r="O73" s="4">
        <f>SUMIFS(Import!$G$2:$G$12853,Import!$B$2:$B$12853,$H73,Import!$C$2:$C$12853,"Armor")</f>
        <v>328.3</v>
      </c>
      <c r="P73">
        <f t="shared" si="4"/>
        <v>342.6</v>
      </c>
      <c r="Q73" t="str">
        <f>_xlfn.LET(_xlpm.v,_xlfn.XLOOKUP(Table2[[#This Row],[Craft]],Table4[Material],Table4[Home POE],""),IF(_xlpm.v="","",_xlpm.v))</f>
        <v/>
      </c>
      <c r="R73" s="1" t="str">
        <f>_xlfn.LET(_xlpm.v,_xlfn.XLOOKUP(Table2[[#This Row],[Craft]],Table4[Material],Table4[Home Rarity],""),IF(_xlpm.v="","",_xlpm.v))</f>
        <v/>
      </c>
    </row>
    <row r="74" spans="7:18" ht="14.25" customHeight="1" x14ac:dyDescent="0.45">
      <c r="G74" t="s">
        <v>20571</v>
      </c>
      <c r="H74" t="s">
        <v>22006</v>
      </c>
      <c r="I74">
        <v>6</v>
      </c>
      <c r="J74">
        <f>_xlfn.MAXIFS(Import!$G$2:$G$12853,Import!$B$2:$B$12853,$H74)</f>
        <v>32.5</v>
      </c>
      <c r="K74">
        <f>_xlfn.MINIFS(Import!$G$2:$G$12853,Import!$B$2:$B$12853,$H74)</f>
        <v>0.04</v>
      </c>
      <c r="L74" t="str" cm="1">
        <f t="array" ref="L74">IFERROR(_xlfn.TEXTAFTER(INDEX(Import!$D$2:$D$12853,MATCH(1,(Import!$B$2:$B$12853=$H74)*(Import!$G$2:$G$12853=$J74),0))," "),"")</f>
        <v>Lamellar Cuirass</v>
      </c>
      <c r="M74" t="str" cm="1">
        <f t="array" ref="M74">IFERROR(_xlfn.TEXTAFTER(INDEX(Import!$D$2:$D$12853,MATCH(1,(Import!$B$2:$B$12853=$H74)*(Import!$G$2:$G$12853=$K74),0))," "),"")</f>
        <v>Bolt</v>
      </c>
      <c r="N74" s="4">
        <f>SUMIFS(Import!$G$2:$G$12853,Import!$B$2:$B$12853,$H74,Import!$C$2:$C$12853,"Weapon")</f>
        <v>356.90000000000003</v>
      </c>
      <c r="O74" s="4">
        <f>SUMIFS(Import!$G$2:$G$12853,Import!$B$2:$B$12853,$H74,Import!$C$2:$C$12853,"Armor")</f>
        <v>430.2</v>
      </c>
      <c r="P74">
        <f t="shared" si="4"/>
        <v>393.55</v>
      </c>
      <c r="Q74" t="str">
        <f>_xlfn.LET(_xlpm.v,_xlfn.XLOOKUP(Table2[[#This Row],[Craft]],Table4[Material],Table4[Home POE],""),IF(_xlpm.v="","",_xlpm.v))</f>
        <v/>
      </c>
      <c r="R74" s="1" t="str">
        <f>_xlfn.LET(_xlpm.v,_xlfn.XLOOKUP(Table2[[#This Row],[Craft]],Table4[Material],Table4[Home Rarity],""),IF(_xlpm.v="","",_xlpm.v))</f>
        <v/>
      </c>
    </row>
    <row r="75" spans="7:18" ht="14.25" customHeight="1" x14ac:dyDescent="0.45">
      <c r="G75" t="s">
        <v>5989</v>
      </c>
      <c r="H75" t="s">
        <v>9575</v>
      </c>
      <c r="J75">
        <f>_xlfn.MAXIFS(Import!$G$2:$G$12853,Import!$B$2:$B$12853,$H75)</f>
        <v>26.8</v>
      </c>
      <c r="K75">
        <f>_xlfn.MINIFS(Import!$G$2:$G$12853,Import!$B$2:$B$12853,$H75)</f>
        <v>0.04</v>
      </c>
      <c r="L75" t="str" cm="1">
        <f t="array" ref="L75">IFERROR(_xlfn.TEXTAFTER(INDEX(Import!$D$2:$D$12853,MATCH(1,(Import!$B$2:$B$12853=$H75)*(Import!$G$2:$G$12853=$J75),0))," "),"")</f>
        <v>Lamellar Cuirass</v>
      </c>
      <c r="M75" t="str" cm="1">
        <f t="array" ref="M75">IFERROR(_xlfn.TEXTAFTER(INDEX(Import!$D$2:$D$12853,MATCH(1,(Import!$B$2:$B$12853=$H75)*(Import!$G$2:$G$12853=$K75),0))," "),"")</f>
        <v>Bolt</v>
      </c>
      <c r="N75" s="4">
        <f>SUMIFS(Import!$G$2:$G$12853,Import!$B$2:$B$12853,$H75,Import!$C$2:$C$12853,"Weapon")</f>
        <v>356.90000000000003</v>
      </c>
      <c r="O75" s="4">
        <f>SUMIFS(Import!$G$2:$G$12853,Import!$B$2:$B$12853,$H75,Import!$C$2:$C$12853,"Armor")</f>
        <v>382.22000000000008</v>
      </c>
      <c r="P75">
        <f t="shared" si="4"/>
        <v>369.56000000000006</v>
      </c>
      <c r="Q75" t="str">
        <f>_xlfn.LET(_xlpm.v,_xlfn.XLOOKUP(Table2[[#This Row],[Craft]],Table4[Material],Table4[Home POE],""),IF(_xlpm.v="","",_xlpm.v))</f>
        <v>Feywild</v>
      </c>
      <c r="R75" s="1">
        <f>_xlfn.LET(_xlpm.v,_xlfn.XLOOKUP(Table2[[#This Row],[Craft]],Table4[Material],Table4[Home Rarity],""),IF(_xlpm.v="","",_xlpm.v))</f>
        <v>2</v>
      </c>
    </row>
    <row r="76" spans="7:18" ht="14.25" customHeight="1" x14ac:dyDescent="0.45">
      <c r="G76" t="s">
        <v>14833</v>
      </c>
      <c r="H76" t="s">
        <v>15551</v>
      </c>
      <c r="I76">
        <v>0.5</v>
      </c>
      <c r="J76">
        <f>_xlfn.MAXIFS(Import!$G$2:$G$12853,Import!$B$2:$B$12853,$H76)</f>
        <v>22.67</v>
      </c>
      <c r="K76">
        <f>_xlfn.MINIFS(Import!$G$2:$G$12853,Import!$B$2:$B$12853,$H76)</f>
        <v>-8.75</v>
      </c>
      <c r="L76" t="str" cm="1">
        <f t="array" ref="L76">IFERROR(_xlfn.TEXTAFTER(INDEX(Import!$D$2:$D$12853,MATCH(1,(Import!$B$2:$B$12853=$H76)*(Import!$G$2:$G$12853=$J76),0))," "),"")</f>
        <v>Hunting Trap (Large)</v>
      </c>
      <c r="M76" t="str" cm="1">
        <f t="array" ref="M76">IFERROR(_xlfn.TEXTAFTER(INDEX(Import!$D$2:$D$12853,MATCH(1,(Import!$B$2:$B$12853=$H76)*(Import!$G$2:$G$12853=$K76),0))," "),"")</f>
        <v>Tower Shield</v>
      </c>
      <c r="N76" s="4">
        <f>SUMIFS(Import!$G$2:$G$12853,Import!$B$2:$B$12853,$H76,Import!$C$2:$C$12853,"Weapon")</f>
        <v>356.90000000000003</v>
      </c>
      <c r="O76" s="4">
        <f>SUMIFS(Import!$G$2:$G$12853,Import!$B$2:$B$12853,$H76,Import!$C$2:$C$12853,"Armor")</f>
        <v>309.59999999999997</v>
      </c>
      <c r="P76">
        <f t="shared" ref="P76:P107" si="5">AVERAGE(N76:O76)</f>
        <v>333.25</v>
      </c>
      <c r="Q76" t="str">
        <f>_xlfn.LET(_xlpm.v,_xlfn.XLOOKUP(Table2[[#This Row],[Craft]],Table4[Material],Table4[Home POE],""),IF(_xlpm.v="","",_xlpm.v))</f>
        <v>Material</v>
      </c>
      <c r="R76" s="1">
        <f>_xlfn.LET(_xlpm.v,_xlfn.XLOOKUP(Table2[[#This Row],[Craft]],Table4[Material],Table4[Home Rarity],""),IF(_xlpm.v="","",_xlpm.v))</f>
        <v>1</v>
      </c>
    </row>
    <row r="77" spans="7:18" ht="14.25" customHeight="1" x14ac:dyDescent="0.45">
      <c r="G77" t="s">
        <v>23440</v>
      </c>
      <c r="H77" t="s">
        <v>25114</v>
      </c>
      <c r="J77">
        <f>_xlfn.MAXIFS(Import!$G$2:$G$12853,Import!$B$2:$B$12853,$H77)</f>
        <v>23</v>
      </c>
      <c r="K77">
        <f>_xlfn.MINIFS(Import!$G$2:$G$12853,Import!$B$2:$B$12853,$H77)</f>
        <v>0.04</v>
      </c>
      <c r="L77" t="str" cm="1">
        <f t="array" ref="L77">IFERROR(_xlfn.TEXTAFTER(INDEX(Import!$D$2:$D$12853,MATCH(1,(Import!$B$2:$B$12853=$H77)*(Import!$G$2:$G$12853=$J77),0))," "),"")</f>
        <v>Lamellar Cuirass</v>
      </c>
      <c r="M77" t="str" cm="1">
        <f t="array" ref="M77">IFERROR(_xlfn.TEXTAFTER(INDEX(Import!$D$2:$D$12853,MATCH(1,(Import!$B$2:$B$12853=$H77)*(Import!$G$2:$G$12853=$K77),0))," "),"")</f>
        <v>Bolt</v>
      </c>
      <c r="N77" s="4">
        <f>SUMIFS(Import!$G$2:$G$12853,Import!$B$2:$B$12853,$H77,Import!$C$2:$C$12853,"Weapon")</f>
        <v>356.90000000000003</v>
      </c>
      <c r="O77" s="4">
        <f>SUMIFS(Import!$G$2:$G$12853,Import!$B$2:$B$12853,$H77,Import!$C$2:$C$12853,"Armor")</f>
        <v>352</v>
      </c>
      <c r="P77">
        <f t="shared" si="5"/>
        <v>354.45000000000005</v>
      </c>
      <c r="Q77" t="str">
        <f>_xlfn.LET(_xlpm.v,_xlfn.XLOOKUP(Table2[[#This Row],[Craft]],Table4[Material],Table4[Home POE],""),IF(_xlpm.v="","",_xlpm.v))</f>
        <v/>
      </c>
      <c r="R77" s="1" t="str">
        <f>_xlfn.LET(_xlpm.v,_xlfn.XLOOKUP(Table2[[#This Row],[Craft]],Table4[Material],Table4[Home Rarity],""),IF(_xlpm.v="","",_xlpm.v))</f>
        <v/>
      </c>
    </row>
    <row r="78" spans="7:18" ht="14.25" customHeight="1" x14ac:dyDescent="0.45">
      <c r="G78" t="s">
        <v>2403</v>
      </c>
      <c r="H78" t="s">
        <v>13399</v>
      </c>
      <c r="I78">
        <v>15</v>
      </c>
      <c r="J78">
        <f>_xlfn.MAXIFS(Import!$G$2:$G$12853,Import!$B$2:$B$12853,$H78)</f>
        <v>48.4</v>
      </c>
      <c r="K78">
        <f>_xlfn.MINIFS(Import!$G$2:$G$12853,Import!$B$2:$B$12853,$H78)</f>
        <v>0.04</v>
      </c>
      <c r="L78" t="str" cm="1">
        <f t="array" ref="L78">IFERROR(_xlfn.TEXTAFTER(INDEX(Import!$D$2:$D$12853,MATCH(1,(Import!$B$2:$B$12853=$H78)*(Import!$G$2:$G$12853=$J78),0))," "),"")</f>
        <v>Lamellar Cuirass</v>
      </c>
      <c r="M78" t="str" cm="1">
        <f t="array" ref="M78">IFERROR(_xlfn.TEXTAFTER(INDEX(Import!$D$2:$D$12853,MATCH(1,(Import!$B$2:$B$12853=$H78)*(Import!$G$2:$G$12853=$K78),0))," "),"")</f>
        <v>Bolt</v>
      </c>
      <c r="N78" s="4">
        <f>SUMIFS(Import!$G$2:$G$12853,Import!$B$2:$B$12853,$H78,Import!$C$2:$C$12853,"Weapon")</f>
        <v>356.90000000000003</v>
      </c>
      <c r="O78" s="4">
        <f>SUMIFS(Import!$G$2:$G$12853,Import!$B$2:$B$12853,$H78,Import!$C$2:$C$12853,"Armor")</f>
        <v>623.24</v>
      </c>
      <c r="P78">
        <f t="shared" si="5"/>
        <v>490.07000000000005</v>
      </c>
      <c r="Q78" t="str">
        <f>_xlfn.LET(_xlpm.v,_xlfn.XLOOKUP(Table2[[#This Row],[Craft]],Table4[Material],Table4[Home POE],""),IF(_xlpm.v="","",_xlpm.v))</f>
        <v>Material</v>
      </c>
      <c r="R78" s="1">
        <f>_xlfn.LET(_xlpm.v,_xlfn.XLOOKUP(Table2[[#This Row],[Craft]],Table4[Material],Table4[Home Rarity],""),IF(_xlpm.v="","",_xlpm.v))</f>
        <v>3</v>
      </c>
    </row>
    <row r="79" spans="7:18" ht="14.25" customHeight="1" x14ac:dyDescent="0.45">
      <c r="G79" t="s">
        <v>8</v>
      </c>
      <c r="H79" t="s">
        <v>3599</v>
      </c>
      <c r="I79">
        <v>9</v>
      </c>
      <c r="J79">
        <f>_xlfn.MAXIFS(Import!$G$2:$G$12853,Import!$B$2:$B$12853,$H79)</f>
        <v>36</v>
      </c>
      <c r="K79">
        <f>_xlfn.MINIFS(Import!$G$2:$G$12853,Import!$B$2:$B$12853,$H79)</f>
        <v>0.04</v>
      </c>
      <c r="L79" t="str" cm="1">
        <f t="array" ref="L79">IFERROR(_xlfn.TEXTAFTER(INDEX(Import!$D$2:$D$12853,MATCH(1,(Import!$B$2:$B$12853=$H79)*(Import!$G$2:$G$12853=$J79),0))," "),"")</f>
        <v>Lamellar Cuirass</v>
      </c>
      <c r="M79" t="str" cm="1">
        <f t="array" ref="M79">IFERROR(_xlfn.TEXTAFTER(INDEX(Import!$D$2:$D$12853,MATCH(1,(Import!$B$2:$B$12853=$H79)*(Import!$G$2:$G$12853=$K79),0))," "),"")</f>
        <v>Bolt</v>
      </c>
      <c r="N79" s="4">
        <f>SUMIFS(Import!$G$2:$G$12853,Import!$B$2:$B$12853,$H79,Import!$C$2:$C$12853,"Weapon")</f>
        <v>356.90000000000003</v>
      </c>
      <c r="O79" s="4">
        <f>SUMIFS(Import!$G$2:$G$12853,Import!$B$2:$B$12853,$H79,Import!$C$2:$C$12853,"Armor")</f>
        <v>460.90000000000003</v>
      </c>
      <c r="P79">
        <f t="shared" si="5"/>
        <v>408.90000000000003</v>
      </c>
      <c r="Q79" t="str">
        <f>_xlfn.LET(_xlpm.v,_xlfn.XLOOKUP(Table2[[#This Row],[Craft]],Table4[Material],Table4[Home POE],""),IF(_xlpm.v="","",_xlpm.v))</f>
        <v>Material</v>
      </c>
      <c r="R79" s="1">
        <f>_xlfn.LET(_xlpm.v,_xlfn.XLOOKUP(Table2[[#This Row],[Craft]],Table4[Material],Table4[Home Rarity],""),IF(_xlpm.v="","",_xlpm.v))</f>
        <v>4</v>
      </c>
    </row>
    <row r="80" spans="7:18" ht="14.25" customHeight="1" x14ac:dyDescent="0.45">
      <c r="G80" t="s">
        <v>2403</v>
      </c>
      <c r="H80" t="s">
        <v>13638</v>
      </c>
      <c r="I80">
        <v>17.5</v>
      </c>
      <c r="J80">
        <f>_xlfn.MAXIFS(Import!$G$2:$G$12853,Import!$B$2:$B$12853,$H80)</f>
        <v>49.25</v>
      </c>
      <c r="K80">
        <f>_xlfn.MINIFS(Import!$G$2:$G$12853,Import!$B$2:$B$12853,$H80)</f>
        <v>0.04</v>
      </c>
      <c r="L80" t="str" cm="1">
        <f t="array" ref="L80">IFERROR(_xlfn.TEXTAFTER(INDEX(Import!$D$2:$D$12853,MATCH(1,(Import!$B$2:$B$12853=$H80)*(Import!$G$2:$G$12853=$J80),0))," "),"")</f>
        <v>Lamellar Cuirass</v>
      </c>
      <c r="M80" t="str" cm="1">
        <f t="array" ref="M80">IFERROR(_xlfn.TEXTAFTER(INDEX(Import!$D$2:$D$12853,MATCH(1,(Import!$B$2:$B$12853=$H80)*(Import!$G$2:$G$12853=$K80),0))," "),"")</f>
        <v>Bolt</v>
      </c>
      <c r="N80" s="4">
        <f>SUMIFS(Import!$G$2:$G$12853,Import!$B$2:$B$12853,$H80,Import!$C$2:$C$12853,"Weapon")</f>
        <v>356.90000000000003</v>
      </c>
      <c r="O80" s="4">
        <f>SUMIFS(Import!$G$2:$G$12853,Import!$B$2:$B$12853,$H80,Import!$C$2:$C$12853,"Armor")</f>
        <v>635.47999999999979</v>
      </c>
      <c r="P80">
        <f t="shared" si="5"/>
        <v>496.18999999999994</v>
      </c>
      <c r="Q80" t="str">
        <f>_xlfn.LET(_xlpm.v,_xlfn.XLOOKUP(Table2[[#This Row],[Craft]],Table4[Material],Table4[Home POE],""),IF(_xlpm.v="","",_xlpm.v))</f>
        <v>Material</v>
      </c>
      <c r="R80" s="1">
        <f>_xlfn.LET(_xlpm.v,_xlfn.XLOOKUP(Table2[[#This Row],[Craft]],Table4[Material],Table4[Home Rarity],""),IF(_xlpm.v="","",_xlpm.v))</f>
        <v>3</v>
      </c>
    </row>
    <row r="81" spans="7:18" ht="14.25" customHeight="1" x14ac:dyDescent="0.45">
      <c r="G81" t="s">
        <v>2403</v>
      </c>
      <c r="H81" t="s">
        <v>3838</v>
      </c>
      <c r="J81">
        <f>_xlfn.MAXIFS(Import!$G$2:$G$12853,Import!$B$2:$B$12853,$H81)</f>
        <v>48.5</v>
      </c>
      <c r="K81">
        <f>_xlfn.MINIFS(Import!$G$2:$G$12853,Import!$B$2:$B$12853,$H81)</f>
        <v>0.04</v>
      </c>
      <c r="L81" t="str" cm="1">
        <f t="array" ref="L81">IFERROR(_xlfn.TEXTAFTER(INDEX(Import!$D$2:$D$12853,MATCH(1,(Import!$B$2:$B$12853=$H81)*(Import!$G$2:$G$12853=$J81),0))," "),"")</f>
        <v>Lamellar Cuirass</v>
      </c>
      <c r="M81" t="str" cm="1">
        <f t="array" ref="M81">IFERROR(_xlfn.TEXTAFTER(INDEX(Import!$D$2:$D$12853,MATCH(1,(Import!$B$2:$B$12853=$H81)*(Import!$G$2:$G$12853=$K81),0))," "),"")</f>
        <v>Bolt</v>
      </c>
      <c r="N81" s="4">
        <f>SUMIFS(Import!$G$2:$G$12853,Import!$B$2:$B$12853,$H81,Import!$C$2:$C$12853,"Weapon")</f>
        <v>356.90000000000003</v>
      </c>
      <c r="O81" s="4">
        <f>SUMIFS(Import!$G$2:$G$12853,Import!$B$2:$B$12853,$H81,Import!$C$2:$C$12853,"Armor")</f>
        <v>624.74</v>
      </c>
      <c r="P81">
        <f t="shared" si="5"/>
        <v>490.82000000000005</v>
      </c>
      <c r="Q81" t="str">
        <f>_xlfn.LET(_xlpm.v,_xlfn.XLOOKUP(Table2[[#This Row],[Craft]],Table4[Material],Table4[Home POE],""),IF(_xlpm.v="","",_xlpm.v))</f>
        <v>Material</v>
      </c>
      <c r="R81" s="1">
        <f>_xlfn.LET(_xlpm.v,_xlfn.XLOOKUP(Table2[[#This Row],[Craft]],Table4[Material],Table4[Home Rarity],""),IF(_xlpm.v="","",_xlpm.v))</f>
        <v>3</v>
      </c>
    </row>
    <row r="82" spans="7:18" ht="14.25" customHeight="1" x14ac:dyDescent="0.45">
      <c r="G82" t="s">
        <v>5989</v>
      </c>
      <c r="H82" t="s">
        <v>9814</v>
      </c>
      <c r="I82">
        <v>13</v>
      </c>
      <c r="J82">
        <f>_xlfn.MAXIFS(Import!$G$2:$G$12853,Import!$B$2:$B$12853,$H82)</f>
        <v>28.75</v>
      </c>
      <c r="K82">
        <f>_xlfn.MINIFS(Import!$G$2:$G$12853,Import!$B$2:$B$12853,$H82)</f>
        <v>0.04</v>
      </c>
      <c r="L82" t="str" cm="1">
        <f t="array" ref="L82">IFERROR(_xlfn.TEXTAFTER(INDEX(Import!$D$2:$D$12853,MATCH(1,(Import!$B$2:$B$12853=$H82)*(Import!$G$2:$G$12853=$J82),0))," "),"")</f>
        <v>Tower Shield</v>
      </c>
      <c r="M82" t="str" cm="1">
        <f t="array" ref="M82">IFERROR(_xlfn.TEXTAFTER(INDEX(Import!$D$2:$D$12853,MATCH(1,(Import!$B$2:$B$12853=$H82)*(Import!$G$2:$G$12853=$K82),0))," "),"")</f>
        <v>Bolt</v>
      </c>
      <c r="N82" s="4">
        <f>SUMIFS(Import!$G$2:$G$12853,Import!$B$2:$B$12853,$H82,Import!$C$2:$C$12853,"Weapon")</f>
        <v>356.90000000000003</v>
      </c>
      <c r="O82" s="4">
        <f>SUMIFS(Import!$G$2:$G$12853,Import!$B$2:$B$12853,$H82,Import!$C$2:$C$12853,"Armor")</f>
        <v>392.85999999999996</v>
      </c>
      <c r="P82">
        <f t="shared" si="5"/>
        <v>374.88</v>
      </c>
      <c r="Q82" t="str">
        <f>_xlfn.LET(_xlpm.v,_xlfn.XLOOKUP(Table2[[#This Row],[Craft]],Table4[Material],Table4[Home POE],""),IF(_xlpm.v="","",_xlpm.v))</f>
        <v>Material</v>
      </c>
      <c r="R82" s="1">
        <f>_xlfn.LET(_xlpm.v,_xlfn.XLOOKUP(Table2[[#This Row],[Craft]],Table4[Material],Table4[Home Rarity],""),IF(_xlpm.v="","",_xlpm.v))</f>
        <v>1</v>
      </c>
    </row>
    <row r="83" spans="7:18" ht="14.25" customHeight="1" x14ac:dyDescent="0.45">
      <c r="G83" t="s">
        <v>2403</v>
      </c>
      <c r="H83" t="s">
        <v>13877</v>
      </c>
      <c r="I83">
        <v>19</v>
      </c>
      <c r="J83">
        <f>_xlfn.MAXIFS(Import!$G$2:$G$12853,Import!$B$2:$B$12853,$H83)</f>
        <v>49.81</v>
      </c>
      <c r="K83">
        <f>_xlfn.MINIFS(Import!$G$2:$G$12853,Import!$B$2:$B$12853,$H83)</f>
        <v>0.04</v>
      </c>
      <c r="L83" t="str" cm="1">
        <f t="array" ref="L83">IFERROR(_xlfn.TEXTAFTER(INDEX(Import!$D$2:$D$12853,MATCH(1,(Import!$B$2:$B$12853=$H83)*(Import!$G$2:$G$12853=$J83),0))," "),"")</f>
        <v>Lamellar Cuirass</v>
      </c>
      <c r="M83" t="str" cm="1">
        <f t="array" ref="M83">IFERROR(_xlfn.TEXTAFTER(INDEX(Import!$D$2:$D$12853,MATCH(1,(Import!$B$2:$B$12853=$H83)*(Import!$G$2:$G$12853=$K83),0))," "),"")</f>
        <v>Bolt</v>
      </c>
      <c r="N83" s="4">
        <f>SUMIFS(Import!$G$2:$G$12853,Import!$B$2:$B$12853,$H83,Import!$C$2:$C$12853,"Weapon")</f>
        <v>356.90000000000003</v>
      </c>
      <c r="O83" s="4">
        <f>SUMIFS(Import!$G$2:$G$12853,Import!$B$2:$B$12853,$H83,Import!$C$2:$C$12853,"Armor")</f>
        <v>643.4599999999997</v>
      </c>
      <c r="P83">
        <f t="shared" si="5"/>
        <v>500.17999999999984</v>
      </c>
      <c r="Q83" t="str">
        <f>_xlfn.LET(_xlpm.v,_xlfn.XLOOKUP(Table2[[#This Row],[Craft]],Table4[Material],Table4[Home POE],""),IF(_xlpm.v="","",_xlpm.v))</f>
        <v>Material</v>
      </c>
      <c r="R83" s="1">
        <f>_xlfn.LET(_xlpm.v,_xlfn.XLOOKUP(Table2[[#This Row],[Craft]],Table4[Material],Table4[Home Rarity],""),IF(_xlpm.v="","",_xlpm.v))</f>
        <v>2</v>
      </c>
    </row>
    <row r="84" spans="7:18" ht="14.25" customHeight="1" x14ac:dyDescent="0.45">
      <c r="G84" t="s">
        <v>8</v>
      </c>
      <c r="H84" t="s">
        <v>4077</v>
      </c>
      <c r="J84">
        <f>_xlfn.MAXIFS(Import!$G$2:$G$12853,Import!$B$2:$B$12853,$H84)</f>
        <v>38</v>
      </c>
      <c r="K84">
        <f>_xlfn.MINIFS(Import!$G$2:$G$12853,Import!$B$2:$B$12853,$H84)</f>
        <v>0.04</v>
      </c>
      <c r="L84" t="str" cm="1">
        <f t="array" ref="L84">IFERROR(_xlfn.TEXTAFTER(INDEX(Import!$D$2:$D$12853,MATCH(1,(Import!$B$2:$B$12853=$H84)*(Import!$G$2:$G$12853=$J84),0))," "),"")</f>
        <v>Lamellar Cuirass</v>
      </c>
      <c r="M84" t="str" cm="1">
        <f t="array" ref="M84">IFERROR(_xlfn.TEXTAFTER(INDEX(Import!$D$2:$D$12853,MATCH(1,(Import!$B$2:$B$12853=$H84)*(Import!$G$2:$G$12853=$K84),0))," "),"")</f>
        <v>Bolt</v>
      </c>
      <c r="N84" s="4">
        <f>SUMIFS(Import!$G$2:$G$12853,Import!$B$2:$B$12853,$H84,Import!$C$2:$C$12853,"Weapon")</f>
        <v>356.90000000000003</v>
      </c>
      <c r="O84" s="4">
        <f>SUMIFS(Import!$G$2:$G$12853,Import!$B$2:$B$12853,$H84,Import!$C$2:$C$12853,"Armor")</f>
        <v>483.3</v>
      </c>
      <c r="P84">
        <f t="shared" si="5"/>
        <v>420.1</v>
      </c>
      <c r="Q84" t="str">
        <f>_xlfn.LET(_xlpm.v,_xlfn.XLOOKUP(Table2[[#This Row],[Craft]],Table4[Material],Table4[Home POE],""),IF(_xlpm.v="","",_xlpm.v))</f>
        <v>Material</v>
      </c>
      <c r="R84" s="1">
        <f>_xlfn.LET(_xlpm.v,_xlfn.XLOOKUP(Table2[[#This Row],[Craft]],Table4[Material],Table4[Home Rarity],""),IF(_xlpm.v="","",_xlpm.v))</f>
        <v>4</v>
      </c>
    </row>
    <row r="85" spans="7:18" ht="14.25" customHeight="1" x14ac:dyDescent="0.45">
      <c r="G85" t="s">
        <v>23440</v>
      </c>
      <c r="H85" t="s">
        <v>25353</v>
      </c>
      <c r="I85">
        <v>4</v>
      </c>
      <c r="J85">
        <f>_xlfn.MAXIFS(Import!$G$2:$G$12853,Import!$B$2:$B$12853,$H85)</f>
        <v>22.67</v>
      </c>
      <c r="K85">
        <f>_xlfn.MINIFS(Import!$G$2:$G$12853,Import!$B$2:$B$12853,$H85)</f>
        <v>0.04</v>
      </c>
      <c r="L85" t="str" cm="1">
        <f t="array" ref="L85">IFERROR(_xlfn.TEXTAFTER(INDEX(Import!$D$2:$D$12853,MATCH(1,(Import!$B$2:$B$12853=$H85)*(Import!$G$2:$G$12853=$J85),0))," "),"")</f>
        <v>Hunting Trap (Large)</v>
      </c>
      <c r="M85" t="str" cm="1">
        <f t="array" ref="M85">IFERROR(_xlfn.TEXTAFTER(INDEX(Import!$D$2:$D$12853,MATCH(1,(Import!$B$2:$B$12853=$H85)*(Import!$G$2:$G$12853=$K85),0))," "),"")</f>
        <v>Bolt</v>
      </c>
      <c r="N85" s="4">
        <f>SUMIFS(Import!$G$2:$G$12853,Import!$B$2:$B$12853,$H85,Import!$C$2:$C$12853,"Weapon")</f>
        <v>356.90000000000003</v>
      </c>
      <c r="O85" s="4">
        <f>SUMIFS(Import!$G$2:$G$12853,Import!$B$2:$B$12853,$H85,Import!$C$2:$C$12853,"Armor")</f>
        <v>344</v>
      </c>
      <c r="P85">
        <f t="shared" si="5"/>
        <v>350.45000000000005</v>
      </c>
      <c r="Q85" t="str">
        <f>_xlfn.LET(_xlpm.v,_xlfn.XLOOKUP(Table2[[#This Row],[Craft]],Table4[Material],Table4[Home POE],""),IF(_xlpm.v="","",_xlpm.v))</f>
        <v/>
      </c>
      <c r="R85" s="1" t="str">
        <f>_xlfn.LET(_xlpm.v,_xlfn.XLOOKUP(Table2[[#This Row],[Craft]],Table4[Material],Table4[Home Rarity],""),IF(_xlpm.v="","",_xlpm.v))</f>
        <v/>
      </c>
    </row>
    <row r="86" spans="7:18" ht="14.25" customHeight="1" x14ac:dyDescent="0.45">
      <c r="G86" t="s">
        <v>17702</v>
      </c>
      <c r="H86" t="s">
        <v>19615</v>
      </c>
      <c r="I86">
        <v>1.75</v>
      </c>
      <c r="J86">
        <f>_xlfn.MAXIFS(Import!$G$2:$G$12853,Import!$B$2:$B$12853,$H86)</f>
        <v>22.67</v>
      </c>
      <c r="K86">
        <f>_xlfn.MINIFS(Import!$G$2:$G$12853,Import!$B$2:$B$12853,$H86)</f>
        <v>-5</v>
      </c>
      <c r="L86" t="str" cm="1">
        <f t="array" ref="L86">IFERROR(_xlfn.TEXTAFTER(INDEX(Import!$D$2:$D$12853,MATCH(1,(Import!$B$2:$B$12853=$H86)*(Import!$G$2:$G$12853=$J86),0))," "),"")</f>
        <v>Hunting Trap (Large)</v>
      </c>
      <c r="M86" t="str" cm="1">
        <f t="array" ref="M86">IFERROR(_xlfn.TEXTAFTER(INDEX(Import!$D$2:$D$12853,MATCH(1,(Import!$B$2:$B$12853=$H86)*(Import!$G$2:$G$12853=$K86),0))," "),"")</f>
        <v>Tower Shield</v>
      </c>
      <c r="N86" s="4">
        <f>SUMIFS(Import!$G$2:$G$12853,Import!$B$2:$B$12853,$H86,Import!$C$2:$C$12853,"Weapon")</f>
        <v>356.90000000000003</v>
      </c>
      <c r="O86" s="4">
        <f>SUMIFS(Import!$G$2:$G$12853,Import!$B$2:$B$12853,$H86,Import!$C$2:$C$12853,"Armor")</f>
        <v>323.74</v>
      </c>
      <c r="P86">
        <f t="shared" si="5"/>
        <v>340.32000000000005</v>
      </c>
      <c r="Q86" t="str">
        <f>_xlfn.LET(_xlpm.v,_xlfn.XLOOKUP(Table2[[#This Row],[Craft]],Table4[Material],Table4[Home POE],""),IF(_xlpm.v="","",_xlpm.v))</f>
        <v/>
      </c>
      <c r="R86" s="1" t="str">
        <f>_xlfn.LET(_xlpm.v,_xlfn.XLOOKUP(Table2[[#This Row],[Craft]],Table4[Material],Table4[Home Rarity],""),IF(_xlpm.v="","",_xlpm.v))</f>
        <v/>
      </c>
    </row>
    <row r="87" spans="7:18" ht="14.25" customHeight="1" x14ac:dyDescent="0.45">
      <c r="G87" t="s">
        <v>8</v>
      </c>
      <c r="H87" t="s">
        <v>4316</v>
      </c>
      <c r="I87">
        <v>17</v>
      </c>
      <c r="J87">
        <f>_xlfn.MAXIFS(Import!$G$2:$G$12853,Import!$B$2:$B$12853,$H87)</f>
        <v>40.75</v>
      </c>
      <c r="K87">
        <f>_xlfn.MINIFS(Import!$G$2:$G$12853,Import!$B$2:$B$12853,$H87)</f>
        <v>0.04</v>
      </c>
      <c r="L87" t="str" cm="1">
        <f t="array" ref="L87">IFERROR(_xlfn.TEXTAFTER(INDEX(Import!$D$2:$D$12853,MATCH(1,(Import!$B$2:$B$12853=$H87)*(Import!$G$2:$G$12853=$J87),0))," "),"")</f>
        <v>Tower Shield</v>
      </c>
      <c r="M87" t="str" cm="1">
        <f t="array" ref="M87">IFERROR(_xlfn.TEXTAFTER(INDEX(Import!$D$2:$D$12853,MATCH(1,(Import!$B$2:$B$12853=$H87)*(Import!$G$2:$G$12853=$K87),0))," "),"")</f>
        <v>Bolt</v>
      </c>
      <c r="N87" s="4">
        <f>SUMIFS(Import!$G$2:$G$12853,Import!$B$2:$B$12853,$H87,Import!$C$2:$C$12853,"Weapon")</f>
        <v>356.90000000000003</v>
      </c>
      <c r="O87" s="4">
        <f>SUMIFS(Import!$G$2:$G$12853,Import!$B$2:$B$12853,$H87,Import!$C$2:$C$12853,"Armor")</f>
        <v>497.11999999999983</v>
      </c>
      <c r="P87">
        <f t="shared" si="5"/>
        <v>427.00999999999993</v>
      </c>
      <c r="Q87" t="str">
        <f>_xlfn.LET(_xlpm.v,_xlfn.XLOOKUP(Table2[[#This Row],[Craft]],Table4[Material],Table4[Home POE],""),IF(_xlpm.v="","",_xlpm.v))</f>
        <v>Material</v>
      </c>
      <c r="R87" s="1">
        <f>_xlfn.LET(_xlpm.v,_xlfn.XLOOKUP(Table2[[#This Row],[Craft]],Table4[Material],Table4[Home Rarity],""),IF(_xlpm.v="","",_xlpm.v))</f>
        <v>5</v>
      </c>
    </row>
    <row r="88" spans="7:18" ht="14.25" customHeight="1" x14ac:dyDescent="0.45">
      <c r="G88" t="s">
        <v>17702</v>
      </c>
      <c r="H88" t="s">
        <v>19854</v>
      </c>
      <c r="I88">
        <v>5.8333333333333304</v>
      </c>
      <c r="J88">
        <f>_xlfn.MAXIFS(Import!$G$2:$G$12853,Import!$B$2:$B$12853,$H88)</f>
        <v>22.67</v>
      </c>
      <c r="K88">
        <f>_xlfn.MINIFS(Import!$G$2:$G$12853,Import!$B$2:$B$12853,$H88)</f>
        <v>0.04</v>
      </c>
      <c r="L88" t="str" cm="1">
        <f t="array" ref="L88">IFERROR(_xlfn.TEXTAFTER(INDEX(Import!$D$2:$D$12853,MATCH(1,(Import!$B$2:$B$12853=$H88)*(Import!$G$2:$G$12853=$J88),0))," "),"")</f>
        <v>Hunting Trap (Large)</v>
      </c>
      <c r="M88" t="str" cm="1">
        <f t="array" ref="M88">IFERROR(_xlfn.TEXTAFTER(INDEX(Import!$D$2:$D$12853,MATCH(1,(Import!$B$2:$B$12853=$H88)*(Import!$G$2:$G$12853=$K88),0))," "),"")</f>
        <v>Bolt</v>
      </c>
      <c r="N88" s="4">
        <f>SUMIFS(Import!$G$2:$G$12853,Import!$B$2:$B$12853,$H88,Import!$C$2:$C$12853,"Weapon")</f>
        <v>356.90000000000003</v>
      </c>
      <c r="O88" s="4">
        <f>SUMIFS(Import!$G$2:$G$12853,Import!$B$2:$B$12853,$H88,Import!$C$2:$C$12853,"Armor")</f>
        <v>334.70000000000005</v>
      </c>
      <c r="P88">
        <f t="shared" si="5"/>
        <v>345.80000000000007</v>
      </c>
      <c r="Q88" t="str">
        <f>_xlfn.LET(_xlpm.v,_xlfn.XLOOKUP(Table2[[#This Row],[Craft]],Table4[Material],Table4[Home POE],""),IF(_xlpm.v="","",_xlpm.v))</f>
        <v>Material</v>
      </c>
      <c r="R88" s="1">
        <f>_xlfn.LET(_xlpm.v,_xlfn.XLOOKUP(Table2[[#This Row],[Craft]],Table4[Material],Table4[Home Rarity],""),IF(_xlpm.v="","",_xlpm.v))</f>
        <v>1</v>
      </c>
    </row>
    <row r="89" spans="7:18" ht="14.25" customHeight="1" x14ac:dyDescent="0.45">
      <c r="G89" t="s">
        <v>17702</v>
      </c>
      <c r="H89" t="s">
        <v>20093</v>
      </c>
      <c r="I89">
        <v>5.2</v>
      </c>
      <c r="J89">
        <f>_xlfn.MAXIFS(Import!$G$2:$G$12853,Import!$B$2:$B$12853,$H89)</f>
        <v>22.67</v>
      </c>
      <c r="K89">
        <f>_xlfn.MINIFS(Import!$G$2:$G$12853,Import!$B$2:$B$12853,$H89)</f>
        <v>0.04</v>
      </c>
      <c r="L89" t="str" cm="1">
        <f t="array" ref="L89">IFERROR(_xlfn.TEXTAFTER(INDEX(Import!$D$2:$D$12853,MATCH(1,(Import!$B$2:$B$12853=$H89)*(Import!$G$2:$G$12853=$J89),0))," "),"")</f>
        <v>Hunting Trap (Large)</v>
      </c>
      <c r="M89" t="str" cm="1">
        <f t="array" ref="M89">IFERROR(_xlfn.TEXTAFTER(INDEX(Import!$D$2:$D$12853,MATCH(1,(Import!$B$2:$B$12853=$H89)*(Import!$G$2:$G$12853=$K89),0))," "),"")</f>
        <v>Bolt</v>
      </c>
      <c r="N89" s="4">
        <f>SUMIFS(Import!$G$2:$G$12853,Import!$B$2:$B$12853,$H89,Import!$C$2:$C$12853,"Weapon")</f>
        <v>356.90000000000003</v>
      </c>
      <c r="O89" s="4">
        <f>SUMIFS(Import!$G$2:$G$12853,Import!$B$2:$B$12853,$H89,Import!$C$2:$C$12853,"Armor")</f>
        <v>325.58</v>
      </c>
      <c r="P89">
        <f t="shared" si="5"/>
        <v>341.24</v>
      </c>
      <c r="Q89" t="str">
        <f>_xlfn.LET(_xlpm.v,_xlfn.XLOOKUP(Table2[[#This Row],[Craft]],Table4[Material],Table4[Home POE],""),IF(_xlpm.v="","",_xlpm.v))</f>
        <v>Material</v>
      </c>
      <c r="R89" s="1">
        <f>_xlfn.LET(_xlpm.v,_xlfn.XLOOKUP(Table2[[#This Row],[Craft]],Table4[Material],Table4[Home Rarity],""),IF(_xlpm.v="","",_xlpm.v))</f>
        <v>1</v>
      </c>
    </row>
    <row r="90" spans="7:18" ht="14.25" customHeight="1" x14ac:dyDescent="0.45">
      <c r="G90" t="s">
        <v>5989</v>
      </c>
      <c r="H90" t="s">
        <v>10053</v>
      </c>
      <c r="I90">
        <v>4.5</v>
      </c>
      <c r="J90">
        <f>_xlfn.MAXIFS(Import!$G$2:$G$12853,Import!$B$2:$B$12853,$H90)</f>
        <v>25.6</v>
      </c>
      <c r="K90">
        <f>_xlfn.MINIFS(Import!$G$2:$G$12853,Import!$B$2:$B$12853,$H90)</f>
        <v>0.04</v>
      </c>
      <c r="L90" t="str" cm="1">
        <f t="array" ref="L90">IFERROR(_xlfn.TEXTAFTER(INDEX(Import!$D$2:$D$12853,MATCH(1,(Import!$B$2:$B$12853=$H90)*(Import!$G$2:$G$12853=$J90),0))," "),"")</f>
        <v>Lamellar Cuirass</v>
      </c>
      <c r="M90" t="str" cm="1">
        <f t="array" ref="M90">IFERROR(_xlfn.TEXTAFTER(INDEX(Import!$D$2:$D$12853,MATCH(1,(Import!$B$2:$B$12853=$H90)*(Import!$G$2:$G$12853=$K90),0))," "),"")</f>
        <v>Bolt</v>
      </c>
      <c r="N90" s="4">
        <f>SUMIFS(Import!$G$2:$G$12853,Import!$B$2:$B$12853,$H90,Import!$C$2:$C$12853,"Weapon")</f>
        <v>356.90000000000003</v>
      </c>
      <c r="O90" s="4">
        <f>SUMIFS(Import!$G$2:$G$12853,Import!$B$2:$B$12853,$H90,Import!$C$2:$C$12853,"Armor")</f>
        <v>371.94</v>
      </c>
      <c r="P90">
        <f t="shared" si="5"/>
        <v>364.42</v>
      </c>
      <c r="Q90" t="str">
        <f>_xlfn.LET(_xlpm.v,_xlfn.XLOOKUP(Table2[[#This Row],[Craft]],Table4[Material],Table4[Home POE],""),IF(_xlpm.v="","",_xlpm.v))</f>
        <v>Material</v>
      </c>
      <c r="R90" s="1">
        <f>_xlfn.LET(_xlpm.v,_xlfn.XLOOKUP(Table2[[#This Row],[Craft]],Table4[Material],Table4[Home Rarity],""),IF(_xlpm.v="","",_xlpm.v))</f>
        <v>1</v>
      </c>
    </row>
    <row r="91" spans="7:18" ht="14.25" customHeight="1" x14ac:dyDescent="0.45">
      <c r="G91" t="s">
        <v>8</v>
      </c>
      <c r="H91" t="s">
        <v>4555</v>
      </c>
      <c r="J91">
        <f>_xlfn.MAXIFS(Import!$G$2:$G$12853,Import!$B$2:$B$12853,$H91)</f>
        <v>38</v>
      </c>
      <c r="K91">
        <f>_xlfn.MINIFS(Import!$G$2:$G$12853,Import!$B$2:$B$12853,$H91)</f>
        <v>0.04</v>
      </c>
      <c r="L91" t="str" cm="1">
        <f t="array" ref="L91">IFERROR(_xlfn.TEXTAFTER(INDEX(Import!$D$2:$D$12853,MATCH(1,(Import!$B$2:$B$12853=$H91)*(Import!$G$2:$G$12853=$J91),0))," "),"")</f>
        <v>Lamellar Cuirass</v>
      </c>
      <c r="M91" t="str" cm="1">
        <f t="array" ref="M91">IFERROR(_xlfn.TEXTAFTER(INDEX(Import!$D$2:$D$12853,MATCH(1,(Import!$B$2:$B$12853=$H91)*(Import!$G$2:$G$12853=$K91),0))," "),"")</f>
        <v>Bolt</v>
      </c>
      <c r="N91" s="4">
        <f>SUMIFS(Import!$G$2:$G$12853,Import!$B$2:$B$12853,$H91,Import!$C$2:$C$12853,"Weapon")</f>
        <v>356.90000000000003</v>
      </c>
      <c r="O91" s="4">
        <f>SUMIFS(Import!$G$2:$G$12853,Import!$B$2:$B$12853,$H91,Import!$C$2:$C$12853,"Armor")</f>
        <v>483.3</v>
      </c>
      <c r="P91">
        <f t="shared" si="5"/>
        <v>420.1</v>
      </c>
      <c r="Q91" t="str">
        <f>_xlfn.LET(_xlpm.v,_xlfn.XLOOKUP(Table2[[#This Row],[Craft]],Table4[Material],Table4[Home POE],""),IF(_xlpm.v="","",_xlpm.v))</f>
        <v>Material</v>
      </c>
      <c r="R91" s="1">
        <f>_xlfn.LET(_xlpm.v,_xlfn.XLOOKUP(Table2[[#This Row],[Craft]],Table4[Material],Table4[Home Rarity],""),IF(_xlpm.v="","",_xlpm.v))</f>
        <v>4</v>
      </c>
    </row>
    <row r="92" spans="7:18" ht="14.25" customHeight="1" x14ac:dyDescent="0.45">
      <c r="G92" t="s">
        <v>20571</v>
      </c>
      <c r="H92" t="s">
        <v>22245</v>
      </c>
      <c r="I92">
        <v>13</v>
      </c>
      <c r="J92">
        <f>_xlfn.MAXIFS(Import!$G$2:$G$12853,Import!$B$2:$B$12853,$H92)</f>
        <v>32.770000000000003</v>
      </c>
      <c r="K92">
        <f>_xlfn.MINIFS(Import!$G$2:$G$12853,Import!$B$2:$B$12853,$H92)</f>
        <v>0.04</v>
      </c>
      <c r="L92" t="str" cm="1">
        <f t="array" ref="L92">IFERROR(_xlfn.TEXTAFTER(INDEX(Import!$D$2:$D$12853,MATCH(1,(Import!$B$2:$B$12853=$H92)*(Import!$G$2:$G$12853=$J92),0))," "),"")</f>
        <v>Lamellar Cuirass</v>
      </c>
      <c r="M92" t="str" cm="1">
        <f t="array" ref="M92">IFERROR(_xlfn.TEXTAFTER(INDEX(Import!$D$2:$D$12853,MATCH(1,(Import!$B$2:$B$12853=$H92)*(Import!$G$2:$G$12853=$K92),0))," "),"")</f>
        <v>Bolt</v>
      </c>
      <c r="N92" s="4">
        <f>SUMIFS(Import!$G$2:$G$12853,Import!$B$2:$B$12853,$H92,Import!$C$2:$C$12853,"Weapon")</f>
        <v>356.90000000000003</v>
      </c>
      <c r="O92" s="4">
        <f>SUMIFS(Import!$G$2:$G$12853,Import!$B$2:$B$12853,$H92,Import!$C$2:$C$12853,"Armor")</f>
        <v>432.96000000000004</v>
      </c>
      <c r="P92">
        <f t="shared" si="5"/>
        <v>394.93000000000006</v>
      </c>
      <c r="Q92" t="str">
        <f>_xlfn.LET(_xlpm.v,_xlfn.XLOOKUP(Table2[[#This Row],[Craft]],Table4[Material],Table4[Home POE],""),IF(_xlpm.v="","",_xlpm.v))</f>
        <v/>
      </c>
      <c r="R92" s="1" t="str">
        <f>_xlfn.LET(_xlpm.v,_xlfn.XLOOKUP(Table2[[#This Row],[Craft]],Table4[Material],Table4[Home Rarity],""),IF(_xlpm.v="","",_xlpm.v))</f>
        <v/>
      </c>
    </row>
    <row r="93" spans="7:18" ht="14.25" customHeight="1" x14ac:dyDescent="0.45">
      <c r="G93" t="s">
        <v>20571</v>
      </c>
      <c r="H93" t="s">
        <v>22484</v>
      </c>
      <c r="I93">
        <v>10.5</v>
      </c>
      <c r="J93">
        <f>_xlfn.MAXIFS(Import!$G$2:$G$12853,Import!$B$2:$B$12853,$H93)</f>
        <v>32.049999999999997</v>
      </c>
      <c r="K93">
        <f>_xlfn.MINIFS(Import!$G$2:$G$12853,Import!$B$2:$B$12853,$H93)</f>
        <v>0.04</v>
      </c>
      <c r="L93" t="str" cm="1">
        <f t="array" ref="L93">IFERROR(_xlfn.TEXTAFTER(INDEX(Import!$D$2:$D$12853,MATCH(1,(Import!$B$2:$B$12853=$H93)*(Import!$G$2:$G$12853=$J93),0))," "),"")</f>
        <v>Lamellar Cuirass</v>
      </c>
      <c r="M93" t="str" cm="1">
        <f t="array" ref="M93">IFERROR(_xlfn.TEXTAFTER(INDEX(Import!$D$2:$D$12853,MATCH(1,(Import!$B$2:$B$12853=$H93)*(Import!$G$2:$G$12853=$K93),0))," "),"")</f>
        <v>Bolt</v>
      </c>
      <c r="N93" s="4">
        <f>SUMIFS(Import!$G$2:$G$12853,Import!$B$2:$B$12853,$H93,Import!$C$2:$C$12853,"Weapon")</f>
        <v>356.90000000000003</v>
      </c>
      <c r="O93" s="4">
        <f>SUMIFS(Import!$G$2:$G$12853,Import!$B$2:$B$12853,$H93,Import!$C$2:$C$12853,"Armor")</f>
        <v>425.52000000000015</v>
      </c>
      <c r="P93">
        <f t="shared" si="5"/>
        <v>391.21000000000009</v>
      </c>
      <c r="Q93" t="str">
        <f>_xlfn.LET(_xlpm.v,_xlfn.XLOOKUP(Table2[[#This Row],[Craft]],Table4[Material],Table4[Home POE],""),IF(_xlpm.v="","",_xlpm.v))</f>
        <v/>
      </c>
      <c r="R93" s="1" t="str">
        <f>_xlfn.LET(_xlpm.v,_xlfn.XLOOKUP(Table2[[#This Row],[Craft]],Table4[Material],Table4[Home Rarity],""),IF(_xlpm.v="","",_xlpm.v))</f>
        <v/>
      </c>
    </row>
    <row r="94" spans="7:18" ht="14.25" customHeight="1" x14ac:dyDescent="0.45">
      <c r="G94" t="s">
        <v>2403</v>
      </c>
      <c r="H94" t="s">
        <v>14116</v>
      </c>
      <c r="J94">
        <f>_xlfn.MAXIFS(Import!$G$2:$G$12853,Import!$B$2:$B$12853,$H94)</f>
        <v>48.5</v>
      </c>
      <c r="K94">
        <f>_xlfn.MINIFS(Import!$G$2:$G$12853,Import!$B$2:$B$12853,$H94)</f>
        <v>0.04</v>
      </c>
      <c r="L94" t="str" cm="1">
        <f t="array" ref="L94">IFERROR(_xlfn.TEXTAFTER(INDEX(Import!$D$2:$D$12853,MATCH(1,(Import!$B$2:$B$12853=$H94)*(Import!$G$2:$G$12853=$J94),0))," "),"")</f>
        <v>Lamellar Cuirass</v>
      </c>
      <c r="M94" t="str" cm="1">
        <f t="array" ref="M94">IFERROR(_xlfn.TEXTAFTER(INDEX(Import!$D$2:$D$12853,MATCH(1,(Import!$B$2:$B$12853=$H94)*(Import!$G$2:$G$12853=$K94),0))," "),"")</f>
        <v>Bolt</v>
      </c>
      <c r="N94" s="4">
        <f>SUMIFS(Import!$G$2:$G$12853,Import!$B$2:$B$12853,$H94,Import!$C$2:$C$12853,"Weapon")</f>
        <v>356.90000000000003</v>
      </c>
      <c r="O94" s="4">
        <f>SUMIFS(Import!$G$2:$G$12853,Import!$B$2:$B$12853,$H94,Import!$C$2:$C$12853,"Armor")</f>
        <v>624.74</v>
      </c>
      <c r="P94">
        <f t="shared" si="5"/>
        <v>490.82000000000005</v>
      </c>
      <c r="Q94" t="str">
        <f>_xlfn.LET(_xlpm.v,_xlfn.XLOOKUP(Table2[[#This Row],[Craft]],Table4[Material],Table4[Home POE],""),IF(_xlpm.v="","",_xlpm.v))</f>
        <v>Material</v>
      </c>
      <c r="R94" s="1">
        <f>_xlfn.LET(_xlpm.v,_xlfn.XLOOKUP(Table2[[#This Row],[Craft]],Table4[Material],Table4[Home Rarity],""),IF(_xlpm.v="","",_xlpm.v))</f>
        <v>2</v>
      </c>
    </row>
    <row r="95" spans="7:18" ht="14.25" customHeight="1" x14ac:dyDescent="0.45">
      <c r="G95" t="s">
        <v>23440</v>
      </c>
      <c r="H95" t="s">
        <v>25592</v>
      </c>
      <c r="I95">
        <v>7</v>
      </c>
      <c r="J95">
        <f>_xlfn.MAXIFS(Import!$G$2:$G$12853,Import!$B$2:$B$12853,$H95)</f>
        <v>23.07</v>
      </c>
      <c r="K95">
        <f>_xlfn.MINIFS(Import!$G$2:$G$12853,Import!$B$2:$B$12853,$H95)</f>
        <v>0.04</v>
      </c>
      <c r="L95" t="str" cm="1">
        <f t="array" ref="L95">IFERROR(_xlfn.TEXTAFTER(INDEX(Import!$D$2:$D$12853,MATCH(1,(Import!$B$2:$B$12853=$H95)*(Import!$G$2:$G$12853=$J95),0))," "),"")</f>
        <v>Lamellar Cuirass</v>
      </c>
      <c r="M95" t="str" cm="1">
        <f t="array" ref="M95">IFERROR(_xlfn.TEXTAFTER(INDEX(Import!$D$2:$D$12853,MATCH(1,(Import!$B$2:$B$12853=$H95)*(Import!$G$2:$G$12853=$K95),0))," "),"")</f>
        <v>Bolt</v>
      </c>
      <c r="N95" s="4">
        <f>SUMIFS(Import!$G$2:$G$12853,Import!$B$2:$B$12853,$H95,Import!$C$2:$C$12853,"Weapon")</f>
        <v>356.90000000000003</v>
      </c>
      <c r="O95" s="4">
        <f>SUMIFS(Import!$G$2:$G$12853,Import!$B$2:$B$12853,$H95,Import!$C$2:$C$12853,"Armor")</f>
        <v>352.55999999999995</v>
      </c>
      <c r="P95">
        <f t="shared" si="5"/>
        <v>354.73</v>
      </c>
      <c r="Q95" t="str">
        <f>_xlfn.LET(_xlpm.v,_xlfn.XLOOKUP(Table2[[#This Row],[Craft]],Table4[Material],Table4[Home POE],""),IF(_xlpm.v="","",_xlpm.v))</f>
        <v>Material</v>
      </c>
      <c r="R95" s="1">
        <f>_xlfn.LET(_xlpm.v,_xlfn.XLOOKUP(Table2[[#This Row],[Craft]],Table4[Material],Table4[Home Rarity],""),IF(_xlpm.v="","",_xlpm.v))</f>
        <v>1</v>
      </c>
    </row>
    <row r="96" spans="7:18" ht="14.25" customHeight="1" x14ac:dyDescent="0.45">
      <c r="G96" t="s">
        <v>8</v>
      </c>
      <c r="H96" t="s">
        <v>4794</v>
      </c>
      <c r="J96">
        <f>_xlfn.MAXIFS(Import!$G$2:$G$12853,Import!$B$2:$B$12853,$H96)</f>
        <v>38</v>
      </c>
      <c r="K96">
        <f>_xlfn.MINIFS(Import!$G$2:$G$12853,Import!$B$2:$B$12853,$H96)</f>
        <v>0.04</v>
      </c>
      <c r="L96" t="str" cm="1">
        <f t="array" ref="L96">IFERROR(_xlfn.TEXTAFTER(INDEX(Import!$D$2:$D$12853,MATCH(1,(Import!$B$2:$B$12853=$H96)*(Import!$G$2:$G$12853=$J96),0))," "),"")</f>
        <v>Lamellar Cuirass</v>
      </c>
      <c r="M96" t="str" cm="1">
        <f t="array" ref="M96">IFERROR(_xlfn.TEXTAFTER(INDEX(Import!$D$2:$D$12853,MATCH(1,(Import!$B$2:$B$12853=$H96)*(Import!$G$2:$G$12853=$K96),0))," "),"")</f>
        <v>Bolt</v>
      </c>
      <c r="N96" s="4">
        <f>SUMIFS(Import!$G$2:$G$12853,Import!$B$2:$B$12853,$H96,Import!$C$2:$C$12853,"Weapon")</f>
        <v>356.90000000000003</v>
      </c>
      <c r="O96" s="4">
        <f>SUMIFS(Import!$G$2:$G$12853,Import!$B$2:$B$12853,$H96,Import!$C$2:$C$12853,"Armor")</f>
        <v>483.3</v>
      </c>
      <c r="P96">
        <f t="shared" si="5"/>
        <v>420.1</v>
      </c>
      <c r="Q96" t="str">
        <f>_xlfn.LET(_xlpm.v,_xlfn.XLOOKUP(Table2[[#This Row],[Craft]],Table4[Material],Table4[Home POE],""),IF(_xlpm.v="","",_xlpm.v))</f>
        <v>Material</v>
      </c>
      <c r="R96" s="1">
        <f>_xlfn.LET(_xlpm.v,_xlfn.XLOOKUP(Table2[[#This Row],[Craft]],Table4[Material],Table4[Home Rarity],""),IF(_xlpm.v="","",_xlpm.v))</f>
        <v>4</v>
      </c>
    </row>
    <row r="97" spans="7:18" ht="14.25" customHeight="1" x14ac:dyDescent="0.45">
      <c r="G97" t="s">
        <v>20571</v>
      </c>
      <c r="H97" t="s">
        <v>22723</v>
      </c>
      <c r="J97">
        <f>_xlfn.MAXIFS(Import!$G$2:$G$12853,Import!$B$2:$B$12853,$H97)</f>
        <v>32.5</v>
      </c>
      <c r="K97">
        <f>_xlfn.MINIFS(Import!$G$2:$G$12853,Import!$B$2:$B$12853,$H97)</f>
        <v>0.04</v>
      </c>
      <c r="L97" t="str" cm="1">
        <f t="array" ref="L97">IFERROR(_xlfn.TEXTAFTER(INDEX(Import!$D$2:$D$12853,MATCH(1,(Import!$B$2:$B$12853=$H97)*(Import!$G$2:$G$12853=$J97),0))," "),"")</f>
        <v>Ring Lamellar Cuirass</v>
      </c>
      <c r="M97" t="str" cm="1">
        <f t="array" ref="M97">IFERROR(_xlfn.TEXTAFTER(INDEX(Import!$D$2:$D$12853,MATCH(1,(Import!$B$2:$B$12853=$H97)*(Import!$G$2:$G$12853=$K97),0))," "),"")</f>
        <v>Ring Bolt</v>
      </c>
      <c r="N97" s="4">
        <f>SUMIFS(Import!$G$2:$G$12853,Import!$B$2:$B$12853,$H97,Import!$C$2:$C$12853,"Weapon")</f>
        <v>356.90000000000003</v>
      </c>
      <c r="O97" s="4">
        <f>SUMIFS(Import!$G$2:$G$12853,Import!$B$2:$B$12853,$H97,Import!$C$2:$C$12853,"Armor")</f>
        <v>430.2</v>
      </c>
      <c r="P97">
        <f t="shared" si="5"/>
        <v>393.55</v>
      </c>
      <c r="Q97" t="str">
        <f>_xlfn.LET(_xlpm.v,_xlfn.XLOOKUP(Table2[[#This Row],[Craft]],Table4[Material],Table4[Home POE],""),IF(_xlpm.v="","",_xlpm.v))</f>
        <v/>
      </c>
      <c r="R97" s="1" t="str">
        <f>_xlfn.LET(_xlpm.v,_xlfn.XLOOKUP(Table2[[#This Row],[Craft]],Table4[Material],Table4[Home Rarity],""),IF(_xlpm.v="","",_xlpm.v))</f>
        <v/>
      </c>
    </row>
    <row r="98" spans="7:18" ht="14.25" customHeight="1" x14ac:dyDescent="0.45">
      <c r="G98" t="s">
        <v>20571</v>
      </c>
      <c r="H98" t="s">
        <v>22962</v>
      </c>
      <c r="I98">
        <v>8</v>
      </c>
      <c r="J98">
        <f>_xlfn.MAXIFS(Import!$G$2:$G$12853,Import!$B$2:$B$12853,$H98)</f>
        <v>31.3</v>
      </c>
      <c r="K98">
        <f>_xlfn.MINIFS(Import!$G$2:$G$12853,Import!$B$2:$B$12853,$H98)</f>
        <v>0.04</v>
      </c>
      <c r="L98" t="str" cm="1">
        <f t="array" ref="L98">IFERROR(_xlfn.TEXTAFTER(INDEX(Import!$D$2:$D$12853,MATCH(1,(Import!$B$2:$B$12853=$H98)*(Import!$G$2:$G$12853=$J98),0))," "),"")</f>
        <v>Lamellar Cuirass</v>
      </c>
      <c r="M98" t="str" cm="1">
        <f t="array" ref="M98">IFERROR(_xlfn.TEXTAFTER(INDEX(Import!$D$2:$D$12853,MATCH(1,(Import!$B$2:$B$12853=$H98)*(Import!$G$2:$G$12853=$K98),0))," "),"")</f>
        <v>Bolt</v>
      </c>
      <c r="N98" s="4">
        <f>SUMIFS(Import!$G$2:$G$12853,Import!$B$2:$B$12853,$H98,Import!$C$2:$C$12853,"Weapon")</f>
        <v>356.90000000000003</v>
      </c>
      <c r="O98" s="4">
        <f>SUMIFS(Import!$G$2:$G$12853,Import!$B$2:$B$12853,$H98,Import!$C$2:$C$12853,"Armor")</f>
        <v>418</v>
      </c>
      <c r="P98">
        <f t="shared" si="5"/>
        <v>387.45000000000005</v>
      </c>
      <c r="Q98" t="str">
        <f>_xlfn.LET(_xlpm.v,_xlfn.XLOOKUP(Table2[[#This Row],[Craft]],Table4[Material],Table4[Home POE],""),IF(_xlpm.v="","",_xlpm.v))</f>
        <v/>
      </c>
      <c r="R98" s="1" t="str">
        <f>_xlfn.LET(_xlpm.v,_xlfn.XLOOKUP(Table2[[#This Row],[Craft]],Table4[Material],Table4[Home Rarity],""),IF(_xlpm.v="","",_xlpm.v))</f>
        <v/>
      </c>
    </row>
    <row r="99" spans="7:18" ht="14.25" customHeight="1" x14ac:dyDescent="0.45">
      <c r="G99" t="s">
        <v>14833</v>
      </c>
      <c r="H99" t="s">
        <v>15790</v>
      </c>
      <c r="I99">
        <v>1.8</v>
      </c>
      <c r="J99">
        <f>_xlfn.MAXIFS(Import!$G$2:$G$12853,Import!$B$2:$B$12853,$H99)</f>
        <v>22.67</v>
      </c>
      <c r="K99">
        <f>_xlfn.MINIFS(Import!$G$2:$G$12853,Import!$B$2:$B$12853,$H99)</f>
        <v>0.04</v>
      </c>
      <c r="L99" t="str" cm="1">
        <f t="array" ref="L99">IFERROR(_xlfn.TEXTAFTER(INDEX(Import!$D$2:$D$12853,MATCH(1,(Import!$B$2:$B$12853=$H99)*(Import!$G$2:$G$12853=$J99),0))," "),"")</f>
        <v>Hunting Trap (Large)</v>
      </c>
      <c r="M99" t="str" cm="1">
        <f t="array" ref="M99">IFERROR(_xlfn.TEXTAFTER(INDEX(Import!$D$2:$D$12853,MATCH(1,(Import!$B$2:$B$12853=$H99)*(Import!$G$2:$G$12853=$K99),0))," "),"")</f>
        <v>Bolt</v>
      </c>
      <c r="N99" s="4">
        <f>SUMIFS(Import!$G$2:$G$12853,Import!$B$2:$B$12853,$H99,Import!$C$2:$C$12853,"Weapon")</f>
        <v>356.90000000000003</v>
      </c>
      <c r="O99" s="4">
        <f>SUMIFS(Import!$G$2:$G$12853,Import!$B$2:$B$12853,$H99,Import!$C$2:$C$12853,"Armor")</f>
        <v>312.80000000000007</v>
      </c>
      <c r="P99">
        <f t="shared" si="5"/>
        <v>334.85</v>
      </c>
      <c r="Q99" t="str">
        <f>_xlfn.LET(_xlpm.v,_xlfn.XLOOKUP(Table2[[#This Row],[Craft]],Table4[Material],Table4[Home POE],""),IF(_xlpm.v="","",_xlpm.v))</f>
        <v/>
      </c>
      <c r="R99" s="1" t="str">
        <f>_xlfn.LET(_xlpm.v,_xlfn.XLOOKUP(Table2[[#This Row],[Craft]],Table4[Material],Table4[Home Rarity],""),IF(_xlpm.v="","",_xlpm.v))</f>
        <v/>
      </c>
    </row>
    <row r="100" spans="7:18" ht="14.25" customHeight="1" x14ac:dyDescent="0.45">
      <c r="G100" t="s">
        <v>14833</v>
      </c>
      <c r="H100" t="s">
        <v>16029</v>
      </c>
      <c r="I100">
        <v>0.25</v>
      </c>
      <c r="J100">
        <f>_xlfn.MAXIFS(Import!$G$2:$G$12853,Import!$B$2:$B$12853,$H100)</f>
        <v>22.67</v>
      </c>
      <c r="K100">
        <f>_xlfn.MINIFS(Import!$G$2:$G$12853,Import!$B$2:$B$12853,$H100)</f>
        <v>-9.5</v>
      </c>
      <c r="L100" t="str" cm="1">
        <f t="array" ref="L100">IFERROR(_xlfn.TEXTAFTER(INDEX(Import!$D$2:$D$12853,MATCH(1,(Import!$B$2:$B$12853=$H100)*(Import!$G$2:$G$12853=$J100),0))," "),"")</f>
        <v>Hunting Trap (Large)</v>
      </c>
      <c r="M100" t="str" cm="1">
        <f t="array" ref="M100">IFERROR(_xlfn.TEXTAFTER(INDEX(Import!$D$2:$D$12853,MATCH(1,(Import!$B$2:$B$12853=$H100)*(Import!$G$2:$G$12853=$K100),0))," "),"")</f>
        <v>Tower Shield</v>
      </c>
      <c r="N100" s="4">
        <f>SUMIFS(Import!$G$2:$G$12853,Import!$B$2:$B$12853,$H100,Import!$C$2:$C$12853,"Weapon")</f>
        <v>356.90000000000003</v>
      </c>
      <c r="O100" s="4">
        <f>SUMIFS(Import!$G$2:$G$12853,Import!$B$2:$B$12853,$H100,Import!$C$2:$C$12853,"Armor")</f>
        <v>308.00000000000006</v>
      </c>
      <c r="P100">
        <f t="shared" si="5"/>
        <v>332.45000000000005</v>
      </c>
      <c r="Q100" t="str">
        <f>_xlfn.LET(_xlpm.v,_xlfn.XLOOKUP(Table2[[#This Row],[Craft]],Table4[Material],Table4[Home POE],""),IF(_xlpm.v="","",_xlpm.v))</f>
        <v>Material</v>
      </c>
      <c r="R100" s="1">
        <f>_xlfn.LET(_xlpm.v,_xlfn.XLOOKUP(Table2[[#This Row],[Craft]],Table4[Material],Table4[Home Rarity],""),IF(_xlpm.v="","",_xlpm.v))</f>
        <v>2</v>
      </c>
    </row>
    <row r="101" spans="7:18" ht="14.25" customHeight="1" x14ac:dyDescent="0.45">
      <c r="G101" t="s">
        <v>8</v>
      </c>
      <c r="H101" t="s">
        <v>5033</v>
      </c>
      <c r="I101">
        <v>8.5</v>
      </c>
      <c r="J101">
        <f>_xlfn.MAXIFS(Import!$G$2:$G$12853,Import!$B$2:$B$12853,$H101)</f>
        <v>36.93</v>
      </c>
      <c r="K101">
        <f>_xlfn.MINIFS(Import!$G$2:$G$12853,Import!$B$2:$B$12853,$H101)</f>
        <v>0.04</v>
      </c>
      <c r="L101" t="str" cm="1">
        <f t="array" ref="L101">IFERROR(_xlfn.TEXTAFTER(INDEX(Import!$D$2:$D$12853,MATCH(1,(Import!$B$2:$B$12853=$H101)*(Import!$G$2:$G$12853=$J101),0))," "),"")</f>
        <v>Lamellar Cuirass</v>
      </c>
      <c r="M101" t="str" cm="1">
        <f t="array" ref="M101">IFERROR(_xlfn.TEXTAFTER(INDEX(Import!$D$2:$D$12853,MATCH(1,(Import!$B$2:$B$12853=$H101)*(Import!$G$2:$G$12853=$K101),0))," "),"")</f>
        <v>Bolt</v>
      </c>
      <c r="N101" s="4">
        <f>SUMIFS(Import!$G$2:$G$12853,Import!$B$2:$B$12853,$H101,Import!$C$2:$C$12853,"Weapon")</f>
        <v>356.90000000000003</v>
      </c>
      <c r="O101" s="4">
        <f>SUMIFS(Import!$G$2:$G$12853,Import!$B$2:$B$12853,$H101,Import!$C$2:$C$12853,"Armor")</f>
        <v>471.38000000000005</v>
      </c>
      <c r="P101">
        <f t="shared" si="5"/>
        <v>414.14000000000004</v>
      </c>
      <c r="Q101" t="str">
        <f>_xlfn.LET(_xlpm.v,_xlfn.XLOOKUP(Table2[[#This Row],[Craft]],Table4[Material],Table4[Home POE],""),IF(_xlpm.v="","",_xlpm.v))</f>
        <v>Material</v>
      </c>
      <c r="R101" s="1">
        <f>_xlfn.LET(_xlpm.v,_xlfn.XLOOKUP(Table2[[#This Row],[Craft]],Table4[Material],Table4[Home Rarity],""),IF(_xlpm.v="","",_xlpm.v))</f>
        <v>3</v>
      </c>
    </row>
    <row r="102" spans="7:18" ht="14.25" customHeight="1" x14ac:dyDescent="0.45">
      <c r="G102" t="s">
        <v>5989</v>
      </c>
      <c r="H102" t="s">
        <v>11487</v>
      </c>
      <c r="J102">
        <f>_xlfn.MAXIFS(Import!$G$2:$G$12853,Import!$B$2:$B$12853,$H102)</f>
        <v>26.8</v>
      </c>
      <c r="K102">
        <f>_xlfn.MINIFS(Import!$G$2:$G$12853,Import!$B$2:$B$12853,$H102)</f>
        <v>0.04</v>
      </c>
      <c r="L102" t="str" cm="1">
        <f t="array" ref="L102">IFERROR(_xlfn.TEXTAFTER(INDEX(Import!$D$2:$D$12853,MATCH(1,(Import!$B$2:$B$12853=$H102)*(Import!$G$2:$G$12853=$J102),0))," "),"")</f>
        <v>Lamellar Cuirass</v>
      </c>
      <c r="M102" t="str" cm="1">
        <f t="array" ref="M102">IFERROR(_xlfn.TEXTAFTER(INDEX(Import!$D$2:$D$12853,MATCH(1,(Import!$B$2:$B$12853=$H102)*(Import!$G$2:$G$12853=$K102),0))," "),"")</f>
        <v>Bolt</v>
      </c>
      <c r="N102" s="4">
        <f>SUMIFS(Import!$G$2:$G$12853,Import!$B$2:$B$12853,$H102,Import!$C$2:$C$12853,"Weapon")</f>
        <v>356.90000000000003</v>
      </c>
      <c r="O102" s="4">
        <f>SUMIFS(Import!$G$2:$G$12853,Import!$B$2:$B$12853,$H102,Import!$C$2:$C$12853,"Armor")</f>
        <v>382.22000000000008</v>
      </c>
      <c r="P102">
        <f t="shared" si="5"/>
        <v>369.56000000000006</v>
      </c>
      <c r="Q102" t="str">
        <f>_xlfn.LET(_xlpm.v,_xlfn.XLOOKUP(Table2[[#This Row],[Craft]],Table4[Material],Table4[Home POE],""),IF(_xlpm.v="","",_xlpm.v))</f>
        <v/>
      </c>
      <c r="R102" s="1" t="str">
        <f>_xlfn.LET(_xlpm.v,_xlfn.XLOOKUP(Table2[[#This Row],[Craft]],Table4[Material],Table4[Home Rarity],""),IF(_xlpm.v="","",_xlpm.v))</f>
        <v/>
      </c>
    </row>
    <row r="103" spans="7:18" ht="14.25" customHeight="1" x14ac:dyDescent="0.45">
      <c r="G103" t="s">
        <v>5989</v>
      </c>
      <c r="H103" t="s">
        <v>10292</v>
      </c>
      <c r="J103">
        <f>_xlfn.MAXIFS(Import!$G$2:$G$12853,Import!$B$2:$B$12853,$H103)</f>
        <v>26.8</v>
      </c>
      <c r="K103">
        <f>_xlfn.MINIFS(Import!$G$2:$G$12853,Import!$B$2:$B$12853,$H103)</f>
        <v>0.04</v>
      </c>
      <c r="L103" t="str" cm="1">
        <f t="array" ref="L103">IFERROR(_xlfn.TEXTAFTER(INDEX(Import!$D$2:$D$12853,MATCH(1,(Import!$B$2:$B$12853=$H103)*(Import!$G$2:$G$12853=$J103),0))," "),"")</f>
        <v>Lamellar Cuirass</v>
      </c>
      <c r="M103" t="str" cm="1">
        <f t="array" ref="M103">IFERROR(_xlfn.TEXTAFTER(INDEX(Import!$D$2:$D$12853,MATCH(1,(Import!$B$2:$B$12853=$H103)*(Import!$G$2:$G$12853=$K103),0))," "),"")</f>
        <v>Bolt</v>
      </c>
      <c r="N103" s="4">
        <f>SUMIFS(Import!$G$2:$G$12853,Import!$B$2:$B$12853,$H103,Import!$C$2:$C$12853,"Weapon")</f>
        <v>356.90000000000003</v>
      </c>
      <c r="O103" s="4">
        <f>SUMIFS(Import!$G$2:$G$12853,Import!$B$2:$B$12853,$H103,Import!$C$2:$C$12853,"Armor")</f>
        <v>382.22000000000008</v>
      </c>
      <c r="P103">
        <f t="shared" si="5"/>
        <v>369.56000000000006</v>
      </c>
      <c r="Q103" t="str">
        <f>_xlfn.LET(_xlpm.v,_xlfn.XLOOKUP(Table2[[#This Row],[Craft]],Table4[Material],Table4[Home POE],""),IF(_xlpm.v="","",_xlpm.v))</f>
        <v/>
      </c>
      <c r="R103" s="1" t="str">
        <f>_xlfn.LET(_xlpm.v,_xlfn.XLOOKUP(Table2[[#This Row],[Craft]],Table4[Material],Table4[Home Rarity],""),IF(_xlpm.v="","",_xlpm.v))</f>
        <v/>
      </c>
    </row>
    <row r="104" spans="7:18" ht="14.25" customHeight="1" x14ac:dyDescent="0.45">
      <c r="G104" t="s">
        <v>8</v>
      </c>
      <c r="H104" t="s">
        <v>5272</v>
      </c>
      <c r="I104">
        <v>13</v>
      </c>
      <c r="J104">
        <f>_xlfn.MAXIFS(Import!$G$2:$G$12853,Import!$B$2:$B$12853,$H104)</f>
        <v>38.130000000000003</v>
      </c>
      <c r="K104">
        <f>_xlfn.MINIFS(Import!$G$2:$G$12853,Import!$B$2:$B$12853,$H104)</f>
        <v>0.04</v>
      </c>
      <c r="L104" t="str" cm="1">
        <f t="array" ref="L104">IFERROR(_xlfn.TEXTAFTER(INDEX(Import!$D$2:$D$12853,MATCH(1,(Import!$B$2:$B$12853=$H104)*(Import!$G$2:$G$12853=$J104),0))," "),"")</f>
        <v>Lamellar Cuirass</v>
      </c>
      <c r="M104" t="str" cm="1">
        <f t="array" ref="M104">IFERROR(_xlfn.TEXTAFTER(INDEX(Import!$D$2:$D$12853,MATCH(1,(Import!$B$2:$B$12853=$H104)*(Import!$G$2:$G$12853=$K104),0))," "),"")</f>
        <v>Bolt</v>
      </c>
      <c r="N104" s="4">
        <f>SUMIFS(Import!$G$2:$G$12853,Import!$B$2:$B$12853,$H104,Import!$C$2:$C$12853,"Weapon")</f>
        <v>356.90000000000003</v>
      </c>
      <c r="O104" s="4">
        <f>SUMIFS(Import!$G$2:$G$12853,Import!$B$2:$B$12853,$H104,Import!$C$2:$C$12853,"Armor")</f>
        <v>484.81999999999988</v>
      </c>
      <c r="P104">
        <f t="shared" si="5"/>
        <v>420.85999999999996</v>
      </c>
      <c r="Q104" t="str">
        <f>_xlfn.LET(_xlpm.v,_xlfn.XLOOKUP(Table2[[#This Row],[Craft]],Table4[Material],Table4[Home POE],""),IF(_xlpm.v="","",_xlpm.v))</f>
        <v/>
      </c>
      <c r="R104" s="1" t="str">
        <f>_xlfn.LET(_xlpm.v,_xlfn.XLOOKUP(Table2[[#This Row],[Craft]],Table4[Material],Table4[Home Rarity],""),IF(_xlpm.v="","",_xlpm.v))</f>
        <v/>
      </c>
    </row>
    <row r="105" spans="7:18" ht="14.25" customHeight="1" x14ac:dyDescent="0.45">
      <c r="G105" t="s">
        <v>2403</v>
      </c>
      <c r="H105" t="s">
        <v>14355</v>
      </c>
      <c r="J105">
        <f>_xlfn.MAXIFS(Import!$G$2:$G$12853,Import!$B$2:$B$12853,$H105)</f>
        <v>48.5</v>
      </c>
      <c r="K105">
        <f>_xlfn.MINIFS(Import!$G$2:$G$12853,Import!$B$2:$B$12853,$H105)</f>
        <v>0.04</v>
      </c>
      <c r="L105" t="str" cm="1">
        <f t="array" ref="L105">IFERROR(_xlfn.TEXTAFTER(INDEX(Import!$D$2:$D$12853,MATCH(1,(Import!$B$2:$B$12853=$H105)*(Import!$G$2:$G$12853=$J105),0))," "),"")</f>
        <v>Lamellar Cuirass</v>
      </c>
      <c r="M105" t="str" cm="1">
        <f t="array" ref="M105">IFERROR(_xlfn.TEXTAFTER(INDEX(Import!$D$2:$D$12853,MATCH(1,(Import!$B$2:$B$12853=$H105)*(Import!$G$2:$G$12853=$K105),0))," "),"")</f>
        <v>Bolt</v>
      </c>
      <c r="N105" s="4">
        <f>SUMIFS(Import!$G$2:$G$12853,Import!$B$2:$B$12853,$H105,Import!$C$2:$C$12853,"Weapon")</f>
        <v>356.90000000000003</v>
      </c>
      <c r="O105" s="4">
        <f>SUMIFS(Import!$G$2:$G$12853,Import!$B$2:$B$12853,$H105,Import!$C$2:$C$12853,"Armor")</f>
        <v>624.74</v>
      </c>
      <c r="P105">
        <f t="shared" si="5"/>
        <v>490.82000000000005</v>
      </c>
      <c r="Q105" t="str">
        <f>_xlfn.LET(_xlpm.v,_xlfn.XLOOKUP(Table2[[#This Row],[Craft]],Table4[Material],Table4[Home POE],""),IF(_xlpm.v="","",_xlpm.v))</f>
        <v>Astral</v>
      </c>
      <c r="R105" s="1">
        <f>_xlfn.LET(_xlpm.v,_xlfn.XLOOKUP(Table2[[#This Row],[Craft]],Table4[Material],Table4[Home Rarity],""),IF(_xlpm.v="","",_xlpm.v))</f>
        <v>4</v>
      </c>
    </row>
    <row r="106" spans="7:18" ht="14.25" customHeight="1" x14ac:dyDescent="0.45">
      <c r="G106" t="s">
        <v>8</v>
      </c>
      <c r="H106" t="s">
        <v>5511</v>
      </c>
      <c r="I106">
        <v>9</v>
      </c>
      <c r="J106">
        <f>_xlfn.MAXIFS(Import!$G$2:$G$12853,Import!$B$2:$B$12853,$H106)</f>
        <v>37.07</v>
      </c>
      <c r="K106">
        <f>_xlfn.MINIFS(Import!$G$2:$G$12853,Import!$B$2:$B$12853,$H106)</f>
        <v>0.04</v>
      </c>
      <c r="L106" t="str" cm="1">
        <f t="array" ref="L106">IFERROR(_xlfn.TEXTAFTER(INDEX(Import!$D$2:$D$12853,MATCH(1,(Import!$B$2:$B$12853=$H106)*(Import!$G$2:$G$12853=$J106),0))," "),"")</f>
        <v>Lamellar Cuirass</v>
      </c>
      <c r="M106" t="str" cm="1">
        <f t="array" ref="M106">IFERROR(_xlfn.TEXTAFTER(INDEX(Import!$D$2:$D$12853,MATCH(1,(Import!$B$2:$B$12853=$H106)*(Import!$G$2:$G$12853=$K106),0))," "),"")</f>
        <v>Bolt</v>
      </c>
      <c r="N106" s="4">
        <f>SUMIFS(Import!$G$2:$G$12853,Import!$B$2:$B$12853,$H106,Import!$C$2:$C$12853,"Weapon")</f>
        <v>356.90000000000003</v>
      </c>
      <c r="O106" s="4">
        <f>SUMIFS(Import!$G$2:$G$12853,Import!$B$2:$B$12853,$H106,Import!$C$2:$C$12853,"Armor")</f>
        <v>472.82</v>
      </c>
      <c r="P106">
        <f t="shared" si="5"/>
        <v>414.86</v>
      </c>
      <c r="Q106" t="str">
        <f>_xlfn.LET(_xlpm.v,_xlfn.XLOOKUP(Table2[[#This Row],[Craft]],Table4[Material],Table4[Home POE],""),IF(_xlpm.v="","",_xlpm.v))</f>
        <v>Material</v>
      </c>
      <c r="R106" s="1">
        <f>_xlfn.LET(_xlpm.v,_xlfn.XLOOKUP(Table2[[#This Row],[Craft]],Table4[Material],Table4[Home Rarity],""),IF(_xlpm.v="","",_xlpm.v))</f>
        <v>2</v>
      </c>
    </row>
    <row r="107" spans="7:18" ht="14.25" customHeight="1" x14ac:dyDescent="0.45">
      <c r="G107" t="s">
        <v>20571</v>
      </c>
      <c r="H107" t="s">
        <v>23201</v>
      </c>
      <c r="I107">
        <v>9</v>
      </c>
      <c r="J107">
        <f>_xlfn.MAXIFS(Import!$G$2:$G$12853,Import!$B$2:$B$12853,$H107)</f>
        <v>31.6</v>
      </c>
      <c r="K107">
        <f>_xlfn.MINIFS(Import!$G$2:$G$12853,Import!$B$2:$B$12853,$H107)</f>
        <v>0.04</v>
      </c>
      <c r="L107" t="str" cm="1">
        <f t="array" ref="L107">IFERROR(_xlfn.TEXTAFTER(INDEX(Import!$D$2:$D$12853,MATCH(1,(Import!$B$2:$B$12853=$H107)*(Import!$G$2:$G$12853=$J107),0))," "),"")</f>
        <v>Lamellar Cuirass</v>
      </c>
      <c r="M107" t="str" cm="1">
        <f t="array" ref="M107">IFERROR(_xlfn.TEXTAFTER(INDEX(Import!$D$2:$D$12853,MATCH(1,(Import!$B$2:$B$12853=$H107)*(Import!$G$2:$G$12853=$K107),0))," "),"")</f>
        <v>Bolt</v>
      </c>
      <c r="N107" s="4">
        <f>SUMIFS(Import!$G$2:$G$12853,Import!$B$2:$B$12853,$H107,Import!$C$2:$C$12853,"Weapon")</f>
        <v>356.90000000000003</v>
      </c>
      <c r="O107" s="4">
        <f>SUMIFS(Import!$G$2:$G$12853,Import!$B$2:$B$12853,$H107,Import!$C$2:$C$12853,"Armor")</f>
        <v>421</v>
      </c>
      <c r="P107">
        <f t="shared" si="5"/>
        <v>388.95000000000005</v>
      </c>
      <c r="Q107" t="str">
        <f>_xlfn.LET(_xlpm.v,_xlfn.XLOOKUP(Table2[[#This Row],[Craft]],Table4[Material],Table4[Home POE],""),IF(_xlpm.v="","",_xlpm.v))</f>
        <v>Lower</v>
      </c>
      <c r="R107" s="1">
        <f>_xlfn.LET(_xlpm.v,_xlfn.XLOOKUP(Table2[[#This Row],[Craft]],Table4[Material],Table4[Home Rarity],""),IF(_xlpm.v="","",_xlpm.v))</f>
        <v>3</v>
      </c>
    </row>
    <row r="108" spans="7:18" ht="14.25" customHeight="1" x14ac:dyDescent="0.45">
      <c r="G108" t="s">
        <v>14833</v>
      </c>
      <c r="H108" t="s">
        <v>16268</v>
      </c>
      <c r="I108">
        <v>2.2000000000000002</v>
      </c>
      <c r="J108">
        <f>_xlfn.MAXIFS(Import!$G$2:$G$12853,Import!$B$2:$B$12853,$H108)</f>
        <v>22.67</v>
      </c>
      <c r="K108">
        <f>_xlfn.MINIFS(Import!$G$2:$G$12853,Import!$B$2:$B$12853,$H108)</f>
        <v>0.04</v>
      </c>
      <c r="L108" t="str" cm="1">
        <f t="array" ref="L108">IFERROR(_xlfn.TEXTAFTER(INDEX(Import!$D$2:$D$12853,MATCH(1,(Import!$B$2:$B$12853=$H108)*(Import!$G$2:$G$12853=$J108),0))," "),"")</f>
        <v>Hunting Trap (Large)</v>
      </c>
      <c r="M108" t="str" cm="1">
        <f t="array" ref="M108">IFERROR(_xlfn.TEXTAFTER(INDEX(Import!$D$2:$D$12853,MATCH(1,(Import!$B$2:$B$12853=$H108)*(Import!$G$2:$G$12853=$K108),0))," "),"")</f>
        <v>Bolt</v>
      </c>
      <c r="N108" s="4">
        <f>SUMIFS(Import!$G$2:$G$12853,Import!$B$2:$B$12853,$H108,Import!$C$2:$C$12853,"Weapon")</f>
        <v>356.90000000000003</v>
      </c>
      <c r="O108" s="4">
        <f>SUMIFS(Import!$G$2:$G$12853,Import!$B$2:$B$12853,$H108,Import!$C$2:$C$12853,"Armor")</f>
        <v>312.80000000000007</v>
      </c>
      <c r="P108">
        <f t="shared" ref="P108:P119" si="6">AVERAGE(N108:O108)</f>
        <v>334.85</v>
      </c>
      <c r="Q108" t="str">
        <f>_xlfn.LET(_xlpm.v,_xlfn.XLOOKUP(Table2[[#This Row],[Craft]],Table4[Material],Table4[Home POE],""),IF(_xlpm.v="","",_xlpm.v))</f>
        <v>Material</v>
      </c>
      <c r="R108" s="1">
        <f>_xlfn.LET(_xlpm.v,_xlfn.XLOOKUP(Table2[[#This Row],[Craft]],Table4[Material],Table4[Home Rarity],""),IF(_xlpm.v="","",_xlpm.v))</f>
        <v>3</v>
      </c>
    </row>
    <row r="109" spans="7:18" ht="14.25" customHeight="1" x14ac:dyDescent="0.45">
      <c r="G109" t="s">
        <v>14833</v>
      </c>
      <c r="H109" t="s">
        <v>16507</v>
      </c>
      <c r="I109">
        <v>3.5</v>
      </c>
      <c r="J109">
        <f>_xlfn.MAXIFS(Import!$G$2:$G$12853,Import!$B$2:$B$12853,$H109)</f>
        <v>22.67</v>
      </c>
      <c r="K109">
        <f>_xlfn.MINIFS(Import!$G$2:$G$12853,Import!$B$2:$B$12853,$H109)</f>
        <v>0.04</v>
      </c>
      <c r="L109" t="str" cm="1">
        <f t="array" ref="L109">IFERROR(_xlfn.TEXTAFTER(INDEX(Import!$D$2:$D$12853,MATCH(1,(Import!$B$2:$B$12853=$H109)*(Import!$G$2:$G$12853=$J109),0))," "),"")</f>
        <v>Hunting Trap (Large)</v>
      </c>
      <c r="M109" t="str" cm="1">
        <f t="array" ref="M109">IFERROR(_xlfn.TEXTAFTER(INDEX(Import!$D$2:$D$12853,MATCH(1,(Import!$B$2:$B$12853=$H109)*(Import!$G$2:$G$12853=$K109),0))," "),"")</f>
        <v>Bolt</v>
      </c>
      <c r="N109" s="4">
        <f>SUMIFS(Import!$G$2:$G$12853,Import!$B$2:$B$12853,$H109,Import!$C$2:$C$12853,"Weapon")</f>
        <v>356.90000000000003</v>
      </c>
      <c r="O109" s="4">
        <f>SUMIFS(Import!$G$2:$G$12853,Import!$B$2:$B$12853,$H109,Import!$C$2:$C$12853,"Armor")</f>
        <v>312.80000000000007</v>
      </c>
      <c r="P109">
        <f t="shared" si="6"/>
        <v>334.85</v>
      </c>
      <c r="Q109" t="str">
        <f>_xlfn.LET(_xlpm.v,_xlfn.XLOOKUP(Table2[[#This Row],[Craft]],Table4[Material],Table4[Home POE],""),IF(_xlpm.v="","",_xlpm.v))</f>
        <v>Material</v>
      </c>
      <c r="R109" s="1">
        <f>_xlfn.LET(_xlpm.v,_xlfn.XLOOKUP(Table2[[#This Row],[Craft]],Table4[Material],Table4[Home Rarity],""),IF(_xlpm.v="","",_xlpm.v))</f>
        <v>1</v>
      </c>
    </row>
    <row r="110" spans="7:18" x14ac:dyDescent="0.45">
      <c r="G110" t="s">
        <v>8</v>
      </c>
      <c r="H110" t="s">
        <v>5750</v>
      </c>
      <c r="I110">
        <v>7</v>
      </c>
      <c r="J110">
        <f>_xlfn.MAXIFS(Import!$G$2:$G$12853,Import!$B$2:$B$12853,$H110)</f>
        <v>36.53</v>
      </c>
      <c r="K110">
        <f>_xlfn.MINIFS(Import!$G$2:$G$12853,Import!$B$2:$B$12853,$H110)</f>
        <v>0.04</v>
      </c>
      <c r="L110" t="str" cm="1">
        <f t="array" ref="L110">IFERROR(_xlfn.TEXTAFTER(INDEX(Import!$D$2:$D$12853,MATCH(1,(Import!$B$2:$B$12853=$H110)*(Import!$G$2:$G$12853=$J110),0))," "),"")</f>
        <v>Lamellar Cuirass</v>
      </c>
      <c r="M110" t="str" cm="1">
        <f t="array" ref="M110">IFERROR(_xlfn.TEXTAFTER(INDEX(Import!$D$2:$D$12853,MATCH(1,(Import!$B$2:$B$12853=$H110)*(Import!$G$2:$G$12853=$K110),0))," "),"")</f>
        <v>Bolt</v>
      </c>
      <c r="N110" s="4">
        <f>SUMIFS(Import!$G$2:$G$12853,Import!$B$2:$B$12853,$H110,Import!$C$2:$C$12853,"Weapon")</f>
        <v>356.90000000000003</v>
      </c>
      <c r="O110" s="4">
        <f>SUMIFS(Import!$G$2:$G$12853,Import!$B$2:$B$12853,$H110,Import!$C$2:$C$12853,"Armor")</f>
        <v>466.9</v>
      </c>
      <c r="P110">
        <f t="shared" si="6"/>
        <v>411.9</v>
      </c>
      <c r="Q110" t="str">
        <f>_xlfn.LET(_xlpm.v,_xlfn.XLOOKUP(Table2[[#This Row],[Craft]],Table4[Material],Table4[Home POE],""),IF(_xlpm.v="","",_xlpm.v))</f>
        <v>Material</v>
      </c>
      <c r="R110" s="1">
        <f>_xlfn.LET(_xlpm.v,_xlfn.XLOOKUP(Table2[[#This Row],[Craft]],Table4[Material],Table4[Home Rarity],""),IF(_xlpm.v="","",_xlpm.v))</f>
        <v>2</v>
      </c>
    </row>
    <row r="111" spans="7:18" x14ac:dyDescent="0.45">
      <c r="G111" t="s">
        <v>5989</v>
      </c>
      <c r="H111" t="s">
        <v>10531</v>
      </c>
      <c r="J111">
        <f>_xlfn.MAXIFS(Import!$G$2:$G$12853,Import!$B$2:$B$12853,$H111)</f>
        <v>26.8</v>
      </c>
      <c r="K111">
        <f>_xlfn.MINIFS(Import!$G$2:$G$12853,Import!$B$2:$B$12853,$H111)</f>
        <v>0.04</v>
      </c>
      <c r="L111" t="str" cm="1">
        <f t="array" ref="L111">IFERROR(_xlfn.TEXTAFTER(INDEX(Import!$D$2:$D$12853,MATCH(1,(Import!$B$2:$B$12853=$H111)*(Import!$G$2:$G$12853=$J111),0))," "),"")</f>
        <v>Lamellar Cuirass</v>
      </c>
      <c r="M111" t="str" cm="1">
        <f t="array" ref="M111">IFERROR(_xlfn.TEXTAFTER(INDEX(Import!$D$2:$D$12853,MATCH(1,(Import!$B$2:$B$12853=$H111)*(Import!$G$2:$G$12853=$K111),0))," "),"")</f>
        <v>Bolt</v>
      </c>
      <c r="N111" s="4">
        <f>SUMIFS(Import!$G$2:$G$12853,Import!$B$2:$B$12853,$H111,Import!$C$2:$C$12853,"Weapon")</f>
        <v>356.90000000000003</v>
      </c>
      <c r="O111" s="4">
        <f>SUMIFS(Import!$G$2:$G$12853,Import!$B$2:$B$12853,$H111,Import!$C$2:$C$12853,"Armor")</f>
        <v>382.22000000000008</v>
      </c>
      <c r="P111">
        <f t="shared" si="6"/>
        <v>369.56000000000006</v>
      </c>
      <c r="Q111" t="str">
        <f>_xlfn.LET(_xlpm.v,_xlfn.XLOOKUP(Table2[[#This Row],[Craft]],Table4[Material],Table4[Home POE],""),IF(_xlpm.v="","",_xlpm.v))</f>
        <v/>
      </c>
      <c r="R111" s="1" t="str">
        <f>_xlfn.LET(_xlpm.v,_xlfn.XLOOKUP(Table2[[#This Row],[Craft]],Table4[Material],Table4[Home Rarity],""),IF(_xlpm.v="","",_xlpm.v))</f>
        <v/>
      </c>
    </row>
    <row r="112" spans="7:18" x14ac:dyDescent="0.45">
      <c r="G112" t="s">
        <v>2403</v>
      </c>
      <c r="H112" t="s">
        <v>14594</v>
      </c>
      <c r="I112">
        <v>8</v>
      </c>
      <c r="J112">
        <f>_xlfn.MAXIFS(Import!$G$2:$G$12853,Import!$B$2:$B$12853,$H112)</f>
        <v>47</v>
      </c>
      <c r="K112">
        <f>_xlfn.MINIFS(Import!$G$2:$G$12853,Import!$B$2:$B$12853,$H112)</f>
        <v>0.04</v>
      </c>
      <c r="L112" t="str" cm="1">
        <f t="array" ref="L112">IFERROR(_xlfn.TEXTAFTER(INDEX(Import!$D$2:$D$12853,MATCH(1,(Import!$B$2:$B$12853=$H112)*(Import!$G$2:$G$12853=$J112),0))," "),"")</f>
        <v>Lamellar Cuirass</v>
      </c>
      <c r="M112" t="str" cm="1">
        <f t="array" ref="M112">IFERROR(_xlfn.TEXTAFTER(INDEX(Import!$D$2:$D$12853,MATCH(1,(Import!$B$2:$B$12853=$H112)*(Import!$G$2:$G$12853=$K112),0))," "),"")</f>
        <v>Bolt</v>
      </c>
      <c r="N112" s="4">
        <f>SUMIFS(Import!$G$2:$G$12853,Import!$B$2:$B$12853,$H112,Import!$C$2:$C$12853,"Weapon")</f>
        <v>356.90000000000003</v>
      </c>
      <c r="O112" s="4">
        <f>SUMIFS(Import!$G$2:$G$12853,Import!$B$2:$B$12853,$H112,Import!$C$2:$C$12853,"Armor")</f>
        <v>603.42000000000007</v>
      </c>
      <c r="P112">
        <f t="shared" si="6"/>
        <v>480.16000000000008</v>
      </c>
      <c r="Q112" t="str">
        <f>_xlfn.LET(_xlpm.v,_xlfn.XLOOKUP(Table2[[#This Row],[Craft]],Table4[Material],Table4[Home POE],""),IF(_xlpm.v="","",_xlpm.v))</f>
        <v/>
      </c>
      <c r="R112" s="1" t="str">
        <f>_xlfn.LET(_xlpm.v,_xlfn.XLOOKUP(Table2[[#This Row],[Craft]],Table4[Material],Table4[Home Rarity],""),IF(_xlpm.v="","",_xlpm.v))</f>
        <v/>
      </c>
    </row>
    <row r="113" spans="7:18" x14ac:dyDescent="0.45">
      <c r="G113" t="s">
        <v>14833</v>
      </c>
      <c r="H113" t="s">
        <v>16746</v>
      </c>
      <c r="I113">
        <v>3.2</v>
      </c>
      <c r="J113">
        <f>_xlfn.MAXIFS(Import!$G$2:$G$12853,Import!$B$2:$B$12853,$H113)</f>
        <v>22.67</v>
      </c>
      <c r="K113">
        <f>_xlfn.MINIFS(Import!$G$2:$G$12853,Import!$B$2:$B$12853,$H113)</f>
        <v>0.04</v>
      </c>
      <c r="L113" t="str" cm="1">
        <f t="array" ref="L113">IFERROR(_xlfn.TEXTAFTER(INDEX(Import!$D$2:$D$12853,MATCH(1,(Import!$B$2:$B$12853=$H113)*(Import!$G$2:$G$12853=$J113),0))," "),"")</f>
        <v>Hunting Trap (Large)</v>
      </c>
      <c r="M113" t="str" cm="1">
        <f t="array" ref="M113">IFERROR(_xlfn.TEXTAFTER(INDEX(Import!$D$2:$D$12853,MATCH(1,(Import!$B$2:$B$12853=$H113)*(Import!$G$2:$G$12853=$K113),0))," "),"")</f>
        <v>Bolt</v>
      </c>
      <c r="N113" s="4">
        <f>SUMIFS(Import!$G$2:$G$12853,Import!$B$2:$B$12853,$H113,Import!$C$2:$C$12853,"Weapon")</f>
        <v>356.90000000000003</v>
      </c>
      <c r="O113" s="4">
        <f>SUMIFS(Import!$G$2:$G$12853,Import!$B$2:$B$12853,$H113,Import!$C$2:$C$12853,"Armor")</f>
        <v>312.80000000000007</v>
      </c>
      <c r="P113">
        <f t="shared" si="6"/>
        <v>334.85</v>
      </c>
      <c r="Q113" t="str">
        <f>_xlfn.LET(_xlpm.v,_xlfn.XLOOKUP(Table2[[#This Row],[Craft]],Table4[Material],Table4[Home POE],""),IF(_xlpm.v="","",_xlpm.v))</f>
        <v/>
      </c>
      <c r="R113" s="1" t="str">
        <f>_xlfn.LET(_xlpm.v,_xlfn.XLOOKUP(Table2[[#This Row],[Craft]],Table4[Material],Table4[Home Rarity],""),IF(_xlpm.v="","",_xlpm.v))</f>
        <v/>
      </c>
    </row>
    <row r="114" spans="7:18" x14ac:dyDescent="0.45">
      <c r="G114" t="s">
        <v>14833</v>
      </c>
      <c r="H114" t="s">
        <v>16985</v>
      </c>
      <c r="I114">
        <v>5.0999999999999996</v>
      </c>
      <c r="J114">
        <f>_xlfn.MAXIFS(Import!$G$2:$G$12853,Import!$B$2:$B$12853,$H114)</f>
        <v>22.67</v>
      </c>
      <c r="K114">
        <f>_xlfn.MINIFS(Import!$G$2:$G$12853,Import!$B$2:$B$12853,$H114)</f>
        <v>0.04</v>
      </c>
      <c r="L114" t="str" cm="1">
        <f t="array" ref="L114">IFERROR(_xlfn.TEXTAFTER(INDEX(Import!$D$2:$D$12853,MATCH(1,(Import!$B$2:$B$12853=$H114)*(Import!$G$2:$G$12853=$J114),0))," "),"")</f>
        <v>Hunting Trap (Large)</v>
      </c>
      <c r="M114" t="str" cm="1">
        <f t="array" ref="M114">IFERROR(_xlfn.TEXTAFTER(INDEX(Import!$D$2:$D$12853,MATCH(1,(Import!$B$2:$B$12853=$H114)*(Import!$G$2:$G$12853=$K114),0))," "),"")</f>
        <v>Bolt</v>
      </c>
      <c r="N114" s="4">
        <f>SUMIFS(Import!$G$2:$G$12853,Import!$B$2:$B$12853,$H114,Import!$C$2:$C$12853,"Weapon")</f>
        <v>356.90000000000003</v>
      </c>
      <c r="O114" s="4">
        <f>SUMIFS(Import!$G$2:$G$12853,Import!$B$2:$B$12853,$H114,Import!$C$2:$C$12853,"Armor")</f>
        <v>312.80000000000007</v>
      </c>
      <c r="P114">
        <f t="shared" si="6"/>
        <v>334.85</v>
      </c>
      <c r="Q114" t="str">
        <f>_xlfn.LET(_xlpm.v,_xlfn.XLOOKUP(Table2[[#This Row],[Craft]],Table4[Material],Table4[Home POE],""),IF(_xlpm.v="","",_xlpm.v))</f>
        <v/>
      </c>
      <c r="R114" s="1" t="str">
        <f>_xlfn.LET(_xlpm.v,_xlfn.XLOOKUP(Table2[[#This Row],[Craft]],Table4[Material],Table4[Home Rarity],""),IF(_xlpm.v="","",_xlpm.v))</f>
        <v/>
      </c>
    </row>
    <row r="115" spans="7:18" x14ac:dyDescent="0.45">
      <c r="G115" t="s">
        <v>5989</v>
      </c>
      <c r="H115" t="s">
        <v>10770</v>
      </c>
      <c r="J115">
        <f>_xlfn.MAXIFS(Import!$G$2:$G$12853,Import!$B$2:$B$12853,$H115)</f>
        <v>26.8</v>
      </c>
      <c r="K115">
        <f>_xlfn.MINIFS(Import!$G$2:$G$12853,Import!$B$2:$B$12853,$H115)</f>
        <v>0.04</v>
      </c>
      <c r="L115" t="str" cm="1">
        <f t="array" ref="L115">IFERROR(_xlfn.TEXTAFTER(INDEX(Import!$D$2:$D$12853,MATCH(1,(Import!$B$2:$B$12853=$H115)*(Import!$G$2:$G$12853=$J115),0))," "),"")</f>
        <v>Lamellar Cuirass</v>
      </c>
      <c r="M115" t="str" cm="1">
        <f t="array" ref="M115">IFERROR(_xlfn.TEXTAFTER(INDEX(Import!$D$2:$D$12853,MATCH(1,(Import!$B$2:$B$12853=$H115)*(Import!$G$2:$G$12853=$K115),0))," "),"")</f>
        <v>Bolt</v>
      </c>
      <c r="N115" s="4">
        <f>SUMIFS(Import!$G$2:$G$12853,Import!$B$2:$B$12853,$H115,Import!$C$2:$C$12853,"Weapon")</f>
        <v>356.90000000000003</v>
      </c>
      <c r="O115" s="4">
        <f>SUMIFS(Import!$G$2:$G$12853,Import!$B$2:$B$12853,$H115,Import!$C$2:$C$12853,"Armor")</f>
        <v>382.22000000000008</v>
      </c>
      <c r="P115">
        <f t="shared" si="6"/>
        <v>369.56000000000006</v>
      </c>
      <c r="Q115" t="str">
        <f>_xlfn.LET(_xlpm.v,_xlfn.XLOOKUP(Table2[[#This Row],[Craft]],Table4[Material],Table4[Home POE],""),IF(_xlpm.v="","",_xlpm.v))</f>
        <v>Material</v>
      </c>
      <c r="R115" s="1">
        <f>_xlfn.LET(_xlpm.v,_xlfn.XLOOKUP(Table2[[#This Row],[Craft]],Table4[Material],Table4[Home Rarity],""),IF(_xlpm.v="","",_xlpm.v))</f>
        <v>2</v>
      </c>
    </row>
    <row r="116" spans="7:18" x14ac:dyDescent="0.45">
      <c r="G116" t="s">
        <v>5989</v>
      </c>
      <c r="H116" t="s">
        <v>11009</v>
      </c>
      <c r="I116">
        <v>10</v>
      </c>
      <c r="J116">
        <f>_xlfn.MAXIFS(Import!$G$2:$G$12853,Import!$B$2:$B$12853,$H116)</f>
        <v>27.1</v>
      </c>
      <c r="K116">
        <f>_xlfn.MINIFS(Import!$G$2:$G$12853,Import!$B$2:$B$12853,$H116)</f>
        <v>0.04</v>
      </c>
      <c r="L116" t="str" cm="1">
        <f t="array" ref="L116">IFERROR(_xlfn.TEXTAFTER(INDEX(Import!$D$2:$D$12853,MATCH(1,(Import!$B$2:$B$12853=$H116)*(Import!$G$2:$G$12853=$J116),0))," "),"")</f>
        <v>Lamellar Cuirass</v>
      </c>
      <c r="M116" t="str" cm="1">
        <f t="array" ref="M116">IFERROR(_xlfn.TEXTAFTER(INDEX(Import!$D$2:$D$12853,MATCH(1,(Import!$B$2:$B$12853=$H116)*(Import!$G$2:$G$12853=$K116),0))," "),"")</f>
        <v>Bolt</v>
      </c>
      <c r="N116" s="4">
        <f>SUMIFS(Import!$G$2:$G$12853,Import!$B$2:$B$12853,$H116,Import!$C$2:$C$12853,"Weapon")</f>
        <v>356.90000000000003</v>
      </c>
      <c r="O116" s="4">
        <f>SUMIFS(Import!$G$2:$G$12853,Import!$B$2:$B$12853,$H116,Import!$C$2:$C$12853,"Armor")</f>
        <v>384.86000000000013</v>
      </c>
      <c r="P116">
        <f t="shared" si="6"/>
        <v>370.88000000000011</v>
      </c>
      <c r="Q116" t="str">
        <f>_xlfn.LET(_xlpm.v,_xlfn.XLOOKUP(Table2[[#This Row],[Craft]],Table4[Material],Table4[Home POE],""),IF(_xlpm.v="","",_xlpm.v))</f>
        <v>Material</v>
      </c>
      <c r="R116" s="1">
        <f>_xlfn.LET(_xlpm.v,_xlfn.XLOOKUP(Table2[[#This Row],[Craft]],Table4[Material],Table4[Home Rarity],""),IF(_xlpm.v="","",_xlpm.v))</f>
        <v>1</v>
      </c>
    </row>
    <row r="117" spans="7:18" x14ac:dyDescent="0.45">
      <c r="G117" t="s">
        <v>14833</v>
      </c>
      <c r="H117" t="s">
        <v>17224</v>
      </c>
      <c r="I117">
        <v>2.25</v>
      </c>
      <c r="J117">
        <f>_xlfn.MAXIFS(Import!$G$2:$G$12853,Import!$B$2:$B$12853,$H117)</f>
        <v>22.67</v>
      </c>
      <c r="K117">
        <f>_xlfn.MINIFS(Import!$G$2:$G$12853,Import!$B$2:$B$12853,$H117)</f>
        <v>-3.5</v>
      </c>
      <c r="L117" t="str" cm="1">
        <f t="array" ref="L117">IFERROR(_xlfn.TEXTAFTER(INDEX(Import!$D$2:$D$12853,MATCH(1,(Import!$B$2:$B$12853=$H117)*(Import!$G$2:$G$12853=$J117),0))," "),"")</f>
        <v>Hunting Trap (Large)</v>
      </c>
      <c r="M117" t="str" cm="1">
        <f t="array" ref="M117">IFERROR(_xlfn.TEXTAFTER(INDEX(Import!$D$2:$D$12853,MATCH(1,(Import!$B$2:$B$12853=$H117)*(Import!$G$2:$G$12853=$K117),0))," "),"")</f>
        <v>Tower Shield</v>
      </c>
      <c r="N117" s="4">
        <f>SUMIFS(Import!$G$2:$G$12853,Import!$B$2:$B$12853,$H117,Import!$C$2:$C$12853,"Weapon")</f>
        <v>356.90000000000003</v>
      </c>
      <c r="O117" s="4">
        <f>SUMIFS(Import!$G$2:$G$12853,Import!$B$2:$B$12853,$H117,Import!$C$2:$C$12853,"Armor")</f>
        <v>317.59999999999997</v>
      </c>
      <c r="P117">
        <f t="shared" si="6"/>
        <v>337.25</v>
      </c>
      <c r="Q117" t="str">
        <f>_xlfn.LET(_xlpm.v,_xlfn.XLOOKUP(Table2[[#This Row],[Craft]],Table4[Material],Table4[Home POE],""),IF(_xlpm.v="","",_xlpm.v))</f>
        <v>Material</v>
      </c>
      <c r="R117" s="1">
        <f>_xlfn.LET(_xlpm.v,_xlfn.XLOOKUP(Table2[[#This Row],[Craft]],Table4[Material],Table4[Home Rarity],""),IF(_xlpm.v="","",_xlpm.v))</f>
        <v>1</v>
      </c>
    </row>
    <row r="118" spans="7:18" x14ac:dyDescent="0.45">
      <c r="G118" t="s">
        <v>5989</v>
      </c>
      <c r="H118" t="s">
        <v>11248</v>
      </c>
      <c r="I118">
        <v>8</v>
      </c>
      <c r="J118">
        <f>_xlfn.MAXIFS(Import!$G$2:$G$12853,Import!$B$2:$B$12853,$H118)</f>
        <v>26.53</v>
      </c>
      <c r="K118">
        <f>_xlfn.MINIFS(Import!$G$2:$G$12853,Import!$B$2:$B$12853,$H118)</f>
        <v>0.04</v>
      </c>
      <c r="L118" t="str" cm="1">
        <f t="array" ref="L118">IFERROR(_xlfn.TEXTAFTER(INDEX(Import!$D$2:$D$12853,MATCH(1,(Import!$B$2:$B$12853=$H118)*(Import!$G$2:$G$12853=$J118),0))," "),"")</f>
        <v>Lamellar Cuirass</v>
      </c>
      <c r="M118" t="str" cm="1">
        <f t="array" ref="M118">IFERROR(_xlfn.TEXTAFTER(INDEX(Import!$D$2:$D$12853,MATCH(1,(Import!$B$2:$B$12853=$H118)*(Import!$G$2:$G$12853=$K118),0))," "),"")</f>
        <v>Bolt</v>
      </c>
      <c r="N118" s="4">
        <f>SUMIFS(Import!$G$2:$G$12853,Import!$B$2:$B$12853,$H118,Import!$C$2:$C$12853,"Weapon")</f>
        <v>356.90000000000003</v>
      </c>
      <c r="O118" s="4">
        <f>SUMIFS(Import!$G$2:$G$12853,Import!$B$2:$B$12853,$H118,Import!$C$2:$C$12853,"Armor")</f>
        <v>379.86000000000007</v>
      </c>
      <c r="P118">
        <f t="shared" si="6"/>
        <v>368.38000000000005</v>
      </c>
      <c r="Q118" t="str">
        <f>_xlfn.LET(_xlpm.v,_xlfn.XLOOKUP(Table2[[#This Row],[Craft]],Table4[Material],Table4[Home POE],""),IF(_xlpm.v="","",_xlpm.v))</f>
        <v>Material</v>
      </c>
      <c r="R118" s="1">
        <f>_xlfn.LET(_xlpm.v,_xlfn.XLOOKUP(Table2[[#This Row],[Craft]],Table4[Material],Table4[Home Rarity],""),IF(_xlpm.v="","",_xlpm.v))</f>
        <v>2</v>
      </c>
    </row>
    <row r="119" spans="7:18" x14ac:dyDescent="0.45">
      <c r="G119" t="s">
        <v>14833</v>
      </c>
      <c r="H119" t="s">
        <v>17463</v>
      </c>
      <c r="I119">
        <v>4.8</v>
      </c>
      <c r="J119">
        <f>_xlfn.MAXIFS(Import!$G$2:$G$12853,Import!$B$2:$B$12853,$H119)</f>
        <v>22.67</v>
      </c>
      <c r="K119">
        <f>_xlfn.MINIFS(Import!$G$2:$G$12853,Import!$B$2:$B$12853,$H119)</f>
        <v>0.04</v>
      </c>
      <c r="L119" t="str" cm="1">
        <f t="array" ref="L119">IFERROR(_xlfn.TEXTAFTER(INDEX(Import!$D$2:$D$12853,MATCH(1,(Import!$B$2:$B$12853=$H119)*(Import!$G$2:$G$12853=$J119),0))," "),"")</f>
        <v>Hunting Trap (Large)</v>
      </c>
      <c r="M119" t="str" cm="1">
        <f t="array" ref="M119">IFERROR(_xlfn.TEXTAFTER(INDEX(Import!$D$2:$D$12853,MATCH(1,(Import!$B$2:$B$12853=$H119)*(Import!$G$2:$G$12853=$K119),0))," "),"")</f>
        <v>Bolt</v>
      </c>
      <c r="N119" s="4">
        <f>SUMIFS(Import!$G$2:$G$12853,Import!$B$2:$B$12853,$H119,Import!$C$2:$C$12853,"Weapon")</f>
        <v>356.90000000000003</v>
      </c>
      <c r="O119" s="4">
        <f>SUMIFS(Import!$G$2:$G$12853,Import!$B$2:$B$12853,$H119,Import!$C$2:$C$12853,"Armor")</f>
        <v>312.80000000000007</v>
      </c>
      <c r="P119">
        <f t="shared" si="6"/>
        <v>334.85</v>
      </c>
      <c r="Q119" t="str">
        <f>_xlfn.LET(_xlpm.v,_xlfn.XLOOKUP(Table2[[#This Row],[Craft]],Table4[Material],Table4[Home POE],""),IF(_xlpm.v="","",_xlpm.v))</f>
        <v>Outer</v>
      </c>
      <c r="R119" s="1">
        <f>_xlfn.LET(_xlpm.v,_xlfn.XLOOKUP(Table2[[#This Row],[Craft]],Table4[Material],Table4[Home Rarity],""),IF(_xlpm.v="","",_xlpm.v))</f>
        <v>3</v>
      </c>
    </row>
  </sheetData>
  <mergeCells count="7">
    <mergeCell ref="A28:F28"/>
    <mergeCell ref="A37:F37"/>
    <mergeCell ref="G1:L1"/>
    <mergeCell ref="A1:F1"/>
    <mergeCell ref="A19:F19"/>
    <mergeCell ref="A10:F10"/>
    <mergeCell ref="G10:R10"/>
  </mergeCells>
  <pageMargins left="0.7" right="0.7" top="0.75" bottom="0.75" header="0.511811023622047" footer="0.511811023622047"/>
  <pageSetup paperSize="9" orientation="portrait" horizontalDpi="300" verticalDpi="300"/>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853"/>
  <sheetViews>
    <sheetView topLeftCell="B1749" zoomScale="80" zoomScaleNormal="50" workbookViewId="0">
      <selection activeCell="D1764" sqref="D1764"/>
    </sheetView>
  </sheetViews>
  <sheetFormatPr defaultColWidth="8.6640625" defaultRowHeight="14.25" x14ac:dyDescent="0.45"/>
  <cols>
    <col min="1" max="1" width="14" customWidth="1"/>
    <col min="2" max="3" width="22" customWidth="1"/>
    <col min="4" max="4" width="38" customWidth="1"/>
    <col min="5" max="5" width="60" customWidth="1"/>
    <col min="7" max="7" width="15.6640625" style="1" bestFit="1" customWidth="1"/>
    <col min="8" max="8" width="14" customWidth="1"/>
    <col min="9" max="9" width="16" customWidth="1"/>
    <col min="10" max="10" width="30" customWidth="1"/>
  </cols>
  <sheetData>
    <row r="1" spans="1:8" ht="14.25" customHeight="1" x14ac:dyDescent="0.45">
      <c r="A1" s="2" t="s">
        <v>0</v>
      </c>
      <c r="B1" s="26" t="s">
        <v>25862</v>
      </c>
      <c r="C1" s="2" t="s">
        <v>2</v>
      </c>
      <c r="D1" s="2" t="s">
        <v>3</v>
      </c>
      <c r="E1" s="2" t="s">
        <v>4</v>
      </c>
      <c r="F1" t="s">
        <v>5</v>
      </c>
      <c r="G1" s="2" t="s">
        <v>6</v>
      </c>
      <c r="H1" s="2" t="s">
        <v>7</v>
      </c>
    </row>
    <row r="2" spans="1:8" ht="14.25" hidden="1" customHeight="1" x14ac:dyDescent="0.45">
      <c r="A2" t="str">
        <f>_xlfn.XLOOKUP(B2,Ingot!$H$12:$H$119,Ingot!$G$12:$G$119,"")</f>
        <v>Metal</v>
      </c>
      <c r="B2" t="s">
        <v>9</v>
      </c>
      <c r="C2" t="s">
        <v>157</v>
      </c>
      <c r="D2" t="s">
        <v>178</v>
      </c>
      <c r="E2" t="s">
        <v>179</v>
      </c>
      <c r="F2" t="s">
        <v>180</v>
      </c>
      <c r="G2" s="1">
        <v>30.5</v>
      </c>
    </row>
    <row r="3" spans="1:8" ht="14.25" hidden="1" customHeight="1" x14ac:dyDescent="0.45">
      <c r="A3" t="str">
        <f>_xlfn.XLOOKUP(B3,Ingot!$H$12:$H$119,Ingot!$G$12:$G$119,"")</f>
        <v>Metal</v>
      </c>
      <c r="B3" t="s">
        <v>9</v>
      </c>
      <c r="C3" t="s">
        <v>157</v>
      </c>
      <c r="D3" t="s">
        <v>181</v>
      </c>
      <c r="E3" t="s">
        <v>182</v>
      </c>
      <c r="F3" t="s">
        <v>180</v>
      </c>
      <c r="G3" s="1">
        <v>6.1</v>
      </c>
    </row>
    <row r="4" spans="1:8" ht="14.25" hidden="1" customHeight="1" x14ac:dyDescent="0.45">
      <c r="A4" t="str">
        <f>_xlfn.XLOOKUP(B4,Ingot!$H$12:$H$119,Ingot!$G$12:$G$119,"")</f>
        <v>Metal</v>
      </c>
      <c r="B4" t="s">
        <v>9</v>
      </c>
      <c r="C4" t="s">
        <v>157</v>
      </c>
      <c r="D4" t="s">
        <v>183</v>
      </c>
      <c r="E4" t="s">
        <v>184</v>
      </c>
      <c r="F4" t="s">
        <v>180</v>
      </c>
      <c r="G4" s="1">
        <v>6.1</v>
      </c>
    </row>
    <row r="5" spans="1:8" ht="14.25" hidden="1" customHeight="1" x14ac:dyDescent="0.45">
      <c r="A5" t="str">
        <f>_xlfn.XLOOKUP(B5,Ingot!$H$12:$H$119,Ingot!$G$12:$G$119,"")</f>
        <v>Metal</v>
      </c>
      <c r="B5" t="s">
        <v>9</v>
      </c>
      <c r="C5" t="s">
        <v>157</v>
      </c>
      <c r="D5" t="s">
        <v>201</v>
      </c>
      <c r="E5" t="s">
        <v>202</v>
      </c>
      <c r="F5" t="s">
        <v>180</v>
      </c>
      <c r="G5" s="1">
        <v>7</v>
      </c>
    </row>
    <row r="6" spans="1:8" ht="14.25" hidden="1" customHeight="1" x14ac:dyDescent="0.45">
      <c r="A6" t="str">
        <f>_xlfn.XLOOKUP(B6,Ingot!$H$12:$H$119,Ingot!$G$12:$G$119,"")</f>
        <v>Metal</v>
      </c>
      <c r="B6" t="s">
        <v>9</v>
      </c>
      <c r="C6" t="s">
        <v>157</v>
      </c>
      <c r="D6" t="s">
        <v>203</v>
      </c>
      <c r="E6" t="s">
        <v>204</v>
      </c>
      <c r="F6" t="s">
        <v>180</v>
      </c>
      <c r="G6" s="1">
        <v>7</v>
      </c>
    </row>
    <row r="7" spans="1:8" ht="14.25" hidden="1" customHeight="1" x14ac:dyDescent="0.45">
      <c r="A7" t="str">
        <f>_xlfn.XLOOKUP(B7,Ingot!$H$12:$H$119,Ingot!$G$12:$G$119,"")</f>
        <v>Metal</v>
      </c>
      <c r="B7" t="s">
        <v>9</v>
      </c>
      <c r="C7" t="s">
        <v>157</v>
      </c>
      <c r="D7" t="s">
        <v>231</v>
      </c>
      <c r="E7" t="s">
        <v>232</v>
      </c>
      <c r="F7" t="s">
        <v>180</v>
      </c>
      <c r="G7" s="1">
        <v>5.8</v>
      </c>
    </row>
    <row r="8" spans="1:8" ht="14.25" hidden="1" customHeight="1" x14ac:dyDescent="0.45">
      <c r="A8" t="str">
        <f>_xlfn.XLOOKUP(B8,Ingot!$H$12:$H$119,Ingot!$G$12:$G$119,"")</f>
        <v>Metal</v>
      </c>
      <c r="B8" t="s">
        <v>9</v>
      </c>
      <c r="C8" t="s">
        <v>157</v>
      </c>
      <c r="D8" t="s">
        <v>233</v>
      </c>
      <c r="E8" t="s">
        <v>234</v>
      </c>
      <c r="F8" t="s">
        <v>180</v>
      </c>
      <c r="G8" s="1">
        <v>5.8</v>
      </c>
    </row>
    <row r="9" spans="1:8" ht="14.25" hidden="1" customHeight="1" x14ac:dyDescent="0.45">
      <c r="A9" t="str">
        <f>_xlfn.XLOOKUP(B9,Ingot!$H$12:$H$119,Ingot!$G$12:$G$119,"")</f>
        <v>Metal</v>
      </c>
      <c r="B9" t="s">
        <v>9</v>
      </c>
      <c r="C9" t="s">
        <v>157</v>
      </c>
      <c r="D9" t="s">
        <v>185</v>
      </c>
      <c r="E9" t="s">
        <v>186</v>
      </c>
      <c r="F9" t="s">
        <v>180</v>
      </c>
      <c r="G9" s="1">
        <v>5</v>
      </c>
    </row>
    <row r="10" spans="1:8" ht="14.25" hidden="1" customHeight="1" x14ac:dyDescent="0.45">
      <c r="A10" t="str">
        <f>_xlfn.XLOOKUP(B10,Ingot!$H$12:$H$119,Ingot!$G$12:$G$119,"")</f>
        <v>Metal</v>
      </c>
      <c r="B10" t="s">
        <v>9</v>
      </c>
      <c r="C10" t="s">
        <v>157</v>
      </c>
      <c r="D10" t="s">
        <v>187</v>
      </c>
      <c r="E10" t="s">
        <v>188</v>
      </c>
      <c r="F10" t="s">
        <v>180</v>
      </c>
      <c r="G10" s="1">
        <v>10</v>
      </c>
    </row>
    <row r="11" spans="1:8" ht="14.25" hidden="1" customHeight="1" x14ac:dyDescent="0.45">
      <c r="A11" t="str">
        <f>_xlfn.XLOOKUP(B11,Ingot!$H$12:$H$119,Ingot!$G$12:$G$119,"")</f>
        <v>Metal</v>
      </c>
      <c r="B11" t="s">
        <v>9</v>
      </c>
      <c r="C11" t="s">
        <v>157</v>
      </c>
      <c r="D11" t="s">
        <v>205</v>
      </c>
      <c r="E11" t="s">
        <v>206</v>
      </c>
      <c r="F11" t="s">
        <v>180</v>
      </c>
      <c r="G11" s="1">
        <v>5</v>
      </c>
    </row>
    <row r="12" spans="1:8" ht="14.25" hidden="1" customHeight="1" x14ac:dyDescent="0.45">
      <c r="A12" t="str">
        <f>_xlfn.XLOOKUP(B12,Ingot!$H$12:$H$119,Ingot!$G$12:$G$119,"")</f>
        <v>Metal</v>
      </c>
      <c r="B12" t="s">
        <v>9</v>
      </c>
      <c r="C12" t="s">
        <v>157</v>
      </c>
      <c r="D12" t="s">
        <v>235</v>
      </c>
      <c r="E12" t="s">
        <v>236</v>
      </c>
      <c r="F12" t="s">
        <v>180</v>
      </c>
      <c r="G12" s="1">
        <v>5</v>
      </c>
    </row>
    <row r="13" spans="1:8" ht="14.25" hidden="1" customHeight="1" x14ac:dyDescent="0.45">
      <c r="A13" t="str">
        <f>_xlfn.XLOOKUP(B13,Ingot!$H$12:$H$119,Ingot!$G$12:$G$119,"")</f>
        <v>Metal</v>
      </c>
      <c r="B13" t="s">
        <v>9</v>
      </c>
      <c r="C13" t="s">
        <v>157</v>
      </c>
      <c r="D13" t="s">
        <v>209</v>
      </c>
      <c r="E13" t="s">
        <v>210</v>
      </c>
      <c r="G13" s="1">
        <v>40</v>
      </c>
    </row>
    <row r="14" spans="1:8" ht="14.25" hidden="1" customHeight="1" x14ac:dyDescent="0.45">
      <c r="A14" t="str">
        <f>_xlfn.XLOOKUP(B14,Ingot!$H$12:$H$119,Ingot!$G$12:$G$119,"")</f>
        <v>Metal</v>
      </c>
      <c r="B14" t="s">
        <v>9</v>
      </c>
      <c r="C14" t="s">
        <v>157</v>
      </c>
      <c r="D14" t="s">
        <v>219</v>
      </c>
      <c r="E14" t="s">
        <v>220</v>
      </c>
      <c r="G14" s="1">
        <v>39.5</v>
      </c>
    </row>
    <row r="15" spans="1:8" ht="14.25" hidden="1" customHeight="1" x14ac:dyDescent="0.45">
      <c r="A15" t="str">
        <f>_xlfn.XLOOKUP(B15,Ingot!$H$12:$H$119,Ingot!$G$12:$G$119,"")</f>
        <v>Metal</v>
      </c>
      <c r="B15" t="s">
        <v>9</v>
      </c>
      <c r="C15" t="s">
        <v>157</v>
      </c>
      <c r="D15" t="s">
        <v>158</v>
      </c>
      <c r="E15" t="s">
        <v>159</v>
      </c>
      <c r="G15" s="1">
        <v>37</v>
      </c>
    </row>
    <row r="16" spans="1:8" ht="14.25" hidden="1" customHeight="1" x14ac:dyDescent="0.45">
      <c r="A16" t="str">
        <f>_xlfn.XLOOKUP(B16,Ingot!$H$12:$H$119,Ingot!$G$12:$G$119,"")</f>
        <v>Metal</v>
      </c>
      <c r="B16" t="s">
        <v>9</v>
      </c>
      <c r="C16" t="s">
        <v>157</v>
      </c>
      <c r="D16" t="s">
        <v>199</v>
      </c>
      <c r="E16" t="s">
        <v>200</v>
      </c>
      <c r="G16" s="1">
        <v>35</v>
      </c>
    </row>
    <row r="17" spans="1:7" ht="14.25" hidden="1" customHeight="1" x14ac:dyDescent="0.45">
      <c r="A17" t="str">
        <f>_xlfn.XLOOKUP(B17,Ingot!$H$12:$H$119,Ingot!$G$12:$G$119,"")</f>
        <v>Metal</v>
      </c>
      <c r="B17" t="s">
        <v>9</v>
      </c>
      <c r="C17" t="s">
        <v>239</v>
      </c>
      <c r="D17" t="s">
        <v>250</v>
      </c>
      <c r="E17" t="s">
        <v>251</v>
      </c>
      <c r="G17" s="1">
        <f>(VLOOKUP(B17,Ingot!H:I,2,FALSE()) * 3) - 10.25</f>
        <v>49.75</v>
      </c>
    </row>
    <row r="18" spans="1:7" ht="14.25" hidden="1" customHeight="1" x14ac:dyDescent="0.45">
      <c r="A18" t="str">
        <f>_xlfn.XLOOKUP(B18,Ingot!$H$12:$H$119,Ingot!$G$12:$G$119,"")</f>
        <v>Metal</v>
      </c>
      <c r="B18" t="s">
        <v>9</v>
      </c>
      <c r="C18" t="s">
        <v>157</v>
      </c>
      <c r="D18" t="s">
        <v>189</v>
      </c>
      <c r="E18" t="s">
        <v>190</v>
      </c>
      <c r="G18" s="1">
        <v>33</v>
      </c>
    </row>
    <row r="19" spans="1:7" ht="14.25" hidden="1" customHeight="1" x14ac:dyDescent="0.45">
      <c r="A19" t="str">
        <f>_xlfn.XLOOKUP(B19,Ingot!$H$12:$H$119,Ingot!$G$12:$G$119,"")</f>
        <v>Metal</v>
      </c>
      <c r="B19" t="s">
        <v>9</v>
      </c>
      <c r="C19" t="s">
        <v>239</v>
      </c>
      <c r="D19" t="s">
        <v>244</v>
      </c>
      <c r="E19" t="s">
        <v>245</v>
      </c>
      <c r="G19" s="1">
        <f>((VLOOKUP(B19,Ingot!H:I,2,FALSE()) * 3) - 10.25) * 0.75</f>
        <v>37.3125</v>
      </c>
    </row>
    <row r="20" spans="1:7" ht="14.25" hidden="1" customHeight="1" x14ac:dyDescent="0.45">
      <c r="A20" t="str">
        <f>_xlfn.XLOOKUP(B20,Ingot!$H$12:$H$119,Ingot!$G$12:$G$119,"")</f>
        <v>Metal</v>
      </c>
      <c r="B20" t="s">
        <v>9</v>
      </c>
      <c r="C20" t="s">
        <v>157</v>
      </c>
      <c r="D20" t="s">
        <v>217</v>
      </c>
      <c r="E20" t="s">
        <v>218</v>
      </c>
      <c r="G20" s="1">
        <v>10.4</v>
      </c>
    </row>
    <row r="21" spans="1:7" ht="14.25" hidden="1" customHeight="1" x14ac:dyDescent="0.45">
      <c r="A21" t="str">
        <f>_xlfn.XLOOKUP(B21,Ingot!$H$12:$H$119,Ingot!$G$12:$G$119,"")</f>
        <v>Metal</v>
      </c>
      <c r="B21" t="s">
        <v>9</v>
      </c>
      <c r="C21" t="s">
        <v>157</v>
      </c>
      <c r="D21" t="s">
        <v>168</v>
      </c>
      <c r="E21" t="s">
        <v>169</v>
      </c>
      <c r="G21" s="1">
        <v>31.5</v>
      </c>
    </row>
    <row r="22" spans="1:7" ht="14.25" hidden="1" customHeight="1" x14ac:dyDescent="0.45">
      <c r="A22" t="str">
        <f>_xlfn.XLOOKUP(B22,Ingot!$H$12:$H$119,Ingot!$G$12:$G$119,"")</f>
        <v>Metal</v>
      </c>
      <c r="B22" t="s">
        <v>9</v>
      </c>
      <c r="C22" t="s">
        <v>157</v>
      </c>
      <c r="D22" t="s">
        <v>227</v>
      </c>
      <c r="E22" t="s">
        <v>228</v>
      </c>
      <c r="G22" s="1">
        <v>10.27</v>
      </c>
    </row>
    <row r="23" spans="1:7" ht="14.25" hidden="1" customHeight="1" x14ac:dyDescent="0.45">
      <c r="A23" t="str">
        <f>_xlfn.XLOOKUP(B23,Ingot!$H$12:$H$119,Ingot!$G$12:$G$119,"")</f>
        <v>Metal</v>
      </c>
      <c r="B23" t="s">
        <v>9</v>
      </c>
      <c r="C23" t="s">
        <v>239</v>
      </c>
      <c r="D23" t="s">
        <v>246</v>
      </c>
      <c r="E23" t="s">
        <v>247</v>
      </c>
      <c r="G23" s="1">
        <f>((VLOOKUP(B23,Ingot!H:I,2,FALSE()) * 3) - 10.25) * 0.5625</f>
        <v>27.984375</v>
      </c>
    </row>
    <row r="24" spans="1:7" ht="14.25" hidden="1" customHeight="1" x14ac:dyDescent="0.45">
      <c r="A24" t="str">
        <f>_xlfn.XLOOKUP(B24,Ingot!$H$12:$H$119,Ingot!$G$12:$G$119,"")</f>
        <v>Metal</v>
      </c>
      <c r="B24" t="s">
        <v>9</v>
      </c>
      <c r="C24" t="s">
        <v>157</v>
      </c>
      <c r="D24" t="s">
        <v>166</v>
      </c>
      <c r="E24" t="s">
        <v>167</v>
      </c>
      <c r="G24" s="1">
        <v>10</v>
      </c>
    </row>
    <row r="25" spans="1:7" ht="14.25" hidden="1" customHeight="1" x14ac:dyDescent="0.45">
      <c r="A25" t="str">
        <f>_xlfn.XLOOKUP(B25,Ingot!$H$12:$H$119,Ingot!$G$12:$G$119,"")</f>
        <v>Metal</v>
      </c>
      <c r="B25" t="s">
        <v>9</v>
      </c>
      <c r="C25" t="s">
        <v>157</v>
      </c>
      <c r="D25" t="s">
        <v>207</v>
      </c>
      <c r="E25" t="s">
        <v>208</v>
      </c>
      <c r="G25" s="1">
        <v>10</v>
      </c>
    </row>
    <row r="26" spans="1:7" ht="14.25" hidden="1" customHeight="1" x14ac:dyDescent="0.45">
      <c r="A26" t="str">
        <f>_xlfn.XLOOKUP(B26,Ingot!$H$12:$H$119,Ingot!$G$12:$G$119,"")</f>
        <v>Metal</v>
      </c>
      <c r="B26" t="s">
        <v>9</v>
      </c>
      <c r="C26" t="s">
        <v>10</v>
      </c>
      <c r="D26" t="s">
        <v>85</v>
      </c>
      <c r="E26" t="s">
        <v>86</v>
      </c>
      <c r="G26" s="1">
        <v>22.67</v>
      </c>
    </row>
    <row r="27" spans="1:7" ht="14.25" hidden="1" customHeight="1" x14ac:dyDescent="0.45">
      <c r="A27" t="str">
        <f>_xlfn.XLOOKUP(B27,Ingot!$H$12:$H$119,Ingot!$G$12:$G$119,"")</f>
        <v>Metal</v>
      </c>
      <c r="B27" t="s">
        <v>9</v>
      </c>
      <c r="C27" t="s">
        <v>239</v>
      </c>
      <c r="D27" t="s">
        <v>242</v>
      </c>
      <c r="E27" t="s">
        <v>243</v>
      </c>
      <c r="G27" s="1">
        <f>((VLOOKUP(B27,Ingot!H:I,2,FALSE()) * 3) - 10.25) * 0.421875</f>
        <v>20.98828125</v>
      </c>
    </row>
    <row r="28" spans="1:7" ht="14.25" hidden="1" customHeight="1" x14ac:dyDescent="0.45">
      <c r="A28" t="str">
        <f>_xlfn.XLOOKUP(B28,Ingot!$H$12:$H$119,Ingot!$G$12:$G$119,"")</f>
        <v>Metal</v>
      </c>
      <c r="B28" t="s">
        <v>9</v>
      </c>
      <c r="C28" t="s">
        <v>157</v>
      </c>
      <c r="D28" t="s">
        <v>197</v>
      </c>
      <c r="E28" t="s">
        <v>198</v>
      </c>
      <c r="G28" s="1">
        <v>10</v>
      </c>
    </row>
    <row r="29" spans="1:7" ht="14.25" hidden="1" customHeight="1" x14ac:dyDescent="0.45">
      <c r="A29" t="str">
        <f>_xlfn.XLOOKUP(B29,Ingot!$H$12:$H$119,Ingot!$G$12:$G$119,"")</f>
        <v>Metal</v>
      </c>
      <c r="B29" t="s">
        <v>9</v>
      </c>
      <c r="C29" t="s">
        <v>157</v>
      </c>
      <c r="D29" t="s">
        <v>229</v>
      </c>
      <c r="E29" t="s">
        <v>230</v>
      </c>
      <c r="F29" t="s">
        <v>180</v>
      </c>
      <c r="G29" s="1">
        <v>29</v>
      </c>
    </row>
    <row r="30" spans="1:7" ht="14.25" hidden="1" customHeight="1" x14ac:dyDescent="0.45">
      <c r="A30" t="str">
        <f>_xlfn.XLOOKUP(B30,Ingot!$H$12:$H$119,Ingot!$G$12:$G$119,"")</f>
        <v>Metal</v>
      </c>
      <c r="B30" t="s">
        <v>9</v>
      </c>
      <c r="C30" t="s">
        <v>157</v>
      </c>
      <c r="D30" t="s">
        <v>176</v>
      </c>
      <c r="E30" t="s">
        <v>177</v>
      </c>
      <c r="G30" s="1">
        <v>10</v>
      </c>
    </row>
    <row r="31" spans="1:7" ht="14.25" hidden="1" customHeight="1" x14ac:dyDescent="0.45">
      <c r="A31" t="str">
        <f>_xlfn.XLOOKUP(B31,Ingot!$H$12:$H$119,Ingot!$G$12:$G$119,"")</f>
        <v>Metal</v>
      </c>
      <c r="B31" t="s">
        <v>9</v>
      </c>
      <c r="C31" t="s">
        <v>239</v>
      </c>
      <c r="D31" t="s">
        <v>248</v>
      </c>
      <c r="E31" t="s">
        <v>249</v>
      </c>
      <c r="G31" s="1">
        <f>VLOOKUP(B31,Ingot!H:I,2,FALSE()) * 0.75</f>
        <v>15</v>
      </c>
    </row>
    <row r="32" spans="1:7" ht="14.25" hidden="1" customHeight="1" x14ac:dyDescent="0.45">
      <c r="A32" t="str">
        <f>_xlfn.XLOOKUP(B32,Ingot!$H$12:$H$119,Ingot!$G$12:$G$119,"")</f>
        <v>Metal</v>
      </c>
      <c r="B32" t="s">
        <v>9</v>
      </c>
      <c r="C32" t="s">
        <v>10</v>
      </c>
      <c r="D32" t="s">
        <v>99</v>
      </c>
      <c r="E32" t="s">
        <v>100</v>
      </c>
      <c r="G32" s="1">
        <v>13.07</v>
      </c>
    </row>
    <row r="33" spans="1:7" ht="14.25" hidden="1" customHeight="1" x14ac:dyDescent="0.45">
      <c r="A33" t="str">
        <f>_xlfn.XLOOKUP(B33,Ingot!$H$12:$H$119,Ingot!$G$12:$G$119,"")</f>
        <v>Metal</v>
      </c>
      <c r="B33" t="s">
        <v>9</v>
      </c>
      <c r="C33" t="s">
        <v>10</v>
      </c>
      <c r="D33" t="s">
        <v>83</v>
      </c>
      <c r="E33" t="s">
        <v>84</v>
      </c>
      <c r="G33" s="1">
        <v>12.64</v>
      </c>
    </row>
    <row r="34" spans="1:7" ht="14.25" hidden="1" customHeight="1" x14ac:dyDescent="0.45">
      <c r="A34" t="str">
        <f>_xlfn.XLOOKUP(B34,Ingot!$H$12:$H$119,Ingot!$G$12:$G$119,"")</f>
        <v>Metal</v>
      </c>
      <c r="B34" t="s">
        <v>9</v>
      </c>
      <c r="C34" t="s">
        <v>10</v>
      </c>
      <c r="D34" t="s">
        <v>61</v>
      </c>
      <c r="E34" t="s">
        <v>62</v>
      </c>
      <c r="G34" s="1">
        <v>11.81</v>
      </c>
    </row>
    <row r="35" spans="1:7" ht="14.25" hidden="1" customHeight="1" x14ac:dyDescent="0.45">
      <c r="A35" t="str">
        <f>_xlfn.XLOOKUP(B35,Ingot!$H$12:$H$119,Ingot!$G$12:$G$119,"")</f>
        <v>Metal</v>
      </c>
      <c r="B35" t="s">
        <v>9</v>
      </c>
      <c r="C35" t="s">
        <v>157</v>
      </c>
      <c r="D35" t="s">
        <v>160</v>
      </c>
      <c r="E35" t="s">
        <v>161</v>
      </c>
      <c r="G35" s="1">
        <v>7.4</v>
      </c>
    </row>
    <row r="36" spans="1:7" ht="14.25" hidden="1" customHeight="1" x14ac:dyDescent="0.45">
      <c r="A36" t="str">
        <f>_xlfn.XLOOKUP(B36,Ingot!$H$12:$H$119,Ingot!$G$12:$G$119,"")</f>
        <v>Metal</v>
      </c>
      <c r="B36" t="s">
        <v>9</v>
      </c>
      <c r="C36" t="s">
        <v>157</v>
      </c>
      <c r="D36" t="s">
        <v>162</v>
      </c>
      <c r="E36" t="s">
        <v>163</v>
      </c>
      <c r="G36" s="1">
        <v>7.4</v>
      </c>
    </row>
    <row r="37" spans="1:7" ht="14.25" hidden="1" customHeight="1" x14ac:dyDescent="0.45">
      <c r="A37" t="str">
        <f>_xlfn.XLOOKUP(B37,Ingot!$H$12:$H$119,Ingot!$G$12:$G$119,"")</f>
        <v>Metal</v>
      </c>
      <c r="B37" t="s">
        <v>9</v>
      </c>
      <c r="C37" t="s">
        <v>157</v>
      </c>
      <c r="D37" t="s">
        <v>211</v>
      </c>
      <c r="E37" t="s">
        <v>212</v>
      </c>
      <c r="G37" s="1">
        <v>8</v>
      </c>
    </row>
    <row r="38" spans="1:7" ht="14.25" hidden="1" customHeight="1" x14ac:dyDescent="0.45">
      <c r="A38" t="str">
        <f>_xlfn.XLOOKUP(B38,Ingot!$H$12:$H$119,Ingot!$G$12:$G$119,"")</f>
        <v>Metal</v>
      </c>
      <c r="B38" t="s">
        <v>9</v>
      </c>
      <c r="C38" t="s">
        <v>157</v>
      </c>
      <c r="D38" t="s">
        <v>213</v>
      </c>
      <c r="E38" t="s">
        <v>214</v>
      </c>
      <c r="G38" s="1">
        <v>8</v>
      </c>
    </row>
    <row r="39" spans="1:7" ht="14.25" hidden="1" customHeight="1" x14ac:dyDescent="0.45">
      <c r="A39" t="str">
        <f>_xlfn.XLOOKUP(B39,Ingot!$H$12:$H$119,Ingot!$G$12:$G$119,"")</f>
        <v>Metal</v>
      </c>
      <c r="B39" t="s">
        <v>9</v>
      </c>
      <c r="C39" t="s">
        <v>157</v>
      </c>
      <c r="D39" t="s">
        <v>221</v>
      </c>
      <c r="E39" t="s">
        <v>222</v>
      </c>
      <c r="G39" s="1">
        <v>7.9</v>
      </c>
    </row>
    <row r="40" spans="1:7" ht="14.25" hidden="1" customHeight="1" x14ac:dyDescent="0.45">
      <c r="A40" t="str">
        <f>_xlfn.XLOOKUP(B40,Ingot!$H$12:$H$119,Ingot!$G$12:$G$119,"")</f>
        <v>Metal</v>
      </c>
      <c r="B40" t="s">
        <v>9</v>
      </c>
      <c r="C40" t="s">
        <v>157</v>
      </c>
      <c r="D40" t="s">
        <v>223</v>
      </c>
      <c r="E40" t="s">
        <v>224</v>
      </c>
      <c r="G40" s="1">
        <v>7.9</v>
      </c>
    </row>
    <row r="41" spans="1:7" ht="14.25" hidden="1" customHeight="1" x14ac:dyDescent="0.45">
      <c r="A41" t="str">
        <f>_xlfn.XLOOKUP(B41,Ingot!$H$12:$H$119,Ingot!$G$12:$G$119,"")</f>
        <v>Metal</v>
      </c>
      <c r="B41" t="s">
        <v>9</v>
      </c>
      <c r="C41" t="s">
        <v>239</v>
      </c>
      <c r="D41" t="s">
        <v>240</v>
      </c>
      <c r="E41" t="s">
        <v>241</v>
      </c>
      <c r="G41" s="1">
        <f>(VLOOKUP(B41,Ingot!H:I,2,FALSE()) * 0.75) * 0.75</f>
        <v>11.25</v>
      </c>
    </row>
    <row r="42" spans="1:7" ht="14.25" hidden="1" customHeight="1" x14ac:dyDescent="0.45">
      <c r="A42" t="str">
        <f>_xlfn.XLOOKUP(B42,Ingot!$H$12:$H$119,Ingot!$G$12:$G$119,"")</f>
        <v>Metal</v>
      </c>
      <c r="B42" t="s">
        <v>9</v>
      </c>
      <c r="C42" t="s">
        <v>10</v>
      </c>
      <c r="D42" t="s">
        <v>151</v>
      </c>
      <c r="E42" t="s">
        <v>152</v>
      </c>
      <c r="G42" s="1">
        <v>11.02</v>
      </c>
    </row>
    <row r="43" spans="1:7" ht="14.25" hidden="1" customHeight="1" x14ac:dyDescent="0.45">
      <c r="A43" t="str">
        <f>_xlfn.XLOOKUP(B43,Ingot!$H$12:$H$119,Ingot!$G$12:$G$119,"")</f>
        <v>Metal</v>
      </c>
      <c r="B43" t="s">
        <v>9</v>
      </c>
      <c r="C43" t="s">
        <v>10</v>
      </c>
      <c r="D43" t="s">
        <v>65</v>
      </c>
      <c r="E43" t="s">
        <v>66</v>
      </c>
      <c r="G43" s="1">
        <v>10.42</v>
      </c>
    </row>
    <row r="44" spans="1:7" ht="14.25" hidden="1" customHeight="1" x14ac:dyDescent="0.45">
      <c r="A44" t="str">
        <f>_xlfn.XLOOKUP(B44,Ingot!$H$12:$H$119,Ingot!$G$12:$G$119,"")</f>
        <v>Metal</v>
      </c>
      <c r="B44" t="s">
        <v>9</v>
      </c>
      <c r="C44" t="s">
        <v>10</v>
      </c>
      <c r="D44" t="s">
        <v>55</v>
      </c>
      <c r="E44" t="s">
        <v>56</v>
      </c>
      <c r="G44" s="1">
        <v>10.23</v>
      </c>
    </row>
    <row r="45" spans="1:7" ht="14.25" hidden="1" customHeight="1" x14ac:dyDescent="0.45">
      <c r="A45" t="str">
        <f>_xlfn.XLOOKUP(B45,Ingot!$H$12:$H$119,Ingot!$G$12:$G$119,"")</f>
        <v>Metal</v>
      </c>
      <c r="B45" t="s">
        <v>9</v>
      </c>
      <c r="C45" t="s">
        <v>10</v>
      </c>
      <c r="D45" t="s">
        <v>59</v>
      </c>
      <c r="E45" t="s">
        <v>60</v>
      </c>
      <c r="G45" s="1">
        <v>10.02</v>
      </c>
    </row>
    <row r="46" spans="1:7" ht="14.25" hidden="1" customHeight="1" x14ac:dyDescent="0.45">
      <c r="A46" t="str">
        <f>_xlfn.XLOOKUP(B46,Ingot!$H$12:$H$119,Ingot!$G$12:$G$119,"")</f>
        <v>Metal</v>
      </c>
      <c r="B46" t="s">
        <v>9</v>
      </c>
      <c r="C46" t="s">
        <v>157</v>
      </c>
      <c r="D46" t="s">
        <v>237</v>
      </c>
      <c r="E46" t="s">
        <v>238</v>
      </c>
      <c r="F46" t="s">
        <v>180</v>
      </c>
      <c r="G46" s="1">
        <v>10</v>
      </c>
    </row>
    <row r="47" spans="1:7" ht="14.25" hidden="1" customHeight="1" x14ac:dyDescent="0.45">
      <c r="A47" t="str">
        <f>_xlfn.XLOOKUP(B47,Ingot!$H$12:$H$119,Ingot!$G$12:$G$119,"")</f>
        <v>Metal</v>
      </c>
      <c r="B47" t="s">
        <v>9</v>
      </c>
      <c r="C47" t="s">
        <v>10</v>
      </c>
      <c r="D47" t="s">
        <v>13</v>
      </c>
      <c r="E47" t="s">
        <v>14</v>
      </c>
      <c r="G47" s="1">
        <v>9.9</v>
      </c>
    </row>
    <row r="48" spans="1:7" ht="14.25" hidden="1" customHeight="1" x14ac:dyDescent="0.45">
      <c r="A48" t="str">
        <f>_xlfn.XLOOKUP(B48,Ingot!$H$12:$H$119,Ingot!$G$12:$G$119,"")</f>
        <v>Metal</v>
      </c>
      <c r="B48" t="s">
        <v>9</v>
      </c>
      <c r="C48" t="s">
        <v>10</v>
      </c>
      <c r="D48" t="s">
        <v>71</v>
      </c>
      <c r="E48" t="s">
        <v>72</v>
      </c>
      <c r="G48" s="1">
        <v>9.64</v>
      </c>
    </row>
    <row r="49" spans="1:7" ht="14.25" hidden="1" customHeight="1" x14ac:dyDescent="0.45">
      <c r="A49" t="str">
        <f>_xlfn.XLOOKUP(B49,Ingot!$H$12:$H$119,Ingot!$G$12:$G$119,"")</f>
        <v>Metal</v>
      </c>
      <c r="B49" t="s">
        <v>9</v>
      </c>
      <c r="C49" t="s">
        <v>10</v>
      </c>
      <c r="D49" t="s">
        <v>53</v>
      </c>
      <c r="E49" t="s">
        <v>54</v>
      </c>
      <c r="G49" s="1">
        <v>9</v>
      </c>
    </row>
    <row r="50" spans="1:7" ht="14.25" hidden="1" customHeight="1" x14ac:dyDescent="0.45">
      <c r="A50" t="str">
        <f>_xlfn.XLOOKUP(B50,Ingot!$H$12:$H$119,Ingot!$G$12:$G$119,"")</f>
        <v>Metal</v>
      </c>
      <c r="B50" t="s">
        <v>9</v>
      </c>
      <c r="C50" t="s">
        <v>10</v>
      </c>
      <c r="D50" t="s">
        <v>149</v>
      </c>
      <c r="E50" t="s">
        <v>150</v>
      </c>
      <c r="G50" s="1">
        <v>8.91</v>
      </c>
    </row>
    <row r="51" spans="1:7" ht="14.25" hidden="1" customHeight="1" x14ac:dyDescent="0.45">
      <c r="A51" t="str">
        <f>_xlfn.XLOOKUP(B51,Ingot!$H$12:$H$119,Ingot!$G$12:$G$119,"")</f>
        <v>Metal</v>
      </c>
      <c r="B51" t="s">
        <v>9</v>
      </c>
      <c r="C51" t="s">
        <v>157</v>
      </c>
      <c r="D51" t="s">
        <v>170</v>
      </c>
      <c r="E51" t="s">
        <v>171</v>
      </c>
      <c r="G51" s="1">
        <v>6.3</v>
      </c>
    </row>
    <row r="52" spans="1:7" ht="14.25" hidden="1" customHeight="1" x14ac:dyDescent="0.45">
      <c r="A52" t="str">
        <f>_xlfn.XLOOKUP(B52,Ingot!$H$12:$H$119,Ingot!$G$12:$G$119,"")</f>
        <v>Metal</v>
      </c>
      <c r="B52" t="s">
        <v>9</v>
      </c>
      <c r="C52" t="s">
        <v>157</v>
      </c>
      <c r="D52" t="s">
        <v>172</v>
      </c>
      <c r="E52" t="s">
        <v>173</v>
      </c>
      <c r="G52" s="1">
        <v>6.3</v>
      </c>
    </row>
    <row r="53" spans="1:7" ht="14.25" hidden="1" customHeight="1" x14ac:dyDescent="0.45">
      <c r="A53" t="str">
        <f>_xlfn.XLOOKUP(B53,Ingot!$H$12:$H$119,Ingot!$G$12:$G$119,"")</f>
        <v>Metal</v>
      </c>
      <c r="B53" t="s">
        <v>9</v>
      </c>
      <c r="C53" t="s">
        <v>157</v>
      </c>
      <c r="D53" t="s">
        <v>191</v>
      </c>
      <c r="E53" t="s">
        <v>192</v>
      </c>
      <c r="G53" s="1">
        <v>6.6</v>
      </c>
    </row>
    <row r="54" spans="1:7" ht="14.25" hidden="1" customHeight="1" x14ac:dyDescent="0.45">
      <c r="A54" t="str">
        <f>_xlfn.XLOOKUP(B54,Ingot!$H$12:$H$119,Ingot!$G$12:$G$119,"")</f>
        <v>Metal</v>
      </c>
      <c r="B54" t="s">
        <v>9</v>
      </c>
      <c r="C54" t="s">
        <v>157</v>
      </c>
      <c r="D54" t="s">
        <v>193</v>
      </c>
      <c r="E54" t="s">
        <v>194</v>
      </c>
      <c r="G54" s="1">
        <v>6.6</v>
      </c>
    </row>
    <row r="55" spans="1:7" ht="14.25" hidden="1" customHeight="1" x14ac:dyDescent="0.45">
      <c r="A55" t="str">
        <f>_xlfn.XLOOKUP(B55,Ingot!$H$12:$H$119,Ingot!$G$12:$G$119,"")</f>
        <v>Metal</v>
      </c>
      <c r="B55" t="s">
        <v>9</v>
      </c>
      <c r="C55" t="s">
        <v>10</v>
      </c>
      <c r="D55" t="s">
        <v>33</v>
      </c>
      <c r="E55" t="s">
        <v>34</v>
      </c>
      <c r="G55" s="1">
        <v>8.77</v>
      </c>
    </row>
    <row r="56" spans="1:7" ht="14.25" hidden="1" customHeight="1" x14ac:dyDescent="0.45">
      <c r="A56" t="str">
        <f>_xlfn.XLOOKUP(B56,Ingot!$H$12:$H$119,Ingot!$G$12:$G$119,"")</f>
        <v>Metal</v>
      </c>
      <c r="B56" t="s">
        <v>9</v>
      </c>
      <c r="C56" t="s">
        <v>10</v>
      </c>
      <c r="D56" t="s">
        <v>75</v>
      </c>
      <c r="E56" t="s">
        <v>76</v>
      </c>
      <c r="G56" s="1">
        <v>8.66</v>
      </c>
    </row>
    <row r="57" spans="1:7" ht="14.25" hidden="1" customHeight="1" x14ac:dyDescent="0.45">
      <c r="A57" t="str">
        <f>_xlfn.XLOOKUP(B57,Ingot!$H$12:$H$119,Ingot!$G$12:$G$119,"")</f>
        <v>Metal</v>
      </c>
      <c r="B57" t="s">
        <v>9</v>
      </c>
      <c r="C57" t="s">
        <v>10</v>
      </c>
      <c r="D57" t="s">
        <v>129</v>
      </c>
      <c r="E57" t="s">
        <v>130</v>
      </c>
      <c r="G57" s="1">
        <v>8.61</v>
      </c>
    </row>
    <row r="58" spans="1:7" ht="14.25" hidden="1" customHeight="1" x14ac:dyDescent="0.45">
      <c r="A58" t="str">
        <f>_xlfn.XLOOKUP(B58,Ingot!$H$12:$H$119,Ingot!$G$12:$G$119,"")</f>
        <v>Metal</v>
      </c>
      <c r="B58" t="s">
        <v>9</v>
      </c>
      <c r="C58" t="s">
        <v>10</v>
      </c>
      <c r="D58" t="s">
        <v>143</v>
      </c>
      <c r="E58" t="s">
        <v>144</v>
      </c>
      <c r="G58" s="1">
        <v>8.57</v>
      </c>
    </row>
    <row r="59" spans="1:7" ht="14.25" hidden="1" customHeight="1" x14ac:dyDescent="0.45">
      <c r="A59" t="str">
        <f>_xlfn.XLOOKUP(B59,Ingot!$H$12:$H$119,Ingot!$G$12:$G$119,"")</f>
        <v>Metal</v>
      </c>
      <c r="B59" t="s">
        <v>9</v>
      </c>
      <c r="C59" t="s">
        <v>10</v>
      </c>
      <c r="D59" t="s">
        <v>63</v>
      </c>
      <c r="E59" t="s">
        <v>64</v>
      </c>
      <c r="G59" s="1">
        <v>8.44</v>
      </c>
    </row>
    <row r="60" spans="1:7" ht="14.25" hidden="1" customHeight="1" x14ac:dyDescent="0.45">
      <c r="A60" t="str">
        <f>_xlfn.XLOOKUP(B60,Ingot!$H$12:$H$119,Ingot!$G$12:$G$119,"")</f>
        <v>Metal</v>
      </c>
      <c r="B60" t="s">
        <v>9</v>
      </c>
      <c r="C60" t="s">
        <v>10</v>
      </c>
      <c r="D60" t="s">
        <v>97</v>
      </c>
      <c r="E60" t="s">
        <v>98</v>
      </c>
      <c r="G60" s="1">
        <v>8.43</v>
      </c>
    </row>
    <row r="61" spans="1:7" ht="14.25" hidden="1" customHeight="1" x14ac:dyDescent="0.45">
      <c r="A61" t="str">
        <f>_xlfn.XLOOKUP(B61,Ingot!$H$12:$H$119,Ingot!$G$12:$G$119,"")</f>
        <v>Metal</v>
      </c>
      <c r="B61" t="s">
        <v>9</v>
      </c>
      <c r="C61" t="s">
        <v>10</v>
      </c>
      <c r="D61" t="s">
        <v>45</v>
      </c>
      <c r="E61" t="s">
        <v>46</v>
      </c>
      <c r="G61" s="1">
        <v>8.41</v>
      </c>
    </row>
    <row r="62" spans="1:7" ht="14.25" hidden="1" customHeight="1" x14ac:dyDescent="0.45">
      <c r="A62" t="str">
        <f>_xlfn.XLOOKUP(B62,Ingot!$H$12:$H$119,Ingot!$G$12:$G$119,"")</f>
        <v>Metal</v>
      </c>
      <c r="B62" t="s">
        <v>9</v>
      </c>
      <c r="C62" t="s">
        <v>10</v>
      </c>
      <c r="D62" t="s">
        <v>87</v>
      </c>
      <c r="E62" t="s">
        <v>88</v>
      </c>
      <c r="G62" s="1">
        <v>8.3800000000000008</v>
      </c>
    </row>
    <row r="63" spans="1:7" ht="14.25" hidden="1" customHeight="1" x14ac:dyDescent="0.45">
      <c r="A63" t="str">
        <f>_xlfn.XLOOKUP(B63,Ingot!$H$12:$H$119,Ingot!$G$12:$G$119,"")</f>
        <v>Metal</v>
      </c>
      <c r="B63" t="s">
        <v>9</v>
      </c>
      <c r="C63" t="s">
        <v>10</v>
      </c>
      <c r="D63" t="s">
        <v>69</v>
      </c>
      <c r="E63" t="s">
        <v>70</v>
      </c>
      <c r="G63" s="1">
        <v>7.96</v>
      </c>
    </row>
    <row r="64" spans="1:7" ht="14.25" hidden="1" customHeight="1" x14ac:dyDescent="0.45">
      <c r="A64" t="str">
        <f>_xlfn.XLOOKUP(B64,Ingot!$H$12:$H$119,Ingot!$G$12:$G$119,"")</f>
        <v>Metal</v>
      </c>
      <c r="B64" t="s">
        <v>9</v>
      </c>
      <c r="C64" t="s">
        <v>10</v>
      </c>
      <c r="D64" t="s">
        <v>73</v>
      </c>
      <c r="E64" t="s">
        <v>74</v>
      </c>
      <c r="G64" s="1">
        <v>7.94</v>
      </c>
    </row>
    <row r="65" spans="1:7" ht="14.25" hidden="1" customHeight="1" x14ac:dyDescent="0.45">
      <c r="A65" t="str">
        <f>_xlfn.XLOOKUP(B65,Ingot!$H$12:$H$119,Ingot!$G$12:$G$119,"")</f>
        <v>Metal</v>
      </c>
      <c r="B65" t="s">
        <v>9</v>
      </c>
      <c r="C65" t="s">
        <v>10</v>
      </c>
      <c r="D65" t="s">
        <v>57</v>
      </c>
      <c r="E65" t="s">
        <v>58</v>
      </c>
      <c r="G65" s="1">
        <v>7.7</v>
      </c>
    </row>
    <row r="66" spans="1:7" ht="14.25" hidden="1" customHeight="1" x14ac:dyDescent="0.45">
      <c r="A66" t="str">
        <f>_xlfn.XLOOKUP(B66,Ingot!$H$12:$H$119,Ingot!$G$12:$G$119,"")</f>
        <v>Metal</v>
      </c>
      <c r="B66" t="s">
        <v>9</v>
      </c>
      <c r="C66" t="s">
        <v>10</v>
      </c>
      <c r="D66" t="s">
        <v>49</v>
      </c>
      <c r="E66" t="s">
        <v>50</v>
      </c>
      <c r="G66" s="1">
        <v>7.05</v>
      </c>
    </row>
    <row r="67" spans="1:7" ht="14.25" hidden="1" customHeight="1" x14ac:dyDescent="0.45">
      <c r="A67" t="str">
        <f>_xlfn.XLOOKUP(B67,Ingot!$H$12:$H$119,Ingot!$G$12:$G$119,"")</f>
        <v>Metal</v>
      </c>
      <c r="B67" t="s">
        <v>9</v>
      </c>
      <c r="C67" t="s">
        <v>10</v>
      </c>
      <c r="D67" t="s">
        <v>113</v>
      </c>
      <c r="E67" t="s">
        <v>114</v>
      </c>
      <c r="G67" s="1">
        <v>6.96</v>
      </c>
    </row>
    <row r="68" spans="1:7" ht="14.25" hidden="1" customHeight="1" x14ac:dyDescent="0.45">
      <c r="A68" t="str">
        <f>_xlfn.XLOOKUP(B68,Ingot!$H$12:$H$119,Ingot!$G$12:$G$119,"")</f>
        <v>Metal</v>
      </c>
      <c r="B68" t="s">
        <v>9</v>
      </c>
      <c r="C68" t="s">
        <v>10</v>
      </c>
      <c r="D68" t="s">
        <v>107</v>
      </c>
      <c r="E68" t="s">
        <v>108</v>
      </c>
      <c r="G68" s="1">
        <v>6.88</v>
      </c>
    </row>
    <row r="69" spans="1:7" ht="14.25" hidden="1" customHeight="1" x14ac:dyDescent="0.45">
      <c r="A69" t="str">
        <f>_xlfn.XLOOKUP(B69,Ingot!$H$12:$H$119,Ingot!$G$12:$G$119,"")</f>
        <v>Metal</v>
      </c>
      <c r="B69" t="s">
        <v>9</v>
      </c>
      <c r="C69" t="s">
        <v>10</v>
      </c>
      <c r="D69" t="s">
        <v>117</v>
      </c>
      <c r="E69" t="s">
        <v>118</v>
      </c>
      <c r="G69" s="1">
        <v>6.88</v>
      </c>
    </row>
    <row r="70" spans="1:7" ht="14.25" hidden="1" customHeight="1" x14ac:dyDescent="0.45">
      <c r="A70" t="str">
        <f>_xlfn.XLOOKUP(B70,Ingot!$H$12:$H$119,Ingot!$G$12:$G$119,"")</f>
        <v>Metal</v>
      </c>
      <c r="B70" t="s">
        <v>9</v>
      </c>
      <c r="C70" t="s">
        <v>10</v>
      </c>
      <c r="D70" t="s">
        <v>105</v>
      </c>
      <c r="E70" t="s">
        <v>106</v>
      </c>
      <c r="G70" s="1">
        <v>6.8</v>
      </c>
    </row>
    <row r="71" spans="1:7" ht="14.25" hidden="1" customHeight="1" x14ac:dyDescent="0.45">
      <c r="A71" t="str">
        <f>_xlfn.XLOOKUP(B71,Ingot!$H$12:$H$119,Ingot!$G$12:$G$119,"")</f>
        <v>Metal</v>
      </c>
      <c r="B71" t="s">
        <v>9</v>
      </c>
      <c r="C71" t="s">
        <v>10</v>
      </c>
      <c r="D71" t="s">
        <v>115</v>
      </c>
      <c r="E71" t="s">
        <v>116</v>
      </c>
      <c r="G71" s="1">
        <v>6.32</v>
      </c>
    </row>
    <row r="72" spans="1:7" ht="14.25" hidden="1" customHeight="1" x14ac:dyDescent="0.45">
      <c r="A72" t="str">
        <f>_xlfn.XLOOKUP(B72,Ingot!$H$12:$H$119,Ingot!$G$12:$G$119,"")</f>
        <v>Metal</v>
      </c>
      <c r="B72" t="s">
        <v>9</v>
      </c>
      <c r="C72" t="s">
        <v>157</v>
      </c>
      <c r="D72" t="s">
        <v>164</v>
      </c>
      <c r="E72" t="s">
        <v>165</v>
      </c>
      <c r="G72" s="1">
        <v>5</v>
      </c>
    </row>
    <row r="73" spans="1:7" ht="14.25" hidden="1" customHeight="1" x14ac:dyDescent="0.45">
      <c r="A73" t="str">
        <f>_xlfn.XLOOKUP(B73,Ingot!$H$12:$H$119,Ingot!$G$12:$G$119,"")</f>
        <v>Metal</v>
      </c>
      <c r="B73" t="s">
        <v>9</v>
      </c>
      <c r="C73" t="s">
        <v>157</v>
      </c>
      <c r="D73" t="s">
        <v>215</v>
      </c>
      <c r="E73" t="s">
        <v>216</v>
      </c>
      <c r="G73" s="1">
        <v>5.2</v>
      </c>
    </row>
    <row r="74" spans="1:7" ht="14.25" hidden="1" customHeight="1" x14ac:dyDescent="0.45">
      <c r="A74" t="str">
        <f>_xlfn.XLOOKUP(B74,Ingot!$H$12:$H$119,Ingot!$G$12:$G$119,"")</f>
        <v>Metal</v>
      </c>
      <c r="B74" t="s">
        <v>9</v>
      </c>
      <c r="C74" t="s">
        <v>157</v>
      </c>
      <c r="D74" t="s">
        <v>225</v>
      </c>
      <c r="E74" t="s">
        <v>226</v>
      </c>
      <c r="G74" s="1">
        <v>5.14</v>
      </c>
    </row>
    <row r="75" spans="1:7" ht="14.25" hidden="1" customHeight="1" x14ac:dyDescent="0.45">
      <c r="A75" t="str">
        <f>_xlfn.XLOOKUP(B75,Ingot!$H$12:$H$119,Ingot!$G$12:$G$119,"")</f>
        <v>Metal</v>
      </c>
      <c r="B75" t="s">
        <v>9</v>
      </c>
      <c r="C75" t="s">
        <v>10</v>
      </c>
      <c r="D75" t="s">
        <v>15</v>
      </c>
      <c r="E75" t="s">
        <v>16</v>
      </c>
      <c r="G75" s="1">
        <v>5.66</v>
      </c>
    </row>
    <row r="76" spans="1:7" ht="14.25" hidden="1" customHeight="1" x14ac:dyDescent="0.45">
      <c r="A76" t="str">
        <f>_xlfn.XLOOKUP(B76,Ingot!$H$12:$H$119,Ingot!$G$12:$G$119,"")</f>
        <v>Metal</v>
      </c>
      <c r="B76" t="s">
        <v>9</v>
      </c>
      <c r="C76" t="s">
        <v>10</v>
      </c>
      <c r="D76" t="s">
        <v>109</v>
      </c>
      <c r="E76" t="s">
        <v>110</v>
      </c>
      <c r="G76" s="1">
        <v>5.5</v>
      </c>
    </row>
    <row r="77" spans="1:7" ht="14.25" hidden="1" customHeight="1" x14ac:dyDescent="0.45">
      <c r="A77" t="str">
        <f>_xlfn.XLOOKUP(B77,Ingot!$H$12:$H$119,Ingot!$G$12:$G$119,"")</f>
        <v>Metal</v>
      </c>
      <c r="B77" t="s">
        <v>9</v>
      </c>
      <c r="C77" t="s">
        <v>10</v>
      </c>
      <c r="D77" t="s">
        <v>153</v>
      </c>
      <c r="E77" t="s">
        <v>154</v>
      </c>
      <c r="G77" s="1">
        <v>5.12</v>
      </c>
    </row>
    <row r="78" spans="1:7" ht="14.25" hidden="1" customHeight="1" x14ac:dyDescent="0.45">
      <c r="A78" t="str">
        <f>_xlfn.XLOOKUP(B78,Ingot!$H$12:$H$119,Ingot!$G$12:$G$119,"")</f>
        <v>Metal</v>
      </c>
      <c r="B78" t="s">
        <v>9</v>
      </c>
      <c r="C78" t="s">
        <v>10</v>
      </c>
      <c r="D78" t="s">
        <v>137</v>
      </c>
      <c r="E78" t="s">
        <v>138</v>
      </c>
      <c r="G78" s="1">
        <v>4.8899999999999997</v>
      </c>
    </row>
    <row r="79" spans="1:7" ht="14.25" hidden="1" customHeight="1" x14ac:dyDescent="0.45">
      <c r="A79" t="str">
        <f>_xlfn.XLOOKUP(B79,Ingot!$H$12:$H$119,Ingot!$G$12:$G$119,"")</f>
        <v>Metal</v>
      </c>
      <c r="B79" t="s">
        <v>9</v>
      </c>
      <c r="C79" t="s">
        <v>10</v>
      </c>
      <c r="D79" t="s">
        <v>95</v>
      </c>
      <c r="E79" t="s">
        <v>96</v>
      </c>
      <c r="G79" s="1">
        <v>4.88</v>
      </c>
    </row>
    <row r="80" spans="1:7" ht="14.25" hidden="1" customHeight="1" x14ac:dyDescent="0.45">
      <c r="A80" t="str">
        <f>_xlfn.XLOOKUP(B80,Ingot!$H$12:$H$119,Ingot!$G$12:$G$119,"")</f>
        <v>Metal</v>
      </c>
      <c r="B80" t="s">
        <v>9</v>
      </c>
      <c r="C80" t="s">
        <v>157</v>
      </c>
      <c r="D80" t="s">
        <v>174</v>
      </c>
      <c r="E80" t="s">
        <v>175</v>
      </c>
      <c r="G80" s="1">
        <v>5</v>
      </c>
    </row>
    <row r="81" spans="1:7" ht="14.25" hidden="1" customHeight="1" x14ac:dyDescent="0.45">
      <c r="A81" t="str">
        <f>_xlfn.XLOOKUP(B81,Ingot!$H$12:$H$119,Ingot!$G$12:$G$119,"")</f>
        <v>Metal</v>
      </c>
      <c r="B81" t="s">
        <v>9</v>
      </c>
      <c r="C81" t="s">
        <v>157</v>
      </c>
      <c r="D81" t="s">
        <v>195</v>
      </c>
      <c r="E81" t="s">
        <v>196</v>
      </c>
      <c r="G81" s="1">
        <v>5</v>
      </c>
    </row>
    <row r="82" spans="1:7" ht="14.25" hidden="1" customHeight="1" x14ac:dyDescent="0.45">
      <c r="A82" t="str">
        <f>_xlfn.XLOOKUP(B82,Ingot!$H$12:$H$119,Ingot!$G$12:$G$119,"")</f>
        <v>Metal</v>
      </c>
      <c r="B82" t="s">
        <v>9</v>
      </c>
      <c r="C82" t="s">
        <v>10</v>
      </c>
      <c r="D82" t="s">
        <v>155</v>
      </c>
      <c r="E82" t="s">
        <v>156</v>
      </c>
      <c r="G82" s="1">
        <v>4.41</v>
      </c>
    </row>
    <row r="83" spans="1:7" ht="14.25" hidden="1" customHeight="1" x14ac:dyDescent="0.45">
      <c r="A83" t="str">
        <f>_xlfn.XLOOKUP(B83,Ingot!$H$12:$H$119,Ingot!$G$12:$G$119,"")</f>
        <v>Metal</v>
      </c>
      <c r="B83" t="s">
        <v>9</v>
      </c>
      <c r="C83" t="s">
        <v>10</v>
      </c>
      <c r="D83" t="s">
        <v>31</v>
      </c>
      <c r="E83" t="s">
        <v>32</v>
      </c>
      <c r="G83" s="1">
        <v>3.96</v>
      </c>
    </row>
    <row r="84" spans="1:7" ht="14.25" hidden="1" customHeight="1" x14ac:dyDescent="0.45">
      <c r="A84" t="str">
        <f>_xlfn.XLOOKUP(B84,Ingot!$H$12:$H$119,Ingot!$G$12:$G$119,"")</f>
        <v>Metal</v>
      </c>
      <c r="B84" t="s">
        <v>9</v>
      </c>
      <c r="C84" t="s">
        <v>10</v>
      </c>
      <c r="D84" t="s">
        <v>47</v>
      </c>
      <c r="E84" t="s">
        <v>48</v>
      </c>
      <c r="G84" s="1">
        <v>3.64</v>
      </c>
    </row>
    <row r="85" spans="1:7" ht="14.25" hidden="1" customHeight="1" x14ac:dyDescent="0.45">
      <c r="A85" t="str">
        <f>_xlfn.XLOOKUP(B85,Ingot!$H$12:$H$119,Ingot!$G$12:$G$119,"")</f>
        <v>Metal</v>
      </c>
      <c r="B85" t="s">
        <v>9</v>
      </c>
      <c r="C85" t="s">
        <v>10</v>
      </c>
      <c r="D85" t="s">
        <v>147</v>
      </c>
      <c r="E85" t="s">
        <v>148</v>
      </c>
      <c r="G85" s="1">
        <v>3.56</v>
      </c>
    </row>
    <row r="86" spans="1:7" ht="14.25" hidden="1" customHeight="1" x14ac:dyDescent="0.45">
      <c r="A86" t="str">
        <f>_xlfn.XLOOKUP(B86,Ingot!$H$12:$H$119,Ingot!$G$12:$G$119,"")</f>
        <v>Metal</v>
      </c>
      <c r="B86" t="s">
        <v>9</v>
      </c>
      <c r="C86" t="s">
        <v>10</v>
      </c>
      <c r="D86" t="s">
        <v>35</v>
      </c>
      <c r="E86" t="s">
        <v>36</v>
      </c>
      <c r="G86" s="1">
        <v>3.5</v>
      </c>
    </row>
    <row r="87" spans="1:7" ht="14.25" hidden="1" customHeight="1" x14ac:dyDescent="0.45">
      <c r="A87" t="str">
        <f>_xlfn.XLOOKUP(B87,Ingot!$H$12:$H$119,Ingot!$G$12:$G$119,"")</f>
        <v>Metal</v>
      </c>
      <c r="B87" t="s">
        <v>9</v>
      </c>
      <c r="C87" t="s">
        <v>10</v>
      </c>
      <c r="D87" t="s">
        <v>17</v>
      </c>
      <c r="E87" t="s">
        <v>18</v>
      </c>
      <c r="G87" s="1">
        <v>3.3</v>
      </c>
    </row>
    <row r="88" spans="1:7" ht="14.25" hidden="1" customHeight="1" x14ac:dyDescent="0.45">
      <c r="A88" t="str">
        <f>_xlfn.XLOOKUP(B88,Ingot!$H$12:$H$119,Ingot!$G$12:$G$119,"")</f>
        <v>Metal</v>
      </c>
      <c r="B88" t="s">
        <v>9</v>
      </c>
      <c r="C88" t="s">
        <v>10</v>
      </c>
      <c r="D88" t="s">
        <v>133</v>
      </c>
      <c r="E88" t="s">
        <v>134</v>
      </c>
      <c r="G88" s="1">
        <v>3.21</v>
      </c>
    </row>
    <row r="89" spans="1:7" ht="14.25" hidden="1" customHeight="1" x14ac:dyDescent="0.45">
      <c r="A89" t="str">
        <f>_xlfn.XLOOKUP(B89,Ingot!$H$12:$H$119,Ingot!$G$12:$G$119,"")</f>
        <v>Metal</v>
      </c>
      <c r="B89" t="s">
        <v>9</v>
      </c>
      <c r="C89" t="s">
        <v>10</v>
      </c>
      <c r="D89" t="s">
        <v>125</v>
      </c>
      <c r="E89" t="s">
        <v>126</v>
      </c>
      <c r="G89" s="1">
        <v>3.11</v>
      </c>
    </row>
    <row r="90" spans="1:7" ht="14.25" hidden="1" customHeight="1" x14ac:dyDescent="0.45">
      <c r="A90" t="str">
        <f>_xlfn.XLOOKUP(B90,Ingot!$H$12:$H$119,Ingot!$G$12:$G$119,"")</f>
        <v>Metal</v>
      </c>
      <c r="B90" t="s">
        <v>9</v>
      </c>
      <c r="C90" t="s">
        <v>10</v>
      </c>
      <c r="D90" t="s">
        <v>91</v>
      </c>
      <c r="E90" t="s">
        <v>92</v>
      </c>
      <c r="G90" s="1">
        <v>3.09</v>
      </c>
    </row>
    <row r="91" spans="1:7" ht="14.25" hidden="1" customHeight="1" x14ac:dyDescent="0.45">
      <c r="A91" t="str">
        <f>_xlfn.XLOOKUP(B91,Ingot!$H$12:$H$119,Ingot!$G$12:$G$119,"")</f>
        <v>Metal</v>
      </c>
      <c r="B91" t="s">
        <v>9</v>
      </c>
      <c r="C91" t="s">
        <v>10</v>
      </c>
      <c r="D91" t="s">
        <v>135</v>
      </c>
      <c r="E91" t="s">
        <v>136</v>
      </c>
      <c r="G91" s="1">
        <v>2.77</v>
      </c>
    </row>
    <row r="92" spans="1:7" ht="14.25" hidden="1" customHeight="1" x14ac:dyDescent="0.45">
      <c r="A92" t="str">
        <f>_xlfn.XLOOKUP(B92,Ingot!$H$12:$H$119,Ingot!$G$12:$G$119,"")</f>
        <v>Metal</v>
      </c>
      <c r="B92" t="s">
        <v>9</v>
      </c>
      <c r="C92" t="s">
        <v>10</v>
      </c>
      <c r="D92" t="s">
        <v>51</v>
      </c>
      <c r="E92" t="s">
        <v>52</v>
      </c>
      <c r="G92" s="1">
        <v>2.65</v>
      </c>
    </row>
    <row r="93" spans="1:7" ht="14.25" hidden="1" customHeight="1" x14ac:dyDescent="0.45">
      <c r="A93" t="str">
        <f>_xlfn.XLOOKUP(B93,Ingot!$H$12:$H$119,Ingot!$G$12:$G$119,"")</f>
        <v>Metal</v>
      </c>
      <c r="B93" t="s">
        <v>9</v>
      </c>
      <c r="C93" t="s">
        <v>10</v>
      </c>
      <c r="D93" t="s">
        <v>79</v>
      </c>
      <c r="E93" t="s">
        <v>80</v>
      </c>
      <c r="G93" s="1">
        <v>2.65</v>
      </c>
    </row>
    <row r="94" spans="1:7" ht="14.25" hidden="1" customHeight="1" x14ac:dyDescent="0.45">
      <c r="A94" t="str">
        <f>_xlfn.XLOOKUP(B94,Ingot!$H$12:$H$119,Ingot!$G$12:$G$119,"")</f>
        <v>Metal</v>
      </c>
      <c r="B94" t="s">
        <v>9</v>
      </c>
      <c r="C94" t="s">
        <v>10</v>
      </c>
      <c r="D94" t="s">
        <v>119</v>
      </c>
      <c r="E94" t="s">
        <v>120</v>
      </c>
      <c r="G94" s="1">
        <v>2.44</v>
      </c>
    </row>
    <row r="95" spans="1:7" ht="14.25" hidden="1" customHeight="1" x14ac:dyDescent="0.45">
      <c r="A95" t="str">
        <f>_xlfn.XLOOKUP(B95,Ingot!$H$12:$H$119,Ingot!$G$12:$G$119,"")</f>
        <v>Metal</v>
      </c>
      <c r="B95" t="s">
        <v>9</v>
      </c>
      <c r="C95" t="s">
        <v>10</v>
      </c>
      <c r="D95" t="s">
        <v>127</v>
      </c>
      <c r="E95" t="s">
        <v>128</v>
      </c>
      <c r="G95" s="1">
        <v>2.44</v>
      </c>
    </row>
    <row r="96" spans="1:7" ht="14.25" hidden="1" customHeight="1" x14ac:dyDescent="0.45">
      <c r="A96" t="str">
        <f>_xlfn.XLOOKUP(B96,Ingot!$H$12:$H$119,Ingot!$G$12:$G$119,"")</f>
        <v>Metal</v>
      </c>
      <c r="B96" t="s">
        <v>9</v>
      </c>
      <c r="C96" t="s">
        <v>10</v>
      </c>
      <c r="D96" t="s">
        <v>111</v>
      </c>
      <c r="E96" t="s">
        <v>112</v>
      </c>
      <c r="G96" s="1">
        <v>2.4300000000000002</v>
      </c>
    </row>
    <row r="97" spans="1:10" ht="14.25" hidden="1" customHeight="1" x14ac:dyDescent="0.45">
      <c r="A97" t="str">
        <f>_xlfn.XLOOKUP(B97,Ingot!$H$12:$H$119,Ingot!$G$12:$G$119,"")</f>
        <v>Metal</v>
      </c>
      <c r="B97" t="s">
        <v>9</v>
      </c>
      <c r="C97" t="s">
        <v>10</v>
      </c>
      <c r="D97" t="s">
        <v>93</v>
      </c>
      <c r="E97" t="s">
        <v>94</v>
      </c>
      <c r="G97" s="1">
        <v>2.2999999999999998</v>
      </c>
    </row>
    <row r="98" spans="1:10" ht="14.25" hidden="1" customHeight="1" x14ac:dyDescent="0.45">
      <c r="A98" t="str">
        <f>_xlfn.XLOOKUP(B98,Ingot!$H$12:$H$119,Ingot!$G$12:$G$119,"")</f>
        <v>Metal</v>
      </c>
      <c r="B98" t="s">
        <v>9</v>
      </c>
      <c r="C98" t="s">
        <v>10</v>
      </c>
      <c r="D98" t="s">
        <v>39</v>
      </c>
      <c r="E98" t="s">
        <v>40</v>
      </c>
      <c r="G98" s="1">
        <v>2.2000000000000002</v>
      </c>
    </row>
    <row r="99" spans="1:10" ht="14.25" hidden="1" customHeight="1" x14ac:dyDescent="0.45">
      <c r="A99" t="str">
        <f>_xlfn.XLOOKUP(B99,Ingot!$H$12:$H$119,Ingot!$G$12:$G$119,"")</f>
        <v>Metal</v>
      </c>
      <c r="B99" t="s">
        <v>9</v>
      </c>
      <c r="C99" t="s">
        <v>10</v>
      </c>
      <c r="D99" t="s">
        <v>89</v>
      </c>
      <c r="E99" t="s">
        <v>90</v>
      </c>
      <c r="G99" s="1">
        <v>2.2000000000000002</v>
      </c>
    </row>
    <row r="100" spans="1:10" ht="14.25" hidden="1" customHeight="1" x14ac:dyDescent="0.45">
      <c r="A100" t="str">
        <f>_xlfn.XLOOKUP(B100,Ingot!$H$12:$H$119,Ingot!$G$12:$G$119,"")</f>
        <v>Metal</v>
      </c>
      <c r="B100" t="s">
        <v>9</v>
      </c>
      <c r="C100" t="s">
        <v>10</v>
      </c>
      <c r="D100" t="s">
        <v>139</v>
      </c>
      <c r="E100" t="s">
        <v>140</v>
      </c>
      <c r="G100" s="1">
        <v>1.76</v>
      </c>
    </row>
    <row r="101" spans="1:10" ht="14.25" hidden="1" customHeight="1" x14ac:dyDescent="0.45">
      <c r="A101" t="str">
        <f>_xlfn.XLOOKUP(B101,Ingot!$H$12:$H$119,Ingot!$G$12:$G$119,"")</f>
        <v>Metal</v>
      </c>
      <c r="B101" t="s">
        <v>9</v>
      </c>
      <c r="C101" t="s">
        <v>10</v>
      </c>
      <c r="D101" t="s">
        <v>41</v>
      </c>
      <c r="E101" t="s">
        <v>42</v>
      </c>
      <c r="G101" s="1">
        <v>1.1000000000000001</v>
      </c>
    </row>
    <row r="102" spans="1:10" ht="14.25" hidden="1" customHeight="1" x14ac:dyDescent="0.45">
      <c r="A102" t="str">
        <f>_xlfn.XLOOKUP(B102,Ingot!$H$12:$H$119,Ingot!$G$12:$G$119,"")</f>
        <v>Metal</v>
      </c>
      <c r="B102" t="s">
        <v>9</v>
      </c>
      <c r="C102" t="s">
        <v>10</v>
      </c>
      <c r="D102" t="s">
        <v>19</v>
      </c>
      <c r="E102" t="s">
        <v>20</v>
      </c>
      <c r="G102" s="1">
        <v>0.66</v>
      </c>
      <c r="J102">
        <f>MAX(G2:G120)</f>
        <v>49.75</v>
      </c>
    </row>
    <row r="103" spans="1:10" ht="14.25" hidden="1" customHeight="1" x14ac:dyDescent="0.45">
      <c r="A103" t="str">
        <f>_xlfn.XLOOKUP(B103,Ingot!$H$12:$H$119,Ingot!$G$12:$G$119,"")</f>
        <v>Metal</v>
      </c>
      <c r="B103" t="s">
        <v>9</v>
      </c>
      <c r="C103" t="s">
        <v>10</v>
      </c>
      <c r="D103" t="s">
        <v>29</v>
      </c>
      <c r="E103" t="s">
        <v>30</v>
      </c>
      <c r="G103" s="1">
        <v>0.66</v>
      </c>
    </row>
    <row r="104" spans="1:10" ht="14.25" hidden="1" customHeight="1" x14ac:dyDescent="0.45">
      <c r="A104" t="str">
        <f>_xlfn.XLOOKUP(B104,Ingot!$H$12:$H$119,Ingot!$G$12:$G$119,"")</f>
        <v>Metal</v>
      </c>
      <c r="B104" t="s">
        <v>9</v>
      </c>
      <c r="C104" t="s">
        <v>10</v>
      </c>
      <c r="D104" t="s">
        <v>23</v>
      </c>
      <c r="E104" t="s">
        <v>24</v>
      </c>
      <c r="G104" s="1">
        <v>0.33</v>
      </c>
    </row>
    <row r="105" spans="1:10" ht="14.25" hidden="1" customHeight="1" x14ac:dyDescent="0.45">
      <c r="A105" t="str">
        <f>_xlfn.XLOOKUP(B105,Ingot!$H$12:$H$119,Ingot!$G$12:$G$119,"")</f>
        <v>Metal</v>
      </c>
      <c r="B105" t="s">
        <v>9</v>
      </c>
      <c r="C105" t="s">
        <v>10</v>
      </c>
      <c r="D105" t="s">
        <v>43</v>
      </c>
      <c r="E105" t="s">
        <v>44</v>
      </c>
      <c r="G105" s="1">
        <v>0.22</v>
      </c>
    </row>
    <row r="106" spans="1:10" ht="14.25" hidden="1" customHeight="1" x14ac:dyDescent="0.45">
      <c r="A106" t="str">
        <f>_xlfn.XLOOKUP(B106,Ingot!$H$12:$H$119,Ingot!$G$12:$G$119,"")</f>
        <v>Metal</v>
      </c>
      <c r="B106" t="s">
        <v>9</v>
      </c>
      <c r="C106" t="s">
        <v>10</v>
      </c>
      <c r="D106" t="s">
        <v>11</v>
      </c>
      <c r="E106" t="s">
        <v>12</v>
      </c>
      <c r="G106" s="1">
        <v>0.08</v>
      </c>
    </row>
    <row r="107" spans="1:10" ht="14.25" hidden="1" customHeight="1" x14ac:dyDescent="0.45">
      <c r="A107" t="str">
        <f>_xlfn.XLOOKUP(B107,Ingot!$H$12:$H$119,Ingot!$G$12:$G$119,"")</f>
        <v>Metal</v>
      </c>
      <c r="B107" t="s">
        <v>9</v>
      </c>
      <c r="C107" t="s">
        <v>10</v>
      </c>
      <c r="D107" t="s">
        <v>27</v>
      </c>
      <c r="E107" t="s">
        <v>28</v>
      </c>
      <c r="G107" s="1">
        <v>0.05</v>
      </c>
    </row>
    <row r="108" spans="1:10" ht="14.25" hidden="1" customHeight="1" x14ac:dyDescent="0.45">
      <c r="A108" t="str">
        <f>_xlfn.XLOOKUP(B108,Ingot!$H$12:$H$119,Ingot!$G$12:$G$119,"")</f>
        <v>Metal</v>
      </c>
      <c r="B108" t="s">
        <v>9</v>
      </c>
      <c r="C108" t="s">
        <v>10</v>
      </c>
      <c r="D108" t="s">
        <v>21</v>
      </c>
      <c r="E108" t="s">
        <v>22</v>
      </c>
      <c r="G108" s="1">
        <v>0.04</v>
      </c>
    </row>
    <row r="109" spans="1:10" ht="14.25" hidden="1" customHeight="1" x14ac:dyDescent="0.45">
      <c r="A109" t="str">
        <f>_xlfn.XLOOKUP(B109,Ingot!$H$12:$H$119,Ingot!$G$12:$G$119,"")</f>
        <v>Metal</v>
      </c>
      <c r="B109" t="s">
        <v>9</v>
      </c>
      <c r="C109" t="s">
        <v>10</v>
      </c>
      <c r="D109" t="s">
        <v>25</v>
      </c>
      <c r="E109" t="s">
        <v>26</v>
      </c>
    </row>
    <row r="110" spans="1:10" ht="14.25" hidden="1" customHeight="1" x14ac:dyDescent="0.45">
      <c r="A110" t="str">
        <f>_xlfn.XLOOKUP(B110,Ingot!$H$12:$H$119,Ingot!$G$12:$G$119,"")</f>
        <v>Metal</v>
      </c>
      <c r="B110" t="s">
        <v>9</v>
      </c>
      <c r="C110" t="s">
        <v>10</v>
      </c>
      <c r="D110" t="s">
        <v>37</v>
      </c>
      <c r="E110" t="s">
        <v>38</v>
      </c>
    </row>
    <row r="111" spans="1:10" ht="14.25" hidden="1" customHeight="1" x14ac:dyDescent="0.45">
      <c r="A111" t="str">
        <f>_xlfn.XLOOKUP(B111,Ingot!$H$12:$H$119,Ingot!$G$12:$G$119,"")</f>
        <v>Metal</v>
      </c>
      <c r="B111" t="s">
        <v>9</v>
      </c>
      <c r="C111" t="s">
        <v>10</v>
      </c>
      <c r="D111" t="s">
        <v>67</v>
      </c>
      <c r="E111" t="s">
        <v>68</v>
      </c>
    </row>
    <row r="112" spans="1:10" ht="14.25" hidden="1" customHeight="1" x14ac:dyDescent="0.45">
      <c r="A112" t="str">
        <f>_xlfn.XLOOKUP(B112,Ingot!$H$12:$H$119,Ingot!$G$12:$G$119,"")</f>
        <v>Metal</v>
      </c>
      <c r="B112" t="s">
        <v>9</v>
      </c>
      <c r="C112" t="s">
        <v>10</v>
      </c>
      <c r="D112" t="s">
        <v>77</v>
      </c>
      <c r="E112" t="s">
        <v>78</v>
      </c>
    </row>
    <row r="113" spans="1:7" ht="14.25" hidden="1" customHeight="1" x14ac:dyDescent="0.45">
      <c r="A113" t="str">
        <f>_xlfn.XLOOKUP(B113,Ingot!$H$12:$H$119,Ingot!$G$12:$G$119,"")</f>
        <v>Metal</v>
      </c>
      <c r="B113" t="s">
        <v>9</v>
      </c>
      <c r="C113" t="s">
        <v>10</v>
      </c>
      <c r="D113" t="s">
        <v>81</v>
      </c>
      <c r="E113" t="s">
        <v>82</v>
      </c>
    </row>
    <row r="114" spans="1:7" ht="14.25" hidden="1" customHeight="1" x14ac:dyDescent="0.45">
      <c r="A114" t="str">
        <f>_xlfn.XLOOKUP(B114,Ingot!$H$12:$H$119,Ingot!$G$12:$G$119,"")</f>
        <v>Metal</v>
      </c>
      <c r="B114" t="s">
        <v>9</v>
      </c>
      <c r="C114" t="s">
        <v>10</v>
      </c>
      <c r="D114" t="s">
        <v>101</v>
      </c>
      <c r="E114" t="s">
        <v>102</v>
      </c>
    </row>
    <row r="115" spans="1:7" ht="14.25" hidden="1" customHeight="1" x14ac:dyDescent="0.45">
      <c r="A115" t="str">
        <f>_xlfn.XLOOKUP(B115,Ingot!$H$12:$H$119,Ingot!$G$12:$G$119,"")</f>
        <v>Metal</v>
      </c>
      <c r="B115" t="s">
        <v>9</v>
      </c>
      <c r="C115" t="s">
        <v>10</v>
      </c>
      <c r="D115" t="s">
        <v>103</v>
      </c>
      <c r="E115" t="s">
        <v>104</v>
      </c>
    </row>
    <row r="116" spans="1:7" ht="14.25" hidden="1" customHeight="1" x14ac:dyDescent="0.45">
      <c r="A116" t="str">
        <f>_xlfn.XLOOKUP(B116,Ingot!$H$12:$H$119,Ingot!$G$12:$G$119,"")</f>
        <v>Metal</v>
      </c>
      <c r="B116" t="s">
        <v>9</v>
      </c>
      <c r="C116" t="s">
        <v>10</v>
      </c>
      <c r="D116" t="s">
        <v>121</v>
      </c>
      <c r="E116" t="s">
        <v>122</v>
      </c>
    </row>
    <row r="117" spans="1:7" ht="14.25" hidden="1" customHeight="1" x14ac:dyDescent="0.45">
      <c r="A117" t="str">
        <f>_xlfn.XLOOKUP(B117,Ingot!$H$12:$H$119,Ingot!$G$12:$G$119,"")</f>
        <v>Metal</v>
      </c>
      <c r="B117" t="s">
        <v>9</v>
      </c>
      <c r="C117" t="s">
        <v>10</v>
      </c>
      <c r="D117" t="s">
        <v>123</v>
      </c>
      <c r="E117" t="s">
        <v>124</v>
      </c>
    </row>
    <row r="118" spans="1:7" ht="14.25" hidden="1" customHeight="1" x14ac:dyDescent="0.45">
      <c r="A118" t="str">
        <f>_xlfn.XLOOKUP(B118,Ingot!$H$12:$H$119,Ingot!$G$12:$G$119,"")</f>
        <v>Metal</v>
      </c>
      <c r="B118" t="s">
        <v>9</v>
      </c>
      <c r="C118" t="s">
        <v>10</v>
      </c>
      <c r="D118" t="s">
        <v>131</v>
      </c>
      <c r="E118" t="s">
        <v>132</v>
      </c>
    </row>
    <row r="119" spans="1:7" ht="14.25" hidden="1" customHeight="1" x14ac:dyDescent="0.45">
      <c r="A119" t="str">
        <f>_xlfn.XLOOKUP(B119,Ingot!$H$12:$H$119,Ingot!$G$12:$G$119,"")</f>
        <v>Metal</v>
      </c>
      <c r="B119" t="s">
        <v>9</v>
      </c>
      <c r="C119" t="s">
        <v>10</v>
      </c>
      <c r="D119" t="s">
        <v>141</v>
      </c>
      <c r="E119" t="s">
        <v>142</v>
      </c>
    </row>
    <row r="120" spans="1:7" ht="14.25" hidden="1" customHeight="1" x14ac:dyDescent="0.45">
      <c r="A120" t="str">
        <f>_xlfn.XLOOKUP(B120,Ingot!$H$12:$H$119,Ingot!$G$12:$G$119,"")</f>
        <v>Metal</v>
      </c>
      <c r="B120" t="s">
        <v>9</v>
      </c>
      <c r="C120" t="s">
        <v>10</v>
      </c>
      <c r="D120" t="s">
        <v>145</v>
      </c>
      <c r="E120" t="s">
        <v>146</v>
      </c>
    </row>
    <row r="121" spans="1:7" ht="14.25" hidden="1" customHeight="1" x14ac:dyDescent="0.45">
      <c r="A121" t="str">
        <f>_xlfn.XLOOKUP(B121,Ingot!$H$12:$H$119,Ingot!$G$12:$G$119,"")</f>
        <v>Metal</v>
      </c>
      <c r="B121" t="s">
        <v>252</v>
      </c>
      <c r="C121" t="s">
        <v>10</v>
      </c>
      <c r="D121" t="s">
        <v>253</v>
      </c>
      <c r="E121" t="s">
        <v>254</v>
      </c>
      <c r="G121" s="1">
        <v>0.08</v>
      </c>
    </row>
    <row r="122" spans="1:7" ht="14.25" hidden="1" customHeight="1" x14ac:dyDescent="0.45">
      <c r="A122" t="str">
        <f>_xlfn.XLOOKUP(B122,Ingot!$H$12:$H$119,Ingot!$G$12:$G$119,"")</f>
        <v>Metal</v>
      </c>
      <c r="B122" t="s">
        <v>252</v>
      </c>
      <c r="C122" t="s">
        <v>10</v>
      </c>
      <c r="D122" t="s">
        <v>255</v>
      </c>
      <c r="E122" t="s">
        <v>256</v>
      </c>
      <c r="G122" s="1">
        <v>9.9</v>
      </c>
    </row>
    <row r="123" spans="1:7" ht="14.25" hidden="1" customHeight="1" x14ac:dyDescent="0.45">
      <c r="A123" t="str">
        <f>_xlfn.XLOOKUP(B123,Ingot!$H$12:$H$119,Ingot!$G$12:$G$119,"")</f>
        <v>Metal</v>
      </c>
      <c r="B123" t="s">
        <v>252</v>
      </c>
      <c r="C123" t="s">
        <v>10</v>
      </c>
      <c r="D123" t="s">
        <v>257</v>
      </c>
      <c r="E123" t="s">
        <v>258</v>
      </c>
      <c r="G123" s="1">
        <v>5.66</v>
      </c>
    </row>
    <row r="124" spans="1:7" ht="14.25" hidden="1" customHeight="1" x14ac:dyDescent="0.45">
      <c r="A124" t="str">
        <f>_xlfn.XLOOKUP(B124,Ingot!$H$12:$H$119,Ingot!$G$12:$G$119,"")</f>
        <v>Metal</v>
      </c>
      <c r="B124" t="s">
        <v>252</v>
      </c>
      <c r="C124" t="s">
        <v>10</v>
      </c>
      <c r="D124" t="s">
        <v>259</v>
      </c>
      <c r="E124" t="s">
        <v>260</v>
      </c>
      <c r="G124" s="1">
        <v>3.3</v>
      </c>
    </row>
    <row r="125" spans="1:7" ht="14.25" hidden="1" customHeight="1" x14ac:dyDescent="0.45">
      <c r="A125" t="str">
        <f>_xlfn.XLOOKUP(B125,Ingot!$H$12:$H$119,Ingot!$G$12:$G$119,"")</f>
        <v>Metal</v>
      </c>
      <c r="B125" t="s">
        <v>252</v>
      </c>
      <c r="C125" t="s">
        <v>10</v>
      </c>
      <c r="D125" t="s">
        <v>261</v>
      </c>
      <c r="E125" t="s">
        <v>262</v>
      </c>
      <c r="G125" s="1">
        <v>0.66</v>
      </c>
    </row>
    <row r="126" spans="1:7" ht="14.25" hidden="1" customHeight="1" x14ac:dyDescent="0.45">
      <c r="A126" t="str">
        <f>_xlfn.XLOOKUP(B126,Ingot!$H$12:$H$119,Ingot!$G$12:$G$119,"")</f>
        <v>Metal</v>
      </c>
      <c r="B126" t="s">
        <v>252</v>
      </c>
      <c r="C126" t="s">
        <v>10</v>
      </c>
      <c r="D126" t="s">
        <v>263</v>
      </c>
      <c r="E126" t="s">
        <v>264</v>
      </c>
      <c r="G126" s="1">
        <v>0.04</v>
      </c>
    </row>
    <row r="127" spans="1:7" ht="14.25" hidden="1" customHeight="1" x14ac:dyDescent="0.45">
      <c r="A127" t="str">
        <f>_xlfn.XLOOKUP(B127,Ingot!$H$12:$H$119,Ingot!$G$12:$G$119,"")</f>
        <v>Metal</v>
      </c>
      <c r="B127" t="s">
        <v>252</v>
      </c>
      <c r="C127" t="s">
        <v>10</v>
      </c>
      <c r="D127" t="s">
        <v>265</v>
      </c>
      <c r="E127" t="s">
        <v>266</v>
      </c>
      <c r="G127" s="1">
        <v>0.33</v>
      </c>
    </row>
    <row r="128" spans="1:7" ht="14.25" hidden="1" customHeight="1" x14ac:dyDescent="0.45">
      <c r="A128" t="str">
        <f>_xlfn.XLOOKUP(B128,Ingot!$H$12:$H$119,Ingot!$G$12:$G$119,"")</f>
        <v>Metal</v>
      </c>
      <c r="B128" t="s">
        <v>252</v>
      </c>
      <c r="C128" t="s">
        <v>10</v>
      </c>
      <c r="D128" t="s">
        <v>267</v>
      </c>
      <c r="E128" t="s">
        <v>268</v>
      </c>
    </row>
    <row r="129" spans="1:7" ht="14.25" hidden="1" customHeight="1" x14ac:dyDescent="0.45">
      <c r="A129" t="str">
        <f>_xlfn.XLOOKUP(B129,Ingot!$H$12:$H$119,Ingot!$G$12:$G$119,"")</f>
        <v>Metal</v>
      </c>
      <c r="B129" t="s">
        <v>252</v>
      </c>
      <c r="C129" t="s">
        <v>10</v>
      </c>
      <c r="D129" t="s">
        <v>269</v>
      </c>
      <c r="E129" t="s">
        <v>270</v>
      </c>
      <c r="G129" s="1">
        <v>0.05</v>
      </c>
    </row>
    <row r="130" spans="1:7" ht="14.25" hidden="1" customHeight="1" x14ac:dyDescent="0.45">
      <c r="A130" t="str">
        <f>_xlfn.XLOOKUP(B130,Ingot!$H$12:$H$119,Ingot!$G$12:$G$119,"")</f>
        <v>Metal</v>
      </c>
      <c r="B130" t="s">
        <v>252</v>
      </c>
      <c r="C130" t="s">
        <v>10</v>
      </c>
      <c r="D130" t="s">
        <v>271</v>
      </c>
      <c r="E130" t="s">
        <v>272</v>
      </c>
      <c r="G130" s="1">
        <v>0.66</v>
      </c>
    </row>
    <row r="131" spans="1:7" ht="14.25" hidden="1" customHeight="1" x14ac:dyDescent="0.45">
      <c r="A131" t="str">
        <f>_xlfn.XLOOKUP(B131,Ingot!$H$12:$H$119,Ingot!$G$12:$G$119,"")</f>
        <v>Metal</v>
      </c>
      <c r="B131" t="s">
        <v>252</v>
      </c>
      <c r="C131" t="s">
        <v>10</v>
      </c>
      <c r="D131" t="s">
        <v>273</v>
      </c>
      <c r="E131" t="s">
        <v>274</v>
      </c>
      <c r="G131" s="1">
        <v>3.96</v>
      </c>
    </row>
    <row r="132" spans="1:7" ht="14.25" hidden="1" customHeight="1" x14ac:dyDescent="0.45">
      <c r="A132" t="str">
        <f>_xlfn.XLOOKUP(B132,Ingot!$H$12:$H$119,Ingot!$G$12:$G$119,"")</f>
        <v>Metal</v>
      </c>
      <c r="B132" t="s">
        <v>252</v>
      </c>
      <c r="C132" t="s">
        <v>10</v>
      </c>
      <c r="D132" t="s">
        <v>275</v>
      </c>
      <c r="E132" t="s">
        <v>276</v>
      </c>
      <c r="G132" s="1">
        <v>8.77</v>
      </c>
    </row>
    <row r="133" spans="1:7" ht="14.25" hidden="1" customHeight="1" x14ac:dyDescent="0.45">
      <c r="A133" t="str">
        <f>_xlfn.XLOOKUP(B133,Ingot!$H$12:$H$119,Ingot!$G$12:$G$119,"")</f>
        <v>Metal</v>
      </c>
      <c r="B133" t="s">
        <v>252</v>
      </c>
      <c r="C133" t="s">
        <v>10</v>
      </c>
      <c r="D133" t="s">
        <v>277</v>
      </c>
      <c r="E133" t="s">
        <v>278</v>
      </c>
      <c r="G133" s="1">
        <v>3.5</v>
      </c>
    </row>
    <row r="134" spans="1:7" ht="14.25" hidden="1" customHeight="1" x14ac:dyDescent="0.45">
      <c r="A134" t="str">
        <f>_xlfn.XLOOKUP(B134,Ingot!$H$12:$H$119,Ingot!$G$12:$G$119,"")</f>
        <v>Metal</v>
      </c>
      <c r="B134" t="s">
        <v>252</v>
      </c>
      <c r="C134" t="s">
        <v>10</v>
      </c>
      <c r="D134" t="s">
        <v>279</v>
      </c>
      <c r="E134" t="s">
        <v>280</v>
      </c>
    </row>
    <row r="135" spans="1:7" ht="14.25" hidden="1" customHeight="1" x14ac:dyDescent="0.45">
      <c r="A135" t="str">
        <f>_xlfn.XLOOKUP(B135,Ingot!$H$12:$H$119,Ingot!$G$12:$G$119,"")</f>
        <v>Metal</v>
      </c>
      <c r="B135" t="s">
        <v>252</v>
      </c>
      <c r="C135" t="s">
        <v>10</v>
      </c>
      <c r="D135" t="s">
        <v>281</v>
      </c>
      <c r="E135" t="s">
        <v>282</v>
      </c>
      <c r="G135" s="1">
        <v>2.2000000000000002</v>
      </c>
    </row>
    <row r="136" spans="1:7" ht="14.25" hidden="1" customHeight="1" x14ac:dyDescent="0.45">
      <c r="A136" t="str">
        <f>_xlfn.XLOOKUP(B136,Ingot!$H$12:$H$119,Ingot!$G$12:$G$119,"")</f>
        <v>Metal</v>
      </c>
      <c r="B136" t="s">
        <v>252</v>
      </c>
      <c r="C136" t="s">
        <v>10</v>
      </c>
      <c r="D136" t="s">
        <v>283</v>
      </c>
      <c r="E136" t="s">
        <v>284</v>
      </c>
      <c r="G136" s="1">
        <v>1.1000000000000001</v>
      </c>
    </row>
    <row r="137" spans="1:7" ht="14.25" hidden="1" customHeight="1" x14ac:dyDescent="0.45">
      <c r="A137" t="str">
        <f>_xlfn.XLOOKUP(B137,Ingot!$H$12:$H$119,Ingot!$G$12:$G$119,"")</f>
        <v>Metal</v>
      </c>
      <c r="B137" t="s">
        <v>252</v>
      </c>
      <c r="C137" t="s">
        <v>10</v>
      </c>
      <c r="D137" t="s">
        <v>285</v>
      </c>
      <c r="E137" t="s">
        <v>286</v>
      </c>
      <c r="G137" s="1">
        <v>0.22</v>
      </c>
    </row>
    <row r="138" spans="1:7" ht="14.25" hidden="1" customHeight="1" x14ac:dyDescent="0.45">
      <c r="A138" t="str">
        <f>_xlfn.XLOOKUP(B138,Ingot!$H$12:$H$119,Ingot!$G$12:$G$119,"")</f>
        <v>Metal</v>
      </c>
      <c r="B138" t="s">
        <v>252</v>
      </c>
      <c r="C138" t="s">
        <v>10</v>
      </c>
      <c r="D138" t="s">
        <v>287</v>
      </c>
      <c r="E138" t="s">
        <v>288</v>
      </c>
      <c r="G138" s="1">
        <v>8.41</v>
      </c>
    </row>
    <row r="139" spans="1:7" ht="14.25" hidden="1" customHeight="1" x14ac:dyDescent="0.45">
      <c r="A139" t="str">
        <f>_xlfn.XLOOKUP(B139,Ingot!$H$12:$H$119,Ingot!$G$12:$G$119,"")</f>
        <v>Metal</v>
      </c>
      <c r="B139" t="s">
        <v>252</v>
      </c>
      <c r="C139" t="s">
        <v>10</v>
      </c>
      <c r="D139" t="s">
        <v>289</v>
      </c>
      <c r="E139" t="s">
        <v>290</v>
      </c>
      <c r="G139" s="1">
        <v>3.64</v>
      </c>
    </row>
    <row r="140" spans="1:7" ht="14.25" hidden="1" customHeight="1" x14ac:dyDescent="0.45">
      <c r="A140" t="str">
        <f>_xlfn.XLOOKUP(B140,Ingot!$H$12:$H$119,Ingot!$G$12:$G$119,"")</f>
        <v>Metal</v>
      </c>
      <c r="B140" t="s">
        <v>252</v>
      </c>
      <c r="C140" t="s">
        <v>10</v>
      </c>
      <c r="D140" t="s">
        <v>291</v>
      </c>
      <c r="E140" t="s">
        <v>292</v>
      </c>
      <c r="G140" s="1">
        <v>7.05</v>
      </c>
    </row>
    <row r="141" spans="1:7" ht="14.25" hidden="1" customHeight="1" x14ac:dyDescent="0.45">
      <c r="A141" t="str">
        <f>_xlfn.XLOOKUP(B141,Ingot!$H$12:$H$119,Ingot!$G$12:$G$119,"")</f>
        <v>Metal</v>
      </c>
      <c r="B141" t="s">
        <v>252</v>
      </c>
      <c r="C141" t="s">
        <v>10</v>
      </c>
      <c r="D141" t="s">
        <v>293</v>
      </c>
      <c r="E141" t="s">
        <v>294</v>
      </c>
      <c r="G141" s="1">
        <v>2.65</v>
      </c>
    </row>
    <row r="142" spans="1:7" ht="14.25" hidden="1" customHeight="1" x14ac:dyDescent="0.45">
      <c r="A142" t="str">
        <f>_xlfn.XLOOKUP(B142,Ingot!$H$12:$H$119,Ingot!$G$12:$G$119,"")</f>
        <v>Metal</v>
      </c>
      <c r="B142" t="s">
        <v>252</v>
      </c>
      <c r="C142" t="s">
        <v>10</v>
      </c>
      <c r="D142" t="s">
        <v>295</v>
      </c>
      <c r="E142" t="s">
        <v>296</v>
      </c>
      <c r="G142" s="1">
        <v>9</v>
      </c>
    </row>
    <row r="143" spans="1:7" ht="14.25" hidden="1" customHeight="1" x14ac:dyDescent="0.45">
      <c r="A143" t="str">
        <f>_xlfn.XLOOKUP(B143,Ingot!$H$12:$H$119,Ingot!$G$12:$G$119,"")</f>
        <v>Metal</v>
      </c>
      <c r="B143" t="s">
        <v>252</v>
      </c>
      <c r="C143" t="s">
        <v>10</v>
      </c>
      <c r="D143" t="s">
        <v>297</v>
      </c>
      <c r="E143" t="s">
        <v>298</v>
      </c>
      <c r="G143" s="1">
        <v>10.23</v>
      </c>
    </row>
    <row r="144" spans="1:7" ht="14.25" hidden="1" customHeight="1" x14ac:dyDescent="0.45">
      <c r="A144" t="str">
        <f>_xlfn.XLOOKUP(B144,Ingot!$H$12:$H$119,Ingot!$G$12:$G$119,"")</f>
        <v>Metal</v>
      </c>
      <c r="B144" t="s">
        <v>252</v>
      </c>
      <c r="C144" t="s">
        <v>10</v>
      </c>
      <c r="D144" t="s">
        <v>299</v>
      </c>
      <c r="E144" t="s">
        <v>300</v>
      </c>
      <c r="G144" s="1">
        <v>7.7</v>
      </c>
    </row>
    <row r="145" spans="1:7" ht="14.25" hidden="1" customHeight="1" x14ac:dyDescent="0.45">
      <c r="A145" t="str">
        <f>_xlfn.XLOOKUP(B145,Ingot!$H$12:$H$119,Ingot!$G$12:$G$119,"")</f>
        <v>Metal</v>
      </c>
      <c r="B145" t="s">
        <v>252</v>
      </c>
      <c r="C145" t="s">
        <v>10</v>
      </c>
      <c r="D145" t="s">
        <v>301</v>
      </c>
      <c r="E145" t="s">
        <v>302</v>
      </c>
      <c r="G145" s="1">
        <v>10.02</v>
      </c>
    </row>
    <row r="146" spans="1:7" ht="14.25" hidden="1" customHeight="1" x14ac:dyDescent="0.45">
      <c r="A146" t="str">
        <f>_xlfn.XLOOKUP(B146,Ingot!$H$12:$H$119,Ingot!$G$12:$G$119,"")</f>
        <v>Metal</v>
      </c>
      <c r="B146" t="s">
        <v>252</v>
      </c>
      <c r="C146" t="s">
        <v>10</v>
      </c>
      <c r="D146" t="s">
        <v>303</v>
      </c>
      <c r="E146" t="s">
        <v>304</v>
      </c>
      <c r="G146" s="1">
        <v>11.81</v>
      </c>
    </row>
    <row r="147" spans="1:7" ht="14.25" hidden="1" customHeight="1" x14ac:dyDescent="0.45">
      <c r="A147" t="str">
        <f>_xlfn.XLOOKUP(B147,Ingot!$H$12:$H$119,Ingot!$G$12:$G$119,"")</f>
        <v>Metal</v>
      </c>
      <c r="B147" t="s">
        <v>252</v>
      </c>
      <c r="C147" t="s">
        <v>10</v>
      </c>
      <c r="D147" t="s">
        <v>305</v>
      </c>
      <c r="E147" t="s">
        <v>306</v>
      </c>
      <c r="G147" s="1">
        <v>8.44</v>
      </c>
    </row>
    <row r="148" spans="1:7" ht="14.25" hidden="1" customHeight="1" x14ac:dyDescent="0.45">
      <c r="A148" t="str">
        <f>_xlfn.XLOOKUP(B148,Ingot!$H$12:$H$119,Ingot!$G$12:$G$119,"")</f>
        <v>Metal</v>
      </c>
      <c r="B148" t="s">
        <v>252</v>
      </c>
      <c r="C148" t="s">
        <v>10</v>
      </c>
      <c r="D148" t="s">
        <v>307</v>
      </c>
      <c r="E148" t="s">
        <v>308</v>
      </c>
      <c r="G148" s="1">
        <v>10.42</v>
      </c>
    </row>
    <row r="149" spans="1:7" ht="14.25" hidden="1" customHeight="1" x14ac:dyDescent="0.45">
      <c r="A149" t="str">
        <f>_xlfn.XLOOKUP(B149,Ingot!$H$12:$H$119,Ingot!$G$12:$G$119,"")</f>
        <v>Metal</v>
      </c>
      <c r="B149" t="s">
        <v>252</v>
      </c>
      <c r="C149" t="s">
        <v>10</v>
      </c>
      <c r="D149" t="s">
        <v>309</v>
      </c>
      <c r="E149" t="s">
        <v>310</v>
      </c>
    </row>
    <row r="150" spans="1:7" ht="14.25" hidden="1" customHeight="1" x14ac:dyDescent="0.45">
      <c r="A150" t="str">
        <f>_xlfn.XLOOKUP(B150,Ingot!$H$12:$H$119,Ingot!$G$12:$G$119,"")</f>
        <v>Metal</v>
      </c>
      <c r="B150" t="s">
        <v>252</v>
      </c>
      <c r="C150" t="s">
        <v>10</v>
      </c>
      <c r="D150" t="s">
        <v>311</v>
      </c>
      <c r="E150" t="s">
        <v>312</v>
      </c>
      <c r="G150" s="1">
        <v>7.96</v>
      </c>
    </row>
    <row r="151" spans="1:7" ht="14.25" hidden="1" customHeight="1" x14ac:dyDescent="0.45">
      <c r="A151" t="str">
        <f>_xlfn.XLOOKUP(B151,Ingot!$H$12:$H$119,Ingot!$G$12:$G$119,"")</f>
        <v>Metal</v>
      </c>
      <c r="B151" t="s">
        <v>252</v>
      </c>
      <c r="C151" t="s">
        <v>10</v>
      </c>
      <c r="D151" t="s">
        <v>313</v>
      </c>
      <c r="E151" t="s">
        <v>314</v>
      </c>
      <c r="G151" s="1">
        <v>9.64</v>
      </c>
    </row>
    <row r="152" spans="1:7" ht="14.25" hidden="1" customHeight="1" x14ac:dyDescent="0.45">
      <c r="A152" t="str">
        <f>_xlfn.XLOOKUP(B152,Ingot!$H$12:$H$119,Ingot!$G$12:$G$119,"")</f>
        <v>Metal</v>
      </c>
      <c r="B152" t="s">
        <v>252</v>
      </c>
      <c r="C152" t="s">
        <v>10</v>
      </c>
      <c r="D152" t="s">
        <v>315</v>
      </c>
      <c r="E152" t="s">
        <v>316</v>
      </c>
      <c r="G152" s="1">
        <v>7.94</v>
      </c>
    </row>
    <row r="153" spans="1:7" ht="14.25" hidden="1" customHeight="1" x14ac:dyDescent="0.45">
      <c r="A153" t="str">
        <f>_xlfn.XLOOKUP(B153,Ingot!$H$12:$H$119,Ingot!$G$12:$G$119,"")</f>
        <v>Metal</v>
      </c>
      <c r="B153" t="s">
        <v>252</v>
      </c>
      <c r="C153" t="s">
        <v>10</v>
      </c>
      <c r="D153" t="s">
        <v>317</v>
      </c>
      <c r="E153" t="s">
        <v>318</v>
      </c>
      <c r="G153" s="1">
        <v>8.66</v>
      </c>
    </row>
    <row r="154" spans="1:7" ht="14.25" hidden="1" customHeight="1" x14ac:dyDescent="0.45">
      <c r="A154" t="str">
        <f>_xlfn.XLOOKUP(B154,Ingot!$H$12:$H$119,Ingot!$G$12:$G$119,"")</f>
        <v>Metal</v>
      </c>
      <c r="B154" t="s">
        <v>252</v>
      </c>
      <c r="C154" t="s">
        <v>10</v>
      </c>
      <c r="D154" t="s">
        <v>319</v>
      </c>
      <c r="E154" t="s">
        <v>320</v>
      </c>
    </row>
    <row r="155" spans="1:7" ht="14.25" hidden="1" customHeight="1" x14ac:dyDescent="0.45">
      <c r="A155" t="str">
        <f>_xlfn.XLOOKUP(B155,Ingot!$H$12:$H$119,Ingot!$G$12:$G$119,"")</f>
        <v>Metal</v>
      </c>
      <c r="B155" t="s">
        <v>252</v>
      </c>
      <c r="C155" t="s">
        <v>10</v>
      </c>
      <c r="D155" t="s">
        <v>321</v>
      </c>
      <c r="E155" t="s">
        <v>322</v>
      </c>
      <c r="G155" s="1">
        <v>2.65</v>
      </c>
    </row>
    <row r="156" spans="1:7" ht="14.25" hidden="1" customHeight="1" x14ac:dyDescent="0.45">
      <c r="A156" t="str">
        <f>_xlfn.XLOOKUP(B156,Ingot!$H$12:$H$119,Ingot!$G$12:$G$119,"")</f>
        <v>Metal</v>
      </c>
      <c r="B156" t="s">
        <v>252</v>
      </c>
      <c r="C156" t="s">
        <v>10</v>
      </c>
      <c r="D156" t="s">
        <v>323</v>
      </c>
      <c r="E156" t="s">
        <v>324</v>
      </c>
    </row>
    <row r="157" spans="1:7" ht="14.25" hidden="1" customHeight="1" x14ac:dyDescent="0.45">
      <c r="A157" t="str">
        <f>_xlfn.XLOOKUP(B157,Ingot!$H$12:$H$119,Ingot!$G$12:$G$119,"")</f>
        <v>Metal</v>
      </c>
      <c r="B157" t="s">
        <v>252</v>
      </c>
      <c r="C157" t="s">
        <v>10</v>
      </c>
      <c r="D157" t="s">
        <v>325</v>
      </c>
      <c r="E157" t="s">
        <v>326</v>
      </c>
      <c r="G157" s="1">
        <v>12.64</v>
      </c>
    </row>
    <row r="158" spans="1:7" ht="14.25" hidden="1" customHeight="1" x14ac:dyDescent="0.45">
      <c r="A158" t="str">
        <f>_xlfn.XLOOKUP(B158,Ingot!$H$12:$H$119,Ingot!$G$12:$G$119,"")</f>
        <v>Metal</v>
      </c>
      <c r="B158" t="s">
        <v>252</v>
      </c>
      <c r="C158" t="s">
        <v>10</v>
      </c>
      <c r="D158" t="s">
        <v>327</v>
      </c>
      <c r="E158" t="s">
        <v>328</v>
      </c>
      <c r="G158" s="1">
        <v>22.67</v>
      </c>
    </row>
    <row r="159" spans="1:7" ht="14.25" hidden="1" customHeight="1" x14ac:dyDescent="0.45">
      <c r="A159" t="str">
        <f>_xlfn.XLOOKUP(B159,Ingot!$H$12:$H$119,Ingot!$G$12:$G$119,"")</f>
        <v>Metal</v>
      </c>
      <c r="B159" t="s">
        <v>252</v>
      </c>
      <c r="C159" t="s">
        <v>10</v>
      </c>
      <c r="D159" t="s">
        <v>329</v>
      </c>
      <c r="E159" t="s">
        <v>330</v>
      </c>
      <c r="G159" s="1">
        <v>8.3800000000000008</v>
      </c>
    </row>
    <row r="160" spans="1:7" ht="14.25" hidden="1" customHeight="1" x14ac:dyDescent="0.45">
      <c r="A160" t="str">
        <f>_xlfn.XLOOKUP(B160,Ingot!$H$12:$H$119,Ingot!$G$12:$G$119,"")</f>
        <v>Metal</v>
      </c>
      <c r="B160" t="s">
        <v>252</v>
      </c>
      <c r="C160" t="s">
        <v>10</v>
      </c>
      <c r="D160" t="s">
        <v>331</v>
      </c>
      <c r="E160" t="s">
        <v>332</v>
      </c>
      <c r="G160" s="1">
        <v>2.2000000000000002</v>
      </c>
    </row>
    <row r="161" spans="1:7" ht="14.25" hidden="1" customHeight="1" x14ac:dyDescent="0.45">
      <c r="A161" t="str">
        <f>_xlfn.XLOOKUP(B161,Ingot!$H$12:$H$119,Ingot!$G$12:$G$119,"")</f>
        <v>Metal</v>
      </c>
      <c r="B161" t="s">
        <v>252</v>
      </c>
      <c r="C161" t="s">
        <v>10</v>
      </c>
      <c r="D161" t="s">
        <v>333</v>
      </c>
      <c r="E161" t="s">
        <v>334</v>
      </c>
      <c r="G161" s="1">
        <v>3.09</v>
      </c>
    </row>
    <row r="162" spans="1:7" ht="14.25" hidden="1" customHeight="1" x14ac:dyDescent="0.45">
      <c r="A162" t="str">
        <f>_xlfn.XLOOKUP(B162,Ingot!$H$12:$H$119,Ingot!$G$12:$G$119,"")</f>
        <v>Metal</v>
      </c>
      <c r="B162" t="s">
        <v>252</v>
      </c>
      <c r="C162" t="s">
        <v>10</v>
      </c>
      <c r="D162" t="s">
        <v>335</v>
      </c>
      <c r="E162" t="s">
        <v>336</v>
      </c>
      <c r="G162" s="1">
        <v>2.2999999999999998</v>
      </c>
    </row>
    <row r="163" spans="1:7" ht="14.25" hidden="1" customHeight="1" x14ac:dyDescent="0.45">
      <c r="A163" t="str">
        <f>_xlfn.XLOOKUP(B163,Ingot!$H$12:$H$119,Ingot!$G$12:$G$119,"")</f>
        <v>Metal</v>
      </c>
      <c r="B163" t="s">
        <v>252</v>
      </c>
      <c r="C163" t="s">
        <v>10</v>
      </c>
      <c r="D163" t="s">
        <v>337</v>
      </c>
      <c r="E163" t="s">
        <v>338</v>
      </c>
      <c r="G163" s="1">
        <v>4.88</v>
      </c>
    </row>
    <row r="164" spans="1:7" ht="14.25" hidden="1" customHeight="1" x14ac:dyDescent="0.45">
      <c r="A164" t="str">
        <f>_xlfn.XLOOKUP(B164,Ingot!$H$12:$H$119,Ingot!$G$12:$G$119,"")</f>
        <v>Metal</v>
      </c>
      <c r="B164" t="s">
        <v>252</v>
      </c>
      <c r="C164" t="s">
        <v>10</v>
      </c>
      <c r="D164" t="s">
        <v>339</v>
      </c>
      <c r="E164" t="s">
        <v>340</v>
      </c>
      <c r="G164" s="1">
        <v>8.43</v>
      </c>
    </row>
    <row r="165" spans="1:7" ht="14.25" hidden="1" customHeight="1" x14ac:dyDescent="0.45">
      <c r="A165" t="str">
        <f>_xlfn.XLOOKUP(B165,Ingot!$H$12:$H$119,Ingot!$G$12:$G$119,"")</f>
        <v>Metal</v>
      </c>
      <c r="B165" t="s">
        <v>252</v>
      </c>
      <c r="C165" t="s">
        <v>10</v>
      </c>
      <c r="D165" t="s">
        <v>341</v>
      </c>
      <c r="E165" t="s">
        <v>342</v>
      </c>
      <c r="G165" s="1">
        <v>13.07</v>
      </c>
    </row>
    <row r="166" spans="1:7" ht="14.25" hidden="1" customHeight="1" x14ac:dyDescent="0.45">
      <c r="A166" t="str">
        <f>_xlfn.XLOOKUP(B166,Ingot!$H$12:$H$119,Ingot!$G$12:$G$119,"")</f>
        <v>Metal</v>
      </c>
      <c r="B166" t="s">
        <v>252</v>
      </c>
      <c r="C166" t="s">
        <v>10</v>
      </c>
      <c r="D166" t="s">
        <v>343</v>
      </c>
      <c r="E166" t="s">
        <v>344</v>
      </c>
    </row>
    <row r="167" spans="1:7" ht="14.25" hidden="1" customHeight="1" x14ac:dyDescent="0.45">
      <c r="A167" t="str">
        <f>_xlfn.XLOOKUP(B167,Ingot!$H$12:$H$119,Ingot!$G$12:$G$119,"")</f>
        <v>Metal</v>
      </c>
      <c r="B167" t="s">
        <v>252</v>
      </c>
      <c r="C167" t="s">
        <v>10</v>
      </c>
      <c r="D167" t="s">
        <v>345</v>
      </c>
      <c r="E167" t="s">
        <v>346</v>
      </c>
    </row>
    <row r="168" spans="1:7" ht="14.25" hidden="1" customHeight="1" x14ac:dyDescent="0.45">
      <c r="A168" t="str">
        <f>_xlfn.XLOOKUP(B168,Ingot!$H$12:$H$119,Ingot!$G$12:$G$119,"")</f>
        <v>Metal</v>
      </c>
      <c r="B168" t="s">
        <v>252</v>
      </c>
      <c r="C168" t="s">
        <v>10</v>
      </c>
      <c r="D168" t="s">
        <v>347</v>
      </c>
      <c r="E168" t="s">
        <v>348</v>
      </c>
      <c r="G168" s="1">
        <v>6.8</v>
      </c>
    </row>
    <row r="169" spans="1:7" ht="14.25" hidden="1" customHeight="1" x14ac:dyDescent="0.45">
      <c r="A169" t="str">
        <f>_xlfn.XLOOKUP(B169,Ingot!$H$12:$H$119,Ingot!$G$12:$G$119,"")</f>
        <v>Metal</v>
      </c>
      <c r="B169" t="s">
        <v>252</v>
      </c>
      <c r="C169" t="s">
        <v>10</v>
      </c>
      <c r="D169" t="s">
        <v>349</v>
      </c>
      <c r="E169" t="s">
        <v>350</v>
      </c>
      <c r="G169" s="1">
        <v>6.88</v>
      </c>
    </row>
    <row r="170" spans="1:7" ht="14.25" hidden="1" customHeight="1" x14ac:dyDescent="0.45">
      <c r="A170" t="str">
        <f>_xlfn.XLOOKUP(B170,Ingot!$H$12:$H$119,Ingot!$G$12:$G$119,"")</f>
        <v>Metal</v>
      </c>
      <c r="B170" t="s">
        <v>252</v>
      </c>
      <c r="C170" t="s">
        <v>10</v>
      </c>
      <c r="D170" t="s">
        <v>351</v>
      </c>
      <c r="E170" t="s">
        <v>352</v>
      </c>
      <c r="G170" s="1">
        <v>5.5</v>
      </c>
    </row>
    <row r="171" spans="1:7" ht="14.25" hidden="1" customHeight="1" x14ac:dyDescent="0.45">
      <c r="A171" t="str">
        <f>_xlfn.XLOOKUP(B171,Ingot!$H$12:$H$119,Ingot!$G$12:$G$119,"")</f>
        <v>Metal</v>
      </c>
      <c r="B171" t="s">
        <v>252</v>
      </c>
      <c r="C171" t="s">
        <v>10</v>
      </c>
      <c r="D171" t="s">
        <v>353</v>
      </c>
      <c r="E171" t="s">
        <v>354</v>
      </c>
      <c r="G171" s="1">
        <v>2.4300000000000002</v>
      </c>
    </row>
    <row r="172" spans="1:7" ht="14.25" hidden="1" customHeight="1" x14ac:dyDescent="0.45">
      <c r="A172" t="str">
        <f>_xlfn.XLOOKUP(B172,Ingot!$H$12:$H$119,Ingot!$G$12:$G$119,"")</f>
        <v>Metal</v>
      </c>
      <c r="B172" t="s">
        <v>252</v>
      </c>
      <c r="C172" t="s">
        <v>10</v>
      </c>
      <c r="D172" t="s">
        <v>355</v>
      </c>
      <c r="E172" t="s">
        <v>356</v>
      </c>
      <c r="G172" s="1">
        <v>6.96</v>
      </c>
    </row>
    <row r="173" spans="1:7" ht="14.25" hidden="1" customHeight="1" x14ac:dyDescent="0.45">
      <c r="A173" t="str">
        <f>_xlfn.XLOOKUP(B173,Ingot!$H$12:$H$119,Ingot!$G$12:$G$119,"")</f>
        <v>Metal</v>
      </c>
      <c r="B173" t="s">
        <v>252</v>
      </c>
      <c r="C173" t="s">
        <v>10</v>
      </c>
      <c r="D173" t="s">
        <v>357</v>
      </c>
      <c r="E173" t="s">
        <v>358</v>
      </c>
      <c r="G173" s="1">
        <v>6.32</v>
      </c>
    </row>
    <row r="174" spans="1:7" ht="14.25" hidden="1" customHeight="1" x14ac:dyDescent="0.45">
      <c r="A174" t="str">
        <f>_xlfn.XLOOKUP(B174,Ingot!$H$12:$H$119,Ingot!$G$12:$G$119,"")</f>
        <v>Metal</v>
      </c>
      <c r="B174" t="s">
        <v>252</v>
      </c>
      <c r="C174" t="s">
        <v>10</v>
      </c>
      <c r="D174" t="s">
        <v>359</v>
      </c>
      <c r="E174" t="s">
        <v>360</v>
      </c>
      <c r="G174" s="1">
        <v>6.88</v>
      </c>
    </row>
    <row r="175" spans="1:7" ht="14.25" hidden="1" customHeight="1" x14ac:dyDescent="0.45">
      <c r="A175" t="str">
        <f>_xlfn.XLOOKUP(B175,Ingot!$H$12:$H$119,Ingot!$G$12:$G$119,"")</f>
        <v>Metal</v>
      </c>
      <c r="B175" t="s">
        <v>252</v>
      </c>
      <c r="C175" t="s">
        <v>10</v>
      </c>
      <c r="D175" t="s">
        <v>361</v>
      </c>
      <c r="E175" t="s">
        <v>362</v>
      </c>
      <c r="G175" s="1">
        <v>2.44</v>
      </c>
    </row>
    <row r="176" spans="1:7" ht="14.25" hidden="1" customHeight="1" x14ac:dyDescent="0.45">
      <c r="A176" t="str">
        <f>_xlfn.XLOOKUP(B176,Ingot!$H$12:$H$119,Ingot!$G$12:$G$119,"")</f>
        <v>Metal</v>
      </c>
      <c r="B176" t="s">
        <v>252</v>
      </c>
      <c r="C176" t="s">
        <v>10</v>
      </c>
      <c r="D176" t="s">
        <v>363</v>
      </c>
      <c r="E176" t="s">
        <v>364</v>
      </c>
    </row>
    <row r="177" spans="1:7" ht="14.25" hidden="1" customHeight="1" x14ac:dyDescent="0.45">
      <c r="A177" t="str">
        <f>_xlfn.XLOOKUP(B177,Ingot!$H$12:$H$119,Ingot!$G$12:$G$119,"")</f>
        <v>Metal</v>
      </c>
      <c r="B177" t="s">
        <v>252</v>
      </c>
      <c r="C177" t="s">
        <v>10</v>
      </c>
      <c r="D177" t="s">
        <v>365</v>
      </c>
      <c r="E177" t="s">
        <v>366</v>
      </c>
    </row>
    <row r="178" spans="1:7" ht="14.25" hidden="1" customHeight="1" x14ac:dyDescent="0.45">
      <c r="A178" t="str">
        <f>_xlfn.XLOOKUP(B178,Ingot!$H$12:$H$119,Ingot!$G$12:$G$119,"")</f>
        <v>Metal</v>
      </c>
      <c r="B178" t="s">
        <v>252</v>
      </c>
      <c r="C178" t="s">
        <v>10</v>
      </c>
      <c r="D178" t="s">
        <v>367</v>
      </c>
      <c r="E178" t="s">
        <v>368</v>
      </c>
      <c r="G178" s="1">
        <v>3.11</v>
      </c>
    </row>
    <row r="179" spans="1:7" ht="14.25" hidden="1" customHeight="1" x14ac:dyDescent="0.45">
      <c r="A179" t="str">
        <f>_xlfn.XLOOKUP(B179,Ingot!$H$12:$H$119,Ingot!$G$12:$G$119,"")</f>
        <v>Metal</v>
      </c>
      <c r="B179" t="s">
        <v>252</v>
      </c>
      <c r="C179" t="s">
        <v>10</v>
      </c>
      <c r="D179" t="s">
        <v>369</v>
      </c>
      <c r="E179" t="s">
        <v>370</v>
      </c>
      <c r="G179" s="1">
        <v>2.44</v>
      </c>
    </row>
    <row r="180" spans="1:7" ht="14.25" hidden="1" customHeight="1" x14ac:dyDescent="0.45">
      <c r="A180" t="str">
        <f>_xlfn.XLOOKUP(B180,Ingot!$H$12:$H$119,Ingot!$G$12:$G$119,"")</f>
        <v>Metal</v>
      </c>
      <c r="B180" t="s">
        <v>252</v>
      </c>
      <c r="C180" t="s">
        <v>10</v>
      </c>
      <c r="D180" t="s">
        <v>371</v>
      </c>
      <c r="E180" t="s">
        <v>372</v>
      </c>
      <c r="G180" s="1">
        <v>8.61</v>
      </c>
    </row>
    <row r="181" spans="1:7" ht="14.25" hidden="1" customHeight="1" x14ac:dyDescent="0.45">
      <c r="A181" t="str">
        <f>_xlfn.XLOOKUP(B181,Ingot!$H$12:$H$119,Ingot!$G$12:$G$119,"")</f>
        <v>Metal</v>
      </c>
      <c r="B181" t="s">
        <v>252</v>
      </c>
      <c r="C181" t="s">
        <v>10</v>
      </c>
      <c r="D181" t="s">
        <v>373</v>
      </c>
      <c r="E181" t="s">
        <v>374</v>
      </c>
    </row>
    <row r="182" spans="1:7" ht="14.25" hidden="1" customHeight="1" x14ac:dyDescent="0.45">
      <c r="A182" t="str">
        <f>_xlfn.XLOOKUP(B182,Ingot!$H$12:$H$119,Ingot!$G$12:$G$119,"")</f>
        <v>Metal</v>
      </c>
      <c r="B182" t="s">
        <v>252</v>
      </c>
      <c r="C182" t="s">
        <v>10</v>
      </c>
      <c r="D182" t="s">
        <v>375</v>
      </c>
      <c r="E182" t="s">
        <v>376</v>
      </c>
      <c r="G182" s="1">
        <v>3.21</v>
      </c>
    </row>
    <row r="183" spans="1:7" ht="14.25" hidden="1" customHeight="1" x14ac:dyDescent="0.45">
      <c r="A183" t="str">
        <f>_xlfn.XLOOKUP(B183,Ingot!$H$12:$H$119,Ingot!$G$12:$G$119,"")</f>
        <v>Metal</v>
      </c>
      <c r="B183" t="s">
        <v>252</v>
      </c>
      <c r="C183" t="s">
        <v>10</v>
      </c>
      <c r="D183" t="s">
        <v>377</v>
      </c>
      <c r="E183" t="s">
        <v>378</v>
      </c>
      <c r="G183" s="1">
        <v>2.77</v>
      </c>
    </row>
    <row r="184" spans="1:7" ht="14.25" hidden="1" customHeight="1" x14ac:dyDescent="0.45">
      <c r="A184" t="str">
        <f>_xlfn.XLOOKUP(B184,Ingot!$H$12:$H$119,Ingot!$G$12:$G$119,"")</f>
        <v>Metal</v>
      </c>
      <c r="B184" t="s">
        <v>252</v>
      </c>
      <c r="C184" t="s">
        <v>10</v>
      </c>
      <c r="D184" t="s">
        <v>379</v>
      </c>
      <c r="E184" t="s">
        <v>380</v>
      </c>
      <c r="G184" s="1">
        <v>4.8899999999999997</v>
      </c>
    </row>
    <row r="185" spans="1:7" ht="14.25" hidden="1" customHeight="1" x14ac:dyDescent="0.45">
      <c r="A185" t="str">
        <f>_xlfn.XLOOKUP(B185,Ingot!$H$12:$H$119,Ingot!$G$12:$G$119,"")</f>
        <v>Metal</v>
      </c>
      <c r="B185" t="s">
        <v>252</v>
      </c>
      <c r="C185" t="s">
        <v>10</v>
      </c>
      <c r="D185" t="s">
        <v>381</v>
      </c>
      <c r="E185" t="s">
        <v>382</v>
      </c>
      <c r="G185" s="1">
        <v>1.76</v>
      </c>
    </row>
    <row r="186" spans="1:7" ht="14.25" hidden="1" customHeight="1" x14ac:dyDescent="0.45">
      <c r="A186" t="str">
        <f>_xlfn.XLOOKUP(B186,Ingot!$H$12:$H$119,Ingot!$G$12:$G$119,"")</f>
        <v>Metal</v>
      </c>
      <c r="B186" t="s">
        <v>252</v>
      </c>
      <c r="C186" t="s">
        <v>10</v>
      </c>
      <c r="D186" t="s">
        <v>383</v>
      </c>
      <c r="E186" t="s">
        <v>384</v>
      </c>
    </row>
    <row r="187" spans="1:7" ht="14.25" hidden="1" customHeight="1" x14ac:dyDescent="0.45">
      <c r="A187" t="str">
        <f>_xlfn.XLOOKUP(B187,Ingot!$H$12:$H$119,Ingot!$G$12:$G$119,"")</f>
        <v>Metal</v>
      </c>
      <c r="B187" t="s">
        <v>252</v>
      </c>
      <c r="C187" t="s">
        <v>10</v>
      </c>
      <c r="D187" t="s">
        <v>385</v>
      </c>
      <c r="E187" t="s">
        <v>386</v>
      </c>
      <c r="G187" s="1">
        <v>8.57</v>
      </c>
    </row>
    <row r="188" spans="1:7" ht="14.25" hidden="1" customHeight="1" x14ac:dyDescent="0.45">
      <c r="A188" t="str">
        <f>_xlfn.XLOOKUP(B188,Ingot!$H$12:$H$119,Ingot!$G$12:$G$119,"")</f>
        <v>Metal</v>
      </c>
      <c r="B188" t="s">
        <v>252</v>
      </c>
      <c r="C188" t="s">
        <v>10</v>
      </c>
      <c r="D188" t="s">
        <v>387</v>
      </c>
      <c r="E188" t="s">
        <v>388</v>
      </c>
    </row>
    <row r="189" spans="1:7" ht="14.25" hidden="1" customHeight="1" x14ac:dyDescent="0.45">
      <c r="A189" t="str">
        <f>_xlfn.XLOOKUP(B189,Ingot!$H$12:$H$119,Ingot!$G$12:$G$119,"")</f>
        <v>Metal</v>
      </c>
      <c r="B189" t="s">
        <v>252</v>
      </c>
      <c r="C189" t="s">
        <v>10</v>
      </c>
      <c r="D189" t="s">
        <v>389</v>
      </c>
      <c r="E189" t="s">
        <v>390</v>
      </c>
      <c r="G189" s="1">
        <v>3.56</v>
      </c>
    </row>
    <row r="190" spans="1:7" ht="14.25" hidden="1" customHeight="1" x14ac:dyDescent="0.45">
      <c r="A190" t="str">
        <f>_xlfn.XLOOKUP(B190,Ingot!$H$12:$H$119,Ingot!$G$12:$G$119,"")</f>
        <v>Metal</v>
      </c>
      <c r="B190" t="s">
        <v>252</v>
      </c>
      <c r="C190" t="s">
        <v>10</v>
      </c>
      <c r="D190" t="s">
        <v>391</v>
      </c>
      <c r="E190" t="s">
        <v>392</v>
      </c>
      <c r="G190" s="1">
        <v>8.91</v>
      </c>
    </row>
    <row r="191" spans="1:7" ht="14.25" hidden="1" customHeight="1" x14ac:dyDescent="0.45">
      <c r="A191" t="str">
        <f>_xlfn.XLOOKUP(B191,Ingot!$H$12:$H$119,Ingot!$G$12:$G$119,"")</f>
        <v>Metal</v>
      </c>
      <c r="B191" t="s">
        <v>252</v>
      </c>
      <c r="C191" t="s">
        <v>10</v>
      </c>
      <c r="D191" t="s">
        <v>393</v>
      </c>
      <c r="E191" t="s">
        <v>394</v>
      </c>
      <c r="G191" s="1">
        <v>11.02</v>
      </c>
    </row>
    <row r="192" spans="1:7" ht="14.25" hidden="1" customHeight="1" x14ac:dyDescent="0.45">
      <c r="A192" t="str">
        <f>_xlfn.XLOOKUP(B192,Ingot!$H$12:$H$119,Ingot!$G$12:$G$119,"")</f>
        <v>Metal</v>
      </c>
      <c r="B192" t="s">
        <v>252</v>
      </c>
      <c r="C192" t="s">
        <v>10</v>
      </c>
      <c r="D192" t="s">
        <v>395</v>
      </c>
      <c r="E192" t="s">
        <v>396</v>
      </c>
      <c r="G192" s="1">
        <v>5.12</v>
      </c>
    </row>
    <row r="193" spans="1:7" ht="14.25" hidden="1" customHeight="1" x14ac:dyDescent="0.45">
      <c r="A193" t="str">
        <f>_xlfn.XLOOKUP(B193,Ingot!$H$12:$H$119,Ingot!$G$12:$G$119,"")</f>
        <v>Metal</v>
      </c>
      <c r="B193" t="s">
        <v>252</v>
      </c>
      <c r="C193" t="s">
        <v>10</v>
      </c>
      <c r="D193" t="s">
        <v>397</v>
      </c>
      <c r="E193" t="s">
        <v>398</v>
      </c>
      <c r="G193" s="1">
        <v>4.41</v>
      </c>
    </row>
    <row r="194" spans="1:7" ht="14.25" hidden="1" customHeight="1" x14ac:dyDescent="0.45">
      <c r="A194" t="str">
        <f>_xlfn.XLOOKUP(B194,Ingot!$H$12:$H$119,Ingot!$G$12:$G$119,"")</f>
        <v>Metal</v>
      </c>
      <c r="B194" t="s">
        <v>252</v>
      </c>
      <c r="C194" t="s">
        <v>157</v>
      </c>
      <c r="D194" t="s">
        <v>399</v>
      </c>
      <c r="E194" t="s">
        <v>400</v>
      </c>
      <c r="G194" s="1">
        <v>35</v>
      </c>
    </row>
    <row r="195" spans="1:7" ht="14.25" hidden="1" customHeight="1" x14ac:dyDescent="0.45">
      <c r="A195" t="str">
        <f>_xlfn.XLOOKUP(B195,Ingot!$H$12:$H$119,Ingot!$G$12:$G$119,"")</f>
        <v>Metal</v>
      </c>
      <c r="B195" t="s">
        <v>252</v>
      </c>
      <c r="C195" t="s">
        <v>157</v>
      </c>
      <c r="D195" t="s">
        <v>401</v>
      </c>
      <c r="E195" t="s">
        <v>402</v>
      </c>
      <c r="G195" s="1">
        <v>7</v>
      </c>
    </row>
    <row r="196" spans="1:7" ht="14.25" hidden="1" customHeight="1" x14ac:dyDescent="0.45">
      <c r="A196" t="str">
        <f>_xlfn.XLOOKUP(B196,Ingot!$H$12:$H$119,Ingot!$G$12:$G$119,"")</f>
        <v>Metal</v>
      </c>
      <c r="B196" t="s">
        <v>252</v>
      </c>
      <c r="C196" t="s">
        <v>157</v>
      </c>
      <c r="D196" t="s">
        <v>403</v>
      </c>
      <c r="E196" t="s">
        <v>404</v>
      </c>
      <c r="G196" s="1">
        <v>7</v>
      </c>
    </row>
    <row r="197" spans="1:7" ht="14.25" hidden="1" customHeight="1" x14ac:dyDescent="0.45">
      <c r="A197" t="str">
        <f>_xlfn.XLOOKUP(B197,Ingot!$H$12:$H$119,Ingot!$G$12:$G$119,"")</f>
        <v>Metal</v>
      </c>
      <c r="B197" t="s">
        <v>252</v>
      </c>
      <c r="C197" t="s">
        <v>157</v>
      </c>
      <c r="D197" t="s">
        <v>405</v>
      </c>
      <c r="E197" t="s">
        <v>406</v>
      </c>
      <c r="G197" s="1">
        <v>5</v>
      </c>
    </row>
    <row r="198" spans="1:7" ht="14.25" hidden="1" customHeight="1" x14ac:dyDescent="0.45">
      <c r="A198" t="str">
        <f>_xlfn.XLOOKUP(B198,Ingot!$H$12:$H$119,Ingot!$G$12:$G$119,"")</f>
        <v>Metal</v>
      </c>
      <c r="B198" t="s">
        <v>252</v>
      </c>
      <c r="C198" t="s">
        <v>157</v>
      </c>
      <c r="D198" t="s">
        <v>407</v>
      </c>
      <c r="E198" t="s">
        <v>408</v>
      </c>
      <c r="G198" s="1">
        <v>10</v>
      </c>
    </row>
    <row r="199" spans="1:7" ht="14.25" hidden="1" customHeight="1" x14ac:dyDescent="0.45">
      <c r="A199" t="str">
        <f>_xlfn.XLOOKUP(B199,Ingot!$H$12:$H$119,Ingot!$G$12:$G$119,"")</f>
        <v>Metal</v>
      </c>
      <c r="B199" t="s">
        <v>252</v>
      </c>
      <c r="C199" t="s">
        <v>157</v>
      </c>
      <c r="D199" t="s">
        <v>409</v>
      </c>
      <c r="E199" t="s">
        <v>410</v>
      </c>
      <c r="G199" s="1">
        <v>29.5</v>
      </c>
    </row>
    <row r="200" spans="1:7" ht="14.25" hidden="1" customHeight="1" x14ac:dyDescent="0.45">
      <c r="A200" t="str">
        <f>_xlfn.XLOOKUP(B200,Ingot!$H$12:$H$119,Ingot!$G$12:$G$119,"")</f>
        <v>Metal</v>
      </c>
      <c r="B200" t="s">
        <v>252</v>
      </c>
      <c r="C200" t="s">
        <v>157</v>
      </c>
      <c r="D200" t="s">
        <v>411</v>
      </c>
      <c r="E200" t="s">
        <v>412</v>
      </c>
      <c r="G200" s="1">
        <v>5.9</v>
      </c>
    </row>
    <row r="201" spans="1:7" ht="14.25" hidden="1" customHeight="1" x14ac:dyDescent="0.45">
      <c r="A201" t="str">
        <f>_xlfn.XLOOKUP(B201,Ingot!$H$12:$H$119,Ingot!$G$12:$G$119,"")</f>
        <v>Metal</v>
      </c>
      <c r="B201" t="s">
        <v>252</v>
      </c>
      <c r="C201" t="s">
        <v>157</v>
      </c>
      <c r="D201" t="s">
        <v>413</v>
      </c>
      <c r="E201" t="s">
        <v>414</v>
      </c>
      <c r="G201" s="1">
        <v>5.9</v>
      </c>
    </row>
    <row r="202" spans="1:7" ht="14.25" hidden="1" customHeight="1" x14ac:dyDescent="0.45">
      <c r="A202" t="str">
        <f>_xlfn.XLOOKUP(B202,Ingot!$H$12:$H$119,Ingot!$G$12:$G$119,"")</f>
        <v>Metal</v>
      </c>
      <c r="B202" t="s">
        <v>252</v>
      </c>
      <c r="C202" t="s">
        <v>157</v>
      </c>
      <c r="D202" t="s">
        <v>415</v>
      </c>
      <c r="E202" t="s">
        <v>416</v>
      </c>
      <c r="G202" s="1">
        <v>5</v>
      </c>
    </row>
    <row r="203" spans="1:7" ht="14.25" hidden="1" customHeight="1" x14ac:dyDescent="0.45">
      <c r="A203" t="str">
        <f>_xlfn.XLOOKUP(B203,Ingot!$H$12:$H$119,Ingot!$G$12:$G$119,"")</f>
        <v>Metal</v>
      </c>
      <c r="B203" t="s">
        <v>252</v>
      </c>
      <c r="C203" t="s">
        <v>157</v>
      </c>
      <c r="D203" t="s">
        <v>417</v>
      </c>
      <c r="E203" t="s">
        <v>418</v>
      </c>
      <c r="G203" s="1">
        <v>10</v>
      </c>
    </row>
    <row r="204" spans="1:7" ht="14.25" hidden="1" customHeight="1" x14ac:dyDescent="0.45">
      <c r="A204" t="str">
        <f>_xlfn.XLOOKUP(B204,Ingot!$H$12:$H$119,Ingot!$G$12:$G$119,"")</f>
        <v>Metal</v>
      </c>
      <c r="B204" t="s">
        <v>252</v>
      </c>
      <c r="C204" t="s">
        <v>157</v>
      </c>
      <c r="D204" t="s">
        <v>419</v>
      </c>
      <c r="E204" t="s">
        <v>420</v>
      </c>
      <c r="G204" s="1">
        <v>28.5</v>
      </c>
    </row>
    <row r="205" spans="1:7" ht="14.25" hidden="1" customHeight="1" x14ac:dyDescent="0.45">
      <c r="A205" t="str">
        <f>_xlfn.XLOOKUP(B205,Ingot!$H$12:$H$119,Ingot!$G$12:$G$119,"")</f>
        <v>Metal</v>
      </c>
      <c r="B205" t="s">
        <v>252</v>
      </c>
      <c r="C205" t="s">
        <v>157</v>
      </c>
      <c r="D205" t="s">
        <v>421</v>
      </c>
      <c r="E205" t="s">
        <v>422</v>
      </c>
      <c r="G205" s="1">
        <v>5.7</v>
      </c>
    </row>
    <row r="206" spans="1:7" ht="14.25" hidden="1" customHeight="1" x14ac:dyDescent="0.45">
      <c r="A206" t="str">
        <f>_xlfn.XLOOKUP(B206,Ingot!$H$12:$H$119,Ingot!$G$12:$G$119,"")</f>
        <v>Metal</v>
      </c>
      <c r="B206" t="s">
        <v>252</v>
      </c>
      <c r="C206" t="s">
        <v>157</v>
      </c>
      <c r="D206" t="s">
        <v>423</v>
      </c>
      <c r="E206" t="s">
        <v>424</v>
      </c>
      <c r="G206" s="1">
        <v>5.7</v>
      </c>
    </row>
    <row r="207" spans="1:7" ht="14.25" hidden="1" customHeight="1" x14ac:dyDescent="0.45">
      <c r="A207" t="str">
        <f>_xlfn.XLOOKUP(B207,Ingot!$H$12:$H$119,Ingot!$G$12:$G$119,"")</f>
        <v>Metal</v>
      </c>
      <c r="B207" t="s">
        <v>252</v>
      </c>
      <c r="C207" t="s">
        <v>157</v>
      </c>
      <c r="D207" t="s">
        <v>425</v>
      </c>
      <c r="E207" t="s">
        <v>426</v>
      </c>
      <c r="G207" s="1">
        <v>5</v>
      </c>
    </row>
    <row r="208" spans="1:7" ht="14.25" hidden="1" customHeight="1" x14ac:dyDescent="0.45">
      <c r="A208" t="str">
        <f>_xlfn.XLOOKUP(B208,Ingot!$H$12:$H$119,Ingot!$G$12:$G$119,"")</f>
        <v>Metal</v>
      </c>
      <c r="B208" t="s">
        <v>252</v>
      </c>
      <c r="C208" t="s">
        <v>157</v>
      </c>
      <c r="D208" t="s">
        <v>427</v>
      </c>
      <c r="E208" t="s">
        <v>428</v>
      </c>
      <c r="G208" s="1">
        <v>10</v>
      </c>
    </row>
    <row r="209" spans="1:7" ht="14.25" hidden="1" customHeight="1" x14ac:dyDescent="0.45">
      <c r="A209" t="str">
        <f>_xlfn.XLOOKUP(B209,Ingot!$H$12:$H$119,Ingot!$G$12:$G$119,"")</f>
        <v>Metal</v>
      </c>
      <c r="B209" t="s">
        <v>252</v>
      </c>
      <c r="C209" t="s">
        <v>157</v>
      </c>
      <c r="D209" t="s">
        <v>429</v>
      </c>
      <c r="E209" t="s">
        <v>430</v>
      </c>
      <c r="G209" s="1">
        <v>31</v>
      </c>
    </row>
    <row r="210" spans="1:7" ht="14.25" hidden="1" customHeight="1" x14ac:dyDescent="0.45">
      <c r="A210" t="str">
        <f>_xlfn.XLOOKUP(B210,Ingot!$H$12:$H$119,Ingot!$G$12:$G$119,"")</f>
        <v>Metal</v>
      </c>
      <c r="B210" t="s">
        <v>252</v>
      </c>
      <c r="C210" t="s">
        <v>157</v>
      </c>
      <c r="D210" t="s">
        <v>431</v>
      </c>
      <c r="E210" t="s">
        <v>432</v>
      </c>
      <c r="G210" s="1">
        <v>6.2</v>
      </c>
    </row>
    <row r="211" spans="1:7" ht="14.25" hidden="1" customHeight="1" x14ac:dyDescent="0.45">
      <c r="A211" t="str">
        <f>_xlfn.XLOOKUP(B211,Ingot!$H$12:$H$119,Ingot!$G$12:$G$119,"")</f>
        <v>Metal</v>
      </c>
      <c r="B211" t="s">
        <v>252</v>
      </c>
      <c r="C211" t="s">
        <v>157</v>
      </c>
      <c r="D211" t="s">
        <v>433</v>
      </c>
      <c r="E211" t="s">
        <v>434</v>
      </c>
      <c r="G211" s="1">
        <v>6.2</v>
      </c>
    </row>
    <row r="212" spans="1:7" ht="14.25" hidden="1" customHeight="1" x14ac:dyDescent="0.45">
      <c r="A212" t="str">
        <f>_xlfn.XLOOKUP(B212,Ingot!$H$12:$H$119,Ingot!$G$12:$G$119,"")</f>
        <v>Metal</v>
      </c>
      <c r="B212" t="s">
        <v>252</v>
      </c>
      <c r="C212" t="s">
        <v>157</v>
      </c>
      <c r="D212" t="s">
        <v>435</v>
      </c>
      <c r="E212" t="s">
        <v>436</v>
      </c>
      <c r="G212" s="1">
        <v>5</v>
      </c>
    </row>
    <row r="213" spans="1:7" ht="14.25" hidden="1" customHeight="1" x14ac:dyDescent="0.45">
      <c r="A213" t="str">
        <f>_xlfn.XLOOKUP(B213,Ingot!$H$12:$H$119,Ingot!$G$12:$G$119,"")</f>
        <v>Metal</v>
      </c>
      <c r="B213" t="s">
        <v>252</v>
      </c>
      <c r="C213" t="s">
        <v>157</v>
      </c>
      <c r="D213" t="s">
        <v>437</v>
      </c>
      <c r="E213" t="s">
        <v>438</v>
      </c>
      <c r="G213" s="1">
        <v>10</v>
      </c>
    </row>
    <row r="214" spans="1:7" ht="14.25" hidden="1" customHeight="1" x14ac:dyDescent="0.45">
      <c r="A214" t="str">
        <f>_xlfn.XLOOKUP(B214,Ingot!$H$12:$H$119,Ingot!$G$12:$G$119,"")</f>
        <v>Metal</v>
      </c>
      <c r="B214" t="s">
        <v>252</v>
      </c>
      <c r="C214" t="s">
        <v>157</v>
      </c>
      <c r="D214" t="s">
        <v>439</v>
      </c>
      <c r="E214" t="s">
        <v>440</v>
      </c>
      <c r="G214" s="1">
        <v>33</v>
      </c>
    </row>
    <row r="215" spans="1:7" ht="14.25" hidden="1" customHeight="1" x14ac:dyDescent="0.45">
      <c r="A215" t="str">
        <f>_xlfn.XLOOKUP(B215,Ingot!$H$12:$H$119,Ingot!$G$12:$G$119,"")</f>
        <v>Metal</v>
      </c>
      <c r="B215" t="s">
        <v>252</v>
      </c>
      <c r="C215" t="s">
        <v>157</v>
      </c>
      <c r="D215" t="s">
        <v>441</v>
      </c>
      <c r="E215" t="s">
        <v>442</v>
      </c>
      <c r="G215" s="1">
        <v>6.6</v>
      </c>
    </row>
    <row r="216" spans="1:7" ht="14.25" hidden="1" customHeight="1" x14ac:dyDescent="0.45">
      <c r="A216" t="str">
        <f>_xlfn.XLOOKUP(B216,Ingot!$H$12:$H$119,Ingot!$G$12:$G$119,"")</f>
        <v>Metal</v>
      </c>
      <c r="B216" t="s">
        <v>252</v>
      </c>
      <c r="C216" t="s">
        <v>157</v>
      </c>
      <c r="D216" t="s">
        <v>443</v>
      </c>
      <c r="E216" t="s">
        <v>444</v>
      </c>
      <c r="G216" s="1">
        <v>6.6</v>
      </c>
    </row>
    <row r="217" spans="1:7" ht="14.25" hidden="1" customHeight="1" x14ac:dyDescent="0.45">
      <c r="A217" t="str">
        <f>_xlfn.XLOOKUP(B217,Ingot!$H$12:$H$119,Ingot!$G$12:$G$119,"")</f>
        <v>Metal</v>
      </c>
      <c r="B217" t="s">
        <v>252</v>
      </c>
      <c r="C217" t="s">
        <v>157</v>
      </c>
      <c r="D217" t="s">
        <v>445</v>
      </c>
      <c r="E217" t="s">
        <v>446</v>
      </c>
      <c r="G217" s="1">
        <v>5</v>
      </c>
    </row>
    <row r="218" spans="1:7" ht="14.25" hidden="1" customHeight="1" x14ac:dyDescent="0.45">
      <c r="A218" t="str">
        <f>_xlfn.XLOOKUP(B218,Ingot!$H$12:$H$119,Ingot!$G$12:$G$119,"")</f>
        <v>Metal</v>
      </c>
      <c r="B218" t="s">
        <v>252</v>
      </c>
      <c r="C218" t="s">
        <v>157</v>
      </c>
      <c r="D218" t="s">
        <v>447</v>
      </c>
      <c r="E218" t="s">
        <v>448</v>
      </c>
      <c r="G218" s="1">
        <v>10</v>
      </c>
    </row>
    <row r="219" spans="1:7" ht="14.25" hidden="1" customHeight="1" x14ac:dyDescent="0.45">
      <c r="A219" t="str">
        <f>_xlfn.XLOOKUP(B219,Ingot!$H$12:$H$119,Ingot!$G$12:$G$119,"")</f>
        <v>Metal</v>
      </c>
      <c r="B219" t="s">
        <v>252</v>
      </c>
      <c r="C219" t="s">
        <v>157</v>
      </c>
      <c r="D219" t="s">
        <v>449</v>
      </c>
      <c r="E219" t="s">
        <v>450</v>
      </c>
      <c r="G219" s="1">
        <v>38</v>
      </c>
    </row>
    <row r="220" spans="1:7" ht="14.25" hidden="1" customHeight="1" x14ac:dyDescent="0.45">
      <c r="A220" t="str">
        <f>_xlfn.XLOOKUP(B220,Ingot!$H$12:$H$119,Ingot!$G$12:$G$119,"")</f>
        <v>Metal</v>
      </c>
      <c r="B220" t="s">
        <v>252</v>
      </c>
      <c r="C220" t="s">
        <v>157</v>
      </c>
      <c r="D220" t="s">
        <v>451</v>
      </c>
      <c r="E220" t="s">
        <v>452</v>
      </c>
      <c r="G220" s="1">
        <v>7.6</v>
      </c>
    </row>
    <row r="221" spans="1:7" ht="14.25" hidden="1" customHeight="1" x14ac:dyDescent="0.45">
      <c r="A221" t="str">
        <f>_xlfn.XLOOKUP(B221,Ingot!$H$12:$H$119,Ingot!$G$12:$G$119,"")</f>
        <v>Metal</v>
      </c>
      <c r="B221" t="s">
        <v>252</v>
      </c>
      <c r="C221" t="s">
        <v>157</v>
      </c>
      <c r="D221" t="s">
        <v>453</v>
      </c>
      <c r="E221" t="s">
        <v>454</v>
      </c>
      <c r="G221" s="1">
        <v>7.6</v>
      </c>
    </row>
    <row r="222" spans="1:7" ht="14.25" hidden="1" customHeight="1" x14ac:dyDescent="0.45">
      <c r="A222" t="str">
        <f>_xlfn.XLOOKUP(B222,Ingot!$H$12:$H$119,Ingot!$G$12:$G$119,"")</f>
        <v>Metal</v>
      </c>
      <c r="B222" t="s">
        <v>252</v>
      </c>
      <c r="C222" t="s">
        <v>157</v>
      </c>
      <c r="D222" t="s">
        <v>455</v>
      </c>
      <c r="E222" t="s">
        <v>456</v>
      </c>
      <c r="G222" s="1">
        <v>5</v>
      </c>
    </row>
    <row r="223" spans="1:7" ht="14.25" hidden="1" customHeight="1" x14ac:dyDescent="0.45">
      <c r="A223" t="str">
        <f>_xlfn.XLOOKUP(B223,Ingot!$H$12:$H$119,Ingot!$G$12:$G$119,"")</f>
        <v>Metal</v>
      </c>
      <c r="B223" t="s">
        <v>252</v>
      </c>
      <c r="C223" t="s">
        <v>157</v>
      </c>
      <c r="D223" t="s">
        <v>457</v>
      </c>
      <c r="E223" t="s">
        <v>458</v>
      </c>
      <c r="G223" s="1">
        <v>10</v>
      </c>
    </row>
    <row r="224" spans="1:7" ht="14.25" hidden="1" customHeight="1" x14ac:dyDescent="0.45">
      <c r="A224" t="str">
        <f>_xlfn.XLOOKUP(B224,Ingot!$H$12:$H$119,Ingot!$G$12:$G$119,"")</f>
        <v>Metal</v>
      </c>
      <c r="B224" t="s">
        <v>252</v>
      </c>
      <c r="C224" t="s">
        <v>157</v>
      </c>
      <c r="D224" t="s">
        <v>459</v>
      </c>
      <c r="E224" t="s">
        <v>460</v>
      </c>
      <c r="G224" s="1">
        <v>37.5</v>
      </c>
    </row>
    <row r="225" spans="1:7" ht="14.25" hidden="1" customHeight="1" x14ac:dyDescent="0.45">
      <c r="A225" t="str">
        <f>_xlfn.XLOOKUP(B225,Ingot!$H$12:$H$119,Ingot!$G$12:$G$119,"")</f>
        <v>Metal</v>
      </c>
      <c r="B225" t="s">
        <v>252</v>
      </c>
      <c r="C225" t="s">
        <v>157</v>
      </c>
      <c r="D225" t="s">
        <v>461</v>
      </c>
      <c r="E225" t="s">
        <v>462</v>
      </c>
      <c r="G225" s="1">
        <v>7.5</v>
      </c>
    </row>
    <row r="226" spans="1:7" ht="14.25" hidden="1" customHeight="1" x14ac:dyDescent="0.45">
      <c r="A226" t="str">
        <f>_xlfn.XLOOKUP(B226,Ingot!$H$12:$H$119,Ingot!$G$12:$G$119,"")</f>
        <v>Metal</v>
      </c>
      <c r="B226" t="s">
        <v>252</v>
      </c>
      <c r="C226" t="s">
        <v>157</v>
      </c>
      <c r="D226" t="s">
        <v>463</v>
      </c>
      <c r="E226" t="s">
        <v>464</v>
      </c>
      <c r="G226" s="1">
        <v>7.5</v>
      </c>
    </row>
    <row r="227" spans="1:7" ht="14.25" hidden="1" customHeight="1" x14ac:dyDescent="0.45">
      <c r="A227" t="str">
        <f>_xlfn.XLOOKUP(B227,Ingot!$H$12:$H$119,Ingot!$G$12:$G$119,"")</f>
        <v>Metal</v>
      </c>
      <c r="B227" t="s">
        <v>252</v>
      </c>
      <c r="C227" t="s">
        <v>157</v>
      </c>
      <c r="D227" t="s">
        <v>465</v>
      </c>
      <c r="E227" t="s">
        <v>466</v>
      </c>
      <c r="G227" s="1">
        <v>5</v>
      </c>
    </row>
    <row r="228" spans="1:7" ht="14.25" hidden="1" customHeight="1" x14ac:dyDescent="0.45">
      <c r="A228" t="str">
        <f>_xlfn.XLOOKUP(B228,Ingot!$H$12:$H$119,Ingot!$G$12:$G$119,"")</f>
        <v>Metal</v>
      </c>
      <c r="B228" t="s">
        <v>252</v>
      </c>
      <c r="C228" t="s">
        <v>157</v>
      </c>
      <c r="D228" t="s">
        <v>467</v>
      </c>
      <c r="E228" t="s">
        <v>468</v>
      </c>
      <c r="G228" s="1">
        <v>10</v>
      </c>
    </row>
    <row r="229" spans="1:7" ht="14.25" hidden="1" customHeight="1" x14ac:dyDescent="0.45">
      <c r="A229" t="str">
        <f>_xlfn.XLOOKUP(B229,Ingot!$H$12:$H$119,Ingot!$G$12:$G$119,"")</f>
        <v>Metal</v>
      </c>
      <c r="B229" t="s">
        <v>252</v>
      </c>
      <c r="C229" t="s">
        <v>157</v>
      </c>
      <c r="D229" t="s">
        <v>469</v>
      </c>
      <c r="E229" t="s">
        <v>470</v>
      </c>
      <c r="G229" s="1">
        <v>27</v>
      </c>
    </row>
    <row r="230" spans="1:7" ht="14.25" hidden="1" customHeight="1" x14ac:dyDescent="0.45">
      <c r="A230" t="str">
        <f>_xlfn.XLOOKUP(B230,Ingot!$H$12:$H$119,Ingot!$G$12:$G$119,"")</f>
        <v>Metal</v>
      </c>
      <c r="B230" t="s">
        <v>252</v>
      </c>
      <c r="C230" t="s">
        <v>157</v>
      </c>
      <c r="D230" t="s">
        <v>471</v>
      </c>
      <c r="E230" t="s">
        <v>472</v>
      </c>
      <c r="G230" s="1">
        <v>5.4</v>
      </c>
    </row>
    <row r="231" spans="1:7" ht="14.25" hidden="1" customHeight="1" x14ac:dyDescent="0.45">
      <c r="A231" t="str">
        <f>_xlfn.XLOOKUP(B231,Ingot!$H$12:$H$119,Ingot!$G$12:$G$119,"")</f>
        <v>Metal</v>
      </c>
      <c r="B231" t="s">
        <v>252</v>
      </c>
      <c r="C231" t="s">
        <v>157</v>
      </c>
      <c r="D231" t="s">
        <v>473</v>
      </c>
      <c r="E231" t="s">
        <v>474</v>
      </c>
      <c r="G231" s="1">
        <v>5.4</v>
      </c>
    </row>
    <row r="232" spans="1:7" ht="14.25" hidden="1" customHeight="1" x14ac:dyDescent="0.45">
      <c r="A232" t="str">
        <f>_xlfn.XLOOKUP(B232,Ingot!$H$12:$H$119,Ingot!$G$12:$G$119,"")</f>
        <v>Metal</v>
      </c>
      <c r="B232" t="s">
        <v>252</v>
      </c>
      <c r="C232" t="s">
        <v>157</v>
      </c>
      <c r="D232" t="s">
        <v>475</v>
      </c>
      <c r="E232" t="s">
        <v>476</v>
      </c>
      <c r="G232" s="1">
        <v>5</v>
      </c>
    </row>
    <row r="233" spans="1:7" ht="14.25" hidden="1" customHeight="1" x14ac:dyDescent="0.45">
      <c r="A233" t="str">
        <f>_xlfn.XLOOKUP(B233,Ingot!$H$12:$H$119,Ingot!$G$12:$G$119,"")</f>
        <v>Metal</v>
      </c>
      <c r="B233" t="s">
        <v>252</v>
      </c>
      <c r="C233" t="s">
        <v>157</v>
      </c>
      <c r="D233" t="s">
        <v>477</v>
      </c>
      <c r="E233" t="s">
        <v>478</v>
      </c>
      <c r="G233" s="1">
        <v>10</v>
      </c>
    </row>
    <row r="234" spans="1:7" ht="14.25" hidden="1" customHeight="1" x14ac:dyDescent="0.45">
      <c r="A234" t="str">
        <f>_xlfn.XLOOKUP(B234,Ingot!$H$12:$H$119,Ingot!$G$12:$G$119,"")</f>
        <v>Metal</v>
      </c>
      <c r="B234" t="s">
        <v>252</v>
      </c>
      <c r="C234" t="s">
        <v>239</v>
      </c>
      <c r="D234" t="s">
        <v>479</v>
      </c>
      <c r="E234" t="s">
        <v>480</v>
      </c>
    </row>
    <row r="235" spans="1:7" ht="14.25" hidden="1" customHeight="1" x14ac:dyDescent="0.45">
      <c r="A235" t="str">
        <f>_xlfn.XLOOKUP(B235,Ingot!$H$12:$H$119,Ingot!$G$12:$G$119,"")</f>
        <v>Metal</v>
      </c>
      <c r="B235" t="s">
        <v>252</v>
      </c>
      <c r="C235" t="s">
        <v>239</v>
      </c>
      <c r="D235" t="s">
        <v>481</v>
      </c>
      <c r="E235" t="s">
        <v>482</v>
      </c>
    </row>
    <row r="236" spans="1:7" ht="14.25" hidden="1" customHeight="1" x14ac:dyDescent="0.45">
      <c r="A236" t="str">
        <f>_xlfn.XLOOKUP(B236,Ingot!$H$12:$H$119,Ingot!$G$12:$G$119,"")</f>
        <v>Metal</v>
      </c>
      <c r="B236" t="s">
        <v>252</v>
      </c>
      <c r="C236" t="s">
        <v>239</v>
      </c>
      <c r="D236" t="s">
        <v>483</v>
      </c>
      <c r="E236" t="s">
        <v>484</v>
      </c>
    </row>
    <row r="237" spans="1:7" ht="14.25" hidden="1" customHeight="1" x14ac:dyDescent="0.45">
      <c r="A237" t="str">
        <f>_xlfn.XLOOKUP(B237,Ingot!$H$12:$H$119,Ingot!$G$12:$G$119,"")</f>
        <v>Metal</v>
      </c>
      <c r="B237" t="s">
        <v>252</v>
      </c>
      <c r="C237" t="s">
        <v>239</v>
      </c>
      <c r="D237" t="s">
        <v>485</v>
      </c>
      <c r="E237" t="s">
        <v>486</v>
      </c>
    </row>
    <row r="238" spans="1:7" ht="14.25" hidden="1" customHeight="1" x14ac:dyDescent="0.45">
      <c r="A238" t="str">
        <f>_xlfn.XLOOKUP(B238,Ingot!$H$12:$H$119,Ingot!$G$12:$G$119,"")</f>
        <v>Metal</v>
      </c>
      <c r="B238" t="s">
        <v>252</v>
      </c>
      <c r="C238" t="s">
        <v>239</v>
      </c>
      <c r="D238" t="s">
        <v>487</v>
      </c>
      <c r="E238" t="s">
        <v>488</v>
      </c>
    </row>
    <row r="239" spans="1:7" ht="14.25" hidden="1" customHeight="1" x14ac:dyDescent="0.45">
      <c r="A239" t="str">
        <f>_xlfn.XLOOKUP(B239,Ingot!$H$12:$H$119,Ingot!$G$12:$G$119,"")</f>
        <v>Metal</v>
      </c>
      <c r="B239" t="s">
        <v>252</v>
      </c>
      <c r="C239" t="s">
        <v>239</v>
      </c>
      <c r="D239" t="s">
        <v>489</v>
      </c>
      <c r="E239" t="s">
        <v>490</v>
      </c>
    </row>
    <row r="240" spans="1:7" ht="14.25" hidden="1" customHeight="1" x14ac:dyDescent="0.45">
      <c r="A240" t="str">
        <f>_xlfn.XLOOKUP(B240,Ingot!$H$12:$H$119,Ingot!$G$12:$G$119,"")</f>
        <v>Metal</v>
      </c>
      <c r="B240" t="s">
        <v>491</v>
      </c>
      <c r="C240" t="s">
        <v>10</v>
      </c>
      <c r="D240" t="s">
        <v>492</v>
      </c>
      <c r="E240" t="s">
        <v>493</v>
      </c>
      <c r="G240" s="1">
        <v>0.08</v>
      </c>
    </row>
    <row r="241" spans="1:7" ht="14.25" hidden="1" customHeight="1" x14ac:dyDescent="0.45">
      <c r="A241" t="str">
        <f>_xlfn.XLOOKUP(B241,Ingot!$H$12:$H$119,Ingot!$G$12:$G$119,"")</f>
        <v>Metal</v>
      </c>
      <c r="B241" t="s">
        <v>491</v>
      </c>
      <c r="C241" t="s">
        <v>10</v>
      </c>
      <c r="D241" t="s">
        <v>494</v>
      </c>
      <c r="E241" t="s">
        <v>495</v>
      </c>
      <c r="G241" s="1">
        <v>9.9</v>
      </c>
    </row>
    <row r="242" spans="1:7" ht="14.25" hidden="1" customHeight="1" x14ac:dyDescent="0.45">
      <c r="A242" t="str">
        <f>_xlfn.XLOOKUP(B242,Ingot!$H$12:$H$119,Ingot!$G$12:$G$119,"")</f>
        <v>Metal</v>
      </c>
      <c r="B242" t="s">
        <v>491</v>
      </c>
      <c r="C242" t="s">
        <v>10</v>
      </c>
      <c r="D242" t="s">
        <v>496</v>
      </c>
      <c r="E242" t="s">
        <v>497</v>
      </c>
      <c r="G242" s="1">
        <v>5.66</v>
      </c>
    </row>
    <row r="243" spans="1:7" ht="14.25" hidden="1" customHeight="1" x14ac:dyDescent="0.45">
      <c r="A243" t="str">
        <f>_xlfn.XLOOKUP(B243,Ingot!$H$12:$H$119,Ingot!$G$12:$G$119,"")</f>
        <v>Metal</v>
      </c>
      <c r="B243" t="s">
        <v>491</v>
      </c>
      <c r="C243" t="s">
        <v>10</v>
      </c>
      <c r="D243" t="s">
        <v>498</v>
      </c>
      <c r="E243" t="s">
        <v>499</v>
      </c>
      <c r="G243" s="1">
        <v>3.3</v>
      </c>
    </row>
    <row r="244" spans="1:7" ht="14.25" hidden="1" customHeight="1" x14ac:dyDescent="0.45">
      <c r="A244" t="str">
        <f>_xlfn.XLOOKUP(B244,Ingot!$H$12:$H$119,Ingot!$G$12:$G$119,"")</f>
        <v>Metal</v>
      </c>
      <c r="B244" t="s">
        <v>491</v>
      </c>
      <c r="C244" t="s">
        <v>10</v>
      </c>
      <c r="D244" t="s">
        <v>500</v>
      </c>
      <c r="E244" t="s">
        <v>501</v>
      </c>
      <c r="G244" s="1">
        <v>0.66</v>
      </c>
    </row>
    <row r="245" spans="1:7" ht="14.25" hidden="1" customHeight="1" x14ac:dyDescent="0.45">
      <c r="A245" t="str">
        <f>_xlfn.XLOOKUP(B245,Ingot!$H$12:$H$119,Ingot!$G$12:$G$119,"")</f>
        <v>Metal</v>
      </c>
      <c r="B245" t="s">
        <v>491</v>
      </c>
      <c r="C245" t="s">
        <v>10</v>
      </c>
      <c r="D245" t="s">
        <v>502</v>
      </c>
      <c r="E245" t="s">
        <v>503</v>
      </c>
      <c r="G245" s="1">
        <v>0.04</v>
      </c>
    </row>
    <row r="246" spans="1:7" ht="14.25" hidden="1" customHeight="1" x14ac:dyDescent="0.45">
      <c r="A246" t="str">
        <f>_xlfn.XLOOKUP(B246,Ingot!$H$12:$H$119,Ingot!$G$12:$G$119,"")</f>
        <v>Metal</v>
      </c>
      <c r="B246" t="s">
        <v>491</v>
      </c>
      <c r="C246" t="s">
        <v>10</v>
      </c>
      <c r="D246" t="s">
        <v>504</v>
      </c>
      <c r="E246" t="s">
        <v>505</v>
      </c>
      <c r="G246" s="1">
        <v>0.33</v>
      </c>
    </row>
    <row r="247" spans="1:7" ht="14.25" hidden="1" customHeight="1" x14ac:dyDescent="0.45">
      <c r="A247" t="str">
        <f>_xlfn.XLOOKUP(B247,Ingot!$H$12:$H$119,Ingot!$G$12:$G$119,"")</f>
        <v>Metal</v>
      </c>
      <c r="B247" t="s">
        <v>491</v>
      </c>
      <c r="C247" t="s">
        <v>10</v>
      </c>
      <c r="D247" t="s">
        <v>506</v>
      </c>
      <c r="E247" t="s">
        <v>507</v>
      </c>
    </row>
    <row r="248" spans="1:7" ht="14.25" hidden="1" customHeight="1" x14ac:dyDescent="0.45">
      <c r="A248" t="str">
        <f>_xlfn.XLOOKUP(B248,Ingot!$H$12:$H$119,Ingot!$G$12:$G$119,"")</f>
        <v>Metal</v>
      </c>
      <c r="B248" t="s">
        <v>491</v>
      </c>
      <c r="C248" t="s">
        <v>10</v>
      </c>
      <c r="D248" t="s">
        <v>508</v>
      </c>
      <c r="E248" t="s">
        <v>509</v>
      </c>
      <c r="G248" s="1">
        <v>0.05</v>
      </c>
    </row>
    <row r="249" spans="1:7" ht="14.25" hidden="1" customHeight="1" x14ac:dyDescent="0.45">
      <c r="A249" t="str">
        <f>_xlfn.XLOOKUP(B249,Ingot!$H$12:$H$119,Ingot!$G$12:$G$119,"")</f>
        <v>Metal</v>
      </c>
      <c r="B249" t="s">
        <v>491</v>
      </c>
      <c r="C249" t="s">
        <v>10</v>
      </c>
      <c r="D249" t="s">
        <v>510</v>
      </c>
      <c r="E249" t="s">
        <v>511</v>
      </c>
      <c r="G249" s="1">
        <v>0.66</v>
      </c>
    </row>
    <row r="250" spans="1:7" ht="14.25" hidden="1" customHeight="1" x14ac:dyDescent="0.45">
      <c r="A250" t="str">
        <f>_xlfn.XLOOKUP(B250,Ingot!$H$12:$H$119,Ingot!$G$12:$G$119,"")</f>
        <v>Metal</v>
      </c>
      <c r="B250" t="s">
        <v>491</v>
      </c>
      <c r="C250" t="s">
        <v>10</v>
      </c>
      <c r="D250" t="s">
        <v>512</v>
      </c>
      <c r="E250" t="s">
        <v>513</v>
      </c>
      <c r="G250" s="1">
        <v>3.96</v>
      </c>
    </row>
    <row r="251" spans="1:7" ht="14.25" hidden="1" customHeight="1" x14ac:dyDescent="0.45">
      <c r="A251" t="str">
        <f>_xlfn.XLOOKUP(B251,Ingot!$H$12:$H$119,Ingot!$G$12:$G$119,"")</f>
        <v>Metal</v>
      </c>
      <c r="B251" t="s">
        <v>491</v>
      </c>
      <c r="C251" t="s">
        <v>10</v>
      </c>
      <c r="D251" t="s">
        <v>514</v>
      </c>
      <c r="E251" t="s">
        <v>515</v>
      </c>
      <c r="G251" s="1">
        <v>8.77</v>
      </c>
    </row>
    <row r="252" spans="1:7" ht="14.25" hidden="1" customHeight="1" x14ac:dyDescent="0.45">
      <c r="A252" t="str">
        <f>_xlfn.XLOOKUP(B252,Ingot!$H$12:$H$119,Ingot!$G$12:$G$119,"")</f>
        <v>Metal</v>
      </c>
      <c r="B252" t="s">
        <v>491</v>
      </c>
      <c r="C252" t="s">
        <v>10</v>
      </c>
      <c r="D252" t="s">
        <v>516</v>
      </c>
      <c r="E252" t="s">
        <v>517</v>
      </c>
      <c r="G252" s="1">
        <v>3.5</v>
      </c>
    </row>
    <row r="253" spans="1:7" ht="14.25" hidden="1" customHeight="1" x14ac:dyDescent="0.45">
      <c r="A253" t="str">
        <f>_xlfn.XLOOKUP(B253,Ingot!$H$12:$H$119,Ingot!$G$12:$G$119,"")</f>
        <v>Metal</v>
      </c>
      <c r="B253" t="s">
        <v>491</v>
      </c>
      <c r="C253" t="s">
        <v>10</v>
      </c>
      <c r="D253" t="s">
        <v>518</v>
      </c>
      <c r="E253" t="s">
        <v>519</v>
      </c>
    </row>
    <row r="254" spans="1:7" ht="14.25" hidden="1" customHeight="1" x14ac:dyDescent="0.45">
      <c r="A254" t="str">
        <f>_xlfn.XLOOKUP(B254,Ingot!$H$12:$H$119,Ingot!$G$12:$G$119,"")</f>
        <v>Metal</v>
      </c>
      <c r="B254" t="s">
        <v>491</v>
      </c>
      <c r="C254" t="s">
        <v>10</v>
      </c>
      <c r="D254" t="s">
        <v>520</v>
      </c>
      <c r="E254" t="s">
        <v>521</v>
      </c>
      <c r="G254" s="1">
        <v>2.2000000000000002</v>
      </c>
    </row>
    <row r="255" spans="1:7" ht="14.25" hidden="1" customHeight="1" x14ac:dyDescent="0.45">
      <c r="A255" t="str">
        <f>_xlfn.XLOOKUP(B255,Ingot!$H$12:$H$119,Ingot!$G$12:$G$119,"")</f>
        <v>Metal</v>
      </c>
      <c r="B255" t="s">
        <v>491</v>
      </c>
      <c r="C255" t="s">
        <v>10</v>
      </c>
      <c r="D255" t="s">
        <v>522</v>
      </c>
      <c r="E255" t="s">
        <v>523</v>
      </c>
      <c r="G255" s="1">
        <v>1.1000000000000001</v>
      </c>
    </row>
    <row r="256" spans="1:7" ht="14.25" hidden="1" customHeight="1" x14ac:dyDescent="0.45">
      <c r="A256" t="str">
        <f>_xlfn.XLOOKUP(B256,Ingot!$H$12:$H$119,Ingot!$G$12:$G$119,"")</f>
        <v>Metal</v>
      </c>
      <c r="B256" t="s">
        <v>491</v>
      </c>
      <c r="C256" t="s">
        <v>10</v>
      </c>
      <c r="D256" t="s">
        <v>524</v>
      </c>
      <c r="E256" t="s">
        <v>525</v>
      </c>
      <c r="G256" s="1">
        <v>0.22</v>
      </c>
    </row>
    <row r="257" spans="1:7" ht="14.25" hidden="1" customHeight="1" x14ac:dyDescent="0.45">
      <c r="A257" t="str">
        <f>_xlfn.XLOOKUP(B257,Ingot!$H$12:$H$119,Ingot!$G$12:$G$119,"")</f>
        <v>Metal</v>
      </c>
      <c r="B257" t="s">
        <v>491</v>
      </c>
      <c r="C257" t="s">
        <v>10</v>
      </c>
      <c r="D257" t="s">
        <v>526</v>
      </c>
      <c r="E257" t="s">
        <v>527</v>
      </c>
      <c r="G257" s="1">
        <v>8.41</v>
      </c>
    </row>
    <row r="258" spans="1:7" ht="14.25" hidden="1" customHeight="1" x14ac:dyDescent="0.45">
      <c r="A258" t="str">
        <f>_xlfn.XLOOKUP(B258,Ingot!$H$12:$H$119,Ingot!$G$12:$G$119,"")</f>
        <v>Metal</v>
      </c>
      <c r="B258" t="s">
        <v>491</v>
      </c>
      <c r="C258" t="s">
        <v>10</v>
      </c>
      <c r="D258" t="s">
        <v>528</v>
      </c>
      <c r="E258" t="s">
        <v>529</v>
      </c>
      <c r="G258" s="1">
        <v>3.64</v>
      </c>
    </row>
    <row r="259" spans="1:7" ht="14.25" hidden="1" customHeight="1" x14ac:dyDescent="0.45">
      <c r="A259" t="str">
        <f>_xlfn.XLOOKUP(B259,Ingot!$H$12:$H$119,Ingot!$G$12:$G$119,"")</f>
        <v>Metal</v>
      </c>
      <c r="B259" t="s">
        <v>491</v>
      </c>
      <c r="C259" t="s">
        <v>10</v>
      </c>
      <c r="D259" t="s">
        <v>530</v>
      </c>
      <c r="E259" t="s">
        <v>531</v>
      </c>
      <c r="G259" s="1">
        <v>7.05</v>
      </c>
    </row>
    <row r="260" spans="1:7" ht="14.25" hidden="1" customHeight="1" x14ac:dyDescent="0.45">
      <c r="A260" t="str">
        <f>_xlfn.XLOOKUP(B260,Ingot!$H$12:$H$119,Ingot!$G$12:$G$119,"")</f>
        <v>Metal</v>
      </c>
      <c r="B260" t="s">
        <v>491</v>
      </c>
      <c r="C260" t="s">
        <v>10</v>
      </c>
      <c r="D260" t="s">
        <v>532</v>
      </c>
      <c r="E260" t="s">
        <v>533</v>
      </c>
      <c r="G260" s="1">
        <v>2.65</v>
      </c>
    </row>
    <row r="261" spans="1:7" ht="14.25" hidden="1" customHeight="1" x14ac:dyDescent="0.45">
      <c r="A261" t="str">
        <f>_xlfn.XLOOKUP(B261,Ingot!$H$12:$H$119,Ingot!$G$12:$G$119,"")</f>
        <v>Metal</v>
      </c>
      <c r="B261" t="s">
        <v>491</v>
      </c>
      <c r="C261" t="s">
        <v>10</v>
      </c>
      <c r="D261" t="s">
        <v>534</v>
      </c>
      <c r="E261" t="s">
        <v>535</v>
      </c>
      <c r="G261" s="1">
        <v>9</v>
      </c>
    </row>
    <row r="262" spans="1:7" ht="14.25" hidden="1" customHeight="1" x14ac:dyDescent="0.45">
      <c r="A262" t="str">
        <f>_xlfn.XLOOKUP(B262,Ingot!$H$12:$H$119,Ingot!$G$12:$G$119,"")</f>
        <v>Metal</v>
      </c>
      <c r="B262" t="s">
        <v>491</v>
      </c>
      <c r="C262" t="s">
        <v>10</v>
      </c>
      <c r="D262" t="s">
        <v>536</v>
      </c>
      <c r="E262" t="s">
        <v>537</v>
      </c>
      <c r="G262" s="1">
        <v>10.23</v>
      </c>
    </row>
    <row r="263" spans="1:7" ht="14.25" hidden="1" customHeight="1" x14ac:dyDescent="0.45">
      <c r="A263" t="str">
        <f>_xlfn.XLOOKUP(B263,Ingot!$H$12:$H$119,Ingot!$G$12:$G$119,"")</f>
        <v>Metal</v>
      </c>
      <c r="B263" t="s">
        <v>491</v>
      </c>
      <c r="C263" t="s">
        <v>10</v>
      </c>
      <c r="D263" t="s">
        <v>538</v>
      </c>
      <c r="E263" t="s">
        <v>539</v>
      </c>
      <c r="G263" s="1">
        <v>7.7</v>
      </c>
    </row>
    <row r="264" spans="1:7" ht="14.25" hidden="1" customHeight="1" x14ac:dyDescent="0.45">
      <c r="A264" t="str">
        <f>_xlfn.XLOOKUP(B264,Ingot!$H$12:$H$119,Ingot!$G$12:$G$119,"")</f>
        <v>Metal</v>
      </c>
      <c r="B264" t="s">
        <v>491</v>
      </c>
      <c r="C264" t="s">
        <v>10</v>
      </c>
      <c r="D264" t="s">
        <v>540</v>
      </c>
      <c r="E264" t="s">
        <v>541</v>
      </c>
      <c r="G264" s="1">
        <v>10.02</v>
      </c>
    </row>
    <row r="265" spans="1:7" ht="14.25" hidden="1" customHeight="1" x14ac:dyDescent="0.45">
      <c r="A265" t="str">
        <f>_xlfn.XLOOKUP(B265,Ingot!$H$12:$H$119,Ingot!$G$12:$G$119,"")</f>
        <v>Metal</v>
      </c>
      <c r="B265" t="s">
        <v>491</v>
      </c>
      <c r="C265" t="s">
        <v>10</v>
      </c>
      <c r="D265" t="s">
        <v>542</v>
      </c>
      <c r="E265" t="s">
        <v>543</v>
      </c>
      <c r="G265" s="1">
        <v>11.81</v>
      </c>
    </row>
    <row r="266" spans="1:7" ht="14.25" hidden="1" customHeight="1" x14ac:dyDescent="0.45">
      <c r="A266" t="str">
        <f>_xlfn.XLOOKUP(B266,Ingot!$H$12:$H$119,Ingot!$G$12:$G$119,"")</f>
        <v>Metal</v>
      </c>
      <c r="B266" t="s">
        <v>491</v>
      </c>
      <c r="C266" t="s">
        <v>10</v>
      </c>
      <c r="D266" t="s">
        <v>544</v>
      </c>
      <c r="E266" t="s">
        <v>545</v>
      </c>
      <c r="G266" s="1">
        <v>8.44</v>
      </c>
    </row>
    <row r="267" spans="1:7" ht="14.25" hidden="1" customHeight="1" x14ac:dyDescent="0.45">
      <c r="A267" t="str">
        <f>_xlfn.XLOOKUP(B267,Ingot!$H$12:$H$119,Ingot!$G$12:$G$119,"")</f>
        <v>Metal</v>
      </c>
      <c r="B267" t="s">
        <v>491</v>
      </c>
      <c r="C267" t="s">
        <v>10</v>
      </c>
      <c r="D267" t="s">
        <v>546</v>
      </c>
      <c r="E267" t="s">
        <v>547</v>
      </c>
      <c r="G267" s="1">
        <v>10.42</v>
      </c>
    </row>
    <row r="268" spans="1:7" ht="14.25" hidden="1" customHeight="1" x14ac:dyDescent="0.45">
      <c r="A268" t="str">
        <f>_xlfn.XLOOKUP(B268,Ingot!$H$12:$H$119,Ingot!$G$12:$G$119,"")</f>
        <v>Metal</v>
      </c>
      <c r="B268" t="s">
        <v>491</v>
      </c>
      <c r="C268" t="s">
        <v>10</v>
      </c>
      <c r="D268" t="s">
        <v>548</v>
      </c>
      <c r="E268" t="s">
        <v>549</v>
      </c>
    </row>
    <row r="269" spans="1:7" ht="14.25" hidden="1" customHeight="1" x14ac:dyDescent="0.45">
      <c r="A269" t="str">
        <f>_xlfn.XLOOKUP(B269,Ingot!$H$12:$H$119,Ingot!$G$12:$G$119,"")</f>
        <v>Metal</v>
      </c>
      <c r="B269" t="s">
        <v>491</v>
      </c>
      <c r="C269" t="s">
        <v>10</v>
      </c>
      <c r="D269" t="s">
        <v>550</v>
      </c>
      <c r="E269" t="s">
        <v>551</v>
      </c>
      <c r="G269" s="1">
        <v>7.96</v>
      </c>
    </row>
    <row r="270" spans="1:7" ht="14.25" hidden="1" customHeight="1" x14ac:dyDescent="0.45">
      <c r="A270" t="str">
        <f>_xlfn.XLOOKUP(B270,Ingot!$H$12:$H$119,Ingot!$G$12:$G$119,"")</f>
        <v>Metal</v>
      </c>
      <c r="B270" t="s">
        <v>491</v>
      </c>
      <c r="C270" t="s">
        <v>10</v>
      </c>
      <c r="D270" t="s">
        <v>552</v>
      </c>
      <c r="E270" t="s">
        <v>553</v>
      </c>
      <c r="G270" s="1">
        <v>9.64</v>
      </c>
    </row>
    <row r="271" spans="1:7" ht="14.25" hidden="1" customHeight="1" x14ac:dyDescent="0.45">
      <c r="A271" t="str">
        <f>_xlfn.XLOOKUP(B271,Ingot!$H$12:$H$119,Ingot!$G$12:$G$119,"")</f>
        <v>Metal</v>
      </c>
      <c r="B271" t="s">
        <v>491</v>
      </c>
      <c r="C271" t="s">
        <v>10</v>
      </c>
      <c r="D271" t="s">
        <v>554</v>
      </c>
      <c r="E271" t="s">
        <v>555</v>
      </c>
      <c r="G271" s="1">
        <v>7.94</v>
      </c>
    </row>
    <row r="272" spans="1:7" ht="14.25" hidden="1" customHeight="1" x14ac:dyDescent="0.45">
      <c r="A272" t="str">
        <f>_xlfn.XLOOKUP(B272,Ingot!$H$12:$H$119,Ingot!$G$12:$G$119,"")</f>
        <v>Metal</v>
      </c>
      <c r="B272" t="s">
        <v>491</v>
      </c>
      <c r="C272" t="s">
        <v>10</v>
      </c>
      <c r="D272" t="s">
        <v>556</v>
      </c>
      <c r="E272" t="s">
        <v>557</v>
      </c>
      <c r="G272" s="1">
        <v>8.66</v>
      </c>
    </row>
    <row r="273" spans="1:7" ht="14.25" hidden="1" customHeight="1" x14ac:dyDescent="0.45">
      <c r="A273" t="str">
        <f>_xlfn.XLOOKUP(B273,Ingot!$H$12:$H$119,Ingot!$G$12:$G$119,"")</f>
        <v>Metal</v>
      </c>
      <c r="B273" t="s">
        <v>491</v>
      </c>
      <c r="C273" t="s">
        <v>10</v>
      </c>
      <c r="D273" t="s">
        <v>558</v>
      </c>
      <c r="E273" t="s">
        <v>559</v>
      </c>
    </row>
    <row r="274" spans="1:7" ht="14.25" hidden="1" customHeight="1" x14ac:dyDescent="0.45">
      <c r="A274" t="str">
        <f>_xlfn.XLOOKUP(B274,Ingot!$H$12:$H$119,Ingot!$G$12:$G$119,"")</f>
        <v>Metal</v>
      </c>
      <c r="B274" t="s">
        <v>491</v>
      </c>
      <c r="C274" t="s">
        <v>10</v>
      </c>
      <c r="D274" t="s">
        <v>560</v>
      </c>
      <c r="E274" t="s">
        <v>561</v>
      </c>
      <c r="G274" s="1">
        <v>2.65</v>
      </c>
    </row>
    <row r="275" spans="1:7" ht="14.25" hidden="1" customHeight="1" x14ac:dyDescent="0.45">
      <c r="A275" t="str">
        <f>_xlfn.XLOOKUP(B275,Ingot!$H$12:$H$119,Ingot!$G$12:$G$119,"")</f>
        <v>Metal</v>
      </c>
      <c r="B275" t="s">
        <v>491</v>
      </c>
      <c r="C275" t="s">
        <v>10</v>
      </c>
      <c r="D275" t="s">
        <v>562</v>
      </c>
      <c r="E275" t="s">
        <v>563</v>
      </c>
    </row>
    <row r="276" spans="1:7" ht="14.25" hidden="1" customHeight="1" x14ac:dyDescent="0.45">
      <c r="A276" t="str">
        <f>_xlfn.XLOOKUP(B276,Ingot!$H$12:$H$119,Ingot!$G$12:$G$119,"")</f>
        <v>Metal</v>
      </c>
      <c r="B276" t="s">
        <v>491</v>
      </c>
      <c r="C276" t="s">
        <v>10</v>
      </c>
      <c r="D276" t="s">
        <v>564</v>
      </c>
      <c r="E276" t="s">
        <v>565</v>
      </c>
      <c r="G276" s="1">
        <v>12.64</v>
      </c>
    </row>
    <row r="277" spans="1:7" ht="14.25" hidden="1" customHeight="1" x14ac:dyDescent="0.45">
      <c r="A277" t="str">
        <f>_xlfn.XLOOKUP(B277,Ingot!$H$12:$H$119,Ingot!$G$12:$G$119,"")</f>
        <v>Metal</v>
      </c>
      <c r="B277" t="s">
        <v>491</v>
      </c>
      <c r="C277" t="s">
        <v>10</v>
      </c>
      <c r="D277" t="s">
        <v>566</v>
      </c>
      <c r="E277" t="s">
        <v>567</v>
      </c>
      <c r="G277" s="1">
        <v>22.67</v>
      </c>
    </row>
    <row r="278" spans="1:7" ht="14.25" hidden="1" customHeight="1" x14ac:dyDescent="0.45">
      <c r="A278" t="str">
        <f>_xlfn.XLOOKUP(B278,Ingot!$H$12:$H$119,Ingot!$G$12:$G$119,"")</f>
        <v>Metal</v>
      </c>
      <c r="B278" t="s">
        <v>491</v>
      </c>
      <c r="C278" t="s">
        <v>10</v>
      </c>
      <c r="D278" t="s">
        <v>568</v>
      </c>
      <c r="E278" t="s">
        <v>569</v>
      </c>
      <c r="G278" s="1">
        <v>8.3800000000000008</v>
      </c>
    </row>
    <row r="279" spans="1:7" ht="14.25" hidden="1" customHeight="1" x14ac:dyDescent="0.45">
      <c r="A279" t="str">
        <f>_xlfn.XLOOKUP(B279,Ingot!$H$12:$H$119,Ingot!$G$12:$G$119,"")</f>
        <v>Metal</v>
      </c>
      <c r="B279" t="s">
        <v>491</v>
      </c>
      <c r="C279" t="s">
        <v>10</v>
      </c>
      <c r="D279" t="s">
        <v>570</v>
      </c>
      <c r="E279" t="s">
        <v>571</v>
      </c>
      <c r="G279" s="1">
        <v>2.2000000000000002</v>
      </c>
    </row>
    <row r="280" spans="1:7" ht="14.25" hidden="1" customHeight="1" x14ac:dyDescent="0.45">
      <c r="A280" t="str">
        <f>_xlfn.XLOOKUP(B280,Ingot!$H$12:$H$119,Ingot!$G$12:$G$119,"")</f>
        <v>Metal</v>
      </c>
      <c r="B280" t="s">
        <v>491</v>
      </c>
      <c r="C280" t="s">
        <v>10</v>
      </c>
      <c r="D280" t="s">
        <v>572</v>
      </c>
      <c r="E280" t="s">
        <v>573</v>
      </c>
      <c r="G280" s="1">
        <v>3.09</v>
      </c>
    </row>
    <row r="281" spans="1:7" ht="14.25" hidden="1" customHeight="1" x14ac:dyDescent="0.45">
      <c r="A281" t="str">
        <f>_xlfn.XLOOKUP(B281,Ingot!$H$12:$H$119,Ingot!$G$12:$G$119,"")</f>
        <v>Metal</v>
      </c>
      <c r="B281" t="s">
        <v>491</v>
      </c>
      <c r="C281" t="s">
        <v>10</v>
      </c>
      <c r="D281" t="s">
        <v>574</v>
      </c>
      <c r="E281" t="s">
        <v>575</v>
      </c>
      <c r="G281" s="1">
        <v>2.2999999999999998</v>
      </c>
    </row>
    <row r="282" spans="1:7" ht="14.25" hidden="1" customHeight="1" x14ac:dyDescent="0.45">
      <c r="A282" t="str">
        <f>_xlfn.XLOOKUP(B282,Ingot!$H$12:$H$119,Ingot!$G$12:$G$119,"")</f>
        <v>Metal</v>
      </c>
      <c r="B282" t="s">
        <v>491</v>
      </c>
      <c r="C282" t="s">
        <v>10</v>
      </c>
      <c r="D282" t="s">
        <v>576</v>
      </c>
      <c r="E282" t="s">
        <v>577</v>
      </c>
      <c r="G282" s="1">
        <v>4.88</v>
      </c>
    </row>
    <row r="283" spans="1:7" ht="14.25" hidden="1" customHeight="1" x14ac:dyDescent="0.45">
      <c r="A283" t="str">
        <f>_xlfn.XLOOKUP(B283,Ingot!$H$12:$H$119,Ingot!$G$12:$G$119,"")</f>
        <v>Metal</v>
      </c>
      <c r="B283" t="s">
        <v>491</v>
      </c>
      <c r="C283" t="s">
        <v>10</v>
      </c>
      <c r="D283" t="s">
        <v>578</v>
      </c>
      <c r="E283" t="s">
        <v>579</v>
      </c>
      <c r="G283" s="1">
        <v>8.43</v>
      </c>
    </row>
    <row r="284" spans="1:7" ht="14.25" hidden="1" customHeight="1" x14ac:dyDescent="0.45">
      <c r="A284" t="str">
        <f>_xlfn.XLOOKUP(B284,Ingot!$H$12:$H$119,Ingot!$G$12:$G$119,"")</f>
        <v>Metal</v>
      </c>
      <c r="B284" t="s">
        <v>491</v>
      </c>
      <c r="C284" t="s">
        <v>10</v>
      </c>
      <c r="D284" t="s">
        <v>580</v>
      </c>
      <c r="E284" t="s">
        <v>581</v>
      </c>
      <c r="G284" s="1">
        <v>13.07</v>
      </c>
    </row>
    <row r="285" spans="1:7" ht="14.25" hidden="1" customHeight="1" x14ac:dyDescent="0.45">
      <c r="A285" t="str">
        <f>_xlfn.XLOOKUP(B285,Ingot!$H$12:$H$119,Ingot!$G$12:$G$119,"")</f>
        <v>Metal</v>
      </c>
      <c r="B285" t="s">
        <v>491</v>
      </c>
      <c r="C285" t="s">
        <v>10</v>
      </c>
      <c r="D285" t="s">
        <v>582</v>
      </c>
      <c r="E285" t="s">
        <v>583</v>
      </c>
    </row>
    <row r="286" spans="1:7" ht="14.25" hidden="1" customHeight="1" x14ac:dyDescent="0.45">
      <c r="A286" t="str">
        <f>_xlfn.XLOOKUP(B286,Ingot!$H$12:$H$119,Ingot!$G$12:$G$119,"")</f>
        <v>Metal</v>
      </c>
      <c r="B286" t="s">
        <v>491</v>
      </c>
      <c r="C286" t="s">
        <v>10</v>
      </c>
      <c r="D286" t="s">
        <v>584</v>
      </c>
      <c r="E286" t="s">
        <v>585</v>
      </c>
    </row>
    <row r="287" spans="1:7" ht="14.25" hidden="1" customHeight="1" x14ac:dyDescent="0.45">
      <c r="A287" t="str">
        <f>_xlfn.XLOOKUP(B287,Ingot!$H$12:$H$119,Ingot!$G$12:$G$119,"")</f>
        <v>Metal</v>
      </c>
      <c r="B287" t="s">
        <v>491</v>
      </c>
      <c r="C287" t="s">
        <v>10</v>
      </c>
      <c r="D287" t="s">
        <v>586</v>
      </c>
      <c r="E287" t="s">
        <v>587</v>
      </c>
      <c r="G287" s="1">
        <v>6.8</v>
      </c>
    </row>
    <row r="288" spans="1:7" ht="14.25" hidden="1" customHeight="1" x14ac:dyDescent="0.45">
      <c r="A288" t="str">
        <f>_xlfn.XLOOKUP(B288,Ingot!$H$12:$H$119,Ingot!$G$12:$G$119,"")</f>
        <v>Metal</v>
      </c>
      <c r="B288" t="s">
        <v>491</v>
      </c>
      <c r="C288" t="s">
        <v>10</v>
      </c>
      <c r="D288" t="s">
        <v>588</v>
      </c>
      <c r="E288" t="s">
        <v>589</v>
      </c>
      <c r="G288" s="1">
        <v>6.88</v>
      </c>
    </row>
    <row r="289" spans="1:7" ht="14.25" hidden="1" customHeight="1" x14ac:dyDescent="0.45">
      <c r="A289" t="str">
        <f>_xlfn.XLOOKUP(B289,Ingot!$H$12:$H$119,Ingot!$G$12:$G$119,"")</f>
        <v>Metal</v>
      </c>
      <c r="B289" t="s">
        <v>491</v>
      </c>
      <c r="C289" t="s">
        <v>10</v>
      </c>
      <c r="D289" t="s">
        <v>590</v>
      </c>
      <c r="E289" t="s">
        <v>591</v>
      </c>
      <c r="G289" s="1">
        <v>5.5</v>
      </c>
    </row>
    <row r="290" spans="1:7" ht="14.25" hidden="1" customHeight="1" x14ac:dyDescent="0.45">
      <c r="A290" t="str">
        <f>_xlfn.XLOOKUP(B290,Ingot!$H$12:$H$119,Ingot!$G$12:$G$119,"")</f>
        <v>Metal</v>
      </c>
      <c r="B290" t="s">
        <v>491</v>
      </c>
      <c r="C290" t="s">
        <v>10</v>
      </c>
      <c r="D290" t="s">
        <v>592</v>
      </c>
      <c r="E290" t="s">
        <v>593</v>
      </c>
      <c r="G290" s="1">
        <v>2.4300000000000002</v>
      </c>
    </row>
    <row r="291" spans="1:7" ht="14.25" hidden="1" customHeight="1" x14ac:dyDescent="0.45">
      <c r="A291" t="str">
        <f>_xlfn.XLOOKUP(B291,Ingot!$H$12:$H$119,Ingot!$G$12:$G$119,"")</f>
        <v>Metal</v>
      </c>
      <c r="B291" t="s">
        <v>491</v>
      </c>
      <c r="C291" t="s">
        <v>10</v>
      </c>
      <c r="D291" t="s">
        <v>594</v>
      </c>
      <c r="E291" t="s">
        <v>595</v>
      </c>
      <c r="G291" s="1">
        <v>6.96</v>
      </c>
    </row>
    <row r="292" spans="1:7" ht="14.25" hidden="1" customHeight="1" x14ac:dyDescent="0.45">
      <c r="A292" t="str">
        <f>_xlfn.XLOOKUP(B292,Ingot!$H$12:$H$119,Ingot!$G$12:$G$119,"")</f>
        <v>Metal</v>
      </c>
      <c r="B292" t="s">
        <v>491</v>
      </c>
      <c r="C292" t="s">
        <v>10</v>
      </c>
      <c r="D292" t="s">
        <v>596</v>
      </c>
      <c r="E292" t="s">
        <v>597</v>
      </c>
      <c r="G292" s="1">
        <v>6.32</v>
      </c>
    </row>
    <row r="293" spans="1:7" ht="14.25" hidden="1" customHeight="1" x14ac:dyDescent="0.45">
      <c r="A293" t="str">
        <f>_xlfn.XLOOKUP(B293,Ingot!$H$12:$H$119,Ingot!$G$12:$G$119,"")</f>
        <v>Metal</v>
      </c>
      <c r="B293" t="s">
        <v>491</v>
      </c>
      <c r="C293" t="s">
        <v>10</v>
      </c>
      <c r="D293" t="s">
        <v>598</v>
      </c>
      <c r="E293" t="s">
        <v>599</v>
      </c>
      <c r="G293" s="1">
        <v>6.88</v>
      </c>
    </row>
    <row r="294" spans="1:7" ht="14.25" hidden="1" customHeight="1" x14ac:dyDescent="0.45">
      <c r="A294" t="str">
        <f>_xlfn.XLOOKUP(B294,Ingot!$H$12:$H$119,Ingot!$G$12:$G$119,"")</f>
        <v>Metal</v>
      </c>
      <c r="B294" t="s">
        <v>491</v>
      </c>
      <c r="C294" t="s">
        <v>10</v>
      </c>
      <c r="D294" t="s">
        <v>600</v>
      </c>
      <c r="E294" t="s">
        <v>601</v>
      </c>
      <c r="G294" s="1">
        <v>2.44</v>
      </c>
    </row>
    <row r="295" spans="1:7" ht="14.25" hidden="1" customHeight="1" x14ac:dyDescent="0.45">
      <c r="A295" t="str">
        <f>_xlfn.XLOOKUP(B295,Ingot!$H$12:$H$119,Ingot!$G$12:$G$119,"")</f>
        <v>Metal</v>
      </c>
      <c r="B295" t="s">
        <v>491</v>
      </c>
      <c r="C295" t="s">
        <v>10</v>
      </c>
      <c r="D295" t="s">
        <v>602</v>
      </c>
      <c r="E295" t="s">
        <v>603</v>
      </c>
    </row>
    <row r="296" spans="1:7" ht="14.25" hidden="1" customHeight="1" x14ac:dyDescent="0.45">
      <c r="A296" t="str">
        <f>_xlfn.XLOOKUP(B296,Ingot!$H$12:$H$119,Ingot!$G$12:$G$119,"")</f>
        <v>Metal</v>
      </c>
      <c r="B296" t="s">
        <v>491</v>
      </c>
      <c r="C296" t="s">
        <v>10</v>
      </c>
      <c r="D296" t="s">
        <v>604</v>
      </c>
      <c r="E296" t="s">
        <v>605</v>
      </c>
    </row>
    <row r="297" spans="1:7" ht="14.25" hidden="1" customHeight="1" x14ac:dyDescent="0.45">
      <c r="A297" t="str">
        <f>_xlfn.XLOOKUP(B297,Ingot!$H$12:$H$119,Ingot!$G$12:$G$119,"")</f>
        <v>Metal</v>
      </c>
      <c r="B297" t="s">
        <v>491</v>
      </c>
      <c r="C297" t="s">
        <v>10</v>
      </c>
      <c r="D297" t="s">
        <v>606</v>
      </c>
      <c r="E297" t="s">
        <v>607</v>
      </c>
      <c r="G297" s="1">
        <v>3.11</v>
      </c>
    </row>
    <row r="298" spans="1:7" ht="14.25" hidden="1" customHeight="1" x14ac:dyDescent="0.45">
      <c r="A298" t="str">
        <f>_xlfn.XLOOKUP(B298,Ingot!$H$12:$H$119,Ingot!$G$12:$G$119,"")</f>
        <v>Metal</v>
      </c>
      <c r="B298" t="s">
        <v>491</v>
      </c>
      <c r="C298" t="s">
        <v>10</v>
      </c>
      <c r="D298" t="s">
        <v>608</v>
      </c>
      <c r="E298" t="s">
        <v>609</v>
      </c>
      <c r="G298" s="1">
        <v>2.44</v>
      </c>
    </row>
    <row r="299" spans="1:7" ht="14.25" hidden="1" customHeight="1" x14ac:dyDescent="0.45">
      <c r="A299" t="str">
        <f>_xlfn.XLOOKUP(B299,Ingot!$H$12:$H$119,Ingot!$G$12:$G$119,"")</f>
        <v>Metal</v>
      </c>
      <c r="B299" t="s">
        <v>491</v>
      </c>
      <c r="C299" t="s">
        <v>10</v>
      </c>
      <c r="D299" t="s">
        <v>610</v>
      </c>
      <c r="E299" t="s">
        <v>611</v>
      </c>
      <c r="G299" s="1">
        <v>8.61</v>
      </c>
    </row>
    <row r="300" spans="1:7" ht="14.25" hidden="1" customHeight="1" x14ac:dyDescent="0.45">
      <c r="A300" t="str">
        <f>_xlfn.XLOOKUP(B300,Ingot!$H$12:$H$119,Ingot!$G$12:$G$119,"")</f>
        <v>Metal</v>
      </c>
      <c r="B300" t="s">
        <v>491</v>
      </c>
      <c r="C300" t="s">
        <v>10</v>
      </c>
      <c r="D300" t="s">
        <v>612</v>
      </c>
      <c r="E300" t="s">
        <v>613</v>
      </c>
    </row>
    <row r="301" spans="1:7" ht="14.25" hidden="1" customHeight="1" x14ac:dyDescent="0.45">
      <c r="A301" t="str">
        <f>_xlfn.XLOOKUP(B301,Ingot!$H$12:$H$119,Ingot!$G$12:$G$119,"")</f>
        <v>Metal</v>
      </c>
      <c r="B301" t="s">
        <v>491</v>
      </c>
      <c r="C301" t="s">
        <v>10</v>
      </c>
      <c r="D301" t="s">
        <v>614</v>
      </c>
      <c r="E301" t="s">
        <v>615</v>
      </c>
      <c r="G301" s="1">
        <v>3.21</v>
      </c>
    </row>
    <row r="302" spans="1:7" ht="14.25" hidden="1" customHeight="1" x14ac:dyDescent="0.45">
      <c r="A302" t="str">
        <f>_xlfn.XLOOKUP(B302,Ingot!$H$12:$H$119,Ingot!$G$12:$G$119,"")</f>
        <v>Metal</v>
      </c>
      <c r="B302" t="s">
        <v>491</v>
      </c>
      <c r="C302" t="s">
        <v>10</v>
      </c>
      <c r="D302" t="s">
        <v>616</v>
      </c>
      <c r="E302" t="s">
        <v>617</v>
      </c>
      <c r="G302" s="1">
        <v>2.77</v>
      </c>
    </row>
    <row r="303" spans="1:7" ht="14.25" hidden="1" customHeight="1" x14ac:dyDescent="0.45">
      <c r="A303" t="str">
        <f>_xlfn.XLOOKUP(B303,Ingot!$H$12:$H$119,Ingot!$G$12:$G$119,"")</f>
        <v>Metal</v>
      </c>
      <c r="B303" t="s">
        <v>491</v>
      </c>
      <c r="C303" t="s">
        <v>10</v>
      </c>
      <c r="D303" t="s">
        <v>618</v>
      </c>
      <c r="E303" t="s">
        <v>619</v>
      </c>
      <c r="G303" s="1">
        <v>4.8899999999999997</v>
      </c>
    </row>
    <row r="304" spans="1:7" ht="14.25" hidden="1" customHeight="1" x14ac:dyDescent="0.45">
      <c r="A304" t="str">
        <f>_xlfn.XLOOKUP(B304,Ingot!$H$12:$H$119,Ingot!$G$12:$G$119,"")</f>
        <v>Metal</v>
      </c>
      <c r="B304" t="s">
        <v>491</v>
      </c>
      <c r="C304" t="s">
        <v>10</v>
      </c>
      <c r="D304" t="s">
        <v>620</v>
      </c>
      <c r="E304" t="s">
        <v>621</v>
      </c>
      <c r="G304" s="1">
        <v>1.76</v>
      </c>
    </row>
    <row r="305" spans="1:7" ht="14.25" hidden="1" customHeight="1" x14ac:dyDescent="0.45">
      <c r="A305" t="str">
        <f>_xlfn.XLOOKUP(B305,Ingot!$H$12:$H$119,Ingot!$G$12:$G$119,"")</f>
        <v>Metal</v>
      </c>
      <c r="B305" t="s">
        <v>491</v>
      </c>
      <c r="C305" t="s">
        <v>10</v>
      </c>
      <c r="D305" t="s">
        <v>622</v>
      </c>
      <c r="E305" t="s">
        <v>623</v>
      </c>
    </row>
    <row r="306" spans="1:7" ht="14.25" hidden="1" customHeight="1" x14ac:dyDescent="0.45">
      <c r="A306" t="str">
        <f>_xlfn.XLOOKUP(B306,Ingot!$H$12:$H$119,Ingot!$G$12:$G$119,"")</f>
        <v>Metal</v>
      </c>
      <c r="B306" t="s">
        <v>491</v>
      </c>
      <c r="C306" t="s">
        <v>10</v>
      </c>
      <c r="D306" t="s">
        <v>624</v>
      </c>
      <c r="E306" t="s">
        <v>625</v>
      </c>
      <c r="G306" s="1">
        <v>8.57</v>
      </c>
    </row>
    <row r="307" spans="1:7" ht="14.25" hidden="1" customHeight="1" x14ac:dyDescent="0.45">
      <c r="A307" t="str">
        <f>_xlfn.XLOOKUP(B307,Ingot!$H$12:$H$119,Ingot!$G$12:$G$119,"")</f>
        <v>Metal</v>
      </c>
      <c r="B307" t="s">
        <v>491</v>
      </c>
      <c r="C307" t="s">
        <v>10</v>
      </c>
      <c r="D307" t="s">
        <v>626</v>
      </c>
      <c r="E307" t="s">
        <v>627</v>
      </c>
    </row>
    <row r="308" spans="1:7" ht="14.25" hidden="1" customHeight="1" x14ac:dyDescent="0.45">
      <c r="A308" t="str">
        <f>_xlfn.XLOOKUP(B308,Ingot!$H$12:$H$119,Ingot!$G$12:$G$119,"")</f>
        <v>Metal</v>
      </c>
      <c r="B308" t="s">
        <v>491</v>
      </c>
      <c r="C308" t="s">
        <v>10</v>
      </c>
      <c r="D308" t="s">
        <v>628</v>
      </c>
      <c r="E308" t="s">
        <v>629</v>
      </c>
      <c r="G308" s="1">
        <v>3.56</v>
      </c>
    </row>
    <row r="309" spans="1:7" ht="14.25" hidden="1" customHeight="1" x14ac:dyDescent="0.45">
      <c r="A309" t="str">
        <f>_xlfn.XLOOKUP(B309,Ingot!$H$12:$H$119,Ingot!$G$12:$G$119,"")</f>
        <v>Metal</v>
      </c>
      <c r="B309" t="s">
        <v>491</v>
      </c>
      <c r="C309" t="s">
        <v>10</v>
      </c>
      <c r="D309" t="s">
        <v>630</v>
      </c>
      <c r="E309" t="s">
        <v>631</v>
      </c>
      <c r="G309" s="1">
        <v>8.91</v>
      </c>
    </row>
    <row r="310" spans="1:7" ht="14.25" hidden="1" customHeight="1" x14ac:dyDescent="0.45">
      <c r="A310" t="str">
        <f>_xlfn.XLOOKUP(B310,Ingot!$H$12:$H$119,Ingot!$G$12:$G$119,"")</f>
        <v>Metal</v>
      </c>
      <c r="B310" t="s">
        <v>491</v>
      </c>
      <c r="C310" t="s">
        <v>10</v>
      </c>
      <c r="D310" t="s">
        <v>632</v>
      </c>
      <c r="E310" t="s">
        <v>633</v>
      </c>
      <c r="G310" s="1">
        <v>11.02</v>
      </c>
    </row>
    <row r="311" spans="1:7" ht="14.25" hidden="1" customHeight="1" x14ac:dyDescent="0.45">
      <c r="A311" t="str">
        <f>_xlfn.XLOOKUP(B311,Ingot!$H$12:$H$119,Ingot!$G$12:$G$119,"")</f>
        <v>Metal</v>
      </c>
      <c r="B311" t="s">
        <v>491</v>
      </c>
      <c r="C311" t="s">
        <v>10</v>
      </c>
      <c r="D311" t="s">
        <v>634</v>
      </c>
      <c r="E311" t="s">
        <v>635</v>
      </c>
      <c r="G311" s="1">
        <v>5.12</v>
      </c>
    </row>
    <row r="312" spans="1:7" ht="14.25" hidden="1" customHeight="1" x14ac:dyDescent="0.45">
      <c r="A312" t="str">
        <f>_xlfn.XLOOKUP(B312,Ingot!$H$12:$H$119,Ingot!$G$12:$G$119,"")</f>
        <v>Metal</v>
      </c>
      <c r="B312" t="s">
        <v>491</v>
      </c>
      <c r="C312" t="s">
        <v>10</v>
      </c>
      <c r="D312" t="s">
        <v>636</v>
      </c>
      <c r="E312" t="s">
        <v>637</v>
      </c>
      <c r="G312" s="1">
        <v>4.41</v>
      </c>
    </row>
    <row r="313" spans="1:7" ht="14.25" hidden="1" customHeight="1" x14ac:dyDescent="0.45">
      <c r="A313" t="str">
        <f>_xlfn.XLOOKUP(B313,Ingot!$H$12:$H$119,Ingot!$G$12:$G$119,"")</f>
        <v>Metal</v>
      </c>
      <c r="B313" t="s">
        <v>491</v>
      </c>
      <c r="C313" t="s">
        <v>157</v>
      </c>
      <c r="D313" t="s">
        <v>638</v>
      </c>
      <c r="E313" t="s">
        <v>639</v>
      </c>
      <c r="G313" s="1">
        <v>35</v>
      </c>
    </row>
    <row r="314" spans="1:7" ht="14.25" hidden="1" customHeight="1" x14ac:dyDescent="0.45">
      <c r="A314" t="str">
        <f>_xlfn.XLOOKUP(B314,Ingot!$H$12:$H$119,Ingot!$G$12:$G$119,"")</f>
        <v>Metal</v>
      </c>
      <c r="B314" t="s">
        <v>491</v>
      </c>
      <c r="C314" t="s">
        <v>157</v>
      </c>
      <c r="D314" t="s">
        <v>640</v>
      </c>
      <c r="E314" t="s">
        <v>641</v>
      </c>
      <c r="G314" s="1">
        <v>7</v>
      </c>
    </row>
    <row r="315" spans="1:7" ht="14.25" hidden="1" customHeight="1" x14ac:dyDescent="0.45">
      <c r="A315" t="str">
        <f>_xlfn.XLOOKUP(B315,Ingot!$H$12:$H$119,Ingot!$G$12:$G$119,"")</f>
        <v>Metal</v>
      </c>
      <c r="B315" t="s">
        <v>491</v>
      </c>
      <c r="C315" t="s">
        <v>157</v>
      </c>
      <c r="D315" t="s">
        <v>642</v>
      </c>
      <c r="E315" t="s">
        <v>643</v>
      </c>
      <c r="G315" s="1">
        <v>7</v>
      </c>
    </row>
    <row r="316" spans="1:7" ht="14.25" hidden="1" customHeight="1" x14ac:dyDescent="0.45">
      <c r="A316" t="str">
        <f>_xlfn.XLOOKUP(B316,Ingot!$H$12:$H$119,Ingot!$G$12:$G$119,"")</f>
        <v>Metal</v>
      </c>
      <c r="B316" t="s">
        <v>491</v>
      </c>
      <c r="C316" t="s">
        <v>157</v>
      </c>
      <c r="D316" t="s">
        <v>644</v>
      </c>
      <c r="E316" t="s">
        <v>645</v>
      </c>
      <c r="G316" s="1">
        <v>5</v>
      </c>
    </row>
    <row r="317" spans="1:7" ht="14.25" hidden="1" customHeight="1" x14ac:dyDescent="0.45">
      <c r="A317" t="str">
        <f>_xlfn.XLOOKUP(B317,Ingot!$H$12:$H$119,Ingot!$G$12:$G$119,"")</f>
        <v>Metal</v>
      </c>
      <c r="B317" t="s">
        <v>491</v>
      </c>
      <c r="C317" t="s">
        <v>157</v>
      </c>
      <c r="D317" t="s">
        <v>646</v>
      </c>
      <c r="E317" t="s">
        <v>647</v>
      </c>
      <c r="G317" s="1">
        <v>10</v>
      </c>
    </row>
    <row r="318" spans="1:7" ht="14.25" hidden="1" customHeight="1" x14ac:dyDescent="0.45">
      <c r="A318" t="str">
        <f>_xlfn.XLOOKUP(B318,Ingot!$H$12:$H$119,Ingot!$G$12:$G$119,"")</f>
        <v>Metal</v>
      </c>
      <c r="B318" t="s">
        <v>491</v>
      </c>
      <c r="C318" t="s">
        <v>157</v>
      </c>
      <c r="D318" t="s">
        <v>648</v>
      </c>
      <c r="E318" t="s">
        <v>649</v>
      </c>
      <c r="G318" s="1">
        <v>29.5</v>
      </c>
    </row>
    <row r="319" spans="1:7" ht="14.25" hidden="1" customHeight="1" x14ac:dyDescent="0.45">
      <c r="A319" t="str">
        <f>_xlfn.XLOOKUP(B319,Ingot!$H$12:$H$119,Ingot!$G$12:$G$119,"")</f>
        <v>Metal</v>
      </c>
      <c r="B319" t="s">
        <v>491</v>
      </c>
      <c r="C319" t="s">
        <v>157</v>
      </c>
      <c r="D319" t="s">
        <v>650</v>
      </c>
      <c r="E319" t="s">
        <v>651</v>
      </c>
      <c r="G319" s="1">
        <v>5.9</v>
      </c>
    </row>
    <row r="320" spans="1:7" ht="14.25" hidden="1" customHeight="1" x14ac:dyDescent="0.45">
      <c r="A320" t="str">
        <f>_xlfn.XLOOKUP(B320,Ingot!$H$12:$H$119,Ingot!$G$12:$G$119,"")</f>
        <v>Metal</v>
      </c>
      <c r="B320" t="s">
        <v>491</v>
      </c>
      <c r="C320" t="s">
        <v>157</v>
      </c>
      <c r="D320" t="s">
        <v>652</v>
      </c>
      <c r="E320" t="s">
        <v>653</v>
      </c>
      <c r="G320" s="1">
        <v>5.9</v>
      </c>
    </row>
    <row r="321" spans="1:7" ht="14.25" hidden="1" customHeight="1" x14ac:dyDescent="0.45">
      <c r="A321" t="str">
        <f>_xlfn.XLOOKUP(B321,Ingot!$H$12:$H$119,Ingot!$G$12:$G$119,"")</f>
        <v>Metal</v>
      </c>
      <c r="B321" t="s">
        <v>491</v>
      </c>
      <c r="C321" t="s">
        <v>157</v>
      </c>
      <c r="D321" t="s">
        <v>654</v>
      </c>
      <c r="E321" t="s">
        <v>655</v>
      </c>
      <c r="G321" s="1">
        <v>5</v>
      </c>
    </row>
    <row r="322" spans="1:7" ht="14.25" hidden="1" customHeight="1" x14ac:dyDescent="0.45">
      <c r="A322" t="str">
        <f>_xlfn.XLOOKUP(B322,Ingot!$H$12:$H$119,Ingot!$G$12:$G$119,"")</f>
        <v>Metal</v>
      </c>
      <c r="B322" t="s">
        <v>491</v>
      </c>
      <c r="C322" t="s">
        <v>157</v>
      </c>
      <c r="D322" t="s">
        <v>656</v>
      </c>
      <c r="E322" t="s">
        <v>657</v>
      </c>
      <c r="G322" s="1">
        <v>10</v>
      </c>
    </row>
    <row r="323" spans="1:7" ht="14.25" hidden="1" customHeight="1" x14ac:dyDescent="0.45">
      <c r="A323" t="str">
        <f>_xlfn.XLOOKUP(B323,Ingot!$H$12:$H$119,Ingot!$G$12:$G$119,"")</f>
        <v>Metal</v>
      </c>
      <c r="B323" t="s">
        <v>491</v>
      </c>
      <c r="C323" t="s">
        <v>157</v>
      </c>
      <c r="D323" t="s">
        <v>658</v>
      </c>
      <c r="E323" t="s">
        <v>659</v>
      </c>
      <c r="G323" s="1">
        <v>28.5</v>
      </c>
    </row>
    <row r="324" spans="1:7" ht="14.25" hidden="1" customHeight="1" x14ac:dyDescent="0.45">
      <c r="A324" t="str">
        <f>_xlfn.XLOOKUP(B324,Ingot!$H$12:$H$119,Ingot!$G$12:$G$119,"")</f>
        <v>Metal</v>
      </c>
      <c r="B324" t="s">
        <v>491</v>
      </c>
      <c r="C324" t="s">
        <v>157</v>
      </c>
      <c r="D324" t="s">
        <v>660</v>
      </c>
      <c r="E324" t="s">
        <v>661</v>
      </c>
      <c r="G324" s="1">
        <v>5.7</v>
      </c>
    </row>
    <row r="325" spans="1:7" ht="14.25" hidden="1" customHeight="1" x14ac:dyDescent="0.45">
      <c r="A325" t="str">
        <f>_xlfn.XLOOKUP(B325,Ingot!$H$12:$H$119,Ingot!$G$12:$G$119,"")</f>
        <v>Metal</v>
      </c>
      <c r="B325" t="s">
        <v>491</v>
      </c>
      <c r="C325" t="s">
        <v>157</v>
      </c>
      <c r="D325" t="s">
        <v>662</v>
      </c>
      <c r="E325" t="s">
        <v>663</v>
      </c>
      <c r="G325" s="1">
        <v>5.7</v>
      </c>
    </row>
    <row r="326" spans="1:7" ht="14.25" hidden="1" customHeight="1" x14ac:dyDescent="0.45">
      <c r="A326" t="str">
        <f>_xlfn.XLOOKUP(B326,Ingot!$H$12:$H$119,Ingot!$G$12:$G$119,"")</f>
        <v>Metal</v>
      </c>
      <c r="B326" t="s">
        <v>491</v>
      </c>
      <c r="C326" t="s">
        <v>157</v>
      </c>
      <c r="D326" t="s">
        <v>664</v>
      </c>
      <c r="E326" t="s">
        <v>665</v>
      </c>
      <c r="G326" s="1">
        <v>5</v>
      </c>
    </row>
    <row r="327" spans="1:7" ht="14.25" hidden="1" customHeight="1" x14ac:dyDescent="0.45">
      <c r="A327" t="str">
        <f>_xlfn.XLOOKUP(B327,Ingot!$H$12:$H$119,Ingot!$G$12:$G$119,"")</f>
        <v>Metal</v>
      </c>
      <c r="B327" t="s">
        <v>491</v>
      </c>
      <c r="C327" t="s">
        <v>157</v>
      </c>
      <c r="D327" t="s">
        <v>666</v>
      </c>
      <c r="E327" t="s">
        <v>667</v>
      </c>
      <c r="G327" s="1">
        <v>10</v>
      </c>
    </row>
    <row r="328" spans="1:7" ht="14.25" hidden="1" customHeight="1" x14ac:dyDescent="0.45">
      <c r="A328" t="str">
        <f>_xlfn.XLOOKUP(B328,Ingot!$H$12:$H$119,Ingot!$G$12:$G$119,"")</f>
        <v>Metal</v>
      </c>
      <c r="B328" t="s">
        <v>491</v>
      </c>
      <c r="C328" t="s">
        <v>157</v>
      </c>
      <c r="D328" t="s">
        <v>668</v>
      </c>
      <c r="E328" t="s">
        <v>669</v>
      </c>
      <c r="G328" s="1">
        <v>31</v>
      </c>
    </row>
    <row r="329" spans="1:7" ht="14.25" hidden="1" customHeight="1" x14ac:dyDescent="0.45">
      <c r="A329" t="str">
        <f>_xlfn.XLOOKUP(B329,Ingot!$H$12:$H$119,Ingot!$G$12:$G$119,"")</f>
        <v>Metal</v>
      </c>
      <c r="B329" t="s">
        <v>491</v>
      </c>
      <c r="C329" t="s">
        <v>157</v>
      </c>
      <c r="D329" t="s">
        <v>670</v>
      </c>
      <c r="E329" t="s">
        <v>671</v>
      </c>
      <c r="G329" s="1">
        <v>6.2</v>
      </c>
    </row>
    <row r="330" spans="1:7" ht="14.25" hidden="1" customHeight="1" x14ac:dyDescent="0.45">
      <c r="A330" t="str">
        <f>_xlfn.XLOOKUP(B330,Ingot!$H$12:$H$119,Ingot!$G$12:$G$119,"")</f>
        <v>Metal</v>
      </c>
      <c r="B330" t="s">
        <v>491</v>
      </c>
      <c r="C330" t="s">
        <v>157</v>
      </c>
      <c r="D330" t="s">
        <v>672</v>
      </c>
      <c r="E330" t="s">
        <v>673</v>
      </c>
      <c r="G330" s="1">
        <v>6.2</v>
      </c>
    </row>
    <row r="331" spans="1:7" ht="14.25" hidden="1" customHeight="1" x14ac:dyDescent="0.45">
      <c r="A331" t="str">
        <f>_xlfn.XLOOKUP(B331,Ingot!$H$12:$H$119,Ingot!$G$12:$G$119,"")</f>
        <v>Metal</v>
      </c>
      <c r="B331" t="s">
        <v>491</v>
      </c>
      <c r="C331" t="s">
        <v>157</v>
      </c>
      <c r="D331" t="s">
        <v>674</v>
      </c>
      <c r="E331" t="s">
        <v>675</v>
      </c>
      <c r="G331" s="1">
        <v>5</v>
      </c>
    </row>
    <row r="332" spans="1:7" ht="14.25" hidden="1" customHeight="1" x14ac:dyDescent="0.45">
      <c r="A332" t="str">
        <f>_xlfn.XLOOKUP(B332,Ingot!$H$12:$H$119,Ingot!$G$12:$G$119,"")</f>
        <v>Metal</v>
      </c>
      <c r="B332" t="s">
        <v>491</v>
      </c>
      <c r="C332" t="s">
        <v>157</v>
      </c>
      <c r="D332" t="s">
        <v>676</v>
      </c>
      <c r="E332" t="s">
        <v>677</v>
      </c>
      <c r="G332" s="1">
        <v>10</v>
      </c>
    </row>
    <row r="333" spans="1:7" ht="14.25" hidden="1" customHeight="1" x14ac:dyDescent="0.45">
      <c r="A333" t="str">
        <f>_xlfn.XLOOKUP(B333,Ingot!$H$12:$H$119,Ingot!$G$12:$G$119,"")</f>
        <v>Metal</v>
      </c>
      <c r="B333" t="s">
        <v>491</v>
      </c>
      <c r="C333" t="s">
        <v>157</v>
      </c>
      <c r="D333" t="s">
        <v>678</v>
      </c>
      <c r="E333" t="s">
        <v>679</v>
      </c>
      <c r="G333" s="1">
        <v>33</v>
      </c>
    </row>
    <row r="334" spans="1:7" ht="14.25" hidden="1" customHeight="1" x14ac:dyDescent="0.45">
      <c r="A334" t="str">
        <f>_xlfn.XLOOKUP(B334,Ingot!$H$12:$H$119,Ingot!$G$12:$G$119,"")</f>
        <v>Metal</v>
      </c>
      <c r="B334" t="s">
        <v>491</v>
      </c>
      <c r="C334" t="s">
        <v>157</v>
      </c>
      <c r="D334" t="s">
        <v>680</v>
      </c>
      <c r="E334" t="s">
        <v>681</v>
      </c>
      <c r="G334" s="1">
        <v>6.6</v>
      </c>
    </row>
    <row r="335" spans="1:7" ht="14.25" hidden="1" customHeight="1" x14ac:dyDescent="0.45">
      <c r="A335" t="str">
        <f>_xlfn.XLOOKUP(B335,Ingot!$H$12:$H$119,Ingot!$G$12:$G$119,"")</f>
        <v>Metal</v>
      </c>
      <c r="B335" t="s">
        <v>491</v>
      </c>
      <c r="C335" t="s">
        <v>157</v>
      </c>
      <c r="D335" t="s">
        <v>682</v>
      </c>
      <c r="E335" t="s">
        <v>683</v>
      </c>
      <c r="G335" s="1">
        <v>6.6</v>
      </c>
    </row>
    <row r="336" spans="1:7" ht="14.25" hidden="1" customHeight="1" x14ac:dyDescent="0.45">
      <c r="A336" t="str">
        <f>_xlfn.XLOOKUP(B336,Ingot!$H$12:$H$119,Ingot!$G$12:$G$119,"")</f>
        <v>Metal</v>
      </c>
      <c r="B336" t="s">
        <v>491</v>
      </c>
      <c r="C336" t="s">
        <v>157</v>
      </c>
      <c r="D336" t="s">
        <v>684</v>
      </c>
      <c r="E336" t="s">
        <v>685</v>
      </c>
      <c r="G336" s="1">
        <v>5</v>
      </c>
    </row>
    <row r="337" spans="1:7" ht="14.25" hidden="1" customHeight="1" x14ac:dyDescent="0.45">
      <c r="A337" t="str">
        <f>_xlfn.XLOOKUP(B337,Ingot!$H$12:$H$119,Ingot!$G$12:$G$119,"")</f>
        <v>Metal</v>
      </c>
      <c r="B337" t="s">
        <v>491</v>
      </c>
      <c r="C337" t="s">
        <v>157</v>
      </c>
      <c r="D337" t="s">
        <v>686</v>
      </c>
      <c r="E337" t="s">
        <v>687</v>
      </c>
      <c r="G337" s="1">
        <v>10</v>
      </c>
    </row>
    <row r="338" spans="1:7" ht="14.25" hidden="1" customHeight="1" x14ac:dyDescent="0.45">
      <c r="A338" t="str">
        <f>_xlfn.XLOOKUP(B338,Ingot!$H$12:$H$119,Ingot!$G$12:$G$119,"")</f>
        <v>Metal</v>
      </c>
      <c r="B338" t="s">
        <v>491</v>
      </c>
      <c r="C338" t="s">
        <v>157</v>
      </c>
      <c r="D338" t="s">
        <v>688</v>
      </c>
      <c r="E338" t="s">
        <v>689</v>
      </c>
      <c r="G338" s="1">
        <v>38</v>
      </c>
    </row>
    <row r="339" spans="1:7" ht="14.25" hidden="1" customHeight="1" x14ac:dyDescent="0.45">
      <c r="A339" t="str">
        <f>_xlfn.XLOOKUP(B339,Ingot!$H$12:$H$119,Ingot!$G$12:$G$119,"")</f>
        <v>Metal</v>
      </c>
      <c r="B339" t="s">
        <v>491</v>
      </c>
      <c r="C339" t="s">
        <v>157</v>
      </c>
      <c r="D339" t="s">
        <v>690</v>
      </c>
      <c r="E339" t="s">
        <v>691</v>
      </c>
      <c r="G339" s="1">
        <v>7.6</v>
      </c>
    </row>
    <row r="340" spans="1:7" ht="14.25" hidden="1" customHeight="1" x14ac:dyDescent="0.45">
      <c r="A340" t="str">
        <f>_xlfn.XLOOKUP(B340,Ingot!$H$12:$H$119,Ingot!$G$12:$G$119,"")</f>
        <v>Metal</v>
      </c>
      <c r="B340" t="s">
        <v>491</v>
      </c>
      <c r="C340" t="s">
        <v>157</v>
      </c>
      <c r="D340" t="s">
        <v>692</v>
      </c>
      <c r="E340" t="s">
        <v>693</v>
      </c>
      <c r="G340" s="1">
        <v>7.6</v>
      </c>
    </row>
    <row r="341" spans="1:7" ht="14.25" hidden="1" customHeight="1" x14ac:dyDescent="0.45">
      <c r="A341" t="str">
        <f>_xlfn.XLOOKUP(B341,Ingot!$H$12:$H$119,Ingot!$G$12:$G$119,"")</f>
        <v>Metal</v>
      </c>
      <c r="B341" t="s">
        <v>491</v>
      </c>
      <c r="C341" t="s">
        <v>157</v>
      </c>
      <c r="D341" t="s">
        <v>694</v>
      </c>
      <c r="E341" t="s">
        <v>695</v>
      </c>
      <c r="G341" s="1">
        <v>5</v>
      </c>
    </row>
    <row r="342" spans="1:7" ht="14.25" hidden="1" customHeight="1" x14ac:dyDescent="0.45">
      <c r="A342" t="str">
        <f>_xlfn.XLOOKUP(B342,Ingot!$H$12:$H$119,Ingot!$G$12:$G$119,"")</f>
        <v>Metal</v>
      </c>
      <c r="B342" t="s">
        <v>491</v>
      </c>
      <c r="C342" t="s">
        <v>157</v>
      </c>
      <c r="D342" t="s">
        <v>696</v>
      </c>
      <c r="E342" t="s">
        <v>697</v>
      </c>
      <c r="G342" s="1">
        <v>10</v>
      </c>
    </row>
    <row r="343" spans="1:7" ht="14.25" hidden="1" customHeight="1" x14ac:dyDescent="0.45">
      <c r="A343" t="str">
        <f>_xlfn.XLOOKUP(B343,Ingot!$H$12:$H$119,Ingot!$G$12:$G$119,"")</f>
        <v>Metal</v>
      </c>
      <c r="B343" t="s">
        <v>491</v>
      </c>
      <c r="C343" t="s">
        <v>157</v>
      </c>
      <c r="D343" t="s">
        <v>698</v>
      </c>
      <c r="E343" t="s">
        <v>699</v>
      </c>
      <c r="G343" s="1">
        <v>37.5</v>
      </c>
    </row>
    <row r="344" spans="1:7" ht="14.25" hidden="1" customHeight="1" x14ac:dyDescent="0.45">
      <c r="A344" t="str">
        <f>_xlfn.XLOOKUP(B344,Ingot!$H$12:$H$119,Ingot!$G$12:$G$119,"")</f>
        <v>Metal</v>
      </c>
      <c r="B344" t="s">
        <v>491</v>
      </c>
      <c r="C344" t="s">
        <v>157</v>
      </c>
      <c r="D344" t="s">
        <v>700</v>
      </c>
      <c r="E344" t="s">
        <v>701</v>
      </c>
      <c r="G344" s="1">
        <v>7.5</v>
      </c>
    </row>
    <row r="345" spans="1:7" ht="14.25" hidden="1" customHeight="1" x14ac:dyDescent="0.45">
      <c r="A345" t="str">
        <f>_xlfn.XLOOKUP(B345,Ingot!$H$12:$H$119,Ingot!$G$12:$G$119,"")</f>
        <v>Metal</v>
      </c>
      <c r="B345" t="s">
        <v>491</v>
      </c>
      <c r="C345" t="s">
        <v>157</v>
      </c>
      <c r="D345" t="s">
        <v>702</v>
      </c>
      <c r="E345" t="s">
        <v>703</v>
      </c>
      <c r="G345" s="1">
        <v>7.5</v>
      </c>
    </row>
    <row r="346" spans="1:7" ht="14.25" hidden="1" customHeight="1" x14ac:dyDescent="0.45">
      <c r="A346" t="str">
        <f>_xlfn.XLOOKUP(B346,Ingot!$H$12:$H$119,Ingot!$G$12:$G$119,"")</f>
        <v>Metal</v>
      </c>
      <c r="B346" t="s">
        <v>491</v>
      </c>
      <c r="C346" t="s">
        <v>157</v>
      </c>
      <c r="D346" t="s">
        <v>704</v>
      </c>
      <c r="E346" t="s">
        <v>705</v>
      </c>
      <c r="G346" s="1">
        <v>5</v>
      </c>
    </row>
    <row r="347" spans="1:7" ht="14.25" hidden="1" customHeight="1" x14ac:dyDescent="0.45">
      <c r="A347" t="str">
        <f>_xlfn.XLOOKUP(B347,Ingot!$H$12:$H$119,Ingot!$G$12:$G$119,"")</f>
        <v>Metal</v>
      </c>
      <c r="B347" t="s">
        <v>491</v>
      </c>
      <c r="C347" t="s">
        <v>157</v>
      </c>
      <c r="D347" t="s">
        <v>706</v>
      </c>
      <c r="E347" t="s">
        <v>707</v>
      </c>
      <c r="G347" s="1">
        <v>10</v>
      </c>
    </row>
    <row r="348" spans="1:7" ht="14.25" hidden="1" customHeight="1" x14ac:dyDescent="0.45">
      <c r="A348" t="str">
        <f>_xlfn.XLOOKUP(B348,Ingot!$H$12:$H$119,Ingot!$G$12:$G$119,"")</f>
        <v>Metal</v>
      </c>
      <c r="B348" t="s">
        <v>491</v>
      </c>
      <c r="C348" t="s">
        <v>157</v>
      </c>
      <c r="D348" t="s">
        <v>708</v>
      </c>
      <c r="E348" t="s">
        <v>709</v>
      </c>
      <c r="G348" s="1">
        <v>27</v>
      </c>
    </row>
    <row r="349" spans="1:7" ht="14.25" hidden="1" customHeight="1" x14ac:dyDescent="0.45">
      <c r="A349" t="str">
        <f>_xlfn.XLOOKUP(B349,Ingot!$H$12:$H$119,Ingot!$G$12:$G$119,"")</f>
        <v>Metal</v>
      </c>
      <c r="B349" t="s">
        <v>491</v>
      </c>
      <c r="C349" t="s">
        <v>157</v>
      </c>
      <c r="D349" t="s">
        <v>710</v>
      </c>
      <c r="E349" t="s">
        <v>711</v>
      </c>
      <c r="G349" s="1">
        <v>5.4</v>
      </c>
    </row>
    <row r="350" spans="1:7" ht="14.25" hidden="1" customHeight="1" x14ac:dyDescent="0.45">
      <c r="A350" t="str">
        <f>_xlfn.XLOOKUP(B350,Ingot!$H$12:$H$119,Ingot!$G$12:$G$119,"")</f>
        <v>Metal</v>
      </c>
      <c r="B350" t="s">
        <v>491</v>
      </c>
      <c r="C350" t="s">
        <v>157</v>
      </c>
      <c r="D350" t="s">
        <v>712</v>
      </c>
      <c r="E350" t="s">
        <v>713</v>
      </c>
      <c r="G350" s="1">
        <v>5.4</v>
      </c>
    </row>
    <row r="351" spans="1:7" ht="14.25" hidden="1" customHeight="1" x14ac:dyDescent="0.45">
      <c r="A351" t="str">
        <f>_xlfn.XLOOKUP(B351,Ingot!$H$12:$H$119,Ingot!$G$12:$G$119,"")</f>
        <v>Metal</v>
      </c>
      <c r="B351" t="s">
        <v>491</v>
      </c>
      <c r="C351" t="s">
        <v>157</v>
      </c>
      <c r="D351" t="s">
        <v>714</v>
      </c>
      <c r="E351" t="s">
        <v>715</v>
      </c>
      <c r="G351" s="1">
        <v>5</v>
      </c>
    </row>
    <row r="352" spans="1:7" ht="14.25" hidden="1" customHeight="1" x14ac:dyDescent="0.45">
      <c r="A352" t="str">
        <f>_xlfn.XLOOKUP(B352,Ingot!$H$12:$H$119,Ingot!$G$12:$G$119,"")</f>
        <v>Metal</v>
      </c>
      <c r="B352" t="s">
        <v>491</v>
      </c>
      <c r="C352" t="s">
        <v>157</v>
      </c>
      <c r="D352" t="s">
        <v>716</v>
      </c>
      <c r="E352" t="s">
        <v>717</v>
      </c>
      <c r="G352" s="1">
        <v>10</v>
      </c>
    </row>
    <row r="353" spans="1:7" ht="14.25" hidden="1" customHeight="1" x14ac:dyDescent="0.45">
      <c r="A353" t="str">
        <f>_xlfn.XLOOKUP(B353,Ingot!$H$12:$H$119,Ingot!$G$12:$G$119,"")</f>
        <v>Metal</v>
      </c>
      <c r="B353" t="s">
        <v>491</v>
      </c>
      <c r="C353" t="s">
        <v>239</v>
      </c>
      <c r="D353" t="s">
        <v>718</v>
      </c>
      <c r="E353" t="s">
        <v>719</v>
      </c>
    </row>
    <row r="354" spans="1:7" ht="14.25" hidden="1" customHeight="1" x14ac:dyDescent="0.45">
      <c r="A354" t="str">
        <f>_xlfn.XLOOKUP(B354,Ingot!$H$12:$H$119,Ingot!$G$12:$G$119,"")</f>
        <v>Metal</v>
      </c>
      <c r="B354" t="s">
        <v>491</v>
      </c>
      <c r="C354" t="s">
        <v>239</v>
      </c>
      <c r="D354" t="s">
        <v>720</v>
      </c>
      <c r="E354" t="s">
        <v>721</v>
      </c>
    </row>
    <row r="355" spans="1:7" ht="14.25" hidden="1" customHeight="1" x14ac:dyDescent="0.45">
      <c r="A355" t="str">
        <f>_xlfn.XLOOKUP(B355,Ingot!$H$12:$H$119,Ingot!$G$12:$G$119,"")</f>
        <v>Metal</v>
      </c>
      <c r="B355" t="s">
        <v>491</v>
      </c>
      <c r="C355" t="s">
        <v>239</v>
      </c>
      <c r="D355" t="s">
        <v>722</v>
      </c>
      <c r="E355" t="s">
        <v>723</v>
      </c>
    </row>
    <row r="356" spans="1:7" ht="14.25" hidden="1" customHeight="1" x14ac:dyDescent="0.45">
      <c r="A356" t="str">
        <f>_xlfn.XLOOKUP(B356,Ingot!$H$12:$H$119,Ingot!$G$12:$G$119,"")</f>
        <v>Metal</v>
      </c>
      <c r="B356" t="s">
        <v>491</v>
      </c>
      <c r="C356" t="s">
        <v>239</v>
      </c>
      <c r="D356" t="s">
        <v>724</v>
      </c>
      <c r="E356" t="s">
        <v>725</v>
      </c>
    </row>
    <row r="357" spans="1:7" ht="14.25" hidden="1" customHeight="1" x14ac:dyDescent="0.45">
      <c r="A357" t="str">
        <f>_xlfn.XLOOKUP(B357,Ingot!$H$12:$H$119,Ingot!$G$12:$G$119,"")</f>
        <v>Metal</v>
      </c>
      <c r="B357" t="s">
        <v>491</v>
      </c>
      <c r="C357" t="s">
        <v>239</v>
      </c>
      <c r="D357" t="s">
        <v>726</v>
      </c>
      <c r="E357" t="s">
        <v>727</v>
      </c>
    </row>
    <row r="358" spans="1:7" ht="14.25" hidden="1" customHeight="1" x14ac:dyDescent="0.45">
      <c r="A358" t="str">
        <f>_xlfn.XLOOKUP(B358,Ingot!$H$12:$H$119,Ingot!$G$12:$G$119,"")</f>
        <v>Metal</v>
      </c>
      <c r="B358" t="s">
        <v>491</v>
      </c>
      <c r="C358" t="s">
        <v>239</v>
      </c>
      <c r="D358" t="s">
        <v>728</v>
      </c>
      <c r="E358" t="s">
        <v>729</v>
      </c>
    </row>
    <row r="359" spans="1:7" ht="14.25" hidden="1" customHeight="1" x14ac:dyDescent="0.45">
      <c r="A359" t="str">
        <f>_xlfn.XLOOKUP(B359,Ingot!$H$12:$H$119,Ingot!$G$12:$G$119,"")</f>
        <v>Metal</v>
      </c>
      <c r="B359" t="s">
        <v>730</v>
      </c>
      <c r="C359" t="s">
        <v>10</v>
      </c>
      <c r="D359" t="s">
        <v>731</v>
      </c>
      <c r="E359" t="s">
        <v>732</v>
      </c>
      <c r="G359" s="1">
        <v>0.08</v>
      </c>
    </row>
    <row r="360" spans="1:7" ht="14.25" hidden="1" customHeight="1" x14ac:dyDescent="0.45">
      <c r="A360" t="str">
        <f>_xlfn.XLOOKUP(B360,Ingot!$H$12:$H$119,Ingot!$G$12:$G$119,"")</f>
        <v>Metal</v>
      </c>
      <c r="B360" t="s">
        <v>730</v>
      </c>
      <c r="C360" t="s">
        <v>10</v>
      </c>
      <c r="D360" t="s">
        <v>733</v>
      </c>
      <c r="E360" t="s">
        <v>734</v>
      </c>
      <c r="G360" s="1">
        <v>9.9</v>
      </c>
    </row>
    <row r="361" spans="1:7" ht="14.25" hidden="1" customHeight="1" x14ac:dyDescent="0.45">
      <c r="A361" t="str">
        <f>_xlfn.XLOOKUP(B361,Ingot!$H$12:$H$119,Ingot!$G$12:$G$119,"")</f>
        <v>Metal</v>
      </c>
      <c r="B361" t="s">
        <v>730</v>
      </c>
      <c r="C361" t="s">
        <v>10</v>
      </c>
      <c r="D361" t="s">
        <v>735</v>
      </c>
      <c r="E361" t="s">
        <v>736</v>
      </c>
      <c r="G361" s="1">
        <v>5.66</v>
      </c>
    </row>
    <row r="362" spans="1:7" ht="14.25" hidden="1" customHeight="1" x14ac:dyDescent="0.45">
      <c r="A362" t="str">
        <f>_xlfn.XLOOKUP(B362,Ingot!$H$12:$H$119,Ingot!$G$12:$G$119,"")</f>
        <v>Metal</v>
      </c>
      <c r="B362" t="s">
        <v>730</v>
      </c>
      <c r="C362" t="s">
        <v>10</v>
      </c>
      <c r="D362" t="s">
        <v>737</v>
      </c>
      <c r="E362" t="s">
        <v>738</v>
      </c>
      <c r="G362" s="1">
        <v>3.3</v>
      </c>
    </row>
    <row r="363" spans="1:7" ht="14.25" hidden="1" customHeight="1" x14ac:dyDescent="0.45">
      <c r="A363" t="str">
        <f>_xlfn.XLOOKUP(B363,Ingot!$H$12:$H$119,Ingot!$G$12:$G$119,"")</f>
        <v>Metal</v>
      </c>
      <c r="B363" t="s">
        <v>730</v>
      </c>
      <c r="C363" t="s">
        <v>10</v>
      </c>
      <c r="D363" t="s">
        <v>739</v>
      </c>
      <c r="E363" t="s">
        <v>740</v>
      </c>
      <c r="G363" s="1">
        <v>0.66</v>
      </c>
    </row>
    <row r="364" spans="1:7" ht="14.25" hidden="1" customHeight="1" x14ac:dyDescent="0.45">
      <c r="A364" t="str">
        <f>_xlfn.XLOOKUP(B364,Ingot!$H$12:$H$119,Ingot!$G$12:$G$119,"")</f>
        <v>Metal</v>
      </c>
      <c r="B364" t="s">
        <v>730</v>
      </c>
      <c r="C364" t="s">
        <v>10</v>
      </c>
      <c r="D364" t="s">
        <v>741</v>
      </c>
      <c r="E364" t="s">
        <v>742</v>
      </c>
      <c r="G364" s="1">
        <v>0.04</v>
      </c>
    </row>
    <row r="365" spans="1:7" ht="14.25" hidden="1" customHeight="1" x14ac:dyDescent="0.45">
      <c r="A365" t="str">
        <f>_xlfn.XLOOKUP(B365,Ingot!$H$12:$H$119,Ingot!$G$12:$G$119,"")</f>
        <v>Metal</v>
      </c>
      <c r="B365" t="s">
        <v>730</v>
      </c>
      <c r="C365" t="s">
        <v>10</v>
      </c>
      <c r="D365" t="s">
        <v>743</v>
      </c>
      <c r="E365" t="s">
        <v>744</v>
      </c>
      <c r="G365" s="1">
        <v>0.33</v>
      </c>
    </row>
    <row r="366" spans="1:7" ht="14.25" hidden="1" customHeight="1" x14ac:dyDescent="0.45">
      <c r="A366" t="str">
        <f>_xlfn.XLOOKUP(B366,Ingot!$H$12:$H$119,Ingot!$G$12:$G$119,"")</f>
        <v>Metal</v>
      </c>
      <c r="B366" t="s">
        <v>730</v>
      </c>
      <c r="C366" t="s">
        <v>10</v>
      </c>
      <c r="D366" t="s">
        <v>745</v>
      </c>
      <c r="E366" t="s">
        <v>746</v>
      </c>
    </row>
    <row r="367" spans="1:7" ht="14.25" hidden="1" customHeight="1" x14ac:dyDescent="0.45">
      <c r="A367" t="str">
        <f>_xlfn.XLOOKUP(B367,Ingot!$H$12:$H$119,Ingot!$G$12:$G$119,"")</f>
        <v>Metal</v>
      </c>
      <c r="B367" t="s">
        <v>730</v>
      </c>
      <c r="C367" t="s">
        <v>10</v>
      </c>
      <c r="D367" t="s">
        <v>747</v>
      </c>
      <c r="E367" t="s">
        <v>748</v>
      </c>
      <c r="G367" s="1">
        <v>0.05</v>
      </c>
    </row>
    <row r="368" spans="1:7" ht="14.25" hidden="1" customHeight="1" x14ac:dyDescent="0.45">
      <c r="A368" t="str">
        <f>_xlfn.XLOOKUP(B368,Ingot!$H$12:$H$119,Ingot!$G$12:$G$119,"")</f>
        <v>Metal</v>
      </c>
      <c r="B368" t="s">
        <v>730</v>
      </c>
      <c r="C368" t="s">
        <v>10</v>
      </c>
      <c r="D368" t="s">
        <v>749</v>
      </c>
      <c r="E368" t="s">
        <v>750</v>
      </c>
      <c r="G368" s="1">
        <v>0.66</v>
      </c>
    </row>
    <row r="369" spans="1:7" ht="14.25" hidden="1" customHeight="1" x14ac:dyDescent="0.45">
      <c r="A369" t="str">
        <f>_xlfn.XLOOKUP(B369,Ingot!$H$12:$H$119,Ingot!$G$12:$G$119,"")</f>
        <v>Metal</v>
      </c>
      <c r="B369" t="s">
        <v>730</v>
      </c>
      <c r="C369" t="s">
        <v>10</v>
      </c>
      <c r="D369" t="s">
        <v>751</v>
      </c>
      <c r="E369" t="s">
        <v>752</v>
      </c>
      <c r="G369" s="1">
        <v>3.96</v>
      </c>
    </row>
    <row r="370" spans="1:7" ht="14.25" hidden="1" customHeight="1" x14ac:dyDescent="0.45">
      <c r="A370" t="str">
        <f>_xlfn.XLOOKUP(B370,Ingot!$H$12:$H$119,Ingot!$G$12:$G$119,"")</f>
        <v>Metal</v>
      </c>
      <c r="B370" t="s">
        <v>730</v>
      </c>
      <c r="C370" t="s">
        <v>10</v>
      </c>
      <c r="D370" t="s">
        <v>753</v>
      </c>
      <c r="E370" t="s">
        <v>754</v>
      </c>
      <c r="G370" s="1">
        <v>8.77</v>
      </c>
    </row>
    <row r="371" spans="1:7" ht="14.25" hidden="1" customHeight="1" x14ac:dyDescent="0.45">
      <c r="A371" t="str">
        <f>_xlfn.XLOOKUP(B371,Ingot!$H$12:$H$119,Ingot!$G$12:$G$119,"")</f>
        <v>Metal</v>
      </c>
      <c r="B371" t="s">
        <v>730</v>
      </c>
      <c r="C371" t="s">
        <v>10</v>
      </c>
      <c r="D371" t="s">
        <v>755</v>
      </c>
      <c r="E371" t="s">
        <v>756</v>
      </c>
      <c r="G371" s="1">
        <v>3.5</v>
      </c>
    </row>
    <row r="372" spans="1:7" ht="14.25" hidden="1" customHeight="1" x14ac:dyDescent="0.45">
      <c r="A372" t="str">
        <f>_xlfn.XLOOKUP(B372,Ingot!$H$12:$H$119,Ingot!$G$12:$G$119,"")</f>
        <v>Metal</v>
      </c>
      <c r="B372" t="s">
        <v>730</v>
      </c>
      <c r="C372" t="s">
        <v>10</v>
      </c>
      <c r="D372" t="s">
        <v>757</v>
      </c>
      <c r="E372" t="s">
        <v>758</v>
      </c>
    </row>
    <row r="373" spans="1:7" ht="14.25" hidden="1" customHeight="1" x14ac:dyDescent="0.45">
      <c r="A373" t="str">
        <f>_xlfn.XLOOKUP(B373,Ingot!$H$12:$H$119,Ingot!$G$12:$G$119,"")</f>
        <v>Metal</v>
      </c>
      <c r="B373" t="s">
        <v>730</v>
      </c>
      <c r="C373" t="s">
        <v>10</v>
      </c>
      <c r="D373" t="s">
        <v>759</v>
      </c>
      <c r="E373" t="s">
        <v>760</v>
      </c>
      <c r="G373" s="1">
        <v>2.2000000000000002</v>
      </c>
    </row>
    <row r="374" spans="1:7" ht="14.25" hidden="1" customHeight="1" x14ac:dyDescent="0.45">
      <c r="A374" t="str">
        <f>_xlfn.XLOOKUP(B374,Ingot!$H$12:$H$119,Ingot!$G$12:$G$119,"")</f>
        <v>Metal</v>
      </c>
      <c r="B374" t="s">
        <v>730</v>
      </c>
      <c r="C374" t="s">
        <v>10</v>
      </c>
      <c r="D374" t="s">
        <v>761</v>
      </c>
      <c r="E374" t="s">
        <v>762</v>
      </c>
      <c r="G374" s="1">
        <v>1.1000000000000001</v>
      </c>
    </row>
    <row r="375" spans="1:7" ht="14.25" hidden="1" customHeight="1" x14ac:dyDescent="0.45">
      <c r="A375" t="str">
        <f>_xlfn.XLOOKUP(B375,Ingot!$H$12:$H$119,Ingot!$G$12:$G$119,"")</f>
        <v>Metal</v>
      </c>
      <c r="B375" t="s">
        <v>730</v>
      </c>
      <c r="C375" t="s">
        <v>10</v>
      </c>
      <c r="D375" t="s">
        <v>763</v>
      </c>
      <c r="E375" t="s">
        <v>764</v>
      </c>
      <c r="G375" s="1">
        <v>0.22</v>
      </c>
    </row>
    <row r="376" spans="1:7" ht="14.25" hidden="1" customHeight="1" x14ac:dyDescent="0.45">
      <c r="A376" t="str">
        <f>_xlfn.XLOOKUP(B376,Ingot!$H$12:$H$119,Ingot!$G$12:$G$119,"")</f>
        <v>Metal</v>
      </c>
      <c r="B376" t="s">
        <v>730</v>
      </c>
      <c r="C376" t="s">
        <v>10</v>
      </c>
      <c r="D376" t="s">
        <v>765</v>
      </c>
      <c r="E376" t="s">
        <v>766</v>
      </c>
      <c r="G376" s="1">
        <v>8.41</v>
      </c>
    </row>
    <row r="377" spans="1:7" ht="14.25" hidden="1" customHeight="1" x14ac:dyDescent="0.45">
      <c r="A377" t="str">
        <f>_xlfn.XLOOKUP(B377,Ingot!$H$12:$H$119,Ingot!$G$12:$G$119,"")</f>
        <v>Metal</v>
      </c>
      <c r="B377" t="s">
        <v>730</v>
      </c>
      <c r="C377" t="s">
        <v>10</v>
      </c>
      <c r="D377" t="s">
        <v>767</v>
      </c>
      <c r="E377" t="s">
        <v>768</v>
      </c>
      <c r="G377" s="1">
        <v>3.64</v>
      </c>
    </row>
    <row r="378" spans="1:7" ht="14.25" hidden="1" customHeight="1" x14ac:dyDescent="0.45">
      <c r="A378" t="str">
        <f>_xlfn.XLOOKUP(B378,Ingot!$H$12:$H$119,Ingot!$G$12:$G$119,"")</f>
        <v>Metal</v>
      </c>
      <c r="B378" t="s">
        <v>730</v>
      </c>
      <c r="C378" t="s">
        <v>10</v>
      </c>
      <c r="D378" t="s">
        <v>769</v>
      </c>
      <c r="E378" t="s">
        <v>770</v>
      </c>
      <c r="G378" s="1">
        <v>7.05</v>
      </c>
    </row>
    <row r="379" spans="1:7" ht="14.25" hidden="1" customHeight="1" x14ac:dyDescent="0.45">
      <c r="A379" t="str">
        <f>_xlfn.XLOOKUP(B379,Ingot!$H$12:$H$119,Ingot!$G$12:$G$119,"")</f>
        <v>Metal</v>
      </c>
      <c r="B379" t="s">
        <v>730</v>
      </c>
      <c r="C379" t="s">
        <v>10</v>
      </c>
      <c r="D379" t="s">
        <v>771</v>
      </c>
      <c r="E379" t="s">
        <v>772</v>
      </c>
      <c r="G379" s="1">
        <v>2.65</v>
      </c>
    </row>
    <row r="380" spans="1:7" ht="14.25" hidden="1" customHeight="1" x14ac:dyDescent="0.45">
      <c r="A380" t="str">
        <f>_xlfn.XLOOKUP(B380,Ingot!$H$12:$H$119,Ingot!$G$12:$G$119,"")</f>
        <v>Metal</v>
      </c>
      <c r="B380" t="s">
        <v>730</v>
      </c>
      <c r="C380" t="s">
        <v>10</v>
      </c>
      <c r="D380" t="s">
        <v>773</v>
      </c>
      <c r="E380" t="s">
        <v>774</v>
      </c>
      <c r="G380" s="1">
        <v>9</v>
      </c>
    </row>
    <row r="381" spans="1:7" ht="14.25" hidden="1" customHeight="1" x14ac:dyDescent="0.45">
      <c r="A381" t="str">
        <f>_xlfn.XLOOKUP(B381,Ingot!$H$12:$H$119,Ingot!$G$12:$G$119,"")</f>
        <v>Metal</v>
      </c>
      <c r="B381" t="s">
        <v>730</v>
      </c>
      <c r="C381" t="s">
        <v>10</v>
      </c>
      <c r="D381" t="s">
        <v>775</v>
      </c>
      <c r="E381" t="s">
        <v>776</v>
      </c>
      <c r="G381" s="1">
        <v>10.23</v>
      </c>
    </row>
    <row r="382" spans="1:7" ht="14.25" hidden="1" customHeight="1" x14ac:dyDescent="0.45">
      <c r="A382" t="str">
        <f>_xlfn.XLOOKUP(B382,Ingot!$H$12:$H$119,Ingot!$G$12:$G$119,"")</f>
        <v>Metal</v>
      </c>
      <c r="B382" t="s">
        <v>730</v>
      </c>
      <c r="C382" t="s">
        <v>10</v>
      </c>
      <c r="D382" t="s">
        <v>777</v>
      </c>
      <c r="E382" t="s">
        <v>778</v>
      </c>
      <c r="G382" s="1">
        <v>7.7</v>
      </c>
    </row>
    <row r="383" spans="1:7" ht="14.25" hidden="1" customHeight="1" x14ac:dyDescent="0.45">
      <c r="A383" t="str">
        <f>_xlfn.XLOOKUP(B383,Ingot!$H$12:$H$119,Ingot!$G$12:$G$119,"")</f>
        <v>Metal</v>
      </c>
      <c r="B383" t="s">
        <v>730</v>
      </c>
      <c r="C383" t="s">
        <v>10</v>
      </c>
      <c r="D383" t="s">
        <v>779</v>
      </c>
      <c r="E383" t="s">
        <v>780</v>
      </c>
      <c r="G383" s="1">
        <v>10.02</v>
      </c>
    </row>
    <row r="384" spans="1:7" ht="14.25" hidden="1" customHeight="1" x14ac:dyDescent="0.45">
      <c r="A384" t="str">
        <f>_xlfn.XLOOKUP(B384,Ingot!$H$12:$H$119,Ingot!$G$12:$G$119,"")</f>
        <v>Metal</v>
      </c>
      <c r="B384" t="s">
        <v>730</v>
      </c>
      <c r="C384" t="s">
        <v>10</v>
      </c>
      <c r="D384" t="s">
        <v>781</v>
      </c>
      <c r="E384" t="s">
        <v>782</v>
      </c>
      <c r="G384" s="1">
        <v>11.81</v>
      </c>
    </row>
    <row r="385" spans="1:7" ht="14.25" hidden="1" customHeight="1" x14ac:dyDescent="0.45">
      <c r="A385" t="str">
        <f>_xlfn.XLOOKUP(B385,Ingot!$H$12:$H$119,Ingot!$G$12:$G$119,"")</f>
        <v>Metal</v>
      </c>
      <c r="B385" t="s">
        <v>730</v>
      </c>
      <c r="C385" t="s">
        <v>10</v>
      </c>
      <c r="D385" t="s">
        <v>783</v>
      </c>
      <c r="E385" t="s">
        <v>784</v>
      </c>
      <c r="G385" s="1">
        <v>8.44</v>
      </c>
    </row>
    <row r="386" spans="1:7" ht="14.25" hidden="1" customHeight="1" x14ac:dyDescent="0.45">
      <c r="A386" t="str">
        <f>_xlfn.XLOOKUP(B386,Ingot!$H$12:$H$119,Ingot!$G$12:$G$119,"")</f>
        <v>Metal</v>
      </c>
      <c r="B386" t="s">
        <v>730</v>
      </c>
      <c r="C386" t="s">
        <v>10</v>
      </c>
      <c r="D386" t="s">
        <v>785</v>
      </c>
      <c r="E386" t="s">
        <v>786</v>
      </c>
      <c r="G386" s="1">
        <v>10.42</v>
      </c>
    </row>
    <row r="387" spans="1:7" ht="14.25" hidden="1" customHeight="1" x14ac:dyDescent="0.45">
      <c r="A387" t="str">
        <f>_xlfn.XLOOKUP(B387,Ingot!$H$12:$H$119,Ingot!$G$12:$G$119,"")</f>
        <v>Metal</v>
      </c>
      <c r="B387" t="s">
        <v>730</v>
      </c>
      <c r="C387" t="s">
        <v>10</v>
      </c>
      <c r="D387" t="s">
        <v>787</v>
      </c>
      <c r="E387" t="s">
        <v>788</v>
      </c>
    </row>
    <row r="388" spans="1:7" ht="14.25" hidden="1" customHeight="1" x14ac:dyDescent="0.45">
      <c r="A388" t="str">
        <f>_xlfn.XLOOKUP(B388,Ingot!$H$12:$H$119,Ingot!$G$12:$G$119,"")</f>
        <v>Metal</v>
      </c>
      <c r="B388" t="s">
        <v>730</v>
      </c>
      <c r="C388" t="s">
        <v>10</v>
      </c>
      <c r="D388" t="s">
        <v>789</v>
      </c>
      <c r="E388" t="s">
        <v>790</v>
      </c>
      <c r="G388" s="1">
        <v>7.96</v>
      </c>
    </row>
    <row r="389" spans="1:7" ht="14.25" hidden="1" customHeight="1" x14ac:dyDescent="0.45">
      <c r="A389" t="str">
        <f>_xlfn.XLOOKUP(B389,Ingot!$H$12:$H$119,Ingot!$G$12:$G$119,"")</f>
        <v>Metal</v>
      </c>
      <c r="B389" t="s">
        <v>730</v>
      </c>
      <c r="C389" t="s">
        <v>10</v>
      </c>
      <c r="D389" t="s">
        <v>791</v>
      </c>
      <c r="E389" t="s">
        <v>792</v>
      </c>
      <c r="G389" s="1">
        <v>9.64</v>
      </c>
    </row>
    <row r="390" spans="1:7" ht="14.25" hidden="1" customHeight="1" x14ac:dyDescent="0.45">
      <c r="A390" t="str">
        <f>_xlfn.XLOOKUP(B390,Ingot!$H$12:$H$119,Ingot!$G$12:$G$119,"")</f>
        <v>Metal</v>
      </c>
      <c r="B390" t="s">
        <v>730</v>
      </c>
      <c r="C390" t="s">
        <v>10</v>
      </c>
      <c r="D390" t="s">
        <v>793</v>
      </c>
      <c r="E390" t="s">
        <v>794</v>
      </c>
      <c r="G390" s="1">
        <v>7.94</v>
      </c>
    </row>
    <row r="391" spans="1:7" ht="14.25" hidden="1" customHeight="1" x14ac:dyDescent="0.45">
      <c r="A391" t="str">
        <f>_xlfn.XLOOKUP(B391,Ingot!$H$12:$H$119,Ingot!$G$12:$G$119,"")</f>
        <v>Metal</v>
      </c>
      <c r="B391" t="s">
        <v>730</v>
      </c>
      <c r="C391" t="s">
        <v>10</v>
      </c>
      <c r="D391" t="s">
        <v>795</v>
      </c>
      <c r="E391" t="s">
        <v>796</v>
      </c>
      <c r="G391" s="1">
        <v>8.66</v>
      </c>
    </row>
    <row r="392" spans="1:7" ht="14.25" hidden="1" customHeight="1" x14ac:dyDescent="0.45">
      <c r="A392" t="str">
        <f>_xlfn.XLOOKUP(B392,Ingot!$H$12:$H$119,Ingot!$G$12:$G$119,"")</f>
        <v>Metal</v>
      </c>
      <c r="B392" t="s">
        <v>730</v>
      </c>
      <c r="C392" t="s">
        <v>10</v>
      </c>
      <c r="D392" t="s">
        <v>797</v>
      </c>
      <c r="E392" t="s">
        <v>798</v>
      </c>
    </row>
    <row r="393" spans="1:7" ht="14.25" hidden="1" customHeight="1" x14ac:dyDescent="0.45">
      <c r="A393" t="str">
        <f>_xlfn.XLOOKUP(B393,Ingot!$H$12:$H$119,Ingot!$G$12:$G$119,"")</f>
        <v>Metal</v>
      </c>
      <c r="B393" t="s">
        <v>730</v>
      </c>
      <c r="C393" t="s">
        <v>10</v>
      </c>
      <c r="D393" t="s">
        <v>799</v>
      </c>
      <c r="E393" t="s">
        <v>800</v>
      </c>
      <c r="G393" s="1">
        <v>2.65</v>
      </c>
    </row>
    <row r="394" spans="1:7" ht="14.25" hidden="1" customHeight="1" x14ac:dyDescent="0.45">
      <c r="A394" t="str">
        <f>_xlfn.XLOOKUP(B394,Ingot!$H$12:$H$119,Ingot!$G$12:$G$119,"")</f>
        <v>Metal</v>
      </c>
      <c r="B394" t="s">
        <v>730</v>
      </c>
      <c r="C394" t="s">
        <v>10</v>
      </c>
      <c r="D394" t="s">
        <v>801</v>
      </c>
      <c r="E394" t="s">
        <v>802</v>
      </c>
    </row>
    <row r="395" spans="1:7" ht="14.25" hidden="1" customHeight="1" x14ac:dyDescent="0.45">
      <c r="A395" t="str">
        <f>_xlfn.XLOOKUP(B395,Ingot!$H$12:$H$119,Ingot!$G$12:$G$119,"")</f>
        <v>Metal</v>
      </c>
      <c r="B395" t="s">
        <v>730</v>
      </c>
      <c r="C395" t="s">
        <v>10</v>
      </c>
      <c r="D395" t="s">
        <v>803</v>
      </c>
      <c r="E395" t="s">
        <v>804</v>
      </c>
      <c r="G395" s="1">
        <v>12.64</v>
      </c>
    </row>
    <row r="396" spans="1:7" ht="14.25" hidden="1" customHeight="1" x14ac:dyDescent="0.45">
      <c r="A396" t="str">
        <f>_xlfn.XLOOKUP(B396,Ingot!$H$12:$H$119,Ingot!$G$12:$G$119,"")</f>
        <v>Metal</v>
      </c>
      <c r="B396" t="s">
        <v>730</v>
      </c>
      <c r="C396" t="s">
        <v>10</v>
      </c>
      <c r="D396" t="s">
        <v>805</v>
      </c>
      <c r="E396" t="s">
        <v>806</v>
      </c>
      <c r="G396" s="1">
        <v>22.67</v>
      </c>
    </row>
    <row r="397" spans="1:7" ht="14.25" hidden="1" customHeight="1" x14ac:dyDescent="0.45">
      <c r="A397" t="str">
        <f>_xlfn.XLOOKUP(B397,Ingot!$H$12:$H$119,Ingot!$G$12:$G$119,"")</f>
        <v>Metal</v>
      </c>
      <c r="B397" t="s">
        <v>730</v>
      </c>
      <c r="C397" t="s">
        <v>10</v>
      </c>
      <c r="D397" t="s">
        <v>807</v>
      </c>
      <c r="E397" t="s">
        <v>808</v>
      </c>
      <c r="G397" s="1">
        <v>8.3800000000000008</v>
      </c>
    </row>
    <row r="398" spans="1:7" ht="14.25" hidden="1" customHeight="1" x14ac:dyDescent="0.45">
      <c r="A398" t="str">
        <f>_xlfn.XLOOKUP(B398,Ingot!$H$12:$H$119,Ingot!$G$12:$G$119,"")</f>
        <v>Metal</v>
      </c>
      <c r="B398" t="s">
        <v>730</v>
      </c>
      <c r="C398" t="s">
        <v>10</v>
      </c>
      <c r="D398" t="s">
        <v>809</v>
      </c>
      <c r="E398" t="s">
        <v>810</v>
      </c>
      <c r="G398" s="1">
        <v>2.2000000000000002</v>
      </c>
    </row>
    <row r="399" spans="1:7" ht="14.25" hidden="1" customHeight="1" x14ac:dyDescent="0.45">
      <c r="A399" t="str">
        <f>_xlfn.XLOOKUP(B399,Ingot!$H$12:$H$119,Ingot!$G$12:$G$119,"")</f>
        <v>Metal</v>
      </c>
      <c r="B399" t="s">
        <v>730</v>
      </c>
      <c r="C399" t="s">
        <v>10</v>
      </c>
      <c r="D399" t="s">
        <v>811</v>
      </c>
      <c r="E399" t="s">
        <v>812</v>
      </c>
      <c r="G399" s="1">
        <v>3.09</v>
      </c>
    </row>
    <row r="400" spans="1:7" ht="14.25" hidden="1" customHeight="1" x14ac:dyDescent="0.45">
      <c r="A400" t="str">
        <f>_xlfn.XLOOKUP(B400,Ingot!$H$12:$H$119,Ingot!$G$12:$G$119,"")</f>
        <v>Metal</v>
      </c>
      <c r="B400" t="s">
        <v>730</v>
      </c>
      <c r="C400" t="s">
        <v>10</v>
      </c>
      <c r="D400" t="s">
        <v>813</v>
      </c>
      <c r="E400" t="s">
        <v>814</v>
      </c>
      <c r="G400" s="1">
        <v>2.2999999999999998</v>
      </c>
    </row>
    <row r="401" spans="1:7" ht="14.25" hidden="1" customHeight="1" x14ac:dyDescent="0.45">
      <c r="A401" t="str">
        <f>_xlfn.XLOOKUP(B401,Ingot!$H$12:$H$119,Ingot!$G$12:$G$119,"")</f>
        <v>Metal</v>
      </c>
      <c r="B401" t="s">
        <v>730</v>
      </c>
      <c r="C401" t="s">
        <v>10</v>
      </c>
      <c r="D401" t="s">
        <v>815</v>
      </c>
      <c r="E401" t="s">
        <v>816</v>
      </c>
      <c r="G401" s="1">
        <v>4.88</v>
      </c>
    </row>
    <row r="402" spans="1:7" ht="14.25" hidden="1" customHeight="1" x14ac:dyDescent="0.45">
      <c r="A402" t="str">
        <f>_xlfn.XLOOKUP(B402,Ingot!$H$12:$H$119,Ingot!$G$12:$G$119,"")</f>
        <v>Metal</v>
      </c>
      <c r="B402" t="s">
        <v>730</v>
      </c>
      <c r="C402" t="s">
        <v>10</v>
      </c>
      <c r="D402" t="s">
        <v>817</v>
      </c>
      <c r="E402" t="s">
        <v>818</v>
      </c>
      <c r="G402" s="1">
        <v>8.43</v>
      </c>
    </row>
    <row r="403" spans="1:7" ht="14.25" hidden="1" customHeight="1" x14ac:dyDescent="0.45">
      <c r="A403" t="str">
        <f>_xlfn.XLOOKUP(B403,Ingot!$H$12:$H$119,Ingot!$G$12:$G$119,"")</f>
        <v>Metal</v>
      </c>
      <c r="B403" t="s">
        <v>730</v>
      </c>
      <c r="C403" t="s">
        <v>10</v>
      </c>
      <c r="D403" t="s">
        <v>819</v>
      </c>
      <c r="E403" t="s">
        <v>820</v>
      </c>
      <c r="G403" s="1">
        <v>13.07</v>
      </c>
    </row>
    <row r="404" spans="1:7" ht="14.25" hidden="1" customHeight="1" x14ac:dyDescent="0.45">
      <c r="A404" t="str">
        <f>_xlfn.XLOOKUP(B404,Ingot!$H$12:$H$119,Ingot!$G$12:$G$119,"")</f>
        <v>Metal</v>
      </c>
      <c r="B404" t="s">
        <v>730</v>
      </c>
      <c r="C404" t="s">
        <v>10</v>
      </c>
      <c r="D404" t="s">
        <v>821</v>
      </c>
      <c r="E404" t="s">
        <v>822</v>
      </c>
    </row>
    <row r="405" spans="1:7" ht="14.25" hidden="1" customHeight="1" x14ac:dyDescent="0.45">
      <c r="A405" t="str">
        <f>_xlfn.XLOOKUP(B405,Ingot!$H$12:$H$119,Ingot!$G$12:$G$119,"")</f>
        <v>Metal</v>
      </c>
      <c r="B405" t="s">
        <v>730</v>
      </c>
      <c r="C405" t="s">
        <v>10</v>
      </c>
      <c r="D405" t="s">
        <v>823</v>
      </c>
      <c r="E405" t="s">
        <v>824</v>
      </c>
    </row>
    <row r="406" spans="1:7" ht="14.25" hidden="1" customHeight="1" x14ac:dyDescent="0.45">
      <c r="A406" t="str">
        <f>_xlfn.XLOOKUP(B406,Ingot!$H$12:$H$119,Ingot!$G$12:$G$119,"")</f>
        <v>Metal</v>
      </c>
      <c r="B406" t="s">
        <v>730</v>
      </c>
      <c r="C406" t="s">
        <v>10</v>
      </c>
      <c r="D406" t="s">
        <v>825</v>
      </c>
      <c r="E406" t="s">
        <v>826</v>
      </c>
      <c r="G406" s="1">
        <v>6.8</v>
      </c>
    </row>
    <row r="407" spans="1:7" ht="14.25" hidden="1" customHeight="1" x14ac:dyDescent="0.45">
      <c r="A407" t="str">
        <f>_xlfn.XLOOKUP(B407,Ingot!$H$12:$H$119,Ingot!$G$12:$G$119,"")</f>
        <v>Metal</v>
      </c>
      <c r="B407" t="s">
        <v>730</v>
      </c>
      <c r="C407" t="s">
        <v>10</v>
      </c>
      <c r="D407" t="s">
        <v>827</v>
      </c>
      <c r="E407" t="s">
        <v>828</v>
      </c>
      <c r="G407" s="1">
        <v>6.88</v>
      </c>
    </row>
    <row r="408" spans="1:7" ht="14.25" hidden="1" customHeight="1" x14ac:dyDescent="0.45">
      <c r="A408" t="str">
        <f>_xlfn.XLOOKUP(B408,Ingot!$H$12:$H$119,Ingot!$G$12:$G$119,"")</f>
        <v>Metal</v>
      </c>
      <c r="B408" t="s">
        <v>730</v>
      </c>
      <c r="C408" t="s">
        <v>10</v>
      </c>
      <c r="D408" t="s">
        <v>829</v>
      </c>
      <c r="E408" t="s">
        <v>830</v>
      </c>
      <c r="G408" s="1">
        <v>5.5</v>
      </c>
    </row>
    <row r="409" spans="1:7" ht="14.25" hidden="1" customHeight="1" x14ac:dyDescent="0.45">
      <c r="A409" t="str">
        <f>_xlfn.XLOOKUP(B409,Ingot!$H$12:$H$119,Ingot!$G$12:$G$119,"")</f>
        <v>Metal</v>
      </c>
      <c r="B409" t="s">
        <v>730</v>
      </c>
      <c r="C409" t="s">
        <v>10</v>
      </c>
      <c r="D409" t="s">
        <v>831</v>
      </c>
      <c r="E409" t="s">
        <v>832</v>
      </c>
      <c r="G409" s="1">
        <v>2.4300000000000002</v>
      </c>
    </row>
    <row r="410" spans="1:7" ht="14.25" hidden="1" customHeight="1" x14ac:dyDescent="0.45">
      <c r="A410" t="str">
        <f>_xlfn.XLOOKUP(B410,Ingot!$H$12:$H$119,Ingot!$G$12:$G$119,"")</f>
        <v>Metal</v>
      </c>
      <c r="B410" t="s">
        <v>730</v>
      </c>
      <c r="C410" t="s">
        <v>10</v>
      </c>
      <c r="D410" t="s">
        <v>833</v>
      </c>
      <c r="E410" t="s">
        <v>834</v>
      </c>
      <c r="G410" s="1">
        <v>6.96</v>
      </c>
    </row>
    <row r="411" spans="1:7" ht="14.25" hidden="1" customHeight="1" x14ac:dyDescent="0.45">
      <c r="A411" t="str">
        <f>_xlfn.XLOOKUP(B411,Ingot!$H$12:$H$119,Ingot!$G$12:$G$119,"")</f>
        <v>Metal</v>
      </c>
      <c r="B411" t="s">
        <v>730</v>
      </c>
      <c r="C411" t="s">
        <v>10</v>
      </c>
      <c r="D411" t="s">
        <v>835</v>
      </c>
      <c r="E411" t="s">
        <v>836</v>
      </c>
      <c r="G411" s="1">
        <v>6.32</v>
      </c>
    </row>
    <row r="412" spans="1:7" ht="14.25" hidden="1" customHeight="1" x14ac:dyDescent="0.45">
      <c r="A412" t="str">
        <f>_xlfn.XLOOKUP(B412,Ingot!$H$12:$H$119,Ingot!$G$12:$G$119,"")</f>
        <v>Metal</v>
      </c>
      <c r="B412" t="s">
        <v>730</v>
      </c>
      <c r="C412" t="s">
        <v>10</v>
      </c>
      <c r="D412" t="s">
        <v>837</v>
      </c>
      <c r="E412" t="s">
        <v>838</v>
      </c>
      <c r="G412" s="1">
        <v>6.88</v>
      </c>
    </row>
    <row r="413" spans="1:7" ht="14.25" hidden="1" customHeight="1" x14ac:dyDescent="0.45">
      <c r="A413" t="str">
        <f>_xlfn.XLOOKUP(B413,Ingot!$H$12:$H$119,Ingot!$G$12:$G$119,"")</f>
        <v>Metal</v>
      </c>
      <c r="B413" t="s">
        <v>730</v>
      </c>
      <c r="C413" t="s">
        <v>10</v>
      </c>
      <c r="D413" t="s">
        <v>839</v>
      </c>
      <c r="E413" t="s">
        <v>840</v>
      </c>
      <c r="G413" s="1">
        <v>2.44</v>
      </c>
    </row>
    <row r="414" spans="1:7" ht="14.25" hidden="1" customHeight="1" x14ac:dyDescent="0.45">
      <c r="A414" t="str">
        <f>_xlfn.XLOOKUP(B414,Ingot!$H$12:$H$119,Ingot!$G$12:$G$119,"")</f>
        <v>Metal</v>
      </c>
      <c r="B414" t="s">
        <v>730</v>
      </c>
      <c r="C414" t="s">
        <v>10</v>
      </c>
      <c r="D414" t="s">
        <v>841</v>
      </c>
      <c r="E414" t="s">
        <v>842</v>
      </c>
    </row>
    <row r="415" spans="1:7" ht="14.25" hidden="1" customHeight="1" x14ac:dyDescent="0.45">
      <c r="A415" t="str">
        <f>_xlfn.XLOOKUP(B415,Ingot!$H$12:$H$119,Ingot!$G$12:$G$119,"")</f>
        <v>Metal</v>
      </c>
      <c r="B415" t="s">
        <v>730</v>
      </c>
      <c r="C415" t="s">
        <v>10</v>
      </c>
      <c r="D415" t="s">
        <v>843</v>
      </c>
      <c r="E415" t="s">
        <v>844</v>
      </c>
    </row>
    <row r="416" spans="1:7" ht="14.25" hidden="1" customHeight="1" x14ac:dyDescent="0.45">
      <c r="A416" t="str">
        <f>_xlfn.XLOOKUP(B416,Ingot!$H$12:$H$119,Ingot!$G$12:$G$119,"")</f>
        <v>Metal</v>
      </c>
      <c r="B416" t="s">
        <v>730</v>
      </c>
      <c r="C416" t="s">
        <v>10</v>
      </c>
      <c r="D416" t="s">
        <v>845</v>
      </c>
      <c r="E416" t="s">
        <v>846</v>
      </c>
      <c r="G416" s="1">
        <v>3.11</v>
      </c>
    </row>
    <row r="417" spans="1:7" ht="14.25" hidden="1" customHeight="1" x14ac:dyDescent="0.45">
      <c r="A417" t="str">
        <f>_xlfn.XLOOKUP(B417,Ingot!$H$12:$H$119,Ingot!$G$12:$G$119,"")</f>
        <v>Metal</v>
      </c>
      <c r="B417" t="s">
        <v>730</v>
      </c>
      <c r="C417" t="s">
        <v>10</v>
      </c>
      <c r="D417" t="s">
        <v>847</v>
      </c>
      <c r="E417" t="s">
        <v>848</v>
      </c>
      <c r="G417" s="1">
        <v>2.44</v>
      </c>
    </row>
    <row r="418" spans="1:7" ht="14.25" hidden="1" customHeight="1" x14ac:dyDescent="0.45">
      <c r="A418" t="str">
        <f>_xlfn.XLOOKUP(B418,Ingot!$H$12:$H$119,Ingot!$G$12:$G$119,"")</f>
        <v>Metal</v>
      </c>
      <c r="B418" t="s">
        <v>730</v>
      </c>
      <c r="C418" t="s">
        <v>10</v>
      </c>
      <c r="D418" t="s">
        <v>849</v>
      </c>
      <c r="E418" t="s">
        <v>850</v>
      </c>
      <c r="G418" s="1">
        <v>8.61</v>
      </c>
    </row>
    <row r="419" spans="1:7" ht="14.25" hidden="1" customHeight="1" x14ac:dyDescent="0.45">
      <c r="A419" t="str">
        <f>_xlfn.XLOOKUP(B419,Ingot!$H$12:$H$119,Ingot!$G$12:$G$119,"")</f>
        <v>Metal</v>
      </c>
      <c r="B419" t="s">
        <v>730</v>
      </c>
      <c r="C419" t="s">
        <v>10</v>
      </c>
      <c r="D419" t="s">
        <v>851</v>
      </c>
      <c r="E419" t="s">
        <v>852</v>
      </c>
    </row>
    <row r="420" spans="1:7" ht="14.25" hidden="1" customHeight="1" x14ac:dyDescent="0.45">
      <c r="A420" t="str">
        <f>_xlfn.XLOOKUP(B420,Ingot!$H$12:$H$119,Ingot!$G$12:$G$119,"")</f>
        <v>Metal</v>
      </c>
      <c r="B420" t="s">
        <v>730</v>
      </c>
      <c r="C420" t="s">
        <v>10</v>
      </c>
      <c r="D420" t="s">
        <v>853</v>
      </c>
      <c r="E420" t="s">
        <v>854</v>
      </c>
      <c r="G420" s="1">
        <v>3.21</v>
      </c>
    </row>
    <row r="421" spans="1:7" ht="14.25" hidden="1" customHeight="1" x14ac:dyDescent="0.45">
      <c r="A421" t="str">
        <f>_xlfn.XLOOKUP(B421,Ingot!$H$12:$H$119,Ingot!$G$12:$G$119,"")</f>
        <v>Metal</v>
      </c>
      <c r="B421" t="s">
        <v>730</v>
      </c>
      <c r="C421" t="s">
        <v>10</v>
      </c>
      <c r="D421" t="s">
        <v>855</v>
      </c>
      <c r="E421" t="s">
        <v>856</v>
      </c>
      <c r="G421" s="1">
        <v>2.77</v>
      </c>
    </row>
    <row r="422" spans="1:7" ht="14.25" hidden="1" customHeight="1" x14ac:dyDescent="0.45">
      <c r="A422" t="str">
        <f>_xlfn.XLOOKUP(B422,Ingot!$H$12:$H$119,Ingot!$G$12:$G$119,"")</f>
        <v>Metal</v>
      </c>
      <c r="B422" t="s">
        <v>730</v>
      </c>
      <c r="C422" t="s">
        <v>10</v>
      </c>
      <c r="D422" t="s">
        <v>857</v>
      </c>
      <c r="E422" t="s">
        <v>858</v>
      </c>
      <c r="G422" s="1">
        <v>4.8899999999999997</v>
      </c>
    </row>
    <row r="423" spans="1:7" ht="14.25" hidden="1" customHeight="1" x14ac:dyDescent="0.45">
      <c r="A423" t="str">
        <f>_xlfn.XLOOKUP(B423,Ingot!$H$12:$H$119,Ingot!$G$12:$G$119,"")</f>
        <v>Metal</v>
      </c>
      <c r="B423" t="s">
        <v>730</v>
      </c>
      <c r="C423" t="s">
        <v>10</v>
      </c>
      <c r="D423" t="s">
        <v>859</v>
      </c>
      <c r="E423" t="s">
        <v>860</v>
      </c>
      <c r="G423" s="1">
        <v>1.76</v>
      </c>
    </row>
    <row r="424" spans="1:7" ht="14.25" hidden="1" customHeight="1" x14ac:dyDescent="0.45">
      <c r="A424" t="str">
        <f>_xlfn.XLOOKUP(B424,Ingot!$H$12:$H$119,Ingot!$G$12:$G$119,"")</f>
        <v>Metal</v>
      </c>
      <c r="B424" t="s">
        <v>730</v>
      </c>
      <c r="C424" t="s">
        <v>10</v>
      </c>
      <c r="D424" t="s">
        <v>861</v>
      </c>
      <c r="E424" t="s">
        <v>862</v>
      </c>
    </row>
    <row r="425" spans="1:7" ht="14.25" hidden="1" customHeight="1" x14ac:dyDescent="0.45">
      <c r="A425" t="str">
        <f>_xlfn.XLOOKUP(B425,Ingot!$H$12:$H$119,Ingot!$G$12:$G$119,"")</f>
        <v>Metal</v>
      </c>
      <c r="B425" t="s">
        <v>730</v>
      </c>
      <c r="C425" t="s">
        <v>10</v>
      </c>
      <c r="D425" t="s">
        <v>863</v>
      </c>
      <c r="E425" t="s">
        <v>864</v>
      </c>
      <c r="G425" s="1">
        <v>8.57</v>
      </c>
    </row>
    <row r="426" spans="1:7" ht="14.25" hidden="1" customHeight="1" x14ac:dyDescent="0.45">
      <c r="A426" t="str">
        <f>_xlfn.XLOOKUP(B426,Ingot!$H$12:$H$119,Ingot!$G$12:$G$119,"")</f>
        <v>Metal</v>
      </c>
      <c r="B426" t="s">
        <v>730</v>
      </c>
      <c r="C426" t="s">
        <v>10</v>
      </c>
      <c r="D426" t="s">
        <v>865</v>
      </c>
      <c r="E426" t="s">
        <v>866</v>
      </c>
    </row>
    <row r="427" spans="1:7" ht="14.25" hidden="1" customHeight="1" x14ac:dyDescent="0.45">
      <c r="A427" t="str">
        <f>_xlfn.XLOOKUP(B427,Ingot!$H$12:$H$119,Ingot!$G$12:$G$119,"")</f>
        <v>Metal</v>
      </c>
      <c r="B427" t="s">
        <v>730</v>
      </c>
      <c r="C427" t="s">
        <v>10</v>
      </c>
      <c r="D427" t="s">
        <v>867</v>
      </c>
      <c r="E427" t="s">
        <v>868</v>
      </c>
      <c r="G427" s="1">
        <v>3.56</v>
      </c>
    </row>
    <row r="428" spans="1:7" ht="14.25" hidden="1" customHeight="1" x14ac:dyDescent="0.45">
      <c r="A428" t="str">
        <f>_xlfn.XLOOKUP(B428,Ingot!$H$12:$H$119,Ingot!$G$12:$G$119,"")</f>
        <v>Metal</v>
      </c>
      <c r="B428" t="s">
        <v>730</v>
      </c>
      <c r="C428" t="s">
        <v>10</v>
      </c>
      <c r="D428" t="s">
        <v>869</v>
      </c>
      <c r="E428" t="s">
        <v>870</v>
      </c>
      <c r="G428" s="1">
        <v>8.91</v>
      </c>
    </row>
    <row r="429" spans="1:7" ht="14.25" hidden="1" customHeight="1" x14ac:dyDescent="0.45">
      <c r="A429" t="str">
        <f>_xlfn.XLOOKUP(B429,Ingot!$H$12:$H$119,Ingot!$G$12:$G$119,"")</f>
        <v>Metal</v>
      </c>
      <c r="B429" t="s">
        <v>730</v>
      </c>
      <c r="C429" t="s">
        <v>10</v>
      </c>
      <c r="D429" t="s">
        <v>871</v>
      </c>
      <c r="E429" t="s">
        <v>872</v>
      </c>
      <c r="G429" s="1">
        <v>11.02</v>
      </c>
    </row>
    <row r="430" spans="1:7" ht="14.25" hidden="1" customHeight="1" x14ac:dyDescent="0.45">
      <c r="A430" t="str">
        <f>_xlfn.XLOOKUP(B430,Ingot!$H$12:$H$119,Ingot!$G$12:$G$119,"")</f>
        <v>Metal</v>
      </c>
      <c r="B430" t="s">
        <v>730</v>
      </c>
      <c r="C430" t="s">
        <v>10</v>
      </c>
      <c r="D430" t="s">
        <v>873</v>
      </c>
      <c r="E430" t="s">
        <v>874</v>
      </c>
      <c r="G430" s="1">
        <v>5.12</v>
      </c>
    </row>
    <row r="431" spans="1:7" ht="14.25" hidden="1" customHeight="1" x14ac:dyDescent="0.45">
      <c r="A431" t="str">
        <f>_xlfn.XLOOKUP(B431,Ingot!$H$12:$H$119,Ingot!$G$12:$G$119,"")</f>
        <v>Metal</v>
      </c>
      <c r="B431" t="s">
        <v>730</v>
      </c>
      <c r="C431" t="s">
        <v>10</v>
      </c>
      <c r="D431" t="s">
        <v>875</v>
      </c>
      <c r="E431" t="s">
        <v>876</v>
      </c>
      <c r="G431" s="1">
        <v>4.41</v>
      </c>
    </row>
    <row r="432" spans="1:7" ht="14.25" hidden="1" customHeight="1" x14ac:dyDescent="0.45">
      <c r="A432" t="str">
        <f>_xlfn.XLOOKUP(B432,Ingot!$H$12:$H$119,Ingot!$G$12:$G$119,"")</f>
        <v>Metal</v>
      </c>
      <c r="B432" t="s">
        <v>730</v>
      </c>
      <c r="C432" t="s">
        <v>157</v>
      </c>
      <c r="D432" t="s">
        <v>877</v>
      </c>
      <c r="E432" t="s">
        <v>878</v>
      </c>
      <c r="G432" s="1">
        <v>36.47</v>
      </c>
    </row>
    <row r="433" spans="1:7" ht="14.25" hidden="1" customHeight="1" x14ac:dyDescent="0.45">
      <c r="A433" t="str">
        <f>_xlfn.XLOOKUP(B433,Ingot!$H$12:$H$119,Ingot!$G$12:$G$119,"")</f>
        <v>Metal</v>
      </c>
      <c r="B433" t="s">
        <v>730</v>
      </c>
      <c r="C433" t="s">
        <v>157</v>
      </c>
      <c r="D433" t="s">
        <v>879</v>
      </c>
      <c r="E433" t="s">
        <v>880</v>
      </c>
      <c r="G433" s="1">
        <v>7.29</v>
      </c>
    </row>
    <row r="434" spans="1:7" ht="14.25" hidden="1" customHeight="1" x14ac:dyDescent="0.45">
      <c r="A434" t="str">
        <f>_xlfn.XLOOKUP(B434,Ingot!$H$12:$H$119,Ingot!$G$12:$G$119,"")</f>
        <v>Metal</v>
      </c>
      <c r="B434" t="s">
        <v>730</v>
      </c>
      <c r="C434" t="s">
        <v>157</v>
      </c>
      <c r="D434" t="s">
        <v>881</v>
      </c>
      <c r="E434" t="s">
        <v>882</v>
      </c>
      <c r="G434" s="1">
        <v>7.29</v>
      </c>
    </row>
    <row r="435" spans="1:7" ht="14.25" hidden="1" customHeight="1" x14ac:dyDescent="0.45">
      <c r="A435" t="str">
        <f>_xlfn.XLOOKUP(B435,Ingot!$H$12:$H$119,Ingot!$G$12:$G$119,"")</f>
        <v>Metal</v>
      </c>
      <c r="B435" t="s">
        <v>730</v>
      </c>
      <c r="C435" t="s">
        <v>157</v>
      </c>
      <c r="D435" t="s">
        <v>883</v>
      </c>
      <c r="E435" t="s">
        <v>884</v>
      </c>
      <c r="G435" s="1">
        <v>5</v>
      </c>
    </row>
    <row r="436" spans="1:7" ht="14.25" hidden="1" customHeight="1" x14ac:dyDescent="0.45">
      <c r="A436" t="str">
        <f>_xlfn.XLOOKUP(B436,Ingot!$H$12:$H$119,Ingot!$G$12:$G$119,"")</f>
        <v>Metal</v>
      </c>
      <c r="B436" t="s">
        <v>730</v>
      </c>
      <c r="C436" t="s">
        <v>157</v>
      </c>
      <c r="D436" t="s">
        <v>885</v>
      </c>
      <c r="E436" t="s">
        <v>886</v>
      </c>
      <c r="G436" s="1">
        <v>10</v>
      </c>
    </row>
    <row r="437" spans="1:7" ht="14.25" hidden="1" customHeight="1" x14ac:dyDescent="0.45">
      <c r="A437" t="str">
        <f>_xlfn.XLOOKUP(B437,Ingot!$H$12:$H$119,Ingot!$G$12:$G$119,"")</f>
        <v>Metal</v>
      </c>
      <c r="B437" t="s">
        <v>730</v>
      </c>
      <c r="C437" t="s">
        <v>157</v>
      </c>
      <c r="D437" t="s">
        <v>887</v>
      </c>
      <c r="E437" t="s">
        <v>888</v>
      </c>
      <c r="G437" s="1">
        <v>30.97</v>
      </c>
    </row>
    <row r="438" spans="1:7" ht="14.25" hidden="1" customHeight="1" x14ac:dyDescent="0.45">
      <c r="A438" t="str">
        <f>_xlfn.XLOOKUP(B438,Ingot!$H$12:$H$119,Ingot!$G$12:$G$119,"")</f>
        <v>Metal</v>
      </c>
      <c r="B438" t="s">
        <v>730</v>
      </c>
      <c r="C438" t="s">
        <v>157</v>
      </c>
      <c r="D438" t="s">
        <v>889</v>
      </c>
      <c r="E438" t="s">
        <v>890</v>
      </c>
      <c r="G438" s="1">
        <v>6.19</v>
      </c>
    </row>
    <row r="439" spans="1:7" ht="14.25" hidden="1" customHeight="1" x14ac:dyDescent="0.45">
      <c r="A439" t="str">
        <f>_xlfn.XLOOKUP(B439,Ingot!$H$12:$H$119,Ingot!$G$12:$G$119,"")</f>
        <v>Metal</v>
      </c>
      <c r="B439" t="s">
        <v>730</v>
      </c>
      <c r="C439" t="s">
        <v>157</v>
      </c>
      <c r="D439" t="s">
        <v>891</v>
      </c>
      <c r="E439" t="s">
        <v>892</v>
      </c>
      <c r="G439" s="1">
        <v>6.19</v>
      </c>
    </row>
    <row r="440" spans="1:7" ht="14.25" hidden="1" customHeight="1" x14ac:dyDescent="0.45">
      <c r="A440" t="str">
        <f>_xlfn.XLOOKUP(B440,Ingot!$H$12:$H$119,Ingot!$G$12:$G$119,"")</f>
        <v>Metal</v>
      </c>
      <c r="B440" t="s">
        <v>730</v>
      </c>
      <c r="C440" t="s">
        <v>157</v>
      </c>
      <c r="D440" t="s">
        <v>893</v>
      </c>
      <c r="E440" t="s">
        <v>894</v>
      </c>
      <c r="G440" s="1">
        <v>5</v>
      </c>
    </row>
    <row r="441" spans="1:7" ht="14.25" hidden="1" customHeight="1" x14ac:dyDescent="0.45">
      <c r="A441" t="str">
        <f>_xlfn.XLOOKUP(B441,Ingot!$H$12:$H$119,Ingot!$G$12:$G$119,"")</f>
        <v>Metal</v>
      </c>
      <c r="B441" t="s">
        <v>730</v>
      </c>
      <c r="C441" t="s">
        <v>157</v>
      </c>
      <c r="D441" t="s">
        <v>895</v>
      </c>
      <c r="E441" t="s">
        <v>896</v>
      </c>
      <c r="G441" s="1">
        <v>10</v>
      </c>
    </row>
    <row r="442" spans="1:7" ht="14.25" hidden="1" customHeight="1" x14ac:dyDescent="0.45">
      <c r="A442" t="str">
        <f>_xlfn.XLOOKUP(B442,Ingot!$H$12:$H$119,Ingot!$G$12:$G$119,"")</f>
        <v>Metal</v>
      </c>
      <c r="B442" t="s">
        <v>730</v>
      </c>
      <c r="C442" t="s">
        <v>157</v>
      </c>
      <c r="D442" t="s">
        <v>897</v>
      </c>
      <c r="E442" t="s">
        <v>898</v>
      </c>
      <c r="F442" t="s">
        <v>180</v>
      </c>
      <c r="G442" s="1">
        <v>29.97</v>
      </c>
    </row>
    <row r="443" spans="1:7" ht="14.25" hidden="1" customHeight="1" x14ac:dyDescent="0.45">
      <c r="A443" t="str">
        <f>_xlfn.XLOOKUP(B443,Ingot!$H$12:$H$119,Ingot!$G$12:$G$119,"")</f>
        <v>Metal</v>
      </c>
      <c r="B443" t="s">
        <v>730</v>
      </c>
      <c r="C443" t="s">
        <v>157</v>
      </c>
      <c r="D443" t="s">
        <v>899</v>
      </c>
      <c r="E443" t="s">
        <v>900</v>
      </c>
      <c r="F443" t="s">
        <v>180</v>
      </c>
      <c r="G443" s="1">
        <v>5.99</v>
      </c>
    </row>
    <row r="444" spans="1:7" ht="14.25" hidden="1" customHeight="1" x14ac:dyDescent="0.45">
      <c r="A444" t="str">
        <f>_xlfn.XLOOKUP(B444,Ingot!$H$12:$H$119,Ingot!$G$12:$G$119,"")</f>
        <v>Metal</v>
      </c>
      <c r="B444" t="s">
        <v>730</v>
      </c>
      <c r="C444" t="s">
        <v>157</v>
      </c>
      <c r="D444" t="s">
        <v>901</v>
      </c>
      <c r="E444" t="s">
        <v>902</v>
      </c>
      <c r="F444" t="s">
        <v>180</v>
      </c>
      <c r="G444" s="1">
        <v>5.99</v>
      </c>
    </row>
    <row r="445" spans="1:7" ht="14.25" hidden="1" customHeight="1" x14ac:dyDescent="0.45">
      <c r="A445" t="str">
        <f>_xlfn.XLOOKUP(B445,Ingot!$H$12:$H$119,Ingot!$G$12:$G$119,"")</f>
        <v>Metal</v>
      </c>
      <c r="B445" t="s">
        <v>730</v>
      </c>
      <c r="C445" t="s">
        <v>157</v>
      </c>
      <c r="D445" t="s">
        <v>903</v>
      </c>
      <c r="E445" t="s">
        <v>904</v>
      </c>
      <c r="F445" t="s">
        <v>180</v>
      </c>
      <c r="G445" s="1">
        <v>5</v>
      </c>
    </row>
    <row r="446" spans="1:7" ht="14.25" hidden="1" customHeight="1" x14ac:dyDescent="0.45">
      <c r="A446" t="str">
        <f>_xlfn.XLOOKUP(B446,Ingot!$H$12:$H$119,Ingot!$G$12:$G$119,"")</f>
        <v>Metal</v>
      </c>
      <c r="B446" t="s">
        <v>730</v>
      </c>
      <c r="C446" t="s">
        <v>157</v>
      </c>
      <c r="D446" t="s">
        <v>905</v>
      </c>
      <c r="E446" t="s">
        <v>906</v>
      </c>
      <c r="F446" t="s">
        <v>180</v>
      </c>
      <c r="G446" s="1">
        <v>10</v>
      </c>
    </row>
    <row r="447" spans="1:7" ht="14.25" hidden="1" customHeight="1" x14ac:dyDescent="0.45">
      <c r="A447" t="str">
        <f>_xlfn.XLOOKUP(B447,Ingot!$H$12:$H$119,Ingot!$G$12:$G$119,"")</f>
        <v>Metal</v>
      </c>
      <c r="B447" t="s">
        <v>730</v>
      </c>
      <c r="C447" t="s">
        <v>157</v>
      </c>
      <c r="D447" t="s">
        <v>907</v>
      </c>
      <c r="E447" t="s">
        <v>908</v>
      </c>
      <c r="G447" s="1">
        <v>32.47</v>
      </c>
    </row>
    <row r="448" spans="1:7" ht="14.25" hidden="1" customHeight="1" x14ac:dyDescent="0.45">
      <c r="A448" t="str">
        <f>_xlfn.XLOOKUP(B448,Ingot!$H$12:$H$119,Ingot!$G$12:$G$119,"")</f>
        <v>Metal</v>
      </c>
      <c r="B448" t="s">
        <v>730</v>
      </c>
      <c r="C448" t="s">
        <v>157</v>
      </c>
      <c r="D448" t="s">
        <v>909</v>
      </c>
      <c r="E448" t="s">
        <v>910</v>
      </c>
      <c r="G448" s="1">
        <v>6.49</v>
      </c>
    </row>
    <row r="449" spans="1:7" ht="14.25" hidden="1" customHeight="1" x14ac:dyDescent="0.45">
      <c r="A449" t="str">
        <f>_xlfn.XLOOKUP(B449,Ingot!$H$12:$H$119,Ingot!$G$12:$G$119,"")</f>
        <v>Metal</v>
      </c>
      <c r="B449" t="s">
        <v>730</v>
      </c>
      <c r="C449" t="s">
        <v>157</v>
      </c>
      <c r="D449" t="s">
        <v>911</v>
      </c>
      <c r="E449" t="s">
        <v>912</v>
      </c>
      <c r="G449" s="1">
        <v>6.49</v>
      </c>
    </row>
    <row r="450" spans="1:7" ht="14.25" hidden="1" customHeight="1" x14ac:dyDescent="0.45">
      <c r="A450" t="str">
        <f>_xlfn.XLOOKUP(B450,Ingot!$H$12:$H$119,Ingot!$G$12:$G$119,"")</f>
        <v>Metal</v>
      </c>
      <c r="B450" t="s">
        <v>730</v>
      </c>
      <c r="C450" t="s">
        <v>157</v>
      </c>
      <c r="D450" t="s">
        <v>913</v>
      </c>
      <c r="E450" t="s">
        <v>914</v>
      </c>
      <c r="G450" s="1">
        <v>5</v>
      </c>
    </row>
    <row r="451" spans="1:7" ht="14.25" hidden="1" customHeight="1" x14ac:dyDescent="0.45">
      <c r="A451" t="str">
        <f>_xlfn.XLOOKUP(B451,Ingot!$H$12:$H$119,Ingot!$G$12:$G$119,"")</f>
        <v>Metal</v>
      </c>
      <c r="B451" t="s">
        <v>730</v>
      </c>
      <c r="C451" t="s">
        <v>157</v>
      </c>
      <c r="D451" t="s">
        <v>915</v>
      </c>
      <c r="E451" t="s">
        <v>916</v>
      </c>
      <c r="G451" s="1">
        <v>10</v>
      </c>
    </row>
    <row r="452" spans="1:7" ht="14.25" hidden="1" customHeight="1" x14ac:dyDescent="0.45">
      <c r="A452" t="str">
        <f>_xlfn.XLOOKUP(B452,Ingot!$H$12:$H$119,Ingot!$G$12:$G$119,"")</f>
        <v>Metal</v>
      </c>
      <c r="B452" t="s">
        <v>730</v>
      </c>
      <c r="C452" t="s">
        <v>157</v>
      </c>
      <c r="D452" t="s">
        <v>917</v>
      </c>
      <c r="E452" t="s">
        <v>918</v>
      </c>
      <c r="G452" s="1">
        <v>34.47</v>
      </c>
    </row>
    <row r="453" spans="1:7" ht="14.25" hidden="1" customHeight="1" x14ac:dyDescent="0.45">
      <c r="A453" t="str">
        <f>_xlfn.XLOOKUP(B453,Ingot!$H$12:$H$119,Ingot!$G$12:$G$119,"")</f>
        <v>Metal</v>
      </c>
      <c r="B453" t="s">
        <v>730</v>
      </c>
      <c r="C453" t="s">
        <v>157</v>
      </c>
      <c r="D453" t="s">
        <v>919</v>
      </c>
      <c r="E453" t="s">
        <v>920</v>
      </c>
      <c r="F453" t="s">
        <v>180</v>
      </c>
      <c r="G453" s="1">
        <v>6.89</v>
      </c>
    </row>
    <row r="454" spans="1:7" ht="14.25" hidden="1" customHeight="1" x14ac:dyDescent="0.45">
      <c r="A454" t="str">
        <f>_xlfn.XLOOKUP(B454,Ingot!$H$12:$H$119,Ingot!$G$12:$G$119,"")</f>
        <v>Metal</v>
      </c>
      <c r="B454" t="s">
        <v>730</v>
      </c>
      <c r="C454" t="s">
        <v>157</v>
      </c>
      <c r="D454" t="s">
        <v>921</v>
      </c>
      <c r="E454" t="s">
        <v>922</v>
      </c>
      <c r="F454" t="s">
        <v>180</v>
      </c>
      <c r="G454" s="1">
        <v>6.89</v>
      </c>
    </row>
    <row r="455" spans="1:7" ht="14.25" hidden="1" customHeight="1" x14ac:dyDescent="0.45">
      <c r="A455" t="str">
        <f>_xlfn.XLOOKUP(B455,Ingot!$H$12:$H$119,Ingot!$G$12:$G$119,"")</f>
        <v>Metal</v>
      </c>
      <c r="B455" t="s">
        <v>730</v>
      </c>
      <c r="C455" t="s">
        <v>157</v>
      </c>
      <c r="D455" t="s">
        <v>923</v>
      </c>
      <c r="E455" t="s">
        <v>924</v>
      </c>
      <c r="F455" t="s">
        <v>180</v>
      </c>
      <c r="G455" s="1">
        <v>5</v>
      </c>
    </row>
    <row r="456" spans="1:7" ht="14.25" hidden="1" customHeight="1" x14ac:dyDescent="0.45">
      <c r="A456" t="str">
        <f>_xlfn.XLOOKUP(B456,Ingot!$H$12:$H$119,Ingot!$G$12:$G$119,"")</f>
        <v>Metal</v>
      </c>
      <c r="B456" t="s">
        <v>730</v>
      </c>
      <c r="C456" t="s">
        <v>157</v>
      </c>
      <c r="D456" t="s">
        <v>925</v>
      </c>
      <c r="E456" t="s">
        <v>926</v>
      </c>
      <c r="G456" s="1">
        <v>10</v>
      </c>
    </row>
    <row r="457" spans="1:7" ht="14.25" hidden="1" customHeight="1" x14ac:dyDescent="0.45">
      <c r="A457" t="str">
        <f>_xlfn.XLOOKUP(B457,Ingot!$H$12:$H$119,Ingot!$G$12:$G$119,"")</f>
        <v>Metal</v>
      </c>
      <c r="B457" t="s">
        <v>730</v>
      </c>
      <c r="C457" t="s">
        <v>157</v>
      </c>
      <c r="D457" t="s">
        <v>927</v>
      </c>
      <c r="E457" t="s">
        <v>928</v>
      </c>
      <c r="G457" s="1">
        <v>39.47</v>
      </c>
    </row>
    <row r="458" spans="1:7" ht="14.25" hidden="1" customHeight="1" x14ac:dyDescent="0.45">
      <c r="A458" t="str">
        <f>_xlfn.XLOOKUP(B458,Ingot!$H$12:$H$119,Ingot!$G$12:$G$119,"")</f>
        <v>Metal</v>
      </c>
      <c r="B458" t="s">
        <v>730</v>
      </c>
      <c r="C458" t="s">
        <v>157</v>
      </c>
      <c r="D458" t="s">
        <v>929</v>
      </c>
      <c r="E458" t="s">
        <v>930</v>
      </c>
      <c r="G458" s="1">
        <v>7.89</v>
      </c>
    </row>
    <row r="459" spans="1:7" ht="14.25" hidden="1" customHeight="1" x14ac:dyDescent="0.45">
      <c r="A459" t="str">
        <f>_xlfn.XLOOKUP(B459,Ingot!$H$12:$H$119,Ingot!$G$12:$G$119,"")</f>
        <v>Metal</v>
      </c>
      <c r="B459" t="s">
        <v>730</v>
      </c>
      <c r="C459" t="s">
        <v>157</v>
      </c>
      <c r="D459" t="s">
        <v>931</v>
      </c>
      <c r="E459" t="s">
        <v>932</v>
      </c>
      <c r="G459" s="1">
        <v>7.89</v>
      </c>
    </row>
    <row r="460" spans="1:7" ht="14.25" hidden="1" customHeight="1" x14ac:dyDescent="0.45">
      <c r="A460" t="str">
        <f>_xlfn.XLOOKUP(B460,Ingot!$H$12:$H$119,Ingot!$G$12:$G$119,"")</f>
        <v>Metal</v>
      </c>
      <c r="B460" t="s">
        <v>730</v>
      </c>
      <c r="C460" t="s">
        <v>157</v>
      </c>
      <c r="D460" t="s">
        <v>933</v>
      </c>
      <c r="E460" t="s">
        <v>934</v>
      </c>
      <c r="G460" s="1">
        <v>5.13</v>
      </c>
    </row>
    <row r="461" spans="1:7" ht="14.25" hidden="1" customHeight="1" x14ac:dyDescent="0.45">
      <c r="A461" t="str">
        <f>_xlfn.XLOOKUP(B461,Ingot!$H$12:$H$119,Ingot!$G$12:$G$119,"")</f>
        <v>Metal</v>
      </c>
      <c r="B461" t="s">
        <v>730</v>
      </c>
      <c r="C461" t="s">
        <v>157</v>
      </c>
      <c r="D461" t="s">
        <v>935</v>
      </c>
      <c r="E461" t="s">
        <v>936</v>
      </c>
      <c r="G461" s="1">
        <v>10.26</v>
      </c>
    </row>
    <row r="462" spans="1:7" ht="14.25" hidden="1" customHeight="1" x14ac:dyDescent="0.45">
      <c r="A462" t="str">
        <f>_xlfn.XLOOKUP(B462,Ingot!$H$12:$H$119,Ingot!$G$12:$G$119,"")</f>
        <v>Metal</v>
      </c>
      <c r="B462" t="s">
        <v>730</v>
      </c>
      <c r="C462" t="s">
        <v>157</v>
      </c>
      <c r="D462" t="s">
        <v>937</v>
      </c>
      <c r="E462" t="s">
        <v>938</v>
      </c>
      <c r="G462" s="1">
        <v>38.97</v>
      </c>
    </row>
    <row r="463" spans="1:7" ht="14.25" hidden="1" customHeight="1" x14ac:dyDescent="0.45">
      <c r="A463" t="str">
        <f>_xlfn.XLOOKUP(B463,Ingot!$H$12:$H$119,Ingot!$G$12:$G$119,"")</f>
        <v>Metal</v>
      </c>
      <c r="B463" t="s">
        <v>730</v>
      </c>
      <c r="C463" t="s">
        <v>157</v>
      </c>
      <c r="D463" t="s">
        <v>939</v>
      </c>
      <c r="E463" t="s">
        <v>940</v>
      </c>
      <c r="G463" s="1">
        <v>7.79</v>
      </c>
    </row>
    <row r="464" spans="1:7" ht="14.25" hidden="1" customHeight="1" x14ac:dyDescent="0.45">
      <c r="A464" t="str">
        <f>_xlfn.XLOOKUP(B464,Ingot!$H$12:$H$119,Ingot!$G$12:$G$119,"")</f>
        <v>Metal</v>
      </c>
      <c r="B464" t="s">
        <v>730</v>
      </c>
      <c r="C464" t="s">
        <v>157</v>
      </c>
      <c r="D464" t="s">
        <v>941</v>
      </c>
      <c r="E464" t="s">
        <v>942</v>
      </c>
      <c r="G464" s="1">
        <v>7.79</v>
      </c>
    </row>
    <row r="465" spans="1:7" ht="14.25" hidden="1" customHeight="1" x14ac:dyDescent="0.45">
      <c r="A465" t="str">
        <f>_xlfn.XLOOKUP(B465,Ingot!$H$12:$H$119,Ingot!$G$12:$G$119,"")</f>
        <v>Metal</v>
      </c>
      <c r="B465" t="s">
        <v>730</v>
      </c>
      <c r="C465" t="s">
        <v>157</v>
      </c>
      <c r="D465" t="s">
        <v>943</v>
      </c>
      <c r="E465" t="s">
        <v>944</v>
      </c>
      <c r="G465" s="1">
        <v>5.07</v>
      </c>
    </row>
    <row r="466" spans="1:7" ht="14.25" hidden="1" customHeight="1" x14ac:dyDescent="0.45">
      <c r="A466" t="str">
        <f>_xlfn.XLOOKUP(B466,Ingot!$H$12:$H$119,Ingot!$G$12:$G$119,"")</f>
        <v>Metal</v>
      </c>
      <c r="B466" t="s">
        <v>730</v>
      </c>
      <c r="C466" t="s">
        <v>157</v>
      </c>
      <c r="D466" t="s">
        <v>945</v>
      </c>
      <c r="E466" t="s">
        <v>946</v>
      </c>
      <c r="G466" s="1">
        <v>10.130000000000001</v>
      </c>
    </row>
    <row r="467" spans="1:7" ht="14.25" hidden="1" customHeight="1" x14ac:dyDescent="0.45">
      <c r="A467" t="str">
        <f>_xlfn.XLOOKUP(B467,Ingot!$H$12:$H$119,Ingot!$G$12:$G$119,"")</f>
        <v>Metal</v>
      </c>
      <c r="B467" t="s">
        <v>730</v>
      </c>
      <c r="C467" t="s">
        <v>157</v>
      </c>
      <c r="D467" t="s">
        <v>947</v>
      </c>
      <c r="E467" t="s">
        <v>948</v>
      </c>
      <c r="F467" t="s">
        <v>180</v>
      </c>
      <c r="G467" s="1">
        <v>28.47</v>
      </c>
    </row>
    <row r="468" spans="1:7" ht="14.25" hidden="1" customHeight="1" x14ac:dyDescent="0.45">
      <c r="A468" t="str">
        <f>_xlfn.XLOOKUP(B468,Ingot!$H$12:$H$119,Ingot!$G$12:$G$119,"")</f>
        <v>Metal</v>
      </c>
      <c r="B468" t="s">
        <v>730</v>
      </c>
      <c r="C468" t="s">
        <v>157</v>
      </c>
      <c r="D468" t="s">
        <v>949</v>
      </c>
      <c r="E468" t="s">
        <v>950</v>
      </c>
      <c r="F468" t="s">
        <v>180</v>
      </c>
      <c r="G468" s="1">
        <v>5.69</v>
      </c>
    </row>
    <row r="469" spans="1:7" ht="14.25" hidden="1" customHeight="1" x14ac:dyDescent="0.45">
      <c r="A469" t="str">
        <f>_xlfn.XLOOKUP(B469,Ingot!$H$12:$H$119,Ingot!$G$12:$G$119,"")</f>
        <v>Metal</v>
      </c>
      <c r="B469" t="s">
        <v>730</v>
      </c>
      <c r="C469" t="s">
        <v>157</v>
      </c>
      <c r="D469" t="s">
        <v>951</v>
      </c>
      <c r="E469" t="s">
        <v>952</v>
      </c>
      <c r="F469" t="s">
        <v>180</v>
      </c>
      <c r="G469" s="1">
        <v>5.69</v>
      </c>
    </row>
    <row r="470" spans="1:7" ht="14.25" hidden="1" customHeight="1" x14ac:dyDescent="0.45">
      <c r="A470" t="str">
        <f>_xlfn.XLOOKUP(B470,Ingot!$H$12:$H$119,Ingot!$G$12:$G$119,"")</f>
        <v>Metal</v>
      </c>
      <c r="B470" t="s">
        <v>730</v>
      </c>
      <c r="C470" t="s">
        <v>157</v>
      </c>
      <c r="D470" t="s">
        <v>953</v>
      </c>
      <c r="E470" t="s">
        <v>954</v>
      </c>
      <c r="F470" t="s">
        <v>180</v>
      </c>
      <c r="G470" s="1">
        <v>5</v>
      </c>
    </row>
    <row r="471" spans="1:7" ht="14.25" hidden="1" customHeight="1" x14ac:dyDescent="0.45">
      <c r="A471" t="str">
        <f>_xlfn.XLOOKUP(B471,Ingot!$H$12:$H$119,Ingot!$G$12:$G$119,"")</f>
        <v>Metal</v>
      </c>
      <c r="B471" t="s">
        <v>730</v>
      </c>
      <c r="C471" t="s">
        <v>157</v>
      </c>
      <c r="D471" t="s">
        <v>955</v>
      </c>
      <c r="E471" t="s">
        <v>956</v>
      </c>
      <c r="F471" t="s">
        <v>180</v>
      </c>
      <c r="G471" s="1">
        <v>10</v>
      </c>
    </row>
    <row r="472" spans="1:7" ht="14.25" hidden="1" customHeight="1" x14ac:dyDescent="0.45">
      <c r="A472" t="str">
        <f>_xlfn.XLOOKUP(B472,Ingot!$H$12:$H$119,Ingot!$G$12:$G$119,"")</f>
        <v>Metal</v>
      </c>
      <c r="B472" t="s">
        <v>730</v>
      </c>
      <c r="C472" t="s">
        <v>239</v>
      </c>
      <c r="D472" t="s">
        <v>957</v>
      </c>
      <c r="E472" t="s">
        <v>958</v>
      </c>
      <c r="G472" s="1">
        <f>(VLOOKUP(B472,Ingot!H:I,2,FALSE()) * 0.75) * 0.75</f>
        <v>10.125</v>
      </c>
    </row>
    <row r="473" spans="1:7" ht="14.25" hidden="1" customHeight="1" x14ac:dyDescent="0.45">
      <c r="A473" t="str">
        <f>_xlfn.XLOOKUP(B473,Ingot!$H$12:$H$119,Ingot!$G$12:$G$119,"")</f>
        <v>Metal</v>
      </c>
      <c r="B473" t="s">
        <v>730</v>
      </c>
      <c r="C473" t="s">
        <v>239</v>
      </c>
      <c r="D473" t="s">
        <v>959</v>
      </c>
      <c r="E473" t="s">
        <v>960</v>
      </c>
      <c r="G473" s="1">
        <f>((VLOOKUP(B473,Ingot!H:I,2,FALSE()) * 3) - 10.25) * 0.421875</f>
        <v>18.45703125</v>
      </c>
    </row>
    <row r="474" spans="1:7" ht="14.25" hidden="1" customHeight="1" x14ac:dyDescent="0.45">
      <c r="A474" t="str">
        <f>_xlfn.XLOOKUP(B474,Ingot!$H$12:$H$119,Ingot!$G$12:$G$119,"")</f>
        <v>Metal</v>
      </c>
      <c r="B474" t="s">
        <v>730</v>
      </c>
      <c r="C474" t="s">
        <v>239</v>
      </c>
      <c r="D474" t="s">
        <v>961</v>
      </c>
      <c r="E474" t="s">
        <v>962</v>
      </c>
      <c r="G474" s="1">
        <f>((VLOOKUP(B474,Ingot!H:I,2,FALSE()) * 3) - 10.25) * 0.75</f>
        <v>32.8125</v>
      </c>
    </row>
    <row r="475" spans="1:7" ht="14.25" hidden="1" customHeight="1" x14ac:dyDescent="0.45">
      <c r="A475" t="str">
        <f>_xlfn.XLOOKUP(B475,Ingot!$H$12:$H$119,Ingot!$G$12:$G$119,"")</f>
        <v>Metal</v>
      </c>
      <c r="B475" t="s">
        <v>730</v>
      </c>
      <c r="C475" t="s">
        <v>239</v>
      </c>
      <c r="D475" t="s">
        <v>963</v>
      </c>
      <c r="E475" t="s">
        <v>964</v>
      </c>
      <c r="G475" s="1">
        <f>((VLOOKUP(B475,Ingot!H:I,2,FALSE()) * 3) - 10.25) * 0.5625</f>
        <v>24.609375</v>
      </c>
    </row>
    <row r="476" spans="1:7" ht="14.25" hidden="1" customHeight="1" x14ac:dyDescent="0.45">
      <c r="A476" t="str">
        <f>_xlfn.XLOOKUP(B476,Ingot!$H$12:$H$119,Ingot!$G$12:$G$119,"")</f>
        <v>Metal</v>
      </c>
      <c r="B476" t="s">
        <v>730</v>
      </c>
      <c r="C476" t="s">
        <v>239</v>
      </c>
      <c r="D476" t="s">
        <v>965</v>
      </c>
      <c r="E476" t="s">
        <v>966</v>
      </c>
      <c r="G476" s="1">
        <f>VLOOKUP(B476,Ingot!H:I,2,FALSE()) * 0.75</f>
        <v>13.5</v>
      </c>
    </row>
    <row r="477" spans="1:7" ht="14.25" hidden="1" customHeight="1" x14ac:dyDescent="0.45">
      <c r="A477" t="str">
        <f>_xlfn.XLOOKUP(B477,Ingot!$H$12:$H$119,Ingot!$G$12:$G$119,"")</f>
        <v>Metal</v>
      </c>
      <c r="B477" t="s">
        <v>730</v>
      </c>
      <c r="C477" t="s">
        <v>239</v>
      </c>
      <c r="D477" t="s">
        <v>967</v>
      </c>
      <c r="E477" t="s">
        <v>968</v>
      </c>
      <c r="G477" s="1">
        <f>(VLOOKUP(B477,Ingot!H:I,2,FALSE()) * 3) - 10.25</f>
        <v>43.75</v>
      </c>
    </row>
    <row r="478" spans="1:7" ht="14.25" hidden="1" customHeight="1" x14ac:dyDescent="0.45">
      <c r="A478" t="str">
        <f>_xlfn.XLOOKUP(B478,Ingot!$H$12:$H$119,Ingot!$G$12:$G$119,"")</f>
        <v>Metal</v>
      </c>
      <c r="B478" t="s">
        <v>969</v>
      </c>
      <c r="C478" t="s">
        <v>10</v>
      </c>
      <c r="D478" t="s">
        <v>970</v>
      </c>
      <c r="E478" t="s">
        <v>971</v>
      </c>
      <c r="G478" s="1">
        <v>0.08</v>
      </c>
    </row>
    <row r="479" spans="1:7" ht="14.25" hidden="1" customHeight="1" x14ac:dyDescent="0.45">
      <c r="A479" t="str">
        <f>_xlfn.XLOOKUP(B479,Ingot!$H$12:$H$119,Ingot!$G$12:$G$119,"")</f>
        <v>Metal</v>
      </c>
      <c r="B479" t="s">
        <v>969</v>
      </c>
      <c r="C479" t="s">
        <v>10</v>
      </c>
      <c r="D479" t="s">
        <v>972</v>
      </c>
      <c r="E479" t="s">
        <v>973</v>
      </c>
      <c r="G479" s="1">
        <v>9.9</v>
      </c>
    </row>
    <row r="480" spans="1:7" ht="14.25" hidden="1" customHeight="1" x14ac:dyDescent="0.45">
      <c r="A480" t="str">
        <f>_xlfn.XLOOKUP(B480,Ingot!$H$12:$H$119,Ingot!$G$12:$G$119,"")</f>
        <v>Metal</v>
      </c>
      <c r="B480" t="s">
        <v>969</v>
      </c>
      <c r="C480" t="s">
        <v>10</v>
      </c>
      <c r="D480" t="s">
        <v>974</v>
      </c>
      <c r="E480" t="s">
        <v>975</v>
      </c>
      <c r="G480" s="1">
        <v>5.66</v>
      </c>
    </row>
    <row r="481" spans="1:7" ht="14.25" hidden="1" customHeight="1" x14ac:dyDescent="0.45">
      <c r="A481" t="str">
        <f>_xlfn.XLOOKUP(B481,Ingot!$H$12:$H$119,Ingot!$G$12:$G$119,"")</f>
        <v>Metal</v>
      </c>
      <c r="B481" t="s">
        <v>969</v>
      </c>
      <c r="C481" t="s">
        <v>10</v>
      </c>
      <c r="D481" t="s">
        <v>976</v>
      </c>
      <c r="E481" t="s">
        <v>977</v>
      </c>
      <c r="G481" s="1">
        <v>3.3</v>
      </c>
    </row>
    <row r="482" spans="1:7" ht="14.25" hidden="1" customHeight="1" x14ac:dyDescent="0.45">
      <c r="A482" t="str">
        <f>_xlfn.XLOOKUP(B482,Ingot!$H$12:$H$119,Ingot!$G$12:$G$119,"")</f>
        <v>Metal</v>
      </c>
      <c r="B482" t="s">
        <v>969</v>
      </c>
      <c r="C482" t="s">
        <v>10</v>
      </c>
      <c r="D482" t="s">
        <v>978</v>
      </c>
      <c r="E482" t="s">
        <v>979</v>
      </c>
      <c r="G482" s="1">
        <v>0.66</v>
      </c>
    </row>
    <row r="483" spans="1:7" ht="14.25" hidden="1" customHeight="1" x14ac:dyDescent="0.45">
      <c r="A483" t="str">
        <f>_xlfn.XLOOKUP(B483,Ingot!$H$12:$H$119,Ingot!$G$12:$G$119,"")</f>
        <v>Metal</v>
      </c>
      <c r="B483" t="s">
        <v>969</v>
      </c>
      <c r="C483" t="s">
        <v>10</v>
      </c>
      <c r="D483" t="s">
        <v>980</v>
      </c>
      <c r="E483" t="s">
        <v>981</v>
      </c>
      <c r="G483" s="1">
        <v>0.04</v>
      </c>
    </row>
    <row r="484" spans="1:7" ht="14.25" hidden="1" customHeight="1" x14ac:dyDescent="0.45">
      <c r="A484" t="str">
        <f>_xlfn.XLOOKUP(B484,Ingot!$H$12:$H$119,Ingot!$G$12:$G$119,"")</f>
        <v>Metal</v>
      </c>
      <c r="B484" t="s">
        <v>969</v>
      </c>
      <c r="C484" t="s">
        <v>10</v>
      </c>
      <c r="D484" t="s">
        <v>982</v>
      </c>
      <c r="E484" t="s">
        <v>983</v>
      </c>
      <c r="G484" s="1">
        <v>0.33</v>
      </c>
    </row>
    <row r="485" spans="1:7" ht="14.25" hidden="1" customHeight="1" x14ac:dyDescent="0.45">
      <c r="A485" t="str">
        <f>_xlfn.XLOOKUP(B485,Ingot!$H$12:$H$119,Ingot!$G$12:$G$119,"")</f>
        <v>Metal</v>
      </c>
      <c r="B485" t="s">
        <v>969</v>
      </c>
      <c r="C485" t="s">
        <v>10</v>
      </c>
      <c r="D485" t="s">
        <v>984</v>
      </c>
      <c r="E485" t="s">
        <v>985</v>
      </c>
    </row>
    <row r="486" spans="1:7" ht="14.25" hidden="1" customHeight="1" x14ac:dyDescent="0.45">
      <c r="A486" t="str">
        <f>_xlfn.XLOOKUP(B486,Ingot!$H$12:$H$119,Ingot!$G$12:$G$119,"")</f>
        <v>Metal</v>
      </c>
      <c r="B486" t="s">
        <v>969</v>
      </c>
      <c r="C486" t="s">
        <v>10</v>
      </c>
      <c r="D486" t="s">
        <v>986</v>
      </c>
      <c r="E486" t="s">
        <v>987</v>
      </c>
      <c r="G486" s="1">
        <v>0.05</v>
      </c>
    </row>
    <row r="487" spans="1:7" ht="14.25" hidden="1" customHeight="1" x14ac:dyDescent="0.45">
      <c r="A487" t="str">
        <f>_xlfn.XLOOKUP(B487,Ingot!$H$12:$H$119,Ingot!$G$12:$G$119,"")</f>
        <v>Metal</v>
      </c>
      <c r="B487" t="s">
        <v>969</v>
      </c>
      <c r="C487" t="s">
        <v>10</v>
      </c>
      <c r="D487" t="s">
        <v>988</v>
      </c>
      <c r="E487" t="s">
        <v>989</v>
      </c>
      <c r="G487" s="1">
        <v>0.66</v>
      </c>
    </row>
    <row r="488" spans="1:7" ht="14.25" hidden="1" customHeight="1" x14ac:dyDescent="0.45">
      <c r="A488" t="str">
        <f>_xlfn.XLOOKUP(B488,Ingot!$H$12:$H$119,Ingot!$G$12:$G$119,"")</f>
        <v>Metal</v>
      </c>
      <c r="B488" t="s">
        <v>969</v>
      </c>
      <c r="C488" t="s">
        <v>10</v>
      </c>
      <c r="D488" t="s">
        <v>990</v>
      </c>
      <c r="E488" t="s">
        <v>991</v>
      </c>
      <c r="G488" s="1">
        <v>3.96</v>
      </c>
    </row>
    <row r="489" spans="1:7" ht="14.25" hidden="1" customHeight="1" x14ac:dyDescent="0.45">
      <c r="A489" t="str">
        <f>_xlfn.XLOOKUP(B489,Ingot!$H$12:$H$119,Ingot!$G$12:$G$119,"")</f>
        <v>Metal</v>
      </c>
      <c r="B489" t="s">
        <v>969</v>
      </c>
      <c r="C489" t="s">
        <v>10</v>
      </c>
      <c r="D489" t="s">
        <v>992</v>
      </c>
      <c r="E489" t="s">
        <v>993</v>
      </c>
      <c r="G489" s="1">
        <v>8.77</v>
      </c>
    </row>
    <row r="490" spans="1:7" ht="14.25" hidden="1" customHeight="1" x14ac:dyDescent="0.45">
      <c r="A490" t="str">
        <f>_xlfn.XLOOKUP(B490,Ingot!$H$12:$H$119,Ingot!$G$12:$G$119,"")</f>
        <v>Metal</v>
      </c>
      <c r="B490" t="s">
        <v>969</v>
      </c>
      <c r="C490" t="s">
        <v>10</v>
      </c>
      <c r="D490" t="s">
        <v>994</v>
      </c>
      <c r="E490" t="s">
        <v>995</v>
      </c>
      <c r="G490" s="1">
        <v>3.5</v>
      </c>
    </row>
    <row r="491" spans="1:7" ht="14.25" hidden="1" customHeight="1" x14ac:dyDescent="0.45">
      <c r="A491" t="str">
        <f>_xlfn.XLOOKUP(B491,Ingot!$H$12:$H$119,Ingot!$G$12:$G$119,"")</f>
        <v>Metal</v>
      </c>
      <c r="B491" t="s">
        <v>969</v>
      </c>
      <c r="C491" t="s">
        <v>10</v>
      </c>
      <c r="D491" t="s">
        <v>996</v>
      </c>
      <c r="E491" t="s">
        <v>997</v>
      </c>
    </row>
    <row r="492" spans="1:7" ht="14.25" hidden="1" customHeight="1" x14ac:dyDescent="0.45">
      <c r="A492" t="str">
        <f>_xlfn.XLOOKUP(B492,Ingot!$H$12:$H$119,Ingot!$G$12:$G$119,"")</f>
        <v>Metal</v>
      </c>
      <c r="B492" t="s">
        <v>969</v>
      </c>
      <c r="C492" t="s">
        <v>10</v>
      </c>
      <c r="D492" t="s">
        <v>998</v>
      </c>
      <c r="E492" t="s">
        <v>999</v>
      </c>
      <c r="G492" s="1">
        <v>2.2000000000000002</v>
      </c>
    </row>
    <row r="493" spans="1:7" ht="14.25" hidden="1" customHeight="1" x14ac:dyDescent="0.45">
      <c r="A493" t="str">
        <f>_xlfn.XLOOKUP(B493,Ingot!$H$12:$H$119,Ingot!$G$12:$G$119,"")</f>
        <v>Metal</v>
      </c>
      <c r="B493" t="s">
        <v>969</v>
      </c>
      <c r="C493" t="s">
        <v>10</v>
      </c>
      <c r="D493" t="s">
        <v>1000</v>
      </c>
      <c r="E493" t="s">
        <v>1001</v>
      </c>
      <c r="G493" s="1">
        <v>1.1000000000000001</v>
      </c>
    </row>
    <row r="494" spans="1:7" ht="14.25" hidden="1" customHeight="1" x14ac:dyDescent="0.45">
      <c r="A494" t="str">
        <f>_xlfn.XLOOKUP(B494,Ingot!$H$12:$H$119,Ingot!$G$12:$G$119,"")</f>
        <v>Metal</v>
      </c>
      <c r="B494" t="s">
        <v>969</v>
      </c>
      <c r="C494" t="s">
        <v>10</v>
      </c>
      <c r="D494" t="s">
        <v>1002</v>
      </c>
      <c r="E494" t="s">
        <v>1003</v>
      </c>
      <c r="G494" s="1">
        <v>0.22</v>
      </c>
    </row>
    <row r="495" spans="1:7" ht="14.25" hidden="1" customHeight="1" x14ac:dyDescent="0.45">
      <c r="A495" t="str">
        <f>_xlfn.XLOOKUP(B495,Ingot!$H$12:$H$119,Ingot!$G$12:$G$119,"")</f>
        <v>Metal</v>
      </c>
      <c r="B495" t="s">
        <v>969</v>
      </c>
      <c r="C495" t="s">
        <v>10</v>
      </c>
      <c r="D495" t="s">
        <v>1004</v>
      </c>
      <c r="E495" t="s">
        <v>1005</v>
      </c>
      <c r="G495" s="1">
        <v>8.41</v>
      </c>
    </row>
    <row r="496" spans="1:7" ht="14.25" hidden="1" customHeight="1" x14ac:dyDescent="0.45">
      <c r="A496" t="str">
        <f>_xlfn.XLOOKUP(B496,Ingot!$H$12:$H$119,Ingot!$G$12:$G$119,"")</f>
        <v>Metal</v>
      </c>
      <c r="B496" t="s">
        <v>969</v>
      </c>
      <c r="C496" t="s">
        <v>10</v>
      </c>
      <c r="D496" t="s">
        <v>1006</v>
      </c>
      <c r="E496" t="s">
        <v>1007</v>
      </c>
      <c r="G496" s="1">
        <v>3.64</v>
      </c>
    </row>
    <row r="497" spans="1:7" ht="14.25" hidden="1" customHeight="1" x14ac:dyDescent="0.45">
      <c r="A497" t="str">
        <f>_xlfn.XLOOKUP(B497,Ingot!$H$12:$H$119,Ingot!$G$12:$G$119,"")</f>
        <v>Metal</v>
      </c>
      <c r="B497" t="s">
        <v>969</v>
      </c>
      <c r="C497" t="s">
        <v>10</v>
      </c>
      <c r="D497" t="s">
        <v>1008</v>
      </c>
      <c r="E497" t="s">
        <v>1009</v>
      </c>
      <c r="G497" s="1">
        <v>7.05</v>
      </c>
    </row>
    <row r="498" spans="1:7" ht="14.25" hidden="1" customHeight="1" x14ac:dyDescent="0.45">
      <c r="A498" t="str">
        <f>_xlfn.XLOOKUP(B498,Ingot!$H$12:$H$119,Ingot!$G$12:$G$119,"")</f>
        <v>Metal</v>
      </c>
      <c r="B498" t="s">
        <v>969</v>
      </c>
      <c r="C498" t="s">
        <v>10</v>
      </c>
      <c r="D498" t="s">
        <v>1010</v>
      </c>
      <c r="E498" t="s">
        <v>1011</v>
      </c>
      <c r="G498" s="1">
        <v>2.65</v>
      </c>
    </row>
    <row r="499" spans="1:7" ht="14.25" hidden="1" customHeight="1" x14ac:dyDescent="0.45">
      <c r="A499" t="str">
        <f>_xlfn.XLOOKUP(B499,Ingot!$H$12:$H$119,Ingot!$G$12:$G$119,"")</f>
        <v>Metal</v>
      </c>
      <c r="B499" t="s">
        <v>969</v>
      </c>
      <c r="C499" t="s">
        <v>10</v>
      </c>
      <c r="D499" t="s">
        <v>1012</v>
      </c>
      <c r="E499" t="s">
        <v>1013</v>
      </c>
      <c r="G499" s="1">
        <v>9</v>
      </c>
    </row>
    <row r="500" spans="1:7" ht="14.25" hidden="1" customHeight="1" x14ac:dyDescent="0.45">
      <c r="A500" t="str">
        <f>_xlfn.XLOOKUP(B500,Ingot!$H$12:$H$119,Ingot!$G$12:$G$119,"")</f>
        <v>Metal</v>
      </c>
      <c r="B500" t="s">
        <v>969</v>
      </c>
      <c r="C500" t="s">
        <v>10</v>
      </c>
      <c r="D500" t="s">
        <v>1014</v>
      </c>
      <c r="E500" t="s">
        <v>1015</v>
      </c>
      <c r="G500" s="1">
        <v>10.23</v>
      </c>
    </row>
    <row r="501" spans="1:7" ht="14.25" hidden="1" customHeight="1" x14ac:dyDescent="0.45">
      <c r="A501" t="str">
        <f>_xlfn.XLOOKUP(B501,Ingot!$H$12:$H$119,Ingot!$G$12:$G$119,"")</f>
        <v>Metal</v>
      </c>
      <c r="B501" t="s">
        <v>969</v>
      </c>
      <c r="C501" t="s">
        <v>10</v>
      </c>
      <c r="D501" t="s">
        <v>1016</v>
      </c>
      <c r="E501" t="s">
        <v>1017</v>
      </c>
      <c r="G501" s="1">
        <v>7.7</v>
      </c>
    </row>
    <row r="502" spans="1:7" ht="14.25" hidden="1" customHeight="1" x14ac:dyDescent="0.45">
      <c r="A502" t="str">
        <f>_xlfn.XLOOKUP(B502,Ingot!$H$12:$H$119,Ingot!$G$12:$G$119,"")</f>
        <v>Metal</v>
      </c>
      <c r="B502" t="s">
        <v>969</v>
      </c>
      <c r="C502" t="s">
        <v>10</v>
      </c>
      <c r="D502" t="s">
        <v>1018</v>
      </c>
      <c r="E502" t="s">
        <v>1019</v>
      </c>
      <c r="G502" s="1">
        <v>10.02</v>
      </c>
    </row>
    <row r="503" spans="1:7" ht="14.25" hidden="1" customHeight="1" x14ac:dyDescent="0.45">
      <c r="A503" t="str">
        <f>_xlfn.XLOOKUP(B503,Ingot!$H$12:$H$119,Ingot!$G$12:$G$119,"")</f>
        <v>Metal</v>
      </c>
      <c r="B503" t="s">
        <v>969</v>
      </c>
      <c r="C503" t="s">
        <v>10</v>
      </c>
      <c r="D503" t="s">
        <v>1020</v>
      </c>
      <c r="E503" t="s">
        <v>1021</v>
      </c>
      <c r="G503" s="1">
        <v>11.81</v>
      </c>
    </row>
    <row r="504" spans="1:7" ht="14.25" hidden="1" customHeight="1" x14ac:dyDescent="0.45">
      <c r="A504" t="str">
        <f>_xlfn.XLOOKUP(B504,Ingot!$H$12:$H$119,Ingot!$G$12:$G$119,"")</f>
        <v>Metal</v>
      </c>
      <c r="B504" t="s">
        <v>969</v>
      </c>
      <c r="C504" t="s">
        <v>10</v>
      </c>
      <c r="D504" t="s">
        <v>1022</v>
      </c>
      <c r="E504" t="s">
        <v>1023</v>
      </c>
      <c r="G504" s="1">
        <v>8.44</v>
      </c>
    </row>
    <row r="505" spans="1:7" ht="14.25" hidden="1" customHeight="1" x14ac:dyDescent="0.45">
      <c r="A505" t="str">
        <f>_xlfn.XLOOKUP(B505,Ingot!$H$12:$H$119,Ingot!$G$12:$G$119,"")</f>
        <v>Metal</v>
      </c>
      <c r="B505" t="s">
        <v>969</v>
      </c>
      <c r="C505" t="s">
        <v>10</v>
      </c>
      <c r="D505" t="s">
        <v>1024</v>
      </c>
      <c r="E505" t="s">
        <v>1025</v>
      </c>
      <c r="G505" s="1">
        <v>10.42</v>
      </c>
    </row>
    <row r="506" spans="1:7" ht="14.25" hidden="1" customHeight="1" x14ac:dyDescent="0.45">
      <c r="A506" t="str">
        <f>_xlfn.XLOOKUP(B506,Ingot!$H$12:$H$119,Ingot!$G$12:$G$119,"")</f>
        <v>Metal</v>
      </c>
      <c r="B506" t="s">
        <v>969</v>
      </c>
      <c r="C506" t="s">
        <v>10</v>
      </c>
      <c r="D506" t="s">
        <v>1026</v>
      </c>
      <c r="E506" t="s">
        <v>1027</v>
      </c>
    </row>
    <row r="507" spans="1:7" ht="14.25" hidden="1" customHeight="1" x14ac:dyDescent="0.45">
      <c r="A507" t="str">
        <f>_xlfn.XLOOKUP(B507,Ingot!$H$12:$H$119,Ingot!$G$12:$G$119,"")</f>
        <v>Metal</v>
      </c>
      <c r="B507" t="s">
        <v>969</v>
      </c>
      <c r="C507" t="s">
        <v>10</v>
      </c>
      <c r="D507" t="s">
        <v>1028</v>
      </c>
      <c r="E507" t="s">
        <v>1029</v>
      </c>
      <c r="G507" s="1">
        <v>7.96</v>
      </c>
    </row>
    <row r="508" spans="1:7" ht="14.25" hidden="1" customHeight="1" x14ac:dyDescent="0.45">
      <c r="A508" t="str">
        <f>_xlfn.XLOOKUP(B508,Ingot!$H$12:$H$119,Ingot!$G$12:$G$119,"")</f>
        <v>Metal</v>
      </c>
      <c r="B508" t="s">
        <v>969</v>
      </c>
      <c r="C508" t="s">
        <v>10</v>
      </c>
      <c r="D508" t="s">
        <v>1030</v>
      </c>
      <c r="E508" t="s">
        <v>1031</v>
      </c>
      <c r="G508" s="1">
        <v>9.64</v>
      </c>
    </row>
    <row r="509" spans="1:7" ht="14.25" hidden="1" customHeight="1" x14ac:dyDescent="0.45">
      <c r="A509" t="str">
        <f>_xlfn.XLOOKUP(B509,Ingot!$H$12:$H$119,Ingot!$G$12:$G$119,"")</f>
        <v>Metal</v>
      </c>
      <c r="B509" t="s">
        <v>969</v>
      </c>
      <c r="C509" t="s">
        <v>10</v>
      </c>
      <c r="D509" t="s">
        <v>1032</v>
      </c>
      <c r="E509" t="s">
        <v>1033</v>
      </c>
      <c r="G509" s="1">
        <v>7.94</v>
      </c>
    </row>
    <row r="510" spans="1:7" ht="14.25" hidden="1" customHeight="1" x14ac:dyDescent="0.45">
      <c r="A510" t="str">
        <f>_xlfn.XLOOKUP(B510,Ingot!$H$12:$H$119,Ingot!$G$12:$G$119,"")</f>
        <v>Metal</v>
      </c>
      <c r="B510" t="s">
        <v>969</v>
      </c>
      <c r="C510" t="s">
        <v>10</v>
      </c>
      <c r="D510" t="s">
        <v>1034</v>
      </c>
      <c r="E510" t="s">
        <v>1035</v>
      </c>
      <c r="G510" s="1">
        <v>8.66</v>
      </c>
    </row>
    <row r="511" spans="1:7" ht="14.25" hidden="1" customHeight="1" x14ac:dyDescent="0.45">
      <c r="A511" t="str">
        <f>_xlfn.XLOOKUP(B511,Ingot!$H$12:$H$119,Ingot!$G$12:$G$119,"")</f>
        <v>Metal</v>
      </c>
      <c r="B511" t="s">
        <v>969</v>
      </c>
      <c r="C511" t="s">
        <v>10</v>
      </c>
      <c r="D511" t="s">
        <v>1036</v>
      </c>
      <c r="E511" t="s">
        <v>1037</v>
      </c>
    </row>
    <row r="512" spans="1:7" ht="14.25" hidden="1" customHeight="1" x14ac:dyDescent="0.45">
      <c r="A512" t="str">
        <f>_xlfn.XLOOKUP(B512,Ingot!$H$12:$H$119,Ingot!$G$12:$G$119,"")</f>
        <v>Metal</v>
      </c>
      <c r="B512" t="s">
        <v>969</v>
      </c>
      <c r="C512" t="s">
        <v>10</v>
      </c>
      <c r="D512" t="s">
        <v>1038</v>
      </c>
      <c r="E512" t="s">
        <v>1039</v>
      </c>
      <c r="G512" s="1">
        <v>2.65</v>
      </c>
    </row>
    <row r="513" spans="1:7" ht="14.25" hidden="1" customHeight="1" x14ac:dyDescent="0.45">
      <c r="A513" t="str">
        <f>_xlfn.XLOOKUP(B513,Ingot!$H$12:$H$119,Ingot!$G$12:$G$119,"")</f>
        <v>Metal</v>
      </c>
      <c r="B513" t="s">
        <v>969</v>
      </c>
      <c r="C513" t="s">
        <v>10</v>
      </c>
      <c r="D513" t="s">
        <v>1040</v>
      </c>
      <c r="E513" t="s">
        <v>1041</v>
      </c>
    </row>
    <row r="514" spans="1:7" ht="14.25" hidden="1" customHeight="1" x14ac:dyDescent="0.45">
      <c r="A514" t="str">
        <f>_xlfn.XLOOKUP(B514,Ingot!$H$12:$H$119,Ingot!$G$12:$G$119,"")</f>
        <v>Metal</v>
      </c>
      <c r="B514" t="s">
        <v>969</v>
      </c>
      <c r="C514" t="s">
        <v>10</v>
      </c>
      <c r="D514" t="s">
        <v>1042</v>
      </c>
      <c r="E514" t="s">
        <v>1043</v>
      </c>
      <c r="G514" s="1">
        <v>12.64</v>
      </c>
    </row>
    <row r="515" spans="1:7" ht="14.25" hidden="1" customHeight="1" x14ac:dyDescent="0.45">
      <c r="A515" t="str">
        <f>_xlfn.XLOOKUP(B515,Ingot!$H$12:$H$119,Ingot!$G$12:$G$119,"")</f>
        <v>Metal</v>
      </c>
      <c r="B515" t="s">
        <v>969</v>
      </c>
      <c r="C515" t="s">
        <v>10</v>
      </c>
      <c r="D515" t="s">
        <v>1044</v>
      </c>
      <c r="E515" t="s">
        <v>1045</v>
      </c>
      <c r="G515" s="1">
        <v>22.67</v>
      </c>
    </row>
    <row r="516" spans="1:7" ht="14.25" hidden="1" customHeight="1" x14ac:dyDescent="0.45">
      <c r="A516" t="str">
        <f>_xlfn.XLOOKUP(B516,Ingot!$H$12:$H$119,Ingot!$G$12:$G$119,"")</f>
        <v>Metal</v>
      </c>
      <c r="B516" t="s">
        <v>969</v>
      </c>
      <c r="C516" t="s">
        <v>10</v>
      </c>
      <c r="D516" t="s">
        <v>1046</v>
      </c>
      <c r="E516" t="s">
        <v>1047</v>
      </c>
      <c r="G516" s="1">
        <v>8.3800000000000008</v>
      </c>
    </row>
    <row r="517" spans="1:7" ht="14.25" hidden="1" customHeight="1" x14ac:dyDescent="0.45">
      <c r="A517" t="str">
        <f>_xlfn.XLOOKUP(B517,Ingot!$H$12:$H$119,Ingot!$G$12:$G$119,"")</f>
        <v>Metal</v>
      </c>
      <c r="B517" t="s">
        <v>969</v>
      </c>
      <c r="C517" t="s">
        <v>10</v>
      </c>
      <c r="D517" t="s">
        <v>1048</v>
      </c>
      <c r="E517" t="s">
        <v>1049</v>
      </c>
      <c r="G517" s="1">
        <v>2.2000000000000002</v>
      </c>
    </row>
    <row r="518" spans="1:7" ht="14.25" hidden="1" customHeight="1" x14ac:dyDescent="0.45">
      <c r="A518" t="str">
        <f>_xlfn.XLOOKUP(B518,Ingot!$H$12:$H$119,Ingot!$G$12:$G$119,"")</f>
        <v>Metal</v>
      </c>
      <c r="B518" t="s">
        <v>969</v>
      </c>
      <c r="C518" t="s">
        <v>10</v>
      </c>
      <c r="D518" t="s">
        <v>1050</v>
      </c>
      <c r="E518" t="s">
        <v>1051</v>
      </c>
      <c r="G518" s="1">
        <v>3.09</v>
      </c>
    </row>
    <row r="519" spans="1:7" ht="14.25" hidden="1" customHeight="1" x14ac:dyDescent="0.45">
      <c r="A519" t="str">
        <f>_xlfn.XLOOKUP(B519,Ingot!$H$12:$H$119,Ingot!$G$12:$G$119,"")</f>
        <v>Metal</v>
      </c>
      <c r="B519" t="s">
        <v>969</v>
      </c>
      <c r="C519" t="s">
        <v>10</v>
      </c>
      <c r="D519" t="s">
        <v>1052</v>
      </c>
      <c r="E519" t="s">
        <v>1053</v>
      </c>
      <c r="G519" s="1">
        <v>2.2999999999999998</v>
      </c>
    </row>
    <row r="520" spans="1:7" ht="14.25" hidden="1" customHeight="1" x14ac:dyDescent="0.45">
      <c r="A520" t="str">
        <f>_xlfn.XLOOKUP(B520,Ingot!$H$12:$H$119,Ingot!$G$12:$G$119,"")</f>
        <v>Metal</v>
      </c>
      <c r="B520" t="s">
        <v>969</v>
      </c>
      <c r="C520" t="s">
        <v>10</v>
      </c>
      <c r="D520" t="s">
        <v>1054</v>
      </c>
      <c r="E520" t="s">
        <v>1055</v>
      </c>
      <c r="G520" s="1">
        <v>4.88</v>
      </c>
    </row>
    <row r="521" spans="1:7" ht="14.25" hidden="1" customHeight="1" x14ac:dyDescent="0.45">
      <c r="A521" t="str">
        <f>_xlfn.XLOOKUP(B521,Ingot!$H$12:$H$119,Ingot!$G$12:$G$119,"")</f>
        <v>Metal</v>
      </c>
      <c r="B521" t="s">
        <v>969</v>
      </c>
      <c r="C521" t="s">
        <v>10</v>
      </c>
      <c r="D521" t="s">
        <v>1056</v>
      </c>
      <c r="E521" t="s">
        <v>1057</v>
      </c>
      <c r="G521" s="1">
        <v>8.43</v>
      </c>
    </row>
    <row r="522" spans="1:7" ht="14.25" hidden="1" customHeight="1" x14ac:dyDescent="0.45">
      <c r="A522" t="str">
        <f>_xlfn.XLOOKUP(B522,Ingot!$H$12:$H$119,Ingot!$G$12:$G$119,"")</f>
        <v>Metal</v>
      </c>
      <c r="B522" t="s">
        <v>969</v>
      </c>
      <c r="C522" t="s">
        <v>10</v>
      </c>
      <c r="D522" t="s">
        <v>1058</v>
      </c>
      <c r="E522" t="s">
        <v>1059</v>
      </c>
      <c r="G522" s="1">
        <v>13.07</v>
      </c>
    </row>
    <row r="523" spans="1:7" ht="14.25" hidden="1" customHeight="1" x14ac:dyDescent="0.45">
      <c r="A523" t="str">
        <f>_xlfn.XLOOKUP(B523,Ingot!$H$12:$H$119,Ingot!$G$12:$G$119,"")</f>
        <v>Metal</v>
      </c>
      <c r="B523" t="s">
        <v>969</v>
      </c>
      <c r="C523" t="s">
        <v>10</v>
      </c>
      <c r="D523" t="s">
        <v>1060</v>
      </c>
      <c r="E523" t="s">
        <v>1061</v>
      </c>
    </row>
    <row r="524" spans="1:7" ht="14.25" hidden="1" customHeight="1" x14ac:dyDescent="0.45">
      <c r="A524" t="str">
        <f>_xlfn.XLOOKUP(B524,Ingot!$H$12:$H$119,Ingot!$G$12:$G$119,"")</f>
        <v>Metal</v>
      </c>
      <c r="B524" t="s">
        <v>969</v>
      </c>
      <c r="C524" t="s">
        <v>10</v>
      </c>
      <c r="D524" t="s">
        <v>1062</v>
      </c>
      <c r="E524" t="s">
        <v>1063</v>
      </c>
    </row>
    <row r="525" spans="1:7" ht="14.25" hidden="1" customHeight="1" x14ac:dyDescent="0.45">
      <c r="A525" t="str">
        <f>_xlfn.XLOOKUP(B525,Ingot!$H$12:$H$119,Ingot!$G$12:$G$119,"")</f>
        <v>Metal</v>
      </c>
      <c r="B525" t="s">
        <v>969</v>
      </c>
      <c r="C525" t="s">
        <v>10</v>
      </c>
      <c r="D525" t="s">
        <v>1064</v>
      </c>
      <c r="E525" t="s">
        <v>1065</v>
      </c>
      <c r="G525" s="1">
        <v>6.8</v>
      </c>
    </row>
    <row r="526" spans="1:7" ht="14.25" hidden="1" customHeight="1" x14ac:dyDescent="0.45">
      <c r="A526" t="str">
        <f>_xlfn.XLOOKUP(B526,Ingot!$H$12:$H$119,Ingot!$G$12:$G$119,"")</f>
        <v>Metal</v>
      </c>
      <c r="B526" t="s">
        <v>969</v>
      </c>
      <c r="C526" t="s">
        <v>10</v>
      </c>
      <c r="D526" t="s">
        <v>1066</v>
      </c>
      <c r="E526" t="s">
        <v>1067</v>
      </c>
      <c r="G526" s="1">
        <v>6.88</v>
      </c>
    </row>
    <row r="527" spans="1:7" ht="14.25" hidden="1" customHeight="1" x14ac:dyDescent="0.45">
      <c r="A527" t="str">
        <f>_xlfn.XLOOKUP(B527,Ingot!$H$12:$H$119,Ingot!$G$12:$G$119,"")</f>
        <v>Metal</v>
      </c>
      <c r="B527" t="s">
        <v>969</v>
      </c>
      <c r="C527" t="s">
        <v>10</v>
      </c>
      <c r="D527" t="s">
        <v>1068</v>
      </c>
      <c r="E527" t="s">
        <v>1069</v>
      </c>
      <c r="G527" s="1">
        <v>5.5</v>
      </c>
    </row>
    <row r="528" spans="1:7" ht="14.25" hidden="1" customHeight="1" x14ac:dyDescent="0.45">
      <c r="A528" t="str">
        <f>_xlfn.XLOOKUP(B528,Ingot!$H$12:$H$119,Ingot!$G$12:$G$119,"")</f>
        <v>Metal</v>
      </c>
      <c r="B528" t="s">
        <v>969</v>
      </c>
      <c r="C528" t="s">
        <v>10</v>
      </c>
      <c r="D528" t="s">
        <v>1070</v>
      </c>
      <c r="E528" t="s">
        <v>1071</v>
      </c>
      <c r="G528" s="1">
        <v>2.4300000000000002</v>
      </c>
    </row>
    <row r="529" spans="1:7" ht="14.25" hidden="1" customHeight="1" x14ac:dyDescent="0.45">
      <c r="A529" t="str">
        <f>_xlfn.XLOOKUP(B529,Ingot!$H$12:$H$119,Ingot!$G$12:$G$119,"")</f>
        <v>Metal</v>
      </c>
      <c r="B529" t="s">
        <v>969</v>
      </c>
      <c r="C529" t="s">
        <v>10</v>
      </c>
      <c r="D529" t="s">
        <v>1072</v>
      </c>
      <c r="E529" t="s">
        <v>1073</v>
      </c>
      <c r="G529" s="1">
        <v>6.96</v>
      </c>
    </row>
    <row r="530" spans="1:7" ht="14.25" hidden="1" customHeight="1" x14ac:dyDescent="0.45">
      <c r="A530" t="str">
        <f>_xlfn.XLOOKUP(B530,Ingot!$H$12:$H$119,Ingot!$G$12:$G$119,"")</f>
        <v>Metal</v>
      </c>
      <c r="B530" t="s">
        <v>969</v>
      </c>
      <c r="C530" t="s">
        <v>10</v>
      </c>
      <c r="D530" t="s">
        <v>1074</v>
      </c>
      <c r="E530" t="s">
        <v>1075</v>
      </c>
      <c r="G530" s="1">
        <v>6.32</v>
      </c>
    </row>
    <row r="531" spans="1:7" ht="14.25" hidden="1" customHeight="1" x14ac:dyDescent="0.45">
      <c r="A531" t="str">
        <f>_xlfn.XLOOKUP(B531,Ingot!$H$12:$H$119,Ingot!$G$12:$G$119,"")</f>
        <v>Metal</v>
      </c>
      <c r="B531" t="s">
        <v>969</v>
      </c>
      <c r="C531" t="s">
        <v>10</v>
      </c>
      <c r="D531" t="s">
        <v>1076</v>
      </c>
      <c r="E531" t="s">
        <v>1077</v>
      </c>
      <c r="G531" s="1">
        <v>6.88</v>
      </c>
    </row>
    <row r="532" spans="1:7" ht="14.25" hidden="1" customHeight="1" x14ac:dyDescent="0.45">
      <c r="A532" t="str">
        <f>_xlfn.XLOOKUP(B532,Ingot!$H$12:$H$119,Ingot!$G$12:$G$119,"")</f>
        <v>Metal</v>
      </c>
      <c r="B532" t="s">
        <v>969</v>
      </c>
      <c r="C532" t="s">
        <v>10</v>
      </c>
      <c r="D532" t="s">
        <v>1078</v>
      </c>
      <c r="E532" t="s">
        <v>1079</v>
      </c>
      <c r="G532" s="1">
        <v>2.44</v>
      </c>
    </row>
    <row r="533" spans="1:7" ht="14.25" hidden="1" customHeight="1" x14ac:dyDescent="0.45">
      <c r="A533" t="str">
        <f>_xlfn.XLOOKUP(B533,Ingot!$H$12:$H$119,Ingot!$G$12:$G$119,"")</f>
        <v>Metal</v>
      </c>
      <c r="B533" t="s">
        <v>969</v>
      </c>
      <c r="C533" t="s">
        <v>10</v>
      </c>
      <c r="D533" t="s">
        <v>1080</v>
      </c>
      <c r="E533" t="s">
        <v>1081</v>
      </c>
    </row>
    <row r="534" spans="1:7" ht="14.25" hidden="1" customHeight="1" x14ac:dyDescent="0.45">
      <c r="A534" t="str">
        <f>_xlfn.XLOOKUP(B534,Ingot!$H$12:$H$119,Ingot!$G$12:$G$119,"")</f>
        <v>Metal</v>
      </c>
      <c r="B534" t="s">
        <v>969</v>
      </c>
      <c r="C534" t="s">
        <v>10</v>
      </c>
      <c r="D534" t="s">
        <v>1082</v>
      </c>
      <c r="E534" t="s">
        <v>1083</v>
      </c>
    </row>
    <row r="535" spans="1:7" ht="14.25" hidden="1" customHeight="1" x14ac:dyDescent="0.45">
      <c r="A535" t="str">
        <f>_xlfn.XLOOKUP(B535,Ingot!$H$12:$H$119,Ingot!$G$12:$G$119,"")</f>
        <v>Metal</v>
      </c>
      <c r="B535" t="s">
        <v>969</v>
      </c>
      <c r="C535" t="s">
        <v>10</v>
      </c>
      <c r="D535" t="s">
        <v>1084</v>
      </c>
      <c r="E535" t="s">
        <v>1085</v>
      </c>
      <c r="G535" s="1">
        <v>3.11</v>
      </c>
    </row>
    <row r="536" spans="1:7" ht="14.25" hidden="1" customHeight="1" x14ac:dyDescent="0.45">
      <c r="A536" t="str">
        <f>_xlfn.XLOOKUP(B536,Ingot!$H$12:$H$119,Ingot!$G$12:$G$119,"")</f>
        <v>Metal</v>
      </c>
      <c r="B536" t="s">
        <v>969</v>
      </c>
      <c r="C536" t="s">
        <v>10</v>
      </c>
      <c r="D536" t="s">
        <v>1086</v>
      </c>
      <c r="E536" t="s">
        <v>1087</v>
      </c>
      <c r="G536" s="1">
        <v>2.44</v>
      </c>
    </row>
    <row r="537" spans="1:7" ht="14.25" hidden="1" customHeight="1" x14ac:dyDescent="0.45">
      <c r="A537" t="str">
        <f>_xlfn.XLOOKUP(B537,Ingot!$H$12:$H$119,Ingot!$G$12:$G$119,"")</f>
        <v>Metal</v>
      </c>
      <c r="B537" t="s">
        <v>969</v>
      </c>
      <c r="C537" t="s">
        <v>10</v>
      </c>
      <c r="D537" t="s">
        <v>1088</v>
      </c>
      <c r="E537" t="s">
        <v>1089</v>
      </c>
      <c r="G537" s="1">
        <v>8.61</v>
      </c>
    </row>
    <row r="538" spans="1:7" ht="14.25" hidden="1" customHeight="1" x14ac:dyDescent="0.45">
      <c r="A538" t="str">
        <f>_xlfn.XLOOKUP(B538,Ingot!$H$12:$H$119,Ingot!$G$12:$G$119,"")</f>
        <v>Metal</v>
      </c>
      <c r="B538" t="s">
        <v>969</v>
      </c>
      <c r="C538" t="s">
        <v>10</v>
      </c>
      <c r="D538" t="s">
        <v>1090</v>
      </c>
      <c r="E538" t="s">
        <v>1091</v>
      </c>
    </row>
    <row r="539" spans="1:7" ht="14.25" hidden="1" customHeight="1" x14ac:dyDescent="0.45">
      <c r="A539" t="str">
        <f>_xlfn.XLOOKUP(B539,Ingot!$H$12:$H$119,Ingot!$G$12:$G$119,"")</f>
        <v>Metal</v>
      </c>
      <c r="B539" t="s">
        <v>969</v>
      </c>
      <c r="C539" t="s">
        <v>10</v>
      </c>
      <c r="D539" t="s">
        <v>1092</v>
      </c>
      <c r="E539" t="s">
        <v>1093</v>
      </c>
      <c r="G539" s="1">
        <v>3.21</v>
      </c>
    </row>
    <row r="540" spans="1:7" ht="14.25" hidden="1" customHeight="1" x14ac:dyDescent="0.45">
      <c r="A540" t="str">
        <f>_xlfn.XLOOKUP(B540,Ingot!$H$12:$H$119,Ingot!$G$12:$G$119,"")</f>
        <v>Metal</v>
      </c>
      <c r="B540" t="s">
        <v>969</v>
      </c>
      <c r="C540" t="s">
        <v>10</v>
      </c>
      <c r="D540" t="s">
        <v>1094</v>
      </c>
      <c r="E540" t="s">
        <v>1095</v>
      </c>
      <c r="G540" s="1">
        <v>2.77</v>
      </c>
    </row>
    <row r="541" spans="1:7" ht="14.25" hidden="1" customHeight="1" x14ac:dyDescent="0.45">
      <c r="A541" t="str">
        <f>_xlfn.XLOOKUP(B541,Ingot!$H$12:$H$119,Ingot!$G$12:$G$119,"")</f>
        <v>Metal</v>
      </c>
      <c r="B541" t="s">
        <v>969</v>
      </c>
      <c r="C541" t="s">
        <v>10</v>
      </c>
      <c r="D541" t="s">
        <v>1096</v>
      </c>
      <c r="E541" t="s">
        <v>1097</v>
      </c>
      <c r="G541" s="1">
        <v>4.8899999999999997</v>
      </c>
    </row>
    <row r="542" spans="1:7" ht="14.25" hidden="1" customHeight="1" x14ac:dyDescent="0.45">
      <c r="A542" t="str">
        <f>_xlfn.XLOOKUP(B542,Ingot!$H$12:$H$119,Ingot!$G$12:$G$119,"")</f>
        <v>Metal</v>
      </c>
      <c r="B542" t="s">
        <v>969</v>
      </c>
      <c r="C542" t="s">
        <v>10</v>
      </c>
      <c r="D542" t="s">
        <v>1098</v>
      </c>
      <c r="E542" t="s">
        <v>1099</v>
      </c>
      <c r="G542" s="1">
        <v>1.76</v>
      </c>
    </row>
    <row r="543" spans="1:7" ht="14.25" hidden="1" customHeight="1" x14ac:dyDescent="0.45">
      <c r="A543" t="str">
        <f>_xlfn.XLOOKUP(B543,Ingot!$H$12:$H$119,Ingot!$G$12:$G$119,"")</f>
        <v>Metal</v>
      </c>
      <c r="B543" t="s">
        <v>969</v>
      </c>
      <c r="C543" t="s">
        <v>10</v>
      </c>
      <c r="D543" t="s">
        <v>1100</v>
      </c>
      <c r="E543" t="s">
        <v>1101</v>
      </c>
    </row>
    <row r="544" spans="1:7" ht="14.25" hidden="1" customHeight="1" x14ac:dyDescent="0.45">
      <c r="A544" t="str">
        <f>_xlfn.XLOOKUP(B544,Ingot!$H$12:$H$119,Ingot!$G$12:$G$119,"")</f>
        <v>Metal</v>
      </c>
      <c r="B544" t="s">
        <v>969</v>
      </c>
      <c r="C544" t="s">
        <v>10</v>
      </c>
      <c r="D544" t="s">
        <v>1102</v>
      </c>
      <c r="E544" t="s">
        <v>1103</v>
      </c>
      <c r="G544" s="1">
        <v>8.57</v>
      </c>
    </row>
    <row r="545" spans="1:7" ht="14.25" hidden="1" customHeight="1" x14ac:dyDescent="0.45">
      <c r="A545" t="str">
        <f>_xlfn.XLOOKUP(B545,Ingot!$H$12:$H$119,Ingot!$G$12:$G$119,"")</f>
        <v>Metal</v>
      </c>
      <c r="B545" t="s">
        <v>969</v>
      </c>
      <c r="C545" t="s">
        <v>10</v>
      </c>
      <c r="D545" t="s">
        <v>1104</v>
      </c>
      <c r="E545" t="s">
        <v>1105</v>
      </c>
    </row>
    <row r="546" spans="1:7" ht="14.25" hidden="1" customHeight="1" x14ac:dyDescent="0.45">
      <c r="A546" t="str">
        <f>_xlfn.XLOOKUP(B546,Ingot!$H$12:$H$119,Ingot!$G$12:$G$119,"")</f>
        <v>Metal</v>
      </c>
      <c r="B546" t="s">
        <v>969</v>
      </c>
      <c r="C546" t="s">
        <v>10</v>
      </c>
      <c r="D546" t="s">
        <v>1106</v>
      </c>
      <c r="E546" t="s">
        <v>1107</v>
      </c>
      <c r="G546" s="1">
        <v>3.56</v>
      </c>
    </row>
    <row r="547" spans="1:7" ht="14.25" hidden="1" customHeight="1" x14ac:dyDescent="0.45">
      <c r="A547" t="str">
        <f>_xlfn.XLOOKUP(B547,Ingot!$H$12:$H$119,Ingot!$G$12:$G$119,"")</f>
        <v>Metal</v>
      </c>
      <c r="B547" t="s">
        <v>969</v>
      </c>
      <c r="C547" t="s">
        <v>10</v>
      </c>
      <c r="D547" t="s">
        <v>1108</v>
      </c>
      <c r="E547" t="s">
        <v>1109</v>
      </c>
      <c r="G547" s="1">
        <v>8.91</v>
      </c>
    </row>
    <row r="548" spans="1:7" ht="14.25" hidden="1" customHeight="1" x14ac:dyDescent="0.45">
      <c r="A548" t="str">
        <f>_xlfn.XLOOKUP(B548,Ingot!$H$12:$H$119,Ingot!$G$12:$G$119,"")</f>
        <v>Metal</v>
      </c>
      <c r="B548" t="s">
        <v>969</v>
      </c>
      <c r="C548" t="s">
        <v>10</v>
      </c>
      <c r="D548" t="s">
        <v>1110</v>
      </c>
      <c r="E548" t="s">
        <v>1111</v>
      </c>
      <c r="G548" s="1">
        <v>11.02</v>
      </c>
    </row>
    <row r="549" spans="1:7" ht="14.25" hidden="1" customHeight="1" x14ac:dyDescent="0.45">
      <c r="A549" t="str">
        <f>_xlfn.XLOOKUP(B549,Ingot!$H$12:$H$119,Ingot!$G$12:$G$119,"")</f>
        <v>Metal</v>
      </c>
      <c r="B549" t="s">
        <v>969</v>
      </c>
      <c r="C549" t="s">
        <v>10</v>
      </c>
      <c r="D549" t="s">
        <v>1112</v>
      </c>
      <c r="E549" t="s">
        <v>1113</v>
      </c>
      <c r="G549" s="1">
        <v>5.12</v>
      </c>
    </row>
    <row r="550" spans="1:7" ht="14.25" hidden="1" customHeight="1" x14ac:dyDescent="0.45">
      <c r="A550" t="str">
        <f>_xlfn.XLOOKUP(B550,Ingot!$H$12:$H$119,Ingot!$G$12:$G$119,"")</f>
        <v>Metal</v>
      </c>
      <c r="B550" t="s">
        <v>969</v>
      </c>
      <c r="C550" t="s">
        <v>10</v>
      </c>
      <c r="D550" t="s">
        <v>1114</v>
      </c>
      <c r="E550" t="s">
        <v>1115</v>
      </c>
      <c r="G550" s="1">
        <v>4.41</v>
      </c>
    </row>
    <row r="551" spans="1:7" ht="14.25" hidden="1" customHeight="1" x14ac:dyDescent="0.45">
      <c r="A551" t="str">
        <f>_xlfn.XLOOKUP(B551,Ingot!$H$12:$H$119,Ingot!$G$12:$G$119,"")</f>
        <v>Metal</v>
      </c>
      <c r="B551" t="s">
        <v>969</v>
      </c>
      <c r="C551" t="s">
        <v>157</v>
      </c>
      <c r="D551" t="s">
        <v>1116</v>
      </c>
      <c r="E551" t="s">
        <v>1117</v>
      </c>
      <c r="G551" s="1">
        <v>33.93</v>
      </c>
    </row>
    <row r="552" spans="1:7" ht="14.25" hidden="1" customHeight="1" x14ac:dyDescent="0.45">
      <c r="A552" t="str">
        <f>_xlfn.XLOOKUP(B552,Ingot!$H$12:$H$119,Ingot!$G$12:$G$119,"")</f>
        <v>Metal</v>
      </c>
      <c r="B552" t="s">
        <v>969</v>
      </c>
      <c r="C552" t="s">
        <v>157</v>
      </c>
      <c r="D552" t="s">
        <v>1118</v>
      </c>
      <c r="E552" t="s">
        <v>1119</v>
      </c>
      <c r="G552" s="1">
        <v>6.79</v>
      </c>
    </row>
    <row r="553" spans="1:7" ht="14.25" hidden="1" customHeight="1" x14ac:dyDescent="0.45">
      <c r="A553" t="str">
        <f>_xlfn.XLOOKUP(B553,Ingot!$H$12:$H$119,Ingot!$G$12:$G$119,"")</f>
        <v>Metal</v>
      </c>
      <c r="B553" t="s">
        <v>969</v>
      </c>
      <c r="C553" t="s">
        <v>157</v>
      </c>
      <c r="D553" t="s">
        <v>1120</v>
      </c>
      <c r="E553" t="s">
        <v>1121</v>
      </c>
      <c r="G553" s="1">
        <v>6.79</v>
      </c>
    </row>
    <row r="554" spans="1:7" ht="14.25" hidden="1" customHeight="1" x14ac:dyDescent="0.45">
      <c r="A554" t="str">
        <f>_xlfn.XLOOKUP(B554,Ingot!$H$12:$H$119,Ingot!$G$12:$G$119,"")</f>
        <v>Metal</v>
      </c>
      <c r="B554" t="s">
        <v>969</v>
      </c>
      <c r="C554" t="s">
        <v>157</v>
      </c>
      <c r="D554" t="s">
        <v>1122</v>
      </c>
      <c r="E554" t="s">
        <v>1123</v>
      </c>
      <c r="G554" s="1">
        <v>5</v>
      </c>
    </row>
    <row r="555" spans="1:7" ht="14.25" hidden="1" customHeight="1" x14ac:dyDescent="0.45">
      <c r="A555" t="str">
        <f>_xlfn.XLOOKUP(B555,Ingot!$H$12:$H$119,Ingot!$G$12:$G$119,"")</f>
        <v>Metal</v>
      </c>
      <c r="B555" t="s">
        <v>969</v>
      </c>
      <c r="C555" t="s">
        <v>157</v>
      </c>
      <c r="D555" t="s">
        <v>1124</v>
      </c>
      <c r="E555" t="s">
        <v>1125</v>
      </c>
      <c r="G555" s="1">
        <v>10</v>
      </c>
    </row>
    <row r="556" spans="1:7" ht="14.25" hidden="1" customHeight="1" x14ac:dyDescent="0.45">
      <c r="A556" t="str">
        <f>_xlfn.XLOOKUP(B556,Ingot!$H$12:$H$119,Ingot!$G$12:$G$119,"")</f>
        <v>Metal</v>
      </c>
      <c r="B556" t="s">
        <v>969</v>
      </c>
      <c r="C556" t="s">
        <v>157</v>
      </c>
      <c r="D556" t="s">
        <v>1126</v>
      </c>
      <c r="E556" t="s">
        <v>1127</v>
      </c>
      <c r="G556" s="1">
        <v>28.43</v>
      </c>
    </row>
    <row r="557" spans="1:7" ht="14.25" hidden="1" customHeight="1" x14ac:dyDescent="0.45">
      <c r="A557" t="str">
        <f>_xlfn.XLOOKUP(B557,Ingot!$H$12:$H$119,Ingot!$G$12:$G$119,"")</f>
        <v>Metal</v>
      </c>
      <c r="B557" t="s">
        <v>969</v>
      </c>
      <c r="C557" t="s">
        <v>157</v>
      </c>
      <c r="D557" t="s">
        <v>1128</v>
      </c>
      <c r="E557" t="s">
        <v>1129</v>
      </c>
      <c r="G557" s="1">
        <v>5.69</v>
      </c>
    </row>
    <row r="558" spans="1:7" ht="14.25" hidden="1" customHeight="1" x14ac:dyDescent="0.45">
      <c r="A558" t="str">
        <f>_xlfn.XLOOKUP(B558,Ingot!$H$12:$H$119,Ingot!$G$12:$G$119,"")</f>
        <v>Metal</v>
      </c>
      <c r="B558" t="s">
        <v>969</v>
      </c>
      <c r="C558" t="s">
        <v>157</v>
      </c>
      <c r="D558" t="s">
        <v>1130</v>
      </c>
      <c r="E558" t="s">
        <v>1131</v>
      </c>
      <c r="G558" s="1">
        <v>5.69</v>
      </c>
    </row>
    <row r="559" spans="1:7" ht="14.25" hidden="1" customHeight="1" x14ac:dyDescent="0.45">
      <c r="A559" t="str">
        <f>_xlfn.XLOOKUP(B559,Ingot!$H$12:$H$119,Ingot!$G$12:$G$119,"")</f>
        <v>Metal</v>
      </c>
      <c r="B559" t="s">
        <v>969</v>
      </c>
      <c r="C559" t="s">
        <v>157</v>
      </c>
      <c r="D559" t="s">
        <v>1132</v>
      </c>
      <c r="E559" t="s">
        <v>1133</v>
      </c>
      <c r="G559" s="1">
        <v>5</v>
      </c>
    </row>
    <row r="560" spans="1:7" ht="14.25" hidden="1" customHeight="1" x14ac:dyDescent="0.45">
      <c r="A560" t="str">
        <f>_xlfn.XLOOKUP(B560,Ingot!$H$12:$H$119,Ingot!$G$12:$G$119,"")</f>
        <v>Metal</v>
      </c>
      <c r="B560" t="s">
        <v>969</v>
      </c>
      <c r="C560" t="s">
        <v>157</v>
      </c>
      <c r="D560" t="s">
        <v>1134</v>
      </c>
      <c r="E560" t="s">
        <v>1135</v>
      </c>
      <c r="G560" s="1">
        <v>10</v>
      </c>
    </row>
    <row r="561" spans="1:7" ht="14.25" hidden="1" customHeight="1" x14ac:dyDescent="0.45">
      <c r="A561" t="str">
        <f>_xlfn.XLOOKUP(B561,Ingot!$H$12:$H$119,Ingot!$G$12:$G$119,"")</f>
        <v>Metal</v>
      </c>
      <c r="B561" t="s">
        <v>969</v>
      </c>
      <c r="C561" t="s">
        <v>157</v>
      </c>
      <c r="D561" t="s">
        <v>1136</v>
      </c>
      <c r="E561" t="s">
        <v>1137</v>
      </c>
      <c r="F561" t="s">
        <v>180</v>
      </c>
      <c r="G561" s="1">
        <v>27.43</v>
      </c>
    </row>
    <row r="562" spans="1:7" ht="14.25" hidden="1" customHeight="1" x14ac:dyDescent="0.45">
      <c r="A562" t="str">
        <f>_xlfn.XLOOKUP(B562,Ingot!$H$12:$H$119,Ingot!$G$12:$G$119,"")</f>
        <v>Metal</v>
      </c>
      <c r="B562" t="s">
        <v>969</v>
      </c>
      <c r="C562" t="s">
        <v>157</v>
      </c>
      <c r="D562" t="s">
        <v>1138</v>
      </c>
      <c r="E562" t="s">
        <v>1139</v>
      </c>
      <c r="F562" t="s">
        <v>180</v>
      </c>
      <c r="G562" s="1">
        <v>5.49</v>
      </c>
    </row>
    <row r="563" spans="1:7" ht="14.25" hidden="1" customHeight="1" x14ac:dyDescent="0.45">
      <c r="A563" t="str">
        <f>_xlfn.XLOOKUP(B563,Ingot!$H$12:$H$119,Ingot!$G$12:$G$119,"")</f>
        <v>Metal</v>
      </c>
      <c r="B563" t="s">
        <v>969</v>
      </c>
      <c r="C563" t="s">
        <v>157</v>
      </c>
      <c r="D563" t="s">
        <v>1140</v>
      </c>
      <c r="E563" t="s">
        <v>1141</v>
      </c>
      <c r="F563" t="s">
        <v>180</v>
      </c>
      <c r="G563" s="1">
        <v>5.49</v>
      </c>
    </row>
    <row r="564" spans="1:7" ht="14.25" hidden="1" customHeight="1" x14ac:dyDescent="0.45">
      <c r="A564" t="str">
        <f>_xlfn.XLOOKUP(B564,Ingot!$H$12:$H$119,Ingot!$G$12:$G$119,"")</f>
        <v>Metal</v>
      </c>
      <c r="B564" t="s">
        <v>969</v>
      </c>
      <c r="C564" t="s">
        <v>157</v>
      </c>
      <c r="D564" t="s">
        <v>1142</v>
      </c>
      <c r="E564" t="s">
        <v>1143</v>
      </c>
      <c r="F564" t="s">
        <v>180</v>
      </c>
      <c r="G564" s="1">
        <v>5</v>
      </c>
    </row>
    <row r="565" spans="1:7" ht="14.25" hidden="1" customHeight="1" x14ac:dyDescent="0.45">
      <c r="A565" t="str">
        <f>_xlfn.XLOOKUP(B565,Ingot!$H$12:$H$119,Ingot!$G$12:$G$119,"")</f>
        <v>Metal</v>
      </c>
      <c r="B565" t="s">
        <v>969</v>
      </c>
      <c r="C565" t="s">
        <v>157</v>
      </c>
      <c r="D565" t="s">
        <v>1144</v>
      </c>
      <c r="E565" t="s">
        <v>1145</v>
      </c>
      <c r="F565" t="s">
        <v>180</v>
      </c>
      <c r="G565" s="1">
        <v>10</v>
      </c>
    </row>
    <row r="566" spans="1:7" ht="14.25" hidden="1" customHeight="1" x14ac:dyDescent="0.45">
      <c r="A566" t="str">
        <f>_xlfn.XLOOKUP(B566,Ingot!$H$12:$H$119,Ingot!$G$12:$G$119,"")</f>
        <v>Metal</v>
      </c>
      <c r="B566" t="s">
        <v>969</v>
      </c>
      <c r="C566" t="s">
        <v>157</v>
      </c>
      <c r="D566" t="s">
        <v>1146</v>
      </c>
      <c r="E566" t="s">
        <v>1147</v>
      </c>
      <c r="G566" s="1">
        <v>29.93</v>
      </c>
    </row>
    <row r="567" spans="1:7" ht="14.25" hidden="1" customHeight="1" x14ac:dyDescent="0.45">
      <c r="A567" t="str">
        <f>_xlfn.XLOOKUP(B567,Ingot!$H$12:$H$119,Ingot!$G$12:$G$119,"")</f>
        <v>Metal</v>
      </c>
      <c r="B567" t="s">
        <v>969</v>
      </c>
      <c r="C567" t="s">
        <v>157</v>
      </c>
      <c r="D567" t="s">
        <v>1148</v>
      </c>
      <c r="E567" t="s">
        <v>1149</v>
      </c>
      <c r="G567" s="1">
        <v>5.99</v>
      </c>
    </row>
    <row r="568" spans="1:7" ht="14.25" hidden="1" customHeight="1" x14ac:dyDescent="0.45">
      <c r="A568" t="str">
        <f>_xlfn.XLOOKUP(B568,Ingot!$H$12:$H$119,Ingot!$G$12:$G$119,"")</f>
        <v>Metal</v>
      </c>
      <c r="B568" t="s">
        <v>969</v>
      </c>
      <c r="C568" t="s">
        <v>157</v>
      </c>
      <c r="D568" t="s">
        <v>1150</v>
      </c>
      <c r="E568" t="s">
        <v>1151</v>
      </c>
      <c r="G568" s="1">
        <v>5.99</v>
      </c>
    </row>
    <row r="569" spans="1:7" ht="14.25" hidden="1" customHeight="1" x14ac:dyDescent="0.45">
      <c r="A569" t="str">
        <f>_xlfn.XLOOKUP(B569,Ingot!$H$12:$H$119,Ingot!$G$12:$G$119,"")</f>
        <v>Metal</v>
      </c>
      <c r="B569" t="s">
        <v>969</v>
      </c>
      <c r="C569" t="s">
        <v>157</v>
      </c>
      <c r="D569" t="s">
        <v>1152</v>
      </c>
      <c r="E569" t="s">
        <v>1153</v>
      </c>
      <c r="G569" s="1">
        <v>5</v>
      </c>
    </row>
    <row r="570" spans="1:7" ht="14.25" hidden="1" customHeight="1" x14ac:dyDescent="0.45">
      <c r="A570" t="str">
        <f>_xlfn.XLOOKUP(B570,Ingot!$H$12:$H$119,Ingot!$G$12:$G$119,"")</f>
        <v>Metal</v>
      </c>
      <c r="B570" t="s">
        <v>969</v>
      </c>
      <c r="C570" t="s">
        <v>157</v>
      </c>
      <c r="D570" t="s">
        <v>1154</v>
      </c>
      <c r="E570" t="s">
        <v>1155</v>
      </c>
      <c r="G570" s="1">
        <v>10</v>
      </c>
    </row>
    <row r="571" spans="1:7" ht="14.25" hidden="1" customHeight="1" x14ac:dyDescent="0.45">
      <c r="A571" t="str">
        <f>_xlfn.XLOOKUP(B571,Ingot!$H$12:$H$119,Ingot!$G$12:$G$119,"")</f>
        <v>Metal</v>
      </c>
      <c r="B571" t="s">
        <v>969</v>
      </c>
      <c r="C571" t="s">
        <v>157</v>
      </c>
      <c r="D571" t="s">
        <v>1156</v>
      </c>
      <c r="E571" t="s">
        <v>1157</v>
      </c>
      <c r="G571" s="1">
        <v>31.93</v>
      </c>
    </row>
    <row r="572" spans="1:7" ht="14.25" hidden="1" customHeight="1" x14ac:dyDescent="0.45">
      <c r="A572" t="str">
        <f>_xlfn.XLOOKUP(B572,Ingot!$H$12:$H$119,Ingot!$G$12:$G$119,"")</f>
        <v>Metal</v>
      </c>
      <c r="B572" t="s">
        <v>969</v>
      </c>
      <c r="C572" t="s">
        <v>157</v>
      </c>
      <c r="D572" t="s">
        <v>1158</v>
      </c>
      <c r="E572" t="s">
        <v>1159</v>
      </c>
      <c r="F572" t="s">
        <v>180</v>
      </c>
      <c r="G572" s="1">
        <v>6.39</v>
      </c>
    </row>
    <row r="573" spans="1:7" ht="14.25" hidden="1" customHeight="1" x14ac:dyDescent="0.45">
      <c r="A573" t="str">
        <f>_xlfn.XLOOKUP(B573,Ingot!$H$12:$H$119,Ingot!$G$12:$G$119,"")</f>
        <v>Metal</v>
      </c>
      <c r="B573" t="s">
        <v>969</v>
      </c>
      <c r="C573" t="s">
        <v>157</v>
      </c>
      <c r="D573" t="s">
        <v>1160</v>
      </c>
      <c r="E573" t="s">
        <v>1161</v>
      </c>
      <c r="F573" t="s">
        <v>180</v>
      </c>
      <c r="G573" s="1">
        <v>6.39</v>
      </c>
    </row>
    <row r="574" spans="1:7" ht="14.25" hidden="1" customHeight="1" x14ac:dyDescent="0.45">
      <c r="A574" t="str">
        <f>_xlfn.XLOOKUP(B574,Ingot!$H$12:$H$119,Ingot!$G$12:$G$119,"")</f>
        <v>Metal</v>
      </c>
      <c r="B574" t="s">
        <v>969</v>
      </c>
      <c r="C574" t="s">
        <v>157</v>
      </c>
      <c r="D574" t="s">
        <v>1162</v>
      </c>
      <c r="E574" t="s">
        <v>1163</v>
      </c>
      <c r="F574" t="s">
        <v>180</v>
      </c>
      <c r="G574" s="1">
        <v>5</v>
      </c>
    </row>
    <row r="575" spans="1:7" ht="14.25" hidden="1" customHeight="1" x14ac:dyDescent="0.45">
      <c r="A575" t="str">
        <f>_xlfn.XLOOKUP(B575,Ingot!$H$12:$H$119,Ingot!$G$12:$G$119,"")</f>
        <v>Metal</v>
      </c>
      <c r="B575" t="s">
        <v>969</v>
      </c>
      <c r="C575" t="s">
        <v>157</v>
      </c>
      <c r="D575" t="s">
        <v>1164</v>
      </c>
      <c r="E575" t="s">
        <v>1165</v>
      </c>
      <c r="G575" s="1">
        <v>10</v>
      </c>
    </row>
    <row r="576" spans="1:7" ht="14.25" hidden="1" customHeight="1" x14ac:dyDescent="0.45">
      <c r="A576" t="str">
        <f>_xlfn.XLOOKUP(B576,Ingot!$H$12:$H$119,Ingot!$G$12:$G$119,"")</f>
        <v>Metal</v>
      </c>
      <c r="B576" t="s">
        <v>969</v>
      </c>
      <c r="C576" t="s">
        <v>157</v>
      </c>
      <c r="D576" t="s">
        <v>1166</v>
      </c>
      <c r="E576" t="s">
        <v>1167</v>
      </c>
      <c r="G576" s="1">
        <v>36.93</v>
      </c>
    </row>
    <row r="577" spans="1:7" ht="14.25" hidden="1" customHeight="1" x14ac:dyDescent="0.45">
      <c r="A577" t="str">
        <f>_xlfn.XLOOKUP(B577,Ingot!$H$12:$H$119,Ingot!$G$12:$G$119,"")</f>
        <v>Metal</v>
      </c>
      <c r="B577" t="s">
        <v>969</v>
      </c>
      <c r="C577" t="s">
        <v>157</v>
      </c>
      <c r="D577" t="s">
        <v>1168</v>
      </c>
      <c r="E577" t="s">
        <v>1169</v>
      </c>
      <c r="G577" s="1">
        <v>7.39</v>
      </c>
    </row>
    <row r="578" spans="1:7" ht="14.25" hidden="1" customHeight="1" x14ac:dyDescent="0.45">
      <c r="A578" t="str">
        <f>_xlfn.XLOOKUP(B578,Ingot!$H$12:$H$119,Ingot!$G$12:$G$119,"")</f>
        <v>Metal</v>
      </c>
      <c r="B578" t="s">
        <v>969</v>
      </c>
      <c r="C578" t="s">
        <v>157</v>
      </c>
      <c r="D578" t="s">
        <v>1170</v>
      </c>
      <c r="E578" t="s">
        <v>1171</v>
      </c>
      <c r="G578" s="1">
        <v>7.39</v>
      </c>
    </row>
    <row r="579" spans="1:7" ht="14.25" hidden="1" customHeight="1" x14ac:dyDescent="0.45">
      <c r="A579" t="str">
        <f>_xlfn.XLOOKUP(B579,Ingot!$H$12:$H$119,Ingot!$G$12:$G$119,"")</f>
        <v>Metal</v>
      </c>
      <c r="B579" t="s">
        <v>969</v>
      </c>
      <c r="C579" t="s">
        <v>157</v>
      </c>
      <c r="D579" t="s">
        <v>1172</v>
      </c>
      <c r="E579" t="s">
        <v>1173</v>
      </c>
      <c r="G579" s="1">
        <v>5</v>
      </c>
    </row>
    <row r="580" spans="1:7" ht="14.25" hidden="1" customHeight="1" x14ac:dyDescent="0.45">
      <c r="A580" t="str">
        <f>_xlfn.XLOOKUP(B580,Ingot!$H$12:$H$119,Ingot!$G$12:$G$119,"")</f>
        <v>Metal</v>
      </c>
      <c r="B580" t="s">
        <v>969</v>
      </c>
      <c r="C580" t="s">
        <v>157</v>
      </c>
      <c r="D580" t="s">
        <v>1174</v>
      </c>
      <c r="E580" t="s">
        <v>1175</v>
      </c>
      <c r="G580" s="1">
        <v>10</v>
      </c>
    </row>
    <row r="581" spans="1:7" ht="14.25" hidden="1" customHeight="1" x14ac:dyDescent="0.45">
      <c r="A581" t="str">
        <f>_xlfn.XLOOKUP(B581,Ingot!$H$12:$H$119,Ingot!$G$12:$G$119,"")</f>
        <v>Metal</v>
      </c>
      <c r="B581" t="s">
        <v>969</v>
      </c>
      <c r="C581" t="s">
        <v>157</v>
      </c>
      <c r="D581" t="s">
        <v>1176</v>
      </c>
      <c r="E581" t="s">
        <v>1177</v>
      </c>
      <c r="G581" s="1">
        <v>36.43</v>
      </c>
    </row>
    <row r="582" spans="1:7" ht="14.25" hidden="1" customHeight="1" x14ac:dyDescent="0.45">
      <c r="A582" t="str">
        <f>_xlfn.XLOOKUP(B582,Ingot!$H$12:$H$119,Ingot!$G$12:$G$119,"")</f>
        <v>Metal</v>
      </c>
      <c r="B582" t="s">
        <v>969</v>
      </c>
      <c r="C582" t="s">
        <v>157</v>
      </c>
      <c r="D582" t="s">
        <v>1178</v>
      </c>
      <c r="E582" t="s">
        <v>1179</v>
      </c>
      <c r="G582" s="1">
        <v>7.29</v>
      </c>
    </row>
    <row r="583" spans="1:7" ht="14.25" hidden="1" customHeight="1" x14ac:dyDescent="0.45">
      <c r="A583" t="str">
        <f>_xlfn.XLOOKUP(B583,Ingot!$H$12:$H$119,Ingot!$G$12:$G$119,"")</f>
        <v>Metal</v>
      </c>
      <c r="B583" t="s">
        <v>969</v>
      </c>
      <c r="C583" t="s">
        <v>157</v>
      </c>
      <c r="D583" t="s">
        <v>1180</v>
      </c>
      <c r="E583" t="s">
        <v>1181</v>
      </c>
      <c r="G583" s="1">
        <v>7.29</v>
      </c>
    </row>
    <row r="584" spans="1:7" ht="14.25" hidden="1" customHeight="1" x14ac:dyDescent="0.45">
      <c r="A584" t="str">
        <f>_xlfn.XLOOKUP(B584,Ingot!$H$12:$H$119,Ingot!$G$12:$G$119,"")</f>
        <v>Metal</v>
      </c>
      <c r="B584" t="s">
        <v>969</v>
      </c>
      <c r="C584" t="s">
        <v>157</v>
      </c>
      <c r="D584" t="s">
        <v>1182</v>
      </c>
      <c r="E584" t="s">
        <v>1183</v>
      </c>
      <c r="G584" s="1">
        <v>5</v>
      </c>
    </row>
    <row r="585" spans="1:7" ht="14.25" hidden="1" customHeight="1" x14ac:dyDescent="0.45">
      <c r="A585" t="str">
        <f>_xlfn.XLOOKUP(B585,Ingot!$H$12:$H$119,Ingot!$G$12:$G$119,"")</f>
        <v>Metal</v>
      </c>
      <c r="B585" t="s">
        <v>969</v>
      </c>
      <c r="C585" t="s">
        <v>157</v>
      </c>
      <c r="D585" t="s">
        <v>1184</v>
      </c>
      <c r="E585" t="s">
        <v>1185</v>
      </c>
      <c r="G585" s="1">
        <v>10</v>
      </c>
    </row>
    <row r="586" spans="1:7" ht="14.25" hidden="1" customHeight="1" x14ac:dyDescent="0.45">
      <c r="A586" t="str">
        <f>_xlfn.XLOOKUP(B586,Ingot!$H$12:$H$119,Ingot!$G$12:$G$119,"")</f>
        <v>Metal</v>
      </c>
      <c r="B586" t="s">
        <v>969</v>
      </c>
      <c r="C586" t="s">
        <v>157</v>
      </c>
      <c r="D586" t="s">
        <v>1186</v>
      </c>
      <c r="E586" t="s">
        <v>1187</v>
      </c>
      <c r="F586" t="s">
        <v>180</v>
      </c>
      <c r="G586" s="1">
        <v>25.93</v>
      </c>
    </row>
    <row r="587" spans="1:7" ht="14.25" hidden="1" customHeight="1" x14ac:dyDescent="0.45">
      <c r="A587" t="str">
        <f>_xlfn.XLOOKUP(B587,Ingot!$H$12:$H$119,Ingot!$G$12:$G$119,"")</f>
        <v>Metal</v>
      </c>
      <c r="B587" t="s">
        <v>969</v>
      </c>
      <c r="C587" t="s">
        <v>157</v>
      </c>
      <c r="D587" t="s">
        <v>1188</v>
      </c>
      <c r="E587" t="s">
        <v>1189</v>
      </c>
      <c r="F587" t="s">
        <v>180</v>
      </c>
      <c r="G587" s="1">
        <v>5.19</v>
      </c>
    </row>
    <row r="588" spans="1:7" ht="14.25" hidden="1" customHeight="1" x14ac:dyDescent="0.45">
      <c r="A588" t="str">
        <f>_xlfn.XLOOKUP(B588,Ingot!$H$12:$H$119,Ingot!$G$12:$G$119,"")</f>
        <v>Metal</v>
      </c>
      <c r="B588" t="s">
        <v>969</v>
      </c>
      <c r="C588" t="s">
        <v>157</v>
      </c>
      <c r="D588" t="s">
        <v>1190</v>
      </c>
      <c r="E588" t="s">
        <v>1191</v>
      </c>
      <c r="F588" t="s">
        <v>180</v>
      </c>
      <c r="G588" s="1">
        <v>5.19</v>
      </c>
    </row>
    <row r="589" spans="1:7" ht="14.25" hidden="1" customHeight="1" x14ac:dyDescent="0.45">
      <c r="A589" t="str">
        <f>_xlfn.XLOOKUP(B589,Ingot!$H$12:$H$119,Ingot!$G$12:$G$119,"")</f>
        <v>Metal</v>
      </c>
      <c r="B589" t="s">
        <v>969</v>
      </c>
      <c r="C589" t="s">
        <v>157</v>
      </c>
      <c r="D589" t="s">
        <v>1192</v>
      </c>
      <c r="E589" t="s">
        <v>1193</v>
      </c>
      <c r="F589" t="s">
        <v>180</v>
      </c>
      <c r="G589" s="1">
        <v>5</v>
      </c>
    </row>
    <row r="590" spans="1:7" ht="14.25" hidden="1" customHeight="1" x14ac:dyDescent="0.45">
      <c r="A590" t="str">
        <f>_xlfn.XLOOKUP(B590,Ingot!$H$12:$H$119,Ingot!$G$12:$G$119,"")</f>
        <v>Metal</v>
      </c>
      <c r="B590" t="s">
        <v>969</v>
      </c>
      <c r="C590" t="s">
        <v>157</v>
      </c>
      <c r="D590" t="s">
        <v>1194</v>
      </c>
      <c r="E590" t="s">
        <v>1195</v>
      </c>
      <c r="F590" t="s">
        <v>180</v>
      </c>
      <c r="G590" s="1">
        <v>10</v>
      </c>
    </row>
    <row r="591" spans="1:7" ht="14.25" hidden="1" customHeight="1" x14ac:dyDescent="0.45">
      <c r="A591" t="str">
        <f>_xlfn.XLOOKUP(B591,Ingot!$H$12:$H$119,Ingot!$G$12:$G$119,"")</f>
        <v>Metal</v>
      </c>
      <c r="B591" t="s">
        <v>969</v>
      </c>
      <c r="C591" t="s">
        <v>239</v>
      </c>
      <c r="D591" t="s">
        <v>1196</v>
      </c>
      <c r="E591" t="s">
        <v>1197</v>
      </c>
      <c r="G591" s="1">
        <f>(VLOOKUP(B591,Ingot!H:I,2,FALSE()) * 0.75) * 0.75</f>
        <v>4.78125</v>
      </c>
    </row>
    <row r="592" spans="1:7" ht="14.25" hidden="1" customHeight="1" x14ac:dyDescent="0.45">
      <c r="A592" t="str">
        <f>_xlfn.XLOOKUP(B592,Ingot!$H$12:$H$119,Ingot!$G$12:$G$119,"")</f>
        <v>Metal</v>
      </c>
      <c r="B592" t="s">
        <v>969</v>
      </c>
      <c r="C592" t="s">
        <v>239</v>
      </c>
      <c r="D592" t="s">
        <v>1198</v>
      </c>
      <c r="E592" t="s">
        <v>1199</v>
      </c>
      <c r="G592" s="1">
        <f>((VLOOKUP(B592,Ingot!H:I,2,FALSE()) * 3) - 10.25) * 0.421875</f>
        <v>6.43359375</v>
      </c>
    </row>
    <row r="593" spans="1:7" ht="14.25" hidden="1" customHeight="1" x14ac:dyDescent="0.45">
      <c r="A593" t="str">
        <f>_xlfn.XLOOKUP(B593,Ingot!$H$12:$H$119,Ingot!$G$12:$G$119,"")</f>
        <v>Metal</v>
      </c>
      <c r="B593" t="s">
        <v>969</v>
      </c>
      <c r="C593" t="s">
        <v>239</v>
      </c>
      <c r="D593" t="s">
        <v>1200</v>
      </c>
      <c r="E593" t="s">
        <v>1201</v>
      </c>
      <c r="G593" s="1">
        <f>((VLOOKUP(B593,Ingot!H:I,2,FALSE()) * 3) - 10.25) * 0.75</f>
        <v>11.4375</v>
      </c>
    </row>
    <row r="594" spans="1:7" ht="14.25" hidden="1" customHeight="1" x14ac:dyDescent="0.45">
      <c r="A594" t="str">
        <f>_xlfn.XLOOKUP(B594,Ingot!$H$12:$H$119,Ingot!$G$12:$G$119,"")</f>
        <v>Metal</v>
      </c>
      <c r="B594" t="s">
        <v>969</v>
      </c>
      <c r="C594" t="s">
        <v>239</v>
      </c>
      <c r="D594" t="s">
        <v>1202</v>
      </c>
      <c r="E594" t="s">
        <v>1203</v>
      </c>
      <c r="G594" s="1">
        <f>((VLOOKUP(B594,Ingot!H:I,2,FALSE()) * 3) - 10.25) * 0.5625</f>
        <v>8.578125</v>
      </c>
    </row>
    <row r="595" spans="1:7" ht="14.25" hidden="1" customHeight="1" x14ac:dyDescent="0.45">
      <c r="A595" t="str">
        <f>_xlfn.XLOOKUP(B595,Ingot!$H$12:$H$119,Ingot!$G$12:$G$119,"")</f>
        <v>Metal</v>
      </c>
      <c r="B595" t="s">
        <v>969</v>
      </c>
      <c r="C595" t="s">
        <v>239</v>
      </c>
      <c r="D595" t="s">
        <v>1204</v>
      </c>
      <c r="E595" t="s">
        <v>1205</v>
      </c>
      <c r="G595" s="1">
        <f>VLOOKUP(B595,Ingot!H:I,2,FALSE()) * 0.75</f>
        <v>6.375</v>
      </c>
    </row>
    <row r="596" spans="1:7" ht="14.25" hidden="1" customHeight="1" x14ac:dyDescent="0.45">
      <c r="A596" t="str">
        <f>_xlfn.XLOOKUP(B596,Ingot!$H$12:$H$119,Ingot!$G$12:$G$119,"")</f>
        <v>Metal</v>
      </c>
      <c r="B596" t="s">
        <v>969</v>
      </c>
      <c r="C596" t="s">
        <v>239</v>
      </c>
      <c r="D596" t="s">
        <v>1206</v>
      </c>
      <c r="E596" t="s">
        <v>1207</v>
      </c>
      <c r="G596" s="1">
        <f>(VLOOKUP(B596,Ingot!H:I,2,FALSE()) * 3) - 10.25</f>
        <v>15.25</v>
      </c>
    </row>
    <row r="597" spans="1:7" ht="14.25" hidden="1" customHeight="1" x14ac:dyDescent="0.45">
      <c r="A597" t="str">
        <f>_xlfn.XLOOKUP(B597,Ingot!$H$12:$H$119,Ingot!$G$12:$G$119,"")</f>
        <v>Metal</v>
      </c>
      <c r="B597" t="s">
        <v>1208</v>
      </c>
      <c r="C597" t="s">
        <v>10</v>
      </c>
      <c r="D597" t="s">
        <v>1209</v>
      </c>
      <c r="E597" t="s">
        <v>1210</v>
      </c>
      <c r="G597" s="1">
        <v>0.08</v>
      </c>
    </row>
    <row r="598" spans="1:7" ht="14.25" hidden="1" customHeight="1" x14ac:dyDescent="0.45">
      <c r="A598" t="str">
        <f>_xlfn.XLOOKUP(B598,Ingot!$H$12:$H$119,Ingot!$G$12:$G$119,"")</f>
        <v>Metal</v>
      </c>
      <c r="B598" t="s">
        <v>1208</v>
      </c>
      <c r="C598" t="s">
        <v>10</v>
      </c>
      <c r="D598" t="s">
        <v>1211</v>
      </c>
      <c r="E598" t="s">
        <v>1212</v>
      </c>
      <c r="G598" s="1">
        <v>9.9</v>
      </c>
    </row>
    <row r="599" spans="1:7" ht="14.25" hidden="1" customHeight="1" x14ac:dyDescent="0.45">
      <c r="A599" t="str">
        <f>_xlfn.XLOOKUP(B599,Ingot!$H$12:$H$119,Ingot!$G$12:$G$119,"")</f>
        <v>Metal</v>
      </c>
      <c r="B599" t="s">
        <v>1208</v>
      </c>
      <c r="C599" t="s">
        <v>10</v>
      </c>
      <c r="D599" t="s">
        <v>1213</v>
      </c>
      <c r="E599" t="s">
        <v>1214</v>
      </c>
      <c r="G599" s="1">
        <v>5.66</v>
      </c>
    </row>
    <row r="600" spans="1:7" ht="14.25" hidden="1" customHeight="1" x14ac:dyDescent="0.45">
      <c r="A600" t="str">
        <f>_xlfn.XLOOKUP(B600,Ingot!$H$12:$H$119,Ingot!$G$12:$G$119,"")</f>
        <v>Metal</v>
      </c>
      <c r="B600" t="s">
        <v>1208</v>
      </c>
      <c r="C600" t="s">
        <v>10</v>
      </c>
      <c r="D600" t="s">
        <v>1215</v>
      </c>
      <c r="E600" t="s">
        <v>1216</v>
      </c>
      <c r="G600" s="1">
        <v>3.3</v>
      </c>
    </row>
    <row r="601" spans="1:7" ht="14.25" hidden="1" customHeight="1" x14ac:dyDescent="0.45">
      <c r="A601" t="str">
        <f>_xlfn.XLOOKUP(B601,Ingot!$H$12:$H$119,Ingot!$G$12:$G$119,"")</f>
        <v>Metal</v>
      </c>
      <c r="B601" t="s">
        <v>1208</v>
      </c>
      <c r="C601" t="s">
        <v>10</v>
      </c>
      <c r="D601" t="s">
        <v>1217</v>
      </c>
      <c r="E601" t="s">
        <v>1218</v>
      </c>
      <c r="G601" s="1">
        <v>0.66</v>
      </c>
    </row>
    <row r="602" spans="1:7" ht="14.25" hidden="1" customHeight="1" x14ac:dyDescent="0.45">
      <c r="A602" t="str">
        <f>_xlfn.XLOOKUP(B602,Ingot!$H$12:$H$119,Ingot!$G$12:$G$119,"")</f>
        <v>Metal</v>
      </c>
      <c r="B602" t="s">
        <v>1208</v>
      </c>
      <c r="C602" t="s">
        <v>10</v>
      </c>
      <c r="D602" t="s">
        <v>1219</v>
      </c>
      <c r="E602" t="s">
        <v>1220</v>
      </c>
      <c r="G602" s="1">
        <v>0.04</v>
      </c>
    </row>
    <row r="603" spans="1:7" ht="14.25" hidden="1" customHeight="1" x14ac:dyDescent="0.45">
      <c r="A603" t="str">
        <f>_xlfn.XLOOKUP(B603,Ingot!$H$12:$H$119,Ingot!$G$12:$G$119,"")</f>
        <v>Metal</v>
      </c>
      <c r="B603" t="s">
        <v>1208</v>
      </c>
      <c r="C603" t="s">
        <v>10</v>
      </c>
      <c r="D603" t="s">
        <v>1221</v>
      </c>
      <c r="E603" t="s">
        <v>1222</v>
      </c>
      <c r="G603" s="1">
        <v>0.33</v>
      </c>
    </row>
    <row r="604" spans="1:7" ht="14.25" hidden="1" customHeight="1" x14ac:dyDescent="0.45">
      <c r="A604" t="str">
        <f>_xlfn.XLOOKUP(B604,Ingot!$H$12:$H$119,Ingot!$G$12:$G$119,"")</f>
        <v>Metal</v>
      </c>
      <c r="B604" t="s">
        <v>1208</v>
      </c>
      <c r="C604" t="s">
        <v>10</v>
      </c>
      <c r="D604" t="s">
        <v>1223</v>
      </c>
      <c r="E604" t="s">
        <v>1224</v>
      </c>
    </row>
    <row r="605" spans="1:7" ht="14.25" hidden="1" customHeight="1" x14ac:dyDescent="0.45">
      <c r="A605" t="str">
        <f>_xlfn.XLOOKUP(B605,Ingot!$H$12:$H$119,Ingot!$G$12:$G$119,"")</f>
        <v>Metal</v>
      </c>
      <c r="B605" t="s">
        <v>1208</v>
      </c>
      <c r="C605" t="s">
        <v>10</v>
      </c>
      <c r="D605" t="s">
        <v>1225</v>
      </c>
      <c r="E605" t="s">
        <v>1226</v>
      </c>
      <c r="G605" s="1">
        <v>0.05</v>
      </c>
    </row>
    <row r="606" spans="1:7" ht="14.25" hidden="1" customHeight="1" x14ac:dyDescent="0.45">
      <c r="A606" t="str">
        <f>_xlfn.XLOOKUP(B606,Ingot!$H$12:$H$119,Ingot!$G$12:$G$119,"")</f>
        <v>Metal</v>
      </c>
      <c r="B606" t="s">
        <v>1208</v>
      </c>
      <c r="C606" t="s">
        <v>10</v>
      </c>
      <c r="D606" t="s">
        <v>1227</v>
      </c>
      <c r="E606" t="s">
        <v>1228</v>
      </c>
      <c r="G606" s="1">
        <v>0.66</v>
      </c>
    </row>
    <row r="607" spans="1:7" ht="14.25" hidden="1" customHeight="1" x14ac:dyDescent="0.45">
      <c r="A607" t="str">
        <f>_xlfn.XLOOKUP(B607,Ingot!$H$12:$H$119,Ingot!$G$12:$G$119,"")</f>
        <v>Metal</v>
      </c>
      <c r="B607" t="s">
        <v>1208</v>
      </c>
      <c r="C607" t="s">
        <v>10</v>
      </c>
      <c r="D607" t="s">
        <v>1229</v>
      </c>
      <c r="E607" t="s">
        <v>1230</v>
      </c>
      <c r="G607" s="1">
        <v>3.96</v>
      </c>
    </row>
    <row r="608" spans="1:7" ht="14.25" hidden="1" customHeight="1" x14ac:dyDescent="0.45">
      <c r="A608" t="str">
        <f>_xlfn.XLOOKUP(B608,Ingot!$H$12:$H$119,Ingot!$G$12:$G$119,"")</f>
        <v>Metal</v>
      </c>
      <c r="B608" t="s">
        <v>1208</v>
      </c>
      <c r="C608" t="s">
        <v>10</v>
      </c>
      <c r="D608" t="s">
        <v>1231</v>
      </c>
      <c r="E608" t="s">
        <v>1232</v>
      </c>
      <c r="G608" s="1">
        <v>8.77</v>
      </c>
    </row>
    <row r="609" spans="1:7" ht="14.25" hidden="1" customHeight="1" x14ac:dyDescent="0.45">
      <c r="A609" t="str">
        <f>_xlfn.XLOOKUP(B609,Ingot!$H$12:$H$119,Ingot!$G$12:$G$119,"")</f>
        <v>Metal</v>
      </c>
      <c r="B609" t="s">
        <v>1208</v>
      </c>
      <c r="C609" t="s">
        <v>10</v>
      </c>
      <c r="D609" t="s">
        <v>1233</v>
      </c>
      <c r="E609" t="s">
        <v>1234</v>
      </c>
      <c r="G609" s="1">
        <v>3.5</v>
      </c>
    </row>
    <row r="610" spans="1:7" ht="14.25" hidden="1" customHeight="1" x14ac:dyDescent="0.45">
      <c r="A610" t="str">
        <f>_xlfn.XLOOKUP(B610,Ingot!$H$12:$H$119,Ingot!$G$12:$G$119,"")</f>
        <v>Metal</v>
      </c>
      <c r="B610" t="s">
        <v>1208</v>
      </c>
      <c r="C610" t="s">
        <v>10</v>
      </c>
      <c r="D610" t="s">
        <v>1235</v>
      </c>
      <c r="E610" t="s">
        <v>1236</v>
      </c>
    </row>
    <row r="611" spans="1:7" ht="14.25" hidden="1" customHeight="1" x14ac:dyDescent="0.45">
      <c r="A611" t="str">
        <f>_xlfn.XLOOKUP(B611,Ingot!$H$12:$H$119,Ingot!$G$12:$G$119,"")</f>
        <v>Metal</v>
      </c>
      <c r="B611" t="s">
        <v>1208</v>
      </c>
      <c r="C611" t="s">
        <v>10</v>
      </c>
      <c r="D611" t="s">
        <v>1237</v>
      </c>
      <c r="E611" t="s">
        <v>1238</v>
      </c>
      <c r="G611" s="1">
        <v>2.2000000000000002</v>
      </c>
    </row>
    <row r="612" spans="1:7" ht="14.25" hidden="1" customHeight="1" x14ac:dyDescent="0.45">
      <c r="A612" t="str">
        <f>_xlfn.XLOOKUP(B612,Ingot!$H$12:$H$119,Ingot!$G$12:$G$119,"")</f>
        <v>Metal</v>
      </c>
      <c r="B612" t="s">
        <v>1208</v>
      </c>
      <c r="C612" t="s">
        <v>10</v>
      </c>
      <c r="D612" t="s">
        <v>1239</v>
      </c>
      <c r="E612" t="s">
        <v>1240</v>
      </c>
      <c r="G612" s="1">
        <v>1.1000000000000001</v>
      </c>
    </row>
    <row r="613" spans="1:7" ht="14.25" hidden="1" customHeight="1" x14ac:dyDescent="0.45">
      <c r="A613" t="str">
        <f>_xlfn.XLOOKUP(B613,Ingot!$H$12:$H$119,Ingot!$G$12:$G$119,"")</f>
        <v>Metal</v>
      </c>
      <c r="B613" t="s">
        <v>1208</v>
      </c>
      <c r="C613" t="s">
        <v>10</v>
      </c>
      <c r="D613" t="s">
        <v>1241</v>
      </c>
      <c r="E613" t="s">
        <v>1242</v>
      </c>
      <c r="G613" s="1">
        <v>0.22</v>
      </c>
    </row>
    <row r="614" spans="1:7" ht="14.25" hidden="1" customHeight="1" x14ac:dyDescent="0.45">
      <c r="A614" t="str">
        <f>_xlfn.XLOOKUP(B614,Ingot!$H$12:$H$119,Ingot!$G$12:$G$119,"")</f>
        <v>Metal</v>
      </c>
      <c r="B614" t="s">
        <v>1208</v>
      </c>
      <c r="C614" t="s">
        <v>10</v>
      </c>
      <c r="D614" t="s">
        <v>1243</v>
      </c>
      <c r="E614" t="s">
        <v>1244</v>
      </c>
      <c r="G614" s="1">
        <v>8.41</v>
      </c>
    </row>
    <row r="615" spans="1:7" ht="14.25" hidden="1" customHeight="1" x14ac:dyDescent="0.45">
      <c r="A615" t="str">
        <f>_xlfn.XLOOKUP(B615,Ingot!$H$12:$H$119,Ingot!$G$12:$G$119,"")</f>
        <v>Metal</v>
      </c>
      <c r="B615" t="s">
        <v>1208</v>
      </c>
      <c r="C615" t="s">
        <v>10</v>
      </c>
      <c r="D615" t="s">
        <v>1245</v>
      </c>
      <c r="E615" t="s">
        <v>1246</v>
      </c>
      <c r="G615" s="1">
        <v>3.64</v>
      </c>
    </row>
    <row r="616" spans="1:7" ht="14.25" hidden="1" customHeight="1" x14ac:dyDescent="0.45">
      <c r="A616" t="str">
        <f>_xlfn.XLOOKUP(B616,Ingot!$H$12:$H$119,Ingot!$G$12:$G$119,"")</f>
        <v>Metal</v>
      </c>
      <c r="B616" t="s">
        <v>1208</v>
      </c>
      <c r="C616" t="s">
        <v>10</v>
      </c>
      <c r="D616" t="s">
        <v>1247</v>
      </c>
      <c r="E616" t="s">
        <v>1248</v>
      </c>
      <c r="G616" s="1">
        <v>7.05</v>
      </c>
    </row>
    <row r="617" spans="1:7" ht="14.25" hidden="1" customHeight="1" x14ac:dyDescent="0.45">
      <c r="A617" t="str">
        <f>_xlfn.XLOOKUP(B617,Ingot!$H$12:$H$119,Ingot!$G$12:$G$119,"")</f>
        <v>Metal</v>
      </c>
      <c r="B617" t="s">
        <v>1208</v>
      </c>
      <c r="C617" t="s">
        <v>10</v>
      </c>
      <c r="D617" t="s">
        <v>1249</v>
      </c>
      <c r="E617" t="s">
        <v>1250</v>
      </c>
      <c r="G617" s="1">
        <v>2.65</v>
      </c>
    </row>
    <row r="618" spans="1:7" ht="14.25" hidden="1" customHeight="1" x14ac:dyDescent="0.45">
      <c r="A618" t="str">
        <f>_xlfn.XLOOKUP(B618,Ingot!$H$12:$H$119,Ingot!$G$12:$G$119,"")</f>
        <v>Metal</v>
      </c>
      <c r="B618" t="s">
        <v>1208</v>
      </c>
      <c r="C618" t="s">
        <v>10</v>
      </c>
      <c r="D618" t="s">
        <v>1251</v>
      </c>
      <c r="E618" t="s">
        <v>1252</v>
      </c>
      <c r="G618" s="1">
        <v>9</v>
      </c>
    </row>
    <row r="619" spans="1:7" ht="14.25" hidden="1" customHeight="1" x14ac:dyDescent="0.45">
      <c r="A619" t="str">
        <f>_xlfn.XLOOKUP(B619,Ingot!$H$12:$H$119,Ingot!$G$12:$G$119,"")</f>
        <v>Metal</v>
      </c>
      <c r="B619" t="s">
        <v>1208</v>
      </c>
      <c r="C619" t="s">
        <v>10</v>
      </c>
      <c r="D619" t="s">
        <v>1253</v>
      </c>
      <c r="E619" t="s">
        <v>1254</v>
      </c>
      <c r="G619" s="1">
        <v>10.23</v>
      </c>
    </row>
    <row r="620" spans="1:7" ht="14.25" hidden="1" customHeight="1" x14ac:dyDescent="0.45">
      <c r="A620" t="str">
        <f>_xlfn.XLOOKUP(B620,Ingot!$H$12:$H$119,Ingot!$G$12:$G$119,"")</f>
        <v>Metal</v>
      </c>
      <c r="B620" t="s">
        <v>1208</v>
      </c>
      <c r="C620" t="s">
        <v>10</v>
      </c>
      <c r="D620" t="s">
        <v>1255</v>
      </c>
      <c r="E620" t="s">
        <v>1256</v>
      </c>
      <c r="G620" s="1">
        <v>7.7</v>
      </c>
    </row>
    <row r="621" spans="1:7" ht="14.25" hidden="1" customHeight="1" x14ac:dyDescent="0.45">
      <c r="A621" t="str">
        <f>_xlfn.XLOOKUP(B621,Ingot!$H$12:$H$119,Ingot!$G$12:$G$119,"")</f>
        <v>Metal</v>
      </c>
      <c r="B621" t="s">
        <v>1208</v>
      </c>
      <c r="C621" t="s">
        <v>10</v>
      </c>
      <c r="D621" t="s">
        <v>1257</v>
      </c>
      <c r="E621" t="s">
        <v>1258</v>
      </c>
      <c r="G621" s="1">
        <v>10.02</v>
      </c>
    </row>
    <row r="622" spans="1:7" ht="14.25" hidden="1" customHeight="1" x14ac:dyDescent="0.45">
      <c r="A622" t="str">
        <f>_xlfn.XLOOKUP(B622,Ingot!$H$12:$H$119,Ingot!$G$12:$G$119,"")</f>
        <v>Metal</v>
      </c>
      <c r="B622" t="s">
        <v>1208</v>
      </c>
      <c r="C622" t="s">
        <v>10</v>
      </c>
      <c r="D622" t="s">
        <v>1259</v>
      </c>
      <c r="E622" t="s">
        <v>1260</v>
      </c>
      <c r="G622" s="1">
        <v>11.81</v>
      </c>
    </row>
    <row r="623" spans="1:7" ht="14.25" hidden="1" customHeight="1" x14ac:dyDescent="0.45">
      <c r="A623" t="str">
        <f>_xlfn.XLOOKUP(B623,Ingot!$H$12:$H$119,Ingot!$G$12:$G$119,"")</f>
        <v>Metal</v>
      </c>
      <c r="B623" t="s">
        <v>1208</v>
      </c>
      <c r="C623" t="s">
        <v>10</v>
      </c>
      <c r="D623" t="s">
        <v>1261</v>
      </c>
      <c r="E623" t="s">
        <v>1262</v>
      </c>
      <c r="G623" s="1">
        <v>8.44</v>
      </c>
    </row>
    <row r="624" spans="1:7" ht="14.25" hidden="1" customHeight="1" x14ac:dyDescent="0.45">
      <c r="A624" t="str">
        <f>_xlfn.XLOOKUP(B624,Ingot!$H$12:$H$119,Ingot!$G$12:$G$119,"")</f>
        <v>Metal</v>
      </c>
      <c r="B624" t="s">
        <v>1208</v>
      </c>
      <c r="C624" t="s">
        <v>10</v>
      </c>
      <c r="D624" t="s">
        <v>1263</v>
      </c>
      <c r="E624" t="s">
        <v>1264</v>
      </c>
      <c r="G624" s="1">
        <v>10.42</v>
      </c>
    </row>
    <row r="625" spans="1:7" ht="14.25" hidden="1" customHeight="1" x14ac:dyDescent="0.45">
      <c r="A625" t="str">
        <f>_xlfn.XLOOKUP(B625,Ingot!$H$12:$H$119,Ingot!$G$12:$G$119,"")</f>
        <v>Metal</v>
      </c>
      <c r="B625" t="s">
        <v>1208</v>
      </c>
      <c r="C625" t="s">
        <v>10</v>
      </c>
      <c r="D625" t="s">
        <v>1265</v>
      </c>
      <c r="E625" t="s">
        <v>1266</v>
      </c>
    </row>
    <row r="626" spans="1:7" ht="14.25" hidden="1" customHeight="1" x14ac:dyDescent="0.45">
      <c r="A626" t="str">
        <f>_xlfn.XLOOKUP(B626,Ingot!$H$12:$H$119,Ingot!$G$12:$G$119,"")</f>
        <v>Metal</v>
      </c>
      <c r="B626" t="s">
        <v>1208</v>
      </c>
      <c r="C626" t="s">
        <v>10</v>
      </c>
      <c r="D626" t="s">
        <v>1267</v>
      </c>
      <c r="E626" t="s">
        <v>1268</v>
      </c>
      <c r="G626" s="1">
        <v>7.96</v>
      </c>
    </row>
    <row r="627" spans="1:7" ht="14.25" hidden="1" customHeight="1" x14ac:dyDescent="0.45">
      <c r="A627" t="str">
        <f>_xlfn.XLOOKUP(B627,Ingot!$H$12:$H$119,Ingot!$G$12:$G$119,"")</f>
        <v>Metal</v>
      </c>
      <c r="B627" t="s">
        <v>1208</v>
      </c>
      <c r="C627" t="s">
        <v>10</v>
      </c>
      <c r="D627" t="s">
        <v>1269</v>
      </c>
      <c r="E627" t="s">
        <v>1270</v>
      </c>
      <c r="G627" s="1">
        <v>9.64</v>
      </c>
    </row>
    <row r="628" spans="1:7" ht="14.25" hidden="1" customHeight="1" x14ac:dyDescent="0.45">
      <c r="A628" t="str">
        <f>_xlfn.XLOOKUP(B628,Ingot!$H$12:$H$119,Ingot!$G$12:$G$119,"")</f>
        <v>Metal</v>
      </c>
      <c r="B628" t="s">
        <v>1208</v>
      </c>
      <c r="C628" t="s">
        <v>10</v>
      </c>
      <c r="D628" t="s">
        <v>1271</v>
      </c>
      <c r="E628" t="s">
        <v>1272</v>
      </c>
      <c r="G628" s="1">
        <v>7.94</v>
      </c>
    </row>
    <row r="629" spans="1:7" ht="14.25" hidden="1" customHeight="1" x14ac:dyDescent="0.45">
      <c r="A629" t="str">
        <f>_xlfn.XLOOKUP(B629,Ingot!$H$12:$H$119,Ingot!$G$12:$G$119,"")</f>
        <v>Metal</v>
      </c>
      <c r="B629" t="s">
        <v>1208</v>
      </c>
      <c r="C629" t="s">
        <v>10</v>
      </c>
      <c r="D629" t="s">
        <v>1273</v>
      </c>
      <c r="E629" t="s">
        <v>1274</v>
      </c>
      <c r="G629" s="1">
        <v>8.66</v>
      </c>
    </row>
    <row r="630" spans="1:7" ht="14.25" hidden="1" customHeight="1" x14ac:dyDescent="0.45">
      <c r="A630" t="str">
        <f>_xlfn.XLOOKUP(B630,Ingot!$H$12:$H$119,Ingot!$G$12:$G$119,"")</f>
        <v>Metal</v>
      </c>
      <c r="B630" t="s">
        <v>1208</v>
      </c>
      <c r="C630" t="s">
        <v>10</v>
      </c>
      <c r="D630" t="s">
        <v>1275</v>
      </c>
      <c r="E630" t="s">
        <v>1276</v>
      </c>
    </row>
    <row r="631" spans="1:7" ht="14.25" hidden="1" customHeight="1" x14ac:dyDescent="0.45">
      <c r="A631" t="str">
        <f>_xlfn.XLOOKUP(B631,Ingot!$H$12:$H$119,Ingot!$G$12:$G$119,"")</f>
        <v>Metal</v>
      </c>
      <c r="B631" t="s">
        <v>1208</v>
      </c>
      <c r="C631" t="s">
        <v>10</v>
      </c>
      <c r="D631" t="s">
        <v>1277</v>
      </c>
      <c r="E631" t="s">
        <v>1278</v>
      </c>
      <c r="G631" s="1">
        <v>2.65</v>
      </c>
    </row>
    <row r="632" spans="1:7" ht="14.25" hidden="1" customHeight="1" x14ac:dyDescent="0.45">
      <c r="A632" t="str">
        <f>_xlfn.XLOOKUP(B632,Ingot!$H$12:$H$119,Ingot!$G$12:$G$119,"")</f>
        <v>Metal</v>
      </c>
      <c r="B632" t="s">
        <v>1208</v>
      </c>
      <c r="C632" t="s">
        <v>10</v>
      </c>
      <c r="D632" t="s">
        <v>1279</v>
      </c>
      <c r="E632" t="s">
        <v>1280</v>
      </c>
    </row>
    <row r="633" spans="1:7" ht="14.25" hidden="1" customHeight="1" x14ac:dyDescent="0.45">
      <c r="A633" t="str">
        <f>_xlfn.XLOOKUP(B633,Ingot!$H$12:$H$119,Ingot!$G$12:$G$119,"")</f>
        <v>Metal</v>
      </c>
      <c r="B633" t="s">
        <v>1208</v>
      </c>
      <c r="C633" t="s">
        <v>10</v>
      </c>
      <c r="D633" t="s">
        <v>1281</v>
      </c>
      <c r="E633" t="s">
        <v>1282</v>
      </c>
      <c r="G633" s="1">
        <v>12.64</v>
      </c>
    </row>
    <row r="634" spans="1:7" ht="14.25" hidden="1" customHeight="1" x14ac:dyDescent="0.45">
      <c r="A634" t="str">
        <f>_xlfn.XLOOKUP(B634,Ingot!$H$12:$H$119,Ingot!$G$12:$G$119,"")</f>
        <v>Metal</v>
      </c>
      <c r="B634" t="s">
        <v>1208</v>
      </c>
      <c r="C634" t="s">
        <v>10</v>
      </c>
      <c r="D634" t="s">
        <v>1283</v>
      </c>
      <c r="E634" t="s">
        <v>1284</v>
      </c>
      <c r="G634" s="1">
        <v>22.67</v>
      </c>
    </row>
    <row r="635" spans="1:7" ht="14.25" hidden="1" customHeight="1" x14ac:dyDescent="0.45">
      <c r="A635" t="str">
        <f>_xlfn.XLOOKUP(B635,Ingot!$H$12:$H$119,Ingot!$G$12:$G$119,"")</f>
        <v>Metal</v>
      </c>
      <c r="B635" t="s">
        <v>1208</v>
      </c>
      <c r="C635" t="s">
        <v>10</v>
      </c>
      <c r="D635" t="s">
        <v>1285</v>
      </c>
      <c r="E635" t="s">
        <v>1286</v>
      </c>
      <c r="G635" s="1">
        <v>8.3800000000000008</v>
      </c>
    </row>
    <row r="636" spans="1:7" ht="14.25" hidden="1" customHeight="1" x14ac:dyDescent="0.45">
      <c r="A636" t="str">
        <f>_xlfn.XLOOKUP(B636,Ingot!$H$12:$H$119,Ingot!$G$12:$G$119,"")</f>
        <v>Metal</v>
      </c>
      <c r="B636" t="s">
        <v>1208</v>
      </c>
      <c r="C636" t="s">
        <v>10</v>
      </c>
      <c r="D636" t="s">
        <v>1287</v>
      </c>
      <c r="E636" t="s">
        <v>1288</v>
      </c>
      <c r="G636" s="1">
        <v>2.2000000000000002</v>
      </c>
    </row>
    <row r="637" spans="1:7" ht="14.25" hidden="1" customHeight="1" x14ac:dyDescent="0.45">
      <c r="A637" t="str">
        <f>_xlfn.XLOOKUP(B637,Ingot!$H$12:$H$119,Ingot!$G$12:$G$119,"")</f>
        <v>Metal</v>
      </c>
      <c r="B637" t="s">
        <v>1208</v>
      </c>
      <c r="C637" t="s">
        <v>10</v>
      </c>
      <c r="D637" t="s">
        <v>1289</v>
      </c>
      <c r="E637" t="s">
        <v>1290</v>
      </c>
      <c r="G637" s="1">
        <v>3.09</v>
      </c>
    </row>
    <row r="638" spans="1:7" ht="14.25" hidden="1" customHeight="1" x14ac:dyDescent="0.45">
      <c r="A638" t="str">
        <f>_xlfn.XLOOKUP(B638,Ingot!$H$12:$H$119,Ingot!$G$12:$G$119,"")</f>
        <v>Metal</v>
      </c>
      <c r="B638" t="s">
        <v>1208</v>
      </c>
      <c r="C638" t="s">
        <v>10</v>
      </c>
      <c r="D638" t="s">
        <v>1291</v>
      </c>
      <c r="E638" t="s">
        <v>1292</v>
      </c>
      <c r="G638" s="1">
        <v>2.2999999999999998</v>
      </c>
    </row>
    <row r="639" spans="1:7" ht="14.25" hidden="1" customHeight="1" x14ac:dyDescent="0.45">
      <c r="A639" t="str">
        <f>_xlfn.XLOOKUP(B639,Ingot!$H$12:$H$119,Ingot!$G$12:$G$119,"")</f>
        <v>Metal</v>
      </c>
      <c r="B639" t="s">
        <v>1208</v>
      </c>
      <c r="C639" t="s">
        <v>10</v>
      </c>
      <c r="D639" t="s">
        <v>1293</v>
      </c>
      <c r="E639" t="s">
        <v>1294</v>
      </c>
      <c r="G639" s="1">
        <v>4.88</v>
      </c>
    </row>
    <row r="640" spans="1:7" ht="14.25" hidden="1" customHeight="1" x14ac:dyDescent="0.45">
      <c r="A640" t="str">
        <f>_xlfn.XLOOKUP(B640,Ingot!$H$12:$H$119,Ingot!$G$12:$G$119,"")</f>
        <v>Metal</v>
      </c>
      <c r="B640" t="s">
        <v>1208</v>
      </c>
      <c r="C640" t="s">
        <v>10</v>
      </c>
      <c r="D640" t="s">
        <v>1295</v>
      </c>
      <c r="E640" t="s">
        <v>1296</v>
      </c>
      <c r="G640" s="1">
        <v>8.43</v>
      </c>
    </row>
    <row r="641" spans="1:7" ht="14.25" hidden="1" customHeight="1" x14ac:dyDescent="0.45">
      <c r="A641" t="str">
        <f>_xlfn.XLOOKUP(B641,Ingot!$H$12:$H$119,Ingot!$G$12:$G$119,"")</f>
        <v>Metal</v>
      </c>
      <c r="B641" t="s">
        <v>1208</v>
      </c>
      <c r="C641" t="s">
        <v>10</v>
      </c>
      <c r="D641" t="s">
        <v>1297</v>
      </c>
      <c r="E641" t="s">
        <v>1298</v>
      </c>
      <c r="G641" s="1">
        <v>13.07</v>
      </c>
    </row>
    <row r="642" spans="1:7" ht="14.25" hidden="1" customHeight="1" x14ac:dyDescent="0.45">
      <c r="A642" t="str">
        <f>_xlfn.XLOOKUP(B642,Ingot!$H$12:$H$119,Ingot!$G$12:$G$119,"")</f>
        <v>Metal</v>
      </c>
      <c r="B642" t="s">
        <v>1208</v>
      </c>
      <c r="C642" t="s">
        <v>10</v>
      </c>
      <c r="D642" t="s">
        <v>1299</v>
      </c>
      <c r="E642" t="s">
        <v>1300</v>
      </c>
    </row>
    <row r="643" spans="1:7" ht="14.25" hidden="1" customHeight="1" x14ac:dyDescent="0.45">
      <c r="A643" t="str">
        <f>_xlfn.XLOOKUP(B643,Ingot!$H$12:$H$119,Ingot!$G$12:$G$119,"")</f>
        <v>Metal</v>
      </c>
      <c r="B643" t="s">
        <v>1208</v>
      </c>
      <c r="C643" t="s">
        <v>10</v>
      </c>
      <c r="D643" t="s">
        <v>1301</v>
      </c>
      <c r="E643" t="s">
        <v>1302</v>
      </c>
    </row>
    <row r="644" spans="1:7" ht="14.25" hidden="1" customHeight="1" x14ac:dyDescent="0.45">
      <c r="A644" t="str">
        <f>_xlfn.XLOOKUP(B644,Ingot!$H$12:$H$119,Ingot!$G$12:$G$119,"")</f>
        <v>Metal</v>
      </c>
      <c r="B644" t="s">
        <v>1208</v>
      </c>
      <c r="C644" t="s">
        <v>10</v>
      </c>
      <c r="D644" t="s">
        <v>1303</v>
      </c>
      <c r="E644" t="s">
        <v>1304</v>
      </c>
      <c r="G644" s="1">
        <v>6.8</v>
      </c>
    </row>
    <row r="645" spans="1:7" ht="14.25" hidden="1" customHeight="1" x14ac:dyDescent="0.45">
      <c r="A645" t="str">
        <f>_xlfn.XLOOKUP(B645,Ingot!$H$12:$H$119,Ingot!$G$12:$G$119,"")</f>
        <v>Metal</v>
      </c>
      <c r="B645" t="s">
        <v>1208</v>
      </c>
      <c r="C645" t="s">
        <v>10</v>
      </c>
      <c r="D645" t="s">
        <v>1305</v>
      </c>
      <c r="E645" t="s">
        <v>1306</v>
      </c>
      <c r="G645" s="1">
        <v>6.88</v>
      </c>
    </row>
    <row r="646" spans="1:7" ht="14.25" hidden="1" customHeight="1" x14ac:dyDescent="0.45">
      <c r="A646" t="str">
        <f>_xlfn.XLOOKUP(B646,Ingot!$H$12:$H$119,Ingot!$G$12:$G$119,"")</f>
        <v>Metal</v>
      </c>
      <c r="B646" t="s">
        <v>1208</v>
      </c>
      <c r="C646" t="s">
        <v>10</v>
      </c>
      <c r="D646" t="s">
        <v>1307</v>
      </c>
      <c r="E646" t="s">
        <v>1308</v>
      </c>
      <c r="G646" s="1">
        <v>5.5</v>
      </c>
    </row>
    <row r="647" spans="1:7" ht="14.25" hidden="1" customHeight="1" x14ac:dyDescent="0.45">
      <c r="A647" t="str">
        <f>_xlfn.XLOOKUP(B647,Ingot!$H$12:$H$119,Ingot!$G$12:$G$119,"")</f>
        <v>Metal</v>
      </c>
      <c r="B647" t="s">
        <v>1208</v>
      </c>
      <c r="C647" t="s">
        <v>10</v>
      </c>
      <c r="D647" t="s">
        <v>1309</v>
      </c>
      <c r="E647" t="s">
        <v>1310</v>
      </c>
      <c r="G647" s="1">
        <v>2.4300000000000002</v>
      </c>
    </row>
    <row r="648" spans="1:7" ht="14.25" hidden="1" customHeight="1" x14ac:dyDescent="0.45">
      <c r="A648" t="str">
        <f>_xlfn.XLOOKUP(B648,Ingot!$H$12:$H$119,Ingot!$G$12:$G$119,"")</f>
        <v>Metal</v>
      </c>
      <c r="B648" t="s">
        <v>1208</v>
      </c>
      <c r="C648" t="s">
        <v>10</v>
      </c>
      <c r="D648" t="s">
        <v>1311</v>
      </c>
      <c r="E648" t="s">
        <v>1312</v>
      </c>
      <c r="G648" s="1">
        <v>6.96</v>
      </c>
    </row>
    <row r="649" spans="1:7" ht="14.25" hidden="1" customHeight="1" x14ac:dyDescent="0.45">
      <c r="A649" t="str">
        <f>_xlfn.XLOOKUP(B649,Ingot!$H$12:$H$119,Ingot!$G$12:$G$119,"")</f>
        <v>Metal</v>
      </c>
      <c r="B649" t="s">
        <v>1208</v>
      </c>
      <c r="C649" t="s">
        <v>10</v>
      </c>
      <c r="D649" t="s">
        <v>1313</v>
      </c>
      <c r="E649" t="s">
        <v>1314</v>
      </c>
      <c r="G649" s="1">
        <v>6.32</v>
      </c>
    </row>
    <row r="650" spans="1:7" ht="14.25" hidden="1" customHeight="1" x14ac:dyDescent="0.45">
      <c r="A650" t="str">
        <f>_xlfn.XLOOKUP(B650,Ingot!$H$12:$H$119,Ingot!$G$12:$G$119,"")</f>
        <v>Metal</v>
      </c>
      <c r="B650" t="s">
        <v>1208</v>
      </c>
      <c r="C650" t="s">
        <v>10</v>
      </c>
      <c r="D650" t="s">
        <v>1315</v>
      </c>
      <c r="E650" t="s">
        <v>1316</v>
      </c>
      <c r="G650" s="1">
        <v>6.88</v>
      </c>
    </row>
    <row r="651" spans="1:7" ht="14.25" hidden="1" customHeight="1" x14ac:dyDescent="0.45">
      <c r="A651" t="str">
        <f>_xlfn.XLOOKUP(B651,Ingot!$H$12:$H$119,Ingot!$G$12:$G$119,"")</f>
        <v>Metal</v>
      </c>
      <c r="B651" t="s">
        <v>1208</v>
      </c>
      <c r="C651" t="s">
        <v>10</v>
      </c>
      <c r="D651" t="s">
        <v>1317</v>
      </c>
      <c r="E651" t="s">
        <v>1318</v>
      </c>
      <c r="G651" s="1">
        <v>2.44</v>
      </c>
    </row>
    <row r="652" spans="1:7" ht="14.25" hidden="1" customHeight="1" x14ac:dyDescent="0.45">
      <c r="A652" t="str">
        <f>_xlfn.XLOOKUP(B652,Ingot!$H$12:$H$119,Ingot!$G$12:$G$119,"")</f>
        <v>Metal</v>
      </c>
      <c r="B652" t="s">
        <v>1208</v>
      </c>
      <c r="C652" t="s">
        <v>10</v>
      </c>
      <c r="D652" t="s">
        <v>1319</v>
      </c>
      <c r="E652" t="s">
        <v>1320</v>
      </c>
    </row>
    <row r="653" spans="1:7" ht="14.25" hidden="1" customHeight="1" x14ac:dyDescent="0.45">
      <c r="A653" t="str">
        <f>_xlfn.XLOOKUP(B653,Ingot!$H$12:$H$119,Ingot!$G$12:$G$119,"")</f>
        <v>Metal</v>
      </c>
      <c r="B653" t="s">
        <v>1208</v>
      </c>
      <c r="C653" t="s">
        <v>10</v>
      </c>
      <c r="D653" t="s">
        <v>1321</v>
      </c>
      <c r="E653" t="s">
        <v>1322</v>
      </c>
    </row>
    <row r="654" spans="1:7" ht="14.25" hidden="1" customHeight="1" x14ac:dyDescent="0.45">
      <c r="A654" t="str">
        <f>_xlfn.XLOOKUP(B654,Ingot!$H$12:$H$119,Ingot!$G$12:$G$119,"")</f>
        <v>Metal</v>
      </c>
      <c r="B654" t="s">
        <v>1208</v>
      </c>
      <c r="C654" t="s">
        <v>10</v>
      </c>
      <c r="D654" t="s">
        <v>1323</v>
      </c>
      <c r="E654" t="s">
        <v>1324</v>
      </c>
      <c r="G654" s="1">
        <v>3.11</v>
      </c>
    </row>
    <row r="655" spans="1:7" ht="14.25" hidden="1" customHeight="1" x14ac:dyDescent="0.45">
      <c r="A655" t="str">
        <f>_xlfn.XLOOKUP(B655,Ingot!$H$12:$H$119,Ingot!$G$12:$G$119,"")</f>
        <v>Metal</v>
      </c>
      <c r="B655" t="s">
        <v>1208</v>
      </c>
      <c r="C655" t="s">
        <v>10</v>
      </c>
      <c r="D655" t="s">
        <v>1325</v>
      </c>
      <c r="E655" t="s">
        <v>1326</v>
      </c>
      <c r="G655" s="1">
        <v>2.44</v>
      </c>
    </row>
    <row r="656" spans="1:7" ht="14.25" hidden="1" customHeight="1" x14ac:dyDescent="0.45">
      <c r="A656" t="str">
        <f>_xlfn.XLOOKUP(B656,Ingot!$H$12:$H$119,Ingot!$G$12:$G$119,"")</f>
        <v>Metal</v>
      </c>
      <c r="B656" t="s">
        <v>1208</v>
      </c>
      <c r="C656" t="s">
        <v>10</v>
      </c>
      <c r="D656" t="s">
        <v>1327</v>
      </c>
      <c r="E656" t="s">
        <v>1328</v>
      </c>
      <c r="G656" s="1">
        <v>8.61</v>
      </c>
    </row>
    <row r="657" spans="1:7" ht="14.25" hidden="1" customHeight="1" x14ac:dyDescent="0.45">
      <c r="A657" t="str">
        <f>_xlfn.XLOOKUP(B657,Ingot!$H$12:$H$119,Ingot!$G$12:$G$119,"")</f>
        <v>Metal</v>
      </c>
      <c r="B657" t="s">
        <v>1208</v>
      </c>
      <c r="C657" t="s">
        <v>10</v>
      </c>
      <c r="D657" t="s">
        <v>1329</v>
      </c>
      <c r="E657" t="s">
        <v>1330</v>
      </c>
    </row>
    <row r="658" spans="1:7" ht="14.25" hidden="1" customHeight="1" x14ac:dyDescent="0.45">
      <c r="A658" t="str">
        <f>_xlfn.XLOOKUP(B658,Ingot!$H$12:$H$119,Ingot!$G$12:$G$119,"")</f>
        <v>Metal</v>
      </c>
      <c r="B658" t="s">
        <v>1208</v>
      </c>
      <c r="C658" t="s">
        <v>10</v>
      </c>
      <c r="D658" t="s">
        <v>1331</v>
      </c>
      <c r="E658" t="s">
        <v>1332</v>
      </c>
      <c r="G658" s="1">
        <v>3.21</v>
      </c>
    </row>
    <row r="659" spans="1:7" ht="14.25" hidden="1" customHeight="1" x14ac:dyDescent="0.45">
      <c r="A659" t="str">
        <f>_xlfn.XLOOKUP(B659,Ingot!$H$12:$H$119,Ingot!$G$12:$G$119,"")</f>
        <v>Metal</v>
      </c>
      <c r="B659" t="s">
        <v>1208</v>
      </c>
      <c r="C659" t="s">
        <v>10</v>
      </c>
      <c r="D659" t="s">
        <v>1333</v>
      </c>
      <c r="E659" t="s">
        <v>1334</v>
      </c>
      <c r="G659" s="1">
        <v>2.77</v>
      </c>
    </row>
    <row r="660" spans="1:7" ht="14.25" hidden="1" customHeight="1" x14ac:dyDescent="0.45">
      <c r="A660" t="str">
        <f>_xlfn.XLOOKUP(B660,Ingot!$H$12:$H$119,Ingot!$G$12:$G$119,"")</f>
        <v>Metal</v>
      </c>
      <c r="B660" t="s">
        <v>1208</v>
      </c>
      <c r="C660" t="s">
        <v>10</v>
      </c>
      <c r="D660" t="s">
        <v>1335</v>
      </c>
      <c r="E660" t="s">
        <v>1336</v>
      </c>
      <c r="G660" s="1">
        <v>4.8899999999999997</v>
      </c>
    </row>
    <row r="661" spans="1:7" ht="14.25" hidden="1" customHeight="1" x14ac:dyDescent="0.45">
      <c r="A661" t="str">
        <f>_xlfn.XLOOKUP(B661,Ingot!$H$12:$H$119,Ingot!$G$12:$G$119,"")</f>
        <v>Metal</v>
      </c>
      <c r="B661" t="s">
        <v>1208</v>
      </c>
      <c r="C661" t="s">
        <v>10</v>
      </c>
      <c r="D661" t="s">
        <v>1337</v>
      </c>
      <c r="E661" t="s">
        <v>1338</v>
      </c>
      <c r="G661" s="1">
        <v>1.76</v>
      </c>
    </row>
    <row r="662" spans="1:7" ht="14.25" hidden="1" customHeight="1" x14ac:dyDescent="0.45">
      <c r="A662" t="str">
        <f>_xlfn.XLOOKUP(B662,Ingot!$H$12:$H$119,Ingot!$G$12:$G$119,"")</f>
        <v>Metal</v>
      </c>
      <c r="B662" t="s">
        <v>1208</v>
      </c>
      <c r="C662" t="s">
        <v>10</v>
      </c>
      <c r="D662" t="s">
        <v>1339</v>
      </c>
      <c r="E662" t="s">
        <v>1340</v>
      </c>
    </row>
    <row r="663" spans="1:7" ht="14.25" hidden="1" customHeight="1" x14ac:dyDescent="0.45">
      <c r="A663" t="str">
        <f>_xlfn.XLOOKUP(B663,Ingot!$H$12:$H$119,Ingot!$G$12:$G$119,"")</f>
        <v>Metal</v>
      </c>
      <c r="B663" t="s">
        <v>1208</v>
      </c>
      <c r="C663" t="s">
        <v>10</v>
      </c>
      <c r="D663" t="s">
        <v>1341</v>
      </c>
      <c r="E663" t="s">
        <v>1342</v>
      </c>
      <c r="G663" s="1">
        <v>8.57</v>
      </c>
    </row>
    <row r="664" spans="1:7" ht="14.25" hidden="1" customHeight="1" x14ac:dyDescent="0.45">
      <c r="A664" t="str">
        <f>_xlfn.XLOOKUP(B664,Ingot!$H$12:$H$119,Ingot!$G$12:$G$119,"")</f>
        <v>Metal</v>
      </c>
      <c r="B664" t="s">
        <v>1208</v>
      </c>
      <c r="C664" t="s">
        <v>10</v>
      </c>
      <c r="D664" t="s">
        <v>1343</v>
      </c>
      <c r="E664" t="s">
        <v>1344</v>
      </c>
    </row>
    <row r="665" spans="1:7" ht="14.25" hidden="1" customHeight="1" x14ac:dyDescent="0.45">
      <c r="A665" t="str">
        <f>_xlfn.XLOOKUP(B665,Ingot!$H$12:$H$119,Ingot!$G$12:$G$119,"")</f>
        <v>Metal</v>
      </c>
      <c r="B665" t="s">
        <v>1208</v>
      </c>
      <c r="C665" t="s">
        <v>10</v>
      </c>
      <c r="D665" t="s">
        <v>1345</v>
      </c>
      <c r="E665" t="s">
        <v>1346</v>
      </c>
      <c r="G665" s="1">
        <v>3.56</v>
      </c>
    </row>
    <row r="666" spans="1:7" ht="14.25" hidden="1" customHeight="1" x14ac:dyDescent="0.45">
      <c r="A666" t="str">
        <f>_xlfn.XLOOKUP(B666,Ingot!$H$12:$H$119,Ingot!$G$12:$G$119,"")</f>
        <v>Metal</v>
      </c>
      <c r="B666" t="s">
        <v>1208</v>
      </c>
      <c r="C666" t="s">
        <v>10</v>
      </c>
      <c r="D666" t="s">
        <v>1347</v>
      </c>
      <c r="E666" t="s">
        <v>1348</v>
      </c>
      <c r="G666" s="1">
        <v>8.91</v>
      </c>
    </row>
    <row r="667" spans="1:7" ht="14.25" hidden="1" customHeight="1" x14ac:dyDescent="0.45">
      <c r="A667" t="str">
        <f>_xlfn.XLOOKUP(B667,Ingot!$H$12:$H$119,Ingot!$G$12:$G$119,"")</f>
        <v>Metal</v>
      </c>
      <c r="B667" t="s">
        <v>1208</v>
      </c>
      <c r="C667" t="s">
        <v>10</v>
      </c>
      <c r="D667" t="s">
        <v>1349</v>
      </c>
      <c r="E667" t="s">
        <v>1350</v>
      </c>
      <c r="G667" s="1">
        <v>11.02</v>
      </c>
    </row>
    <row r="668" spans="1:7" ht="14.25" hidden="1" customHeight="1" x14ac:dyDescent="0.45">
      <c r="A668" t="str">
        <f>_xlfn.XLOOKUP(B668,Ingot!$H$12:$H$119,Ingot!$G$12:$G$119,"")</f>
        <v>Metal</v>
      </c>
      <c r="B668" t="s">
        <v>1208</v>
      </c>
      <c r="C668" t="s">
        <v>10</v>
      </c>
      <c r="D668" t="s">
        <v>1351</v>
      </c>
      <c r="E668" t="s">
        <v>1352</v>
      </c>
      <c r="G668" s="1">
        <v>5.12</v>
      </c>
    </row>
    <row r="669" spans="1:7" ht="14.25" hidden="1" customHeight="1" x14ac:dyDescent="0.45">
      <c r="A669" t="str">
        <f>_xlfn.XLOOKUP(B669,Ingot!$H$12:$H$119,Ingot!$G$12:$G$119,"")</f>
        <v>Metal</v>
      </c>
      <c r="B669" t="s">
        <v>1208</v>
      </c>
      <c r="C669" t="s">
        <v>10</v>
      </c>
      <c r="D669" t="s">
        <v>1353</v>
      </c>
      <c r="E669" t="s">
        <v>1354</v>
      </c>
      <c r="G669" s="1">
        <v>4.41</v>
      </c>
    </row>
    <row r="670" spans="1:7" ht="14.25" hidden="1" customHeight="1" x14ac:dyDescent="0.45">
      <c r="A670" t="str">
        <f>_xlfn.XLOOKUP(B670,Ingot!$H$12:$H$119,Ingot!$G$12:$G$119,"")</f>
        <v>Metal</v>
      </c>
      <c r="B670" t="s">
        <v>1208</v>
      </c>
      <c r="C670" t="s">
        <v>157</v>
      </c>
      <c r="D670" t="s">
        <v>1355</v>
      </c>
      <c r="E670" t="s">
        <v>1356</v>
      </c>
      <c r="G670" s="1">
        <v>35.270000000000003</v>
      </c>
    </row>
    <row r="671" spans="1:7" ht="14.25" hidden="1" customHeight="1" x14ac:dyDescent="0.45">
      <c r="A671" t="str">
        <f>_xlfn.XLOOKUP(B671,Ingot!$H$12:$H$119,Ingot!$G$12:$G$119,"")</f>
        <v>Metal</v>
      </c>
      <c r="B671" t="s">
        <v>1208</v>
      </c>
      <c r="C671" t="s">
        <v>157</v>
      </c>
      <c r="D671" t="s">
        <v>1357</v>
      </c>
      <c r="E671" t="s">
        <v>1358</v>
      </c>
      <c r="G671" s="1">
        <v>7.05</v>
      </c>
    </row>
    <row r="672" spans="1:7" ht="14.25" hidden="1" customHeight="1" x14ac:dyDescent="0.45">
      <c r="A672" t="str">
        <f>_xlfn.XLOOKUP(B672,Ingot!$H$12:$H$119,Ingot!$G$12:$G$119,"")</f>
        <v>Metal</v>
      </c>
      <c r="B672" t="s">
        <v>1208</v>
      </c>
      <c r="C672" t="s">
        <v>157</v>
      </c>
      <c r="D672" t="s">
        <v>1359</v>
      </c>
      <c r="E672" t="s">
        <v>1360</v>
      </c>
      <c r="G672" s="1">
        <v>7.05</v>
      </c>
    </row>
    <row r="673" spans="1:7" ht="14.25" hidden="1" customHeight="1" x14ac:dyDescent="0.45">
      <c r="A673" t="str">
        <f>_xlfn.XLOOKUP(B673,Ingot!$H$12:$H$119,Ingot!$G$12:$G$119,"")</f>
        <v>Metal</v>
      </c>
      <c r="B673" t="s">
        <v>1208</v>
      </c>
      <c r="C673" t="s">
        <v>157</v>
      </c>
      <c r="D673" t="s">
        <v>1361</v>
      </c>
      <c r="E673" t="s">
        <v>1362</v>
      </c>
      <c r="G673" s="1">
        <v>5</v>
      </c>
    </row>
    <row r="674" spans="1:7" ht="14.25" hidden="1" customHeight="1" x14ac:dyDescent="0.45">
      <c r="A674" t="str">
        <f>_xlfn.XLOOKUP(B674,Ingot!$H$12:$H$119,Ingot!$G$12:$G$119,"")</f>
        <v>Metal</v>
      </c>
      <c r="B674" t="s">
        <v>1208</v>
      </c>
      <c r="C674" t="s">
        <v>157</v>
      </c>
      <c r="D674" t="s">
        <v>1363</v>
      </c>
      <c r="E674" t="s">
        <v>1364</v>
      </c>
      <c r="G674" s="1">
        <v>10</v>
      </c>
    </row>
    <row r="675" spans="1:7" ht="14.25" hidden="1" customHeight="1" x14ac:dyDescent="0.45">
      <c r="A675" t="str">
        <f>_xlfn.XLOOKUP(B675,Ingot!$H$12:$H$119,Ingot!$G$12:$G$119,"")</f>
        <v>Metal</v>
      </c>
      <c r="B675" t="s">
        <v>1208</v>
      </c>
      <c r="C675" t="s">
        <v>157</v>
      </c>
      <c r="D675" t="s">
        <v>1365</v>
      </c>
      <c r="E675" t="s">
        <v>1366</v>
      </c>
      <c r="G675" s="1">
        <v>29.77</v>
      </c>
    </row>
    <row r="676" spans="1:7" ht="14.25" hidden="1" customHeight="1" x14ac:dyDescent="0.45">
      <c r="A676" t="str">
        <f>_xlfn.XLOOKUP(B676,Ingot!$H$12:$H$119,Ingot!$G$12:$G$119,"")</f>
        <v>Metal</v>
      </c>
      <c r="B676" t="s">
        <v>1208</v>
      </c>
      <c r="C676" t="s">
        <v>157</v>
      </c>
      <c r="D676" t="s">
        <v>1367</v>
      </c>
      <c r="E676" t="s">
        <v>1368</v>
      </c>
      <c r="G676" s="1">
        <v>5.95</v>
      </c>
    </row>
    <row r="677" spans="1:7" ht="14.25" hidden="1" customHeight="1" x14ac:dyDescent="0.45">
      <c r="A677" t="str">
        <f>_xlfn.XLOOKUP(B677,Ingot!$H$12:$H$119,Ingot!$G$12:$G$119,"")</f>
        <v>Metal</v>
      </c>
      <c r="B677" t="s">
        <v>1208</v>
      </c>
      <c r="C677" t="s">
        <v>157</v>
      </c>
      <c r="D677" t="s">
        <v>1369</v>
      </c>
      <c r="E677" t="s">
        <v>1370</v>
      </c>
      <c r="G677" s="1">
        <v>5.95</v>
      </c>
    </row>
    <row r="678" spans="1:7" ht="14.25" hidden="1" customHeight="1" x14ac:dyDescent="0.45">
      <c r="A678" t="str">
        <f>_xlfn.XLOOKUP(B678,Ingot!$H$12:$H$119,Ingot!$G$12:$G$119,"")</f>
        <v>Metal</v>
      </c>
      <c r="B678" t="s">
        <v>1208</v>
      </c>
      <c r="C678" t="s">
        <v>157</v>
      </c>
      <c r="D678" t="s">
        <v>1371</v>
      </c>
      <c r="E678" t="s">
        <v>1372</v>
      </c>
      <c r="G678" s="1">
        <v>5</v>
      </c>
    </row>
    <row r="679" spans="1:7" ht="14.25" hidden="1" customHeight="1" x14ac:dyDescent="0.45">
      <c r="A679" t="str">
        <f>_xlfn.XLOOKUP(B679,Ingot!$H$12:$H$119,Ingot!$G$12:$G$119,"")</f>
        <v>Metal</v>
      </c>
      <c r="B679" t="s">
        <v>1208</v>
      </c>
      <c r="C679" t="s">
        <v>157</v>
      </c>
      <c r="D679" t="s">
        <v>1373</v>
      </c>
      <c r="E679" t="s">
        <v>1374</v>
      </c>
      <c r="G679" s="1">
        <v>10</v>
      </c>
    </row>
    <row r="680" spans="1:7" ht="14.25" hidden="1" customHeight="1" x14ac:dyDescent="0.45">
      <c r="A680" t="str">
        <f>_xlfn.XLOOKUP(B680,Ingot!$H$12:$H$119,Ingot!$G$12:$G$119,"")</f>
        <v>Metal</v>
      </c>
      <c r="B680" t="s">
        <v>1208</v>
      </c>
      <c r="C680" t="s">
        <v>157</v>
      </c>
      <c r="D680" t="s">
        <v>1375</v>
      </c>
      <c r="E680" t="s">
        <v>1376</v>
      </c>
      <c r="F680" t="s">
        <v>180</v>
      </c>
      <c r="G680" s="1">
        <v>28.77</v>
      </c>
    </row>
    <row r="681" spans="1:7" ht="14.25" hidden="1" customHeight="1" x14ac:dyDescent="0.45">
      <c r="A681" t="str">
        <f>_xlfn.XLOOKUP(B681,Ingot!$H$12:$H$119,Ingot!$G$12:$G$119,"")</f>
        <v>Metal</v>
      </c>
      <c r="B681" t="s">
        <v>1208</v>
      </c>
      <c r="C681" t="s">
        <v>157</v>
      </c>
      <c r="D681" t="s">
        <v>1377</v>
      </c>
      <c r="E681" t="s">
        <v>1378</v>
      </c>
      <c r="F681" t="s">
        <v>180</v>
      </c>
      <c r="G681" s="1">
        <v>5.75</v>
      </c>
    </row>
    <row r="682" spans="1:7" ht="14.25" hidden="1" customHeight="1" x14ac:dyDescent="0.45">
      <c r="A682" t="str">
        <f>_xlfn.XLOOKUP(B682,Ingot!$H$12:$H$119,Ingot!$G$12:$G$119,"")</f>
        <v>Metal</v>
      </c>
      <c r="B682" t="s">
        <v>1208</v>
      </c>
      <c r="C682" t="s">
        <v>157</v>
      </c>
      <c r="D682" t="s">
        <v>1379</v>
      </c>
      <c r="E682" t="s">
        <v>1380</v>
      </c>
      <c r="F682" t="s">
        <v>180</v>
      </c>
      <c r="G682" s="1">
        <v>5.75</v>
      </c>
    </row>
    <row r="683" spans="1:7" ht="14.25" hidden="1" customHeight="1" x14ac:dyDescent="0.45">
      <c r="A683" t="str">
        <f>_xlfn.XLOOKUP(B683,Ingot!$H$12:$H$119,Ingot!$G$12:$G$119,"")</f>
        <v>Metal</v>
      </c>
      <c r="B683" t="s">
        <v>1208</v>
      </c>
      <c r="C683" t="s">
        <v>157</v>
      </c>
      <c r="D683" t="s">
        <v>1381</v>
      </c>
      <c r="E683" t="s">
        <v>1382</v>
      </c>
      <c r="F683" t="s">
        <v>180</v>
      </c>
      <c r="G683" s="1">
        <v>5</v>
      </c>
    </row>
    <row r="684" spans="1:7" ht="14.25" hidden="1" customHeight="1" x14ac:dyDescent="0.45">
      <c r="A684" t="str">
        <f>_xlfn.XLOOKUP(B684,Ingot!$H$12:$H$119,Ingot!$G$12:$G$119,"")</f>
        <v>Metal</v>
      </c>
      <c r="B684" t="s">
        <v>1208</v>
      </c>
      <c r="C684" t="s">
        <v>157</v>
      </c>
      <c r="D684" t="s">
        <v>1383</v>
      </c>
      <c r="E684" t="s">
        <v>1384</v>
      </c>
      <c r="F684" t="s">
        <v>180</v>
      </c>
      <c r="G684" s="1">
        <v>10</v>
      </c>
    </row>
    <row r="685" spans="1:7" ht="14.25" hidden="1" customHeight="1" x14ac:dyDescent="0.45">
      <c r="A685" t="str">
        <f>_xlfn.XLOOKUP(B685,Ingot!$H$12:$H$119,Ingot!$G$12:$G$119,"")</f>
        <v>Metal</v>
      </c>
      <c r="B685" t="s">
        <v>1208</v>
      </c>
      <c r="C685" t="s">
        <v>157</v>
      </c>
      <c r="D685" t="s">
        <v>1385</v>
      </c>
      <c r="E685" t="s">
        <v>1386</v>
      </c>
      <c r="G685" s="1">
        <v>31.27</v>
      </c>
    </row>
    <row r="686" spans="1:7" ht="14.25" hidden="1" customHeight="1" x14ac:dyDescent="0.45">
      <c r="A686" t="str">
        <f>_xlfn.XLOOKUP(B686,Ingot!$H$12:$H$119,Ingot!$G$12:$G$119,"")</f>
        <v>Metal</v>
      </c>
      <c r="B686" t="s">
        <v>1208</v>
      </c>
      <c r="C686" t="s">
        <v>157</v>
      </c>
      <c r="D686" t="s">
        <v>1387</v>
      </c>
      <c r="E686" t="s">
        <v>1388</v>
      </c>
      <c r="G686" s="1">
        <v>6.25</v>
      </c>
    </row>
    <row r="687" spans="1:7" ht="14.25" hidden="1" customHeight="1" x14ac:dyDescent="0.45">
      <c r="A687" t="str">
        <f>_xlfn.XLOOKUP(B687,Ingot!$H$12:$H$119,Ingot!$G$12:$G$119,"")</f>
        <v>Metal</v>
      </c>
      <c r="B687" t="s">
        <v>1208</v>
      </c>
      <c r="C687" t="s">
        <v>157</v>
      </c>
      <c r="D687" t="s">
        <v>1389</v>
      </c>
      <c r="E687" t="s">
        <v>1390</v>
      </c>
      <c r="G687" s="1">
        <v>6.25</v>
      </c>
    </row>
    <row r="688" spans="1:7" ht="14.25" hidden="1" customHeight="1" x14ac:dyDescent="0.45">
      <c r="A688" t="str">
        <f>_xlfn.XLOOKUP(B688,Ingot!$H$12:$H$119,Ingot!$G$12:$G$119,"")</f>
        <v>Metal</v>
      </c>
      <c r="B688" t="s">
        <v>1208</v>
      </c>
      <c r="C688" t="s">
        <v>157</v>
      </c>
      <c r="D688" t="s">
        <v>1391</v>
      </c>
      <c r="E688" t="s">
        <v>1392</v>
      </c>
      <c r="G688" s="1">
        <v>5</v>
      </c>
    </row>
    <row r="689" spans="1:7" ht="14.25" hidden="1" customHeight="1" x14ac:dyDescent="0.45">
      <c r="A689" t="str">
        <f>_xlfn.XLOOKUP(B689,Ingot!$H$12:$H$119,Ingot!$G$12:$G$119,"")</f>
        <v>Metal</v>
      </c>
      <c r="B689" t="s">
        <v>1208</v>
      </c>
      <c r="C689" t="s">
        <v>157</v>
      </c>
      <c r="D689" t="s">
        <v>1393</v>
      </c>
      <c r="E689" t="s">
        <v>1394</v>
      </c>
      <c r="G689" s="1">
        <v>10</v>
      </c>
    </row>
    <row r="690" spans="1:7" ht="14.25" hidden="1" customHeight="1" x14ac:dyDescent="0.45">
      <c r="A690" t="str">
        <f>_xlfn.XLOOKUP(B690,Ingot!$H$12:$H$119,Ingot!$G$12:$G$119,"")</f>
        <v>Metal</v>
      </c>
      <c r="B690" t="s">
        <v>1208</v>
      </c>
      <c r="C690" t="s">
        <v>157</v>
      </c>
      <c r="D690" t="s">
        <v>1395</v>
      </c>
      <c r="E690" t="s">
        <v>1396</v>
      </c>
      <c r="G690" s="1">
        <v>33.270000000000003</v>
      </c>
    </row>
    <row r="691" spans="1:7" ht="14.25" hidden="1" customHeight="1" x14ac:dyDescent="0.45">
      <c r="A691" t="str">
        <f>_xlfn.XLOOKUP(B691,Ingot!$H$12:$H$119,Ingot!$G$12:$G$119,"")</f>
        <v>Metal</v>
      </c>
      <c r="B691" t="s">
        <v>1208</v>
      </c>
      <c r="C691" t="s">
        <v>157</v>
      </c>
      <c r="D691" t="s">
        <v>1397</v>
      </c>
      <c r="E691" t="s">
        <v>1398</v>
      </c>
      <c r="F691" t="s">
        <v>180</v>
      </c>
      <c r="G691" s="1">
        <v>6.65</v>
      </c>
    </row>
    <row r="692" spans="1:7" ht="14.25" hidden="1" customHeight="1" x14ac:dyDescent="0.45">
      <c r="A692" t="str">
        <f>_xlfn.XLOOKUP(B692,Ingot!$H$12:$H$119,Ingot!$G$12:$G$119,"")</f>
        <v>Metal</v>
      </c>
      <c r="B692" t="s">
        <v>1208</v>
      </c>
      <c r="C692" t="s">
        <v>157</v>
      </c>
      <c r="D692" t="s">
        <v>1399</v>
      </c>
      <c r="E692" t="s">
        <v>1400</v>
      </c>
      <c r="F692" t="s">
        <v>180</v>
      </c>
      <c r="G692" s="1">
        <v>6.65</v>
      </c>
    </row>
    <row r="693" spans="1:7" ht="14.25" hidden="1" customHeight="1" x14ac:dyDescent="0.45">
      <c r="A693" t="str">
        <f>_xlfn.XLOOKUP(B693,Ingot!$H$12:$H$119,Ingot!$G$12:$G$119,"")</f>
        <v>Metal</v>
      </c>
      <c r="B693" t="s">
        <v>1208</v>
      </c>
      <c r="C693" t="s">
        <v>157</v>
      </c>
      <c r="D693" t="s">
        <v>1401</v>
      </c>
      <c r="E693" t="s">
        <v>1402</v>
      </c>
      <c r="F693" t="s">
        <v>180</v>
      </c>
      <c r="G693" s="1">
        <v>5</v>
      </c>
    </row>
    <row r="694" spans="1:7" ht="14.25" hidden="1" customHeight="1" x14ac:dyDescent="0.45">
      <c r="A694" t="str">
        <f>_xlfn.XLOOKUP(B694,Ingot!$H$12:$H$119,Ingot!$G$12:$G$119,"")</f>
        <v>Metal</v>
      </c>
      <c r="B694" t="s">
        <v>1208</v>
      </c>
      <c r="C694" t="s">
        <v>157</v>
      </c>
      <c r="D694" t="s">
        <v>1403</v>
      </c>
      <c r="E694" t="s">
        <v>1404</v>
      </c>
      <c r="G694" s="1">
        <v>10</v>
      </c>
    </row>
    <row r="695" spans="1:7" ht="14.25" hidden="1" customHeight="1" x14ac:dyDescent="0.45">
      <c r="A695" t="str">
        <f>_xlfn.XLOOKUP(B695,Ingot!$H$12:$H$119,Ingot!$G$12:$G$119,"")</f>
        <v>Metal</v>
      </c>
      <c r="B695" t="s">
        <v>1208</v>
      </c>
      <c r="C695" t="s">
        <v>157</v>
      </c>
      <c r="D695" t="s">
        <v>1405</v>
      </c>
      <c r="E695" t="s">
        <v>1406</v>
      </c>
      <c r="G695" s="1">
        <v>38.270000000000003</v>
      </c>
    </row>
    <row r="696" spans="1:7" ht="14.25" hidden="1" customHeight="1" x14ac:dyDescent="0.45">
      <c r="A696" t="str">
        <f>_xlfn.XLOOKUP(B696,Ingot!$H$12:$H$119,Ingot!$G$12:$G$119,"")</f>
        <v>Metal</v>
      </c>
      <c r="B696" t="s">
        <v>1208</v>
      </c>
      <c r="C696" t="s">
        <v>157</v>
      </c>
      <c r="D696" t="s">
        <v>1407</v>
      </c>
      <c r="E696" t="s">
        <v>1408</v>
      </c>
      <c r="G696" s="1">
        <v>7.65</v>
      </c>
    </row>
    <row r="697" spans="1:7" ht="14.25" hidden="1" customHeight="1" x14ac:dyDescent="0.45">
      <c r="A697" t="str">
        <f>_xlfn.XLOOKUP(B697,Ingot!$H$12:$H$119,Ingot!$G$12:$G$119,"")</f>
        <v>Metal</v>
      </c>
      <c r="B697" t="s">
        <v>1208</v>
      </c>
      <c r="C697" t="s">
        <v>157</v>
      </c>
      <c r="D697" t="s">
        <v>1409</v>
      </c>
      <c r="E697" t="s">
        <v>1410</v>
      </c>
      <c r="G697" s="1">
        <v>7.65</v>
      </c>
    </row>
    <row r="698" spans="1:7" ht="14.25" hidden="1" customHeight="1" x14ac:dyDescent="0.45">
      <c r="A698" t="str">
        <f>_xlfn.XLOOKUP(B698,Ingot!$H$12:$H$119,Ingot!$G$12:$G$119,"")</f>
        <v>Metal</v>
      </c>
      <c r="B698" t="s">
        <v>1208</v>
      </c>
      <c r="C698" t="s">
        <v>157</v>
      </c>
      <c r="D698" t="s">
        <v>1411</v>
      </c>
      <c r="E698" t="s">
        <v>1412</v>
      </c>
      <c r="G698" s="1">
        <v>5</v>
      </c>
    </row>
    <row r="699" spans="1:7" ht="14.25" hidden="1" customHeight="1" x14ac:dyDescent="0.45">
      <c r="A699" t="str">
        <f>_xlfn.XLOOKUP(B699,Ingot!$H$12:$H$119,Ingot!$G$12:$G$119,"")</f>
        <v>Metal</v>
      </c>
      <c r="B699" t="s">
        <v>1208</v>
      </c>
      <c r="C699" t="s">
        <v>157</v>
      </c>
      <c r="D699" t="s">
        <v>1413</v>
      </c>
      <c r="E699" t="s">
        <v>1414</v>
      </c>
      <c r="G699" s="1">
        <v>10</v>
      </c>
    </row>
    <row r="700" spans="1:7" ht="14.25" hidden="1" customHeight="1" x14ac:dyDescent="0.45">
      <c r="A700" t="str">
        <f>_xlfn.XLOOKUP(B700,Ingot!$H$12:$H$119,Ingot!$G$12:$G$119,"")</f>
        <v>Metal</v>
      </c>
      <c r="B700" t="s">
        <v>1208</v>
      </c>
      <c r="C700" t="s">
        <v>157</v>
      </c>
      <c r="D700" t="s">
        <v>1415</v>
      </c>
      <c r="E700" t="s">
        <v>1416</v>
      </c>
      <c r="G700" s="1">
        <v>37.770000000000003</v>
      </c>
    </row>
    <row r="701" spans="1:7" ht="14.25" hidden="1" customHeight="1" x14ac:dyDescent="0.45">
      <c r="A701" t="str">
        <f>_xlfn.XLOOKUP(B701,Ingot!$H$12:$H$119,Ingot!$G$12:$G$119,"")</f>
        <v>Metal</v>
      </c>
      <c r="B701" t="s">
        <v>1208</v>
      </c>
      <c r="C701" t="s">
        <v>157</v>
      </c>
      <c r="D701" t="s">
        <v>1417</v>
      </c>
      <c r="E701" t="s">
        <v>1418</v>
      </c>
      <c r="G701" s="1">
        <v>7.55</v>
      </c>
    </row>
    <row r="702" spans="1:7" ht="14.25" hidden="1" customHeight="1" x14ac:dyDescent="0.45">
      <c r="A702" t="str">
        <f>_xlfn.XLOOKUP(B702,Ingot!$H$12:$H$119,Ingot!$G$12:$G$119,"")</f>
        <v>Metal</v>
      </c>
      <c r="B702" t="s">
        <v>1208</v>
      </c>
      <c r="C702" t="s">
        <v>157</v>
      </c>
      <c r="D702" t="s">
        <v>1419</v>
      </c>
      <c r="E702" t="s">
        <v>1420</v>
      </c>
      <c r="G702" s="1">
        <v>7.55</v>
      </c>
    </row>
    <row r="703" spans="1:7" ht="14.25" hidden="1" customHeight="1" x14ac:dyDescent="0.45">
      <c r="A703" t="str">
        <f>_xlfn.XLOOKUP(B703,Ingot!$H$12:$H$119,Ingot!$G$12:$G$119,"")</f>
        <v>Metal</v>
      </c>
      <c r="B703" t="s">
        <v>1208</v>
      </c>
      <c r="C703" t="s">
        <v>157</v>
      </c>
      <c r="D703" t="s">
        <v>1421</v>
      </c>
      <c r="E703" t="s">
        <v>1422</v>
      </c>
      <c r="G703" s="1">
        <v>5</v>
      </c>
    </row>
    <row r="704" spans="1:7" ht="14.25" hidden="1" customHeight="1" x14ac:dyDescent="0.45">
      <c r="A704" t="str">
        <f>_xlfn.XLOOKUP(B704,Ingot!$H$12:$H$119,Ingot!$G$12:$G$119,"")</f>
        <v>Metal</v>
      </c>
      <c r="B704" t="s">
        <v>1208</v>
      </c>
      <c r="C704" t="s">
        <v>157</v>
      </c>
      <c r="D704" t="s">
        <v>1423</v>
      </c>
      <c r="E704" t="s">
        <v>1424</v>
      </c>
      <c r="G704" s="1">
        <v>10</v>
      </c>
    </row>
    <row r="705" spans="1:7" ht="14.25" hidden="1" customHeight="1" x14ac:dyDescent="0.45">
      <c r="A705" t="str">
        <f>_xlfn.XLOOKUP(B705,Ingot!$H$12:$H$119,Ingot!$G$12:$G$119,"")</f>
        <v>Metal</v>
      </c>
      <c r="B705" t="s">
        <v>1208</v>
      </c>
      <c r="C705" t="s">
        <v>157</v>
      </c>
      <c r="D705" t="s">
        <v>1425</v>
      </c>
      <c r="E705" t="s">
        <v>1426</v>
      </c>
      <c r="F705" t="s">
        <v>180</v>
      </c>
      <c r="G705" s="1">
        <v>27.27</v>
      </c>
    </row>
    <row r="706" spans="1:7" ht="14.25" hidden="1" customHeight="1" x14ac:dyDescent="0.45">
      <c r="A706" t="str">
        <f>_xlfn.XLOOKUP(B706,Ingot!$H$12:$H$119,Ingot!$G$12:$G$119,"")</f>
        <v>Metal</v>
      </c>
      <c r="B706" t="s">
        <v>1208</v>
      </c>
      <c r="C706" t="s">
        <v>157</v>
      </c>
      <c r="D706" t="s">
        <v>1427</v>
      </c>
      <c r="E706" t="s">
        <v>1428</v>
      </c>
      <c r="F706" t="s">
        <v>180</v>
      </c>
      <c r="G706" s="1">
        <v>5.45</v>
      </c>
    </row>
    <row r="707" spans="1:7" ht="14.25" hidden="1" customHeight="1" x14ac:dyDescent="0.45">
      <c r="A707" t="str">
        <f>_xlfn.XLOOKUP(B707,Ingot!$H$12:$H$119,Ingot!$G$12:$G$119,"")</f>
        <v>Metal</v>
      </c>
      <c r="B707" t="s">
        <v>1208</v>
      </c>
      <c r="C707" t="s">
        <v>157</v>
      </c>
      <c r="D707" t="s">
        <v>1429</v>
      </c>
      <c r="E707" t="s">
        <v>1430</v>
      </c>
      <c r="F707" t="s">
        <v>180</v>
      </c>
      <c r="G707" s="1">
        <v>5.45</v>
      </c>
    </row>
    <row r="708" spans="1:7" ht="14.25" hidden="1" customHeight="1" x14ac:dyDescent="0.45">
      <c r="A708" t="str">
        <f>_xlfn.XLOOKUP(B708,Ingot!$H$12:$H$119,Ingot!$G$12:$G$119,"")</f>
        <v>Metal</v>
      </c>
      <c r="B708" t="s">
        <v>1208</v>
      </c>
      <c r="C708" t="s">
        <v>157</v>
      </c>
      <c r="D708" t="s">
        <v>1431</v>
      </c>
      <c r="E708" t="s">
        <v>1432</v>
      </c>
      <c r="F708" t="s">
        <v>180</v>
      </c>
      <c r="G708" s="1">
        <v>5</v>
      </c>
    </row>
    <row r="709" spans="1:7" ht="14.25" hidden="1" customHeight="1" x14ac:dyDescent="0.45">
      <c r="A709" t="str">
        <f>_xlfn.XLOOKUP(B709,Ingot!$H$12:$H$119,Ingot!$G$12:$G$119,"")</f>
        <v>Metal</v>
      </c>
      <c r="B709" t="s">
        <v>1208</v>
      </c>
      <c r="C709" t="s">
        <v>157</v>
      </c>
      <c r="D709" t="s">
        <v>1433</v>
      </c>
      <c r="E709" t="s">
        <v>1434</v>
      </c>
      <c r="F709" t="s">
        <v>180</v>
      </c>
      <c r="G709" s="1">
        <v>10</v>
      </c>
    </row>
    <row r="710" spans="1:7" ht="14.25" hidden="1" customHeight="1" x14ac:dyDescent="0.45">
      <c r="A710" t="str">
        <f>_xlfn.XLOOKUP(B710,Ingot!$H$12:$H$119,Ingot!$G$12:$G$119,"")</f>
        <v>Metal</v>
      </c>
      <c r="B710" t="s">
        <v>1208</v>
      </c>
      <c r="C710" t="s">
        <v>239</v>
      </c>
      <c r="D710" t="s">
        <v>1435</v>
      </c>
      <c r="E710" t="s">
        <v>1436</v>
      </c>
      <c r="G710" s="1">
        <f>(VLOOKUP(B710,Ingot!H:I,2,FALSE()) * 0.75) * 0.75</f>
        <v>7.59375</v>
      </c>
    </row>
    <row r="711" spans="1:7" ht="14.25" hidden="1" customHeight="1" x14ac:dyDescent="0.45">
      <c r="A711" t="str">
        <f>_xlfn.XLOOKUP(B711,Ingot!$H$12:$H$119,Ingot!$G$12:$G$119,"")</f>
        <v>Metal</v>
      </c>
      <c r="B711" t="s">
        <v>1208</v>
      </c>
      <c r="C711" t="s">
        <v>239</v>
      </c>
      <c r="D711" t="s">
        <v>1437</v>
      </c>
      <c r="E711" t="s">
        <v>1438</v>
      </c>
      <c r="G711" s="1">
        <f>((VLOOKUP(B711,Ingot!H:I,2,FALSE()) * 3) - 10.25) * 0.421875</f>
        <v>12.76171875</v>
      </c>
    </row>
    <row r="712" spans="1:7" ht="14.25" hidden="1" customHeight="1" x14ac:dyDescent="0.45">
      <c r="A712" t="str">
        <f>_xlfn.XLOOKUP(B712,Ingot!$H$12:$H$119,Ingot!$G$12:$G$119,"")</f>
        <v>Metal</v>
      </c>
      <c r="B712" t="s">
        <v>1208</v>
      </c>
      <c r="C712" t="s">
        <v>239</v>
      </c>
      <c r="D712" t="s">
        <v>1439</v>
      </c>
      <c r="E712" t="s">
        <v>1440</v>
      </c>
      <c r="G712" s="1">
        <f>((VLOOKUP(B712,Ingot!H:I,2,FALSE()) * 3) - 10.25) * 0.75</f>
        <v>22.6875</v>
      </c>
    </row>
    <row r="713" spans="1:7" ht="14.25" hidden="1" customHeight="1" x14ac:dyDescent="0.45">
      <c r="A713" t="str">
        <f>_xlfn.XLOOKUP(B713,Ingot!$H$12:$H$119,Ingot!$G$12:$G$119,"")</f>
        <v>Metal</v>
      </c>
      <c r="B713" t="s">
        <v>1208</v>
      </c>
      <c r="C713" t="s">
        <v>239</v>
      </c>
      <c r="D713" t="s">
        <v>1441</v>
      </c>
      <c r="E713" t="s">
        <v>1442</v>
      </c>
      <c r="G713" s="1">
        <f>((VLOOKUP(B713,Ingot!H:I,2,FALSE()) * 3) - 10.25) * 0.5625</f>
        <v>17.015625</v>
      </c>
    </row>
    <row r="714" spans="1:7" ht="14.25" hidden="1" customHeight="1" x14ac:dyDescent="0.45">
      <c r="A714" t="str">
        <f>_xlfn.XLOOKUP(B714,Ingot!$H$12:$H$119,Ingot!$G$12:$G$119,"")</f>
        <v>Metal</v>
      </c>
      <c r="B714" t="s">
        <v>1208</v>
      </c>
      <c r="C714" t="s">
        <v>239</v>
      </c>
      <c r="D714" t="s">
        <v>1443</v>
      </c>
      <c r="E714" t="s">
        <v>1444</v>
      </c>
      <c r="G714" s="1">
        <f>VLOOKUP(B714,Ingot!H:I,2,FALSE()) * 0.75</f>
        <v>10.125</v>
      </c>
    </row>
    <row r="715" spans="1:7" ht="14.25" hidden="1" customHeight="1" x14ac:dyDescent="0.45">
      <c r="A715" t="str">
        <f>_xlfn.XLOOKUP(B715,Ingot!$H$12:$H$119,Ingot!$G$12:$G$119,"")</f>
        <v>Metal</v>
      </c>
      <c r="B715" t="s">
        <v>1208</v>
      </c>
      <c r="C715" t="s">
        <v>239</v>
      </c>
      <c r="D715" t="s">
        <v>1445</v>
      </c>
      <c r="E715" t="s">
        <v>1446</v>
      </c>
      <c r="G715" s="1">
        <f>(VLOOKUP(B715,Ingot!H:I,2,FALSE()) * 3) - 10.25</f>
        <v>30.25</v>
      </c>
    </row>
    <row r="716" spans="1:7" ht="14.25" hidden="1" customHeight="1" x14ac:dyDescent="0.45">
      <c r="A716" t="str">
        <f>_xlfn.XLOOKUP(B716,Ingot!$H$12:$H$119,Ingot!$G$12:$G$119,"")</f>
        <v>Metal</v>
      </c>
      <c r="B716" t="s">
        <v>1447</v>
      </c>
      <c r="C716" t="s">
        <v>10</v>
      </c>
      <c r="D716" t="s">
        <v>1448</v>
      </c>
      <c r="E716" t="s">
        <v>1449</v>
      </c>
      <c r="G716" s="1">
        <v>0.08</v>
      </c>
    </row>
    <row r="717" spans="1:7" ht="14.25" hidden="1" customHeight="1" x14ac:dyDescent="0.45">
      <c r="A717" t="str">
        <f>_xlfn.XLOOKUP(B717,Ingot!$H$12:$H$119,Ingot!$G$12:$G$119,"")</f>
        <v>Metal</v>
      </c>
      <c r="B717" t="s">
        <v>1447</v>
      </c>
      <c r="C717" t="s">
        <v>10</v>
      </c>
      <c r="D717" t="s">
        <v>1450</v>
      </c>
      <c r="E717" t="s">
        <v>1451</v>
      </c>
      <c r="G717" s="1">
        <v>9.9</v>
      </c>
    </row>
    <row r="718" spans="1:7" ht="14.25" hidden="1" customHeight="1" x14ac:dyDescent="0.45">
      <c r="A718" t="str">
        <f>_xlfn.XLOOKUP(B718,Ingot!$H$12:$H$119,Ingot!$G$12:$G$119,"")</f>
        <v>Metal</v>
      </c>
      <c r="B718" t="s">
        <v>1447</v>
      </c>
      <c r="C718" t="s">
        <v>10</v>
      </c>
      <c r="D718" t="s">
        <v>1452</v>
      </c>
      <c r="E718" t="s">
        <v>1453</v>
      </c>
      <c r="G718" s="1">
        <v>5.66</v>
      </c>
    </row>
    <row r="719" spans="1:7" ht="14.25" hidden="1" customHeight="1" x14ac:dyDescent="0.45">
      <c r="A719" t="str">
        <f>_xlfn.XLOOKUP(B719,Ingot!$H$12:$H$119,Ingot!$G$12:$G$119,"")</f>
        <v>Metal</v>
      </c>
      <c r="B719" t="s">
        <v>1447</v>
      </c>
      <c r="C719" t="s">
        <v>10</v>
      </c>
      <c r="D719" t="s">
        <v>1454</v>
      </c>
      <c r="E719" t="s">
        <v>1455</v>
      </c>
      <c r="G719" s="1">
        <v>3.3</v>
      </c>
    </row>
    <row r="720" spans="1:7" ht="14.25" hidden="1" customHeight="1" x14ac:dyDescent="0.45">
      <c r="A720" t="str">
        <f>_xlfn.XLOOKUP(B720,Ingot!$H$12:$H$119,Ingot!$G$12:$G$119,"")</f>
        <v>Metal</v>
      </c>
      <c r="B720" t="s">
        <v>1447</v>
      </c>
      <c r="C720" t="s">
        <v>10</v>
      </c>
      <c r="D720" t="s">
        <v>1456</v>
      </c>
      <c r="E720" t="s">
        <v>1457</v>
      </c>
      <c r="G720" s="1">
        <v>0.66</v>
      </c>
    </row>
    <row r="721" spans="1:7" ht="14.25" hidden="1" customHeight="1" x14ac:dyDescent="0.45">
      <c r="A721" t="str">
        <f>_xlfn.XLOOKUP(B721,Ingot!$H$12:$H$119,Ingot!$G$12:$G$119,"")</f>
        <v>Metal</v>
      </c>
      <c r="B721" t="s">
        <v>1447</v>
      </c>
      <c r="C721" t="s">
        <v>10</v>
      </c>
      <c r="D721" t="s">
        <v>1458</v>
      </c>
      <c r="E721" t="s">
        <v>1459</v>
      </c>
      <c r="G721" s="1">
        <v>0.04</v>
      </c>
    </row>
    <row r="722" spans="1:7" ht="14.25" hidden="1" customHeight="1" x14ac:dyDescent="0.45">
      <c r="A722" t="str">
        <f>_xlfn.XLOOKUP(B722,Ingot!$H$12:$H$119,Ingot!$G$12:$G$119,"")</f>
        <v>Metal</v>
      </c>
      <c r="B722" t="s">
        <v>1447</v>
      </c>
      <c r="C722" t="s">
        <v>10</v>
      </c>
      <c r="D722" t="s">
        <v>1460</v>
      </c>
      <c r="E722" t="s">
        <v>1461</v>
      </c>
      <c r="G722" s="1">
        <v>0.33</v>
      </c>
    </row>
    <row r="723" spans="1:7" ht="14.25" hidden="1" customHeight="1" x14ac:dyDescent="0.45">
      <c r="A723" t="str">
        <f>_xlfn.XLOOKUP(B723,Ingot!$H$12:$H$119,Ingot!$G$12:$G$119,"")</f>
        <v>Metal</v>
      </c>
      <c r="B723" t="s">
        <v>1447</v>
      </c>
      <c r="C723" t="s">
        <v>10</v>
      </c>
      <c r="D723" t="s">
        <v>1462</v>
      </c>
      <c r="E723" t="s">
        <v>1463</v>
      </c>
    </row>
    <row r="724" spans="1:7" ht="14.25" hidden="1" customHeight="1" x14ac:dyDescent="0.45">
      <c r="A724" t="str">
        <f>_xlfn.XLOOKUP(B724,Ingot!$H$12:$H$119,Ingot!$G$12:$G$119,"")</f>
        <v>Metal</v>
      </c>
      <c r="B724" t="s">
        <v>1447</v>
      </c>
      <c r="C724" t="s">
        <v>10</v>
      </c>
      <c r="D724" t="s">
        <v>1464</v>
      </c>
      <c r="E724" t="s">
        <v>1465</v>
      </c>
      <c r="G724" s="1">
        <v>0.05</v>
      </c>
    </row>
    <row r="725" spans="1:7" ht="14.25" hidden="1" customHeight="1" x14ac:dyDescent="0.45">
      <c r="A725" t="str">
        <f>_xlfn.XLOOKUP(B725,Ingot!$H$12:$H$119,Ingot!$G$12:$G$119,"")</f>
        <v>Metal</v>
      </c>
      <c r="B725" t="s">
        <v>1447</v>
      </c>
      <c r="C725" t="s">
        <v>10</v>
      </c>
      <c r="D725" t="s">
        <v>1466</v>
      </c>
      <c r="E725" t="s">
        <v>1467</v>
      </c>
      <c r="G725" s="1">
        <v>0.66</v>
      </c>
    </row>
    <row r="726" spans="1:7" ht="14.25" hidden="1" customHeight="1" x14ac:dyDescent="0.45">
      <c r="A726" t="str">
        <f>_xlfn.XLOOKUP(B726,Ingot!$H$12:$H$119,Ingot!$G$12:$G$119,"")</f>
        <v>Metal</v>
      </c>
      <c r="B726" t="s">
        <v>1447</v>
      </c>
      <c r="C726" t="s">
        <v>10</v>
      </c>
      <c r="D726" t="s">
        <v>1468</v>
      </c>
      <c r="E726" t="s">
        <v>1469</v>
      </c>
      <c r="G726" s="1">
        <v>3.96</v>
      </c>
    </row>
    <row r="727" spans="1:7" ht="14.25" hidden="1" customHeight="1" x14ac:dyDescent="0.45">
      <c r="A727" t="str">
        <f>_xlfn.XLOOKUP(B727,Ingot!$H$12:$H$119,Ingot!$G$12:$G$119,"")</f>
        <v>Metal</v>
      </c>
      <c r="B727" t="s">
        <v>1447</v>
      </c>
      <c r="C727" t="s">
        <v>10</v>
      </c>
      <c r="D727" t="s">
        <v>1470</v>
      </c>
      <c r="E727" t="s">
        <v>1471</v>
      </c>
      <c r="G727" s="1">
        <v>8.77</v>
      </c>
    </row>
    <row r="728" spans="1:7" ht="14.25" hidden="1" customHeight="1" x14ac:dyDescent="0.45">
      <c r="A728" t="str">
        <f>_xlfn.XLOOKUP(B728,Ingot!$H$12:$H$119,Ingot!$G$12:$G$119,"")</f>
        <v>Metal</v>
      </c>
      <c r="B728" t="s">
        <v>1447</v>
      </c>
      <c r="C728" t="s">
        <v>10</v>
      </c>
      <c r="D728" t="s">
        <v>1472</v>
      </c>
      <c r="E728" t="s">
        <v>1473</v>
      </c>
      <c r="G728" s="1">
        <v>3.5</v>
      </c>
    </row>
    <row r="729" spans="1:7" ht="14.25" hidden="1" customHeight="1" x14ac:dyDescent="0.45">
      <c r="A729" t="str">
        <f>_xlfn.XLOOKUP(B729,Ingot!$H$12:$H$119,Ingot!$G$12:$G$119,"")</f>
        <v>Metal</v>
      </c>
      <c r="B729" t="s">
        <v>1447</v>
      </c>
      <c r="C729" t="s">
        <v>10</v>
      </c>
      <c r="D729" t="s">
        <v>1474</v>
      </c>
      <c r="E729" t="s">
        <v>1475</v>
      </c>
    </row>
    <row r="730" spans="1:7" ht="14.25" hidden="1" customHeight="1" x14ac:dyDescent="0.45">
      <c r="A730" t="str">
        <f>_xlfn.XLOOKUP(B730,Ingot!$H$12:$H$119,Ingot!$G$12:$G$119,"")</f>
        <v>Metal</v>
      </c>
      <c r="B730" t="s">
        <v>1447</v>
      </c>
      <c r="C730" t="s">
        <v>10</v>
      </c>
      <c r="D730" t="s">
        <v>1476</v>
      </c>
      <c r="E730" t="s">
        <v>1477</v>
      </c>
      <c r="G730" s="1">
        <v>2.2000000000000002</v>
      </c>
    </row>
    <row r="731" spans="1:7" ht="14.25" hidden="1" customHeight="1" x14ac:dyDescent="0.45">
      <c r="A731" t="str">
        <f>_xlfn.XLOOKUP(B731,Ingot!$H$12:$H$119,Ingot!$G$12:$G$119,"")</f>
        <v>Metal</v>
      </c>
      <c r="B731" t="s">
        <v>1447</v>
      </c>
      <c r="C731" t="s">
        <v>10</v>
      </c>
      <c r="D731" t="s">
        <v>1478</v>
      </c>
      <c r="E731" t="s">
        <v>1479</v>
      </c>
      <c r="G731" s="1">
        <v>1.1000000000000001</v>
      </c>
    </row>
    <row r="732" spans="1:7" ht="14.25" hidden="1" customHeight="1" x14ac:dyDescent="0.45">
      <c r="A732" t="str">
        <f>_xlfn.XLOOKUP(B732,Ingot!$H$12:$H$119,Ingot!$G$12:$G$119,"")</f>
        <v>Metal</v>
      </c>
      <c r="B732" t="s">
        <v>1447</v>
      </c>
      <c r="C732" t="s">
        <v>10</v>
      </c>
      <c r="D732" t="s">
        <v>1480</v>
      </c>
      <c r="E732" t="s">
        <v>1481</v>
      </c>
      <c r="G732" s="1">
        <v>0.22</v>
      </c>
    </row>
    <row r="733" spans="1:7" ht="14.25" hidden="1" customHeight="1" x14ac:dyDescent="0.45">
      <c r="A733" t="str">
        <f>_xlfn.XLOOKUP(B733,Ingot!$H$12:$H$119,Ingot!$G$12:$G$119,"")</f>
        <v>Metal</v>
      </c>
      <c r="B733" t="s">
        <v>1447</v>
      </c>
      <c r="C733" t="s">
        <v>10</v>
      </c>
      <c r="D733" t="s">
        <v>1482</v>
      </c>
      <c r="E733" t="s">
        <v>1483</v>
      </c>
      <c r="G733" s="1">
        <v>8.41</v>
      </c>
    </row>
    <row r="734" spans="1:7" ht="14.25" hidden="1" customHeight="1" x14ac:dyDescent="0.45">
      <c r="A734" t="str">
        <f>_xlfn.XLOOKUP(B734,Ingot!$H$12:$H$119,Ingot!$G$12:$G$119,"")</f>
        <v>Metal</v>
      </c>
      <c r="B734" t="s">
        <v>1447</v>
      </c>
      <c r="C734" t="s">
        <v>10</v>
      </c>
      <c r="D734" t="s">
        <v>1484</v>
      </c>
      <c r="E734" t="s">
        <v>1485</v>
      </c>
      <c r="G734" s="1">
        <v>3.64</v>
      </c>
    </row>
    <row r="735" spans="1:7" ht="14.25" hidden="1" customHeight="1" x14ac:dyDescent="0.45">
      <c r="A735" t="str">
        <f>_xlfn.XLOOKUP(B735,Ingot!$H$12:$H$119,Ingot!$G$12:$G$119,"")</f>
        <v>Metal</v>
      </c>
      <c r="B735" t="s">
        <v>1447</v>
      </c>
      <c r="C735" t="s">
        <v>10</v>
      </c>
      <c r="D735" t="s">
        <v>1486</v>
      </c>
      <c r="E735" t="s">
        <v>1487</v>
      </c>
      <c r="G735" s="1">
        <v>7.05</v>
      </c>
    </row>
    <row r="736" spans="1:7" ht="14.25" hidden="1" customHeight="1" x14ac:dyDescent="0.45">
      <c r="A736" t="str">
        <f>_xlfn.XLOOKUP(B736,Ingot!$H$12:$H$119,Ingot!$G$12:$G$119,"")</f>
        <v>Metal</v>
      </c>
      <c r="B736" t="s">
        <v>1447</v>
      </c>
      <c r="C736" t="s">
        <v>10</v>
      </c>
      <c r="D736" t="s">
        <v>1488</v>
      </c>
      <c r="E736" t="s">
        <v>1489</v>
      </c>
      <c r="G736" s="1">
        <v>2.65</v>
      </c>
    </row>
    <row r="737" spans="1:7" ht="14.25" hidden="1" customHeight="1" x14ac:dyDescent="0.45">
      <c r="A737" t="str">
        <f>_xlfn.XLOOKUP(B737,Ingot!$H$12:$H$119,Ingot!$G$12:$G$119,"")</f>
        <v>Metal</v>
      </c>
      <c r="B737" t="s">
        <v>1447</v>
      </c>
      <c r="C737" t="s">
        <v>10</v>
      </c>
      <c r="D737" t="s">
        <v>1490</v>
      </c>
      <c r="E737" t="s">
        <v>1491</v>
      </c>
      <c r="G737" s="1">
        <v>9</v>
      </c>
    </row>
    <row r="738" spans="1:7" ht="14.25" hidden="1" customHeight="1" x14ac:dyDescent="0.45">
      <c r="A738" t="str">
        <f>_xlfn.XLOOKUP(B738,Ingot!$H$12:$H$119,Ingot!$G$12:$G$119,"")</f>
        <v>Metal</v>
      </c>
      <c r="B738" t="s">
        <v>1447</v>
      </c>
      <c r="C738" t="s">
        <v>10</v>
      </c>
      <c r="D738" t="s">
        <v>1492</v>
      </c>
      <c r="E738" t="s">
        <v>1493</v>
      </c>
      <c r="G738" s="1">
        <v>10.23</v>
      </c>
    </row>
    <row r="739" spans="1:7" ht="14.25" hidden="1" customHeight="1" x14ac:dyDescent="0.45">
      <c r="A739" t="str">
        <f>_xlfn.XLOOKUP(B739,Ingot!$H$12:$H$119,Ingot!$G$12:$G$119,"")</f>
        <v>Metal</v>
      </c>
      <c r="B739" t="s">
        <v>1447</v>
      </c>
      <c r="C739" t="s">
        <v>10</v>
      </c>
      <c r="D739" t="s">
        <v>1494</v>
      </c>
      <c r="E739" t="s">
        <v>1495</v>
      </c>
      <c r="G739" s="1">
        <v>7.7</v>
      </c>
    </row>
    <row r="740" spans="1:7" ht="14.25" hidden="1" customHeight="1" x14ac:dyDescent="0.45">
      <c r="A740" t="str">
        <f>_xlfn.XLOOKUP(B740,Ingot!$H$12:$H$119,Ingot!$G$12:$G$119,"")</f>
        <v>Metal</v>
      </c>
      <c r="B740" t="s">
        <v>1447</v>
      </c>
      <c r="C740" t="s">
        <v>10</v>
      </c>
      <c r="D740" t="s">
        <v>1496</v>
      </c>
      <c r="E740" t="s">
        <v>1497</v>
      </c>
      <c r="G740" s="1">
        <v>10.02</v>
      </c>
    </row>
    <row r="741" spans="1:7" ht="14.25" hidden="1" customHeight="1" x14ac:dyDescent="0.45">
      <c r="A741" t="str">
        <f>_xlfn.XLOOKUP(B741,Ingot!$H$12:$H$119,Ingot!$G$12:$G$119,"")</f>
        <v>Metal</v>
      </c>
      <c r="B741" t="s">
        <v>1447</v>
      </c>
      <c r="C741" t="s">
        <v>10</v>
      </c>
      <c r="D741" t="s">
        <v>1498</v>
      </c>
      <c r="E741" t="s">
        <v>1499</v>
      </c>
      <c r="G741" s="1">
        <v>11.81</v>
      </c>
    </row>
    <row r="742" spans="1:7" ht="14.25" hidden="1" customHeight="1" x14ac:dyDescent="0.45">
      <c r="A742" t="str">
        <f>_xlfn.XLOOKUP(B742,Ingot!$H$12:$H$119,Ingot!$G$12:$G$119,"")</f>
        <v>Metal</v>
      </c>
      <c r="B742" t="s">
        <v>1447</v>
      </c>
      <c r="C742" t="s">
        <v>10</v>
      </c>
      <c r="D742" t="s">
        <v>1500</v>
      </c>
      <c r="E742" t="s">
        <v>1501</v>
      </c>
      <c r="G742" s="1">
        <v>8.44</v>
      </c>
    </row>
    <row r="743" spans="1:7" ht="14.25" hidden="1" customHeight="1" x14ac:dyDescent="0.45">
      <c r="A743" t="str">
        <f>_xlfn.XLOOKUP(B743,Ingot!$H$12:$H$119,Ingot!$G$12:$G$119,"")</f>
        <v>Metal</v>
      </c>
      <c r="B743" t="s">
        <v>1447</v>
      </c>
      <c r="C743" t="s">
        <v>10</v>
      </c>
      <c r="D743" t="s">
        <v>1502</v>
      </c>
      <c r="E743" t="s">
        <v>1503</v>
      </c>
      <c r="G743" s="1">
        <v>10.42</v>
      </c>
    </row>
    <row r="744" spans="1:7" ht="14.25" hidden="1" customHeight="1" x14ac:dyDescent="0.45">
      <c r="A744" t="str">
        <f>_xlfn.XLOOKUP(B744,Ingot!$H$12:$H$119,Ingot!$G$12:$G$119,"")</f>
        <v>Metal</v>
      </c>
      <c r="B744" t="s">
        <v>1447</v>
      </c>
      <c r="C744" t="s">
        <v>10</v>
      </c>
      <c r="D744" t="s">
        <v>1504</v>
      </c>
      <c r="E744" t="s">
        <v>1505</v>
      </c>
    </row>
    <row r="745" spans="1:7" ht="14.25" hidden="1" customHeight="1" x14ac:dyDescent="0.45">
      <c r="A745" t="str">
        <f>_xlfn.XLOOKUP(B745,Ingot!$H$12:$H$119,Ingot!$G$12:$G$119,"")</f>
        <v>Metal</v>
      </c>
      <c r="B745" t="s">
        <v>1447</v>
      </c>
      <c r="C745" t="s">
        <v>10</v>
      </c>
      <c r="D745" t="s">
        <v>1506</v>
      </c>
      <c r="E745" t="s">
        <v>1507</v>
      </c>
      <c r="G745" s="1">
        <v>7.96</v>
      </c>
    </row>
    <row r="746" spans="1:7" ht="14.25" hidden="1" customHeight="1" x14ac:dyDescent="0.45">
      <c r="A746" t="str">
        <f>_xlfn.XLOOKUP(B746,Ingot!$H$12:$H$119,Ingot!$G$12:$G$119,"")</f>
        <v>Metal</v>
      </c>
      <c r="B746" t="s">
        <v>1447</v>
      </c>
      <c r="C746" t="s">
        <v>10</v>
      </c>
      <c r="D746" t="s">
        <v>1508</v>
      </c>
      <c r="E746" t="s">
        <v>1509</v>
      </c>
      <c r="G746" s="1">
        <v>9.64</v>
      </c>
    </row>
    <row r="747" spans="1:7" ht="14.25" hidden="1" customHeight="1" x14ac:dyDescent="0.45">
      <c r="A747" t="str">
        <f>_xlfn.XLOOKUP(B747,Ingot!$H$12:$H$119,Ingot!$G$12:$G$119,"")</f>
        <v>Metal</v>
      </c>
      <c r="B747" t="s">
        <v>1447</v>
      </c>
      <c r="C747" t="s">
        <v>10</v>
      </c>
      <c r="D747" t="s">
        <v>1510</v>
      </c>
      <c r="E747" t="s">
        <v>1511</v>
      </c>
      <c r="G747" s="1">
        <v>7.94</v>
      </c>
    </row>
    <row r="748" spans="1:7" ht="14.25" hidden="1" customHeight="1" x14ac:dyDescent="0.45">
      <c r="A748" t="str">
        <f>_xlfn.XLOOKUP(B748,Ingot!$H$12:$H$119,Ingot!$G$12:$G$119,"")</f>
        <v>Metal</v>
      </c>
      <c r="B748" t="s">
        <v>1447</v>
      </c>
      <c r="C748" t="s">
        <v>10</v>
      </c>
      <c r="D748" t="s">
        <v>1512</v>
      </c>
      <c r="E748" t="s">
        <v>1513</v>
      </c>
      <c r="G748" s="1">
        <v>8.66</v>
      </c>
    </row>
    <row r="749" spans="1:7" ht="14.25" hidden="1" customHeight="1" x14ac:dyDescent="0.45">
      <c r="A749" t="str">
        <f>_xlfn.XLOOKUP(B749,Ingot!$H$12:$H$119,Ingot!$G$12:$G$119,"")</f>
        <v>Metal</v>
      </c>
      <c r="B749" t="s">
        <v>1447</v>
      </c>
      <c r="C749" t="s">
        <v>10</v>
      </c>
      <c r="D749" t="s">
        <v>1514</v>
      </c>
      <c r="E749" t="s">
        <v>1515</v>
      </c>
    </row>
    <row r="750" spans="1:7" ht="14.25" hidden="1" customHeight="1" x14ac:dyDescent="0.45">
      <c r="A750" t="str">
        <f>_xlfn.XLOOKUP(B750,Ingot!$H$12:$H$119,Ingot!$G$12:$G$119,"")</f>
        <v>Metal</v>
      </c>
      <c r="B750" t="s">
        <v>1447</v>
      </c>
      <c r="C750" t="s">
        <v>10</v>
      </c>
      <c r="D750" t="s">
        <v>1516</v>
      </c>
      <c r="E750" t="s">
        <v>1517</v>
      </c>
      <c r="G750" s="1">
        <v>2.65</v>
      </c>
    </row>
    <row r="751" spans="1:7" ht="14.25" hidden="1" customHeight="1" x14ac:dyDescent="0.45">
      <c r="A751" t="str">
        <f>_xlfn.XLOOKUP(B751,Ingot!$H$12:$H$119,Ingot!$G$12:$G$119,"")</f>
        <v>Metal</v>
      </c>
      <c r="B751" t="s">
        <v>1447</v>
      </c>
      <c r="C751" t="s">
        <v>10</v>
      </c>
      <c r="D751" t="s">
        <v>1518</v>
      </c>
      <c r="E751" t="s">
        <v>1519</v>
      </c>
    </row>
    <row r="752" spans="1:7" ht="14.25" hidden="1" customHeight="1" x14ac:dyDescent="0.45">
      <c r="A752" t="str">
        <f>_xlfn.XLOOKUP(B752,Ingot!$H$12:$H$119,Ingot!$G$12:$G$119,"")</f>
        <v>Metal</v>
      </c>
      <c r="B752" t="s">
        <v>1447</v>
      </c>
      <c r="C752" t="s">
        <v>10</v>
      </c>
      <c r="D752" t="s">
        <v>1520</v>
      </c>
      <c r="E752" t="s">
        <v>1521</v>
      </c>
      <c r="G752" s="1">
        <v>12.64</v>
      </c>
    </row>
    <row r="753" spans="1:7" ht="14.25" hidden="1" customHeight="1" x14ac:dyDescent="0.45">
      <c r="A753" t="str">
        <f>_xlfn.XLOOKUP(B753,Ingot!$H$12:$H$119,Ingot!$G$12:$G$119,"")</f>
        <v>Metal</v>
      </c>
      <c r="B753" t="s">
        <v>1447</v>
      </c>
      <c r="C753" t="s">
        <v>10</v>
      </c>
      <c r="D753" t="s">
        <v>1522</v>
      </c>
      <c r="E753" t="s">
        <v>1523</v>
      </c>
      <c r="G753" s="1">
        <v>22.67</v>
      </c>
    </row>
    <row r="754" spans="1:7" ht="14.25" hidden="1" customHeight="1" x14ac:dyDescent="0.45">
      <c r="A754" t="str">
        <f>_xlfn.XLOOKUP(B754,Ingot!$H$12:$H$119,Ingot!$G$12:$G$119,"")</f>
        <v>Metal</v>
      </c>
      <c r="B754" t="s">
        <v>1447</v>
      </c>
      <c r="C754" t="s">
        <v>10</v>
      </c>
      <c r="D754" t="s">
        <v>1524</v>
      </c>
      <c r="E754" t="s">
        <v>1525</v>
      </c>
      <c r="G754" s="1">
        <v>8.3800000000000008</v>
      </c>
    </row>
    <row r="755" spans="1:7" ht="14.25" hidden="1" customHeight="1" x14ac:dyDescent="0.45">
      <c r="A755" t="str">
        <f>_xlfn.XLOOKUP(B755,Ingot!$H$12:$H$119,Ingot!$G$12:$G$119,"")</f>
        <v>Metal</v>
      </c>
      <c r="B755" t="s">
        <v>1447</v>
      </c>
      <c r="C755" t="s">
        <v>10</v>
      </c>
      <c r="D755" t="s">
        <v>1526</v>
      </c>
      <c r="E755" t="s">
        <v>1527</v>
      </c>
      <c r="G755" s="1">
        <v>2.2000000000000002</v>
      </c>
    </row>
    <row r="756" spans="1:7" ht="14.25" hidden="1" customHeight="1" x14ac:dyDescent="0.45">
      <c r="A756" t="str">
        <f>_xlfn.XLOOKUP(B756,Ingot!$H$12:$H$119,Ingot!$G$12:$G$119,"")</f>
        <v>Metal</v>
      </c>
      <c r="B756" t="s">
        <v>1447</v>
      </c>
      <c r="C756" t="s">
        <v>10</v>
      </c>
      <c r="D756" t="s">
        <v>1528</v>
      </c>
      <c r="E756" t="s">
        <v>1529</v>
      </c>
      <c r="G756" s="1">
        <v>3.09</v>
      </c>
    </row>
    <row r="757" spans="1:7" ht="14.25" hidden="1" customHeight="1" x14ac:dyDescent="0.45">
      <c r="A757" t="str">
        <f>_xlfn.XLOOKUP(B757,Ingot!$H$12:$H$119,Ingot!$G$12:$G$119,"")</f>
        <v>Metal</v>
      </c>
      <c r="B757" t="s">
        <v>1447</v>
      </c>
      <c r="C757" t="s">
        <v>10</v>
      </c>
      <c r="D757" t="s">
        <v>1530</v>
      </c>
      <c r="E757" t="s">
        <v>1531</v>
      </c>
      <c r="G757" s="1">
        <v>2.2999999999999998</v>
      </c>
    </row>
    <row r="758" spans="1:7" ht="14.25" hidden="1" customHeight="1" x14ac:dyDescent="0.45">
      <c r="A758" t="str">
        <f>_xlfn.XLOOKUP(B758,Ingot!$H$12:$H$119,Ingot!$G$12:$G$119,"")</f>
        <v>Metal</v>
      </c>
      <c r="B758" t="s">
        <v>1447</v>
      </c>
      <c r="C758" t="s">
        <v>10</v>
      </c>
      <c r="D758" t="s">
        <v>1532</v>
      </c>
      <c r="E758" t="s">
        <v>1533</v>
      </c>
      <c r="G758" s="1">
        <v>4.88</v>
      </c>
    </row>
    <row r="759" spans="1:7" ht="14.25" hidden="1" customHeight="1" x14ac:dyDescent="0.45">
      <c r="A759" t="str">
        <f>_xlfn.XLOOKUP(B759,Ingot!$H$12:$H$119,Ingot!$G$12:$G$119,"")</f>
        <v>Metal</v>
      </c>
      <c r="B759" t="s">
        <v>1447</v>
      </c>
      <c r="C759" t="s">
        <v>10</v>
      </c>
      <c r="D759" t="s">
        <v>1534</v>
      </c>
      <c r="E759" t="s">
        <v>1535</v>
      </c>
      <c r="G759" s="1">
        <v>8.43</v>
      </c>
    </row>
    <row r="760" spans="1:7" ht="14.25" hidden="1" customHeight="1" x14ac:dyDescent="0.45">
      <c r="A760" t="str">
        <f>_xlfn.XLOOKUP(B760,Ingot!$H$12:$H$119,Ingot!$G$12:$G$119,"")</f>
        <v>Metal</v>
      </c>
      <c r="B760" t="s">
        <v>1447</v>
      </c>
      <c r="C760" t="s">
        <v>10</v>
      </c>
      <c r="D760" t="s">
        <v>1536</v>
      </c>
      <c r="E760" t="s">
        <v>1537</v>
      </c>
      <c r="G760" s="1">
        <v>13.07</v>
      </c>
    </row>
    <row r="761" spans="1:7" ht="14.25" hidden="1" customHeight="1" x14ac:dyDescent="0.45">
      <c r="A761" t="str">
        <f>_xlfn.XLOOKUP(B761,Ingot!$H$12:$H$119,Ingot!$G$12:$G$119,"")</f>
        <v>Metal</v>
      </c>
      <c r="B761" t="s">
        <v>1447</v>
      </c>
      <c r="C761" t="s">
        <v>10</v>
      </c>
      <c r="D761" t="s">
        <v>1538</v>
      </c>
      <c r="E761" t="s">
        <v>1539</v>
      </c>
    </row>
    <row r="762" spans="1:7" ht="14.25" hidden="1" customHeight="1" x14ac:dyDescent="0.45">
      <c r="A762" t="str">
        <f>_xlfn.XLOOKUP(B762,Ingot!$H$12:$H$119,Ingot!$G$12:$G$119,"")</f>
        <v>Metal</v>
      </c>
      <c r="B762" t="s">
        <v>1447</v>
      </c>
      <c r="C762" t="s">
        <v>10</v>
      </c>
      <c r="D762" t="s">
        <v>1540</v>
      </c>
      <c r="E762" t="s">
        <v>1541</v>
      </c>
    </row>
    <row r="763" spans="1:7" ht="14.25" hidden="1" customHeight="1" x14ac:dyDescent="0.45">
      <c r="A763" t="str">
        <f>_xlfn.XLOOKUP(B763,Ingot!$H$12:$H$119,Ingot!$G$12:$G$119,"")</f>
        <v>Metal</v>
      </c>
      <c r="B763" t="s">
        <v>1447</v>
      </c>
      <c r="C763" t="s">
        <v>10</v>
      </c>
      <c r="D763" t="s">
        <v>1542</v>
      </c>
      <c r="E763" t="s">
        <v>1543</v>
      </c>
      <c r="G763" s="1">
        <v>6.8</v>
      </c>
    </row>
    <row r="764" spans="1:7" ht="14.25" hidden="1" customHeight="1" x14ac:dyDescent="0.45">
      <c r="A764" t="str">
        <f>_xlfn.XLOOKUP(B764,Ingot!$H$12:$H$119,Ingot!$G$12:$G$119,"")</f>
        <v>Metal</v>
      </c>
      <c r="B764" t="s">
        <v>1447</v>
      </c>
      <c r="C764" t="s">
        <v>10</v>
      </c>
      <c r="D764" t="s">
        <v>1544</v>
      </c>
      <c r="E764" t="s">
        <v>1545</v>
      </c>
      <c r="G764" s="1">
        <v>6.88</v>
      </c>
    </row>
    <row r="765" spans="1:7" ht="14.25" hidden="1" customHeight="1" x14ac:dyDescent="0.45">
      <c r="A765" t="str">
        <f>_xlfn.XLOOKUP(B765,Ingot!$H$12:$H$119,Ingot!$G$12:$G$119,"")</f>
        <v>Metal</v>
      </c>
      <c r="B765" t="s">
        <v>1447</v>
      </c>
      <c r="C765" t="s">
        <v>10</v>
      </c>
      <c r="D765" t="s">
        <v>1546</v>
      </c>
      <c r="E765" t="s">
        <v>1547</v>
      </c>
      <c r="G765" s="1">
        <v>5.5</v>
      </c>
    </row>
    <row r="766" spans="1:7" ht="14.25" hidden="1" customHeight="1" x14ac:dyDescent="0.45">
      <c r="A766" t="str">
        <f>_xlfn.XLOOKUP(B766,Ingot!$H$12:$H$119,Ingot!$G$12:$G$119,"")</f>
        <v>Metal</v>
      </c>
      <c r="B766" t="s">
        <v>1447</v>
      </c>
      <c r="C766" t="s">
        <v>10</v>
      </c>
      <c r="D766" t="s">
        <v>1548</v>
      </c>
      <c r="E766" t="s">
        <v>1549</v>
      </c>
      <c r="G766" s="1">
        <v>2.4300000000000002</v>
      </c>
    </row>
    <row r="767" spans="1:7" ht="14.25" hidden="1" customHeight="1" x14ac:dyDescent="0.45">
      <c r="A767" t="str">
        <f>_xlfn.XLOOKUP(B767,Ingot!$H$12:$H$119,Ingot!$G$12:$G$119,"")</f>
        <v>Metal</v>
      </c>
      <c r="B767" t="s">
        <v>1447</v>
      </c>
      <c r="C767" t="s">
        <v>10</v>
      </c>
      <c r="D767" t="s">
        <v>1550</v>
      </c>
      <c r="E767" t="s">
        <v>1551</v>
      </c>
      <c r="G767" s="1">
        <v>6.96</v>
      </c>
    </row>
    <row r="768" spans="1:7" ht="14.25" hidden="1" customHeight="1" x14ac:dyDescent="0.45">
      <c r="A768" t="str">
        <f>_xlfn.XLOOKUP(B768,Ingot!$H$12:$H$119,Ingot!$G$12:$G$119,"")</f>
        <v>Metal</v>
      </c>
      <c r="B768" t="s">
        <v>1447</v>
      </c>
      <c r="C768" t="s">
        <v>10</v>
      </c>
      <c r="D768" t="s">
        <v>1552</v>
      </c>
      <c r="E768" t="s">
        <v>1553</v>
      </c>
      <c r="G768" s="1">
        <v>6.32</v>
      </c>
    </row>
    <row r="769" spans="1:7" ht="14.25" hidden="1" customHeight="1" x14ac:dyDescent="0.45">
      <c r="A769" t="str">
        <f>_xlfn.XLOOKUP(B769,Ingot!$H$12:$H$119,Ingot!$G$12:$G$119,"")</f>
        <v>Metal</v>
      </c>
      <c r="B769" t="s">
        <v>1447</v>
      </c>
      <c r="C769" t="s">
        <v>10</v>
      </c>
      <c r="D769" t="s">
        <v>1554</v>
      </c>
      <c r="E769" t="s">
        <v>1555</v>
      </c>
      <c r="G769" s="1">
        <v>6.88</v>
      </c>
    </row>
    <row r="770" spans="1:7" ht="14.25" hidden="1" customHeight="1" x14ac:dyDescent="0.45">
      <c r="A770" t="str">
        <f>_xlfn.XLOOKUP(B770,Ingot!$H$12:$H$119,Ingot!$G$12:$G$119,"")</f>
        <v>Metal</v>
      </c>
      <c r="B770" t="s">
        <v>1447</v>
      </c>
      <c r="C770" t="s">
        <v>10</v>
      </c>
      <c r="D770" t="s">
        <v>1556</v>
      </c>
      <c r="E770" t="s">
        <v>1557</v>
      </c>
      <c r="G770" s="1">
        <v>2.44</v>
      </c>
    </row>
    <row r="771" spans="1:7" ht="14.25" hidden="1" customHeight="1" x14ac:dyDescent="0.45">
      <c r="A771" t="str">
        <f>_xlfn.XLOOKUP(B771,Ingot!$H$12:$H$119,Ingot!$G$12:$G$119,"")</f>
        <v>Metal</v>
      </c>
      <c r="B771" t="s">
        <v>1447</v>
      </c>
      <c r="C771" t="s">
        <v>10</v>
      </c>
      <c r="D771" t="s">
        <v>1558</v>
      </c>
      <c r="E771" t="s">
        <v>1559</v>
      </c>
    </row>
    <row r="772" spans="1:7" ht="14.25" hidden="1" customHeight="1" x14ac:dyDescent="0.45">
      <c r="A772" t="str">
        <f>_xlfn.XLOOKUP(B772,Ingot!$H$12:$H$119,Ingot!$G$12:$G$119,"")</f>
        <v>Metal</v>
      </c>
      <c r="B772" t="s">
        <v>1447</v>
      </c>
      <c r="C772" t="s">
        <v>10</v>
      </c>
      <c r="D772" t="s">
        <v>1560</v>
      </c>
      <c r="E772" t="s">
        <v>1561</v>
      </c>
    </row>
    <row r="773" spans="1:7" ht="14.25" hidden="1" customHeight="1" x14ac:dyDescent="0.45">
      <c r="A773" t="str">
        <f>_xlfn.XLOOKUP(B773,Ingot!$H$12:$H$119,Ingot!$G$12:$G$119,"")</f>
        <v>Metal</v>
      </c>
      <c r="B773" t="s">
        <v>1447</v>
      </c>
      <c r="C773" t="s">
        <v>10</v>
      </c>
      <c r="D773" t="s">
        <v>1562</v>
      </c>
      <c r="E773" t="s">
        <v>1563</v>
      </c>
      <c r="G773" s="1">
        <v>3.11</v>
      </c>
    </row>
    <row r="774" spans="1:7" ht="14.25" hidden="1" customHeight="1" x14ac:dyDescent="0.45">
      <c r="A774" t="str">
        <f>_xlfn.XLOOKUP(B774,Ingot!$H$12:$H$119,Ingot!$G$12:$G$119,"")</f>
        <v>Metal</v>
      </c>
      <c r="B774" t="s">
        <v>1447</v>
      </c>
      <c r="C774" t="s">
        <v>10</v>
      </c>
      <c r="D774" t="s">
        <v>1564</v>
      </c>
      <c r="E774" t="s">
        <v>1565</v>
      </c>
      <c r="G774" s="1">
        <v>2.44</v>
      </c>
    </row>
    <row r="775" spans="1:7" ht="14.25" hidden="1" customHeight="1" x14ac:dyDescent="0.45">
      <c r="A775" t="str">
        <f>_xlfn.XLOOKUP(B775,Ingot!$H$12:$H$119,Ingot!$G$12:$G$119,"")</f>
        <v>Metal</v>
      </c>
      <c r="B775" t="s">
        <v>1447</v>
      </c>
      <c r="C775" t="s">
        <v>10</v>
      </c>
      <c r="D775" t="s">
        <v>1566</v>
      </c>
      <c r="E775" t="s">
        <v>1567</v>
      </c>
      <c r="G775" s="1">
        <v>8.61</v>
      </c>
    </row>
    <row r="776" spans="1:7" ht="14.25" hidden="1" customHeight="1" x14ac:dyDescent="0.45">
      <c r="A776" t="str">
        <f>_xlfn.XLOOKUP(B776,Ingot!$H$12:$H$119,Ingot!$G$12:$G$119,"")</f>
        <v>Metal</v>
      </c>
      <c r="B776" t="s">
        <v>1447</v>
      </c>
      <c r="C776" t="s">
        <v>10</v>
      </c>
      <c r="D776" t="s">
        <v>1568</v>
      </c>
      <c r="E776" t="s">
        <v>1569</v>
      </c>
    </row>
    <row r="777" spans="1:7" ht="14.25" hidden="1" customHeight="1" x14ac:dyDescent="0.45">
      <c r="A777" t="str">
        <f>_xlfn.XLOOKUP(B777,Ingot!$H$12:$H$119,Ingot!$G$12:$G$119,"")</f>
        <v>Metal</v>
      </c>
      <c r="B777" t="s">
        <v>1447</v>
      </c>
      <c r="C777" t="s">
        <v>10</v>
      </c>
      <c r="D777" t="s">
        <v>1570</v>
      </c>
      <c r="E777" t="s">
        <v>1571</v>
      </c>
      <c r="G777" s="1">
        <v>3.21</v>
      </c>
    </row>
    <row r="778" spans="1:7" ht="14.25" hidden="1" customHeight="1" x14ac:dyDescent="0.45">
      <c r="A778" t="str">
        <f>_xlfn.XLOOKUP(B778,Ingot!$H$12:$H$119,Ingot!$G$12:$G$119,"")</f>
        <v>Metal</v>
      </c>
      <c r="B778" t="s">
        <v>1447</v>
      </c>
      <c r="C778" t="s">
        <v>10</v>
      </c>
      <c r="D778" t="s">
        <v>1572</v>
      </c>
      <c r="E778" t="s">
        <v>1573</v>
      </c>
      <c r="G778" s="1">
        <v>2.77</v>
      </c>
    </row>
    <row r="779" spans="1:7" ht="14.25" hidden="1" customHeight="1" x14ac:dyDescent="0.45">
      <c r="A779" t="str">
        <f>_xlfn.XLOOKUP(B779,Ingot!$H$12:$H$119,Ingot!$G$12:$G$119,"")</f>
        <v>Metal</v>
      </c>
      <c r="B779" t="s">
        <v>1447</v>
      </c>
      <c r="C779" t="s">
        <v>10</v>
      </c>
      <c r="D779" t="s">
        <v>1574</v>
      </c>
      <c r="E779" t="s">
        <v>1575</v>
      </c>
      <c r="G779" s="1">
        <v>4.8899999999999997</v>
      </c>
    </row>
    <row r="780" spans="1:7" ht="14.25" hidden="1" customHeight="1" x14ac:dyDescent="0.45">
      <c r="A780" t="str">
        <f>_xlfn.XLOOKUP(B780,Ingot!$H$12:$H$119,Ingot!$G$12:$G$119,"")</f>
        <v>Metal</v>
      </c>
      <c r="B780" t="s">
        <v>1447</v>
      </c>
      <c r="C780" t="s">
        <v>10</v>
      </c>
      <c r="D780" t="s">
        <v>1576</v>
      </c>
      <c r="E780" t="s">
        <v>1577</v>
      </c>
      <c r="G780" s="1">
        <v>1.76</v>
      </c>
    </row>
    <row r="781" spans="1:7" ht="14.25" hidden="1" customHeight="1" x14ac:dyDescent="0.45">
      <c r="A781" t="str">
        <f>_xlfn.XLOOKUP(B781,Ingot!$H$12:$H$119,Ingot!$G$12:$G$119,"")</f>
        <v>Metal</v>
      </c>
      <c r="B781" t="s">
        <v>1447</v>
      </c>
      <c r="C781" t="s">
        <v>10</v>
      </c>
      <c r="D781" t="s">
        <v>1578</v>
      </c>
      <c r="E781" t="s">
        <v>1579</v>
      </c>
    </row>
    <row r="782" spans="1:7" ht="14.25" hidden="1" customHeight="1" x14ac:dyDescent="0.45">
      <c r="A782" t="str">
        <f>_xlfn.XLOOKUP(B782,Ingot!$H$12:$H$119,Ingot!$G$12:$G$119,"")</f>
        <v>Metal</v>
      </c>
      <c r="B782" t="s">
        <v>1447</v>
      </c>
      <c r="C782" t="s">
        <v>10</v>
      </c>
      <c r="D782" t="s">
        <v>1580</v>
      </c>
      <c r="E782" t="s">
        <v>1581</v>
      </c>
      <c r="G782" s="1">
        <v>8.57</v>
      </c>
    </row>
    <row r="783" spans="1:7" ht="14.25" hidden="1" customHeight="1" x14ac:dyDescent="0.45">
      <c r="A783" t="str">
        <f>_xlfn.XLOOKUP(B783,Ingot!$H$12:$H$119,Ingot!$G$12:$G$119,"")</f>
        <v>Metal</v>
      </c>
      <c r="B783" t="s">
        <v>1447</v>
      </c>
      <c r="C783" t="s">
        <v>10</v>
      </c>
      <c r="D783" t="s">
        <v>1582</v>
      </c>
      <c r="E783" t="s">
        <v>1583</v>
      </c>
    </row>
    <row r="784" spans="1:7" ht="14.25" hidden="1" customHeight="1" x14ac:dyDescent="0.45">
      <c r="A784" t="str">
        <f>_xlfn.XLOOKUP(B784,Ingot!$H$12:$H$119,Ingot!$G$12:$G$119,"")</f>
        <v>Metal</v>
      </c>
      <c r="B784" t="s">
        <v>1447</v>
      </c>
      <c r="C784" t="s">
        <v>10</v>
      </c>
      <c r="D784" t="s">
        <v>1584</v>
      </c>
      <c r="E784" t="s">
        <v>1585</v>
      </c>
      <c r="G784" s="1">
        <v>3.56</v>
      </c>
    </row>
    <row r="785" spans="1:7" ht="14.25" hidden="1" customHeight="1" x14ac:dyDescent="0.45">
      <c r="A785" t="str">
        <f>_xlfn.XLOOKUP(B785,Ingot!$H$12:$H$119,Ingot!$G$12:$G$119,"")</f>
        <v>Metal</v>
      </c>
      <c r="B785" t="s">
        <v>1447</v>
      </c>
      <c r="C785" t="s">
        <v>10</v>
      </c>
      <c r="D785" t="s">
        <v>1586</v>
      </c>
      <c r="E785" t="s">
        <v>1587</v>
      </c>
      <c r="G785" s="1">
        <v>8.91</v>
      </c>
    </row>
    <row r="786" spans="1:7" ht="14.25" hidden="1" customHeight="1" x14ac:dyDescent="0.45">
      <c r="A786" t="str">
        <f>_xlfn.XLOOKUP(B786,Ingot!$H$12:$H$119,Ingot!$G$12:$G$119,"")</f>
        <v>Metal</v>
      </c>
      <c r="B786" t="s">
        <v>1447</v>
      </c>
      <c r="C786" t="s">
        <v>10</v>
      </c>
      <c r="D786" t="s">
        <v>1588</v>
      </c>
      <c r="E786" t="s">
        <v>1589</v>
      </c>
      <c r="G786" s="1">
        <v>11.02</v>
      </c>
    </row>
    <row r="787" spans="1:7" ht="14.25" hidden="1" customHeight="1" x14ac:dyDescent="0.45">
      <c r="A787" t="str">
        <f>_xlfn.XLOOKUP(B787,Ingot!$H$12:$H$119,Ingot!$G$12:$G$119,"")</f>
        <v>Metal</v>
      </c>
      <c r="B787" t="s">
        <v>1447</v>
      </c>
      <c r="C787" t="s">
        <v>10</v>
      </c>
      <c r="D787" t="s">
        <v>1590</v>
      </c>
      <c r="E787" t="s">
        <v>1591</v>
      </c>
      <c r="G787" s="1">
        <v>5.12</v>
      </c>
    </row>
    <row r="788" spans="1:7" ht="14.25" hidden="1" customHeight="1" x14ac:dyDescent="0.45">
      <c r="A788" t="str">
        <f>_xlfn.XLOOKUP(B788,Ingot!$H$12:$H$119,Ingot!$G$12:$G$119,"")</f>
        <v>Metal</v>
      </c>
      <c r="B788" t="s">
        <v>1447</v>
      </c>
      <c r="C788" t="s">
        <v>10</v>
      </c>
      <c r="D788" t="s">
        <v>1592</v>
      </c>
      <c r="E788" t="s">
        <v>1593</v>
      </c>
      <c r="G788" s="1">
        <v>4.41</v>
      </c>
    </row>
    <row r="789" spans="1:7" ht="14.25" hidden="1" customHeight="1" x14ac:dyDescent="0.45">
      <c r="A789" t="str">
        <f>_xlfn.XLOOKUP(B789,Ingot!$H$12:$H$119,Ingot!$G$12:$G$119,"")</f>
        <v>Metal</v>
      </c>
      <c r="B789" t="s">
        <v>1447</v>
      </c>
      <c r="C789" t="s">
        <v>157</v>
      </c>
      <c r="D789" t="s">
        <v>1594</v>
      </c>
      <c r="E789" t="s">
        <v>1595</v>
      </c>
      <c r="G789" s="1">
        <v>34.47</v>
      </c>
    </row>
    <row r="790" spans="1:7" ht="14.25" hidden="1" customHeight="1" x14ac:dyDescent="0.45">
      <c r="A790" t="str">
        <f>_xlfn.XLOOKUP(B790,Ingot!$H$12:$H$119,Ingot!$G$12:$G$119,"")</f>
        <v>Metal</v>
      </c>
      <c r="B790" t="s">
        <v>1447</v>
      </c>
      <c r="C790" t="s">
        <v>157</v>
      </c>
      <c r="D790" t="s">
        <v>1596</v>
      </c>
      <c r="E790" t="s">
        <v>1597</v>
      </c>
      <c r="G790" s="1">
        <v>6.89</v>
      </c>
    </row>
    <row r="791" spans="1:7" ht="14.25" hidden="1" customHeight="1" x14ac:dyDescent="0.45">
      <c r="A791" t="str">
        <f>_xlfn.XLOOKUP(B791,Ingot!$H$12:$H$119,Ingot!$G$12:$G$119,"")</f>
        <v>Metal</v>
      </c>
      <c r="B791" t="s">
        <v>1447</v>
      </c>
      <c r="C791" t="s">
        <v>157</v>
      </c>
      <c r="D791" t="s">
        <v>1598</v>
      </c>
      <c r="E791" t="s">
        <v>1599</v>
      </c>
      <c r="G791" s="1">
        <v>6.89</v>
      </c>
    </row>
    <row r="792" spans="1:7" ht="14.25" hidden="1" customHeight="1" x14ac:dyDescent="0.45">
      <c r="A792" t="str">
        <f>_xlfn.XLOOKUP(B792,Ingot!$H$12:$H$119,Ingot!$G$12:$G$119,"")</f>
        <v>Metal</v>
      </c>
      <c r="B792" t="s">
        <v>1447</v>
      </c>
      <c r="C792" t="s">
        <v>157</v>
      </c>
      <c r="D792" t="s">
        <v>1600</v>
      </c>
      <c r="E792" t="s">
        <v>1601</v>
      </c>
      <c r="G792" s="1">
        <v>5</v>
      </c>
    </row>
    <row r="793" spans="1:7" ht="14.25" hidden="1" customHeight="1" x14ac:dyDescent="0.45">
      <c r="A793" t="str">
        <f>_xlfn.XLOOKUP(B793,Ingot!$H$12:$H$119,Ingot!$G$12:$G$119,"")</f>
        <v>Metal</v>
      </c>
      <c r="B793" t="s">
        <v>1447</v>
      </c>
      <c r="C793" t="s">
        <v>157</v>
      </c>
      <c r="D793" t="s">
        <v>1602</v>
      </c>
      <c r="E793" t="s">
        <v>1603</v>
      </c>
      <c r="G793" s="1">
        <v>10</v>
      </c>
    </row>
    <row r="794" spans="1:7" ht="14.25" hidden="1" customHeight="1" x14ac:dyDescent="0.45">
      <c r="A794" t="str">
        <f>_xlfn.XLOOKUP(B794,Ingot!$H$12:$H$119,Ingot!$G$12:$G$119,"")</f>
        <v>Metal</v>
      </c>
      <c r="B794" t="s">
        <v>1447</v>
      </c>
      <c r="C794" t="s">
        <v>157</v>
      </c>
      <c r="D794" t="s">
        <v>1604</v>
      </c>
      <c r="E794" t="s">
        <v>1605</v>
      </c>
      <c r="G794" s="1">
        <v>28.97</v>
      </c>
    </row>
    <row r="795" spans="1:7" ht="14.25" hidden="1" customHeight="1" x14ac:dyDescent="0.45">
      <c r="A795" t="str">
        <f>_xlfn.XLOOKUP(B795,Ingot!$H$12:$H$119,Ingot!$G$12:$G$119,"")</f>
        <v>Metal</v>
      </c>
      <c r="B795" t="s">
        <v>1447</v>
      </c>
      <c r="C795" t="s">
        <v>157</v>
      </c>
      <c r="D795" t="s">
        <v>1606</v>
      </c>
      <c r="E795" t="s">
        <v>1607</v>
      </c>
      <c r="G795" s="1">
        <v>5.79</v>
      </c>
    </row>
    <row r="796" spans="1:7" ht="14.25" hidden="1" customHeight="1" x14ac:dyDescent="0.45">
      <c r="A796" t="str">
        <f>_xlfn.XLOOKUP(B796,Ingot!$H$12:$H$119,Ingot!$G$12:$G$119,"")</f>
        <v>Metal</v>
      </c>
      <c r="B796" t="s">
        <v>1447</v>
      </c>
      <c r="C796" t="s">
        <v>157</v>
      </c>
      <c r="D796" t="s">
        <v>1608</v>
      </c>
      <c r="E796" t="s">
        <v>1609</v>
      </c>
      <c r="G796" s="1">
        <v>5.79</v>
      </c>
    </row>
    <row r="797" spans="1:7" ht="14.25" hidden="1" customHeight="1" x14ac:dyDescent="0.45">
      <c r="A797" t="str">
        <f>_xlfn.XLOOKUP(B797,Ingot!$H$12:$H$119,Ingot!$G$12:$G$119,"")</f>
        <v>Metal</v>
      </c>
      <c r="B797" t="s">
        <v>1447</v>
      </c>
      <c r="C797" t="s">
        <v>157</v>
      </c>
      <c r="D797" t="s">
        <v>1610</v>
      </c>
      <c r="E797" t="s">
        <v>1611</v>
      </c>
      <c r="G797" s="1">
        <v>5</v>
      </c>
    </row>
    <row r="798" spans="1:7" ht="14.25" hidden="1" customHeight="1" x14ac:dyDescent="0.45">
      <c r="A798" t="str">
        <f>_xlfn.XLOOKUP(B798,Ingot!$H$12:$H$119,Ingot!$G$12:$G$119,"")</f>
        <v>Metal</v>
      </c>
      <c r="B798" t="s">
        <v>1447</v>
      </c>
      <c r="C798" t="s">
        <v>157</v>
      </c>
      <c r="D798" t="s">
        <v>1612</v>
      </c>
      <c r="E798" t="s">
        <v>1613</v>
      </c>
      <c r="G798" s="1">
        <v>10</v>
      </c>
    </row>
    <row r="799" spans="1:7" ht="14.25" hidden="1" customHeight="1" x14ac:dyDescent="0.45">
      <c r="A799" t="str">
        <f>_xlfn.XLOOKUP(B799,Ingot!$H$12:$H$119,Ingot!$G$12:$G$119,"")</f>
        <v>Metal</v>
      </c>
      <c r="B799" t="s">
        <v>1447</v>
      </c>
      <c r="C799" t="s">
        <v>157</v>
      </c>
      <c r="D799" t="s">
        <v>1614</v>
      </c>
      <c r="E799" t="s">
        <v>1615</v>
      </c>
      <c r="F799" t="s">
        <v>180</v>
      </c>
      <c r="G799" s="1">
        <v>27.97</v>
      </c>
    </row>
    <row r="800" spans="1:7" ht="14.25" hidden="1" customHeight="1" x14ac:dyDescent="0.45">
      <c r="A800" t="str">
        <f>_xlfn.XLOOKUP(B800,Ingot!$H$12:$H$119,Ingot!$G$12:$G$119,"")</f>
        <v>Metal</v>
      </c>
      <c r="B800" t="s">
        <v>1447</v>
      </c>
      <c r="C800" t="s">
        <v>157</v>
      </c>
      <c r="D800" t="s">
        <v>1616</v>
      </c>
      <c r="E800" t="s">
        <v>1617</v>
      </c>
      <c r="F800" t="s">
        <v>180</v>
      </c>
      <c r="G800" s="1">
        <v>5.59</v>
      </c>
    </row>
    <row r="801" spans="1:7" ht="14.25" hidden="1" customHeight="1" x14ac:dyDescent="0.45">
      <c r="A801" t="str">
        <f>_xlfn.XLOOKUP(B801,Ingot!$H$12:$H$119,Ingot!$G$12:$G$119,"")</f>
        <v>Metal</v>
      </c>
      <c r="B801" t="s">
        <v>1447</v>
      </c>
      <c r="C801" t="s">
        <v>157</v>
      </c>
      <c r="D801" t="s">
        <v>1618</v>
      </c>
      <c r="E801" t="s">
        <v>1619</v>
      </c>
      <c r="F801" t="s">
        <v>180</v>
      </c>
      <c r="G801" s="1">
        <v>5.59</v>
      </c>
    </row>
    <row r="802" spans="1:7" ht="14.25" hidden="1" customHeight="1" x14ac:dyDescent="0.45">
      <c r="A802" t="str">
        <f>_xlfn.XLOOKUP(B802,Ingot!$H$12:$H$119,Ingot!$G$12:$G$119,"")</f>
        <v>Metal</v>
      </c>
      <c r="B802" t="s">
        <v>1447</v>
      </c>
      <c r="C802" t="s">
        <v>157</v>
      </c>
      <c r="D802" t="s">
        <v>1620</v>
      </c>
      <c r="E802" t="s">
        <v>1621</v>
      </c>
      <c r="F802" t="s">
        <v>180</v>
      </c>
      <c r="G802" s="1">
        <v>5</v>
      </c>
    </row>
    <row r="803" spans="1:7" ht="14.25" hidden="1" customHeight="1" x14ac:dyDescent="0.45">
      <c r="A803" t="str">
        <f>_xlfn.XLOOKUP(B803,Ingot!$H$12:$H$119,Ingot!$G$12:$G$119,"")</f>
        <v>Metal</v>
      </c>
      <c r="B803" t="s">
        <v>1447</v>
      </c>
      <c r="C803" t="s">
        <v>157</v>
      </c>
      <c r="D803" t="s">
        <v>1622</v>
      </c>
      <c r="E803" t="s">
        <v>1623</v>
      </c>
      <c r="F803" t="s">
        <v>180</v>
      </c>
      <c r="G803" s="1">
        <v>10</v>
      </c>
    </row>
    <row r="804" spans="1:7" ht="14.25" hidden="1" customHeight="1" x14ac:dyDescent="0.45">
      <c r="A804" t="str">
        <f>_xlfn.XLOOKUP(B804,Ingot!$H$12:$H$119,Ingot!$G$12:$G$119,"")</f>
        <v>Metal</v>
      </c>
      <c r="B804" t="s">
        <v>1447</v>
      </c>
      <c r="C804" t="s">
        <v>157</v>
      </c>
      <c r="D804" t="s">
        <v>1624</v>
      </c>
      <c r="E804" t="s">
        <v>1625</v>
      </c>
      <c r="G804" s="1">
        <v>30.47</v>
      </c>
    </row>
    <row r="805" spans="1:7" ht="14.25" hidden="1" customHeight="1" x14ac:dyDescent="0.45">
      <c r="A805" t="str">
        <f>_xlfn.XLOOKUP(B805,Ingot!$H$12:$H$119,Ingot!$G$12:$G$119,"")</f>
        <v>Metal</v>
      </c>
      <c r="B805" t="s">
        <v>1447</v>
      </c>
      <c r="C805" t="s">
        <v>157</v>
      </c>
      <c r="D805" t="s">
        <v>1626</v>
      </c>
      <c r="E805" t="s">
        <v>1627</v>
      </c>
      <c r="G805" s="1">
        <v>6.09</v>
      </c>
    </row>
    <row r="806" spans="1:7" ht="14.25" hidden="1" customHeight="1" x14ac:dyDescent="0.45">
      <c r="A806" t="str">
        <f>_xlfn.XLOOKUP(B806,Ingot!$H$12:$H$119,Ingot!$G$12:$G$119,"")</f>
        <v>Metal</v>
      </c>
      <c r="B806" t="s">
        <v>1447</v>
      </c>
      <c r="C806" t="s">
        <v>157</v>
      </c>
      <c r="D806" t="s">
        <v>1628</v>
      </c>
      <c r="E806" t="s">
        <v>1629</v>
      </c>
      <c r="G806" s="1">
        <v>6.09</v>
      </c>
    </row>
    <row r="807" spans="1:7" ht="14.25" hidden="1" customHeight="1" x14ac:dyDescent="0.45">
      <c r="A807" t="str">
        <f>_xlfn.XLOOKUP(B807,Ingot!$H$12:$H$119,Ingot!$G$12:$G$119,"")</f>
        <v>Metal</v>
      </c>
      <c r="B807" t="s">
        <v>1447</v>
      </c>
      <c r="C807" t="s">
        <v>157</v>
      </c>
      <c r="D807" t="s">
        <v>1630</v>
      </c>
      <c r="E807" t="s">
        <v>1631</v>
      </c>
      <c r="G807" s="1">
        <v>5</v>
      </c>
    </row>
    <row r="808" spans="1:7" ht="14.25" hidden="1" customHeight="1" x14ac:dyDescent="0.45">
      <c r="A808" t="str">
        <f>_xlfn.XLOOKUP(B808,Ingot!$H$12:$H$119,Ingot!$G$12:$G$119,"")</f>
        <v>Metal</v>
      </c>
      <c r="B808" t="s">
        <v>1447</v>
      </c>
      <c r="C808" t="s">
        <v>157</v>
      </c>
      <c r="D808" t="s">
        <v>1632</v>
      </c>
      <c r="E808" t="s">
        <v>1633</v>
      </c>
      <c r="G808" s="1">
        <v>10</v>
      </c>
    </row>
    <row r="809" spans="1:7" ht="14.25" hidden="1" customHeight="1" x14ac:dyDescent="0.45">
      <c r="A809" t="str">
        <f>_xlfn.XLOOKUP(B809,Ingot!$H$12:$H$119,Ingot!$G$12:$G$119,"")</f>
        <v>Metal</v>
      </c>
      <c r="B809" t="s">
        <v>1447</v>
      </c>
      <c r="C809" t="s">
        <v>157</v>
      </c>
      <c r="D809" t="s">
        <v>1634</v>
      </c>
      <c r="E809" t="s">
        <v>1635</v>
      </c>
      <c r="G809" s="1">
        <v>32.47</v>
      </c>
    </row>
    <row r="810" spans="1:7" ht="14.25" hidden="1" customHeight="1" x14ac:dyDescent="0.45">
      <c r="A810" t="str">
        <f>_xlfn.XLOOKUP(B810,Ingot!$H$12:$H$119,Ingot!$G$12:$G$119,"")</f>
        <v>Metal</v>
      </c>
      <c r="B810" t="s">
        <v>1447</v>
      </c>
      <c r="C810" t="s">
        <v>157</v>
      </c>
      <c r="D810" t="s">
        <v>1636</v>
      </c>
      <c r="E810" t="s">
        <v>1637</v>
      </c>
      <c r="F810" t="s">
        <v>180</v>
      </c>
      <c r="G810" s="1">
        <v>6.49</v>
      </c>
    </row>
    <row r="811" spans="1:7" ht="14.25" hidden="1" customHeight="1" x14ac:dyDescent="0.45">
      <c r="A811" t="str">
        <f>_xlfn.XLOOKUP(B811,Ingot!$H$12:$H$119,Ingot!$G$12:$G$119,"")</f>
        <v>Metal</v>
      </c>
      <c r="B811" t="s">
        <v>1447</v>
      </c>
      <c r="C811" t="s">
        <v>157</v>
      </c>
      <c r="D811" t="s">
        <v>1638</v>
      </c>
      <c r="E811" t="s">
        <v>1639</v>
      </c>
      <c r="F811" t="s">
        <v>180</v>
      </c>
      <c r="G811" s="1">
        <v>6.49</v>
      </c>
    </row>
    <row r="812" spans="1:7" ht="14.25" hidden="1" customHeight="1" x14ac:dyDescent="0.45">
      <c r="A812" t="str">
        <f>_xlfn.XLOOKUP(B812,Ingot!$H$12:$H$119,Ingot!$G$12:$G$119,"")</f>
        <v>Metal</v>
      </c>
      <c r="B812" t="s">
        <v>1447</v>
      </c>
      <c r="C812" t="s">
        <v>157</v>
      </c>
      <c r="D812" t="s">
        <v>1640</v>
      </c>
      <c r="E812" t="s">
        <v>1641</v>
      </c>
      <c r="F812" t="s">
        <v>180</v>
      </c>
      <c r="G812" s="1">
        <v>5</v>
      </c>
    </row>
    <row r="813" spans="1:7" ht="14.25" hidden="1" customHeight="1" x14ac:dyDescent="0.45">
      <c r="A813" t="str">
        <f>_xlfn.XLOOKUP(B813,Ingot!$H$12:$H$119,Ingot!$G$12:$G$119,"")</f>
        <v>Metal</v>
      </c>
      <c r="B813" t="s">
        <v>1447</v>
      </c>
      <c r="C813" t="s">
        <v>157</v>
      </c>
      <c r="D813" t="s">
        <v>1642</v>
      </c>
      <c r="E813" t="s">
        <v>1643</v>
      </c>
      <c r="G813" s="1">
        <v>10</v>
      </c>
    </row>
    <row r="814" spans="1:7" ht="14.25" hidden="1" customHeight="1" x14ac:dyDescent="0.45">
      <c r="A814" t="str">
        <f>_xlfn.XLOOKUP(B814,Ingot!$H$12:$H$119,Ingot!$G$12:$G$119,"")</f>
        <v>Metal</v>
      </c>
      <c r="B814" t="s">
        <v>1447</v>
      </c>
      <c r="C814" t="s">
        <v>157</v>
      </c>
      <c r="D814" t="s">
        <v>1644</v>
      </c>
      <c r="E814" t="s">
        <v>1645</v>
      </c>
      <c r="G814" s="1">
        <v>37.47</v>
      </c>
    </row>
    <row r="815" spans="1:7" ht="14.25" hidden="1" customHeight="1" x14ac:dyDescent="0.45">
      <c r="A815" t="str">
        <f>_xlfn.XLOOKUP(B815,Ingot!$H$12:$H$119,Ingot!$G$12:$G$119,"")</f>
        <v>Metal</v>
      </c>
      <c r="B815" t="s">
        <v>1447</v>
      </c>
      <c r="C815" t="s">
        <v>157</v>
      </c>
      <c r="D815" t="s">
        <v>1646</v>
      </c>
      <c r="E815" t="s">
        <v>1647</v>
      </c>
      <c r="G815" s="1">
        <v>7.49</v>
      </c>
    </row>
    <row r="816" spans="1:7" ht="14.25" hidden="1" customHeight="1" x14ac:dyDescent="0.45">
      <c r="A816" t="str">
        <f>_xlfn.XLOOKUP(B816,Ingot!$H$12:$H$119,Ingot!$G$12:$G$119,"")</f>
        <v>Metal</v>
      </c>
      <c r="B816" t="s">
        <v>1447</v>
      </c>
      <c r="C816" t="s">
        <v>157</v>
      </c>
      <c r="D816" t="s">
        <v>1648</v>
      </c>
      <c r="E816" t="s">
        <v>1649</v>
      </c>
      <c r="G816" s="1">
        <v>7.49</v>
      </c>
    </row>
    <row r="817" spans="1:7" ht="14.25" hidden="1" customHeight="1" x14ac:dyDescent="0.45">
      <c r="A817" t="str">
        <f>_xlfn.XLOOKUP(B817,Ingot!$H$12:$H$119,Ingot!$G$12:$G$119,"")</f>
        <v>Metal</v>
      </c>
      <c r="B817" t="s">
        <v>1447</v>
      </c>
      <c r="C817" t="s">
        <v>157</v>
      </c>
      <c r="D817" t="s">
        <v>1650</v>
      </c>
      <c r="E817" t="s">
        <v>1651</v>
      </c>
      <c r="G817" s="1">
        <v>5</v>
      </c>
    </row>
    <row r="818" spans="1:7" ht="14.25" hidden="1" customHeight="1" x14ac:dyDescent="0.45">
      <c r="A818" t="str">
        <f>_xlfn.XLOOKUP(B818,Ingot!$H$12:$H$119,Ingot!$G$12:$G$119,"")</f>
        <v>Metal</v>
      </c>
      <c r="B818" t="s">
        <v>1447</v>
      </c>
      <c r="C818" t="s">
        <v>157</v>
      </c>
      <c r="D818" t="s">
        <v>1652</v>
      </c>
      <c r="E818" t="s">
        <v>1653</v>
      </c>
      <c r="G818" s="1">
        <v>10</v>
      </c>
    </row>
    <row r="819" spans="1:7" ht="14.25" hidden="1" customHeight="1" x14ac:dyDescent="0.45">
      <c r="A819" t="str">
        <f>_xlfn.XLOOKUP(B819,Ingot!$H$12:$H$119,Ingot!$G$12:$G$119,"")</f>
        <v>Metal</v>
      </c>
      <c r="B819" t="s">
        <v>1447</v>
      </c>
      <c r="C819" t="s">
        <v>157</v>
      </c>
      <c r="D819" t="s">
        <v>1654</v>
      </c>
      <c r="E819" t="s">
        <v>1655</v>
      </c>
      <c r="G819" s="1">
        <v>36.97</v>
      </c>
    </row>
    <row r="820" spans="1:7" ht="14.25" hidden="1" customHeight="1" x14ac:dyDescent="0.45">
      <c r="A820" t="str">
        <f>_xlfn.XLOOKUP(B820,Ingot!$H$12:$H$119,Ingot!$G$12:$G$119,"")</f>
        <v>Metal</v>
      </c>
      <c r="B820" t="s">
        <v>1447</v>
      </c>
      <c r="C820" t="s">
        <v>157</v>
      </c>
      <c r="D820" t="s">
        <v>1656</v>
      </c>
      <c r="E820" t="s">
        <v>1657</v>
      </c>
      <c r="G820" s="1">
        <v>7.39</v>
      </c>
    </row>
    <row r="821" spans="1:7" ht="14.25" hidden="1" customHeight="1" x14ac:dyDescent="0.45">
      <c r="A821" t="str">
        <f>_xlfn.XLOOKUP(B821,Ingot!$H$12:$H$119,Ingot!$G$12:$G$119,"")</f>
        <v>Metal</v>
      </c>
      <c r="B821" t="s">
        <v>1447</v>
      </c>
      <c r="C821" t="s">
        <v>157</v>
      </c>
      <c r="D821" t="s">
        <v>1658</v>
      </c>
      <c r="E821" t="s">
        <v>1659</v>
      </c>
      <c r="G821" s="1">
        <v>7.39</v>
      </c>
    </row>
    <row r="822" spans="1:7" ht="14.25" hidden="1" customHeight="1" x14ac:dyDescent="0.45">
      <c r="A822" t="str">
        <f>_xlfn.XLOOKUP(B822,Ingot!$H$12:$H$119,Ingot!$G$12:$G$119,"")</f>
        <v>Metal</v>
      </c>
      <c r="B822" t="s">
        <v>1447</v>
      </c>
      <c r="C822" t="s">
        <v>157</v>
      </c>
      <c r="D822" t="s">
        <v>1660</v>
      </c>
      <c r="E822" t="s">
        <v>1661</v>
      </c>
      <c r="G822" s="1">
        <v>5</v>
      </c>
    </row>
    <row r="823" spans="1:7" ht="14.25" hidden="1" customHeight="1" x14ac:dyDescent="0.45">
      <c r="A823" t="str">
        <f>_xlfn.XLOOKUP(B823,Ingot!$H$12:$H$119,Ingot!$G$12:$G$119,"")</f>
        <v>Metal</v>
      </c>
      <c r="B823" t="s">
        <v>1447</v>
      </c>
      <c r="C823" t="s">
        <v>157</v>
      </c>
      <c r="D823" t="s">
        <v>1662</v>
      </c>
      <c r="E823" t="s">
        <v>1663</v>
      </c>
      <c r="G823" s="1">
        <v>10</v>
      </c>
    </row>
    <row r="824" spans="1:7" ht="14.25" hidden="1" customHeight="1" x14ac:dyDescent="0.45">
      <c r="A824" t="str">
        <f>_xlfn.XLOOKUP(B824,Ingot!$H$12:$H$119,Ingot!$G$12:$G$119,"")</f>
        <v>Metal</v>
      </c>
      <c r="B824" t="s">
        <v>1447</v>
      </c>
      <c r="C824" t="s">
        <v>157</v>
      </c>
      <c r="D824" t="s">
        <v>1664</v>
      </c>
      <c r="E824" t="s">
        <v>1665</v>
      </c>
      <c r="F824" t="s">
        <v>180</v>
      </c>
      <c r="G824" s="1">
        <v>26.47</v>
      </c>
    </row>
    <row r="825" spans="1:7" ht="14.25" hidden="1" customHeight="1" x14ac:dyDescent="0.45">
      <c r="A825" t="str">
        <f>_xlfn.XLOOKUP(B825,Ingot!$H$12:$H$119,Ingot!$G$12:$G$119,"")</f>
        <v>Metal</v>
      </c>
      <c r="B825" t="s">
        <v>1447</v>
      </c>
      <c r="C825" t="s">
        <v>157</v>
      </c>
      <c r="D825" t="s">
        <v>1666</v>
      </c>
      <c r="E825" t="s">
        <v>1667</v>
      </c>
      <c r="F825" t="s">
        <v>180</v>
      </c>
      <c r="G825" s="1">
        <v>5.29</v>
      </c>
    </row>
    <row r="826" spans="1:7" ht="14.25" hidden="1" customHeight="1" x14ac:dyDescent="0.45">
      <c r="A826" t="str">
        <f>_xlfn.XLOOKUP(B826,Ingot!$H$12:$H$119,Ingot!$G$12:$G$119,"")</f>
        <v>Metal</v>
      </c>
      <c r="B826" t="s">
        <v>1447</v>
      </c>
      <c r="C826" t="s">
        <v>157</v>
      </c>
      <c r="D826" t="s">
        <v>1668</v>
      </c>
      <c r="E826" t="s">
        <v>1669</v>
      </c>
      <c r="F826" t="s">
        <v>180</v>
      </c>
      <c r="G826" s="1">
        <v>5.29</v>
      </c>
    </row>
    <row r="827" spans="1:7" ht="14.25" hidden="1" customHeight="1" x14ac:dyDescent="0.45">
      <c r="A827" t="str">
        <f>_xlfn.XLOOKUP(B827,Ingot!$H$12:$H$119,Ingot!$G$12:$G$119,"")</f>
        <v>Metal</v>
      </c>
      <c r="B827" t="s">
        <v>1447</v>
      </c>
      <c r="C827" t="s">
        <v>157</v>
      </c>
      <c r="D827" t="s">
        <v>1670</v>
      </c>
      <c r="E827" t="s">
        <v>1671</v>
      </c>
      <c r="F827" t="s">
        <v>180</v>
      </c>
      <c r="G827" s="1">
        <v>5</v>
      </c>
    </row>
    <row r="828" spans="1:7" ht="14.25" hidden="1" customHeight="1" x14ac:dyDescent="0.45">
      <c r="A828" t="str">
        <f>_xlfn.XLOOKUP(B828,Ingot!$H$12:$H$119,Ingot!$G$12:$G$119,"")</f>
        <v>Metal</v>
      </c>
      <c r="B828" t="s">
        <v>1447</v>
      </c>
      <c r="C828" t="s">
        <v>157</v>
      </c>
      <c r="D828" t="s">
        <v>1672</v>
      </c>
      <c r="E828" t="s">
        <v>1673</v>
      </c>
      <c r="F828" t="s">
        <v>180</v>
      </c>
      <c r="G828" s="1">
        <v>10</v>
      </c>
    </row>
    <row r="829" spans="1:7" ht="14.25" hidden="1" customHeight="1" x14ac:dyDescent="0.45">
      <c r="A829" t="str">
        <f>_xlfn.XLOOKUP(B829,Ingot!$H$12:$H$119,Ingot!$G$12:$G$119,"")</f>
        <v>Metal</v>
      </c>
      <c r="B829" t="s">
        <v>1447</v>
      </c>
      <c r="C829" t="s">
        <v>239</v>
      </c>
      <c r="D829" t="s">
        <v>1674</v>
      </c>
      <c r="E829" t="s">
        <v>1675</v>
      </c>
      <c r="G829" s="1">
        <f>(VLOOKUP(B829,Ingot!H:I,2,FALSE()) * 0.75) * 0.75</f>
        <v>5.90625</v>
      </c>
    </row>
    <row r="830" spans="1:7" ht="14.25" hidden="1" customHeight="1" x14ac:dyDescent="0.45">
      <c r="A830" t="str">
        <f>_xlfn.XLOOKUP(B830,Ingot!$H$12:$H$119,Ingot!$G$12:$G$119,"")</f>
        <v>Metal</v>
      </c>
      <c r="B830" t="s">
        <v>1447</v>
      </c>
      <c r="C830" t="s">
        <v>239</v>
      </c>
      <c r="D830" t="s">
        <v>1676</v>
      </c>
      <c r="E830" t="s">
        <v>1677</v>
      </c>
      <c r="G830" s="1">
        <f>((VLOOKUP(B830,Ingot!H:I,2,FALSE()) * 3) - 10.25) * 0.421875</f>
        <v>8.96484375</v>
      </c>
    </row>
    <row r="831" spans="1:7" ht="14.25" hidden="1" customHeight="1" x14ac:dyDescent="0.45">
      <c r="A831" t="str">
        <f>_xlfn.XLOOKUP(B831,Ingot!$H$12:$H$119,Ingot!$G$12:$G$119,"")</f>
        <v>Metal</v>
      </c>
      <c r="B831" t="s">
        <v>1447</v>
      </c>
      <c r="C831" t="s">
        <v>239</v>
      </c>
      <c r="D831" t="s">
        <v>1678</v>
      </c>
      <c r="E831" t="s">
        <v>1679</v>
      </c>
      <c r="G831" s="1">
        <f>((VLOOKUP(B831,Ingot!H:I,2,FALSE()) * 3) - 10.25) * 0.75</f>
        <v>15.9375</v>
      </c>
    </row>
    <row r="832" spans="1:7" ht="14.25" hidden="1" customHeight="1" x14ac:dyDescent="0.45">
      <c r="A832" t="str">
        <f>_xlfn.XLOOKUP(B832,Ingot!$H$12:$H$119,Ingot!$G$12:$G$119,"")</f>
        <v>Metal</v>
      </c>
      <c r="B832" t="s">
        <v>1447</v>
      </c>
      <c r="C832" t="s">
        <v>239</v>
      </c>
      <c r="D832" t="s">
        <v>1680</v>
      </c>
      <c r="E832" t="s">
        <v>1681</v>
      </c>
      <c r="G832" s="1">
        <f>((VLOOKUP(B832,Ingot!H:I,2,FALSE()) * 3) - 10.25) * 0.5625</f>
        <v>11.953125</v>
      </c>
    </row>
    <row r="833" spans="1:7" ht="14.25" hidden="1" customHeight="1" x14ac:dyDescent="0.45">
      <c r="A833" t="str">
        <f>_xlfn.XLOOKUP(B833,Ingot!$H$12:$H$119,Ingot!$G$12:$G$119,"")</f>
        <v>Metal</v>
      </c>
      <c r="B833" t="s">
        <v>1447</v>
      </c>
      <c r="C833" t="s">
        <v>239</v>
      </c>
      <c r="D833" t="s">
        <v>1682</v>
      </c>
      <c r="E833" t="s">
        <v>1683</v>
      </c>
      <c r="G833" s="1">
        <f>VLOOKUP(B833,Ingot!H:I,2,FALSE()) * 0.75</f>
        <v>7.875</v>
      </c>
    </row>
    <row r="834" spans="1:7" ht="14.25" hidden="1" customHeight="1" x14ac:dyDescent="0.45">
      <c r="A834" t="str">
        <f>_xlfn.XLOOKUP(B834,Ingot!$H$12:$H$119,Ingot!$G$12:$G$119,"")</f>
        <v>Metal</v>
      </c>
      <c r="B834" t="s">
        <v>1447</v>
      </c>
      <c r="C834" t="s">
        <v>239</v>
      </c>
      <c r="D834" t="s">
        <v>1684</v>
      </c>
      <c r="E834" t="s">
        <v>1685</v>
      </c>
      <c r="G834" s="1">
        <f>(VLOOKUP(B834,Ingot!H:I,2,FALSE()) * 3) - 10.25</f>
        <v>21.25</v>
      </c>
    </row>
    <row r="835" spans="1:7" ht="14.25" hidden="1" customHeight="1" x14ac:dyDescent="0.45">
      <c r="A835" t="str">
        <f>_xlfn.XLOOKUP(B835,Ingot!$H$12:$H$119,Ingot!$G$12:$G$119,"")</f>
        <v>Metal</v>
      </c>
      <c r="B835" t="s">
        <v>1686</v>
      </c>
      <c r="C835" t="s">
        <v>10</v>
      </c>
      <c r="D835" t="s">
        <v>1687</v>
      </c>
      <c r="E835" t="s">
        <v>1688</v>
      </c>
      <c r="G835" s="1">
        <v>0.08</v>
      </c>
    </row>
    <row r="836" spans="1:7" ht="14.25" hidden="1" customHeight="1" x14ac:dyDescent="0.45">
      <c r="A836" t="str">
        <f>_xlfn.XLOOKUP(B836,Ingot!$H$12:$H$119,Ingot!$G$12:$G$119,"")</f>
        <v>Metal</v>
      </c>
      <c r="B836" t="s">
        <v>1686</v>
      </c>
      <c r="C836" t="s">
        <v>10</v>
      </c>
      <c r="D836" t="s">
        <v>1689</v>
      </c>
      <c r="E836" t="s">
        <v>1690</v>
      </c>
      <c r="G836" s="1">
        <v>9.9</v>
      </c>
    </row>
    <row r="837" spans="1:7" ht="14.25" hidden="1" customHeight="1" x14ac:dyDescent="0.45">
      <c r="A837" t="str">
        <f>_xlfn.XLOOKUP(B837,Ingot!$H$12:$H$119,Ingot!$G$12:$G$119,"")</f>
        <v>Metal</v>
      </c>
      <c r="B837" t="s">
        <v>1686</v>
      </c>
      <c r="C837" t="s">
        <v>10</v>
      </c>
      <c r="D837" t="s">
        <v>1691</v>
      </c>
      <c r="E837" t="s">
        <v>1692</v>
      </c>
      <c r="G837" s="1">
        <v>5.66</v>
      </c>
    </row>
    <row r="838" spans="1:7" ht="14.25" hidden="1" customHeight="1" x14ac:dyDescent="0.45">
      <c r="A838" t="str">
        <f>_xlfn.XLOOKUP(B838,Ingot!$H$12:$H$119,Ingot!$G$12:$G$119,"")</f>
        <v>Metal</v>
      </c>
      <c r="B838" t="s">
        <v>1686</v>
      </c>
      <c r="C838" t="s">
        <v>10</v>
      </c>
      <c r="D838" t="s">
        <v>1693</v>
      </c>
      <c r="E838" t="s">
        <v>1694</v>
      </c>
      <c r="G838" s="1">
        <v>3.3</v>
      </c>
    </row>
    <row r="839" spans="1:7" ht="14.25" hidden="1" customHeight="1" x14ac:dyDescent="0.45">
      <c r="A839" t="str">
        <f>_xlfn.XLOOKUP(B839,Ingot!$H$12:$H$119,Ingot!$G$12:$G$119,"")</f>
        <v>Metal</v>
      </c>
      <c r="B839" t="s">
        <v>1686</v>
      </c>
      <c r="C839" t="s">
        <v>10</v>
      </c>
      <c r="D839" t="s">
        <v>1695</v>
      </c>
      <c r="E839" t="s">
        <v>1696</v>
      </c>
      <c r="G839" s="1">
        <v>0.66</v>
      </c>
    </row>
    <row r="840" spans="1:7" ht="14.25" hidden="1" customHeight="1" x14ac:dyDescent="0.45">
      <c r="A840" t="str">
        <f>_xlfn.XLOOKUP(B840,Ingot!$H$12:$H$119,Ingot!$G$12:$G$119,"")</f>
        <v>Metal</v>
      </c>
      <c r="B840" t="s">
        <v>1686</v>
      </c>
      <c r="C840" t="s">
        <v>10</v>
      </c>
      <c r="D840" t="s">
        <v>1697</v>
      </c>
      <c r="E840" t="s">
        <v>1698</v>
      </c>
      <c r="G840" s="1">
        <v>0.04</v>
      </c>
    </row>
    <row r="841" spans="1:7" ht="14.25" hidden="1" customHeight="1" x14ac:dyDescent="0.45">
      <c r="A841" t="str">
        <f>_xlfn.XLOOKUP(B841,Ingot!$H$12:$H$119,Ingot!$G$12:$G$119,"")</f>
        <v>Metal</v>
      </c>
      <c r="B841" t="s">
        <v>1686</v>
      </c>
      <c r="C841" t="s">
        <v>10</v>
      </c>
      <c r="D841" t="s">
        <v>1699</v>
      </c>
      <c r="E841" t="s">
        <v>1700</v>
      </c>
      <c r="G841" s="1">
        <v>0.33</v>
      </c>
    </row>
    <row r="842" spans="1:7" ht="14.25" hidden="1" customHeight="1" x14ac:dyDescent="0.45">
      <c r="A842" t="str">
        <f>_xlfn.XLOOKUP(B842,Ingot!$H$12:$H$119,Ingot!$G$12:$G$119,"")</f>
        <v>Metal</v>
      </c>
      <c r="B842" t="s">
        <v>1686</v>
      </c>
      <c r="C842" t="s">
        <v>10</v>
      </c>
      <c r="D842" t="s">
        <v>1701</v>
      </c>
      <c r="E842" t="s">
        <v>1702</v>
      </c>
    </row>
    <row r="843" spans="1:7" ht="14.25" hidden="1" customHeight="1" x14ac:dyDescent="0.45">
      <c r="A843" t="str">
        <f>_xlfn.XLOOKUP(B843,Ingot!$H$12:$H$119,Ingot!$G$12:$G$119,"")</f>
        <v>Metal</v>
      </c>
      <c r="B843" t="s">
        <v>1686</v>
      </c>
      <c r="C843" t="s">
        <v>10</v>
      </c>
      <c r="D843" t="s">
        <v>1703</v>
      </c>
      <c r="E843" t="s">
        <v>1704</v>
      </c>
      <c r="G843" s="1">
        <v>0.05</v>
      </c>
    </row>
    <row r="844" spans="1:7" ht="14.25" hidden="1" customHeight="1" x14ac:dyDescent="0.45">
      <c r="A844" t="str">
        <f>_xlfn.XLOOKUP(B844,Ingot!$H$12:$H$119,Ingot!$G$12:$G$119,"")</f>
        <v>Metal</v>
      </c>
      <c r="B844" t="s">
        <v>1686</v>
      </c>
      <c r="C844" t="s">
        <v>10</v>
      </c>
      <c r="D844" t="s">
        <v>1705</v>
      </c>
      <c r="E844" t="s">
        <v>1706</v>
      </c>
      <c r="G844" s="1">
        <v>0.66</v>
      </c>
    </row>
    <row r="845" spans="1:7" ht="14.25" hidden="1" customHeight="1" x14ac:dyDescent="0.45">
      <c r="A845" t="str">
        <f>_xlfn.XLOOKUP(B845,Ingot!$H$12:$H$119,Ingot!$G$12:$G$119,"")</f>
        <v>Metal</v>
      </c>
      <c r="B845" t="s">
        <v>1686</v>
      </c>
      <c r="C845" t="s">
        <v>10</v>
      </c>
      <c r="D845" t="s">
        <v>1707</v>
      </c>
      <c r="E845" t="s">
        <v>1708</v>
      </c>
      <c r="G845" s="1">
        <v>3.96</v>
      </c>
    </row>
    <row r="846" spans="1:7" ht="14.25" hidden="1" customHeight="1" x14ac:dyDescent="0.45">
      <c r="A846" t="str">
        <f>_xlfn.XLOOKUP(B846,Ingot!$H$12:$H$119,Ingot!$G$12:$G$119,"")</f>
        <v>Metal</v>
      </c>
      <c r="B846" t="s">
        <v>1686</v>
      </c>
      <c r="C846" t="s">
        <v>10</v>
      </c>
      <c r="D846" t="s">
        <v>1709</v>
      </c>
      <c r="E846" t="s">
        <v>1710</v>
      </c>
      <c r="G846" s="1">
        <v>8.77</v>
      </c>
    </row>
    <row r="847" spans="1:7" ht="14.25" hidden="1" customHeight="1" x14ac:dyDescent="0.45">
      <c r="A847" t="str">
        <f>_xlfn.XLOOKUP(B847,Ingot!$H$12:$H$119,Ingot!$G$12:$G$119,"")</f>
        <v>Metal</v>
      </c>
      <c r="B847" t="s">
        <v>1686</v>
      </c>
      <c r="C847" t="s">
        <v>10</v>
      </c>
      <c r="D847" t="s">
        <v>1711</v>
      </c>
      <c r="E847" t="s">
        <v>1712</v>
      </c>
      <c r="G847" s="1">
        <v>3.5</v>
      </c>
    </row>
    <row r="848" spans="1:7" ht="14.25" hidden="1" customHeight="1" x14ac:dyDescent="0.45">
      <c r="A848" t="str">
        <f>_xlfn.XLOOKUP(B848,Ingot!$H$12:$H$119,Ingot!$G$12:$G$119,"")</f>
        <v>Metal</v>
      </c>
      <c r="B848" t="s">
        <v>1686</v>
      </c>
      <c r="C848" t="s">
        <v>10</v>
      </c>
      <c r="D848" t="s">
        <v>1713</v>
      </c>
      <c r="E848" t="s">
        <v>1714</v>
      </c>
    </row>
    <row r="849" spans="1:7" ht="14.25" hidden="1" customHeight="1" x14ac:dyDescent="0.45">
      <c r="A849" t="str">
        <f>_xlfn.XLOOKUP(B849,Ingot!$H$12:$H$119,Ingot!$G$12:$G$119,"")</f>
        <v>Metal</v>
      </c>
      <c r="B849" t="s">
        <v>1686</v>
      </c>
      <c r="C849" t="s">
        <v>10</v>
      </c>
      <c r="D849" t="s">
        <v>1715</v>
      </c>
      <c r="E849" t="s">
        <v>1716</v>
      </c>
      <c r="G849" s="1">
        <v>2.2000000000000002</v>
      </c>
    </row>
    <row r="850" spans="1:7" ht="14.25" hidden="1" customHeight="1" x14ac:dyDescent="0.45">
      <c r="A850" t="str">
        <f>_xlfn.XLOOKUP(B850,Ingot!$H$12:$H$119,Ingot!$G$12:$G$119,"")</f>
        <v>Metal</v>
      </c>
      <c r="B850" t="s">
        <v>1686</v>
      </c>
      <c r="C850" t="s">
        <v>10</v>
      </c>
      <c r="D850" t="s">
        <v>1717</v>
      </c>
      <c r="E850" t="s">
        <v>1718</v>
      </c>
      <c r="G850" s="1">
        <v>1.1000000000000001</v>
      </c>
    </row>
    <row r="851" spans="1:7" ht="14.25" hidden="1" customHeight="1" x14ac:dyDescent="0.45">
      <c r="A851" t="str">
        <f>_xlfn.XLOOKUP(B851,Ingot!$H$12:$H$119,Ingot!$G$12:$G$119,"")</f>
        <v>Metal</v>
      </c>
      <c r="B851" t="s">
        <v>1686</v>
      </c>
      <c r="C851" t="s">
        <v>10</v>
      </c>
      <c r="D851" t="s">
        <v>1719</v>
      </c>
      <c r="E851" t="s">
        <v>1720</v>
      </c>
      <c r="G851" s="1">
        <v>0.22</v>
      </c>
    </row>
    <row r="852" spans="1:7" ht="14.25" hidden="1" customHeight="1" x14ac:dyDescent="0.45">
      <c r="A852" t="str">
        <f>_xlfn.XLOOKUP(B852,Ingot!$H$12:$H$119,Ingot!$G$12:$G$119,"")</f>
        <v>Metal</v>
      </c>
      <c r="B852" t="s">
        <v>1686</v>
      </c>
      <c r="C852" t="s">
        <v>10</v>
      </c>
      <c r="D852" t="s">
        <v>1721</v>
      </c>
      <c r="E852" t="s">
        <v>1722</v>
      </c>
      <c r="G852" s="1">
        <v>8.41</v>
      </c>
    </row>
    <row r="853" spans="1:7" ht="14.25" hidden="1" customHeight="1" x14ac:dyDescent="0.45">
      <c r="A853" t="str">
        <f>_xlfn.XLOOKUP(B853,Ingot!$H$12:$H$119,Ingot!$G$12:$G$119,"")</f>
        <v>Metal</v>
      </c>
      <c r="B853" t="s">
        <v>1686</v>
      </c>
      <c r="C853" t="s">
        <v>10</v>
      </c>
      <c r="D853" t="s">
        <v>1723</v>
      </c>
      <c r="E853" t="s">
        <v>1724</v>
      </c>
      <c r="G853" s="1">
        <v>3.64</v>
      </c>
    </row>
    <row r="854" spans="1:7" ht="14.25" hidden="1" customHeight="1" x14ac:dyDescent="0.45">
      <c r="A854" t="str">
        <f>_xlfn.XLOOKUP(B854,Ingot!$H$12:$H$119,Ingot!$G$12:$G$119,"")</f>
        <v>Metal</v>
      </c>
      <c r="B854" t="s">
        <v>1686</v>
      </c>
      <c r="C854" t="s">
        <v>10</v>
      </c>
      <c r="D854" t="s">
        <v>1725</v>
      </c>
      <c r="E854" t="s">
        <v>1726</v>
      </c>
      <c r="G854" s="1">
        <v>7.05</v>
      </c>
    </row>
    <row r="855" spans="1:7" ht="14.25" hidden="1" customHeight="1" x14ac:dyDescent="0.45">
      <c r="A855" t="str">
        <f>_xlfn.XLOOKUP(B855,Ingot!$H$12:$H$119,Ingot!$G$12:$G$119,"")</f>
        <v>Metal</v>
      </c>
      <c r="B855" t="s">
        <v>1686</v>
      </c>
      <c r="C855" t="s">
        <v>10</v>
      </c>
      <c r="D855" t="s">
        <v>1727</v>
      </c>
      <c r="E855" t="s">
        <v>1728</v>
      </c>
      <c r="G855" s="1">
        <v>2.65</v>
      </c>
    </row>
    <row r="856" spans="1:7" ht="14.25" hidden="1" customHeight="1" x14ac:dyDescent="0.45">
      <c r="A856" t="str">
        <f>_xlfn.XLOOKUP(B856,Ingot!$H$12:$H$119,Ingot!$G$12:$G$119,"")</f>
        <v>Metal</v>
      </c>
      <c r="B856" t="s">
        <v>1686</v>
      </c>
      <c r="C856" t="s">
        <v>10</v>
      </c>
      <c r="D856" t="s">
        <v>1729</v>
      </c>
      <c r="E856" t="s">
        <v>1730</v>
      </c>
      <c r="G856" s="1">
        <v>9</v>
      </c>
    </row>
    <row r="857" spans="1:7" ht="14.25" hidden="1" customHeight="1" x14ac:dyDescent="0.45">
      <c r="A857" t="str">
        <f>_xlfn.XLOOKUP(B857,Ingot!$H$12:$H$119,Ingot!$G$12:$G$119,"")</f>
        <v>Metal</v>
      </c>
      <c r="B857" t="s">
        <v>1686</v>
      </c>
      <c r="C857" t="s">
        <v>10</v>
      </c>
      <c r="D857" t="s">
        <v>1731</v>
      </c>
      <c r="E857" t="s">
        <v>1732</v>
      </c>
      <c r="G857" s="1">
        <v>10.23</v>
      </c>
    </row>
    <row r="858" spans="1:7" ht="14.25" hidden="1" customHeight="1" x14ac:dyDescent="0.45">
      <c r="A858" t="str">
        <f>_xlfn.XLOOKUP(B858,Ingot!$H$12:$H$119,Ingot!$G$12:$G$119,"")</f>
        <v>Metal</v>
      </c>
      <c r="B858" t="s">
        <v>1686</v>
      </c>
      <c r="C858" t="s">
        <v>10</v>
      </c>
      <c r="D858" t="s">
        <v>1733</v>
      </c>
      <c r="E858" t="s">
        <v>1734</v>
      </c>
      <c r="G858" s="1">
        <v>7.7</v>
      </c>
    </row>
    <row r="859" spans="1:7" ht="14.25" hidden="1" customHeight="1" x14ac:dyDescent="0.45">
      <c r="A859" t="str">
        <f>_xlfn.XLOOKUP(B859,Ingot!$H$12:$H$119,Ingot!$G$12:$G$119,"")</f>
        <v>Metal</v>
      </c>
      <c r="B859" t="s">
        <v>1686</v>
      </c>
      <c r="C859" t="s">
        <v>10</v>
      </c>
      <c r="D859" t="s">
        <v>1735</v>
      </c>
      <c r="E859" t="s">
        <v>1736</v>
      </c>
      <c r="G859" s="1">
        <v>10.02</v>
      </c>
    </row>
    <row r="860" spans="1:7" ht="14.25" hidden="1" customHeight="1" x14ac:dyDescent="0.45">
      <c r="A860" t="str">
        <f>_xlfn.XLOOKUP(B860,Ingot!$H$12:$H$119,Ingot!$G$12:$G$119,"")</f>
        <v>Metal</v>
      </c>
      <c r="B860" t="s">
        <v>1686</v>
      </c>
      <c r="C860" t="s">
        <v>10</v>
      </c>
      <c r="D860" t="s">
        <v>1737</v>
      </c>
      <c r="E860" t="s">
        <v>1738</v>
      </c>
      <c r="G860" s="1">
        <v>11.81</v>
      </c>
    </row>
    <row r="861" spans="1:7" ht="14.25" hidden="1" customHeight="1" x14ac:dyDescent="0.45">
      <c r="A861" t="str">
        <f>_xlfn.XLOOKUP(B861,Ingot!$H$12:$H$119,Ingot!$G$12:$G$119,"")</f>
        <v>Metal</v>
      </c>
      <c r="B861" t="s">
        <v>1686</v>
      </c>
      <c r="C861" t="s">
        <v>10</v>
      </c>
      <c r="D861" t="s">
        <v>1739</v>
      </c>
      <c r="E861" t="s">
        <v>1740</v>
      </c>
      <c r="G861" s="1">
        <v>8.44</v>
      </c>
    </row>
    <row r="862" spans="1:7" ht="14.25" hidden="1" customHeight="1" x14ac:dyDescent="0.45">
      <c r="A862" t="str">
        <f>_xlfn.XLOOKUP(B862,Ingot!$H$12:$H$119,Ingot!$G$12:$G$119,"")</f>
        <v>Metal</v>
      </c>
      <c r="B862" t="s">
        <v>1686</v>
      </c>
      <c r="C862" t="s">
        <v>10</v>
      </c>
      <c r="D862" t="s">
        <v>1741</v>
      </c>
      <c r="E862" t="s">
        <v>1742</v>
      </c>
      <c r="G862" s="1">
        <v>10.42</v>
      </c>
    </row>
    <row r="863" spans="1:7" ht="14.25" hidden="1" customHeight="1" x14ac:dyDescent="0.45">
      <c r="A863" t="str">
        <f>_xlfn.XLOOKUP(B863,Ingot!$H$12:$H$119,Ingot!$G$12:$G$119,"")</f>
        <v>Metal</v>
      </c>
      <c r="B863" t="s">
        <v>1686</v>
      </c>
      <c r="C863" t="s">
        <v>10</v>
      </c>
      <c r="D863" t="s">
        <v>1743</v>
      </c>
      <c r="E863" t="s">
        <v>1744</v>
      </c>
    </row>
    <row r="864" spans="1:7" ht="14.25" hidden="1" customHeight="1" x14ac:dyDescent="0.45">
      <c r="A864" t="str">
        <f>_xlfn.XLOOKUP(B864,Ingot!$H$12:$H$119,Ingot!$G$12:$G$119,"")</f>
        <v>Metal</v>
      </c>
      <c r="B864" t="s">
        <v>1686</v>
      </c>
      <c r="C864" t="s">
        <v>10</v>
      </c>
      <c r="D864" t="s">
        <v>1745</v>
      </c>
      <c r="E864" t="s">
        <v>1746</v>
      </c>
      <c r="G864" s="1">
        <v>7.96</v>
      </c>
    </row>
    <row r="865" spans="1:7" ht="14.25" hidden="1" customHeight="1" x14ac:dyDescent="0.45">
      <c r="A865" t="str">
        <f>_xlfn.XLOOKUP(B865,Ingot!$H$12:$H$119,Ingot!$G$12:$G$119,"")</f>
        <v>Metal</v>
      </c>
      <c r="B865" t="s">
        <v>1686</v>
      </c>
      <c r="C865" t="s">
        <v>10</v>
      </c>
      <c r="D865" t="s">
        <v>1747</v>
      </c>
      <c r="E865" t="s">
        <v>1748</v>
      </c>
      <c r="G865" s="1">
        <v>9.64</v>
      </c>
    </row>
    <row r="866" spans="1:7" ht="14.25" hidden="1" customHeight="1" x14ac:dyDescent="0.45">
      <c r="A866" t="str">
        <f>_xlfn.XLOOKUP(B866,Ingot!$H$12:$H$119,Ingot!$G$12:$G$119,"")</f>
        <v>Metal</v>
      </c>
      <c r="B866" t="s">
        <v>1686</v>
      </c>
      <c r="C866" t="s">
        <v>10</v>
      </c>
      <c r="D866" t="s">
        <v>1749</v>
      </c>
      <c r="E866" t="s">
        <v>1750</v>
      </c>
      <c r="G866" s="1">
        <v>7.94</v>
      </c>
    </row>
    <row r="867" spans="1:7" ht="14.25" hidden="1" customHeight="1" x14ac:dyDescent="0.45">
      <c r="A867" t="str">
        <f>_xlfn.XLOOKUP(B867,Ingot!$H$12:$H$119,Ingot!$G$12:$G$119,"")</f>
        <v>Metal</v>
      </c>
      <c r="B867" t="s">
        <v>1686</v>
      </c>
      <c r="C867" t="s">
        <v>10</v>
      </c>
      <c r="D867" t="s">
        <v>1751</v>
      </c>
      <c r="E867" t="s">
        <v>1752</v>
      </c>
      <c r="G867" s="1">
        <v>8.66</v>
      </c>
    </row>
    <row r="868" spans="1:7" ht="14.25" hidden="1" customHeight="1" x14ac:dyDescent="0.45">
      <c r="A868" t="str">
        <f>_xlfn.XLOOKUP(B868,Ingot!$H$12:$H$119,Ingot!$G$12:$G$119,"")</f>
        <v>Metal</v>
      </c>
      <c r="B868" t="s">
        <v>1686</v>
      </c>
      <c r="C868" t="s">
        <v>10</v>
      </c>
      <c r="D868" t="s">
        <v>1753</v>
      </c>
      <c r="E868" t="s">
        <v>1754</v>
      </c>
    </row>
    <row r="869" spans="1:7" ht="14.25" hidden="1" customHeight="1" x14ac:dyDescent="0.45">
      <c r="A869" t="str">
        <f>_xlfn.XLOOKUP(B869,Ingot!$H$12:$H$119,Ingot!$G$12:$G$119,"")</f>
        <v>Metal</v>
      </c>
      <c r="B869" t="s">
        <v>1686</v>
      </c>
      <c r="C869" t="s">
        <v>10</v>
      </c>
      <c r="D869" t="s">
        <v>1755</v>
      </c>
      <c r="E869" t="s">
        <v>1756</v>
      </c>
      <c r="G869" s="1">
        <v>2.65</v>
      </c>
    </row>
    <row r="870" spans="1:7" ht="14.25" hidden="1" customHeight="1" x14ac:dyDescent="0.45">
      <c r="A870" t="str">
        <f>_xlfn.XLOOKUP(B870,Ingot!$H$12:$H$119,Ingot!$G$12:$G$119,"")</f>
        <v>Metal</v>
      </c>
      <c r="B870" t="s">
        <v>1686</v>
      </c>
      <c r="C870" t="s">
        <v>10</v>
      </c>
      <c r="D870" t="s">
        <v>1757</v>
      </c>
      <c r="E870" t="s">
        <v>1758</v>
      </c>
    </row>
    <row r="871" spans="1:7" ht="14.25" hidden="1" customHeight="1" x14ac:dyDescent="0.45">
      <c r="A871" t="str">
        <f>_xlfn.XLOOKUP(B871,Ingot!$H$12:$H$119,Ingot!$G$12:$G$119,"")</f>
        <v>Metal</v>
      </c>
      <c r="B871" t="s">
        <v>1686</v>
      </c>
      <c r="C871" t="s">
        <v>10</v>
      </c>
      <c r="D871" t="s">
        <v>1759</v>
      </c>
      <c r="E871" t="s">
        <v>1760</v>
      </c>
      <c r="G871" s="1">
        <v>12.64</v>
      </c>
    </row>
    <row r="872" spans="1:7" ht="14.25" hidden="1" customHeight="1" x14ac:dyDescent="0.45">
      <c r="A872" t="str">
        <f>_xlfn.XLOOKUP(B872,Ingot!$H$12:$H$119,Ingot!$G$12:$G$119,"")</f>
        <v>Metal</v>
      </c>
      <c r="B872" t="s">
        <v>1686</v>
      </c>
      <c r="C872" t="s">
        <v>10</v>
      </c>
      <c r="D872" t="s">
        <v>1761</v>
      </c>
      <c r="E872" t="s">
        <v>1762</v>
      </c>
      <c r="G872" s="1">
        <v>22.67</v>
      </c>
    </row>
    <row r="873" spans="1:7" ht="14.25" hidden="1" customHeight="1" x14ac:dyDescent="0.45">
      <c r="A873" t="str">
        <f>_xlfn.XLOOKUP(B873,Ingot!$H$12:$H$119,Ingot!$G$12:$G$119,"")</f>
        <v>Metal</v>
      </c>
      <c r="B873" t="s">
        <v>1686</v>
      </c>
      <c r="C873" t="s">
        <v>10</v>
      </c>
      <c r="D873" t="s">
        <v>1763</v>
      </c>
      <c r="E873" t="s">
        <v>1764</v>
      </c>
      <c r="G873" s="1">
        <v>8.3800000000000008</v>
      </c>
    </row>
    <row r="874" spans="1:7" ht="14.25" hidden="1" customHeight="1" x14ac:dyDescent="0.45">
      <c r="A874" t="str">
        <f>_xlfn.XLOOKUP(B874,Ingot!$H$12:$H$119,Ingot!$G$12:$G$119,"")</f>
        <v>Metal</v>
      </c>
      <c r="B874" t="s">
        <v>1686</v>
      </c>
      <c r="C874" t="s">
        <v>10</v>
      </c>
      <c r="D874" t="s">
        <v>1765</v>
      </c>
      <c r="E874" t="s">
        <v>1766</v>
      </c>
      <c r="G874" s="1">
        <v>2.2000000000000002</v>
      </c>
    </row>
    <row r="875" spans="1:7" ht="14.25" hidden="1" customHeight="1" x14ac:dyDescent="0.45">
      <c r="A875" t="str">
        <f>_xlfn.XLOOKUP(B875,Ingot!$H$12:$H$119,Ingot!$G$12:$G$119,"")</f>
        <v>Metal</v>
      </c>
      <c r="B875" t="s">
        <v>1686</v>
      </c>
      <c r="C875" t="s">
        <v>10</v>
      </c>
      <c r="D875" t="s">
        <v>1767</v>
      </c>
      <c r="E875" t="s">
        <v>1768</v>
      </c>
      <c r="G875" s="1">
        <v>3.09</v>
      </c>
    </row>
    <row r="876" spans="1:7" ht="14.25" hidden="1" customHeight="1" x14ac:dyDescent="0.45">
      <c r="A876" t="str">
        <f>_xlfn.XLOOKUP(B876,Ingot!$H$12:$H$119,Ingot!$G$12:$G$119,"")</f>
        <v>Metal</v>
      </c>
      <c r="B876" t="s">
        <v>1686</v>
      </c>
      <c r="C876" t="s">
        <v>10</v>
      </c>
      <c r="D876" t="s">
        <v>1769</v>
      </c>
      <c r="E876" t="s">
        <v>1770</v>
      </c>
      <c r="G876" s="1">
        <v>2.2999999999999998</v>
      </c>
    </row>
    <row r="877" spans="1:7" ht="14.25" hidden="1" customHeight="1" x14ac:dyDescent="0.45">
      <c r="A877" t="str">
        <f>_xlfn.XLOOKUP(B877,Ingot!$H$12:$H$119,Ingot!$G$12:$G$119,"")</f>
        <v>Metal</v>
      </c>
      <c r="B877" t="s">
        <v>1686</v>
      </c>
      <c r="C877" t="s">
        <v>10</v>
      </c>
      <c r="D877" t="s">
        <v>1771</v>
      </c>
      <c r="E877" t="s">
        <v>1772</v>
      </c>
      <c r="G877" s="1">
        <v>4.88</v>
      </c>
    </row>
    <row r="878" spans="1:7" ht="14.25" hidden="1" customHeight="1" x14ac:dyDescent="0.45">
      <c r="A878" t="str">
        <f>_xlfn.XLOOKUP(B878,Ingot!$H$12:$H$119,Ingot!$G$12:$G$119,"")</f>
        <v>Metal</v>
      </c>
      <c r="B878" t="s">
        <v>1686</v>
      </c>
      <c r="C878" t="s">
        <v>10</v>
      </c>
      <c r="D878" t="s">
        <v>1773</v>
      </c>
      <c r="E878" t="s">
        <v>1774</v>
      </c>
      <c r="G878" s="1">
        <v>8.43</v>
      </c>
    </row>
    <row r="879" spans="1:7" ht="14.25" hidden="1" customHeight="1" x14ac:dyDescent="0.45">
      <c r="A879" t="str">
        <f>_xlfn.XLOOKUP(B879,Ingot!$H$12:$H$119,Ingot!$G$12:$G$119,"")</f>
        <v>Metal</v>
      </c>
      <c r="B879" t="s">
        <v>1686</v>
      </c>
      <c r="C879" t="s">
        <v>10</v>
      </c>
      <c r="D879" t="s">
        <v>1775</v>
      </c>
      <c r="E879" t="s">
        <v>1776</v>
      </c>
      <c r="G879" s="1">
        <v>13.07</v>
      </c>
    </row>
    <row r="880" spans="1:7" ht="14.25" hidden="1" customHeight="1" x14ac:dyDescent="0.45">
      <c r="A880" t="str">
        <f>_xlfn.XLOOKUP(B880,Ingot!$H$12:$H$119,Ingot!$G$12:$G$119,"")</f>
        <v>Metal</v>
      </c>
      <c r="B880" t="s">
        <v>1686</v>
      </c>
      <c r="C880" t="s">
        <v>10</v>
      </c>
      <c r="D880" t="s">
        <v>1777</v>
      </c>
      <c r="E880" t="s">
        <v>1778</v>
      </c>
    </row>
    <row r="881" spans="1:7" ht="14.25" hidden="1" customHeight="1" x14ac:dyDescent="0.45">
      <c r="A881" t="str">
        <f>_xlfn.XLOOKUP(B881,Ingot!$H$12:$H$119,Ingot!$G$12:$G$119,"")</f>
        <v>Metal</v>
      </c>
      <c r="B881" t="s">
        <v>1686</v>
      </c>
      <c r="C881" t="s">
        <v>10</v>
      </c>
      <c r="D881" t="s">
        <v>1779</v>
      </c>
      <c r="E881" t="s">
        <v>1780</v>
      </c>
    </row>
    <row r="882" spans="1:7" ht="14.25" hidden="1" customHeight="1" x14ac:dyDescent="0.45">
      <c r="A882" t="str">
        <f>_xlfn.XLOOKUP(B882,Ingot!$H$12:$H$119,Ingot!$G$12:$G$119,"")</f>
        <v>Metal</v>
      </c>
      <c r="B882" t="s">
        <v>1686</v>
      </c>
      <c r="C882" t="s">
        <v>10</v>
      </c>
      <c r="D882" t="s">
        <v>1781</v>
      </c>
      <c r="E882" t="s">
        <v>1782</v>
      </c>
      <c r="G882" s="1">
        <v>6.8</v>
      </c>
    </row>
    <row r="883" spans="1:7" ht="14.25" hidden="1" customHeight="1" x14ac:dyDescent="0.45">
      <c r="A883" t="str">
        <f>_xlfn.XLOOKUP(B883,Ingot!$H$12:$H$119,Ingot!$G$12:$G$119,"")</f>
        <v>Metal</v>
      </c>
      <c r="B883" t="s">
        <v>1686</v>
      </c>
      <c r="C883" t="s">
        <v>10</v>
      </c>
      <c r="D883" t="s">
        <v>1783</v>
      </c>
      <c r="E883" t="s">
        <v>1784</v>
      </c>
      <c r="G883" s="1">
        <v>6.88</v>
      </c>
    </row>
    <row r="884" spans="1:7" ht="14.25" hidden="1" customHeight="1" x14ac:dyDescent="0.45">
      <c r="A884" t="str">
        <f>_xlfn.XLOOKUP(B884,Ingot!$H$12:$H$119,Ingot!$G$12:$G$119,"")</f>
        <v>Metal</v>
      </c>
      <c r="B884" t="s">
        <v>1686</v>
      </c>
      <c r="C884" t="s">
        <v>10</v>
      </c>
      <c r="D884" t="s">
        <v>1785</v>
      </c>
      <c r="E884" t="s">
        <v>1786</v>
      </c>
      <c r="G884" s="1">
        <v>5.5</v>
      </c>
    </row>
    <row r="885" spans="1:7" ht="14.25" hidden="1" customHeight="1" x14ac:dyDescent="0.45">
      <c r="A885" t="str">
        <f>_xlfn.XLOOKUP(B885,Ingot!$H$12:$H$119,Ingot!$G$12:$G$119,"")</f>
        <v>Metal</v>
      </c>
      <c r="B885" t="s">
        <v>1686</v>
      </c>
      <c r="C885" t="s">
        <v>10</v>
      </c>
      <c r="D885" t="s">
        <v>1787</v>
      </c>
      <c r="E885" t="s">
        <v>1788</v>
      </c>
      <c r="G885" s="1">
        <v>2.4300000000000002</v>
      </c>
    </row>
    <row r="886" spans="1:7" ht="14.25" hidden="1" customHeight="1" x14ac:dyDescent="0.45">
      <c r="A886" t="str">
        <f>_xlfn.XLOOKUP(B886,Ingot!$H$12:$H$119,Ingot!$G$12:$G$119,"")</f>
        <v>Metal</v>
      </c>
      <c r="B886" t="s">
        <v>1686</v>
      </c>
      <c r="C886" t="s">
        <v>10</v>
      </c>
      <c r="D886" t="s">
        <v>1789</v>
      </c>
      <c r="E886" t="s">
        <v>1790</v>
      </c>
      <c r="G886" s="1">
        <v>6.96</v>
      </c>
    </row>
    <row r="887" spans="1:7" ht="14.25" hidden="1" customHeight="1" x14ac:dyDescent="0.45">
      <c r="A887" t="str">
        <f>_xlfn.XLOOKUP(B887,Ingot!$H$12:$H$119,Ingot!$G$12:$G$119,"")</f>
        <v>Metal</v>
      </c>
      <c r="B887" t="s">
        <v>1686</v>
      </c>
      <c r="C887" t="s">
        <v>10</v>
      </c>
      <c r="D887" t="s">
        <v>1791</v>
      </c>
      <c r="E887" t="s">
        <v>1792</v>
      </c>
      <c r="G887" s="1">
        <v>6.32</v>
      </c>
    </row>
    <row r="888" spans="1:7" ht="14.25" hidden="1" customHeight="1" x14ac:dyDescent="0.45">
      <c r="A888" t="str">
        <f>_xlfn.XLOOKUP(B888,Ingot!$H$12:$H$119,Ingot!$G$12:$G$119,"")</f>
        <v>Metal</v>
      </c>
      <c r="B888" t="s">
        <v>1686</v>
      </c>
      <c r="C888" t="s">
        <v>10</v>
      </c>
      <c r="D888" t="s">
        <v>1793</v>
      </c>
      <c r="E888" t="s">
        <v>1794</v>
      </c>
      <c r="G888" s="1">
        <v>6.88</v>
      </c>
    </row>
    <row r="889" spans="1:7" ht="14.25" hidden="1" customHeight="1" x14ac:dyDescent="0.45">
      <c r="A889" t="str">
        <f>_xlfn.XLOOKUP(B889,Ingot!$H$12:$H$119,Ingot!$G$12:$G$119,"")</f>
        <v>Metal</v>
      </c>
      <c r="B889" t="s">
        <v>1686</v>
      </c>
      <c r="C889" t="s">
        <v>10</v>
      </c>
      <c r="D889" t="s">
        <v>1795</v>
      </c>
      <c r="E889" t="s">
        <v>1796</v>
      </c>
      <c r="G889" s="1">
        <v>2.44</v>
      </c>
    </row>
    <row r="890" spans="1:7" ht="14.25" hidden="1" customHeight="1" x14ac:dyDescent="0.45">
      <c r="A890" t="str">
        <f>_xlfn.XLOOKUP(B890,Ingot!$H$12:$H$119,Ingot!$G$12:$G$119,"")</f>
        <v>Metal</v>
      </c>
      <c r="B890" t="s">
        <v>1686</v>
      </c>
      <c r="C890" t="s">
        <v>10</v>
      </c>
      <c r="D890" t="s">
        <v>1797</v>
      </c>
      <c r="E890" t="s">
        <v>1798</v>
      </c>
    </row>
    <row r="891" spans="1:7" ht="14.25" hidden="1" customHeight="1" x14ac:dyDescent="0.45">
      <c r="A891" t="str">
        <f>_xlfn.XLOOKUP(B891,Ingot!$H$12:$H$119,Ingot!$G$12:$G$119,"")</f>
        <v>Metal</v>
      </c>
      <c r="B891" t="s">
        <v>1686</v>
      </c>
      <c r="C891" t="s">
        <v>10</v>
      </c>
      <c r="D891" t="s">
        <v>1799</v>
      </c>
      <c r="E891" t="s">
        <v>1800</v>
      </c>
    </row>
    <row r="892" spans="1:7" ht="14.25" hidden="1" customHeight="1" x14ac:dyDescent="0.45">
      <c r="A892" t="str">
        <f>_xlfn.XLOOKUP(B892,Ingot!$H$12:$H$119,Ingot!$G$12:$G$119,"")</f>
        <v>Metal</v>
      </c>
      <c r="B892" t="s">
        <v>1686</v>
      </c>
      <c r="C892" t="s">
        <v>10</v>
      </c>
      <c r="D892" t="s">
        <v>1801</v>
      </c>
      <c r="E892" t="s">
        <v>1802</v>
      </c>
      <c r="G892" s="1">
        <v>3.11</v>
      </c>
    </row>
    <row r="893" spans="1:7" ht="14.25" hidden="1" customHeight="1" x14ac:dyDescent="0.45">
      <c r="A893" t="str">
        <f>_xlfn.XLOOKUP(B893,Ingot!$H$12:$H$119,Ingot!$G$12:$G$119,"")</f>
        <v>Metal</v>
      </c>
      <c r="B893" t="s">
        <v>1686</v>
      </c>
      <c r="C893" t="s">
        <v>10</v>
      </c>
      <c r="D893" t="s">
        <v>1803</v>
      </c>
      <c r="E893" t="s">
        <v>1804</v>
      </c>
      <c r="G893" s="1">
        <v>2.44</v>
      </c>
    </row>
    <row r="894" spans="1:7" ht="14.25" hidden="1" customHeight="1" x14ac:dyDescent="0.45">
      <c r="A894" t="str">
        <f>_xlfn.XLOOKUP(B894,Ingot!$H$12:$H$119,Ingot!$G$12:$G$119,"")</f>
        <v>Metal</v>
      </c>
      <c r="B894" t="s">
        <v>1686</v>
      </c>
      <c r="C894" t="s">
        <v>10</v>
      </c>
      <c r="D894" t="s">
        <v>1805</v>
      </c>
      <c r="E894" t="s">
        <v>1806</v>
      </c>
      <c r="G894" s="1">
        <v>8.61</v>
      </c>
    </row>
    <row r="895" spans="1:7" ht="14.25" hidden="1" customHeight="1" x14ac:dyDescent="0.45">
      <c r="A895" t="str">
        <f>_xlfn.XLOOKUP(B895,Ingot!$H$12:$H$119,Ingot!$G$12:$G$119,"")</f>
        <v>Metal</v>
      </c>
      <c r="B895" t="s">
        <v>1686</v>
      </c>
      <c r="C895" t="s">
        <v>10</v>
      </c>
      <c r="D895" t="s">
        <v>1807</v>
      </c>
      <c r="E895" t="s">
        <v>1808</v>
      </c>
    </row>
    <row r="896" spans="1:7" ht="14.25" hidden="1" customHeight="1" x14ac:dyDescent="0.45">
      <c r="A896" t="str">
        <f>_xlfn.XLOOKUP(B896,Ingot!$H$12:$H$119,Ingot!$G$12:$G$119,"")</f>
        <v>Metal</v>
      </c>
      <c r="B896" t="s">
        <v>1686</v>
      </c>
      <c r="C896" t="s">
        <v>10</v>
      </c>
      <c r="D896" t="s">
        <v>1809</v>
      </c>
      <c r="E896" t="s">
        <v>1810</v>
      </c>
      <c r="G896" s="1">
        <v>3.21</v>
      </c>
    </row>
    <row r="897" spans="1:7" ht="14.25" hidden="1" customHeight="1" x14ac:dyDescent="0.45">
      <c r="A897" t="str">
        <f>_xlfn.XLOOKUP(B897,Ingot!$H$12:$H$119,Ingot!$G$12:$G$119,"")</f>
        <v>Metal</v>
      </c>
      <c r="B897" t="s">
        <v>1686</v>
      </c>
      <c r="C897" t="s">
        <v>10</v>
      </c>
      <c r="D897" t="s">
        <v>1811</v>
      </c>
      <c r="E897" t="s">
        <v>1812</v>
      </c>
      <c r="G897" s="1">
        <v>2.77</v>
      </c>
    </row>
    <row r="898" spans="1:7" ht="14.25" hidden="1" customHeight="1" x14ac:dyDescent="0.45">
      <c r="A898" t="str">
        <f>_xlfn.XLOOKUP(B898,Ingot!$H$12:$H$119,Ingot!$G$12:$G$119,"")</f>
        <v>Metal</v>
      </c>
      <c r="B898" t="s">
        <v>1686</v>
      </c>
      <c r="C898" t="s">
        <v>10</v>
      </c>
      <c r="D898" t="s">
        <v>1813</v>
      </c>
      <c r="E898" t="s">
        <v>1814</v>
      </c>
      <c r="G898" s="1">
        <v>4.8899999999999997</v>
      </c>
    </row>
    <row r="899" spans="1:7" ht="14.25" hidden="1" customHeight="1" x14ac:dyDescent="0.45">
      <c r="A899" t="str">
        <f>_xlfn.XLOOKUP(B899,Ingot!$H$12:$H$119,Ingot!$G$12:$G$119,"")</f>
        <v>Metal</v>
      </c>
      <c r="B899" t="s">
        <v>1686</v>
      </c>
      <c r="C899" t="s">
        <v>10</v>
      </c>
      <c r="D899" t="s">
        <v>1815</v>
      </c>
      <c r="E899" t="s">
        <v>1816</v>
      </c>
      <c r="G899" s="1">
        <v>1.76</v>
      </c>
    </row>
    <row r="900" spans="1:7" ht="14.25" hidden="1" customHeight="1" x14ac:dyDescent="0.45">
      <c r="A900" t="str">
        <f>_xlfn.XLOOKUP(B900,Ingot!$H$12:$H$119,Ingot!$G$12:$G$119,"")</f>
        <v>Metal</v>
      </c>
      <c r="B900" t="s">
        <v>1686</v>
      </c>
      <c r="C900" t="s">
        <v>10</v>
      </c>
      <c r="D900" t="s">
        <v>1817</v>
      </c>
      <c r="E900" t="s">
        <v>1818</v>
      </c>
    </row>
    <row r="901" spans="1:7" ht="14.25" hidden="1" customHeight="1" x14ac:dyDescent="0.45">
      <c r="A901" t="str">
        <f>_xlfn.XLOOKUP(B901,Ingot!$H$12:$H$119,Ingot!$G$12:$G$119,"")</f>
        <v>Metal</v>
      </c>
      <c r="B901" t="s">
        <v>1686</v>
      </c>
      <c r="C901" t="s">
        <v>10</v>
      </c>
      <c r="D901" t="s">
        <v>1819</v>
      </c>
      <c r="E901" t="s">
        <v>1820</v>
      </c>
      <c r="G901" s="1">
        <v>8.57</v>
      </c>
    </row>
    <row r="902" spans="1:7" ht="14.25" hidden="1" customHeight="1" x14ac:dyDescent="0.45">
      <c r="A902" t="str">
        <f>_xlfn.XLOOKUP(B902,Ingot!$H$12:$H$119,Ingot!$G$12:$G$119,"")</f>
        <v>Metal</v>
      </c>
      <c r="B902" t="s">
        <v>1686</v>
      </c>
      <c r="C902" t="s">
        <v>10</v>
      </c>
      <c r="D902" t="s">
        <v>1821</v>
      </c>
      <c r="E902" t="s">
        <v>1822</v>
      </c>
    </row>
    <row r="903" spans="1:7" ht="14.25" hidden="1" customHeight="1" x14ac:dyDescent="0.45">
      <c r="A903" t="str">
        <f>_xlfn.XLOOKUP(B903,Ingot!$H$12:$H$119,Ingot!$G$12:$G$119,"")</f>
        <v>Metal</v>
      </c>
      <c r="B903" t="s">
        <v>1686</v>
      </c>
      <c r="C903" t="s">
        <v>10</v>
      </c>
      <c r="D903" t="s">
        <v>1823</v>
      </c>
      <c r="E903" t="s">
        <v>1824</v>
      </c>
      <c r="G903" s="1">
        <v>3.56</v>
      </c>
    </row>
    <row r="904" spans="1:7" ht="14.25" hidden="1" customHeight="1" x14ac:dyDescent="0.45">
      <c r="A904" t="str">
        <f>_xlfn.XLOOKUP(B904,Ingot!$H$12:$H$119,Ingot!$G$12:$G$119,"")</f>
        <v>Metal</v>
      </c>
      <c r="B904" t="s">
        <v>1686</v>
      </c>
      <c r="C904" t="s">
        <v>10</v>
      </c>
      <c r="D904" t="s">
        <v>1825</v>
      </c>
      <c r="E904" t="s">
        <v>1826</v>
      </c>
      <c r="G904" s="1">
        <v>8.91</v>
      </c>
    </row>
    <row r="905" spans="1:7" ht="14.25" hidden="1" customHeight="1" x14ac:dyDescent="0.45">
      <c r="A905" t="str">
        <f>_xlfn.XLOOKUP(B905,Ingot!$H$12:$H$119,Ingot!$G$12:$G$119,"")</f>
        <v>Metal</v>
      </c>
      <c r="B905" t="s">
        <v>1686</v>
      </c>
      <c r="C905" t="s">
        <v>10</v>
      </c>
      <c r="D905" t="s">
        <v>1827</v>
      </c>
      <c r="E905" t="s">
        <v>1828</v>
      </c>
      <c r="G905" s="1">
        <v>11.02</v>
      </c>
    </row>
    <row r="906" spans="1:7" ht="14.25" hidden="1" customHeight="1" x14ac:dyDescent="0.45">
      <c r="A906" t="str">
        <f>_xlfn.XLOOKUP(B906,Ingot!$H$12:$H$119,Ingot!$G$12:$G$119,"")</f>
        <v>Metal</v>
      </c>
      <c r="B906" t="s">
        <v>1686</v>
      </c>
      <c r="C906" t="s">
        <v>10</v>
      </c>
      <c r="D906" t="s">
        <v>1829</v>
      </c>
      <c r="E906" t="s">
        <v>1830</v>
      </c>
      <c r="G906" s="1">
        <v>5.12</v>
      </c>
    </row>
    <row r="907" spans="1:7" ht="14.25" hidden="1" customHeight="1" x14ac:dyDescent="0.45">
      <c r="A907" t="str">
        <f>_xlfn.XLOOKUP(B907,Ingot!$H$12:$H$119,Ingot!$G$12:$G$119,"")</f>
        <v>Metal</v>
      </c>
      <c r="B907" t="s">
        <v>1686</v>
      </c>
      <c r="C907" t="s">
        <v>10</v>
      </c>
      <c r="D907" t="s">
        <v>1831</v>
      </c>
      <c r="E907" t="s">
        <v>1832</v>
      </c>
      <c r="G907" s="1">
        <v>4.41</v>
      </c>
    </row>
    <row r="908" spans="1:7" ht="14.25" hidden="1" customHeight="1" x14ac:dyDescent="0.45">
      <c r="A908" t="str">
        <f>_xlfn.XLOOKUP(B908,Ingot!$H$12:$H$119,Ingot!$G$12:$G$119,"")</f>
        <v>Metal</v>
      </c>
      <c r="B908" t="s">
        <v>1686</v>
      </c>
      <c r="C908" t="s">
        <v>157</v>
      </c>
      <c r="D908" t="s">
        <v>1833</v>
      </c>
      <c r="E908" t="s">
        <v>1834</v>
      </c>
      <c r="G908" s="1">
        <v>35</v>
      </c>
    </row>
    <row r="909" spans="1:7" ht="14.25" hidden="1" customHeight="1" x14ac:dyDescent="0.45">
      <c r="A909" t="str">
        <f>_xlfn.XLOOKUP(B909,Ingot!$H$12:$H$119,Ingot!$G$12:$G$119,"")</f>
        <v>Metal</v>
      </c>
      <c r="B909" t="s">
        <v>1686</v>
      </c>
      <c r="C909" t="s">
        <v>157</v>
      </c>
      <c r="D909" t="s">
        <v>1835</v>
      </c>
      <c r="E909" t="s">
        <v>1836</v>
      </c>
      <c r="G909" s="1">
        <v>7</v>
      </c>
    </row>
    <row r="910" spans="1:7" ht="14.25" hidden="1" customHeight="1" x14ac:dyDescent="0.45">
      <c r="A910" t="str">
        <f>_xlfn.XLOOKUP(B910,Ingot!$H$12:$H$119,Ingot!$G$12:$G$119,"")</f>
        <v>Metal</v>
      </c>
      <c r="B910" t="s">
        <v>1686</v>
      </c>
      <c r="C910" t="s">
        <v>157</v>
      </c>
      <c r="D910" t="s">
        <v>1837</v>
      </c>
      <c r="E910" t="s">
        <v>1838</v>
      </c>
      <c r="G910" s="1">
        <v>7</v>
      </c>
    </row>
    <row r="911" spans="1:7" ht="14.25" hidden="1" customHeight="1" x14ac:dyDescent="0.45">
      <c r="A911" t="str">
        <f>_xlfn.XLOOKUP(B911,Ingot!$H$12:$H$119,Ingot!$G$12:$G$119,"")</f>
        <v>Metal</v>
      </c>
      <c r="B911" t="s">
        <v>1686</v>
      </c>
      <c r="C911" t="s">
        <v>157</v>
      </c>
      <c r="D911" t="s">
        <v>1839</v>
      </c>
      <c r="E911" t="s">
        <v>1840</v>
      </c>
      <c r="G911" s="1">
        <v>5</v>
      </c>
    </row>
    <row r="912" spans="1:7" ht="14.25" hidden="1" customHeight="1" x14ac:dyDescent="0.45">
      <c r="A912" t="str">
        <f>_xlfn.XLOOKUP(B912,Ingot!$H$12:$H$119,Ingot!$G$12:$G$119,"")</f>
        <v>Metal</v>
      </c>
      <c r="B912" t="s">
        <v>1686</v>
      </c>
      <c r="C912" t="s">
        <v>157</v>
      </c>
      <c r="D912" t="s">
        <v>1841</v>
      </c>
      <c r="E912" t="s">
        <v>1842</v>
      </c>
      <c r="G912" s="1">
        <v>10</v>
      </c>
    </row>
    <row r="913" spans="1:7" ht="14.25" hidden="1" customHeight="1" x14ac:dyDescent="0.45">
      <c r="A913" t="str">
        <f>_xlfn.XLOOKUP(B913,Ingot!$H$12:$H$119,Ingot!$G$12:$G$119,"")</f>
        <v>Metal</v>
      </c>
      <c r="B913" t="s">
        <v>1686</v>
      </c>
      <c r="C913" t="s">
        <v>157</v>
      </c>
      <c r="D913" t="s">
        <v>1843</v>
      </c>
      <c r="E913" t="s">
        <v>1844</v>
      </c>
      <c r="G913" s="1">
        <v>29.5</v>
      </c>
    </row>
    <row r="914" spans="1:7" ht="14.25" hidden="1" customHeight="1" x14ac:dyDescent="0.45">
      <c r="A914" t="str">
        <f>_xlfn.XLOOKUP(B914,Ingot!$H$12:$H$119,Ingot!$G$12:$G$119,"")</f>
        <v>Metal</v>
      </c>
      <c r="B914" t="s">
        <v>1686</v>
      </c>
      <c r="C914" t="s">
        <v>157</v>
      </c>
      <c r="D914" t="s">
        <v>1845</v>
      </c>
      <c r="E914" t="s">
        <v>1846</v>
      </c>
      <c r="G914" s="1">
        <v>5.9</v>
      </c>
    </row>
    <row r="915" spans="1:7" ht="14.25" hidden="1" customHeight="1" x14ac:dyDescent="0.45">
      <c r="A915" t="str">
        <f>_xlfn.XLOOKUP(B915,Ingot!$H$12:$H$119,Ingot!$G$12:$G$119,"")</f>
        <v>Metal</v>
      </c>
      <c r="B915" t="s">
        <v>1686</v>
      </c>
      <c r="C915" t="s">
        <v>157</v>
      </c>
      <c r="D915" t="s">
        <v>1847</v>
      </c>
      <c r="E915" t="s">
        <v>1848</v>
      </c>
      <c r="G915" s="1">
        <v>5.9</v>
      </c>
    </row>
    <row r="916" spans="1:7" ht="14.25" hidden="1" customHeight="1" x14ac:dyDescent="0.45">
      <c r="A916" t="str">
        <f>_xlfn.XLOOKUP(B916,Ingot!$H$12:$H$119,Ingot!$G$12:$G$119,"")</f>
        <v>Metal</v>
      </c>
      <c r="B916" t="s">
        <v>1686</v>
      </c>
      <c r="C916" t="s">
        <v>157</v>
      </c>
      <c r="D916" t="s">
        <v>1849</v>
      </c>
      <c r="E916" t="s">
        <v>1850</v>
      </c>
      <c r="G916" s="1">
        <v>5</v>
      </c>
    </row>
    <row r="917" spans="1:7" ht="14.25" hidden="1" customHeight="1" x14ac:dyDescent="0.45">
      <c r="A917" t="str">
        <f>_xlfn.XLOOKUP(B917,Ingot!$H$12:$H$119,Ingot!$G$12:$G$119,"")</f>
        <v>Metal</v>
      </c>
      <c r="B917" t="s">
        <v>1686</v>
      </c>
      <c r="C917" t="s">
        <v>157</v>
      </c>
      <c r="D917" t="s">
        <v>1851</v>
      </c>
      <c r="E917" t="s">
        <v>1852</v>
      </c>
      <c r="G917" s="1">
        <v>10</v>
      </c>
    </row>
    <row r="918" spans="1:7" ht="14.25" hidden="1" customHeight="1" x14ac:dyDescent="0.45">
      <c r="A918" t="str">
        <f>_xlfn.XLOOKUP(B918,Ingot!$H$12:$H$119,Ingot!$G$12:$G$119,"")</f>
        <v>Metal</v>
      </c>
      <c r="B918" t="s">
        <v>1686</v>
      </c>
      <c r="C918" t="s">
        <v>157</v>
      </c>
      <c r="D918" t="s">
        <v>1853</v>
      </c>
      <c r="E918" t="s">
        <v>1854</v>
      </c>
      <c r="G918" s="1">
        <v>28.5</v>
      </c>
    </row>
    <row r="919" spans="1:7" ht="14.25" hidden="1" customHeight="1" x14ac:dyDescent="0.45">
      <c r="A919" t="str">
        <f>_xlfn.XLOOKUP(B919,Ingot!$H$12:$H$119,Ingot!$G$12:$G$119,"")</f>
        <v>Metal</v>
      </c>
      <c r="B919" t="s">
        <v>1686</v>
      </c>
      <c r="C919" t="s">
        <v>157</v>
      </c>
      <c r="D919" t="s">
        <v>1855</v>
      </c>
      <c r="E919" t="s">
        <v>1856</v>
      </c>
      <c r="G919" s="1">
        <v>5.7</v>
      </c>
    </row>
    <row r="920" spans="1:7" ht="14.25" hidden="1" customHeight="1" x14ac:dyDescent="0.45">
      <c r="A920" t="str">
        <f>_xlfn.XLOOKUP(B920,Ingot!$H$12:$H$119,Ingot!$G$12:$G$119,"")</f>
        <v>Metal</v>
      </c>
      <c r="B920" t="s">
        <v>1686</v>
      </c>
      <c r="C920" t="s">
        <v>157</v>
      </c>
      <c r="D920" t="s">
        <v>1857</v>
      </c>
      <c r="E920" t="s">
        <v>1858</v>
      </c>
      <c r="G920" s="1">
        <v>5.7</v>
      </c>
    </row>
    <row r="921" spans="1:7" ht="14.25" hidden="1" customHeight="1" x14ac:dyDescent="0.45">
      <c r="A921" t="str">
        <f>_xlfn.XLOOKUP(B921,Ingot!$H$12:$H$119,Ingot!$G$12:$G$119,"")</f>
        <v>Metal</v>
      </c>
      <c r="B921" t="s">
        <v>1686</v>
      </c>
      <c r="C921" t="s">
        <v>157</v>
      </c>
      <c r="D921" t="s">
        <v>1859</v>
      </c>
      <c r="E921" t="s">
        <v>1860</v>
      </c>
      <c r="G921" s="1">
        <v>5</v>
      </c>
    </row>
    <row r="922" spans="1:7" ht="14.25" hidden="1" customHeight="1" x14ac:dyDescent="0.45">
      <c r="A922" t="str">
        <f>_xlfn.XLOOKUP(B922,Ingot!$H$12:$H$119,Ingot!$G$12:$G$119,"")</f>
        <v>Metal</v>
      </c>
      <c r="B922" t="s">
        <v>1686</v>
      </c>
      <c r="C922" t="s">
        <v>157</v>
      </c>
      <c r="D922" t="s">
        <v>1861</v>
      </c>
      <c r="E922" t="s">
        <v>1862</v>
      </c>
      <c r="G922" s="1">
        <v>10</v>
      </c>
    </row>
    <row r="923" spans="1:7" ht="14.25" hidden="1" customHeight="1" x14ac:dyDescent="0.45">
      <c r="A923" t="str">
        <f>_xlfn.XLOOKUP(B923,Ingot!$H$12:$H$119,Ingot!$G$12:$G$119,"")</f>
        <v>Metal</v>
      </c>
      <c r="B923" t="s">
        <v>1686</v>
      </c>
      <c r="C923" t="s">
        <v>157</v>
      </c>
      <c r="D923" t="s">
        <v>1863</v>
      </c>
      <c r="E923" t="s">
        <v>1864</v>
      </c>
      <c r="G923" s="1">
        <v>31</v>
      </c>
    </row>
    <row r="924" spans="1:7" ht="14.25" hidden="1" customHeight="1" x14ac:dyDescent="0.45">
      <c r="A924" t="str">
        <f>_xlfn.XLOOKUP(B924,Ingot!$H$12:$H$119,Ingot!$G$12:$G$119,"")</f>
        <v>Metal</v>
      </c>
      <c r="B924" t="s">
        <v>1686</v>
      </c>
      <c r="C924" t="s">
        <v>157</v>
      </c>
      <c r="D924" t="s">
        <v>1865</v>
      </c>
      <c r="E924" t="s">
        <v>1866</v>
      </c>
      <c r="G924" s="1">
        <v>6.2</v>
      </c>
    </row>
    <row r="925" spans="1:7" ht="14.25" hidden="1" customHeight="1" x14ac:dyDescent="0.45">
      <c r="A925" t="str">
        <f>_xlfn.XLOOKUP(B925,Ingot!$H$12:$H$119,Ingot!$G$12:$G$119,"")</f>
        <v>Metal</v>
      </c>
      <c r="B925" t="s">
        <v>1686</v>
      </c>
      <c r="C925" t="s">
        <v>157</v>
      </c>
      <c r="D925" t="s">
        <v>1867</v>
      </c>
      <c r="E925" t="s">
        <v>1868</v>
      </c>
      <c r="G925" s="1">
        <v>6.2</v>
      </c>
    </row>
    <row r="926" spans="1:7" ht="14.25" hidden="1" customHeight="1" x14ac:dyDescent="0.45">
      <c r="A926" t="str">
        <f>_xlfn.XLOOKUP(B926,Ingot!$H$12:$H$119,Ingot!$G$12:$G$119,"")</f>
        <v>Metal</v>
      </c>
      <c r="B926" t="s">
        <v>1686</v>
      </c>
      <c r="C926" t="s">
        <v>157</v>
      </c>
      <c r="D926" t="s">
        <v>1869</v>
      </c>
      <c r="E926" t="s">
        <v>1870</v>
      </c>
      <c r="G926" s="1">
        <v>5</v>
      </c>
    </row>
    <row r="927" spans="1:7" ht="14.25" hidden="1" customHeight="1" x14ac:dyDescent="0.45">
      <c r="A927" t="str">
        <f>_xlfn.XLOOKUP(B927,Ingot!$H$12:$H$119,Ingot!$G$12:$G$119,"")</f>
        <v>Metal</v>
      </c>
      <c r="B927" t="s">
        <v>1686</v>
      </c>
      <c r="C927" t="s">
        <v>157</v>
      </c>
      <c r="D927" t="s">
        <v>1871</v>
      </c>
      <c r="E927" t="s">
        <v>1872</v>
      </c>
      <c r="G927" s="1">
        <v>10</v>
      </c>
    </row>
    <row r="928" spans="1:7" ht="14.25" hidden="1" customHeight="1" x14ac:dyDescent="0.45">
      <c r="A928" t="str">
        <f>_xlfn.XLOOKUP(B928,Ingot!$H$12:$H$119,Ingot!$G$12:$G$119,"")</f>
        <v>Metal</v>
      </c>
      <c r="B928" t="s">
        <v>1686</v>
      </c>
      <c r="C928" t="s">
        <v>157</v>
      </c>
      <c r="D928" t="s">
        <v>1873</v>
      </c>
      <c r="E928" t="s">
        <v>1874</v>
      </c>
      <c r="G928" s="1">
        <v>33</v>
      </c>
    </row>
    <row r="929" spans="1:7" ht="14.25" hidden="1" customHeight="1" x14ac:dyDescent="0.45">
      <c r="A929" t="str">
        <f>_xlfn.XLOOKUP(B929,Ingot!$H$12:$H$119,Ingot!$G$12:$G$119,"")</f>
        <v>Metal</v>
      </c>
      <c r="B929" t="s">
        <v>1686</v>
      </c>
      <c r="C929" t="s">
        <v>157</v>
      </c>
      <c r="D929" t="s">
        <v>1875</v>
      </c>
      <c r="E929" t="s">
        <v>1876</v>
      </c>
      <c r="G929" s="1">
        <v>6.6</v>
      </c>
    </row>
    <row r="930" spans="1:7" ht="14.25" hidden="1" customHeight="1" x14ac:dyDescent="0.45">
      <c r="A930" t="str">
        <f>_xlfn.XLOOKUP(B930,Ingot!$H$12:$H$119,Ingot!$G$12:$G$119,"")</f>
        <v>Metal</v>
      </c>
      <c r="B930" t="s">
        <v>1686</v>
      </c>
      <c r="C930" t="s">
        <v>157</v>
      </c>
      <c r="D930" t="s">
        <v>1877</v>
      </c>
      <c r="E930" t="s">
        <v>1878</v>
      </c>
      <c r="G930" s="1">
        <v>6.6</v>
      </c>
    </row>
    <row r="931" spans="1:7" ht="14.25" hidden="1" customHeight="1" x14ac:dyDescent="0.45">
      <c r="A931" t="str">
        <f>_xlfn.XLOOKUP(B931,Ingot!$H$12:$H$119,Ingot!$G$12:$G$119,"")</f>
        <v>Metal</v>
      </c>
      <c r="B931" t="s">
        <v>1686</v>
      </c>
      <c r="C931" t="s">
        <v>157</v>
      </c>
      <c r="D931" t="s">
        <v>1879</v>
      </c>
      <c r="E931" t="s">
        <v>1880</v>
      </c>
      <c r="G931" s="1">
        <v>5</v>
      </c>
    </row>
    <row r="932" spans="1:7" ht="14.25" hidden="1" customHeight="1" x14ac:dyDescent="0.45">
      <c r="A932" t="str">
        <f>_xlfn.XLOOKUP(B932,Ingot!$H$12:$H$119,Ingot!$G$12:$G$119,"")</f>
        <v>Metal</v>
      </c>
      <c r="B932" t="s">
        <v>1686</v>
      </c>
      <c r="C932" t="s">
        <v>157</v>
      </c>
      <c r="D932" t="s">
        <v>1881</v>
      </c>
      <c r="E932" t="s">
        <v>1882</v>
      </c>
      <c r="G932" s="1">
        <v>10</v>
      </c>
    </row>
    <row r="933" spans="1:7" ht="14.25" hidden="1" customHeight="1" x14ac:dyDescent="0.45">
      <c r="A933" t="str">
        <f>_xlfn.XLOOKUP(B933,Ingot!$H$12:$H$119,Ingot!$G$12:$G$119,"")</f>
        <v>Metal</v>
      </c>
      <c r="B933" t="s">
        <v>1686</v>
      </c>
      <c r="C933" t="s">
        <v>157</v>
      </c>
      <c r="D933" t="s">
        <v>1883</v>
      </c>
      <c r="E933" t="s">
        <v>1884</v>
      </c>
      <c r="G933" s="1">
        <v>38</v>
      </c>
    </row>
    <row r="934" spans="1:7" ht="14.25" hidden="1" customHeight="1" x14ac:dyDescent="0.45">
      <c r="A934" t="str">
        <f>_xlfn.XLOOKUP(B934,Ingot!$H$12:$H$119,Ingot!$G$12:$G$119,"")</f>
        <v>Metal</v>
      </c>
      <c r="B934" t="s">
        <v>1686</v>
      </c>
      <c r="C934" t="s">
        <v>157</v>
      </c>
      <c r="D934" t="s">
        <v>1885</v>
      </c>
      <c r="E934" t="s">
        <v>1886</v>
      </c>
      <c r="G934" s="1">
        <v>7.6</v>
      </c>
    </row>
    <row r="935" spans="1:7" ht="14.25" hidden="1" customHeight="1" x14ac:dyDescent="0.45">
      <c r="A935" t="str">
        <f>_xlfn.XLOOKUP(B935,Ingot!$H$12:$H$119,Ingot!$G$12:$G$119,"")</f>
        <v>Metal</v>
      </c>
      <c r="B935" t="s">
        <v>1686</v>
      </c>
      <c r="C935" t="s">
        <v>157</v>
      </c>
      <c r="D935" t="s">
        <v>1887</v>
      </c>
      <c r="E935" t="s">
        <v>1888</v>
      </c>
      <c r="G935" s="1">
        <v>7.6</v>
      </c>
    </row>
    <row r="936" spans="1:7" ht="14.25" hidden="1" customHeight="1" x14ac:dyDescent="0.45">
      <c r="A936" t="str">
        <f>_xlfn.XLOOKUP(B936,Ingot!$H$12:$H$119,Ingot!$G$12:$G$119,"")</f>
        <v>Metal</v>
      </c>
      <c r="B936" t="s">
        <v>1686</v>
      </c>
      <c r="C936" t="s">
        <v>157</v>
      </c>
      <c r="D936" t="s">
        <v>1889</v>
      </c>
      <c r="E936" t="s">
        <v>1890</v>
      </c>
      <c r="G936" s="1">
        <v>5</v>
      </c>
    </row>
    <row r="937" spans="1:7" ht="14.25" hidden="1" customHeight="1" x14ac:dyDescent="0.45">
      <c r="A937" t="str">
        <f>_xlfn.XLOOKUP(B937,Ingot!$H$12:$H$119,Ingot!$G$12:$G$119,"")</f>
        <v>Metal</v>
      </c>
      <c r="B937" t="s">
        <v>1686</v>
      </c>
      <c r="C937" t="s">
        <v>157</v>
      </c>
      <c r="D937" t="s">
        <v>1891</v>
      </c>
      <c r="E937" t="s">
        <v>1892</v>
      </c>
      <c r="G937" s="1">
        <v>10</v>
      </c>
    </row>
    <row r="938" spans="1:7" ht="14.25" hidden="1" customHeight="1" x14ac:dyDescent="0.45">
      <c r="A938" t="str">
        <f>_xlfn.XLOOKUP(B938,Ingot!$H$12:$H$119,Ingot!$G$12:$G$119,"")</f>
        <v>Metal</v>
      </c>
      <c r="B938" t="s">
        <v>1686</v>
      </c>
      <c r="C938" t="s">
        <v>157</v>
      </c>
      <c r="D938" t="s">
        <v>1893</v>
      </c>
      <c r="E938" t="s">
        <v>1894</v>
      </c>
      <c r="G938" s="1">
        <v>37.5</v>
      </c>
    </row>
    <row r="939" spans="1:7" ht="14.25" hidden="1" customHeight="1" x14ac:dyDescent="0.45">
      <c r="A939" t="str">
        <f>_xlfn.XLOOKUP(B939,Ingot!$H$12:$H$119,Ingot!$G$12:$G$119,"")</f>
        <v>Metal</v>
      </c>
      <c r="B939" t="s">
        <v>1686</v>
      </c>
      <c r="C939" t="s">
        <v>157</v>
      </c>
      <c r="D939" t="s">
        <v>1895</v>
      </c>
      <c r="E939" t="s">
        <v>1896</v>
      </c>
      <c r="G939" s="1">
        <v>7.5</v>
      </c>
    </row>
    <row r="940" spans="1:7" ht="14.25" hidden="1" customHeight="1" x14ac:dyDescent="0.45">
      <c r="A940" t="str">
        <f>_xlfn.XLOOKUP(B940,Ingot!$H$12:$H$119,Ingot!$G$12:$G$119,"")</f>
        <v>Metal</v>
      </c>
      <c r="B940" t="s">
        <v>1686</v>
      </c>
      <c r="C940" t="s">
        <v>157</v>
      </c>
      <c r="D940" t="s">
        <v>1897</v>
      </c>
      <c r="E940" t="s">
        <v>1898</v>
      </c>
      <c r="G940" s="1">
        <v>7.5</v>
      </c>
    </row>
    <row r="941" spans="1:7" ht="14.25" hidden="1" customHeight="1" x14ac:dyDescent="0.45">
      <c r="A941" t="str">
        <f>_xlfn.XLOOKUP(B941,Ingot!$H$12:$H$119,Ingot!$G$12:$G$119,"")</f>
        <v>Metal</v>
      </c>
      <c r="B941" t="s">
        <v>1686</v>
      </c>
      <c r="C941" t="s">
        <v>157</v>
      </c>
      <c r="D941" t="s">
        <v>1899</v>
      </c>
      <c r="E941" t="s">
        <v>1900</v>
      </c>
      <c r="G941" s="1">
        <v>5</v>
      </c>
    </row>
    <row r="942" spans="1:7" ht="14.25" hidden="1" customHeight="1" x14ac:dyDescent="0.45">
      <c r="A942" t="str">
        <f>_xlfn.XLOOKUP(B942,Ingot!$H$12:$H$119,Ingot!$G$12:$G$119,"")</f>
        <v>Metal</v>
      </c>
      <c r="B942" t="s">
        <v>1686</v>
      </c>
      <c r="C942" t="s">
        <v>157</v>
      </c>
      <c r="D942" t="s">
        <v>1901</v>
      </c>
      <c r="E942" t="s">
        <v>1902</v>
      </c>
      <c r="G942" s="1">
        <v>10</v>
      </c>
    </row>
    <row r="943" spans="1:7" ht="14.25" hidden="1" customHeight="1" x14ac:dyDescent="0.45">
      <c r="A943" t="str">
        <f>_xlfn.XLOOKUP(B943,Ingot!$H$12:$H$119,Ingot!$G$12:$G$119,"")</f>
        <v>Metal</v>
      </c>
      <c r="B943" t="s">
        <v>1686</v>
      </c>
      <c r="C943" t="s">
        <v>157</v>
      </c>
      <c r="D943" t="s">
        <v>1903</v>
      </c>
      <c r="E943" t="s">
        <v>1904</v>
      </c>
      <c r="G943" s="1">
        <v>27</v>
      </c>
    </row>
    <row r="944" spans="1:7" ht="14.25" hidden="1" customHeight="1" x14ac:dyDescent="0.45">
      <c r="A944" t="str">
        <f>_xlfn.XLOOKUP(B944,Ingot!$H$12:$H$119,Ingot!$G$12:$G$119,"")</f>
        <v>Metal</v>
      </c>
      <c r="B944" t="s">
        <v>1686</v>
      </c>
      <c r="C944" t="s">
        <v>157</v>
      </c>
      <c r="D944" t="s">
        <v>1905</v>
      </c>
      <c r="E944" t="s">
        <v>1906</v>
      </c>
      <c r="G944" s="1">
        <v>5.4</v>
      </c>
    </row>
    <row r="945" spans="1:7" ht="14.25" hidden="1" customHeight="1" x14ac:dyDescent="0.45">
      <c r="A945" t="str">
        <f>_xlfn.XLOOKUP(B945,Ingot!$H$12:$H$119,Ingot!$G$12:$G$119,"")</f>
        <v>Metal</v>
      </c>
      <c r="B945" t="s">
        <v>1686</v>
      </c>
      <c r="C945" t="s">
        <v>157</v>
      </c>
      <c r="D945" t="s">
        <v>1907</v>
      </c>
      <c r="E945" t="s">
        <v>1908</v>
      </c>
      <c r="G945" s="1">
        <v>5.4</v>
      </c>
    </row>
    <row r="946" spans="1:7" ht="14.25" hidden="1" customHeight="1" x14ac:dyDescent="0.45">
      <c r="A946" t="str">
        <f>_xlfn.XLOOKUP(B946,Ingot!$H$12:$H$119,Ingot!$G$12:$G$119,"")</f>
        <v>Metal</v>
      </c>
      <c r="B946" t="s">
        <v>1686</v>
      </c>
      <c r="C946" t="s">
        <v>157</v>
      </c>
      <c r="D946" t="s">
        <v>1909</v>
      </c>
      <c r="E946" t="s">
        <v>1910</v>
      </c>
      <c r="G946" s="1">
        <v>5</v>
      </c>
    </row>
    <row r="947" spans="1:7" ht="14.25" hidden="1" customHeight="1" x14ac:dyDescent="0.45">
      <c r="A947" t="str">
        <f>_xlfn.XLOOKUP(B947,Ingot!$H$12:$H$119,Ingot!$G$12:$G$119,"")</f>
        <v>Metal</v>
      </c>
      <c r="B947" t="s">
        <v>1686</v>
      </c>
      <c r="C947" t="s">
        <v>157</v>
      </c>
      <c r="D947" t="s">
        <v>1911</v>
      </c>
      <c r="E947" t="s">
        <v>1912</v>
      </c>
      <c r="G947" s="1">
        <v>10</v>
      </c>
    </row>
    <row r="948" spans="1:7" ht="14.25" hidden="1" customHeight="1" x14ac:dyDescent="0.45">
      <c r="A948" t="str">
        <f>_xlfn.XLOOKUP(B948,Ingot!$H$12:$H$119,Ingot!$G$12:$G$119,"")</f>
        <v>Metal</v>
      </c>
      <c r="B948" t="s">
        <v>1686</v>
      </c>
      <c r="C948" t="s">
        <v>239</v>
      </c>
      <c r="D948" t="s">
        <v>1913</v>
      </c>
      <c r="E948" t="s">
        <v>1914</v>
      </c>
    </row>
    <row r="949" spans="1:7" ht="14.25" hidden="1" customHeight="1" x14ac:dyDescent="0.45">
      <c r="A949" t="str">
        <f>_xlfn.XLOOKUP(B949,Ingot!$H$12:$H$119,Ingot!$G$12:$G$119,"")</f>
        <v>Metal</v>
      </c>
      <c r="B949" t="s">
        <v>1686</v>
      </c>
      <c r="C949" t="s">
        <v>239</v>
      </c>
      <c r="D949" t="s">
        <v>1915</v>
      </c>
      <c r="E949" t="s">
        <v>1916</v>
      </c>
    </row>
    <row r="950" spans="1:7" ht="14.25" hidden="1" customHeight="1" x14ac:dyDescent="0.45">
      <c r="A950" t="str">
        <f>_xlfn.XLOOKUP(B950,Ingot!$H$12:$H$119,Ingot!$G$12:$G$119,"")</f>
        <v>Metal</v>
      </c>
      <c r="B950" t="s">
        <v>1686</v>
      </c>
      <c r="C950" t="s">
        <v>239</v>
      </c>
      <c r="D950" t="s">
        <v>1917</v>
      </c>
      <c r="E950" t="s">
        <v>1918</v>
      </c>
    </row>
    <row r="951" spans="1:7" ht="14.25" hidden="1" customHeight="1" x14ac:dyDescent="0.45">
      <c r="A951" t="str">
        <f>_xlfn.XLOOKUP(B951,Ingot!$H$12:$H$119,Ingot!$G$12:$G$119,"")</f>
        <v>Metal</v>
      </c>
      <c r="B951" t="s">
        <v>1686</v>
      </c>
      <c r="C951" t="s">
        <v>239</v>
      </c>
      <c r="D951" t="s">
        <v>1919</v>
      </c>
      <c r="E951" t="s">
        <v>1920</v>
      </c>
    </row>
    <row r="952" spans="1:7" ht="14.25" hidden="1" customHeight="1" x14ac:dyDescent="0.45">
      <c r="A952" t="str">
        <f>_xlfn.XLOOKUP(B952,Ingot!$H$12:$H$119,Ingot!$G$12:$G$119,"")</f>
        <v>Metal</v>
      </c>
      <c r="B952" t="s">
        <v>1686</v>
      </c>
      <c r="C952" t="s">
        <v>239</v>
      </c>
      <c r="D952" t="s">
        <v>1921</v>
      </c>
      <c r="E952" t="s">
        <v>1922</v>
      </c>
    </row>
    <row r="953" spans="1:7" ht="14.25" hidden="1" customHeight="1" x14ac:dyDescent="0.45">
      <c r="A953" t="str">
        <f>_xlfn.XLOOKUP(B953,Ingot!$H$12:$H$119,Ingot!$G$12:$G$119,"")</f>
        <v>Metal</v>
      </c>
      <c r="B953" t="s">
        <v>1686</v>
      </c>
      <c r="C953" t="s">
        <v>239</v>
      </c>
      <c r="D953" t="s">
        <v>1923</v>
      </c>
      <c r="E953" t="s">
        <v>1924</v>
      </c>
    </row>
    <row r="954" spans="1:7" ht="14.25" hidden="1" customHeight="1" x14ac:dyDescent="0.45">
      <c r="A954" t="str">
        <f>_xlfn.XLOOKUP(B954,Ingot!$H$12:$H$119,Ingot!$G$12:$G$119,"")</f>
        <v>Metal</v>
      </c>
      <c r="B954" t="s">
        <v>1925</v>
      </c>
      <c r="C954" t="s">
        <v>10</v>
      </c>
      <c r="D954" t="s">
        <v>1926</v>
      </c>
      <c r="E954" t="s">
        <v>1927</v>
      </c>
      <c r="G954" s="1">
        <v>0.08</v>
      </c>
    </row>
    <row r="955" spans="1:7" ht="14.25" hidden="1" customHeight="1" x14ac:dyDescent="0.45">
      <c r="A955" t="str">
        <f>_xlfn.XLOOKUP(B955,Ingot!$H$12:$H$119,Ingot!$G$12:$G$119,"")</f>
        <v>Metal</v>
      </c>
      <c r="B955" t="s">
        <v>1925</v>
      </c>
      <c r="C955" t="s">
        <v>10</v>
      </c>
      <c r="D955" t="s">
        <v>1928</v>
      </c>
      <c r="E955" t="s">
        <v>1929</v>
      </c>
      <c r="G955" s="1">
        <v>9.9</v>
      </c>
    </row>
    <row r="956" spans="1:7" ht="14.25" hidden="1" customHeight="1" x14ac:dyDescent="0.45">
      <c r="A956" t="str">
        <f>_xlfn.XLOOKUP(B956,Ingot!$H$12:$H$119,Ingot!$G$12:$G$119,"")</f>
        <v>Metal</v>
      </c>
      <c r="B956" t="s">
        <v>1925</v>
      </c>
      <c r="C956" t="s">
        <v>10</v>
      </c>
      <c r="D956" t="s">
        <v>1930</v>
      </c>
      <c r="E956" t="s">
        <v>1931</v>
      </c>
      <c r="G956" s="1">
        <v>5.66</v>
      </c>
    </row>
    <row r="957" spans="1:7" ht="14.25" hidden="1" customHeight="1" x14ac:dyDescent="0.45">
      <c r="A957" t="str">
        <f>_xlfn.XLOOKUP(B957,Ingot!$H$12:$H$119,Ingot!$G$12:$G$119,"")</f>
        <v>Metal</v>
      </c>
      <c r="B957" t="s">
        <v>1925</v>
      </c>
      <c r="C957" t="s">
        <v>10</v>
      </c>
      <c r="D957" t="s">
        <v>1932</v>
      </c>
      <c r="E957" t="s">
        <v>1933</v>
      </c>
      <c r="G957" s="1">
        <v>3.3</v>
      </c>
    </row>
    <row r="958" spans="1:7" ht="14.25" hidden="1" customHeight="1" x14ac:dyDescent="0.45">
      <c r="A958" t="str">
        <f>_xlfn.XLOOKUP(B958,Ingot!$H$12:$H$119,Ingot!$G$12:$G$119,"")</f>
        <v>Metal</v>
      </c>
      <c r="B958" t="s">
        <v>1925</v>
      </c>
      <c r="C958" t="s">
        <v>10</v>
      </c>
      <c r="D958" t="s">
        <v>1934</v>
      </c>
      <c r="E958" t="s">
        <v>1935</v>
      </c>
      <c r="G958" s="1">
        <v>0.66</v>
      </c>
    </row>
    <row r="959" spans="1:7" ht="14.25" hidden="1" customHeight="1" x14ac:dyDescent="0.45">
      <c r="A959" t="str">
        <f>_xlfn.XLOOKUP(B959,Ingot!$H$12:$H$119,Ingot!$G$12:$G$119,"")</f>
        <v>Metal</v>
      </c>
      <c r="B959" t="s">
        <v>1925</v>
      </c>
      <c r="C959" t="s">
        <v>10</v>
      </c>
      <c r="D959" t="s">
        <v>1936</v>
      </c>
      <c r="E959" t="s">
        <v>1937</v>
      </c>
      <c r="G959" s="1">
        <v>0.04</v>
      </c>
    </row>
    <row r="960" spans="1:7" ht="14.25" hidden="1" customHeight="1" x14ac:dyDescent="0.45">
      <c r="A960" t="str">
        <f>_xlfn.XLOOKUP(B960,Ingot!$H$12:$H$119,Ingot!$G$12:$G$119,"")</f>
        <v>Metal</v>
      </c>
      <c r="B960" t="s">
        <v>1925</v>
      </c>
      <c r="C960" t="s">
        <v>10</v>
      </c>
      <c r="D960" t="s">
        <v>1938</v>
      </c>
      <c r="E960" t="s">
        <v>1939</v>
      </c>
      <c r="G960" s="1">
        <v>0.33</v>
      </c>
    </row>
    <row r="961" spans="1:7" ht="14.25" hidden="1" customHeight="1" x14ac:dyDescent="0.45">
      <c r="A961" t="str">
        <f>_xlfn.XLOOKUP(B961,Ingot!$H$12:$H$119,Ingot!$G$12:$G$119,"")</f>
        <v>Metal</v>
      </c>
      <c r="B961" t="s">
        <v>1925</v>
      </c>
      <c r="C961" t="s">
        <v>10</v>
      </c>
      <c r="D961" t="s">
        <v>1940</v>
      </c>
      <c r="E961" t="s">
        <v>1941</v>
      </c>
    </row>
    <row r="962" spans="1:7" ht="14.25" hidden="1" customHeight="1" x14ac:dyDescent="0.45">
      <c r="A962" t="str">
        <f>_xlfn.XLOOKUP(B962,Ingot!$H$12:$H$119,Ingot!$G$12:$G$119,"")</f>
        <v>Metal</v>
      </c>
      <c r="B962" t="s">
        <v>1925</v>
      </c>
      <c r="C962" t="s">
        <v>10</v>
      </c>
      <c r="D962" t="s">
        <v>1942</v>
      </c>
      <c r="E962" t="s">
        <v>1943</v>
      </c>
      <c r="G962" s="1">
        <v>0.05</v>
      </c>
    </row>
    <row r="963" spans="1:7" ht="14.25" hidden="1" customHeight="1" x14ac:dyDescent="0.45">
      <c r="A963" t="str">
        <f>_xlfn.XLOOKUP(B963,Ingot!$H$12:$H$119,Ingot!$G$12:$G$119,"")</f>
        <v>Metal</v>
      </c>
      <c r="B963" t="s">
        <v>1925</v>
      </c>
      <c r="C963" t="s">
        <v>10</v>
      </c>
      <c r="D963" t="s">
        <v>1944</v>
      </c>
      <c r="E963" t="s">
        <v>1945</v>
      </c>
      <c r="G963" s="1">
        <v>0.66</v>
      </c>
    </row>
    <row r="964" spans="1:7" ht="14.25" hidden="1" customHeight="1" x14ac:dyDescent="0.45">
      <c r="A964" t="str">
        <f>_xlfn.XLOOKUP(B964,Ingot!$H$12:$H$119,Ingot!$G$12:$G$119,"")</f>
        <v>Metal</v>
      </c>
      <c r="B964" t="s">
        <v>1925</v>
      </c>
      <c r="C964" t="s">
        <v>10</v>
      </c>
      <c r="D964" t="s">
        <v>1946</v>
      </c>
      <c r="E964" t="s">
        <v>1947</v>
      </c>
      <c r="G964" s="1">
        <v>3.96</v>
      </c>
    </row>
    <row r="965" spans="1:7" ht="14.25" hidden="1" customHeight="1" x14ac:dyDescent="0.45">
      <c r="A965" t="str">
        <f>_xlfn.XLOOKUP(B965,Ingot!$H$12:$H$119,Ingot!$G$12:$G$119,"")</f>
        <v>Metal</v>
      </c>
      <c r="B965" t="s">
        <v>1925</v>
      </c>
      <c r="C965" t="s">
        <v>10</v>
      </c>
      <c r="D965" t="s">
        <v>1948</v>
      </c>
      <c r="E965" t="s">
        <v>1949</v>
      </c>
      <c r="G965" s="1">
        <v>8.77</v>
      </c>
    </row>
    <row r="966" spans="1:7" ht="14.25" hidden="1" customHeight="1" x14ac:dyDescent="0.45">
      <c r="A966" t="str">
        <f>_xlfn.XLOOKUP(B966,Ingot!$H$12:$H$119,Ingot!$G$12:$G$119,"")</f>
        <v>Metal</v>
      </c>
      <c r="B966" t="s">
        <v>1925</v>
      </c>
      <c r="C966" t="s">
        <v>10</v>
      </c>
      <c r="D966" t="s">
        <v>1950</v>
      </c>
      <c r="E966" t="s">
        <v>1951</v>
      </c>
      <c r="G966" s="1">
        <v>3.5</v>
      </c>
    </row>
    <row r="967" spans="1:7" ht="14.25" hidden="1" customHeight="1" x14ac:dyDescent="0.45">
      <c r="A967" t="str">
        <f>_xlfn.XLOOKUP(B967,Ingot!$H$12:$H$119,Ingot!$G$12:$G$119,"")</f>
        <v>Metal</v>
      </c>
      <c r="B967" t="s">
        <v>1925</v>
      </c>
      <c r="C967" t="s">
        <v>10</v>
      </c>
      <c r="D967" t="s">
        <v>1952</v>
      </c>
      <c r="E967" t="s">
        <v>1953</v>
      </c>
    </row>
    <row r="968" spans="1:7" ht="14.25" hidden="1" customHeight="1" x14ac:dyDescent="0.45">
      <c r="A968" t="str">
        <f>_xlfn.XLOOKUP(B968,Ingot!$H$12:$H$119,Ingot!$G$12:$G$119,"")</f>
        <v>Metal</v>
      </c>
      <c r="B968" t="s">
        <v>1925</v>
      </c>
      <c r="C968" t="s">
        <v>10</v>
      </c>
      <c r="D968" t="s">
        <v>1954</v>
      </c>
      <c r="E968" t="s">
        <v>1955</v>
      </c>
      <c r="G968" s="1">
        <v>2.2000000000000002</v>
      </c>
    </row>
    <row r="969" spans="1:7" ht="14.25" hidden="1" customHeight="1" x14ac:dyDescent="0.45">
      <c r="A969" t="str">
        <f>_xlfn.XLOOKUP(B969,Ingot!$H$12:$H$119,Ingot!$G$12:$G$119,"")</f>
        <v>Metal</v>
      </c>
      <c r="B969" t="s">
        <v>1925</v>
      </c>
      <c r="C969" t="s">
        <v>10</v>
      </c>
      <c r="D969" t="s">
        <v>1956</v>
      </c>
      <c r="E969" t="s">
        <v>1957</v>
      </c>
      <c r="G969" s="1">
        <v>1.1000000000000001</v>
      </c>
    </row>
    <row r="970" spans="1:7" ht="14.25" hidden="1" customHeight="1" x14ac:dyDescent="0.45">
      <c r="A970" t="str">
        <f>_xlfn.XLOOKUP(B970,Ingot!$H$12:$H$119,Ingot!$G$12:$G$119,"")</f>
        <v>Metal</v>
      </c>
      <c r="B970" t="s">
        <v>1925</v>
      </c>
      <c r="C970" t="s">
        <v>10</v>
      </c>
      <c r="D970" t="s">
        <v>1958</v>
      </c>
      <c r="E970" t="s">
        <v>1959</v>
      </c>
      <c r="G970" s="1">
        <v>0.22</v>
      </c>
    </row>
    <row r="971" spans="1:7" ht="14.25" hidden="1" customHeight="1" x14ac:dyDescent="0.45">
      <c r="A971" t="str">
        <f>_xlfn.XLOOKUP(B971,Ingot!$H$12:$H$119,Ingot!$G$12:$G$119,"")</f>
        <v>Metal</v>
      </c>
      <c r="B971" t="s">
        <v>1925</v>
      </c>
      <c r="C971" t="s">
        <v>10</v>
      </c>
      <c r="D971" t="s">
        <v>1960</v>
      </c>
      <c r="E971" t="s">
        <v>1961</v>
      </c>
      <c r="G971" s="1">
        <v>8.41</v>
      </c>
    </row>
    <row r="972" spans="1:7" ht="14.25" hidden="1" customHeight="1" x14ac:dyDescent="0.45">
      <c r="A972" t="str">
        <f>_xlfn.XLOOKUP(B972,Ingot!$H$12:$H$119,Ingot!$G$12:$G$119,"")</f>
        <v>Metal</v>
      </c>
      <c r="B972" t="s">
        <v>1925</v>
      </c>
      <c r="C972" t="s">
        <v>10</v>
      </c>
      <c r="D972" t="s">
        <v>1962</v>
      </c>
      <c r="E972" t="s">
        <v>1963</v>
      </c>
      <c r="G972" s="1">
        <v>3.64</v>
      </c>
    </row>
    <row r="973" spans="1:7" ht="14.25" hidden="1" customHeight="1" x14ac:dyDescent="0.45">
      <c r="A973" t="str">
        <f>_xlfn.XLOOKUP(B973,Ingot!$H$12:$H$119,Ingot!$G$12:$G$119,"")</f>
        <v>Metal</v>
      </c>
      <c r="B973" t="s">
        <v>1925</v>
      </c>
      <c r="C973" t="s">
        <v>10</v>
      </c>
      <c r="D973" t="s">
        <v>1964</v>
      </c>
      <c r="E973" t="s">
        <v>1965</v>
      </c>
      <c r="G973" s="1">
        <v>7.05</v>
      </c>
    </row>
    <row r="974" spans="1:7" ht="14.25" hidden="1" customHeight="1" x14ac:dyDescent="0.45">
      <c r="A974" t="str">
        <f>_xlfn.XLOOKUP(B974,Ingot!$H$12:$H$119,Ingot!$G$12:$G$119,"")</f>
        <v>Metal</v>
      </c>
      <c r="B974" t="s">
        <v>1925</v>
      </c>
      <c r="C974" t="s">
        <v>10</v>
      </c>
      <c r="D974" t="s">
        <v>1966</v>
      </c>
      <c r="E974" t="s">
        <v>1967</v>
      </c>
      <c r="G974" s="1">
        <v>2.65</v>
      </c>
    </row>
    <row r="975" spans="1:7" ht="14.25" hidden="1" customHeight="1" x14ac:dyDescent="0.45">
      <c r="A975" t="str">
        <f>_xlfn.XLOOKUP(B975,Ingot!$H$12:$H$119,Ingot!$G$12:$G$119,"")</f>
        <v>Metal</v>
      </c>
      <c r="B975" t="s">
        <v>1925</v>
      </c>
      <c r="C975" t="s">
        <v>10</v>
      </c>
      <c r="D975" t="s">
        <v>1968</v>
      </c>
      <c r="E975" t="s">
        <v>1969</v>
      </c>
      <c r="G975" s="1">
        <v>9</v>
      </c>
    </row>
    <row r="976" spans="1:7" ht="14.25" hidden="1" customHeight="1" x14ac:dyDescent="0.45">
      <c r="A976" t="str">
        <f>_xlfn.XLOOKUP(B976,Ingot!$H$12:$H$119,Ingot!$G$12:$G$119,"")</f>
        <v>Metal</v>
      </c>
      <c r="B976" t="s">
        <v>1925</v>
      </c>
      <c r="C976" t="s">
        <v>10</v>
      </c>
      <c r="D976" t="s">
        <v>1970</v>
      </c>
      <c r="E976" t="s">
        <v>1971</v>
      </c>
      <c r="G976" s="1">
        <v>10.23</v>
      </c>
    </row>
    <row r="977" spans="1:7" ht="14.25" hidden="1" customHeight="1" x14ac:dyDescent="0.45">
      <c r="A977" t="str">
        <f>_xlfn.XLOOKUP(B977,Ingot!$H$12:$H$119,Ingot!$G$12:$G$119,"")</f>
        <v>Metal</v>
      </c>
      <c r="B977" t="s">
        <v>1925</v>
      </c>
      <c r="C977" t="s">
        <v>10</v>
      </c>
      <c r="D977" t="s">
        <v>1972</v>
      </c>
      <c r="E977" t="s">
        <v>1973</v>
      </c>
      <c r="G977" s="1">
        <v>7.7</v>
      </c>
    </row>
    <row r="978" spans="1:7" ht="14.25" hidden="1" customHeight="1" x14ac:dyDescent="0.45">
      <c r="A978" t="str">
        <f>_xlfn.XLOOKUP(B978,Ingot!$H$12:$H$119,Ingot!$G$12:$G$119,"")</f>
        <v>Metal</v>
      </c>
      <c r="B978" t="s">
        <v>1925</v>
      </c>
      <c r="C978" t="s">
        <v>10</v>
      </c>
      <c r="D978" t="s">
        <v>1974</v>
      </c>
      <c r="E978" t="s">
        <v>1975</v>
      </c>
      <c r="G978" s="1">
        <v>10.02</v>
      </c>
    </row>
    <row r="979" spans="1:7" ht="14.25" hidden="1" customHeight="1" x14ac:dyDescent="0.45">
      <c r="A979" t="str">
        <f>_xlfn.XLOOKUP(B979,Ingot!$H$12:$H$119,Ingot!$G$12:$G$119,"")</f>
        <v>Metal</v>
      </c>
      <c r="B979" t="s">
        <v>1925</v>
      </c>
      <c r="C979" t="s">
        <v>10</v>
      </c>
      <c r="D979" t="s">
        <v>1976</v>
      </c>
      <c r="E979" t="s">
        <v>1977</v>
      </c>
      <c r="G979" s="1">
        <v>11.81</v>
      </c>
    </row>
    <row r="980" spans="1:7" ht="14.25" hidden="1" customHeight="1" x14ac:dyDescent="0.45">
      <c r="A980" t="str">
        <f>_xlfn.XLOOKUP(B980,Ingot!$H$12:$H$119,Ingot!$G$12:$G$119,"")</f>
        <v>Metal</v>
      </c>
      <c r="B980" t="s">
        <v>1925</v>
      </c>
      <c r="C980" t="s">
        <v>10</v>
      </c>
      <c r="D980" t="s">
        <v>1978</v>
      </c>
      <c r="E980" t="s">
        <v>1979</v>
      </c>
      <c r="G980" s="1">
        <v>8.44</v>
      </c>
    </row>
    <row r="981" spans="1:7" ht="14.25" hidden="1" customHeight="1" x14ac:dyDescent="0.45">
      <c r="A981" t="str">
        <f>_xlfn.XLOOKUP(B981,Ingot!$H$12:$H$119,Ingot!$G$12:$G$119,"")</f>
        <v>Metal</v>
      </c>
      <c r="B981" t="s">
        <v>1925</v>
      </c>
      <c r="C981" t="s">
        <v>10</v>
      </c>
      <c r="D981" t="s">
        <v>1980</v>
      </c>
      <c r="E981" t="s">
        <v>1981</v>
      </c>
      <c r="G981" s="1">
        <v>10.42</v>
      </c>
    </row>
    <row r="982" spans="1:7" ht="14.25" hidden="1" customHeight="1" x14ac:dyDescent="0.45">
      <c r="A982" t="str">
        <f>_xlfn.XLOOKUP(B982,Ingot!$H$12:$H$119,Ingot!$G$12:$G$119,"")</f>
        <v>Metal</v>
      </c>
      <c r="B982" t="s">
        <v>1925</v>
      </c>
      <c r="C982" t="s">
        <v>10</v>
      </c>
      <c r="D982" t="s">
        <v>1982</v>
      </c>
      <c r="E982" t="s">
        <v>1983</v>
      </c>
    </row>
    <row r="983" spans="1:7" ht="14.25" hidden="1" customHeight="1" x14ac:dyDescent="0.45">
      <c r="A983" t="str">
        <f>_xlfn.XLOOKUP(B983,Ingot!$H$12:$H$119,Ingot!$G$12:$G$119,"")</f>
        <v>Metal</v>
      </c>
      <c r="B983" t="s">
        <v>1925</v>
      </c>
      <c r="C983" t="s">
        <v>10</v>
      </c>
      <c r="D983" t="s">
        <v>1984</v>
      </c>
      <c r="E983" t="s">
        <v>1985</v>
      </c>
      <c r="G983" s="1">
        <v>7.96</v>
      </c>
    </row>
    <row r="984" spans="1:7" ht="14.25" hidden="1" customHeight="1" x14ac:dyDescent="0.45">
      <c r="A984" t="str">
        <f>_xlfn.XLOOKUP(B984,Ingot!$H$12:$H$119,Ingot!$G$12:$G$119,"")</f>
        <v>Metal</v>
      </c>
      <c r="B984" t="s">
        <v>1925</v>
      </c>
      <c r="C984" t="s">
        <v>10</v>
      </c>
      <c r="D984" t="s">
        <v>1986</v>
      </c>
      <c r="E984" t="s">
        <v>1987</v>
      </c>
      <c r="G984" s="1">
        <v>9.64</v>
      </c>
    </row>
    <row r="985" spans="1:7" ht="14.25" hidden="1" customHeight="1" x14ac:dyDescent="0.45">
      <c r="A985" t="str">
        <f>_xlfn.XLOOKUP(B985,Ingot!$H$12:$H$119,Ingot!$G$12:$G$119,"")</f>
        <v>Metal</v>
      </c>
      <c r="B985" t="s">
        <v>1925</v>
      </c>
      <c r="C985" t="s">
        <v>10</v>
      </c>
      <c r="D985" t="s">
        <v>1988</v>
      </c>
      <c r="E985" t="s">
        <v>1989</v>
      </c>
      <c r="G985" s="1">
        <v>7.94</v>
      </c>
    </row>
    <row r="986" spans="1:7" ht="14.25" hidden="1" customHeight="1" x14ac:dyDescent="0.45">
      <c r="A986" t="str">
        <f>_xlfn.XLOOKUP(B986,Ingot!$H$12:$H$119,Ingot!$G$12:$G$119,"")</f>
        <v>Metal</v>
      </c>
      <c r="B986" t="s">
        <v>1925</v>
      </c>
      <c r="C986" t="s">
        <v>10</v>
      </c>
      <c r="D986" t="s">
        <v>1990</v>
      </c>
      <c r="E986" t="s">
        <v>1991</v>
      </c>
      <c r="G986" s="1">
        <v>8.66</v>
      </c>
    </row>
    <row r="987" spans="1:7" ht="14.25" hidden="1" customHeight="1" x14ac:dyDescent="0.45">
      <c r="A987" t="str">
        <f>_xlfn.XLOOKUP(B987,Ingot!$H$12:$H$119,Ingot!$G$12:$G$119,"")</f>
        <v>Metal</v>
      </c>
      <c r="B987" t="s">
        <v>1925</v>
      </c>
      <c r="C987" t="s">
        <v>10</v>
      </c>
      <c r="D987" t="s">
        <v>1992</v>
      </c>
      <c r="E987" t="s">
        <v>1993</v>
      </c>
    </row>
    <row r="988" spans="1:7" ht="14.25" hidden="1" customHeight="1" x14ac:dyDescent="0.45">
      <c r="A988" t="str">
        <f>_xlfn.XLOOKUP(B988,Ingot!$H$12:$H$119,Ingot!$G$12:$G$119,"")</f>
        <v>Metal</v>
      </c>
      <c r="B988" t="s">
        <v>1925</v>
      </c>
      <c r="C988" t="s">
        <v>10</v>
      </c>
      <c r="D988" t="s">
        <v>1994</v>
      </c>
      <c r="E988" t="s">
        <v>1995</v>
      </c>
      <c r="G988" s="1">
        <v>2.65</v>
      </c>
    </row>
    <row r="989" spans="1:7" ht="14.25" hidden="1" customHeight="1" x14ac:dyDescent="0.45">
      <c r="A989" t="str">
        <f>_xlfn.XLOOKUP(B989,Ingot!$H$12:$H$119,Ingot!$G$12:$G$119,"")</f>
        <v>Metal</v>
      </c>
      <c r="B989" t="s">
        <v>1925</v>
      </c>
      <c r="C989" t="s">
        <v>10</v>
      </c>
      <c r="D989" t="s">
        <v>1996</v>
      </c>
      <c r="E989" t="s">
        <v>1997</v>
      </c>
    </row>
    <row r="990" spans="1:7" ht="14.25" hidden="1" customHeight="1" x14ac:dyDescent="0.45">
      <c r="A990" t="str">
        <f>_xlfn.XLOOKUP(B990,Ingot!$H$12:$H$119,Ingot!$G$12:$G$119,"")</f>
        <v>Metal</v>
      </c>
      <c r="B990" t="s">
        <v>1925</v>
      </c>
      <c r="C990" t="s">
        <v>10</v>
      </c>
      <c r="D990" t="s">
        <v>1998</v>
      </c>
      <c r="E990" t="s">
        <v>1999</v>
      </c>
      <c r="G990" s="1">
        <v>12.64</v>
      </c>
    </row>
    <row r="991" spans="1:7" ht="14.25" hidden="1" customHeight="1" x14ac:dyDescent="0.45">
      <c r="A991" t="str">
        <f>_xlfn.XLOOKUP(B991,Ingot!$H$12:$H$119,Ingot!$G$12:$G$119,"")</f>
        <v>Metal</v>
      </c>
      <c r="B991" t="s">
        <v>1925</v>
      </c>
      <c r="C991" t="s">
        <v>10</v>
      </c>
      <c r="D991" t="s">
        <v>2000</v>
      </c>
      <c r="E991" t="s">
        <v>2001</v>
      </c>
      <c r="G991" s="1">
        <v>22.67</v>
      </c>
    </row>
    <row r="992" spans="1:7" ht="14.25" hidden="1" customHeight="1" x14ac:dyDescent="0.45">
      <c r="A992" t="str">
        <f>_xlfn.XLOOKUP(B992,Ingot!$H$12:$H$119,Ingot!$G$12:$G$119,"")</f>
        <v>Metal</v>
      </c>
      <c r="B992" t="s">
        <v>1925</v>
      </c>
      <c r="C992" t="s">
        <v>10</v>
      </c>
      <c r="D992" t="s">
        <v>2002</v>
      </c>
      <c r="E992" t="s">
        <v>2003</v>
      </c>
      <c r="G992" s="1">
        <v>8.3800000000000008</v>
      </c>
    </row>
    <row r="993" spans="1:7" ht="14.25" hidden="1" customHeight="1" x14ac:dyDescent="0.45">
      <c r="A993" t="str">
        <f>_xlfn.XLOOKUP(B993,Ingot!$H$12:$H$119,Ingot!$G$12:$G$119,"")</f>
        <v>Metal</v>
      </c>
      <c r="B993" t="s">
        <v>1925</v>
      </c>
      <c r="C993" t="s">
        <v>10</v>
      </c>
      <c r="D993" t="s">
        <v>2004</v>
      </c>
      <c r="E993" t="s">
        <v>2005</v>
      </c>
      <c r="G993" s="1">
        <v>2.2000000000000002</v>
      </c>
    </row>
    <row r="994" spans="1:7" ht="14.25" hidden="1" customHeight="1" x14ac:dyDescent="0.45">
      <c r="A994" t="str">
        <f>_xlfn.XLOOKUP(B994,Ingot!$H$12:$H$119,Ingot!$G$12:$G$119,"")</f>
        <v>Metal</v>
      </c>
      <c r="B994" t="s">
        <v>1925</v>
      </c>
      <c r="C994" t="s">
        <v>10</v>
      </c>
      <c r="D994" t="s">
        <v>2006</v>
      </c>
      <c r="E994" t="s">
        <v>2007</v>
      </c>
      <c r="G994" s="1">
        <v>3.09</v>
      </c>
    </row>
    <row r="995" spans="1:7" ht="14.25" hidden="1" customHeight="1" x14ac:dyDescent="0.45">
      <c r="A995" t="str">
        <f>_xlfn.XLOOKUP(B995,Ingot!$H$12:$H$119,Ingot!$G$12:$G$119,"")</f>
        <v>Metal</v>
      </c>
      <c r="B995" t="s">
        <v>1925</v>
      </c>
      <c r="C995" t="s">
        <v>10</v>
      </c>
      <c r="D995" t="s">
        <v>2008</v>
      </c>
      <c r="E995" t="s">
        <v>2009</v>
      </c>
      <c r="G995" s="1">
        <v>2.2999999999999998</v>
      </c>
    </row>
    <row r="996" spans="1:7" ht="14.25" hidden="1" customHeight="1" x14ac:dyDescent="0.45">
      <c r="A996" t="str">
        <f>_xlfn.XLOOKUP(B996,Ingot!$H$12:$H$119,Ingot!$G$12:$G$119,"")</f>
        <v>Metal</v>
      </c>
      <c r="B996" t="s">
        <v>1925</v>
      </c>
      <c r="C996" t="s">
        <v>10</v>
      </c>
      <c r="D996" t="s">
        <v>2010</v>
      </c>
      <c r="E996" t="s">
        <v>2011</v>
      </c>
      <c r="G996" s="1">
        <v>4.88</v>
      </c>
    </row>
    <row r="997" spans="1:7" ht="14.25" hidden="1" customHeight="1" x14ac:dyDescent="0.45">
      <c r="A997" t="str">
        <f>_xlfn.XLOOKUP(B997,Ingot!$H$12:$H$119,Ingot!$G$12:$G$119,"")</f>
        <v>Metal</v>
      </c>
      <c r="B997" t="s">
        <v>1925</v>
      </c>
      <c r="C997" t="s">
        <v>10</v>
      </c>
      <c r="D997" t="s">
        <v>2012</v>
      </c>
      <c r="E997" t="s">
        <v>2013</v>
      </c>
      <c r="G997" s="1">
        <v>8.43</v>
      </c>
    </row>
    <row r="998" spans="1:7" ht="14.25" hidden="1" customHeight="1" x14ac:dyDescent="0.45">
      <c r="A998" t="str">
        <f>_xlfn.XLOOKUP(B998,Ingot!$H$12:$H$119,Ingot!$G$12:$G$119,"")</f>
        <v>Metal</v>
      </c>
      <c r="B998" t="s">
        <v>1925</v>
      </c>
      <c r="C998" t="s">
        <v>10</v>
      </c>
      <c r="D998" t="s">
        <v>2014</v>
      </c>
      <c r="E998" t="s">
        <v>2015</v>
      </c>
      <c r="G998" s="1">
        <v>13.07</v>
      </c>
    </row>
    <row r="999" spans="1:7" ht="14.25" hidden="1" customHeight="1" x14ac:dyDescent="0.45">
      <c r="A999" t="str">
        <f>_xlfn.XLOOKUP(B999,Ingot!$H$12:$H$119,Ingot!$G$12:$G$119,"")</f>
        <v>Metal</v>
      </c>
      <c r="B999" t="s">
        <v>1925</v>
      </c>
      <c r="C999" t="s">
        <v>10</v>
      </c>
      <c r="D999" t="s">
        <v>2016</v>
      </c>
      <c r="E999" t="s">
        <v>2017</v>
      </c>
    </row>
    <row r="1000" spans="1:7" ht="14.25" hidden="1" customHeight="1" x14ac:dyDescent="0.45">
      <c r="A1000" t="str">
        <f>_xlfn.XLOOKUP(B1000,Ingot!$H$12:$H$119,Ingot!$G$12:$G$119,"")</f>
        <v>Metal</v>
      </c>
      <c r="B1000" t="s">
        <v>1925</v>
      </c>
      <c r="C1000" t="s">
        <v>10</v>
      </c>
      <c r="D1000" t="s">
        <v>2018</v>
      </c>
      <c r="E1000" t="s">
        <v>2019</v>
      </c>
    </row>
    <row r="1001" spans="1:7" ht="14.25" hidden="1" customHeight="1" x14ac:dyDescent="0.45">
      <c r="A1001" t="str">
        <f>_xlfn.XLOOKUP(B1001,Ingot!$H$12:$H$119,Ingot!$G$12:$G$119,"")</f>
        <v>Metal</v>
      </c>
      <c r="B1001" t="s">
        <v>1925</v>
      </c>
      <c r="C1001" t="s">
        <v>10</v>
      </c>
      <c r="D1001" t="s">
        <v>2020</v>
      </c>
      <c r="E1001" t="s">
        <v>2021</v>
      </c>
      <c r="G1001" s="1">
        <v>6.8</v>
      </c>
    </row>
    <row r="1002" spans="1:7" ht="14.25" hidden="1" customHeight="1" x14ac:dyDescent="0.45">
      <c r="A1002" t="str">
        <f>_xlfn.XLOOKUP(B1002,Ingot!$H$12:$H$119,Ingot!$G$12:$G$119,"")</f>
        <v>Metal</v>
      </c>
      <c r="B1002" t="s">
        <v>1925</v>
      </c>
      <c r="C1002" t="s">
        <v>10</v>
      </c>
      <c r="D1002" t="s">
        <v>2022</v>
      </c>
      <c r="E1002" t="s">
        <v>2023</v>
      </c>
      <c r="G1002" s="1">
        <v>6.88</v>
      </c>
    </row>
    <row r="1003" spans="1:7" ht="14.25" hidden="1" customHeight="1" x14ac:dyDescent="0.45">
      <c r="A1003" t="str">
        <f>_xlfn.XLOOKUP(B1003,Ingot!$H$12:$H$119,Ingot!$G$12:$G$119,"")</f>
        <v>Metal</v>
      </c>
      <c r="B1003" t="s">
        <v>1925</v>
      </c>
      <c r="C1003" t="s">
        <v>10</v>
      </c>
      <c r="D1003" t="s">
        <v>2024</v>
      </c>
      <c r="E1003" t="s">
        <v>2025</v>
      </c>
      <c r="G1003" s="1">
        <v>5.5</v>
      </c>
    </row>
    <row r="1004" spans="1:7" ht="14.25" hidden="1" customHeight="1" x14ac:dyDescent="0.45">
      <c r="A1004" t="str">
        <f>_xlfn.XLOOKUP(B1004,Ingot!$H$12:$H$119,Ingot!$G$12:$G$119,"")</f>
        <v>Metal</v>
      </c>
      <c r="B1004" t="s">
        <v>1925</v>
      </c>
      <c r="C1004" t="s">
        <v>10</v>
      </c>
      <c r="D1004" t="s">
        <v>2026</v>
      </c>
      <c r="E1004" t="s">
        <v>2027</v>
      </c>
      <c r="G1004" s="1">
        <v>2.4300000000000002</v>
      </c>
    </row>
    <row r="1005" spans="1:7" ht="14.25" hidden="1" customHeight="1" x14ac:dyDescent="0.45">
      <c r="A1005" t="str">
        <f>_xlfn.XLOOKUP(B1005,Ingot!$H$12:$H$119,Ingot!$G$12:$G$119,"")</f>
        <v>Metal</v>
      </c>
      <c r="B1005" t="s">
        <v>1925</v>
      </c>
      <c r="C1005" t="s">
        <v>10</v>
      </c>
      <c r="D1005" t="s">
        <v>2028</v>
      </c>
      <c r="E1005" t="s">
        <v>2029</v>
      </c>
      <c r="G1005" s="1">
        <v>6.96</v>
      </c>
    </row>
    <row r="1006" spans="1:7" ht="14.25" hidden="1" customHeight="1" x14ac:dyDescent="0.45">
      <c r="A1006" t="str">
        <f>_xlfn.XLOOKUP(B1006,Ingot!$H$12:$H$119,Ingot!$G$12:$G$119,"")</f>
        <v>Metal</v>
      </c>
      <c r="B1006" t="s">
        <v>1925</v>
      </c>
      <c r="C1006" t="s">
        <v>10</v>
      </c>
      <c r="D1006" t="s">
        <v>2030</v>
      </c>
      <c r="E1006" t="s">
        <v>2031</v>
      </c>
      <c r="G1006" s="1">
        <v>6.32</v>
      </c>
    </row>
    <row r="1007" spans="1:7" ht="14.25" hidden="1" customHeight="1" x14ac:dyDescent="0.45">
      <c r="A1007" t="str">
        <f>_xlfn.XLOOKUP(B1007,Ingot!$H$12:$H$119,Ingot!$G$12:$G$119,"")</f>
        <v>Metal</v>
      </c>
      <c r="B1007" t="s">
        <v>1925</v>
      </c>
      <c r="C1007" t="s">
        <v>10</v>
      </c>
      <c r="D1007" t="s">
        <v>2032</v>
      </c>
      <c r="E1007" t="s">
        <v>2033</v>
      </c>
      <c r="G1007" s="1">
        <v>6.88</v>
      </c>
    </row>
    <row r="1008" spans="1:7" ht="14.25" hidden="1" customHeight="1" x14ac:dyDescent="0.45">
      <c r="A1008" t="str">
        <f>_xlfn.XLOOKUP(B1008,Ingot!$H$12:$H$119,Ingot!$G$12:$G$119,"")</f>
        <v>Metal</v>
      </c>
      <c r="B1008" t="s">
        <v>1925</v>
      </c>
      <c r="C1008" t="s">
        <v>10</v>
      </c>
      <c r="D1008" t="s">
        <v>2034</v>
      </c>
      <c r="E1008" t="s">
        <v>2035</v>
      </c>
      <c r="G1008" s="1">
        <v>2.44</v>
      </c>
    </row>
    <row r="1009" spans="1:7" ht="14.25" hidden="1" customHeight="1" x14ac:dyDescent="0.45">
      <c r="A1009" t="str">
        <f>_xlfn.XLOOKUP(B1009,Ingot!$H$12:$H$119,Ingot!$G$12:$G$119,"")</f>
        <v>Metal</v>
      </c>
      <c r="B1009" t="s">
        <v>1925</v>
      </c>
      <c r="C1009" t="s">
        <v>10</v>
      </c>
      <c r="D1009" t="s">
        <v>2036</v>
      </c>
      <c r="E1009" t="s">
        <v>2037</v>
      </c>
    </row>
    <row r="1010" spans="1:7" ht="14.25" hidden="1" customHeight="1" x14ac:dyDescent="0.45">
      <c r="A1010" t="str">
        <f>_xlfn.XLOOKUP(B1010,Ingot!$H$12:$H$119,Ingot!$G$12:$G$119,"")</f>
        <v>Metal</v>
      </c>
      <c r="B1010" t="s">
        <v>1925</v>
      </c>
      <c r="C1010" t="s">
        <v>10</v>
      </c>
      <c r="D1010" t="s">
        <v>2038</v>
      </c>
      <c r="E1010" t="s">
        <v>2039</v>
      </c>
    </row>
    <row r="1011" spans="1:7" ht="14.25" hidden="1" customHeight="1" x14ac:dyDescent="0.45">
      <c r="A1011" t="str">
        <f>_xlfn.XLOOKUP(B1011,Ingot!$H$12:$H$119,Ingot!$G$12:$G$119,"")</f>
        <v>Metal</v>
      </c>
      <c r="B1011" t="s">
        <v>1925</v>
      </c>
      <c r="C1011" t="s">
        <v>10</v>
      </c>
      <c r="D1011" t="s">
        <v>2040</v>
      </c>
      <c r="E1011" t="s">
        <v>2041</v>
      </c>
      <c r="G1011" s="1">
        <v>3.11</v>
      </c>
    </row>
    <row r="1012" spans="1:7" ht="14.25" hidden="1" customHeight="1" x14ac:dyDescent="0.45">
      <c r="A1012" t="str">
        <f>_xlfn.XLOOKUP(B1012,Ingot!$H$12:$H$119,Ingot!$G$12:$G$119,"")</f>
        <v>Metal</v>
      </c>
      <c r="B1012" t="s">
        <v>1925</v>
      </c>
      <c r="C1012" t="s">
        <v>10</v>
      </c>
      <c r="D1012" t="s">
        <v>2042</v>
      </c>
      <c r="E1012" t="s">
        <v>2043</v>
      </c>
      <c r="G1012" s="1">
        <v>2.44</v>
      </c>
    </row>
    <row r="1013" spans="1:7" ht="14.25" hidden="1" customHeight="1" x14ac:dyDescent="0.45">
      <c r="A1013" t="str">
        <f>_xlfn.XLOOKUP(B1013,Ingot!$H$12:$H$119,Ingot!$G$12:$G$119,"")</f>
        <v>Metal</v>
      </c>
      <c r="B1013" t="s">
        <v>1925</v>
      </c>
      <c r="C1013" t="s">
        <v>10</v>
      </c>
      <c r="D1013" t="s">
        <v>2044</v>
      </c>
      <c r="E1013" t="s">
        <v>2045</v>
      </c>
      <c r="G1013" s="1">
        <v>8.61</v>
      </c>
    </row>
    <row r="1014" spans="1:7" ht="14.25" hidden="1" customHeight="1" x14ac:dyDescent="0.45">
      <c r="A1014" t="str">
        <f>_xlfn.XLOOKUP(B1014,Ingot!$H$12:$H$119,Ingot!$G$12:$G$119,"")</f>
        <v>Metal</v>
      </c>
      <c r="B1014" t="s">
        <v>1925</v>
      </c>
      <c r="C1014" t="s">
        <v>10</v>
      </c>
      <c r="D1014" t="s">
        <v>2046</v>
      </c>
      <c r="E1014" t="s">
        <v>2047</v>
      </c>
    </row>
    <row r="1015" spans="1:7" ht="14.25" hidden="1" customHeight="1" x14ac:dyDescent="0.45">
      <c r="A1015" t="str">
        <f>_xlfn.XLOOKUP(B1015,Ingot!$H$12:$H$119,Ingot!$G$12:$G$119,"")</f>
        <v>Metal</v>
      </c>
      <c r="B1015" t="s">
        <v>1925</v>
      </c>
      <c r="C1015" t="s">
        <v>10</v>
      </c>
      <c r="D1015" t="s">
        <v>2048</v>
      </c>
      <c r="E1015" t="s">
        <v>2049</v>
      </c>
      <c r="G1015" s="1">
        <v>3.21</v>
      </c>
    </row>
    <row r="1016" spans="1:7" ht="14.25" hidden="1" customHeight="1" x14ac:dyDescent="0.45">
      <c r="A1016" t="str">
        <f>_xlfn.XLOOKUP(B1016,Ingot!$H$12:$H$119,Ingot!$G$12:$G$119,"")</f>
        <v>Metal</v>
      </c>
      <c r="B1016" t="s">
        <v>1925</v>
      </c>
      <c r="C1016" t="s">
        <v>10</v>
      </c>
      <c r="D1016" t="s">
        <v>2050</v>
      </c>
      <c r="E1016" t="s">
        <v>2051</v>
      </c>
      <c r="G1016" s="1">
        <v>2.77</v>
      </c>
    </row>
    <row r="1017" spans="1:7" ht="14.25" hidden="1" customHeight="1" x14ac:dyDescent="0.45">
      <c r="A1017" t="str">
        <f>_xlfn.XLOOKUP(B1017,Ingot!$H$12:$H$119,Ingot!$G$12:$G$119,"")</f>
        <v>Metal</v>
      </c>
      <c r="B1017" t="s">
        <v>1925</v>
      </c>
      <c r="C1017" t="s">
        <v>10</v>
      </c>
      <c r="D1017" t="s">
        <v>2052</v>
      </c>
      <c r="E1017" t="s">
        <v>2053</v>
      </c>
      <c r="G1017" s="1">
        <v>4.8899999999999997</v>
      </c>
    </row>
    <row r="1018" spans="1:7" ht="14.25" hidden="1" customHeight="1" x14ac:dyDescent="0.45">
      <c r="A1018" t="str">
        <f>_xlfn.XLOOKUP(B1018,Ingot!$H$12:$H$119,Ingot!$G$12:$G$119,"")</f>
        <v>Metal</v>
      </c>
      <c r="B1018" t="s">
        <v>1925</v>
      </c>
      <c r="C1018" t="s">
        <v>10</v>
      </c>
      <c r="D1018" t="s">
        <v>2054</v>
      </c>
      <c r="E1018" t="s">
        <v>2055</v>
      </c>
      <c r="G1018" s="1">
        <v>1.76</v>
      </c>
    </row>
    <row r="1019" spans="1:7" ht="14.25" hidden="1" customHeight="1" x14ac:dyDescent="0.45">
      <c r="A1019" t="str">
        <f>_xlfn.XLOOKUP(B1019,Ingot!$H$12:$H$119,Ingot!$G$12:$G$119,"")</f>
        <v>Metal</v>
      </c>
      <c r="B1019" t="s">
        <v>1925</v>
      </c>
      <c r="C1019" t="s">
        <v>10</v>
      </c>
      <c r="D1019" t="s">
        <v>2056</v>
      </c>
      <c r="E1019" t="s">
        <v>2057</v>
      </c>
    </row>
    <row r="1020" spans="1:7" ht="14.25" hidden="1" customHeight="1" x14ac:dyDescent="0.45">
      <c r="A1020" t="str">
        <f>_xlfn.XLOOKUP(B1020,Ingot!$H$12:$H$119,Ingot!$G$12:$G$119,"")</f>
        <v>Metal</v>
      </c>
      <c r="B1020" t="s">
        <v>1925</v>
      </c>
      <c r="C1020" t="s">
        <v>10</v>
      </c>
      <c r="D1020" t="s">
        <v>2058</v>
      </c>
      <c r="E1020" t="s">
        <v>2059</v>
      </c>
      <c r="G1020" s="1">
        <v>8.57</v>
      </c>
    </row>
    <row r="1021" spans="1:7" ht="14.25" hidden="1" customHeight="1" x14ac:dyDescent="0.45">
      <c r="A1021" t="str">
        <f>_xlfn.XLOOKUP(B1021,Ingot!$H$12:$H$119,Ingot!$G$12:$G$119,"")</f>
        <v>Metal</v>
      </c>
      <c r="B1021" t="s">
        <v>1925</v>
      </c>
      <c r="C1021" t="s">
        <v>10</v>
      </c>
      <c r="D1021" t="s">
        <v>2060</v>
      </c>
      <c r="E1021" t="s">
        <v>2061</v>
      </c>
    </row>
    <row r="1022" spans="1:7" ht="14.25" hidden="1" customHeight="1" x14ac:dyDescent="0.45">
      <c r="A1022" t="str">
        <f>_xlfn.XLOOKUP(B1022,Ingot!$H$12:$H$119,Ingot!$G$12:$G$119,"")</f>
        <v>Metal</v>
      </c>
      <c r="B1022" t="s">
        <v>1925</v>
      </c>
      <c r="C1022" t="s">
        <v>10</v>
      </c>
      <c r="D1022" t="s">
        <v>2062</v>
      </c>
      <c r="E1022" t="s">
        <v>2063</v>
      </c>
      <c r="G1022" s="1">
        <v>3.56</v>
      </c>
    </row>
    <row r="1023" spans="1:7" ht="14.25" hidden="1" customHeight="1" x14ac:dyDescent="0.45">
      <c r="A1023" t="str">
        <f>_xlfn.XLOOKUP(B1023,Ingot!$H$12:$H$119,Ingot!$G$12:$G$119,"")</f>
        <v>Metal</v>
      </c>
      <c r="B1023" t="s">
        <v>1925</v>
      </c>
      <c r="C1023" t="s">
        <v>10</v>
      </c>
      <c r="D1023" t="s">
        <v>2064</v>
      </c>
      <c r="E1023" t="s">
        <v>2065</v>
      </c>
      <c r="G1023" s="1">
        <v>8.91</v>
      </c>
    </row>
    <row r="1024" spans="1:7" ht="14.25" hidden="1" customHeight="1" x14ac:dyDescent="0.45">
      <c r="A1024" t="str">
        <f>_xlfn.XLOOKUP(B1024,Ingot!$H$12:$H$119,Ingot!$G$12:$G$119,"")</f>
        <v>Metal</v>
      </c>
      <c r="B1024" t="s">
        <v>1925</v>
      </c>
      <c r="C1024" t="s">
        <v>10</v>
      </c>
      <c r="D1024" t="s">
        <v>2066</v>
      </c>
      <c r="E1024" t="s">
        <v>2067</v>
      </c>
      <c r="G1024" s="1">
        <v>11.02</v>
      </c>
    </row>
    <row r="1025" spans="1:7" ht="14.25" hidden="1" customHeight="1" x14ac:dyDescent="0.45">
      <c r="A1025" t="str">
        <f>_xlfn.XLOOKUP(B1025,Ingot!$H$12:$H$119,Ingot!$G$12:$G$119,"")</f>
        <v>Metal</v>
      </c>
      <c r="B1025" t="s">
        <v>1925</v>
      </c>
      <c r="C1025" t="s">
        <v>10</v>
      </c>
      <c r="D1025" t="s">
        <v>2068</v>
      </c>
      <c r="E1025" t="s">
        <v>2069</v>
      </c>
      <c r="G1025" s="1">
        <v>5.12</v>
      </c>
    </row>
    <row r="1026" spans="1:7" ht="14.25" hidden="1" customHeight="1" x14ac:dyDescent="0.45">
      <c r="A1026" t="str">
        <f>_xlfn.XLOOKUP(B1026,Ingot!$H$12:$H$119,Ingot!$G$12:$G$119,"")</f>
        <v>Metal</v>
      </c>
      <c r="B1026" t="s">
        <v>1925</v>
      </c>
      <c r="C1026" t="s">
        <v>10</v>
      </c>
      <c r="D1026" t="s">
        <v>2070</v>
      </c>
      <c r="E1026" t="s">
        <v>2071</v>
      </c>
      <c r="G1026" s="1">
        <v>4.41</v>
      </c>
    </row>
    <row r="1027" spans="1:7" ht="14.25" hidden="1" customHeight="1" x14ac:dyDescent="0.45">
      <c r="A1027" t="str">
        <f>_xlfn.XLOOKUP(B1027,Ingot!$H$12:$H$119,Ingot!$G$12:$G$119,"")</f>
        <v>Metal</v>
      </c>
      <c r="B1027" t="s">
        <v>1925</v>
      </c>
      <c r="C1027" t="s">
        <v>157</v>
      </c>
      <c r="D1027" t="s">
        <v>2072</v>
      </c>
      <c r="E1027" t="s">
        <v>2073</v>
      </c>
      <c r="G1027" s="1">
        <v>35</v>
      </c>
    </row>
    <row r="1028" spans="1:7" ht="14.25" hidden="1" customHeight="1" x14ac:dyDescent="0.45">
      <c r="A1028" t="str">
        <f>_xlfn.XLOOKUP(B1028,Ingot!$H$12:$H$119,Ingot!$G$12:$G$119,"")</f>
        <v>Metal</v>
      </c>
      <c r="B1028" t="s">
        <v>1925</v>
      </c>
      <c r="C1028" t="s">
        <v>157</v>
      </c>
      <c r="D1028" t="s">
        <v>2074</v>
      </c>
      <c r="E1028" t="s">
        <v>2075</v>
      </c>
      <c r="G1028" s="1">
        <v>7</v>
      </c>
    </row>
    <row r="1029" spans="1:7" ht="14.25" hidden="1" customHeight="1" x14ac:dyDescent="0.45">
      <c r="A1029" t="str">
        <f>_xlfn.XLOOKUP(B1029,Ingot!$H$12:$H$119,Ingot!$G$12:$G$119,"")</f>
        <v>Metal</v>
      </c>
      <c r="B1029" t="s">
        <v>1925</v>
      </c>
      <c r="C1029" t="s">
        <v>157</v>
      </c>
      <c r="D1029" t="s">
        <v>2076</v>
      </c>
      <c r="E1029" t="s">
        <v>2077</v>
      </c>
      <c r="G1029" s="1">
        <v>7</v>
      </c>
    </row>
    <row r="1030" spans="1:7" ht="14.25" hidden="1" customHeight="1" x14ac:dyDescent="0.45">
      <c r="A1030" t="str">
        <f>_xlfn.XLOOKUP(B1030,Ingot!$H$12:$H$119,Ingot!$G$12:$G$119,"")</f>
        <v>Metal</v>
      </c>
      <c r="B1030" t="s">
        <v>1925</v>
      </c>
      <c r="C1030" t="s">
        <v>157</v>
      </c>
      <c r="D1030" t="s">
        <v>2078</v>
      </c>
      <c r="E1030" t="s">
        <v>2079</v>
      </c>
      <c r="G1030" s="1">
        <v>5</v>
      </c>
    </row>
    <row r="1031" spans="1:7" ht="14.25" hidden="1" customHeight="1" x14ac:dyDescent="0.45">
      <c r="A1031" t="str">
        <f>_xlfn.XLOOKUP(B1031,Ingot!$H$12:$H$119,Ingot!$G$12:$G$119,"")</f>
        <v>Metal</v>
      </c>
      <c r="B1031" t="s">
        <v>1925</v>
      </c>
      <c r="C1031" t="s">
        <v>157</v>
      </c>
      <c r="D1031" t="s">
        <v>2080</v>
      </c>
      <c r="E1031" t="s">
        <v>2081</v>
      </c>
      <c r="G1031" s="1">
        <v>10</v>
      </c>
    </row>
    <row r="1032" spans="1:7" ht="14.25" hidden="1" customHeight="1" x14ac:dyDescent="0.45">
      <c r="A1032" t="str">
        <f>_xlfn.XLOOKUP(B1032,Ingot!$H$12:$H$119,Ingot!$G$12:$G$119,"")</f>
        <v>Metal</v>
      </c>
      <c r="B1032" t="s">
        <v>1925</v>
      </c>
      <c r="C1032" t="s">
        <v>157</v>
      </c>
      <c r="D1032" t="s">
        <v>2082</v>
      </c>
      <c r="E1032" t="s">
        <v>2083</v>
      </c>
      <c r="G1032" s="1">
        <v>29.5</v>
      </c>
    </row>
    <row r="1033" spans="1:7" ht="14.25" hidden="1" customHeight="1" x14ac:dyDescent="0.45">
      <c r="A1033" t="str">
        <f>_xlfn.XLOOKUP(B1033,Ingot!$H$12:$H$119,Ingot!$G$12:$G$119,"")</f>
        <v>Metal</v>
      </c>
      <c r="B1033" t="s">
        <v>1925</v>
      </c>
      <c r="C1033" t="s">
        <v>157</v>
      </c>
      <c r="D1033" t="s">
        <v>2084</v>
      </c>
      <c r="E1033" t="s">
        <v>2085</v>
      </c>
      <c r="G1033" s="1">
        <v>5.9</v>
      </c>
    </row>
    <row r="1034" spans="1:7" ht="14.25" hidden="1" customHeight="1" x14ac:dyDescent="0.45">
      <c r="A1034" t="str">
        <f>_xlfn.XLOOKUP(B1034,Ingot!$H$12:$H$119,Ingot!$G$12:$G$119,"")</f>
        <v>Metal</v>
      </c>
      <c r="B1034" t="s">
        <v>1925</v>
      </c>
      <c r="C1034" t="s">
        <v>157</v>
      </c>
      <c r="D1034" t="s">
        <v>2086</v>
      </c>
      <c r="E1034" t="s">
        <v>2087</v>
      </c>
      <c r="G1034" s="1">
        <v>5.9</v>
      </c>
    </row>
    <row r="1035" spans="1:7" ht="14.25" hidden="1" customHeight="1" x14ac:dyDescent="0.45">
      <c r="A1035" t="str">
        <f>_xlfn.XLOOKUP(B1035,Ingot!$H$12:$H$119,Ingot!$G$12:$G$119,"")</f>
        <v>Metal</v>
      </c>
      <c r="B1035" t="s">
        <v>1925</v>
      </c>
      <c r="C1035" t="s">
        <v>157</v>
      </c>
      <c r="D1035" t="s">
        <v>2088</v>
      </c>
      <c r="E1035" t="s">
        <v>2089</v>
      </c>
      <c r="G1035" s="1">
        <v>5</v>
      </c>
    </row>
    <row r="1036" spans="1:7" ht="14.25" hidden="1" customHeight="1" x14ac:dyDescent="0.45">
      <c r="A1036" t="str">
        <f>_xlfn.XLOOKUP(B1036,Ingot!$H$12:$H$119,Ingot!$G$12:$G$119,"")</f>
        <v>Metal</v>
      </c>
      <c r="B1036" t="s">
        <v>1925</v>
      </c>
      <c r="C1036" t="s">
        <v>157</v>
      </c>
      <c r="D1036" t="s">
        <v>2090</v>
      </c>
      <c r="E1036" t="s">
        <v>2091</v>
      </c>
      <c r="G1036" s="1">
        <v>10</v>
      </c>
    </row>
    <row r="1037" spans="1:7" ht="14.25" hidden="1" customHeight="1" x14ac:dyDescent="0.45">
      <c r="A1037" t="str">
        <f>_xlfn.XLOOKUP(B1037,Ingot!$H$12:$H$119,Ingot!$G$12:$G$119,"")</f>
        <v>Metal</v>
      </c>
      <c r="B1037" t="s">
        <v>1925</v>
      </c>
      <c r="C1037" t="s">
        <v>157</v>
      </c>
      <c r="D1037" t="s">
        <v>2092</v>
      </c>
      <c r="E1037" t="s">
        <v>2093</v>
      </c>
      <c r="G1037" s="1">
        <v>28.5</v>
      </c>
    </row>
    <row r="1038" spans="1:7" ht="14.25" hidden="1" customHeight="1" x14ac:dyDescent="0.45">
      <c r="A1038" t="str">
        <f>_xlfn.XLOOKUP(B1038,Ingot!$H$12:$H$119,Ingot!$G$12:$G$119,"")</f>
        <v>Metal</v>
      </c>
      <c r="B1038" t="s">
        <v>1925</v>
      </c>
      <c r="C1038" t="s">
        <v>157</v>
      </c>
      <c r="D1038" t="s">
        <v>2094</v>
      </c>
      <c r="E1038" t="s">
        <v>2095</v>
      </c>
      <c r="G1038" s="1">
        <v>5.7</v>
      </c>
    </row>
    <row r="1039" spans="1:7" ht="14.25" hidden="1" customHeight="1" x14ac:dyDescent="0.45">
      <c r="A1039" t="str">
        <f>_xlfn.XLOOKUP(B1039,Ingot!$H$12:$H$119,Ingot!$G$12:$G$119,"")</f>
        <v>Metal</v>
      </c>
      <c r="B1039" t="s">
        <v>1925</v>
      </c>
      <c r="C1039" t="s">
        <v>157</v>
      </c>
      <c r="D1039" t="s">
        <v>2096</v>
      </c>
      <c r="E1039" t="s">
        <v>2097</v>
      </c>
      <c r="G1039" s="1">
        <v>5.7</v>
      </c>
    </row>
    <row r="1040" spans="1:7" ht="14.25" hidden="1" customHeight="1" x14ac:dyDescent="0.45">
      <c r="A1040" t="str">
        <f>_xlfn.XLOOKUP(B1040,Ingot!$H$12:$H$119,Ingot!$G$12:$G$119,"")</f>
        <v>Metal</v>
      </c>
      <c r="B1040" t="s">
        <v>1925</v>
      </c>
      <c r="C1040" t="s">
        <v>157</v>
      </c>
      <c r="D1040" t="s">
        <v>2098</v>
      </c>
      <c r="E1040" t="s">
        <v>2099</v>
      </c>
      <c r="G1040" s="1">
        <v>5</v>
      </c>
    </row>
    <row r="1041" spans="1:7" ht="14.25" hidden="1" customHeight="1" x14ac:dyDescent="0.45">
      <c r="A1041" t="str">
        <f>_xlfn.XLOOKUP(B1041,Ingot!$H$12:$H$119,Ingot!$G$12:$G$119,"")</f>
        <v>Metal</v>
      </c>
      <c r="B1041" t="s">
        <v>1925</v>
      </c>
      <c r="C1041" t="s">
        <v>157</v>
      </c>
      <c r="D1041" t="s">
        <v>2100</v>
      </c>
      <c r="E1041" t="s">
        <v>2101</v>
      </c>
      <c r="G1041" s="1">
        <v>10</v>
      </c>
    </row>
    <row r="1042" spans="1:7" ht="14.25" hidden="1" customHeight="1" x14ac:dyDescent="0.45">
      <c r="A1042" t="str">
        <f>_xlfn.XLOOKUP(B1042,Ingot!$H$12:$H$119,Ingot!$G$12:$G$119,"")</f>
        <v>Metal</v>
      </c>
      <c r="B1042" t="s">
        <v>1925</v>
      </c>
      <c r="C1042" t="s">
        <v>157</v>
      </c>
      <c r="D1042" t="s">
        <v>2102</v>
      </c>
      <c r="E1042" t="s">
        <v>2103</v>
      </c>
      <c r="G1042" s="1">
        <v>31</v>
      </c>
    </row>
    <row r="1043" spans="1:7" ht="14.25" hidden="1" customHeight="1" x14ac:dyDescent="0.45">
      <c r="A1043" t="str">
        <f>_xlfn.XLOOKUP(B1043,Ingot!$H$12:$H$119,Ingot!$G$12:$G$119,"")</f>
        <v>Metal</v>
      </c>
      <c r="B1043" t="s">
        <v>1925</v>
      </c>
      <c r="C1043" t="s">
        <v>157</v>
      </c>
      <c r="D1043" t="s">
        <v>2104</v>
      </c>
      <c r="E1043" t="s">
        <v>2105</v>
      </c>
      <c r="G1043" s="1">
        <v>6.2</v>
      </c>
    </row>
    <row r="1044" spans="1:7" ht="14.25" hidden="1" customHeight="1" x14ac:dyDescent="0.45">
      <c r="A1044" t="str">
        <f>_xlfn.XLOOKUP(B1044,Ingot!$H$12:$H$119,Ingot!$G$12:$G$119,"")</f>
        <v>Metal</v>
      </c>
      <c r="B1044" t="s">
        <v>1925</v>
      </c>
      <c r="C1044" t="s">
        <v>157</v>
      </c>
      <c r="D1044" t="s">
        <v>2106</v>
      </c>
      <c r="E1044" t="s">
        <v>2107</v>
      </c>
      <c r="G1044" s="1">
        <v>6.2</v>
      </c>
    </row>
    <row r="1045" spans="1:7" ht="14.25" hidden="1" customHeight="1" x14ac:dyDescent="0.45">
      <c r="A1045" t="str">
        <f>_xlfn.XLOOKUP(B1045,Ingot!$H$12:$H$119,Ingot!$G$12:$G$119,"")</f>
        <v>Metal</v>
      </c>
      <c r="B1045" t="s">
        <v>1925</v>
      </c>
      <c r="C1045" t="s">
        <v>157</v>
      </c>
      <c r="D1045" t="s">
        <v>2108</v>
      </c>
      <c r="E1045" t="s">
        <v>2109</v>
      </c>
      <c r="G1045" s="1">
        <v>5</v>
      </c>
    </row>
    <row r="1046" spans="1:7" ht="14.25" hidden="1" customHeight="1" x14ac:dyDescent="0.45">
      <c r="A1046" t="str">
        <f>_xlfn.XLOOKUP(B1046,Ingot!$H$12:$H$119,Ingot!$G$12:$G$119,"")</f>
        <v>Metal</v>
      </c>
      <c r="B1046" t="s">
        <v>1925</v>
      </c>
      <c r="C1046" t="s">
        <v>157</v>
      </c>
      <c r="D1046" t="s">
        <v>2110</v>
      </c>
      <c r="E1046" t="s">
        <v>2111</v>
      </c>
      <c r="G1046" s="1">
        <v>10</v>
      </c>
    </row>
    <row r="1047" spans="1:7" ht="14.25" hidden="1" customHeight="1" x14ac:dyDescent="0.45">
      <c r="A1047" t="str">
        <f>_xlfn.XLOOKUP(B1047,Ingot!$H$12:$H$119,Ingot!$G$12:$G$119,"")</f>
        <v>Metal</v>
      </c>
      <c r="B1047" t="s">
        <v>1925</v>
      </c>
      <c r="C1047" t="s">
        <v>157</v>
      </c>
      <c r="D1047" t="s">
        <v>2112</v>
      </c>
      <c r="E1047" t="s">
        <v>2113</v>
      </c>
      <c r="G1047" s="1">
        <v>33</v>
      </c>
    </row>
    <row r="1048" spans="1:7" ht="14.25" hidden="1" customHeight="1" x14ac:dyDescent="0.45">
      <c r="A1048" t="str">
        <f>_xlfn.XLOOKUP(B1048,Ingot!$H$12:$H$119,Ingot!$G$12:$G$119,"")</f>
        <v>Metal</v>
      </c>
      <c r="B1048" t="s">
        <v>1925</v>
      </c>
      <c r="C1048" t="s">
        <v>157</v>
      </c>
      <c r="D1048" t="s">
        <v>2114</v>
      </c>
      <c r="E1048" t="s">
        <v>2115</v>
      </c>
      <c r="G1048" s="1">
        <v>6.6</v>
      </c>
    </row>
    <row r="1049" spans="1:7" ht="14.25" hidden="1" customHeight="1" x14ac:dyDescent="0.45">
      <c r="A1049" t="str">
        <f>_xlfn.XLOOKUP(B1049,Ingot!$H$12:$H$119,Ingot!$G$12:$G$119,"")</f>
        <v>Metal</v>
      </c>
      <c r="B1049" t="s">
        <v>1925</v>
      </c>
      <c r="C1049" t="s">
        <v>157</v>
      </c>
      <c r="D1049" t="s">
        <v>2116</v>
      </c>
      <c r="E1049" t="s">
        <v>2117</v>
      </c>
      <c r="G1049" s="1">
        <v>6.6</v>
      </c>
    </row>
    <row r="1050" spans="1:7" ht="14.25" hidden="1" customHeight="1" x14ac:dyDescent="0.45">
      <c r="A1050" t="str">
        <f>_xlfn.XLOOKUP(B1050,Ingot!$H$12:$H$119,Ingot!$G$12:$G$119,"")</f>
        <v>Metal</v>
      </c>
      <c r="B1050" t="s">
        <v>1925</v>
      </c>
      <c r="C1050" t="s">
        <v>157</v>
      </c>
      <c r="D1050" t="s">
        <v>2118</v>
      </c>
      <c r="E1050" t="s">
        <v>2119</v>
      </c>
      <c r="G1050" s="1">
        <v>5</v>
      </c>
    </row>
    <row r="1051" spans="1:7" ht="14.25" hidden="1" customHeight="1" x14ac:dyDescent="0.45">
      <c r="A1051" t="str">
        <f>_xlfn.XLOOKUP(B1051,Ingot!$H$12:$H$119,Ingot!$G$12:$G$119,"")</f>
        <v>Metal</v>
      </c>
      <c r="B1051" t="s">
        <v>1925</v>
      </c>
      <c r="C1051" t="s">
        <v>157</v>
      </c>
      <c r="D1051" t="s">
        <v>2120</v>
      </c>
      <c r="E1051" t="s">
        <v>2121</v>
      </c>
      <c r="G1051" s="1">
        <v>10</v>
      </c>
    </row>
    <row r="1052" spans="1:7" ht="14.25" hidden="1" customHeight="1" x14ac:dyDescent="0.45">
      <c r="A1052" t="str">
        <f>_xlfn.XLOOKUP(B1052,Ingot!$H$12:$H$119,Ingot!$G$12:$G$119,"")</f>
        <v>Metal</v>
      </c>
      <c r="B1052" t="s">
        <v>1925</v>
      </c>
      <c r="C1052" t="s">
        <v>157</v>
      </c>
      <c r="D1052" t="s">
        <v>2122</v>
      </c>
      <c r="E1052" t="s">
        <v>2123</v>
      </c>
      <c r="G1052" s="1">
        <v>38</v>
      </c>
    </row>
    <row r="1053" spans="1:7" ht="14.25" hidden="1" customHeight="1" x14ac:dyDescent="0.45">
      <c r="A1053" t="str">
        <f>_xlfn.XLOOKUP(B1053,Ingot!$H$12:$H$119,Ingot!$G$12:$G$119,"")</f>
        <v>Metal</v>
      </c>
      <c r="B1053" t="s">
        <v>1925</v>
      </c>
      <c r="C1053" t="s">
        <v>157</v>
      </c>
      <c r="D1053" t="s">
        <v>2124</v>
      </c>
      <c r="E1053" t="s">
        <v>2125</v>
      </c>
      <c r="G1053" s="1">
        <v>7.6</v>
      </c>
    </row>
    <row r="1054" spans="1:7" ht="14.25" hidden="1" customHeight="1" x14ac:dyDescent="0.45">
      <c r="A1054" t="str">
        <f>_xlfn.XLOOKUP(B1054,Ingot!$H$12:$H$119,Ingot!$G$12:$G$119,"")</f>
        <v>Metal</v>
      </c>
      <c r="B1054" t="s">
        <v>1925</v>
      </c>
      <c r="C1054" t="s">
        <v>157</v>
      </c>
      <c r="D1054" t="s">
        <v>2126</v>
      </c>
      <c r="E1054" t="s">
        <v>2127</v>
      </c>
      <c r="G1054" s="1">
        <v>7.6</v>
      </c>
    </row>
    <row r="1055" spans="1:7" ht="14.25" hidden="1" customHeight="1" x14ac:dyDescent="0.45">
      <c r="A1055" t="str">
        <f>_xlfn.XLOOKUP(B1055,Ingot!$H$12:$H$119,Ingot!$G$12:$G$119,"")</f>
        <v>Metal</v>
      </c>
      <c r="B1055" t="s">
        <v>1925</v>
      </c>
      <c r="C1055" t="s">
        <v>157</v>
      </c>
      <c r="D1055" t="s">
        <v>2128</v>
      </c>
      <c r="E1055" t="s">
        <v>2129</v>
      </c>
      <c r="G1055" s="1">
        <v>5</v>
      </c>
    </row>
    <row r="1056" spans="1:7" ht="14.25" hidden="1" customHeight="1" x14ac:dyDescent="0.45">
      <c r="A1056" t="str">
        <f>_xlfn.XLOOKUP(B1056,Ingot!$H$12:$H$119,Ingot!$G$12:$G$119,"")</f>
        <v>Metal</v>
      </c>
      <c r="B1056" t="s">
        <v>1925</v>
      </c>
      <c r="C1056" t="s">
        <v>157</v>
      </c>
      <c r="D1056" t="s">
        <v>2130</v>
      </c>
      <c r="E1056" t="s">
        <v>2131</v>
      </c>
      <c r="G1056" s="1">
        <v>10</v>
      </c>
    </row>
    <row r="1057" spans="1:7" ht="14.25" hidden="1" customHeight="1" x14ac:dyDescent="0.45">
      <c r="A1057" t="str">
        <f>_xlfn.XLOOKUP(B1057,Ingot!$H$12:$H$119,Ingot!$G$12:$G$119,"")</f>
        <v>Metal</v>
      </c>
      <c r="B1057" t="s">
        <v>1925</v>
      </c>
      <c r="C1057" t="s">
        <v>157</v>
      </c>
      <c r="D1057" t="s">
        <v>2132</v>
      </c>
      <c r="E1057" t="s">
        <v>2133</v>
      </c>
      <c r="G1057" s="1">
        <v>37.5</v>
      </c>
    </row>
    <row r="1058" spans="1:7" ht="14.25" hidden="1" customHeight="1" x14ac:dyDescent="0.45">
      <c r="A1058" t="str">
        <f>_xlfn.XLOOKUP(B1058,Ingot!$H$12:$H$119,Ingot!$G$12:$G$119,"")</f>
        <v>Metal</v>
      </c>
      <c r="B1058" t="s">
        <v>1925</v>
      </c>
      <c r="C1058" t="s">
        <v>157</v>
      </c>
      <c r="D1058" t="s">
        <v>2134</v>
      </c>
      <c r="E1058" t="s">
        <v>2135</v>
      </c>
      <c r="G1058" s="1">
        <v>7.5</v>
      </c>
    </row>
    <row r="1059" spans="1:7" ht="14.25" hidden="1" customHeight="1" x14ac:dyDescent="0.45">
      <c r="A1059" t="str">
        <f>_xlfn.XLOOKUP(B1059,Ingot!$H$12:$H$119,Ingot!$G$12:$G$119,"")</f>
        <v>Metal</v>
      </c>
      <c r="B1059" t="s">
        <v>1925</v>
      </c>
      <c r="C1059" t="s">
        <v>157</v>
      </c>
      <c r="D1059" t="s">
        <v>2136</v>
      </c>
      <c r="E1059" t="s">
        <v>2137</v>
      </c>
      <c r="G1059" s="1">
        <v>7.5</v>
      </c>
    </row>
    <row r="1060" spans="1:7" ht="14.25" hidden="1" customHeight="1" x14ac:dyDescent="0.45">
      <c r="A1060" t="str">
        <f>_xlfn.XLOOKUP(B1060,Ingot!$H$12:$H$119,Ingot!$G$12:$G$119,"")</f>
        <v>Metal</v>
      </c>
      <c r="B1060" t="s">
        <v>1925</v>
      </c>
      <c r="C1060" t="s">
        <v>157</v>
      </c>
      <c r="D1060" t="s">
        <v>2138</v>
      </c>
      <c r="E1060" t="s">
        <v>2139</v>
      </c>
      <c r="G1060" s="1">
        <v>5</v>
      </c>
    </row>
    <row r="1061" spans="1:7" ht="14.25" hidden="1" customHeight="1" x14ac:dyDescent="0.45">
      <c r="A1061" t="str">
        <f>_xlfn.XLOOKUP(B1061,Ingot!$H$12:$H$119,Ingot!$G$12:$G$119,"")</f>
        <v>Metal</v>
      </c>
      <c r="B1061" t="s">
        <v>1925</v>
      </c>
      <c r="C1061" t="s">
        <v>157</v>
      </c>
      <c r="D1061" t="s">
        <v>2140</v>
      </c>
      <c r="E1061" t="s">
        <v>2141</v>
      </c>
      <c r="G1061" s="1">
        <v>10</v>
      </c>
    </row>
    <row r="1062" spans="1:7" ht="14.25" hidden="1" customHeight="1" x14ac:dyDescent="0.45">
      <c r="A1062" t="str">
        <f>_xlfn.XLOOKUP(B1062,Ingot!$H$12:$H$119,Ingot!$G$12:$G$119,"")</f>
        <v>Metal</v>
      </c>
      <c r="B1062" t="s">
        <v>1925</v>
      </c>
      <c r="C1062" t="s">
        <v>157</v>
      </c>
      <c r="D1062" t="s">
        <v>2142</v>
      </c>
      <c r="E1062" t="s">
        <v>2143</v>
      </c>
      <c r="G1062" s="1">
        <v>27</v>
      </c>
    </row>
    <row r="1063" spans="1:7" ht="14.25" hidden="1" customHeight="1" x14ac:dyDescent="0.45">
      <c r="A1063" t="str">
        <f>_xlfn.XLOOKUP(B1063,Ingot!$H$12:$H$119,Ingot!$G$12:$G$119,"")</f>
        <v>Metal</v>
      </c>
      <c r="B1063" t="s">
        <v>1925</v>
      </c>
      <c r="C1063" t="s">
        <v>157</v>
      </c>
      <c r="D1063" t="s">
        <v>2144</v>
      </c>
      <c r="E1063" t="s">
        <v>2145</v>
      </c>
      <c r="G1063" s="1">
        <v>5.4</v>
      </c>
    </row>
    <row r="1064" spans="1:7" ht="14.25" hidden="1" customHeight="1" x14ac:dyDescent="0.45">
      <c r="A1064" t="str">
        <f>_xlfn.XLOOKUP(B1064,Ingot!$H$12:$H$119,Ingot!$G$12:$G$119,"")</f>
        <v>Metal</v>
      </c>
      <c r="B1064" t="s">
        <v>1925</v>
      </c>
      <c r="C1064" t="s">
        <v>157</v>
      </c>
      <c r="D1064" t="s">
        <v>2146</v>
      </c>
      <c r="E1064" t="s">
        <v>2147</v>
      </c>
      <c r="G1064" s="1">
        <v>5.4</v>
      </c>
    </row>
    <row r="1065" spans="1:7" ht="14.25" hidden="1" customHeight="1" x14ac:dyDescent="0.45">
      <c r="A1065" t="str">
        <f>_xlfn.XLOOKUP(B1065,Ingot!$H$12:$H$119,Ingot!$G$12:$G$119,"")</f>
        <v>Metal</v>
      </c>
      <c r="B1065" t="s">
        <v>1925</v>
      </c>
      <c r="C1065" t="s">
        <v>157</v>
      </c>
      <c r="D1065" t="s">
        <v>2148</v>
      </c>
      <c r="E1065" t="s">
        <v>2149</v>
      </c>
      <c r="G1065" s="1">
        <v>5</v>
      </c>
    </row>
    <row r="1066" spans="1:7" ht="14.25" hidden="1" customHeight="1" x14ac:dyDescent="0.45">
      <c r="A1066" t="str">
        <f>_xlfn.XLOOKUP(B1066,Ingot!$H$12:$H$119,Ingot!$G$12:$G$119,"")</f>
        <v>Metal</v>
      </c>
      <c r="B1066" t="s">
        <v>1925</v>
      </c>
      <c r="C1066" t="s">
        <v>157</v>
      </c>
      <c r="D1066" t="s">
        <v>2150</v>
      </c>
      <c r="E1066" t="s">
        <v>2151</v>
      </c>
      <c r="G1066" s="1">
        <v>10</v>
      </c>
    </row>
    <row r="1067" spans="1:7" ht="14.25" hidden="1" customHeight="1" x14ac:dyDescent="0.45">
      <c r="A1067" t="str">
        <f>_xlfn.XLOOKUP(B1067,Ingot!$H$12:$H$119,Ingot!$G$12:$G$119,"")</f>
        <v>Metal</v>
      </c>
      <c r="B1067" t="s">
        <v>1925</v>
      </c>
      <c r="C1067" t="s">
        <v>239</v>
      </c>
      <c r="D1067" t="s">
        <v>2152</v>
      </c>
      <c r="E1067" t="s">
        <v>2153</v>
      </c>
    </row>
    <row r="1068" spans="1:7" ht="14.25" hidden="1" customHeight="1" x14ac:dyDescent="0.45">
      <c r="A1068" t="str">
        <f>_xlfn.XLOOKUP(B1068,Ingot!$H$12:$H$119,Ingot!$G$12:$G$119,"")</f>
        <v>Metal</v>
      </c>
      <c r="B1068" t="s">
        <v>1925</v>
      </c>
      <c r="C1068" t="s">
        <v>239</v>
      </c>
      <c r="D1068" t="s">
        <v>2154</v>
      </c>
      <c r="E1068" t="s">
        <v>2155</v>
      </c>
    </row>
    <row r="1069" spans="1:7" ht="14.25" hidden="1" customHeight="1" x14ac:dyDescent="0.45">
      <c r="A1069" t="str">
        <f>_xlfn.XLOOKUP(B1069,Ingot!$H$12:$H$119,Ingot!$G$12:$G$119,"")</f>
        <v>Metal</v>
      </c>
      <c r="B1069" t="s">
        <v>1925</v>
      </c>
      <c r="C1069" t="s">
        <v>239</v>
      </c>
      <c r="D1069" t="s">
        <v>2156</v>
      </c>
      <c r="E1069" t="s">
        <v>2157</v>
      </c>
    </row>
    <row r="1070" spans="1:7" ht="14.25" hidden="1" customHeight="1" x14ac:dyDescent="0.45">
      <c r="A1070" t="str">
        <f>_xlfn.XLOOKUP(B1070,Ingot!$H$12:$H$119,Ingot!$G$12:$G$119,"")</f>
        <v>Metal</v>
      </c>
      <c r="B1070" t="s">
        <v>1925</v>
      </c>
      <c r="C1070" t="s">
        <v>239</v>
      </c>
      <c r="D1070" t="s">
        <v>2158</v>
      </c>
      <c r="E1070" t="s">
        <v>2159</v>
      </c>
    </row>
    <row r="1071" spans="1:7" ht="14.25" hidden="1" customHeight="1" x14ac:dyDescent="0.45">
      <c r="A1071" t="str">
        <f>_xlfn.XLOOKUP(B1071,Ingot!$H$12:$H$119,Ingot!$G$12:$G$119,"")</f>
        <v>Metal</v>
      </c>
      <c r="B1071" t="s">
        <v>1925</v>
      </c>
      <c r="C1071" t="s">
        <v>239</v>
      </c>
      <c r="D1071" t="s">
        <v>2160</v>
      </c>
      <c r="E1071" t="s">
        <v>2161</v>
      </c>
    </row>
    <row r="1072" spans="1:7" ht="14.25" hidden="1" customHeight="1" x14ac:dyDescent="0.45">
      <c r="A1072" t="str">
        <f>_xlfn.XLOOKUP(B1072,Ingot!$H$12:$H$119,Ingot!$G$12:$G$119,"")</f>
        <v>Metal</v>
      </c>
      <c r="B1072" t="s">
        <v>1925</v>
      </c>
      <c r="C1072" t="s">
        <v>239</v>
      </c>
      <c r="D1072" t="s">
        <v>2162</v>
      </c>
      <c r="E1072" t="s">
        <v>2163</v>
      </c>
    </row>
    <row r="1073" spans="1:7" ht="14.25" hidden="1" customHeight="1" x14ac:dyDescent="0.45">
      <c r="A1073" t="str">
        <f>_xlfn.XLOOKUP(B1073,Ingot!$H$12:$H$119,Ingot!$G$12:$G$119,"")</f>
        <v>Metal</v>
      </c>
      <c r="B1073" t="s">
        <v>2164</v>
      </c>
      <c r="C1073" t="s">
        <v>10</v>
      </c>
      <c r="D1073" t="s">
        <v>2165</v>
      </c>
      <c r="E1073" t="s">
        <v>2166</v>
      </c>
      <c r="G1073" s="1">
        <v>0.08</v>
      </c>
    </row>
    <row r="1074" spans="1:7" ht="14.25" hidden="1" customHeight="1" x14ac:dyDescent="0.45">
      <c r="A1074" t="str">
        <f>_xlfn.XLOOKUP(B1074,Ingot!$H$12:$H$119,Ingot!$G$12:$G$119,"")</f>
        <v>Metal</v>
      </c>
      <c r="B1074" t="s">
        <v>2164</v>
      </c>
      <c r="C1074" t="s">
        <v>10</v>
      </c>
      <c r="D1074" t="s">
        <v>2167</v>
      </c>
      <c r="E1074" t="s">
        <v>2168</v>
      </c>
      <c r="G1074" s="1">
        <v>9.9</v>
      </c>
    </row>
    <row r="1075" spans="1:7" ht="14.25" hidden="1" customHeight="1" x14ac:dyDescent="0.45">
      <c r="A1075" t="str">
        <f>_xlfn.XLOOKUP(B1075,Ingot!$H$12:$H$119,Ingot!$G$12:$G$119,"")</f>
        <v>Metal</v>
      </c>
      <c r="B1075" t="s">
        <v>2164</v>
      </c>
      <c r="C1075" t="s">
        <v>10</v>
      </c>
      <c r="D1075" t="s">
        <v>2169</v>
      </c>
      <c r="E1075" t="s">
        <v>2170</v>
      </c>
      <c r="G1075" s="1">
        <v>5.66</v>
      </c>
    </row>
    <row r="1076" spans="1:7" ht="14.25" hidden="1" customHeight="1" x14ac:dyDescent="0.45">
      <c r="A1076" t="str">
        <f>_xlfn.XLOOKUP(B1076,Ingot!$H$12:$H$119,Ingot!$G$12:$G$119,"")</f>
        <v>Metal</v>
      </c>
      <c r="B1076" t="s">
        <v>2164</v>
      </c>
      <c r="C1076" t="s">
        <v>10</v>
      </c>
      <c r="D1076" t="s">
        <v>2171</v>
      </c>
      <c r="E1076" t="s">
        <v>2172</v>
      </c>
      <c r="G1076" s="1">
        <v>3.3</v>
      </c>
    </row>
    <row r="1077" spans="1:7" ht="14.25" hidden="1" customHeight="1" x14ac:dyDescent="0.45">
      <c r="A1077" t="str">
        <f>_xlfn.XLOOKUP(B1077,Ingot!$H$12:$H$119,Ingot!$G$12:$G$119,"")</f>
        <v>Metal</v>
      </c>
      <c r="B1077" t="s">
        <v>2164</v>
      </c>
      <c r="C1077" t="s">
        <v>10</v>
      </c>
      <c r="D1077" t="s">
        <v>2173</v>
      </c>
      <c r="E1077" t="s">
        <v>2174</v>
      </c>
      <c r="G1077" s="1">
        <v>0.66</v>
      </c>
    </row>
    <row r="1078" spans="1:7" ht="14.25" hidden="1" customHeight="1" x14ac:dyDescent="0.45">
      <c r="A1078" t="str">
        <f>_xlfn.XLOOKUP(B1078,Ingot!$H$12:$H$119,Ingot!$G$12:$G$119,"")</f>
        <v>Metal</v>
      </c>
      <c r="B1078" t="s">
        <v>2164</v>
      </c>
      <c r="C1078" t="s">
        <v>10</v>
      </c>
      <c r="D1078" t="s">
        <v>2175</v>
      </c>
      <c r="E1078" t="s">
        <v>2176</v>
      </c>
      <c r="G1078" s="1">
        <v>0.04</v>
      </c>
    </row>
    <row r="1079" spans="1:7" ht="14.25" hidden="1" customHeight="1" x14ac:dyDescent="0.45">
      <c r="A1079" t="str">
        <f>_xlfn.XLOOKUP(B1079,Ingot!$H$12:$H$119,Ingot!$G$12:$G$119,"")</f>
        <v>Metal</v>
      </c>
      <c r="B1079" t="s">
        <v>2164</v>
      </c>
      <c r="C1079" t="s">
        <v>10</v>
      </c>
      <c r="D1079" t="s">
        <v>2177</v>
      </c>
      <c r="E1079" t="s">
        <v>2178</v>
      </c>
      <c r="G1079" s="1">
        <v>0.33</v>
      </c>
    </row>
    <row r="1080" spans="1:7" ht="14.25" hidden="1" customHeight="1" x14ac:dyDescent="0.45">
      <c r="A1080" t="str">
        <f>_xlfn.XLOOKUP(B1080,Ingot!$H$12:$H$119,Ingot!$G$12:$G$119,"")</f>
        <v>Metal</v>
      </c>
      <c r="B1080" t="s">
        <v>2164</v>
      </c>
      <c r="C1080" t="s">
        <v>10</v>
      </c>
      <c r="D1080" t="s">
        <v>2179</v>
      </c>
      <c r="E1080" t="s">
        <v>2180</v>
      </c>
    </row>
    <row r="1081" spans="1:7" ht="14.25" hidden="1" customHeight="1" x14ac:dyDescent="0.45">
      <c r="A1081" t="str">
        <f>_xlfn.XLOOKUP(B1081,Ingot!$H$12:$H$119,Ingot!$G$12:$G$119,"")</f>
        <v>Metal</v>
      </c>
      <c r="B1081" t="s">
        <v>2164</v>
      </c>
      <c r="C1081" t="s">
        <v>10</v>
      </c>
      <c r="D1081" t="s">
        <v>2181</v>
      </c>
      <c r="E1081" t="s">
        <v>2182</v>
      </c>
      <c r="G1081" s="1">
        <v>0.05</v>
      </c>
    </row>
    <row r="1082" spans="1:7" ht="14.25" hidden="1" customHeight="1" x14ac:dyDescent="0.45">
      <c r="A1082" t="str">
        <f>_xlfn.XLOOKUP(B1082,Ingot!$H$12:$H$119,Ingot!$G$12:$G$119,"")</f>
        <v>Metal</v>
      </c>
      <c r="B1082" t="s">
        <v>2164</v>
      </c>
      <c r="C1082" t="s">
        <v>10</v>
      </c>
      <c r="D1082" t="s">
        <v>2183</v>
      </c>
      <c r="E1082" t="s">
        <v>2184</v>
      </c>
      <c r="G1082" s="1">
        <v>0.66</v>
      </c>
    </row>
    <row r="1083" spans="1:7" ht="14.25" hidden="1" customHeight="1" x14ac:dyDescent="0.45">
      <c r="A1083" t="str">
        <f>_xlfn.XLOOKUP(B1083,Ingot!$H$12:$H$119,Ingot!$G$12:$G$119,"")</f>
        <v>Metal</v>
      </c>
      <c r="B1083" t="s">
        <v>2164</v>
      </c>
      <c r="C1083" t="s">
        <v>10</v>
      </c>
      <c r="D1083" t="s">
        <v>2185</v>
      </c>
      <c r="E1083" t="s">
        <v>2186</v>
      </c>
      <c r="G1083" s="1">
        <v>3.96</v>
      </c>
    </row>
    <row r="1084" spans="1:7" ht="14.25" hidden="1" customHeight="1" x14ac:dyDescent="0.45">
      <c r="A1084" t="str">
        <f>_xlfn.XLOOKUP(B1084,Ingot!$H$12:$H$119,Ingot!$G$12:$G$119,"")</f>
        <v>Metal</v>
      </c>
      <c r="B1084" t="s">
        <v>2164</v>
      </c>
      <c r="C1084" t="s">
        <v>10</v>
      </c>
      <c r="D1084" t="s">
        <v>2187</v>
      </c>
      <c r="E1084" t="s">
        <v>2188</v>
      </c>
      <c r="G1084" s="1">
        <v>8.77</v>
      </c>
    </row>
    <row r="1085" spans="1:7" ht="14.25" hidden="1" customHeight="1" x14ac:dyDescent="0.45">
      <c r="A1085" t="str">
        <f>_xlfn.XLOOKUP(B1085,Ingot!$H$12:$H$119,Ingot!$G$12:$G$119,"")</f>
        <v>Metal</v>
      </c>
      <c r="B1085" t="s">
        <v>2164</v>
      </c>
      <c r="C1085" t="s">
        <v>10</v>
      </c>
      <c r="D1085" t="s">
        <v>2189</v>
      </c>
      <c r="E1085" t="s">
        <v>2190</v>
      </c>
      <c r="G1085" s="1">
        <v>3.5</v>
      </c>
    </row>
    <row r="1086" spans="1:7" ht="14.25" hidden="1" customHeight="1" x14ac:dyDescent="0.45">
      <c r="A1086" t="str">
        <f>_xlfn.XLOOKUP(B1086,Ingot!$H$12:$H$119,Ingot!$G$12:$G$119,"")</f>
        <v>Metal</v>
      </c>
      <c r="B1086" t="s">
        <v>2164</v>
      </c>
      <c r="C1086" t="s">
        <v>10</v>
      </c>
      <c r="D1086" t="s">
        <v>2191</v>
      </c>
      <c r="E1086" t="s">
        <v>2192</v>
      </c>
    </row>
    <row r="1087" spans="1:7" ht="14.25" hidden="1" customHeight="1" x14ac:dyDescent="0.45">
      <c r="A1087" t="str">
        <f>_xlfn.XLOOKUP(B1087,Ingot!$H$12:$H$119,Ingot!$G$12:$G$119,"")</f>
        <v>Metal</v>
      </c>
      <c r="B1087" t="s">
        <v>2164</v>
      </c>
      <c r="C1087" t="s">
        <v>10</v>
      </c>
      <c r="D1087" t="s">
        <v>2193</v>
      </c>
      <c r="E1087" t="s">
        <v>2194</v>
      </c>
      <c r="G1087" s="1">
        <v>2.2000000000000002</v>
      </c>
    </row>
    <row r="1088" spans="1:7" ht="14.25" hidden="1" customHeight="1" x14ac:dyDescent="0.45">
      <c r="A1088" t="str">
        <f>_xlfn.XLOOKUP(B1088,Ingot!$H$12:$H$119,Ingot!$G$12:$G$119,"")</f>
        <v>Metal</v>
      </c>
      <c r="B1088" t="s">
        <v>2164</v>
      </c>
      <c r="C1088" t="s">
        <v>10</v>
      </c>
      <c r="D1088" t="s">
        <v>2195</v>
      </c>
      <c r="E1088" t="s">
        <v>2196</v>
      </c>
      <c r="G1088" s="1">
        <v>1.1000000000000001</v>
      </c>
    </row>
    <row r="1089" spans="1:7" ht="14.25" hidden="1" customHeight="1" x14ac:dyDescent="0.45">
      <c r="A1089" t="str">
        <f>_xlfn.XLOOKUP(B1089,Ingot!$H$12:$H$119,Ingot!$G$12:$G$119,"")</f>
        <v>Metal</v>
      </c>
      <c r="B1089" t="s">
        <v>2164</v>
      </c>
      <c r="C1089" t="s">
        <v>10</v>
      </c>
      <c r="D1089" t="s">
        <v>2197</v>
      </c>
      <c r="E1089" t="s">
        <v>2198</v>
      </c>
      <c r="G1089" s="1">
        <v>0.22</v>
      </c>
    </row>
    <row r="1090" spans="1:7" ht="14.25" hidden="1" customHeight="1" x14ac:dyDescent="0.45">
      <c r="A1090" t="str">
        <f>_xlfn.XLOOKUP(B1090,Ingot!$H$12:$H$119,Ingot!$G$12:$G$119,"")</f>
        <v>Metal</v>
      </c>
      <c r="B1090" t="s">
        <v>2164</v>
      </c>
      <c r="C1090" t="s">
        <v>10</v>
      </c>
      <c r="D1090" t="s">
        <v>2199</v>
      </c>
      <c r="E1090" t="s">
        <v>2200</v>
      </c>
      <c r="G1090" s="1">
        <v>8.41</v>
      </c>
    </row>
    <row r="1091" spans="1:7" ht="14.25" hidden="1" customHeight="1" x14ac:dyDescent="0.45">
      <c r="A1091" t="str">
        <f>_xlfn.XLOOKUP(B1091,Ingot!$H$12:$H$119,Ingot!$G$12:$G$119,"")</f>
        <v>Metal</v>
      </c>
      <c r="B1091" t="s">
        <v>2164</v>
      </c>
      <c r="C1091" t="s">
        <v>10</v>
      </c>
      <c r="D1091" t="s">
        <v>2201</v>
      </c>
      <c r="E1091" t="s">
        <v>2202</v>
      </c>
      <c r="G1091" s="1">
        <v>3.64</v>
      </c>
    </row>
    <row r="1092" spans="1:7" ht="14.25" hidden="1" customHeight="1" x14ac:dyDescent="0.45">
      <c r="A1092" t="str">
        <f>_xlfn.XLOOKUP(B1092,Ingot!$H$12:$H$119,Ingot!$G$12:$G$119,"")</f>
        <v>Metal</v>
      </c>
      <c r="B1092" t="s">
        <v>2164</v>
      </c>
      <c r="C1092" t="s">
        <v>10</v>
      </c>
      <c r="D1092" t="s">
        <v>2203</v>
      </c>
      <c r="E1092" t="s">
        <v>2204</v>
      </c>
      <c r="G1092" s="1">
        <v>7.05</v>
      </c>
    </row>
    <row r="1093" spans="1:7" ht="14.25" hidden="1" customHeight="1" x14ac:dyDescent="0.45">
      <c r="A1093" t="str">
        <f>_xlfn.XLOOKUP(B1093,Ingot!$H$12:$H$119,Ingot!$G$12:$G$119,"")</f>
        <v>Metal</v>
      </c>
      <c r="B1093" t="s">
        <v>2164</v>
      </c>
      <c r="C1093" t="s">
        <v>10</v>
      </c>
      <c r="D1093" t="s">
        <v>2205</v>
      </c>
      <c r="E1093" t="s">
        <v>2206</v>
      </c>
      <c r="G1093" s="1">
        <v>2.65</v>
      </c>
    </row>
    <row r="1094" spans="1:7" ht="14.25" hidden="1" customHeight="1" x14ac:dyDescent="0.45">
      <c r="A1094" t="str">
        <f>_xlfn.XLOOKUP(B1094,Ingot!$H$12:$H$119,Ingot!$G$12:$G$119,"")</f>
        <v>Metal</v>
      </c>
      <c r="B1094" t="s">
        <v>2164</v>
      </c>
      <c r="C1094" t="s">
        <v>10</v>
      </c>
      <c r="D1094" t="s">
        <v>2207</v>
      </c>
      <c r="E1094" t="s">
        <v>2208</v>
      </c>
      <c r="G1094" s="1">
        <v>9</v>
      </c>
    </row>
    <row r="1095" spans="1:7" ht="14.25" hidden="1" customHeight="1" x14ac:dyDescent="0.45">
      <c r="A1095" t="str">
        <f>_xlfn.XLOOKUP(B1095,Ingot!$H$12:$H$119,Ingot!$G$12:$G$119,"")</f>
        <v>Metal</v>
      </c>
      <c r="B1095" t="s">
        <v>2164</v>
      </c>
      <c r="C1095" t="s">
        <v>10</v>
      </c>
      <c r="D1095" t="s">
        <v>2209</v>
      </c>
      <c r="E1095" t="s">
        <v>2210</v>
      </c>
      <c r="G1095" s="1">
        <v>10.23</v>
      </c>
    </row>
    <row r="1096" spans="1:7" ht="14.25" hidden="1" customHeight="1" x14ac:dyDescent="0.45">
      <c r="A1096" t="str">
        <f>_xlfn.XLOOKUP(B1096,Ingot!$H$12:$H$119,Ingot!$G$12:$G$119,"")</f>
        <v>Metal</v>
      </c>
      <c r="B1096" t="s">
        <v>2164</v>
      </c>
      <c r="C1096" t="s">
        <v>10</v>
      </c>
      <c r="D1096" t="s">
        <v>2211</v>
      </c>
      <c r="E1096" t="s">
        <v>2212</v>
      </c>
      <c r="G1096" s="1">
        <v>7.7</v>
      </c>
    </row>
    <row r="1097" spans="1:7" ht="14.25" hidden="1" customHeight="1" x14ac:dyDescent="0.45">
      <c r="A1097" t="str">
        <f>_xlfn.XLOOKUP(B1097,Ingot!$H$12:$H$119,Ingot!$G$12:$G$119,"")</f>
        <v>Metal</v>
      </c>
      <c r="B1097" t="s">
        <v>2164</v>
      </c>
      <c r="C1097" t="s">
        <v>10</v>
      </c>
      <c r="D1097" t="s">
        <v>2213</v>
      </c>
      <c r="E1097" t="s">
        <v>2214</v>
      </c>
      <c r="G1097" s="1">
        <v>10.02</v>
      </c>
    </row>
    <row r="1098" spans="1:7" ht="14.25" hidden="1" customHeight="1" x14ac:dyDescent="0.45">
      <c r="A1098" t="str">
        <f>_xlfn.XLOOKUP(B1098,Ingot!$H$12:$H$119,Ingot!$G$12:$G$119,"")</f>
        <v>Metal</v>
      </c>
      <c r="B1098" t="s">
        <v>2164</v>
      </c>
      <c r="C1098" t="s">
        <v>10</v>
      </c>
      <c r="D1098" t="s">
        <v>2215</v>
      </c>
      <c r="E1098" t="s">
        <v>2216</v>
      </c>
      <c r="G1098" s="1">
        <v>11.81</v>
      </c>
    </row>
    <row r="1099" spans="1:7" ht="14.25" hidden="1" customHeight="1" x14ac:dyDescent="0.45">
      <c r="A1099" t="str">
        <f>_xlfn.XLOOKUP(B1099,Ingot!$H$12:$H$119,Ingot!$G$12:$G$119,"")</f>
        <v>Metal</v>
      </c>
      <c r="B1099" t="s">
        <v>2164</v>
      </c>
      <c r="C1099" t="s">
        <v>10</v>
      </c>
      <c r="D1099" t="s">
        <v>2217</v>
      </c>
      <c r="E1099" t="s">
        <v>2218</v>
      </c>
      <c r="G1099" s="1">
        <v>8.44</v>
      </c>
    </row>
    <row r="1100" spans="1:7" ht="14.25" hidden="1" customHeight="1" x14ac:dyDescent="0.45">
      <c r="A1100" t="str">
        <f>_xlfn.XLOOKUP(B1100,Ingot!$H$12:$H$119,Ingot!$G$12:$G$119,"")</f>
        <v>Metal</v>
      </c>
      <c r="B1100" t="s">
        <v>2164</v>
      </c>
      <c r="C1100" t="s">
        <v>10</v>
      </c>
      <c r="D1100" t="s">
        <v>2219</v>
      </c>
      <c r="E1100" t="s">
        <v>2220</v>
      </c>
      <c r="G1100" s="1">
        <v>10.42</v>
      </c>
    </row>
    <row r="1101" spans="1:7" ht="14.25" hidden="1" customHeight="1" x14ac:dyDescent="0.45">
      <c r="A1101" t="str">
        <f>_xlfn.XLOOKUP(B1101,Ingot!$H$12:$H$119,Ingot!$G$12:$G$119,"")</f>
        <v>Metal</v>
      </c>
      <c r="B1101" t="s">
        <v>2164</v>
      </c>
      <c r="C1101" t="s">
        <v>10</v>
      </c>
      <c r="D1101" t="s">
        <v>2221</v>
      </c>
      <c r="E1101" t="s">
        <v>2222</v>
      </c>
    </row>
    <row r="1102" spans="1:7" ht="14.25" hidden="1" customHeight="1" x14ac:dyDescent="0.45">
      <c r="A1102" t="str">
        <f>_xlfn.XLOOKUP(B1102,Ingot!$H$12:$H$119,Ingot!$G$12:$G$119,"")</f>
        <v>Metal</v>
      </c>
      <c r="B1102" t="s">
        <v>2164</v>
      </c>
      <c r="C1102" t="s">
        <v>10</v>
      </c>
      <c r="D1102" t="s">
        <v>2223</v>
      </c>
      <c r="E1102" t="s">
        <v>2224</v>
      </c>
      <c r="G1102" s="1">
        <v>7.96</v>
      </c>
    </row>
    <row r="1103" spans="1:7" ht="14.25" hidden="1" customHeight="1" x14ac:dyDescent="0.45">
      <c r="A1103" t="str">
        <f>_xlfn.XLOOKUP(B1103,Ingot!$H$12:$H$119,Ingot!$G$12:$G$119,"")</f>
        <v>Metal</v>
      </c>
      <c r="B1103" t="s">
        <v>2164</v>
      </c>
      <c r="C1103" t="s">
        <v>10</v>
      </c>
      <c r="D1103" t="s">
        <v>2225</v>
      </c>
      <c r="E1103" t="s">
        <v>2226</v>
      </c>
      <c r="G1103" s="1">
        <v>9.64</v>
      </c>
    </row>
    <row r="1104" spans="1:7" ht="14.25" hidden="1" customHeight="1" x14ac:dyDescent="0.45">
      <c r="A1104" t="str">
        <f>_xlfn.XLOOKUP(B1104,Ingot!$H$12:$H$119,Ingot!$G$12:$G$119,"")</f>
        <v>Metal</v>
      </c>
      <c r="B1104" t="s">
        <v>2164</v>
      </c>
      <c r="C1104" t="s">
        <v>10</v>
      </c>
      <c r="D1104" t="s">
        <v>2227</v>
      </c>
      <c r="E1104" t="s">
        <v>2228</v>
      </c>
      <c r="G1104" s="1">
        <v>7.94</v>
      </c>
    </row>
    <row r="1105" spans="1:7" ht="14.25" hidden="1" customHeight="1" x14ac:dyDescent="0.45">
      <c r="A1105" t="str">
        <f>_xlfn.XLOOKUP(B1105,Ingot!$H$12:$H$119,Ingot!$G$12:$G$119,"")</f>
        <v>Metal</v>
      </c>
      <c r="B1105" t="s">
        <v>2164</v>
      </c>
      <c r="C1105" t="s">
        <v>10</v>
      </c>
      <c r="D1105" t="s">
        <v>2229</v>
      </c>
      <c r="E1105" t="s">
        <v>2230</v>
      </c>
      <c r="G1105" s="1">
        <v>8.66</v>
      </c>
    </row>
    <row r="1106" spans="1:7" ht="14.25" hidden="1" customHeight="1" x14ac:dyDescent="0.45">
      <c r="A1106" t="str">
        <f>_xlfn.XLOOKUP(B1106,Ingot!$H$12:$H$119,Ingot!$G$12:$G$119,"")</f>
        <v>Metal</v>
      </c>
      <c r="B1106" t="s">
        <v>2164</v>
      </c>
      <c r="C1106" t="s">
        <v>10</v>
      </c>
      <c r="D1106" t="s">
        <v>2231</v>
      </c>
      <c r="E1106" t="s">
        <v>2232</v>
      </c>
    </row>
    <row r="1107" spans="1:7" ht="14.25" hidden="1" customHeight="1" x14ac:dyDescent="0.45">
      <c r="A1107" t="str">
        <f>_xlfn.XLOOKUP(B1107,Ingot!$H$12:$H$119,Ingot!$G$12:$G$119,"")</f>
        <v>Metal</v>
      </c>
      <c r="B1107" t="s">
        <v>2164</v>
      </c>
      <c r="C1107" t="s">
        <v>10</v>
      </c>
      <c r="D1107" t="s">
        <v>2233</v>
      </c>
      <c r="E1107" t="s">
        <v>2234</v>
      </c>
      <c r="G1107" s="1">
        <v>2.65</v>
      </c>
    </row>
    <row r="1108" spans="1:7" ht="14.25" hidden="1" customHeight="1" x14ac:dyDescent="0.45">
      <c r="A1108" t="str">
        <f>_xlfn.XLOOKUP(B1108,Ingot!$H$12:$H$119,Ingot!$G$12:$G$119,"")</f>
        <v>Metal</v>
      </c>
      <c r="B1108" t="s">
        <v>2164</v>
      </c>
      <c r="C1108" t="s">
        <v>10</v>
      </c>
      <c r="D1108" t="s">
        <v>2235</v>
      </c>
      <c r="E1108" t="s">
        <v>2236</v>
      </c>
    </row>
    <row r="1109" spans="1:7" ht="14.25" hidden="1" customHeight="1" x14ac:dyDescent="0.45">
      <c r="A1109" t="str">
        <f>_xlfn.XLOOKUP(B1109,Ingot!$H$12:$H$119,Ingot!$G$12:$G$119,"")</f>
        <v>Metal</v>
      </c>
      <c r="B1109" t="s">
        <v>2164</v>
      </c>
      <c r="C1109" t="s">
        <v>10</v>
      </c>
      <c r="D1109" t="s">
        <v>2237</v>
      </c>
      <c r="E1109" t="s">
        <v>2238</v>
      </c>
      <c r="G1109" s="1">
        <v>12.64</v>
      </c>
    </row>
    <row r="1110" spans="1:7" ht="14.25" hidden="1" customHeight="1" x14ac:dyDescent="0.45">
      <c r="A1110" t="str">
        <f>_xlfn.XLOOKUP(B1110,Ingot!$H$12:$H$119,Ingot!$G$12:$G$119,"")</f>
        <v>Metal</v>
      </c>
      <c r="B1110" t="s">
        <v>2164</v>
      </c>
      <c r="C1110" t="s">
        <v>10</v>
      </c>
      <c r="D1110" t="s">
        <v>2239</v>
      </c>
      <c r="E1110" t="s">
        <v>2240</v>
      </c>
      <c r="G1110" s="1">
        <v>22.67</v>
      </c>
    </row>
    <row r="1111" spans="1:7" ht="14.25" hidden="1" customHeight="1" x14ac:dyDescent="0.45">
      <c r="A1111" t="str">
        <f>_xlfn.XLOOKUP(B1111,Ingot!$H$12:$H$119,Ingot!$G$12:$G$119,"")</f>
        <v>Metal</v>
      </c>
      <c r="B1111" t="s">
        <v>2164</v>
      </c>
      <c r="C1111" t="s">
        <v>10</v>
      </c>
      <c r="D1111" t="s">
        <v>2241</v>
      </c>
      <c r="E1111" t="s">
        <v>2242</v>
      </c>
      <c r="G1111" s="1">
        <v>8.3800000000000008</v>
      </c>
    </row>
    <row r="1112" spans="1:7" ht="14.25" hidden="1" customHeight="1" x14ac:dyDescent="0.45">
      <c r="A1112" t="str">
        <f>_xlfn.XLOOKUP(B1112,Ingot!$H$12:$H$119,Ingot!$G$12:$G$119,"")</f>
        <v>Metal</v>
      </c>
      <c r="B1112" t="s">
        <v>2164</v>
      </c>
      <c r="C1112" t="s">
        <v>10</v>
      </c>
      <c r="D1112" t="s">
        <v>2243</v>
      </c>
      <c r="E1112" t="s">
        <v>2244</v>
      </c>
      <c r="G1112" s="1">
        <v>2.2000000000000002</v>
      </c>
    </row>
    <row r="1113" spans="1:7" ht="14.25" hidden="1" customHeight="1" x14ac:dyDescent="0.45">
      <c r="A1113" t="str">
        <f>_xlfn.XLOOKUP(B1113,Ingot!$H$12:$H$119,Ingot!$G$12:$G$119,"")</f>
        <v>Metal</v>
      </c>
      <c r="B1113" t="s">
        <v>2164</v>
      </c>
      <c r="C1113" t="s">
        <v>10</v>
      </c>
      <c r="D1113" t="s">
        <v>2245</v>
      </c>
      <c r="E1113" t="s">
        <v>2246</v>
      </c>
      <c r="G1113" s="1">
        <v>3.09</v>
      </c>
    </row>
    <row r="1114" spans="1:7" ht="14.25" hidden="1" customHeight="1" x14ac:dyDescent="0.45">
      <c r="A1114" t="str">
        <f>_xlfn.XLOOKUP(B1114,Ingot!$H$12:$H$119,Ingot!$G$12:$G$119,"")</f>
        <v>Metal</v>
      </c>
      <c r="B1114" t="s">
        <v>2164</v>
      </c>
      <c r="C1114" t="s">
        <v>10</v>
      </c>
      <c r="D1114" t="s">
        <v>2247</v>
      </c>
      <c r="E1114" t="s">
        <v>2248</v>
      </c>
      <c r="G1114" s="1">
        <v>2.2999999999999998</v>
      </c>
    </row>
    <row r="1115" spans="1:7" ht="14.25" hidden="1" customHeight="1" x14ac:dyDescent="0.45">
      <c r="A1115" t="str">
        <f>_xlfn.XLOOKUP(B1115,Ingot!$H$12:$H$119,Ingot!$G$12:$G$119,"")</f>
        <v>Metal</v>
      </c>
      <c r="B1115" t="s">
        <v>2164</v>
      </c>
      <c r="C1115" t="s">
        <v>10</v>
      </c>
      <c r="D1115" t="s">
        <v>2249</v>
      </c>
      <c r="E1115" t="s">
        <v>2250</v>
      </c>
      <c r="G1115" s="1">
        <v>4.88</v>
      </c>
    </row>
    <row r="1116" spans="1:7" ht="14.25" hidden="1" customHeight="1" x14ac:dyDescent="0.45">
      <c r="A1116" t="str">
        <f>_xlfn.XLOOKUP(B1116,Ingot!$H$12:$H$119,Ingot!$G$12:$G$119,"")</f>
        <v>Metal</v>
      </c>
      <c r="B1116" t="s">
        <v>2164</v>
      </c>
      <c r="C1116" t="s">
        <v>10</v>
      </c>
      <c r="D1116" t="s">
        <v>2251</v>
      </c>
      <c r="E1116" t="s">
        <v>2252</v>
      </c>
      <c r="G1116" s="1">
        <v>8.43</v>
      </c>
    </row>
    <row r="1117" spans="1:7" ht="14.25" hidden="1" customHeight="1" x14ac:dyDescent="0.45">
      <c r="A1117" t="str">
        <f>_xlfn.XLOOKUP(B1117,Ingot!$H$12:$H$119,Ingot!$G$12:$G$119,"")</f>
        <v>Metal</v>
      </c>
      <c r="B1117" t="s">
        <v>2164</v>
      </c>
      <c r="C1117" t="s">
        <v>10</v>
      </c>
      <c r="D1117" t="s">
        <v>2253</v>
      </c>
      <c r="E1117" t="s">
        <v>2254</v>
      </c>
      <c r="G1117" s="1">
        <v>13.07</v>
      </c>
    </row>
    <row r="1118" spans="1:7" ht="14.25" hidden="1" customHeight="1" x14ac:dyDescent="0.45">
      <c r="A1118" t="str">
        <f>_xlfn.XLOOKUP(B1118,Ingot!$H$12:$H$119,Ingot!$G$12:$G$119,"")</f>
        <v>Metal</v>
      </c>
      <c r="B1118" t="s">
        <v>2164</v>
      </c>
      <c r="C1118" t="s">
        <v>10</v>
      </c>
      <c r="D1118" t="s">
        <v>2255</v>
      </c>
      <c r="E1118" t="s">
        <v>2256</v>
      </c>
    </row>
    <row r="1119" spans="1:7" ht="14.25" hidden="1" customHeight="1" x14ac:dyDescent="0.45">
      <c r="A1119" t="str">
        <f>_xlfn.XLOOKUP(B1119,Ingot!$H$12:$H$119,Ingot!$G$12:$G$119,"")</f>
        <v>Metal</v>
      </c>
      <c r="B1119" t="s">
        <v>2164</v>
      </c>
      <c r="C1119" t="s">
        <v>10</v>
      </c>
      <c r="D1119" t="s">
        <v>2257</v>
      </c>
      <c r="E1119" t="s">
        <v>2258</v>
      </c>
    </row>
    <row r="1120" spans="1:7" ht="14.25" hidden="1" customHeight="1" x14ac:dyDescent="0.45">
      <c r="A1120" t="str">
        <f>_xlfn.XLOOKUP(B1120,Ingot!$H$12:$H$119,Ingot!$G$12:$G$119,"")</f>
        <v>Metal</v>
      </c>
      <c r="B1120" t="s">
        <v>2164</v>
      </c>
      <c r="C1120" t="s">
        <v>10</v>
      </c>
      <c r="D1120" t="s">
        <v>2259</v>
      </c>
      <c r="E1120" t="s">
        <v>2260</v>
      </c>
      <c r="G1120" s="1">
        <v>6.8</v>
      </c>
    </row>
    <row r="1121" spans="1:7" ht="14.25" hidden="1" customHeight="1" x14ac:dyDescent="0.45">
      <c r="A1121" t="str">
        <f>_xlfn.XLOOKUP(B1121,Ingot!$H$12:$H$119,Ingot!$G$12:$G$119,"")</f>
        <v>Metal</v>
      </c>
      <c r="B1121" t="s">
        <v>2164</v>
      </c>
      <c r="C1121" t="s">
        <v>10</v>
      </c>
      <c r="D1121" t="s">
        <v>2261</v>
      </c>
      <c r="E1121" t="s">
        <v>2262</v>
      </c>
      <c r="G1121" s="1">
        <v>6.88</v>
      </c>
    </row>
    <row r="1122" spans="1:7" ht="14.25" hidden="1" customHeight="1" x14ac:dyDescent="0.45">
      <c r="A1122" t="str">
        <f>_xlfn.XLOOKUP(B1122,Ingot!$H$12:$H$119,Ingot!$G$12:$G$119,"")</f>
        <v>Metal</v>
      </c>
      <c r="B1122" t="s">
        <v>2164</v>
      </c>
      <c r="C1122" t="s">
        <v>10</v>
      </c>
      <c r="D1122" t="s">
        <v>2263</v>
      </c>
      <c r="E1122" t="s">
        <v>2264</v>
      </c>
      <c r="G1122" s="1">
        <v>5.5</v>
      </c>
    </row>
    <row r="1123" spans="1:7" ht="14.25" hidden="1" customHeight="1" x14ac:dyDescent="0.45">
      <c r="A1123" t="str">
        <f>_xlfn.XLOOKUP(B1123,Ingot!$H$12:$H$119,Ingot!$G$12:$G$119,"")</f>
        <v>Metal</v>
      </c>
      <c r="B1123" t="s">
        <v>2164</v>
      </c>
      <c r="C1123" t="s">
        <v>10</v>
      </c>
      <c r="D1123" t="s">
        <v>2265</v>
      </c>
      <c r="E1123" t="s">
        <v>2266</v>
      </c>
      <c r="G1123" s="1">
        <v>2.4300000000000002</v>
      </c>
    </row>
    <row r="1124" spans="1:7" ht="14.25" hidden="1" customHeight="1" x14ac:dyDescent="0.45">
      <c r="A1124" t="str">
        <f>_xlfn.XLOOKUP(B1124,Ingot!$H$12:$H$119,Ingot!$G$12:$G$119,"")</f>
        <v>Metal</v>
      </c>
      <c r="B1124" t="s">
        <v>2164</v>
      </c>
      <c r="C1124" t="s">
        <v>10</v>
      </c>
      <c r="D1124" t="s">
        <v>2267</v>
      </c>
      <c r="E1124" t="s">
        <v>2268</v>
      </c>
      <c r="G1124" s="1">
        <v>6.96</v>
      </c>
    </row>
    <row r="1125" spans="1:7" ht="14.25" hidden="1" customHeight="1" x14ac:dyDescent="0.45">
      <c r="A1125" t="str">
        <f>_xlfn.XLOOKUP(B1125,Ingot!$H$12:$H$119,Ingot!$G$12:$G$119,"")</f>
        <v>Metal</v>
      </c>
      <c r="B1125" t="s">
        <v>2164</v>
      </c>
      <c r="C1125" t="s">
        <v>10</v>
      </c>
      <c r="D1125" t="s">
        <v>2269</v>
      </c>
      <c r="E1125" t="s">
        <v>2270</v>
      </c>
      <c r="G1125" s="1">
        <v>6.32</v>
      </c>
    </row>
    <row r="1126" spans="1:7" ht="14.25" hidden="1" customHeight="1" x14ac:dyDescent="0.45">
      <c r="A1126" t="str">
        <f>_xlfn.XLOOKUP(B1126,Ingot!$H$12:$H$119,Ingot!$G$12:$G$119,"")</f>
        <v>Metal</v>
      </c>
      <c r="B1126" t="s">
        <v>2164</v>
      </c>
      <c r="C1126" t="s">
        <v>10</v>
      </c>
      <c r="D1126" t="s">
        <v>2271</v>
      </c>
      <c r="E1126" t="s">
        <v>2272</v>
      </c>
      <c r="G1126" s="1">
        <v>6.88</v>
      </c>
    </row>
    <row r="1127" spans="1:7" ht="14.25" hidden="1" customHeight="1" x14ac:dyDescent="0.45">
      <c r="A1127" t="str">
        <f>_xlfn.XLOOKUP(B1127,Ingot!$H$12:$H$119,Ingot!$G$12:$G$119,"")</f>
        <v>Metal</v>
      </c>
      <c r="B1127" t="s">
        <v>2164</v>
      </c>
      <c r="C1127" t="s">
        <v>10</v>
      </c>
      <c r="D1127" t="s">
        <v>2273</v>
      </c>
      <c r="E1127" t="s">
        <v>2274</v>
      </c>
      <c r="G1127" s="1">
        <v>2.44</v>
      </c>
    </row>
    <row r="1128" spans="1:7" ht="14.25" hidden="1" customHeight="1" x14ac:dyDescent="0.45">
      <c r="A1128" t="str">
        <f>_xlfn.XLOOKUP(B1128,Ingot!$H$12:$H$119,Ingot!$G$12:$G$119,"")</f>
        <v>Metal</v>
      </c>
      <c r="B1128" t="s">
        <v>2164</v>
      </c>
      <c r="C1128" t="s">
        <v>10</v>
      </c>
      <c r="D1128" t="s">
        <v>2275</v>
      </c>
      <c r="E1128" t="s">
        <v>2276</v>
      </c>
    </row>
    <row r="1129" spans="1:7" ht="14.25" hidden="1" customHeight="1" x14ac:dyDescent="0.45">
      <c r="A1129" t="str">
        <f>_xlfn.XLOOKUP(B1129,Ingot!$H$12:$H$119,Ingot!$G$12:$G$119,"")</f>
        <v>Metal</v>
      </c>
      <c r="B1129" t="s">
        <v>2164</v>
      </c>
      <c r="C1129" t="s">
        <v>10</v>
      </c>
      <c r="D1129" t="s">
        <v>2277</v>
      </c>
      <c r="E1129" t="s">
        <v>2278</v>
      </c>
    </row>
    <row r="1130" spans="1:7" ht="14.25" hidden="1" customHeight="1" x14ac:dyDescent="0.45">
      <c r="A1130" t="str">
        <f>_xlfn.XLOOKUP(B1130,Ingot!$H$12:$H$119,Ingot!$G$12:$G$119,"")</f>
        <v>Metal</v>
      </c>
      <c r="B1130" t="s">
        <v>2164</v>
      </c>
      <c r="C1130" t="s">
        <v>10</v>
      </c>
      <c r="D1130" t="s">
        <v>2279</v>
      </c>
      <c r="E1130" t="s">
        <v>2280</v>
      </c>
      <c r="G1130" s="1">
        <v>3.11</v>
      </c>
    </row>
    <row r="1131" spans="1:7" ht="14.25" hidden="1" customHeight="1" x14ac:dyDescent="0.45">
      <c r="A1131" t="str">
        <f>_xlfn.XLOOKUP(B1131,Ingot!$H$12:$H$119,Ingot!$G$12:$G$119,"")</f>
        <v>Metal</v>
      </c>
      <c r="B1131" t="s">
        <v>2164</v>
      </c>
      <c r="C1131" t="s">
        <v>10</v>
      </c>
      <c r="D1131" t="s">
        <v>2281</v>
      </c>
      <c r="E1131" t="s">
        <v>2282</v>
      </c>
      <c r="G1131" s="1">
        <v>2.44</v>
      </c>
    </row>
    <row r="1132" spans="1:7" ht="14.25" hidden="1" customHeight="1" x14ac:dyDescent="0.45">
      <c r="A1132" t="str">
        <f>_xlfn.XLOOKUP(B1132,Ingot!$H$12:$H$119,Ingot!$G$12:$G$119,"")</f>
        <v>Metal</v>
      </c>
      <c r="B1132" t="s">
        <v>2164</v>
      </c>
      <c r="C1132" t="s">
        <v>10</v>
      </c>
      <c r="D1132" t="s">
        <v>2283</v>
      </c>
      <c r="E1132" t="s">
        <v>2284</v>
      </c>
      <c r="G1132" s="1">
        <v>8.61</v>
      </c>
    </row>
    <row r="1133" spans="1:7" ht="14.25" hidden="1" customHeight="1" x14ac:dyDescent="0.45">
      <c r="A1133" t="str">
        <f>_xlfn.XLOOKUP(B1133,Ingot!$H$12:$H$119,Ingot!$G$12:$G$119,"")</f>
        <v>Metal</v>
      </c>
      <c r="B1133" t="s">
        <v>2164</v>
      </c>
      <c r="C1133" t="s">
        <v>10</v>
      </c>
      <c r="D1133" t="s">
        <v>2285</v>
      </c>
      <c r="E1133" t="s">
        <v>2286</v>
      </c>
    </row>
    <row r="1134" spans="1:7" ht="14.25" hidden="1" customHeight="1" x14ac:dyDescent="0.45">
      <c r="A1134" t="str">
        <f>_xlfn.XLOOKUP(B1134,Ingot!$H$12:$H$119,Ingot!$G$12:$G$119,"")</f>
        <v>Metal</v>
      </c>
      <c r="B1134" t="s">
        <v>2164</v>
      </c>
      <c r="C1134" t="s">
        <v>10</v>
      </c>
      <c r="D1134" t="s">
        <v>2287</v>
      </c>
      <c r="E1134" t="s">
        <v>2288</v>
      </c>
      <c r="G1134" s="1">
        <v>3.21</v>
      </c>
    </row>
    <row r="1135" spans="1:7" ht="14.25" hidden="1" customHeight="1" x14ac:dyDescent="0.45">
      <c r="A1135" t="str">
        <f>_xlfn.XLOOKUP(B1135,Ingot!$H$12:$H$119,Ingot!$G$12:$G$119,"")</f>
        <v>Metal</v>
      </c>
      <c r="B1135" t="s">
        <v>2164</v>
      </c>
      <c r="C1135" t="s">
        <v>10</v>
      </c>
      <c r="D1135" t="s">
        <v>2289</v>
      </c>
      <c r="E1135" t="s">
        <v>2290</v>
      </c>
      <c r="G1135" s="1">
        <v>2.77</v>
      </c>
    </row>
    <row r="1136" spans="1:7" ht="14.25" hidden="1" customHeight="1" x14ac:dyDescent="0.45">
      <c r="A1136" t="str">
        <f>_xlfn.XLOOKUP(B1136,Ingot!$H$12:$H$119,Ingot!$G$12:$G$119,"")</f>
        <v>Metal</v>
      </c>
      <c r="B1136" t="s">
        <v>2164</v>
      </c>
      <c r="C1136" t="s">
        <v>10</v>
      </c>
      <c r="D1136" t="s">
        <v>2291</v>
      </c>
      <c r="E1136" t="s">
        <v>2292</v>
      </c>
      <c r="G1136" s="1">
        <v>4.8899999999999997</v>
      </c>
    </row>
    <row r="1137" spans="1:7" ht="14.25" hidden="1" customHeight="1" x14ac:dyDescent="0.45">
      <c r="A1137" t="str">
        <f>_xlfn.XLOOKUP(B1137,Ingot!$H$12:$H$119,Ingot!$G$12:$G$119,"")</f>
        <v>Metal</v>
      </c>
      <c r="B1137" t="s">
        <v>2164</v>
      </c>
      <c r="C1137" t="s">
        <v>10</v>
      </c>
      <c r="D1137" t="s">
        <v>2293</v>
      </c>
      <c r="E1137" t="s">
        <v>2294</v>
      </c>
      <c r="G1137" s="1">
        <v>1.76</v>
      </c>
    </row>
    <row r="1138" spans="1:7" ht="14.25" hidden="1" customHeight="1" x14ac:dyDescent="0.45">
      <c r="A1138" t="str">
        <f>_xlfn.XLOOKUP(B1138,Ingot!$H$12:$H$119,Ingot!$G$12:$G$119,"")</f>
        <v>Metal</v>
      </c>
      <c r="B1138" t="s">
        <v>2164</v>
      </c>
      <c r="C1138" t="s">
        <v>10</v>
      </c>
      <c r="D1138" t="s">
        <v>2295</v>
      </c>
      <c r="E1138" t="s">
        <v>2296</v>
      </c>
    </row>
    <row r="1139" spans="1:7" ht="14.25" hidden="1" customHeight="1" x14ac:dyDescent="0.45">
      <c r="A1139" t="str">
        <f>_xlfn.XLOOKUP(B1139,Ingot!$H$12:$H$119,Ingot!$G$12:$G$119,"")</f>
        <v>Metal</v>
      </c>
      <c r="B1139" t="s">
        <v>2164</v>
      </c>
      <c r="C1139" t="s">
        <v>10</v>
      </c>
      <c r="D1139" t="s">
        <v>2297</v>
      </c>
      <c r="E1139" t="s">
        <v>2298</v>
      </c>
      <c r="G1139" s="1">
        <v>8.57</v>
      </c>
    </row>
    <row r="1140" spans="1:7" ht="14.25" hidden="1" customHeight="1" x14ac:dyDescent="0.45">
      <c r="A1140" t="str">
        <f>_xlfn.XLOOKUP(B1140,Ingot!$H$12:$H$119,Ingot!$G$12:$G$119,"")</f>
        <v>Metal</v>
      </c>
      <c r="B1140" t="s">
        <v>2164</v>
      </c>
      <c r="C1140" t="s">
        <v>10</v>
      </c>
      <c r="D1140" t="s">
        <v>2299</v>
      </c>
      <c r="E1140" t="s">
        <v>2300</v>
      </c>
    </row>
    <row r="1141" spans="1:7" ht="14.25" hidden="1" customHeight="1" x14ac:dyDescent="0.45">
      <c r="A1141" t="str">
        <f>_xlfn.XLOOKUP(B1141,Ingot!$H$12:$H$119,Ingot!$G$12:$G$119,"")</f>
        <v>Metal</v>
      </c>
      <c r="B1141" t="s">
        <v>2164</v>
      </c>
      <c r="C1141" t="s">
        <v>10</v>
      </c>
      <c r="D1141" t="s">
        <v>2301</v>
      </c>
      <c r="E1141" t="s">
        <v>2302</v>
      </c>
      <c r="G1141" s="1">
        <v>3.56</v>
      </c>
    </row>
    <row r="1142" spans="1:7" ht="14.25" hidden="1" customHeight="1" x14ac:dyDescent="0.45">
      <c r="A1142" t="str">
        <f>_xlfn.XLOOKUP(B1142,Ingot!$H$12:$H$119,Ingot!$G$12:$G$119,"")</f>
        <v>Metal</v>
      </c>
      <c r="B1142" t="s">
        <v>2164</v>
      </c>
      <c r="C1142" t="s">
        <v>10</v>
      </c>
      <c r="D1142" t="s">
        <v>2303</v>
      </c>
      <c r="E1142" t="s">
        <v>2304</v>
      </c>
      <c r="G1142" s="1">
        <v>8.91</v>
      </c>
    </row>
    <row r="1143" spans="1:7" ht="14.25" hidden="1" customHeight="1" x14ac:dyDescent="0.45">
      <c r="A1143" t="str">
        <f>_xlfn.XLOOKUP(B1143,Ingot!$H$12:$H$119,Ingot!$G$12:$G$119,"")</f>
        <v>Metal</v>
      </c>
      <c r="B1143" t="s">
        <v>2164</v>
      </c>
      <c r="C1143" t="s">
        <v>10</v>
      </c>
      <c r="D1143" t="s">
        <v>2305</v>
      </c>
      <c r="E1143" t="s">
        <v>2306</v>
      </c>
      <c r="G1143" s="1">
        <v>11.02</v>
      </c>
    </row>
    <row r="1144" spans="1:7" ht="14.25" hidden="1" customHeight="1" x14ac:dyDescent="0.45">
      <c r="A1144" t="str">
        <f>_xlfn.XLOOKUP(B1144,Ingot!$H$12:$H$119,Ingot!$G$12:$G$119,"")</f>
        <v>Metal</v>
      </c>
      <c r="B1144" t="s">
        <v>2164</v>
      </c>
      <c r="C1144" t="s">
        <v>10</v>
      </c>
      <c r="D1144" t="s">
        <v>2307</v>
      </c>
      <c r="E1144" t="s">
        <v>2308</v>
      </c>
      <c r="G1144" s="1">
        <v>5.12</v>
      </c>
    </row>
    <row r="1145" spans="1:7" ht="14.25" hidden="1" customHeight="1" x14ac:dyDescent="0.45">
      <c r="A1145" t="str">
        <f>_xlfn.XLOOKUP(B1145,Ingot!$H$12:$H$119,Ingot!$G$12:$G$119,"")</f>
        <v>Metal</v>
      </c>
      <c r="B1145" t="s">
        <v>2164</v>
      </c>
      <c r="C1145" t="s">
        <v>10</v>
      </c>
      <c r="D1145" t="s">
        <v>2309</v>
      </c>
      <c r="E1145" t="s">
        <v>2310</v>
      </c>
      <c r="G1145" s="1">
        <v>4.41</v>
      </c>
    </row>
    <row r="1146" spans="1:7" ht="14.25" hidden="1" customHeight="1" x14ac:dyDescent="0.45">
      <c r="A1146" t="str">
        <f>_xlfn.XLOOKUP(B1146,Ingot!$H$12:$H$119,Ingot!$G$12:$G$119,"")</f>
        <v>Metal</v>
      </c>
      <c r="B1146" t="s">
        <v>2164</v>
      </c>
      <c r="C1146" t="s">
        <v>157</v>
      </c>
      <c r="D1146" t="s">
        <v>2311</v>
      </c>
      <c r="E1146" t="s">
        <v>2312</v>
      </c>
      <c r="G1146" s="1">
        <v>35</v>
      </c>
    </row>
    <row r="1147" spans="1:7" ht="14.25" hidden="1" customHeight="1" x14ac:dyDescent="0.45">
      <c r="A1147" t="str">
        <f>_xlfn.XLOOKUP(B1147,Ingot!$H$12:$H$119,Ingot!$G$12:$G$119,"")</f>
        <v>Metal</v>
      </c>
      <c r="B1147" t="s">
        <v>2164</v>
      </c>
      <c r="C1147" t="s">
        <v>157</v>
      </c>
      <c r="D1147" t="s">
        <v>2313</v>
      </c>
      <c r="E1147" t="s">
        <v>2314</v>
      </c>
      <c r="G1147" s="1">
        <v>7</v>
      </c>
    </row>
    <row r="1148" spans="1:7" ht="14.25" hidden="1" customHeight="1" x14ac:dyDescent="0.45">
      <c r="A1148" t="str">
        <f>_xlfn.XLOOKUP(B1148,Ingot!$H$12:$H$119,Ingot!$G$12:$G$119,"")</f>
        <v>Metal</v>
      </c>
      <c r="B1148" t="s">
        <v>2164</v>
      </c>
      <c r="C1148" t="s">
        <v>157</v>
      </c>
      <c r="D1148" t="s">
        <v>2315</v>
      </c>
      <c r="E1148" t="s">
        <v>2316</v>
      </c>
      <c r="G1148" s="1">
        <v>7</v>
      </c>
    </row>
    <row r="1149" spans="1:7" ht="14.25" hidden="1" customHeight="1" x14ac:dyDescent="0.45">
      <c r="A1149" t="str">
        <f>_xlfn.XLOOKUP(B1149,Ingot!$H$12:$H$119,Ingot!$G$12:$G$119,"")</f>
        <v>Metal</v>
      </c>
      <c r="B1149" t="s">
        <v>2164</v>
      </c>
      <c r="C1149" t="s">
        <v>157</v>
      </c>
      <c r="D1149" t="s">
        <v>2317</v>
      </c>
      <c r="E1149" t="s">
        <v>2318</v>
      </c>
      <c r="G1149" s="1">
        <v>5</v>
      </c>
    </row>
    <row r="1150" spans="1:7" ht="14.25" hidden="1" customHeight="1" x14ac:dyDescent="0.45">
      <c r="A1150" t="str">
        <f>_xlfn.XLOOKUP(B1150,Ingot!$H$12:$H$119,Ingot!$G$12:$G$119,"")</f>
        <v>Metal</v>
      </c>
      <c r="B1150" t="s">
        <v>2164</v>
      </c>
      <c r="C1150" t="s">
        <v>157</v>
      </c>
      <c r="D1150" t="s">
        <v>2319</v>
      </c>
      <c r="E1150" t="s">
        <v>2320</v>
      </c>
      <c r="G1150" s="1">
        <v>10</v>
      </c>
    </row>
    <row r="1151" spans="1:7" ht="14.25" hidden="1" customHeight="1" x14ac:dyDescent="0.45">
      <c r="A1151" t="str">
        <f>_xlfn.XLOOKUP(B1151,Ingot!$H$12:$H$119,Ingot!$G$12:$G$119,"")</f>
        <v>Metal</v>
      </c>
      <c r="B1151" t="s">
        <v>2164</v>
      </c>
      <c r="C1151" t="s">
        <v>157</v>
      </c>
      <c r="D1151" t="s">
        <v>2321</v>
      </c>
      <c r="E1151" t="s">
        <v>2322</v>
      </c>
      <c r="G1151" s="1">
        <v>29.5</v>
      </c>
    </row>
    <row r="1152" spans="1:7" ht="14.25" hidden="1" customHeight="1" x14ac:dyDescent="0.45">
      <c r="A1152" t="str">
        <f>_xlfn.XLOOKUP(B1152,Ingot!$H$12:$H$119,Ingot!$G$12:$G$119,"")</f>
        <v>Metal</v>
      </c>
      <c r="B1152" t="s">
        <v>2164</v>
      </c>
      <c r="C1152" t="s">
        <v>157</v>
      </c>
      <c r="D1152" t="s">
        <v>2323</v>
      </c>
      <c r="E1152" t="s">
        <v>2324</v>
      </c>
      <c r="G1152" s="1">
        <v>5.9</v>
      </c>
    </row>
    <row r="1153" spans="1:7" ht="14.25" hidden="1" customHeight="1" x14ac:dyDescent="0.45">
      <c r="A1153" t="str">
        <f>_xlfn.XLOOKUP(B1153,Ingot!$H$12:$H$119,Ingot!$G$12:$G$119,"")</f>
        <v>Metal</v>
      </c>
      <c r="B1153" t="s">
        <v>2164</v>
      </c>
      <c r="C1153" t="s">
        <v>157</v>
      </c>
      <c r="D1153" t="s">
        <v>2325</v>
      </c>
      <c r="E1153" t="s">
        <v>2326</v>
      </c>
      <c r="G1153" s="1">
        <v>5.9</v>
      </c>
    </row>
    <row r="1154" spans="1:7" ht="14.25" hidden="1" customHeight="1" x14ac:dyDescent="0.45">
      <c r="A1154" t="str">
        <f>_xlfn.XLOOKUP(B1154,Ingot!$H$12:$H$119,Ingot!$G$12:$G$119,"")</f>
        <v>Metal</v>
      </c>
      <c r="B1154" t="s">
        <v>2164</v>
      </c>
      <c r="C1154" t="s">
        <v>157</v>
      </c>
      <c r="D1154" t="s">
        <v>2327</v>
      </c>
      <c r="E1154" t="s">
        <v>2328</v>
      </c>
      <c r="G1154" s="1">
        <v>5</v>
      </c>
    </row>
    <row r="1155" spans="1:7" ht="14.25" hidden="1" customHeight="1" x14ac:dyDescent="0.45">
      <c r="A1155" t="str">
        <f>_xlfn.XLOOKUP(B1155,Ingot!$H$12:$H$119,Ingot!$G$12:$G$119,"")</f>
        <v>Metal</v>
      </c>
      <c r="B1155" t="s">
        <v>2164</v>
      </c>
      <c r="C1155" t="s">
        <v>157</v>
      </c>
      <c r="D1155" t="s">
        <v>2329</v>
      </c>
      <c r="E1155" t="s">
        <v>2330</v>
      </c>
      <c r="G1155" s="1">
        <v>10</v>
      </c>
    </row>
    <row r="1156" spans="1:7" ht="14.25" hidden="1" customHeight="1" x14ac:dyDescent="0.45">
      <c r="A1156" t="str">
        <f>_xlfn.XLOOKUP(B1156,Ingot!$H$12:$H$119,Ingot!$G$12:$G$119,"")</f>
        <v>Metal</v>
      </c>
      <c r="B1156" t="s">
        <v>2164</v>
      </c>
      <c r="C1156" t="s">
        <v>157</v>
      </c>
      <c r="D1156" t="s">
        <v>2331</v>
      </c>
      <c r="E1156" t="s">
        <v>2332</v>
      </c>
      <c r="G1156" s="1">
        <v>28.5</v>
      </c>
    </row>
    <row r="1157" spans="1:7" ht="14.25" hidden="1" customHeight="1" x14ac:dyDescent="0.45">
      <c r="A1157" t="str">
        <f>_xlfn.XLOOKUP(B1157,Ingot!$H$12:$H$119,Ingot!$G$12:$G$119,"")</f>
        <v>Metal</v>
      </c>
      <c r="B1157" t="s">
        <v>2164</v>
      </c>
      <c r="C1157" t="s">
        <v>157</v>
      </c>
      <c r="D1157" t="s">
        <v>2333</v>
      </c>
      <c r="E1157" t="s">
        <v>2334</v>
      </c>
      <c r="G1157" s="1">
        <v>5.7</v>
      </c>
    </row>
    <row r="1158" spans="1:7" ht="14.25" hidden="1" customHeight="1" x14ac:dyDescent="0.45">
      <c r="A1158" t="str">
        <f>_xlfn.XLOOKUP(B1158,Ingot!$H$12:$H$119,Ingot!$G$12:$G$119,"")</f>
        <v>Metal</v>
      </c>
      <c r="B1158" t="s">
        <v>2164</v>
      </c>
      <c r="C1158" t="s">
        <v>157</v>
      </c>
      <c r="D1158" t="s">
        <v>2335</v>
      </c>
      <c r="E1158" t="s">
        <v>2336</v>
      </c>
      <c r="G1158" s="1">
        <v>5.7</v>
      </c>
    </row>
    <row r="1159" spans="1:7" ht="14.25" hidden="1" customHeight="1" x14ac:dyDescent="0.45">
      <c r="A1159" t="str">
        <f>_xlfn.XLOOKUP(B1159,Ingot!$H$12:$H$119,Ingot!$G$12:$G$119,"")</f>
        <v>Metal</v>
      </c>
      <c r="B1159" t="s">
        <v>2164</v>
      </c>
      <c r="C1159" t="s">
        <v>157</v>
      </c>
      <c r="D1159" t="s">
        <v>2337</v>
      </c>
      <c r="E1159" t="s">
        <v>2338</v>
      </c>
      <c r="G1159" s="1">
        <v>5</v>
      </c>
    </row>
    <row r="1160" spans="1:7" ht="14.25" hidden="1" customHeight="1" x14ac:dyDescent="0.45">
      <c r="A1160" t="str">
        <f>_xlfn.XLOOKUP(B1160,Ingot!$H$12:$H$119,Ingot!$G$12:$G$119,"")</f>
        <v>Metal</v>
      </c>
      <c r="B1160" t="s">
        <v>2164</v>
      </c>
      <c r="C1160" t="s">
        <v>157</v>
      </c>
      <c r="D1160" t="s">
        <v>2339</v>
      </c>
      <c r="E1160" t="s">
        <v>2340</v>
      </c>
      <c r="G1160" s="1">
        <v>10</v>
      </c>
    </row>
    <row r="1161" spans="1:7" ht="14.25" hidden="1" customHeight="1" x14ac:dyDescent="0.45">
      <c r="A1161" t="str">
        <f>_xlfn.XLOOKUP(B1161,Ingot!$H$12:$H$119,Ingot!$G$12:$G$119,"")</f>
        <v>Metal</v>
      </c>
      <c r="B1161" t="s">
        <v>2164</v>
      </c>
      <c r="C1161" t="s">
        <v>157</v>
      </c>
      <c r="D1161" t="s">
        <v>2341</v>
      </c>
      <c r="E1161" t="s">
        <v>2342</v>
      </c>
      <c r="G1161" s="1">
        <v>31</v>
      </c>
    </row>
    <row r="1162" spans="1:7" ht="14.25" hidden="1" customHeight="1" x14ac:dyDescent="0.45">
      <c r="A1162" t="str">
        <f>_xlfn.XLOOKUP(B1162,Ingot!$H$12:$H$119,Ingot!$G$12:$G$119,"")</f>
        <v>Metal</v>
      </c>
      <c r="B1162" t="s">
        <v>2164</v>
      </c>
      <c r="C1162" t="s">
        <v>157</v>
      </c>
      <c r="D1162" t="s">
        <v>2343</v>
      </c>
      <c r="E1162" t="s">
        <v>2344</v>
      </c>
      <c r="G1162" s="1">
        <v>6.2</v>
      </c>
    </row>
    <row r="1163" spans="1:7" ht="14.25" hidden="1" customHeight="1" x14ac:dyDescent="0.45">
      <c r="A1163" t="str">
        <f>_xlfn.XLOOKUP(B1163,Ingot!$H$12:$H$119,Ingot!$G$12:$G$119,"")</f>
        <v>Metal</v>
      </c>
      <c r="B1163" t="s">
        <v>2164</v>
      </c>
      <c r="C1163" t="s">
        <v>157</v>
      </c>
      <c r="D1163" t="s">
        <v>2345</v>
      </c>
      <c r="E1163" t="s">
        <v>2346</v>
      </c>
      <c r="G1163" s="1">
        <v>6.2</v>
      </c>
    </row>
    <row r="1164" spans="1:7" ht="14.25" hidden="1" customHeight="1" x14ac:dyDescent="0.45">
      <c r="A1164" t="str">
        <f>_xlfn.XLOOKUP(B1164,Ingot!$H$12:$H$119,Ingot!$G$12:$G$119,"")</f>
        <v>Metal</v>
      </c>
      <c r="B1164" t="s">
        <v>2164</v>
      </c>
      <c r="C1164" t="s">
        <v>157</v>
      </c>
      <c r="D1164" t="s">
        <v>2347</v>
      </c>
      <c r="E1164" t="s">
        <v>2348</v>
      </c>
      <c r="G1164" s="1">
        <v>5</v>
      </c>
    </row>
    <row r="1165" spans="1:7" ht="14.25" hidden="1" customHeight="1" x14ac:dyDescent="0.45">
      <c r="A1165" t="str">
        <f>_xlfn.XLOOKUP(B1165,Ingot!$H$12:$H$119,Ingot!$G$12:$G$119,"")</f>
        <v>Metal</v>
      </c>
      <c r="B1165" t="s">
        <v>2164</v>
      </c>
      <c r="C1165" t="s">
        <v>157</v>
      </c>
      <c r="D1165" t="s">
        <v>2349</v>
      </c>
      <c r="E1165" t="s">
        <v>2350</v>
      </c>
      <c r="G1165" s="1">
        <v>10</v>
      </c>
    </row>
    <row r="1166" spans="1:7" ht="14.25" hidden="1" customHeight="1" x14ac:dyDescent="0.45">
      <c r="A1166" t="str">
        <f>_xlfn.XLOOKUP(B1166,Ingot!$H$12:$H$119,Ingot!$G$12:$G$119,"")</f>
        <v>Metal</v>
      </c>
      <c r="B1166" t="s">
        <v>2164</v>
      </c>
      <c r="C1166" t="s">
        <v>157</v>
      </c>
      <c r="D1166" t="s">
        <v>2351</v>
      </c>
      <c r="E1166" t="s">
        <v>2352</v>
      </c>
      <c r="G1166" s="1">
        <v>33</v>
      </c>
    </row>
    <row r="1167" spans="1:7" ht="14.25" hidden="1" customHeight="1" x14ac:dyDescent="0.45">
      <c r="A1167" t="str">
        <f>_xlfn.XLOOKUP(B1167,Ingot!$H$12:$H$119,Ingot!$G$12:$G$119,"")</f>
        <v>Metal</v>
      </c>
      <c r="B1167" t="s">
        <v>2164</v>
      </c>
      <c r="C1167" t="s">
        <v>157</v>
      </c>
      <c r="D1167" t="s">
        <v>2353</v>
      </c>
      <c r="E1167" t="s">
        <v>2354</v>
      </c>
      <c r="G1167" s="1">
        <v>6.6</v>
      </c>
    </row>
    <row r="1168" spans="1:7" ht="14.25" hidden="1" customHeight="1" x14ac:dyDescent="0.45">
      <c r="A1168" t="str">
        <f>_xlfn.XLOOKUP(B1168,Ingot!$H$12:$H$119,Ingot!$G$12:$G$119,"")</f>
        <v>Metal</v>
      </c>
      <c r="B1168" t="s">
        <v>2164</v>
      </c>
      <c r="C1168" t="s">
        <v>157</v>
      </c>
      <c r="D1168" t="s">
        <v>2355</v>
      </c>
      <c r="E1168" t="s">
        <v>2356</v>
      </c>
      <c r="G1168" s="1">
        <v>6.6</v>
      </c>
    </row>
    <row r="1169" spans="1:7" ht="14.25" hidden="1" customHeight="1" x14ac:dyDescent="0.45">
      <c r="A1169" t="str">
        <f>_xlfn.XLOOKUP(B1169,Ingot!$H$12:$H$119,Ingot!$G$12:$G$119,"")</f>
        <v>Metal</v>
      </c>
      <c r="B1169" t="s">
        <v>2164</v>
      </c>
      <c r="C1169" t="s">
        <v>157</v>
      </c>
      <c r="D1169" t="s">
        <v>2357</v>
      </c>
      <c r="E1169" t="s">
        <v>2358</v>
      </c>
      <c r="G1169" s="1">
        <v>5</v>
      </c>
    </row>
    <row r="1170" spans="1:7" ht="14.25" hidden="1" customHeight="1" x14ac:dyDescent="0.45">
      <c r="A1170" t="str">
        <f>_xlfn.XLOOKUP(B1170,Ingot!$H$12:$H$119,Ingot!$G$12:$G$119,"")</f>
        <v>Metal</v>
      </c>
      <c r="B1170" t="s">
        <v>2164</v>
      </c>
      <c r="C1170" t="s">
        <v>157</v>
      </c>
      <c r="D1170" t="s">
        <v>2359</v>
      </c>
      <c r="E1170" t="s">
        <v>2360</v>
      </c>
      <c r="G1170" s="1">
        <v>10</v>
      </c>
    </row>
    <row r="1171" spans="1:7" ht="14.25" hidden="1" customHeight="1" x14ac:dyDescent="0.45">
      <c r="A1171" t="str">
        <f>_xlfn.XLOOKUP(B1171,Ingot!$H$12:$H$119,Ingot!$G$12:$G$119,"")</f>
        <v>Metal</v>
      </c>
      <c r="B1171" t="s">
        <v>2164</v>
      </c>
      <c r="C1171" t="s">
        <v>157</v>
      </c>
      <c r="D1171" t="s">
        <v>2361</v>
      </c>
      <c r="E1171" t="s">
        <v>2362</v>
      </c>
      <c r="G1171" s="1">
        <v>38</v>
      </c>
    </row>
    <row r="1172" spans="1:7" ht="14.25" hidden="1" customHeight="1" x14ac:dyDescent="0.45">
      <c r="A1172" t="str">
        <f>_xlfn.XLOOKUP(B1172,Ingot!$H$12:$H$119,Ingot!$G$12:$G$119,"")</f>
        <v>Metal</v>
      </c>
      <c r="B1172" t="s">
        <v>2164</v>
      </c>
      <c r="C1172" t="s">
        <v>157</v>
      </c>
      <c r="D1172" t="s">
        <v>2363</v>
      </c>
      <c r="E1172" t="s">
        <v>2364</v>
      </c>
      <c r="G1172" s="1">
        <v>7.6</v>
      </c>
    </row>
    <row r="1173" spans="1:7" ht="14.25" hidden="1" customHeight="1" x14ac:dyDescent="0.45">
      <c r="A1173" t="str">
        <f>_xlfn.XLOOKUP(B1173,Ingot!$H$12:$H$119,Ingot!$G$12:$G$119,"")</f>
        <v>Metal</v>
      </c>
      <c r="B1173" t="s">
        <v>2164</v>
      </c>
      <c r="C1173" t="s">
        <v>157</v>
      </c>
      <c r="D1173" t="s">
        <v>2365</v>
      </c>
      <c r="E1173" t="s">
        <v>2366</v>
      </c>
      <c r="G1173" s="1">
        <v>7.6</v>
      </c>
    </row>
    <row r="1174" spans="1:7" ht="14.25" hidden="1" customHeight="1" x14ac:dyDescent="0.45">
      <c r="A1174" t="str">
        <f>_xlfn.XLOOKUP(B1174,Ingot!$H$12:$H$119,Ingot!$G$12:$G$119,"")</f>
        <v>Metal</v>
      </c>
      <c r="B1174" t="s">
        <v>2164</v>
      </c>
      <c r="C1174" t="s">
        <v>157</v>
      </c>
      <c r="D1174" t="s">
        <v>2367</v>
      </c>
      <c r="E1174" t="s">
        <v>2368</v>
      </c>
      <c r="G1174" s="1">
        <v>5</v>
      </c>
    </row>
    <row r="1175" spans="1:7" ht="14.25" hidden="1" customHeight="1" x14ac:dyDescent="0.45">
      <c r="A1175" t="str">
        <f>_xlfn.XLOOKUP(B1175,Ingot!$H$12:$H$119,Ingot!$G$12:$G$119,"")</f>
        <v>Metal</v>
      </c>
      <c r="B1175" t="s">
        <v>2164</v>
      </c>
      <c r="C1175" t="s">
        <v>157</v>
      </c>
      <c r="D1175" t="s">
        <v>2369</v>
      </c>
      <c r="E1175" t="s">
        <v>2370</v>
      </c>
      <c r="G1175" s="1">
        <v>10</v>
      </c>
    </row>
    <row r="1176" spans="1:7" ht="14.25" hidden="1" customHeight="1" x14ac:dyDescent="0.45">
      <c r="A1176" t="str">
        <f>_xlfn.XLOOKUP(B1176,Ingot!$H$12:$H$119,Ingot!$G$12:$G$119,"")</f>
        <v>Metal</v>
      </c>
      <c r="B1176" t="s">
        <v>2164</v>
      </c>
      <c r="C1176" t="s">
        <v>157</v>
      </c>
      <c r="D1176" t="s">
        <v>2371</v>
      </c>
      <c r="E1176" t="s">
        <v>2372</v>
      </c>
      <c r="G1176" s="1">
        <v>37.5</v>
      </c>
    </row>
    <row r="1177" spans="1:7" ht="14.25" hidden="1" customHeight="1" x14ac:dyDescent="0.45">
      <c r="A1177" t="str">
        <f>_xlfn.XLOOKUP(B1177,Ingot!$H$12:$H$119,Ingot!$G$12:$G$119,"")</f>
        <v>Metal</v>
      </c>
      <c r="B1177" t="s">
        <v>2164</v>
      </c>
      <c r="C1177" t="s">
        <v>157</v>
      </c>
      <c r="D1177" t="s">
        <v>2373</v>
      </c>
      <c r="E1177" t="s">
        <v>2374</v>
      </c>
      <c r="G1177" s="1">
        <v>7.5</v>
      </c>
    </row>
    <row r="1178" spans="1:7" ht="14.25" hidden="1" customHeight="1" x14ac:dyDescent="0.45">
      <c r="A1178" t="str">
        <f>_xlfn.XLOOKUP(B1178,Ingot!$H$12:$H$119,Ingot!$G$12:$G$119,"")</f>
        <v>Metal</v>
      </c>
      <c r="B1178" t="s">
        <v>2164</v>
      </c>
      <c r="C1178" t="s">
        <v>157</v>
      </c>
      <c r="D1178" t="s">
        <v>2375</v>
      </c>
      <c r="E1178" t="s">
        <v>2376</v>
      </c>
      <c r="G1178" s="1">
        <v>7.5</v>
      </c>
    </row>
    <row r="1179" spans="1:7" ht="14.25" hidden="1" customHeight="1" x14ac:dyDescent="0.45">
      <c r="A1179" t="str">
        <f>_xlfn.XLOOKUP(B1179,Ingot!$H$12:$H$119,Ingot!$G$12:$G$119,"")</f>
        <v>Metal</v>
      </c>
      <c r="B1179" t="s">
        <v>2164</v>
      </c>
      <c r="C1179" t="s">
        <v>157</v>
      </c>
      <c r="D1179" t="s">
        <v>2377</v>
      </c>
      <c r="E1179" t="s">
        <v>2378</v>
      </c>
      <c r="G1179" s="1">
        <v>5</v>
      </c>
    </row>
    <row r="1180" spans="1:7" ht="14.25" hidden="1" customHeight="1" x14ac:dyDescent="0.45">
      <c r="A1180" t="str">
        <f>_xlfn.XLOOKUP(B1180,Ingot!$H$12:$H$119,Ingot!$G$12:$G$119,"")</f>
        <v>Metal</v>
      </c>
      <c r="B1180" t="s">
        <v>2164</v>
      </c>
      <c r="C1180" t="s">
        <v>157</v>
      </c>
      <c r="D1180" t="s">
        <v>2379</v>
      </c>
      <c r="E1180" t="s">
        <v>2380</v>
      </c>
      <c r="G1180" s="1">
        <v>10</v>
      </c>
    </row>
    <row r="1181" spans="1:7" ht="14.25" hidden="1" customHeight="1" x14ac:dyDescent="0.45">
      <c r="A1181" t="str">
        <f>_xlfn.XLOOKUP(B1181,Ingot!$H$12:$H$119,Ingot!$G$12:$G$119,"")</f>
        <v>Metal</v>
      </c>
      <c r="B1181" t="s">
        <v>2164</v>
      </c>
      <c r="C1181" t="s">
        <v>157</v>
      </c>
      <c r="D1181" t="s">
        <v>2381</v>
      </c>
      <c r="E1181" t="s">
        <v>2382</v>
      </c>
      <c r="G1181" s="1">
        <v>27</v>
      </c>
    </row>
    <row r="1182" spans="1:7" ht="14.25" hidden="1" customHeight="1" x14ac:dyDescent="0.45">
      <c r="A1182" t="str">
        <f>_xlfn.XLOOKUP(B1182,Ingot!$H$12:$H$119,Ingot!$G$12:$G$119,"")</f>
        <v>Metal</v>
      </c>
      <c r="B1182" t="s">
        <v>2164</v>
      </c>
      <c r="C1182" t="s">
        <v>157</v>
      </c>
      <c r="D1182" t="s">
        <v>2383</v>
      </c>
      <c r="E1182" t="s">
        <v>2384</v>
      </c>
      <c r="G1182" s="1">
        <v>5.4</v>
      </c>
    </row>
    <row r="1183" spans="1:7" ht="14.25" hidden="1" customHeight="1" x14ac:dyDescent="0.45">
      <c r="A1183" t="str">
        <f>_xlfn.XLOOKUP(B1183,Ingot!$H$12:$H$119,Ingot!$G$12:$G$119,"")</f>
        <v>Metal</v>
      </c>
      <c r="B1183" t="s">
        <v>2164</v>
      </c>
      <c r="C1183" t="s">
        <v>157</v>
      </c>
      <c r="D1183" t="s">
        <v>2385</v>
      </c>
      <c r="E1183" t="s">
        <v>2386</v>
      </c>
      <c r="G1183" s="1">
        <v>5.4</v>
      </c>
    </row>
    <row r="1184" spans="1:7" ht="14.25" hidden="1" customHeight="1" x14ac:dyDescent="0.45">
      <c r="A1184" t="str">
        <f>_xlfn.XLOOKUP(B1184,Ingot!$H$12:$H$119,Ingot!$G$12:$G$119,"")</f>
        <v>Metal</v>
      </c>
      <c r="B1184" t="s">
        <v>2164</v>
      </c>
      <c r="C1184" t="s">
        <v>157</v>
      </c>
      <c r="D1184" t="s">
        <v>2387</v>
      </c>
      <c r="E1184" t="s">
        <v>2388</v>
      </c>
      <c r="G1184" s="1">
        <v>5</v>
      </c>
    </row>
    <row r="1185" spans="1:7" ht="14.25" hidden="1" customHeight="1" x14ac:dyDescent="0.45">
      <c r="A1185" t="str">
        <f>_xlfn.XLOOKUP(B1185,Ingot!$H$12:$H$119,Ingot!$G$12:$G$119,"")</f>
        <v>Metal</v>
      </c>
      <c r="B1185" t="s">
        <v>2164</v>
      </c>
      <c r="C1185" t="s">
        <v>157</v>
      </c>
      <c r="D1185" t="s">
        <v>2389</v>
      </c>
      <c r="E1185" t="s">
        <v>2390</v>
      </c>
      <c r="G1185" s="1">
        <v>10</v>
      </c>
    </row>
    <row r="1186" spans="1:7" ht="14.25" hidden="1" customHeight="1" x14ac:dyDescent="0.45">
      <c r="A1186" t="str">
        <f>_xlfn.XLOOKUP(B1186,Ingot!$H$12:$H$119,Ingot!$G$12:$G$119,"")</f>
        <v>Metal</v>
      </c>
      <c r="B1186" t="s">
        <v>2164</v>
      </c>
      <c r="C1186" t="s">
        <v>239</v>
      </c>
      <c r="D1186" t="s">
        <v>2391</v>
      </c>
      <c r="E1186" t="s">
        <v>2392</v>
      </c>
    </row>
    <row r="1187" spans="1:7" ht="14.25" hidden="1" customHeight="1" x14ac:dyDescent="0.45">
      <c r="A1187" t="str">
        <f>_xlfn.XLOOKUP(B1187,Ingot!$H$12:$H$119,Ingot!$G$12:$G$119,"")</f>
        <v>Metal</v>
      </c>
      <c r="B1187" t="s">
        <v>2164</v>
      </c>
      <c r="C1187" t="s">
        <v>239</v>
      </c>
      <c r="D1187" t="s">
        <v>2393</v>
      </c>
      <c r="E1187" t="s">
        <v>2394</v>
      </c>
    </row>
    <row r="1188" spans="1:7" ht="14.25" hidden="1" customHeight="1" x14ac:dyDescent="0.45">
      <c r="A1188" t="str">
        <f>_xlfn.XLOOKUP(B1188,Ingot!$H$12:$H$119,Ingot!$G$12:$G$119,"")</f>
        <v>Metal</v>
      </c>
      <c r="B1188" t="s">
        <v>2164</v>
      </c>
      <c r="C1188" t="s">
        <v>239</v>
      </c>
      <c r="D1188" t="s">
        <v>2395</v>
      </c>
      <c r="E1188" t="s">
        <v>2396</v>
      </c>
    </row>
    <row r="1189" spans="1:7" ht="14.25" hidden="1" customHeight="1" x14ac:dyDescent="0.45">
      <c r="A1189" t="str">
        <f>_xlfn.XLOOKUP(B1189,Ingot!$H$12:$H$119,Ingot!$G$12:$G$119,"")</f>
        <v>Metal</v>
      </c>
      <c r="B1189" t="s">
        <v>2164</v>
      </c>
      <c r="C1189" t="s">
        <v>239</v>
      </c>
      <c r="D1189" t="s">
        <v>2397</v>
      </c>
      <c r="E1189" t="s">
        <v>2398</v>
      </c>
    </row>
    <row r="1190" spans="1:7" ht="14.25" hidden="1" customHeight="1" x14ac:dyDescent="0.45">
      <c r="A1190" t="str">
        <f>_xlfn.XLOOKUP(B1190,Ingot!$H$12:$H$119,Ingot!$G$12:$G$119,"")</f>
        <v>Metal</v>
      </c>
      <c r="B1190" t="s">
        <v>2164</v>
      </c>
      <c r="C1190" t="s">
        <v>239</v>
      </c>
      <c r="D1190" t="s">
        <v>2399</v>
      </c>
      <c r="E1190" t="s">
        <v>2400</v>
      </c>
    </row>
    <row r="1191" spans="1:7" ht="14.25" hidden="1" customHeight="1" x14ac:dyDescent="0.45">
      <c r="A1191" t="str">
        <f>_xlfn.XLOOKUP(B1191,Ingot!$H$12:$H$119,Ingot!$G$12:$G$119,"")</f>
        <v>Metal</v>
      </c>
      <c r="B1191" t="s">
        <v>2164</v>
      </c>
      <c r="C1191" t="s">
        <v>239</v>
      </c>
      <c r="D1191" t="s">
        <v>2401</v>
      </c>
      <c r="E1191" t="s">
        <v>2402</v>
      </c>
    </row>
    <row r="1192" spans="1:7" ht="14.25" hidden="1" customHeight="1" x14ac:dyDescent="0.45">
      <c r="A1192" t="str">
        <f>_xlfn.XLOOKUP(B1192,Ingot!$H$12:$H$119,Ingot!$G$12:$G$119,"")</f>
        <v>Stone</v>
      </c>
      <c r="B1192" t="s">
        <v>2404</v>
      </c>
      <c r="C1192" t="s">
        <v>10</v>
      </c>
      <c r="D1192" t="s">
        <v>2405</v>
      </c>
      <c r="E1192" t="s">
        <v>2406</v>
      </c>
      <c r="G1192" s="1">
        <v>0.08</v>
      </c>
    </row>
    <row r="1193" spans="1:7" ht="14.25" hidden="1" customHeight="1" x14ac:dyDescent="0.45">
      <c r="A1193" t="str">
        <f>_xlfn.XLOOKUP(B1193,Ingot!$H$12:$H$119,Ingot!$G$12:$G$119,"")</f>
        <v>Stone</v>
      </c>
      <c r="B1193" t="s">
        <v>2404</v>
      </c>
      <c r="C1193" t="s">
        <v>10</v>
      </c>
      <c r="D1193" t="s">
        <v>2407</v>
      </c>
      <c r="E1193" t="s">
        <v>2408</v>
      </c>
      <c r="G1193" s="1">
        <v>9.9</v>
      </c>
    </row>
    <row r="1194" spans="1:7" ht="14.25" hidden="1" customHeight="1" x14ac:dyDescent="0.45">
      <c r="A1194" t="str">
        <f>_xlfn.XLOOKUP(B1194,Ingot!$H$12:$H$119,Ingot!$G$12:$G$119,"")</f>
        <v>Stone</v>
      </c>
      <c r="B1194" t="s">
        <v>2404</v>
      </c>
      <c r="C1194" t="s">
        <v>10</v>
      </c>
      <c r="D1194" t="s">
        <v>2409</v>
      </c>
      <c r="E1194" t="s">
        <v>2410</v>
      </c>
      <c r="G1194" s="1">
        <v>5.66</v>
      </c>
    </row>
    <row r="1195" spans="1:7" ht="14.25" hidden="1" customHeight="1" x14ac:dyDescent="0.45">
      <c r="A1195" t="str">
        <f>_xlfn.XLOOKUP(B1195,Ingot!$H$12:$H$119,Ingot!$G$12:$G$119,"")</f>
        <v>Stone</v>
      </c>
      <c r="B1195" t="s">
        <v>2404</v>
      </c>
      <c r="C1195" t="s">
        <v>10</v>
      </c>
      <c r="D1195" t="s">
        <v>2411</v>
      </c>
      <c r="E1195" t="s">
        <v>2412</v>
      </c>
      <c r="G1195" s="1">
        <v>3.3</v>
      </c>
    </row>
    <row r="1196" spans="1:7" ht="14.25" hidden="1" customHeight="1" x14ac:dyDescent="0.45">
      <c r="A1196" t="str">
        <f>_xlfn.XLOOKUP(B1196,Ingot!$H$12:$H$119,Ingot!$G$12:$G$119,"")</f>
        <v>Stone</v>
      </c>
      <c r="B1196" t="s">
        <v>2404</v>
      </c>
      <c r="C1196" t="s">
        <v>10</v>
      </c>
      <c r="D1196" t="s">
        <v>2413</v>
      </c>
      <c r="E1196" t="s">
        <v>2414</v>
      </c>
      <c r="G1196" s="1">
        <v>0.66</v>
      </c>
    </row>
    <row r="1197" spans="1:7" ht="14.25" hidden="1" customHeight="1" x14ac:dyDescent="0.45">
      <c r="A1197" t="str">
        <f>_xlfn.XLOOKUP(B1197,Ingot!$H$12:$H$119,Ingot!$G$12:$G$119,"")</f>
        <v>Stone</v>
      </c>
      <c r="B1197" t="s">
        <v>2404</v>
      </c>
      <c r="C1197" t="s">
        <v>10</v>
      </c>
      <c r="D1197" t="s">
        <v>2415</v>
      </c>
      <c r="E1197" t="s">
        <v>2416</v>
      </c>
      <c r="G1197" s="1">
        <v>0.04</v>
      </c>
    </row>
    <row r="1198" spans="1:7" ht="14.25" hidden="1" customHeight="1" x14ac:dyDescent="0.45">
      <c r="A1198" t="str">
        <f>_xlfn.XLOOKUP(B1198,Ingot!$H$12:$H$119,Ingot!$G$12:$G$119,"")</f>
        <v>Stone</v>
      </c>
      <c r="B1198" t="s">
        <v>2404</v>
      </c>
      <c r="C1198" t="s">
        <v>10</v>
      </c>
      <c r="D1198" t="s">
        <v>2417</v>
      </c>
      <c r="E1198" t="s">
        <v>2418</v>
      </c>
      <c r="G1198" s="1">
        <v>0.33</v>
      </c>
    </row>
    <row r="1199" spans="1:7" ht="14.25" hidden="1" customHeight="1" x14ac:dyDescent="0.45">
      <c r="A1199" t="str">
        <f>_xlfn.XLOOKUP(B1199,Ingot!$H$12:$H$119,Ingot!$G$12:$G$119,"")</f>
        <v>Stone</v>
      </c>
      <c r="B1199" t="s">
        <v>2404</v>
      </c>
      <c r="C1199" t="s">
        <v>10</v>
      </c>
      <c r="D1199" t="s">
        <v>2419</v>
      </c>
      <c r="E1199" t="s">
        <v>2420</v>
      </c>
    </row>
    <row r="1200" spans="1:7" ht="14.25" hidden="1" customHeight="1" x14ac:dyDescent="0.45">
      <c r="A1200" t="str">
        <f>_xlfn.XLOOKUP(B1200,Ingot!$H$12:$H$119,Ingot!$G$12:$G$119,"")</f>
        <v>Stone</v>
      </c>
      <c r="B1200" t="s">
        <v>2404</v>
      </c>
      <c r="C1200" t="s">
        <v>10</v>
      </c>
      <c r="D1200" t="s">
        <v>2421</v>
      </c>
      <c r="E1200" t="s">
        <v>2422</v>
      </c>
      <c r="G1200" s="1">
        <v>0.05</v>
      </c>
    </row>
    <row r="1201" spans="1:7" ht="14.25" hidden="1" customHeight="1" x14ac:dyDescent="0.45">
      <c r="A1201" t="str">
        <f>_xlfn.XLOOKUP(B1201,Ingot!$H$12:$H$119,Ingot!$G$12:$G$119,"")</f>
        <v>Stone</v>
      </c>
      <c r="B1201" t="s">
        <v>2404</v>
      </c>
      <c r="C1201" t="s">
        <v>10</v>
      </c>
      <c r="D1201" t="s">
        <v>2423</v>
      </c>
      <c r="E1201" t="s">
        <v>2424</v>
      </c>
      <c r="G1201" s="1">
        <v>0.66</v>
      </c>
    </row>
    <row r="1202" spans="1:7" ht="14.25" hidden="1" customHeight="1" x14ac:dyDescent="0.45">
      <c r="A1202" t="str">
        <f>_xlfn.XLOOKUP(B1202,Ingot!$H$12:$H$119,Ingot!$G$12:$G$119,"")</f>
        <v>Stone</v>
      </c>
      <c r="B1202" t="s">
        <v>2404</v>
      </c>
      <c r="C1202" t="s">
        <v>10</v>
      </c>
      <c r="D1202" t="s">
        <v>2425</v>
      </c>
      <c r="E1202" t="s">
        <v>2426</v>
      </c>
      <c r="G1202" s="1">
        <v>3.96</v>
      </c>
    </row>
    <row r="1203" spans="1:7" ht="14.25" hidden="1" customHeight="1" x14ac:dyDescent="0.45">
      <c r="A1203" t="str">
        <f>_xlfn.XLOOKUP(B1203,Ingot!$H$12:$H$119,Ingot!$G$12:$G$119,"")</f>
        <v>Stone</v>
      </c>
      <c r="B1203" t="s">
        <v>2404</v>
      </c>
      <c r="C1203" t="s">
        <v>10</v>
      </c>
      <c r="D1203" t="s">
        <v>2427</v>
      </c>
      <c r="E1203" t="s">
        <v>2428</v>
      </c>
      <c r="G1203" s="1">
        <v>8.77</v>
      </c>
    </row>
    <row r="1204" spans="1:7" ht="14.25" hidden="1" customHeight="1" x14ac:dyDescent="0.45">
      <c r="A1204" t="str">
        <f>_xlfn.XLOOKUP(B1204,Ingot!$H$12:$H$119,Ingot!$G$12:$G$119,"")</f>
        <v>Stone</v>
      </c>
      <c r="B1204" t="s">
        <v>2404</v>
      </c>
      <c r="C1204" t="s">
        <v>10</v>
      </c>
      <c r="D1204" t="s">
        <v>2429</v>
      </c>
      <c r="E1204" t="s">
        <v>2430</v>
      </c>
      <c r="G1204" s="1">
        <v>3.5</v>
      </c>
    </row>
    <row r="1205" spans="1:7" ht="14.25" hidden="1" customHeight="1" x14ac:dyDescent="0.45">
      <c r="A1205" t="str">
        <f>_xlfn.XLOOKUP(B1205,Ingot!$H$12:$H$119,Ingot!$G$12:$G$119,"")</f>
        <v>Stone</v>
      </c>
      <c r="B1205" t="s">
        <v>2404</v>
      </c>
      <c r="C1205" t="s">
        <v>10</v>
      </c>
      <c r="D1205" t="s">
        <v>2431</v>
      </c>
      <c r="E1205" t="s">
        <v>2432</v>
      </c>
    </row>
    <row r="1206" spans="1:7" ht="14.25" hidden="1" customHeight="1" x14ac:dyDescent="0.45">
      <c r="A1206" t="str">
        <f>_xlfn.XLOOKUP(B1206,Ingot!$H$12:$H$119,Ingot!$G$12:$G$119,"")</f>
        <v>Stone</v>
      </c>
      <c r="B1206" t="s">
        <v>2404</v>
      </c>
      <c r="C1206" t="s">
        <v>10</v>
      </c>
      <c r="D1206" t="s">
        <v>2433</v>
      </c>
      <c r="E1206" t="s">
        <v>2434</v>
      </c>
      <c r="G1206" s="1">
        <v>2.2000000000000002</v>
      </c>
    </row>
    <row r="1207" spans="1:7" ht="14.25" hidden="1" customHeight="1" x14ac:dyDescent="0.45">
      <c r="A1207" t="str">
        <f>_xlfn.XLOOKUP(B1207,Ingot!$H$12:$H$119,Ingot!$G$12:$G$119,"")</f>
        <v>Stone</v>
      </c>
      <c r="B1207" t="s">
        <v>2404</v>
      </c>
      <c r="C1207" t="s">
        <v>10</v>
      </c>
      <c r="D1207" t="s">
        <v>2435</v>
      </c>
      <c r="E1207" t="s">
        <v>2436</v>
      </c>
      <c r="G1207" s="1">
        <v>1.1000000000000001</v>
      </c>
    </row>
    <row r="1208" spans="1:7" ht="14.25" hidden="1" customHeight="1" x14ac:dyDescent="0.45">
      <c r="A1208" t="str">
        <f>_xlfn.XLOOKUP(B1208,Ingot!$H$12:$H$119,Ingot!$G$12:$G$119,"")</f>
        <v>Stone</v>
      </c>
      <c r="B1208" t="s">
        <v>2404</v>
      </c>
      <c r="C1208" t="s">
        <v>10</v>
      </c>
      <c r="D1208" t="s">
        <v>2437</v>
      </c>
      <c r="E1208" t="s">
        <v>2438</v>
      </c>
      <c r="G1208" s="1">
        <v>0.22</v>
      </c>
    </row>
    <row r="1209" spans="1:7" ht="14.25" hidden="1" customHeight="1" x14ac:dyDescent="0.45">
      <c r="A1209" t="str">
        <f>_xlfn.XLOOKUP(B1209,Ingot!$H$12:$H$119,Ingot!$G$12:$G$119,"")</f>
        <v>Stone</v>
      </c>
      <c r="B1209" t="s">
        <v>2404</v>
      </c>
      <c r="C1209" t="s">
        <v>10</v>
      </c>
      <c r="D1209" t="s">
        <v>2439</v>
      </c>
      <c r="E1209" t="s">
        <v>2440</v>
      </c>
      <c r="G1209" s="1">
        <v>8.41</v>
      </c>
    </row>
    <row r="1210" spans="1:7" ht="14.25" hidden="1" customHeight="1" x14ac:dyDescent="0.45">
      <c r="A1210" t="str">
        <f>_xlfn.XLOOKUP(B1210,Ingot!$H$12:$H$119,Ingot!$G$12:$G$119,"")</f>
        <v>Stone</v>
      </c>
      <c r="B1210" t="s">
        <v>2404</v>
      </c>
      <c r="C1210" t="s">
        <v>10</v>
      </c>
      <c r="D1210" t="s">
        <v>2441</v>
      </c>
      <c r="E1210" t="s">
        <v>2442</v>
      </c>
      <c r="G1210" s="1">
        <v>3.64</v>
      </c>
    </row>
    <row r="1211" spans="1:7" ht="14.25" hidden="1" customHeight="1" x14ac:dyDescent="0.45">
      <c r="A1211" t="str">
        <f>_xlfn.XLOOKUP(B1211,Ingot!$H$12:$H$119,Ingot!$G$12:$G$119,"")</f>
        <v>Stone</v>
      </c>
      <c r="B1211" t="s">
        <v>2404</v>
      </c>
      <c r="C1211" t="s">
        <v>10</v>
      </c>
      <c r="D1211" t="s">
        <v>2443</v>
      </c>
      <c r="E1211" t="s">
        <v>2444</v>
      </c>
      <c r="G1211" s="1">
        <v>7.05</v>
      </c>
    </row>
    <row r="1212" spans="1:7" ht="14.25" hidden="1" customHeight="1" x14ac:dyDescent="0.45">
      <c r="A1212" t="str">
        <f>_xlfn.XLOOKUP(B1212,Ingot!$H$12:$H$119,Ingot!$G$12:$G$119,"")</f>
        <v>Stone</v>
      </c>
      <c r="B1212" t="s">
        <v>2404</v>
      </c>
      <c r="C1212" t="s">
        <v>10</v>
      </c>
      <c r="D1212" t="s">
        <v>2445</v>
      </c>
      <c r="E1212" t="s">
        <v>2446</v>
      </c>
      <c r="G1212" s="1">
        <v>2.65</v>
      </c>
    </row>
    <row r="1213" spans="1:7" ht="14.25" hidden="1" customHeight="1" x14ac:dyDescent="0.45">
      <c r="A1213" t="str">
        <f>_xlfn.XLOOKUP(B1213,Ingot!$H$12:$H$119,Ingot!$G$12:$G$119,"")</f>
        <v>Stone</v>
      </c>
      <c r="B1213" t="s">
        <v>2404</v>
      </c>
      <c r="C1213" t="s">
        <v>10</v>
      </c>
      <c r="D1213" t="s">
        <v>2447</v>
      </c>
      <c r="E1213" t="s">
        <v>2448</v>
      </c>
      <c r="G1213" s="1">
        <v>9</v>
      </c>
    </row>
    <row r="1214" spans="1:7" ht="14.25" hidden="1" customHeight="1" x14ac:dyDescent="0.45">
      <c r="A1214" t="str">
        <f>_xlfn.XLOOKUP(B1214,Ingot!$H$12:$H$119,Ingot!$G$12:$G$119,"")</f>
        <v>Stone</v>
      </c>
      <c r="B1214" t="s">
        <v>2404</v>
      </c>
      <c r="C1214" t="s">
        <v>10</v>
      </c>
      <c r="D1214" t="s">
        <v>2449</v>
      </c>
      <c r="E1214" t="s">
        <v>2450</v>
      </c>
      <c r="G1214" s="1">
        <v>10.23</v>
      </c>
    </row>
    <row r="1215" spans="1:7" ht="14.25" hidden="1" customHeight="1" x14ac:dyDescent="0.45">
      <c r="A1215" t="str">
        <f>_xlfn.XLOOKUP(B1215,Ingot!$H$12:$H$119,Ingot!$G$12:$G$119,"")</f>
        <v>Stone</v>
      </c>
      <c r="B1215" t="s">
        <v>2404</v>
      </c>
      <c r="C1215" t="s">
        <v>10</v>
      </c>
      <c r="D1215" t="s">
        <v>2451</v>
      </c>
      <c r="E1215" t="s">
        <v>2452</v>
      </c>
      <c r="G1215" s="1">
        <v>7.7</v>
      </c>
    </row>
    <row r="1216" spans="1:7" ht="14.25" hidden="1" customHeight="1" x14ac:dyDescent="0.45">
      <c r="A1216" t="str">
        <f>_xlfn.XLOOKUP(B1216,Ingot!$H$12:$H$119,Ingot!$G$12:$G$119,"")</f>
        <v>Stone</v>
      </c>
      <c r="B1216" t="s">
        <v>2404</v>
      </c>
      <c r="C1216" t="s">
        <v>10</v>
      </c>
      <c r="D1216" t="s">
        <v>2453</v>
      </c>
      <c r="E1216" t="s">
        <v>2454</v>
      </c>
      <c r="G1216" s="1">
        <v>10.02</v>
      </c>
    </row>
    <row r="1217" spans="1:7" ht="14.25" hidden="1" customHeight="1" x14ac:dyDescent="0.45">
      <c r="A1217" t="str">
        <f>_xlfn.XLOOKUP(B1217,Ingot!$H$12:$H$119,Ingot!$G$12:$G$119,"")</f>
        <v>Stone</v>
      </c>
      <c r="B1217" t="s">
        <v>2404</v>
      </c>
      <c r="C1217" t="s">
        <v>10</v>
      </c>
      <c r="D1217" t="s">
        <v>2455</v>
      </c>
      <c r="E1217" t="s">
        <v>2456</v>
      </c>
      <c r="G1217" s="1">
        <v>11.81</v>
      </c>
    </row>
    <row r="1218" spans="1:7" ht="14.25" hidden="1" customHeight="1" x14ac:dyDescent="0.45">
      <c r="A1218" t="str">
        <f>_xlfn.XLOOKUP(B1218,Ingot!$H$12:$H$119,Ingot!$G$12:$G$119,"")</f>
        <v>Stone</v>
      </c>
      <c r="B1218" t="s">
        <v>2404</v>
      </c>
      <c r="C1218" t="s">
        <v>10</v>
      </c>
      <c r="D1218" t="s">
        <v>2457</v>
      </c>
      <c r="E1218" t="s">
        <v>2458</v>
      </c>
      <c r="G1218" s="1">
        <v>8.44</v>
      </c>
    </row>
    <row r="1219" spans="1:7" ht="14.25" hidden="1" customHeight="1" x14ac:dyDescent="0.45">
      <c r="A1219" t="str">
        <f>_xlfn.XLOOKUP(B1219,Ingot!$H$12:$H$119,Ingot!$G$12:$G$119,"")</f>
        <v>Stone</v>
      </c>
      <c r="B1219" t="s">
        <v>2404</v>
      </c>
      <c r="C1219" t="s">
        <v>10</v>
      </c>
      <c r="D1219" t="s">
        <v>2459</v>
      </c>
      <c r="E1219" t="s">
        <v>2460</v>
      </c>
      <c r="G1219" s="1">
        <v>10.42</v>
      </c>
    </row>
    <row r="1220" spans="1:7" ht="14.25" hidden="1" customHeight="1" x14ac:dyDescent="0.45">
      <c r="A1220" t="str">
        <f>_xlfn.XLOOKUP(B1220,Ingot!$H$12:$H$119,Ingot!$G$12:$G$119,"")</f>
        <v>Stone</v>
      </c>
      <c r="B1220" t="s">
        <v>2404</v>
      </c>
      <c r="C1220" t="s">
        <v>10</v>
      </c>
      <c r="D1220" t="s">
        <v>2461</v>
      </c>
      <c r="E1220" t="s">
        <v>2462</v>
      </c>
    </row>
    <row r="1221" spans="1:7" ht="14.25" hidden="1" customHeight="1" x14ac:dyDescent="0.45">
      <c r="A1221" t="str">
        <f>_xlfn.XLOOKUP(B1221,Ingot!$H$12:$H$119,Ingot!$G$12:$G$119,"")</f>
        <v>Stone</v>
      </c>
      <c r="B1221" t="s">
        <v>2404</v>
      </c>
      <c r="C1221" t="s">
        <v>10</v>
      </c>
      <c r="D1221" t="s">
        <v>2463</v>
      </c>
      <c r="E1221" t="s">
        <v>2464</v>
      </c>
      <c r="G1221" s="1">
        <v>7.96</v>
      </c>
    </row>
    <row r="1222" spans="1:7" ht="14.25" hidden="1" customHeight="1" x14ac:dyDescent="0.45">
      <c r="A1222" t="str">
        <f>_xlfn.XLOOKUP(B1222,Ingot!$H$12:$H$119,Ingot!$G$12:$G$119,"")</f>
        <v>Stone</v>
      </c>
      <c r="B1222" t="s">
        <v>2404</v>
      </c>
      <c r="C1222" t="s">
        <v>10</v>
      </c>
      <c r="D1222" t="s">
        <v>2465</v>
      </c>
      <c r="E1222" t="s">
        <v>2466</v>
      </c>
      <c r="G1222" s="1">
        <v>9.64</v>
      </c>
    </row>
    <row r="1223" spans="1:7" ht="14.25" hidden="1" customHeight="1" x14ac:dyDescent="0.45">
      <c r="A1223" t="str">
        <f>_xlfn.XLOOKUP(B1223,Ingot!$H$12:$H$119,Ingot!$G$12:$G$119,"")</f>
        <v>Stone</v>
      </c>
      <c r="B1223" t="s">
        <v>2404</v>
      </c>
      <c r="C1223" t="s">
        <v>10</v>
      </c>
      <c r="D1223" t="s">
        <v>2467</v>
      </c>
      <c r="E1223" t="s">
        <v>2468</v>
      </c>
      <c r="G1223" s="1">
        <v>7.94</v>
      </c>
    </row>
    <row r="1224" spans="1:7" ht="14.25" hidden="1" customHeight="1" x14ac:dyDescent="0.45">
      <c r="A1224" t="str">
        <f>_xlfn.XLOOKUP(B1224,Ingot!$H$12:$H$119,Ingot!$G$12:$G$119,"")</f>
        <v>Stone</v>
      </c>
      <c r="B1224" t="s">
        <v>2404</v>
      </c>
      <c r="C1224" t="s">
        <v>10</v>
      </c>
      <c r="D1224" t="s">
        <v>2469</v>
      </c>
      <c r="E1224" t="s">
        <v>2470</v>
      </c>
      <c r="G1224" s="1">
        <v>8.66</v>
      </c>
    </row>
    <row r="1225" spans="1:7" ht="14.25" hidden="1" customHeight="1" x14ac:dyDescent="0.45">
      <c r="A1225" t="str">
        <f>_xlfn.XLOOKUP(B1225,Ingot!$H$12:$H$119,Ingot!$G$12:$G$119,"")</f>
        <v>Stone</v>
      </c>
      <c r="B1225" t="s">
        <v>2404</v>
      </c>
      <c r="C1225" t="s">
        <v>10</v>
      </c>
      <c r="D1225" t="s">
        <v>2471</v>
      </c>
      <c r="E1225" t="s">
        <v>2472</v>
      </c>
    </row>
    <row r="1226" spans="1:7" ht="14.25" hidden="1" customHeight="1" x14ac:dyDescent="0.45">
      <c r="A1226" t="str">
        <f>_xlfn.XLOOKUP(B1226,Ingot!$H$12:$H$119,Ingot!$G$12:$G$119,"")</f>
        <v>Stone</v>
      </c>
      <c r="B1226" t="s">
        <v>2404</v>
      </c>
      <c r="C1226" t="s">
        <v>10</v>
      </c>
      <c r="D1226" t="s">
        <v>2473</v>
      </c>
      <c r="E1226" t="s">
        <v>2474</v>
      </c>
      <c r="G1226" s="1">
        <v>2.65</v>
      </c>
    </row>
    <row r="1227" spans="1:7" ht="14.25" hidden="1" customHeight="1" x14ac:dyDescent="0.45">
      <c r="A1227" t="str">
        <f>_xlfn.XLOOKUP(B1227,Ingot!$H$12:$H$119,Ingot!$G$12:$G$119,"")</f>
        <v>Stone</v>
      </c>
      <c r="B1227" t="s">
        <v>2404</v>
      </c>
      <c r="C1227" t="s">
        <v>10</v>
      </c>
      <c r="D1227" t="s">
        <v>2475</v>
      </c>
      <c r="E1227" t="s">
        <v>2476</v>
      </c>
    </row>
    <row r="1228" spans="1:7" ht="14.25" hidden="1" customHeight="1" x14ac:dyDescent="0.45">
      <c r="A1228" t="str">
        <f>_xlfn.XLOOKUP(B1228,Ingot!$H$12:$H$119,Ingot!$G$12:$G$119,"")</f>
        <v>Stone</v>
      </c>
      <c r="B1228" t="s">
        <v>2404</v>
      </c>
      <c r="C1228" t="s">
        <v>10</v>
      </c>
      <c r="D1228" t="s">
        <v>2477</v>
      </c>
      <c r="E1228" t="s">
        <v>2478</v>
      </c>
      <c r="G1228" s="1">
        <v>12.64</v>
      </c>
    </row>
    <row r="1229" spans="1:7" ht="14.25" hidden="1" customHeight="1" x14ac:dyDescent="0.45">
      <c r="A1229" t="str">
        <f>_xlfn.XLOOKUP(B1229,Ingot!$H$12:$H$119,Ingot!$G$12:$G$119,"")</f>
        <v>Stone</v>
      </c>
      <c r="B1229" t="s">
        <v>2404</v>
      </c>
      <c r="C1229" t="s">
        <v>10</v>
      </c>
      <c r="D1229" t="s">
        <v>2479</v>
      </c>
      <c r="E1229" t="s">
        <v>2480</v>
      </c>
      <c r="G1229" s="1">
        <v>22.67</v>
      </c>
    </row>
    <row r="1230" spans="1:7" ht="14.25" hidden="1" customHeight="1" x14ac:dyDescent="0.45">
      <c r="A1230" t="str">
        <f>_xlfn.XLOOKUP(B1230,Ingot!$H$12:$H$119,Ingot!$G$12:$G$119,"")</f>
        <v>Stone</v>
      </c>
      <c r="B1230" t="s">
        <v>2404</v>
      </c>
      <c r="C1230" t="s">
        <v>10</v>
      </c>
      <c r="D1230" t="s">
        <v>2481</v>
      </c>
      <c r="E1230" t="s">
        <v>2482</v>
      </c>
      <c r="G1230" s="1">
        <v>8.3800000000000008</v>
      </c>
    </row>
    <row r="1231" spans="1:7" ht="14.25" hidden="1" customHeight="1" x14ac:dyDescent="0.45">
      <c r="A1231" t="str">
        <f>_xlfn.XLOOKUP(B1231,Ingot!$H$12:$H$119,Ingot!$G$12:$G$119,"")</f>
        <v>Stone</v>
      </c>
      <c r="B1231" t="s">
        <v>2404</v>
      </c>
      <c r="C1231" t="s">
        <v>10</v>
      </c>
      <c r="D1231" t="s">
        <v>2483</v>
      </c>
      <c r="E1231" t="s">
        <v>2484</v>
      </c>
      <c r="G1231" s="1">
        <v>2.2000000000000002</v>
      </c>
    </row>
    <row r="1232" spans="1:7" ht="14.25" hidden="1" customHeight="1" x14ac:dyDescent="0.45">
      <c r="A1232" t="str">
        <f>_xlfn.XLOOKUP(B1232,Ingot!$H$12:$H$119,Ingot!$G$12:$G$119,"")</f>
        <v>Stone</v>
      </c>
      <c r="B1232" t="s">
        <v>2404</v>
      </c>
      <c r="C1232" t="s">
        <v>10</v>
      </c>
      <c r="D1232" t="s">
        <v>2485</v>
      </c>
      <c r="E1232" t="s">
        <v>2486</v>
      </c>
      <c r="G1232" s="1">
        <v>3.09</v>
      </c>
    </row>
    <row r="1233" spans="1:7" ht="14.25" hidden="1" customHeight="1" x14ac:dyDescent="0.45">
      <c r="A1233" t="str">
        <f>_xlfn.XLOOKUP(B1233,Ingot!$H$12:$H$119,Ingot!$G$12:$G$119,"")</f>
        <v>Stone</v>
      </c>
      <c r="B1233" t="s">
        <v>2404</v>
      </c>
      <c r="C1233" t="s">
        <v>10</v>
      </c>
      <c r="D1233" t="s">
        <v>2487</v>
      </c>
      <c r="E1233" t="s">
        <v>2488</v>
      </c>
      <c r="G1233" s="1">
        <v>2.2999999999999998</v>
      </c>
    </row>
    <row r="1234" spans="1:7" ht="14.25" hidden="1" customHeight="1" x14ac:dyDescent="0.45">
      <c r="A1234" t="str">
        <f>_xlfn.XLOOKUP(B1234,Ingot!$H$12:$H$119,Ingot!$G$12:$G$119,"")</f>
        <v>Stone</v>
      </c>
      <c r="B1234" t="s">
        <v>2404</v>
      </c>
      <c r="C1234" t="s">
        <v>10</v>
      </c>
      <c r="D1234" t="s">
        <v>2489</v>
      </c>
      <c r="E1234" t="s">
        <v>2490</v>
      </c>
      <c r="G1234" s="1">
        <v>4.88</v>
      </c>
    </row>
    <row r="1235" spans="1:7" ht="14.25" hidden="1" customHeight="1" x14ac:dyDescent="0.45">
      <c r="A1235" t="str">
        <f>_xlfn.XLOOKUP(B1235,Ingot!$H$12:$H$119,Ingot!$G$12:$G$119,"")</f>
        <v>Stone</v>
      </c>
      <c r="B1235" t="s">
        <v>2404</v>
      </c>
      <c r="C1235" t="s">
        <v>10</v>
      </c>
      <c r="D1235" t="s">
        <v>2491</v>
      </c>
      <c r="E1235" t="s">
        <v>2492</v>
      </c>
      <c r="G1235" s="1">
        <v>8.43</v>
      </c>
    </row>
    <row r="1236" spans="1:7" ht="14.25" hidden="1" customHeight="1" x14ac:dyDescent="0.45">
      <c r="A1236" t="str">
        <f>_xlfn.XLOOKUP(B1236,Ingot!$H$12:$H$119,Ingot!$G$12:$G$119,"")</f>
        <v>Stone</v>
      </c>
      <c r="B1236" t="s">
        <v>2404</v>
      </c>
      <c r="C1236" t="s">
        <v>10</v>
      </c>
      <c r="D1236" t="s">
        <v>2493</v>
      </c>
      <c r="E1236" t="s">
        <v>2494</v>
      </c>
      <c r="G1236" s="1">
        <v>13.07</v>
      </c>
    </row>
    <row r="1237" spans="1:7" ht="14.25" hidden="1" customHeight="1" x14ac:dyDescent="0.45">
      <c r="A1237" t="str">
        <f>_xlfn.XLOOKUP(B1237,Ingot!$H$12:$H$119,Ingot!$G$12:$G$119,"")</f>
        <v>Stone</v>
      </c>
      <c r="B1237" t="s">
        <v>2404</v>
      </c>
      <c r="C1237" t="s">
        <v>10</v>
      </c>
      <c r="D1237" t="s">
        <v>2495</v>
      </c>
      <c r="E1237" t="s">
        <v>2496</v>
      </c>
    </row>
    <row r="1238" spans="1:7" ht="14.25" hidden="1" customHeight="1" x14ac:dyDescent="0.45">
      <c r="A1238" t="str">
        <f>_xlfn.XLOOKUP(B1238,Ingot!$H$12:$H$119,Ingot!$G$12:$G$119,"")</f>
        <v>Stone</v>
      </c>
      <c r="B1238" t="s">
        <v>2404</v>
      </c>
      <c r="C1238" t="s">
        <v>10</v>
      </c>
      <c r="D1238" t="s">
        <v>2497</v>
      </c>
      <c r="E1238" t="s">
        <v>2498</v>
      </c>
    </row>
    <row r="1239" spans="1:7" ht="14.25" hidden="1" customHeight="1" x14ac:dyDescent="0.45">
      <c r="A1239" t="str">
        <f>_xlfn.XLOOKUP(B1239,Ingot!$H$12:$H$119,Ingot!$G$12:$G$119,"")</f>
        <v>Stone</v>
      </c>
      <c r="B1239" t="s">
        <v>2404</v>
      </c>
      <c r="C1239" t="s">
        <v>10</v>
      </c>
      <c r="D1239" t="s">
        <v>2499</v>
      </c>
      <c r="E1239" t="s">
        <v>2500</v>
      </c>
      <c r="G1239" s="1">
        <v>6.8</v>
      </c>
    </row>
    <row r="1240" spans="1:7" ht="14.25" hidden="1" customHeight="1" x14ac:dyDescent="0.45">
      <c r="A1240" t="str">
        <f>_xlfn.XLOOKUP(B1240,Ingot!$H$12:$H$119,Ingot!$G$12:$G$119,"")</f>
        <v>Stone</v>
      </c>
      <c r="B1240" t="s">
        <v>2404</v>
      </c>
      <c r="C1240" t="s">
        <v>10</v>
      </c>
      <c r="D1240" t="s">
        <v>2501</v>
      </c>
      <c r="E1240" t="s">
        <v>2502</v>
      </c>
      <c r="G1240" s="1">
        <v>6.88</v>
      </c>
    </row>
    <row r="1241" spans="1:7" ht="14.25" hidden="1" customHeight="1" x14ac:dyDescent="0.45">
      <c r="A1241" t="str">
        <f>_xlfn.XLOOKUP(B1241,Ingot!$H$12:$H$119,Ingot!$G$12:$G$119,"")</f>
        <v>Stone</v>
      </c>
      <c r="B1241" t="s">
        <v>2404</v>
      </c>
      <c r="C1241" t="s">
        <v>10</v>
      </c>
      <c r="D1241" t="s">
        <v>2503</v>
      </c>
      <c r="E1241" t="s">
        <v>2504</v>
      </c>
      <c r="G1241" s="1">
        <v>5.5</v>
      </c>
    </row>
    <row r="1242" spans="1:7" ht="14.25" hidden="1" customHeight="1" x14ac:dyDescent="0.45">
      <c r="A1242" t="str">
        <f>_xlfn.XLOOKUP(B1242,Ingot!$H$12:$H$119,Ingot!$G$12:$G$119,"")</f>
        <v>Stone</v>
      </c>
      <c r="B1242" t="s">
        <v>2404</v>
      </c>
      <c r="C1242" t="s">
        <v>10</v>
      </c>
      <c r="D1242" t="s">
        <v>2505</v>
      </c>
      <c r="E1242" t="s">
        <v>2506</v>
      </c>
      <c r="G1242" s="1">
        <v>2.4300000000000002</v>
      </c>
    </row>
    <row r="1243" spans="1:7" ht="14.25" hidden="1" customHeight="1" x14ac:dyDescent="0.45">
      <c r="A1243" t="str">
        <f>_xlfn.XLOOKUP(B1243,Ingot!$H$12:$H$119,Ingot!$G$12:$G$119,"")</f>
        <v>Stone</v>
      </c>
      <c r="B1243" t="s">
        <v>2404</v>
      </c>
      <c r="C1243" t="s">
        <v>10</v>
      </c>
      <c r="D1243" t="s">
        <v>2507</v>
      </c>
      <c r="E1243" t="s">
        <v>2508</v>
      </c>
      <c r="G1243" s="1">
        <v>6.96</v>
      </c>
    </row>
    <row r="1244" spans="1:7" ht="14.25" hidden="1" customHeight="1" x14ac:dyDescent="0.45">
      <c r="A1244" t="str">
        <f>_xlfn.XLOOKUP(B1244,Ingot!$H$12:$H$119,Ingot!$G$12:$G$119,"")</f>
        <v>Stone</v>
      </c>
      <c r="B1244" t="s">
        <v>2404</v>
      </c>
      <c r="C1244" t="s">
        <v>10</v>
      </c>
      <c r="D1244" t="s">
        <v>2509</v>
      </c>
      <c r="E1244" t="s">
        <v>2510</v>
      </c>
      <c r="G1244" s="1">
        <v>6.32</v>
      </c>
    </row>
    <row r="1245" spans="1:7" ht="14.25" hidden="1" customHeight="1" x14ac:dyDescent="0.45">
      <c r="A1245" t="str">
        <f>_xlfn.XLOOKUP(B1245,Ingot!$H$12:$H$119,Ingot!$G$12:$G$119,"")</f>
        <v>Stone</v>
      </c>
      <c r="B1245" t="s">
        <v>2404</v>
      </c>
      <c r="C1245" t="s">
        <v>10</v>
      </c>
      <c r="D1245" t="s">
        <v>2511</v>
      </c>
      <c r="E1245" t="s">
        <v>2512</v>
      </c>
      <c r="G1245" s="1">
        <v>6.88</v>
      </c>
    </row>
    <row r="1246" spans="1:7" ht="14.25" hidden="1" customHeight="1" x14ac:dyDescent="0.45">
      <c r="A1246" t="str">
        <f>_xlfn.XLOOKUP(B1246,Ingot!$H$12:$H$119,Ingot!$G$12:$G$119,"")</f>
        <v>Stone</v>
      </c>
      <c r="B1246" t="s">
        <v>2404</v>
      </c>
      <c r="C1246" t="s">
        <v>10</v>
      </c>
      <c r="D1246" t="s">
        <v>2513</v>
      </c>
      <c r="E1246" t="s">
        <v>2514</v>
      </c>
      <c r="G1246" s="1">
        <v>2.44</v>
      </c>
    </row>
    <row r="1247" spans="1:7" ht="14.25" hidden="1" customHeight="1" x14ac:dyDescent="0.45">
      <c r="A1247" t="str">
        <f>_xlfn.XLOOKUP(B1247,Ingot!$H$12:$H$119,Ingot!$G$12:$G$119,"")</f>
        <v>Stone</v>
      </c>
      <c r="B1247" t="s">
        <v>2404</v>
      </c>
      <c r="C1247" t="s">
        <v>10</v>
      </c>
      <c r="D1247" t="s">
        <v>2515</v>
      </c>
      <c r="E1247" t="s">
        <v>2516</v>
      </c>
    </row>
    <row r="1248" spans="1:7" ht="14.25" hidden="1" customHeight="1" x14ac:dyDescent="0.45">
      <c r="A1248" t="str">
        <f>_xlfn.XLOOKUP(B1248,Ingot!$H$12:$H$119,Ingot!$G$12:$G$119,"")</f>
        <v>Stone</v>
      </c>
      <c r="B1248" t="s">
        <v>2404</v>
      </c>
      <c r="C1248" t="s">
        <v>10</v>
      </c>
      <c r="D1248" t="s">
        <v>2517</v>
      </c>
      <c r="E1248" t="s">
        <v>2518</v>
      </c>
    </row>
    <row r="1249" spans="1:7" ht="14.25" hidden="1" customHeight="1" x14ac:dyDescent="0.45">
      <c r="A1249" t="str">
        <f>_xlfn.XLOOKUP(B1249,Ingot!$H$12:$H$119,Ingot!$G$12:$G$119,"")</f>
        <v>Stone</v>
      </c>
      <c r="B1249" t="s">
        <v>2404</v>
      </c>
      <c r="C1249" t="s">
        <v>10</v>
      </c>
      <c r="D1249" t="s">
        <v>2519</v>
      </c>
      <c r="E1249" t="s">
        <v>2520</v>
      </c>
      <c r="G1249" s="1">
        <v>3.11</v>
      </c>
    </row>
    <row r="1250" spans="1:7" ht="14.25" hidden="1" customHeight="1" x14ac:dyDescent="0.45">
      <c r="A1250" t="str">
        <f>_xlfn.XLOOKUP(B1250,Ingot!$H$12:$H$119,Ingot!$G$12:$G$119,"")</f>
        <v>Stone</v>
      </c>
      <c r="B1250" t="s">
        <v>2404</v>
      </c>
      <c r="C1250" t="s">
        <v>10</v>
      </c>
      <c r="D1250" t="s">
        <v>2521</v>
      </c>
      <c r="E1250" t="s">
        <v>2522</v>
      </c>
      <c r="G1250" s="1">
        <v>2.44</v>
      </c>
    </row>
    <row r="1251" spans="1:7" ht="14.25" hidden="1" customHeight="1" x14ac:dyDescent="0.45">
      <c r="A1251" t="str">
        <f>_xlfn.XLOOKUP(B1251,Ingot!$H$12:$H$119,Ingot!$G$12:$G$119,"")</f>
        <v>Stone</v>
      </c>
      <c r="B1251" t="s">
        <v>2404</v>
      </c>
      <c r="C1251" t="s">
        <v>10</v>
      </c>
      <c r="D1251" t="s">
        <v>2523</v>
      </c>
      <c r="E1251" t="s">
        <v>2524</v>
      </c>
      <c r="G1251" s="1">
        <v>8.61</v>
      </c>
    </row>
    <row r="1252" spans="1:7" ht="14.25" hidden="1" customHeight="1" x14ac:dyDescent="0.45">
      <c r="A1252" t="str">
        <f>_xlfn.XLOOKUP(B1252,Ingot!$H$12:$H$119,Ingot!$G$12:$G$119,"")</f>
        <v>Stone</v>
      </c>
      <c r="B1252" t="s">
        <v>2404</v>
      </c>
      <c r="C1252" t="s">
        <v>10</v>
      </c>
      <c r="D1252" t="s">
        <v>2525</v>
      </c>
      <c r="E1252" t="s">
        <v>2526</v>
      </c>
    </row>
    <row r="1253" spans="1:7" ht="14.25" hidden="1" customHeight="1" x14ac:dyDescent="0.45">
      <c r="A1253" t="str">
        <f>_xlfn.XLOOKUP(B1253,Ingot!$H$12:$H$119,Ingot!$G$12:$G$119,"")</f>
        <v>Stone</v>
      </c>
      <c r="B1253" t="s">
        <v>2404</v>
      </c>
      <c r="C1253" t="s">
        <v>10</v>
      </c>
      <c r="D1253" t="s">
        <v>2527</v>
      </c>
      <c r="E1253" t="s">
        <v>2528</v>
      </c>
      <c r="G1253" s="1">
        <v>3.21</v>
      </c>
    </row>
    <row r="1254" spans="1:7" ht="14.25" hidden="1" customHeight="1" x14ac:dyDescent="0.45">
      <c r="A1254" t="str">
        <f>_xlfn.XLOOKUP(B1254,Ingot!$H$12:$H$119,Ingot!$G$12:$G$119,"")</f>
        <v>Stone</v>
      </c>
      <c r="B1254" t="s">
        <v>2404</v>
      </c>
      <c r="C1254" t="s">
        <v>10</v>
      </c>
      <c r="D1254" t="s">
        <v>2529</v>
      </c>
      <c r="E1254" t="s">
        <v>2530</v>
      </c>
      <c r="G1254" s="1">
        <v>2.77</v>
      </c>
    </row>
    <row r="1255" spans="1:7" ht="14.25" hidden="1" customHeight="1" x14ac:dyDescent="0.45">
      <c r="A1255" t="str">
        <f>_xlfn.XLOOKUP(B1255,Ingot!$H$12:$H$119,Ingot!$G$12:$G$119,"")</f>
        <v>Stone</v>
      </c>
      <c r="B1255" t="s">
        <v>2404</v>
      </c>
      <c r="C1255" t="s">
        <v>10</v>
      </c>
      <c r="D1255" t="s">
        <v>2531</v>
      </c>
      <c r="E1255" t="s">
        <v>2532</v>
      </c>
      <c r="G1255" s="1">
        <v>4.8899999999999997</v>
      </c>
    </row>
    <row r="1256" spans="1:7" ht="14.25" hidden="1" customHeight="1" x14ac:dyDescent="0.45">
      <c r="A1256" t="str">
        <f>_xlfn.XLOOKUP(B1256,Ingot!$H$12:$H$119,Ingot!$G$12:$G$119,"")</f>
        <v>Stone</v>
      </c>
      <c r="B1256" t="s">
        <v>2404</v>
      </c>
      <c r="C1256" t="s">
        <v>10</v>
      </c>
      <c r="D1256" t="s">
        <v>2533</v>
      </c>
      <c r="E1256" t="s">
        <v>2534</v>
      </c>
      <c r="G1256" s="1">
        <v>1.76</v>
      </c>
    </row>
    <row r="1257" spans="1:7" ht="14.25" hidden="1" customHeight="1" x14ac:dyDescent="0.45">
      <c r="A1257" t="str">
        <f>_xlfn.XLOOKUP(B1257,Ingot!$H$12:$H$119,Ingot!$G$12:$G$119,"")</f>
        <v>Stone</v>
      </c>
      <c r="B1257" t="s">
        <v>2404</v>
      </c>
      <c r="C1257" t="s">
        <v>10</v>
      </c>
      <c r="D1257" t="s">
        <v>2535</v>
      </c>
      <c r="E1257" t="s">
        <v>2536</v>
      </c>
    </row>
    <row r="1258" spans="1:7" ht="14.25" hidden="1" customHeight="1" x14ac:dyDescent="0.45">
      <c r="A1258" t="str">
        <f>_xlfn.XLOOKUP(B1258,Ingot!$H$12:$H$119,Ingot!$G$12:$G$119,"")</f>
        <v>Stone</v>
      </c>
      <c r="B1258" t="s">
        <v>2404</v>
      </c>
      <c r="C1258" t="s">
        <v>10</v>
      </c>
      <c r="D1258" t="s">
        <v>2537</v>
      </c>
      <c r="E1258" t="s">
        <v>2538</v>
      </c>
      <c r="G1258" s="1">
        <v>8.57</v>
      </c>
    </row>
    <row r="1259" spans="1:7" ht="14.25" hidden="1" customHeight="1" x14ac:dyDescent="0.45">
      <c r="A1259" t="str">
        <f>_xlfn.XLOOKUP(B1259,Ingot!$H$12:$H$119,Ingot!$G$12:$G$119,"")</f>
        <v>Stone</v>
      </c>
      <c r="B1259" t="s">
        <v>2404</v>
      </c>
      <c r="C1259" t="s">
        <v>10</v>
      </c>
      <c r="D1259" t="s">
        <v>2539</v>
      </c>
      <c r="E1259" t="s">
        <v>2540</v>
      </c>
    </row>
    <row r="1260" spans="1:7" ht="14.25" hidden="1" customHeight="1" x14ac:dyDescent="0.45">
      <c r="A1260" t="str">
        <f>_xlfn.XLOOKUP(B1260,Ingot!$H$12:$H$119,Ingot!$G$12:$G$119,"")</f>
        <v>Stone</v>
      </c>
      <c r="B1260" t="s">
        <v>2404</v>
      </c>
      <c r="C1260" t="s">
        <v>10</v>
      </c>
      <c r="D1260" t="s">
        <v>2541</v>
      </c>
      <c r="E1260" t="s">
        <v>2542</v>
      </c>
      <c r="G1260" s="1">
        <v>3.56</v>
      </c>
    </row>
    <row r="1261" spans="1:7" ht="14.25" hidden="1" customHeight="1" x14ac:dyDescent="0.45">
      <c r="A1261" t="str">
        <f>_xlfn.XLOOKUP(B1261,Ingot!$H$12:$H$119,Ingot!$G$12:$G$119,"")</f>
        <v>Stone</v>
      </c>
      <c r="B1261" t="s">
        <v>2404</v>
      </c>
      <c r="C1261" t="s">
        <v>10</v>
      </c>
      <c r="D1261" t="s">
        <v>2543</v>
      </c>
      <c r="E1261" t="s">
        <v>2544</v>
      </c>
      <c r="G1261" s="1">
        <v>8.91</v>
      </c>
    </row>
    <row r="1262" spans="1:7" ht="14.25" hidden="1" customHeight="1" x14ac:dyDescent="0.45">
      <c r="A1262" t="str">
        <f>_xlfn.XLOOKUP(B1262,Ingot!$H$12:$H$119,Ingot!$G$12:$G$119,"")</f>
        <v>Stone</v>
      </c>
      <c r="B1262" t="s">
        <v>2404</v>
      </c>
      <c r="C1262" t="s">
        <v>10</v>
      </c>
      <c r="D1262" t="s">
        <v>2545</v>
      </c>
      <c r="E1262" t="s">
        <v>2546</v>
      </c>
      <c r="G1262" s="1">
        <v>11.02</v>
      </c>
    </row>
    <row r="1263" spans="1:7" ht="14.25" hidden="1" customHeight="1" x14ac:dyDescent="0.45">
      <c r="A1263" t="str">
        <f>_xlfn.XLOOKUP(B1263,Ingot!$H$12:$H$119,Ingot!$G$12:$G$119,"")</f>
        <v>Stone</v>
      </c>
      <c r="B1263" t="s">
        <v>2404</v>
      </c>
      <c r="C1263" t="s">
        <v>10</v>
      </c>
      <c r="D1263" t="s">
        <v>2547</v>
      </c>
      <c r="E1263" t="s">
        <v>2548</v>
      </c>
      <c r="G1263" s="1">
        <v>5.12</v>
      </c>
    </row>
    <row r="1264" spans="1:7" ht="14.25" hidden="1" customHeight="1" x14ac:dyDescent="0.45">
      <c r="A1264" t="str">
        <f>_xlfn.XLOOKUP(B1264,Ingot!$H$12:$H$119,Ingot!$G$12:$G$119,"")</f>
        <v>Stone</v>
      </c>
      <c r="B1264" t="s">
        <v>2404</v>
      </c>
      <c r="C1264" t="s">
        <v>10</v>
      </c>
      <c r="D1264" t="s">
        <v>2549</v>
      </c>
      <c r="E1264" t="s">
        <v>2550</v>
      </c>
      <c r="G1264" s="1">
        <v>4.41</v>
      </c>
    </row>
    <row r="1265" spans="1:7" ht="14.25" hidden="1" customHeight="1" x14ac:dyDescent="0.45">
      <c r="A1265" t="str">
        <f>_xlfn.XLOOKUP(B1265,Ingot!$H$12:$H$119,Ingot!$G$12:$G$119,"")</f>
        <v>Stone</v>
      </c>
      <c r="B1265" t="s">
        <v>2404</v>
      </c>
      <c r="C1265" t="s">
        <v>157</v>
      </c>
      <c r="D1265" t="s">
        <v>2551</v>
      </c>
      <c r="E1265" t="s">
        <v>2552</v>
      </c>
      <c r="G1265" s="1">
        <v>45.5</v>
      </c>
    </row>
    <row r="1266" spans="1:7" ht="14.25" hidden="1" customHeight="1" x14ac:dyDescent="0.45">
      <c r="A1266" t="str">
        <f>_xlfn.XLOOKUP(B1266,Ingot!$H$12:$H$119,Ingot!$G$12:$G$119,"")</f>
        <v>Stone</v>
      </c>
      <c r="B1266" t="s">
        <v>2404</v>
      </c>
      <c r="C1266" t="s">
        <v>157</v>
      </c>
      <c r="D1266" t="s">
        <v>2553</v>
      </c>
      <c r="E1266" t="s">
        <v>2554</v>
      </c>
      <c r="G1266" s="1">
        <v>9.1</v>
      </c>
    </row>
    <row r="1267" spans="1:7" ht="14.25" hidden="1" customHeight="1" x14ac:dyDescent="0.45">
      <c r="A1267" t="str">
        <f>_xlfn.XLOOKUP(B1267,Ingot!$H$12:$H$119,Ingot!$G$12:$G$119,"")</f>
        <v>Stone</v>
      </c>
      <c r="B1267" t="s">
        <v>2404</v>
      </c>
      <c r="C1267" t="s">
        <v>157</v>
      </c>
      <c r="D1267" t="s">
        <v>2555</v>
      </c>
      <c r="E1267" t="s">
        <v>2556</v>
      </c>
      <c r="G1267" s="1">
        <v>9.1</v>
      </c>
    </row>
    <row r="1268" spans="1:7" ht="14.25" hidden="1" customHeight="1" x14ac:dyDescent="0.45">
      <c r="A1268" t="str">
        <f>_xlfn.XLOOKUP(B1268,Ingot!$H$12:$H$119,Ingot!$G$12:$G$119,"")</f>
        <v>Stone</v>
      </c>
      <c r="B1268" t="s">
        <v>2404</v>
      </c>
      <c r="C1268" t="s">
        <v>157</v>
      </c>
      <c r="D1268" t="s">
        <v>2557</v>
      </c>
      <c r="E1268" t="s">
        <v>2558</v>
      </c>
      <c r="G1268" s="1">
        <v>5.92</v>
      </c>
    </row>
    <row r="1269" spans="1:7" ht="14.25" hidden="1" customHeight="1" x14ac:dyDescent="0.45">
      <c r="A1269" t="str">
        <f>_xlfn.XLOOKUP(B1269,Ingot!$H$12:$H$119,Ingot!$G$12:$G$119,"")</f>
        <v>Stone</v>
      </c>
      <c r="B1269" t="s">
        <v>2404</v>
      </c>
      <c r="C1269" t="s">
        <v>157</v>
      </c>
      <c r="D1269" t="s">
        <v>2559</v>
      </c>
      <c r="E1269" t="s">
        <v>2560</v>
      </c>
      <c r="G1269" s="1">
        <v>11.83</v>
      </c>
    </row>
    <row r="1270" spans="1:7" ht="14.25" hidden="1" customHeight="1" x14ac:dyDescent="0.45">
      <c r="A1270" t="str">
        <f>_xlfn.XLOOKUP(B1270,Ingot!$H$12:$H$119,Ingot!$G$12:$G$119,"")</f>
        <v>Stone</v>
      </c>
      <c r="B1270" t="s">
        <v>2404</v>
      </c>
      <c r="C1270" t="s">
        <v>157</v>
      </c>
      <c r="D1270" t="s">
        <v>2561</v>
      </c>
      <c r="E1270" t="s">
        <v>2562</v>
      </c>
      <c r="G1270" s="1">
        <v>41.5</v>
      </c>
    </row>
    <row r="1271" spans="1:7" ht="14.25" hidden="1" customHeight="1" x14ac:dyDescent="0.45">
      <c r="A1271" t="str">
        <f>_xlfn.XLOOKUP(B1271,Ingot!$H$12:$H$119,Ingot!$G$12:$G$119,"")</f>
        <v>Stone</v>
      </c>
      <c r="B1271" t="s">
        <v>2404</v>
      </c>
      <c r="C1271" t="s">
        <v>157</v>
      </c>
      <c r="D1271" t="s">
        <v>2563</v>
      </c>
      <c r="E1271" t="s">
        <v>2564</v>
      </c>
      <c r="G1271" s="1">
        <v>8.3000000000000007</v>
      </c>
    </row>
    <row r="1272" spans="1:7" ht="14.25" hidden="1" customHeight="1" x14ac:dyDescent="0.45">
      <c r="A1272" t="str">
        <f>_xlfn.XLOOKUP(B1272,Ingot!$H$12:$H$119,Ingot!$G$12:$G$119,"")</f>
        <v>Stone</v>
      </c>
      <c r="B1272" t="s">
        <v>2404</v>
      </c>
      <c r="C1272" t="s">
        <v>157</v>
      </c>
      <c r="D1272" t="s">
        <v>2565</v>
      </c>
      <c r="E1272" t="s">
        <v>2566</v>
      </c>
      <c r="G1272" s="1">
        <v>8.3000000000000007</v>
      </c>
    </row>
    <row r="1273" spans="1:7" ht="14.25" hidden="1" customHeight="1" x14ac:dyDescent="0.45">
      <c r="A1273" t="str">
        <f>_xlfn.XLOOKUP(B1273,Ingot!$H$12:$H$119,Ingot!$G$12:$G$119,"")</f>
        <v>Stone</v>
      </c>
      <c r="B1273" t="s">
        <v>2404</v>
      </c>
      <c r="C1273" t="s">
        <v>157</v>
      </c>
      <c r="D1273" t="s">
        <v>2567</v>
      </c>
      <c r="E1273" t="s">
        <v>2568</v>
      </c>
      <c r="G1273" s="1">
        <v>5.4</v>
      </c>
    </row>
    <row r="1274" spans="1:7" ht="14.25" hidden="1" customHeight="1" x14ac:dyDescent="0.45">
      <c r="A1274" t="str">
        <f>_xlfn.XLOOKUP(B1274,Ingot!$H$12:$H$119,Ingot!$G$12:$G$119,"")</f>
        <v>Stone</v>
      </c>
      <c r="B1274" t="s">
        <v>2404</v>
      </c>
      <c r="C1274" t="s">
        <v>157</v>
      </c>
      <c r="D1274" t="s">
        <v>2569</v>
      </c>
      <c r="E1274" t="s">
        <v>2570</v>
      </c>
      <c r="G1274" s="1">
        <v>10.79</v>
      </c>
    </row>
    <row r="1275" spans="1:7" ht="14.25" hidden="1" customHeight="1" x14ac:dyDescent="0.45">
      <c r="A1275" t="str">
        <f>_xlfn.XLOOKUP(B1275,Ingot!$H$12:$H$119,Ingot!$G$12:$G$119,"")</f>
        <v>Stone</v>
      </c>
      <c r="B1275" t="s">
        <v>2404</v>
      </c>
      <c r="C1275" t="s">
        <v>157</v>
      </c>
      <c r="D1275" t="s">
        <v>2571</v>
      </c>
      <c r="E1275" t="s">
        <v>2572</v>
      </c>
      <c r="G1275" s="1">
        <v>40.5</v>
      </c>
    </row>
    <row r="1276" spans="1:7" ht="14.25" hidden="1" customHeight="1" x14ac:dyDescent="0.45">
      <c r="A1276" t="str">
        <f>_xlfn.XLOOKUP(B1276,Ingot!$H$12:$H$119,Ingot!$G$12:$G$119,"")</f>
        <v>Stone</v>
      </c>
      <c r="B1276" t="s">
        <v>2404</v>
      </c>
      <c r="C1276" t="s">
        <v>157</v>
      </c>
      <c r="D1276" t="s">
        <v>2573</v>
      </c>
      <c r="E1276" t="s">
        <v>2574</v>
      </c>
      <c r="G1276" s="1">
        <v>8.1</v>
      </c>
    </row>
    <row r="1277" spans="1:7" ht="14.25" hidden="1" customHeight="1" x14ac:dyDescent="0.45">
      <c r="A1277" t="str">
        <f>_xlfn.XLOOKUP(B1277,Ingot!$H$12:$H$119,Ingot!$G$12:$G$119,"")</f>
        <v>Stone</v>
      </c>
      <c r="B1277" t="s">
        <v>2404</v>
      </c>
      <c r="C1277" t="s">
        <v>157</v>
      </c>
      <c r="D1277" t="s">
        <v>2575</v>
      </c>
      <c r="E1277" t="s">
        <v>2576</v>
      </c>
      <c r="G1277" s="1">
        <v>8.1</v>
      </c>
    </row>
    <row r="1278" spans="1:7" ht="14.25" hidden="1" customHeight="1" x14ac:dyDescent="0.45">
      <c r="A1278" t="str">
        <f>_xlfn.XLOOKUP(B1278,Ingot!$H$12:$H$119,Ingot!$G$12:$G$119,"")</f>
        <v>Stone</v>
      </c>
      <c r="B1278" t="s">
        <v>2404</v>
      </c>
      <c r="C1278" t="s">
        <v>157</v>
      </c>
      <c r="D1278" t="s">
        <v>2577</v>
      </c>
      <c r="E1278" t="s">
        <v>2578</v>
      </c>
      <c r="G1278" s="1">
        <v>5.27</v>
      </c>
    </row>
    <row r="1279" spans="1:7" ht="14.25" hidden="1" customHeight="1" x14ac:dyDescent="0.45">
      <c r="A1279" t="str">
        <f>_xlfn.XLOOKUP(B1279,Ingot!$H$12:$H$119,Ingot!$G$12:$G$119,"")</f>
        <v>Stone</v>
      </c>
      <c r="B1279" t="s">
        <v>2404</v>
      </c>
      <c r="C1279" t="s">
        <v>157</v>
      </c>
      <c r="D1279" t="s">
        <v>2579</v>
      </c>
      <c r="E1279" t="s">
        <v>2580</v>
      </c>
      <c r="G1279" s="1">
        <v>10.53</v>
      </c>
    </row>
    <row r="1280" spans="1:7" ht="14.25" hidden="1" customHeight="1" x14ac:dyDescent="0.45">
      <c r="A1280" t="str">
        <f>_xlfn.XLOOKUP(B1280,Ingot!$H$12:$H$119,Ingot!$G$12:$G$119,"")</f>
        <v>Stone</v>
      </c>
      <c r="B1280" t="s">
        <v>2404</v>
      </c>
      <c r="C1280" t="s">
        <v>157</v>
      </c>
      <c r="D1280" t="s">
        <v>2581</v>
      </c>
      <c r="E1280" t="s">
        <v>2582</v>
      </c>
      <c r="G1280" s="1">
        <v>42.5</v>
      </c>
    </row>
    <row r="1281" spans="1:7" ht="14.25" hidden="1" customHeight="1" x14ac:dyDescent="0.45">
      <c r="A1281" t="str">
        <f>_xlfn.XLOOKUP(B1281,Ingot!$H$12:$H$119,Ingot!$G$12:$G$119,"")</f>
        <v>Stone</v>
      </c>
      <c r="B1281" t="s">
        <v>2404</v>
      </c>
      <c r="C1281" t="s">
        <v>157</v>
      </c>
      <c r="D1281" t="s">
        <v>2583</v>
      </c>
      <c r="E1281" t="s">
        <v>2584</v>
      </c>
      <c r="G1281" s="1">
        <v>8.5</v>
      </c>
    </row>
    <row r="1282" spans="1:7" ht="14.25" hidden="1" customHeight="1" x14ac:dyDescent="0.45">
      <c r="A1282" t="str">
        <f>_xlfn.XLOOKUP(B1282,Ingot!$H$12:$H$119,Ingot!$G$12:$G$119,"")</f>
        <v>Stone</v>
      </c>
      <c r="B1282" t="s">
        <v>2404</v>
      </c>
      <c r="C1282" t="s">
        <v>157</v>
      </c>
      <c r="D1282" t="s">
        <v>2585</v>
      </c>
      <c r="E1282" t="s">
        <v>2586</v>
      </c>
      <c r="G1282" s="1">
        <v>8.5</v>
      </c>
    </row>
    <row r="1283" spans="1:7" ht="14.25" hidden="1" customHeight="1" x14ac:dyDescent="0.45">
      <c r="A1283" t="str">
        <f>_xlfn.XLOOKUP(B1283,Ingot!$H$12:$H$119,Ingot!$G$12:$G$119,"")</f>
        <v>Stone</v>
      </c>
      <c r="B1283" t="s">
        <v>2404</v>
      </c>
      <c r="C1283" t="s">
        <v>157</v>
      </c>
      <c r="D1283" t="s">
        <v>2587</v>
      </c>
      <c r="E1283" t="s">
        <v>2588</v>
      </c>
      <c r="G1283" s="1">
        <v>5.53</v>
      </c>
    </row>
    <row r="1284" spans="1:7" ht="14.25" hidden="1" customHeight="1" x14ac:dyDescent="0.45">
      <c r="A1284" t="str">
        <f>_xlfn.XLOOKUP(B1284,Ingot!$H$12:$H$119,Ingot!$G$12:$G$119,"")</f>
        <v>Stone</v>
      </c>
      <c r="B1284" t="s">
        <v>2404</v>
      </c>
      <c r="C1284" t="s">
        <v>157</v>
      </c>
      <c r="D1284" t="s">
        <v>2589</v>
      </c>
      <c r="E1284" t="s">
        <v>2590</v>
      </c>
      <c r="G1284" s="1">
        <v>11.05</v>
      </c>
    </row>
    <row r="1285" spans="1:7" ht="14.25" hidden="1" customHeight="1" x14ac:dyDescent="0.45">
      <c r="A1285" t="str">
        <f>_xlfn.XLOOKUP(B1285,Ingot!$H$12:$H$119,Ingot!$G$12:$G$119,"")</f>
        <v>Stone</v>
      </c>
      <c r="B1285" t="s">
        <v>2404</v>
      </c>
      <c r="C1285" t="s">
        <v>157</v>
      </c>
      <c r="D1285" t="s">
        <v>2591</v>
      </c>
      <c r="E1285" t="s">
        <v>2592</v>
      </c>
      <c r="G1285" s="1">
        <v>44</v>
      </c>
    </row>
    <row r="1286" spans="1:7" ht="14.25" hidden="1" customHeight="1" x14ac:dyDescent="0.45">
      <c r="A1286" t="str">
        <f>_xlfn.XLOOKUP(B1286,Ingot!$H$12:$H$119,Ingot!$G$12:$G$119,"")</f>
        <v>Stone</v>
      </c>
      <c r="B1286" t="s">
        <v>2404</v>
      </c>
      <c r="C1286" t="s">
        <v>157</v>
      </c>
      <c r="D1286" t="s">
        <v>2593</v>
      </c>
      <c r="E1286" t="s">
        <v>2594</v>
      </c>
      <c r="G1286" s="1">
        <v>8.8000000000000007</v>
      </c>
    </row>
    <row r="1287" spans="1:7" ht="14.25" hidden="1" customHeight="1" x14ac:dyDescent="0.45">
      <c r="A1287" t="str">
        <f>_xlfn.XLOOKUP(B1287,Ingot!$H$12:$H$119,Ingot!$G$12:$G$119,"")</f>
        <v>Stone</v>
      </c>
      <c r="B1287" t="s">
        <v>2404</v>
      </c>
      <c r="C1287" t="s">
        <v>157</v>
      </c>
      <c r="D1287" t="s">
        <v>2595</v>
      </c>
      <c r="E1287" t="s">
        <v>2596</v>
      </c>
      <c r="G1287" s="1">
        <v>8.8000000000000007</v>
      </c>
    </row>
    <row r="1288" spans="1:7" ht="14.25" hidden="1" customHeight="1" x14ac:dyDescent="0.45">
      <c r="A1288" t="str">
        <f>_xlfn.XLOOKUP(B1288,Ingot!$H$12:$H$119,Ingot!$G$12:$G$119,"")</f>
        <v>Stone</v>
      </c>
      <c r="B1288" t="s">
        <v>2404</v>
      </c>
      <c r="C1288" t="s">
        <v>157</v>
      </c>
      <c r="D1288" t="s">
        <v>2597</v>
      </c>
      <c r="E1288" t="s">
        <v>2598</v>
      </c>
      <c r="G1288" s="1">
        <v>5.72</v>
      </c>
    </row>
    <row r="1289" spans="1:7" ht="14.25" hidden="1" customHeight="1" x14ac:dyDescent="0.45">
      <c r="A1289" t="str">
        <f>_xlfn.XLOOKUP(B1289,Ingot!$H$12:$H$119,Ingot!$G$12:$G$119,"")</f>
        <v>Stone</v>
      </c>
      <c r="B1289" t="s">
        <v>2404</v>
      </c>
      <c r="C1289" t="s">
        <v>157</v>
      </c>
      <c r="D1289" t="s">
        <v>2599</v>
      </c>
      <c r="E1289" t="s">
        <v>2600</v>
      </c>
      <c r="G1289" s="1">
        <v>11.44</v>
      </c>
    </row>
    <row r="1290" spans="1:7" ht="14.25" hidden="1" customHeight="1" x14ac:dyDescent="0.45">
      <c r="A1290" t="str">
        <f>_xlfn.XLOOKUP(B1290,Ingot!$H$12:$H$119,Ingot!$G$12:$G$119,"")</f>
        <v>Stone</v>
      </c>
      <c r="B1290" t="s">
        <v>2404</v>
      </c>
      <c r="C1290" t="s">
        <v>157</v>
      </c>
      <c r="D1290" t="s">
        <v>2601</v>
      </c>
      <c r="E1290" t="s">
        <v>2602</v>
      </c>
      <c r="G1290" s="1">
        <v>48.5</v>
      </c>
    </row>
    <row r="1291" spans="1:7" ht="14.25" hidden="1" customHeight="1" x14ac:dyDescent="0.45">
      <c r="A1291" t="str">
        <f>_xlfn.XLOOKUP(B1291,Ingot!$H$12:$H$119,Ingot!$G$12:$G$119,"")</f>
        <v>Stone</v>
      </c>
      <c r="B1291" t="s">
        <v>2404</v>
      </c>
      <c r="C1291" t="s">
        <v>157</v>
      </c>
      <c r="D1291" t="s">
        <v>2603</v>
      </c>
      <c r="E1291" t="s">
        <v>2604</v>
      </c>
      <c r="G1291" s="1">
        <v>9.6999999999999993</v>
      </c>
    </row>
    <row r="1292" spans="1:7" ht="14.25" hidden="1" customHeight="1" x14ac:dyDescent="0.45">
      <c r="A1292" t="str">
        <f>_xlfn.XLOOKUP(B1292,Ingot!$H$12:$H$119,Ingot!$G$12:$G$119,"")</f>
        <v>Stone</v>
      </c>
      <c r="B1292" t="s">
        <v>2404</v>
      </c>
      <c r="C1292" t="s">
        <v>157</v>
      </c>
      <c r="D1292" t="s">
        <v>2605</v>
      </c>
      <c r="E1292" t="s">
        <v>2606</v>
      </c>
      <c r="G1292" s="1">
        <v>9.6999999999999993</v>
      </c>
    </row>
    <row r="1293" spans="1:7" ht="14.25" hidden="1" customHeight="1" x14ac:dyDescent="0.45">
      <c r="A1293" t="str">
        <f>_xlfn.XLOOKUP(B1293,Ingot!$H$12:$H$119,Ingot!$G$12:$G$119,"")</f>
        <v>Stone</v>
      </c>
      <c r="B1293" t="s">
        <v>2404</v>
      </c>
      <c r="C1293" t="s">
        <v>157</v>
      </c>
      <c r="D1293" t="s">
        <v>2607</v>
      </c>
      <c r="E1293" t="s">
        <v>2608</v>
      </c>
      <c r="G1293" s="1">
        <v>6.31</v>
      </c>
    </row>
    <row r="1294" spans="1:7" ht="14.25" hidden="1" customHeight="1" x14ac:dyDescent="0.45">
      <c r="A1294" t="str">
        <f>_xlfn.XLOOKUP(B1294,Ingot!$H$12:$H$119,Ingot!$G$12:$G$119,"")</f>
        <v>Stone</v>
      </c>
      <c r="B1294" t="s">
        <v>2404</v>
      </c>
      <c r="C1294" t="s">
        <v>157</v>
      </c>
      <c r="D1294" t="s">
        <v>2609</v>
      </c>
      <c r="E1294" t="s">
        <v>2610</v>
      </c>
      <c r="G1294" s="1">
        <v>12.61</v>
      </c>
    </row>
    <row r="1295" spans="1:7" ht="14.25" hidden="1" customHeight="1" x14ac:dyDescent="0.45">
      <c r="A1295" t="str">
        <f>_xlfn.XLOOKUP(B1295,Ingot!$H$12:$H$119,Ingot!$G$12:$G$119,"")</f>
        <v>Stone</v>
      </c>
      <c r="B1295" t="s">
        <v>2404</v>
      </c>
      <c r="C1295" t="s">
        <v>157</v>
      </c>
      <c r="D1295" t="s">
        <v>2611</v>
      </c>
      <c r="E1295" t="s">
        <v>2612</v>
      </c>
      <c r="G1295" s="1">
        <v>47</v>
      </c>
    </row>
    <row r="1296" spans="1:7" ht="14.25" hidden="1" customHeight="1" x14ac:dyDescent="0.45">
      <c r="A1296" t="str">
        <f>_xlfn.XLOOKUP(B1296,Ingot!$H$12:$H$119,Ingot!$G$12:$G$119,"")</f>
        <v>Stone</v>
      </c>
      <c r="B1296" t="s">
        <v>2404</v>
      </c>
      <c r="C1296" t="s">
        <v>157</v>
      </c>
      <c r="D1296" t="s">
        <v>2613</v>
      </c>
      <c r="E1296" t="s">
        <v>2614</v>
      </c>
      <c r="G1296" s="1">
        <v>9.4</v>
      </c>
    </row>
    <row r="1297" spans="1:7" ht="14.25" hidden="1" customHeight="1" x14ac:dyDescent="0.45">
      <c r="A1297" t="str">
        <f>_xlfn.XLOOKUP(B1297,Ingot!$H$12:$H$119,Ingot!$G$12:$G$119,"")</f>
        <v>Stone</v>
      </c>
      <c r="B1297" t="s">
        <v>2404</v>
      </c>
      <c r="C1297" t="s">
        <v>157</v>
      </c>
      <c r="D1297" t="s">
        <v>2615</v>
      </c>
      <c r="E1297" t="s">
        <v>2616</v>
      </c>
      <c r="G1297" s="1">
        <v>9.4</v>
      </c>
    </row>
    <row r="1298" spans="1:7" ht="14.25" hidden="1" customHeight="1" x14ac:dyDescent="0.45">
      <c r="A1298" t="str">
        <f>_xlfn.XLOOKUP(B1298,Ingot!$H$12:$H$119,Ingot!$G$12:$G$119,"")</f>
        <v>Stone</v>
      </c>
      <c r="B1298" t="s">
        <v>2404</v>
      </c>
      <c r="C1298" t="s">
        <v>157</v>
      </c>
      <c r="D1298" t="s">
        <v>2617</v>
      </c>
      <c r="E1298" t="s">
        <v>2618</v>
      </c>
      <c r="G1298" s="1">
        <v>6.11</v>
      </c>
    </row>
    <row r="1299" spans="1:7" ht="14.25" hidden="1" customHeight="1" x14ac:dyDescent="0.45">
      <c r="A1299" t="str">
        <f>_xlfn.XLOOKUP(B1299,Ingot!$H$12:$H$119,Ingot!$G$12:$G$119,"")</f>
        <v>Stone</v>
      </c>
      <c r="B1299" t="s">
        <v>2404</v>
      </c>
      <c r="C1299" t="s">
        <v>157</v>
      </c>
      <c r="D1299" t="s">
        <v>2619</v>
      </c>
      <c r="E1299" t="s">
        <v>2620</v>
      </c>
      <c r="G1299" s="1">
        <v>12.22</v>
      </c>
    </row>
    <row r="1300" spans="1:7" ht="14.25" hidden="1" customHeight="1" x14ac:dyDescent="0.45">
      <c r="A1300" t="str">
        <f>_xlfn.XLOOKUP(B1300,Ingot!$H$12:$H$119,Ingot!$G$12:$G$119,"")</f>
        <v>Stone</v>
      </c>
      <c r="B1300" t="s">
        <v>2404</v>
      </c>
      <c r="C1300" t="s">
        <v>157</v>
      </c>
      <c r="D1300" t="s">
        <v>2621</v>
      </c>
      <c r="E1300" t="s">
        <v>2622</v>
      </c>
      <c r="G1300" s="1">
        <v>39.5</v>
      </c>
    </row>
    <row r="1301" spans="1:7" ht="14.25" hidden="1" customHeight="1" x14ac:dyDescent="0.45">
      <c r="A1301" t="str">
        <f>_xlfn.XLOOKUP(B1301,Ingot!$H$12:$H$119,Ingot!$G$12:$G$119,"")</f>
        <v>Stone</v>
      </c>
      <c r="B1301" t="s">
        <v>2404</v>
      </c>
      <c r="C1301" t="s">
        <v>157</v>
      </c>
      <c r="D1301" t="s">
        <v>2623</v>
      </c>
      <c r="E1301" t="s">
        <v>2624</v>
      </c>
      <c r="G1301" s="1">
        <v>7.9</v>
      </c>
    </row>
    <row r="1302" spans="1:7" ht="14.25" hidden="1" customHeight="1" x14ac:dyDescent="0.45">
      <c r="A1302" t="str">
        <f>_xlfn.XLOOKUP(B1302,Ingot!$H$12:$H$119,Ingot!$G$12:$G$119,"")</f>
        <v>Stone</v>
      </c>
      <c r="B1302" t="s">
        <v>2404</v>
      </c>
      <c r="C1302" t="s">
        <v>157</v>
      </c>
      <c r="D1302" t="s">
        <v>2625</v>
      </c>
      <c r="E1302" t="s">
        <v>2626</v>
      </c>
      <c r="G1302" s="1">
        <v>7.9</v>
      </c>
    </row>
    <row r="1303" spans="1:7" ht="14.25" hidden="1" customHeight="1" x14ac:dyDescent="0.45">
      <c r="A1303" t="str">
        <f>_xlfn.XLOOKUP(B1303,Ingot!$H$12:$H$119,Ingot!$G$12:$G$119,"")</f>
        <v>Stone</v>
      </c>
      <c r="B1303" t="s">
        <v>2404</v>
      </c>
      <c r="C1303" t="s">
        <v>157</v>
      </c>
      <c r="D1303" t="s">
        <v>2627</v>
      </c>
      <c r="E1303" t="s">
        <v>2628</v>
      </c>
      <c r="G1303" s="1">
        <v>5.14</v>
      </c>
    </row>
    <row r="1304" spans="1:7" ht="14.25" hidden="1" customHeight="1" x14ac:dyDescent="0.45">
      <c r="A1304" t="str">
        <f>_xlfn.XLOOKUP(B1304,Ingot!$H$12:$H$119,Ingot!$G$12:$G$119,"")</f>
        <v>Stone</v>
      </c>
      <c r="B1304" t="s">
        <v>2404</v>
      </c>
      <c r="C1304" t="s">
        <v>157</v>
      </c>
      <c r="D1304" t="s">
        <v>2629</v>
      </c>
      <c r="E1304" t="s">
        <v>2630</v>
      </c>
      <c r="G1304" s="1">
        <v>10.27</v>
      </c>
    </row>
    <row r="1305" spans="1:7" ht="14.25" hidden="1" customHeight="1" x14ac:dyDescent="0.45">
      <c r="A1305" t="str">
        <f>_xlfn.XLOOKUP(B1305,Ingot!$H$12:$H$119,Ingot!$G$12:$G$119,"")</f>
        <v>Stone</v>
      </c>
      <c r="B1305" t="s">
        <v>2404</v>
      </c>
      <c r="C1305" t="s">
        <v>239</v>
      </c>
      <c r="D1305" t="s">
        <v>2631</v>
      </c>
      <c r="E1305" t="s">
        <v>2632</v>
      </c>
    </row>
    <row r="1306" spans="1:7" ht="14.25" hidden="1" customHeight="1" x14ac:dyDescent="0.45">
      <c r="A1306" t="str">
        <f>_xlfn.XLOOKUP(B1306,Ingot!$H$12:$H$119,Ingot!$G$12:$G$119,"")</f>
        <v>Stone</v>
      </c>
      <c r="B1306" t="s">
        <v>2404</v>
      </c>
      <c r="C1306" t="s">
        <v>239</v>
      </c>
      <c r="D1306" t="s">
        <v>2633</v>
      </c>
      <c r="E1306" t="s">
        <v>2634</v>
      </c>
    </row>
    <row r="1307" spans="1:7" ht="14.25" hidden="1" customHeight="1" x14ac:dyDescent="0.45">
      <c r="A1307" t="str">
        <f>_xlfn.XLOOKUP(B1307,Ingot!$H$12:$H$119,Ingot!$G$12:$G$119,"")</f>
        <v>Stone</v>
      </c>
      <c r="B1307" t="s">
        <v>2404</v>
      </c>
      <c r="C1307" t="s">
        <v>239</v>
      </c>
      <c r="D1307" t="s">
        <v>2635</v>
      </c>
      <c r="E1307" t="s">
        <v>2636</v>
      </c>
    </row>
    <row r="1308" spans="1:7" ht="14.25" hidden="1" customHeight="1" x14ac:dyDescent="0.45">
      <c r="A1308" t="str">
        <f>_xlfn.XLOOKUP(B1308,Ingot!$H$12:$H$119,Ingot!$G$12:$G$119,"")</f>
        <v>Stone</v>
      </c>
      <c r="B1308" t="s">
        <v>2404</v>
      </c>
      <c r="C1308" t="s">
        <v>239</v>
      </c>
      <c r="D1308" t="s">
        <v>2637</v>
      </c>
      <c r="E1308" t="s">
        <v>2638</v>
      </c>
    </row>
    <row r="1309" spans="1:7" ht="14.25" hidden="1" customHeight="1" x14ac:dyDescent="0.45">
      <c r="A1309" t="str">
        <f>_xlfn.XLOOKUP(B1309,Ingot!$H$12:$H$119,Ingot!$G$12:$G$119,"")</f>
        <v>Stone</v>
      </c>
      <c r="B1309" t="s">
        <v>2404</v>
      </c>
      <c r="C1309" t="s">
        <v>239</v>
      </c>
      <c r="D1309" t="s">
        <v>2639</v>
      </c>
      <c r="E1309" t="s">
        <v>2640</v>
      </c>
    </row>
    <row r="1310" spans="1:7" ht="14.25" hidden="1" customHeight="1" x14ac:dyDescent="0.45">
      <c r="A1310" t="str">
        <f>_xlfn.XLOOKUP(B1310,Ingot!$H$12:$H$119,Ingot!$G$12:$G$119,"")</f>
        <v>Stone</v>
      </c>
      <c r="B1310" t="s">
        <v>2404</v>
      </c>
      <c r="C1310" t="s">
        <v>239</v>
      </c>
      <c r="D1310" t="s">
        <v>2641</v>
      </c>
      <c r="E1310" t="s">
        <v>2642</v>
      </c>
    </row>
    <row r="1311" spans="1:7" ht="14.25" hidden="1" customHeight="1" x14ac:dyDescent="0.45">
      <c r="A1311" t="str">
        <f>_xlfn.XLOOKUP(B1311,Ingot!$H$12:$H$119,Ingot!$G$12:$G$119,"")</f>
        <v>Metal</v>
      </c>
      <c r="B1311" t="s">
        <v>2643</v>
      </c>
      <c r="C1311" t="s">
        <v>10</v>
      </c>
      <c r="D1311" t="s">
        <v>2644</v>
      </c>
      <c r="E1311" t="s">
        <v>2645</v>
      </c>
      <c r="G1311" s="1">
        <v>0.08</v>
      </c>
    </row>
    <row r="1312" spans="1:7" ht="14.25" hidden="1" customHeight="1" x14ac:dyDescent="0.45">
      <c r="A1312" t="str">
        <f>_xlfn.XLOOKUP(B1312,Ingot!$H$12:$H$119,Ingot!$G$12:$G$119,"")</f>
        <v>Metal</v>
      </c>
      <c r="B1312" t="s">
        <v>2643</v>
      </c>
      <c r="C1312" t="s">
        <v>10</v>
      </c>
      <c r="D1312" t="s">
        <v>2646</v>
      </c>
      <c r="E1312" t="s">
        <v>2647</v>
      </c>
      <c r="G1312" s="1">
        <v>9.9</v>
      </c>
    </row>
    <row r="1313" spans="1:7" ht="14.25" hidden="1" customHeight="1" x14ac:dyDescent="0.45">
      <c r="A1313" t="str">
        <f>_xlfn.XLOOKUP(B1313,Ingot!$H$12:$H$119,Ingot!$G$12:$G$119,"")</f>
        <v>Metal</v>
      </c>
      <c r="B1313" t="s">
        <v>2643</v>
      </c>
      <c r="C1313" t="s">
        <v>10</v>
      </c>
      <c r="D1313" t="s">
        <v>2648</v>
      </c>
      <c r="E1313" t="s">
        <v>2649</v>
      </c>
      <c r="G1313" s="1">
        <v>5.66</v>
      </c>
    </row>
    <row r="1314" spans="1:7" ht="14.25" hidden="1" customHeight="1" x14ac:dyDescent="0.45">
      <c r="A1314" t="str">
        <f>_xlfn.XLOOKUP(B1314,Ingot!$H$12:$H$119,Ingot!$G$12:$G$119,"")</f>
        <v>Metal</v>
      </c>
      <c r="B1314" t="s">
        <v>2643</v>
      </c>
      <c r="C1314" t="s">
        <v>10</v>
      </c>
      <c r="D1314" t="s">
        <v>2650</v>
      </c>
      <c r="E1314" t="s">
        <v>2651</v>
      </c>
      <c r="G1314" s="1">
        <v>3.3</v>
      </c>
    </row>
    <row r="1315" spans="1:7" ht="14.25" hidden="1" customHeight="1" x14ac:dyDescent="0.45">
      <c r="A1315" t="str">
        <f>_xlfn.XLOOKUP(B1315,Ingot!$H$12:$H$119,Ingot!$G$12:$G$119,"")</f>
        <v>Metal</v>
      </c>
      <c r="B1315" t="s">
        <v>2643</v>
      </c>
      <c r="C1315" t="s">
        <v>10</v>
      </c>
      <c r="D1315" t="s">
        <v>2652</v>
      </c>
      <c r="E1315" t="s">
        <v>2653</v>
      </c>
      <c r="G1315" s="1">
        <v>0.66</v>
      </c>
    </row>
    <row r="1316" spans="1:7" ht="14.25" hidden="1" customHeight="1" x14ac:dyDescent="0.45">
      <c r="A1316" t="str">
        <f>_xlfn.XLOOKUP(B1316,Ingot!$H$12:$H$119,Ingot!$G$12:$G$119,"")</f>
        <v>Metal</v>
      </c>
      <c r="B1316" t="s">
        <v>2643</v>
      </c>
      <c r="C1316" t="s">
        <v>10</v>
      </c>
      <c r="D1316" t="s">
        <v>2654</v>
      </c>
      <c r="E1316" t="s">
        <v>2655</v>
      </c>
      <c r="G1316" s="1">
        <v>0.04</v>
      </c>
    </row>
    <row r="1317" spans="1:7" ht="14.25" hidden="1" customHeight="1" x14ac:dyDescent="0.45">
      <c r="A1317" t="str">
        <f>_xlfn.XLOOKUP(B1317,Ingot!$H$12:$H$119,Ingot!$G$12:$G$119,"")</f>
        <v>Metal</v>
      </c>
      <c r="B1317" t="s">
        <v>2643</v>
      </c>
      <c r="C1317" t="s">
        <v>10</v>
      </c>
      <c r="D1317" t="s">
        <v>2656</v>
      </c>
      <c r="E1317" t="s">
        <v>2657</v>
      </c>
      <c r="G1317" s="1">
        <v>0.33</v>
      </c>
    </row>
    <row r="1318" spans="1:7" ht="14.25" hidden="1" customHeight="1" x14ac:dyDescent="0.45">
      <c r="A1318" t="str">
        <f>_xlfn.XLOOKUP(B1318,Ingot!$H$12:$H$119,Ingot!$G$12:$G$119,"")</f>
        <v>Metal</v>
      </c>
      <c r="B1318" t="s">
        <v>2643</v>
      </c>
      <c r="C1318" t="s">
        <v>10</v>
      </c>
      <c r="D1318" t="s">
        <v>2658</v>
      </c>
      <c r="E1318" t="s">
        <v>2659</v>
      </c>
    </row>
    <row r="1319" spans="1:7" ht="14.25" hidden="1" customHeight="1" x14ac:dyDescent="0.45">
      <c r="A1319" t="str">
        <f>_xlfn.XLOOKUP(B1319,Ingot!$H$12:$H$119,Ingot!$G$12:$G$119,"")</f>
        <v>Metal</v>
      </c>
      <c r="B1319" t="s">
        <v>2643</v>
      </c>
      <c r="C1319" t="s">
        <v>10</v>
      </c>
      <c r="D1319" t="s">
        <v>2660</v>
      </c>
      <c r="E1319" t="s">
        <v>2661</v>
      </c>
      <c r="G1319" s="1">
        <v>0.05</v>
      </c>
    </row>
    <row r="1320" spans="1:7" ht="14.25" hidden="1" customHeight="1" x14ac:dyDescent="0.45">
      <c r="A1320" t="str">
        <f>_xlfn.XLOOKUP(B1320,Ingot!$H$12:$H$119,Ingot!$G$12:$G$119,"")</f>
        <v>Metal</v>
      </c>
      <c r="B1320" t="s">
        <v>2643</v>
      </c>
      <c r="C1320" t="s">
        <v>10</v>
      </c>
      <c r="D1320" t="s">
        <v>2662</v>
      </c>
      <c r="E1320" t="s">
        <v>2663</v>
      </c>
      <c r="G1320" s="1">
        <v>0.66</v>
      </c>
    </row>
    <row r="1321" spans="1:7" ht="14.25" hidden="1" customHeight="1" x14ac:dyDescent="0.45">
      <c r="A1321" t="str">
        <f>_xlfn.XLOOKUP(B1321,Ingot!$H$12:$H$119,Ingot!$G$12:$G$119,"")</f>
        <v>Metal</v>
      </c>
      <c r="B1321" t="s">
        <v>2643</v>
      </c>
      <c r="C1321" t="s">
        <v>10</v>
      </c>
      <c r="D1321" t="s">
        <v>2664</v>
      </c>
      <c r="E1321" t="s">
        <v>2665</v>
      </c>
      <c r="G1321" s="1">
        <v>3.96</v>
      </c>
    </row>
    <row r="1322" spans="1:7" ht="14.25" hidden="1" customHeight="1" x14ac:dyDescent="0.45">
      <c r="A1322" t="str">
        <f>_xlfn.XLOOKUP(B1322,Ingot!$H$12:$H$119,Ingot!$G$12:$G$119,"")</f>
        <v>Metal</v>
      </c>
      <c r="B1322" t="s">
        <v>2643</v>
      </c>
      <c r="C1322" t="s">
        <v>10</v>
      </c>
      <c r="D1322" t="s">
        <v>2666</v>
      </c>
      <c r="E1322" t="s">
        <v>2667</v>
      </c>
      <c r="G1322" s="1">
        <v>8.77</v>
      </c>
    </row>
    <row r="1323" spans="1:7" ht="14.25" hidden="1" customHeight="1" x14ac:dyDescent="0.45">
      <c r="A1323" t="str">
        <f>_xlfn.XLOOKUP(B1323,Ingot!$H$12:$H$119,Ingot!$G$12:$G$119,"")</f>
        <v>Metal</v>
      </c>
      <c r="B1323" t="s">
        <v>2643</v>
      </c>
      <c r="C1323" t="s">
        <v>10</v>
      </c>
      <c r="D1323" t="s">
        <v>2668</v>
      </c>
      <c r="E1323" t="s">
        <v>2669</v>
      </c>
      <c r="G1323" s="1">
        <v>3.5</v>
      </c>
    </row>
    <row r="1324" spans="1:7" ht="14.25" hidden="1" customHeight="1" x14ac:dyDescent="0.45">
      <c r="A1324" t="str">
        <f>_xlfn.XLOOKUP(B1324,Ingot!$H$12:$H$119,Ingot!$G$12:$G$119,"")</f>
        <v>Metal</v>
      </c>
      <c r="B1324" t="s">
        <v>2643</v>
      </c>
      <c r="C1324" t="s">
        <v>10</v>
      </c>
      <c r="D1324" t="s">
        <v>2670</v>
      </c>
      <c r="E1324" t="s">
        <v>2671</v>
      </c>
    </row>
    <row r="1325" spans="1:7" ht="14.25" hidden="1" customHeight="1" x14ac:dyDescent="0.45">
      <c r="A1325" t="str">
        <f>_xlfn.XLOOKUP(B1325,Ingot!$H$12:$H$119,Ingot!$G$12:$G$119,"")</f>
        <v>Metal</v>
      </c>
      <c r="B1325" t="s">
        <v>2643</v>
      </c>
      <c r="C1325" t="s">
        <v>10</v>
      </c>
      <c r="D1325" t="s">
        <v>2672</v>
      </c>
      <c r="E1325" t="s">
        <v>2673</v>
      </c>
      <c r="G1325" s="1">
        <v>2.2000000000000002</v>
      </c>
    </row>
    <row r="1326" spans="1:7" ht="14.25" hidden="1" customHeight="1" x14ac:dyDescent="0.45">
      <c r="A1326" t="str">
        <f>_xlfn.XLOOKUP(B1326,Ingot!$H$12:$H$119,Ingot!$G$12:$G$119,"")</f>
        <v>Metal</v>
      </c>
      <c r="B1326" t="s">
        <v>2643</v>
      </c>
      <c r="C1326" t="s">
        <v>10</v>
      </c>
      <c r="D1326" t="s">
        <v>2674</v>
      </c>
      <c r="E1326" t="s">
        <v>2675</v>
      </c>
      <c r="G1326" s="1">
        <v>1.1000000000000001</v>
      </c>
    </row>
    <row r="1327" spans="1:7" ht="14.25" hidden="1" customHeight="1" x14ac:dyDescent="0.45">
      <c r="A1327" t="str">
        <f>_xlfn.XLOOKUP(B1327,Ingot!$H$12:$H$119,Ingot!$G$12:$G$119,"")</f>
        <v>Metal</v>
      </c>
      <c r="B1327" t="s">
        <v>2643</v>
      </c>
      <c r="C1327" t="s">
        <v>10</v>
      </c>
      <c r="D1327" t="s">
        <v>2676</v>
      </c>
      <c r="E1327" t="s">
        <v>2677</v>
      </c>
      <c r="G1327" s="1">
        <v>0.22</v>
      </c>
    </row>
    <row r="1328" spans="1:7" ht="14.25" hidden="1" customHeight="1" x14ac:dyDescent="0.45">
      <c r="A1328" t="str">
        <f>_xlfn.XLOOKUP(B1328,Ingot!$H$12:$H$119,Ingot!$G$12:$G$119,"")</f>
        <v>Metal</v>
      </c>
      <c r="B1328" t="s">
        <v>2643</v>
      </c>
      <c r="C1328" t="s">
        <v>10</v>
      </c>
      <c r="D1328" t="s">
        <v>2678</v>
      </c>
      <c r="E1328" t="s">
        <v>2679</v>
      </c>
      <c r="G1328" s="1">
        <v>8.41</v>
      </c>
    </row>
    <row r="1329" spans="1:7" ht="14.25" hidden="1" customHeight="1" x14ac:dyDescent="0.45">
      <c r="A1329" t="str">
        <f>_xlfn.XLOOKUP(B1329,Ingot!$H$12:$H$119,Ingot!$G$12:$G$119,"")</f>
        <v>Metal</v>
      </c>
      <c r="B1329" t="s">
        <v>2643</v>
      </c>
      <c r="C1329" t="s">
        <v>10</v>
      </c>
      <c r="D1329" t="s">
        <v>2680</v>
      </c>
      <c r="E1329" t="s">
        <v>2681</v>
      </c>
      <c r="G1329" s="1">
        <v>3.64</v>
      </c>
    </row>
    <row r="1330" spans="1:7" ht="14.25" hidden="1" customHeight="1" x14ac:dyDescent="0.45">
      <c r="A1330" t="str">
        <f>_xlfn.XLOOKUP(B1330,Ingot!$H$12:$H$119,Ingot!$G$12:$G$119,"")</f>
        <v>Metal</v>
      </c>
      <c r="B1330" t="s">
        <v>2643</v>
      </c>
      <c r="C1330" t="s">
        <v>10</v>
      </c>
      <c r="D1330" t="s">
        <v>2682</v>
      </c>
      <c r="E1330" t="s">
        <v>2683</v>
      </c>
      <c r="G1330" s="1">
        <v>7.05</v>
      </c>
    </row>
    <row r="1331" spans="1:7" ht="14.25" hidden="1" customHeight="1" x14ac:dyDescent="0.45">
      <c r="A1331" t="str">
        <f>_xlfn.XLOOKUP(B1331,Ingot!$H$12:$H$119,Ingot!$G$12:$G$119,"")</f>
        <v>Metal</v>
      </c>
      <c r="B1331" t="s">
        <v>2643</v>
      </c>
      <c r="C1331" t="s">
        <v>10</v>
      </c>
      <c r="D1331" t="s">
        <v>2684</v>
      </c>
      <c r="E1331" t="s">
        <v>2685</v>
      </c>
      <c r="G1331" s="1">
        <v>2.65</v>
      </c>
    </row>
    <row r="1332" spans="1:7" ht="14.25" hidden="1" customHeight="1" x14ac:dyDescent="0.45">
      <c r="A1332" t="str">
        <f>_xlfn.XLOOKUP(B1332,Ingot!$H$12:$H$119,Ingot!$G$12:$G$119,"")</f>
        <v>Metal</v>
      </c>
      <c r="B1332" t="s">
        <v>2643</v>
      </c>
      <c r="C1332" t="s">
        <v>10</v>
      </c>
      <c r="D1332" t="s">
        <v>2686</v>
      </c>
      <c r="E1332" t="s">
        <v>2687</v>
      </c>
      <c r="G1332" s="1">
        <v>9</v>
      </c>
    </row>
    <row r="1333" spans="1:7" ht="14.25" hidden="1" customHeight="1" x14ac:dyDescent="0.45">
      <c r="A1333" t="str">
        <f>_xlfn.XLOOKUP(B1333,Ingot!$H$12:$H$119,Ingot!$G$12:$G$119,"")</f>
        <v>Metal</v>
      </c>
      <c r="B1333" t="s">
        <v>2643</v>
      </c>
      <c r="C1333" t="s">
        <v>10</v>
      </c>
      <c r="D1333" t="s">
        <v>2688</v>
      </c>
      <c r="E1333" t="s">
        <v>2689</v>
      </c>
      <c r="G1333" s="1">
        <v>10.23</v>
      </c>
    </row>
    <row r="1334" spans="1:7" ht="14.25" hidden="1" customHeight="1" x14ac:dyDescent="0.45">
      <c r="A1334" t="str">
        <f>_xlfn.XLOOKUP(B1334,Ingot!$H$12:$H$119,Ingot!$G$12:$G$119,"")</f>
        <v>Metal</v>
      </c>
      <c r="B1334" t="s">
        <v>2643</v>
      </c>
      <c r="C1334" t="s">
        <v>10</v>
      </c>
      <c r="D1334" t="s">
        <v>2690</v>
      </c>
      <c r="E1334" t="s">
        <v>2691</v>
      </c>
      <c r="G1334" s="1">
        <v>7.7</v>
      </c>
    </row>
    <row r="1335" spans="1:7" ht="14.25" hidden="1" customHeight="1" x14ac:dyDescent="0.45">
      <c r="A1335" t="str">
        <f>_xlfn.XLOOKUP(B1335,Ingot!$H$12:$H$119,Ingot!$G$12:$G$119,"")</f>
        <v>Metal</v>
      </c>
      <c r="B1335" t="s">
        <v>2643</v>
      </c>
      <c r="C1335" t="s">
        <v>10</v>
      </c>
      <c r="D1335" t="s">
        <v>2692</v>
      </c>
      <c r="E1335" t="s">
        <v>2693</v>
      </c>
      <c r="G1335" s="1">
        <v>10.02</v>
      </c>
    </row>
    <row r="1336" spans="1:7" ht="14.25" hidden="1" customHeight="1" x14ac:dyDescent="0.45">
      <c r="A1336" t="str">
        <f>_xlfn.XLOOKUP(B1336,Ingot!$H$12:$H$119,Ingot!$G$12:$G$119,"")</f>
        <v>Metal</v>
      </c>
      <c r="B1336" t="s">
        <v>2643</v>
      </c>
      <c r="C1336" t="s">
        <v>10</v>
      </c>
      <c r="D1336" t="s">
        <v>2694</v>
      </c>
      <c r="E1336" t="s">
        <v>2695</v>
      </c>
      <c r="G1336" s="1">
        <v>11.81</v>
      </c>
    </row>
    <row r="1337" spans="1:7" ht="14.25" hidden="1" customHeight="1" x14ac:dyDescent="0.45">
      <c r="A1337" t="str">
        <f>_xlfn.XLOOKUP(B1337,Ingot!$H$12:$H$119,Ingot!$G$12:$G$119,"")</f>
        <v>Metal</v>
      </c>
      <c r="B1337" t="s">
        <v>2643</v>
      </c>
      <c r="C1337" t="s">
        <v>10</v>
      </c>
      <c r="D1337" t="s">
        <v>2696</v>
      </c>
      <c r="E1337" t="s">
        <v>2697</v>
      </c>
      <c r="G1337" s="1">
        <v>8.44</v>
      </c>
    </row>
    <row r="1338" spans="1:7" ht="14.25" hidden="1" customHeight="1" x14ac:dyDescent="0.45">
      <c r="A1338" t="str">
        <f>_xlfn.XLOOKUP(B1338,Ingot!$H$12:$H$119,Ingot!$G$12:$G$119,"")</f>
        <v>Metal</v>
      </c>
      <c r="B1338" t="s">
        <v>2643</v>
      </c>
      <c r="C1338" t="s">
        <v>10</v>
      </c>
      <c r="D1338" t="s">
        <v>2698</v>
      </c>
      <c r="E1338" t="s">
        <v>2699</v>
      </c>
      <c r="G1338" s="1">
        <v>10.42</v>
      </c>
    </row>
    <row r="1339" spans="1:7" ht="14.25" hidden="1" customHeight="1" x14ac:dyDescent="0.45">
      <c r="A1339" t="str">
        <f>_xlfn.XLOOKUP(B1339,Ingot!$H$12:$H$119,Ingot!$G$12:$G$119,"")</f>
        <v>Metal</v>
      </c>
      <c r="B1339" t="s">
        <v>2643</v>
      </c>
      <c r="C1339" t="s">
        <v>10</v>
      </c>
      <c r="D1339" t="s">
        <v>2700</v>
      </c>
      <c r="E1339" t="s">
        <v>2701</v>
      </c>
    </row>
    <row r="1340" spans="1:7" ht="14.25" hidden="1" customHeight="1" x14ac:dyDescent="0.45">
      <c r="A1340" t="str">
        <f>_xlfn.XLOOKUP(B1340,Ingot!$H$12:$H$119,Ingot!$G$12:$G$119,"")</f>
        <v>Metal</v>
      </c>
      <c r="B1340" t="s">
        <v>2643</v>
      </c>
      <c r="C1340" t="s">
        <v>10</v>
      </c>
      <c r="D1340" t="s">
        <v>2702</v>
      </c>
      <c r="E1340" t="s">
        <v>2703</v>
      </c>
      <c r="G1340" s="1">
        <v>7.96</v>
      </c>
    </row>
    <row r="1341" spans="1:7" ht="14.25" hidden="1" customHeight="1" x14ac:dyDescent="0.45">
      <c r="A1341" t="str">
        <f>_xlfn.XLOOKUP(B1341,Ingot!$H$12:$H$119,Ingot!$G$12:$G$119,"")</f>
        <v>Metal</v>
      </c>
      <c r="B1341" t="s">
        <v>2643</v>
      </c>
      <c r="C1341" t="s">
        <v>10</v>
      </c>
      <c r="D1341" t="s">
        <v>2704</v>
      </c>
      <c r="E1341" t="s">
        <v>2705</v>
      </c>
      <c r="G1341" s="1">
        <v>9.64</v>
      </c>
    </row>
    <row r="1342" spans="1:7" ht="14.25" hidden="1" customHeight="1" x14ac:dyDescent="0.45">
      <c r="A1342" t="str">
        <f>_xlfn.XLOOKUP(B1342,Ingot!$H$12:$H$119,Ingot!$G$12:$G$119,"")</f>
        <v>Metal</v>
      </c>
      <c r="B1342" t="s">
        <v>2643</v>
      </c>
      <c r="C1342" t="s">
        <v>10</v>
      </c>
      <c r="D1342" t="s">
        <v>2706</v>
      </c>
      <c r="E1342" t="s">
        <v>2707</v>
      </c>
      <c r="G1342" s="1">
        <v>7.94</v>
      </c>
    </row>
    <row r="1343" spans="1:7" ht="14.25" hidden="1" customHeight="1" x14ac:dyDescent="0.45">
      <c r="A1343" t="str">
        <f>_xlfn.XLOOKUP(B1343,Ingot!$H$12:$H$119,Ingot!$G$12:$G$119,"")</f>
        <v>Metal</v>
      </c>
      <c r="B1343" t="s">
        <v>2643</v>
      </c>
      <c r="C1343" t="s">
        <v>10</v>
      </c>
      <c r="D1343" t="s">
        <v>2708</v>
      </c>
      <c r="E1343" t="s">
        <v>2709</v>
      </c>
      <c r="G1343" s="1">
        <v>8.66</v>
      </c>
    </row>
    <row r="1344" spans="1:7" ht="14.25" hidden="1" customHeight="1" x14ac:dyDescent="0.45">
      <c r="A1344" t="str">
        <f>_xlfn.XLOOKUP(B1344,Ingot!$H$12:$H$119,Ingot!$G$12:$G$119,"")</f>
        <v>Metal</v>
      </c>
      <c r="B1344" t="s">
        <v>2643</v>
      </c>
      <c r="C1344" t="s">
        <v>10</v>
      </c>
      <c r="D1344" t="s">
        <v>2710</v>
      </c>
      <c r="E1344" t="s">
        <v>2711</v>
      </c>
    </row>
    <row r="1345" spans="1:7" ht="14.25" hidden="1" customHeight="1" x14ac:dyDescent="0.45">
      <c r="A1345" t="str">
        <f>_xlfn.XLOOKUP(B1345,Ingot!$H$12:$H$119,Ingot!$G$12:$G$119,"")</f>
        <v>Metal</v>
      </c>
      <c r="B1345" t="s">
        <v>2643</v>
      </c>
      <c r="C1345" t="s">
        <v>10</v>
      </c>
      <c r="D1345" t="s">
        <v>2712</v>
      </c>
      <c r="E1345" t="s">
        <v>2713</v>
      </c>
      <c r="G1345" s="1">
        <v>2.65</v>
      </c>
    </row>
    <row r="1346" spans="1:7" ht="14.25" hidden="1" customHeight="1" x14ac:dyDescent="0.45">
      <c r="A1346" t="str">
        <f>_xlfn.XLOOKUP(B1346,Ingot!$H$12:$H$119,Ingot!$G$12:$G$119,"")</f>
        <v>Metal</v>
      </c>
      <c r="B1346" t="s">
        <v>2643</v>
      </c>
      <c r="C1346" t="s">
        <v>10</v>
      </c>
      <c r="D1346" t="s">
        <v>2714</v>
      </c>
      <c r="E1346" t="s">
        <v>2715</v>
      </c>
    </row>
    <row r="1347" spans="1:7" ht="14.25" hidden="1" customHeight="1" x14ac:dyDescent="0.45">
      <c r="A1347" t="str">
        <f>_xlfn.XLOOKUP(B1347,Ingot!$H$12:$H$119,Ingot!$G$12:$G$119,"")</f>
        <v>Metal</v>
      </c>
      <c r="B1347" t="s">
        <v>2643</v>
      </c>
      <c r="C1347" t="s">
        <v>10</v>
      </c>
      <c r="D1347" t="s">
        <v>2716</v>
      </c>
      <c r="E1347" t="s">
        <v>2717</v>
      </c>
      <c r="G1347" s="1">
        <v>12.64</v>
      </c>
    </row>
    <row r="1348" spans="1:7" ht="14.25" hidden="1" customHeight="1" x14ac:dyDescent="0.45">
      <c r="A1348" t="str">
        <f>_xlfn.XLOOKUP(B1348,Ingot!$H$12:$H$119,Ingot!$G$12:$G$119,"")</f>
        <v>Metal</v>
      </c>
      <c r="B1348" t="s">
        <v>2643</v>
      </c>
      <c r="C1348" t="s">
        <v>10</v>
      </c>
      <c r="D1348" t="s">
        <v>2718</v>
      </c>
      <c r="E1348" t="s">
        <v>2719</v>
      </c>
      <c r="G1348" s="1">
        <v>22.67</v>
      </c>
    </row>
    <row r="1349" spans="1:7" ht="14.25" hidden="1" customHeight="1" x14ac:dyDescent="0.45">
      <c r="A1349" t="str">
        <f>_xlfn.XLOOKUP(B1349,Ingot!$H$12:$H$119,Ingot!$G$12:$G$119,"")</f>
        <v>Metal</v>
      </c>
      <c r="B1349" t="s">
        <v>2643</v>
      </c>
      <c r="C1349" t="s">
        <v>10</v>
      </c>
      <c r="D1349" t="s">
        <v>2720</v>
      </c>
      <c r="E1349" t="s">
        <v>2721</v>
      </c>
      <c r="G1349" s="1">
        <v>8.3800000000000008</v>
      </c>
    </row>
    <row r="1350" spans="1:7" ht="14.25" hidden="1" customHeight="1" x14ac:dyDescent="0.45">
      <c r="A1350" t="str">
        <f>_xlfn.XLOOKUP(B1350,Ingot!$H$12:$H$119,Ingot!$G$12:$G$119,"")</f>
        <v>Metal</v>
      </c>
      <c r="B1350" t="s">
        <v>2643</v>
      </c>
      <c r="C1350" t="s">
        <v>10</v>
      </c>
      <c r="D1350" t="s">
        <v>2722</v>
      </c>
      <c r="E1350" t="s">
        <v>2723</v>
      </c>
      <c r="G1350" s="1">
        <v>2.2000000000000002</v>
      </c>
    </row>
    <row r="1351" spans="1:7" ht="14.25" hidden="1" customHeight="1" x14ac:dyDescent="0.45">
      <c r="A1351" t="str">
        <f>_xlfn.XLOOKUP(B1351,Ingot!$H$12:$H$119,Ingot!$G$12:$G$119,"")</f>
        <v>Metal</v>
      </c>
      <c r="B1351" t="s">
        <v>2643</v>
      </c>
      <c r="C1351" t="s">
        <v>10</v>
      </c>
      <c r="D1351" t="s">
        <v>2724</v>
      </c>
      <c r="E1351" t="s">
        <v>2725</v>
      </c>
      <c r="G1351" s="1">
        <v>3.09</v>
      </c>
    </row>
    <row r="1352" spans="1:7" ht="14.25" hidden="1" customHeight="1" x14ac:dyDescent="0.45">
      <c r="A1352" t="str">
        <f>_xlfn.XLOOKUP(B1352,Ingot!$H$12:$H$119,Ingot!$G$12:$G$119,"")</f>
        <v>Metal</v>
      </c>
      <c r="B1352" t="s">
        <v>2643</v>
      </c>
      <c r="C1352" t="s">
        <v>10</v>
      </c>
      <c r="D1352" t="s">
        <v>2726</v>
      </c>
      <c r="E1352" t="s">
        <v>2727</v>
      </c>
      <c r="G1352" s="1">
        <v>2.2999999999999998</v>
      </c>
    </row>
    <row r="1353" spans="1:7" ht="14.25" hidden="1" customHeight="1" x14ac:dyDescent="0.45">
      <c r="A1353" t="str">
        <f>_xlfn.XLOOKUP(B1353,Ingot!$H$12:$H$119,Ingot!$G$12:$G$119,"")</f>
        <v>Metal</v>
      </c>
      <c r="B1353" t="s">
        <v>2643</v>
      </c>
      <c r="C1353" t="s">
        <v>10</v>
      </c>
      <c r="D1353" t="s">
        <v>2728</v>
      </c>
      <c r="E1353" t="s">
        <v>2729</v>
      </c>
      <c r="G1353" s="1">
        <v>4.88</v>
      </c>
    </row>
    <row r="1354" spans="1:7" ht="14.25" hidden="1" customHeight="1" x14ac:dyDescent="0.45">
      <c r="A1354" t="str">
        <f>_xlfn.XLOOKUP(B1354,Ingot!$H$12:$H$119,Ingot!$G$12:$G$119,"")</f>
        <v>Metal</v>
      </c>
      <c r="B1354" t="s">
        <v>2643</v>
      </c>
      <c r="C1354" t="s">
        <v>10</v>
      </c>
      <c r="D1354" t="s">
        <v>2730</v>
      </c>
      <c r="E1354" t="s">
        <v>2731</v>
      </c>
      <c r="G1354" s="1">
        <v>8.43</v>
      </c>
    </row>
    <row r="1355" spans="1:7" ht="14.25" hidden="1" customHeight="1" x14ac:dyDescent="0.45">
      <c r="A1355" t="str">
        <f>_xlfn.XLOOKUP(B1355,Ingot!$H$12:$H$119,Ingot!$G$12:$G$119,"")</f>
        <v>Metal</v>
      </c>
      <c r="B1355" t="s">
        <v>2643</v>
      </c>
      <c r="C1355" t="s">
        <v>10</v>
      </c>
      <c r="D1355" t="s">
        <v>2732</v>
      </c>
      <c r="E1355" t="s">
        <v>2733</v>
      </c>
      <c r="G1355" s="1">
        <v>13.07</v>
      </c>
    </row>
    <row r="1356" spans="1:7" ht="14.25" hidden="1" customHeight="1" x14ac:dyDescent="0.45">
      <c r="A1356" t="str">
        <f>_xlfn.XLOOKUP(B1356,Ingot!$H$12:$H$119,Ingot!$G$12:$G$119,"")</f>
        <v>Metal</v>
      </c>
      <c r="B1356" t="s">
        <v>2643</v>
      </c>
      <c r="C1356" t="s">
        <v>10</v>
      </c>
      <c r="D1356" t="s">
        <v>2734</v>
      </c>
      <c r="E1356" t="s">
        <v>2735</v>
      </c>
    </row>
    <row r="1357" spans="1:7" ht="14.25" hidden="1" customHeight="1" x14ac:dyDescent="0.45">
      <c r="A1357" t="str">
        <f>_xlfn.XLOOKUP(B1357,Ingot!$H$12:$H$119,Ingot!$G$12:$G$119,"")</f>
        <v>Metal</v>
      </c>
      <c r="B1357" t="s">
        <v>2643</v>
      </c>
      <c r="C1357" t="s">
        <v>10</v>
      </c>
      <c r="D1357" t="s">
        <v>2736</v>
      </c>
      <c r="E1357" t="s">
        <v>2737</v>
      </c>
    </row>
    <row r="1358" spans="1:7" ht="14.25" hidden="1" customHeight="1" x14ac:dyDescent="0.45">
      <c r="A1358" t="str">
        <f>_xlfn.XLOOKUP(B1358,Ingot!$H$12:$H$119,Ingot!$G$12:$G$119,"")</f>
        <v>Metal</v>
      </c>
      <c r="B1358" t="s">
        <v>2643</v>
      </c>
      <c r="C1358" t="s">
        <v>10</v>
      </c>
      <c r="D1358" t="s">
        <v>2738</v>
      </c>
      <c r="E1358" t="s">
        <v>2739</v>
      </c>
      <c r="G1358" s="1">
        <v>6.8</v>
      </c>
    </row>
    <row r="1359" spans="1:7" ht="14.25" hidden="1" customHeight="1" x14ac:dyDescent="0.45">
      <c r="A1359" t="str">
        <f>_xlfn.XLOOKUP(B1359,Ingot!$H$12:$H$119,Ingot!$G$12:$G$119,"")</f>
        <v>Metal</v>
      </c>
      <c r="B1359" t="s">
        <v>2643</v>
      </c>
      <c r="C1359" t="s">
        <v>10</v>
      </c>
      <c r="D1359" t="s">
        <v>2740</v>
      </c>
      <c r="E1359" t="s">
        <v>2741</v>
      </c>
      <c r="G1359" s="1">
        <v>6.88</v>
      </c>
    </row>
    <row r="1360" spans="1:7" ht="14.25" hidden="1" customHeight="1" x14ac:dyDescent="0.45">
      <c r="A1360" t="str">
        <f>_xlfn.XLOOKUP(B1360,Ingot!$H$12:$H$119,Ingot!$G$12:$G$119,"")</f>
        <v>Metal</v>
      </c>
      <c r="B1360" t="s">
        <v>2643</v>
      </c>
      <c r="C1360" t="s">
        <v>10</v>
      </c>
      <c r="D1360" t="s">
        <v>2742</v>
      </c>
      <c r="E1360" t="s">
        <v>2743</v>
      </c>
      <c r="G1360" s="1">
        <v>5.5</v>
      </c>
    </row>
    <row r="1361" spans="1:7" ht="14.25" hidden="1" customHeight="1" x14ac:dyDescent="0.45">
      <c r="A1361" t="str">
        <f>_xlfn.XLOOKUP(B1361,Ingot!$H$12:$H$119,Ingot!$G$12:$G$119,"")</f>
        <v>Metal</v>
      </c>
      <c r="B1361" t="s">
        <v>2643</v>
      </c>
      <c r="C1361" t="s">
        <v>10</v>
      </c>
      <c r="D1361" t="s">
        <v>2744</v>
      </c>
      <c r="E1361" t="s">
        <v>2745</v>
      </c>
      <c r="G1361" s="1">
        <v>2.4300000000000002</v>
      </c>
    </row>
    <row r="1362" spans="1:7" ht="14.25" hidden="1" customHeight="1" x14ac:dyDescent="0.45">
      <c r="A1362" t="str">
        <f>_xlfn.XLOOKUP(B1362,Ingot!$H$12:$H$119,Ingot!$G$12:$G$119,"")</f>
        <v>Metal</v>
      </c>
      <c r="B1362" t="s">
        <v>2643</v>
      </c>
      <c r="C1362" t="s">
        <v>10</v>
      </c>
      <c r="D1362" t="s">
        <v>2746</v>
      </c>
      <c r="E1362" t="s">
        <v>2747</v>
      </c>
      <c r="G1362" s="1">
        <v>6.96</v>
      </c>
    </row>
    <row r="1363" spans="1:7" ht="14.25" hidden="1" customHeight="1" x14ac:dyDescent="0.45">
      <c r="A1363" t="str">
        <f>_xlfn.XLOOKUP(B1363,Ingot!$H$12:$H$119,Ingot!$G$12:$G$119,"")</f>
        <v>Metal</v>
      </c>
      <c r="B1363" t="s">
        <v>2643</v>
      </c>
      <c r="C1363" t="s">
        <v>10</v>
      </c>
      <c r="D1363" t="s">
        <v>2748</v>
      </c>
      <c r="E1363" t="s">
        <v>2749</v>
      </c>
      <c r="G1363" s="1">
        <v>6.32</v>
      </c>
    </row>
    <row r="1364" spans="1:7" ht="14.25" hidden="1" customHeight="1" x14ac:dyDescent="0.45">
      <c r="A1364" t="str">
        <f>_xlfn.XLOOKUP(B1364,Ingot!$H$12:$H$119,Ingot!$G$12:$G$119,"")</f>
        <v>Metal</v>
      </c>
      <c r="B1364" t="s">
        <v>2643</v>
      </c>
      <c r="C1364" t="s">
        <v>10</v>
      </c>
      <c r="D1364" t="s">
        <v>2750</v>
      </c>
      <c r="E1364" t="s">
        <v>2751</v>
      </c>
      <c r="G1364" s="1">
        <v>6.88</v>
      </c>
    </row>
    <row r="1365" spans="1:7" ht="14.25" hidden="1" customHeight="1" x14ac:dyDescent="0.45">
      <c r="A1365" t="str">
        <f>_xlfn.XLOOKUP(B1365,Ingot!$H$12:$H$119,Ingot!$G$12:$G$119,"")</f>
        <v>Metal</v>
      </c>
      <c r="B1365" t="s">
        <v>2643</v>
      </c>
      <c r="C1365" t="s">
        <v>10</v>
      </c>
      <c r="D1365" t="s">
        <v>2752</v>
      </c>
      <c r="E1365" t="s">
        <v>2753</v>
      </c>
      <c r="G1365" s="1">
        <v>2.44</v>
      </c>
    </row>
    <row r="1366" spans="1:7" ht="14.25" hidden="1" customHeight="1" x14ac:dyDescent="0.45">
      <c r="A1366" t="str">
        <f>_xlfn.XLOOKUP(B1366,Ingot!$H$12:$H$119,Ingot!$G$12:$G$119,"")</f>
        <v>Metal</v>
      </c>
      <c r="B1366" t="s">
        <v>2643</v>
      </c>
      <c r="C1366" t="s">
        <v>10</v>
      </c>
      <c r="D1366" t="s">
        <v>2754</v>
      </c>
      <c r="E1366" t="s">
        <v>2755</v>
      </c>
    </row>
    <row r="1367" spans="1:7" ht="14.25" hidden="1" customHeight="1" x14ac:dyDescent="0.45">
      <c r="A1367" t="str">
        <f>_xlfn.XLOOKUP(B1367,Ingot!$H$12:$H$119,Ingot!$G$12:$G$119,"")</f>
        <v>Metal</v>
      </c>
      <c r="B1367" t="s">
        <v>2643</v>
      </c>
      <c r="C1367" t="s">
        <v>10</v>
      </c>
      <c r="D1367" t="s">
        <v>2756</v>
      </c>
      <c r="E1367" t="s">
        <v>2757</v>
      </c>
    </row>
    <row r="1368" spans="1:7" ht="14.25" hidden="1" customHeight="1" x14ac:dyDescent="0.45">
      <c r="A1368" t="str">
        <f>_xlfn.XLOOKUP(B1368,Ingot!$H$12:$H$119,Ingot!$G$12:$G$119,"")</f>
        <v>Metal</v>
      </c>
      <c r="B1368" t="s">
        <v>2643</v>
      </c>
      <c r="C1368" t="s">
        <v>10</v>
      </c>
      <c r="D1368" t="s">
        <v>2758</v>
      </c>
      <c r="E1368" t="s">
        <v>2759</v>
      </c>
      <c r="G1368" s="1">
        <v>3.11</v>
      </c>
    </row>
    <row r="1369" spans="1:7" ht="14.25" hidden="1" customHeight="1" x14ac:dyDescent="0.45">
      <c r="A1369" t="str">
        <f>_xlfn.XLOOKUP(B1369,Ingot!$H$12:$H$119,Ingot!$G$12:$G$119,"")</f>
        <v>Metal</v>
      </c>
      <c r="B1369" t="s">
        <v>2643</v>
      </c>
      <c r="C1369" t="s">
        <v>10</v>
      </c>
      <c r="D1369" t="s">
        <v>2760</v>
      </c>
      <c r="E1369" t="s">
        <v>2761</v>
      </c>
      <c r="G1369" s="1">
        <v>2.44</v>
      </c>
    </row>
    <row r="1370" spans="1:7" ht="14.25" hidden="1" customHeight="1" x14ac:dyDescent="0.45">
      <c r="A1370" t="str">
        <f>_xlfn.XLOOKUP(B1370,Ingot!$H$12:$H$119,Ingot!$G$12:$G$119,"")</f>
        <v>Metal</v>
      </c>
      <c r="B1370" t="s">
        <v>2643</v>
      </c>
      <c r="C1370" t="s">
        <v>10</v>
      </c>
      <c r="D1370" t="s">
        <v>2762</v>
      </c>
      <c r="E1370" t="s">
        <v>2763</v>
      </c>
      <c r="G1370" s="1">
        <v>8.61</v>
      </c>
    </row>
    <row r="1371" spans="1:7" ht="14.25" hidden="1" customHeight="1" x14ac:dyDescent="0.45">
      <c r="A1371" t="str">
        <f>_xlfn.XLOOKUP(B1371,Ingot!$H$12:$H$119,Ingot!$G$12:$G$119,"")</f>
        <v>Metal</v>
      </c>
      <c r="B1371" t="s">
        <v>2643</v>
      </c>
      <c r="C1371" t="s">
        <v>10</v>
      </c>
      <c r="D1371" t="s">
        <v>2764</v>
      </c>
      <c r="E1371" t="s">
        <v>2765</v>
      </c>
    </row>
    <row r="1372" spans="1:7" ht="14.25" hidden="1" customHeight="1" x14ac:dyDescent="0.45">
      <c r="A1372" t="str">
        <f>_xlfn.XLOOKUP(B1372,Ingot!$H$12:$H$119,Ingot!$G$12:$G$119,"")</f>
        <v>Metal</v>
      </c>
      <c r="B1372" t="s">
        <v>2643</v>
      </c>
      <c r="C1372" t="s">
        <v>10</v>
      </c>
      <c r="D1372" t="s">
        <v>2766</v>
      </c>
      <c r="E1372" t="s">
        <v>2767</v>
      </c>
      <c r="G1372" s="1">
        <v>3.21</v>
      </c>
    </row>
    <row r="1373" spans="1:7" ht="14.25" hidden="1" customHeight="1" x14ac:dyDescent="0.45">
      <c r="A1373" t="str">
        <f>_xlfn.XLOOKUP(B1373,Ingot!$H$12:$H$119,Ingot!$G$12:$G$119,"")</f>
        <v>Metal</v>
      </c>
      <c r="B1373" t="s">
        <v>2643</v>
      </c>
      <c r="C1373" t="s">
        <v>10</v>
      </c>
      <c r="D1373" t="s">
        <v>2768</v>
      </c>
      <c r="E1373" t="s">
        <v>2769</v>
      </c>
      <c r="G1373" s="1">
        <v>2.77</v>
      </c>
    </row>
    <row r="1374" spans="1:7" ht="14.25" hidden="1" customHeight="1" x14ac:dyDescent="0.45">
      <c r="A1374" t="str">
        <f>_xlfn.XLOOKUP(B1374,Ingot!$H$12:$H$119,Ingot!$G$12:$G$119,"")</f>
        <v>Metal</v>
      </c>
      <c r="B1374" t="s">
        <v>2643</v>
      </c>
      <c r="C1374" t="s">
        <v>10</v>
      </c>
      <c r="D1374" t="s">
        <v>2770</v>
      </c>
      <c r="E1374" t="s">
        <v>2771</v>
      </c>
      <c r="G1374" s="1">
        <v>4.8899999999999997</v>
      </c>
    </row>
    <row r="1375" spans="1:7" ht="14.25" hidden="1" customHeight="1" x14ac:dyDescent="0.45">
      <c r="A1375" t="str">
        <f>_xlfn.XLOOKUP(B1375,Ingot!$H$12:$H$119,Ingot!$G$12:$G$119,"")</f>
        <v>Metal</v>
      </c>
      <c r="B1375" t="s">
        <v>2643</v>
      </c>
      <c r="C1375" t="s">
        <v>10</v>
      </c>
      <c r="D1375" t="s">
        <v>2772</v>
      </c>
      <c r="E1375" t="s">
        <v>2773</v>
      </c>
      <c r="G1375" s="1">
        <v>1.76</v>
      </c>
    </row>
    <row r="1376" spans="1:7" ht="14.25" hidden="1" customHeight="1" x14ac:dyDescent="0.45">
      <c r="A1376" t="str">
        <f>_xlfn.XLOOKUP(B1376,Ingot!$H$12:$H$119,Ingot!$G$12:$G$119,"")</f>
        <v>Metal</v>
      </c>
      <c r="B1376" t="s">
        <v>2643</v>
      </c>
      <c r="C1376" t="s">
        <v>10</v>
      </c>
      <c r="D1376" t="s">
        <v>2774</v>
      </c>
      <c r="E1376" t="s">
        <v>2775</v>
      </c>
    </row>
    <row r="1377" spans="1:7" ht="14.25" hidden="1" customHeight="1" x14ac:dyDescent="0.45">
      <c r="A1377" t="str">
        <f>_xlfn.XLOOKUP(B1377,Ingot!$H$12:$H$119,Ingot!$G$12:$G$119,"")</f>
        <v>Metal</v>
      </c>
      <c r="B1377" t="s">
        <v>2643</v>
      </c>
      <c r="C1377" t="s">
        <v>10</v>
      </c>
      <c r="D1377" t="s">
        <v>2776</v>
      </c>
      <c r="E1377" t="s">
        <v>2777</v>
      </c>
      <c r="G1377" s="1">
        <v>8.57</v>
      </c>
    </row>
    <row r="1378" spans="1:7" ht="14.25" hidden="1" customHeight="1" x14ac:dyDescent="0.45">
      <c r="A1378" t="str">
        <f>_xlfn.XLOOKUP(B1378,Ingot!$H$12:$H$119,Ingot!$G$12:$G$119,"")</f>
        <v>Metal</v>
      </c>
      <c r="B1378" t="s">
        <v>2643</v>
      </c>
      <c r="C1378" t="s">
        <v>10</v>
      </c>
      <c r="D1378" t="s">
        <v>2778</v>
      </c>
      <c r="E1378" t="s">
        <v>2779</v>
      </c>
    </row>
    <row r="1379" spans="1:7" ht="14.25" hidden="1" customHeight="1" x14ac:dyDescent="0.45">
      <c r="A1379" t="str">
        <f>_xlfn.XLOOKUP(B1379,Ingot!$H$12:$H$119,Ingot!$G$12:$G$119,"")</f>
        <v>Metal</v>
      </c>
      <c r="B1379" t="s">
        <v>2643</v>
      </c>
      <c r="C1379" t="s">
        <v>10</v>
      </c>
      <c r="D1379" t="s">
        <v>2780</v>
      </c>
      <c r="E1379" t="s">
        <v>2781</v>
      </c>
      <c r="G1379" s="1">
        <v>3.56</v>
      </c>
    </row>
    <row r="1380" spans="1:7" ht="14.25" hidden="1" customHeight="1" x14ac:dyDescent="0.45">
      <c r="A1380" t="str">
        <f>_xlfn.XLOOKUP(B1380,Ingot!$H$12:$H$119,Ingot!$G$12:$G$119,"")</f>
        <v>Metal</v>
      </c>
      <c r="B1380" t="s">
        <v>2643</v>
      </c>
      <c r="C1380" t="s">
        <v>10</v>
      </c>
      <c r="D1380" t="s">
        <v>2782</v>
      </c>
      <c r="E1380" t="s">
        <v>2783</v>
      </c>
      <c r="G1380" s="1">
        <v>8.91</v>
      </c>
    </row>
    <row r="1381" spans="1:7" ht="14.25" hidden="1" customHeight="1" x14ac:dyDescent="0.45">
      <c r="A1381" t="str">
        <f>_xlfn.XLOOKUP(B1381,Ingot!$H$12:$H$119,Ingot!$G$12:$G$119,"")</f>
        <v>Metal</v>
      </c>
      <c r="B1381" t="s">
        <v>2643</v>
      </c>
      <c r="C1381" t="s">
        <v>10</v>
      </c>
      <c r="D1381" t="s">
        <v>2784</v>
      </c>
      <c r="E1381" t="s">
        <v>2785</v>
      </c>
      <c r="G1381" s="1">
        <v>11.02</v>
      </c>
    </row>
    <row r="1382" spans="1:7" ht="14.25" hidden="1" customHeight="1" x14ac:dyDescent="0.45">
      <c r="A1382" t="str">
        <f>_xlfn.XLOOKUP(B1382,Ingot!$H$12:$H$119,Ingot!$G$12:$G$119,"")</f>
        <v>Metal</v>
      </c>
      <c r="B1382" t="s">
        <v>2643</v>
      </c>
      <c r="C1382" t="s">
        <v>10</v>
      </c>
      <c r="D1382" t="s">
        <v>2786</v>
      </c>
      <c r="E1382" t="s">
        <v>2787</v>
      </c>
      <c r="G1382" s="1">
        <v>5.12</v>
      </c>
    </row>
    <row r="1383" spans="1:7" ht="14.25" hidden="1" customHeight="1" x14ac:dyDescent="0.45">
      <c r="A1383" t="str">
        <f>_xlfn.XLOOKUP(B1383,Ingot!$H$12:$H$119,Ingot!$G$12:$G$119,"")</f>
        <v>Metal</v>
      </c>
      <c r="B1383" t="s">
        <v>2643</v>
      </c>
      <c r="C1383" t="s">
        <v>10</v>
      </c>
      <c r="D1383" t="s">
        <v>2788</v>
      </c>
      <c r="E1383" t="s">
        <v>2789</v>
      </c>
      <c r="G1383" s="1">
        <v>4.41</v>
      </c>
    </row>
    <row r="1384" spans="1:7" ht="14.25" hidden="1" customHeight="1" x14ac:dyDescent="0.45">
      <c r="A1384" t="str">
        <f>_xlfn.XLOOKUP(B1384,Ingot!$H$12:$H$119,Ingot!$G$12:$G$119,"")</f>
        <v>Metal</v>
      </c>
      <c r="B1384" t="s">
        <v>2643</v>
      </c>
      <c r="C1384" t="s">
        <v>157</v>
      </c>
      <c r="D1384" t="s">
        <v>2790</v>
      </c>
      <c r="E1384" t="s">
        <v>2791</v>
      </c>
      <c r="G1384" s="1">
        <v>35</v>
      </c>
    </row>
    <row r="1385" spans="1:7" ht="14.25" hidden="1" customHeight="1" x14ac:dyDescent="0.45">
      <c r="A1385" t="str">
        <f>_xlfn.XLOOKUP(B1385,Ingot!$H$12:$H$119,Ingot!$G$12:$G$119,"")</f>
        <v>Metal</v>
      </c>
      <c r="B1385" t="s">
        <v>2643</v>
      </c>
      <c r="C1385" t="s">
        <v>157</v>
      </c>
      <c r="D1385" t="s">
        <v>2792</v>
      </c>
      <c r="E1385" t="s">
        <v>2793</v>
      </c>
      <c r="G1385" s="1">
        <v>7</v>
      </c>
    </row>
    <row r="1386" spans="1:7" ht="14.25" hidden="1" customHeight="1" x14ac:dyDescent="0.45">
      <c r="A1386" t="str">
        <f>_xlfn.XLOOKUP(B1386,Ingot!$H$12:$H$119,Ingot!$G$12:$G$119,"")</f>
        <v>Metal</v>
      </c>
      <c r="B1386" t="s">
        <v>2643</v>
      </c>
      <c r="C1386" t="s">
        <v>157</v>
      </c>
      <c r="D1386" t="s">
        <v>2794</v>
      </c>
      <c r="E1386" t="s">
        <v>2795</v>
      </c>
      <c r="G1386" s="1">
        <v>7</v>
      </c>
    </row>
    <row r="1387" spans="1:7" ht="14.25" hidden="1" customHeight="1" x14ac:dyDescent="0.45">
      <c r="A1387" t="str">
        <f>_xlfn.XLOOKUP(B1387,Ingot!$H$12:$H$119,Ingot!$G$12:$G$119,"")</f>
        <v>Metal</v>
      </c>
      <c r="B1387" t="s">
        <v>2643</v>
      </c>
      <c r="C1387" t="s">
        <v>157</v>
      </c>
      <c r="D1387" t="s">
        <v>2796</v>
      </c>
      <c r="E1387" t="s">
        <v>2797</v>
      </c>
      <c r="G1387" s="1">
        <v>5</v>
      </c>
    </row>
    <row r="1388" spans="1:7" ht="14.25" hidden="1" customHeight="1" x14ac:dyDescent="0.45">
      <c r="A1388" t="str">
        <f>_xlfn.XLOOKUP(B1388,Ingot!$H$12:$H$119,Ingot!$G$12:$G$119,"")</f>
        <v>Metal</v>
      </c>
      <c r="B1388" t="s">
        <v>2643</v>
      </c>
      <c r="C1388" t="s">
        <v>157</v>
      </c>
      <c r="D1388" t="s">
        <v>2798</v>
      </c>
      <c r="E1388" t="s">
        <v>2799</v>
      </c>
      <c r="G1388" s="1">
        <v>10</v>
      </c>
    </row>
    <row r="1389" spans="1:7" ht="14.25" hidden="1" customHeight="1" x14ac:dyDescent="0.45">
      <c r="A1389" t="str">
        <f>_xlfn.XLOOKUP(B1389,Ingot!$H$12:$H$119,Ingot!$G$12:$G$119,"")</f>
        <v>Metal</v>
      </c>
      <c r="B1389" t="s">
        <v>2643</v>
      </c>
      <c r="C1389" t="s">
        <v>157</v>
      </c>
      <c r="D1389" t="s">
        <v>2800</v>
      </c>
      <c r="E1389" t="s">
        <v>2801</v>
      </c>
      <c r="G1389" s="1">
        <v>29.5</v>
      </c>
    </row>
    <row r="1390" spans="1:7" ht="14.25" hidden="1" customHeight="1" x14ac:dyDescent="0.45">
      <c r="A1390" t="str">
        <f>_xlfn.XLOOKUP(B1390,Ingot!$H$12:$H$119,Ingot!$G$12:$G$119,"")</f>
        <v>Metal</v>
      </c>
      <c r="B1390" t="s">
        <v>2643</v>
      </c>
      <c r="C1390" t="s">
        <v>157</v>
      </c>
      <c r="D1390" t="s">
        <v>2802</v>
      </c>
      <c r="E1390" t="s">
        <v>2803</v>
      </c>
      <c r="G1390" s="1">
        <v>5.9</v>
      </c>
    </row>
    <row r="1391" spans="1:7" ht="14.25" hidden="1" customHeight="1" x14ac:dyDescent="0.45">
      <c r="A1391" t="str">
        <f>_xlfn.XLOOKUP(B1391,Ingot!$H$12:$H$119,Ingot!$G$12:$G$119,"")</f>
        <v>Metal</v>
      </c>
      <c r="B1391" t="s">
        <v>2643</v>
      </c>
      <c r="C1391" t="s">
        <v>157</v>
      </c>
      <c r="D1391" t="s">
        <v>2804</v>
      </c>
      <c r="E1391" t="s">
        <v>2805</v>
      </c>
      <c r="G1391" s="1">
        <v>5.9</v>
      </c>
    </row>
    <row r="1392" spans="1:7" ht="14.25" hidden="1" customHeight="1" x14ac:dyDescent="0.45">
      <c r="A1392" t="str">
        <f>_xlfn.XLOOKUP(B1392,Ingot!$H$12:$H$119,Ingot!$G$12:$G$119,"")</f>
        <v>Metal</v>
      </c>
      <c r="B1392" t="s">
        <v>2643</v>
      </c>
      <c r="C1392" t="s">
        <v>157</v>
      </c>
      <c r="D1392" t="s">
        <v>2806</v>
      </c>
      <c r="E1392" t="s">
        <v>2807</v>
      </c>
      <c r="G1392" s="1">
        <v>5</v>
      </c>
    </row>
    <row r="1393" spans="1:7" ht="14.25" hidden="1" customHeight="1" x14ac:dyDescent="0.45">
      <c r="A1393" t="str">
        <f>_xlfn.XLOOKUP(B1393,Ingot!$H$12:$H$119,Ingot!$G$12:$G$119,"")</f>
        <v>Metal</v>
      </c>
      <c r="B1393" t="s">
        <v>2643</v>
      </c>
      <c r="C1393" t="s">
        <v>157</v>
      </c>
      <c r="D1393" t="s">
        <v>2808</v>
      </c>
      <c r="E1393" t="s">
        <v>2809</v>
      </c>
      <c r="G1393" s="1">
        <v>10</v>
      </c>
    </row>
    <row r="1394" spans="1:7" ht="14.25" hidden="1" customHeight="1" x14ac:dyDescent="0.45">
      <c r="A1394" t="str">
        <f>_xlfn.XLOOKUP(B1394,Ingot!$H$12:$H$119,Ingot!$G$12:$G$119,"")</f>
        <v>Metal</v>
      </c>
      <c r="B1394" t="s">
        <v>2643</v>
      </c>
      <c r="C1394" t="s">
        <v>157</v>
      </c>
      <c r="D1394" t="s">
        <v>2810</v>
      </c>
      <c r="E1394" t="s">
        <v>2811</v>
      </c>
      <c r="G1394" s="1">
        <v>28.5</v>
      </c>
    </row>
    <row r="1395" spans="1:7" ht="14.25" hidden="1" customHeight="1" x14ac:dyDescent="0.45">
      <c r="A1395" t="str">
        <f>_xlfn.XLOOKUP(B1395,Ingot!$H$12:$H$119,Ingot!$G$12:$G$119,"")</f>
        <v>Metal</v>
      </c>
      <c r="B1395" t="s">
        <v>2643</v>
      </c>
      <c r="C1395" t="s">
        <v>157</v>
      </c>
      <c r="D1395" t="s">
        <v>2812</v>
      </c>
      <c r="E1395" t="s">
        <v>2813</v>
      </c>
      <c r="G1395" s="1">
        <v>5.7</v>
      </c>
    </row>
    <row r="1396" spans="1:7" ht="14.25" hidden="1" customHeight="1" x14ac:dyDescent="0.45">
      <c r="A1396" t="str">
        <f>_xlfn.XLOOKUP(B1396,Ingot!$H$12:$H$119,Ingot!$G$12:$G$119,"")</f>
        <v>Metal</v>
      </c>
      <c r="B1396" t="s">
        <v>2643</v>
      </c>
      <c r="C1396" t="s">
        <v>157</v>
      </c>
      <c r="D1396" t="s">
        <v>2814</v>
      </c>
      <c r="E1396" t="s">
        <v>2815</v>
      </c>
      <c r="G1396" s="1">
        <v>5.7</v>
      </c>
    </row>
    <row r="1397" spans="1:7" ht="14.25" hidden="1" customHeight="1" x14ac:dyDescent="0.45">
      <c r="A1397" t="str">
        <f>_xlfn.XLOOKUP(B1397,Ingot!$H$12:$H$119,Ingot!$G$12:$G$119,"")</f>
        <v>Metal</v>
      </c>
      <c r="B1397" t="s">
        <v>2643</v>
      </c>
      <c r="C1397" t="s">
        <v>157</v>
      </c>
      <c r="D1397" t="s">
        <v>2816</v>
      </c>
      <c r="E1397" t="s">
        <v>2817</v>
      </c>
      <c r="G1397" s="1">
        <v>5</v>
      </c>
    </row>
    <row r="1398" spans="1:7" ht="14.25" hidden="1" customHeight="1" x14ac:dyDescent="0.45">
      <c r="A1398" t="str">
        <f>_xlfn.XLOOKUP(B1398,Ingot!$H$12:$H$119,Ingot!$G$12:$G$119,"")</f>
        <v>Metal</v>
      </c>
      <c r="B1398" t="s">
        <v>2643</v>
      </c>
      <c r="C1398" t="s">
        <v>157</v>
      </c>
      <c r="D1398" t="s">
        <v>2818</v>
      </c>
      <c r="E1398" t="s">
        <v>2819</v>
      </c>
      <c r="G1398" s="1">
        <v>10</v>
      </c>
    </row>
    <row r="1399" spans="1:7" ht="14.25" hidden="1" customHeight="1" x14ac:dyDescent="0.45">
      <c r="A1399" t="str">
        <f>_xlfn.XLOOKUP(B1399,Ingot!$H$12:$H$119,Ingot!$G$12:$G$119,"")</f>
        <v>Metal</v>
      </c>
      <c r="B1399" t="s">
        <v>2643</v>
      </c>
      <c r="C1399" t="s">
        <v>157</v>
      </c>
      <c r="D1399" t="s">
        <v>2820</v>
      </c>
      <c r="E1399" t="s">
        <v>2821</v>
      </c>
      <c r="G1399" s="1">
        <v>31</v>
      </c>
    </row>
    <row r="1400" spans="1:7" ht="14.25" hidden="1" customHeight="1" x14ac:dyDescent="0.45">
      <c r="A1400" t="str">
        <f>_xlfn.XLOOKUP(B1400,Ingot!$H$12:$H$119,Ingot!$G$12:$G$119,"")</f>
        <v>Metal</v>
      </c>
      <c r="B1400" t="s">
        <v>2643</v>
      </c>
      <c r="C1400" t="s">
        <v>157</v>
      </c>
      <c r="D1400" t="s">
        <v>2822</v>
      </c>
      <c r="E1400" t="s">
        <v>2823</v>
      </c>
      <c r="G1400" s="1">
        <v>6.2</v>
      </c>
    </row>
    <row r="1401" spans="1:7" ht="14.25" hidden="1" customHeight="1" x14ac:dyDescent="0.45">
      <c r="A1401" t="str">
        <f>_xlfn.XLOOKUP(B1401,Ingot!$H$12:$H$119,Ingot!$G$12:$G$119,"")</f>
        <v>Metal</v>
      </c>
      <c r="B1401" t="s">
        <v>2643</v>
      </c>
      <c r="C1401" t="s">
        <v>157</v>
      </c>
      <c r="D1401" t="s">
        <v>2824</v>
      </c>
      <c r="E1401" t="s">
        <v>2825</v>
      </c>
      <c r="G1401" s="1">
        <v>6.2</v>
      </c>
    </row>
    <row r="1402" spans="1:7" ht="14.25" hidden="1" customHeight="1" x14ac:dyDescent="0.45">
      <c r="A1402" t="str">
        <f>_xlfn.XLOOKUP(B1402,Ingot!$H$12:$H$119,Ingot!$G$12:$G$119,"")</f>
        <v>Metal</v>
      </c>
      <c r="B1402" t="s">
        <v>2643</v>
      </c>
      <c r="C1402" t="s">
        <v>157</v>
      </c>
      <c r="D1402" t="s">
        <v>2826</v>
      </c>
      <c r="E1402" t="s">
        <v>2827</v>
      </c>
      <c r="G1402" s="1">
        <v>5</v>
      </c>
    </row>
    <row r="1403" spans="1:7" ht="14.25" hidden="1" customHeight="1" x14ac:dyDescent="0.45">
      <c r="A1403" t="str">
        <f>_xlfn.XLOOKUP(B1403,Ingot!$H$12:$H$119,Ingot!$G$12:$G$119,"")</f>
        <v>Metal</v>
      </c>
      <c r="B1403" t="s">
        <v>2643</v>
      </c>
      <c r="C1403" t="s">
        <v>157</v>
      </c>
      <c r="D1403" t="s">
        <v>2828</v>
      </c>
      <c r="E1403" t="s">
        <v>2829</v>
      </c>
      <c r="G1403" s="1">
        <v>10</v>
      </c>
    </row>
    <row r="1404" spans="1:7" ht="14.25" hidden="1" customHeight="1" x14ac:dyDescent="0.45">
      <c r="A1404" t="str">
        <f>_xlfn.XLOOKUP(B1404,Ingot!$H$12:$H$119,Ingot!$G$12:$G$119,"")</f>
        <v>Metal</v>
      </c>
      <c r="B1404" t="s">
        <v>2643</v>
      </c>
      <c r="C1404" t="s">
        <v>157</v>
      </c>
      <c r="D1404" t="s">
        <v>2830</v>
      </c>
      <c r="E1404" t="s">
        <v>2831</v>
      </c>
      <c r="G1404" s="1">
        <v>33</v>
      </c>
    </row>
    <row r="1405" spans="1:7" ht="14.25" hidden="1" customHeight="1" x14ac:dyDescent="0.45">
      <c r="A1405" t="str">
        <f>_xlfn.XLOOKUP(B1405,Ingot!$H$12:$H$119,Ingot!$G$12:$G$119,"")</f>
        <v>Metal</v>
      </c>
      <c r="B1405" t="s">
        <v>2643</v>
      </c>
      <c r="C1405" t="s">
        <v>157</v>
      </c>
      <c r="D1405" t="s">
        <v>2832</v>
      </c>
      <c r="E1405" t="s">
        <v>2833</v>
      </c>
      <c r="G1405" s="1">
        <v>6.6</v>
      </c>
    </row>
    <row r="1406" spans="1:7" ht="14.25" hidden="1" customHeight="1" x14ac:dyDescent="0.45">
      <c r="A1406" t="str">
        <f>_xlfn.XLOOKUP(B1406,Ingot!$H$12:$H$119,Ingot!$G$12:$G$119,"")</f>
        <v>Metal</v>
      </c>
      <c r="B1406" t="s">
        <v>2643</v>
      </c>
      <c r="C1406" t="s">
        <v>157</v>
      </c>
      <c r="D1406" t="s">
        <v>2834</v>
      </c>
      <c r="E1406" t="s">
        <v>2835</v>
      </c>
      <c r="G1406" s="1">
        <v>6.6</v>
      </c>
    </row>
    <row r="1407" spans="1:7" ht="14.25" hidden="1" customHeight="1" x14ac:dyDescent="0.45">
      <c r="A1407" t="str">
        <f>_xlfn.XLOOKUP(B1407,Ingot!$H$12:$H$119,Ingot!$G$12:$G$119,"")</f>
        <v>Metal</v>
      </c>
      <c r="B1407" t="s">
        <v>2643</v>
      </c>
      <c r="C1407" t="s">
        <v>157</v>
      </c>
      <c r="D1407" t="s">
        <v>2836</v>
      </c>
      <c r="E1407" t="s">
        <v>2837</v>
      </c>
      <c r="G1407" s="1">
        <v>5</v>
      </c>
    </row>
    <row r="1408" spans="1:7" ht="14.25" hidden="1" customHeight="1" x14ac:dyDescent="0.45">
      <c r="A1408" t="str">
        <f>_xlfn.XLOOKUP(B1408,Ingot!$H$12:$H$119,Ingot!$G$12:$G$119,"")</f>
        <v>Metal</v>
      </c>
      <c r="B1408" t="s">
        <v>2643</v>
      </c>
      <c r="C1408" t="s">
        <v>157</v>
      </c>
      <c r="D1408" t="s">
        <v>2838</v>
      </c>
      <c r="E1408" t="s">
        <v>2839</v>
      </c>
      <c r="G1408" s="1">
        <v>10</v>
      </c>
    </row>
    <row r="1409" spans="1:7" ht="14.25" hidden="1" customHeight="1" x14ac:dyDescent="0.45">
      <c r="A1409" t="str">
        <f>_xlfn.XLOOKUP(B1409,Ingot!$H$12:$H$119,Ingot!$G$12:$G$119,"")</f>
        <v>Metal</v>
      </c>
      <c r="B1409" t="s">
        <v>2643</v>
      </c>
      <c r="C1409" t="s">
        <v>157</v>
      </c>
      <c r="D1409" t="s">
        <v>2840</v>
      </c>
      <c r="E1409" t="s">
        <v>2841</v>
      </c>
      <c r="G1409" s="1">
        <v>38</v>
      </c>
    </row>
    <row r="1410" spans="1:7" ht="14.25" hidden="1" customHeight="1" x14ac:dyDescent="0.45">
      <c r="A1410" t="str">
        <f>_xlfn.XLOOKUP(B1410,Ingot!$H$12:$H$119,Ingot!$G$12:$G$119,"")</f>
        <v>Metal</v>
      </c>
      <c r="B1410" t="s">
        <v>2643</v>
      </c>
      <c r="C1410" t="s">
        <v>157</v>
      </c>
      <c r="D1410" t="s">
        <v>2842</v>
      </c>
      <c r="E1410" t="s">
        <v>2843</v>
      </c>
      <c r="G1410" s="1">
        <v>7.6</v>
      </c>
    </row>
    <row r="1411" spans="1:7" ht="14.25" hidden="1" customHeight="1" x14ac:dyDescent="0.45">
      <c r="A1411" t="str">
        <f>_xlfn.XLOOKUP(B1411,Ingot!$H$12:$H$119,Ingot!$G$12:$G$119,"")</f>
        <v>Metal</v>
      </c>
      <c r="B1411" t="s">
        <v>2643</v>
      </c>
      <c r="C1411" t="s">
        <v>157</v>
      </c>
      <c r="D1411" t="s">
        <v>2844</v>
      </c>
      <c r="E1411" t="s">
        <v>2845</v>
      </c>
      <c r="G1411" s="1">
        <v>7.6</v>
      </c>
    </row>
    <row r="1412" spans="1:7" ht="14.25" hidden="1" customHeight="1" x14ac:dyDescent="0.45">
      <c r="A1412" t="str">
        <f>_xlfn.XLOOKUP(B1412,Ingot!$H$12:$H$119,Ingot!$G$12:$G$119,"")</f>
        <v>Metal</v>
      </c>
      <c r="B1412" t="s">
        <v>2643</v>
      </c>
      <c r="C1412" t="s">
        <v>157</v>
      </c>
      <c r="D1412" t="s">
        <v>2846</v>
      </c>
      <c r="E1412" t="s">
        <v>2847</v>
      </c>
      <c r="G1412" s="1">
        <v>5</v>
      </c>
    </row>
    <row r="1413" spans="1:7" ht="14.25" hidden="1" customHeight="1" x14ac:dyDescent="0.45">
      <c r="A1413" t="str">
        <f>_xlfn.XLOOKUP(B1413,Ingot!$H$12:$H$119,Ingot!$G$12:$G$119,"")</f>
        <v>Metal</v>
      </c>
      <c r="B1413" t="s">
        <v>2643</v>
      </c>
      <c r="C1413" t="s">
        <v>157</v>
      </c>
      <c r="D1413" t="s">
        <v>2848</v>
      </c>
      <c r="E1413" t="s">
        <v>2849</v>
      </c>
      <c r="G1413" s="1">
        <v>10</v>
      </c>
    </row>
    <row r="1414" spans="1:7" ht="14.25" hidden="1" customHeight="1" x14ac:dyDescent="0.45">
      <c r="A1414" t="str">
        <f>_xlfn.XLOOKUP(B1414,Ingot!$H$12:$H$119,Ingot!$G$12:$G$119,"")</f>
        <v>Metal</v>
      </c>
      <c r="B1414" t="s">
        <v>2643</v>
      </c>
      <c r="C1414" t="s">
        <v>157</v>
      </c>
      <c r="D1414" t="s">
        <v>2850</v>
      </c>
      <c r="E1414" t="s">
        <v>2851</v>
      </c>
      <c r="G1414" s="1">
        <v>37.5</v>
      </c>
    </row>
    <row r="1415" spans="1:7" ht="14.25" hidden="1" customHeight="1" x14ac:dyDescent="0.45">
      <c r="A1415" t="str">
        <f>_xlfn.XLOOKUP(B1415,Ingot!$H$12:$H$119,Ingot!$G$12:$G$119,"")</f>
        <v>Metal</v>
      </c>
      <c r="B1415" t="s">
        <v>2643</v>
      </c>
      <c r="C1415" t="s">
        <v>157</v>
      </c>
      <c r="D1415" t="s">
        <v>2852</v>
      </c>
      <c r="E1415" t="s">
        <v>2853</v>
      </c>
      <c r="G1415" s="1">
        <v>7.5</v>
      </c>
    </row>
    <row r="1416" spans="1:7" ht="14.25" hidden="1" customHeight="1" x14ac:dyDescent="0.45">
      <c r="A1416" t="str">
        <f>_xlfn.XLOOKUP(B1416,Ingot!$H$12:$H$119,Ingot!$G$12:$G$119,"")</f>
        <v>Metal</v>
      </c>
      <c r="B1416" t="s">
        <v>2643</v>
      </c>
      <c r="C1416" t="s">
        <v>157</v>
      </c>
      <c r="D1416" t="s">
        <v>2854</v>
      </c>
      <c r="E1416" t="s">
        <v>2855</v>
      </c>
      <c r="G1416" s="1">
        <v>7.5</v>
      </c>
    </row>
    <row r="1417" spans="1:7" ht="14.25" hidden="1" customHeight="1" x14ac:dyDescent="0.45">
      <c r="A1417" t="str">
        <f>_xlfn.XLOOKUP(B1417,Ingot!$H$12:$H$119,Ingot!$G$12:$G$119,"")</f>
        <v>Metal</v>
      </c>
      <c r="B1417" t="s">
        <v>2643</v>
      </c>
      <c r="C1417" t="s">
        <v>157</v>
      </c>
      <c r="D1417" t="s">
        <v>2856</v>
      </c>
      <c r="E1417" t="s">
        <v>2857</v>
      </c>
      <c r="G1417" s="1">
        <v>5</v>
      </c>
    </row>
    <row r="1418" spans="1:7" ht="14.25" hidden="1" customHeight="1" x14ac:dyDescent="0.45">
      <c r="A1418" t="str">
        <f>_xlfn.XLOOKUP(B1418,Ingot!$H$12:$H$119,Ingot!$G$12:$G$119,"")</f>
        <v>Metal</v>
      </c>
      <c r="B1418" t="s">
        <v>2643</v>
      </c>
      <c r="C1418" t="s">
        <v>157</v>
      </c>
      <c r="D1418" t="s">
        <v>2858</v>
      </c>
      <c r="E1418" t="s">
        <v>2859</v>
      </c>
      <c r="G1418" s="1">
        <v>10</v>
      </c>
    </row>
    <row r="1419" spans="1:7" ht="14.25" hidden="1" customHeight="1" x14ac:dyDescent="0.45">
      <c r="A1419" t="str">
        <f>_xlfn.XLOOKUP(B1419,Ingot!$H$12:$H$119,Ingot!$G$12:$G$119,"")</f>
        <v>Metal</v>
      </c>
      <c r="B1419" t="s">
        <v>2643</v>
      </c>
      <c r="C1419" t="s">
        <v>157</v>
      </c>
      <c r="D1419" t="s">
        <v>2860</v>
      </c>
      <c r="E1419" t="s">
        <v>2861</v>
      </c>
      <c r="G1419" s="1">
        <v>27</v>
      </c>
    </row>
    <row r="1420" spans="1:7" ht="14.25" hidden="1" customHeight="1" x14ac:dyDescent="0.45">
      <c r="A1420" t="str">
        <f>_xlfn.XLOOKUP(B1420,Ingot!$H$12:$H$119,Ingot!$G$12:$G$119,"")</f>
        <v>Metal</v>
      </c>
      <c r="B1420" t="s">
        <v>2643</v>
      </c>
      <c r="C1420" t="s">
        <v>157</v>
      </c>
      <c r="D1420" t="s">
        <v>2862</v>
      </c>
      <c r="E1420" t="s">
        <v>2863</v>
      </c>
      <c r="G1420" s="1">
        <v>5.4</v>
      </c>
    </row>
    <row r="1421" spans="1:7" ht="14.25" hidden="1" customHeight="1" x14ac:dyDescent="0.45">
      <c r="A1421" t="str">
        <f>_xlfn.XLOOKUP(B1421,Ingot!$H$12:$H$119,Ingot!$G$12:$G$119,"")</f>
        <v>Metal</v>
      </c>
      <c r="B1421" t="s">
        <v>2643</v>
      </c>
      <c r="C1421" t="s">
        <v>157</v>
      </c>
      <c r="D1421" t="s">
        <v>2864</v>
      </c>
      <c r="E1421" t="s">
        <v>2865</v>
      </c>
      <c r="G1421" s="1">
        <v>5.4</v>
      </c>
    </row>
    <row r="1422" spans="1:7" ht="14.25" hidden="1" customHeight="1" x14ac:dyDescent="0.45">
      <c r="A1422" t="str">
        <f>_xlfn.XLOOKUP(B1422,Ingot!$H$12:$H$119,Ingot!$G$12:$G$119,"")</f>
        <v>Metal</v>
      </c>
      <c r="B1422" t="s">
        <v>2643</v>
      </c>
      <c r="C1422" t="s">
        <v>157</v>
      </c>
      <c r="D1422" t="s">
        <v>2866</v>
      </c>
      <c r="E1422" t="s">
        <v>2867</v>
      </c>
      <c r="G1422" s="1">
        <v>5</v>
      </c>
    </row>
    <row r="1423" spans="1:7" ht="14.25" hidden="1" customHeight="1" x14ac:dyDescent="0.45">
      <c r="A1423" t="str">
        <f>_xlfn.XLOOKUP(B1423,Ingot!$H$12:$H$119,Ingot!$G$12:$G$119,"")</f>
        <v>Metal</v>
      </c>
      <c r="B1423" t="s">
        <v>2643</v>
      </c>
      <c r="C1423" t="s">
        <v>157</v>
      </c>
      <c r="D1423" t="s">
        <v>2868</v>
      </c>
      <c r="E1423" t="s">
        <v>2869</v>
      </c>
      <c r="G1423" s="1">
        <v>10</v>
      </c>
    </row>
    <row r="1424" spans="1:7" ht="14.25" hidden="1" customHeight="1" x14ac:dyDescent="0.45">
      <c r="A1424" t="str">
        <f>_xlfn.XLOOKUP(B1424,Ingot!$H$12:$H$119,Ingot!$G$12:$G$119,"")</f>
        <v>Metal</v>
      </c>
      <c r="B1424" t="s">
        <v>2643</v>
      </c>
      <c r="C1424" t="s">
        <v>239</v>
      </c>
      <c r="D1424" t="s">
        <v>2870</v>
      </c>
      <c r="E1424" t="s">
        <v>2871</v>
      </c>
    </row>
    <row r="1425" spans="1:7" ht="14.25" hidden="1" customHeight="1" x14ac:dyDescent="0.45">
      <c r="A1425" t="str">
        <f>_xlfn.XLOOKUP(B1425,Ingot!$H$12:$H$119,Ingot!$G$12:$G$119,"")</f>
        <v>Metal</v>
      </c>
      <c r="B1425" t="s">
        <v>2643</v>
      </c>
      <c r="C1425" t="s">
        <v>239</v>
      </c>
      <c r="D1425" t="s">
        <v>2872</v>
      </c>
      <c r="E1425" t="s">
        <v>2873</v>
      </c>
    </row>
    <row r="1426" spans="1:7" ht="14.25" hidden="1" customHeight="1" x14ac:dyDescent="0.45">
      <c r="A1426" t="str">
        <f>_xlfn.XLOOKUP(B1426,Ingot!$H$12:$H$119,Ingot!$G$12:$G$119,"")</f>
        <v>Metal</v>
      </c>
      <c r="B1426" t="s">
        <v>2643</v>
      </c>
      <c r="C1426" t="s">
        <v>239</v>
      </c>
      <c r="D1426" t="s">
        <v>2874</v>
      </c>
      <c r="E1426" t="s">
        <v>2875</v>
      </c>
    </row>
    <row r="1427" spans="1:7" ht="14.25" hidden="1" customHeight="1" x14ac:dyDescent="0.45">
      <c r="A1427" t="str">
        <f>_xlfn.XLOOKUP(B1427,Ingot!$H$12:$H$119,Ingot!$G$12:$G$119,"")</f>
        <v>Metal</v>
      </c>
      <c r="B1427" t="s">
        <v>2643</v>
      </c>
      <c r="C1427" t="s">
        <v>239</v>
      </c>
      <c r="D1427" t="s">
        <v>2876</v>
      </c>
      <c r="E1427" t="s">
        <v>2877</v>
      </c>
    </row>
    <row r="1428" spans="1:7" ht="14.25" hidden="1" customHeight="1" x14ac:dyDescent="0.45">
      <c r="A1428" t="str">
        <f>_xlfn.XLOOKUP(B1428,Ingot!$H$12:$H$119,Ingot!$G$12:$G$119,"")</f>
        <v>Metal</v>
      </c>
      <c r="B1428" t="s">
        <v>2643</v>
      </c>
      <c r="C1428" t="s">
        <v>239</v>
      </c>
      <c r="D1428" t="s">
        <v>2878</v>
      </c>
      <c r="E1428" t="s">
        <v>2879</v>
      </c>
    </row>
    <row r="1429" spans="1:7" ht="14.25" hidden="1" customHeight="1" x14ac:dyDescent="0.45">
      <c r="A1429" t="str">
        <f>_xlfn.XLOOKUP(B1429,Ingot!$H$12:$H$119,Ingot!$G$12:$G$119,"")</f>
        <v>Metal</v>
      </c>
      <c r="B1429" t="s">
        <v>2643</v>
      </c>
      <c r="C1429" t="s">
        <v>239</v>
      </c>
      <c r="D1429" t="s">
        <v>2880</v>
      </c>
      <c r="E1429" t="s">
        <v>2881</v>
      </c>
    </row>
    <row r="1430" spans="1:7" ht="14.25" hidden="1" customHeight="1" x14ac:dyDescent="0.45">
      <c r="A1430" t="str">
        <f>_xlfn.XLOOKUP(B1430,Ingot!$H$12:$H$119,Ingot!$G$12:$G$119,"")</f>
        <v>Metal</v>
      </c>
      <c r="B1430" t="s">
        <v>2882</v>
      </c>
      <c r="C1430" t="s">
        <v>10</v>
      </c>
      <c r="D1430" t="s">
        <v>2883</v>
      </c>
      <c r="E1430" t="s">
        <v>2884</v>
      </c>
      <c r="G1430" s="1">
        <v>0.08</v>
      </c>
    </row>
    <row r="1431" spans="1:7" ht="14.25" hidden="1" customHeight="1" x14ac:dyDescent="0.45">
      <c r="A1431" t="str">
        <f>_xlfn.XLOOKUP(B1431,Ingot!$H$12:$H$119,Ingot!$G$12:$G$119,"")</f>
        <v>Metal</v>
      </c>
      <c r="B1431" t="s">
        <v>2882</v>
      </c>
      <c r="C1431" t="s">
        <v>10</v>
      </c>
      <c r="D1431" t="s">
        <v>2885</v>
      </c>
      <c r="E1431" t="s">
        <v>2886</v>
      </c>
      <c r="G1431" s="1">
        <v>9.9</v>
      </c>
    </row>
    <row r="1432" spans="1:7" ht="14.25" hidden="1" customHeight="1" x14ac:dyDescent="0.45">
      <c r="A1432" t="str">
        <f>_xlfn.XLOOKUP(B1432,Ingot!$H$12:$H$119,Ingot!$G$12:$G$119,"")</f>
        <v>Metal</v>
      </c>
      <c r="B1432" t="s">
        <v>2882</v>
      </c>
      <c r="C1432" t="s">
        <v>10</v>
      </c>
      <c r="D1432" t="s">
        <v>2887</v>
      </c>
      <c r="E1432" t="s">
        <v>2888</v>
      </c>
      <c r="G1432" s="1">
        <v>5.66</v>
      </c>
    </row>
    <row r="1433" spans="1:7" ht="14.25" hidden="1" customHeight="1" x14ac:dyDescent="0.45">
      <c r="A1433" t="str">
        <f>_xlfn.XLOOKUP(B1433,Ingot!$H$12:$H$119,Ingot!$G$12:$G$119,"")</f>
        <v>Metal</v>
      </c>
      <c r="B1433" t="s">
        <v>2882</v>
      </c>
      <c r="C1433" t="s">
        <v>10</v>
      </c>
      <c r="D1433" t="s">
        <v>2889</v>
      </c>
      <c r="E1433" t="s">
        <v>2890</v>
      </c>
      <c r="G1433" s="1">
        <v>3.3</v>
      </c>
    </row>
    <row r="1434" spans="1:7" ht="14.25" hidden="1" customHeight="1" x14ac:dyDescent="0.45">
      <c r="A1434" t="str">
        <f>_xlfn.XLOOKUP(B1434,Ingot!$H$12:$H$119,Ingot!$G$12:$G$119,"")</f>
        <v>Metal</v>
      </c>
      <c r="B1434" t="s">
        <v>2882</v>
      </c>
      <c r="C1434" t="s">
        <v>10</v>
      </c>
      <c r="D1434" t="s">
        <v>2891</v>
      </c>
      <c r="E1434" t="s">
        <v>2892</v>
      </c>
      <c r="G1434" s="1">
        <v>0.66</v>
      </c>
    </row>
    <row r="1435" spans="1:7" ht="14.25" hidden="1" customHeight="1" x14ac:dyDescent="0.45">
      <c r="A1435" t="str">
        <f>_xlfn.XLOOKUP(B1435,Ingot!$H$12:$H$119,Ingot!$G$12:$G$119,"")</f>
        <v>Metal</v>
      </c>
      <c r="B1435" t="s">
        <v>2882</v>
      </c>
      <c r="C1435" t="s">
        <v>10</v>
      </c>
      <c r="D1435" t="s">
        <v>2893</v>
      </c>
      <c r="E1435" t="s">
        <v>2894</v>
      </c>
      <c r="G1435" s="1">
        <v>0.04</v>
      </c>
    </row>
    <row r="1436" spans="1:7" ht="14.25" hidden="1" customHeight="1" x14ac:dyDescent="0.45">
      <c r="A1436" t="str">
        <f>_xlfn.XLOOKUP(B1436,Ingot!$H$12:$H$119,Ingot!$G$12:$G$119,"")</f>
        <v>Metal</v>
      </c>
      <c r="B1436" t="s">
        <v>2882</v>
      </c>
      <c r="C1436" t="s">
        <v>10</v>
      </c>
      <c r="D1436" t="s">
        <v>2895</v>
      </c>
      <c r="E1436" t="s">
        <v>2896</v>
      </c>
      <c r="G1436" s="1">
        <v>0.33</v>
      </c>
    </row>
    <row r="1437" spans="1:7" ht="14.25" hidden="1" customHeight="1" x14ac:dyDescent="0.45">
      <c r="A1437" t="str">
        <f>_xlfn.XLOOKUP(B1437,Ingot!$H$12:$H$119,Ingot!$G$12:$G$119,"")</f>
        <v>Metal</v>
      </c>
      <c r="B1437" t="s">
        <v>2882</v>
      </c>
      <c r="C1437" t="s">
        <v>10</v>
      </c>
      <c r="D1437" t="s">
        <v>2897</v>
      </c>
      <c r="E1437" t="s">
        <v>2898</v>
      </c>
    </row>
    <row r="1438" spans="1:7" ht="14.25" hidden="1" customHeight="1" x14ac:dyDescent="0.45">
      <c r="A1438" t="str">
        <f>_xlfn.XLOOKUP(B1438,Ingot!$H$12:$H$119,Ingot!$G$12:$G$119,"")</f>
        <v>Metal</v>
      </c>
      <c r="B1438" t="s">
        <v>2882</v>
      </c>
      <c r="C1438" t="s">
        <v>10</v>
      </c>
      <c r="D1438" t="s">
        <v>2899</v>
      </c>
      <c r="E1438" t="s">
        <v>2900</v>
      </c>
      <c r="G1438" s="1">
        <v>0.05</v>
      </c>
    </row>
    <row r="1439" spans="1:7" ht="14.25" hidden="1" customHeight="1" x14ac:dyDescent="0.45">
      <c r="A1439" t="str">
        <f>_xlfn.XLOOKUP(B1439,Ingot!$H$12:$H$119,Ingot!$G$12:$G$119,"")</f>
        <v>Metal</v>
      </c>
      <c r="B1439" t="s">
        <v>2882</v>
      </c>
      <c r="C1439" t="s">
        <v>10</v>
      </c>
      <c r="D1439" t="s">
        <v>2901</v>
      </c>
      <c r="E1439" t="s">
        <v>2902</v>
      </c>
      <c r="G1439" s="1">
        <v>0.66</v>
      </c>
    </row>
    <row r="1440" spans="1:7" ht="14.25" hidden="1" customHeight="1" x14ac:dyDescent="0.45">
      <c r="A1440" t="str">
        <f>_xlfn.XLOOKUP(B1440,Ingot!$H$12:$H$119,Ingot!$G$12:$G$119,"")</f>
        <v>Metal</v>
      </c>
      <c r="B1440" t="s">
        <v>2882</v>
      </c>
      <c r="C1440" t="s">
        <v>10</v>
      </c>
      <c r="D1440" t="s">
        <v>2903</v>
      </c>
      <c r="E1440" t="s">
        <v>2904</v>
      </c>
      <c r="G1440" s="1">
        <v>3.96</v>
      </c>
    </row>
    <row r="1441" spans="1:7" ht="14.25" hidden="1" customHeight="1" x14ac:dyDescent="0.45">
      <c r="A1441" t="str">
        <f>_xlfn.XLOOKUP(B1441,Ingot!$H$12:$H$119,Ingot!$G$12:$G$119,"")</f>
        <v>Metal</v>
      </c>
      <c r="B1441" t="s">
        <v>2882</v>
      </c>
      <c r="C1441" t="s">
        <v>10</v>
      </c>
      <c r="D1441" t="s">
        <v>2905</v>
      </c>
      <c r="E1441" t="s">
        <v>2906</v>
      </c>
      <c r="G1441" s="1">
        <v>8.77</v>
      </c>
    </row>
    <row r="1442" spans="1:7" ht="14.25" hidden="1" customHeight="1" x14ac:dyDescent="0.45">
      <c r="A1442" t="str">
        <f>_xlfn.XLOOKUP(B1442,Ingot!$H$12:$H$119,Ingot!$G$12:$G$119,"")</f>
        <v>Metal</v>
      </c>
      <c r="B1442" t="s">
        <v>2882</v>
      </c>
      <c r="C1442" t="s">
        <v>10</v>
      </c>
      <c r="D1442" t="s">
        <v>2907</v>
      </c>
      <c r="E1442" t="s">
        <v>2908</v>
      </c>
      <c r="G1442" s="1">
        <v>3.5</v>
      </c>
    </row>
    <row r="1443" spans="1:7" ht="14.25" hidden="1" customHeight="1" x14ac:dyDescent="0.45">
      <c r="A1443" t="str">
        <f>_xlfn.XLOOKUP(B1443,Ingot!$H$12:$H$119,Ingot!$G$12:$G$119,"")</f>
        <v>Metal</v>
      </c>
      <c r="B1443" t="s">
        <v>2882</v>
      </c>
      <c r="C1443" t="s">
        <v>10</v>
      </c>
      <c r="D1443" t="s">
        <v>2909</v>
      </c>
      <c r="E1443" t="s">
        <v>2910</v>
      </c>
    </row>
    <row r="1444" spans="1:7" ht="14.25" hidden="1" customHeight="1" x14ac:dyDescent="0.45">
      <c r="A1444" t="str">
        <f>_xlfn.XLOOKUP(B1444,Ingot!$H$12:$H$119,Ingot!$G$12:$G$119,"")</f>
        <v>Metal</v>
      </c>
      <c r="B1444" t="s">
        <v>2882</v>
      </c>
      <c r="C1444" t="s">
        <v>10</v>
      </c>
      <c r="D1444" t="s">
        <v>2911</v>
      </c>
      <c r="E1444" t="s">
        <v>2912</v>
      </c>
      <c r="G1444" s="1">
        <v>2.2000000000000002</v>
      </c>
    </row>
    <row r="1445" spans="1:7" ht="14.25" hidden="1" customHeight="1" x14ac:dyDescent="0.45">
      <c r="A1445" t="str">
        <f>_xlfn.XLOOKUP(B1445,Ingot!$H$12:$H$119,Ingot!$G$12:$G$119,"")</f>
        <v>Metal</v>
      </c>
      <c r="B1445" t="s">
        <v>2882</v>
      </c>
      <c r="C1445" t="s">
        <v>10</v>
      </c>
      <c r="D1445" t="s">
        <v>2913</v>
      </c>
      <c r="E1445" t="s">
        <v>2914</v>
      </c>
      <c r="G1445" s="1">
        <v>1.1000000000000001</v>
      </c>
    </row>
    <row r="1446" spans="1:7" ht="14.25" hidden="1" customHeight="1" x14ac:dyDescent="0.45">
      <c r="A1446" t="str">
        <f>_xlfn.XLOOKUP(B1446,Ingot!$H$12:$H$119,Ingot!$G$12:$G$119,"")</f>
        <v>Metal</v>
      </c>
      <c r="B1446" t="s">
        <v>2882</v>
      </c>
      <c r="C1446" t="s">
        <v>10</v>
      </c>
      <c r="D1446" t="s">
        <v>2915</v>
      </c>
      <c r="E1446" t="s">
        <v>2916</v>
      </c>
      <c r="G1446" s="1">
        <v>0.22</v>
      </c>
    </row>
    <row r="1447" spans="1:7" ht="14.25" hidden="1" customHeight="1" x14ac:dyDescent="0.45">
      <c r="A1447" t="str">
        <f>_xlfn.XLOOKUP(B1447,Ingot!$H$12:$H$119,Ingot!$G$12:$G$119,"")</f>
        <v>Metal</v>
      </c>
      <c r="B1447" t="s">
        <v>2882</v>
      </c>
      <c r="C1447" t="s">
        <v>10</v>
      </c>
      <c r="D1447" t="s">
        <v>2917</v>
      </c>
      <c r="E1447" t="s">
        <v>2918</v>
      </c>
      <c r="G1447" s="1">
        <v>8.41</v>
      </c>
    </row>
    <row r="1448" spans="1:7" ht="14.25" hidden="1" customHeight="1" x14ac:dyDescent="0.45">
      <c r="A1448" t="str">
        <f>_xlfn.XLOOKUP(B1448,Ingot!$H$12:$H$119,Ingot!$G$12:$G$119,"")</f>
        <v>Metal</v>
      </c>
      <c r="B1448" t="s">
        <v>2882</v>
      </c>
      <c r="C1448" t="s">
        <v>10</v>
      </c>
      <c r="D1448" t="s">
        <v>2919</v>
      </c>
      <c r="E1448" t="s">
        <v>2920</v>
      </c>
      <c r="G1448" s="1">
        <v>3.64</v>
      </c>
    </row>
    <row r="1449" spans="1:7" ht="14.25" hidden="1" customHeight="1" x14ac:dyDescent="0.45">
      <c r="A1449" t="str">
        <f>_xlfn.XLOOKUP(B1449,Ingot!$H$12:$H$119,Ingot!$G$12:$G$119,"")</f>
        <v>Metal</v>
      </c>
      <c r="B1449" t="s">
        <v>2882</v>
      </c>
      <c r="C1449" t="s">
        <v>10</v>
      </c>
      <c r="D1449" t="s">
        <v>2921</v>
      </c>
      <c r="E1449" t="s">
        <v>2922</v>
      </c>
      <c r="G1449" s="1">
        <v>7.05</v>
      </c>
    </row>
    <row r="1450" spans="1:7" ht="14.25" hidden="1" customHeight="1" x14ac:dyDescent="0.45">
      <c r="A1450" t="str">
        <f>_xlfn.XLOOKUP(B1450,Ingot!$H$12:$H$119,Ingot!$G$12:$G$119,"")</f>
        <v>Metal</v>
      </c>
      <c r="B1450" t="s">
        <v>2882</v>
      </c>
      <c r="C1450" t="s">
        <v>10</v>
      </c>
      <c r="D1450" t="s">
        <v>2923</v>
      </c>
      <c r="E1450" t="s">
        <v>2924</v>
      </c>
      <c r="G1450" s="1">
        <v>2.65</v>
      </c>
    </row>
    <row r="1451" spans="1:7" ht="14.25" hidden="1" customHeight="1" x14ac:dyDescent="0.45">
      <c r="A1451" t="str">
        <f>_xlfn.XLOOKUP(B1451,Ingot!$H$12:$H$119,Ingot!$G$12:$G$119,"")</f>
        <v>Metal</v>
      </c>
      <c r="B1451" t="s">
        <v>2882</v>
      </c>
      <c r="C1451" t="s">
        <v>10</v>
      </c>
      <c r="D1451" t="s">
        <v>2925</v>
      </c>
      <c r="E1451" t="s">
        <v>2926</v>
      </c>
      <c r="G1451" s="1">
        <v>9</v>
      </c>
    </row>
    <row r="1452" spans="1:7" ht="14.25" hidden="1" customHeight="1" x14ac:dyDescent="0.45">
      <c r="A1452" t="str">
        <f>_xlfn.XLOOKUP(B1452,Ingot!$H$12:$H$119,Ingot!$G$12:$G$119,"")</f>
        <v>Metal</v>
      </c>
      <c r="B1452" t="s">
        <v>2882</v>
      </c>
      <c r="C1452" t="s">
        <v>10</v>
      </c>
      <c r="D1452" t="s">
        <v>2927</v>
      </c>
      <c r="E1452" t="s">
        <v>2928</v>
      </c>
      <c r="G1452" s="1">
        <v>10.23</v>
      </c>
    </row>
    <row r="1453" spans="1:7" ht="14.25" hidden="1" customHeight="1" x14ac:dyDescent="0.45">
      <c r="A1453" t="str">
        <f>_xlfn.XLOOKUP(B1453,Ingot!$H$12:$H$119,Ingot!$G$12:$G$119,"")</f>
        <v>Metal</v>
      </c>
      <c r="B1453" t="s">
        <v>2882</v>
      </c>
      <c r="C1453" t="s">
        <v>10</v>
      </c>
      <c r="D1453" t="s">
        <v>2929</v>
      </c>
      <c r="E1453" t="s">
        <v>2930</v>
      </c>
      <c r="G1453" s="1">
        <v>7.7</v>
      </c>
    </row>
    <row r="1454" spans="1:7" ht="14.25" hidden="1" customHeight="1" x14ac:dyDescent="0.45">
      <c r="A1454" t="str">
        <f>_xlfn.XLOOKUP(B1454,Ingot!$H$12:$H$119,Ingot!$G$12:$G$119,"")</f>
        <v>Metal</v>
      </c>
      <c r="B1454" t="s">
        <v>2882</v>
      </c>
      <c r="C1454" t="s">
        <v>10</v>
      </c>
      <c r="D1454" t="s">
        <v>2931</v>
      </c>
      <c r="E1454" t="s">
        <v>2932</v>
      </c>
      <c r="G1454" s="1">
        <v>10.02</v>
      </c>
    </row>
    <row r="1455" spans="1:7" ht="14.25" hidden="1" customHeight="1" x14ac:dyDescent="0.45">
      <c r="A1455" t="str">
        <f>_xlfn.XLOOKUP(B1455,Ingot!$H$12:$H$119,Ingot!$G$12:$G$119,"")</f>
        <v>Metal</v>
      </c>
      <c r="B1455" t="s">
        <v>2882</v>
      </c>
      <c r="C1455" t="s">
        <v>10</v>
      </c>
      <c r="D1455" t="s">
        <v>2933</v>
      </c>
      <c r="E1455" t="s">
        <v>2934</v>
      </c>
      <c r="G1455" s="1">
        <v>11.81</v>
      </c>
    </row>
    <row r="1456" spans="1:7" ht="14.25" hidden="1" customHeight="1" x14ac:dyDescent="0.45">
      <c r="A1456" t="str">
        <f>_xlfn.XLOOKUP(B1456,Ingot!$H$12:$H$119,Ingot!$G$12:$G$119,"")</f>
        <v>Metal</v>
      </c>
      <c r="B1456" t="s">
        <v>2882</v>
      </c>
      <c r="C1456" t="s">
        <v>10</v>
      </c>
      <c r="D1456" t="s">
        <v>2935</v>
      </c>
      <c r="E1456" t="s">
        <v>2936</v>
      </c>
      <c r="G1456" s="1">
        <v>8.44</v>
      </c>
    </row>
    <row r="1457" spans="1:7" ht="14.25" hidden="1" customHeight="1" x14ac:dyDescent="0.45">
      <c r="A1457" t="str">
        <f>_xlfn.XLOOKUP(B1457,Ingot!$H$12:$H$119,Ingot!$G$12:$G$119,"")</f>
        <v>Metal</v>
      </c>
      <c r="B1457" t="s">
        <v>2882</v>
      </c>
      <c r="C1457" t="s">
        <v>10</v>
      </c>
      <c r="D1457" t="s">
        <v>2937</v>
      </c>
      <c r="E1457" t="s">
        <v>2938</v>
      </c>
      <c r="G1457" s="1">
        <v>10.42</v>
      </c>
    </row>
    <row r="1458" spans="1:7" ht="14.25" hidden="1" customHeight="1" x14ac:dyDescent="0.45">
      <c r="A1458" t="str">
        <f>_xlfn.XLOOKUP(B1458,Ingot!$H$12:$H$119,Ingot!$G$12:$G$119,"")</f>
        <v>Metal</v>
      </c>
      <c r="B1458" t="s">
        <v>2882</v>
      </c>
      <c r="C1458" t="s">
        <v>10</v>
      </c>
      <c r="D1458" t="s">
        <v>2939</v>
      </c>
      <c r="E1458" t="s">
        <v>2940</v>
      </c>
    </row>
    <row r="1459" spans="1:7" ht="14.25" hidden="1" customHeight="1" x14ac:dyDescent="0.45">
      <c r="A1459" t="str">
        <f>_xlfn.XLOOKUP(B1459,Ingot!$H$12:$H$119,Ingot!$G$12:$G$119,"")</f>
        <v>Metal</v>
      </c>
      <c r="B1459" t="s">
        <v>2882</v>
      </c>
      <c r="C1459" t="s">
        <v>10</v>
      </c>
      <c r="D1459" t="s">
        <v>2941</v>
      </c>
      <c r="E1459" t="s">
        <v>2942</v>
      </c>
      <c r="G1459" s="1">
        <v>7.96</v>
      </c>
    </row>
    <row r="1460" spans="1:7" ht="14.25" hidden="1" customHeight="1" x14ac:dyDescent="0.45">
      <c r="A1460" t="str">
        <f>_xlfn.XLOOKUP(B1460,Ingot!$H$12:$H$119,Ingot!$G$12:$G$119,"")</f>
        <v>Metal</v>
      </c>
      <c r="B1460" t="s">
        <v>2882</v>
      </c>
      <c r="C1460" t="s">
        <v>10</v>
      </c>
      <c r="D1460" t="s">
        <v>2943</v>
      </c>
      <c r="E1460" t="s">
        <v>2944</v>
      </c>
      <c r="G1460" s="1">
        <v>9.64</v>
      </c>
    </row>
    <row r="1461" spans="1:7" ht="14.25" hidden="1" customHeight="1" x14ac:dyDescent="0.45">
      <c r="A1461" t="str">
        <f>_xlfn.XLOOKUP(B1461,Ingot!$H$12:$H$119,Ingot!$G$12:$G$119,"")</f>
        <v>Metal</v>
      </c>
      <c r="B1461" t="s">
        <v>2882</v>
      </c>
      <c r="C1461" t="s">
        <v>10</v>
      </c>
      <c r="D1461" t="s">
        <v>2945</v>
      </c>
      <c r="E1461" t="s">
        <v>2946</v>
      </c>
      <c r="G1461" s="1">
        <v>7.94</v>
      </c>
    </row>
    <row r="1462" spans="1:7" ht="14.25" hidden="1" customHeight="1" x14ac:dyDescent="0.45">
      <c r="A1462" t="str">
        <f>_xlfn.XLOOKUP(B1462,Ingot!$H$12:$H$119,Ingot!$G$12:$G$119,"")</f>
        <v>Metal</v>
      </c>
      <c r="B1462" t="s">
        <v>2882</v>
      </c>
      <c r="C1462" t="s">
        <v>10</v>
      </c>
      <c r="D1462" t="s">
        <v>2947</v>
      </c>
      <c r="E1462" t="s">
        <v>2948</v>
      </c>
      <c r="G1462" s="1">
        <v>8.66</v>
      </c>
    </row>
    <row r="1463" spans="1:7" ht="14.25" hidden="1" customHeight="1" x14ac:dyDescent="0.45">
      <c r="A1463" t="str">
        <f>_xlfn.XLOOKUP(B1463,Ingot!$H$12:$H$119,Ingot!$G$12:$G$119,"")</f>
        <v>Metal</v>
      </c>
      <c r="B1463" t="s">
        <v>2882</v>
      </c>
      <c r="C1463" t="s">
        <v>10</v>
      </c>
      <c r="D1463" t="s">
        <v>2949</v>
      </c>
      <c r="E1463" t="s">
        <v>2950</v>
      </c>
    </row>
    <row r="1464" spans="1:7" ht="14.25" hidden="1" customHeight="1" x14ac:dyDescent="0.45">
      <c r="A1464" t="str">
        <f>_xlfn.XLOOKUP(B1464,Ingot!$H$12:$H$119,Ingot!$G$12:$G$119,"")</f>
        <v>Metal</v>
      </c>
      <c r="B1464" t="s">
        <v>2882</v>
      </c>
      <c r="C1464" t="s">
        <v>10</v>
      </c>
      <c r="D1464" t="s">
        <v>2951</v>
      </c>
      <c r="E1464" t="s">
        <v>2952</v>
      </c>
      <c r="G1464" s="1">
        <v>2.65</v>
      </c>
    </row>
    <row r="1465" spans="1:7" ht="14.25" hidden="1" customHeight="1" x14ac:dyDescent="0.45">
      <c r="A1465" t="str">
        <f>_xlfn.XLOOKUP(B1465,Ingot!$H$12:$H$119,Ingot!$G$12:$G$119,"")</f>
        <v>Metal</v>
      </c>
      <c r="B1465" t="s">
        <v>2882</v>
      </c>
      <c r="C1465" t="s">
        <v>10</v>
      </c>
      <c r="D1465" t="s">
        <v>2953</v>
      </c>
      <c r="E1465" t="s">
        <v>2954</v>
      </c>
    </row>
    <row r="1466" spans="1:7" ht="14.25" hidden="1" customHeight="1" x14ac:dyDescent="0.45">
      <c r="A1466" t="str">
        <f>_xlfn.XLOOKUP(B1466,Ingot!$H$12:$H$119,Ingot!$G$12:$G$119,"")</f>
        <v>Metal</v>
      </c>
      <c r="B1466" t="s">
        <v>2882</v>
      </c>
      <c r="C1466" t="s">
        <v>10</v>
      </c>
      <c r="D1466" t="s">
        <v>2955</v>
      </c>
      <c r="E1466" t="s">
        <v>2956</v>
      </c>
      <c r="G1466" s="1">
        <v>12.64</v>
      </c>
    </row>
    <row r="1467" spans="1:7" ht="14.25" hidden="1" customHeight="1" x14ac:dyDescent="0.45">
      <c r="A1467" t="str">
        <f>_xlfn.XLOOKUP(B1467,Ingot!$H$12:$H$119,Ingot!$G$12:$G$119,"")</f>
        <v>Metal</v>
      </c>
      <c r="B1467" t="s">
        <v>2882</v>
      </c>
      <c r="C1467" t="s">
        <v>10</v>
      </c>
      <c r="D1467" t="s">
        <v>2957</v>
      </c>
      <c r="E1467" t="s">
        <v>2958</v>
      </c>
      <c r="G1467" s="1">
        <v>22.67</v>
      </c>
    </row>
    <row r="1468" spans="1:7" ht="14.25" hidden="1" customHeight="1" x14ac:dyDescent="0.45">
      <c r="A1468" t="str">
        <f>_xlfn.XLOOKUP(B1468,Ingot!$H$12:$H$119,Ingot!$G$12:$G$119,"")</f>
        <v>Metal</v>
      </c>
      <c r="B1468" t="s">
        <v>2882</v>
      </c>
      <c r="C1468" t="s">
        <v>10</v>
      </c>
      <c r="D1468" t="s">
        <v>2959</v>
      </c>
      <c r="E1468" t="s">
        <v>2960</v>
      </c>
      <c r="G1468" s="1">
        <v>8.3800000000000008</v>
      </c>
    </row>
    <row r="1469" spans="1:7" ht="14.25" hidden="1" customHeight="1" x14ac:dyDescent="0.45">
      <c r="A1469" t="str">
        <f>_xlfn.XLOOKUP(B1469,Ingot!$H$12:$H$119,Ingot!$G$12:$G$119,"")</f>
        <v>Metal</v>
      </c>
      <c r="B1469" t="s">
        <v>2882</v>
      </c>
      <c r="C1469" t="s">
        <v>10</v>
      </c>
      <c r="D1469" t="s">
        <v>2961</v>
      </c>
      <c r="E1469" t="s">
        <v>2962</v>
      </c>
      <c r="G1469" s="1">
        <v>2.2000000000000002</v>
      </c>
    </row>
    <row r="1470" spans="1:7" ht="14.25" hidden="1" customHeight="1" x14ac:dyDescent="0.45">
      <c r="A1470" t="str">
        <f>_xlfn.XLOOKUP(B1470,Ingot!$H$12:$H$119,Ingot!$G$12:$G$119,"")</f>
        <v>Metal</v>
      </c>
      <c r="B1470" t="s">
        <v>2882</v>
      </c>
      <c r="C1470" t="s">
        <v>10</v>
      </c>
      <c r="D1470" t="s">
        <v>2963</v>
      </c>
      <c r="E1470" t="s">
        <v>2964</v>
      </c>
      <c r="G1470" s="1">
        <v>3.09</v>
      </c>
    </row>
    <row r="1471" spans="1:7" ht="14.25" hidden="1" customHeight="1" x14ac:dyDescent="0.45">
      <c r="A1471" t="str">
        <f>_xlfn.XLOOKUP(B1471,Ingot!$H$12:$H$119,Ingot!$G$12:$G$119,"")</f>
        <v>Metal</v>
      </c>
      <c r="B1471" t="s">
        <v>2882</v>
      </c>
      <c r="C1471" t="s">
        <v>10</v>
      </c>
      <c r="D1471" t="s">
        <v>2965</v>
      </c>
      <c r="E1471" t="s">
        <v>2966</v>
      </c>
      <c r="G1471" s="1">
        <v>2.2999999999999998</v>
      </c>
    </row>
    <row r="1472" spans="1:7" ht="14.25" hidden="1" customHeight="1" x14ac:dyDescent="0.45">
      <c r="A1472" t="str">
        <f>_xlfn.XLOOKUP(B1472,Ingot!$H$12:$H$119,Ingot!$G$12:$G$119,"")</f>
        <v>Metal</v>
      </c>
      <c r="B1472" t="s">
        <v>2882</v>
      </c>
      <c r="C1472" t="s">
        <v>10</v>
      </c>
      <c r="D1472" t="s">
        <v>2967</v>
      </c>
      <c r="E1472" t="s">
        <v>2968</v>
      </c>
      <c r="G1472" s="1">
        <v>4.88</v>
      </c>
    </row>
    <row r="1473" spans="1:7" ht="14.25" hidden="1" customHeight="1" x14ac:dyDescent="0.45">
      <c r="A1473" t="str">
        <f>_xlfn.XLOOKUP(B1473,Ingot!$H$12:$H$119,Ingot!$G$12:$G$119,"")</f>
        <v>Metal</v>
      </c>
      <c r="B1473" t="s">
        <v>2882</v>
      </c>
      <c r="C1473" t="s">
        <v>10</v>
      </c>
      <c r="D1473" t="s">
        <v>2969</v>
      </c>
      <c r="E1473" t="s">
        <v>2970</v>
      </c>
      <c r="G1473" s="1">
        <v>8.43</v>
      </c>
    </row>
    <row r="1474" spans="1:7" ht="14.25" hidden="1" customHeight="1" x14ac:dyDescent="0.45">
      <c r="A1474" t="str">
        <f>_xlfn.XLOOKUP(B1474,Ingot!$H$12:$H$119,Ingot!$G$12:$G$119,"")</f>
        <v>Metal</v>
      </c>
      <c r="B1474" t="s">
        <v>2882</v>
      </c>
      <c r="C1474" t="s">
        <v>10</v>
      </c>
      <c r="D1474" t="s">
        <v>2971</v>
      </c>
      <c r="E1474" t="s">
        <v>2972</v>
      </c>
      <c r="G1474" s="1">
        <v>13.07</v>
      </c>
    </row>
    <row r="1475" spans="1:7" ht="14.25" hidden="1" customHeight="1" x14ac:dyDescent="0.45">
      <c r="A1475" t="str">
        <f>_xlfn.XLOOKUP(B1475,Ingot!$H$12:$H$119,Ingot!$G$12:$G$119,"")</f>
        <v>Metal</v>
      </c>
      <c r="B1475" t="s">
        <v>2882</v>
      </c>
      <c r="C1475" t="s">
        <v>10</v>
      </c>
      <c r="D1475" t="s">
        <v>2973</v>
      </c>
      <c r="E1475" t="s">
        <v>2974</v>
      </c>
    </row>
    <row r="1476" spans="1:7" ht="14.25" hidden="1" customHeight="1" x14ac:dyDescent="0.45">
      <c r="A1476" t="str">
        <f>_xlfn.XLOOKUP(B1476,Ingot!$H$12:$H$119,Ingot!$G$12:$G$119,"")</f>
        <v>Metal</v>
      </c>
      <c r="B1476" t="s">
        <v>2882</v>
      </c>
      <c r="C1476" t="s">
        <v>10</v>
      </c>
      <c r="D1476" t="s">
        <v>2975</v>
      </c>
      <c r="E1476" t="s">
        <v>2976</v>
      </c>
    </row>
    <row r="1477" spans="1:7" ht="14.25" hidden="1" customHeight="1" x14ac:dyDescent="0.45">
      <c r="A1477" t="str">
        <f>_xlfn.XLOOKUP(B1477,Ingot!$H$12:$H$119,Ingot!$G$12:$G$119,"")</f>
        <v>Metal</v>
      </c>
      <c r="B1477" t="s">
        <v>2882</v>
      </c>
      <c r="C1477" t="s">
        <v>10</v>
      </c>
      <c r="D1477" t="s">
        <v>2977</v>
      </c>
      <c r="E1477" t="s">
        <v>2978</v>
      </c>
      <c r="G1477" s="1">
        <v>6.8</v>
      </c>
    </row>
    <row r="1478" spans="1:7" ht="14.25" hidden="1" customHeight="1" x14ac:dyDescent="0.45">
      <c r="A1478" t="str">
        <f>_xlfn.XLOOKUP(B1478,Ingot!$H$12:$H$119,Ingot!$G$12:$G$119,"")</f>
        <v>Metal</v>
      </c>
      <c r="B1478" t="s">
        <v>2882</v>
      </c>
      <c r="C1478" t="s">
        <v>10</v>
      </c>
      <c r="D1478" t="s">
        <v>2979</v>
      </c>
      <c r="E1478" t="s">
        <v>2980</v>
      </c>
      <c r="G1478" s="1">
        <v>6.88</v>
      </c>
    </row>
    <row r="1479" spans="1:7" ht="14.25" hidden="1" customHeight="1" x14ac:dyDescent="0.45">
      <c r="A1479" t="str">
        <f>_xlfn.XLOOKUP(B1479,Ingot!$H$12:$H$119,Ingot!$G$12:$G$119,"")</f>
        <v>Metal</v>
      </c>
      <c r="B1479" t="s">
        <v>2882</v>
      </c>
      <c r="C1479" t="s">
        <v>10</v>
      </c>
      <c r="D1479" t="s">
        <v>2981</v>
      </c>
      <c r="E1479" t="s">
        <v>2982</v>
      </c>
      <c r="G1479" s="1">
        <v>5.5</v>
      </c>
    </row>
    <row r="1480" spans="1:7" ht="14.25" hidden="1" customHeight="1" x14ac:dyDescent="0.45">
      <c r="A1480" t="str">
        <f>_xlfn.XLOOKUP(B1480,Ingot!$H$12:$H$119,Ingot!$G$12:$G$119,"")</f>
        <v>Metal</v>
      </c>
      <c r="B1480" t="s">
        <v>2882</v>
      </c>
      <c r="C1480" t="s">
        <v>10</v>
      </c>
      <c r="D1480" t="s">
        <v>2983</v>
      </c>
      <c r="E1480" t="s">
        <v>2984</v>
      </c>
      <c r="G1480" s="1">
        <v>2.4300000000000002</v>
      </c>
    </row>
    <row r="1481" spans="1:7" ht="14.25" hidden="1" customHeight="1" x14ac:dyDescent="0.45">
      <c r="A1481" t="str">
        <f>_xlfn.XLOOKUP(B1481,Ingot!$H$12:$H$119,Ingot!$G$12:$G$119,"")</f>
        <v>Metal</v>
      </c>
      <c r="B1481" t="s">
        <v>2882</v>
      </c>
      <c r="C1481" t="s">
        <v>10</v>
      </c>
      <c r="D1481" t="s">
        <v>2985</v>
      </c>
      <c r="E1481" t="s">
        <v>2986</v>
      </c>
      <c r="G1481" s="1">
        <v>6.96</v>
      </c>
    </row>
    <row r="1482" spans="1:7" ht="14.25" hidden="1" customHeight="1" x14ac:dyDescent="0.45">
      <c r="A1482" t="str">
        <f>_xlfn.XLOOKUP(B1482,Ingot!$H$12:$H$119,Ingot!$G$12:$G$119,"")</f>
        <v>Metal</v>
      </c>
      <c r="B1482" t="s">
        <v>2882</v>
      </c>
      <c r="C1482" t="s">
        <v>10</v>
      </c>
      <c r="D1482" t="s">
        <v>2987</v>
      </c>
      <c r="E1482" t="s">
        <v>2988</v>
      </c>
      <c r="G1482" s="1">
        <v>6.32</v>
      </c>
    </row>
    <row r="1483" spans="1:7" ht="14.25" hidden="1" customHeight="1" x14ac:dyDescent="0.45">
      <c r="A1483" t="str">
        <f>_xlfn.XLOOKUP(B1483,Ingot!$H$12:$H$119,Ingot!$G$12:$G$119,"")</f>
        <v>Metal</v>
      </c>
      <c r="B1483" t="s">
        <v>2882</v>
      </c>
      <c r="C1483" t="s">
        <v>10</v>
      </c>
      <c r="D1483" t="s">
        <v>2989</v>
      </c>
      <c r="E1483" t="s">
        <v>2990</v>
      </c>
      <c r="G1483" s="1">
        <v>6.88</v>
      </c>
    </row>
    <row r="1484" spans="1:7" ht="14.25" hidden="1" customHeight="1" x14ac:dyDescent="0.45">
      <c r="A1484" t="str">
        <f>_xlfn.XLOOKUP(B1484,Ingot!$H$12:$H$119,Ingot!$G$12:$G$119,"")</f>
        <v>Metal</v>
      </c>
      <c r="B1484" t="s">
        <v>2882</v>
      </c>
      <c r="C1484" t="s">
        <v>10</v>
      </c>
      <c r="D1484" t="s">
        <v>2991</v>
      </c>
      <c r="E1484" t="s">
        <v>2992</v>
      </c>
      <c r="G1484" s="1">
        <v>2.44</v>
      </c>
    </row>
    <row r="1485" spans="1:7" ht="14.25" hidden="1" customHeight="1" x14ac:dyDescent="0.45">
      <c r="A1485" t="str">
        <f>_xlfn.XLOOKUP(B1485,Ingot!$H$12:$H$119,Ingot!$G$12:$G$119,"")</f>
        <v>Metal</v>
      </c>
      <c r="B1485" t="s">
        <v>2882</v>
      </c>
      <c r="C1485" t="s">
        <v>10</v>
      </c>
      <c r="D1485" t="s">
        <v>2993</v>
      </c>
      <c r="E1485" t="s">
        <v>2994</v>
      </c>
    </row>
    <row r="1486" spans="1:7" ht="14.25" hidden="1" customHeight="1" x14ac:dyDescent="0.45">
      <c r="A1486" t="str">
        <f>_xlfn.XLOOKUP(B1486,Ingot!$H$12:$H$119,Ingot!$G$12:$G$119,"")</f>
        <v>Metal</v>
      </c>
      <c r="B1486" t="s">
        <v>2882</v>
      </c>
      <c r="C1486" t="s">
        <v>10</v>
      </c>
      <c r="D1486" t="s">
        <v>2995</v>
      </c>
      <c r="E1486" t="s">
        <v>2996</v>
      </c>
    </row>
    <row r="1487" spans="1:7" ht="14.25" hidden="1" customHeight="1" x14ac:dyDescent="0.45">
      <c r="A1487" t="str">
        <f>_xlfn.XLOOKUP(B1487,Ingot!$H$12:$H$119,Ingot!$G$12:$G$119,"")</f>
        <v>Metal</v>
      </c>
      <c r="B1487" t="s">
        <v>2882</v>
      </c>
      <c r="C1487" t="s">
        <v>10</v>
      </c>
      <c r="D1487" t="s">
        <v>2997</v>
      </c>
      <c r="E1487" t="s">
        <v>2998</v>
      </c>
      <c r="G1487" s="1">
        <v>3.11</v>
      </c>
    </row>
    <row r="1488" spans="1:7" ht="14.25" hidden="1" customHeight="1" x14ac:dyDescent="0.45">
      <c r="A1488" t="str">
        <f>_xlfn.XLOOKUP(B1488,Ingot!$H$12:$H$119,Ingot!$G$12:$G$119,"")</f>
        <v>Metal</v>
      </c>
      <c r="B1488" t="s">
        <v>2882</v>
      </c>
      <c r="C1488" t="s">
        <v>10</v>
      </c>
      <c r="D1488" t="s">
        <v>2999</v>
      </c>
      <c r="E1488" t="s">
        <v>3000</v>
      </c>
      <c r="G1488" s="1">
        <v>2.44</v>
      </c>
    </row>
    <row r="1489" spans="1:7" ht="14.25" hidden="1" customHeight="1" x14ac:dyDescent="0.45">
      <c r="A1489" t="str">
        <f>_xlfn.XLOOKUP(B1489,Ingot!$H$12:$H$119,Ingot!$G$12:$G$119,"")</f>
        <v>Metal</v>
      </c>
      <c r="B1489" t="s">
        <v>2882</v>
      </c>
      <c r="C1489" t="s">
        <v>10</v>
      </c>
      <c r="D1489" t="s">
        <v>3001</v>
      </c>
      <c r="E1489" t="s">
        <v>3002</v>
      </c>
      <c r="G1489" s="1">
        <v>8.61</v>
      </c>
    </row>
    <row r="1490" spans="1:7" ht="14.25" hidden="1" customHeight="1" x14ac:dyDescent="0.45">
      <c r="A1490" t="str">
        <f>_xlfn.XLOOKUP(B1490,Ingot!$H$12:$H$119,Ingot!$G$12:$G$119,"")</f>
        <v>Metal</v>
      </c>
      <c r="B1490" t="s">
        <v>2882</v>
      </c>
      <c r="C1490" t="s">
        <v>10</v>
      </c>
      <c r="D1490" t="s">
        <v>3003</v>
      </c>
      <c r="E1490" t="s">
        <v>3004</v>
      </c>
    </row>
    <row r="1491" spans="1:7" ht="14.25" hidden="1" customHeight="1" x14ac:dyDescent="0.45">
      <c r="A1491" t="str">
        <f>_xlfn.XLOOKUP(B1491,Ingot!$H$12:$H$119,Ingot!$G$12:$G$119,"")</f>
        <v>Metal</v>
      </c>
      <c r="B1491" t="s">
        <v>2882</v>
      </c>
      <c r="C1491" t="s">
        <v>10</v>
      </c>
      <c r="D1491" t="s">
        <v>3005</v>
      </c>
      <c r="E1491" t="s">
        <v>3006</v>
      </c>
      <c r="G1491" s="1">
        <v>3.21</v>
      </c>
    </row>
    <row r="1492" spans="1:7" ht="14.25" hidden="1" customHeight="1" x14ac:dyDescent="0.45">
      <c r="A1492" t="str">
        <f>_xlfn.XLOOKUP(B1492,Ingot!$H$12:$H$119,Ingot!$G$12:$G$119,"")</f>
        <v>Metal</v>
      </c>
      <c r="B1492" t="s">
        <v>2882</v>
      </c>
      <c r="C1492" t="s">
        <v>10</v>
      </c>
      <c r="D1492" t="s">
        <v>3007</v>
      </c>
      <c r="E1492" t="s">
        <v>3008</v>
      </c>
      <c r="G1492" s="1">
        <v>2.77</v>
      </c>
    </row>
    <row r="1493" spans="1:7" ht="14.25" hidden="1" customHeight="1" x14ac:dyDescent="0.45">
      <c r="A1493" t="str">
        <f>_xlfn.XLOOKUP(B1493,Ingot!$H$12:$H$119,Ingot!$G$12:$G$119,"")</f>
        <v>Metal</v>
      </c>
      <c r="B1493" t="s">
        <v>2882</v>
      </c>
      <c r="C1493" t="s">
        <v>10</v>
      </c>
      <c r="D1493" t="s">
        <v>3009</v>
      </c>
      <c r="E1493" t="s">
        <v>3010</v>
      </c>
      <c r="G1493" s="1">
        <v>4.8899999999999997</v>
      </c>
    </row>
    <row r="1494" spans="1:7" ht="14.25" hidden="1" customHeight="1" x14ac:dyDescent="0.45">
      <c r="A1494" t="str">
        <f>_xlfn.XLOOKUP(B1494,Ingot!$H$12:$H$119,Ingot!$G$12:$G$119,"")</f>
        <v>Metal</v>
      </c>
      <c r="B1494" t="s">
        <v>2882</v>
      </c>
      <c r="C1494" t="s">
        <v>10</v>
      </c>
      <c r="D1494" t="s">
        <v>3011</v>
      </c>
      <c r="E1494" t="s">
        <v>3012</v>
      </c>
      <c r="G1494" s="1">
        <v>1.76</v>
      </c>
    </row>
    <row r="1495" spans="1:7" ht="14.25" hidden="1" customHeight="1" x14ac:dyDescent="0.45">
      <c r="A1495" t="str">
        <f>_xlfn.XLOOKUP(B1495,Ingot!$H$12:$H$119,Ingot!$G$12:$G$119,"")</f>
        <v>Metal</v>
      </c>
      <c r="B1495" t="s">
        <v>2882</v>
      </c>
      <c r="C1495" t="s">
        <v>10</v>
      </c>
      <c r="D1495" t="s">
        <v>3013</v>
      </c>
      <c r="E1495" t="s">
        <v>3014</v>
      </c>
    </row>
    <row r="1496" spans="1:7" ht="14.25" hidden="1" customHeight="1" x14ac:dyDescent="0.45">
      <c r="A1496" t="str">
        <f>_xlfn.XLOOKUP(B1496,Ingot!$H$12:$H$119,Ingot!$G$12:$G$119,"")</f>
        <v>Metal</v>
      </c>
      <c r="B1496" t="s">
        <v>2882</v>
      </c>
      <c r="C1496" t="s">
        <v>10</v>
      </c>
      <c r="D1496" t="s">
        <v>3015</v>
      </c>
      <c r="E1496" t="s">
        <v>3016</v>
      </c>
      <c r="G1496" s="1">
        <v>8.57</v>
      </c>
    </row>
    <row r="1497" spans="1:7" ht="14.25" hidden="1" customHeight="1" x14ac:dyDescent="0.45">
      <c r="A1497" t="str">
        <f>_xlfn.XLOOKUP(B1497,Ingot!$H$12:$H$119,Ingot!$G$12:$G$119,"")</f>
        <v>Metal</v>
      </c>
      <c r="B1497" t="s">
        <v>2882</v>
      </c>
      <c r="C1497" t="s">
        <v>10</v>
      </c>
      <c r="D1497" t="s">
        <v>3017</v>
      </c>
      <c r="E1497" t="s">
        <v>3018</v>
      </c>
    </row>
    <row r="1498" spans="1:7" ht="14.25" hidden="1" customHeight="1" x14ac:dyDescent="0.45">
      <c r="A1498" t="str">
        <f>_xlfn.XLOOKUP(B1498,Ingot!$H$12:$H$119,Ingot!$G$12:$G$119,"")</f>
        <v>Metal</v>
      </c>
      <c r="B1498" t="s">
        <v>2882</v>
      </c>
      <c r="C1498" t="s">
        <v>10</v>
      </c>
      <c r="D1498" t="s">
        <v>3019</v>
      </c>
      <c r="E1498" t="s">
        <v>3020</v>
      </c>
      <c r="G1498" s="1">
        <v>3.56</v>
      </c>
    </row>
    <row r="1499" spans="1:7" ht="14.25" hidden="1" customHeight="1" x14ac:dyDescent="0.45">
      <c r="A1499" t="str">
        <f>_xlfn.XLOOKUP(B1499,Ingot!$H$12:$H$119,Ingot!$G$12:$G$119,"")</f>
        <v>Metal</v>
      </c>
      <c r="B1499" t="s">
        <v>2882</v>
      </c>
      <c r="C1499" t="s">
        <v>10</v>
      </c>
      <c r="D1499" t="s">
        <v>3021</v>
      </c>
      <c r="E1499" t="s">
        <v>3022</v>
      </c>
      <c r="G1499" s="1">
        <v>8.91</v>
      </c>
    </row>
    <row r="1500" spans="1:7" ht="14.25" hidden="1" customHeight="1" x14ac:dyDescent="0.45">
      <c r="A1500" t="str">
        <f>_xlfn.XLOOKUP(B1500,Ingot!$H$12:$H$119,Ingot!$G$12:$G$119,"")</f>
        <v>Metal</v>
      </c>
      <c r="B1500" t="s">
        <v>2882</v>
      </c>
      <c r="C1500" t="s">
        <v>10</v>
      </c>
      <c r="D1500" t="s">
        <v>3023</v>
      </c>
      <c r="E1500" t="s">
        <v>3024</v>
      </c>
      <c r="G1500" s="1">
        <v>11.02</v>
      </c>
    </row>
    <row r="1501" spans="1:7" ht="14.25" hidden="1" customHeight="1" x14ac:dyDescent="0.45">
      <c r="A1501" t="str">
        <f>_xlfn.XLOOKUP(B1501,Ingot!$H$12:$H$119,Ingot!$G$12:$G$119,"")</f>
        <v>Metal</v>
      </c>
      <c r="B1501" t="s">
        <v>2882</v>
      </c>
      <c r="C1501" t="s">
        <v>10</v>
      </c>
      <c r="D1501" t="s">
        <v>3025</v>
      </c>
      <c r="E1501" t="s">
        <v>3026</v>
      </c>
      <c r="G1501" s="1">
        <v>5.12</v>
      </c>
    </row>
    <row r="1502" spans="1:7" ht="14.25" hidden="1" customHeight="1" x14ac:dyDescent="0.45">
      <c r="A1502" t="str">
        <f>_xlfn.XLOOKUP(B1502,Ingot!$H$12:$H$119,Ingot!$G$12:$G$119,"")</f>
        <v>Metal</v>
      </c>
      <c r="B1502" t="s">
        <v>2882</v>
      </c>
      <c r="C1502" t="s">
        <v>10</v>
      </c>
      <c r="D1502" t="s">
        <v>3027</v>
      </c>
      <c r="E1502" t="s">
        <v>3028</v>
      </c>
      <c r="G1502" s="1">
        <v>4.41</v>
      </c>
    </row>
    <row r="1503" spans="1:7" ht="14.25" hidden="1" customHeight="1" x14ac:dyDescent="0.45">
      <c r="A1503" t="str">
        <f>_xlfn.XLOOKUP(B1503,Ingot!$H$12:$H$119,Ingot!$G$12:$G$119,"")</f>
        <v>Metal</v>
      </c>
      <c r="B1503" t="s">
        <v>2882</v>
      </c>
      <c r="C1503" t="s">
        <v>157</v>
      </c>
      <c r="D1503" t="s">
        <v>3029</v>
      </c>
      <c r="E1503" t="s">
        <v>3030</v>
      </c>
      <c r="G1503" s="1">
        <v>35.799999999999997</v>
      </c>
    </row>
    <row r="1504" spans="1:7" ht="14.25" hidden="1" customHeight="1" x14ac:dyDescent="0.45">
      <c r="A1504" t="str">
        <f>_xlfn.XLOOKUP(B1504,Ingot!$H$12:$H$119,Ingot!$G$12:$G$119,"")</f>
        <v>Metal</v>
      </c>
      <c r="B1504" t="s">
        <v>2882</v>
      </c>
      <c r="C1504" t="s">
        <v>157</v>
      </c>
      <c r="D1504" t="s">
        <v>3031</v>
      </c>
      <c r="E1504" t="s">
        <v>3032</v>
      </c>
      <c r="G1504" s="1">
        <v>7.16</v>
      </c>
    </row>
    <row r="1505" spans="1:7" ht="14.25" hidden="1" customHeight="1" x14ac:dyDescent="0.45">
      <c r="A1505" t="str">
        <f>_xlfn.XLOOKUP(B1505,Ingot!$H$12:$H$119,Ingot!$G$12:$G$119,"")</f>
        <v>Metal</v>
      </c>
      <c r="B1505" t="s">
        <v>2882</v>
      </c>
      <c r="C1505" t="s">
        <v>157</v>
      </c>
      <c r="D1505" t="s">
        <v>3033</v>
      </c>
      <c r="E1505" t="s">
        <v>3034</v>
      </c>
      <c r="G1505" s="1">
        <v>7.16</v>
      </c>
    </row>
    <row r="1506" spans="1:7" ht="14.25" hidden="1" customHeight="1" x14ac:dyDescent="0.45">
      <c r="A1506" t="str">
        <f>_xlfn.XLOOKUP(B1506,Ingot!$H$12:$H$119,Ingot!$G$12:$G$119,"")</f>
        <v>Metal</v>
      </c>
      <c r="B1506" t="s">
        <v>2882</v>
      </c>
      <c r="C1506" t="s">
        <v>157</v>
      </c>
      <c r="D1506" t="s">
        <v>3035</v>
      </c>
      <c r="E1506" t="s">
        <v>3036</v>
      </c>
      <c r="G1506" s="1">
        <v>5</v>
      </c>
    </row>
    <row r="1507" spans="1:7" ht="14.25" hidden="1" customHeight="1" x14ac:dyDescent="0.45">
      <c r="A1507" t="str">
        <f>_xlfn.XLOOKUP(B1507,Ingot!$H$12:$H$119,Ingot!$G$12:$G$119,"")</f>
        <v>Metal</v>
      </c>
      <c r="B1507" t="s">
        <v>2882</v>
      </c>
      <c r="C1507" t="s">
        <v>157</v>
      </c>
      <c r="D1507" t="s">
        <v>3037</v>
      </c>
      <c r="E1507" t="s">
        <v>3038</v>
      </c>
      <c r="G1507" s="1">
        <v>10</v>
      </c>
    </row>
    <row r="1508" spans="1:7" ht="14.25" hidden="1" customHeight="1" x14ac:dyDescent="0.45">
      <c r="A1508" t="str">
        <f>_xlfn.XLOOKUP(B1508,Ingot!$H$12:$H$119,Ingot!$G$12:$G$119,"")</f>
        <v>Metal</v>
      </c>
      <c r="B1508" t="s">
        <v>2882</v>
      </c>
      <c r="C1508" t="s">
        <v>157</v>
      </c>
      <c r="D1508" t="s">
        <v>3039</v>
      </c>
      <c r="E1508" t="s">
        <v>3040</v>
      </c>
      <c r="G1508" s="1">
        <v>30.3</v>
      </c>
    </row>
    <row r="1509" spans="1:7" ht="14.25" hidden="1" customHeight="1" x14ac:dyDescent="0.45">
      <c r="A1509" t="str">
        <f>_xlfn.XLOOKUP(B1509,Ingot!$H$12:$H$119,Ingot!$G$12:$G$119,"")</f>
        <v>Metal</v>
      </c>
      <c r="B1509" t="s">
        <v>2882</v>
      </c>
      <c r="C1509" t="s">
        <v>157</v>
      </c>
      <c r="D1509" t="s">
        <v>3041</v>
      </c>
      <c r="E1509" t="s">
        <v>3042</v>
      </c>
      <c r="G1509" s="1">
        <v>6.06</v>
      </c>
    </row>
    <row r="1510" spans="1:7" ht="14.25" hidden="1" customHeight="1" x14ac:dyDescent="0.45">
      <c r="A1510" t="str">
        <f>_xlfn.XLOOKUP(B1510,Ingot!$H$12:$H$119,Ingot!$G$12:$G$119,"")</f>
        <v>Metal</v>
      </c>
      <c r="B1510" t="s">
        <v>2882</v>
      </c>
      <c r="C1510" t="s">
        <v>157</v>
      </c>
      <c r="D1510" t="s">
        <v>3043</v>
      </c>
      <c r="E1510" t="s">
        <v>3044</v>
      </c>
      <c r="G1510" s="1">
        <v>6.06</v>
      </c>
    </row>
    <row r="1511" spans="1:7" ht="14.25" hidden="1" customHeight="1" x14ac:dyDescent="0.45">
      <c r="A1511" t="str">
        <f>_xlfn.XLOOKUP(B1511,Ingot!$H$12:$H$119,Ingot!$G$12:$G$119,"")</f>
        <v>Metal</v>
      </c>
      <c r="B1511" t="s">
        <v>2882</v>
      </c>
      <c r="C1511" t="s">
        <v>157</v>
      </c>
      <c r="D1511" t="s">
        <v>3045</v>
      </c>
      <c r="E1511" t="s">
        <v>3046</v>
      </c>
      <c r="G1511" s="1">
        <v>5</v>
      </c>
    </row>
    <row r="1512" spans="1:7" ht="14.25" hidden="1" customHeight="1" x14ac:dyDescent="0.45">
      <c r="A1512" t="str">
        <f>_xlfn.XLOOKUP(B1512,Ingot!$H$12:$H$119,Ingot!$G$12:$G$119,"")</f>
        <v>Metal</v>
      </c>
      <c r="B1512" t="s">
        <v>2882</v>
      </c>
      <c r="C1512" t="s">
        <v>157</v>
      </c>
      <c r="D1512" t="s">
        <v>3047</v>
      </c>
      <c r="E1512" t="s">
        <v>3048</v>
      </c>
      <c r="G1512" s="1">
        <v>10</v>
      </c>
    </row>
    <row r="1513" spans="1:7" ht="14.25" hidden="1" customHeight="1" x14ac:dyDescent="0.45">
      <c r="A1513" t="str">
        <f>_xlfn.XLOOKUP(B1513,Ingot!$H$12:$H$119,Ingot!$G$12:$G$119,"")</f>
        <v>Metal</v>
      </c>
      <c r="B1513" t="s">
        <v>2882</v>
      </c>
      <c r="C1513" t="s">
        <v>157</v>
      </c>
      <c r="D1513" t="s">
        <v>3049</v>
      </c>
      <c r="E1513" t="s">
        <v>3050</v>
      </c>
      <c r="F1513" t="s">
        <v>180</v>
      </c>
      <c r="G1513" s="1">
        <v>29.3</v>
      </c>
    </row>
    <row r="1514" spans="1:7" ht="14.25" hidden="1" customHeight="1" x14ac:dyDescent="0.45">
      <c r="A1514" t="str">
        <f>_xlfn.XLOOKUP(B1514,Ingot!$H$12:$H$119,Ingot!$G$12:$G$119,"")</f>
        <v>Metal</v>
      </c>
      <c r="B1514" t="s">
        <v>2882</v>
      </c>
      <c r="C1514" t="s">
        <v>157</v>
      </c>
      <c r="D1514" t="s">
        <v>3051</v>
      </c>
      <c r="E1514" t="s">
        <v>3052</v>
      </c>
      <c r="F1514" t="s">
        <v>180</v>
      </c>
      <c r="G1514" s="1">
        <v>5.86</v>
      </c>
    </row>
    <row r="1515" spans="1:7" ht="14.25" hidden="1" customHeight="1" x14ac:dyDescent="0.45">
      <c r="A1515" t="str">
        <f>_xlfn.XLOOKUP(B1515,Ingot!$H$12:$H$119,Ingot!$G$12:$G$119,"")</f>
        <v>Metal</v>
      </c>
      <c r="B1515" t="s">
        <v>2882</v>
      </c>
      <c r="C1515" t="s">
        <v>157</v>
      </c>
      <c r="D1515" t="s">
        <v>3053</v>
      </c>
      <c r="E1515" t="s">
        <v>3054</v>
      </c>
      <c r="F1515" t="s">
        <v>180</v>
      </c>
      <c r="G1515" s="1">
        <v>5.86</v>
      </c>
    </row>
    <row r="1516" spans="1:7" ht="14.25" hidden="1" customHeight="1" x14ac:dyDescent="0.45">
      <c r="A1516" t="str">
        <f>_xlfn.XLOOKUP(B1516,Ingot!$H$12:$H$119,Ingot!$G$12:$G$119,"")</f>
        <v>Metal</v>
      </c>
      <c r="B1516" t="s">
        <v>2882</v>
      </c>
      <c r="C1516" t="s">
        <v>157</v>
      </c>
      <c r="D1516" t="s">
        <v>3055</v>
      </c>
      <c r="E1516" t="s">
        <v>3056</v>
      </c>
      <c r="F1516" t="s">
        <v>180</v>
      </c>
      <c r="G1516" s="1">
        <v>5</v>
      </c>
    </row>
    <row r="1517" spans="1:7" ht="14.25" hidden="1" customHeight="1" x14ac:dyDescent="0.45">
      <c r="A1517" t="str">
        <f>_xlfn.XLOOKUP(B1517,Ingot!$H$12:$H$119,Ingot!$G$12:$G$119,"")</f>
        <v>Metal</v>
      </c>
      <c r="B1517" t="s">
        <v>2882</v>
      </c>
      <c r="C1517" t="s">
        <v>157</v>
      </c>
      <c r="D1517" t="s">
        <v>3057</v>
      </c>
      <c r="E1517" t="s">
        <v>3058</v>
      </c>
      <c r="F1517" t="s">
        <v>180</v>
      </c>
      <c r="G1517" s="1">
        <v>10</v>
      </c>
    </row>
    <row r="1518" spans="1:7" ht="14.25" hidden="1" customHeight="1" x14ac:dyDescent="0.45">
      <c r="A1518" t="str">
        <f>_xlfn.XLOOKUP(B1518,Ingot!$H$12:$H$119,Ingot!$G$12:$G$119,"")</f>
        <v>Metal</v>
      </c>
      <c r="B1518" t="s">
        <v>2882</v>
      </c>
      <c r="C1518" t="s">
        <v>157</v>
      </c>
      <c r="D1518" t="s">
        <v>3059</v>
      </c>
      <c r="E1518" t="s">
        <v>3060</v>
      </c>
      <c r="G1518" s="1">
        <v>31.8</v>
      </c>
    </row>
    <row r="1519" spans="1:7" ht="14.25" hidden="1" customHeight="1" x14ac:dyDescent="0.45">
      <c r="A1519" t="str">
        <f>_xlfn.XLOOKUP(B1519,Ingot!$H$12:$H$119,Ingot!$G$12:$G$119,"")</f>
        <v>Metal</v>
      </c>
      <c r="B1519" t="s">
        <v>2882</v>
      </c>
      <c r="C1519" t="s">
        <v>157</v>
      </c>
      <c r="D1519" t="s">
        <v>3061</v>
      </c>
      <c r="E1519" t="s">
        <v>3062</v>
      </c>
      <c r="G1519" s="1">
        <v>6.36</v>
      </c>
    </row>
    <row r="1520" spans="1:7" ht="14.25" hidden="1" customHeight="1" x14ac:dyDescent="0.45">
      <c r="A1520" t="str">
        <f>_xlfn.XLOOKUP(B1520,Ingot!$H$12:$H$119,Ingot!$G$12:$G$119,"")</f>
        <v>Metal</v>
      </c>
      <c r="B1520" t="s">
        <v>2882</v>
      </c>
      <c r="C1520" t="s">
        <v>157</v>
      </c>
      <c r="D1520" t="s">
        <v>3063</v>
      </c>
      <c r="E1520" t="s">
        <v>3064</v>
      </c>
      <c r="G1520" s="1">
        <v>6.36</v>
      </c>
    </row>
    <row r="1521" spans="1:7" ht="14.25" hidden="1" customHeight="1" x14ac:dyDescent="0.45">
      <c r="A1521" t="str">
        <f>_xlfn.XLOOKUP(B1521,Ingot!$H$12:$H$119,Ingot!$G$12:$G$119,"")</f>
        <v>Metal</v>
      </c>
      <c r="B1521" t="s">
        <v>2882</v>
      </c>
      <c r="C1521" t="s">
        <v>157</v>
      </c>
      <c r="D1521" t="s">
        <v>3065</v>
      </c>
      <c r="E1521" t="s">
        <v>3066</v>
      </c>
      <c r="G1521" s="1">
        <v>5</v>
      </c>
    </row>
    <row r="1522" spans="1:7" ht="14.25" hidden="1" customHeight="1" x14ac:dyDescent="0.45">
      <c r="A1522" t="str">
        <f>_xlfn.XLOOKUP(B1522,Ingot!$H$12:$H$119,Ingot!$G$12:$G$119,"")</f>
        <v>Metal</v>
      </c>
      <c r="B1522" t="s">
        <v>2882</v>
      </c>
      <c r="C1522" t="s">
        <v>157</v>
      </c>
      <c r="D1522" t="s">
        <v>3067</v>
      </c>
      <c r="E1522" t="s">
        <v>3068</v>
      </c>
      <c r="G1522" s="1">
        <v>10</v>
      </c>
    </row>
    <row r="1523" spans="1:7" ht="14.25" hidden="1" customHeight="1" x14ac:dyDescent="0.45">
      <c r="A1523" t="str">
        <f>_xlfn.XLOOKUP(B1523,Ingot!$H$12:$H$119,Ingot!$G$12:$G$119,"")</f>
        <v>Metal</v>
      </c>
      <c r="B1523" t="s">
        <v>2882</v>
      </c>
      <c r="C1523" t="s">
        <v>157</v>
      </c>
      <c r="D1523" t="s">
        <v>3069</v>
      </c>
      <c r="E1523" t="s">
        <v>3070</v>
      </c>
      <c r="G1523" s="1">
        <v>33.799999999999997</v>
      </c>
    </row>
    <row r="1524" spans="1:7" ht="14.25" hidden="1" customHeight="1" x14ac:dyDescent="0.45">
      <c r="A1524" t="str">
        <f>_xlfn.XLOOKUP(B1524,Ingot!$H$12:$H$119,Ingot!$G$12:$G$119,"")</f>
        <v>Metal</v>
      </c>
      <c r="B1524" t="s">
        <v>2882</v>
      </c>
      <c r="C1524" t="s">
        <v>157</v>
      </c>
      <c r="D1524" t="s">
        <v>3071</v>
      </c>
      <c r="E1524" t="s">
        <v>3072</v>
      </c>
      <c r="F1524" t="s">
        <v>180</v>
      </c>
      <c r="G1524" s="1">
        <v>6.76</v>
      </c>
    </row>
    <row r="1525" spans="1:7" ht="14.25" hidden="1" customHeight="1" x14ac:dyDescent="0.45">
      <c r="A1525" t="str">
        <f>_xlfn.XLOOKUP(B1525,Ingot!$H$12:$H$119,Ingot!$G$12:$G$119,"")</f>
        <v>Metal</v>
      </c>
      <c r="B1525" t="s">
        <v>2882</v>
      </c>
      <c r="C1525" t="s">
        <v>157</v>
      </c>
      <c r="D1525" t="s">
        <v>3073</v>
      </c>
      <c r="E1525" t="s">
        <v>3074</v>
      </c>
      <c r="F1525" t="s">
        <v>180</v>
      </c>
      <c r="G1525" s="1">
        <v>6.76</v>
      </c>
    </row>
    <row r="1526" spans="1:7" ht="14.25" hidden="1" customHeight="1" x14ac:dyDescent="0.45">
      <c r="A1526" t="str">
        <f>_xlfn.XLOOKUP(B1526,Ingot!$H$12:$H$119,Ingot!$G$12:$G$119,"")</f>
        <v>Metal</v>
      </c>
      <c r="B1526" t="s">
        <v>2882</v>
      </c>
      <c r="C1526" t="s">
        <v>157</v>
      </c>
      <c r="D1526" t="s">
        <v>3075</v>
      </c>
      <c r="E1526" t="s">
        <v>3076</v>
      </c>
      <c r="F1526" t="s">
        <v>180</v>
      </c>
      <c r="G1526" s="1">
        <v>5</v>
      </c>
    </row>
    <row r="1527" spans="1:7" ht="14.25" hidden="1" customHeight="1" x14ac:dyDescent="0.45">
      <c r="A1527" t="str">
        <f>_xlfn.XLOOKUP(B1527,Ingot!$H$12:$H$119,Ingot!$G$12:$G$119,"")</f>
        <v>Metal</v>
      </c>
      <c r="B1527" t="s">
        <v>2882</v>
      </c>
      <c r="C1527" t="s">
        <v>157</v>
      </c>
      <c r="D1527" t="s">
        <v>3077</v>
      </c>
      <c r="E1527" t="s">
        <v>3078</v>
      </c>
      <c r="G1527" s="1">
        <v>10</v>
      </c>
    </row>
    <row r="1528" spans="1:7" ht="14.25" hidden="1" customHeight="1" x14ac:dyDescent="0.45">
      <c r="A1528" t="str">
        <f>_xlfn.XLOOKUP(B1528,Ingot!$H$12:$H$119,Ingot!$G$12:$G$119,"")</f>
        <v>Metal</v>
      </c>
      <c r="B1528" t="s">
        <v>2882</v>
      </c>
      <c r="C1528" t="s">
        <v>157</v>
      </c>
      <c r="D1528" t="s">
        <v>3079</v>
      </c>
      <c r="E1528" t="s">
        <v>3080</v>
      </c>
      <c r="G1528" s="1">
        <v>38.799999999999997</v>
      </c>
    </row>
    <row r="1529" spans="1:7" ht="14.25" hidden="1" customHeight="1" x14ac:dyDescent="0.45">
      <c r="A1529" t="str">
        <f>_xlfn.XLOOKUP(B1529,Ingot!$H$12:$H$119,Ingot!$G$12:$G$119,"")</f>
        <v>Metal</v>
      </c>
      <c r="B1529" t="s">
        <v>2882</v>
      </c>
      <c r="C1529" t="s">
        <v>157</v>
      </c>
      <c r="D1529" t="s">
        <v>3081</v>
      </c>
      <c r="E1529" t="s">
        <v>3082</v>
      </c>
      <c r="G1529" s="1">
        <v>7.76</v>
      </c>
    </row>
    <row r="1530" spans="1:7" ht="14.25" hidden="1" customHeight="1" x14ac:dyDescent="0.45">
      <c r="A1530" t="str">
        <f>_xlfn.XLOOKUP(B1530,Ingot!$H$12:$H$119,Ingot!$G$12:$G$119,"")</f>
        <v>Metal</v>
      </c>
      <c r="B1530" t="s">
        <v>2882</v>
      </c>
      <c r="C1530" t="s">
        <v>157</v>
      </c>
      <c r="D1530" t="s">
        <v>3083</v>
      </c>
      <c r="E1530" t="s">
        <v>3084</v>
      </c>
      <c r="G1530" s="1">
        <v>7.76</v>
      </c>
    </row>
    <row r="1531" spans="1:7" ht="14.25" hidden="1" customHeight="1" x14ac:dyDescent="0.45">
      <c r="A1531" t="str">
        <f>_xlfn.XLOOKUP(B1531,Ingot!$H$12:$H$119,Ingot!$G$12:$G$119,"")</f>
        <v>Metal</v>
      </c>
      <c r="B1531" t="s">
        <v>2882</v>
      </c>
      <c r="C1531" t="s">
        <v>157</v>
      </c>
      <c r="D1531" t="s">
        <v>3085</v>
      </c>
      <c r="E1531" t="s">
        <v>3086</v>
      </c>
      <c r="G1531" s="1">
        <v>5.04</v>
      </c>
    </row>
    <row r="1532" spans="1:7" ht="14.25" hidden="1" customHeight="1" x14ac:dyDescent="0.45">
      <c r="A1532" t="str">
        <f>_xlfn.XLOOKUP(B1532,Ingot!$H$12:$H$119,Ingot!$G$12:$G$119,"")</f>
        <v>Metal</v>
      </c>
      <c r="B1532" t="s">
        <v>2882</v>
      </c>
      <c r="C1532" t="s">
        <v>157</v>
      </c>
      <c r="D1532" t="s">
        <v>3087</v>
      </c>
      <c r="E1532" t="s">
        <v>3088</v>
      </c>
      <c r="G1532" s="1">
        <v>10.09</v>
      </c>
    </row>
    <row r="1533" spans="1:7" ht="14.25" hidden="1" customHeight="1" x14ac:dyDescent="0.45">
      <c r="A1533" t="str">
        <f>_xlfn.XLOOKUP(B1533,Ingot!$H$12:$H$119,Ingot!$G$12:$G$119,"")</f>
        <v>Metal</v>
      </c>
      <c r="B1533" t="s">
        <v>2882</v>
      </c>
      <c r="C1533" t="s">
        <v>157</v>
      </c>
      <c r="D1533" t="s">
        <v>3089</v>
      </c>
      <c r="E1533" t="s">
        <v>3090</v>
      </c>
      <c r="G1533" s="1">
        <v>38.299999999999997</v>
      </c>
    </row>
    <row r="1534" spans="1:7" ht="14.25" hidden="1" customHeight="1" x14ac:dyDescent="0.45">
      <c r="A1534" t="str">
        <f>_xlfn.XLOOKUP(B1534,Ingot!$H$12:$H$119,Ingot!$G$12:$G$119,"")</f>
        <v>Metal</v>
      </c>
      <c r="B1534" t="s">
        <v>2882</v>
      </c>
      <c r="C1534" t="s">
        <v>157</v>
      </c>
      <c r="D1534" t="s">
        <v>3091</v>
      </c>
      <c r="E1534" t="s">
        <v>3092</v>
      </c>
      <c r="G1534" s="1">
        <v>7.66</v>
      </c>
    </row>
    <row r="1535" spans="1:7" ht="14.25" hidden="1" customHeight="1" x14ac:dyDescent="0.45">
      <c r="A1535" t="str">
        <f>_xlfn.XLOOKUP(B1535,Ingot!$H$12:$H$119,Ingot!$G$12:$G$119,"")</f>
        <v>Metal</v>
      </c>
      <c r="B1535" t="s">
        <v>2882</v>
      </c>
      <c r="C1535" t="s">
        <v>157</v>
      </c>
      <c r="D1535" t="s">
        <v>3093</v>
      </c>
      <c r="E1535" t="s">
        <v>3094</v>
      </c>
      <c r="G1535" s="1">
        <v>7.66</v>
      </c>
    </row>
    <row r="1536" spans="1:7" ht="14.25" hidden="1" customHeight="1" x14ac:dyDescent="0.45">
      <c r="A1536" t="str">
        <f>_xlfn.XLOOKUP(B1536,Ingot!$H$12:$H$119,Ingot!$G$12:$G$119,"")</f>
        <v>Metal</v>
      </c>
      <c r="B1536" t="s">
        <v>2882</v>
      </c>
      <c r="C1536" t="s">
        <v>157</v>
      </c>
      <c r="D1536" t="s">
        <v>3095</v>
      </c>
      <c r="E1536" t="s">
        <v>3096</v>
      </c>
      <c r="G1536" s="1">
        <v>5</v>
      </c>
    </row>
    <row r="1537" spans="1:7" ht="14.25" hidden="1" customHeight="1" x14ac:dyDescent="0.45">
      <c r="A1537" t="str">
        <f>_xlfn.XLOOKUP(B1537,Ingot!$H$12:$H$119,Ingot!$G$12:$G$119,"")</f>
        <v>Metal</v>
      </c>
      <c r="B1537" t="s">
        <v>2882</v>
      </c>
      <c r="C1537" t="s">
        <v>157</v>
      </c>
      <c r="D1537" t="s">
        <v>3097</v>
      </c>
      <c r="E1537" t="s">
        <v>3098</v>
      </c>
      <c r="G1537" s="1">
        <v>10</v>
      </c>
    </row>
    <row r="1538" spans="1:7" ht="14.25" hidden="1" customHeight="1" x14ac:dyDescent="0.45">
      <c r="A1538" t="str">
        <f>_xlfn.XLOOKUP(B1538,Ingot!$H$12:$H$119,Ingot!$G$12:$G$119,"")</f>
        <v>Metal</v>
      </c>
      <c r="B1538" t="s">
        <v>2882</v>
      </c>
      <c r="C1538" t="s">
        <v>157</v>
      </c>
      <c r="D1538" t="s">
        <v>3099</v>
      </c>
      <c r="E1538" t="s">
        <v>3100</v>
      </c>
      <c r="F1538" t="s">
        <v>180</v>
      </c>
      <c r="G1538" s="1">
        <v>27.8</v>
      </c>
    </row>
    <row r="1539" spans="1:7" ht="14.25" hidden="1" customHeight="1" x14ac:dyDescent="0.45">
      <c r="A1539" t="str">
        <f>_xlfn.XLOOKUP(B1539,Ingot!$H$12:$H$119,Ingot!$G$12:$G$119,"")</f>
        <v>Metal</v>
      </c>
      <c r="B1539" t="s">
        <v>2882</v>
      </c>
      <c r="C1539" t="s">
        <v>157</v>
      </c>
      <c r="D1539" t="s">
        <v>3101</v>
      </c>
      <c r="E1539" t="s">
        <v>3102</v>
      </c>
      <c r="F1539" t="s">
        <v>180</v>
      </c>
      <c r="G1539" s="1">
        <v>5.56</v>
      </c>
    </row>
    <row r="1540" spans="1:7" ht="14.25" hidden="1" customHeight="1" x14ac:dyDescent="0.45">
      <c r="A1540" t="str">
        <f>_xlfn.XLOOKUP(B1540,Ingot!$H$12:$H$119,Ingot!$G$12:$G$119,"")</f>
        <v>Metal</v>
      </c>
      <c r="B1540" t="s">
        <v>2882</v>
      </c>
      <c r="C1540" t="s">
        <v>157</v>
      </c>
      <c r="D1540" t="s">
        <v>3103</v>
      </c>
      <c r="E1540" t="s">
        <v>3104</v>
      </c>
      <c r="F1540" t="s">
        <v>180</v>
      </c>
      <c r="G1540" s="1">
        <v>5.56</v>
      </c>
    </row>
    <row r="1541" spans="1:7" ht="14.25" hidden="1" customHeight="1" x14ac:dyDescent="0.45">
      <c r="A1541" t="str">
        <f>_xlfn.XLOOKUP(B1541,Ingot!$H$12:$H$119,Ingot!$G$12:$G$119,"")</f>
        <v>Metal</v>
      </c>
      <c r="B1541" t="s">
        <v>2882</v>
      </c>
      <c r="C1541" t="s">
        <v>157</v>
      </c>
      <c r="D1541" t="s">
        <v>3105</v>
      </c>
      <c r="E1541" t="s">
        <v>3106</v>
      </c>
      <c r="F1541" t="s">
        <v>180</v>
      </c>
      <c r="G1541" s="1">
        <v>5</v>
      </c>
    </row>
    <row r="1542" spans="1:7" ht="14.25" hidden="1" customHeight="1" x14ac:dyDescent="0.45">
      <c r="A1542" t="str">
        <f>_xlfn.XLOOKUP(B1542,Ingot!$H$12:$H$119,Ingot!$G$12:$G$119,"")</f>
        <v>Metal</v>
      </c>
      <c r="B1542" t="s">
        <v>2882</v>
      </c>
      <c r="C1542" t="s">
        <v>157</v>
      </c>
      <c r="D1542" t="s">
        <v>3107</v>
      </c>
      <c r="E1542" t="s">
        <v>3108</v>
      </c>
      <c r="F1542" t="s">
        <v>180</v>
      </c>
      <c r="G1542" s="1">
        <v>10</v>
      </c>
    </row>
    <row r="1543" spans="1:7" ht="14.25" hidden="1" customHeight="1" x14ac:dyDescent="0.45">
      <c r="A1543" t="str">
        <f>_xlfn.XLOOKUP(B1543,Ingot!$H$12:$H$119,Ingot!$G$12:$G$119,"")</f>
        <v>Metal</v>
      </c>
      <c r="B1543" t="s">
        <v>2882</v>
      </c>
      <c r="C1543" t="s">
        <v>239</v>
      </c>
      <c r="D1543" t="s">
        <v>3109</v>
      </c>
      <c r="E1543" t="s">
        <v>3110</v>
      </c>
      <c r="G1543" s="1">
        <f>(VLOOKUP(B1543,Ingot!H:I,2,FALSE()) * 0.75) * 0.75</f>
        <v>8.71875</v>
      </c>
    </row>
    <row r="1544" spans="1:7" ht="14.25" hidden="1" customHeight="1" x14ac:dyDescent="0.45">
      <c r="A1544" t="str">
        <f>_xlfn.XLOOKUP(B1544,Ingot!$H$12:$H$119,Ingot!$G$12:$G$119,"")</f>
        <v>Metal</v>
      </c>
      <c r="B1544" t="s">
        <v>2882</v>
      </c>
      <c r="C1544" t="s">
        <v>239</v>
      </c>
      <c r="D1544" t="s">
        <v>3111</v>
      </c>
      <c r="E1544" t="s">
        <v>3112</v>
      </c>
      <c r="G1544" s="1">
        <f>((VLOOKUP(B1544,Ingot!H:I,2,FALSE()) * 3) - 10.25) * 0.421875</f>
        <v>15.29296875</v>
      </c>
    </row>
    <row r="1545" spans="1:7" ht="14.25" hidden="1" customHeight="1" x14ac:dyDescent="0.45">
      <c r="A1545" t="str">
        <f>_xlfn.XLOOKUP(B1545,Ingot!$H$12:$H$119,Ingot!$G$12:$G$119,"")</f>
        <v>Metal</v>
      </c>
      <c r="B1545" t="s">
        <v>2882</v>
      </c>
      <c r="C1545" t="s">
        <v>239</v>
      </c>
      <c r="D1545" t="s">
        <v>3113</v>
      </c>
      <c r="E1545" t="s">
        <v>3114</v>
      </c>
      <c r="G1545" s="1">
        <f>((VLOOKUP(B1545,Ingot!H:I,2,FALSE()) * 3) - 10.25) * 0.75</f>
        <v>27.1875</v>
      </c>
    </row>
    <row r="1546" spans="1:7" ht="14.25" hidden="1" customHeight="1" x14ac:dyDescent="0.45">
      <c r="A1546" t="str">
        <f>_xlfn.XLOOKUP(B1546,Ingot!$H$12:$H$119,Ingot!$G$12:$G$119,"")</f>
        <v>Metal</v>
      </c>
      <c r="B1546" t="s">
        <v>2882</v>
      </c>
      <c r="C1546" t="s">
        <v>239</v>
      </c>
      <c r="D1546" t="s">
        <v>3115</v>
      </c>
      <c r="E1546" t="s">
        <v>3116</v>
      </c>
      <c r="G1546" s="1">
        <f>((VLOOKUP(B1546,Ingot!H:I,2,FALSE()) * 3) - 10.25) * 0.5625</f>
        <v>20.390625</v>
      </c>
    </row>
    <row r="1547" spans="1:7" ht="14.25" hidden="1" customHeight="1" x14ac:dyDescent="0.45">
      <c r="A1547" t="str">
        <f>_xlfn.XLOOKUP(B1547,Ingot!$H$12:$H$119,Ingot!$G$12:$G$119,"")</f>
        <v>Metal</v>
      </c>
      <c r="B1547" t="s">
        <v>2882</v>
      </c>
      <c r="C1547" t="s">
        <v>239</v>
      </c>
      <c r="D1547" t="s">
        <v>3117</v>
      </c>
      <c r="E1547" t="s">
        <v>3118</v>
      </c>
      <c r="G1547" s="1">
        <f>VLOOKUP(B1547,Ingot!H:I,2,FALSE()) * 0.75</f>
        <v>11.625</v>
      </c>
    </row>
    <row r="1548" spans="1:7" ht="14.25" hidden="1" customHeight="1" x14ac:dyDescent="0.45">
      <c r="A1548" t="str">
        <f>_xlfn.XLOOKUP(B1548,Ingot!$H$12:$H$119,Ingot!$G$12:$G$119,"")</f>
        <v>Metal</v>
      </c>
      <c r="B1548" t="s">
        <v>2882</v>
      </c>
      <c r="C1548" t="s">
        <v>239</v>
      </c>
      <c r="D1548" t="s">
        <v>3119</v>
      </c>
      <c r="E1548" t="s">
        <v>3120</v>
      </c>
      <c r="G1548" s="1">
        <f>(VLOOKUP(B1548,Ingot!H:I,2,FALSE()) * 3) - 10.25</f>
        <v>36.25</v>
      </c>
    </row>
    <row r="1549" spans="1:7" ht="14.25" hidden="1" customHeight="1" x14ac:dyDescent="0.45">
      <c r="A1549" t="str">
        <f>_xlfn.XLOOKUP(B1549,Ingot!$H$12:$H$119,Ingot!$G$12:$G$119,"")</f>
        <v>Metal</v>
      </c>
      <c r="B1549" t="s">
        <v>3121</v>
      </c>
      <c r="C1549" t="s">
        <v>10</v>
      </c>
      <c r="D1549" t="s">
        <v>3122</v>
      </c>
      <c r="E1549" t="s">
        <v>3123</v>
      </c>
      <c r="G1549" s="1">
        <v>0.08</v>
      </c>
    </row>
    <row r="1550" spans="1:7" ht="14.25" hidden="1" customHeight="1" x14ac:dyDescent="0.45">
      <c r="A1550" t="str">
        <f>_xlfn.XLOOKUP(B1550,Ingot!$H$12:$H$119,Ingot!$G$12:$G$119,"")</f>
        <v>Metal</v>
      </c>
      <c r="B1550" t="s">
        <v>3121</v>
      </c>
      <c r="C1550" t="s">
        <v>10</v>
      </c>
      <c r="D1550" t="s">
        <v>3124</v>
      </c>
      <c r="E1550" t="s">
        <v>3125</v>
      </c>
      <c r="G1550" s="1">
        <v>9.9</v>
      </c>
    </row>
    <row r="1551" spans="1:7" ht="14.25" hidden="1" customHeight="1" x14ac:dyDescent="0.45">
      <c r="A1551" t="str">
        <f>_xlfn.XLOOKUP(B1551,Ingot!$H$12:$H$119,Ingot!$G$12:$G$119,"")</f>
        <v>Metal</v>
      </c>
      <c r="B1551" t="s">
        <v>3121</v>
      </c>
      <c r="C1551" t="s">
        <v>10</v>
      </c>
      <c r="D1551" t="s">
        <v>3126</v>
      </c>
      <c r="E1551" t="s">
        <v>3127</v>
      </c>
      <c r="G1551" s="1">
        <v>5.66</v>
      </c>
    </row>
    <row r="1552" spans="1:7" ht="14.25" hidden="1" customHeight="1" x14ac:dyDescent="0.45">
      <c r="A1552" t="str">
        <f>_xlfn.XLOOKUP(B1552,Ingot!$H$12:$H$119,Ingot!$G$12:$G$119,"")</f>
        <v>Metal</v>
      </c>
      <c r="B1552" t="s">
        <v>3121</v>
      </c>
      <c r="C1552" t="s">
        <v>10</v>
      </c>
      <c r="D1552" t="s">
        <v>3128</v>
      </c>
      <c r="E1552" t="s">
        <v>3129</v>
      </c>
      <c r="G1552" s="1">
        <v>3.3</v>
      </c>
    </row>
    <row r="1553" spans="1:7" ht="14.25" hidden="1" customHeight="1" x14ac:dyDescent="0.45">
      <c r="A1553" t="str">
        <f>_xlfn.XLOOKUP(B1553,Ingot!$H$12:$H$119,Ingot!$G$12:$G$119,"")</f>
        <v>Metal</v>
      </c>
      <c r="B1553" t="s">
        <v>3121</v>
      </c>
      <c r="C1553" t="s">
        <v>10</v>
      </c>
      <c r="D1553" t="s">
        <v>3130</v>
      </c>
      <c r="E1553" t="s">
        <v>3131</v>
      </c>
      <c r="G1553" s="1">
        <v>0.66</v>
      </c>
    </row>
    <row r="1554" spans="1:7" ht="14.25" hidden="1" customHeight="1" x14ac:dyDescent="0.45">
      <c r="A1554" t="str">
        <f>_xlfn.XLOOKUP(B1554,Ingot!$H$12:$H$119,Ingot!$G$12:$G$119,"")</f>
        <v>Metal</v>
      </c>
      <c r="B1554" t="s">
        <v>3121</v>
      </c>
      <c r="C1554" t="s">
        <v>10</v>
      </c>
      <c r="D1554" t="s">
        <v>3132</v>
      </c>
      <c r="E1554" t="s">
        <v>3133</v>
      </c>
      <c r="G1554" s="1">
        <v>0.04</v>
      </c>
    </row>
    <row r="1555" spans="1:7" ht="14.25" hidden="1" customHeight="1" x14ac:dyDescent="0.45">
      <c r="A1555" t="str">
        <f>_xlfn.XLOOKUP(B1555,Ingot!$H$12:$H$119,Ingot!$G$12:$G$119,"")</f>
        <v>Metal</v>
      </c>
      <c r="B1555" t="s">
        <v>3121</v>
      </c>
      <c r="C1555" t="s">
        <v>10</v>
      </c>
      <c r="D1555" t="s">
        <v>3134</v>
      </c>
      <c r="E1555" t="s">
        <v>3135</v>
      </c>
      <c r="G1555" s="1">
        <v>0.33</v>
      </c>
    </row>
    <row r="1556" spans="1:7" ht="14.25" hidden="1" customHeight="1" x14ac:dyDescent="0.45">
      <c r="A1556" t="str">
        <f>_xlfn.XLOOKUP(B1556,Ingot!$H$12:$H$119,Ingot!$G$12:$G$119,"")</f>
        <v>Metal</v>
      </c>
      <c r="B1556" t="s">
        <v>3121</v>
      </c>
      <c r="C1556" t="s">
        <v>10</v>
      </c>
      <c r="D1556" t="s">
        <v>3136</v>
      </c>
      <c r="E1556" t="s">
        <v>3137</v>
      </c>
    </row>
    <row r="1557" spans="1:7" ht="14.25" hidden="1" customHeight="1" x14ac:dyDescent="0.45">
      <c r="A1557" t="str">
        <f>_xlfn.XLOOKUP(B1557,Ingot!$H$12:$H$119,Ingot!$G$12:$G$119,"")</f>
        <v>Metal</v>
      </c>
      <c r="B1557" t="s">
        <v>3121</v>
      </c>
      <c r="C1557" t="s">
        <v>10</v>
      </c>
      <c r="D1557" t="s">
        <v>3138</v>
      </c>
      <c r="E1557" t="s">
        <v>3139</v>
      </c>
      <c r="G1557" s="1">
        <v>0.05</v>
      </c>
    </row>
    <row r="1558" spans="1:7" ht="14.25" hidden="1" customHeight="1" x14ac:dyDescent="0.45">
      <c r="A1558" t="str">
        <f>_xlfn.XLOOKUP(B1558,Ingot!$H$12:$H$119,Ingot!$G$12:$G$119,"")</f>
        <v>Metal</v>
      </c>
      <c r="B1558" t="s">
        <v>3121</v>
      </c>
      <c r="C1558" t="s">
        <v>10</v>
      </c>
      <c r="D1558" t="s">
        <v>3140</v>
      </c>
      <c r="E1558" t="s">
        <v>3141</v>
      </c>
      <c r="G1558" s="1">
        <v>0.66</v>
      </c>
    </row>
    <row r="1559" spans="1:7" ht="14.25" hidden="1" customHeight="1" x14ac:dyDescent="0.45">
      <c r="A1559" t="str">
        <f>_xlfn.XLOOKUP(B1559,Ingot!$H$12:$H$119,Ingot!$G$12:$G$119,"")</f>
        <v>Metal</v>
      </c>
      <c r="B1559" t="s">
        <v>3121</v>
      </c>
      <c r="C1559" t="s">
        <v>10</v>
      </c>
      <c r="D1559" t="s">
        <v>3142</v>
      </c>
      <c r="E1559" t="s">
        <v>3143</v>
      </c>
      <c r="G1559" s="1">
        <v>3.96</v>
      </c>
    </row>
    <row r="1560" spans="1:7" ht="14.25" hidden="1" customHeight="1" x14ac:dyDescent="0.45">
      <c r="A1560" t="str">
        <f>_xlfn.XLOOKUP(B1560,Ingot!$H$12:$H$119,Ingot!$G$12:$G$119,"")</f>
        <v>Metal</v>
      </c>
      <c r="B1560" t="s">
        <v>3121</v>
      </c>
      <c r="C1560" t="s">
        <v>10</v>
      </c>
      <c r="D1560" t="s">
        <v>3144</v>
      </c>
      <c r="E1560" t="s">
        <v>3145</v>
      </c>
      <c r="G1560" s="1">
        <v>8.77</v>
      </c>
    </row>
    <row r="1561" spans="1:7" ht="14.25" hidden="1" customHeight="1" x14ac:dyDescent="0.45">
      <c r="A1561" t="str">
        <f>_xlfn.XLOOKUP(B1561,Ingot!$H$12:$H$119,Ingot!$G$12:$G$119,"")</f>
        <v>Metal</v>
      </c>
      <c r="B1561" t="s">
        <v>3121</v>
      </c>
      <c r="C1561" t="s">
        <v>10</v>
      </c>
      <c r="D1561" t="s">
        <v>3146</v>
      </c>
      <c r="E1561" t="s">
        <v>3147</v>
      </c>
      <c r="G1561" s="1">
        <v>3.5</v>
      </c>
    </row>
    <row r="1562" spans="1:7" ht="14.25" hidden="1" customHeight="1" x14ac:dyDescent="0.45">
      <c r="A1562" t="str">
        <f>_xlfn.XLOOKUP(B1562,Ingot!$H$12:$H$119,Ingot!$G$12:$G$119,"")</f>
        <v>Metal</v>
      </c>
      <c r="B1562" t="s">
        <v>3121</v>
      </c>
      <c r="C1562" t="s">
        <v>10</v>
      </c>
      <c r="D1562" t="s">
        <v>3148</v>
      </c>
      <c r="E1562" t="s">
        <v>3149</v>
      </c>
    </row>
    <row r="1563" spans="1:7" ht="14.25" hidden="1" customHeight="1" x14ac:dyDescent="0.45">
      <c r="A1563" t="str">
        <f>_xlfn.XLOOKUP(B1563,Ingot!$H$12:$H$119,Ingot!$G$12:$G$119,"")</f>
        <v>Metal</v>
      </c>
      <c r="B1563" t="s">
        <v>3121</v>
      </c>
      <c r="C1563" t="s">
        <v>10</v>
      </c>
      <c r="D1563" t="s">
        <v>3150</v>
      </c>
      <c r="E1563" t="s">
        <v>3151</v>
      </c>
      <c r="G1563" s="1">
        <v>2.2000000000000002</v>
      </c>
    </row>
    <row r="1564" spans="1:7" ht="14.25" hidden="1" customHeight="1" x14ac:dyDescent="0.45">
      <c r="A1564" t="str">
        <f>_xlfn.XLOOKUP(B1564,Ingot!$H$12:$H$119,Ingot!$G$12:$G$119,"")</f>
        <v>Metal</v>
      </c>
      <c r="B1564" t="s">
        <v>3121</v>
      </c>
      <c r="C1564" t="s">
        <v>10</v>
      </c>
      <c r="D1564" t="s">
        <v>3152</v>
      </c>
      <c r="E1564" t="s">
        <v>3153</v>
      </c>
      <c r="G1564" s="1">
        <v>1.1000000000000001</v>
      </c>
    </row>
    <row r="1565" spans="1:7" ht="14.25" hidden="1" customHeight="1" x14ac:dyDescent="0.45">
      <c r="A1565" t="str">
        <f>_xlfn.XLOOKUP(B1565,Ingot!$H$12:$H$119,Ingot!$G$12:$G$119,"")</f>
        <v>Metal</v>
      </c>
      <c r="B1565" t="s">
        <v>3121</v>
      </c>
      <c r="C1565" t="s">
        <v>10</v>
      </c>
      <c r="D1565" t="s">
        <v>3154</v>
      </c>
      <c r="E1565" t="s">
        <v>3155</v>
      </c>
      <c r="G1565" s="1">
        <v>0.22</v>
      </c>
    </row>
    <row r="1566" spans="1:7" ht="14.25" hidden="1" customHeight="1" x14ac:dyDescent="0.45">
      <c r="A1566" t="str">
        <f>_xlfn.XLOOKUP(B1566,Ingot!$H$12:$H$119,Ingot!$G$12:$G$119,"")</f>
        <v>Metal</v>
      </c>
      <c r="B1566" t="s">
        <v>3121</v>
      </c>
      <c r="C1566" t="s">
        <v>10</v>
      </c>
      <c r="D1566" t="s">
        <v>3156</v>
      </c>
      <c r="E1566" t="s">
        <v>3157</v>
      </c>
      <c r="G1566" s="1">
        <v>8.41</v>
      </c>
    </row>
    <row r="1567" spans="1:7" ht="14.25" hidden="1" customHeight="1" x14ac:dyDescent="0.45">
      <c r="A1567" t="str">
        <f>_xlfn.XLOOKUP(B1567,Ingot!$H$12:$H$119,Ingot!$G$12:$G$119,"")</f>
        <v>Metal</v>
      </c>
      <c r="B1567" t="s">
        <v>3121</v>
      </c>
      <c r="C1567" t="s">
        <v>10</v>
      </c>
      <c r="D1567" t="s">
        <v>3158</v>
      </c>
      <c r="E1567" t="s">
        <v>3159</v>
      </c>
      <c r="G1567" s="1">
        <v>3.64</v>
      </c>
    </row>
    <row r="1568" spans="1:7" ht="14.25" hidden="1" customHeight="1" x14ac:dyDescent="0.45">
      <c r="A1568" t="str">
        <f>_xlfn.XLOOKUP(B1568,Ingot!$H$12:$H$119,Ingot!$G$12:$G$119,"")</f>
        <v>Metal</v>
      </c>
      <c r="B1568" t="s">
        <v>3121</v>
      </c>
      <c r="C1568" t="s">
        <v>10</v>
      </c>
      <c r="D1568" t="s">
        <v>3160</v>
      </c>
      <c r="E1568" t="s">
        <v>3161</v>
      </c>
      <c r="G1568" s="1">
        <v>7.05</v>
      </c>
    </row>
    <row r="1569" spans="1:7" ht="14.25" hidden="1" customHeight="1" x14ac:dyDescent="0.45">
      <c r="A1569" t="str">
        <f>_xlfn.XLOOKUP(B1569,Ingot!$H$12:$H$119,Ingot!$G$12:$G$119,"")</f>
        <v>Metal</v>
      </c>
      <c r="B1569" t="s">
        <v>3121</v>
      </c>
      <c r="C1569" t="s">
        <v>10</v>
      </c>
      <c r="D1569" t="s">
        <v>3162</v>
      </c>
      <c r="E1569" t="s">
        <v>3163</v>
      </c>
      <c r="G1569" s="1">
        <v>2.65</v>
      </c>
    </row>
    <row r="1570" spans="1:7" ht="14.25" hidden="1" customHeight="1" x14ac:dyDescent="0.45">
      <c r="A1570" t="str">
        <f>_xlfn.XLOOKUP(B1570,Ingot!$H$12:$H$119,Ingot!$G$12:$G$119,"")</f>
        <v>Metal</v>
      </c>
      <c r="B1570" t="s">
        <v>3121</v>
      </c>
      <c r="C1570" t="s">
        <v>10</v>
      </c>
      <c r="D1570" t="s">
        <v>3164</v>
      </c>
      <c r="E1570" t="s">
        <v>3165</v>
      </c>
      <c r="G1570" s="1">
        <v>9</v>
      </c>
    </row>
    <row r="1571" spans="1:7" ht="14.25" hidden="1" customHeight="1" x14ac:dyDescent="0.45">
      <c r="A1571" t="str">
        <f>_xlfn.XLOOKUP(B1571,Ingot!$H$12:$H$119,Ingot!$G$12:$G$119,"")</f>
        <v>Metal</v>
      </c>
      <c r="B1571" t="s">
        <v>3121</v>
      </c>
      <c r="C1571" t="s">
        <v>10</v>
      </c>
      <c r="D1571" t="s">
        <v>3166</v>
      </c>
      <c r="E1571" t="s">
        <v>3167</v>
      </c>
      <c r="G1571" s="1">
        <v>10.23</v>
      </c>
    </row>
    <row r="1572" spans="1:7" ht="14.25" hidden="1" customHeight="1" x14ac:dyDescent="0.45">
      <c r="A1572" t="str">
        <f>_xlfn.XLOOKUP(B1572,Ingot!$H$12:$H$119,Ingot!$G$12:$G$119,"")</f>
        <v>Metal</v>
      </c>
      <c r="B1572" t="s">
        <v>3121</v>
      </c>
      <c r="C1572" t="s">
        <v>10</v>
      </c>
      <c r="D1572" t="s">
        <v>3168</v>
      </c>
      <c r="E1572" t="s">
        <v>3169</v>
      </c>
      <c r="G1572" s="1">
        <v>7.7</v>
      </c>
    </row>
    <row r="1573" spans="1:7" ht="14.25" hidden="1" customHeight="1" x14ac:dyDescent="0.45">
      <c r="A1573" t="str">
        <f>_xlfn.XLOOKUP(B1573,Ingot!$H$12:$H$119,Ingot!$G$12:$G$119,"")</f>
        <v>Metal</v>
      </c>
      <c r="B1573" t="s">
        <v>3121</v>
      </c>
      <c r="C1573" t="s">
        <v>10</v>
      </c>
      <c r="D1573" t="s">
        <v>3170</v>
      </c>
      <c r="E1573" t="s">
        <v>3171</v>
      </c>
      <c r="G1573" s="1">
        <v>10.02</v>
      </c>
    </row>
    <row r="1574" spans="1:7" ht="14.25" hidden="1" customHeight="1" x14ac:dyDescent="0.45">
      <c r="A1574" t="str">
        <f>_xlfn.XLOOKUP(B1574,Ingot!$H$12:$H$119,Ingot!$G$12:$G$119,"")</f>
        <v>Metal</v>
      </c>
      <c r="B1574" t="s">
        <v>3121</v>
      </c>
      <c r="C1574" t="s">
        <v>10</v>
      </c>
      <c r="D1574" t="s">
        <v>3172</v>
      </c>
      <c r="E1574" t="s">
        <v>3173</v>
      </c>
      <c r="G1574" s="1">
        <v>11.81</v>
      </c>
    </row>
    <row r="1575" spans="1:7" ht="14.25" hidden="1" customHeight="1" x14ac:dyDescent="0.45">
      <c r="A1575" t="str">
        <f>_xlfn.XLOOKUP(B1575,Ingot!$H$12:$H$119,Ingot!$G$12:$G$119,"")</f>
        <v>Metal</v>
      </c>
      <c r="B1575" t="s">
        <v>3121</v>
      </c>
      <c r="C1575" t="s">
        <v>10</v>
      </c>
      <c r="D1575" t="s">
        <v>3174</v>
      </c>
      <c r="E1575" t="s">
        <v>3175</v>
      </c>
      <c r="G1575" s="1">
        <v>8.44</v>
      </c>
    </row>
    <row r="1576" spans="1:7" ht="14.25" hidden="1" customHeight="1" x14ac:dyDescent="0.45">
      <c r="A1576" t="str">
        <f>_xlfn.XLOOKUP(B1576,Ingot!$H$12:$H$119,Ingot!$G$12:$G$119,"")</f>
        <v>Metal</v>
      </c>
      <c r="B1576" t="s">
        <v>3121</v>
      </c>
      <c r="C1576" t="s">
        <v>10</v>
      </c>
      <c r="D1576" t="s">
        <v>3176</v>
      </c>
      <c r="E1576" t="s">
        <v>3177</v>
      </c>
      <c r="G1576" s="1">
        <v>10.42</v>
      </c>
    </row>
    <row r="1577" spans="1:7" ht="14.25" hidden="1" customHeight="1" x14ac:dyDescent="0.45">
      <c r="A1577" t="str">
        <f>_xlfn.XLOOKUP(B1577,Ingot!$H$12:$H$119,Ingot!$G$12:$G$119,"")</f>
        <v>Metal</v>
      </c>
      <c r="B1577" t="s">
        <v>3121</v>
      </c>
      <c r="C1577" t="s">
        <v>10</v>
      </c>
      <c r="D1577" t="s">
        <v>3178</v>
      </c>
      <c r="E1577" t="s">
        <v>3179</v>
      </c>
    </row>
    <row r="1578" spans="1:7" ht="14.25" hidden="1" customHeight="1" x14ac:dyDescent="0.45">
      <c r="A1578" t="str">
        <f>_xlfn.XLOOKUP(B1578,Ingot!$H$12:$H$119,Ingot!$G$12:$G$119,"")</f>
        <v>Metal</v>
      </c>
      <c r="B1578" t="s">
        <v>3121</v>
      </c>
      <c r="C1578" t="s">
        <v>10</v>
      </c>
      <c r="D1578" t="s">
        <v>3180</v>
      </c>
      <c r="E1578" t="s">
        <v>3181</v>
      </c>
      <c r="G1578" s="1">
        <v>7.96</v>
      </c>
    </row>
    <row r="1579" spans="1:7" ht="14.25" hidden="1" customHeight="1" x14ac:dyDescent="0.45">
      <c r="A1579" t="str">
        <f>_xlfn.XLOOKUP(B1579,Ingot!$H$12:$H$119,Ingot!$G$12:$G$119,"")</f>
        <v>Metal</v>
      </c>
      <c r="B1579" t="s">
        <v>3121</v>
      </c>
      <c r="C1579" t="s">
        <v>10</v>
      </c>
      <c r="D1579" t="s">
        <v>3182</v>
      </c>
      <c r="E1579" t="s">
        <v>3183</v>
      </c>
      <c r="G1579" s="1">
        <v>9.64</v>
      </c>
    </row>
    <row r="1580" spans="1:7" ht="14.25" hidden="1" customHeight="1" x14ac:dyDescent="0.45">
      <c r="A1580" t="str">
        <f>_xlfn.XLOOKUP(B1580,Ingot!$H$12:$H$119,Ingot!$G$12:$G$119,"")</f>
        <v>Metal</v>
      </c>
      <c r="B1580" t="s">
        <v>3121</v>
      </c>
      <c r="C1580" t="s">
        <v>10</v>
      </c>
      <c r="D1580" t="s">
        <v>3184</v>
      </c>
      <c r="E1580" t="s">
        <v>3185</v>
      </c>
      <c r="G1580" s="1">
        <v>7.94</v>
      </c>
    </row>
    <row r="1581" spans="1:7" ht="14.25" hidden="1" customHeight="1" x14ac:dyDescent="0.45">
      <c r="A1581" t="str">
        <f>_xlfn.XLOOKUP(B1581,Ingot!$H$12:$H$119,Ingot!$G$12:$G$119,"")</f>
        <v>Metal</v>
      </c>
      <c r="B1581" t="s">
        <v>3121</v>
      </c>
      <c r="C1581" t="s">
        <v>10</v>
      </c>
      <c r="D1581" t="s">
        <v>3186</v>
      </c>
      <c r="E1581" t="s">
        <v>3187</v>
      </c>
      <c r="G1581" s="1">
        <v>8.66</v>
      </c>
    </row>
    <row r="1582" spans="1:7" ht="14.25" hidden="1" customHeight="1" x14ac:dyDescent="0.45">
      <c r="A1582" t="str">
        <f>_xlfn.XLOOKUP(B1582,Ingot!$H$12:$H$119,Ingot!$G$12:$G$119,"")</f>
        <v>Metal</v>
      </c>
      <c r="B1582" t="s">
        <v>3121</v>
      </c>
      <c r="C1582" t="s">
        <v>10</v>
      </c>
      <c r="D1582" t="s">
        <v>3188</v>
      </c>
      <c r="E1582" t="s">
        <v>3189</v>
      </c>
    </row>
    <row r="1583" spans="1:7" ht="14.25" hidden="1" customHeight="1" x14ac:dyDescent="0.45">
      <c r="A1583" t="str">
        <f>_xlfn.XLOOKUP(B1583,Ingot!$H$12:$H$119,Ingot!$G$12:$G$119,"")</f>
        <v>Metal</v>
      </c>
      <c r="B1583" t="s">
        <v>3121</v>
      </c>
      <c r="C1583" t="s">
        <v>10</v>
      </c>
      <c r="D1583" t="s">
        <v>3190</v>
      </c>
      <c r="E1583" t="s">
        <v>3191</v>
      </c>
      <c r="G1583" s="1">
        <v>2.65</v>
      </c>
    </row>
    <row r="1584" spans="1:7" ht="14.25" hidden="1" customHeight="1" x14ac:dyDescent="0.45">
      <c r="A1584" t="str">
        <f>_xlfn.XLOOKUP(B1584,Ingot!$H$12:$H$119,Ingot!$G$12:$G$119,"")</f>
        <v>Metal</v>
      </c>
      <c r="B1584" t="s">
        <v>3121</v>
      </c>
      <c r="C1584" t="s">
        <v>10</v>
      </c>
      <c r="D1584" t="s">
        <v>3192</v>
      </c>
      <c r="E1584" t="s">
        <v>3193</v>
      </c>
    </row>
    <row r="1585" spans="1:7" ht="14.25" hidden="1" customHeight="1" x14ac:dyDescent="0.45">
      <c r="A1585" t="str">
        <f>_xlfn.XLOOKUP(B1585,Ingot!$H$12:$H$119,Ingot!$G$12:$G$119,"")</f>
        <v>Metal</v>
      </c>
      <c r="B1585" t="s">
        <v>3121</v>
      </c>
      <c r="C1585" t="s">
        <v>10</v>
      </c>
      <c r="D1585" t="s">
        <v>3194</v>
      </c>
      <c r="E1585" t="s">
        <v>3195</v>
      </c>
      <c r="G1585" s="1">
        <v>12.64</v>
      </c>
    </row>
    <row r="1586" spans="1:7" ht="14.25" hidden="1" customHeight="1" x14ac:dyDescent="0.45">
      <c r="A1586" t="str">
        <f>_xlfn.XLOOKUP(B1586,Ingot!$H$12:$H$119,Ingot!$G$12:$G$119,"")</f>
        <v>Metal</v>
      </c>
      <c r="B1586" t="s">
        <v>3121</v>
      </c>
      <c r="C1586" t="s">
        <v>10</v>
      </c>
      <c r="D1586" t="s">
        <v>3196</v>
      </c>
      <c r="E1586" t="s">
        <v>3197</v>
      </c>
      <c r="G1586" s="1">
        <v>22.67</v>
      </c>
    </row>
    <row r="1587" spans="1:7" ht="14.25" hidden="1" customHeight="1" x14ac:dyDescent="0.45">
      <c r="A1587" t="str">
        <f>_xlfn.XLOOKUP(B1587,Ingot!$H$12:$H$119,Ingot!$G$12:$G$119,"")</f>
        <v>Metal</v>
      </c>
      <c r="B1587" t="s">
        <v>3121</v>
      </c>
      <c r="C1587" t="s">
        <v>10</v>
      </c>
      <c r="D1587" t="s">
        <v>3198</v>
      </c>
      <c r="E1587" t="s">
        <v>3199</v>
      </c>
      <c r="G1587" s="1">
        <v>8.3800000000000008</v>
      </c>
    </row>
    <row r="1588" spans="1:7" ht="14.25" hidden="1" customHeight="1" x14ac:dyDescent="0.45">
      <c r="A1588" t="str">
        <f>_xlfn.XLOOKUP(B1588,Ingot!$H$12:$H$119,Ingot!$G$12:$G$119,"")</f>
        <v>Metal</v>
      </c>
      <c r="B1588" t="s">
        <v>3121</v>
      </c>
      <c r="C1588" t="s">
        <v>10</v>
      </c>
      <c r="D1588" t="s">
        <v>3200</v>
      </c>
      <c r="E1588" t="s">
        <v>3201</v>
      </c>
      <c r="G1588" s="1">
        <v>2.2000000000000002</v>
      </c>
    </row>
    <row r="1589" spans="1:7" ht="14.25" hidden="1" customHeight="1" x14ac:dyDescent="0.45">
      <c r="A1589" t="str">
        <f>_xlfn.XLOOKUP(B1589,Ingot!$H$12:$H$119,Ingot!$G$12:$G$119,"")</f>
        <v>Metal</v>
      </c>
      <c r="B1589" t="s">
        <v>3121</v>
      </c>
      <c r="C1589" t="s">
        <v>10</v>
      </c>
      <c r="D1589" t="s">
        <v>3202</v>
      </c>
      <c r="E1589" t="s">
        <v>3203</v>
      </c>
      <c r="G1589" s="1">
        <v>3.09</v>
      </c>
    </row>
    <row r="1590" spans="1:7" ht="14.25" hidden="1" customHeight="1" x14ac:dyDescent="0.45">
      <c r="A1590" t="str">
        <f>_xlfn.XLOOKUP(B1590,Ingot!$H$12:$H$119,Ingot!$G$12:$G$119,"")</f>
        <v>Metal</v>
      </c>
      <c r="B1590" t="s">
        <v>3121</v>
      </c>
      <c r="C1590" t="s">
        <v>10</v>
      </c>
      <c r="D1590" t="s">
        <v>3204</v>
      </c>
      <c r="E1590" t="s">
        <v>3205</v>
      </c>
      <c r="G1590" s="1">
        <v>2.2999999999999998</v>
      </c>
    </row>
    <row r="1591" spans="1:7" ht="14.25" hidden="1" customHeight="1" x14ac:dyDescent="0.45">
      <c r="A1591" t="str">
        <f>_xlfn.XLOOKUP(B1591,Ingot!$H$12:$H$119,Ingot!$G$12:$G$119,"")</f>
        <v>Metal</v>
      </c>
      <c r="B1591" t="s">
        <v>3121</v>
      </c>
      <c r="C1591" t="s">
        <v>10</v>
      </c>
      <c r="D1591" t="s">
        <v>3206</v>
      </c>
      <c r="E1591" t="s">
        <v>3207</v>
      </c>
      <c r="G1591" s="1">
        <v>4.88</v>
      </c>
    </row>
    <row r="1592" spans="1:7" ht="14.25" hidden="1" customHeight="1" x14ac:dyDescent="0.45">
      <c r="A1592" t="str">
        <f>_xlfn.XLOOKUP(B1592,Ingot!$H$12:$H$119,Ingot!$G$12:$G$119,"")</f>
        <v>Metal</v>
      </c>
      <c r="B1592" t="s">
        <v>3121</v>
      </c>
      <c r="C1592" t="s">
        <v>10</v>
      </c>
      <c r="D1592" t="s">
        <v>3208</v>
      </c>
      <c r="E1592" t="s">
        <v>3209</v>
      </c>
      <c r="G1592" s="1">
        <v>8.43</v>
      </c>
    </row>
    <row r="1593" spans="1:7" ht="14.25" hidden="1" customHeight="1" x14ac:dyDescent="0.45">
      <c r="A1593" t="str">
        <f>_xlfn.XLOOKUP(B1593,Ingot!$H$12:$H$119,Ingot!$G$12:$G$119,"")</f>
        <v>Metal</v>
      </c>
      <c r="B1593" t="s">
        <v>3121</v>
      </c>
      <c r="C1593" t="s">
        <v>10</v>
      </c>
      <c r="D1593" t="s">
        <v>3210</v>
      </c>
      <c r="E1593" t="s">
        <v>3211</v>
      </c>
      <c r="G1593" s="1">
        <v>13.07</v>
      </c>
    </row>
    <row r="1594" spans="1:7" ht="14.25" hidden="1" customHeight="1" x14ac:dyDescent="0.45">
      <c r="A1594" t="str">
        <f>_xlfn.XLOOKUP(B1594,Ingot!$H$12:$H$119,Ingot!$G$12:$G$119,"")</f>
        <v>Metal</v>
      </c>
      <c r="B1594" t="s">
        <v>3121</v>
      </c>
      <c r="C1594" t="s">
        <v>10</v>
      </c>
      <c r="D1594" t="s">
        <v>3212</v>
      </c>
      <c r="E1594" t="s">
        <v>3213</v>
      </c>
    </row>
    <row r="1595" spans="1:7" ht="14.25" hidden="1" customHeight="1" x14ac:dyDescent="0.45">
      <c r="A1595" t="str">
        <f>_xlfn.XLOOKUP(B1595,Ingot!$H$12:$H$119,Ingot!$G$12:$G$119,"")</f>
        <v>Metal</v>
      </c>
      <c r="B1595" t="s">
        <v>3121</v>
      </c>
      <c r="C1595" t="s">
        <v>10</v>
      </c>
      <c r="D1595" t="s">
        <v>3214</v>
      </c>
      <c r="E1595" t="s">
        <v>3215</v>
      </c>
    </row>
    <row r="1596" spans="1:7" ht="14.25" hidden="1" customHeight="1" x14ac:dyDescent="0.45">
      <c r="A1596" t="str">
        <f>_xlfn.XLOOKUP(B1596,Ingot!$H$12:$H$119,Ingot!$G$12:$G$119,"")</f>
        <v>Metal</v>
      </c>
      <c r="B1596" t="s">
        <v>3121</v>
      </c>
      <c r="C1596" t="s">
        <v>10</v>
      </c>
      <c r="D1596" t="s">
        <v>3216</v>
      </c>
      <c r="E1596" t="s">
        <v>3217</v>
      </c>
      <c r="G1596" s="1">
        <v>6.8</v>
      </c>
    </row>
    <row r="1597" spans="1:7" ht="14.25" hidden="1" customHeight="1" x14ac:dyDescent="0.45">
      <c r="A1597" t="str">
        <f>_xlfn.XLOOKUP(B1597,Ingot!$H$12:$H$119,Ingot!$G$12:$G$119,"")</f>
        <v>Metal</v>
      </c>
      <c r="B1597" t="s">
        <v>3121</v>
      </c>
      <c r="C1597" t="s">
        <v>10</v>
      </c>
      <c r="D1597" t="s">
        <v>3218</v>
      </c>
      <c r="E1597" t="s">
        <v>3219</v>
      </c>
      <c r="G1597" s="1">
        <v>6.88</v>
      </c>
    </row>
    <row r="1598" spans="1:7" ht="14.25" hidden="1" customHeight="1" x14ac:dyDescent="0.45">
      <c r="A1598" t="str">
        <f>_xlfn.XLOOKUP(B1598,Ingot!$H$12:$H$119,Ingot!$G$12:$G$119,"")</f>
        <v>Metal</v>
      </c>
      <c r="B1598" t="s">
        <v>3121</v>
      </c>
      <c r="C1598" t="s">
        <v>10</v>
      </c>
      <c r="D1598" t="s">
        <v>3220</v>
      </c>
      <c r="E1598" t="s">
        <v>3221</v>
      </c>
      <c r="G1598" s="1">
        <v>5.5</v>
      </c>
    </row>
    <row r="1599" spans="1:7" ht="14.25" hidden="1" customHeight="1" x14ac:dyDescent="0.45">
      <c r="A1599" t="str">
        <f>_xlfn.XLOOKUP(B1599,Ingot!$H$12:$H$119,Ingot!$G$12:$G$119,"")</f>
        <v>Metal</v>
      </c>
      <c r="B1599" t="s">
        <v>3121</v>
      </c>
      <c r="C1599" t="s">
        <v>10</v>
      </c>
      <c r="D1599" t="s">
        <v>3222</v>
      </c>
      <c r="E1599" t="s">
        <v>3223</v>
      </c>
      <c r="G1599" s="1">
        <v>2.4300000000000002</v>
      </c>
    </row>
    <row r="1600" spans="1:7" ht="14.25" hidden="1" customHeight="1" x14ac:dyDescent="0.45">
      <c r="A1600" t="str">
        <f>_xlfn.XLOOKUP(B1600,Ingot!$H$12:$H$119,Ingot!$G$12:$G$119,"")</f>
        <v>Metal</v>
      </c>
      <c r="B1600" t="s">
        <v>3121</v>
      </c>
      <c r="C1600" t="s">
        <v>10</v>
      </c>
      <c r="D1600" t="s">
        <v>3224</v>
      </c>
      <c r="E1600" t="s">
        <v>3225</v>
      </c>
      <c r="G1600" s="1">
        <v>6.96</v>
      </c>
    </row>
    <row r="1601" spans="1:7" ht="14.25" hidden="1" customHeight="1" x14ac:dyDescent="0.45">
      <c r="A1601" t="str">
        <f>_xlfn.XLOOKUP(B1601,Ingot!$H$12:$H$119,Ingot!$G$12:$G$119,"")</f>
        <v>Metal</v>
      </c>
      <c r="B1601" t="s">
        <v>3121</v>
      </c>
      <c r="C1601" t="s">
        <v>10</v>
      </c>
      <c r="D1601" t="s">
        <v>3226</v>
      </c>
      <c r="E1601" t="s">
        <v>3227</v>
      </c>
      <c r="G1601" s="1">
        <v>6.32</v>
      </c>
    </row>
    <row r="1602" spans="1:7" ht="14.25" hidden="1" customHeight="1" x14ac:dyDescent="0.45">
      <c r="A1602" t="str">
        <f>_xlfn.XLOOKUP(B1602,Ingot!$H$12:$H$119,Ingot!$G$12:$G$119,"")</f>
        <v>Metal</v>
      </c>
      <c r="B1602" t="s">
        <v>3121</v>
      </c>
      <c r="C1602" t="s">
        <v>10</v>
      </c>
      <c r="D1602" t="s">
        <v>3228</v>
      </c>
      <c r="E1602" t="s">
        <v>3229</v>
      </c>
      <c r="G1602" s="1">
        <v>6.88</v>
      </c>
    </row>
    <row r="1603" spans="1:7" ht="14.25" hidden="1" customHeight="1" x14ac:dyDescent="0.45">
      <c r="A1603" t="str">
        <f>_xlfn.XLOOKUP(B1603,Ingot!$H$12:$H$119,Ingot!$G$12:$G$119,"")</f>
        <v>Metal</v>
      </c>
      <c r="B1603" t="s">
        <v>3121</v>
      </c>
      <c r="C1603" t="s">
        <v>10</v>
      </c>
      <c r="D1603" t="s">
        <v>3230</v>
      </c>
      <c r="E1603" t="s">
        <v>3231</v>
      </c>
      <c r="G1603" s="1">
        <v>2.44</v>
      </c>
    </row>
    <row r="1604" spans="1:7" ht="14.25" hidden="1" customHeight="1" x14ac:dyDescent="0.45">
      <c r="A1604" t="str">
        <f>_xlfn.XLOOKUP(B1604,Ingot!$H$12:$H$119,Ingot!$G$12:$G$119,"")</f>
        <v>Metal</v>
      </c>
      <c r="B1604" t="s">
        <v>3121</v>
      </c>
      <c r="C1604" t="s">
        <v>10</v>
      </c>
      <c r="D1604" t="s">
        <v>3232</v>
      </c>
      <c r="E1604" t="s">
        <v>3233</v>
      </c>
    </row>
    <row r="1605" spans="1:7" ht="14.25" hidden="1" customHeight="1" x14ac:dyDescent="0.45">
      <c r="A1605" t="str">
        <f>_xlfn.XLOOKUP(B1605,Ingot!$H$12:$H$119,Ingot!$G$12:$G$119,"")</f>
        <v>Metal</v>
      </c>
      <c r="B1605" t="s">
        <v>3121</v>
      </c>
      <c r="C1605" t="s">
        <v>10</v>
      </c>
      <c r="D1605" t="s">
        <v>3234</v>
      </c>
      <c r="E1605" t="s">
        <v>3235</v>
      </c>
    </row>
    <row r="1606" spans="1:7" ht="14.25" hidden="1" customHeight="1" x14ac:dyDescent="0.45">
      <c r="A1606" t="str">
        <f>_xlfn.XLOOKUP(B1606,Ingot!$H$12:$H$119,Ingot!$G$12:$G$119,"")</f>
        <v>Metal</v>
      </c>
      <c r="B1606" t="s">
        <v>3121</v>
      </c>
      <c r="C1606" t="s">
        <v>10</v>
      </c>
      <c r="D1606" t="s">
        <v>3236</v>
      </c>
      <c r="E1606" t="s">
        <v>3237</v>
      </c>
      <c r="G1606" s="1">
        <v>3.11</v>
      </c>
    </row>
    <row r="1607" spans="1:7" ht="14.25" hidden="1" customHeight="1" x14ac:dyDescent="0.45">
      <c r="A1607" t="str">
        <f>_xlfn.XLOOKUP(B1607,Ingot!$H$12:$H$119,Ingot!$G$12:$G$119,"")</f>
        <v>Metal</v>
      </c>
      <c r="B1607" t="s">
        <v>3121</v>
      </c>
      <c r="C1607" t="s">
        <v>10</v>
      </c>
      <c r="D1607" t="s">
        <v>3238</v>
      </c>
      <c r="E1607" t="s">
        <v>3239</v>
      </c>
      <c r="G1607" s="1">
        <v>2.44</v>
      </c>
    </row>
    <row r="1608" spans="1:7" ht="14.25" hidden="1" customHeight="1" x14ac:dyDescent="0.45">
      <c r="A1608" t="str">
        <f>_xlfn.XLOOKUP(B1608,Ingot!$H$12:$H$119,Ingot!$G$12:$G$119,"")</f>
        <v>Metal</v>
      </c>
      <c r="B1608" t="s">
        <v>3121</v>
      </c>
      <c r="C1608" t="s">
        <v>10</v>
      </c>
      <c r="D1608" t="s">
        <v>3240</v>
      </c>
      <c r="E1608" t="s">
        <v>3241</v>
      </c>
      <c r="G1608" s="1">
        <v>8.61</v>
      </c>
    </row>
    <row r="1609" spans="1:7" ht="14.25" hidden="1" customHeight="1" x14ac:dyDescent="0.45">
      <c r="A1609" t="str">
        <f>_xlfn.XLOOKUP(B1609,Ingot!$H$12:$H$119,Ingot!$G$12:$G$119,"")</f>
        <v>Metal</v>
      </c>
      <c r="B1609" t="s">
        <v>3121</v>
      </c>
      <c r="C1609" t="s">
        <v>10</v>
      </c>
      <c r="D1609" t="s">
        <v>3242</v>
      </c>
      <c r="E1609" t="s">
        <v>3243</v>
      </c>
    </row>
    <row r="1610" spans="1:7" ht="14.25" hidden="1" customHeight="1" x14ac:dyDescent="0.45">
      <c r="A1610" t="str">
        <f>_xlfn.XLOOKUP(B1610,Ingot!$H$12:$H$119,Ingot!$G$12:$G$119,"")</f>
        <v>Metal</v>
      </c>
      <c r="B1610" t="s">
        <v>3121</v>
      </c>
      <c r="C1610" t="s">
        <v>10</v>
      </c>
      <c r="D1610" t="s">
        <v>3244</v>
      </c>
      <c r="E1610" t="s">
        <v>3245</v>
      </c>
      <c r="G1610" s="1">
        <v>3.21</v>
      </c>
    </row>
    <row r="1611" spans="1:7" ht="14.25" hidden="1" customHeight="1" x14ac:dyDescent="0.45">
      <c r="A1611" t="str">
        <f>_xlfn.XLOOKUP(B1611,Ingot!$H$12:$H$119,Ingot!$G$12:$G$119,"")</f>
        <v>Metal</v>
      </c>
      <c r="B1611" t="s">
        <v>3121</v>
      </c>
      <c r="C1611" t="s">
        <v>10</v>
      </c>
      <c r="D1611" t="s">
        <v>3246</v>
      </c>
      <c r="E1611" t="s">
        <v>3247</v>
      </c>
      <c r="G1611" s="1">
        <v>2.77</v>
      </c>
    </row>
    <row r="1612" spans="1:7" ht="14.25" hidden="1" customHeight="1" x14ac:dyDescent="0.45">
      <c r="A1612" t="str">
        <f>_xlfn.XLOOKUP(B1612,Ingot!$H$12:$H$119,Ingot!$G$12:$G$119,"")</f>
        <v>Metal</v>
      </c>
      <c r="B1612" t="s">
        <v>3121</v>
      </c>
      <c r="C1612" t="s">
        <v>10</v>
      </c>
      <c r="D1612" t="s">
        <v>3248</v>
      </c>
      <c r="E1612" t="s">
        <v>3249</v>
      </c>
      <c r="G1612" s="1">
        <v>4.8899999999999997</v>
      </c>
    </row>
    <row r="1613" spans="1:7" ht="14.25" hidden="1" customHeight="1" x14ac:dyDescent="0.45">
      <c r="A1613" t="str">
        <f>_xlfn.XLOOKUP(B1613,Ingot!$H$12:$H$119,Ingot!$G$12:$G$119,"")</f>
        <v>Metal</v>
      </c>
      <c r="B1613" t="s">
        <v>3121</v>
      </c>
      <c r="C1613" t="s">
        <v>10</v>
      </c>
      <c r="D1613" t="s">
        <v>3250</v>
      </c>
      <c r="E1613" t="s">
        <v>3251</v>
      </c>
      <c r="G1613" s="1">
        <v>1.76</v>
      </c>
    </row>
    <row r="1614" spans="1:7" ht="14.25" hidden="1" customHeight="1" x14ac:dyDescent="0.45">
      <c r="A1614" t="str">
        <f>_xlfn.XLOOKUP(B1614,Ingot!$H$12:$H$119,Ingot!$G$12:$G$119,"")</f>
        <v>Metal</v>
      </c>
      <c r="B1614" t="s">
        <v>3121</v>
      </c>
      <c r="C1614" t="s">
        <v>10</v>
      </c>
      <c r="D1614" t="s">
        <v>3252</v>
      </c>
      <c r="E1614" t="s">
        <v>3253</v>
      </c>
    </row>
    <row r="1615" spans="1:7" ht="14.25" hidden="1" customHeight="1" x14ac:dyDescent="0.45">
      <c r="A1615" t="str">
        <f>_xlfn.XLOOKUP(B1615,Ingot!$H$12:$H$119,Ingot!$G$12:$G$119,"")</f>
        <v>Metal</v>
      </c>
      <c r="B1615" t="s">
        <v>3121</v>
      </c>
      <c r="C1615" t="s">
        <v>10</v>
      </c>
      <c r="D1615" t="s">
        <v>3254</v>
      </c>
      <c r="E1615" t="s">
        <v>3255</v>
      </c>
      <c r="G1615" s="1">
        <v>8.57</v>
      </c>
    </row>
    <row r="1616" spans="1:7" ht="14.25" hidden="1" customHeight="1" x14ac:dyDescent="0.45">
      <c r="A1616" t="str">
        <f>_xlfn.XLOOKUP(B1616,Ingot!$H$12:$H$119,Ingot!$G$12:$G$119,"")</f>
        <v>Metal</v>
      </c>
      <c r="B1616" t="s">
        <v>3121</v>
      </c>
      <c r="C1616" t="s">
        <v>10</v>
      </c>
      <c r="D1616" t="s">
        <v>3256</v>
      </c>
      <c r="E1616" t="s">
        <v>3257</v>
      </c>
    </row>
    <row r="1617" spans="1:7" ht="14.25" hidden="1" customHeight="1" x14ac:dyDescent="0.45">
      <c r="A1617" t="str">
        <f>_xlfn.XLOOKUP(B1617,Ingot!$H$12:$H$119,Ingot!$G$12:$G$119,"")</f>
        <v>Metal</v>
      </c>
      <c r="B1617" t="s">
        <v>3121</v>
      </c>
      <c r="C1617" t="s">
        <v>10</v>
      </c>
      <c r="D1617" t="s">
        <v>3258</v>
      </c>
      <c r="E1617" t="s">
        <v>3259</v>
      </c>
      <c r="G1617" s="1">
        <v>3.56</v>
      </c>
    </row>
    <row r="1618" spans="1:7" ht="14.25" hidden="1" customHeight="1" x14ac:dyDescent="0.45">
      <c r="A1618" t="str">
        <f>_xlfn.XLOOKUP(B1618,Ingot!$H$12:$H$119,Ingot!$G$12:$G$119,"")</f>
        <v>Metal</v>
      </c>
      <c r="B1618" t="s">
        <v>3121</v>
      </c>
      <c r="C1618" t="s">
        <v>10</v>
      </c>
      <c r="D1618" t="s">
        <v>3260</v>
      </c>
      <c r="E1618" t="s">
        <v>3261</v>
      </c>
      <c r="G1618" s="1">
        <v>8.91</v>
      </c>
    </row>
    <row r="1619" spans="1:7" ht="14.25" hidden="1" customHeight="1" x14ac:dyDescent="0.45">
      <c r="A1619" t="str">
        <f>_xlfn.XLOOKUP(B1619,Ingot!$H$12:$H$119,Ingot!$G$12:$G$119,"")</f>
        <v>Metal</v>
      </c>
      <c r="B1619" t="s">
        <v>3121</v>
      </c>
      <c r="C1619" t="s">
        <v>10</v>
      </c>
      <c r="D1619" t="s">
        <v>3262</v>
      </c>
      <c r="E1619" t="s">
        <v>3263</v>
      </c>
      <c r="G1619" s="1">
        <v>11.02</v>
      </c>
    </row>
    <row r="1620" spans="1:7" ht="14.25" hidden="1" customHeight="1" x14ac:dyDescent="0.45">
      <c r="A1620" t="str">
        <f>_xlfn.XLOOKUP(B1620,Ingot!$H$12:$H$119,Ingot!$G$12:$G$119,"")</f>
        <v>Metal</v>
      </c>
      <c r="B1620" t="s">
        <v>3121</v>
      </c>
      <c r="C1620" t="s">
        <v>10</v>
      </c>
      <c r="D1620" t="s">
        <v>3264</v>
      </c>
      <c r="E1620" t="s">
        <v>3265</v>
      </c>
      <c r="G1620" s="1">
        <v>5.12</v>
      </c>
    </row>
    <row r="1621" spans="1:7" ht="14.25" hidden="1" customHeight="1" x14ac:dyDescent="0.45">
      <c r="A1621" t="str">
        <f>_xlfn.XLOOKUP(B1621,Ingot!$H$12:$H$119,Ingot!$G$12:$G$119,"")</f>
        <v>Metal</v>
      </c>
      <c r="B1621" t="s">
        <v>3121</v>
      </c>
      <c r="C1621" t="s">
        <v>10</v>
      </c>
      <c r="D1621" t="s">
        <v>3266</v>
      </c>
      <c r="E1621" t="s">
        <v>3267</v>
      </c>
      <c r="G1621" s="1">
        <v>4.41</v>
      </c>
    </row>
    <row r="1622" spans="1:7" ht="14.25" hidden="1" customHeight="1" x14ac:dyDescent="0.45">
      <c r="A1622" t="str">
        <f>_xlfn.XLOOKUP(B1622,Ingot!$H$12:$H$119,Ingot!$G$12:$G$119,"")</f>
        <v>Metal</v>
      </c>
      <c r="B1622" t="s">
        <v>3121</v>
      </c>
      <c r="C1622" t="s">
        <v>157</v>
      </c>
      <c r="D1622" t="s">
        <v>3268</v>
      </c>
      <c r="E1622" t="s">
        <v>3269</v>
      </c>
      <c r="G1622" s="1">
        <v>35</v>
      </c>
    </row>
    <row r="1623" spans="1:7" ht="14.25" hidden="1" customHeight="1" x14ac:dyDescent="0.45">
      <c r="A1623" t="str">
        <f>_xlfn.XLOOKUP(B1623,Ingot!$H$12:$H$119,Ingot!$G$12:$G$119,"")</f>
        <v>Metal</v>
      </c>
      <c r="B1623" t="s">
        <v>3121</v>
      </c>
      <c r="C1623" t="s">
        <v>157</v>
      </c>
      <c r="D1623" t="s">
        <v>3270</v>
      </c>
      <c r="E1623" t="s">
        <v>3271</v>
      </c>
      <c r="G1623" s="1">
        <v>7</v>
      </c>
    </row>
    <row r="1624" spans="1:7" ht="14.25" hidden="1" customHeight="1" x14ac:dyDescent="0.45">
      <c r="A1624" t="str">
        <f>_xlfn.XLOOKUP(B1624,Ingot!$H$12:$H$119,Ingot!$G$12:$G$119,"")</f>
        <v>Metal</v>
      </c>
      <c r="B1624" t="s">
        <v>3121</v>
      </c>
      <c r="C1624" t="s">
        <v>157</v>
      </c>
      <c r="D1624" t="s">
        <v>3272</v>
      </c>
      <c r="E1624" t="s">
        <v>3273</v>
      </c>
      <c r="G1624" s="1">
        <v>7</v>
      </c>
    </row>
    <row r="1625" spans="1:7" ht="14.25" hidden="1" customHeight="1" x14ac:dyDescent="0.45">
      <c r="A1625" t="str">
        <f>_xlfn.XLOOKUP(B1625,Ingot!$H$12:$H$119,Ingot!$G$12:$G$119,"")</f>
        <v>Metal</v>
      </c>
      <c r="B1625" t="s">
        <v>3121</v>
      </c>
      <c r="C1625" t="s">
        <v>157</v>
      </c>
      <c r="D1625" t="s">
        <v>3274</v>
      </c>
      <c r="E1625" t="s">
        <v>3275</v>
      </c>
      <c r="G1625" s="1">
        <v>5</v>
      </c>
    </row>
    <row r="1626" spans="1:7" ht="14.25" hidden="1" customHeight="1" x14ac:dyDescent="0.45">
      <c r="A1626" t="str">
        <f>_xlfn.XLOOKUP(B1626,Ingot!$H$12:$H$119,Ingot!$G$12:$G$119,"")</f>
        <v>Metal</v>
      </c>
      <c r="B1626" t="s">
        <v>3121</v>
      </c>
      <c r="C1626" t="s">
        <v>157</v>
      </c>
      <c r="D1626" t="s">
        <v>3276</v>
      </c>
      <c r="E1626" t="s">
        <v>3277</v>
      </c>
      <c r="G1626" s="1">
        <v>10</v>
      </c>
    </row>
    <row r="1627" spans="1:7" ht="14.25" hidden="1" customHeight="1" x14ac:dyDescent="0.45">
      <c r="A1627" t="str">
        <f>_xlfn.XLOOKUP(B1627,Ingot!$H$12:$H$119,Ingot!$G$12:$G$119,"")</f>
        <v>Metal</v>
      </c>
      <c r="B1627" t="s">
        <v>3121</v>
      </c>
      <c r="C1627" t="s">
        <v>157</v>
      </c>
      <c r="D1627" t="s">
        <v>3278</v>
      </c>
      <c r="E1627" t="s">
        <v>3279</v>
      </c>
      <c r="G1627" s="1">
        <v>29.5</v>
      </c>
    </row>
    <row r="1628" spans="1:7" ht="14.25" hidden="1" customHeight="1" x14ac:dyDescent="0.45">
      <c r="A1628" t="str">
        <f>_xlfn.XLOOKUP(B1628,Ingot!$H$12:$H$119,Ingot!$G$12:$G$119,"")</f>
        <v>Metal</v>
      </c>
      <c r="B1628" t="s">
        <v>3121</v>
      </c>
      <c r="C1628" t="s">
        <v>157</v>
      </c>
      <c r="D1628" t="s">
        <v>3280</v>
      </c>
      <c r="E1628" t="s">
        <v>3281</v>
      </c>
      <c r="G1628" s="1">
        <v>5.9</v>
      </c>
    </row>
    <row r="1629" spans="1:7" ht="14.25" hidden="1" customHeight="1" x14ac:dyDescent="0.45">
      <c r="A1629" t="str">
        <f>_xlfn.XLOOKUP(B1629,Ingot!$H$12:$H$119,Ingot!$G$12:$G$119,"")</f>
        <v>Metal</v>
      </c>
      <c r="B1629" t="s">
        <v>3121</v>
      </c>
      <c r="C1629" t="s">
        <v>157</v>
      </c>
      <c r="D1629" t="s">
        <v>3282</v>
      </c>
      <c r="E1629" t="s">
        <v>3283</v>
      </c>
      <c r="G1629" s="1">
        <v>5.9</v>
      </c>
    </row>
    <row r="1630" spans="1:7" ht="14.25" hidden="1" customHeight="1" x14ac:dyDescent="0.45">
      <c r="A1630" t="str">
        <f>_xlfn.XLOOKUP(B1630,Ingot!$H$12:$H$119,Ingot!$G$12:$G$119,"")</f>
        <v>Metal</v>
      </c>
      <c r="B1630" t="s">
        <v>3121</v>
      </c>
      <c r="C1630" t="s">
        <v>157</v>
      </c>
      <c r="D1630" t="s">
        <v>3284</v>
      </c>
      <c r="E1630" t="s">
        <v>3285</v>
      </c>
      <c r="G1630" s="1">
        <v>5</v>
      </c>
    </row>
    <row r="1631" spans="1:7" ht="14.25" hidden="1" customHeight="1" x14ac:dyDescent="0.45">
      <c r="A1631" t="str">
        <f>_xlfn.XLOOKUP(B1631,Ingot!$H$12:$H$119,Ingot!$G$12:$G$119,"")</f>
        <v>Metal</v>
      </c>
      <c r="B1631" t="s">
        <v>3121</v>
      </c>
      <c r="C1631" t="s">
        <v>157</v>
      </c>
      <c r="D1631" t="s">
        <v>3286</v>
      </c>
      <c r="E1631" t="s">
        <v>3287</v>
      </c>
      <c r="G1631" s="1">
        <v>10</v>
      </c>
    </row>
    <row r="1632" spans="1:7" ht="14.25" hidden="1" customHeight="1" x14ac:dyDescent="0.45">
      <c r="A1632" t="str">
        <f>_xlfn.XLOOKUP(B1632,Ingot!$H$12:$H$119,Ingot!$G$12:$G$119,"")</f>
        <v>Metal</v>
      </c>
      <c r="B1632" t="s">
        <v>3121</v>
      </c>
      <c r="C1632" t="s">
        <v>157</v>
      </c>
      <c r="D1632" t="s">
        <v>3288</v>
      </c>
      <c r="E1632" t="s">
        <v>3289</v>
      </c>
      <c r="G1632" s="1">
        <v>28.5</v>
      </c>
    </row>
    <row r="1633" spans="1:7" ht="14.25" hidden="1" customHeight="1" x14ac:dyDescent="0.45">
      <c r="A1633" t="str">
        <f>_xlfn.XLOOKUP(B1633,Ingot!$H$12:$H$119,Ingot!$G$12:$G$119,"")</f>
        <v>Metal</v>
      </c>
      <c r="B1633" t="s">
        <v>3121</v>
      </c>
      <c r="C1633" t="s">
        <v>157</v>
      </c>
      <c r="D1633" t="s">
        <v>3290</v>
      </c>
      <c r="E1633" t="s">
        <v>3291</v>
      </c>
      <c r="G1633" s="1">
        <v>5.7</v>
      </c>
    </row>
    <row r="1634" spans="1:7" ht="14.25" hidden="1" customHeight="1" x14ac:dyDescent="0.45">
      <c r="A1634" t="str">
        <f>_xlfn.XLOOKUP(B1634,Ingot!$H$12:$H$119,Ingot!$G$12:$G$119,"")</f>
        <v>Metal</v>
      </c>
      <c r="B1634" t="s">
        <v>3121</v>
      </c>
      <c r="C1634" t="s">
        <v>157</v>
      </c>
      <c r="D1634" t="s">
        <v>3292</v>
      </c>
      <c r="E1634" t="s">
        <v>3293</v>
      </c>
      <c r="G1634" s="1">
        <v>5.7</v>
      </c>
    </row>
    <row r="1635" spans="1:7" ht="14.25" hidden="1" customHeight="1" x14ac:dyDescent="0.45">
      <c r="A1635" t="str">
        <f>_xlfn.XLOOKUP(B1635,Ingot!$H$12:$H$119,Ingot!$G$12:$G$119,"")</f>
        <v>Metal</v>
      </c>
      <c r="B1635" t="s">
        <v>3121</v>
      </c>
      <c r="C1635" t="s">
        <v>157</v>
      </c>
      <c r="D1635" t="s">
        <v>3294</v>
      </c>
      <c r="E1635" t="s">
        <v>3295</v>
      </c>
      <c r="G1635" s="1">
        <v>5</v>
      </c>
    </row>
    <row r="1636" spans="1:7" ht="14.25" hidden="1" customHeight="1" x14ac:dyDescent="0.45">
      <c r="A1636" t="str">
        <f>_xlfn.XLOOKUP(B1636,Ingot!$H$12:$H$119,Ingot!$G$12:$G$119,"")</f>
        <v>Metal</v>
      </c>
      <c r="B1636" t="s">
        <v>3121</v>
      </c>
      <c r="C1636" t="s">
        <v>157</v>
      </c>
      <c r="D1636" t="s">
        <v>3296</v>
      </c>
      <c r="E1636" t="s">
        <v>3297</v>
      </c>
      <c r="G1636" s="1">
        <v>10</v>
      </c>
    </row>
    <row r="1637" spans="1:7" ht="14.25" hidden="1" customHeight="1" x14ac:dyDescent="0.45">
      <c r="A1637" t="str">
        <f>_xlfn.XLOOKUP(B1637,Ingot!$H$12:$H$119,Ingot!$G$12:$G$119,"")</f>
        <v>Metal</v>
      </c>
      <c r="B1637" t="s">
        <v>3121</v>
      </c>
      <c r="C1637" t="s">
        <v>157</v>
      </c>
      <c r="D1637" t="s">
        <v>3298</v>
      </c>
      <c r="E1637" t="s">
        <v>3299</v>
      </c>
      <c r="G1637" s="1">
        <v>31</v>
      </c>
    </row>
    <row r="1638" spans="1:7" ht="14.25" hidden="1" customHeight="1" x14ac:dyDescent="0.45">
      <c r="A1638" t="str">
        <f>_xlfn.XLOOKUP(B1638,Ingot!$H$12:$H$119,Ingot!$G$12:$G$119,"")</f>
        <v>Metal</v>
      </c>
      <c r="B1638" t="s">
        <v>3121</v>
      </c>
      <c r="C1638" t="s">
        <v>157</v>
      </c>
      <c r="D1638" t="s">
        <v>3300</v>
      </c>
      <c r="E1638" t="s">
        <v>3301</v>
      </c>
      <c r="G1638" s="1">
        <v>6.2</v>
      </c>
    </row>
    <row r="1639" spans="1:7" ht="14.25" hidden="1" customHeight="1" x14ac:dyDescent="0.45">
      <c r="A1639" t="str">
        <f>_xlfn.XLOOKUP(B1639,Ingot!$H$12:$H$119,Ingot!$G$12:$G$119,"")</f>
        <v>Metal</v>
      </c>
      <c r="B1639" t="s">
        <v>3121</v>
      </c>
      <c r="C1639" t="s">
        <v>157</v>
      </c>
      <c r="D1639" t="s">
        <v>3302</v>
      </c>
      <c r="E1639" t="s">
        <v>3303</v>
      </c>
      <c r="G1639" s="1">
        <v>6.2</v>
      </c>
    </row>
    <row r="1640" spans="1:7" ht="14.25" hidden="1" customHeight="1" x14ac:dyDescent="0.45">
      <c r="A1640" t="str">
        <f>_xlfn.XLOOKUP(B1640,Ingot!$H$12:$H$119,Ingot!$G$12:$G$119,"")</f>
        <v>Metal</v>
      </c>
      <c r="B1640" t="s">
        <v>3121</v>
      </c>
      <c r="C1640" t="s">
        <v>157</v>
      </c>
      <c r="D1640" t="s">
        <v>3304</v>
      </c>
      <c r="E1640" t="s">
        <v>3305</v>
      </c>
      <c r="G1640" s="1">
        <v>5</v>
      </c>
    </row>
    <row r="1641" spans="1:7" ht="14.25" hidden="1" customHeight="1" x14ac:dyDescent="0.45">
      <c r="A1641" t="str">
        <f>_xlfn.XLOOKUP(B1641,Ingot!$H$12:$H$119,Ingot!$G$12:$G$119,"")</f>
        <v>Metal</v>
      </c>
      <c r="B1641" t="s">
        <v>3121</v>
      </c>
      <c r="C1641" t="s">
        <v>157</v>
      </c>
      <c r="D1641" t="s">
        <v>3306</v>
      </c>
      <c r="E1641" t="s">
        <v>3307</v>
      </c>
      <c r="G1641" s="1">
        <v>10</v>
      </c>
    </row>
    <row r="1642" spans="1:7" ht="14.25" hidden="1" customHeight="1" x14ac:dyDescent="0.45">
      <c r="A1642" t="str">
        <f>_xlfn.XLOOKUP(B1642,Ingot!$H$12:$H$119,Ingot!$G$12:$G$119,"")</f>
        <v>Metal</v>
      </c>
      <c r="B1642" t="s">
        <v>3121</v>
      </c>
      <c r="C1642" t="s">
        <v>157</v>
      </c>
      <c r="D1642" t="s">
        <v>3308</v>
      </c>
      <c r="E1642" t="s">
        <v>3309</v>
      </c>
      <c r="G1642" s="1">
        <v>33</v>
      </c>
    </row>
    <row r="1643" spans="1:7" ht="14.25" hidden="1" customHeight="1" x14ac:dyDescent="0.45">
      <c r="A1643" t="str">
        <f>_xlfn.XLOOKUP(B1643,Ingot!$H$12:$H$119,Ingot!$G$12:$G$119,"")</f>
        <v>Metal</v>
      </c>
      <c r="B1643" t="s">
        <v>3121</v>
      </c>
      <c r="C1643" t="s">
        <v>157</v>
      </c>
      <c r="D1643" t="s">
        <v>3310</v>
      </c>
      <c r="E1643" t="s">
        <v>3311</v>
      </c>
      <c r="G1643" s="1">
        <v>6.6</v>
      </c>
    </row>
    <row r="1644" spans="1:7" ht="14.25" hidden="1" customHeight="1" x14ac:dyDescent="0.45">
      <c r="A1644" t="str">
        <f>_xlfn.XLOOKUP(B1644,Ingot!$H$12:$H$119,Ingot!$G$12:$G$119,"")</f>
        <v>Metal</v>
      </c>
      <c r="B1644" t="s">
        <v>3121</v>
      </c>
      <c r="C1644" t="s">
        <v>157</v>
      </c>
      <c r="D1644" t="s">
        <v>3312</v>
      </c>
      <c r="E1644" t="s">
        <v>3313</v>
      </c>
      <c r="G1644" s="1">
        <v>6.6</v>
      </c>
    </row>
    <row r="1645" spans="1:7" ht="14.25" hidden="1" customHeight="1" x14ac:dyDescent="0.45">
      <c r="A1645" t="str">
        <f>_xlfn.XLOOKUP(B1645,Ingot!$H$12:$H$119,Ingot!$G$12:$G$119,"")</f>
        <v>Metal</v>
      </c>
      <c r="B1645" t="s">
        <v>3121</v>
      </c>
      <c r="C1645" t="s">
        <v>157</v>
      </c>
      <c r="D1645" t="s">
        <v>3314</v>
      </c>
      <c r="E1645" t="s">
        <v>3315</v>
      </c>
      <c r="G1645" s="1">
        <v>5</v>
      </c>
    </row>
    <row r="1646" spans="1:7" ht="14.25" hidden="1" customHeight="1" x14ac:dyDescent="0.45">
      <c r="A1646" t="str">
        <f>_xlfn.XLOOKUP(B1646,Ingot!$H$12:$H$119,Ingot!$G$12:$G$119,"")</f>
        <v>Metal</v>
      </c>
      <c r="B1646" t="s">
        <v>3121</v>
      </c>
      <c r="C1646" t="s">
        <v>157</v>
      </c>
      <c r="D1646" t="s">
        <v>3316</v>
      </c>
      <c r="E1646" t="s">
        <v>3317</v>
      </c>
      <c r="G1646" s="1">
        <v>10</v>
      </c>
    </row>
    <row r="1647" spans="1:7" ht="14.25" hidden="1" customHeight="1" x14ac:dyDescent="0.45">
      <c r="A1647" t="str">
        <f>_xlfn.XLOOKUP(B1647,Ingot!$H$12:$H$119,Ingot!$G$12:$G$119,"")</f>
        <v>Metal</v>
      </c>
      <c r="B1647" t="s">
        <v>3121</v>
      </c>
      <c r="C1647" t="s">
        <v>157</v>
      </c>
      <c r="D1647" t="s">
        <v>3318</v>
      </c>
      <c r="E1647" t="s">
        <v>3319</v>
      </c>
      <c r="G1647" s="1">
        <v>38</v>
      </c>
    </row>
    <row r="1648" spans="1:7" ht="14.25" hidden="1" customHeight="1" x14ac:dyDescent="0.45">
      <c r="A1648" t="str">
        <f>_xlfn.XLOOKUP(B1648,Ingot!$H$12:$H$119,Ingot!$G$12:$G$119,"")</f>
        <v>Metal</v>
      </c>
      <c r="B1648" t="s">
        <v>3121</v>
      </c>
      <c r="C1648" t="s">
        <v>157</v>
      </c>
      <c r="D1648" t="s">
        <v>3320</v>
      </c>
      <c r="E1648" t="s">
        <v>3321</v>
      </c>
      <c r="G1648" s="1">
        <v>7.6</v>
      </c>
    </row>
    <row r="1649" spans="1:7" ht="14.25" hidden="1" customHeight="1" x14ac:dyDescent="0.45">
      <c r="A1649" t="str">
        <f>_xlfn.XLOOKUP(B1649,Ingot!$H$12:$H$119,Ingot!$G$12:$G$119,"")</f>
        <v>Metal</v>
      </c>
      <c r="B1649" t="s">
        <v>3121</v>
      </c>
      <c r="C1649" t="s">
        <v>157</v>
      </c>
      <c r="D1649" t="s">
        <v>3322</v>
      </c>
      <c r="E1649" t="s">
        <v>3323</v>
      </c>
      <c r="G1649" s="1">
        <v>7.6</v>
      </c>
    </row>
    <row r="1650" spans="1:7" ht="14.25" hidden="1" customHeight="1" x14ac:dyDescent="0.45">
      <c r="A1650" t="str">
        <f>_xlfn.XLOOKUP(B1650,Ingot!$H$12:$H$119,Ingot!$G$12:$G$119,"")</f>
        <v>Metal</v>
      </c>
      <c r="B1650" t="s">
        <v>3121</v>
      </c>
      <c r="C1650" t="s">
        <v>157</v>
      </c>
      <c r="D1650" t="s">
        <v>3324</v>
      </c>
      <c r="E1650" t="s">
        <v>3325</v>
      </c>
      <c r="G1650" s="1">
        <v>5</v>
      </c>
    </row>
    <row r="1651" spans="1:7" ht="14.25" hidden="1" customHeight="1" x14ac:dyDescent="0.45">
      <c r="A1651" t="str">
        <f>_xlfn.XLOOKUP(B1651,Ingot!$H$12:$H$119,Ingot!$G$12:$G$119,"")</f>
        <v>Metal</v>
      </c>
      <c r="B1651" t="s">
        <v>3121</v>
      </c>
      <c r="C1651" t="s">
        <v>157</v>
      </c>
      <c r="D1651" t="s">
        <v>3326</v>
      </c>
      <c r="E1651" t="s">
        <v>3327</v>
      </c>
      <c r="G1651" s="1">
        <v>10</v>
      </c>
    </row>
    <row r="1652" spans="1:7" ht="14.25" hidden="1" customHeight="1" x14ac:dyDescent="0.45">
      <c r="A1652" t="str">
        <f>_xlfn.XLOOKUP(B1652,Ingot!$H$12:$H$119,Ingot!$G$12:$G$119,"")</f>
        <v>Metal</v>
      </c>
      <c r="B1652" t="s">
        <v>3121</v>
      </c>
      <c r="C1652" t="s">
        <v>157</v>
      </c>
      <c r="D1652" t="s">
        <v>3328</v>
      </c>
      <c r="E1652" t="s">
        <v>3329</v>
      </c>
      <c r="G1652" s="1">
        <v>37.5</v>
      </c>
    </row>
    <row r="1653" spans="1:7" ht="14.25" hidden="1" customHeight="1" x14ac:dyDescent="0.45">
      <c r="A1653" t="str">
        <f>_xlfn.XLOOKUP(B1653,Ingot!$H$12:$H$119,Ingot!$G$12:$G$119,"")</f>
        <v>Metal</v>
      </c>
      <c r="B1653" t="s">
        <v>3121</v>
      </c>
      <c r="C1653" t="s">
        <v>157</v>
      </c>
      <c r="D1653" t="s">
        <v>3330</v>
      </c>
      <c r="E1653" t="s">
        <v>3331</v>
      </c>
      <c r="G1653" s="1">
        <v>7.5</v>
      </c>
    </row>
    <row r="1654" spans="1:7" ht="14.25" hidden="1" customHeight="1" x14ac:dyDescent="0.45">
      <c r="A1654" t="str">
        <f>_xlfn.XLOOKUP(B1654,Ingot!$H$12:$H$119,Ingot!$G$12:$G$119,"")</f>
        <v>Metal</v>
      </c>
      <c r="B1654" t="s">
        <v>3121</v>
      </c>
      <c r="C1654" t="s">
        <v>157</v>
      </c>
      <c r="D1654" t="s">
        <v>3332</v>
      </c>
      <c r="E1654" t="s">
        <v>3333</v>
      </c>
      <c r="G1654" s="1">
        <v>7.5</v>
      </c>
    </row>
    <row r="1655" spans="1:7" ht="14.25" hidden="1" customHeight="1" x14ac:dyDescent="0.45">
      <c r="A1655" t="str">
        <f>_xlfn.XLOOKUP(B1655,Ingot!$H$12:$H$119,Ingot!$G$12:$G$119,"")</f>
        <v>Metal</v>
      </c>
      <c r="B1655" t="s">
        <v>3121</v>
      </c>
      <c r="C1655" t="s">
        <v>157</v>
      </c>
      <c r="D1655" t="s">
        <v>3334</v>
      </c>
      <c r="E1655" t="s">
        <v>3335</v>
      </c>
      <c r="G1655" s="1">
        <v>5</v>
      </c>
    </row>
    <row r="1656" spans="1:7" ht="14.25" hidden="1" customHeight="1" x14ac:dyDescent="0.45">
      <c r="A1656" t="str">
        <f>_xlfn.XLOOKUP(B1656,Ingot!$H$12:$H$119,Ingot!$G$12:$G$119,"")</f>
        <v>Metal</v>
      </c>
      <c r="B1656" t="s">
        <v>3121</v>
      </c>
      <c r="C1656" t="s">
        <v>157</v>
      </c>
      <c r="D1656" t="s">
        <v>3336</v>
      </c>
      <c r="E1656" t="s">
        <v>3337</v>
      </c>
      <c r="G1656" s="1">
        <v>10</v>
      </c>
    </row>
    <row r="1657" spans="1:7" ht="14.25" hidden="1" customHeight="1" x14ac:dyDescent="0.45">
      <c r="A1657" t="str">
        <f>_xlfn.XLOOKUP(B1657,Ingot!$H$12:$H$119,Ingot!$G$12:$G$119,"")</f>
        <v>Metal</v>
      </c>
      <c r="B1657" t="s">
        <v>3121</v>
      </c>
      <c r="C1657" t="s">
        <v>157</v>
      </c>
      <c r="D1657" t="s">
        <v>3338</v>
      </c>
      <c r="E1657" t="s">
        <v>3339</v>
      </c>
      <c r="G1657" s="1">
        <v>27</v>
      </c>
    </row>
    <row r="1658" spans="1:7" ht="14.25" hidden="1" customHeight="1" x14ac:dyDescent="0.45">
      <c r="A1658" t="str">
        <f>_xlfn.XLOOKUP(B1658,Ingot!$H$12:$H$119,Ingot!$G$12:$G$119,"")</f>
        <v>Metal</v>
      </c>
      <c r="B1658" t="s">
        <v>3121</v>
      </c>
      <c r="C1658" t="s">
        <v>157</v>
      </c>
      <c r="D1658" t="s">
        <v>3340</v>
      </c>
      <c r="E1658" t="s">
        <v>3341</v>
      </c>
      <c r="G1658" s="1">
        <v>5.4</v>
      </c>
    </row>
    <row r="1659" spans="1:7" ht="14.25" hidden="1" customHeight="1" x14ac:dyDescent="0.45">
      <c r="A1659" t="str">
        <f>_xlfn.XLOOKUP(B1659,Ingot!$H$12:$H$119,Ingot!$G$12:$G$119,"")</f>
        <v>Metal</v>
      </c>
      <c r="B1659" t="s">
        <v>3121</v>
      </c>
      <c r="C1659" t="s">
        <v>157</v>
      </c>
      <c r="D1659" t="s">
        <v>3342</v>
      </c>
      <c r="E1659" t="s">
        <v>3343</v>
      </c>
      <c r="G1659" s="1">
        <v>5.4</v>
      </c>
    </row>
    <row r="1660" spans="1:7" ht="14.25" hidden="1" customHeight="1" x14ac:dyDescent="0.45">
      <c r="A1660" t="str">
        <f>_xlfn.XLOOKUP(B1660,Ingot!$H$12:$H$119,Ingot!$G$12:$G$119,"")</f>
        <v>Metal</v>
      </c>
      <c r="B1660" t="s">
        <v>3121</v>
      </c>
      <c r="C1660" t="s">
        <v>157</v>
      </c>
      <c r="D1660" t="s">
        <v>3344</v>
      </c>
      <c r="E1660" t="s">
        <v>3345</v>
      </c>
      <c r="G1660" s="1">
        <v>5</v>
      </c>
    </row>
    <row r="1661" spans="1:7" ht="14.25" hidden="1" customHeight="1" x14ac:dyDescent="0.45">
      <c r="A1661" t="str">
        <f>_xlfn.XLOOKUP(B1661,Ingot!$H$12:$H$119,Ingot!$G$12:$G$119,"")</f>
        <v>Metal</v>
      </c>
      <c r="B1661" t="s">
        <v>3121</v>
      </c>
      <c r="C1661" t="s">
        <v>157</v>
      </c>
      <c r="D1661" t="s">
        <v>3346</v>
      </c>
      <c r="E1661" t="s">
        <v>3347</v>
      </c>
      <c r="G1661" s="1">
        <v>10</v>
      </c>
    </row>
    <row r="1662" spans="1:7" ht="14.25" hidden="1" customHeight="1" x14ac:dyDescent="0.45">
      <c r="A1662" t="str">
        <f>_xlfn.XLOOKUP(B1662,Ingot!$H$12:$H$119,Ingot!$G$12:$G$119,"")</f>
        <v>Metal</v>
      </c>
      <c r="B1662" t="s">
        <v>3121</v>
      </c>
      <c r="C1662" t="s">
        <v>239</v>
      </c>
      <c r="D1662" t="s">
        <v>3348</v>
      </c>
      <c r="E1662" t="s">
        <v>3349</v>
      </c>
    </row>
    <row r="1663" spans="1:7" ht="14.25" hidden="1" customHeight="1" x14ac:dyDescent="0.45">
      <c r="A1663" t="str">
        <f>_xlfn.XLOOKUP(B1663,Ingot!$H$12:$H$119,Ingot!$G$12:$G$119,"")</f>
        <v>Metal</v>
      </c>
      <c r="B1663" t="s">
        <v>3121</v>
      </c>
      <c r="C1663" t="s">
        <v>239</v>
      </c>
      <c r="D1663" t="s">
        <v>3350</v>
      </c>
      <c r="E1663" t="s">
        <v>3351</v>
      </c>
    </row>
    <row r="1664" spans="1:7" ht="14.25" hidden="1" customHeight="1" x14ac:dyDescent="0.45">
      <c r="A1664" t="str">
        <f>_xlfn.XLOOKUP(B1664,Ingot!$H$12:$H$119,Ingot!$G$12:$G$119,"")</f>
        <v>Metal</v>
      </c>
      <c r="B1664" t="s">
        <v>3121</v>
      </c>
      <c r="C1664" t="s">
        <v>239</v>
      </c>
      <c r="D1664" t="s">
        <v>3352</v>
      </c>
      <c r="E1664" t="s">
        <v>3353</v>
      </c>
    </row>
    <row r="1665" spans="1:7" ht="14.25" hidden="1" customHeight="1" x14ac:dyDescent="0.45">
      <c r="A1665" t="str">
        <f>_xlfn.XLOOKUP(B1665,Ingot!$H$12:$H$119,Ingot!$G$12:$G$119,"")</f>
        <v>Metal</v>
      </c>
      <c r="B1665" t="s">
        <v>3121</v>
      </c>
      <c r="C1665" t="s">
        <v>239</v>
      </c>
      <c r="D1665" t="s">
        <v>3354</v>
      </c>
      <c r="E1665" t="s">
        <v>3355</v>
      </c>
    </row>
    <row r="1666" spans="1:7" ht="14.25" hidden="1" customHeight="1" x14ac:dyDescent="0.45">
      <c r="A1666" t="str">
        <f>_xlfn.XLOOKUP(B1666,Ingot!$H$12:$H$119,Ingot!$G$12:$G$119,"")</f>
        <v>Metal</v>
      </c>
      <c r="B1666" t="s">
        <v>3121</v>
      </c>
      <c r="C1666" t="s">
        <v>239</v>
      </c>
      <c r="D1666" t="s">
        <v>3356</v>
      </c>
      <c r="E1666" t="s">
        <v>3357</v>
      </c>
    </row>
    <row r="1667" spans="1:7" ht="14.25" hidden="1" customHeight="1" x14ac:dyDescent="0.45">
      <c r="A1667" t="str">
        <f>_xlfn.XLOOKUP(B1667,Ingot!$H$12:$H$119,Ingot!$G$12:$G$119,"")</f>
        <v>Metal</v>
      </c>
      <c r="B1667" t="s">
        <v>3121</v>
      </c>
      <c r="C1667" t="s">
        <v>239</v>
      </c>
      <c r="D1667" t="s">
        <v>3358</v>
      </c>
      <c r="E1667" t="s">
        <v>3359</v>
      </c>
    </row>
    <row r="1668" spans="1:7" ht="14.25" customHeight="1" x14ac:dyDescent="0.45">
      <c r="A1668" t="str">
        <f>_xlfn.XLOOKUP(B1668,Ingot!$H$12:$H$119,Ingot!$G$12:$G$119,"")</f>
        <v>Metal</v>
      </c>
      <c r="B1668" t="s">
        <v>3360</v>
      </c>
      <c r="C1668" t="s">
        <v>10</v>
      </c>
      <c r="D1668" t="s">
        <v>3435</v>
      </c>
      <c r="E1668" t="s">
        <v>3436</v>
      </c>
      <c r="G1668">
        <v>22.67</v>
      </c>
    </row>
    <row r="1669" spans="1:7" ht="14.25" customHeight="1" x14ac:dyDescent="0.45">
      <c r="A1669" t="str">
        <f>_xlfn.XLOOKUP(B1669,Ingot!$H$12:$H$119,Ingot!$G$12:$G$119,"")</f>
        <v>Metal</v>
      </c>
      <c r="B1669" t="s">
        <v>3360</v>
      </c>
      <c r="C1669" t="s">
        <v>10</v>
      </c>
      <c r="D1669" t="s">
        <v>3449</v>
      </c>
      <c r="E1669" t="s">
        <v>3450</v>
      </c>
      <c r="G1669">
        <v>13.07</v>
      </c>
    </row>
    <row r="1670" spans="1:7" ht="14.25" customHeight="1" x14ac:dyDescent="0.45">
      <c r="A1670" t="str">
        <f>_xlfn.XLOOKUP(B1670,Ingot!$H$12:$H$119,Ingot!$G$12:$G$119,"")</f>
        <v>Metal</v>
      </c>
      <c r="B1670" t="s">
        <v>3360</v>
      </c>
      <c r="C1670" t="s">
        <v>10</v>
      </c>
      <c r="D1670" t="s">
        <v>3433</v>
      </c>
      <c r="E1670" t="s">
        <v>3434</v>
      </c>
      <c r="G1670">
        <v>12.64</v>
      </c>
    </row>
    <row r="1671" spans="1:7" ht="14.25" customHeight="1" x14ac:dyDescent="0.45">
      <c r="A1671" t="str">
        <f>_xlfn.XLOOKUP(B1671,Ingot!$H$12:$H$119,Ingot!$G$12:$G$119,"")</f>
        <v>Metal</v>
      </c>
      <c r="B1671" t="s">
        <v>3360</v>
      </c>
      <c r="C1671" t="s">
        <v>10</v>
      </c>
      <c r="D1671" t="s">
        <v>3501</v>
      </c>
      <c r="E1671" t="s">
        <v>3502</v>
      </c>
      <c r="G1671">
        <v>11.02</v>
      </c>
    </row>
    <row r="1672" spans="1:7" ht="14.25" customHeight="1" x14ac:dyDescent="0.45">
      <c r="A1672" t="str">
        <f>_xlfn.XLOOKUP(B1672,Ingot!$H$12:$H$119,Ingot!$G$12:$G$119,"")</f>
        <v>Metal</v>
      </c>
      <c r="B1672" t="s">
        <v>3360</v>
      </c>
      <c r="C1672" t="s">
        <v>10</v>
      </c>
      <c r="D1672" t="s">
        <v>3415</v>
      </c>
      <c r="E1672" t="s">
        <v>3416</v>
      </c>
      <c r="G1672">
        <v>10.42</v>
      </c>
    </row>
    <row r="1673" spans="1:7" ht="14.25" customHeight="1" x14ac:dyDescent="0.45">
      <c r="A1673" t="str">
        <f>_xlfn.XLOOKUP(B1673,Ingot!$H$12:$H$119,Ingot!$G$12:$G$119,"")</f>
        <v>Metal</v>
      </c>
      <c r="B1673" t="s">
        <v>3360</v>
      </c>
      <c r="C1673" t="s">
        <v>10</v>
      </c>
      <c r="D1673" t="s">
        <v>3405</v>
      </c>
      <c r="E1673" t="s">
        <v>3406</v>
      </c>
      <c r="G1673">
        <v>10.23</v>
      </c>
    </row>
    <row r="1674" spans="1:7" ht="14.25" customHeight="1" x14ac:dyDescent="0.45">
      <c r="A1674" t="str">
        <f>_xlfn.XLOOKUP(B1674,Ingot!$H$12:$H$119,Ingot!$G$12:$G$119,"")</f>
        <v>Metal</v>
      </c>
      <c r="B1674" t="s">
        <v>3360</v>
      </c>
      <c r="C1674" t="s">
        <v>10</v>
      </c>
      <c r="D1674" t="s">
        <v>3409</v>
      </c>
      <c r="E1674" t="s">
        <v>3410</v>
      </c>
      <c r="G1674">
        <v>10.02</v>
      </c>
    </row>
    <row r="1675" spans="1:7" ht="14.25" customHeight="1" x14ac:dyDescent="0.45">
      <c r="A1675" t="str">
        <f>_xlfn.XLOOKUP(B1675,Ingot!$H$12:$H$119,Ingot!$G$12:$G$119,"")</f>
        <v>Metal</v>
      </c>
      <c r="B1675" t="s">
        <v>3360</v>
      </c>
      <c r="C1675" t="s">
        <v>10</v>
      </c>
      <c r="D1675" t="s">
        <v>3363</v>
      </c>
      <c r="E1675" t="s">
        <v>3364</v>
      </c>
      <c r="G1675">
        <v>9.9</v>
      </c>
    </row>
    <row r="1676" spans="1:7" ht="14.25" customHeight="1" x14ac:dyDescent="0.45">
      <c r="A1676" t="str">
        <f>_xlfn.XLOOKUP(B1676,Ingot!$H$12:$H$119,Ingot!$G$12:$G$119,"")</f>
        <v>Metal</v>
      </c>
      <c r="B1676" t="s">
        <v>3360</v>
      </c>
      <c r="C1676" t="s">
        <v>10</v>
      </c>
      <c r="D1676" t="s">
        <v>3421</v>
      </c>
      <c r="E1676" t="s">
        <v>3422</v>
      </c>
      <c r="G1676">
        <v>9.64</v>
      </c>
    </row>
    <row r="1677" spans="1:7" ht="14.25" customHeight="1" x14ac:dyDescent="0.45">
      <c r="A1677" t="str">
        <f>_xlfn.XLOOKUP(B1677,Ingot!$H$12:$H$119,Ingot!$G$12:$G$119,"")</f>
        <v>Metal</v>
      </c>
      <c r="B1677" t="s">
        <v>3360</v>
      </c>
      <c r="C1677" t="s">
        <v>10</v>
      </c>
      <c r="D1677" t="s">
        <v>3403</v>
      </c>
      <c r="E1677" t="s">
        <v>3404</v>
      </c>
      <c r="G1677">
        <v>9</v>
      </c>
    </row>
    <row r="1678" spans="1:7" ht="14.25" customHeight="1" x14ac:dyDescent="0.45">
      <c r="A1678" t="str">
        <f>_xlfn.XLOOKUP(B1678,Ingot!$H$12:$H$119,Ingot!$G$12:$G$119,"")</f>
        <v>Metal</v>
      </c>
      <c r="B1678" t="s">
        <v>3360</v>
      </c>
      <c r="C1678" t="s">
        <v>10</v>
      </c>
      <c r="D1678" t="s">
        <v>3499</v>
      </c>
      <c r="E1678" t="s">
        <v>3500</v>
      </c>
      <c r="G1678">
        <v>8.91</v>
      </c>
    </row>
    <row r="1679" spans="1:7" ht="14.25" customHeight="1" x14ac:dyDescent="0.45">
      <c r="A1679" t="str">
        <f>_xlfn.XLOOKUP(B1679,Ingot!$H$12:$H$119,Ingot!$G$12:$G$119,"")</f>
        <v>Metal</v>
      </c>
      <c r="B1679" t="s">
        <v>3360</v>
      </c>
      <c r="C1679" t="s">
        <v>10</v>
      </c>
      <c r="D1679" t="s">
        <v>3383</v>
      </c>
      <c r="E1679" t="s">
        <v>3384</v>
      </c>
      <c r="G1679">
        <v>8.77</v>
      </c>
    </row>
    <row r="1680" spans="1:7" ht="14.25" customHeight="1" x14ac:dyDescent="0.45">
      <c r="A1680" t="str">
        <f>_xlfn.XLOOKUP(B1680,Ingot!$H$12:$H$119,Ingot!$G$12:$G$119,"")</f>
        <v>Metal</v>
      </c>
      <c r="B1680" t="s">
        <v>3360</v>
      </c>
      <c r="C1680" t="s">
        <v>10</v>
      </c>
      <c r="D1680" t="s">
        <v>3425</v>
      </c>
      <c r="E1680" t="s">
        <v>3426</v>
      </c>
      <c r="G1680">
        <v>8.66</v>
      </c>
    </row>
    <row r="1681" spans="1:7" ht="14.25" customHeight="1" x14ac:dyDescent="0.45">
      <c r="A1681" t="str">
        <f>_xlfn.XLOOKUP(B1681,Ingot!$H$12:$H$119,Ingot!$G$12:$G$119,"")</f>
        <v>Metal</v>
      </c>
      <c r="B1681" t="s">
        <v>3360</v>
      </c>
      <c r="C1681" t="s">
        <v>10</v>
      </c>
      <c r="D1681" t="s">
        <v>3479</v>
      </c>
      <c r="E1681" t="s">
        <v>3480</v>
      </c>
      <c r="G1681">
        <v>8.61</v>
      </c>
    </row>
    <row r="1682" spans="1:7" ht="14.25" customHeight="1" x14ac:dyDescent="0.45">
      <c r="A1682" t="str">
        <f>_xlfn.XLOOKUP(B1682,Ingot!$H$12:$H$119,Ingot!$G$12:$G$119,"")</f>
        <v>Metal</v>
      </c>
      <c r="B1682" t="s">
        <v>3360</v>
      </c>
      <c r="C1682" t="s">
        <v>10</v>
      </c>
      <c r="D1682" t="s">
        <v>3493</v>
      </c>
      <c r="E1682" t="s">
        <v>3494</v>
      </c>
      <c r="G1682">
        <v>8.57</v>
      </c>
    </row>
    <row r="1683" spans="1:7" ht="14.25" customHeight="1" x14ac:dyDescent="0.45">
      <c r="A1683" t="str">
        <f>_xlfn.XLOOKUP(B1683,Ingot!$H$12:$H$119,Ingot!$G$12:$G$119,"")</f>
        <v>Metal</v>
      </c>
      <c r="B1683" t="s">
        <v>3360</v>
      </c>
      <c r="C1683" t="s">
        <v>10</v>
      </c>
      <c r="D1683" t="s">
        <v>3413</v>
      </c>
      <c r="E1683" t="s">
        <v>3414</v>
      </c>
      <c r="G1683">
        <v>8.44</v>
      </c>
    </row>
    <row r="1684" spans="1:7" ht="14.25" customHeight="1" x14ac:dyDescent="0.45">
      <c r="A1684" t="str">
        <f>_xlfn.XLOOKUP(B1684,Ingot!$H$12:$H$119,Ingot!$G$12:$G$119,"")</f>
        <v>Metal</v>
      </c>
      <c r="B1684" t="s">
        <v>3360</v>
      </c>
      <c r="C1684" t="s">
        <v>10</v>
      </c>
      <c r="D1684" t="s">
        <v>3395</v>
      </c>
      <c r="E1684" t="s">
        <v>3396</v>
      </c>
      <c r="G1684">
        <v>8.41</v>
      </c>
    </row>
    <row r="1685" spans="1:7" ht="14.25" customHeight="1" x14ac:dyDescent="0.45">
      <c r="A1685" t="str">
        <f>_xlfn.XLOOKUP(B1685,Ingot!$H$12:$H$119,Ingot!$G$12:$G$119,"")</f>
        <v>Metal</v>
      </c>
      <c r="B1685" t="s">
        <v>3360</v>
      </c>
      <c r="C1685" t="s">
        <v>10</v>
      </c>
      <c r="D1685" t="s">
        <v>3437</v>
      </c>
      <c r="E1685" t="s">
        <v>3438</v>
      </c>
      <c r="G1685">
        <v>8.3800000000000008</v>
      </c>
    </row>
    <row r="1686" spans="1:7" ht="14.25" customHeight="1" x14ac:dyDescent="0.45">
      <c r="A1686" t="str">
        <f>_xlfn.XLOOKUP(B1686,Ingot!$H$12:$H$119,Ingot!$G$12:$G$119,"")</f>
        <v>Metal</v>
      </c>
      <c r="B1686" t="s">
        <v>3360</v>
      </c>
      <c r="C1686" t="s">
        <v>10</v>
      </c>
      <c r="D1686" t="s">
        <v>3419</v>
      </c>
      <c r="E1686" t="s">
        <v>3420</v>
      </c>
      <c r="G1686">
        <v>7.96</v>
      </c>
    </row>
    <row r="1687" spans="1:7" ht="14.25" customHeight="1" x14ac:dyDescent="0.45">
      <c r="A1687" t="str">
        <f>_xlfn.XLOOKUP(B1687,Ingot!$H$12:$H$119,Ingot!$G$12:$G$119,"")</f>
        <v>Metal</v>
      </c>
      <c r="B1687" t="s">
        <v>3360</v>
      </c>
      <c r="C1687" t="s">
        <v>10</v>
      </c>
      <c r="D1687" t="s">
        <v>3423</v>
      </c>
      <c r="E1687" t="s">
        <v>3424</v>
      </c>
      <c r="G1687">
        <v>7.94</v>
      </c>
    </row>
    <row r="1688" spans="1:7" ht="14.25" customHeight="1" x14ac:dyDescent="0.45">
      <c r="A1688" t="str">
        <f>_xlfn.XLOOKUP(B1688,Ingot!$H$12:$H$119,Ingot!$G$12:$G$119,"")</f>
        <v>Metal</v>
      </c>
      <c r="B1688" t="s">
        <v>3360</v>
      </c>
      <c r="C1688" t="s">
        <v>10</v>
      </c>
      <c r="D1688" t="s">
        <v>3407</v>
      </c>
      <c r="E1688" t="s">
        <v>3408</v>
      </c>
      <c r="G1688">
        <v>7.7</v>
      </c>
    </row>
    <row r="1689" spans="1:7" ht="14.25" customHeight="1" x14ac:dyDescent="0.45">
      <c r="A1689" t="str">
        <f>_xlfn.XLOOKUP(B1689,Ingot!$H$12:$H$119,Ingot!$G$12:$G$119,"")</f>
        <v>Metal</v>
      </c>
      <c r="B1689" t="s">
        <v>3360</v>
      </c>
      <c r="C1689" t="s">
        <v>10</v>
      </c>
      <c r="D1689" t="s">
        <v>3399</v>
      </c>
      <c r="E1689" t="s">
        <v>3400</v>
      </c>
      <c r="G1689">
        <v>7.05</v>
      </c>
    </row>
    <row r="1690" spans="1:7" ht="14.25" customHeight="1" x14ac:dyDescent="0.45">
      <c r="A1690" t="str">
        <f>_xlfn.XLOOKUP(B1690,Ingot!$H$12:$H$119,Ingot!$G$12:$G$119,"")</f>
        <v>Metal</v>
      </c>
      <c r="B1690" t="s">
        <v>3360</v>
      </c>
      <c r="C1690" t="s">
        <v>10</v>
      </c>
      <c r="D1690" t="s">
        <v>3463</v>
      </c>
      <c r="E1690" t="s">
        <v>3464</v>
      </c>
      <c r="G1690">
        <v>6.96</v>
      </c>
    </row>
    <row r="1691" spans="1:7" ht="14.25" customHeight="1" x14ac:dyDescent="0.45">
      <c r="A1691" t="str">
        <f>_xlfn.XLOOKUP(B1691,Ingot!$H$12:$H$119,Ingot!$G$12:$G$119,"")</f>
        <v>Metal</v>
      </c>
      <c r="B1691" t="s">
        <v>3360</v>
      </c>
      <c r="C1691" t="s">
        <v>10</v>
      </c>
      <c r="D1691" t="s">
        <v>3457</v>
      </c>
      <c r="E1691" t="s">
        <v>3458</v>
      </c>
      <c r="G1691">
        <v>6.88</v>
      </c>
    </row>
    <row r="1692" spans="1:7" ht="14.25" customHeight="1" x14ac:dyDescent="0.45">
      <c r="A1692" t="str">
        <f>_xlfn.XLOOKUP(B1692,Ingot!$H$12:$H$119,Ingot!$G$12:$G$119,"")</f>
        <v>Metal</v>
      </c>
      <c r="B1692" t="s">
        <v>3360</v>
      </c>
      <c r="C1692" t="s">
        <v>10</v>
      </c>
      <c r="D1692" t="s">
        <v>3467</v>
      </c>
      <c r="E1692" t="s">
        <v>3468</v>
      </c>
      <c r="G1692">
        <v>6.88</v>
      </c>
    </row>
    <row r="1693" spans="1:7" ht="14.25" customHeight="1" x14ac:dyDescent="0.45">
      <c r="A1693" t="str">
        <f>_xlfn.XLOOKUP(B1693,Ingot!$H$12:$H$119,Ingot!$G$12:$G$119,"")</f>
        <v>Metal</v>
      </c>
      <c r="B1693" t="s">
        <v>3360</v>
      </c>
      <c r="C1693" t="s">
        <v>10</v>
      </c>
      <c r="D1693" t="s">
        <v>3455</v>
      </c>
      <c r="E1693" t="s">
        <v>3456</v>
      </c>
      <c r="G1693">
        <v>6.8</v>
      </c>
    </row>
    <row r="1694" spans="1:7" ht="14.25" customHeight="1" x14ac:dyDescent="0.45">
      <c r="A1694" t="str">
        <f>_xlfn.XLOOKUP(B1694,Ingot!$H$12:$H$119,Ingot!$G$12:$G$119,"")</f>
        <v>Metal</v>
      </c>
      <c r="B1694" t="s">
        <v>3360</v>
      </c>
      <c r="C1694" t="s">
        <v>10</v>
      </c>
      <c r="D1694" t="s">
        <v>3465</v>
      </c>
      <c r="E1694" t="s">
        <v>3466</v>
      </c>
      <c r="G1694">
        <v>6.32</v>
      </c>
    </row>
    <row r="1695" spans="1:7" ht="14.25" customHeight="1" x14ac:dyDescent="0.45">
      <c r="A1695" t="str">
        <f>_xlfn.XLOOKUP(B1695,Ingot!$H$12:$H$119,Ingot!$G$12:$G$119,"")</f>
        <v>Metal</v>
      </c>
      <c r="B1695" t="s">
        <v>3360</v>
      </c>
      <c r="C1695" t="s">
        <v>10</v>
      </c>
      <c r="D1695" t="s">
        <v>3365</v>
      </c>
      <c r="E1695" t="s">
        <v>3366</v>
      </c>
      <c r="G1695">
        <v>5.66</v>
      </c>
    </row>
    <row r="1696" spans="1:7" ht="14.25" customHeight="1" x14ac:dyDescent="0.45">
      <c r="A1696" t="str">
        <f>_xlfn.XLOOKUP(B1696,Ingot!$H$12:$H$119,Ingot!$G$12:$G$119,"")</f>
        <v>Metal</v>
      </c>
      <c r="B1696" t="s">
        <v>3360</v>
      </c>
      <c r="C1696" t="s">
        <v>10</v>
      </c>
      <c r="D1696" t="s">
        <v>3459</v>
      </c>
      <c r="E1696" t="s">
        <v>3460</v>
      </c>
      <c r="G1696">
        <v>5.5</v>
      </c>
    </row>
    <row r="1697" spans="1:7" ht="14.25" customHeight="1" x14ac:dyDescent="0.45">
      <c r="A1697" t="str">
        <f>_xlfn.XLOOKUP(B1697,Ingot!$H$12:$H$119,Ingot!$G$12:$G$119,"")</f>
        <v>Metal</v>
      </c>
      <c r="B1697" t="s">
        <v>3360</v>
      </c>
      <c r="C1697" t="s">
        <v>10</v>
      </c>
      <c r="D1697" t="s">
        <v>3503</v>
      </c>
      <c r="E1697" t="s">
        <v>3504</v>
      </c>
      <c r="G1697">
        <v>5.12</v>
      </c>
    </row>
    <row r="1698" spans="1:7" ht="14.25" customHeight="1" x14ac:dyDescent="0.45">
      <c r="A1698" t="str">
        <f>_xlfn.XLOOKUP(B1698,Ingot!$H$12:$H$119,Ingot!$G$12:$G$119,"")</f>
        <v>Metal</v>
      </c>
      <c r="B1698" t="s">
        <v>3360</v>
      </c>
      <c r="C1698" t="s">
        <v>10</v>
      </c>
      <c r="D1698" t="s">
        <v>3487</v>
      </c>
      <c r="E1698" t="s">
        <v>3488</v>
      </c>
      <c r="G1698">
        <v>4.8899999999999997</v>
      </c>
    </row>
    <row r="1699" spans="1:7" ht="14.25" customHeight="1" x14ac:dyDescent="0.45">
      <c r="A1699" t="str">
        <f>_xlfn.XLOOKUP(B1699,Ingot!$H$12:$H$119,Ingot!$G$12:$G$119,"")</f>
        <v>Metal</v>
      </c>
      <c r="B1699" t="s">
        <v>3360</v>
      </c>
      <c r="C1699" t="s">
        <v>10</v>
      </c>
      <c r="D1699" t="s">
        <v>3445</v>
      </c>
      <c r="E1699" t="s">
        <v>3446</v>
      </c>
      <c r="G1699">
        <v>4.88</v>
      </c>
    </row>
    <row r="1700" spans="1:7" ht="14.25" customHeight="1" x14ac:dyDescent="0.45">
      <c r="A1700" t="str">
        <f>_xlfn.XLOOKUP(B1700,Ingot!$H$12:$H$119,Ingot!$G$12:$G$119,"")</f>
        <v>Metal</v>
      </c>
      <c r="B1700" t="s">
        <v>3360</v>
      </c>
      <c r="C1700" t="s">
        <v>10</v>
      </c>
      <c r="D1700" t="s">
        <v>3505</v>
      </c>
      <c r="E1700" t="s">
        <v>3506</v>
      </c>
      <c r="G1700">
        <v>4.41</v>
      </c>
    </row>
    <row r="1701" spans="1:7" ht="14.25" customHeight="1" x14ac:dyDescent="0.45">
      <c r="A1701" t="str">
        <f>_xlfn.XLOOKUP(B1701,Ingot!$H$12:$H$119,Ingot!$G$12:$G$119,"")</f>
        <v>Metal</v>
      </c>
      <c r="B1701" t="s">
        <v>3360</v>
      </c>
      <c r="C1701" t="s">
        <v>10</v>
      </c>
      <c r="D1701" t="s">
        <v>3381</v>
      </c>
      <c r="E1701" t="s">
        <v>3382</v>
      </c>
      <c r="G1701">
        <v>3.96</v>
      </c>
    </row>
    <row r="1702" spans="1:7" ht="14.25" customHeight="1" x14ac:dyDescent="0.45">
      <c r="A1702" t="str">
        <f>_xlfn.XLOOKUP(B1702,Ingot!$H$12:$H$119,Ingot!$G$12:$G$119,"")</f>
        <v>Metal</v>
      </c>
      <c r="B1702" t="s">
        <v>3360</v>
      </c>
      <c r="C1702" t="s">
        <v>10</v>
      </c>
      <c r="D1702" t="s">
        <v>3397</v>
      </c>
      <c r="E1702" t="s">
        <v>3398</v>
      </c>
      <c r="G1702">
        <v>3.64</v>
      </c>
    </row>
    <row r="1703" spans="1:7" ht="14.25" customHeight="1" x14ac:dyDescent="0.45">
      <c r="A1703" t="str">
        <f>_xlfn.XLOOKUP(B1703,Ingot!$H$12:$H$119,Ingot!$G$12:$G$119,"")</f>
        <v>Metal</v>
      </c>
      <c r="B1703" t="s">
        <v>3360</v>
      </c>
      <c r="C1703" t="s">
        <v>10</v>
      </c>
      <c r="D1703" t="s">
        <v>3497</v>
      </c>
      <c r="E1703" t="s">
        <v>3498</v>
      </c>
      <c r="G1703">
        <v>3.56</v>
      </c>
    </row>
    <row r="1704" spans="1:7" ht="14.25" customHeight="1" x14ac:dyDescent="0.45">
      <c r="A1704" t="str">
        <f>_xlfn.XLOOKUP(B1704,Ingot!$H$12:$H$119,Ingot!$G$12:$G$119,"")</f>
        <v>Metal</v>
      </c>
      <c r="B1704" t="s">
        <v>3360</v>
      </c>
      <c r="C1704" t="s">
        <v>10</v>
      </c>
      <c r="D1704" t="s">
        <v>3385</v>
      </c>
      <c r="E1704" t="s">
        <v>3386</v>
      </c>
      <c r="G1704">
        <v>3.5</v>
      </c>
    </row>
    <row r="1705" spans="1:7" ht="14.25" customHeight="1" x14ac:dyDescent="0.45">
      <c r="A1705" t="str">
        <f>_xlfn.XLOOKUP(B1705,Ingot!$H$12:$H$119,Ingot!$G$12:$G$119,"")</f>
        <v>Metal</v>
      </c>
      <c r="B1705" t="s">
        <v>3360</v>
      </c>
      <c r="C1705" t="s">
        <v>10</v>
      </c>
      <c r="D1705" t="s">
        <v>3367</v>
      </c>
      <c r="E1705" t="s">
        <v>3368</v>
      </c>
      <c r="G1705">
        <v>3.3</v>
      </c>
    </row>
    <row r="1706" spans="1:7" ht="14.25" customHeight="1" x14ac:dyDescent="0.45">
      <c r="A1706" t="str">
        <f>_xlfn.XLOOKUP(B1706,Ingot!$H$12:$H$119,Ingot!$G$12:$G$119,"")</f>
        <v>Metal</v>
      </c>
      <c r="B1706" t="s">
        <v>3360</v>
      </c>
      <c r="C1706" t="s">
        <v>10</v>
      </c>
      <c r="D1706" t="s">
        <v>3483</v>
      </c>
      <c r="E1706" t="s">
        <v>3484</v>
      </c>
      <c r="G1706">
        <v>3.21</v>
      </c>
    </row>
    <row r="1707" spans="1:7" ht="14.25" customHeight="1" x14ac:dyDescent="0.45">
      <c r="A1707" t="str">
        <f>_xlfn.XLOOKUP(B1707,Ingot!$H$12:$H$119,Ingot!$G$12:$G$119,"")</f>
        <v>Metal</v>
      </c>
      <c r="B1707" t="s">
        <v>3360</v>
      </c>
      <c r="C1707" t="s">
        <v>10</v>
      </c>
      <c r="D1707" t="s">
        <v>3475</v>
      </c>
      <c r="E1707" t="s">
        <v>3476</v>
      </c>
      <c r="G1707">
        <v>3.11</v>
      </c>
    </row>
    <row r="1708" spans="1:7" ht="14.25" customHeight="1" x14ac:dyDescent="0.45">
      <c r="A1708" t="str">
        <f>_xlfn.XLOOKUP(B1708,Ingot!$H$12:$H$119,Ingot!$G$12:$G$119,"")</f>
        <v>Metal</v>
      </c>
      <c r="B1708" t="s">
        <v>3360</v>
      </c>
      <c r="C1708" t="s">
        <v>10</v>
      </c>
      <c r="D1708" t="s">
        <v>3441</v>
      </c>
      <c r="E1708" t="s">
        <v>3442</v>
      </c>
      <c r="G1708">
        <v>3.09</v>
      </c>
    </row>
    <row r="1709" spans="1:7" ht="14.25" customHeight="1" x14ac:dyDescent="0.45">
      <c r="A1709" t="str">
        <f>_xlfn.XLOOKUP(B1709,Ingot!$H$12:$H$119,Ingot!$G$12:$G$119,"")</f>
        <v>Metal</v>
      </c>
      <c r="B1709" t="s">
        <v>3360</v>
      </c>
      <c r="C1709" t="s">
        <v>10</v>
      </c>
      <c r="D1709" t="s">
        <v>3485</v>
      </c>
      <c r="E1709" t="s">
        <v>3486</v>
      </c>
      <c r="G1709">
        <v>2.77</v>
      </c>
    </row>
    <row r="1710" spans="1:7" ht="14.25" customHeight="1" x14ac:dyDescent="0.45">
      <c r="A1710" t="str">
        <f>_xlfn.XLOOKUP(B1710,Ingot!$H$12:$H$119,Ingot!$G$12:$G$119,"")</f>
        <v>Metal</v>
      </c>
      <c r="B1710" t="s">
        <v>3360</v>
      </c>
      <c r="C1710" t="s">
        <v>10</v>
      </c>
      <c r="D1710" t="s">
        <v>3401</v>
      </c>
      <c r="E1710" t="s">
        <v>3402</v>
      </c>
      <c r="G1710">
        <v>2.65</v>
      </c>
    </row>
    <row r="1711" spans="1:7" ht="14.25" customHeight="1" x14ac:dyDescent="0.45">
      <c r="A1711" t="str">
        <f>_xlfn.XLOOKUP(B1711,Ingot!$H$12:$H$119,Ingot!$G$12:$G$119,"")</f>
        <v>Metal</v>
      </c>
      <c r="B1711" t="s">
        <v>3360</v>
      </c>
      <c r="C1711" t="s">
        <v>10</v>
      </c>
      <c r="D1711" t="s">
        <v>3429</v>
      </c>
      <c r="E1711" t="s">
        <v>3430</v>
      </c>
      <c r="G1711">
        <v>2.65</v>
      </c>
    </row>
    <row r="1712" spans="1:7" ht="14.25" customHeight="1" x14ac:dyDescent="0.45">
      <c r="A1712" t="str">
        <f>_xlfn.XLOOKUP(B1712,Ingot!$H$12:$H$119,Ingot!$G$12:$G$119,"")</f>
        <v>Metal</v>
      </c>
      <c r="B1712" t="s">
        <v>3360</v>
      </c>
      <c r="C1712" t="s">
        <v>10</v>
      </c>
      <c r="D1712" t="s">
        <v>3469</v>
      </c>
      <c r="E1712" t="s">
        <v>3470</v>
      </c>
      <c r="G1712">
        <v>2.44</v>
      </c>
    </row>
    <row r="1713" spans="1:7" ht="14.25" customHeight="1" x14ac:dyDescent="0.45">
      <c r="A1713" t="str">
        <f>_xlfn.XLOOKUP(B1713,Ingot!$H$12:$H$119,Ingot!$G$12:$G$119,"")</f>
        <v>Metal</v>
      </c>
      <c r="B1713" t="s">
        <v>3360</v>
      </c>
      <c r="C1713" t="s">
        <v>10</v>
      </c>
      <c r="D1713" t="s">
        <v>3477</v>
      </c>
      <c r="E1713" t="s">
        <v>3478</v>
      </c>
      <c r="G1713">
        <v>2.44</v>
      </c>
    </row>
    <row r="1714" spans="1:7" ht="14.25" customHeight="1" x14ac:dyDescent="0.45">
      <c r="A1714" t="str">
        <f>_xlfn.XLOOKUP(B1714,Ingot!$H$12:$H$119,Ingot!$G$12:$G$119,"")</f>
        <v>Metal</v>
      </c>
      <c r="B1714" t="s">
        <v>3360</v>
      </c>
      <c r="C1714" t="s">
        <v>10</v>
      </c>
      <c r="D1714" t="s">
        <v>3461</v>
      </c>
      <c r="E1714" t="s">
        <v>3462</v>
      </c>
      <c r="G1714">
        <v>2.4300000000000002</v>
      </c>
    </row>
    <row r="1715" spans="1:7" ht="14.25" customHeight="1" x14ac:dyDescent="0.45">
      <c r="A1715" t="str">
        <f>_xlfn.XLOOKUP(B1715,Ingot!$H$12:$H$119,Ingot!$G$12:$G$119,"")</f>
        <v>Metal</v>
      </c>
      <c r="B1715" t="s">
        <v>3360</v>
      </c>
      <c r="C1715" t="s">
        <v>10</v>
      </c>
      <c r="D1715" t="s">
        <v>3443</v>
      </c>
      <c r="E1715" t="s">
        <v>3444</v>
      </c>
      <c r="G1715">
        <v>2.2999999999999998</v>
      </c>
    </row>
    <row r="1716" spans="1:7" ht="14.25" customHeight="1" x14ac:dyDescent="0.45">
      <c r="A1716" t="str">
        <f>_xlfn.XLOOKUP(B1716,Ingot!$H$12:$H$119,Ingot!$G$12:$G$119,"")</f>
        <v>Metal</v>
      </c>
      <c r="B1716" t="s">
        <v>3360</v>
      </c>
      <c r="C1716" t="s">
        <v>10</v>
      </c>
      <c r="D1716" t="s">
        <v>3389</v>
      </c>
      <c r="E1716" t="s">
        <v>3390</v>
      </c>
      <c r="G1716">
        <v>2.2000000000000002</v>
      </c>
    </row>
    <row r="1717" spans="1:7" ht="14.25" customHeight="1" x14ac:dyDescent="0.45">
      <c r="A1717" t="str">
        <f>_xlfn.XLOOKUP(B1717,Ingot!$H$12:$H$119,Ingot!$G$12:$G$119,"")</f>
        <v>Metal</v>
      </c>
      <c r="B1717" t="s">
        <v>3360</v>
      </c>
      <c r="C1717" t="s">
        <v>10</v>
      </c>
      <c r="D1717" t="s">
        <v>3439</v>
      </c>
      <c r="E1717" t="s">
        <v>3440</v>
      </c>
      <c r="G1717">
        <v>2.2000000000000002</v>
      </c>
    </row>
    <row r="1718" spans="1:7" ht="14.25" customHeight="1" x14ac:dyDescent="0.45">
      <c r="A1718" t="str">
        <f>_xlfn.XLOOKUP(B1718,Ingot!$H$12:$H$119,Ingot!$G$12:$G$119,"")</f>
        <v>Metal</v>
      </c>
      <c r="B1718" t="s">
        <v>3360</v>
      </c>
      <c r="C1718" t="s">
        <v>10</v>
      </c>
      <c r="D1718" t="s">
        <v>3489</v>
      </c>
      <c r="E1718" t="s">
        <v>3490</v>
      </c>
      <c r="G1718">
        <v>1.76</v>
      </c>
    </row>
    <row r="1719" spans="1:7" ht="14.25" customHeight="1" x14ac:dyDescent="0.45">
      <c r="A1719" t="str">
        <f>_xlfn.XLOOKUP(B1719,Ingot!$H$12:$H$119,Ingot!$G$12:$G$119,"")</f>
        <v>Metal</v>
      </c>
      <c r="B1719" t="s">
        <v>3360</v>
      </c>
      <c r="C1719" t="s">
        <v>10</v>
      </c>
      <c r="D1719" t="s">
        <v>3391</v>
      </c>
      <c r="E1719" t="s">
        <v>3392</v>
      </c>
      <c r="G1719">
        <v>1.1000000000000001</v>
      </c>
    </row>
    <row r="1720" spans="1:7" ht="14.25" customHeight="1" x14ac:dyDescent="0.45">
      <c r="A1720" t="str">
        <f>_xlfn.XLOOKUP(B1720,Ingot!$H$12:$H$119,Ingot!$G$12:$G$119,"")</f>
        <v>Metal</v>
      </c>
      <c r="B1720" t="s">
        <v>3360</v>
      </c>
      <c r="C1720" t="s">
        <v>10</v>
      </c>
      <c r="D1720" t="s">
        <v>3369</v>
      </c>
      <c r="E1720" t="s">
        <v>3370</v>
      </c>
      <c r="G1720">
        <v>0.66</v>
      </c>
    </row>
    <row r="1721" spans="1:7" ht="14.25" customHeight="1" x14ac:dyDescent="0.45">
      <c r="A1721" t="str">
        <f>_xlfn.XLOOKUP(B1721,Ingot!$H$12:$H$119,Ingot!$G$12:$G$119,"")</f>
        <v>Metal</v>
      </c>
      <c r="B1721" t="s">
        <v>3360</v>
      </c>
      <c r="C1721" t="s">
        <v>10</v>
      </c>
      <c r="D1721" t="s">
        <v>3379</v>
      </c>
      <c r="E1721" t="s">
        <v>3380</v>
      </c>
      <c r="G1721">
        <v>0.66</v>
      </c>
    </row>
    <row r="1722" spans="1:7" ht="14.25" customHeight="1" x14ac:dyDescent="0.45">
      <c r="A1722" t="str">
        <f>_xlfn.XLOOKUP(B1722,Ingot!$H$12:$H$119,Ingot!$G$12:$G$119,"")</f>
        <v>Metal</v>
      </c>
      <c r="B1722" t="s">
        <v>3360</v>
      </c>
      <c r="C1722" t="s">
        <v>10</v>
      </c>
      <c r="D1722" t="s">
        <v>3373</v>
      </c>
      <c r="E1722" t="s">
        <v>3374</v>
      </c>
      <c r="G1722">
        <v>0.33</v>
      </c>
    </row>
    <row r="1723" spans="1:7" ht="14.25" customHeight="1" x14ac:dyDescent="0.45">
      <c r="A1723" t="str">
        <f>_xlfn.XLOOKUP(B1723,Ingot!$H$12:$H$119,Ingot!$G$12:$G$119,"")</f>
        <v>Metal</v>
      </c>
      <c r="B1723" t="s">
        <v>3360</v>
      </c>
      <c r="C1723" t="s">
        <v>10</v>
      </c>
      <c r="D1723" t="s">
        <v>3393</v>
      </c>
      <c r="E1723" t="s">
        <v>3394</v>
      </c>
      <c r="G1723">
        <v>0.22</v>
      </c>
    </row>
    <row r="1724" spans="1:7" ht="14.25" customHeight="1" x14ac:dyDescent="0.45">
      <c r="A1724" t="str">
        <f>_xlfn.XLOOKUP(B1724,Ingot!$H$12:$H$119,Ingot!$G$12:$G$119,"")</f>
        <v>Metal</v>
      </c>
      <c r="B1724" t="s">
        <v>3360</v>
      </c>
      <c r="C1724" t="s">
        <v>10</v>
      </c>
      <c r="D1724" t="s">
        <v>3361</v>
      </c>
      <c r="E1724" t="s">
        <v>3362</v>
      </c>
      <c r="G1724">
        <v>0.08</v>
      </c>
    </row>
    <row r="1725" spans="1:7" ht="14.25" customHeight="1" x14ac:dyDescent="0.45">
      <c r="A1725" t="str">
        <f>_xlfn.XLOOKUP(B1725,Ingot!$H$12:$H$119,Ingot!$G$12:$G$119,"")</f>
        <v>Metal</v>
      </c>
      <c r="B1725" t="s">
        <v>3360</v>
      </c>
      <c r="C1725" t="s">
        <v>10</v>
      </c>
      <c r="D1725" t="s">
        <v>3377</v>
      </c>
      <c r="E1725" t="s">
        <v>3378</v>
      </c>
      <c r="G1725">
        <v>0.05</v>
      </c>
    </row>
    <row r="1726" spans="1:7" ht="14.25" customHeight="1" x14ac:dyDescent="0.45">
      <c r="A1726" t="str">
        <f>_xlfn.XLOOKUP(B1726,Ingot!$H$12:$H$119,Ingot!$G$12:$G$119,"")</f>
        <v>Metal</v>
      </c>
      <c r="B1726" t="s">
        <v>3360</v>
      </c>
      <c r="C1726" t="s">
        <v>10</v>
      </c>
      <c r="D1726" t="s">
        <v>3371</v>
      </c>
      <c r="E1726" t="s">
        <v>3372</v>
      </c>
      <c r="G1726">
        <v>0.04</v>
      </c>
    </row>
    <row r="1727" spans="1:7" ht="14.25" customHeight="1" x14ac:dyDescent="0.45">
      <c r="A1727" t="str">
        <f>_xlfn.XLOOKUP(B1727,Ingot!$H$12:$H$119,Ingot!$G$12:$G$119,"")</f>
        <v>Metal</v>
      </c>
      <c r="B1727" t="s">
        <v>3360</v>
      </c>
      <c r="C1727" t="s">
        <v>10</v>
      </c>
      <c r="D1727" t="s">
        <v>3375</v>
      </c>
      <c r="E1727" t="s">
        <v>3376</v>
      </c>
    </row>
    <row r="1728" spans="1:7" ht="14.25" customHeight="1" x14ac:dyDescent="0.45">
      <c r="A1728" t="str">
        <f>_xlfn.XLOOKUP(B1728,Ingot!$H$12:$H$119,Ingot!$G$12:$G$119,"")</f>
        <v>Metal</v>
      </c>
      <c r="B1728" t="s">
        <v>3360</v>
      </c>
      <c r="C1728" t="s">
        <v>10</v>
      </c>
      <c r="D1728" t="s">
        <v>3387</v>
      </c>
      <c r="E1728" t="s">
        <v>3388</v>
      </c>
    </row>
    <row r="1729" spans="1:7" ht="14.25" customHeight="1" x14ac:dyDescent="0.45">
      <c r="A1729" t="str">
        <f>_xlfn.XLOOKUP(B1729,Ingot!$H$12:$H$119,Ingot!$G$12:$G$119,"")</f>
        <v>Metal</v>
      </c>
      <c r="B1729" t="s">
        <v>3360</v>
      </c>
      <c r="C1729" t="s">
        <v>10</v>
      </c>
      <c r="D1729" t="s">
        <v>3411</v>
      </c>
      <c r="E1729" t="s">
        <v>3412</v>
      </c>
    </row>
    <row r="1730" spans="1:7" ht="14.25" customHeight="1" x14ac:dyDescent="0.45">
      <c r="A1730" t="str">
        <f>_xlfn.XLOOKUP(B1730,Ingot!$H$12:$H$119,Ingot!$G$12:$G$119,"")</f>
        <v>Metal</v>
      </c>
      <c r="B1730" t="s">
        <v>3360</v>
      </c>
      <c r="C1730" t="s">
        <v>10</v>
      </c>
      <c r="D1730" t="s">
        <v>3417</v>
      </c>
      <c r="E1730" t="s">
        <v>3418</v>
      </c>
    </row>
    <row r="1731" spans="1:7" ht="14.25" customHeight="1" x14ac:dyDescent="0.45">
      <c r="A1731" t="str">
        <f>_xlfn.XLOOKUP(B1731,Ingot!$H$12:$H$119,Ingot!$G$12:$G$119,"")</f>
        <v>Metal</v>
      </c>
      <c r="B1731" t="s">
        <v>3360</v>
      </c>
      <c r="C1731" t="s">
        <v>10</v>
      </c>
      <c r="D1731" t="s">
        <v>3427</v>
      </c>
      <c r="E1731" t="s">
        <v>3428</v>
      </c>
    </row>
    <row r="1732" spans="1:7" ht="14.25" customHeight="1" x14ac:dyDescent="0.45">
      <c r="A1732" t="str">
        <f>_xlfn.XLOOKUP(B1732,Ingot!$H$12:$H$119,Ingot!$G$12:$G$119,"")</f>
        <v>Metal</v>
      </c>
      <c r="B1732" t="s">
        <v>3360</v>
      </c>
      <c r="C1732" t="s">
        <v>10</v>
      </c>
      <c r="D1732" t="s">
        <v>3431</v>
      </c>
      <c r="E1732" t="s">
        <v>3432</v>
      </c>
    </row>
    <row r="1733" spans="1:7" ht="14.25" customHeight="1" x14ac:dyDescent="0.45">
      <c r="A1733" t="str">
        <f>_xlfn.XLOOKUP(B1733,Ingot!$H$12:$H$119,Ingot!$G$12:$G$119,"")</f>
        <v>Metal</v>
      </c>
      <c r="B1733" t="s">
        <v>3360</v>
      </c>
      <c r="C1733" t="s">
        <v>10</v>
      </c>
      <c r="D1733" t="s">
        <v>3447</v>
      </c>
      <c r="E1733" t="s">
        <v>3448</v>
      </c>
    </row>
    <row r="1734" spans="1:7" ht="14.25" customHeight="1" x14ac:dyDescent="0.45">
      <c r="A1734" t="str">
        <f>_xlfn.XLOOKUP(B1734,Ingot!$H$12:$H$119,Ingot!$G$12:$G$119,"")</f>
        <v>Metal</v>
      </c>
      <c r="B1734" t="s">
        <v>3360</v>
      </c>
      <c r="C1734" t="s">
        <v>10</v>
      </c>
      <c r="D1734" t="s">
        <v>3451</v>
      </c>
      <c r="E1734" t="s">
        <v>3452</v>
      </c>
    </row>
    <row r="1735" spans="1:7" ht="14.25" customHeight="1" x14ac:dyDescent="0.45">
      <c r="A1735" t="str">
        <f>_xlfn.XLOOKUP(B1735,Ingot!$H$12:$H$119,Ingot!$G$12:$G$119,"")</f>
        <v>Metal</v>
      </c>
      <c r="B1735" t="s">
        <v>3360</v>
      </c>
      <c r="C1735" t="s">
        <v>10</v>
      </c>
      <c r="D1735" t="s">
        <v>3453</v>
      </c>
      <c r="E1735" t="s">
        <v>3454</v>
      </c>
    </row>
    <row r="1736" spans="1:7" ht="14.25" customHeight="1" x14ac:dyDescent="0.45">
      <c r="A1736" t="str">
        <f>_xlfn.XLOOKUP(B1736,Ingot!$H$12:$H$119,Ingot!$G$12:$G$119,"")</f>
        <v>Metal</v>
      </c>
      <c r="B1736" t="s">
        <v>3360</v>
      </c>
      <c r="C1736" t="s">
        <v>10</v>
      </c>
      <c r="D1736" t="s">
        <v>3471</v>
      </c>
      <c r="E1736" t="s">
        <v>3472</v>
      </c>
    </row>
    <row r="1737" spans="1:7" ht="14.25" customHeight="1" x14ac:dyDescent="0.45">
      <c r="A1737" t="str">
        <f>_xlfn.XLOOKUP(B1737,Ingot!$H$12:$H$119,Ingot!$G$12:$G$119,"")</f>
        <v>Metal</v>
      </c>
      <c r="B1737" t="s">
        <v>3360</v>
      </c>
      <c r="C1737" t="s">
        <v>10</v>
      </c>
      <c r="D1737" t="s">
        <v>3473</v>
      </c>
      <c r="E1737" t="s">
        <v>3474</v>
      </c>
    </row>
    <row r="1738" spans="1:7" ht="14.25" customHeight="1" x14ac:dyDescent="0.45">
      <c r="A1738" t="str">
        <f>_xlfn.XLOOKUP(B1738,Ingot!$H$12:$H$119,Ingot!$G$12:$G$119,"")</f>
        <v>Metal</v>
      </c>
      <c r="B1738" t="s">
        <v>3360</v>
      </c>
      <c r="C1738" t="s">
        <v>10</v>
      </c>
      <c r="D1738" t="s">
        <v>3481</v>
      </c>
      <c r="E1738" t="s">
        <v>3482</v>
      </c>
    </row>
    <row r="1739" spans="1:7" ht="14.25" customHeight="1" x14ac:dyDescent="0.45">
      <c r="A1739" t="str">
        <f>_xlfn.XLOOKUP(B1739,Ingot!$H$12:$H$119,Ingot!$G$12:$G$119,"")</f>
        <v>Metal</v>
      </c>
      <c r="B1739" t="s">
        <v>3360</v>
      </c>
      <c r="C1739" t="s">
        <v>10</v>
      </c>
      <c r="D1739" t="s">
        <v>3491</v>
      </c>
      <c r="E1739" t="s">
        <v>3492</v>
      </c>
    </row>
    <row r="1740" spans="1:7" ht="14.25" customHeight="1" x14ac:dyDescent="0.45">
      <c r="A1740" t="str">
        <f>_xlfn.XLOOKUP(B1740,Ingot!$H$12:$H$119,Ingot!$G$12:$G$119,"")</f>
        <v>Metal</v>
      </c>
      <c r="B1740" t="s">
        <v>3360</v>
      </c>
      <c r="C1740" t="s">
        <v>10</v>
      </c>
      <c r="D1740" t="s">
        <v>3495</v>
      </c>
      <c r="E1740" t="s">
        <v>3496</v>
      </c>
    </row>
    <row r="1741" spans="1:7" ht="14.25" customHeight="1" x14ac:dyDescent="0.45">
      <c r="A1741" t="str">
        <f>_xlfn.XLOOKUP(B1741,Ingot!$H$12:$H$119,Ingot!$G$12:$G$119,"")</f>
        <v>Metal</v>
      </c>
      <c r="B1741" t="s">
        <v>3360</v>
      </c>
      <c r="C1741" t="s">
        <v>157</v>
      </c>
      <c r="D1741" t="s">
        <v>3507</v>
      </c>
      <c r="E1741" t="s">
        <v>3508</v>
      </c>
      <c r="G1741" s="1">
        <v>35</v>
      </c>
    </row>
    <row r="1742" spans="1:7" ht="14.25" customHeight="1" x14ac:dyDescent="0.45">
      <c r="A1742" t="str">
        <f>_xlfn.XLOOKUP(B1742,Ingot!$H$12:$H$119,Ingot!$G$12:$G$119,"")</f>
        <v>Metal</v>
      </c>
      <c r="B1742" t="s">
        <v>3360</v>
      </c>
      <c r="C1742" t="s">
        <v>157</v>
      </c>
      <c r="D1742" t="s">
        <v>3509</v>
      </c>
      <c r="E1742" t="s">
        <v>3510</v>
      </c>
      <c r="G1742" s="1">
        <v>7</v>
      </c>
    </row>
    <row r="1743" spans="1:7" ht="14.25" customHeight="1" x14ac:dyDescent="0.45">
      <c r="A1743" t="str">
        <f>_xlfn.XLOOKUP(B1743,Ingot!$H$12:$H$119,Ingot!$G$12:$G$119,"")</f>
        <v>Metal</v>
      </c>
      <c r="B1743" t="s">
        <v>3360</v>
      </c>
      <c r="C1743" t="s">
        <v>157</v>
      </c>
      <c r="D1743" t="s">
        <v>3511</v>
      </c>
      <c r="E1743" t="s">
        <v>3512</v>
      </c>
      <c r="G1743" s="1">
        <v>7</v>
      </c>
    </row>
    <row r="1744" spans="1:7" ht="14.25" customHeight="1" x14ac:dyDescent="0.45">
      <c r="A1744" t="str">
        <f>_xlfn.XLOOKUP(B1744,Ingot!$H$12:$H$119,Ingot!$G$12:$G$119,"")</f>
        <v>Metal</v>
      </c>
      <c r="B1744" t="s">
        <v>3360</v>
      </c>
      <c r="C1744" t="s">
        <v>157</v>
      </c>
      <c r="D1744" t="s">
        <v>3513</v>
      </c>
      <c r="E1744" t="s">
        <v>3514</v>
      </c>
      <c r="G1744" s="1">
        <v>5</v>
      </c>
    </row>
    <row r="1745" spans="1:7" ht="14.25" customHeight="1" x14ac:dyDescent="0.45">
      <c r="A1745" t="str">
        <f>_xlfn.XLOOKUP(B1745,Ingot!$H$12:$H$119,Ingot!$G$12:$G$119,"")</f>
        <v>Metal</v>
      </c>
      <c r="B1745" t="s">
        <v>3360</v>
      </c>
      <c r="C1745" t="s">
        <v>157</v>
      </c>
      <c r="D1745" t="s">
        <v>3515</v>
      </c>
      <c r="E1745" t="s">
        <v>3516</v>
      </c>
      <c r="G1745" s="1">
        <v>10</v>
      </c>
    </row>
    <row r="1746" spans="1:7" ht="14.25" customHeight="1" x14ac:dyDescent="0.45">
      <c r="A1746" t="str">
        <f>_xlfn.XLOOKUP(B1746,Ingot!$H$12:$H$119,Ingot!$G$12:$G$119,"")</f>
        <v>Metal</v>
      </c>
      <c r="B1746" t="s">
        <v>3360</v>
      </c>
      <c r="C1746" t="s">
        <v>157</v>
      </c>
      <c r="D1746" t="s">
        <v>3517</v>
      </c>
      <c r="E1746" t="s">
        <v>3518</v>
      </c>
      <c r="G1746" s="1">
        <v>29.5</v>
      </c>
    </row>
    <row r="1747" spans="1:7" ht="14.25" customHeight="1" x14ac:dyDescent="0.45">
      <c r="A1747" t="str">
        <f>_xlfn.XLOOKUP(B1747,Ingot!$H$12:$H$119,Ingot!$G$12:$G$119,"")</f>
        <v>Metal</v>
      </c>
      <c r="B1747" t="s">
        <v>3360</v>
      </c>
      <c r="C1747" t="s">
        <v>157</v>
      </c>
      <c r="D1747" t="s">
        <v>3519</v>
      </c>
      <c r="E1747" t="s">
        <v>3520</v>
      </c>
      <c r="G1747" s="1">
        <v>5.9</v>
      </c>
    </row>
    <row r="1748" spans="1:7" ht="14.25" customHeight="1" x14ac:dyDescent="0.45">
      <c r="A1748" t="str">
        <f>_xlfn.XLOOKUP(B1748,Ingot!$H$12:$H$119,Ingot!$G$12:$G$119,"")</f>
        <v>Metal</v>
      </c>
      <c r="B1748" t="s">
        <v>3360</v>
      </c>
      <c r="C1748" t="s">
        <v>157</v>
      </c>
      <c r="D1748" t="s">
        <v>3521</v>
      </c>
      <c r="E1748" t="s">
        <v>3522</v>
      </c>
      <c r="G1748" s="1">
        <v>5.9</v>
      </c>
    </row>
    <row r="1749" spans="1:7" ht="14.25" customHeight="1" x14ac:dyDescent="0.45">
      <c r="A1749" t="str">
        <f>_xlfn.XLOOKUP(B1749,Ingot!$H$12:$H$119,Ingot!$G$12:$G$119,"")</f>
        <v>Metal</v>
      </c>
      <c r="B1749" t="s">
        <v>3360</v>
      </c>
      <c r="C1749" t="s">
        <v>157</v>
      </c>
      <c r="D1749" t="s">
        <v>3523</v>
      </c>
      <c r="E1749" t="s">
        <v>3524</v>
      </c>
      <c r="G1749" s="1">
        <v>5</v>
      </c>
    </row>
    <row r="1750" spans="1:7" ht="14.25" customHeight="1" x14ac:dyDescent="0.45">
      <c r="A1750" t="str">
        <f>_xlfn.XLOOKUP(B1750,Ingot!$H$12:$H$119,Ingot!$G$12:$G$119,"")</f>
        <v>Metal</v>
      </c>
      <c r="B1750" t="s">
        <v>3360</v>
      </c>
      <c r="C1750" t="s">
        <v>157</v>
      </c>
      <c r="D1750" t="s">
        <v>3525</v>
      </c>
      <c r="E1750" t="s">
        <v>3526</v>
      </c>
      <c r="G1750" s="1">
        <v>10</v>
      </c>
    </row>
    <row r="1751" spans="1:7" ht="14.25" customHeight="1" x14ac:dyDescent="0.45">
      <c r="A1751" t="str">
        <f>_xlfn.XLOOKUP(B1751,Ingot!$H$12:$H$119,Ingot!$G$12:$G$119,"")</f>
        <v>Metal</v>
      </c>
      <c r="B1751" t="s">
        <v>3360</v>
      </c>
      <c r="C1751" t="s">
        <v>157</v>
      </c>
      <c r="D1751" t="s">
        <v>3527</v>
      </c>
      <c r="E1751" t="s">
        <v>3528</v>
      </c>
      <c r="G1751" s="1">
        <v>28.5</v>
      </c>
    </row>
    <row r="1752" spans="1:7" ht="14.25" customHeight="1" x14ac:dyDescent="0.45">
      <c r="A1752" t="str">
        <f>_xlfn.XLOOKUP(B1752,Ingot!$H$12:$H$119,Ingot!$G$12:$G$119,"")</f>
        <v>Metal</v>
      </c>
      <c r="B1752" t="s">
        <v>3360</v>
      </c>
      <c r="C1752" t="s">
        <v>157</v>
      </c>
      <c r="D1752" t="s">
        <v>3529</v>
      </c>
      <c r="E1752" t="s">
        <v>3530</v>
      </c>
      <c r="G1752" s="1">
        <v>5.7</v>
      </c>
    </row>
    <row r="1753" spans="1:7" ht="14.25" customHeight="1" x14ac:dyDescent="0.45">
      <c r="A1753" t="str">
        <f>_xlfn.XLOOKUP(B1753,Ingot!$H$12:$H$119,Ingot!$G$12:$G$119,"")</f>
        <v>Metal</v>
      </c>
      <c r="B1753" t="s">
        <v>3360</v>
      </c>
      <c r="C1753" t="s">
        <v>157</v>
      </c>
      <c r="D1753" t="s">
        <v>3531</v>
      </c>
      <c r="E1753" t="s">
        <v>3532</v>
      </c>
      <c r="G1753" s="1">
        <v>5.7</v>
      </c>
    </row>
    <row r="1754" spans="1:7" ht="14.25" customHeight="1" x14ac:dyDescent="0.45">
      <c r="A1754" t="str">
        <f>_xlfn.XLOOKUP(B1754,Ingot!$H$12:$H$119,Ingot!$G$12:$G$119,"")</f>
        <v>Metal</v>
      </c>
      <c r="B1754" t="s">
        <v>3360</v>
      </c>
      <c r="C1754" t="s">
        <v>157</v>
      </c>
      <c r="D1754" t="s">
        <v>3533</v>
      </c>
      <c r="E1754" t="s">
        <v>3534</v>
      </c>
      <c r="G1754" s="1">
        <v>5</v>
      </c>
    </row>
    <row r="1755" spans="1:7" ht="14.25" customHeight="1" x14ac:dyDescent="0.45">
      <c r="A1755" t="str">
        <f>_xlfn.XLOOKUP(B1755,Ingot!$H$12:$H$119,Ingot!$G$12:$G$119,"")</f>
        <v>Metal</v>
      </c>
      <c r="B1755" t="s">
        <v>3360</v>
      </c>
      <c r="C1755" t="s">
        <v>157</v>
      </c>
      <c r="D1755" t="s">
        <v>3535</v>
      </c>
      <c r="E1755" t="s">
        <v>3536</v>
      </c>
      <c r="G1755" s="1">
        <v>10</v>
      </c>
    </row>
    <row r="1756" spans="1:7" ht="14.25" customHeight="1" x14ac:dyDescent="0.45">
      <c r="A1756" t="str">
        <f>_xlfn.XLOOKUP(B1756,Ingot!$H$12:$H$119,Ingot!$G$12:$G$119,"")</f>
        <v>Metal</v>
      </c>
      <c r="B1756" t="s">
        <v>3360</v>
      </c>
      <c r="C1756" t="s">
        <v>157</v>
      </c>
      <c r="D1756" t="s">
        <v>3537</v>
      </c>
      <c r="E1756" t="s">
        <v>3538</v>
      </c>
      <c r="G1756" s="1">
        <v>31</v>
      </c>
    </row>
    <row r="1757" spans="1:7" ht="14.25" customHeight="1" x14ac:dyDescent="0.45">
      <c r="A1757" t="str">
        <f>_xlfn.XLOOKUP(B1757,Ingot!$H$12:$H$119,Ingot!$G$12:$G$119,"")</f>
        <v>Metal</v>
      </c>
      <c r="B1757" t="s">
        <v>3360</v>
      </c>
      <c r="C1757" t="s">
        <v>157</v>
      </c>
      <c r="D1757" t="s">
        <v>3539</v>
      </c>
      <c r="E1757" t="s">
        <v>3540</v>
      </c>
      <c r="G1757" s="1">
        <v>6.2</v>
      </c>
    </row>
    <row r="1758" spans="1:7" ht="14.25" customHeight="1" x14ac:dyDescent="0.45">
      <c r="A1758" t="str">
        <f>_xlfn.XLOOKUP(B1758,Ingot!$H$12:$H$119,Ingot!$G$12:$G$119,"")</f>
        <v>Metal</v>
      </c>
      <c r="B1758" t="s">
        <v>3360</v>
      </c>
      <c r="C1758" t="s">
        <v>157</v>
      </c>
      <c r="D1758" t="s">
        <v>3541</v>
      </c>
      <c r="E1758" t="s">
        <v>3542</v>
      </c>
      <c r="G1758" s="1">
        <v>6.2</v>
      </c>
    </row>
    <row r="1759" spans="1:7" ht="14.25" customHeight="1" x14ac:dyDescent="0.45">
      <c r="A1759" t="str">
        <f>_xlfn.XLOOKUP(B1759,Ingot!$H$12:$H$119,Ingot!$G$12:$G$119,"")</f>
        <v>Metal</v>
      </c>
      <c r="B1759" t="s">
        <v>3360</v>
      </c>
      <c r="C1759" t="s">
        <v>157</v>
      </c>
      <c r="D1759" t="s">
        <v>3543</v>
      </c>
      <c r="E1759" t="s">
        <v>3544</v>
      </c>
      <c r="G1759" s="1">
        <v>5</v>
      </c>
    </row>
    <row r="1760" spans="1:7" ht="14.25" customHeight="1" x14ac:dyDescent="0.45">
      <c r="A1760" t="str">
        <f>_xlfn.XLOOKUP(B1760,Ingot!$H$12:$H$119,Ingot!$G$12:$G$119,"")</f>
        <v>Metal</v>
      </c>
      <c r="B1760" t="s">
        <v>3360</v>
      </c>
      <c r="C1760" t="s">
        <v>157</v>
      </c>
      <c r="D1760" t="s">
        <v>3545</v>
      </c>
      <c r="E1760" t="s">
        <v>3546</v>
      </c>
      <c r="G1760" s="1">
        <v>10</v>
      </c>
    </row>
    <row r="1761" spans="1:7" ht="14.25" customHeight="1" x14ac:dyDescent="0.45">
      <c r="A1761" t="str">
        <f>_xlfn.XLOOKUP(B1761,Ingot!$H$12:$H$119,Ingot!$G$12:$G$119,"")</f>
        <v>Metal</v>
      </c>
      <c r="B1761" t="s">
        <v>3360</v>
      </c>
      <c r="C1761" t="s">
        <v>157</v>
      </c>
      <c r="D1761" t="s">
        <v>3547</v>
      </c>
      <c r="E1761" t="s">
        <v>3548</v>
      </c>
      <c r="G1761" s="1">
        <v>33</v>
      </c>
    </row>
    <row r="1762" spans="1:7" ht="14.25" customHeight="1" x14ac:dyDescent="0.45">
      <c r="A1762" t="str">
        <f>_xlfn.XLOOKUP(B1762,Ingot!$H$12:$H$119,Ingot!$G$12:$G$119,"")</f>
        <v>Metal</v>
      </c>
      <c r="B1762" t="s">
        <v>3360</v>
      </c>
      <c r="C1762" t="s">
        <v>157</v>
      </c>
      <c r="D1762" t="s">
        <v>3549</v>
      </c>
      <c r="E1762" t="s">
        <v>3550</v>
      </c>
      <c r="G1762" s="1">
        <v>6.6</v>
      </c>
    </row>
    <row r="1763" spans="1:7" ht="14.25" customHeight="1" x14ac:dyDescent="0.45">
      <c r="A1763" t="str">
        <f>_xlfn.XLOOKUP(B1763,Ingot!$H$12:$H$119,Ingot!$G$12:$G$119,"")</f>
        <v>Metal</v>
      </c>
      <c r="B1763" t="s">
        <v>3360</v>
      </c>
      <c r="C1763" t="s">
        <v>157</v>
      </c>
      <c r="D1763" t="s">
        <v>3551</v>
      </c>
      <c r="E1763" t="s">
        <v>3552</v>
      </c>
      <c r="G1763" s="1">
        <v>6.6</v>
      </c>
    </row>
    <row r="1764" spans="1:7" ht="14.25" customHeight="1" x14ac:dyDescent="0.45">
      <c r="A1764" t="str">
        <f>_xlfn.XLOOKUP(B1764,Ingot!$H$12:$H$119,Ingot!$G$12:$G$119,"")</f>
        <v>Metal</v>
      </c>
      <c r="B1764" t="s">
        <v>3360</v>
      </c>
      <c r="C1764" t="s">
        <v>157</v>
      </c>
      <c r="D1764" t="s">
        <v>3553</v>
      </c>
      <c r="E1764" t="s">
        <v>3554</v>
      </c>
      <c r="G1764" s="1">
        <v>5</v>
      </c>
    </row>
    <row r="1765" spans="1:7" ht="14.25" customHeight="1" x14ac:dyDescent="0.45">
      <c r="A1765" t="str">
        <f>_xlfn.XLOOKUP(B1765,Ingot!$H$12:$H$119,Ingot!$G$12:$G$119,"")</f>
        <v>Metal</v>
      </c>
      <c r="B1765" t="s">
        <v>3360</v>
      </c>
      <c r="C1765" t="s">
        <v>157</v>
      </c>
      <c r="D1765" t="s">
        <v>3555</v>
      </c>
      <c r="E1765" t="s">
        <v>3556</v>
      </c>
      <c r="G1765" s="1">
        <v>10</v>
      </c>
    </row>
    <row r="1766" spans="1:7" ht="14.25" customHeight="1" x14ac:dyDescent="0.45">
      <c r="A1766" t="str">
        <f>_xlfn.XLOOKUP(B1766,Ingot!$H$12:$H$119,Ingot!$G$12:$G$119,"")</f>
        <v>Metal</v>
      </c>
      <c r="B1766" t="s">
        <v>3360</v>
      </c>
      <c r="C1766" t="s">
        <v>157</v>
      </c>
      <c r="D1766" t="s">
        <v>3557</v>
      </c>
      <c r="E1766" t="s">
        <v>3558</v>
      </c>
      <c r="G1766" s="1">
        <v>38</v>
      </c>
    </row>
    <row r="1767" spans="1:7" ht="14.25" customHeight="1" x14ac:dyDescent="0.45">
      <c r="A1767" t="str">
        <f>_xlfn.XLOOKUP(B1767,Ingot!$H$12:$H$119,Ingot!$G$12:$G$119,"")</f>
        <v>Metal</v>
      </c>
      <c r="B1767" t="s">
        <v>3360</v>
      </c>
      <c r="C1767" t="s">
        <v>157</v>
      </c>
      <c r="D1767" t="s">
        <v>3559</v>
      </c>
      <c r="E1767" t="s">
        <v>3560</v>
      </c>
      <c r="G1767" s="1">
        <v>7.6</v>
      </c>
    </row>
    <row r="1768" spans="1:7" ht="14.25" customHeight="1" x14ac:dyDescent="0.45">
      <c r="A1768" t="str">
        <f>_xlfn.XLOOKUP(B1768,Ingot!$H$12:$H$119,Ingot!$G$12:$G$119,"")</f>
        <v>Metal</v>
      </c>
      <c r="B1768" t="s">
        <v>3360</v>
      </c>
      <c r="C1768" t="s">
        <v>157</v>
      </c>
      <c r="D1768" t="s">
        <v>3561</v>
      </c>
      <c r="E1768" t="s">
        <v>3562</v>
      </c>
      <c r="G1768" s="1">
        <v>7.6</v>
      </c>
    </row>
    <row r="1769" spans="1:7" ht="14.25" customHeight="1" x14ac:dyDescent="0.45">
      <c r="A1769" t="str">
        <f>_xlfn.XLOOKUP(B1769,Ingot!$H$12:$H$119,Ingot!$G$12:$G$119,"")</f>
        <v>Metal</v>
      </c>
      <c r="B1769" t="s">
        <v>3360</v>
      </c>
      <c r="C1769" t="s">
        <v>157</v>
      </c>
      <c r="D1769" t="s">
        <v>3563</v>
      </c>
      <c r="E1769" t="s">
        <v>3564</v>
      </c>
      <c r="G1769" s="1">
        <v>5</v>
      </c>
    </row>
    <row r="1770" spans="1:7" ht="14.25" customHeight="1" x14ac:dyDescent="0.45">
      <c r="A1770" t="str">
        <f>_xlfn.XLOOKUP(B1770,Ingot!$H$12:$H$119,Ingot!$G$12:$G$119,"")</f>
        <v>Metal</v>
      </c>
      <c r="B1770" t="s">
        <v>3360</v>
      </c>
      <c r="C1770" t="s">
        <v>157</v>
      </c>
      <c r="D1770" t="s">
        <v>3565</v>
      </c>
      <c r="E1770" t="s">
        <v>3566</v>
      </c>
      <c r="G1770" s="1">
        <v>10</v>
      </c>
    </row>
    <row r="1771" spans="1:7" ht="14.25" customHeight="1" x14ac:dyDescent="0.45">
      <c r="A1771" t="str">
        <f>_xlfn.XLOOKUP(B1771,Ingot!$H$12:$H$119,Ingot!$G$12:$G$119,"")</f>
        <v>Metal</v>
      </c>
      <c r="B1771" t="s">
        <v>3360</v>
      </c>
      <c r="C1771" t="s">
        <v>157</v>
      </c>
      <c r="D1771" t="s">
        <v>3567</v>
      </c>
      <c r="E1771" t="s">
        <v>3568</v>
      </c>
      <c r="G1771" s="1">
        <v>37.5</v>
      </c>
    </row>
    <row r="1772" spans="1:7" ht="14.25" customHeight="1" x14ac:dyDescent="0.45">
      <c r="A1772" t="str">
        <f>_xlfn.XLOOKUP(B1772,Ingot!$H$12:$H$119,Ingot!$G$12:$G$119,"")</f>
        <v>Metal</v>
      </c>
      <c r="B1772" t="s">
        <v>3360</v>
      </c>
      <c r="C1772" t="s">
        <v>157</v>
      </c>
      <c r="D1772" t="s">
        <v>3569</v>
      </c>
      <c r="E1772" t="s">
        <v>3570</v>
      </c>
      <c r="G1772" s="1">
        <v>7.5</v>
      </c>
    </row>
    <row r="1773" spans="1:7" ht="14.25" customHeight="1" x14ac:dyDescent="0.45">
      <c r="A1773" t="str">
        <f>_xlfn.XLOOKUP(B1773,Ingot!$H$12:$H$119,Ingot!$G$12:$G$119,"")</f>
        <v>Metal</v>
      </c>
      <c r="B1773" t="s">
        <v>3360</v>
      </c>
      <c r="C1773" t="s">
        <v>157</v>
      </c>
      <c r="D1773" t="s">
        <v>3571</v>
      </c>
      <c r="E1773" t="s">
        <v>3572</v>
      </c>
      <c r="G1773" s="1">
        <v>7.5</v>
      </c>
    </row>
    <row r="1774" spans="1:7" ht="14.25" customHeight="1" x14ac:dyDescent="0.45">
      <c r="A1774" t="str">
        <f>_xlfn.XLOOKUP(B1774,Ingot!$H$12:$H$119,Ingot!$G$12:$G$119,"")</f>
        <v>Metal</v>
      </c>
      <c r="B1774" t="s">
        <v>3360</v>
      </c>
      <c r="C1774" t="s">
        <v>157</v>
      </c>
      <c r="D1774" t="s">
        <v>3573</v>
      </c>
      <c r="E1774" t="s">
        <v>3574</v>
      </c>
      <c r="G1774" s="1">
        <v>5</v>
      </c>
    </row>
    <row r="1775" spans="1:7" ht="14.25" customHeight="1" x14ac:dyDescent="0.45">
      <c r="A1775" t="str">
        <f>_xlfn.XLOOKUP(B1775,Ingot!$H$12:$H$119,Ingot!$G$12:$G$119,"")</f>
        <v>Metal</v>
      </c>
      <c r="B1775" t="s">
        <v>3360</v>
      </c>
      <c r="C1775" t="s">
        <v>157</v>
      </c>
      <c r="D1775" t="s">
        <v>3575</v>
      </c>
      <c r="E1775" t="s">
        <v>3576</v>
      </c>
      <c r="G1775" s="1">
        <v>10</v>
      </c>
    </row>
    <row r="1776" spans="1:7" ht="14.25" customHeight="1" x14ac:dyDescent="0.45">
      <c r="A1776" t="str">
        <f>_xlfn.XLOOKUP(B1776,Ingot!$H$12:$H$119,Ingot!$G$12:$G$119,"")</f>
        <v>Metal</v>
      </c>
      <c r="B1776" t="s">
        <v>3360</v>
      </c>
      <c r="C1776" t="s">
        <v>157</v>
      </c>
      <c r="D1776" t="s">
        <v>3577</v>
      </c>
      <c r="E1776" t="s">
        <v>3578</v>
      </c>
      <c r="G1776" s="1">
        <v>27</v>
      </c>
    </row>
    <row r="1777" spans="1:7" ht="14.25" customHeight="1" x14ac:dyDescent="0.45">
      <c r="A1777" t="str">
        <f>_xlfn.XLOOKUP(B1777,Ingot!$H$12:$H$119,Ingot!$G$12:$G$119,"")</f>
        <v>Metal</v>
      </c>
      <c r="B1777" t="s">
        <v>3360</v>
      </c>
      <c r="C1777" t="s">
        <v>157</v>
      </c>
      <c r="D1777" t="s">
        <v>3579</v>
      </c>
      <c r="E1777" t="s">
        <v>3580</v>
      </c>
      <c r="G1777" s="1">
        <v>5.4</v>
      </c>
    </row>
    <row r="1778" spans="1:7" ht="14.25" customHeight="1" x14ac:dyDescent="0.45">
      <c r="A1778" t="str">
        <f>_xlfn.XLOOKUP(B1778,Ingot!$H$12:$H$119,Ingot!$G$12:$G$119,"")</f>
        <v>Metal</v>
      </c>
      <c r="B1778" t="s">
        <v>3360</v>
      </c>
      <c r="C1778" t="s">
        <v>157</v>
      </c>
      <c r="D1778" t="s">
        <v>3581</v>
      </c>
      <c r="E1778" t="s">
        <v>3582</v>
      </c>
      <c r="G1778" s="1">
        <v>5.4</v>
      </c>
    </row>
    <row r="1779" spans="1:7" ht="14.25" customHeight="1" x14ac:dyDescent="0.45">
      <c r="A1779" t="str">
        <f>_xlfn.XLOOKUP(B1779,Ingot!$H$12:$H$119,Ingot!$G$12:$G$119,"")</f>
        <v>Metal</v>
      </c>
      <c r="B1779" t="s">
        <v>3360</v>
      </c>
      <c r="C1779" t="s">
        <v>157</v>
      </c>
      <c r="D1779" t="s">
        <v>3583</v>
      </c>
      <c r="E1779" t="s">
        <v>3584</v>
      </c>
      <c r="G1779" s="1">
        <v>5</v>
      </c>
    </row>
    <row r="1780" spans="1:7" ht="14.25" customHeight="1" x14ac:dyDescent="0.45">
      <c r="A1780" t="str">
        <f>_xlfn.XLOOKUP(B1780,Ingot!$H$12:$H$119,Ingot!$G$12:$G$119,"")</f>
        <v>Metal</v>
      </c>
      <c r="B1780" t="s">
        <v>3360</v>
      </c>
      <c r="C1780" t="s">
        <v>157</v>
      </c>
      <c r="D1780" t="s">
        <v>3585</v>
      </c>
      <c r="E1780" t="s">
        <v>3586</v>
      </c>
      <c r="G1780" s="1">
        <v>10</v>
      </c>
    </row>
    <row r="1781" spans="1:7" ht="14.25" customHeight="1" x14ac:dyDescent="0.45">
      <c r="A1781" t="str">
        <f>_xlfn.XLOOKUP(B1781,Ingot!$H$12:$H$119,Ingot!$G$12:$G$119,"")</f>
        <v>Metal</v>
      </c>
      <c r="B1781" t="s">
        <v>3360</v>
      </c>
      <c r="C1781" t="s">
        <v>239</v>
      </c>
      <c r="D1781" t="s">
        <v>3587</v>
      </c>
      <c r="E1781" t="s">
        <v>3588</v>
      </c>
    </row>
    <row r="1782" spans="1:7" ht="14.25" customHeight="1" x14ac:dyDescent="0.45">
      <c r="A1782" t="str">
        <f>_xlfn.XLOOKUP(B1782,Ingot!$H$12:$H$119,Ingot!$G$12:$G$119,"")</f>
        <v>Metal</v>
      </c>
      <c r="B1782" t="s">
        <v>3360</v>
      </c>
      <c r="C1782" t="s">
        <v>239</v>
      </c>
      <c r="D1782" t="s">
        <v>3589</v>
      </c>
      <c r="E1782" t="s">
        <v>3590</v>
      </c>
    </row>
    <row r="1783" spans="1:7" ht="14.25" customHeight="1" x14ac:dyDescent="0.45">
      <c r="A1783" t="str">
        <f>_xlfn.XLOOKUP(B1783,Ingot!$H$12:$H$119,Ingot!$G$12:$G$119,"")</f>
        <v>Metal</v>
      </c>
      <c r="B1783" t="s">
        <v>3360</v>
      </c>
      <c r="C1783" t="s">
        <v>239</v>
      </c>
      <c r="D1783" t="s">
        <v>3591</v>
      </c>
      <c r="E1783" t="s">
        <v>3592</v>
      </c>
    </row>
    <row r="1784" spans="1:7" ht="14.25" customHeight="1" x14ac:dyDescent="0.45">
      <c r="A1784" t="str">
        <f>_xlfn.XLOOKUP(B1784,Ingot!$H$12:$H$119,Ingot!$G$12:$G$119,"")</f>
        <v>Metal</v>
      </c>
      <c r="B1784" t="s">
        <v>3360</v>
      </c>
      <c r="C1784" t="s">
        <v>239</v>
      </c>
      <c r="D1784" t="s">
        <v>3593</v>
      </c>
      <c r="E1784" t="s">
        <v>3594</v>
      </c>
    </row>
    <row r="1785" spans="1:7" ht="14.25" customHeight="1" x14ac:dyDescent="0.45">
      <c r="A1785" t="str">
        <f>_xlfn.XLOOKUP(B1785,Ingot!$H$12:$H$119,Ingot!$G$12:$G$119,"")</f>
        <v>Metal</v>
      </c>
      <c r="B1785" t="s">
        <v>3360</v>
      </c>
      <c r="C1785" t="s">
        <v>239</v>
      </c>
      <c r="D1785" t="s">
        <v>3595</v>
      </c>
      <c r="E1785" t="s">
        <v>3596</v>
      </c>
    </row>
    <row r="1786" spans="1:7" ht="14.25" customHeight="1" x14ac:dyDescent="0.45">
      <c r="A1786" t="str">
        <f>_xlfn.XLOOKUP(B1786,Ingot!$H$12:$H$119,Ingot!$G$12:$G$119,"")</f>
        <v>Metal</v>
      </c>
      <c r="B1786" t="s">
        <v>3360</v>
      </c>
      <c r="C1786" t="s">
        <v>239</v>
      </c>
      <c r="D1786" t="s">
        <v>3597</v>
      </c>
      <c r="E1786" t="s">
        <v>3598</v>
      </c>
    </row>
    <row r="1787" spans="1:7" ht="14.25" hidden="1" customHeight="1" x14ac:dyDescent="0.45">
      <c r="A1787" t="str">
        <f>_xlfn.XLOOKUP(B1787,Ingot!$H$12:$H$119,Ingot!$G$12:$G$119,"")</f>
        <v>Metal</v>
      </c>
      <c r="B1787" t="s">
        <v>3599</v>
      </c>
      <c r="C1787" t="s">
        <v>10</v>
      </c>
      <c r="D1787" t="s">
        <v>3600</v>
      </c>
      <c r="E1787" t="s">
        <v>3601</v>
      </c>
      <c r="G1787" s="1">
        <v>0.08</v>
      </c>
    </row>
    <row r="1788" spans="1:7" ht="14.25" hidden="1" customHeight="1" x14ac:dyDescent="0.45">
      <c r="A1788" t="str">
        <f>_xlfn.XLOOKUP(B1788,Ingot!$H$12:$H$119,Ingot!$G$12:$G$119,"")</f>
        <v>Metal</v>
      </c>
      <c r="B1788" t="s">
        <v>3599</v>
      </c>
      <c r="C1788" t="s">
        <v>10</v>
      </c>
      <c r="D1788" t="s">
        <v>3602</v>
      </c>
      <c r="E1788" t="s">
        <v>3603</v>
      </c>
      <c r="G1788" s="1">
        <v>9.9</v>
      </c>
    </row>
    <row r="1789" spans="1:7" ht="14.25" hidden="1" customHeight="1" x14ac:dyDescent="0.45">
      <c r="A1789" t="str">
        <f>_xlfn.XLOOKUP(B1789,Ingot!$H$12:$H$119,Ingot!$G$12:$G$119,"")</f>
        <v>Metal</v>
      </c>
      <c r="B1789" t="s">
        <v>3599</v>
      </c>
      <c r="C1789" t="s">
        <v>10</v>
      </c>
      <c r="D1789" t="s">
        <v>3604</v>
      </c>
      <c r="E1789" t="s">
        <v>3605</v>
      </c>
      <c r="G1789" s="1">
        <v>5.66</v>
      </c>
    </row>
    <row r="1790" spans="1:7" ht="14.25" hidden="1" customHeight="1" x14ac:dyDescent="0.45">
      <c r="A1790" t="str">
        <f>_xlfn.XLOOKUP(B1790,Ingot!$H$12:$H$119,Ingot!$G$12:$G$119,"")</f>
        <v>Metal</v>
      </c>
      <c r="B1790" t="s">
        <v>3599</v>
      </c>
      <c r="C1790" t="s">
        <v>10</v>
      </c>
      <c r="D1790" t="s">
        <v>3606</v>
      </c>
      <c r="E1790" t="s">
        <v>3607</v>
      </c>
      <c r="G1790" s="1">
        <v>3.3</v>
      </c>
    </row>
    <row r="1791" spans="1:7" ht="14.25" hidden="1" customHeight="1" x14ac:dyDescent="0.45">
      <c r="A1791" t="str">
        <f>_xlfn.XLOOKUP(B1791,Ingot!$H$12:$H$119,Ingot!$G$12:$G$119,"")</f>
        <v>Metal</v>
      </c>
      <c r="B1791" t="s">
        <v>3599</v>
      </c>
      <c r="C1791" t="s">
        <v>10</v>
      </c>
      <c r="D1791" t="s">
        <v>3608</v>
      </c>
      <c r="E1791" t="s">
        <v>3609</v>
      </c>
      <c r="G1791" s="1">
        <v>0.66</v>
      </c>
    </row>
    <row r="1792" spans="1:7" ht="14.25" hidden="1" customHeight="1" x14ac:dyDescent="0.45">
      <c r="A1792" t="str">
        <f>_xlfn.XLOOKUP(B1792,Ingot!$H$12:$H$119,Ingot!$G$12:$G$119,"")</f>
        <v>Metal</v>
      </c>
      <c r="B1792" t="s">
        <v>3599</v>
      </c>
      <c r="C1792" t="s">
        <v>10</v>
      </c>
      <c r="D1792" t="s">
        <v>3610</v>
      </c>
      <c r="E1792" t="s">
        <v>3611</v>
      </c>
      <c r="G1792" s="1">
        <v>0.04</v>
      </c>
    </row>
    <row r="1793" spans="1:7" ht="14.25" hidden="1" customHeight="1" x14ac:dyDescent="0.45">
      <c r="A1793" t="str">
        <f>_xlfn.XLOOKUP(B1793,Ingot!$H$12:$H$119,Ingot!$G$12:$G$119,"")</f>
        <v>Metal</v>
      </c>
      <c r="B1793" t="s">
        <v>3599</v>
      </c>
      <c r="C1793" t="s">
        <v>10</v>
      </c>
      <c r="D1793" t="s">
        <v>3612</v>
      </c>
      <c r="E1793" t="s">
        <v>3613</v>
      </c>
      <c r="G1793" s="1">
        <v>0.33</v>
      </c>
    </row>
    <row r="1794" spans="1:7" ht="14.25" hidden="1" customHeight="1" x14ac:dyDescent="0.45">
      <c r="A1794" t="str">
        <f>_xlfn.XLOOKUP(B1794,Ingot!$H$12:$H$119,Ingot!$G$12:$G$119,"")</f>
        <v>Metal</v>
      </c>
      <c r="B1794" t="s">
        <v>3599</v>
      </c>
      <c r="C1794" t="s">
        <v>10</v>
      </c>
      <c r="D1794" t="s">
        <v>3614</v>
      </c>
      <c r="E1794" t="s">
        <v>3615</v>
      </c>
    </row>
    <row r="1795" spans="1:7" ht="14.25" hidden="1" customHeight="1" x14ac:dyDescent="0.45">
      <c r="A1795" t="str">
        <f>_xlfn.XLOOKUP(B1795,Ingot!$H$12:$H$119,Ingot!$G$12:$G$119,"")</f>
        <v>Metal</v>
      </c>
      <c r="B1795" t="s">
        <v>3599</v>
      </c>
      <c r="C1795" t="s">
        <v>10</v>
      </c>
      <c r="D1795" t="s">
        <v>3616</v>
      </c>
      <c r="E1795" t="s">
        <v>3617</v>
      </c>
      <c r="G1795" s="1">
        <v>0.05</v>
      </c>
    </row>
    <row r="1796" spans="1:7" ht="14.25" hidden="1" customHeight="1" x14ac:dyDescent="0.45">
      <c r="A1796" t="str">
        <f>_xlfn.XLOOKUP(B1796,Ingot!$H$12:$H$119,Ingot!$G$12:$G$119,"")</f>
        <v>Metal</v>
      </c>
      <c r="B1796" t="s">
        <v>3599</v>
      </c>
      <c r="C1796" t="s">
        <v>10</v>
      </c>
      <c r="D1796" t="s">
        <v>3618</v>
      </c>
      <c r="E1796" t="s">
        <v>3619</v>
      </c>
      <c r="G1796" s="1">
        <v>0.66</v>
      </c>
    </row>
    <row r="1797" spans="1:7" ht="14.25" hidden="1" customHeight="1" x14ac:dyDescent="0.45">
      <c r="A1797" t="str">
        <f>_xlfn.XLOOKUP(B1797,Ingot!$H$12:$H$119,Ingot!$G$12:$G$119,"")</f>
        <v>Metal</v>
      </c>
      <c r="B1797" t="s">
        <v>3599</v>
      </c>
      <c r="C1797" t="s">
        <v>10</v>
      </c>
      <c r="D1797" t="s">
        <v>3620</v>
      </c>
      <c r="E1797" t="s">
        <v>3621</v>
      </c>
      <c r="G1797" s="1">
        <v>3.96</v>
      </c>
    </row>
    <row r="1798" spans="1:7" ht="14.25" hidden="1" customHeight="1" x14ac:dyDescent="0.45">
      <c r="A1798" t="str">
        <f>_xlfn.XLOOKUP(B1798,Ingot!$H$12:$H$119,Ingot!$G$12:$G$119,"")</f>
        <v>Metal</v>
      </c>
      <c r="B1798" t="s">
        <v>3599</v>
      </c>
      <c r="C1798" t="s">
        <v>10</v>
      </c>
      <c r="D1798" t="s">
        <v>3622</v>
      </c>
      <c r="E1798" t="s">
        <v>3623</v>
      </c>
      <c r="G1798" s="1">
        <v>8.77</v>
      </c>
    </row>
    <row r="1799" spans="1:7" ht="14.25" hidden="1" customHeight="1" x14ac:dyDescent="0.45">
      <c r="A1799" t="str">
        <f>_xlfn.XLOOKUP(B1799,Ingot!$H$12:$H$119,Ingot!$G$12:$G$119,"")</f>
        <v>Metal</v>
      </c>
      <c r="B1799" t="s">
        <v>3599</v>
      </c>
      <c r="C1799" t="s">
        <v>10</v>
      </c>
      <c r="D1799" t="s">
        <v>3624</v>
      </c>
      <c r="E1799" t="s">
        <v>3625</v>
      </c>
      <c r="G1799" s="1">
        <v>3.5</v>
      </c>
    </row>
    <row r="1800" spans="1:7" ht="14.25" hidden="1" customHeight="1" x14ac:dyDescent="0.45">
      <c r="A1800" t="str">
        <f>_xlfn.XLOOKUP(B1800,Ingot!$H$12:$H$119,Ingot!$G$12:$G$119,"")</f>
        <v>Metal</v>
      </c>
      <c r="B1800" t="s">
        <v>3599</v>
      </c>
      <c r="C1800" t="s">
        <v>10</v>
      </c>
      <c r="D1800" t="s">
        <v>3626</v>
      </c>
      <c r="E1800" t="s">
        <v>3627</v>
      </c>
    </row>
    <row r="1801" spans="1:7" ht="14.25" hidden="1" customHeight="1" x14ac:dyDescent="0.45">
      <c r="A1801" t="str">
        <f>_xlfn.XLOOKUP(B1801,Ingot!$H$12:$H$119,Ingot!$G$12:$G$119,"")</f>
        <v>Metal</v>
      </c>
      <c r="B1801" t="s">
        <v>3599</v>
      </c>
      <c r="C1801" t="s">
        <v>10</v>
      </c>
      <c r="D1801" t="s">
        <v>3628</v>
      </c>
      <c r="E1801" t="s">
        <v>3629</v>
      </c>
      <c r="G1801" s="1">
        <v>2.2000000000000002</v>
      </c>
    </row>
    <row r="1802" spans="1:7" ht="14.25" hidden="1" customHeight="1" x14ac:dyDescent="0.45">
      <c r="A1802" t="str">
        <f>_xlfn.XLOOKUP(B1802,Ingot!$H$12:$H$119,Ingot!$G$12:$G$119,"")</f>
        <v>Metal</v>
      </c>
      <c r="B1802" t="s">
        <v>3599</v>
      </c>
      <c r="C1802" t="s">
        <v>10</v>
      </c>
      <c r="D1802" t="s">
        <v>3630</v>
      </c>
      <c r="E1802" t="s">
        <v>3631</v>
      </c>
      <c r="G1802" s="1">
        <v>1.1000000000000001</v>
      </c>
    </row>
    <row r="1803" spans="1:7" ht="14.25" hidden="1" customHeight="1" x14ac:dyDescent="0.45">
      <c r="A1803" t="str">
        <f>_xlfn.XLOOKUP(B1803,Ingot!$H$12:$H$119,Ingot!$G$12:$G$119,"")</f>
        <v>Metal</v>
      </c>
      <c r="B1803" t="s">
        <v>3599</v>
      </c>
      <c r="C1803" t="s">
        <v>10</v>
      </c>
      <c r="D1803" t="s">
        <v>3632</v>
      </c>
      <c r="E1803" t="s">
        <v>3633</v>
      </c>
      <c r="G1803" s="1">
        <v>0.22</v>
      </c>
    </row>
    <row r="1804" spans="1:7" ht="14.25" hidden="1" customHeight="1" x14ac:dyDescent="0.45">
      <c r="A1804" t="str">
        <f>_xlfn.XLOOKUP(B1804,Ingot!$H$12:$H$119,Ingot!$G$12:$G$119,"")</f>
        <v>Metal</v>
      </c>
      <c r="B1804" t="s">
        <v>3599</v>
      </c>
      <c r="C1804" t="s">
        <v>10</v>
      </c>
      <c r="D1804" t="s">
        <v>3634</v>
      </c>
      <c r="E1804" t="s">
        <v>3635</v>
      </c>
      <c r="G1804" s="1">
        <v>8.41</v>
      </c>
    </row>
    <row r="1805" spans="1:7" ht="14.25" hidden="1" customHeight="1" x14ac:dyDescent="0.45">
      <c r="A1805" t="str">
        <f>_xlfn.XLOOKUP(B1805,Ingot!$H$12:$H$119,Ingot!$G$12:$G$119,"")</f>
        <v>Metal</v>
      </c>
      <c r="B1805" t="s">
        <v>3599</v>
      </c>
      <c r="C1805" t="s">
        <v>10</v>
      </c>
      <c r="D1805" t="s">
        <v>3636</v>
      </c>
      <c r="E1805" t="s">
        <v>3637</v>
      </c>
      <c r="G1805" s="1">
        <v>3.64</v>
      </c>
    </row>
    <row r="1806" spans="1:7" ht="14.25" hidden="1" customHeight="1" x14ac:dyDescent="0.45">
      <c r="A1806" t="str">
        <f>_xlfn.XLOOKUP(B1806,Ingot!$H$12:$H$119,Ingot!$G$12:$G$119,"")</f>
        <v>Metal</v>
      </c>
      <c r="B1806" t="s">
        <v>3599</v>
      </c>
      <c r="C1806" t="s">
        <v>10</v>
      </c>
      <c r="D1806" t="s">
        <v>3638</v>
      </c>
      <c r="E1806" t="s">
        <v>3639</v>
      </c>
      <c r="G1806" s="1">
        <v>7.05</v>
      </c>
    </row>
    <row r="1807" spans="1:7" ht="14.25" hidden="1" customHeight="1" x14ac:dyDescent="0.45">
      <c r="A1807" t="str">
        <f>_xlfn.XLOOKUP(B1807,Ingot!$H$12:$H$119,Ingot!$G$12:$G$119,"")</f>
        <v>Metal</v>
      </c>
      <c r="B1807" t="s">
        <v>3599</v>
      </c>
      <c r="C1807" t="s">
        <v>10</v>
      </c>
      <c r="D1807" t="s">
        <v>3640</v>
      </c>
      <c r="E1807" t="s">
        <v>3641</v>
      </c>
      <c r="G1807" s="1">
        <v>2.65</v>
      </c>
    </row>
    <row r="1808" spans="1:7" ht="14.25" hidden="1" customHeight="1" x14ac:dyDescent="0.45">
      <c r="A1808" t="str">
        <f>_xlfn.XLOOKUP(B1808,Ingot!$H$12:$H$119,Ingot!$G$12:$G$119,"")</f>
        <v>Metal</v>
      </c>
      <c r="B1808" t="s">
        <v>3599</v>
      </c>
      <c r="C1808" t="s">
        <v>10</v>
      </c>
      <c r="D1808" t="s">
        <v>3642</v>
      </c>
      <c r="E1808" t="s">
        <v>3643</v>
      </c>
      <c r="G1808" s="1">
        <v>9</v>
      </c>
    </row>
    <row r="1809" spans="1:7" ht="14.25" hidden="1" customHeight="1" x14ac:dyDescent="0.45">
      <c r="A1809" t="str">
        <f>_xlfn.XLOOKUP(B1809,Ingot!$H$12:$H$119,Ingot!$G$12:$G$119,"")</f>
        <v>Metal</v>
      </c>
      <c r="B1809" t="s">
        <v>3599</v>
      </c>
      <c r="C1809" t="s">
        <v>10</v>
      </c>
      <c r="D1809" t="s">
        <v>3644</v>
      </c>
      <c r="E1809" t="s">
        <v>3645</v>
      </c>
      <c r="G1809" s="1">
        <v>10.23</v>
      </c>
    </row>
    <row r="1810" spans="1:7" ht="14.25" hidden="1" customHeight="1" x14ac:dyDescent="0.45">
      <c r="A1810" t="str">
        <f>_xlfn.XLOOKUP(B1810,Ingot!$H$12:$H$119,Ingot!$G$12:$G$119,"")</f>
        <v>Metal</v>
      </c>
      <c r="B1810" t="s">
        <v>3599</v>
      </c>
      <c r="C1810" t="s">
        <v>10</v>
      </c>
      <c r="D1810" t="s">
        <v>3646</v>
      </c>
      <c r="E1810" t="s">
        <v>3647</v>
      </c>
      <c r="G1810" s="1">
        <v>7.7</v>
      </c>
    </row>
    <row r="1811" spans="1:7" ht="14.25" hidden="1" customHeight="1" x14ac:dyDescent="0.45">
      <c r="A1811" t="str">
        <f>_xlfn.XLOOKUP(B1811,Ingot!$H$12:$H$119,Ingot!$G$12:$G$119,"")</f>
        <v>Metal</v>
      </c>
      <c r="B1811" t="s">
        <v>3599</v>
      </c>
      <c r="C1811" t="s">
        <v>10</v>
      </c>
      <c r="D1811" t="s">
        <v>3648</v>
      </c>
      <c r="E1811" t="s">
        <v>3649</v>
      </c>
      <c r="G1811" s="1">
        <v>10.02</v>
      </c>
    </row>
    <row r="1812" spans="1:7" ht="14.25" hidden="1" customHeight="1" x14ac:dyDescent="0.45">
      <c r="A1812" t="str">
        <f>_xlfn.XLOOKUP(B1812,Ingot!$H$12:$H$119,Ingot!$G$12:$G$119,"")</f>
        <v>Metal</v>
      </c>
      <c r="B1812" t="s">
        <v>3599</v>
      </c>
      <c r="C1812" t="s">
        <v>10</v>
      </c>
      <c r="D1812" t="s">
        <v>3650</v>
      </c>
      <c r="E1812" t="s">
        <v>3651</v>
      </c>
      <c r="G1812" s="1">
        <v>11.81</v>
      </c>
    </row>
    <row r="1813" spans="1:7" ht="14.25" hidden="1" customHeight="1" x14ac:dyDescent="0.45">
      <c r="A1813" t="str">
        <f>_xlfn.XLOOKUP(B1813,Ingot!$H$12:$H$119,Ingot!$G$12:$G$119,"")</f>
        <v>Metal</v>
      </c>
      <c r="B1813" t="s">
        <v>3599</v>
      </c>
      <c r="C1813" t="s">
        <v>10</v>
      </c>
      <c r="D1813" t="s">
        <v>3652</v>
      </c>
      <c r="E1813" t="s">
        <v>3653</v>
      </c>
      <c r="G1813" s="1">
        <v>8.44</v>
      </c>
    </row>
    <row r="1814" spans="1:7" ht="14.25" hidden="1" customHeight="1" x14ac:dyDescent="0.45">
      <c r="A1814" t="str">
        <f>_xlfn.XLOOKUP(B1814,Ingot!$H$12:$H$119,Ingot!$G$12:$G$119,"")</f>
        <v>Metal</v>
      </c>
      <c r="B1814" t="s">
        <v>3599</v>
      </c>
      <c r="C1814" t="s">
        <v>10</v>
      </c>
      <c r="D1814" t="s">
        <v>3654</v>
      </c>
      <c r="E1814" t="s">
        <v>3655</v>
      </c>
      <c r="G1814" s="1">
        <v>10.42</v>
      </c>
    </row>
    <row r="1815" spans="1:7" ht="14.25" hidden="1" customHeight="1" x14ac:dyDescent="0.45">
      <c r="A1815" t="str">
        <f>_xlfn.XLOOKUP(B1815,Ingot!$H$12:$H$119,Ingot!$G$12:$G$119,"")</f>
        <v>Metal</v>
      </c>
      <c r="B1815" t="s">
        <v>3599</v>
      </c>
      <c r="C1815" t="s">
        <v>10</v>
      </c>
      <c r="D1815" t="s">
        <v>3656</v>
      </c>
      <c r="E1815" t="s">
        <v>3657</v>
      </c>
    </row>
    <row r="1816" spans="1:7" ht="14.25" hidden="1" customHeight="1" x14ac:dyDescent="0.45">
      <c r="A1816" t="str">
        <f>_xlfn.XLOOKUP(B1816,Ingot!$H$12:$H$119,Ingot!$G$12:$G$119,"")</f>
        <v>Metal</v>
      </c>
      <c r="B1816" t="s">
        <v>3599</v>
      </c>
      <c r="C1816" t="s">
        <v>10</v>
      </c>
      <c r="D1816" t="s">
        <v>3658</v>
      </c>
      <c r="E1816" t="s">
        <v>3659</v>
      </c>
      <c r="G1816" s="1">
        <v>7.96</v>
      </c>
    </row>
    <row r="1817" spans="1:7" ht="14.25" hidden="1" customHeight="1" x14ac:dyDescent="0.45">
      <c r="A1817" t="str">
        <f>_xlfn.XLOOKUP(B1817,Ingot!$H$12:$H$119,Ingot!$G$12:$G$119,"")</f>
        <v>Metal</v>
      </c>
      <c r="B1817" t="s">
        <v>3599</v>
      </c>
      <c r="C1817" t="s">
        <v>10</v>
      </c>
      <c r="D1817" t="s">
        <v>3660</v>
      </c>
      <c r="E1817" t="s">
        <v>3661</v>
      </c>
      <c r="G1817" s="1">
        <v>9.64</v>
      </c>
    </row>
    <row r="1818" spans="1:7" ht="14.25" hidden="1" customHeight="1" x14ac:dyDescent="0.45">
      <c r="A1818" t="str">
        <f>_xlfn.XLOOKUP(B1818,Ingot!$H$12:$H$119,Ingot!$G$12:$G$119,"")</f>
        <v>Metal</v>
      </c>
      <c r="B1818" t="s">
        <v>3599</v>
      </c>
      <c r="C1818" t="s">
        <v>10</v>
      </c>
      <c r="D1818" t="s">
        <v>3662</v>
      </c>
      <c r="E1818" t="s">
        <v>3663</v>
      </c>
      <c r="G1818" s="1">
        <v>7.94</v>
      </c>
    </row>
    <row r="1819" spans="1:7" ht="14.25" hidden="1" customHeight="1" x14ac:dyDescent="0.45">
      <c r="A1819" t="str">
        <f>_xlfn.XLOOKUP(B1819,Ingot!$H$12:$H$119,Ingot!$G$12:$G$119,"")</f>
        <v>Metal</v>
      </c>
      <c r="B1819" t="s">
        <v>3599</v>
      </c>
      <c r="C1819" t="s">
        <v>10</v>
      </c>
      <c r="D1819" t="s">
        <v>3664</v>
      </c>
      <c r="E1819" t="s">
        <v>3665</v>
      </c>
      <c r="G1819" s="1">
        <v>8.66</v>
      </c>
    </row>
    <row r="1820" spans="1:7" ht="14.25" hidden="1" customHeight="1" x14ac:dyDescent="0.45">
      <c r="A1820" t="str">
        <f>_xlfn.XLOOKUP(B1820,Ingot!$H$12:$H$119,Ingot!$G$12:$G$119,"")</f>
        <v>Metal</v>
      </c>
      <c r="B1820" t="s">
        <v>3599</v>
      </c>
      <c r="C1820" t="s">
        <v>10</v>
      </c>
      <c r="D1820" t="s">
        <v>3666</v>
      </c>
      <c r="E1820" t="s">
        <v>3667</v>
      </c>
    </row>
    <row r="1821" spans="1:7" ht="14.25" hidden="1" customHeight="1" x14ac:dyDescent="0.45">
      <c r="A1821" t="str">
        <f>_xlfn.XLOOKUP(B1821,Ingot!$H$12:$H$119,Ingot!$G$12:$G$119,"")</f>
        <v>Metal</v>
      </c>
      <c r="B1821" t="s">
        <v>3599</v>
      </c>
      <c r="C1821" t="s">
        <v>10</v>
      </c>
      <c r="D1821" t="s">
        <v>3668</v>
      </c>
      <c r="E1821" t="s">
        <v>3669</v>
      </c>
      <c r="G1821" s="1">
        <v>2.65</v>
      </c>
    </row>
    <row r="1822" spans="1:7" ht="14.25" hidden="1" customHeight="1" x14ac:dyDescent="0.45">
      <c r="A1822" t="str">
        <f>_xlfn.XLOOKUP(B1822,Ingot!$H$12:$H$119,Ingot!$G$12:$G$119,"")</f>
        <v>Metal</v>
      </c>
      <c r="B1822" t="s">
        <v>3599</v>
      </c>
      <c r="C1822" t="s">
        <v>10</v>
      </c>
      <c r="D1822" t="s">
        <v>3670</v>
      </c>
      <c r="E1822" t="s">
        <v>3671</v>
      </c>
    </row>
    <row r="1823" spans="1:7" ht="14.25" hidden="1" customHeight="1" x14ac:dyDescent="0.45">
      <c r="A1823" t="str">
        <f>_xlfn.XLOOKUP(B1823,Ingot!$H$12:$H$119,Ingot!$G$12:$G$119,"")</f>
        <v>Metal</v>
      </c>
      <c r="B1823" t="s">
        <v>3599</v>
      </c>
      <c r="C1823" t="s">
        <v>10</v>
      </c>
      <c r="D1823" t="s">
        <v>3672</v>
      </c>
      <c r="E1823" t="s">
        <v>3673</v>
      </c>
      <c r="G1823" s="1">
        <v>12.64</v>
      </c>
    </row>
    <row r="1824" spans="1:7" ht="14.25" hidden="1" customHeight="1" x14ac:dyDescent="0.45">
      <c r="A1824" t="str">
        <f>_xlfn.XLOOKUP(B1824,Ingot!$H$12:$H$119,Ingot!$G$12:$G$119,"")</f>
        <v>Metal</v>
      </c>
      <c r="B1824" t="s">
        <v>3599</v>
      </c>
      <c r="C1824" t="s">
        <v>10</v>
      </c>
      <c r="D1824" t="s">
        <v>3674</v>
      </c>
      <c r="E1824" t="s">
        <v>3675</v>
      </c>
      <c r="G1824" s="1">
        <v>22.67</v>
      </c>
    </row>
    <row r="1825" spans="1:7" ht="14.25" hidden="1" customHeight="1" x14ac:dyDescent="0.45">
      <c r="A1825" t="str">
        <f>_xlfn.XLOOKUP(B1825,Ingot!$H$12:$H$119,Ingot!$G$12:$G$119,"")</f>
        <v>Metal</v>
      </c>
      <c r="B1825" t="s">
        <v>3599</v>
      </c>
      <c r="C1825" t="s">
        <v>10</v>
      </c>
      <c r="D1825" t="s">
        <v>3676</v>
      </c>
      <c r="E1825" t="s">
        <v>3677</v>
      </c>
      <c r="G1825" s="1">
        <v>8.3800000000000008</v>
      </c>
    </row>
    <row r="1826" spans="1:7" ht="14.25" hidden="1" customHeight="1" x14ac:dyDescent="0.45">
      <c r="A1826" t="str">
        <f>_xlfn.XLOOKUP(B1826,Ingot!$H$12:$H$119,Ingot!$G$12:$G$119,"")</f>
        <v>Metal</v>
      </c>
      <c r="B1826" t="s">
        <v>3599</v>
      </c>
      <c r="C1826" t="s">
        <v>10</v>
      </c>
      <c r="D1826" t="s">
        <v>3678</v>
      </c>
      <c r="E1826" t="s">
        <v>3679</v>
      </c>
      <c r="G1826" s="1">
        <v>2.2000000000000002</v>
      </c>
    </row>
    <row r="1827" spans="1:7" ht="14.25" hidden="1" customHeight="1" x14ac:dyDescent="0.45">
      <c r="A1827" t="str">
        <f>_xlfn.XLOOKUP(B1827,Ingot!$H$12:$H$119,Ingot!$G$12:$G$119,"")</f>
        <v>Metal</v>
      </c>
      <c r="B1827" t="s">
        <v>3599</v>
      </c>
      <c r="C1827" t="s">
        <v>10</v>
      </c>
      <c r="D1827" t="s">
        <v>3680</v>
      </c>
      <c r="E1827" t="s">
        <v>3681</v>
      </c>
      <c r="G1827" s="1">
        <v>3.09</v>
      </c>
    </row>
    <row r="1828" spans="1:7" ht="14.25" hidden="1" customHeight="1" x14ac:dyDescent="0.45">
      <c r="A1828" t="str">
        <f>_xlfn.XLOOKUP(B1828,Ingot!$H$12:$H$119,Ingot!$G$12:$G$119,"")</f>
        <v>Metal</v>
      </c>
      <c r="B1828" t="s">
        <v>3599</v>
      </c>
      <c r="C1828" t="s">
        <v>10</v>
      </c>
      <c r="D1828" t="s">
        <v>3682</v>
      </c>
      <c r="E1828" t="s">
        <v>3683</v>
      </c>
      <c r="G1828" s="1">
        <v>2.2999999999999998</v>
      </c>
    </row>
    <row r="1829" spans="1:7" ht="14.25" hidden="1" customHeight="1" x14ac:dyDescent="0.45">
      <c r="A1829" t="str">
        <f>_xlfn.XLOOKUP(B1829,Ingot!$H$12:$H$119,Ingot!$G$12:$G$119,"")</f>
        <v>Metal</v>
      </c>
      <c r="B1829" t="s">
        <v>3599</v>
      </c>
      <c r="C1829" t="s">
        <v>10</v>
      </c>
      <c r="D1829" t="s">
        <v>3684</v>
      </c>
      <c r="E1829" t="s">
        <v>3685</v>
      </c>
      <c r="G1829" s="1">
        <v>4.88</v>
      </c>
    </row>
    <row r="1830" spans="1:7" ht="14.25" hidden="1" customHeight="1" x14ac:dyDescent="0.45">
      <c r="A1830" t="str">
        <f>_xlfn.XLOOKUP(B1830,Ingot!$H$12:$H$119,Ingot!$G$12:$G$119,"")</f>
        <v>Metal</v>
      </c>
      <c r="B1830" t="s">
        <v>3599</v>
      </c>
      <c r="C1830" t="s">
        <v>10</v>
      </c>
      <c r="D1830" t="s">
        <v>3686</v>
      </c>
      <c r="E1830" t="s">
        <v>3687</v>
      </c>
      <c r="G1830" s="1">
        <v>8.43</v>
      </c>
    </row>
    <row r="1831" spans="1:7" ht="14.25" hidden="1" customHeight="1" x14ac:dyDescent="0.45">
      <c r="A1831" t="str">
        <f>_xlfn.XLOOKUP(B1831,Ingot!$H$12:$H$119,Ingot!$G$12:$G$119,"")</f>
        <v>Metal</v>
      </c>
      <c r="B1831" t="s">
        <v>3599</v>
      </c>
      <c r="C1831" t="s">
        <v>10</v>
      </c>
      <c r="D1831" t="s">
        <v>3688</v>
      </c>
      <c r="E1831" t="s">
        <v>3689</v>
      </c>
      <c r="G1831" s="1">
        <v>13.07</v>
      </c>
    </row>
    <row r="1832" spans="1:7" ht="14.25" hidden="1" customHeight="1" x14ac:dyDescent="0.45">
      <c r="A1832" t="str">
        <f>_xlfn.XLOOKUP(B1832,Ingot!$H$12:$H$119,Ingot!$G$12:$G$119,"")</f>
        <v>Metal</v>
      </c>
      <c r="B1832" t="s">
        <v>3599</v>
      </c>
      <c r="C1832" t="s">
        <v>10</v>
      </c>
      <c r="D1832" t="s">
        <v>3690</v>
      </c>
      <c r="E1832" t="s">
        <v>3691</v>
      </c>
    </row>
    <row r="1833" spans="1:7" ht="14.25" hidden="1" customHeight="1" x14ac:dyDescent="0.45">
      <c r="A1833" t="str">
        <f>_xlfn.XLOOKUP(B1833,Ingot!$H$12:$H$119,Ingot!$G$12:$G$119,"")</f>
        <v>Metal</v>
      </c>
      <c r="B1833" t="s">
        <v>3599</v>
      </c>
      <c r="C1833" t="s">
        <v>10</v>
      </c>
      <c r="D1833" t="s">
        <v>3692</v>
      </c>
      <c r="E1833" t="s">
        <v>3693</v>
      </c>
    </row>
    <row r="1834" spans="1:7" ht="14.25" hidden="1" customHeight="1" x14ac:dyDescent="0.45">
      <c r="A1834" t="str">
        <f>_xlfn.XLOOKUP(B1834,Ingot!$H$12:$H$119,Ingot!$G$12:$G$119,"")</f>
        <v>Metal</v>
      </c>
      <c r="B1834" t="s">
        <v>3599</v>
      </c>
      <c r="C1834" t="s">
        <v>10</v>
      </c>
      <c r="D1834" t="s">
        <v>3694</v>
      </c>
      <c r="E1834" t="s">
        <v>3695</v>
      </c>
      <c r="G1834" s="1">
        <v>6.8</v>
      </c>
    </row>
    <row r="1835" spans="1:7" ht="14.25" hidden="1" customHeight="1" x14ac:dyDescent="0.45">
      <c r="A1835" t="str">
        <f>_xlfn.XLOOKUP(B1835,Ingot!$H$12:$H$119,Ingot!$G$12:$G$119,"")</f>
        <v>Metal</v>
      </c>
      <c r="B1835" t="s">
        <v>3599</v>
      </c>
      <c r="C1835" t="s">
        <v>10</v>
      </c>
      <c r="D1835" t="s">
        <v>3696</v>
      </c>
      <c r="E1835" t="s">
        <v>3697</v>
      </c>
      <c r="G1835" s="1">
        <v>6.88</v>
      </c>
    </row>
    <row r="1836" spans="1:7" ht="14.25" hidden="1" customHeight="1" x14ac:dyDescent="0.45">
      <c r="A1836" t="str">
        <f>_xlfn.XLOOKUP(B1836,Ingot!$H$12:$H$119,Ingot!$G$12:$G$119,"")</f>
        <v>Metal</v>
      </c>
      <c r="B1836" t="s">
        <v>3599</v>
      </c>
      <c r="C1836" t="s">
        <v>10</v>
      </c>
      <c r="D1836" t="s">
        <v>3698</v>
      </c>
      <c r="E1836" t="s">
        <v>3699</v>
      </c>
      <c r="G1836" s="1">
        <v>5.5</v>
      </c>
    </row>
    <row r="1837" spans="1:7" ht="14.25" hidden="1" customHeight="1" x14ac:dyDescent="0.45">
      <c r="A1837" t="str">
        <f>_xlfn.XLOOKUP(B1837,Ingot!$H$12:$H$119,Ingot!$G$12:$G$119,"")</f>
        <v>Metal</v>
      </c>
      <c r="B1837" t="s">
        <v>3599</v>
      </c>
      <c r="C1837" t="s">
        <v>10</v>
      </c>
      <c r="D1837" t="s">
        <v>3700</v>
      </c>
      <c r="E1837" t="s">
        <v>3701</v>
      </c>
      <c r="G1837" s="1">
        <v>2.4300000000000002</v>
      </c>
    </row>
    <row r="1838" spans="1:7" ht="14.25" hidden="1" customHeight="1" x14ac:dyDescent="0.45">
      <c r="A1838" t="str">
        <f>_xlfn.XLOOKUP(B1838,Ingot!$H$12:$H$119,Ingot!$G$12:$G$119,"")</f>
        <v>Metal</v>
      </c>
      <c r="B1838" t="s">
        <v>3599</v>
      </c>
      <c r="C1838" t="s">
        <v>10</v>
      </c>
      <c r="D1838" t="s">
        <v>3702</v>
      </c>
      <c r="E1838" t="s">
        <v>3703</v>
      </c>
      <c r="G1838" s="1">
        <v>6.96</v>
      </c>
    </row>
    <row r="1839" spans="1:7" ht="14.25" hidden="1" customHeight="1" x14ac:dyDescent="0.45">
      <c r="A1839" t="str">
        <f>_xlfn.XLOOKUP(B1839,Ingot!$H$12:$H$119,Ingot!$G$12:$G$119,"")</f>
        <v>Metal</v>
      </c>
      <c r="B1839" t="s">
        <v>3599</v>
      </c>
      <c r="C1839" t="s">
        <v>10</v>
      </c>
      <c r="D1839" t="s">
        <v>3704</v>
      </c>
      <c r="E1839" t="s">
        <v>3705</v>
      </c>
      <c r="G1839" s="1">
        <v>6.32</v>
      </c>
    </row>
    <row r="1840" spans="1:7" ht="14.25" hidden="1" customHeight="1" x14ac:dyDescent="0.45">
      <c r="A1840" t="str">
        <f>_xlfn.XLOOKUP(B1840,Ingot!$H$12:$H$119,Ingot!$G$12:$G$119,"")</f>
        <v>Metal</v>
      </c>
      <c r="B1840" t="s">
        <v>3599</v>
      </c>
      <c r="C1840" t="s">
        <v>10</v>
      </c>
      <c r="D1840" t="s">
        <v>3706</v>
      </c>
      <c r="E1840" t="s">
        <v>3707</v>
      </c>
      <c r="G1840" s="1">
        <v>6.88</v>
      </c>
    </row>
    <row r="1841" spans="1:7" ht="14.25" hidden="1" customHeight="1" x14ac:dyDescent="0.45">
      <c r="A1841" t="str">
        <f>_xlfn.XLOOKUP(B1841,Ingot!$H$12:$H$119,Ingot!$G$12:$G$119,"")</f>
        <v>Metal</v>
      </c>
      <c r="B1841" t="s">
        <v>3599</v>
      </c>
      <c r="C1841" t="s">
        <v>10</v>
      </c>
      <c r="D1841" t="s">
        <v>3708</v>
      </c>
      <c r="E1841" t="s">
        <v>3709</v>
      </c>
      <c r="G1841" s="1">
        <v>2.44</v>
      </c>
    </row>
    <row r="1842" spans="1:7" ht="14.25" hidden="1" customHeight="1" x14ac:dyDescent="0.45">
      <c r="A1842" t="str">
        <f>_xlfn.XLOOKUP(B1842,Ingot!$H$12:$H$119,Ingot!$G$12:$G$119,"")</f>
        <v>Metal</v>
      </c>
      <c r="B1842" t="s">
        <v>3599</v>
      </c>
      <c r="C1842" t="s">
        <v>10</v>
      </c>
      <c r="D1842" t="s">
        <v>3710</v>
      </c>
      <c r="E1842" t="s">
        <v>3711</v>
      </c>
    </row>
    <row r="1843" spans="1:7" ht="14.25" hidden="1" customHeight="1" x14ac:dyDescent="0.45">
      <c r="A1843" t="str">
        <f>_xlfn.XLOOKUP(B1843,Ingot!$H$12:$H$119,Ingot!$G$12:$G$119,"")</f>
        <v>Metal</v>
      </c>
      <c r="B1843" t="s">
        <v>3599</v>
      </c>
      <c r="C1843" t="s">
        <v>10</v>
      </c>
      <c r="D1843" t="s">
        <v>3712</v>
      </c>
      <c r="E1843" t="s">
        <v>3713</v>
      </c>
    </row>
    <row r="1844" spans="1:7" ht="14.25" hidden="1" customHeight="1" x14ac:dyDescent="0.45">
      <c r="A1844" t="str">
        <f>_xlfn.XLOOKUP(B1844,Ingot!$H$12:$H$119,Ingot!$G$12:$G$119,"")</f>
        <v>Metal</v>
      </c>
      <c r="B1844" t="s">
        <v>3599</v>
      </c>
      <c r="C1844" t="s">
        <v>10</v>
      </c>
      <c r="D1844" t="s">
        <v>3714</v>
      </c>
      <c r="E1844" t="s">
        <v>3715</v>
      </c>
      <c r="G1844" s="1">
        <v>3.11</v>
      </c>
    </row>
    <row r="1845" spans="1:7" ht="14.25" hidden="1" customHeight="1" x14ac:dyDescent="0.45">
      <c r="A1845" t="str">
        <f>_xlfn.XLOOKUP(B1845,Ingot!$H$12:$H$119,Ingot!$G$12:$G$119,"")</f>
        <v>Metal</v>
      </c>
      <c r="B1845" t="s">
        <v>3599</v>
      </c>
      <c r="C1845" t="s">
        <v>10</v>
      </c>
      <c r="D1845" t="s">
        <v>3716</v>
      </c>
      <c r="E1845" t="s">
        <v>3717</v>
      </c>
      <c r="G1845" s="1">
        <v>2.44</v>
      </c>
    </row>
    <row r="1846" spans="1:7" ht="14.25" hidden="1" customHeight="1" x14ac:dyDescent="0.45">
      <c r="A1846" t="str">
        <f>_xlfn.XLOOKUP(B1846,Ingot!$H$12:$H$119,Ingot!$G$12:$G$119,"")</f>
        <v>Metal</v>
      </c>
      <c r="B1846" t="s">
        <v>3599</v>
      </c>
      <c r="C1846" t="s">
        <v>10</v>
      </c>
      <c r="D1846" t="s">
        <v>3718</v>
      </c>
      <c r="E1846" t="s">
        <v>3719</v>
      </c>
      <c r="G1846" s="1">
        <v>8.61</v>
      </c>
    </row>
    <row r="1847" spans="1:7" ht="14.25" hidden="1" customHeight="1" x14ac:dyDescent="0.45">
      <c r="A1847" t="str">
        <f>_xlfn.XLOOKUP(B1847,Ingot!$H$12:$H$119,Ingot!$G$12:$G$119,"")</f>
        <v>Metal</v>
      </c>
      <c r="B1847" t="s">
        <v>3599</v>
      </c>
      <c r="C1847" t="s">
        <v>10</v>
      </c>
      <c r="D1847" t="s">
        <v>3720</v>
      </c>
      <c r="E1847" t="s">
        <v>3721</v>
      </c>
    </row>
    <row r="1848" spans="1:7" ht="14.25" hidden="1" customHeight="1" x14ac:dyDescent="0.45">
      <c r="A1848" t="str">
        <f>_xlfn.XLOOKUP(B1848,Ingot!$H$12:$H$119,Ingot!$G$12:$G$119,"")</f>
        <v>Metal</v>
      </c>
      <c r="B1848" t="s">
        <v>3599</v>
      </c>
      <c r="C1848" t="s">
        <v>10</v>
      </c>
      <c r="D1848" t="s">
        <v>3722</v>
      </c>
      <c r="E1848" t="s">
        <v>3723</v>
      </c>
      <c r="G1848" s="1">
        <v>3.21</v>
      </c>
    </row>
    <row r="1849" spans="1:7" ht="14.25" hidden="1" customHeight="1" x14ac:dyDescent="0.45">
      <c r="A1849" t="str">
        <f>_xlfn.XLOOKUP(B1849,Ingot!$H$12:$H$119,Ingot!$G$12:$G$119,"")</f>
        <v>Metal</v>
      </c>
      <c r="B1849" t="s">
        <v>3599</v>
      </c>
      <c r="C1849" t="s">
        <v>10</v>
      </c>
      <c r="D1849" t="s">
        <v>3724</v>
      </c>
      <c r="E1849" t="s">
        <v>3725</v>
      </c>
      <c r="G1849" s="1">
        <v>2.77</v>
      </c>
    </row>
    <row r="1850" spans="1:7" ht="14.25" hidden="1" customHeight="1" x14ac:dyDescent="0.45">
      <c r="A1850" t="str">
        <f>_xlfn.XLOOKUP(B1850,Ingot!$H$12:$H$119,Ingot!$G$12:$G$119,"")</f>
        <v>Metal</v>
      </c>
      <c r="B1850" t="s">
        <v>3599</v>
      </c>
      <c r="C1850" t="s">
        <v>10</v>
      </c>
      <c r="D1850" t="s">
        <v>3726</v>
      </c>
      <c r="E1850" t="s">
        <v>3727</v>
      </c>
      <c r="G1850" s="1">
        <v>4.8899999999999997</v>
      </c>
    </row>
    <row r="1851" spans="1:7" ht="14.25" hidden="1" customHeight="1" x14ac:dyDescent="0.45">
      <c r="A1851" t="str">
        <f>_xlfn.XLOOKUP(B1851,Ingot!$H$12:$H$119,Ingot!$G$12:$G$119,"")</f>
        <v>Metal</v>
      </c>
      <c r="B1851" t="s">
        <v>3599</v>
      </c>
      <c r="C1851" t="s">
        <v>10</v>
      </c>
      <c r="D1851" t="s">
        <v>3728</v>
      </c>
      <c r="E1851" t="s">
        <v>3729</v>
      </c>
      <c r="G1851" s="1">
        <v>1.76</v>
      </c>
    </row>
    <row r="1852" spans="1:7" ht="14.25" hidden="1" customHeight="1" x14ac:dyDescent="0.45">
      <c r="A1852" t="str">
        <f>_xlfn.XLOOKUP(B1852,Ingot!$H$12:$H$119,Ingot!$G$12:$G$119,"")</f>
        <v>Metal</v>
      </c>
      <c r="B1852" t="s">
        <v>3599</v>
      </c>
      <c r="C1852" t="s">
        <v>10</v>
      </c>
      <c r="D1852" t="s">
        <v>3730</v>
      </c>
      <c r="E1852" t="s">
        <v>3731</v>
      </c>
    </row>
    <row r="1853" spans="1:7" ht="14.25" hidden="1" customHeight="1" x14ac:dyDescent="0.45">
      <c r="A1853" t="str">
        <f>_xlfn.XLOOKUP(B1853,Ingot!$H$12:$H$119,Ingot!$G$12:$G$119,"")</f>
        <v>Metal</v>
      </c>
      <c r="B1853" t="s">
        <v>3599</v>
      </c>
      <c r="C1853" t="s">
        <v>10</v>
      </c>
      <c r="D1853" t="s">
        <v>3732</v>
      </c>
      <c r="E1853" t="s">
        <v>3733</v>
      </c>
      <c r="G1853" s="1">
        <v>8.57</v>
      </c>
    </row>
    <row r="1854" spans="1:7" ht="14.25" hidden="1" customHeight="1" x14ac:dyDescent="0.45">
      <c r="A1854" t="str">
        <f>_xlfn.XLOOKUP(B1854,Ingot!$H$12:$H$119,Ingot!$G$12:$G$119,"")</f>
        <v>Metal</v>
      </c>
      <c r="B1854" t="s">
        <v>3599</v>
      </c>
      <c r="C1854" t="s">
        <v>10</v>
      </c>
      <c r="D1854" t="s">
        <v>3734</v>
      </c>
      <c r="E1854" t="s">
        <v>3735</v>
      </c>
    </row>
    <row r="1855" spans="1:7" ht="14.25" hidden="1" customHeight="1" x14ac:dyDescent="0.45">
      <c r="A1855" t="str">
        <f>_xlfn.XLOOKUP(B1855,Ingot!$H$12:$H$119,Ingot!$G$12:$G$119,"")</f>
        <v>Metal</v>
      </c>
      <c r="B1855" t="s">
        <v>3599</v>
      </c>
      <c r="C1855" t="s">
        <v>10</v>
      </c>
      <c r="D1855" t="s">
        <v>3736</v>
      </c>
      <c r="E1855" t="s">
        <v>3737</v>
      </c>
      <c r="G1855" s="1">
        <v>3.56</v>
      </c>
    </row>
    <row r="1856" spans="1:7" ht="14.25" hidden="1" customHeight="1" x14ac:dyDescent="0.45">
      <c r="A1856" t="str">
        <f>_xlfn.XLOOKUP(B1856,Ingot!$H$12:$H$119,Ingot!$G$12:$G$119,"")</f>
        <v>Metal</v>
      </c>
      <c r="B1856" t="s">
        <v>3599</v>
      </c>
      <c r="C1856" t="s">
        <v>10</v>
      </c>
      <c r="D1856" t="s">
        <v>3738</v>
      </c>
      <c r="E1856" t="s">
        <v>3739</v>
      </c>
      <c r="G1856" s="1">
        <v>8.91</v>
      </c>
    </row>
    <row r="1857" spans="1:7" ht="14.25" hidden="1" customHeight="1" x14ac:dyDescent="0.45">
      <c r="A1857" t="str">
        <f>_xlfn.XLOOKUP(B1857,Ingot!$H$12:$H$119,Ingot!$G$12:$G$119,"")</f>
        <v>Metal</v>
      </c>
      <c r="B1857" t="s">
        <v>3599</v>
      </c>
      <c r="C1857" t="s">
        <v>10</v>
      </c>
      <c r="D1857" t="s">
        <v>3740</v>
      </c>
      <c r="E1857" t="s">
        <v>3741</v>
      </c>
      <c r="G1857" s="1">
        <v>11.02</v>
      </c>
    </row>
    <row r="1858" spans="1:7" ht="14.25" hidden="1" customHeight="1" x14ac:dyDescent="0.45">
      <c r="A1858" t="str">
        <f>_xlfn.XLOOKUP(B1858,Ingot!$H$12:$H$119,Ingot!$G$12:$G$119,"")</f>
        <v>Metal</v>
      </c>
      <c r="B1858" t="s">
        <v>3599</v>
      </c>
      <c r="C1858" t="s">
        <v>10</v>
      </c>
      <c r="D1858" t="s">
        <v>3742</v>
      </c>
      <c r="E1858" t="s">
        <v>3743</v>
      </c>
      <c r="G1858" s="1">
        <v>5.12</v>
      </c>
    </row>
    <row r="1859" spans="1:7" ht="14.25" hidden="1" customHeight="1" x14ac:dyDescent="0.45">
      <c r="A1859" t="str">
        <f>_xlfn.XLOOKUP(B1859,Ingot!$H$12:$H$119,Ingot!$G$12:$G$119,"")</f>
        <v>Metal</v>
      </c>
      <c r="B1859" t="s">
        <v>3599</v>
      </c>
      <c r="C1859" t="s">
        <v>10</v>
      </c>
      <c r="D1859" t="s">
        <v>3744</v>
      </c>
      <c r="E1859" t="s">
        <v>3745</v>
      </c>
      <c r="G1859" s="1">
        <v>4.41</v>
      </c>
    </row>
    <row r="1860" spans="1:7" ht="14.25" hidden="1" customHeight="1" x14ac:dyDescent="0.45">
      <c r="A1860" t="str">
        <f>_xlfn.XLOOKUP(B1860,Ingot!$H$12:$H$119,Ingot!$G$12:$G$119,"")</f>
        <v>Metal</v>
      </c>
      <c r="B1860" t="s">
        <v>3599</v>
      </c>
      <c r="C1860" t="s">
        <v>157</v>
      </c>
      <c r="D1860" t="s">
        <v>3746</v>
      </c>
      <c r="E1860" t="s">
        <v>3747</v>
      </c>
      <c r="G1860" s="1">
        <v>33</v>
      </c>
    </row>
    <row r="1861" spans="1:7" ht="14.25" hidden="1" customHeight="1" x14ac:dyDescent="0.45">
      <c r="A1861" t="str">
        <f>_xlfn.XLOOKUP(B1861,Ingot!$H$12:$H$119,Ingot!$G$12:$G$119,"")</f>
        <v>Metal</v>
      </c>
      <c r="B1861" t="s">
        <v>3599</v>
      </c>
      <c r="C1861" t="s">
        <v>157</v>
      </c>
      <c r="D1861" t="s">
        <v>3748</v>
      </c>
      <c r="E1861" t="s">
        <v>3749</v>
      </c>
      <c r="G1861" s="1">
        <v>6.6</v>
      </c>
    </row>
    <row r="1862" spans="1:7" ht="14.25" hidden="1" customHeight="1" x14ac:dyDescent="0.45">
      <c r="A1862" t="str">
        <f>_xlfn.XLOOKUP(B1862,Ingot!$H$12:$H$119,Ingot!$G$12:$G$119,"")</f>
        <v>Metal</v>
      </c>
      <c r="B1862" t="s">
        <v>3599</v>
      </c>
      <c r="C1862" t="s">
        <v>157</v>
      </c>
      <c r="D1862" t="s">
        <v>3750</v>
      </c>
      <c r="E1862" t="s">
        <v>3751</v>
      </c>
      <c r="G1862" s="1">
        <v>6.6</v>
      </c>
    </row>
    <row r="1863" spans="1:7" ht="14.25" hidden="1" customHeight="1" x14ac:dyDescent="0.45">
      <c r="A1863" t="str">
        <f>_xlfn.XLOOKUP(B1863,Ingot!$H$12:$H$119,Ingot!$G$12:$G$119,"")</f>
        <v>Metal</v>
      </c>
      <c r="B1863" t="s">
        <v>3599</v>
      </c>
      <c r="C1863" t="s">
        <v>157</v>
      </c>
      <c r="D1863" t="s">
        <v>3752</v>
      </c>
      <c r="E1863" t="s">
        <v>3753</v>
      </c>
      <c r="G1863" s="1">
        <v>5</v>
      </c>
    </row>
    <row r="1864" spans="1:7" ht="14.25" hidden="1" customHeight="1" x14ac:dyDescent="0.45">
      <c r="A1864" t="str">
        <f>_xlfn.XLOOKUP(B1864,Ingot!$H$12:$H$119,Ingot!$G$12:$G$119,"")</f>
        <v>Metal</v>
      </c>
      <c r="B1864" t="s">
        <v>3599</v>
      </c>
      <c r="C1864" t="s">
        <v>157</v>
      </c>
      <c r="D1864" t="s">
        <v>3754</v>
      </c>
      <c r="E1864" t="s">
        <v>3755</v>
      </c>
      <c r="G1864" s="1">
        <v>10</v>
      </c>
    </row>
    <row r="1865" spans="1:7" ht="14.25" hidden="1" customHeight="1" x14ac:dyDescent="0.45">
      <c r="A1865" t="str">
        <f>_xlfn.XLOOKUP(B1865,Ingot!$H$12:$H$119,Ingot!$G$12:$G$119,"")</f>
        <v>Metal</v>
      </c>
      <c r="B1865" t="s">
        <v>3599</v>
      </c>
      <c r="C1865" t="s">
        <v>157</v>
      </c>
      <c r="D1865" t="s">
        <v>3756</v>
      </c>
      <c r="E1865" t="s">
        <v>3757</v>
      </c>
      <c r="G1865" s="1">
        <v>27.5</v>
      </c>
    </row>
    <row r="1866" spans="1:7" ht="14.25" hidden="1" customHeight="1" x14ac:dyDescent="0.45">
      <c r="A1866" t="str">
        <f>_xlfn.XLOOKUP(B1866,Ingot!$H$12:$H$119,Ingot!$G$12:$G$119,"")</f>
        <v>Metal</v>
      </c>
      <c r="B1866" t="s">
        <v>3599</v>
      </c>
      <c r="C1866" t="s">
        <v>157</v>
      </c>
      <c r="D1866" t="s">
        <v>3758</v>
      </c>
      <c r="E1866" t="s">
        <v>3759</v>
      </c>
      <c r="G1866" s="1">
        <v>5.5</v>
      </c>
    </row>
    <row r="1867" spans="1:7" ht="14.25" hidden="1" customHeight="1" x14ac:dyDescent="0.45">
      <c r="A1867" t="str">
        <f>_xlfn.XLOOKUP(B1867,Ingot!$H$12:$H$119,Ingot!$G$12:$G$119,"")</f>
        <v>Metal</v>
      </c>
      <c r="B1867" t="s">
        <v>3599</v>
      </c>
      <c r="C1867" t="s">
        <v>157</v>
      </c>
      <c r="D1867" t="s">
        <v>3760</v>
      </c>
      <c r="E1867" t="s">
        <v>3761</v>
      </c>
      <c r="G1867" s="1">
        <v>5.5</v>
      </c>
    </row>
    <row r="1868" spans="1:7" ht="14.25" hidden="1" customHeight="1" x14ac:dyDescent="0.45">
      <c r="A1868" t="str">
        <f>_xlfn.XLOOKUP(B1868,Ingot!$H$12:$H$119,Ingot!$G$12:$G$119,"")</f>
        <v>Metal</v>
      </c>
      <c r="B1868" t="s">
        <v>3599</v>
      </c>
      <c r="C1868" t="s">
        <v>157</v>
      </c>
      <c r="D1868" t="s">
        <v>3762</v>
      </c>
      <c r="E1868" t="s">
        <v>3763</v>
      </c>
      <c r="G1868" s="1">
        <v>5</v>
      </c>
    </row>
    <row r="1869" spans="1:7" ht="14.25" hidden="1" customHeight="1" x14ac:dyDescent="0.45">
      <c r="A1869" t="str">
        <f>_xlfn.XLOOKUP(B1869,Ingot!$H$12:$H$119,Ingot!$G$12:$G$119,"")</f>
        <v>Metal</v>
      </c>
      <c r="B1869" t="s">
        <v>3599</v>
      </c>
      <c r="C1869" t="s">
        <v>157</v>
      </c>
      <c r="D1869" t="s">
        <v>3764</v>
      </c>
      <c r="E1869" t="s">
        <v>3765</v>
      </c>
      <c r="G1869" s="1">
        <v>10</v>
      </c>
    </row>
    <row r="1870" spans="1:7" ht="14.25" hidden="1" customHeight="1" x14ac:dyDescent="0.45">
      <c r="A1870" t="str">
        <f>_xlfn.XLOOKUP(B1870,Ingot!$H$12:$H$119,Ingot!$G$12:$G$119,"")</f>
        <v>Metal</v>
      </c>
      <c r="B1870" t="s">
        <v>3599</v>
      </c>
      <c r="C1870" t="s">
        <v>157</v>
      </c>
      <c r="D1870" t="s">
        <v>3766</v>
      </c>
      <c r="E1870" t="s">
        <v>3767</v>
      </c>
      <c r="F1870" t="s">
        <v>180</v>
      </c>
      <c r="G1870" s="1">
        <v>26.5</v>
      </c>
    </row>
    <row r="1871" spans="1:7" ht="14.25" hidden="1" customHeight="1" x14ac:dyDescent="0.45">
      <c r="A1871" t="str">
        <f>_xlfn.XLOOKUP(B1871,Ingot!$H$12:$H$119,Ingot!$G$12:$G$119,"")</f>
        <v>Metal</v>
      </c>
      <c r="B1871" t="s">
        <v>3599</v>
      </c>
      <c r="C1871" t="s">
        <v>157</v>
      </c>
      <c r="D1871" t="s">
        <v>3768</v>
      </c>
      <c r="E1871" t="s">
        <v>3769</v>
      </c>
      <c r="F1871" t="s">
        <v>180</v>
      </c>
      <c r="G1871" s="1">
        <v>5.3</v>
      </c>
    </row>
    <row r="1872" spans="1:7" ht="14.25" hidden="1" customHeight="1" x14ac:dyDescent="0.45">
      <c r="A1872" t="str">
        <f>_xlfn.XLOOKUP(B1872,Ingot!$H$12:$H$119,Ingot!$G$12:$G$119,"")</f>
        <v>Metal</v>
      </c>
      <c r="B1872" t="s">
        <v>3599</v>
      </c>
      <c r="C1872" t="s">
        <v>157</v>
      </c>
      <c r="D1872" t="s">
        <v>3770</v>
      </c>
      <c r="E1872" t="s">
        <v>3771</v>
      </c>
      <c r="F1872" t="s">
        <v>180</v>
      </c>
      <c r="G1872" s="1">
        <v>5.3</v>
      </c>
    </row>
    <row r="1873" spans="1:7" ht="14.25" hidden="1" customHeight="1" x14ac:dyDescent="0.45">
      <c r="A1873" t="str">
        <f>_xlfn.XLOOKUP(B1873,Ingot!$H$12:$H$119,Ingot!$G$12:$G$119,"")</f>
        <v>Metal</v>
      </c>
      <c r="B1873" t="s">
        <v>3599</v>
      </c>
      <c r="C1873" t="s">
        <v>157</v>
      </c>
      <c r="D1873" t="s">
        <v>3772</v>
      </c>
      <c r="E1873" t="s">
        <v>3773</v>
      </c>
      <c r="F1873" t="s">
        <v>180</v>
      </c>
      <c r="G1873" s="1">
        <v>5</v>
      </c>
    </row>
    <row r="1874" spans="1:7" ht="14.25" hidden="1" customHeight="1" x14ac:dyDescent="0.45">
      <c r="A1874" t="str">
        <f>_xlfn.XLOOKUP(B1874,Ingot!$H$12:$H$119,Ingot!$G$12:$G$119,"")</f>
        <v>Metal</v>
      </c>
      <c r="B1874" t="s">
        <v>3599</v>
      </c>
      <c r="C1874" t="s">
        <v>157</v>
      </c>
      <c r="D1874" t="s">
        <v>3774</v>
      </c>
      <c r="E1874" t="s">
        <v>3775</v>
      </c>
      <c r="F1874" t="s">
        <v>180</v>
      </c>
      <c r="G1874" s="1">
        <v>10</v>
      </c>
    </row>
    <row r="1875" spans="1:7" ht="14.25" hidden="1" customHeight="1" x14ac:dyDescent="0.45">
      <c r="A1875" t="str">
        <f>_xlfn.XLOOKUP(B1875,Ingot!$H$12:$H$119,Ingot!$G$12:$G$119,"")</f>
        <v>Metal</v>
      </c>
      <c r="B1875" t="s">
        <v>3599</v>
      </c>
      <c r="C1875" t="s">
        <v>157</v>
      </c>
      <c r="D1875" t="s">
        <v>3776</v>
      </c>
      <c r="E1875" t="s">
        <v>3777</v>
      </c>
      <c r="G1875" s="1">
        <v>29</v>
      </c>
    </row>
    <row r="1876" spans="1:7" ht="14.25" hidden="1" customHeight="1" x14ac:dyDescent="0.45">
      <c r="A1876" t="str">
        <f>_xlfn.XLOOKUP(B1876,Ingot!$H$12:$H$119,Ingot!$G$12:$G$119,"")</f>
        <v>Metal</v>
      </c>
      <c r="B1876" t="s">
        <v>3599</v>
      </c>
      <c r="C1876" t="s">
        <v>157</v>
      </c>
      <c r="D1876" t="s">
        <v>3778</v>
      </c>
      <c r="E1876" t="s">
        <v>3779</v>
      </c>
      <c r="G1876" s="1">
        <v>5.8</v>
      </c>
    </row>
    <row r="1877" spans="1:7" ht="14.25" hidden="1" customHeight="1" x14ac:dyDescent="0.45">
      <c r="A1877" t="str">
        <f>_xlfn.XLOOKUP(B1877,Ingot!$H$12:$H$119,Ingot!$G$12:$G$119,"")</f>
        <v>Metal</v>
      </c>
      <c r="B1877" t="s">
        <v>3599</v>
      </c>
      <c r="C1877" t="s">
        <v>157</v>
      </c>
      <c r="D1877" t="s">
        <v>3780</v>
      </c>
      <c r="E1877" t="s">
        <v>3781</v>
      </c>
      <c r="G1877" s="1">
        <v>5.8</v>
      </c>
    </row>
    <row r="1878" spans="1:7" ht="14.25" hidden="1" customHeight="1" x14ac:dyDescent="0.45">
      <c r="A1878" t="str">
        <f>_xlfn.XLOOKUP(B1878,Ingot!$H$12:$H$119,Ingot!$G$12:$G$119,"")</f>
        <v>Metal</v>
      </c>
      <c r="B1878" t="s">
        <v>3599</v>
      </c>
      <c r="C1878" t="s">
        <v>157</v>
      </c>
      <c r="D1878" t="s">
        <v>3782</v>
      </c>
      <c r="E1878" t="s">
        <v>3783</v>
      </c>
      <c r="G1878" s="1">
        <v>5</v>
      </c>
    </row>
    <row r="1879" spans="1:7" ht="14.25" hidden="1" customHeight="1" x14ac:dyDescent="0.45">
      <c r="A1879" t="str">
        <f>_xlfn.XLOOKUP(B1879,Ingot!$H$12:$H$119,Ingot!$G$12:$G$119,"")</f>
        <v>Metal</v>
      </c>
      <c r="B1879" t="s">
        <v>3599</v>
      </c>
      <c r="C1879" t="s">
        <v>157</v>
      </c>
      <c r="D1879" t="s">
        <v>3784</v>
      </c>
      <c r="E1879" t="s">
        <v>3785</v>
      </c>
      <c r="G1879" s="1">
        <v>10</v>
      </c>
    </row>
    <row r="1880" spans="1:7" ht="14.25" hidden="1" customHeight="1" x14ac:dyDescent="0.45">
      <c r="A1880" t="str">
        <f>_xlfn.XLOOKUP(B1880,Ingot!$H$12:$H$119,Ingot!$G$12:$G$119,"")</f>
        <v>Metal</v>
      </c>
      <c r="B1880" t="s">
        <v>3599</v>
      </c>
      <c r="C1880" t="s">
        <v>157</v>
      </c>
      <c r="D1880" t="s">
        <v>3786</v>
      </c>
      <c r="E1880" t="s">
        <v>3787</v>
      </c>
      <c r="G1880" s="1">
        <v>31</v>
      </c>
    </row>
    <row r="1881" spans="1:7" ht="14.25" hidden="1" customHeight="1" x14ac:dyDescent="0.45">
      <c r="A1881" t="str">
        <f>_xlfn.XLOOKUP(B1881,Ingot!$H$12:$H$119,Ingot!$G$12:$G$119,"")</f>
        <v>Metal</v>
      </c>
      <c r="B1881" t="s">
        <v>3599</v>
      </c>
      <c r="C1881" t="s">
        <v>157</v>
      </c>
      <c r="D1881" t="s">
        <v>3788</v>
      </c>
      <c r="E1881" t="s">
        <v>3789</v>
      </c>
      <c r="F1881" t="s">
        <v>180</v>
      </c>
      <c r="G1881" s="1">
        <v>6.2</v>
      </c>
    </row>
    <row r="1882" spans="1:7" ht="14.25" hidden="1" customHeight="1" x14ac:dyDescent="0.45">
      <c r="A1882" t="str">
        <f>_xlfn.XLOOKUP(B1882,Ingot!$H$12:$H$119,Ingot!$G$12:$G$119,"")</f>
        <v>Metal</v>
      </c>
      <c r="B1882" t="s">
        <v>3599</v>
      </c>
      <c r="C1882" t="s">
        <v>157</v>
      </c>
      <c r="D1882" t="s">
        <v>3790</v>
      </c>
      <c r="E1882" t="s">
        <v>3791</v>
      </c>
      <c r="F1882" t="s">
        <v>180</v>
      </c>
      <c r="G1882" s="1">
        <v>6.2</v>
      </c>
    </row>
    <row r="1883" spans="1:7" ht="14.25" hidden="1" customHeight="1" x14ac:dyDescent="0.45">
      <c r="A1883" t="str">
        <f>_xlfn.XLOOKUP(B1883,Ingot!$H$12:$H$119,Ingot!$G$12:$G$119,"")</f>
        <v>Metal</v>
      </c>
      <c r="B1883" t="s">
        <v>3599</v>
      </c>
      <c r="C1883" t="s">
        <v>157</v>
      </c>
      <c r="D1883" t="s">
        <v>3792</v>
      </c>
      <c r="E1883" t="s">
        <v>3793</v>
      </c>
      <c r="F1883" t="s">
        <v>180</v>
      </c>
      <c r="G1883" s="1">
        <v>5</v>
      </c>
    </row>
    <row r="1884" spans="1:7" ht="14.25" hidden="1" customHeight="1" x14ac:dyDescent="0.45">
      <c r="A1884" t="str">
        <f>_xlfn.XLOOKUP(B1884,Ingot!$H$12:$H$119,Ingot!$G$12:$G$119,"")</f>
        <v>Metal</v>
      </c>
      <c r="B1884" t="s">
        <v>3599</v>
      </c>
      <c r="C1884" t="s">
        <v>157</v>
      </c>
      <c r="D1884" t="s">
        <v>3794</v>
      </c>
      <c r="E1884" t="s">
        <v>3795</v>
      </c>
      <c r="G1884" s="1">
        <v>10</v>
      </c>
    </row>
    <row r="1885" spans="1:7" ht="14.25" hidden="1" customHeight="1" x14ac:dyDescent="0.45">
      <c r="A1885" t="str">
        <f>_xlfn.XLOOKUP(B1885,Ingot!$H$12:$H$119,Ingot!$G$12:$G$119,"")</f>
        <v>Metal</v>
      </c>
      <c r="B1885" t="s">
        <v>3599</v>
      </c>
      <c r="C1885" t="s">
        <v>157</v>
      </c>
      <c r="D1885" t="s">
        <v>3796</v>
      </c>
      <c r="E1885" t="s">
        <v>3797</v>
      </c>
      <c r="G1885" s="1">
        <v>36</v>
      </c>
    </row>
    <row r="1886" spans="1:7" ht="14.25" hidden="1" customHeight="1" x14ac:dyDescent="0.45">
      <c r="A1886" t="str">
        <f>_xlfn.XLOOKUP(B1886,Ingot!$H$12:$H$119,Ingot!$G$12:$G$119,"")</f>
        <v>Metal</v>
      </c>
      <c r="B1886" t="s">
        <v>3599</v>
      </c>
      <c r="C1886" t="s">
        <v>157</v>
      </c>
      <c r="D1886" t="s">
        <v>3798</v>
      </c>
      <c r="E1886" t="s">
        <v>3799</v>
      </c>
      <c r="G1886" s="1">
        <v>7.2</v>
      </c>
    </row>
    <row r="1887" spans="1:7" ht="14.25" hidden="1" customHeight="1" x14ac:dyDescent="0.45">
      <c r="A1887" t="str">
        <f>_xlfn.XLOOKUP(B1887,Ingot!$H$12:$H$119,Ingot!$G$12:$G$119,"")</f>
        <v>Metal</v>
      </c>
      <c r="B1887" t="s">
        <v>3599</v>
      </c>
      <c r="C1887" t="s">
        <v>157</v>
      </c>
      <c r="D1887" t="s">
        <v>3800</v>
      </c>
      <c r="E1887" t="s">
        <v>3801</v>
      </c>
      <c r="G1887" s="1">
        <v>7.2</v>
      </c>
    </row>
    <row r="1888" spans="1:7" ht="14.25" hidden="1" customHeight="1" x14ac:dyDescent="0.45">
      <c r="A1888" t="str">
        <f>_xlfn.XLOOKUP(B1888,Ingot!$H$12:$H$119,Ingot!$G$12:$G$119,"")</f>
        <v>Metal</v>
      </c>
      <c r="B1888" t="s">
        <v>3599</v>
      </c>
      <c r="C1888" t="s">
        <v>157</v>
      </c>
      <c r="D1888" t="s">
        <v>3802</v>
      </c>
      <c r="E1888" t="s">
        <v>3803</v>
      </c>
      <c r="G1888" s="1">
        <v>5</v>
      </c>
    </row>
    <row r="1889" spans="1:7" ht="14.25" hidden="1" customHeight="1" x14ac:dyDescent="0.45">
      <c r="A1889" t="str">
        <f>_xlfn.XLOOKUP(B1889,Ingot!$H$12:$H$119,Ingot!$G$12:$G$119,"")</f>
        <v>Metal</v>
      </c>
      <c r="B1889" t="s">
        <v>3599</v>
      </c>
      <c r="C1889" t="s">
        <v>157</v>
      </c>
      <c r="D1889" t="s">
        <v>3804</v>
      </c>
      <c r="E1889" t="s">
        <v>3805</v>
      </c>
      <c r="G1889" s="1">
        <v>10</v>
      </c>
    </row>
    <row r="1890" spans="1:7" ht="14.25" hidden="1" customHeight="1" x14ac:dyDescent="0.45">
      <c r="A1890" t="str">
        <f>_xlfn.XLOOKUP(B1890,Ingot!$H$12:$H$119,Ingot!$G$12:$G$119,"")</f>
        <v>Metal</v>
      </c>
      <c r="B1890" t="s">
        <v>3599</v>
      </c>
      <c r="C1890" t="s">
        <v>157</v>
      </c>
      <c r="D1890" t="s">
        <v>3806</v>
      </c>
      <c r="E1890" t="s">
        <v>3807</v>
      </c>
      <c r="G1890" s="1">
        <v>35.5</v>
      </c>
    </row>
    <row r="1891" spans="1:7" ht="14.25" hidden="1" customHeight="1" x14ac:dyDescent="0.45">
      <c r="A1891" t="str">
        <f>_xlfn.XLOOKUP(B1891,Ingot!$H$12:$H$119,Ingot!$G$12:$G$119,"")</f>
        <v>Metal</v>
      </c>
      <c r="B1891" t="s">
        <v>3599</v>
      </c>
      <c r="C1891" t="s">
        <v>157</v>
      </c>
      <c r="D1891" t="s">
        <v>3808</v>
      </c>
      <c r="E1891" t="s">
        <v>3809</v>
      </c>
      <c r="G1891" s="1">
        <v>7.1</v>
      </c>
    </row>
    <row r="1892" spans="1:7" ht="14.25" hidden="1" customHeight="1" x14ac:dyDescent="0.45">
      <c r="A1892" t="str">
        <f>_xlfn.XLOOKUP(B1892,Ingot!$H$12:$H$119,Ingot!$G$12:$G$119,"")</f>
        <v>Metal</v>
      </c>
      <c r="B1892" t="s">
        <v>3599</v>
      </c>
      <c r="C1892" t="s">
        <v>157</v>
      </c>
      <c r="D1892" t="s">
        <v>3810</v>
      </c>
      <c r="E1892" t="s">
        <v>3811</v>
      </c>
      <c r="G1892" s="1">
        <v>7.1</v>
      </c>
    </row>
    <row r="1893" spans="1:7" ht="14.25" hidden="1" customHeight="1" x14ac:dyDescent="0.45">
      <c r="A1893" t="str">
        <f>_xlfn.XLOOKUP(B1893,Ingot!$H$12:$H$119,Ingot!$G$12:$G$119,"")</f>
        <v>Metal</v>
      </c>
      <c r="B1893" t="s">
        <v>3599</v>
      </c>
      <c r="C1893" t="s">
        <v>157</v>
      </c>
      <c r="D1893" t="s">
        <v>3812</v>
      </c>
      <c r="E1893" t="s">
        <v>3813</v>
      </c>
      <c r="G1893" s="1">
        <v>5</v>
      </c>
    </row>
    <row r="1894" spans="1:7" ht="14.25" hidden="1" customHeight="1" x14ac:dyDescent="0.45">
      <c r="A1894" t="str">
        <f>_xlfn.XLOOKUP(B1894,Ingot!$H$12:$H$119,Ingot!$G$12:$G$119,"")</f>
        <v>Metal</v>
      </c>
      <c r="B1894" t="s">
        <v>3599</v>
      </c>
      <c r="C1894" t="s">
        <v>157</v>
      </c>
      <c r="D1894" t="s">
        <v>3814</v>
      </c>
      <c r="E1894" t="s">
        <v>3815</v>
      </c>
      <c r="G1894" s="1">
        <v>10</v>
      </c>
    </row>
    <row r="1895" spans="1:7" ht="14.25" hidden="1" customHeight="1" x14ac:dyDescent="0.45">
      <c r="A1895" t="str">
        <f>_xlfn.XLOOKUP(B1895,Ingot!$H$12:$H$119,Ingot!$G$12:$G$119,"")</f>
        <v>Metal</v>
      </c>
      <c r="B1895" t="s">
        <v>3599</v>
      </c>
      <c r="C1895" t="s">
        <v>157</v>
      </c>
      <c r="D1895" t="s">
        <v>3816</v>
      </c>
      <c r="E1895" t="s">
        <v>3817</v>
      </c>
      <c r="F1895" t="s">
        <v>180</v>
      </c>
      <c r="G1895" s="1">
        <v>25</v>
      </c>
    </row>
    <row r="1896" spans="1:7" ht="14.25" hidden="1" customHeight="1" x14ac:dyDescent="0.45">
      <c r="A1896" t="str">
        <f>_xlfn.XLOOKUP(B1896,Ingot!$H$12:$H$119,Ingot!$G$12:$G$119,"")</f>
        <v>Metal</v>
      </c>
      <c r="B1896" t="s">
        <v>3599</v>
      </c>
      <c r="C1896" t="s">
        <v>157</v>
      </c>
      <c r="D1896" t="s">
        <v>3818</v>
      </c>
      <c r="E1896" t="s">
        <v>3819</v>
      </c>
      <c r="F1896" t="s">
        <v>180</v>
      </c>
      <c r="G1896" s="1">
        <v>5</v>
      </c>
    </row>
    <row r="1897" spans="1:7" ht="14.25" hidden="1" customHeight="1" x14ac:dyDescent="0.45">
      <c r="A1897" t="str">
        <f>_xlfn.XLOOKUP(B1897,Ingot!$H$12:$H$119,Ingot!$G$12:$G$119,"")</f>
        <v>Metal</v>
      </c>
      <c r="B1897" t="s">
        <v>3599</v>
      </c>
      <c r="C1897" t="s">
        <v>157</v>
      </c>
      <c r="D1897" t="s">
        <v>3820</v>
      </c>
      <c r="E1897" t="s">
        <v>3821</v>
      </c>
      <c r="F1897" t="s">
        <v>180</v>
      </c>
      <c r="G1897" s="1">
        <v>5</v>
      </c>
    </row>
    <row r="1898" spans="1:7" ht="14.25" hidden="1" customHeight="1" x14ac:dyDescent="0.45">
      <c r="A1898" t="str">
        <f>_xlfn.XLOOKUP(B1898,Ingot!$H$12:$H$119,Ingot!$G$12:$G$119,"")</f>
        <v>Metal</v>
      </c>
      <c r="B1898" t="s">
        <v>3599</v>
      </c>
      <c r="C1898" t="s">
        <v>157</v>
      </c>
      <c r="D1898" t="s">
        <v>3822</v>
      </c>
      <c r="E1898" t="s">
        <v>3823</v>
      </c>
      <c r="F1898" t="s">
        <v>180</v>
      </c>
      <c r="G1898" s="1">
        <v>5</v>
      </c>
    </row>
    <row r="1899" spans="1:7" ht="14.25" hidden="1" customHeight="1" x14ac:dyDescent="0.45">
      <c r="A1899" t="str">
        <f>_xlfn.XLOOKUP(B1899,Ingot!$H$12:$H$119,Ingot!$G$12:$G$119,"")</f>
        <v>Metal</v>
      </c>
      <c r="B1899" t="s">
        <v>3599</v>
      </c>
      <c r="C1899" t="s">
        <v>157</v>
      </c>
      <c r="D1899" t="s">
        <v>3824</v>
      </c>
      <c r="E1899" t="s">
        <v>3825</v>
      </c>
      <c r="F1899" t="s">
        <v>180</v>
      </c>
      <c r="G1899" s="1">
        <v>10</v>
      </c>
    </row>
    <row r="1900" spans="1:7" ht="14.25" hidden="1" customHeight="1" x14ac:dyDescent="0.45">
      <c r="A1900" t="str">
        <f>_xlfn.XLOOKUP(B1900,Ingot!$H$12:$H$119,Ingot!$G$12:$G$119,"")</f>
        <v>Metal</v>
      </c>
      <c r="B1900" t="s">
        <v>3599</v>
      </c>
      <c r="C1900" t="s">
        <v>239</v>
      </c>
      <c r="D1900" t="s">
        <v>3826</v>
      </c>
      <c r="E1900" t="s">
        <v>3827</v>
      </c>
      <c r="G1900" s="1">
        <f>(VLOOKUP(B1900,Ingot!H:I,2,FALSE()) * 0.75) * 0.75</f>
        <v>5.0625</v>
      </c>
    </row>
    <row r="1901" spans="1:7" ht="14.25" hidden="1" customHeight="1" x14ac:dyDescent="0.45">
      <c r="A1901" t="str">
        <f>_xlfn.XLOOKUP(B1901,Ingot!$H$12:$H$119,Ingot!$G$12:$G$119,"")</f>
        <v>Metal</v>
      </c>
      <c r="B1901" t="s">
        <v>3599</v>
      </c>
      <c r="C1901" t="s">
        <v>239</v>
      </c>
      <c r="D1901" t="s">
        <v>3828</v>
      </c>
      <c r="E1901" t="s">
        <v>3829</v>
      </c>
      <c r="G1901" s="1">
        <f>((VLOOKUP(B1901,Ingot!H:I,2,FALSE()) * 3) - 10.25) * 0.421875</f>
        <v>7.06640625</v>
      </c>
    </row>
    <row r="1902" spans="1:7" ht="14.25" hidden="1" customHeight="1" x14ac:dyDescent="0.45">
      <c r="A1902" t="str">
        <f>_xlfn.XLOOKUP(B1902,Ingot!$H$12:$H$119,Ingot!$G$12:$G$119,"")</f>
        <v>Metal</v>
      </c>
      <c r="B1902" t="s">
        <v>3599</v>
      </c>
      <c r="C1902" t="s">
        <v>239</v>
      </c>
      <c r="D1902" t="s">
        <v>3830</v>
      </c>
      <c r="E1902" t="s">
        <v>3831</v>
      </c>
      <c r="G1902" s="1">
        <f>((VLOOKUP(B1902,Ingot!H:I,2,FALSE()) * 3) - 10.25) * 0.75</f>
        <v>12.5625</v>
      </c>
    </row>
    <row r="1903" spans="1:7" ht="14.25" hidden="1" customHeight="1" x14ac:dyDescent="0.45">
      <c r="A1903" t="str">
        <f>_xlfn.XLOOKUP(B1903,Ingot!$H$12:$H$119,Ingot!$G$12:$G$119,"")</f>
        <v>Metal</v>
      </c>
      <c r="B1903" t="s">
        <v>3599</v>
      </c>
      <c r="C1903" t="s">
        <v>239</v>
      </c>
      <c r="D1903" t="s">
        <v>3832</v>
      </c>
      <c r="E1903" t="s">
        <v>3833</v>
      </c>
      <c r="G1903" s="1">
        <f>((VLOOKUP(B1903,Ingot!H:I,2,FALSE()) * 3) - 10.25) * 0.5625</f>
        <v>9.421875</v>
      </c>
    </row>
    <row r="1904" spans="1:7" ht="14.25" hidden="1" customHeight="1" x14ac:dyDescent="0.45">
      <c r="A1904" t="str">
        <f>_xlfn.XLOOKUP(B1904,Ingot!$H$12:$H$119,Ingot!$G$12:$G$119,"")</f>
        <v>Metal</v>
      </c>
      <c r="B1904" t="s">
        <v>3599</v>
      </c>
      <c r="C1904" t="s">
        <v>239</v>
      </c>
      <c r="D1904" t="s">
        <v>3834</v>
      </c>
      <c r="E1904" t="s">
        <v>3835</v>
      </c>
      <c r="G1904" s="1">
        <f>VLOOKUP(B1904,Ingot!H:I,2,FALSE()) * 0.75</f>
        <v>6.75</v>
      </c>
    </row>
    <row r="1905" spans="1:7" ht="14.25" hidden="1" customHeight="1" x14ac:dyDescent="0.45">
      <c r="A1905" t="str">
        <f>_xlfn.XLOOKUP(B1905,Ingot!$H$12:$H$119,Ingot!$G$12:$G$119,"")</f>
        <v>Metal</v>
      </c>
      <c r="B1905" t="s">
        <v>3599</v>
      </c>
      <c r="C1905" t="s">
        <v>239</v>
      </c>
      <c r="D1905" t="s">
        <v>3836</v>
      </c>
      <c r="E1905" t="s">
        <v>3837</v>
      </c>
      <c r="G1905" s="1">
        <f>(VLOOKUP(B1905,Ingot!H:I,2,FALSE()) * 3) - 10.25</f>
        <v>16.75</v>
      </c>
    </row>
    <row r="1906" spans="1:7" ht="14.25" hidden="1" customHeight="1" x14ac:dyDescent="0.45">
      <c r="A1906" t="str">
        <f>_xlfn.XLOOKUP(B1906,Ingot!$H$12:$H$119,Ingot!$G$12:$G$119,"")</f>
        <v>Stone</v>
      </c>
      <c r="B1906" t="s">
        <v>3838</v>
      </c>
      <c r="C1906" t="s">
        <v>10</v>
      </c>
      <c r="D1906" t="s">
        <v>3839</v>
      </c>
      <c r="E1906" t="s">
        <v>3840</v>
      </c>
      <c r="G1906" s="1">
        <v>0.08</v>
      </c>
    </row>
    <row r="1907" spans="1:7" ht="14.25" hidden="1" customHeight="1" x14ac:dyDescent="0.45">
      <c r="A1907" t="str">
        <f>_xlfn.XLOOKUP(B1907,Ingot!$H$12:$H$119,Ingot!$G$12:$G$119,"")</f>
        <v>Stone</v>
      </c>
      <c r="B1907" t="s">
        <v>3838</v>
      </c>
      <c r="C1907" t="s">
        <v>10</v>
      </c>
      <c r="D1907" t="s">
        <v>3841</v>
      </c>
      <c r="E1907" t="s">
        <v>3842</v>
      </c>
      <c r="G1907" s="1">
        <v>9.9</v>
      </c>
    </row>
    <row r="1908" spans="1:7" ht="14.25" hidden="1" customHeight="1" x14ac:dyDescent="0.45">
      <c r="A1908" t="str">
        <f>_xlfn.XLOOKUP(B1908,Ingot!$H$12:$H$119,Ingot!$G$12:$G$119,"")</f>
        <v>Stone</v>
      </c>
      <c r="B1908" t="s">
        <v>3838</v>
      </c>
      <c r="C1908" t="s">
        <v>10</v>
      </c>
      <c r="D1908" t="s">
        <v>3843</v>
      </c>
      <c r="E1908" t="s">
        <v>3844</v>
      </c>
      <c r="G1908" s="1">
        <v>5.66</v>
      </c>
    </row>
    <row r="1909" spans="1:7" ht="14.25" hidden="1" customHeight="1" x14ac:dyDescent="0.45">
      <c r="A1909" t="str">
        <f>_xlfn.XLOOKUP(B1909,Ingot!$H$12:$H$119,Ingot!$G$12:$G$119,"")</f>
        <v>Stone</v>
      </c>
      <c r="B1909" t="s">
        <v>3838</v>
      </c>
      <c r="C1909" t="s">
        <v>10</v>
      </c>
      <c r="D1909" t="s">
        <v>3845</v>
      </c>
      <c r="E1909" t="s">
        <v>3846</v>
      </c>
      <c r="G1909" s="1">
        <v>3.3</v>
      </c>
    </row>
    <row r="1910" spans="1:7" ht="14.25" hidden="1" customHeight="1" x14ac:dyDescent="0.45">
      <c r="A1910" t="str">
        <f>_xlfn.XLOOKUP(B1910,Ingot!$H$12:$H$119,Ingot!$G$12:$G$119,"")</f>
        <v>Stone</v>
      </c>
      <c r="B1910" t="s">
        <v>3838</v>
      </c>
      <c r="C1910" t="s">
        <v>10</v>
      </c>
      <c r="D1910" t="s">
        <v>3847</v>
      </c>
      <c r="E1910" t="s">
        <v>3848</v>
      </c>
      <c r="G1910" s="1">
        <v>0.66</v>
      </c>
    </row>
    <row r="1911" spans="1:7" ht="14.25" hidden="1" customHeight="1" x14ac:dyDescent="0.45">
      <c r="A1911" t="str">
        <f>_xlfn.XLOOKUP(B1911,Ingot!$H$12:$H$119,Ingot!$G$12:$G$119,"")</f>
        <v>Stone</v>
      </c>
      <c r="B1911" t="s">
        <v>3838</v>
      </c>
      <c r="C1911" t="s">
        <v>10</v>
      </c>
      <c r="D1911" t="s">
        <v>3849</v>
      </c>
      <c r="E1911" t="s">
        <v>3850</v>
      </c>
      <c r="G1911" s="1">
        <v>0.04</v>
      </c>
    </row>
    <row r="1912" spans="1:7" ht="14.25" hidden="1" customHeight="1" x14ac:dyDescent="0.45">
      <c r="A1912" t="str">
        <f>_xlfn.XLOOKUP(B1912,Ingot!$H$12:$H$119,Ingot!$G$12:$G$119,"")</f>
        <v>Stone</v>
      </c>
      <c r="B1912" t="s">
        <v>3838</v>
      </c>
      <c r="C1912" t="s">
        <v>10</v>
      </c>
      <c r="D1912" t="s">
        <v>3851</v>
      </c>
      <c r="E1912" t="s">
        <v>3852</v>
      </c>
      <c r="G1912" s="1">
        <v>0.33</v>
      </c>
    </row>
    <row r="1913" spans="1:7" ht="14.25" hidden="1" customHeight="1" x14ac:dyDescent="0.45">
      <c r="A1913" t="str">
        <f>_xlfn.XLOOKUP(B1913,Ingot!$H$12:$H$119,Ingot!$G$12:$G$119,"")</f>
        <v>Stone</v>
      </c>
      <c r="B1913" t="s">
        <v>3838</v>
      </c>
      <c r="C1913" t="s">
        <v>10</v>
      </c>
      <c r="D1913" t="s">
        <v>3853</v>
      </c>
      <c r="E1913" t="s">
        <v>3854</v>
      </c>
    </row>
    <row r="1914" spans="1:7" ht="14.25" hidden="1" customHeight="1" x14ac:dyDescent="0.45">
      <c r="A1914" t="str">
        <f>_xlfn.XLOOKUP(B1914,Ingot!$H$12:$H$119,Ingot!$G$12:$G$119,"")</f>
        <v>Stone</v>
      </c>
      <c r="B1914" t="s">
        <v>3838</v>
      </c>
      <c r="C1914" t="s">
        <v>10</v>
      </c>
      <c r="D1914" t="s">
        <v>3855</v>
      </c>
      <c r="E1914" t="s">
        <v>3856</v>
      </c>
      <c r="G1914" s="1">
        <v>0.05</v>
      </c>
    </row>
    <row r="1915" spans="1:7" ht="14.25" hidden="1" customHeight="1" x14ac:dyDescent="0.45">
      <c r="A1915" t="str">
        <f>_xlfn.XLOOKUP(B1915,Ingot!$H$12:$H$119,Ingot!$G$12:$G$119,"")</f>
        <v>Stone</v>
      </c>
      <c r="B1915" t="s">
        <v>3838</v>
      </c>
      <c r="C1915" t="s">
        <v>10</v>
      </c>
      <c r="D1915" t="s">
        <v>3857</v>
      </c>
      <c r="E1915" t="s">
        <v>3858</v>
      </c>
      <c r="G1915" s="1">
        <v>0.66</v>
      </c>
    </row>
    <row r="1916" spans="1:7" ht="14.25" hidden="1" customHeight="1" x14ac:dyDescent="0.45">
      <c r="A1916" t="str">
        <f>_xlfn.XLOOKUP(B1916,Ingot!$H$12:$H$119,Ingot!$G$12:$G$119,"")</f>
        <v>Stone</v>
      </c>
      <c r="B1916" t="s">
        <v>3838</v>
      </c>
      <c r="C1916" t="s">
        <v>10</v>
      </c>
      <c r="D1916" t="s">
        <v>3859</v>
      </c>
      <c r="E1916" t="s">
        <v>3860</v>
      </c>
      <c r="G1916" s="1">
        <v>3.96</v>
      </c>
    </row>
    <row r="1917" spans="1:7" ht="14.25" hidden="1" customHeight="1" x14ac:dyDescent="0.45">
      <c r="A1917" t="str">
        <f>_xlfn.XLOOKUP(B1917,Ingot!$H$12:$H$119,Ingot!$G$12:$G$119,"")</f>
        <v>Stone</v>
      </c>
      <c r="B1917" t="s">
        <v>3838</v>
      </c>
      <c r="C1917" t="s">
        <v>10</v>
      </c>
      <c r="D1917" t="s">
        <v>3861</v>
      </c>
      <c r="E1917" t="s">
        <v>3862</v>
      </c>
      <c r="G1917" s="1">
        <v>8.77</v>
      </c>
    </row>
    <row r="1918" spans="1:7" ht="14.25" hidden="1" customHeight="1" x14ac:dyDescent="0.45">
      <c r="A1918" t="str">
        <f>_xlfn.XLOOKUP(B1918,Ingot!$H$12:$H$119,Ingot!$G$12:$G$119,"")</f>
        <v>Stone</v>
      </c>
      <c r="B1918" t="s">
        <v>3838</v>
      </c>
      <c r="C1918" t="s">
        <v>10</v>
      </c>
      <c r="D1918" t="s">
        <v>3863</v>
      </c>
      <c r="E1918" t="s">
        <v>3864</v>
      </c>
      <c r="G1918" s="1">
        <v>3.5</v>
      </c>
    </row>
    <row r="1919" spans="1:7" ht="14.25" hidden="1" customHeight="1" x14ac:dyDescent="0.45">
      <c r="A1919" t="str">
        <f>_xlfn.XLOOKUP(B1919,Ingot!$H$12:$H$119,Ingot!$G$12:$G$119,"")</f>
        <v>Stone</v>
      </c>
      <c r="B1919" t="s">
        <v>3838</v>
      </c>
      <c r="C1919" t="s">
        <v>10</v>
      </c>
      <c r="D1919" t="s">
        <v>3865</v>
      </c>
      <c r="E1919" t="s">
        <v>3866</v>
      </c>
    </row>
    <row r="1920" spans="1:7" ht="14.25" hidden="1" customHeight="1" x14ac:dyDescent="0.45">
      <c r="A1920" t="str">
        <f>_xlfn.XLOOKUP(B1920,Ingot!$H$12:$H$119,Ingot!$G$12:$G$119,"")</f>
        <v>Stone</v>
      </c>
      <c r="B1920" t="s">
        <v>3838</v>
      </c>
      <c r="C1920" t="s">
        <v>10</v>
      </c>
      <c r="D1920" t="s">
        <v>3867</v>
      </c>
      <c r="E1920" t="s">
        <v>3868</v>
      </c>
      <c r="G1920" s="1">
        <v>2.2000000000000002</v>
      </c>
    </row>
    <row r="1921" spans="1:7" ht="14.25" hidden="1" customHeight="1" x14ac:dyDescent="0.45">
      <c r="A1921" t="str">
        <f>_xlfn.XLOOKUP(B1921,Ingot!$H$12:$H$119,Ingot!$G$12:$G$119,"")</f>
        <v>Stone</v>
      </c>
      <c r="B1921" t="s">
        <v>3838</v>
      </c>
      <c r="C1921" t="s">
        <v>10</v>
      </c>
      <c r="D1921" t="s">
        <v>3869</v>
      </c>
      <c r="E1921" t="s">
        <v>3870</v>
      </c>
      <c r="G1921" s="1">
        <v>1.1000000000000001</v>
      </c>
    </row>
    <row r="1922" spans="1:7" ht="14.25" hidden="1" customHeight="1" x14ac:dyDescent="0.45">
      <c r="A1922" t="str">
        <f>_xlfn.XLOOKUP(B1922,Ingot!$H$12:$H$119,Ingot!$G$12:$G$119,"")</f>
        <v>Stone</v>
      </c>
      <c r="B1922" t="s">
        <v>3838</v>
      </c>
      <c r="C1922" t="s">
        <v>10</v>
      </c>
      <c r="D1922" t="s">
        <v>3871</v>
      </c>
      <c r="E1922" t="s">
        <v>3872</v>
      </c>
      <c r="G1922" s="1">
        <v>0.22</v>
      </c>
    </row>
    <row r="1923" spans="1:7" ht="14.25" hidden="1" customHeight="1" x14ac:dyDescent="0.45">
      <c r="A1923" t="str">
        <f>_xlfn.XLOOKUP(B1923,Ingot!$H$12:$H$119,Ingot!$G$12:$G$119,"")</f>
        <v>Stone</v>
      </c>
      <c r="B1923" t="s">
        <v>3838</v>
      </c>
      <c r="C1923" t="s">
        <v>10</v>
      </c>
      <c r="D1923" t="s">
        <v>3873</v>
      </c>
      <c r="E1923" t="s">
        <v>3874</v>
      </c>
      <c r="G1923" s="1">
        <v>8.41</v>
      </c>
    </row>
    <row r="1924" spans="1:7" ht="14.25" hidden="1" customHeight="1" x14ac:dyDescent="0.45">
      <c r="A1924" t="str">
        <f>_xlfn.XLOOKUP(B1924,Ingot!$H$12:$H$119,Ingot!$G$12:$G$119,"")</f>
        <v>Stone</v>
      </c>
      <c r="B1924" t="s">
        <v>3838</v>
      </c>
      <c r="C1924" t="s">
        <v>10</v>
      </c>
      <c r="D1924" t="s">
        <v>3875</v>
      </c>
      <c r="E1924" t="s">
        <v>3876</v>
      </c>
      <c r="G1924" s="1">
        <v>3.64</v>
      </c>
    </row>
    <row r="1925" spans="1:7" ht="14.25" hidden="1" customHeight="1" x14ac:dyDescent="0.45">
      <c r="A1925" t="str">
        <f>_xlfn.XLOOKUP(B1925,Ingot!$H$12:$H$119,Ingot!$G$12:$G$119,"")</f>
        <v>Stone</v>
      </c>
      <c r="B1925" t="s">
        <v>3838</v>
      </c>
      <c r="C1925" t="s">
        <v>10</v>
      </c>
      <c r="D1925" t="s">
        <v>3877</v>
      </c>
      <c r="E1925" t="s">
        <v>3878</v>
      </c>
      <c r="G1925" s="1">
        <v>7.05</v>
      </c>
    </row>
    <row r="1926" spans="1:7" ht="14.25" hidden="1" customHeight="1" x14ac:dyDescent="0.45">
      <c r="A1926" t="str">
        <f>_xlfn.XLOOKUP(B1926,Ingot!$H$12:$H$119,Ingot!$G$12:$G$119,"")</f>
        <v>Stone</v>
      </c>
      <c r="B1926" t="s">
        <v>3838</v>
      </c>
      <c r="C1926" t="s">
        <v>10</v>
      </c>
      <c r="D1926" t="s">
        <v>3879</v>
      </c>
      <c r="E1926" t="s">
        <v>3880</v>
      </c>
      <c r="G1926" s="1">
        <v>2.65</v>
      </c>
    </row>
    <row r="1927" spans="1:7" ht="14.25" hidden="1" customHeight="1" x14ac:dyDescent="0.45">
      <c r="A1927" t="str">
        <f>_xlfn.XLOOKUP(B1927,Ingot!$H$12:$H$119,Ingot!$G$12:$G$119,"")</f>
        <v>Stone</v>
      </c>
      <c r="B1927" t="s">
        <v>3838</v>
      </c>
      <c r="C1927" t="s">
        <v>10</v>
      </c>
      <c r="D1927" t="s">
        <v>3881</v>
      </c>
      <c r="E1927" t="s">
        <v>3882</v>
      </c>
      <c r="G1927" s="1">
        <v>9</v>
      </c>
    </row>
    <row r="1928" spans="1:7" ht="14.25" hidden="1" customHeight="1" x14ac:dyDescent="0.45">
      <c r="A1928" t="str">
        <f>_xlfn.XLOOKUP(B1928,Ingot!$H$12:$H$119,Ingot!$G$12:$G$119,"")</f>
        <v>Stone</v>
      </c>
      <c r="B1928" t="s">
        <v>3838</v>
      </c>
      <c r="C1928" t="s">
        <v>10</v>
      </c>
      <c r="D1928" t="s">
        <v>3883</v>
      </c>
      <c r="E1928" t="s">
        <v>3884</v>
      </c>
      <c r="G1928" s="1">
        <v>10.23</v>
      </c>
    </row>
    <row r="1929" spans="1:7" ht="14.25" hidden="1" customHeight="1" x14ac:dyDescent="0.45">
      <c r="A1929" t="str">
        <f>_xlfn.XLOOKUP(B1929,Ingot!$H$12:$H$119,Ingot!$G$12:$G$119,"")</f>
        <v>Stone</v>
      </c>
      <c r="B1929" t="s">
        <v>3838</v>
      </c>
      <c r="C1929" t="s">
        <v>10</v>
      </c>
      <c r="D1929" t="s">
        <v>3885</v>
      </c>
      <c r="E1929" t="s">
        <v>3886</v>
      </c>
      <c r="G1929" s="1">
        <v>7.7</v>
      </c>
    </row>
    <row r="1930" spans="1:7" ht="14.25" hidden="1" customHeight="1" x14ac:dyDescent="0.45">
      <c r="A1930" t="str">
        <f>_xlfn.XLOOKUP(B1930,Ingot!$H$12:$H$119,Ingot!$G$12:$G$119,"")</f>
        <v>Stone</v>
      </c>
      <c r="B1930" t="s">
        <v>3838</v>
      </c>
      <c r="C1930" t="s">
        <v>10</v>
      </c>
      <c r="D1930" t="s">
        <v>3887</v>
      </c>
      <c r="E1930" t="s">
        <v>3888</v>
      </c>
      <c r="G1930" s="1">
        <v>10.02</v>
      </c>
    </row>
    <row r="1931" spans="1:7" ht="14.25" hidden="1" customHeight="1" x14ac:dyDescent="0.45">
      <c r="A1931" t="str">
        <f>_xlfn.XLOOKUP(B1931,Ingot!$H$12:$H$119,Ingot!$G$12:$G$119,"")</f>
        <v>Stone</v>
      </c>
      <c r="B1931" t="s">
        <v>3838</v>
      </c>
      <c r="C1931" t="s">
        <v>10</v>
      </c>
      <c r="D1931" t="s">
        <v>3889</v>
      </c>
      <c r="E1931" t="s">
        <v>3890</v>
      </c>
      <c r="G1931" s="1">
        <v>11.81</v>
      </c>
    </row>
    <row r="1932" spans="1:7" ht="14.25" hidden="1" customHeight="1" x14ac:dyDescent="0.45">
      <c r="A1932" t="str">
        <f>_xlfn.XLOOKUP(B1932,Ingot!$H$12:$H$119,Ingot!$G$12:$G$119,"")</f>
        <v>Stone</v>
      </c>
      <c r="B1932" t="s">
        <v>3838</v>
      </c>
      <c r="C1932" t="s">
        <v>10</v>
      </c>
      <c r="D1932" t="s">
        <v>3891</v>
      </c>
      <c r="E1932" t="s">
        <v>3892</v>
      </c>
      <c r="G1932" s="1">
        <v>8.44</v>
      </c>
    </row>
    <row r="1933" spans="1:7" ht="14.25" hidden="1" customHeight="1" x14ac:dyDescent="0.45">
      <c r="A1933" t="str">
        <f>_xlfn.XLOOKUP(B1933,Ingot!$H$12:$H$119,Ingot!$G$12:$G$119,"")</f>
        <v>Stone</v>
      </c>
      <c r="B1933" t="s">
        <v>3838</v>
      </c>
      <c r="C1933" t="s">
        <v>10</v>
      </c>
      <c r="D1933" t="s">
        <v>3893</v>
      </c>
      <c r="E1933" t="s">
        <v>3894</v>
      </c>
      <c r="G1933" s="1">
        <v>10.42</v>
      </c>
    </row>
    <row r="1934" spans="1:7" ht="14.25" hidden="1" customHeight="1" x14ac:dyDescent="0.45">
      <c r="A1934" t="str">
        <f>_xlfn.XLOOKUP(B1934,Ingot!$H$12:$H$119,Ingot!$G$12:$G$119,"")</f>
        <v>Stone</v>
      </c>
      <c r="B1934" t="s">
        <v>3838</v>
      </c>
      <c r="C1934" t="s">
        <v>10</v>
      </c>
      <c r="D1934" t="s">
        <v>3895</v>
      </c>
      <c r="E1934" t="s">
        <v>3896</v>
      </c>
    </row>
    <row r="1935" spans="1:7" ht="14.25" hidden="1" customHeight="1" x14ac:dyDescent="0.45">
      <c r="A1935" t="str">
        <f>_xlfn.XLOOKUP(B1935,Ingot!$H$12:$H$119,Ingot!$G$12:$G$119,"")</f>
        <v>Stone</v>
      </c>
      <c r="B1935" t="s">
        <v>3838</v>
      </c>
      <c r="C1935" t="s">
        <v>10</v>
      </c>
      <c r="D1935" t="s">
        <v>3897</v>
      </c>
      <c r="E1935" t="s">
        <v>3898</v>
      </c>
      <c r="G1935" s="1">
        <v>7.96</v>
      </c>
    </row>
    <row r="1936" spans="1:7" ht="14.25" hidden="1" customHeight="1" x14ac:dyDescent="0.45">
      <c r="A1936" t="str">
        <f>_xlfn.XLOOKUP(B1936,Ingot!$H$12:$H$119,Ingot!$G$12:$G$119,"")</f>
        <v>Stone</v>
      </c>
      <c r="B1936" t="s">
        <v>3838</v>
      </c>
      <c r="C1936" t="s">
        <v>10</v>
      </c>
      <c r="D1936" t="s">
        <v>3899</v>
      </c>
      <c r="E1936" t="s">
        <v>3900</v>
      </c>
      <c r="G1936" s="1">
        <v>9.64</v>
      </c>
    </row>
    <row r="1937" spans="1:7" ht="14.25" hidden="1" customHeight="1" x14ac:dyDescent="0.45">
      <c r="A1937" t="str">
        <f>_xlfn.XLOOKUP(B1937,Ingot!$H$12:$H$119,Ingot!$G$12:$G$119,"")</f>
        <v>Stone</v>
      </c>
      <c r="B1937" t="s">
        <v>3838</v>
      </c>
      <c r="C1937" t="s">
        <v>10</v>
      </c>
      <c r="D1937" t="s">
        <v>3901</v>
      </c>
      <c r="E1937" t="s">
        <v>3902</v>
      </c>
      <c r="G1937" s="1">
        <v>7.94</v>
      </c>
    </row>
    <row r="1938" spans="1:7" ht="14.25" hidden="1" customHeight="1" x14ac:dyDescent="0.45">
      <c r="A1938" t="str">
        <f>_xlfn.XLOOKUP(B1938,Ingot!$H$12:$H$119,Ingot!$G$12:$G$119,"")</f>
        <v>Stone</v>
      </c>
      <c r="B1938" t="s">
        <v>3838</v>
      </c>
      <c r="C1938" t="s">
        <v>10</v>
      </c>
      <c r="D1938" t="s">
        <v>3903</v>
      </c>
      <c r="E1938" t="s">
        <v>3904</v>
      </c>
      <c r="G1938" s="1">
        <v>8.66</v>
      </c>
    </row>
    <row r="1939" spans="1:7" ht="14.25" hidden="1" customHeight="1" x14ac:dyDescent="0.45">
      <c r="A1939" t="str">
        <f>_xlfn.XLOOKUP(B1939,Ingot!$H$12:$H$119,Ingot!$G$12:$G$119,"")</f>
        <v>Stone</v>
      </c>
      <c r="B1939" t="s">
        <v>3838</v>
      </c>
      <c r="C1939" t="s">
        <v>10</v>
      </c>
      <c r="D1939" t="s">
        <v>3905</v>
      </c>
      <c r="E1939" t="s">
        <v>3906</v>
      </c>
    </row>
    <row r="1940" spans="1:7" ht="14.25" hidden="1" customHeight="1" x14ac:dyDescent="0.45">
      <c r="A1940" t="str">
        <f>_xlfn.XLOOKUP(B1940,Ingot!$H$12:$H$119,Ingot!$G$12:$G$119,"")</f>
        <v>Stone</v>
      </c>
      <c r="B1940" t="s">
        <v>3838</v>
      </c>
      <c r="C1940" t="s">
        <v>10</v>
      </c>
      <c r="D1940" t="s">
        <v>3907</v>
      </c>
      <c r="E1940" t="s">
        <v>3908</v>
      </c>
      <c r="G1940" s="1">
        <v>2.65</v>
      </c>
    </row>
    <row r="1941" spans="1:7" ht="14.25" hidden="1" customHeight="1" x14ac:dyDescent="0.45">
      <c r="A1941" t="str">
        <f>_xlfn.XLOOKUP(B1941,Ingot!$H$12:$H$119,Ingot!$G$12:$G$119,"")</f>
        <v>Stone</v>
      </c>
      <c r="B1941" t="s">
        <v>3838</v>
      </c>
      <c r="C1941" t="s">
        <v>10</v>
      </c>
      <c r="D1941" t="s">
        <v>3909</v>
      </c>
      <c r="E1941" t="s">
        <v>3910</v>
      </c>
    </row>
    <row r="1942" spans="1:7" ht="14.25" hidden="1" customHeight="1" x14ac:dyDescent="0.45">
      <c r="A1942" t="str">
        <f>_xlfn.XLOOKUP(B1942,Ingot!$H$12:$H$119,Ingot!$G$12:$G$119,"")</f>
        <v>Stone</v>
      </c>
      <c r="B1942" t="s">
        <v>3838</v>
      </c>
      <c r="C1942" t="s">
        <v>10</v>
      </c>
      <c r="D1942" t="s">
        <v>3911</v>
      </c>
      <c r="E1942" t="s">
        <v>3912</v>
      </c>
      <c r="G1942" s="1">
        <v>12.64</v>
      </c>
    </row>
    <row r="1943" spans="1:7" ht="14.25" hidden="1" customHeight="1" x14ac:dyDescent="0.45">
      <c r="A1943" t="str">
        <f>_xlfn.XLOOKUP(B1943,Ingot!$H$12:$H$119,Ingot!$G$12:$G$119,"")</f>
        <v>Stone</v>
      </c>
      <c r="B1943" t="s">
        <v>3838</v>
      </c>
      <c r="C1943" t="s">
        <v>10</v>
      </c>
      <c r="D1943" t="s">
        <v>3913</v>
      </c>
      <c r="E1943" t="s">
        <v>3914</v>
      </c>
      <c r="G1943" s="1">
        <v>22.67</v>
      </c>
    </row>
    <row r="1944" spans="1:7" ht="14.25" hidden="1" customHeight="1" x14ac:dyDescent="0.45">
      <c r="A1944" t="str">
        <f>_xlfn.XLOOKUP(B1944,Ingot!$H$12:$H$119,Ingot!$G$12:$G$119,"")</f>
        <v>Stone</v>
      </c>
      <c r="B1944" t="s">
        <v>3838</v>
      </c>
      <c r="C1944" t="s">
        <v>10</v>
      </c>
      <c r="D1944" t="s">
        <v>3915</v>
      </c>
      <c r="E1944" t="s">
        <v>3916</v>
      </c>
      <c r="G1944" s="1">
        <v>8.3800000000000008</v>
      </c>
    </row>
    <row r="1945" spans="1:7" ht="14.25" hidden="1" customHeight="1" x14ac:dyDescent="0.45">
      <c r="A1945" t="str">
        <f>_xlfn.XLOOKUP(B1945,Ingot!$H$12:$H$119,Ingot!$G$12:$G$119,"")</f>
        <v>Stone</v>
      </c>
      <c r="B1945" t="s">
        <v>3838</v>
      </c>
      <c r="C1945" t="s">
        <v>10</v>
      </c>
      <c r="D1945" t="s">
        <v>3917</v>
      </c>
      <c r="E1945" t="s">
        <v>3918</v>
      </c>
      <c r="G1945" s="1">
        <v>2.2000000000000002</v>
      </c>
    </row>
    <row r="1946" spans="1:7" ht="14.25" hidden="1" customHeight="1" x14ac:dyDescent="0.45">
      <c r="A1946" t="str">
        <f>_xlfn.XLOOKUP(B1946,Ingot!$H$12:$H$119,Ingot!$G$12:$G$119,"")</f>
        <v>Stone</v>
      </c>
      <c r="B1946" t="s">
        <v>3838</v>
      </c>
      <c r="C1946" t="s">
        <v>10</v>
      </c>
      <c r="D1946" t="s">
        <v>3919</v>
      </c>
      <c r="E1946" t="s">
        <v>3920</v>
      </c>
      <c r="G1946" s="1">
        <v>3.09</v>
      </c>
    </row>
    <row r="1947" spans="1:7" ht="14.25" hidden="1" customHeight="1" x14ac:dyDescent="0.45">
      <c r="A1947" t="str">
        <f>_xlfn.XLOOKUP(B1947,Ingot!$H$12:$H$119,Ingot!$G$12:$G$119,"")</f>
        <v>Stone</v>
      </c>
      <c r="B1947" t="s">
        <v>3838</v>
      </c>
      <c r="C1947" t="s">
        <v>10</v>
      </c>
      <c r="D1947" t="s">
        <v>3921</v>
      </c>
      <c r="E1947" t="s">
        <v>3922</v>
      </c>
      <c r="G1947" s="1">
        <v>2.2999999999999998</v>
      </c>
    </row>
    <row r="1948" spans="1:7" ht="14.25" hidden="1" customHeight="1" x14ac:dyDescent="0.45">
      <c r="A1948" t="str">
        <f>_xlfn.XLOOKUP(B1948,Ingot!$H$12:$H$119,Ingot!$G$12:$G$119,"")</f>
        <v>Stone</v>
      </c>
      <c r="B1948" t="s">
        <v>3838</v>
      </c>
      <c r="C1948" t="s">
        <v>10</v>
      </c>
      <c r="D1948" t="s">
        <v>3923</v>
      </c>
      <c r="E1948" t="s">
        <v>3924</v>
      </c>
      <c r="G1948" s="1">
        <v>4.88</v>
      </c>
    </row>
    <row r="1949" spans="1:7" ht="14.25" hidden="1" customHeight="1" x14ac:dyDescent="0.45">
      <c r="A1949" t="str">
        <f>_xlfn.XLOOKUP(B1949,Ingot!$H$12:$H$119,Ingot!$G$12:$G$119,"")</f>
        <v>Stone</v>
      </c>
      <c r="B1949" t="s">
        <v>3838</v>
      </c>
      <c r="C1949" t="s">
        <v>10</v>
      </c>
      <c r="D1949" t="s">
        <v>3925</v>
      </c>
      <c r="E1949" t="s">
        <v>3926</v>
      </c>
      <c r="G1949" s="1">
        <v>8.43</v>
      </c>
    </row>
    <row r="1950" spans="1:7" ht="14.25" hidden="1" customHeight="1" x14ac:dyDescent="0.45">
      <c r="A1950" t="str">
        <f>_xlfn.XLOOKUP(B1950,Ingot!$H$12:$H$119,Ingot!$G$12:$G$119,"")</f>
        <v>Stone</v>
      </c>
      <c r="B1950" t="s">
        <v>3838</v>
      </c>
      <c r="C1950" t="s">
        <v>10</v>
      </c>
      <c r="D1950" t="s">
        <v>3927</v>
      </c>
      <c r="E1950" t="s">
        <v>3928</v>
      </c>
      <c r="G1950" s="1">
        <v>13.07</v>
      </c>
    </row>
    <row r="1951" spans="1:7" ht="14.25" hidden="1" customHeight="1" x14ac:dyDescent="0.45">
      <c r="A1951" t="str">
        <f>_xlfn.XLOOKUP(B1951,Ingot!$H$12:$H$119,Ingot!$G$12:$G$119,"")</f>
        <v>Stone</v>
      </c>
      <c r="B1951" t="s">
        <v>3838</v>
      </c>
      <c r="C1951" t="s">
        <v>10</v>
      </c>
      <c r="D1951" t="s">
        <v>3929</v>
      </c>
      <c r="E1951" t="s">
        <v>3930</v>
      </c>
    </row>
    <row r="1952" spans="1:7" ht="14.25" hidden="1" customHeight="1" x14ac:dyDescent="0.45">
      <c r="A1952" t="str">
        <f>_xlfn.XLOOKUP(B1952,Ingot!$H$12:$H$119,Ingot!$G$12:$G$119,"")</f>
        <v>Stone</v>
      </c>
      <c r="B1952" t="s">
        <v>3838</v>
      </c>
      <c r="C1952" t="s">
        <v>10</v>
      </c>
      <c r="D1952" t="s">
        <v>3931</v>
      </c>
      <c r="E1952" t="s">
        <v>3932</v>
      </c>
    </row>
    <row r="1953" spans="1:7" ht="14.25" hidden="1" customHeight="1" x14ac:dyDescent="0.45">
      <c r="A1953" t="str">
        <f>_xlfn.XLOOKUP(B1953,Ingot!$H$12:$H$119,Ingot!$G$12:$G$119,"")</f>
        <v>Stone</v>
      </c>
      <c r="B1953" t="s">
        <v>3838</v>
      </c>
      <c r="C1953" t="s">
        <v>10</v>
      </c>
      <c r="D1953" t="s">
        <v>3933</v>
      </c>
      <c r="E1953" t="s">
        <v>3934</v>
      </c>
      <c r="G1953" s="1">
        <v>6.8</v>
      </c>
    </row>
    <row r="1954" spans="1:7" ht="14.25" hidden="1" customHeight="1" x14ac:dyDescent="0.45">
      <c r="A1954" t="str">
        <f>_xlfn.XLOOKUP(B1954,Ingot!$H$12:$H$119,Ingot!$G$12:$G$119,"")</f>
        <v>Stone</v>
      </c>
      <c r="B1954" t="s">
        <v>3838</v>
      </c>
      <c r="C1954" t="s">
        <v>10</v>
      </c>
      <c r="D1954" t="s">
        <v>3935</v>
      </c>
      <c r="E1954" t="s">
        <v>3936</v>
      </c>
      <c r="G1954" s="1">
        <v>6.88</v>
      </c>
    </row>
    <row r="1955" spans="1:7" ht="14.25" hidden="1" customHeight="1" x14ac:dyDescent="0.45">
      <c r="A1955" t="str">
        <f>_xlfn.XLOOKUP(B1955,Ingot!$H$12:$H$119,Ingot!$G$12:$G$119,"")</f>
        <v>Stone</v>
      </c>
      <c r="B1955" t="s">
        <v>3838</v>
      </c>
      <c r="C1955" t="s">
        <v>10</v>
      </c>
      <c r="D1955" t="s">
        <v>3937</v>
      </c>
      <c r="E1955" t="s">
        <v>3938</v>
      </c>
      <c r="G1955" s="1">
        <v>5.5</v>
      </c>
    </row>
    <row r="1956" spans="1:7" ht="14.25" hidden="1" customHeight="1" x14ac:dyDescent="0.45">
      <c r="A1956" t="str">
        <f>_xlfn.XLOOKUP(B1956,Ingot!$H$12:$H$119,Ingot!$G$12:$G$119,"")</f>
        <v>Stone</v>
      </c>
      <c r="B1956" t="s">
        <v>3838</v>
      </c>
      <c r="C1956" t="s">
        <v>10</v>
      </c>
      <c r="D1956" t="s">
        <v>3939</v>
      </c>
      <c r="E1956" t="s">
        <v>3940</v>
      </c>
      <c r="G1956" s="1">
        <v>2.4300000000000002</v>
      </c>
    </row>
    <row r="1957" spans="1:7" ht="14.25" hidden="1" customHeight="1" x14ac:dyDescent="0.45">
      <c r="A1957" t="str">
        <f>_xlfn.XLOOKUP(B1957,Ingot!$H$12:$H$119,Ingot!$G$12:$G$119,"")</f>
        <v>Stone</v>
      </c>
      <c r="B1957" t="s">
        <v>3838</v>
      </c>
      <c r="C1957" t="s">
        <v>10</v>
      </c>
      <c r="D1957" t="s">
        <v>3941</v>
      </c>
      <c r="E1957" t="s">
        <v>3942</v>
      </c>
      <c r="G1957" s="1">
        <v>6.96</v>
      </c>
    </row>
    <row r="1958" spans="1:7" ht="14.25" hidden="1" customHeight="1" x14ac:dyDescent="0.45">
      <c r="A1958" t="str">
        <f>_xlfn.XLOOKUP(B1958,Ingot!$H$12:$H$119,Ingot!$G$12:$G$119,"")</f>
        <v>Stone</v>
      </c>
      <c r="B1958" t="s">
        <v>3838</v>
      </c>
      <c r="C1958" t="s">
        <v>10</v>
      </c>
      <c r="D1958" t="s">
        <v>3943</v>
      </c>
      <c r="E1958" t="s">
        <v>3944</v>
      </c>
      <c r="G1958" s="1">
        <v>6.32</v>
      </c>
    </row>
    <row r="1959" spans="1:7" ht="14.25" hidden="1" customHeight="1" x14ac:dyDescent="0.45">
      <c r="A1959" t="str">
        <f>_xlfn.XLOOKUP(B1959,Ingot!$H$12:$H$119,Ingot!$G$12:$G$119,"")</f>
        <v>Stone</v>
      </c>
      <c r="B1959" t="s">
        <v>3838</v>
      </c>
      <c r="C1959" t="s">
        <v>10</v>
      </c>
      <c r="D1959" t="s">
        <v>3945</v>
      </c>
      <c r="E1959" t="s">
        <v>3946</v>
      </c>
      <c r="G1959" s="1">
        <v>6.88</v>
      </c>
    </row>
    <row r="1960" spans="1:7" ht="14.25" hidden="1" customHeight="1" x14ac:dyDescent="0.45">
      <c r="A1960" t="str">
        <f>_xlfn.XLOOKUP(B1960,Ingot!$H$12:$H$119,Ingot!$G$12:$G$119,"")</f>
        <v>Stone</v>
      </c>
      <c r="B1960" t="s">
        <v>3838</v>
      </c>
      <c r="C1960" t="s">
        <v>10</v>
      </c>
      <c r="D1960" t="s">
        <v>3947</v>
      </c>
      <c r="E1960" t="s">
        <v>3948</v>
      </c>
      <c r="G1960" s="1">
        <v>2.44</v>
      </c>
    </row>
    <row r="1961" spans="1:7" ht="14.25" hidden="1" customHeight="1" x14ac:dyDescent="0.45">
      <c r="A1961" t="str">
        <f>_xlfn.XLOOKUP(B1961,Ingot!$H$12:$H$119,Ingot!$G$12:$G$119,"")</f>
        <v>Stone</v>
      </c>
      <c r="B1961" t="s">
        <v>3838</v>
      </c>
      <c r="C1961" t="s">
        <v>10</v>
      </c>
      <c r="D1961" t="s">
        <v>3949</v>
      </c>
      <c r="E1961" t="s">
        <v>3950</v>
      </c>
    </row>
    <row r="1962" spans="1:7" ht="14.25" hidden="1" customHeight="1" x14ac:dyDescent="0.45">
      <c r="A1962" t="str">
        <f>_xlfn.XLOOKUP(B1962,Ingot!$H$12:$H$119,Ingot!$G$12:$G$119,"")</f>
        <v>Stone</v>
      </c>
      <c r="B1962" t="s">
        <v>3838</v>
      </c>
      <c r="C1962" t="s">
        <v>10</v>
      </c>
      <c r="D1962" t="s">
        <v>3951</v>
      </c>
      <c r="E1962" t="s">
        <v>3952</v>
      </c>
    </row>
    <row r="1963" spans="1:7" ht="14.25" hidden="1" customHeight="1" x14ac:dyDescent="0.45">
      <c r="A1963" t="str">
        <f>_xlfn.XLOOKUP(B1963,Ingot!$H$12:$H$119,Ingot!$G$12:$G$119,"")</f>
        <v>Stone</v>
      </c>
      <c r="B1963" t="s">
        <v>3838</v>
      </c>
      <c r="C1963" t="s">
        <v>10</v>
      </c>
      <c r="D1963" t="s">
        <v>3953</v>
      </c>
      <c r="E1963" t="s">
        <v>3954</v>
      </c>
      <c r="G1963" s="1">
        <v>3.11</v>
      </c>
    </row>
    <row r="1964" spans="1:7" ht="14.25" hidden="1" customHeight="1" x14ac:dyDescent="0.45">
      <c r="A1964" t="str">
        <f>_xlfn.XLOOKUP(B1964,Ingot!$H$12:$H$119,Ingot!$G$12:$G$119,"")</f>
        <v>Stone</v>
      </c>
      <c r="B1964" t="s">
        <v>3838</v>
      </c>
      <c r="C1964" t="s">
        <v>10</v>
      </c>
      <c r="D1964" t="s">
        <v>3955</v>
      </c>
      <c r="E1964" t="s">
        <v>3956</v>
      </c>
      <c r="G1964" s="1">
        <v>2.44</v>
      </c>
    </row>
    <row r="1965" spans="1:7" ht="14.25" hidden="1" customHeight="1" x14ac:dyDescent="0.45">
      <c r="A1965" t="str">
        <f>_xlfn.XLOOKUP(B1965,Ingot!$H$12:$H$119,Ingot!$G$12:$G$119,"")</f>
        <v>Stone</v>
      </c>
      <c r="B1965" t="s">
        <v>3838</v>
      </c>
      <c r="C1965" t="s">
        <v>10</v>
      </c>
      <c r="D1965" t="s">
        <v>3957</v>
      </c>
      <c r="E1965" t="s">
        <v>3958</v>
      </c>
      <c r="G1965" s="1">
        <v>8.61</v>
      </c>
    </row>
    <row r="1966" spans="1:7" ht="14.25" hidden="1" customHeight="1" x14ac:dyDescent="0.45">
      <c r="A1966" t="str">
        <f>_xlfn.XLOOKUP(B1966,Ingot!$H$12:$H$119,Ingot!$G$12:$G$119,"")</f>
        <v>Stone</v>
      </c>
      <c r="B1966" t="s">
        <v>3838</v>
      </c>
      <c r="C1966" t="s">
        <v>10</v>
      </c>
      <c r="D1966" t="s">
        <v>3959</v>
      </c>
      <c r="E1966" t="s">
        <v>3960</v>
      </c>
    </row>
    <row r="1967" spans="1:7" ht="14.25" hidden="1" customHeight="1" x14ac:dyDescent="0.45">
      <c r="A1967" t="str">
        <f>_xlfn.XLOOKUP(B1967,Ingot!$H$12:$H$119,Ingot!$G$12:$G$119,"")</f>
        <v>Stone</v>
      </c>
      <c r="B1967" t="s">
        <v>3838</v>
      </c>
      <c r="C1967" t="s">
        <v>10</v>
      </c>
      <c r="D1967" t="s">
        <v>3961</v>
      </c>
      <c r="E1967" t="s">
        <v>3962</v>
      </c>
      <c r="G1967" s="1">
        <v>3.21</v>
      </c>
    </row>
    <row r="1968" spans="1:7" ht="14.25" hidden="1" customHeight="1" x14ac:dyDescent="0.45">
      <c r="A1968" t="str">
        <f>_xlfn.XLOOKUP(B1968,Ingot!$H$12:$H$119,Ingot!$G$12:$G$119,"")</f>
        <v>Stone</v>
      </c>
      <c r="B1968" t="s">
        <v>3838</v>
      </c>
      <c r="C1968" t="s">
        <v>10</v>
      </c>
      <c r="D1968" t="s">
        <v>3963</v>
      </c>
      <c r="E1968" t="s">
        <v>3964</v>
      </c>
      <c r="G1968" s="1">
        <v>2.77</v>
      </c>
    </row>
    <row r="1969" spans="1:7" ht="14.25" hidden="1" customHeight="1" x14ac:dyDescent="0.45">
      <c r="A1969" t="str">
        <f>_xlfn.XLOOKUP(B1969,Ingot!$H$12:$H$119,Ingot!$G$12:$G$119,"")</f>
        <v>Stone</v>
      </c>
      <c r="B1969" t="s">
        <v>3838</v>
      </c>
      <c r="C1969" t="s">
        <v>10</v>
      </c>
      <c r="D1969" t="s">
        <v>3965</v>
      </c>
      <c r="E1969" t="s">
        <v>3966</v>
      </c>
      <c r="G1969" s="1">
        <v>4.8899999999999997</v>
      </c>
    </row>
    <row r="1970" spans="1:7" ht="14.25" hidden="1" customHeight="1" x14ac:dyDescent="0.45">
      <c r="A1970" t="str">
        <f>_xlfn.XLOOKUP(B1970,Ingot!$H$12:$H$119,Ingot!$G$12:$G$119,"")</f>
        <v>Stone</v>
      </c>
      <c r="B1970" t="s">
        <v>3838</v>
      </c>
      <c r="C1970" t="s">
        <v>10</v>
      </c>
      <c r="D1970" t="s">
        <v>3967</v>
      </c>
      <c r="E1970" t="s">
        <v>3968</v>
      </c>
      <c r="G1970" s="1">
        <v>1.76</v>
      </c>
    </row>
    <row r="1971" spans="1:7" ht="14.25" hidden="1" customHeight="1" x14ac:dyDescent="0.45">
      <c r="A1971" t="str">
        <f>_xlfn.XLOOKUP(B1971,Ingot!$H$12:$H$119,Ingot!$G$12:$G$119,"")</f>
        <v>Stone</v>
      </c>
      <c r="B1971" t="s">
        <v>3838</v>
      </c>
      <c r="C1971" t="s">
        <v>10</v>
      </c>
      <c r="D1971" t="s">
        <v>3969</v>
      </c>
      <c r="E1971" t="s">
        <v>3970</v>
      </c>
    </row>
    <row r="1972" spans="1:7" ht="14.25" hidden="1" customHeight="1" x14ac:dyDescent="0.45">
      <c r="A1972" t="str">
        <f>_xlfn.XLOOKUP(B1972,Ingot!$H$12:$H$119,Ingot!$G$12:$G$119,"")</f>
        <v>Stone</v>
      </c>
      <c r="B1972" t="s">
        <v>3838</v>
      </c>
      <c r="C1972" t="s">
        <v>10</v>
      </c>
      <c r="D1972" t="s">
        <v>3971</v>
      </c>
      <c r="E1972" t="s">
        <v>3972</v>
      </c>
      <c r="G1972" s="1">
        <v>8.57</v>
      </c>
    </row>
    <row r="1973" spans="1:7" ht="14.25" hidden="1" customHeight="1" x14ac:dyDescent="0.45">
      <c r="A1973" t="str">
        <f>_xlfn.XLOOKUP(B1973,Ingot!$H$12:$H$119,Ingot!$G$12:$G$119,"")</f>
        <v>Stone</v>
      </c>
      <c r="B1973" t="s">
        <v>3838</v>
      </c>
      <c r="C1973" t="s">
        <v>10</v>
      </c>
      <c r="D1973" t="s">
        <v>3973</v>
      </c>
      <c r="E1973" t="s">
        <v>3974</v>
      </c>
    </row>
    <row r="1974" spans="1:7" ht="14.25" hidden="1" customHeight="1" x14ac:dyDescent="0.45">
      <c r="A1974" t="str">
        <f>_xlfn.XLOOKUP(B1974,Ingot!$H$12:$H$119,Ingot!$G$12:$G$119,"")</f>
        <v>Stone</v>
      </c>
      <c r="B1974" t="s">
        <v>3838</v>
      </c>
      <c r="C1974" t="s">
        <v>10</v>
      </c>
      <c r="D1974" t="s">
        <v>3975</v>
      </c>
      <c r="E1974" t="s">
        <v>3976</v>
      </c>
      <c r="G1974" s="1">
        <v>3.56</v>
      </c>
    </row>
    <row r="1975" spans="1:7" ht="14.25" hidden="1" customHeight="1" x14ac:dyDescent="0.45">
      <c r="A1975" t="str">
        <f>_xlfn.XLOOKUP(B1975,Ingot!$H$12:$H$119,Ingot!$G$12:$G$119,"")</f>
        <v>Stone</v>
      </c>
      <c r="B1975" t="s">
        <v>3838</v>
      </c>
      <c r="C1975" t="s">
        <v>10</v>
      </c>
      <c r="D1975" t="s">
        <v>3977</v>
      </c>
      <c r="E1975" t="s">
        <v>3978</v>
      </c>
      <c r="G1975" s="1">
        <v>8.91</v>
      </c>
    </row>
    <row r="1976" spans="1:7" ht="14.25" hidden="1" customHeight="1" x14ac:dyDescent="0.45">
      <c r="A1976" t="str">
        <f>_xlfn.XLOOKUP(B1976,Ingot!$H$12:$H$119,Ingot!$G$12:$G$119,"")</f>
        <v>Stone</v>
      </c>
      <c r="B1976" t="s">
        <v>3838</v>
      </c>
      <c r="C1976" t="s">
        <v>10</v>
      </c>
      <c r="D1976" t="s">
        <v>3979</v>
      </c>
      <c r="E1976" t="s">
        <v>3980</v>
      </c>
      <c r="G1976" s="1">
        <v>11.02</v>
      </c>
    </row>
    <row r="1977" spans="1:7" ht="14.25" hidden="1" customHeight="1" x14ac:dyDescent="0.45">
      <c r="A1977" t="str">
        <f>_xlfn.XLOOKUP(B1977,Ingot!$H$12:$H$119,Ingot!$G$12:$G$119,"")</f>
        <v>Stone</v>
      </c>
      <c r="B1977" t="s">
        <v>3838</v>
      </c>
      <c r="C1977" t="s">
        <v>10</v>
      </c>
      <c r="D1977" t="s">
        <v>3981</v>
      </c>
      <c r="E1977" t="s">
        <v>3982</v>
      </c>
      <c r="G1977" s="1">
        <v>5.12</v>
      </c>
    </row>
    <row r="1978" spans="1:7" ht="14.25" hidden="1" customHeight="1" x14ac:dyDescent="0.45">
      <c r="A1978" t="str">
        <f>_xlfn.XLOOKUP(B1978,Ingot!$H$12:$H$119,Ingot!$G$12:$G$119,"")</f>
        <v>Stone</v>
      </c>
      <c r="B1978" t="s">
        <v>3838</v>
      </c>
      <c r="C1978" t="s">
        <v>10</v>
      </c>
      <c r="D1978" t="s">
        <v>3983</v>
      </c>
      <c r="E1978" t="s">
        <v>3984</v>
      </c>
      <c r="G1978" s="1">
        <v>4.41</v>
      </c>
    </row>
    <row r="1979" spans="1:7" ht="14.25" hidden="1" customHeight="1" x14ac:dyDescent="0.45">
      <c r="A1979" t="str">
        <f>_xlfn.XLOOKUP(B1979,Ingot!$H$12:$H$119,Ingot!$G$12:$G$119,"")</f>
        <v>Stone</v>
      </c>
      <c r="B1979" t="s">
        <v>3838</v>
      </c>
      <c r="C1979" t="s">
        <v>157</v>
      </c>
      <c r="D1979" t="s">
        <v>3985</v>
      </c>
      <c r="E1979" t="s">
        <v>3986</v>
      </c>
      <c r="G1979" s="1">
        <v>45.5</v>
      </c>
    </row>
    <row r="1980" spans="1:7" ht="14.25" hidden="1" customHeight="1" x14ac:dyDescent="0.45">
      <c r="A1980" t="str">
        <f>_xlfn.XLOOKUP(B1980,Ingot!$H$12:$H$119,Ingot!$G$12:$G$119,"")</f>
        <v>Stone</v>
      </c>
      <c r="B1980" t="s">
        <v>3838</v>
      </c>
      <c r="C1980" t="s">
        <v>157</v>
      </c>
      <c r="D1980" t="s">
        <v>3987</v>
      </c>
      <c r="E1980" t="s">
        <v>3988</v>
      </c>
      <c r="G1980" s="1">
        <v>9.1</v>
      </c>
    </row>
    <row r="1981" spans="1:7" ht="14.25" hidden="1" customHeight="1" x14ac:dyDescent="0.45">
      <c r="A1981" t="str">
        <f>_xlfn.XLOOKUP(B1981,Ingot!$H$12:$H$119,Ingot!$G$12:$G$119,"")</f>
        <v>Stone</v>
      </c>
      <c r="B1981" t="s">
        <v>3838</v>
      </c>
      <c r="C1981" t="s">
        <v>157</v>
      </c>
      <c r="D1981" t="s">
        <v>3989</v>
      </c>
      <c r="E1981" t="s">
        <v>3990</v>
      </c>
      <c r="G1981" s="1">
        <v>9.1</v>
      </c>
    </row>
    <row r="1982" spans="1:7" ht="14.25" hidden="1" customHeight="1" x14ac:dyDescent="0.45">
      <c r="A1982" t="str">
        <f>_xlfn.XLOOKUP(B1982,Ingot!$H$12:$H$119,Ingot!$G$12:$G$119,"")</f>
        <v>Stone</v>
      </c>
      <c r="B1982" t="s">
        <v>3838</v>
      </c>
      <c r="C1982" t="s">
        <v>157</v>
      </c>
      <c r="D1982" t="s">
        <v>3991</v>
      </c>
      <c r="E1982" t="s">
        <v>3992</v>
      </c>
      <c r="G1982" s="1">
        <v>5.92</v>
      </c>
    </row>
    <row r="1983" spans="1:7" ht="14.25" hidden="1" customHeight="1" x14ac:dyDescent="0.45">
      <c r="A1983" t="str">
        <f>_xlfn.XLOOKUP(B1983,Ingot!$H$12:$H$119,Ingot!$G$12:$G$119,"")</f>
        <v>Stone</v>
      </c>
      <c r="B1983" t="s">
        <v>3838</v>
      </c>
      <c r="C1983" t="s">
        <v>157</v>
      </c>
      <c r="D1983" t="s">
        <v>3993</v>
      </c>
      <c r="E1983" t="s">
        <v>3994</v>
      </c>
      <c r="G1983" s="1">
        <v>11.83</v>
      </c>
    </row>
    <row r="1984" spans="1:7" ht="14.25" hidden="1" customHeight="1" x14ac:dyDescent="0.45">
      <c r="A1984" t="str">
        <f>_xlfn.XLOOKUP(B1984,Ingot!$H$12:$H$119,Ingot!$G$12:$G$119,"")</f>
        <v>Stone</v>
      </c>
      <c r="B1984" t="s">
        <v>3838</v>
      </c>
      <c r="C1984" t="s">
        <v>157</v>
      </c>
      <c r="D1984" t="s">
        <v>3995</v>
      </c>
      <c r="E1984" t="s">
        <v>3996</v>
      </c>
      <c r="G1984" s="1">
        <v>41.5</v>
      </c>
    </row>
    <row r="1985" spans="1:7" ht="14.25" hidden="1" customHeight="1" x14ac:dyDescent="0.45">
      <c r="A1985" t="str">
        <f>_xlfn.XLOOKUP(B1985,Ingot!$H$12:$H$119,Ingot!$G$12:$G$119,"")</f>
        <v>Stone</v>
      </c>
      <c r="B1985" t="s">
        <v>3838</v>
      </c>
      <c r="C1985" t="s">
        <v>157</v>
      </c>
      <c r="D1985" t="s">
        <v>3997</v>
      </c>
      <c r="E1985" t="s">
        <v>3998</v>
      </c>
      <c r="G1985" s="1">
        <v>8.3000000000000007</v>
      </c>
    </row>
    <row r="1986" spans="1:7" ht="14.25" hidden="1" customHeight="1" x14ac:dyDescent="0.45">
      <c r="A1986" t="str">
        <f>_xlfn.XLOOKUP(B1986,Ingot!$H$12:$H$119,Ingot!$G$12:$G$119,"")</f>
        <v>Stone</v>
      </c>
      <c r="B1986" t="s">
        <v>3838</v>
      </c>
      <c r="C1986" t="s">
        <v>157</v>
      </c>
      <c r="D1986" t="s">
        <v>3999</v>
      </c>
      <c r="E1986" t="s">
        <v>4000</v>
      </c>
      <c r="G1986" s="1">
        <v>8.3000000000000007</v>
      </c>
    </row>
    <row r="1987" spans="1:7" ht="14.25" hidden="1" customHeight="1" x14ac:dyDescent="0.45">
      <c r="A1987" t="str">
        <f>_xlfn.XLOOKUP(B1987,Ingot!$H$12:$H$119,Ingot!$G$12:$G$119,"")</f>
        <v>Stone</v>
      </c>
      <c r="B1987" t="s">
        <v>3838</v>
      </c>
      <c r="C1987" t="s">
        <v>157</v>
      </c>
      <c r="D1987" t="s">
        <v>4001</v>
      </c>
      <c r="E1987" t="s">
        <v>4002</v>
      </c>
      <c r="G1987" s="1">
        <v>5.4</v>
      </c>
    </row>
    <row r="1988" spans="1:7" ht="14.25" hidden="1" customHeight="1" x14ac:dyDescent="0.45">
      <c r="A1988" t="str">
        <f>_xlfn.XLOOKUP(B1988,Ingot!$H$12:$H$119,Ingot!$G$12:$G$119,"")</f>
        <v>Stone</v>
      </c>
      <c r="B1988" t="s">
        <v>3838</v>
      </c>
      <c r="C1988" t="s">
        <v>157</v>
      </c>
      <c r="D1988" t="s">
        <v>4003</v>
      </c>
      <c r="E1988" t="s">
        <v>4004</v>
      </c>
      <c r="G1988" s="1">
        <v>10.79</v>
      </c>
    </row>
    <row r="1989" spans="1:7" ht="14.25" hidden="1" customHeight="1" x14ac:dyDescent="0.45">
      <c r="A1989" t="str">
        <f>_xlfn.XLOOKUP(B1989,Ingot!$H$12:$H$119,Ingot!$G$12:$G$119,"")</f>
        <v>Stone</v>
      </c>
      <c r="B1989" t="s">
        <v>3838</v>
      </c>
      <c r="C1989" t="s">
        <v>157</v>
      </c>
      <c r="D1989" t="s">
        <v>4005</v>
      </c>
      <c r="E1989" t="s">
        <v>4006</v>
      </c>
      <c r="G1989" s="1">
        <v>40.5</v>
      </c>
    </row>
    <row r="1990" spans="1:7" ht="14.25" hidden="1" customHeight="1" x14ac:dyDescent="0.45">
      <c r="A1990" t="str">
        <f>_xlfn.XLOOKUP(B1990,Ingot!$H$12:$H$119,Ingot!$G$12:$G$119,"")</f>
        <v>Stone</v>
      </c>
      <c r="B1990" t="s">
        <v>3838</v>
      </c>
      <c r="C1990" t="s">
        <v>157</v>
      </c>
      <c r="D1990" t="s">
        <v>4007</v>
      </c>
      <c r="E1990" t="s">
        <v>4008</v>
      </c>
      <c r="G1990" s="1">
        <v>8.1</v>
      </c>
    </row>
    <row r="1991" spans="1:7" ht="14.25" hidden="1" customHeight="1" x14ac:dyDescent="0.45">
      <c r="A1991" t="str">
        <f>_xlfn.XLOOKUP(B1991,Ingot!$H$12:$H$119,Ingot!$G$12:$G$119,"")</f>
        <v>Stone</v>
      </c>
      <c r="B1991" t="s">
        <v>3838</v>
      </c>
      <c r="C1991" t="s">
        <v>157</v>
      </c>
      <c r="D1991" t="s">
        <v>4009</v>
      </c>
      <c r="E1991" t="s">
        <v>4010</v>
      </c>
      <c r="G1991" s="1">
        <v>8.1</v>
      </c>
    </row>
    <row r="1992" spans="1:7" ht="14.25" hidden="1" customHeight="1" x14ac:dyDescent="0.45">
      <c r="A1992" t="str">
        <f>_xlfn.XLOOKUP(B1992,Ingot!$H$12:$H$119,Ingot!$G$12:$G$119,"")</f>
        <v>Stone</v>
      </c>
      <c r="B1992" t="s">
        <v>3838</v>
      </c>
      <c r="C1992" t="s">
        <v>157</v>
      </c>
      <c r="D1992" t="s">
        <v>4011</v>
      </c>
      <c r="E1992" t="s">
        <v>4012</v>
      </c>
      <c r="G1992" s="1">
        <v>5.27</v>
      </c>
    </row>
    <row r="1993" spans="1:7" ht="14.25" hidden="1" customHeight="1" x14ac:dyDescent="0.45">
      <c r="A1993" t="str">
        <f>_xlfn.XLOOKUP(B1993,Ingot!$H$12:$H$119,Ingot!$G$12:$G$119,"")</f>
        <v>Stone</v>
      </c>
      <c r="B1993" t="s">
        <v>3838</v>
      </c>
      <c r="C1993" t="s">
        <v>157</v>
      </c>
      <c r="D1993" t="s">
        <v>4013</v>
      </c>
      <c r="E1993" t="s">
        <v>4014</v>
      </c>
      <c r="G1993" s="1">
        <v>10.53</v>
      </c>
    </row>
    <row r="1994" spans="1:7" ht="14.25" hidden="1" customHeight="1" x14ac:dyDescent="0.45">
      <c r="A1994" t="str">
        <f>_xlfn.XLOOKUP(B1994,Ingot!$H$12:$H$119,Ingot!$G$12:$G$119,"")</f>
        <v>Stone</v>
      </c>
      <c r="B1994" t="s">
        <v>3838</v>
      </c>
      <c r="C1994" t="s">
        <v>157</v>
      </c>
      <c r="D1994" t="s">
        <v>4015</v>
      </c>
      <c r="E1994" t="s">
        <v>4016</v>
      </c>
      <c r="G1994" s="1">
        <v>42.5</v>
      </c>
    </row>
    <row r="1995" spans="1:7" ht="14.25" hidden="1" customHeight="1" x14ac:dyDescent="0.45">
      <c r="A1995" t="str">
        <f>_xlfn.XLOOKUP(B1995,Ingot!$H$12:$H$119,Ingot!$G$12:$G$119,"")</f>
        <v>Stone</v>
      </c>
      <c r="B1995" t="s">
        <v>3838</v>
      </c>
      <c r="C1995" t="s">
        <v>157</v>
      </c>
      <c r="D1995" t="s">
        <v>4017</v>
      </c>
      <c r="E1995" t="s">
        <v>4018</v>
      </c>
      <c r="G1995" s="1">
        <v>8.5</v>
      </c>
    </row>
    <row r="1996" spans="1:7" ht="14.25" hidden="1" customHeight="1" x14ac:dyDescent="0.45">
      <c r="A1996" t="str">
        <f>_xlfn.XLOOKUP(B1996,Ingot!$H$12:$H$119,Ingot!$G$12:$G$119,"")</f>
        <v>Stone</v>
      </c>
      <c r="B1996" t="s">
        <v>3838</v>
      </c>
      <c r="C1996" t="s">
        <v>157</v>
      </c>
      <c r="D1996" t="s">
        <v>4019</v>
      </c>
      <c r="E1996" t="s">
        <v>4020</v>
      </c>
      <c r="G1996" s="1">
        <v>8.5</v>
      </c>
    </row>
    <row r="1997" spans="1:7" ht="14.25" hidden="1" customHeight="1" x14ac:dyDescent="0.45">
      <c r="A1997" t="str">
        <f>_xlfn.XLOOKUP(B1997,Ingot!$H$12:$H$119,Ingot!$G$12:$G$119,"")</f>
        <v>Stone</v>
      </c>
      <c r="B1997" t="s">
        <v>3838</v>
      </c>
      <c r="C1997" t="s">
        <v>157</v>
      </c>
      <c r="D1997" t="s">
        <v>4021</v>
      </c>
      <c r="E1997" t="s">
        <v>4022</v>
      </c>
      <c r="G1997" s="1">
        <v>5.53</v>
      </c>
    </row>
    <row r="1998" spans="1:7" ht="14.25" hidden="1" customHeight="1" x14ac:dyDescent="0.45">
      <c r="A1998" t="str">
        <f>_xlfn.XLOOKUP(B1998,Ingot!$H$12:$H$119,Ingot!$G$12:$G$119,"")</f>
        <v>Stone</v>
      </c>
      <c r="B1998" t="s">
        <v>3838</v>
      </c>
      <c r="C1998" t="s">
        <v>157</v>
      </c>
      <c r="D1998" t="s">
        <v>4023</v>
      </c>
      <c r="E1998" t="s">
        <v>4024</v>
      </c>
      <c r="G1998" s="1">
        <v>11.05</v>
      </c>
    </row>
    <row r="1999" spans="1:7" ht="14.25" hidden="1" customHeight="1" x14ac:dyDescent="0.45">
      <c r="A1999" t="str">
        <f>_xlfn.XLOOKUP(B1999,Ingot!$H$12:$H$119,Ingot!$G$12:$G$119,"")</f>
        <v>Stone</v>
      </c>
      <c r="B1999" t="s">
        <v>3838</v>
      </c>
      <c r="C1999" t="s">
        <v>157</v>
      </c>
      <c r="D1999" t="s">
        <v>4025</v>
      </c>
      <c r="E1999" t="s">
        <v>4026</v>
      </c>
      <c r="G1999" s="1">
        <v>44</v>
      </c>
    </row>
    <row r="2000" spans="1:7" ht="14.25" hidden="1" customHeight="1" x14ac:dyDescent="0.45">
      <c r="A2000" t="str">
        <f>_xlfn.XLOOKUP(B2000,Ingot!$H$12:$H$119,Ingot!$G$12:$G$119,"")</f>
        <v>Stone</v>
      </c>
      <c r="B2000" t="s">
        <v>3838</v>
      </c>
      <c r="C2000" t="s">
        <v>157</v>
      </c>
      <c r="D2000" t="s">
        <v>4027</v>
      </c>
      <c r="E2000" t="s">
        <v>4028</v>
      </c>
      <c r="G2000" s="1">
        <v>8.8000000000000007</v>
      </c>
    </row>
    <row r="2001" spans="1:7" ht="14.25" hidden="1" customHeight="1" x14ac:dyDescent="0.45">
      <c r="A2001" t="str">
        <f>_xlfn.XLOOKUP(B2001,Ingot!$H$12:$H$119,Ingot!$G$12:$G$119,"")</f>
        <v>Stone</v>
      </c>
      <c r="B2001" t="s">
        <v>3838</v>
      </c>
      <c r="C2001" t="s">
        <v>157</v>
      </c>
      <c r="D2001" t="s">
        <v>4029</v>
      </c>
      <c r="E2001" t="s">
        <v>4030</v>
      </c>
      <c r="G2001" s="1">
        <v>8.8000000000000007</v>
      </c>
    </row>
    <row r="2002" spans="1:7" ht="14.25" hidden="1" customHeight="1" x14ac:dyDescent="0.45">
      <c r="A2002" t="str">
        <f>_xlfn.XLOOKUP(B2002,Ingot!$H$12:$H$119,Ingot!$G$12:$G$119,"")</f>
        <v>Stone</v>
      </c>
      <c r="B2002" t="s">
        <v>3838</v>
      </c>
      <c r="C2002" t="s">
        <v>157</v>
      </c>
      <c r="D2002" t="s">
        <v>4031</v>
      </c>
      <c r="E2002" t="s">
        <v>4032</v>
      </c>
      <c r="G2002" s="1">
        <v>5.72</v>
      </c>
    </row>
    <row r="2003" spans="1:7" ht="14.25" hidden="1" customHeight="1" x14ac:dyDescent="0.45">
      <c r="A2003" t="str">
        <f>_xlfn.XLOOKUP(B2003,Ingot!$H$12:$H$119,Ingot!$G$12:$G$119,"")</f>
        <v>Stone</v>
      </c>
      <c r="B2003" t="s">
        <v>3838</v>
      </c>
      <c r="C2003" t="s">
        <v>157</v>
      </c>
      <c r="D2003" t="s">
        <v>4033</v>
      </c>
      <c r="E2003" t="s">
        <v>4034</v>
      </c>
      <c r="G2003" s="1">
        <v>11.44</v>
      </c>
    </row>
    <row r="2004" spans="1:7" ht="14.25" hidden="1" customHeight="1" x14ac:dyDescent="0.45">
      <c r="A2004" t="str">
        <f>_xlfn.XLOOKUP(B2004,Ingot!$H$12:$H$119,Ingot!$G$12:$G$119,"")</f>
        <v>Stone</v>
      </c>
      <c r="B2004" t="s">
        <v>3838</v>
      </c>
      <c r="C2004" t="s">
        <v>157</v>
      </c>
      <c r="D2004" t="s">
        <v>4035</v>
      </c>
      <c r="E2004" t="s">
        <v>4036</v>
      </c>
      <c r="G2004" s="1">
        <v>48.5</v>
      </c>
    </row>
    <row r="2005" spans="1:7" ht="14.25" hidden="1" customHeight="1" x14ac:dyDescent="0.45">
      <c r="A2005" t="str">
        <f>_xlfn.XLOOKUP(B2005,Ingot!$H$12:$H$119,Ingot!$G$12:$G$119,"")</f>
        <v>Stone</v>
      </c>
      <c r="B2005" t="s">
        <v>3838</v>
      </c>
      <c r="C2005" t="s">
        <v>157</v>
      </c>
      <c r="D2005" t="s">
        <v>4037</v>
      </c>
      <c r="E2005" t="s">
        <v>4038</v>
      </c>
      <c r="G2005" s="1">
        <v>9.6999999999999993</v>
      </c>
    </row>
    <row r="2006" spans="1:7" ht="14.25" hidden="1" customHeight="1" x14ac:dyDescent="0.45">
      <c r="A2006" t="str">
        <f>_xlfn.XLOOKUP(B2006,Ingot!$H$12:$H$119,Ingot!$G$12:$G$119,"")</f>
        <v>Stone</v>
      </c>
      <c r="B2006" t="s">
        <v>3838</v>
      </c>
      <c r="C2006" t="s">
        <v>157</v>
      </c>
      <c r="D2006" t="s">
        <v>4039</v>
      </c>
      <c r="E2006" t="s">
        <v>4040</v>
      </c>
      <c r="G2006" s="1">
        <v>9.6999999999999993</v>
      </c>
    </row>
    <row r="2007" spans="1:7" ht="14.25" hidden="1" customHeight="1" x14ac:dyDescent="0.45">
      <c r="A2007" t="str">
        <f>_xlfn.XLOOKUP(B2007,Ingot!$H$12:$H$119,Ingot!$G$12:$G$119,"")</f>
        <v>Stone</v>
      </c>
      <c r="B2007" t="s">
        <v>3838</v>
      </c>
      <c r="C2007" t="s">
        <v>157</v>
      </c>
      <c r="D2007" t="s">
        <v>4041</v>
      </c>
      <c r="E2007" t="s">
        <v>4042</v>
      </c>
      <c r="G2007" s="1">
        <v>6.31</v>
      </c>
    </row>
    <row r="2008" spans="1:7" ht="14.25" hidden="1" customHeight="1" x14ac:dyDescent="0.45">
      <c r="A2008" t="str">
        <f>_xlfn.XLOOKUP(B2008,Ingot!$H$12:$H$119,Ingot!$G$12:$G$119,"")</f>
        <v>Stone</v>
      </c>
      <c r="B2008" t="s">
        <v>3838</v>
      </c>
      <c r="C2008" t="s">
        <v>157</v>
      </c>
      <c r="D2008" t="s">
        <v>4043</v>
      </c>
      <c r="E2008" t="s">
        <v>4044</v>
      </c>
      <c r="G2008" s="1">
        <v>12.61</v>
      </c>
    </row>
    <row r="2009" spans="1:7" ht="14.25" hidden="1" customHeight="1" x14ac:dyDescent="0.45">
      <c r="A2009" t="str">
        <f>_xlfn.XLOOKUP(B2009,Ingot!$H$12:$H$119,Ingot!$G$12:$G$119,"")</f>
        <v>Stone</v>
      </c>
      <c r="B2009" t="s">
        <v>3838</v>
      </c>
      <c r="C2009" t="s">
        <v>157</v>
      </c>
      <c r="D2009" t="s">
        <v>4045</v>
      </c>
      <c r="E2009" t="s">
        <v>4046</v>
      </c>
      <c r="G2009" s="1">
        <v>47</v>
      </c>
    </row>
    <row r="2010" spans="1:7" ht="14.25" hidden="1" customHeight="1" x14ac:dyDescent="0.45">
      <c r="A2010" t="str">
        <f>_xlfn.XLOOKUP(B2010,Ingot!$H$12:$H$119,Ingot!$G$12:$G$119,"")</f>
        <v>Stone</v>
      </c>
      <c r="B2010" t="s">
        <v>3838</v>
      </c>
      <c r="C2010" t="s">
        <v>157</v>
      </c>
      <c r="D2010" t="s">
        <v>4047</v>
      </c>
      <c r="E2010" t="s">
        <v>4048</v>
      </c>
      <c r="G2010" s="1">
        <v>9.4</v>
      </c>
    </row>
    <row r="2011" spans="1:7" ht="14.25" hidden="1" customHeight="1" x14ac:dyDescent="0.45">
      <c r="A2011" t="str">
        <f>_xlfn.XLOOKUP(B2011,Ingot!$H$12:$H$119,Ingot!$G$12:$G$119,"")</f>
        <v>Stone</v>
      </c>
      <c r="B2011" t="s">
        <v>3838</v>
      </c>
      <c r="C2011" t="s">
        <v>157</v>
      </c>
      <c r="D2011" t="s">
        <v>4049</v>
      </c>
      <c r="E2011" t="s">
        <v>4050</v>
      </c>
      <c r="G2011" s="1">
        <v>9.4</v>
      </c>
    </row>
    <row r="2012" spans="1:7" ht="14.25" hidden="1" customHeight="1" x14ac:dyDescent="0.45">
      <c r="A2012" t="str">
        <f>_xlfn.XLOOKUP(B2012,Ingot!$H$12:$H$119,Ingot!$G$12:$G$119,"")</f>
        <v>Stone</v>
      </c>
      <c r="B2012" t="s">
        <v>3838</v>
      </c>
      <c r="C2012" t="s">
        <v>157</v>
      </c>
      <c r="D2012" t="s">
        <v>4051</v>
      </c>
      <c r="E2012" t="s">
        <v>4052</v>
      </c>
      <c r="G2012" s="1">
        <v>6.11</v>
      </c>
    </row>
    <row r="2013" spans="1:7" ht="14.25" hidden="1" customHeight="1" x14ac:dyDescent="0.45">
      <c r="A2013" t="str">
        <f>_xlfn.XLOOKUP(B2013,Ingot!$H$12:$H$119,Ingot!$G$12:$G$119,"")</f>
        <v>Stone</v>
      </c>
      <c r="B2013" t="s">
        <v>3838</v>
      </c>
      <c r="C2013" t="s">
        <v>157</v>
      </c>
      <c r="D2013" t="s">
        <v>4053</v>
      </c>
      <c r="E2013" t="s">
        <v>4054</v>
      </c>
      <c r="G2013" s="1">
        <v>12.22</v>
      </c>
    </row>
    <row r="2014" spans="1:7" ht="14.25" hidden="1" customHeight="1" x14ac:dyDescent="0.45">
      <c r="A2014" t="str">
        <f>_xlfn.XLOOKUP(B2014,Ingot!$H$12:$H$119,Ingot!$G$12:$G$119,"")</f>
        <v>Stone</v>
      </c>
      <c r="B2014" t="s">
        <v>3838</v>
      </c>
      <c r="C2014" t="s">
        <v>157</v>
      </c>
      <c r="D2014" t="s">
        <v>4055</v>
      </c>
      <c r="E2014" t="s">
        <v>4056</v>
      </c>
      <c r="G2014" s="1">
        <v>39.5</v>
      </c>
    </row>
    <row r="2015" spans="1:7" ht="14.25" hidden="1" customHeight="1" x14ac:dyDescent="0.45">
      <c r="A2015" t="str">
        <f>_xlfn.XLOOKUP(B2015,Ingot!$H$12:$H$119,Ingot!$G$12:$G$119,"")</f>
        <v>Stone</v>
      </c>
      <c r="B2015" t="s">
        <v>3838</v>
      </c>
      <c r="C2015" t="s">
        <v>157</v>
      </c>
      <c r="D2015" t="s">
        <v>4057</v>
      </c>
      <c r="E2015" t="s">
        <v>4058</v>
      </c>
      <c r="G2015" s="1">
        <v>7.9</v>
      </c>
    </row>
    <row r="2016" spans="1:7" ht="14.25" hidden="1" customHeight="1" x14ac:dyDescent="0.45">
      <c r="A2016" t="str">
        <f>_xlfn.XLOOKUP(B2016,Ingot!$H$12:$H$119,Ingot!$G$12:$G$119,"")</f>
        <v>Stone</v>
      </c>
      <c r="B2016" t="s">
        <v>3838</v>
      </c>
      <c r="C2016" t="s">
        <v>157</v>
      </c>
      <c r="D2016" t="s">
        <v>4059</v>
      </c>
      <c r="E2016" t="s">
        <v>4060</v>
      </c>
      <c r="G2016" s="1">
        <v>7.9</v>
      </c>
    </row>
    <row r="2017" spans="1:7" ht="14.25" hidden="1" customHeight="1" x14ac:dyDescent="0.45">
      <c r="A2017" t="str">
        <f>_xlfn.XLOOKUP(B2017,Ingot!$H$12:$H$119,Ingot!$G$12:$G$119,"")</f>
        <v>Stone</v>
      </c>
      <c r="B2017" t="s">
        <v>3838</v>
      </c>
      <c r="C2017" t="s">
        <v>157</v>
      </c>
      <c r="D2017" t="s">
        <v>4061</v>
      </c>
      <c r="E2017" t="s">
        <v>4062</v>
      </c>
      <c r="G2017" s="1">
        <v>5.14</v>
      </c>
    </row>
    <row r="2018" spans="1:7" ht="14.25" hidden="1" customHeight="1" x14ac:dyDescent="0.45">
      <c r="A2018" t="str">
        <f>_xlfn.XLOOKUP(B2018,Ingot!$H$12:$H$119,Ingot!$G$12:$G$119,"")</f>
        <v>Stone</v>
      </c>
      <c r="B2018" t="s">
        <v>3838</v>
      </c>
      <c r="C2018" t="s">
        <v>157</v>
      </c>
      <c r="D2018" t="s">
        <v>4063</v>
      </c>
      <c r="E2018" t="s">
        <v>4064</v>
      </c>
      <c r="G2018" s="1">
        <v>10.27</v>
      </c>
    </row>
    <row r="2019" spans="1:7" ht="14.25" hidden="1" customHeight="1" x14ac:dyDescent="0.45">
      <c r="A2019" t="str">
        <f>_xlfn.XLOOKUP(B2019,Ingot!$H$12:$H$119,Ingot!$G$12:$G$119,"")</f>
        <v>Stone</v>
      </c>
      <c r="B2019" t="s">
        <v>3838</v>
      </c>
      <c r="C2019" t="s">
        <v>239</v>
      </c>
      <c r="D2019" t="s">
        <v>4065</v>
      </c>
      <c r="E2019" t="s">
        <v>4066</v>
      </c>
    </row>
    <row r="2020" spans="1:7" ht="14.25" hidden="1" customHeight="1" x14ac:dyDescent="0.45">
      <c r="A2020" t="str">
        <f>_xlfn.XLOOKUP(B2020,Ingot!$H$12:$H$119,Ingot!$G$12:$G$119,"")</f>
        <v>Stone</v>
      </c>
      <c r="B2020" t="s">
        <v>3838</v>
      </c>
      <c r="C2020" t="s">
        <v>239</v>
      </c>
      <c r="D2020" t="s">
        <v>4067</v>
      </c>
      <c r="E2020" t="s">
        <v>4068</v>
      </c>
    </row>
    <row r="2021" spans="1:7" ht="14.25" hidden="1" customHeight="1" x14ac:dyDescent="0.45">
      <c r="A2021" t="str">
        <f>_xlfn.XLOOKUP(B2021,Ingot!$H$12:$H$119,Ingot!$G$12:$G$119,"")</f>
        <v>Stone</v>
      </c>
      <c r="B2021" t="s">
        <v>3838</v>
      </c>
      <c r="C2021" t="s">
        <v>239</v>
      </c>
      <c r="D2021" t="s">
        <v>4069</v>
      </c>
      <c r="E2021" t="s">
        <v>4070</v>
      </c>
    </row>
    <row r="2022" spans="1:7" ht="14.25" hidden="1" customHeight="1" x14ac:dyDescent="0.45">
      <c r="A2022" t="str">
        <f>_xlfn.XLOOKUP(B2022,Ingot!$H$12:$H$119,Ingot!$G$12:$G$119,"")</f>
        <v>Stone</v>
      </c>
      <c r="B2022" t="s">
        <v>3838</v>
      </c>
      <c r="C2022" t="s">
        <v>239</v>
      </c>
      <c r="D2022" t="s">
        <v>4071</v>
      </c>
      <c r="E2022" t="s">
        <v>4072</v>
      </c>
    </row>
    <row r="2023" spans="1:7" ht="14.25" hidden="1" customHeight="1" x14ac:dyDescent="0.45">
      <c r="A2023" t="str">
        <f>_xlfn.XLOOKUP(B2023,Ingot!$H$12:$H$119,Ingot!$G$12:$G$119,"")</f>
        <v>Stone</v>
      </c>
      <c r="B2023" t="s">
        <v>3838</v>
      </c>
      <c r="C2023" t="s">
        <v>239</v>
      </c>
      <c r="D2023" t="s">
        <v>4073</v>
      </c>
      <c r="E2023" t="s">
        <v>4074</v>
      </c>
    </row>
    <row r="2024" spans="1:7" ht="14.25" hidden="1" customHeight="1" x14ac:dyDescent="0.45">
      <c r="A2024" t="str">
        <f>_xlfn.XLOOKUP(B2024,Ingot!$H$12:$H$119,Ingot!$G$12:$G$119,"")</f>
        <v>Stone</v>
      </c>
      <c r="B2024" t="s">
        <v>3838</v>
      </c>
      <c r="C2024" t="s">
        <v>239</v>
      </c>
      <c r="D2024" t="s">
        <v>4075</v>
      </c>
      <c r="E2024" t="s">
        <v>4076</v>
      </c>
    </row>
    <row r="2025" spans="1:7" ht="14.25" hidden="1" customHeight="1" x14ac:dyDescent="0.45">
      <c r="A2025" t="str">
        <f>_xlfn.XLOOKUP(B2025,Ingot!$H$12:$H$119,Ingot!$G$12:$G$119,"")</f>
        <v>Metal</v>
      </c>
      <c r="B2025" t="s">
        <v>4077</v>
      </c>
      <c r="C2025" t="s">
        <v>10</v>
      </c>
      <c r="D2025" t="s">
        <v>4078</v>
      </c>
      <c r="E2025" t="s">
        <v>4079</v>
      </c>
      <c r="G2025" s="1">
        <v>0.08</v>
      </c>
    </row>
    <row r="2026" spans="1:7" ht="14.25" hidden="1" customHeight="1" x14ac:dyDescent="0.45">
      <c r="A2026" t="str">
        <f>_xlfn.XLOOKUP(B2026,Ingot!$H$12:$H$119,Ingot!$G$12:$G$119,"")</f>
        <v>Metal</v>
      </c>
      <c r="B2026" t="s">
        <v>4077</v>
      </c>
      <c r="C2026" t="s">
        <v>10</v>
      </c>
      <c r="D2026" t="s">
        <v>4080</v>
      </c>
      <c r="E2026" t="s">
        <v>4081</v>
      </c>
      <c r="G2026" s="1">
        <v>9.9</v>
      </c>
    </row>
    <row r="2027" spans="1:7" ht="14.25" hidden="1" customHeight="1" x14ac:dyDescent="0.45">
      <c r="A2027" t="str">
        <f>_xlfn.XLOOKUP(B2027,Ingot!$H$12:$H$119,Ingot!$G$12:$G$119,"")</f>
        <v>Metal</v>
      </c>
      <c r="B2027" t="s">
        <v>4077</v>
      </c>
      <c r="C2027" t="s">
        <v>10</v>
      </c>
      <c r="D2027" t="s">
        <v>4082</v>
      </c>
      <c r="E2027" t="s">
        <v>4083</v>
      </c>
      <c r="G2027" s="1">
        <v>5.66</v>
      </c>
    </row>
    <row r="2028" spans="1:7" ht="14.25" hidden="1" customHeight="1" x14ac:dyDescent="0.45">
      <c r="A2028" t="str">
        <f>_xlfn.XLOOKUP(B2028,Ingot!$H$12:$H$119,Ingot!$G$12:$G$119,"")</f>
        <v>Metal</v>
      </c>
      <c r="B2028" t="s">
        <v>4077</v>
      </c>
      <c r="C2028" t="s">
        <v>10</v>
      </c>
      <c r="D2028" t="s">
        <v>4084</v>
      </c>
      <c r="E2028" t="s">
        <v>4085</v>
      </c>
      <c r="G2028" s="1">
        <v>3.3</v>
      </c>
    </row>
    <row r="2029" spans="1:7" ht="14.25" hidden="1" customHeight="1" x14ac:dyDescent="0.45">
      <c r="A2029" t="str">
        <f>_xlfn.XLOOKUP(B2029,Ingot!$H$12:$H$119,Ingot!$G$12:$G$119,"")</f>
        <v>Metal</v>
      </c>
      <c r="B2029" t="s">
        <v>4077</v>
      </c>
      <c r="C2029" t="s">
        <v>10</v>
      </c>
      <c r="D2029" t="s">
        <v>4086</v>
      </c>
      <c r="E2029" t="s">
        <v>4087</v>
      </c>
      <c r="G2029" s="1">
        <v>0.66</v>
      </c>
    </row>
    <row r="2030" spans="1:7" ht="14.25" hidden="1" customHeight="1" x14ac:dyDescent="0.45">
      <c r="A2030" t="str">
        <f>_xlfn.XLOOKUP(B2030,Ingot!$H$12:$H$119,Ingot!$G$12:$G$119,"")</f>
        <v>Metal</v>
      </c>
      <c r="B2030" t="s">
        <v>4077</v>
      </c>
      <c r="C2030" t="s">
        <v>10</v>
      </c>
      <c r="D2030" t="s">
        <v>4088</v>
      </c>
      <c r="E2030" t="s">
        <v>4089</v>
      </c>
      <c r="G2030" s="1">
        <v>0.04</v>
      </c>
    </row>
    <row r="2031" spans="1:7" ht="14.25" hidden="1" customHeight="1" x14ac:dyDescent="0.45">
      <c r="A2031" t="str">
        <f>_xlfn.XLOOKUP(B2031,Ingot!$H$12:$H$119,Ingot!$G$12:$G$119,"")</f>
        <v>Metal</v>
      </c>
      <c r="B2031" t="s">
        <v>4077</v>
      </c>
      <c r="C2031" t="s">
        <v>10</v>
      </c>
      <c r="D2031" t="s">
        <v>4090</v>
      </c>
      <c r="E2031" t="s">
        <v>4091</v>
      </c>
      <c r="G2031" s="1">
        <v>0.33</v>
      </c>
    </row>
    <row r="2032" spans="1:7" ht="14.25" hidden="1" customHeight="1" x14ac:dyDescent="0.45">
      <c r="A2032" t="str">
        <f>_xlfn.XLOOKUP(B2032,Ingot!$H$12:$H$119,Ingot!$G$12:$G$119,"")</f>
        <v>Metal</v>
      </c>
      <c r="B2032" t="s">
        <v>4077</v>
      </c>
      <c r="C2032" t="s">
        <v>10</v>
      </c>
      <c r="D2032" t="s">
        <v>4092</v>
      </c>
      <c r="E2032" t="s">
        <v>4093</v>
      </c>
    </row>
    <row r="2033" spans="1:7" ht="14.25" hidden="1" customHeight="1" x14ac:dyDescent="0.45">
      <c r="A2033" t="str">
        <f>_xlfn.XLOOKUP(B2033,Ingot!$H$12:$H$119,Ingot!$G$12:$G$119,"")</f>
        <v>Metal</v>
      </c>
      <c r="B2033" t="s">
        <v>4077</v>
      </c>
      <c r="C2033" t="s">
        <v>10</v>
      </c>
      <c r="D2033" t="s">
        <v>4094</v>
      </c>
      <c r="E2033" t="s">
        <v>4095</v>
      </c>
      <c r="G2033" s="1">
        <v>0.05</v>
      </c>
    </row>
    <row r="2034" spans="1:7" ht="14.25" hidden="1" customHeight="1" x14ac:dyDescent="0.45">
      <c r="A2034" t="str">
        <f>_xlfn.XLOOKUP(B2034,Ingot!$H$12:$H$119,Ingot!$G$12:$G$119,"")</f>
        <v>Metal</v>
      </c>
      <c r="B2034" t="s">
        <v>4077</v>
      </c>
      <c r="C2034" t="s">
        <v>10</v>
      </c>
      <c r="D2034" t="s">
        <v>4096</v>
      </c>
      <c r="E2034" t="s">
        <v>4097</v>
      </c>
      <c r="G2034" s="1">
        <v>0.66</v>
      </c>
    </row>
    <row r="2035" spans="1:7" ht="14.25" hidden="1" customHeight="1" x14ac:dyDescent="0.45">
      <c r="A2035" t="str">
        <f>_xlfn.XLOOKUP(B2035,Ingot!$H$12:$H$119,Ingot!$G$12:$G$119,"")</f>
        <v>Metal</v>
      </c>
      <c r="B2035" t="s">
        <v>4077</v>
      </c>
      <c r="C2035" t="s">
        <v>10</v>
      </c>
      <c r="D2035" t="s">
        <v>4098</v>
      </c>
      <c r="E2035" t="s">
        <v>4099</v>
      </c>
      <c r="G2035" s="1">
        <v>3.96</v>
      </c>
    </row>
    <row r="2036" spans="1:7" ht="14.25" hidden="1" customHeight="1" x14ac:dyDescent="0.45">
      <c r="A2036" t="str">
        <f>_xlfn.XLOOKUP(B2036,Ingot!$H$12:$H$119,Ingot!$G$12:$G$119,"")</f>
        <v>Metal</v>
      </c>
      <c r="B2036" t="s">
        <v>4077</v>
      </c>
      <c r="C2036" t="s">
        <v>10</v>
      </c>
      <c r="D2036" t="s">
        <v>4100</v>
      </c>
      <c r="E2036" t="s">
        <v>4101</v>
      </c>
      <c r="G2036" s="1">
        <v>8.77</v>
      </c>
    </row>
    <row r="2037" spans="1:7" ht="14.25" hidden="1" customHeight="1" x14ac:dyDescent="0.45">
      <c r="A2037" t="str">
        <f>_xlfn.XLOOKUP(B2037,Ingot!$H$12:$H$119,Ingot!$G$12:$G$119,"")</f>
        <v>Metal</v>
      </c>
      <c r="B2037" t="s">
        <v>4077</v>
      </c>
      <c r="C2037" t="s">
        <v>10</v>
      </c>
      <c r="D2037" t="s">
        <v>4102</v>
      </c>
      <c r="E2037" t="s">
        <v>4103</v>
      </c>
      <c r="G2037" s="1">
        <v>3.5</v>
      </c>
    </row>
    <row r="2038" spans="1:7" ht="14.25" hidden="1" customHeight="1" x14ac:dyDescent="0.45">
      <c r="A2038" t="str">
        <f>_xlfn.XLOOKUP(B2038,Ingot!$H$12:$H$119,Ingot!$G$12:$G$119,"")</f>
        <v>Metal</v>
      </c>
      <c r="B2038" t="s">
        <v>4077</v>
      </c>
      <c r="C2038" t="s">
        <v>10</v>
      </c>
      <c r="D2038" t="s">
        <v>4104</v>
      </c>
      <c r="E2038" t="s">
        <v>4105</v>
      </c>
    </row>
    <row r="2039" spans="1:7" ht="14.25" hidden="1" customHeight="1" x14ac:dyDescent="0.45">
      <c r="A2039" t="str">
        <f>_xlfn.XLOOKUP(B2039,Ingot!$H$12:$H$119,Ingot!$G$12:$G$119,"")</f>
        <v>Metal</v>
      </c>
      <c r="B2039" t="s">
        <v>4077</v>
      </c>
      <c r="C2039" t="s">
        <v>10</v>
      </c>
      <c r="D2039" t="s">
        <v>4106</v>
      </c>
      <c r="E2039" t="s">
        <v>4107</v>
      </c>
      <c r="G2039" s="1">
        <v>2.2000000000000002</v>
      </c>
    </row>
    <row r="2040" spans="1:7" ht="14.25" hidden="1" customHeight="1" x14ac:dyDescent="0.45">
      <c r="A2040" t="str">
        <f>_xlfn.XLOOKUP(B2040,Ingot!$H$12:$H$119,Ingot!$G$12:$G$119,"")</f>
        <v>Metal</v>
      </c>
      <c r="B2040" t="s">
        <v>4077</v>
      </c>
      <c r="C2040" t="s">
        <v>10</v>
      </c>
      <c r="D2040" t="s">
        <v>4108</v>
      </c>
      <c r="E2040" t="s">
        <v>4109</v>
      </c>
      <c r="G2040" s="1">
        <v>1.1000000000000001</v>
      </c>
    </row>
    <row r="2041" spans="1:7" ht="14.25" hidden="1" customHeight="1" x14ac:dyDescent="0.45">
      <c r="A2041" t="str">
        <f>_xlfn.XLOOKUP(B2041,Ingot!$H$12:$H$119,Ingot!$G$12:$G$119,"")</f>
        <v>Metal</v>
      </c>
      <c r="B2041" t="s">
        <v>4077</v>
      </c>
      <c r="C2041" t="s">
        <v>10</v>
      </c>
      <c r="D2041" t="s">
        <v>4110</v>
      </c>
      <c r="E2041" t="s">
        <v>4111</v>
      </c>
      <c r="G2041" s="1">
        <v>0.22</v>
      </c>
    </row>
    <row r="2042" spans="1:7" ht="14.25" hidden="1" customHeight="1" x14ac:dyDescent="0.45">
      <c r="A2042" t="str">
        <f>_xlfn.XLOOKUP(B2042,Ingot!$H$12:$H$119,Ingot!$G$12:$G$119,"")</f>
        <v>Metal</v>
      </c>
      <c r="B2042" t="s">
        <v>4077</v>
      </c>
      <c r="C2042" t="s">
        <v>10</v>
      </c>
      <c r="D2042" t="s">
        <v>4112</v>
      </c>
      <c r="E2042" t="s">
        <v>4113</v>
      </c>
      <c r="G2042" s="1">
        <v>8.41</v>
      </c>
    </row>
    <row r="2043" spans="1:7" ht="14.25" hidden="1" customHeight="1" x14ac:dyDescent="0.45">
      <c r="A2043" t="str">
        <f>_xlfn.XLOOKUP(B2043,Ingot!$H$12:$H$119,Ingot!$G$12:$G$119,"")</f>
        <v>Metal</v>
      </c>
      <c r="B2043" t="s">
        <v>4077</v>
      </c>
      <c r="C2043" t="s">
        <v>10</v>
      </c>
      <c r="D2043" t="s">
        <v>4114</v>
      </c>
      <c r="E2043" t="s">
        <v>4115</v>
      </c>
      <c r="G2043" s="1">
        <v>3.64</v>
      </c>
    </row>
    <row r="2044" spans="1:7" ht="14.25" hidden="1" customHeight="1" x14ac:dyDescent="0.45">
      <c r="A2044" t="str">
        <f>_xlfn.XLOOKUP(B2044,Ingot!$H$12:$H$119,Ingot!$G$12:$G$119,"")</f>
        <v>Metal</v>
      </c>
      <c r="B2044" t="s">
        <v>4077</v>
      </c>
      <c r="C2044" t="s">
        <v>10</v>
      </c>
      <c r="D2044" t="s">
        <v>4116</v>
      </c>
      <c r="E2044" t="s">
        <v>4117</v>
      </c>
      <c r="G2044" s="1">
        <v>7.05</v>
      </c>
    </row>
    <row r="2045" spans="1:7" ht="14.25" hidden="1" customHeight="1" x14ac:dyDescent="0.45">
      <c r="A2045" t="str">
        <f>_xlfn.XLOOKUP(B2045,Ingot!$H$12:$H$119,Ingot!$G$12:$G$119,"")</f>
        <v>Metal</v>
      </c>
      <c r="B2045" t="s">
        <v>4077</v>
      </c>
      <c r="C2045" t="s">
        <v>10</v>
      </c>
      <c r="D2045" t="s">
        <v>4118</v>
      </c>
      <c r="E2045" t="s">
        <v>4119</v>
      </c>
      <c r="G2045" s="1">
        <v>2.65</v>
      </c>
    </row>
    <row r="2046" spans="1:7" ht="14.25" hidden="1" customHeight="1" x14ac:dyDescent="0.45">
      <c r="A2046" t="str">
        <f>_xlfn.XLOOKUP(B2046,Ingot!$H$12:$H$119,Ingot!$G$12:$G$119,"")</f>
        <v>Metal</v>
      </c>
      <c r="B2046" t="s">
        <v>4077</v>
      </c>
      <c r="C2046" t="s">
        <v>10</v>
      </c>
      <c r="D2046" t="s">
        <v>4120</v>
      </c>
      <c r="E2046" t="s">
        <v>4121</v>
      </c>
      <c r="G2046" s="1">
        <v>9</v>
      </c>
    </row>
    <row r="2047" spans="1:7" ht="14.25" hidden="1" customHeight="1" x14ac:dyDescent="0.45">
      <c r="A2047" t="str">
        <f>_xlfn.XLOOKUP(B2047,Ingot!$H$12:$H$119,Ingot!$G$12:$G$119,"")</f>
        <v>Metal</v>
      </c>
      <c r="B2047" t="s">
        <v>4077</v>
      </c>
      <c r="C2047" t="s">
        <v>10</v>
      </c>
      <c r="D2047" t="s">
        <v>4122</v>
      </c>
      <c r="E2047" t="s">
        <v>4123</v>
      </c>
      <c r="G2047" s="1">
        <v>10.23</v>
      </c>
    </row>
    <row r="2048" spans="1:7" ht="14.25" hidden="1" customHeight="1" x14ac:dyDescent="0.45">
      <c r="A2048" t="str">
        <f>_xlfn.XLOOKUP(B2048,Ingot!$H$12:$H$119,Ingot!$G$12:$G$119,"")</f>
        <v>Metal</v>
      </c>
      <c r="B2048" t="s">
        <v>4077</v>
      </c>
      <c r="C2048" t="s">
        <v>10</v>
      </c>
      <c r="D2048" t="s">
        <v>4124</v>
      </c>
      <c r="E2048" t="s">
        <v>4125</v>
      </c>
      <c r="G2048" s="1">
        <v>7.7</v>
      </c>
    </row>
    <row r="2049" spans="1:7" ht="14.25" hidden="1" customHeight="1" x14ac:dyDescent="0.45">
      <c r="A2049" t="str">
        <f>_xlfn.XLOOKUP(B2049,Ingot!$H$12:$H$119,Ingot!$G$12:$G$119,"")</f>
        <v>Metal</v>
      </c>
      <c r="B2049" t="s">
        <v>4077</v>
      </c>
      <c r="C2049" t="s">
        <v>10</v>
      </c>
      <c r="D2049" t="s">
        <v>4126</v>
      </c>
      <c r="E2049" t="s">
        <v>4127</v>
      </c>
      <c r="G2049" s="1">
        <v>10.02</v>
      </c>
    </row>
    <row r="2050" spans="1:7" ht="14.25" hidden="1" customHeight="1" x14ac:dyDescent="0.45">
      <c r="A2050" t="str">
        <f>_xlfn.XLOOKUP(B2050,Ingot!$H$12:$H$119,Ingot!$G$12:$G$119,"")</f>
        <v>Metal</v>
      </c>
      <c r="B2050" t="s">
        <v>4077</v>
      </c>
      <c r="C2050" t="s">
        <v>10</v>
      </c>
      <c r="D2050" t="s">
        <v>4128</v>
      </c>
      <c r="E2050" t="s">
        <v>4129</v>
      </c>
      <c r="G2050" s="1">
        <v>11.81</v>
      </c>
    </row>
    <row r="2051" spans="1:7" ht="14.25" hidden="1" customHeight="1" x14ac:dyDescent="0.45">
      <c r="A2051" t="str">
        <f>_xlfn.XLOOKUP(B2051,Ingot!$H$12:$H$119,Ingot!$G$12:$G$119,"")</f>
        <v>Metal</v>
      </c>
      <c r="B2051" t="s">
        <v>4077</v>
      </c>
      <c r="C2051" t="s">
        <v>10</v>
      </c>
      <c r="D2051" t="s">
        <v>4130</v>
      </c>
      <c r="E2051" t="s">
        <v>4131</v>
      </c>
      <c r="G2051" s="1">
        <v>8.44</v>
      </c>
    </row>
    <row r="2052" spans="1:7" ht="14.25" hidden="1" customHeight="1" x14ac:dyDescent="0.45">
      <c r="A2052" t="str">
        <f>_xlfn.XLOOKUP(B2052,Ingot!$H$12:$H$119,Ingot!$G$12:$G$119,"")</f>
        <v>Metal</v>
      </c>
      <c r="B2052" t="s">
        <v>4077</v>
      </c>
      <c r="C2052" t="s">
        <v>10</v>
      </c>
      <c r="D2052" t="s">
        <v>4132</v>
      </c>
      <c r="E2052" t="s">
        <v>4133</v>
      </c>
      <c r="G2052" s="1">
        <v>10.42</v>
      </c>
    </row>
    <row r="2053" spans="1:7" ht="14.25" hidden="1" customHeight="1" x14ac:dyDescent="0.45">
      <c r="A2053" t="str">
        <f>_xlfn.XLOOKUP(B2053,Ingot!$H$12:$H$119,Ingot!$G$12:$G$119,"")</f>
        <v>Metal</v>
      </c>
      <c r="B2053" t="s">
        <v>4077</v>
      </c>
      <c r="C2053" t="s">
        <v>10</v>
      </c>
      <c r="D2053" t="s">
        <v>4134</v>
      </c>
      <c r="E2053" t="s">
        <v>4135</v>
      </c>
    </row>
    <row r="2054" spans="1:7" ht="14.25" hidden="1" customHeight="1" x14ac:dyDescent="0.45">
      <c r="A2054" t="str">
        <f>_xlfn.XLOOKUP(B2054,Ingot!$H$12:$H$119,Ingot!$G$12:$G$119,"")</f>
        <v>Metal</v>
      </c>
      <c r="B2054" t="s">
        <v>4077</v>
      </c>
      <c r="C2054" t="s">
        <v>10</v>
      </c>
      <c r="D2054" t="s">
        <v>4136</v>
      </c>
      <c r="E2054" t="s">
        <v>4137</v>
      </c>
      <c r="G2054" s="1">
        <v>7.96</v>
      </c>
    </row>
    <row r="2055" spans="1:7" ht="14.25" hidden="1" customHeight="1" x14ac:dyDescent="0.45">
      <c r="A2055" t="str">
        <f>_xlfn.XLOOKUP(B2055,Ingot!$H$12:$H$119,Ingot!$G$12:$G$119,"")</f>
        <v>Metal</v>
      </c>
      <c r="B2055" t="s">
        <v>4077</v>
      </c>
      <c r="C2055" t="s">
        <v>10</v>
      </c>
      <c r="D2055" t="s">
        <v>4138</v>
      </c>
      <c r="E2055" t="s">
        <v>4139</v>
      </c>
      <c r="G2055" s="1">
        <v>9.64</v>
      </c>
    </row>
    <row r="2056" spans="1:7" ht="14.25" hidden="1" customHeight="1" x14ac:dyDescent="0.45">
      <c r="A2056" t="str">
        <f>_xlfn.XLOOKUP(B2056,Ingot!$H$12:$H$119,Ingot!$G$12:$G$119,"")</f>
        <v>Metal</v>
      </c>
      <c r="B2056" t="s">
        <v>4077</v>
      </c>
      <c r="C2056" t="s">
        <v>10</v>
      </c>
      <c r="D2056" t="s">
        <v>4140</v>
      </c>
      <c r="E2056" t="s">
        <v>4141</v>
      </c>
      <c r="G2056" s="1">
        <v>7.94</v>
      </c>
    </row>
    <row r="2057" spans="1:7" ht="14.25" hidden="1" customHeight="1" x14ac:dyDescent="0.45">
      <c r="A2057" t="str">
        <f>_xlfn.XLOOKUP(B2057,Ingot!$H$12:$H$119,Ingot!$G$12:$G$119,"")</f>
        <v>Metal</v>
      </c>
      <c r="B2057" t="s">
        <v>4077</v>
      </c>
      <c r="C2057" t="s">
        <v>10</v>
      </c>
      <c r="D2057" t="s">
        <v>4142</v>
      </c>
      <c r="E2057" t="s">
        <v>4143</v>
      </c>
      <c r="G2057" s="1">
        <v>8.66</v>
      </c>
    </row>
    <row r="2058" spans="1:7" ht="14.25" hidden="1" customHeight="1" x14ac:dyDescent="0.45">
      <c r="A2058" t="str">
        <f>_xlfn.XLOOKUP(B2058,Ingot!$H$12:$H$119,Ingot!$G$12:$G$119,"")</f>
        <v>Metal</v>
      </c>
      <c r="B2058" t="s">
        <v>4077</v>
      </c>
      <c r="C2058" t="s">
        <v>10</v>
      </c>
      <c r="D2058" t="s">
        <v>4144</v>
      </c>
      <c r="E2058" t="s">
        <v>4145</v>
      </c>
    </row>
    <row r="2059" spans="1:7" ht="14.25" hidden="1" customHeight="1" x14ac:dyDescent="0.45">
      <c r="A2059" t="str">
        <f>_xlfn.XLOOKUP(B2059,Ingot!$H$12:$H$119,Ingot!$G$12:$G$119,"")</f>
        <v>Metal</v>
      </c>
      <c r="B2059" t="s">
        <v>4077</v>
      </c>
      <c r="C2059" t="s">
        <v>10</v>
      </c>
      <c r="D2059" t="s">
        <v>4146</v>
      </c>
      <c r="E2059" t="s">
        <v>4147</v>
      </c>
      <c r="G2059" s="1">
        <v>2.65</v>
      </c>
    </row>
    <row r="2060" spans="1:7" ht="14.25" hidden="1" customHeight="1" x14ac:dyDescent="0.45">
      <c r="A2060" t="str">
        <f>_xlfn.XLOOKUP(B2060,Ingot!$H$12:$H$119,Ingot!$G$12:$G$119,"")</f>
        <v>Metal</v>
      </c>
      <c r="B2060" t="s">
        <v>4077</v>
      </c>
      <c r="C2060" t="s">
        <v>10</v>
      </c>
      <c r="D2060" t="s">
        <v>4148</v>
      </c>
      <c r="E2060" t="s">
        <v>4149</v>
      </c>
    </row>
    <row r="2061" spans="1:7" ht="14.25" hidden="1" customHeight="1" x14ac:dyDescent="0.45">
      <c r="A2061" t="str">
        <f>_xlfn.XLOOKUP(B2061,Ingot!$H$12:$H$119,Ingot!$G$12:$G$119,"")</f>
        <v>Metal</v>
      </c>
      <c r="B2061" t="s">
        <v>4077</v>
      </c>
      <c r="C2061" t="s">
        <v>10</v>
      </c>
      <c r="D2061" t="s">
        <v>4150</v>
      </c>
      <c r="E2061" t="s">
        <v>4151</v>
      </c>
      <c r="G2061" s="1">
        <v>12.64</v>
      </c>
    </row>
    <row r="2062" spans="1:7" ht="14.25" hidden="1" customHeight="1" x14ac:dyDescent="0.45">
      <c r="A2062" t="str">
        <f>_xlfn.XLOOKUP(B2062,Ingot!$H$12:$H$119,Ingot!$G$12:$G$119,"")</f>
        <v>Metal</v>
      </c>
      <c r="B2062" t="s">
        <v>4077</v>
      </c>
      <c r="C2062" t="s">
        <v>10</v>
      </c>
      <c r="D2062" t="s">
        <v>4152</v>
      </c>
      <c r="E2062" t="s">
        <v>4153</v>
      </c>
      <c r="G2062" s="1">
        <v>22.67</v>
      </c>
    </row>
    <row r="2063" spans="1:7" ht="14.25" hidden="1" customHeight="1" x14ac:dyDescent="0.45">
      <c r="A2063" t="str">
        <f>_xlfn.XLOOKUP(B2063,Ingot!$H$12:$H$119,Ingot!$G$12:$G$119,"")</f>
        <v>Metal</v>
      </c>
      <c r="B2063" t="s">
        <v>4077</v>
      </c>
      <c r="C2063" t="s">
        <v>10</v>
      </c>
      <c r="D2063" t="s">
        <v>4154</v>
      </c>
      <c r="E2063" t="s">
        <v>4155</v>
      </c>
      <c r="G2063" s="1">
        <v>8.3800000000000008</v>
      </c>
    </row>
    <row r="2064" spans="1:7" ht="14.25" hidden="1" customHeight="1" x14ac:dyDescent="0.45">
      <c r="A2064" t="str">
        <f>_xlfn.XLOOKUP(B2064,Ingot!$H$12:$H$119,Ingot!$G$12:$G$119,"")</f>
        <v>Metal</v>
      </c>
      <c r="B2064" t="s">
        <v>4077</v>
      </c>
      <c r="C2064" t="s">
        <v>10</v>
      </c>
      <c r="D2064" t="s">
        <v>4156</v>
      </c>
      <c r="E2064" t="s">
        <v>4157</v>
      </c>
      <c r="G2064" s="1">
        <v>2.2000000000000002</v>
      </c>
    </row>
    <row r="2065" spans="1:7" ht="14.25" hidden="1" customHeight="1" x14ac:dyDescent="0.45">
      <c r="A2065" t="str">
        <f>_xlfn.XLOOKUP(B2065,Ingot!$H$12:$H$119,Ingot!$G$12:$G$119,"")</f>
        <v>Metal</v>
      </c>
      <c r="B2065" t="s">
        <v>4077</v>
      </c>
      <c r="C2065" t="s">
        <v>10</v>
      </c>
      <c r="D2065" t="s">
        <v>4158</v>
      </c>
      <c r="E2065" t="s">
        <v>4159</v>
      </c>
      <c r="G2065" s="1">
        <v>3.09</v>
      </c>
    </row>
    <row r="2066" spans="1:7" ht="14.25" hidden="1" customHeight="1" x14ac:dyDescent="0.45">
      <c r="A2066" t="str">
        <f>_xlfn.XLOOKUP(B2066,Ingot!$H$12:$H$119,Ingot!$G$12:$G$119,"")</f>
        <v>Metal</v>
      </c>
      <c r="B2066" t="s">
        <v>4077</v>
      </c>
      <c r="C2066" t="s">
        <v>10</v>
      </c>
      <c r="D2066" t="s">
        <v>4160</v>
      </c>
      <c r="E2066" t="s">
        <v>4161</v>
      </c>
      <c r="G2066" s="1">
        <v>2.2999999999999998</v>
      </c>
    </row>
    <row r="2067" spans="1:7" ht="14.25" hidden="1" customHeight="1" x14ac:dyDescent="0.45">
      <c r="A2067" t="str">
        <f>_xlfn.XLOOKUP(B2067,Ingot!$H$12:$H$119,Ingot!$G$12:$G$119,"")</f>
        <v>Metal</v>
      </c>
      <c r="B2067" t="s">
        <v>4077</v>
      </c>
      <c r="C2067" t="s">
        <v>10</v>
      </c>
      <c r="D2067" t="s">
        <v>4162</v>
      </c>
      <c r="E2067" t="s">
        <v>4163</v>
      </c>
      <c r="G2067" s="1">
        <v>4.88</v>
      </c>
    </row>
    <row r="2068" spans="1:7" ht="14.25" hidden="1" customHeight="1" x14ac:dyDescent="0.45">
      <c r="A2068" t="str">
        <f>_xlfn.XLOOKUP(B2068,Ingot!$H$12:$H$119,Ingot!$G$12:$G$119,"")</f>
        <v>Metal</v>
      </c>
      <c r="B2068" t="s">
        <v>4077</v>
      </c>
      <c r="C2068" t="s">
        <v>10</v>
      </c>
      <c r="D2068" t="s">
        <v>4164</v>
      </c>
      <c r="E2068" t="s">
        <v>4165</v>
      </c>
      <c r="G2068" s="1">
        <v>8.43</v>
      </c>
    </row>
    <row r="2069" spans="1:7" ht="14.25" hidden="1" customHeight="1" x14ac:dyDescent="0.45">
      <c r="A2069" t="str">
        <f>_xlfn.XLOOKUP(B2069,Ingot!$H$12:$H$119,Ingot!$G$12:$G$119,"")</f>
        <v>Metal</v>
      </c>
      <c r="B2069" t="s">
        <v>4077</v>
      </c>
      <c r="C2069" t="s">
        <v>10</v>
      </c>
      <c r="D2069" t="s">
        <v>4166</v>
      </c>
      <c r="E2069" t="s">
        <v>4167</v>
      </c>
      <c r="G2069" s="1">
        <v>13.07</v>
      </c>
    </row>
    <row r="2070" spans="1:7" ht="14.25" hidden="1" customHeight="1" x14ac:dyDescent="0.45">
      <c r="A2070" t="str">
        <f>_xlfn.XLOOKUP(B2070,Ingot!$H$12:$H$119,Ingot!$G$12:$G$119,"")</f>
        <v>Metal</v>
      </c>
      <c r="B2070" t="s">
        <v>4077</v>
      </c>
      <c r="C2070" t="s">
        <v>10</v>
      </c>
      <c r="D2070" t="s">
        <v>4168</v>
      </c>
      <c r="E2070" t="s">
        <v>4169</v>
      </c>
    </row>
    <row r="2071" spans="1:7" ht="14.25" hidden="1" customHeight="1" x14ac:dyDescent="0.45">
      <c r="A2071" t="str">
        <f>_xlfn.XLOOKUP(B2071,Ingot!$H$12:$H$119,Ingot!$G$12:$G$119,"")</f>
        <v>Metal</v>
      </c>
      <c r="B2071" t="s">
        <v>4077</v>
      </c>
      <c r="C2071" t="s">
        <v>10</v>
      </c>
      <c r="D2071" t="s">
        <v>4170</v>
      </c>
      <c r="E2071" t="s">
        <v>4171</v>
      </c>
    </row>
    <row r="2072" spans="1:7" ht="14.25" hidden="1" customHeight="1" x14ac:dyDescent="0.45">
      <c r="A2072" t="str">
        <f>_xlfn.XLOOKUP(B2072,Ingot!$H$12:$H$119,Ingot!$G$12:$G$119,"")</f>
        <v>Metal</v>
      </c>
      <c r="B2072" t="s">
        <v>4077</v>
      </c>
      <c r="C2072" t="s">
        <v>10</v>
      </c>
      <c r="D2072" t="s">
        <v>4172</v>
      </c>
      <c r="E2072" t="s">
        <v>4173</v>
      </c>
      <c r="G2072" s="1">
        <v>6.8</v>
      </c>
    </row>
    <row r="2073" spans="1:7" ht="14.25" hidden="1" customHeight="1" x14ac:dyDescent="0.45">
      <c r="A2073" t="str">
        <f>_xlfn.XLOOKUP(B2073,Ingot!$H$12:$H$119,Ingot!$G$12:$G$119,"")</f>
        <v>Metal</v>
      </c>
      <c r="B2073" t="s">
        <v>4077</v>
      </c>
      <c r="C2073" t="s">
        <v>10</v>
      </c>
      <c r="D2073" t="s">
        <v>4174</v>
      </c>
      <c r="E2073" t="s">
        <v>4175</v>
      </c>
      <c r="G2073" s="1">
        <v>6.88</v>
      </c>
    </row>
    <row r="2074" spans="1:7" ht="14.25" hidden="1" customHeight="1" x14ac:dyDescent="0.45">
      <c r="A2074" t="str">
        <f>_xlfn.XLOOKUP(B2074,Ingot!$H$12:$H$119,Ingot!$G$12:$G$119,"")</f>
        <v>Metal</v>
      </c>
      <c r="B2074" t="s">
        <v>4077</v>
      </c>
      <c r="C2074" t="s">
        <v>10</v>
      </c>
      <c r="D2074" t="s">
        <v>4176</v>
      </c>
      <c r="E2074" t="s">
        <v>4177</v>
      </c>
      <c r="G2074" s="1">
        <v>5.5</v>
      </c>
    </row>
    <row r="2075" spans="1:7" ht="14.25" hidden="1" customHeight="1" x14ac:dyDescent="0.45">
      <c r="A2075" t="str">
        <f>_xlfn.XLOOKUP(B2075,Ingot!$H$12:$H$119,Ingot!$G$12:$G$119,"")</f>
        <v>Metal</v>
      </c>
      <c r="B2075" t="s">
        <v>4077</v>
      </c>
      <c r="C2075" t="s">
        <v>10</v>
      </c>
      <c r="D2075" t="s">
        <v>4178</v>
      </c>
      <c r="E2075" t="s">
        <v>4179</v>
      </c>
      <c r="G2075" s="1">
        <v>2.4300000000000002</v>
      </c>
    </row>
    <row r="2076" spans="1:7" ht="14.25" hidden="1" customHeight="1" x14ac:dyDescent="0.45">
      <c r="A2076" t="str">
        <f>_xlfn.XLOOKUP(B2076,Ingot!$H$12:$H$119,Ingot!$G$12:$G$119,"")</f>
        <v>Metal</v>
      </c>
      <c r="B2076" t="s">
        <v>4077</v>
      </c>
      <c r="C2076" t="s">
        <v>10</v>
      </c>
      <c r="D2076" t="s">
        <v>4180</v>
      </c>
      <c r="E2076" t="s">
        <v>4181</v>
      </c>
      <c r="G2076" s="1">
        <v>6.96</v>
      </c>
    </row>
    <row r="2077" spans="1:7" ht="14.25" hidden="1" customHeight="1" x14ac:dyDescent="0.45">
      <c r="A2077" t="str">
        <f>_xlfn.XLOOKUP(B2077,Ingot!$H$12:$H$119,Ingot!$G$12:$G$119,"")</f>
        <v>Metal</v>
      </c>
      <c r="B2077" t="s">
        <v>4077</v>
      </c>
      <c r="C2077" t="s">
        <v>10</v>
      </c>
      <c r="D2077" t="s">
        <v>4182</v>
      </c>
      <c r="E2077" t="s">
        <v>4183</v>
      </c>
      <c r="G2077" s="1">
        <v>6.32</v>
      </c>
    </row>
    <row r="2078" spans="1:7" ht="14.25" hidden="1" customHeight="1" x14ac:dyDescent="0.45">
      <c r="A2078" t="str">
        <f>_xlfn.XLOOKUP(B2078,Ingot!$H$12:$H$119,Ingot!$G$12:$G$119,"")</f>
        <v>Metal</v>
      </c>
      <c r="B2078" t="s">
        <v>4077</v>
      </c>
      <c r="C2078" t="s">
        <v>10</v>
      </c>
      <c r="D2078" t="s">
        <v>4184</v>
      </c>
      <c r="E2078" t="s">
        <v>4185</v>
      </c>
      <c r="G2078" s="1">
        <v>6.88</v>
      </c>
    </row>
    <row r="2079" spans="1:7" ht="14.25" hidden="1" customHeight="1" x14ac:dyDescent="0.45">
      <c r="A2079" t="str">
        <f>_xlfn.XLOOKUP(B2079,Ingot!$H$12:$H$119,Ingot!$G$12:$G$119,"")</f>
        <v>Metal</v>
      </c>
      <c r="B2079" t="s">
        <v>4077</v>
      </c>
      <c r="C2079" t="s">
        <v>10</v>
      </c>
      <c r="D2079" t="s">
        <v>4186</v>
      </c>
      <c r="E2079" t="s">
        <v>4187</v>
      </c>
      <c r="G2079" s="1">
        <v>2.44</v>
      </c>
    </row>
    <row r="2080" spans="1:7" ht="14.25" hidden="1" customHeight="1" x14ac:dyDescent="0.45">
      <c r="A2080" t="str">
        <f>_xlfn.XLOOKUP(B2080,Ingot!$H$12:$H$119,Ingot!$G$12:$G$119,"")</f>
        <v>Metal</v>
      </c>
      <c r="B2080" t="s">
        <v>4077</v>
      </c>
      <c r="C2080" t="s">
        <v>10</v>
      </c>
      <c r="D2080" t="s">
        <v>4188</v>
      </c>
      <c r="E2080" t="s">
        <v>4189</v>
      </c>
    </row>
    <row r="2081" spans="1:7" ht="14.25" hidden="1" customHeight="1" x14ac:dyDescent="0.45">
      <c r="A2081" t="str">
        <f>_xlfn.XLOOKUP(B2081,Ingot!$H$12:$H$119,Ingot!$G$12:$G$119,"")</f>
        <v>Metal</v>
      </c>
      <c r="B2081" t="s">
        <v>4077</v>
      </c>
      <c r="C2081" t="s">
        <v>10</v>
      </c>
      <c r="D2081" t="s">
        <v>4190</v>
      </c>
      <c r="E2081" t="s">
        <v>4191</v>
      </c>
    </row>
    <row r="2082" spans="1:7" ht="14.25" hidden="1" customHeight="1" x14ac:dyDescent="0.45">
      <c r="A2082" t="str">
        <f>_xlfn.XLOOKUP(B2082,Ingot!$H$12:$H$119,Ingot!$G$12:$G$119,"")</f>
        <v>Metal</v>
      </c>
      <c r="B2082" t="s">
        <v>4077</v>
      </c>
      <c r="C2082" t="s">
        <v>10</v>
      </c>
      <c r="D2082" t="s">
        <v>4192</v>
      </c>
      <c r="E2082" t="s">
        <v>4193</v>
      </c>
      <c r="G2082" s="1">
        <v>3.11</v>
      </c>
    </row>
    <row r="2083" spans="1:7" ht="14.25" hidden="1" customHeight="1" x14ac:dyDescent="0.45">
      <c r="A2083" t="str">
        <f>_xlfn.XLOOKUP(B2083,Ingot!$H$12:$H$119,Ingot!$G$12:$G$119,"")</f>
        <v>Metal</v>
      </c>
      <c r="B2083" t="s">
        <v>4077</v>
      </c>
      <c r="C2083" t="s">
        <v>10</v>
      </c>
      <c r="D2083" t="s">
        <v>4194</v>
      </c>
      <c r="E2083" t="s">
        <v>4195</v>
      </c>
      <c r="G2083" s="1">
        <v>2.44</v>
      </c>
    </row>
    <row r="2084" spans="1:7" ht="14.25" hidden="1" customHeight="1" x14ac:dyDescent="0.45">
      <c r="A2084" t="str">
        <f>_xlfn.XLOOKUP(B2084,Ingot!$H$12:$H$119,Ingot!$G$12:$G$119,"")</f>
        <v>Metal</v>
      </c>
      <c r="B2084" t="s">
        <v>4077</v>
      </c>
      <c r="C2084" t="s">
        <v>10</v>
      </c>
      <c r="D2084" t="s">
        <v>4196</v>
      </c>
      <c r="E2084" t="s">
        <v>4197</v>
      </c>
      <c r="G2084" s="1">
        <v>8.61</v>
      </c>
    </row>
    <row r="2085" spans="1:7" ht="14.25" hidden="1" customHeight="1" x14ac:dyDescent="0.45">
      <c r="A2085" t="str">
        <f>_xlfn.XLOOKUP(B2085,Ingot!$H$12:$H$119,Ingot!$G$12:$G$119,"")</f>
        <v>Metal</v>
      </c>
      <c r="B2085" t="s">
        <v>4077</v>
      </c>
      <c r="C2085" t="s">
        <v>10</v>
      </c>
      <c r="D2085" t="s">
        <v>4198</v>
      </c>
      <c r="E2085" t="s">
        <v>4199</v>
      </c>
    </row>
    <row r="2086" spans="1:7" ht="14.25" hidden="1" customHeight="1" x14ac:dyDescent="0.45">
      <c r="A2086" t="str">
        <f>_xlfn.XLOOKUP(B2086,Ingot!$H$12:$H$119,Ingot!$G$12:$G$119,"")</f>
        <v>Metal</v>
      </c>
      <c r="B2086" t="s">
        <v>4077</v>
      </c>
      <c r="C2086" t="s">
        <v>10</v>
      </c>
      <c r="D2086" t="s">
        <v>4200</v>
      </c>
      <c r="E2086" t="s">
        <v>4201</v>
      </c>
      <c r="G2086" s="1">
        <v>3.21</v>
      </c>
    </row>
    <row r="2087" spans="1:7" ht="14.25" hidden="1" customHeight="1" x14ac:dyDescent="0.45">
      <c r="A2087" t="str">
        <f>_xlfn.XLOOKUP(B2087,Ingot!$H$12:$H$119,Ingot!$G$12:$G$119,"")</f>
        <v>Metal</v>
      </c>
      <c r="B2087" t="s">
        <v>4077</v>
      </c>
      <c r="C2087" t="s">
        <v>10</v>
      </c>
      <c r="D2087" t="s">
        <v>4202</v>
      </c>
      <c r="E2087" t="s">
        <v>4203</v>
      </c>
      <c r="G2087" s="1">
        <v>2.77</v>
      </c>
    </row>
    <row r="2088" spans="1:7" ht="14.25" hidden="1" customHeight="1" x14ac:dyDescent="0.45">
      <c r="A2088" t="str">
        <f>_xlfn.XLOOKUP(B2088,Ingot!$H$12:$H$119,Ingot!$G$12:$G$119,"")</f>
        <v>Metal</v>
      </c>
      <c r="B2088" t="s">
        <v>4077</v>
      </c>
      <c r="C2088" t="s">
        <v>10</v>
      </c>
      <c r="D2088" t="s">
        <v>4204</v>
      </c>
      <c r="E2088" t="s">
        <v>4205</v>
      </c>
      <c r="G2088" s="1">
        <v>4.8899999999999997</v>
      </c>
    </row>
    <row r="2089" spans="1:7" ht="14.25" hidden="1" customHeight="1" x14ac:dyDescent="0.45">
      <c r="A2089" t="str">
        <f>_xlfn.XLOOKUP(B2089,Ingot!$H$12:$H$119,Ingot!$G$12:$G$119,"")</f>
        <v>Metal</v>
      </c>
      <c r="B2089" t="s">
        <v>4077</v>
      </c>
      <c r="C2089" t="s">
        <v>10</v>
      </c>
      <c r="D2089" t="s">
        <v>4206</v>
      </c>
      <c r="E2089" t="s">
        <v>4207</v>
      </c>
      <c r="G2089" s="1">
        <v>1.76</v>
      </c>
    </row>
    <row r="2090" spans="1:7" ht="14.25" hidden="1" customHeight="1" x14ac:dyDescent="0.45">
      <c r="A2090" t="str">
        <f>_xlfn.XLOOKUP(B2090,Ingot!$H$12:$H$119,Ingot!$G$12:$G$119,"")</f>
        <v>Metal</v>
      </c>
      <c r="B2090" t="s">
        <v>4077</v>
      </c>
      <c r="C2090" t="s">
        <v>10</v>
      </c>
      <c r="D2090" t="s">
        <v>4208</v>
      </c>
      <c r="E2090" t="s">
        <v>4209</v>
      </c>
    </row>
    <row r="2091" spans="1:7" ht="14.25" hidden="1" customHeight="1" x14ac:dyDescent="0.45">
      <c r="A2091" t="str">
        <f>_xlfn.XLOOKUP(B2091,Ingot!$H$12:$H$119,Ingot!$G$12:$G$119,"")</f>
        <v>Metal</v>
      </c>
      <c r="B2091" t="s">
        <v>4077</v>
      </c>
      <c r="C2091" t="s">
        <v>10</v>
      </c>
      <c r="D2091" t="s">
        <v>4210</v>
      </c>
      <c r="E2091" t="s">
        <v>4211</v>
      </c>
      <c r="G2091" s="1">
        <v>8.57</v>
      </c>
    </row>
    <row r="2092" spans="1:7" ht="14.25" hidden="1" customHeight="1" x14ac:dyDescent="0.45">
      <c r="A2092" t="str">
        <f>_xlfn.XLOOKUP(B2092,Ingot!$H$12:$H$119,Ingot!$G$12:$G$119,"")</f>
        <v>Metal</v>
      </c>
      <c r="B2092" t="s">
        <v>4077</v>
      </c>
      <c r="C2092" t="s">
        <v>10</v>
      </c>
      <c r="D2092" t="s">
        <v>4212</v>
      </c>
      <c r="E2092" t="s">
        <v>4213</v>
      </c>
    </row>
    <row r="2093" spans="1:7" ht="14.25" hidden="1" customHeight="1" x14ac:dyDescent="0.45">
      <c r="A2093" t="str">
        <f>_xlfn.XLOOKUP(B2093,Ingot!$H$12:$H$119,Ingot!$G$12:$G$119,"")</f>
        <v>Metal</v>
      </c>
      <c r="B2093" t="s">
        <v>4077</v>
      </c>
      <c r="C2093" t="s">
        <v>10</v>
      </c>
      <c r="D2093" t="s">
        <v>4214</v>
      </c>
      <c r="E2093" t="s">
        <v>4215</v>
      </c>
      <c r="G2093" s="1">
        <v>3.56</v>
      </c>
    </row>
    <row r="2094" spans="1:7" ht="14.25" hidden="1" customHeight="1" x14ac:dyDescent="0.45">
      <c r="A2094" t="str">
        <f>_xlfn.XLOOKUP(B2094,Ingot!$H$12:$H$119,Ingot!$G$12:$G$119,"")</f>
        <v>Metal</v>
      </c>
      <c r="B2094" t="s">
        <v>4077</v>
      </c>
      <c r="C2094" t="s">
        <v>10</v>
      </c>
      <c r="D2094" t="s">
        <v>4216</v>
      </c>
      <c r="E2094" t="s">
        <v>4217</v>
      </c>
      <c r="G2094" s="1">
        <v>8.91</v>
      </c>
    </row>
    <row r="2095" spans="1:7" ht="14.25" hidden="1" customHeight="1" x14ac:dyDescent="0.45">
      <c r="A2095" t="str">
        <f>_xlfn.XLOOKUP(B2095,Ingot!$H$12:$H$119,Ingot!$G$12:$G$119,"")</f>
        <v>Metal</v>
      </c>
      <c r="B2095" t="s">
        <v>4077</v>
      </c>
      <c r="C2095" t="s">
        <v>10</v>
      </c>
      <c r="D2095" t="s">
        <v>4218</v>
      </c>
      <c r="E2095" t="s">
        <v>4219</v>
      </c>
      <c r="G2095" s="1">
        <v>11.02</v>
      </c>
    </row>
    <row r="2096" spans="1:7" ht="14.25" hidden="1" customHeight="1" x14ac:dyDescent="0.45">
      <c r="A2096" t="str">
        <f>_xlfn.XLOOKUP(B2096,Ingot!$H$12:$H$119,Ingot!$G$12:$G$119,"")</f>
        <v>Metal</v>
      </c>
      <c r="B2096" t="s">
        <v>4077</v>
      </c>
      <c r="C2096" t="s">
        <v>10</v>
      </c>
      <c r="D2096" t="s">
        <v>4220</v>
      </c>
      <c r="E2096" t="s">
        <v>4221</v>
      </c>
      <c r="G2096" s="1">
        <v>5.12</v>
      </c>
    </row>
    <row r="2097" spans="1:7" ht="14.25" hidden="1" customHeight="1" x14ac:dyDescent="0.45">
      <c r="A2097" t="str">
        <f>_xlfn.XLOOKUP(B2097,Ingot!$H$12:$H$119,Ingot!$G$12:$G$119,"")</f>
        <v>Metal</v>
      </c>
      <c r="B2097" t="s">
        <v>4077</v>
      </c>
      <c r="C2097" t="s">
        <v>10</v>
      </c>
      <c r="D2097" t="s">
        <v>4222</v>
      </c>
      <c r="E2097" t="s">
        <v>4223</v>
      </c>
      <c r="G2097" s="1">
        <v>4.41</v>
      </c>
    </row>
    <row r="2098" spans="1:7" ht="14.25" hidden="1" customHeight="1" x14ac:dyDescent="0.45">
      <c r="A2098" t="str">
        <f>_xlfn.XLOOKUP(B2098,Ingot!$H$12:$H$119,Ingot!$G$12:$G$119,"")</f>
        <v>Metal</v>
      </c>
      <c r="B2098" t="s">
        <v>4077</v>
      </c>
      <c r="C2098" t="s">
        <v>157</v>
      </c>
      <c r="D2098" t="s">
        <v>4224</v>
      </c>
      <c r="E2098" t="s">
        <v>4225</v>
      </c>
      <c r="G2098" s="1">
        <v>35</v>
      </c>
    </row>
    <row r="2099" spans="1:7" ht="14.25" hidden="1" customHeight="1" x14ac:dyDescent="0.45">
      <c r="A2099" t="str">
        <f>_xlfn.XLOOKUP(B2099,Ingot!$H$12:$H$119,Ingot!$G$12:$G$119,"")</f>
        <v>Metal</v>
      </c>
      <c r="B2099" t="s">
        <v>4077</v>
      </c>
      <c r="C2099" t="s">
        <v>157</v>
      </c>
      <c r="D2099" t="s">
        <v>4226</v>
      </c>
      <c r="E2099" t="s">
        <v>4227</v>
      </c>
      <c r="G2099" s="1">
        <v>7</v>
      </c>
    </row>
    <row r="2100" spans="1:7" ht="14.25" hidden="1" customHeight="1" x14ac:dyDescent="0.45">
      <c r="A2100" t="str">
        <f>_xlfn.XLOOKUP(B2100,Ingot!$H$12:$H$119,Ingot!$G$12:$G$119,"")</f>
        <v>Metal</v>
      </c>
      <c r="B2100" t="s">
        <v>4077</v>
      </c>
      <c r="C2100" t="s">
        <v>157</v>
      </c>
      <c r="D2100" t="s">
        <v>4228</v>
      </c>
      <c r="E2100" t="s">
        <v>4229</v>
      </c>
      <c r="G2100" s="1">
        <v>7</v>
      </c>
    </row>
    <row r="2101" spans="1:7" ht="14.25" hidden="1" customHeight="1" x14ac:dyDescent="0.45">
      <c r="A2101" t="str">
        <f>_xlfn.XLOOKUP(B2101,Ingot!$H$12:$H$119,Ingot!$G$12:$G$119,"")</f>
        <v>Metal</v>
      </c>
      <c r="B2101" t="s">
        <v>4077</v>
      </c>
      <c r="C2101" t="s">
        <v>157</v>
      </c>
      <c r="D2101" t="s">
        <v>4230</v>
      </c>
      <c r="E2101" t="s">
        <v>4231</v>
      </c>
      <c r="G2101" s="1">
        <v>5</v>
      </c>
    </row>
    <row r="2102" spans="1:7" ht="14.25" hidden="1" customHeight="1" x14ac:dyDescent="0.45">
      <c r="A2102" t="str">
        <f>_xlfn.XLOOKUP(B2102,Ingot!$H$12:$H$119,Ingot!$G$12:$G$119,"")</f>
        <v>Metal</v>
      </c>
      <c r="B2102" t="s">
        <v>4077</v>
      </c>
      <c r="C2102" t="s">
        <v>157</v>
      </c>
      <c r="D2102" t="s">
        <v>4232</v>
      </c>
      <c r="E2102" t="s">
        <v>4233</v>
      </c>
      <c r="G2102" s="1">
        <v>10</v>
      </c>
    </row>
    <row r="2103" spans="1:7" ht="14.25" hidden="1" customHeight="1" x14ac:dyDescent="0.45">
      <c r="A2103" t="str">
        <f>_xlfn.XLOOKUP(B2103,Ingot!$H$12:$H$119,Ingot!$G$12:$G$119,"")</f>
        <v>Metal</v>
      </c>
      <c r="B2103" t="s">
        <v>4077</v>
      </c>
      <c r="C2103" t="s">
        <v>157</v>
      </c>
      <c r="D2103" t="s">
        <v>4234</v>
      </c>
      <c r="E2103" t="s">
        <v>4235</v>
      </c>
      <c r="G2103" s="1">
        <v>29.5</v>
      </c>
    </row>
    <row r="2104" spans="1:7" ht="14.25" hidden="1" customHeight="1" x14ac:dyDescent="0.45">
      <c r="A2104" t="str">
        <f>_xlfn.XLOOKUP(B2104,Ingot!$H$12:$H$119,Ingot!$G$12:$G$119,"")</f>
        <v>Metal</v>
      </c>
      <c r="B2104" t="s">
        <v>4077</v>
      </c>
      <c r="C2104" t="s">
        <v>157</v>
      </c>
      <c r="D2104" t="s">
        <v>4236</v>
      </c>
      <c r="E2104" t="s">
        <v>4237</v>
      </c>
      <c r="G2104" s="1">
        <v>5.9</v>
      </c>
    </row>
    <row r="2105" spans="1:7" ht="14.25" hidden="1" customHeight="1" x14ac:dyDescent="0.45">
      <c r="A2105" t="str">
        <f>_xlfn.XLOOKUP(B2105,Ingot!$H$12:$H$119,Ingot!$G$12:$G$119,"")</f>
        <v>Metal</v>
      </c>
      <c r="B2105" t="s">
        <v>4077</v>
      </c>
      <c r="C2105" t="s">
        <v>157</v>
      </c>
      <c r="D2105" t="s">
        <v>4238</v>
      </c>
      <c r="E2105" t="s">
        <v>4239</v>
      </c>
      <c r="G2105" s="1">
        <v>5.9</v>
      </c>
    </row>
    <row r="2106" spans="1:7" ht="14.25" hidden="1" customHeight="1" x14ac:dyDescent="0.45">
      <c r="A2106" t="str">
        <f>_xlfn.XLOOKUP(B2106,Ingot!$H$12:$H$119,Ingot!$G$12:$G$119,"")</f>
        <v>Metal</v>
      </c>
      <c r="B2106" t="s">
        <v>4077</v>
      </c>
      <c r="C2106" t="s">
        <v>157</v>
      </c>
      <c r="D2106" t="s">
        <v>4240</v>
      </c>
      <c r="E2106" t="s">
        <v>4241</v>
      </c>
      <c r="G2106" s="1">
        <v>5</v>
      </c>
    </row>
    <row r="2107" spans="1:7" ht="14.25" hidden="1" customHeight="1" x14ac:dyDescent="0.45">
      <c r="A2107" t="str">
        <f>_xlfn.XLOOKUP(B2107,Ingot!$H$12:$H$119,Ingot!$G$12:$G$119,"")</f>
        <v>Metal</v>
      </c>
      <c r="B2107" t="s">
        <v>4077</v>
      </c>
      <c r="C2107" t="s">
        <v>157</v>
      </c>
      <c r="D2107" t="s">
        <v>4242</v>
      </c>
      <c r="E2107" t="s">
        <v>4243</v>
      </c>
      <c r="G2107" s="1">
        <v>10</v>
      </c>
    </row>
    <row r="2108" spans="1:7" ht="14.25" hidden="1" customHeight="1" x14ac:dyDescent="0.45">
      <c r="A2108" t="str">
        <f>_xlfn.XLOOKUP(B2108,Ingot!$H$12:$H$119,Ingot!$G$12:$G$119,"")</f>
        <v>Metal</v>
      </c>
      <c r="B2108" t="s">
        <v>4077</v>
      </c>
      <c r="C2108" t="s">
        <v>157</v>
      </c>
      <c r="D2108" t="s">
        <v>4244</v>
      </c>
      <c r="E2108" t="s">
        <v>4245</v>
      </c>
      <c r="G2108" s="1">
        <v>28.5</v>
      </c>
    </row>
    <row r="2109" spans="1:7" ht="14.25" hidden="1" customHeight="1" x14ac:dyDescent="0.45">
      <c r="A2109" t="str">
        <f>_xlfn.XLOOKUP(B2109,Ingot!$H$12:$H$119,Ingot!$G$12:$G$119,"")</f>
        <v>Metal</v>
      </c>
      <c r="B2109" t="s">
        <v>4077</v>
      </c>
      <c r="C2109" t="s">
        <v>157</v>
      </c>
      <c r="D2109" t="s">
        <v>4246</v>
      </c>
      <c r="E2109" t="s">
        <v>4247</v>
      </c>
      <c r="G2109" s="1">
        <v>5.7</v>
      </c>
    </row>
    <row r="2110" spans="1:7" ht="14.25" hidden="1" customHeight="1" x14ac:dyDescent="0.45">
      <c r="A2110" t="str">
        <f>_xlfn.XLOOKUP(B2110,Ingot!$H$12:$H$119,Ingot!$G$12:$G$119,"")</f>
        <v>Metal</v>
      </c>
      <c r="B2110" t="s">
        <v>4077</v>
      </c>
      <c r="C2110" t="s">
        <v>157</v>
      </c>
      <c r="D2110" t="s">
        <v>4248</v>
      </c>
      <c r="E2110" t="s">
        <v>4249</v>
      </c>
      <c r="G2110" s="1">
        <v>5.7</v>
      </c>
    </row>
    <row r="2111" spans="1:7" ht="14.25" hidden="1" customHeight="1" x14ac:dyDescent="0.45">
      <c r="A2111" t="str">
        <f>_xlfn.XLOOKUP(B2111,Ingot!$H$12:$H$119,Ingot!$G$12:$G$119,"")</f>
        <v>Metal</v>
      </c>
      <c r="B2111" t="s">
        <v>4077</v>
      </c>
      <c r="C2111" t="s">
        <v>157</v>
      </c>
      <c r="D2111" t="s">
        <v>4250</v>
      </c>
      <c r="E2111" t="s">
        <v>4251</v>
      </c>
      <c r="G2111" s="1">
        <v>5</v>
      </c>
    </row>
    <row r="2112" spans="1:7" ht="14.25" hidden="1" customHeight="1" x14ac:dyDescent="0.45">
      <c r="A2112" t="str">
        <f>_xlfn.XLOOKUP(B2112,Ingot!$H$12:$H$119,Ingot!$G$12:$G$119,"")</f>
        <v>Metal</v>
      </c>
      <c r="B2112" t="s">
        <v>4077</v>
      </c>
      <c r="C2112" t="s">
        <v>157</v>
      </c>
      <c r="D2112" t="s">
        <v>4252</v>
      </c>
      <c r="E2112" t="s">
        <v>4253</v>
      </c>
      <c r="G2112" s="1">
        <v>10</v>
      </c>
    </row>
    <row r="2113" spans="1:7" ht="14.25" hidden="1" customHeight="1" x14ac:dyDescent="0.45">
      <c r="A2113" t="str">
        <f>_xlfn.XLOOKUP(B2113,Ingot!$H$12:$H$119,Ingot!$G$12:$G$119,"")</f>
        <v>Metal</v>
      </c>
      <c r="B2113" t="s">
        <v>4077</v>
      </c>
      <c r="C2113" t="s">
        <v>157</v>
      </c>
      <c r="D2113" t="s">
        <v>4254</v>
      </c>
      <c r="E2113" t="s">
        <v>4255</v>
      </c>
      <c r="G2113" s="1">
        <v>31</v>
      </c>
    </row>
    <row r="2114" spans="1:7" ht="14.25" hidden="1" customHeight="1" x14ac:dyDescent="0.45">
      <c r="A2114" t="str">
        <f>_xlfn.XLOOKUP(B2114,Ingot!$H$12:$H$119,Ingot!$G$12:$G$119,"")</f>
        <v>Metal</v>
      </c>
      <c r="B2114" t="s">
        <v>4077</v>
      </c>
      <c r="C2114" t="s">
        <v>157</v>
      </c>
      <c r="D2114" t="s">
        <v>4256</v>
      </c>
      <c r="E2114" t="s">
        <v>4257</v>
      </c>
      <c r="G2114" s="1">
        <v>6.2</v>
      </c>
    </row>
    <row r="2115" spans="1:7" ht="14.25" hidden="1" customHeight="1" x14ac:dyDescent="0.45">
      <c r="A2115" t="str">
        <f>_xlfn.XLOOKUP(B2115,Ingot!$H$12:$H$119,Ingot!$G$12:$G$119,"")</f>
        <v>Metal</v>
      </c>
      <c r="B2115" t="s">
        <v>4077</v>
      </c>
      <c r="C2115" t="s">
        <v>157</v>
      </c>
      <c r="D2115" t="s">
        <v>4258</v>
      </c>
      <c r="E2115" t="s">
        <v>4259</v>
      </c>
      <c r="G2115" s="1">
        <v>6.2</v>
      </c>
    </row>
    <row r="2116" spans="1:7" ht="14.25" hidden="1" customHeight="1" x14ac:dyDescent="0.45">
      <c r="A2116" t="str">
        <f>_xlfn.XLOOKUP(B2116,Ingot!$H$12:$H$119,Ingot!$G$12:$G$119,"")</f>
        <v>Metal</v>
      </c>
      <c r="B2116" t="s">
        <v>4077</v>
      </c>
      <c r="C2116" t="s">
        <v>157</v>
      </c>
      <c r="D2116" t="s">
        <v>4260</v>
      </c>
      <c r="E2116" t="s">
        <v>4261</v>
      </c>
      <c r="G2116" s="1">
        <v>5</v>
      </c>
    </row>
    <row r="2117" spans="1:7" ht="14.25" hidden="1" customHeight="1" x14ac:dyDescent="0.45">
      <c r="A2117" t="str">
        <f>_xlfn.XLOOKUP(B2117,Ingot!$H$12:$H$119,Ingot!$G$12:$G$119,"")</f>
        <v>Metal</v>
      </c>
      <c r="B2117" t="s">
        <v>4077</v>
      </c>
      <c r="C2117" t="s">
        <v>157</v>
      </c>
      <c r="D2117" t="s">
        <v>4262</v>
      </c>
      <c r="E2117" t="s">
        <v>4263</v>
      </c>
      <c r="G2117" s="1">
        <v>10</v>
      </c>
    </row>
    <row r="2118" spans="1:7" ht="14.25" hidden="1" customHeight="1" x14ac:dyDescent="0.45">
      <c r="A2118" t="str">
        <f>_xlfn.XLOOKUP(B2118,Ingot!$H$12:$H$119,Ingot!$G$12:$G$119,"")</f>
        <v>Metal</v>
      </c>
      <c r="B2118" t="s">
        <v>4077</v>
      </c>
      <c r="C2118" t="s">
        <v>157</v>
      </c>
      <c r="D2118" t="s">
        <v>4264</v>
      </c>
      <c r="E2118" t="s">
        <v>4265</v>
      </c>
      <c r="G2118" s="1">
        <v>33</v>
      </c>
    </row>
    <row r="2119" spans="1:7" ht="14.25" hidden="1" customHeight="1" x14ac:dyDescent="0.45">
      <c r="A2119" t="str">
        <f>_xlfn.XLOOKUP(B2119,Ingot!$H$12:$H$119,Ingot!$G$12:$G$119,"")</f>
        <v>Metal</v>
      </c>
      <c r="B2119" t="s">
        <v>4077</v>
      </c>
      <c r="C2119" t="s">
        <v>157</v>
      </c>
      <c r="D2119" t="s">
        <v>4266</v>
      </c>
      <c r="E2119" t="s">
        <v>4267</v>
      </c>
      <c r="G2119" s="1">
        <v>6.6</v>
      </c>
    </row>
    <row r="2120" spans="1:7" ht="14.25" hidden="1" customHeight="1" x14ac:dyDescent="0.45">
      <c r="A2120" t="str">
        <f>_xlfn.XLOOKUP(B2120,Ingot!$H$12:$H$119,Ingot!$G$12:$G$119,"")</f>
        <v>Metal</v>
      </c>
      <c r="B2120" t="s">
        <v>4077</v>
      </c>
      <c r="C2120" t="s">
        <v>157</v>
      </c>
      <c r="D2120" t="s">
        <v>4268</v>
      </c>
      <c r="E2120" t="s">
        <v>4269</v>
      </c>
      <c r="G2120" s="1">
        <v>6.6</v>
      </c>
    </row>
    <row r="2121" spans="1:7" ht="14.25" hidden="1" customHeight="1" x14ac:dyDescent="0.45">
      <c r="A2121" t="str">
        <f>_xlfn.XLOOKUP(B2121,Ingot!$H$12:$H$119,Ingot!$G$12:$G$119,"")</f>
        <v>Metal</v>
      </c>
      <c r="B2121" t="s">
        <v>4077</v>
      </c>
      <c r="C2121" t="s">
        <v>157</v>
      </c>
      <c r="D2121" t="s">
        <v>4270</v>
      </c>
      <c r="E2121" t="s">
        <v>4271</v>
      </c>
      <c r="G2121" s="1">
        <v>5</v>
      </c>
    </row>
    <row r="2122" spans="1:7" ht="14.25" hidden="1" customHeight="1" x14ac:dyDescent="0.45">
      <c r="A2122" t="str">
        <f>_xlfn.XLOOKUP(B2122,Ingot!$H$12:$H$119,Ingot!$G$12:$G$119,"")</f>
        <v>Metal</v>
      </c>
      <c r="B2122" t="s">
        <v>4077</v>
      </c>
      <c r="C2122" t="s">
        <v>157</v>
      </c>
      <c r="D2122" t="s">
        <v>4272</v>
      </c>
      <c r="E2122" t="s">
        <v>4273</v>
      </c>
      <c r="G2122" s="1">
        <v>10</v>
      </c>
    </row>
    <row r="2123" spans="1:7" ht="14.25" hidden="1" customHeight="1" x14ac:dyDescent="0.45">
      <c r="A2123" t="str">
        <f>_xlfn.XLOOKUP(B2123,Ingot!$H$12:$H$119,Ingot!$G$12:$G$119,"")</f>
        <v>Metal</v>
      </c>
      <c r="B2123" t="s">
        <v>4077</v>
      </c>
      <c r="C2123" t="s">
        <v>157</v>
      </c>
      <c r="D2123" t="s">
        <v>4274</v>
      </c>
      <c r="E2123" t="s">
        <v>4275</v>
      </c>
      <c r="G2123" s="1">
        <v>38</v>
      </c>
    </row>
    <row r="2124" spans="1:7" ht="14.25" hidden="1" customHeight="1" x14ac:dyDescent="0.45">
      <c r="A2124" t="str">
        <f>_xlfn.XLOOKUP(B2124,Ingot!$H$12:$H$119,Ingot!$G$12:$G$119,"")</f>
        <v>Metal</v>
      </c>
      <c r="B2124" t="s">
        <v>4077</v>
      </c>
      <c r="C2124" t="s">
        <v>157</v>
      </c>
      <c r="D2124" t="s">
        <v>4276</v>
      </c>
      <c r="E2124" t="s">
        <v>4277</v>
      </c>
      <c r="G2124" s="1">
        <v>7.6</v>
      </c>
    </row>
    <row r="2125" spans="1:7" ht="14.25" hidden="1" customHeight="1" x14ac:dyDescent="0.45">
      <c r="A2125" t="str">
        <f>_xlfn.XLOOKUP(B2125,Ingot!$H$12:$H$119,Ingot!$G$12:$G$119,"")</f>
        <v>Metal</v>
      </c>
      <c r="B2125" t="s">
        <v>4077</v>
      </c>
      <c r="C2125" t="s">
        <v>157</v>
      </c>
      <c r="D2125" t="s">
        <v>4278</v>
      </c>
      <c r="E2125" t="s">
        <v>4279</v>
      </c>
      <c r="G2125" s="1">
        <v>7.6</v>
      </c>
    </row>
    <row r="2126" spans="1:7" ht="14.25" hidden="1" customHeight="1" x14ac:dyDescent="0.45">
      <c r="A2126" t="str">
        <f>_xlfn.XLOOKUP(B2126,Ingot!$H$12:$H$119,Ingot!$G$12:$G$119,"")</f>
        <v>Metal</v>
      </c>
      <c r="B2126" t="s">
        <v>4077</v>
      </c>
      <c r="C2126" t="s">
        <v>157</v>
      </c>
      <c r="D2126" t="s">
        <v>4280</v>
      </c>
      <c r="E2126" t="s">
        <v>4281</v>
      </c>
      <c r="G2126" s="1">
        <v>5</v>
      </c>
    </row>
    <row r="2127" spans="1:7" ht="14.25" hidden="1" customHeight="1" x14ac:dyDescent="0.45">
      <c r="A2127" t="str">
        <f>_xlfn.XLOOKUP(B2127,Ingot!$H$12:$H$119,Ingot!$G$12:$G$119,"")</f>
        <v>Metal</v>
      </c>
      <c r="B2127" t="s">
        <v>4077</v>
      </c>
      <c r="C2127" t="s">
        <v>157</v>
      </c>
      <c r="D2127" t="s">
        <v>4282</v>
      </c>
      <c r="E2127" t="s">
        <v>4283</v>
      </c>
      <c r="G2127" s="1">
        <v>10</v>
      </c>
    </row>
    <row r="2128" spans="1:7" ht="14.25" hidden="1" customHeight="1" x14ac:dyDescent="0.45">
      <c r="A2128" t="str">
        <f>_xlfn.XLOOKUP(B2128,Ingot!$H$12:$H$119,Ingot!$G$12:$G$119,"")</f>
        <v>Metal</v>
      </c>
      <c r="B2128" t="s">
        <v>4077</v>
      </c>
      <c r="C2128" t="s">
        <v>157</v>
      </c>
      <c r="D2128" t="s">
        <v>4284</v>
      </c>
      <c r="E2128" t="s">
        <v>4285</v>
      </c>
      <c r="G2128" s="1">
        <v>37.5</v>
      </c>
    </row>
    <row r="2129" spans="1:7" ht="14.25" hidden="1" customHeight="1" x14ac:dyDescent="0.45">
      <c r="A2129" t="str">
        <f>_xlfn.XLOOKUP(B2129,Ingot!$H$12:$H$119,Ingot!$G$12:$G$119,"")</f>
        <v>Metal</v>
      </c>
      <c r="B2129" t="s">
        <v>4077</v>
      </c>
      <c r="C2129" t="s">
        <v>157</v>
      </c>
      <c r="D2129" t="s">
        <v>4286</v>
      </c>
      <c r="E2129" t="s">
        <v>4287</v>
      </c>
      <c r="G2129" s="1">
        <v>7.5</v>
      </c>
    </row>
    <row r="2130" spans="1:7" ht="14.25" hidden="1" customHeight="1" x14ac:dyDescent="0.45">
      <c r="A2130" t="str">
        <f>_xlfn.XLOOKUP(B2130,Ingot!$H$12:$H$119,Ingot!$G$12:$G$119,"")</f>
        <v>Metal</v>
      </c>
      <c r="B2130" t="s">
        <v>4077</v>
      </c>
      <c r="C2130" t="s">
        <v>157</v>
      </c>
      <c r="D2130" t="s">
        <v>4288</v>
      </c>
      <c r="E2130" t="s">
        <v>4289</v>
      </c>
      <c r="G2130" s="1">
        <v>7.5</v>
      </c>
    </row>
    <row r="2131" spans="1:7" ht="14.25" hidden="1" customHeight="1" x14ac:dyDescent="0.45">
      <c r="A2131" t="str">
        <f>_xlfn.XLOOKUP(B2131,Ingot!$H$12:$H$119,Ingot!$G$12:$G$119,"")</f>
        <v>Metal</v>
      </c>
      <c r="B2131" t="s">
        <v>4077</v>
      </c>
      <c r="C2131" t="s">
        <v>157</v>
      </c>
      <c r="D2131" t="s">
        <v>4290</v>
      </c>
      <c r="E2131" t="s">
        <v>4291</v>
      </c>
      <c r="G2131" s="1">
        <v>5</v>
      </c>
    </row>
    <row r="2132" spans="1:7" ht="14.25" hidden="1" customHeight="1" x14ac:dyDescent="0.45">
      <c r="A2132" t="str">
        <f>_xlfn.XLOOKUP(B2132,Ingot!$H$12:$H$119,Ingot!$G$12:$G$119,"")</f>
        <v>Metal</v>
      </c>
      <c r="B2132" t="s">
        <v>4077</v>
      </c>
      <c r="C2132" t="s">
        <v>157</v>
      </c>
      <c r="D2132" t="s">
        <v>4292</v>
      </c>
      <c r="E2132" t="s">
        <v>4293</v>
      </c>
      <c r="G2132" s="1">
        <v>10</v>
      </c>
    </row>
    <row r="2133" spans="1:7" ht="14.25" hidden="1" customHeight="1" x14ac:dyDescent="0.45">
      <c r="A2133" t="str">
        <f>_xlfn.XLOOKUP(B2133,Ingot!$H$12:$H$119,Ingot!$G$12:$G$119,"")</f>
        <v>Metal</v>
      </c>
      <c r="B2133" t="s">
        <v>4077</v>
      </c>
      <c r="C2133" t="s">
        <v>157</v>
      </c>
      <c r="D2133" t="s">
        <v>4294</v>
      </c>
      <c r="E2133" t="s">
        <v>4295</v>
      </c>
      <c r="G2133" s="1">
        <v>27</v>
      </c>
    </row>
    <row r="2134" spans="1:7" ht="14.25" hidden="1" customHeight="1" x14ac:dyDescent="0.45">
      <c r="A2134" t="str">
        <f>_xlfn.XLOOKUP(B2134,Ingot!$H$12:$H$119,Ingot!$G$12:$G$119,"")</f>
        <v>Metal</v>
      </c>
      <c r="B2134" t="s">
        <v>4077</v>
      </c>
      <c r="C2134" t="s">
        <v>157</v>
      </c>
      <c r="D2134" t="s">
        <v>4296</v>
      </c>
      <c r="E2134" t="s">
        <v>4297</v>
      </c>
      <c r="G2134" s="1">
        <v>5.4</v>
      </c>
    </row>
    <row r="2135" spans="1:7" ht="14.25" hidden="1" customHeight="1" x14ac:dyDescent="0.45">
      <c r="A2135" t="str">
        <f>_xlfn.XLOOKUP(B2135,Ingot!$H$12:$H$119,Ingot!$G$12:$G$119,"")</f>
        <v>Metal</v>
      </c>
      <c r="B2135" t="s">
        <v>4077</v>
      </c>
      <c r="C2135" t="s">
        <v>157</v>
      </c>
      <c r="D2135" t="s">
        <v>4298</v>
      </c>
      <c r="E2135" t="s">
        <v>4299</v>
      </c>
      <c r="G2135" s="1">
        <v>5.4</v>
      </c>
    </row>
    <row r="2136" spans="1:7" ht="14.25" hidden="1" customHeight="1" x14ac:dyDescent="0.45">
      <c r="A2136" t="str">
        <f>_xlfn.XLOOKUP(B2136,Ingot!$H$12:$H$119,Ingot!$G$12:$G$119,"")</f>
        <v>Metal</v>
      </c>
      <c r="B2136" t="s">
        <v>4077</v>
      </c>
      <c r="C2136" t="s">
        <v>157</v>
      </c>
      <c r="D2136" t="s">
        <v>4300</v>
      </c>
      <c r="E2136" t="s">
        <v>4301</v>
      </c>
      <c r="G2136" s="1">
        <v>5</v>
      </c>
    </row>
    <row r="2137" spans="1:7" ht="14.25" hidden="1" customHeight="1" x14ac:dyDescent="0.45">
      <c r="A2137" t="str">
        <f>_xlfn.XLOOKUP(B2137,Ingot!$H$12:$H$119,Ingot!$G$12:$G$119,"")</f>
        <v>Metal</v>
      </c>
      <c r="B2137" t="s">
        <v>4077</v>
      </c>
      <c r="C2137" t="s">
        <v>157</v>
      </c>
      <c r="D2137" t="s">
        <v>4302</v>
      </c>
      <c r="E2137" t="s">
        <v>4303</v>
      </c>
      <c r="G2137" s="1">
        <v>10</v>
      </c>
    </row>
    <row r="2138" spans="1:7" ht="14.25" hidden="1" customHeight="1" x14ac:dyDescent="0.45">
      <c r="A2138" t="str">
        <f>_xlfn.XLOOKUP(B2138,Ingot!$H$12:$H$119,Ingot!$G$12:$G$119,"")</f>
        <v>Metal</v>
      </c>
      <c r="B2138" t="s">
        <v>4077</v>
      </c>
      <c r="C2138" t="s">
        <v>239</v>
      </c>
      <c r="D2138" t="s">
        <v>4304</v>
      </c>
      <c r="E2138" t="s">
        <v>4305</v>
      </c>
    </row>
    <row r="2139" spans="1:7" ht="14.25" hidden="1" customHeight="1" x14ac:dyDescent="0.45">
      <c r="A2139" t="str">
        <f>_xlfn.XLOOKUP(B2139,Ingot!$H$12:$H$119,Ingot!$G$12:$G$119,"")</f>
        <v>Metal</v>
      </c>
      <c r="B2139" t="s">
        <v>4077</v>
      </c>
      <c r="C2139" t="s">
        <v>239</v>
      </c>
      <c r="D2139" t="s">
        <v>4306</v>
      </c>
      <c r="E2139" t="s">
        <v>4307</v>
      </c>
    </row>
    <row r="2140" spans="1:7" ht="14.25" hidden="1" customHeight="1" x14ac:dyDescent="0.45">
      <c r="A2140" t="str">
        <f>_xlfn.XLOOKUP(B2140,Ingot!$H$12:$H$119,Ingot!$G$12:$G$119,"")</f>
        <v>Metal</v>
      </c>
      <c r="B2140" t="s">
        <v>4077</v>
      </c>
      <c r="C2140" t="s">
        <v>239</v>
      </c>
      <c r="D2140" t="s">
        <v>4308</v>
      </c>
      <c r="E2140" t="s">
        <v>4309</v>
      </c>
    </row>
    <row r="2141" spans="1:7" ht="14.25" hidden="1" customHeight="1" x14ac:dyDescent="0.45">
      <c r="A2141" t="str">
        <f>_xlfn.XLOOKUP(B2141,Ingot!$H$12:$H$119,Ingot!$G$12:$G$119,"")</f>
        <v>Metal</v>
      </c>
      <c r="B2141" t="s">
        <v>4077</v>
      </c>
      <c r="C2141" t="s">
        <v>239</v>
      </c>
      <c r="D2141" t="s">
        <v>4310</v>
      </c>
      <c r="E2141" t="s">
        <v>4311</v>
      </c>
    </row>
    <row r="2142" spans="1:7" ht="14.25" hidden="1" customHeight="1" x14ac:dyDescent="0.45">
      <c r="A2142" t="str">
        <f>_xlfn.XLOOKUP(B2142,Ingot!$H$12:$H$119,Ingot!$G$12:$G$119,"")</f>
        <v>Metal</v>
      </c>
      <c r="B2142" t="s">
        <v>4077</v>
      </c>
      <c r="C2142" t="s">
        <v>239</v>
      </c>
      <c r="D2142" t="s">
        <v>4312</v>
      </c>
      <c r="E2142" t="s">
        <v>4313</v>
      </c>
    </row>
    <row r="2143" spans="1:7" ht="14.25" hidden="1" customHeight="1" x14ac:dyDescent="0.45">
      <c r="A2143" t="str">
        <f>_xlfn.XLOOKUP(B2143,Ingot!$H$12:$H$119,Ingot!$G$12:$G$119,"")</f>
        <v>Metal</v>
      </c>
      <c r="B2143" t="s">
        <v>4077</v>
      </c>
      <c r="C2143" t="s">
        <v>239</v>
      </c>
      <c r="D2143" t="s">
        <v>4314</v>
      </c>
      <c r="E2143" t="s">
        <v>4315</v>
      </c>
    </row>
    <row r="2144" spans="1:7" ht="14.25" hidden="1" customHeight="1" x14ac:dyDescent="0.45">
      <c r="A2144" t="str">
        <f>_xlfn.XLOOKUP(B2144,Ingot!$H$12:$H$119,Ingot!$G$12:$G$119,"")</f>
        <v>Metal</v>
      </c>
      <c r="B2144" t="s">
        <v>4316</v>
      </c>
      <c r="C2144" t="s">
        <v>10</v>
      </c>
      <c r="D2144" t="s">
        <v>4317</v>
      </c>
      <c r="E2144" t="s">
        <v>4318</v>
      </c>
      <c r="G2144" s="1">
        <v>0.08</v>
      </c>
    </row>
    <row r="2145" spans="1:7" ht="14.25" hidden="1" customHeight="1" x14ac:dyDescent="0.45">
      <c r="A2145" t="str">
        <f>_xlfn.XLOOKUP(B2145,Ingot!$H$12:$H$119,Ingot!$G$12:$G$119,"")</f>
        <v>Metal</v>
      </c>
      <c r="B2145" t="s">
        <v>4316</v>
      </c>
      <c r="C2145" t="s">
        <v>10</v>
      </c>
      <c r="D2145" t="s">
        <v>4319</v>
      </c>
      <c r="E2145" t="s">
        <v>4320</v>
      </c>
      <c r="G2145" s="1">
        <v>9.9</v>
      </c>
    </row>
    <row r="2146" spans="1:7" ht="14.25" hidden="1" customHeight="1" x14ac:dyDescent="0.45">
      <c r="A2146" t="str">
        <f>_xlfn.XLOOKUP(B2146,Ingot!$H$12:$H$119,Ingot!$G$12:$G$119,"")</f>
        <v>Metal</v>
      </c>
      <c r="B2146" t="s">
        <v>4316</v>
      </c>
      <c r="C2146" t="s">
        <v>10</v>
      </c>
      <c r="D2146" t="s">
        <v>4321</v>
      </c>
      <c r="E2146" t="s">
        <v>4322</v>
      </c>
      <c r="G2146" s="1">
        <v>5.66</v>
      </c>
    </row>
    <row r="2147" spans="1:7" ht="14.25" hidden="1" customHeight="1" x14ac:dyDescent="0.45">
      <c r="A2147" t="str">
        <f>_xlfn.XLOOKUP(B2147,Ingot!$H$12:$H$119,Ingot!$G$12:$G$119,"")</f>
        <v>Metal</v>
      </c>
      <c r="B2147" t="s">
        <v>4316</v>
      </c>
      <c r="C2147" t="s">
        <v>10</v>
      </c>
      <c r="D2147" t="s">
        <v>4323</v>
      </c>
      <c r="E2147" t="s">
        <v>4324</v>
      </c>
      <c r="G2147" s="1">
        <v>3.3</v>
      </c>
    </row>
    <row r="2148" spans="1:7" ht="14.25" hidden="1" customHeight="1" x14ac:dyDescent="0.45">
      <c r="A2148" t="str">
        <f>_xlfn.XLOOKUP(B2148,Ingot!$H$12:$H$119,Ingot!$G$12:$G$119,"")</f>
        <v>Metal</v>
      </c>
      <c r="B2148" t="s">
        <v>4316</v>
      </c>
      <c r="C2148" t="s">
        <v>10</v>
      </c>
      <c r="D2148" t="s">
        <v>4325</v>
      </c>
      <c r="E2148" t="s">
        <v>4326</v>
      </c>
      <c r="G2148" s="1">
        <v>0.66</v>
      </c>
    </row>
    <row r="2149" spans="1:7" ht="14.25" hidden="1" customHeight="1" x14ac:dyDescent="0.45">
      <c r="A2149" t="str">
        <f>_xlfn.XLOOKUP(B2149,Ingot!$H$12:$H$119,Ingot!$G$12:$G$119,"")</f>
        <v>Metal</v>
      </c>
      <c r="B2149" t="s">
        <v>4316</v>
      </c>
      <c r="C2149" t="s">
        <v>10</v>
      </c>
      <c r="D2149" t="s">
        <v>4327</v>
      </c>
      <c r="E2149" t="s">
        <v>4328</v>
      </c>
      <c r="G2149" s="1">
        <v>0.04</v>
      </c>
    </row>
    <row r="2150" spans="1:7" ht="14.25" hidden="1" customHeight="1" x14ac:dyDescent="0.45">
      <c r="A2150" t="str">
        <f>_xlfn.XLOOKUP(B2150,Ingot!$H$12:$H$119,Ingot!$G$12:$G$119,"")</f>
        <v>Metal</v>
      </c>
      <c r="B2150" t="s">
        <v>4316</v>
      </c>
      <c r="C2150" t="s">
        <v>10</v>
      </c>
      <c r="D2150" t="s">
        <v>4329</v>
      </c>
      <c r="E2150" t="s">
        <v>4330</v>
      </c>
      <c r="G2150" s="1">
        <v>0.33</v>
      </c>
    </row>
    <row r="2151" spans="1:7" ht="14.25" hidden="1" customHeight="1" x14ac:dyDescent="0.45">
      <c r="A2151" t="str">
        <f>_xlfn.XLOOKUP(B2151,Ingot!$H$12:$H$119,Ingot!$G$12:$G$119,"")</f>
        <v>Metal</v>
      </c>
      <c r="B2151" t="s">
        <v>4316</v>
      </c>
      <c r="C2151" t="s">
        <v>10</v>
      </c>
      <c r="D2151" t="s">
        <v>4331</v>
      </c>
      <c r="E2151" t="s">
        <v>4332</v>
      </c>
    </row>
    <row r="2152" spans="1:7" ht="14.25" hidden="1" customHeight="1" x14ac:dyDescent="0.45">
      <c r="A2152" t="str">
        <f>_xlfn.XLOOKUP(B2152,Ingot!$H$12:$H$119,Ingot!$G$12:$G$119,"")</f>
        <v>Metal</v>
      </c>
      <c r="B2152" t="s">
        <v>4316</v>
      </c>
      <c r="C2152" t="s">
        <v>10</v>
      </c>
      <c r="D2152" t="s">
        <v>4333</v>
      </c>
      <c r="E2152" t="s">
        <v>4334</v>
      </c>
      <c r="G2152" s="1">
        <v>0.05</v>
      </c>
    </row>
    <row r="2153" spans="1:7" ht="14.25" hidden="1" customHeight="1" x14ac:dyDescent="0.45">
      <c r="A2153" t="str">
        <f>_xlfn.XLOOKUP(B2153,Ingot!$H$12:$H$119,Ingot!$G$12:$G$119,"")</f>
        <v>Metal</v>
      </c>
      <c r="B2153" t="s">
        <v>4316</v>
      </c>
      <c r="C2153" t="s">
        <v>10</v>
      </c>
      <c r="D2153" t="s">
        <v>4335</v>
      </c>
      <c r="E2153" t="s">
        <v>4336</v>
      </c>
      <c r="G2153" s="1">
        <v>0.66</v>
      </c>
    </row>
    <row r="2154" spans="1:7" ht="14.25" hidden="1" customHeight="1" x14ac:dyDescent="0.45">
      <c r="A2154" t="str">
        <f>_xlfn.XLOOKUP(B2154,Ingot!$H$12:$H$119,Ingot!$G$12:$G$119,"")</f>
        <v>Metal</v>
      </c>
      <c r="B2154" t="s">
        <v>4316</v>
      </c>
      <c r="C2154" t="s">
        <v>10</v>
      </c>
      <c r="D2154" t="s">
        <v>4337</v>
      </c>
      <c r="E2154" t="s">
        <v>4338</v>
      </c>
      <c r="G2154" s="1">
        <v>3.96</v>
      </c>
    </row>
    <row r="2155" spans="1:7" ht="14.25" hidden="1" customHeight="1" x14ac:dyDescent="0.45">
      <c r="A2155" t="str">
        <f>_xlfn.XLOOKUP(B2155,Ingot!$H$12:$H$119,Ingot!$G$12:$G$119,"")</f>
        <v>Metal</v>
      </c>
      <c r="B2155" t="s">
        <v>4316</v>
      </c>
      <c r="C2155" t="s">
        <v>10</v>
      </c>
      <c r="D2155" t="s">
        <v>4339</v>
      </c>
      <c r="E2155" t="s">
        <v>4340</v>
      </c>
      <c r="G2155" s="1">
        <v>8.77</v>
      </c>
    </row>
    <row r="2156" spans="1:7" ht="14.25" hidden="1" customHeight="1" x14ac:dyDescent="0.45">
      <c r="A2156" t="str">
        <f>_xlfn.XLOOKUP(B2156,Ingot!$H$12:$H$119,Ingot!$G$12:$G$119,"")</f>
        <v>Metal</v>
      </c>
      <c r="B2156" t="s">
        <v>4316</v>
      </c>
      <c r="C2156" t="s">
        <v>10</v>
      </c>
      <c r="D2156" t="s">
        <v>4341</v>
      </c>
      <c r="E2156" t="s">
        <v>4342</v>
      </c>
      <c r="G2156" s="1">
        <v>3.5</v>
      </c>
    </row>
    <row r="2157" spans="1:7" ht="14.25" hidden="1" customHeight="1" x14ac:dyDescent="0.45">
      <c r="A2157" t="str">
        <f>_xlfn.XLOOKUP(B2157,Ingot!$H$12:$H$119,Ingot!$G$12:$G$119,"")</f>
        <v>Metal</v>
      </c>
      <c r="B2157" t="s">
        <v>4316</v>
      </c>
      <c r="C2157" t="s">
        <v>10</v>
      </c>
      <c r="D2157" t="s">
        <v>4343</v>
      </c>
      <c r="E2157" t="s">
        <v>4344</v>
      </c>
    </row>
    <row r="2158" spans="1:7" ht="14.25" hidden="1" customHeight="1" x14ac:dyDescent="0.45">
      <c r="A2158" t="str">
        <f>_xlfn.XLOOKUP(B2158,Ingot!$H$12:$H$119,Ingot!$G$12:$G$119,"")</f>
        <v>Metal</v>
      </c>
      <c r="B2158" t="s">
        <v>4316</v>
      </c>
      <c r="C2158" t="s">
        <v>10</v>
      </c>
      <c r="D2158" t="s">
        <v>4345</v>
      </c>
      <c r="E2158" t="s">
        <v>4346</v>
      </c>
      <c r="G2158" s="1">
        <v>2.2000000000000002</v>
      </c>
    </row>
    <row r="2159" spans="1:7" ht="14.25" hidden="1" customHeight="1" x14ac:dyDescent="0.45">
      <c r="A2159" t="str">
        <f>_xlfn.XLOOKUP(B2159,Ingot!$H$12:$H$119,Ingot!$G$12:$G$119,"")</f>
        <v>Metal</v>
      </c>
      <c r="B2159" t="s">
        <v>4316</v>
      </c>
      <c r="C2159" t="s">
        <v>10</v>
      </c>
      <c r="D2159" t="s">
        <v>4347</v>
      </c>
      <c r="E2159" t="s">
        <v>4348</v>
      </c>
      <c r="G2159" s="1">
        <v>1.1000000000000001</v>
      </c>
    </row>
    <row r="2160" spans="1:7" ht="14.25" hidden="1" customHeight="1" x14ac:dyDescent="0.45">
      <c r="A2160" t="str">
        <f>_xlfn.XLOOKUP(B2160,Ingot!$H$12:$H$119,Ingot!$G$12:$G$119,"")</f>
        <v>Metal</v>
      </c>
      <c r="B2160" t="s">
        <v>4316</v>
      </c>
      <c r="C2160" t="s">
        <v>10</v>
      </c>
      <c r="D2160" t="s">
        <v>4349</v>
      </c>
      <c r="E2160" t="s">
        <v>4350</v>
      </c>
      <c r="G2160" s="1">
        <v>0.22</v>
      </c>
    </row>
    <row r="2161" spans="1:7" ht="14.25" hidden="1" customHeight="1" x14ac:dyDescent="0.45">
      <c r="A2161" t="str">
        <f>_xlfn.XLOOKUP(B2161,Ingot!$H$12:$H$119,Ingot!$G$12:$G$119,"")</f>
        <v>Metal</v>
      </c>
      <c r="B2161" t="s">
        <v>4316</v>
      </c>
      <c r="C2161" t="s">
        <v>10</v>
      </c>
      <c r="D2161" t="s">
        <v>4351</v>
      </c>
      <c r="E2161" t="s">
        <v>4352</v>
      </c>
      <c r="G2161" s="1">
        <v>8.41</v>
      </c>
    </row>
    <row r="2162" spans="1:7" ht="14.25" hidden="1" customHeight="1" x14ac:dyDescent="0.45">
      <c r="A2162" t="str">
        <f>_xlfn.XLOOKUP(B2162,Ingot!$H$12:$H$119,Ingot!$G$12:$G$119,"")</f>
        <v>Metal</v>
      </c>
      <c r="B2162" t="s">
        <v>4316</v>
      </c>
      <c r="C2162" t="s">
        <v>10</v>
      </c>
      <c r="D2162" t="s">
        <v>4353</v>
      </c>
      <c r="E2162" t="s">
        <v>4354</v>
      </c>
      <c r="G2162" s="1">
        <v>3.64</v>
      </c>
    </row>
    <row r="2163" spans="1:7" ht="14.25" hidden="1" customHeight="1" x14ac:dyDescent="0.45">
      <c r="A2163" t="str">
        <f>_xlfn.XLOOKUP(B2163,Ingot!$H$12:$H$119,Ingot!$G$12:$G$119,"")</f>
        <v>Metal</v>
      </c>
      <c r="B2163" t="s">
        <v>4316</v>
      </c>
      <c r="C2163" t="s">
        <v>10</v>
      </c>
      <c r="D2163" t="s">
        <v>4355</v>
      </c>
      <c r="E2163" t="s">
        <v>4356</v>
      </c>
      <c r="G2163" s="1">
        <v>7.05</v>
      </c>
    </row>
    <row r="2164" spans="1:7" ht="14.25" hidden="1" customHeight="1" x14ac:dyDescent="0.45">
      <c r="A2164" t="str">
        <f>_xlfn.XLOOKUP(B2164,Ingot!$H$12:$H$119,Ingot!$G$12:$G$119,"")</f>
        <v>Metal</v>
      </c>
      <c r="B2164" t="s">
        <v>4316</v>
      </c>
      <c r="C2164" t="s">
        <v>10</v>
      </c>
      <c r="D2164" t="s">
        <v>4357</v>
      </c>
      <c r="E2164" t="s">
        <v>4358</v>
      </c>
      <c r="G2164" s="1">
        <v>2.65</v>
      </c>
    </row>
    <row r="2165" spans="1:7" ht="14.25" hidden="1" customHeight="1" x14ac:dyDescent="0.45">
      <c r="A2165" t="str">
        <f>_xlfn.XLOOKUP(B2165,Ingot!$H$12:$H$119,Ingot!$G$12:$G$119,"")</f>
        <v>Metal</v>
      </c>
      <c r="B2165" t="s">
        <v>4316</v>
      </c>
      <c r="C2165" t="s">
        <v>10</v>
      </c>
      <c r="D2165" t="s">
        <v>4359</v>
      </c>
      <c r="E2165" t="s">
        <v>4360</v>
      </c>
      <c r="G2165" s="1">
        <v>9</v>
      </c>
    </row>
    <row r="2166" spans="1:7" ht="14.25" hidden="1" customHeight="1" x14ac:dyDescent="0.45">
      <c r="A2166" t="str">
        <f>_xlfn.XLOOKUP(B2166,Ingot!$H$12:$H$119,Ingot!$G$12:$G$119,"")</f>
        <v>Metal</v>
      </c>
      <c r="B2166" t="s">
        <v>4316</v>
      </c>
      <c r="C2166" t="s">
        <v>10</v>
      </c>
      <c r="D2166" t="s">
        <v>4361</v>
      </c>
      <c r="E2166" t="s">
        <v>4362</v>
      </c>
      <c r="G2166" s="1">
        <v>10.23</v>
      </c>
    </row>
    <row r="2167" spans="1:7" ht="14.25" hidden="1" customHeight="1" x14ac:dyDescent="0.45">
      <c r="A2167" t="str">
        <f>_xlfn.XLOOKUP(B2167,Ingot!$H$12:$H$119,Ingot!$G$12:$G$119,"")</f>
        <v>Metal</v>
      </c>
      <c r="B2167" t="s">
        <v>4316</v>
      </c>
      <c r="C2167" t="s">
        <v>10</v>
      </c>
      <c r="D2167" t="s">
        <v>4363</v>
      </c>
      <c r="E2167" t="s">
        <v>4364</v>
      </c>
      <c r="G2167" s="1">
        <v>7.7</v>
      </c>
    </row>
    <row r="2168" spans="1:7" ht="14.25" hidden="1" customHeight="1" x14ac:dyDescent="0.45">
      <c r="A2168" t="str">
        <f>_xlfn.XLOOKUP(B2168,Ingot!$H$12:$H$119,Ingot!$G$12:$G$119,"")</f>
        <v>Metal</v>
      </c>
      <c r="B2168" t="s">
        <v>4316</v>
      </c>
      <c r="C2168" t="s">
        <v>10</v>
      </c>
      <c r="D2168" t="s">
        <v>4365</v>
      </c>
      <c r="E2168" t="s">
        <v>4366</v>
      </c>
      <c r="G2168" s="1">
        <v>10.02</v>
      </c>
    </row>
    <row r="2169" spans="1:7" ht="14.25" hidden="1" customHeight="1" x14ac:dyDescent="0.45">
      <c r="A2169" t="str">
        <f>_xlfn.XLOOKUP(B2169,Ingot!$H$12:$H$119,Ingot!$G$12:$G$119,"")</f>
        <v>Metal</v>
      </c>
      <c r="B2169" t="s">
        <v>4316</v>
      </c>
      <c r="C2169" t="s">
        <v>10</v>
      </c>
      <c r="D2169" t="s">
        <v>4367</v>
      </c>
      <c r="E2169" t="s">
        <v>4368</v>
      </c>
      <c r="G2169" s="1">
        <v>11.81</v>
      </c>
    </row>
    <row r="2170" spans="1:7" ht="14.25" hidden="1" customHeight="1" x14ac:dyDescent="0.45">
      <c r="A2170" t="str">
        <f>_xlfn.XLOOKUP(B2170,Ingot!$H$12:$H$119,Ingot!$G$12:$G$119,"")</f>
        <v>Metal</v>
      </c>
      <c r="B2170" t="s">
        <v>4316</v>
      </c>
      <c r="C2170" t="s">
        <v>10</v>
      </c>
      <c r="D2170" t="s">
        <v>4369</v>
      </c>
      <c r="E2170" t="s">
        <v>4370</v>
      </c>
      <c r="G2170" s="1">
        <v>8.44</v>
      </c>
    </row>
    <row r="2171" spans="1:7" ht="14.25" hidden="1" customHeight="1" x14ac:dyDescent="0.45">
      <c r="A2171" t="str">
        <f>_xlfn.XLOOKUP(B2171,Ingot!$H$12:$H$119,Ingot!$G$12:$G$119,"")</f>
        <v>Metal</v>
      </c>
      <c r="B2171" t="s">
        <v>4316</v>
      </c>
      <c r="C2171" t="s">
        <v>10</v>
      </c>
      <c r="D2171" t="s">
        <v>4371</v>
      </c>
      <c r="E2171" t="s">
        <v>4372</v>
      </c>
      <c r="G2171" s="1">
        <v>10.42</v>
      </c>
    </row>
    <row r="2172" spans="1:7" ht="14.25" hidden="1" customHeight="1" x14ac:dyDescent="0.45">
      <c r="A2172" t="str">
        <f>_xlfn.XLOOKUP(B2172,Ingot!$H$12:$H$119,Ingot!$G$12:$G$119,"")</f>
        <v>Metal</v>
      </c>
      <c r="B2172" t="s">
        <v>4316</v>
      </c>
      <c r="C2172" t="s">
        <v>10</v>
      </c>
      <c r="D2172" t="s">
        <v>4373</v>
      </c>
      <c r="E2172" t="s">
        <v>4374</v>
      </c>
    </row>
    <row r="2173" spans="1:7" ht="14.25" hidden="1" customHeight="1" x14ac:dyDescent="0.45">
      <c r="A2173" t="str">
        <f>_xlfn.XLOOKUP(B2173,Ingot!$H$12:$H$119,Ingot!$G$12:$G$119,"")</f>
        <v>Metal</v>
      </c>
      <c r="B2173" t="s">
        <v>4316</v>
      </c>
      <c r="C2173" t="s">
        <v>10</v>
      </c>
      <c r="D2173" t="s">
        <v>4375</v>
      </c>
      <c r="E2173" t="s">
        <v>4376</v>
      </c>
      <c r="G2173" s="1">
        <v>7.96</v>
      </c>
    </row>
    <row r="2174" spans="1:7" ht="14.25" hidden="1" customHeight="1" x14ac:dyDescent="0.45">
      <c r="A2174" t="str">
        <f>_xlfn.XLOOKUP(B2174,Ingot!$H$12:$H$119,Ingot!$G$12:$G$119,"")</f>
        <v>Metal</v>
      </c>
      <c r="B2174" t="s">
        <v>4316</v>
      </c>
      <c r="C2174" t="s">
        <v>10</v>
      </c>
      <c r="D2174" t="s">
        <v>4377</v>
      </c>
      <c r="E2174" t="s">
        <v>4378</v>
      </c>
      <c r="G2174" s="1">
        <v>9.64</v>
      </c>
    </row>
    <row r="2175" spans="1:7" ht="14.25" hidden="1" customHeight="1" x14ac:dyDescent="0.45">
      <c r="A2175" t="str">
        <f>_xlfn.XLOOKUP(B2175,Ingot!$H$12:$H$119,Ingot!$G$12:$G$119,"")</f>
        <v>Metal</v>
      </c>
      <c r="B2175" t="s">
        <v>4316</v>
      </c>
      <c r="C2175" t="s">
        <v>10</v>
      </c>
      <c r="D2175" t="s">
        <v>4379</v>
      </c>
      <c r="E2175" t="s">
        <v>4380</v>
      </c>
      <c r="G2175" s="1">
        <v>7.94</v>
      </c>
    </row>
    <row r="2176" spans="1:7" ht="14.25" hidden="1" customHeight="1" x14ac:dyDescent="0.45">
      <c r="A2176" t="str">
        <f>_xlfn.XLOOKUP(B2176,Ingot!$H$12:$H$119,Ingot!$G$12:$G$119,"")</f>
        <v>Metal</v>
      </c>
      <c r="B2176" t="s">
        <v>4316</v>
      </c>
      <c r="C2176" t="s">
        <v>10</v>
      </c>
      <c r="D2176" t="s">
        <v>4381</v>
      </c>
      <c r="E2176" t="s">
        <v>4382</v>
      </c>
      <c r="G2176" s="1">
        <v>8.66</v>
      </c>
    </row>
    <row r="2177" spans="1:7" ht="14.25" hidden="1" customHeight="1" x14ac:dyDescent="0.45">
      <c r="A2177" t="str">
        <f>_xlfn.XLOOKUP(B2177,Ingot!$H$12:$H$119,Ingot!$G$12:$G$119,"")</f>
        <v>Metal</v>
      </c>
      <c r="B2177" t="s">
        <v>4316</v>
      </c>
      <c r="C2177" t="s">
        <v>10</v>
      </c>
      <c r="D2177" t="s">
        <v>4383</v>
      </c>
      <c r="E2177" t="s">
        <v>4384</v>
      </c>
    </row>
    <row r="2178" spans="1:7" ht="14.25" hidden="1" customHeight="1" x14ac:dyDescent="0.45">
      <c r="A2178" t="str">
        <f>_xlfn.XLOOKUP(B2178,Ingot!$H$12:$H$119,Ingot!$G$12:$G$119,"")</f>
        <v>Metal</v>
      </c>
      <c r="B2178" t="s">
        <v>4316</v>
      </c>
      <c r="C2178" t="s">
        <v>10</v>
      </c>
      <c r="D2178" t="s">
        <v>4385</v>
      </c>
      <c r="E2178" t="s">
        <v>4386</v>
      </c>
      <c r="G2178" s="1">
        <v>2.65</v>
      </c>
    </row>
    <row r="2179" spans="1:7" ht="14.25" hidden="1" customHeight="1" x14ac:dyDescent="0.45">
      <c r="A2179" t="str">
        <f>_xlfn.XLOOKUP(B2179,Ingot!$H$12:$H$119,Ingot!$G$12:$G$119,"")</f>
        <v>Metal</v>
      </c>
      <c r="B2179" t="s">
        <v>4316</v>
      </c>
      <c r="C2179" t="s">
        <v>10</v>
      </c>
      <c r="D2179" t="s">
        <v>4387</v>
      </c>
      <c r="E2179" t="s">
        <v>4388</v>
      </c>
    </row>
    <row r="2180" spans="1:7" ht="14.25" hidden="1" customHeight="1" x14ac:dyDescent="0.45">
      <c r="A2180" t="str">
        <f>_xlfn.XLOOKUP(B2180,Ingot!$H$12:$H$119,Ingot!$G$12:$G$119,"")</f>
        <v>Metal</v>
      </c>
      <c r="B2180" t="s">
        <v>4316</v>
      </c>
      <c r="C2180" t="s">
        <v>10</v>
      </c>
      <c r="D2180" t="s">
        <v>4389</v>
      </c>
      <c r="E2180" t="s">
        <v>4390</v>
      </c>
      <c r="G2180" s="1">
        <v>12.64</v>
      </c>
    </row>
    <row r="2181" spans="1:7" ht="14.25" hidden="1" customHeight="1" x14ac:dyDescent="0.45">
      <c r="A2181" t="str">
        <f>_xlfn.XLOOKUP(B2181,Ingot!$H$12:$H$119,Ingot!$G$12:$G$119,"")</f>
        <v>Metal</v>
      </c>
      <c r="B2181" t="s">
        <v>4316</v>
      </c>
      <c r="C2181" t="s">
        <v>10</v>
      </c>
      <c r="D2181" t="s">
        <v>4391</v>
      </c>
      <c r="E2181" t="s">
        <v>4392</v>
      </c>
      <c r="G2181" s="1">
        <v>22.67</v>
      </c>
    </row>
    <row r="2182" spans="1:7" ht="14.25" hidden="1" customHeight="1" x14ac:dyDescent="0.45">
      <c r="A2182" t="str">
        <f>_xlfn.XLOOKUP(B2182,Ingot!$H$12:$H$119,Ingot!$G$12:$G$119,"")</f>
        <v>Metal</v>
      </c>
      <c r="B2182" t="s">
        <v>4316</v>
      </c>
      <c r="C2182" t="s">
        <v>10</v>
      </c>
      <c r="D2182" t="s">
        <v>4393</v>
      </c>
      <c r="E2182" t="s">
        <v>4394</v>
      </c>
      <c r="G2182" s="1">
        <v>8.3800000000000008</v>
      </c>
    </row>
    <row r="2183" spans="1:7" ht="14.25" hidden="1" customHeight="1" x14ac:dyDescent="0.45">
      <c r="A2183" t="str">
        <f>_xlfn.XLOOKUP(B2183,Ingot!$H$12:$H$119,Ingot!$G$12:$G$119,"")</f>
        <v>Metal</v>
      </c>
      <c r="B2183" t="s">
        <v>4316</v>
      </c>
      <c r="C2183" t="s">
        <v>10</v>
      </c>
      <c r="D2183" t="s">
        <v>4395</v>
      </c>
      <c r="E2183" t="s">
        <v>4396</v>
      </c>
      <c r="G2183" s="1">
        <v>2.2000000000000002</v>
      </c>
    </row>
    <row r="2184" spans="1:7" ht="14.25" hidden="1" customHeight="1" x14ac:dyDescent="0.45">
      <c r="A2184" t="str">
        <f>_xlfn.XLOOKUP(B2184,Ingot!$H$12:$H$119,Ingot!$G$12:$G$119,"")</f>
        <v>Metal</v>
      </c>
      <c r="B2184" t="s">
        <v>4316</v>
      </c>
      <c r="C2184" t="s">
        <v>10</v>
      </c>
      <c r="D2184" t="s">
        <v>4397</v>
      </c>
      <c r="E2184" t="s">
        <v>4398</v>
      </c>
      <c r="G2184" s="1">
        <v>3.09</v>
      </c>
    </row>
    <row r="2185" spans="1:7" ht="14.25" hidden="1" customHeight="1" x14ac:dyDescent="0.45">
      <c r="A2185" t="str">
        <f>_xlfn.XLOOKUP(B2185,Ingot!$H$12:$H$119,Ingot!$G$12:$G$119,"")</f>
        <v>Metal</v>
      </c>
      <c r="B2185" t="s">
        <v>4316</v>
      </c>
      <c r="C2185" t="s">
        <v>10</v>
      </c>
      <c r="D2185" t="s">
        <v>4399</v>
      </c>
      <c r="E2185" t="s">
        <v>4400</v>
      </c>
      <c r="G2185" s="1">
        <v>2.2999999999999998</v>
      </c>
    </row>
    <row r="2186" spans="1:7" ht="14.25" hidden="1" customHeight="1" x14ac:dyDescent="0.45">
      <c r="A2186" t="str">
        <f>_xlfn.XLOOKUP(B2186,Ingot!$H$12:$H$119,Ingot!$G$12:$G$119,"")</f>
        <v>Metal</v>
      </c>
      <c r="B2186" t="s">
        <v>4316</v>
      </c>
      <c r="C2186" t="s">
        <v>10</v>
      </c>
      <c r="D2186" t="s">
        <v>4401</v>
      </c>
      <c r="E2186" t="s">
        <v>4402</v>
      </c>
      <c r="G2186" s="1">
        <v>4.88</v>
      </c>
    </row>
    <row r="2187" spans="1:7" ht="14.25" hidden="1" customHeight="1" x14ac:dyDescent="0.45">
      <c r="A2187" t="str">
        <f>_xlfn.XLOOKUP(B2187,Ingot!$H$12:$H$119,Ingot!$G$12:$G$119,"")</f>
        <v>Metal</v>
      </c>
      <c r="B2187" t="s">
        <v>4316</v>
      </c>
      <c r="C2187" t="s">
        <v>10</v>
      </c>
      <c r="D2187" t="s">
        <v>4403</v>
      </c>
      <c r="E2187" t="s">
        <v>4404</v>
      </c>
      <c r="G2187" s="1">
        <v>8.43</v>
      </c>
    </row>
    <row r="2188" spans="1:7" ht="14.25" hidden="1" customHeight="1" x14ac:dyDescent="0.45">
      <c r="A2188" t="str">
        <f>_xlfn.XLOOKUP(B2188,Ingot!$H$12:$H$119,Ingot!$G$12:$G$119,"")</f>
        <v>Metal</v>
      </c>
      <c r="B2188" t="s">
        <v>4316</v>
      </c>
      <c r="C2188" t="s">
        <v>10</v>
      </c>
      <c r="D2188" t="s">
        <v>4405</v>
      </c>
      <c r="E2188" t="s">
        <v>4406</v>
      </c>
      <c r="G2188" s="1">
        <v>13.07</v>
      </c>
    </row>
    <row r="2189" spans="1:7" ht="14.25" hidden="1" customHeight="1" x14ac:dyDescent="0.45">
      <c r="A2189" t="str">
        <f>_xlfn.XLOOKUP(B2189,Ingot!$H$12:$H$119,Ingot!$G$12:$G$119,"")</f>
        <v>Metal</v>
      </c>
      <c r="B2189" t="s">
        <v>4316</v>
      </c>
      <c r="C2189" t="s">
        <v>10</v>
      </c>
      <c r="D2189" t="s">
        <v>4407</v>
      </c>
      <c r="E2189" t="s">
        <v>4408</v>
      </c>
    </row>
    <row r="2190" spans="1:7" ht="14.25" hidden="1" customHeight="1" x14ac:dyDescent="0.45">
      <c r="A2190" t="str">
        <f>_xlfn.XLOOKUP(B2190,Ingot!$H$12:$H$119,Ingot!$G$12:$G$119,"")</f>
        <v>Metal</v>
      </c>
      <c r="B2190" t="s">
        <v>4316</v>
      </c>
      <c r="C2190" t="s">
        <v>10</v>
      </c>
      <c r="D2190" t="s">
        <v>4409</v>
      </c>
      <c r="E2190" t="s">
        <v>4410</v>
      </c>
    </row>
    <row r="2191" spans="1:7" ht="14.25" hidden="1" customHeight="1" x14ac:dyDescent="0.45">
      <c r="A2191" t="str">
        <f>_xlfn.XLOOKUP(B2191,Ingot!$H$12:$H$119,Ingot!$G$12:$G$119,"")</f>
        <v>Metal</v>
      </c>
      <c r="B2191" t="s">
        <v>4316</v>
      </c>
      <c r="C2191" t="s">
        <v>10</v>
      </c>
      <c r="D2191" t="s">
        <v>4411</v>
      </c>
      <c r="E2191" t="s">
        <v>4412</v>
      </c>
      <c r="G2191" s="1">
        <v>6.8</v>
      </c>
    </row>
    <row r="2192" spans="1:7" ht="14.25" hidden="1" customHeight="1" x14ac:dyDescent="0.45">
      <c r="A2192" t="str">
        <f>_xlfn.XLOOKUP(B2192,Ingot!$H$12:$H$119,Ingot!$G$12:$G$119,"")</f>
        <v>Metal</v>
      </c>
      <c r="B2192" t="s">
        <v>4316</v>
      </c>
      <c r="C2192" t="s">
        <v>10</v>
      </c>
      <c r="D2192" t="s">
        <v>4413</v>
      </c>
      <c r="E2192" t="s">
        <v>4414</v>
      </c>
      <c r="G2192" s="1">
        <v>6.88</v>
      </c>
    </row>
    <row r="2193" spans="1:7" ht="14.25" hidden="1" customHeight="1" x14ac:dyDescent="0.45">
      <c r="A2193" t="str">
        <f>_xlfn.XLOOKUP(B2193,Ingot!$H$12:$H$119,Ingot!$G$12:$G$119,"")</f>
        <v>Metal</v>
      </c>
      <c r="B2193" t="s">
        <v>4316</v>
      </c>
      <c r="C2193" t="s">
        <v>10</v>
      </c>
      <c r="D2193" t="s">
        <v>4415</v>
      </c>
      <c r="E2193" t="s">
        <v>4416</v>
      </c>
      <c r="G2193" s="1">
        <v>5.5</v>
      </c>
    </row>
    <row r="2194" spans="1:7" ht="14.25" hidden="1" customHeight="1" x14ac:dyDescent="0.45">
      <c r="A2194" t="str">
        <f>_xlfn.XLOOKUP(B2194,Ingot!$H$12:$H$119,Ingot!$G$12:$G$119,"")</f>
        <v>Metal</v>
      </c>
      <c r="B2194" t="s">
        <v>4316</v>
      </c>
      <c r="C2194" t="s">
        <v>10</v>
      </c>
      <c r="D2194" t="s">
        <v>4417</v>
      </c>
      <c r="E2194" t="s">
        <v>4418</v>
      </c>
      <c r="G2194" s="1">
        <v>2.4300000000000002</v>
      </c>
    </row>
    <row r="2195" spans="1:7" ht="14.25" hidden="1" customHeight="1" x14ac:dyDescent="0.45">
      <c r="A2195" t="str">
        <f>_xlfn.XLOOKUP(B2195,Ingot!$H$12:$H$119,Ingot!$G$12:$G$119,"")</f>
        <v>Metal</v>
      </c>
      <c r="B2195" t="s">
        <v>4316</v>
      </c>
      <c r="C2195" t="s">
        <v>10</v>
      </c>
      <c r="D2195" t="s">
        <v>4419</v>
      </c>
      <c r="E2195" t="s">
        <v>4420</v>
      </c>
      <c r="G2195" s="1">
        <v>6.96</v>
      </c>
    </row>
    <row r="2196" spans="1:7" ht="14.25" hidden="1" customHeight="1" x14ac:dyDescent="0.45">
      <c r="A2196" t="str">
        <f>_xlfn.XLOOKUP(B2196,Ingot!$H$12:$H$119,Ingot!$G$12:$G$119,"")</f>
        <v>Metal</v>
      </c>
      <c r="B2196" t="s">
        <v>4316</v>
      </c>
      <c r="C2196" t="s">
        <v>10</v>
      </c>
      <c r="D2196" t="s">
        <v>4421</v>
      </c>
      <c r="E2196" t="s">
        <v>4422</v>
      </c>
      <c r="G2196" s="1">
        <v>6.32</v>
      </c>
    </row>
    <row r="2197" spans="1:7" ht="14.25" hidden="1" customHeight="1" x14ac:dyDescent="0.45">
      <c r="A2197" t="str">
        <f>_xlfn.XLOOKUP(B2197,Ingot!$H$12:$H$119,Ingot!$G$12:$G$119,"")</f>
        <v>Metal</v>
      </c>
      <c r="B2197" t="s">
        <v>4316</v>
      </c>
      <c r="C2197" t="s">
        <v>10</v>
      </c>
      <c r="D2197" t="s">
        <v>4423</v>
      </c>
      <c r="E2197" t="s">
        <v>4424</v>
      </c>
      <c r="G2197" s="1">
        <v>6.88</v>
      </c>
    </row>
    <row r="2198" spans="1:7" ht="14.25" hidden="1" customHeight="1" x14ac:dyDescent="0.45">
      <c r="A2198" t="str">
        <f>_xlfn.XLOOKUP(B2198,Ingot!$H$12:$H$119,Ingot!$G$12:$G$119,"")</f>
        <v>Metal</v>
      </c>
      <c r="B2198" t="s">
        <v>4316</v>
      </c>
      <c r="C2198" t="s">
        <v>10</v>
      </c>
      <c r="D2198" t="s">
        <v>4425</v>
      </c>
      <c r="E2198" t="s">
        <v>4426</v>
      </c>
      <c r="G2198" s="1">
        <v>2.44</v>
      </c>
    </row>
    <row r="2199" spans="1:7" ht="14.25" hidden="1" customHeight="1" x14ac:dyDescent="0.45">
      <c r="A2199" t="str">
        <f>_xlfn.XLOOKUP(B2199,Ingot!$H$12:$H$119,Ingot!$G$12:$G$119,"")</f>
        <v>Metal</v>
      </c>
      <c r="B2199" t="s">
        <v>4316</v>
      </c>
      <c r="C2199" t="s">
        <v>10</v>
      </c>
      <c r="D2199" t="s">
        <v>4427</v>
      </c>
      <c r="E2199" t="s">
        <v>4428</v>
      </c>
    </row>
    <row r="2200" spans="1:7" ht="14.25" hidden="1" customHeight="1" x14ac:dyDescent="0.45">
      <c r="A2200" t="str">
        <f>_xlfn.XLOOKUP(B2200,Ingot!$H$12:$H$119,Ingot!$G$12:$G$119,"")</f>
        <v>Metal</v>
      </c>
      <c r="B2200" t="s">
        <v>4316</v>
      </c>
      <c r="C2200" t="s">
        <v>10</v>
      </c>
      <c r="D2200" t="s">
        <v>4429</v>
      </c>
      <c r="E2200" t="s">
        <v>4430</v>
      </c>
    </row>
    <row r="2201" spans="1:7" ht="14.25" hidden="1" customHeight="1" x14ac:dyDescent="0.45">
      <c r="A2201" t="str">
        <f>_xlfn.XLOOKUP(B2201,Ingot!$H$12:$H$119,Ingot!$G$12:$G$119,"")</f>
        <v>Metal</v>
      </c>
      <c r="B2201" t="s">
        <v>4316</v>
      </c>
      <c r="C2201" t="s">
        <v>10</v>
      </c>
      <c r="D2201" t="s">
        <v>4431</v>
      </c>
      <c r="E2201" t="s">
        <v>4432</v>
      </c>
      <c r="G2201" s="1">
        <v>3.11</v>
      </c>
    </row>
    <row r="2202" spans="1:7" ht="14.25" hidden="1" customHeight="1" x14ac:dyDescent="0.45">
      <c r="A2202" t="str">
        <f>_xlfn.XLOOKUP(B2202,Ingot!$H$12:$H$119,Ingot!$G$12:$G$119,"")</f>
        <v>Metal</v>
      </c>
      <c r="B2202" t="s">
        <v>4316</v>
      </c>
      <c r="C2202" t="s">
        <v>10</v>
      </c>
      <c r="D2202" t="s">
        <v>4433</v>
      </c>
      <c r="E2202" t="s">
        <v>4434</v>
      </c>
      <c r="G2202" s="1">
        <v>2.44</v>
      </c>
    </row>
    <row r="2203" spans="1:7" ht="14.25" hidden="1" customHeight="1" x14ac:dyDescent="0.45">
      <c r="A2203" t="str">
        <f>_xlfn.XLOOKUP(B2203,Ingot!$H$12:$H$119,Ingot!$G$12:$G$119,"")</f>
        <v>Metal</v>
      </c>
      <c r="B2203" t="s">
        <v>4316</v>
      </c>
      <c r="C2203" t="s">
        <v>10</v>
      </c>
      <c r="D2203" t="s">
        <v>4435</v>
      </c>
      <c r="E2203" t="s">
        <v>4436</v>
      </c>
      <c r="G2203" s="1">
        <v>8.61</v>
      </c>
    </row>
    <row r="2204" spans="1:7" ht="14.25" hidden="1" customHeight="1" x14ac:dyDescent="0.45">
      <c r="A2204" t="str">
        <f>_xlfn.XLOOKUP(B2204,Ingot!$H$12:$H$119,Ingot!$G$12:$G$119,"")</f>
        <v>Metal</v>
      </c>
      <c r="B2204" t="s">
        <v>4316</v>
      </c>
      <c r="C2204" t="s">
        <v>10</v>
      </c>
      <c r="D2204" t="s">
        <v>4437</v>
      </c>
      <c r="E2204" t="s">
        <v>4438</v>
      </c>
    </row>
    <row r="2205" spans="1:7" ht="14.25" hidden="1" customHeight="1" x14ac:dyDescent="0.45">
      <c r="A2205" t="str">
        <f>_xlfn.XLOOKUP(B2205,Ingot!$H$12:$H$119,Ingot!$G$12:$G$119,"")</f>
        <v>Metal</v>
      </c>
      <c r="B2205" t="s">
        <v>4316</v>
      </c>
      <c r="C2205" t="s">
        <v>10</v>
      </c>
      <c r="D2205" t="s">
        <v>4439</v>
      </c>
      <c r="E2205" t="s">
        <v>4440</v>
      </c>
      <c r="G2205" s="1">
        <v>3.21</v>
      </c>
    </row>
    <row r="2206" spans="1:7" ht="14.25" hidden="1" customHeight="1" x14ac:dyDescent="0.45">
      <c r="A2206" t="str">
        <f>_xlfn.XLOOKUP(B2206,Ingot!$H$12:$H$119,Ingot!$G$12:$G$119,"")</f>
        <v>Metal</v>
      </c>
      <c r="B2206" t="s">
        <v>4316</v>
      </c>
      <c r="C2206" t="s">
        <v>10</v>
      </c>
      <c r="D2206" t="s">
        <v>4441</v>
      </c>
      <c r="E2206" t="s">
        <v>4442</v>
      </c>
      <c r="G2206" s="1">
        <v>2.77</v>
      </c>
    </row>
    <row r="2207" spans="1:7" ht="14.25" hidden="1" customHeight="1" x14ac:dyDescent="0.45">
      <c r="A2207" t="str">
        <f>_xlfn.XLOOKUP(B2207,Ingot!$H$12:$H$119,Ingot!$G$12:$G$119,"")</f>
        <v>Metal</v>
      </c>
      <c r="B2207" t="s">
        <v>4316</v>
      </c>
      <c r="C2207" t="s">
        <v>10</v>
      </c>
      <c r="D2207" t="s">
        <v>4443</v>
      </c>
      <c r="E2207" t="s">
        <v>4444</v>
      </c>
      <c r="G2207" s="1">
        <v>4.8899999999999997</v>
      </c>
    </row>
    <row r="2208" spans="1:7" ht="14.25" hidden="1" customHeight="1" x14ac:dyDescent="0.45">
      <c r="A2208" t="str">
        <f>_xlfn.XLOOKUP(B2208,Ingot!$H$12:$H$119,Ingot!$G$12:$G$119,"")</f>
        <v>Metal</v>
      </c>
      <c r="B2208" t="s">
        <v>4316</v>
      </c>
      <c r="C2208" t="s">
        <v>10</v>
      </c>
      <c r="D2208" t="s">
        <v>4445</v>
      </c>
      <c r="E2208" t="s">
        <v>4446</v>
      </c>
      <c r="G2208" s="1">
        <v>1.76</v>
      </c>
    </row>
    <row r="2209" spans="1:7" ht="14.25" hidden="1" customHeight="1" x14ac:dyDescent="0.45">
      <c r="A2209" t="str">
        <f>_xlfn.XLOOKUP(B2209,Ingot!$H$12:$H$119,Ingot!$G$12:$G$119,"")</f>
        <v>Metal</v>
      </c>
      <c r="B2209" t="s">
        <v>4316</v>
      </c>
      <c r="C2209" t="s">
        <v>10</v>
      </c>
      <c r="D2209" t="s">
        <v>4447</v>
      </c>
      <c r="E2209" t="s">
        <v>4448</v>
      </c>
    </row>
    <row r="2210" spans="1:7" ht="14.25" hidden="1" customHeight="1" x14ac:dyDescent="0.45">
      <c r="A2210" t="str">
        <f>_xlfn.XLOOKUP(B2210,Ingot!$H$12:$H$119,Ingot!$G$12:$G$119,"")</f>
        <v>Metal</v>
      </c>
      <c r="B2210" t="s">
        <v>4316</v>
      </c>
      <c r="C2210" t="s">
        <v>10</v>
      </c>
      <c r="D2210" t="s">
        <v>4449</v>
      </c>
      <c r="E2210" t="s">
        <v>4450</v>
      </c>
      <c r="G2210" s="1">
        <v>8.57</v>
      </c>
    </row>
    <row r="2211" spans="1:7" ht="14.25" hidden="1" customHeight="1" x14ac:dyDescent="0.45">
      <c r="A2211" t="str">
        <f>_xlfn.XLOOKUP(B2211,Ingot!$H$12:$H$119,Ingot!$G$12:$G$119,"")</f>
        <v>Metal</v>
      </c>
      <c r="B2211" t="s">
        <v>4316</v>
      </c>
      <c r="C2211" t="s">
        <v>10</v>
      </c>
      <c r="D2211" t="s">
        <v>4451</v>
      </c>
      <c r="E2211" t="s">
        <v>4452</v>
      </c>
    </row>
    <row r="2212" spans="1:7" ht="14.25" hidden="1" customHeight="1" x14ac:dyDescent="0.45">
      <c r="A2212" t="str">
        <f>_xlfn.XLOOKUP(B2212,Ingot!$H$12:$H$119,Ingot!$G$12:$G$119,"")</f>
        <v>Metal</v>
      </c>
      <c r="B2212" t="s">
        <v>4316</v>
      </c>
      <c r="C2212" t="s">
        <v>10</v>
      </c>
      <c r="D2212" t="s">
        <v>4453</v>
      </c>
      <c r="E2212" t="s">
        <v>4454</v>
      </c>
      <c r="G2212" s="1">
        <v>3.56</v>
      </c>
    </row>
    <row r="2213" spans="1:7" ht="14.25" hidden="1" customHeight="1" x14ac:dyDescent="0.45">
      <c r="A2213" t="str">
        <f>_xlfn.XLOOKUP(B2213,Ingot!$H$12:$H$119,Ingot!$G$12:$G$119,"")</f>
        <v>Metal</v>
      </c>
      <c r="B2213" t="s">
        <v>4316</v>
      </c>
      <c r="C2213" t="s">
        <v>10</v>
      </c>
      <c r="D2213" t="s">
        <v>4455</v>
      </c>
      <c r="E2213" t="s">
        <v>4456</v>
      </c>
      <c r="G2213" s="1">
        <v>8.91</v>
      </c>
    </row>
    <row r="2214" spans="1:7" ht="14.25" hidden="1" customHeight="1" x14ac:dyDescent="0.45">
      <c r="A2214" t="str">
        <f>_xlfn.XLOOKUP(B2214,Ingot!$H$12:$H$119,Ingot!$G$12:$G$119,"")</f>
        <v>Metal</v>
      </c>
      <c r="B2214" t="s">
        <v>4316</v>
      </c>
      <c r="C2214" t="s">
        <v>10</v>
      </c>
      <c r="D2214" t="s">
        <v>4457</v>
      </c>
      <c r="E2214" t="s">
        <v>4458</v>
      </c>
      <c r="G2214" s="1">
        <v>11.02</v>
      </c>
    </row>
    <row r="2215" spans="1:7" ht="14.25" hidden="1" customHeight="1" x14ac:dyDescent="0.45">
      <c r="A2215" t="str">
        <f>_xlfn.XLOOKUP(B2215,Ingot!$H$12:$H$119,Ingot!$G$12:$G$119,"")</f>
        <v>Metal</v>
      </c>
      <c r="B2215" t="s">
        <v>4316</v>
      </c>
      <c r="C2215" t="s">
        <v>10</v>
      </c>
      <c r="D2215" t="s">
        <v>4459</v>
      </c>
      <c r="E2215" t="s">
        <v>4460</v>
      </c>
      <c r="G2215" s="1">
        <v>5.12</v>
      </c>
    </row>
    <row r="2216" spans="1:7" ht="14.25" hidden="1" customHeight="1" x14ac:dyDescent="0.45">
      <c r="A2216" t="str">
        <f>_xlfn.XLOOKUP(B2216,Ingot!$H$12:$H$119,Ingot!$G$12:$G$119,"")</f>
        <v>Metal</v>
      </c>
      <c r="B2216" t="s">
        <v>4316</v>
      </c>
      <c r="C2216" t="s">
        <v>10</v>
      </c>
      <c r="D2216" t="s">
        <v>4461</v>
      </c>
      <c r="E2216" t="s">
        <v>4462</v>
      </c>
      <c r="G2216" s="1">
        <v>4.41</v>
      </c>
    </row>
    <row r="2217" spans="1:7" ht="14.25" hidden="1" customHeight="1" x14ac:dyDescent="0.45">
      <c r="A2217" t="str">
        <f>_xlfn.XLOOKUP(B2217,Ingot!$H$12:$H$119,Ingot!$G$12:$G$119,"")</f>
        <v>Metal</v>
      </c>
      <c r="B2217" t="s">
        <v>4316</v>
      </c>
      <c r="C2217" t="s">
        <v>157</v>
      </c>
      <c r="D2217" t="s">
        <v>4463</v>
      </c>
      <c r="E2217" t="s">
        <v>4464</v>
      </c>
      <c r="G2217" s="1">
        <v>36.200000000000003</v>
      </c>
    </row>
    <row r="2218" spans="1:7" ht="14.25" hidden="1" customHeight="1" x14ac:dyDescent="0.45">
      <c r="A2218" t="str">
        <f>_xlfn.XLOOKUP(B2218,Ingot!$H$12:$H$119,Ingot!$G$12:$G$119,"")</f>
        <v>Metal</v>
      </c>
      <c r="B2218" t="s">
        <v>4316</v>
      </c>
      <c r="C2218" t="s">
        <v>157</v>
      </c>
      <c r="D2218" t="s">
        <v>4465</v>
      </c>
      <c r="E2218" t="s">
        <v>4466</v>
      </c>
      <c r="G2218" s="1">
        <v>7.24</v>
      </c>
    </row>
    <row r="2219" spans="1:7" ht="14.25" hidden="1" customHeight="1" x14ac:dyDescent="0.45">
      <c r="A2219" t="str">
        <f>_xlfn.XLOOKUP(B2219,Ingot!$H$12:$H$119,Ingot!$G$12:$G$119,"")</f>
        <v>Metal</v>
      </c>
      <c r="B2219" t="s">
        <v>4316</v>
      </c>
      <c r="C2219" t="s">
        <v>157</v>
      </c>
      <c r="D2219" t="s">
        <v>4467</v>
      </c>
      <c r="E2219" t="s">
        <v>4468</v>
      </c>
      <c r="G2219" s="1">
        <v>7.24</v>
      </c>
    </row>
    <row r="2220" spans="1:7" ht="14.25" hidden="1" customHeight="1" x14ac:dyDescent="0.45">
      <c r="A2220" t="str">
        <f>_xlfn.XLOOKUP(B2220,Ingot!$H$12:$H$119,Ingot!$G$12:$G$119,"")</f>
        <v>Metal</v>
      </c>
      <c r="B2220" t="s">
        <v>4316</v>
      </c>
      <c r="C2220" t="s">
        <v>157</v>
      </c>
      <c r="D2220" t="s">
        <v>4469</v>
      </c>
      <c r="E2220" t="s">
        <v>4470</v>
      </c>
      <c r="G2220" s="1">
        <v>5</v>
      </c>
    </row>
    <row r="2221" spans="1:7" ht="14.25" hidden="1" customHeight="1" x14ac:dyDescent="0.45">
      <c r="A2221" t="str">
        <f>_xlfn.XLOOKUP(B2221,Ingot!$H$12:$H$119,Ingot!$G$12:$G$119,"")</f>
        <v>Metal</v>
      </c>
      <c r="B2221" t="s">
        <v>4316</v>
      </c>
      <c r="C2221" t="s">
        <v>157</v>
      </c>
      <c r="D2221" t="s">
        <v>4471</v>
      </c>
      <c r="E2221" t="s">
        <v>4472</v>
      </c>
      <c r="G2221" s="1">
        <v>10</v>
      </c>
    </row>
    <row r="2222" spans="1:7" ht="14.25" hidden="1" customHeight="1" x14ac:dyDescent="0.45">
      <c r="A2222" t="str">
        <f>_xlfn.XLOOKUP(B2222,Ingot!$H$12:$H$119,Ingot!$G$12:$G$119,"")</f>
        <v>Metal</v>
      </c>
      <c r="B2222" t="s">
        <v>4316</v>
      </c>
      <c r="C2222" t="s">
        <v>157</v>
      </c>
      <c r="D2222" t="s">
        <v>4473</v>
      </c>
      <c r="E2222" t="s">
        <v>4474</v>
      </c>
      <c r="G2222" s="1">
        <v>30.7</v>
      </c>
    </row>
    <row r="2223" spans="1:7" ht="14.25" hidden="1" customHeight="1" x14ac:dyDescent="0.45">
      <c r="A2223" t="str">
        <f>_xlfn.XLOOKUP(B2223,Ingot!$H$12:$H$119,Ingot!$G$12:$G$119,"")</f>
        <v>Metal</v>
      </c>
      <c r="B2223" t="s">
        <v>4316</v>
      </c>
      <c r="C2223" t="s">
        <v>157</v>
      </c>
      <c r="D2223" t="s">
        <v>4475</v>
      </c>
      <c r="E2223" t="s">
        <v>4476</v>
      </c>
      <c r="G2223" s="1">
        <v>6.14</v>
      </c>
    </row>
    <row r="2224" spans="1:7" ht="14.25" hidden="1" customHeight="1" x14ac:dyDescent="0.45">
      <c r="A2224" t="str">
        <f>_xlfn.XLOOKUP(B2224,Ingot!$H$12:$H$119,Ingot!$G$12:$G$119,"")</f>
        <v>Metal</v>
      </c>
      <c r="B2224" t="s">
        <v>4316</v>
      </c>
      <c r="C2224" t="s">
        <v>157</v>
      </c>
      <c r="D2224" t="s">
        <v>4477</v>
      </c>
      <c r="E2224" t="s">
        <v>4478</v>
      </c>
      <c r="G2224" s="1">
        <v>6.14</v>
      </c>
    </row>
    <row r="2225" spans="1:7" ht="14.25" hidden="1" customHeight="1" x14ac:dyDescent="0.45">
      <c r="A2225" t="str">
        <f>_xlfn.XLOOKUP(B2225,Ingot!$H$12:$H$119,Ingot!$G$12:$G$119,"")</f>
        <v>Metal</v>
      </c>
      <c r="B2225" t="s">
        <v>4316</v>
      </c>
      <c r="C2225" t="s">
        <v>157</v>
      </c>
      <c r="D2225" t="s">
        <v>4479</v>
      </c>
      <c r="E2225" t="s">
        <v>4480</v>
      </c>
      <c r="G2225" s="1">
        <v>5</v>
      </c>
    </row>
    <row r="2226" spans="1:7" ht="14.25" hidden="1" customHeight="1" x14ac:dyDescent="0.45">
      <c r="A2226" t="str">
        <f>_xlfn.XLOOKUP(B2226,Ingot!$H$12:$H$119,Ingot!$G$12:$G$119,"")</f>
        <v>Metal</v>
      </c>
      <c r="B2226" t="s">
        <v>4316</v>
      </c>
      <c r="C2226" t="s">
        <v>157</v>
      </c>
      <c r="D2226" t="s">
        <v>4481</v>
      </c>
      <c r="E2226" t="s">
        <v>4482</v>
      </c>
      <c r="G2226" s="1">
        <v>10</v>
      </c>
    </row>
    <row r="2227" spans="1:7" ht="14.25" hidden="1" customHeight="1" x14ac:dyDescent="0.45">
      <c r="A2227" t="str">
        <f>_xlfn.XLOOKUP(B2227,Ingot!$H$12:$H$119,Ingot!$G$12:$G$119,"")</f>
        <v>Metal</v>
      </c>
      <c r="B2227" t="s">
        <v>4316</v>
      </c>
      <c r="C2227" t="s">
        <v>157</v>
      </c>
      <c r="D2227" t="s">
        <v>4483</v>
      </c>
      <c r="E2227" t="s">
        <v>4484</v>
      </c>
      <c r="F2227" t="s">
        <v>180</v>
      </c>
      <c r="G2227" s="1">
        <v>29.7</v>
      </c>
    </row>
    <row r="2228" spans="1:7" ht="14.25" hidden="1" customHeight="1" x14ac:dyDescent="0.45">
      <c r="A2228" t="str">
        <f>_xlfn.XLOOKUP(B2228,Ingot!$H$12:$H$119,Ingot!$G$12:$G$119,"")</f>
        <v>Metal</v>
      </c>
      <c r="B2228" t="s">
        <v>4316</v>
      </c>
      <c r="C2228" t="s">
        <v>157</v>
      </c>
      <c r="D2228" t="s">
        <v>4485</v>
      </c>
      <c r="E2228" t="s">
        <v>4486</v>
      </c>
      <c r="F2228" t="s">
        <v>180</v>
      </c>
      <c r="G2228" s="1">
        <v>5.94</v>
      </c>
    </row>
    <row r="2229" spans="1:7" ht="14.25" hidden="1" customHeight="1" x14ac:dyDescent="0.45">
      <c r="A2229" t="str">
        <f>_xlfn.XLOOKUP(B2229,Ingot!$H$12:$H$119,Ingot!$G$12:$G$119,"")</f>
        <v>Metal</v>
      </c>
      <c r="B2229" t="s">
        <v>4316</v>
      </c>
      <c r="C2229" t="s">
        <v>157</v>
      </c>
      <c r="D2229" t="s">
        <v>4487</v>
      </c>
      <c r="E2229" t="s">
        <v>4488</v>
      </c>
      <c r="F2229" t="s">
        <v>180</v>
      </c>
      <c r="G2229" s="1">
        <v>5.94</v>
      </c>
    </row>
    <row r="2230" spans="1:7" ht="14.25" hidden="1" customHeight="1" x14ac:dyDescent="0.45">
      <c r="A2230" t="str">
        <f>_xlfn.XLOOKUP(B2230,Ingot!$H$12:$H$119,Ingot!$G$12:$G$119,"")</f>
        <v>Metal</v>
      </c>
      <c r="B2230" t="s">
        <v>4316</v>
      </c>
      <c r="C2230" t="s">
        <v>157</v>
      </c>
      <c r="D2230" t="s">
        <v>4489</v>
      </c>
      <c r="E2230" t="s">
        <v>4490</v>
      </c>
      <c r="F2230" t="s">
        <v>180</v>
      </c>
      <c r="G2230" s="1">
        <v>5</v>
      </c>
    </row>
    <row r="2231" spans="1:7" ht="14.25" hidden="1" customHeight="1" x14ac:dyDescent="0.45">
      <c r="A2231" t="str">
        <f>_xlfn.XLOOKUP(B2231,Ingot!$H$12:$H$119,Ingot!$G$12:$G$119,"")</f>
        <v>Metal</v>
      </c>
      <c r="B2231" t="s">
        <v>4316</v>
      </c>
      <c r="C2231" t="s">
        <v>157</v>
      </c>
      <c r="D2231" t="s">
        <v>4491</v>
      </c>
      <c r="E2231" t="s">
        <v>4492</v>
      </c>
      <c r="F2231" t="s">
        <v>180</v>
      </c>
      <c r="G2231" s="1">
        <v>10</v>
      </c>
    </row>
    <row r="2232" spans="1:7" ht="14.25" hidden="1" customHeight="1" x14ac:dyDescent="0.45">
      <c r="A2232" t="str">
        <f>_xlfn.XLOOKUP(B2232,Ingot!$H$12:$H$119,Ingot!$G$12:$G$119,"")</f>
        <v>Metal</v>
      </c>
      <c r="B2232" t="s">
        <v>4316</v>
      </c>
      <c r="C2232" t="s">
        <v>157</v>
      </c>
      <c r="D2232" t="s">
        <v>4493</v>
      </c>
      <c r="E2232" t="s">
        <v>4494</v>
      </c>
      <c r="G2232" s="1">
        <v>32.200000000000003</v>
      </c>
    </row>
    <row r="2233" spans="1:7" ht="14.25" hidden="1" customHeight="1" x14ac:dyDescent="0.45">
      <c r="A2233" t="str">
        <f>_xlfn.XLOOKUP(B2233,Ingot!$H$12:$H$119,Ingot!$G$12:$G$119,"")</f>
        <v>Metal</v>
      </c>
      <c r="B2233" t="s">
        <v>4316</v>
      </c>
      <c r="C2233" t="s">
        <v>157</v>
      </c>
      <c r="D2233" t="s">
        <v>4495</v>
      </c>
      <c r="E2233" t="s">
        <v>4496</v>
      </c>
      <c r="G2233" s="1">
        <v>6.44</v>
      </c>
    </row>
    <row r="2234" spans="1:7" ht="14.25" hidden="1" customHeight="1" x14ac:dyDescent="0.45">
      <c r="A2234" t="str">
        <f>_xlfn.XLOOKUP(B2234,Ingot!$H$12:$H$119,Ingot!$G$12:$G$119,"")</f>
        <v>Metal</v>
      </c>
      <c r="B2234" t="s">
        <v>4316</v>
      </c>
      <c r="C2234" t="s">
        <v>157</v>
      </c>
      <c r="D2234" t="s">
        <v>4497</v>
      </c>
      <c r="E2234" t="s">
        <v>4498</v>
      </c>
      <c r="G2234" s="1">
        <v>6.44</v>
      </c>
    </row>
    <row r="2235" spans="1:7" ht="14.25" hidden="1" customHeight="1" x14ac:dyDescent="0.45">
      <c r="A2235" t="str">
        <f>_xlfn.XLOOKUP(B2235,Ingot!$H$12:$H$119,Ingot!$G$12:$G$119,"")</f>
        <v>Metal</v>
      </c>
      <c r="B2235" t="s">
        <v>4316</v>
      </c>
      <c r="C2235" t="s">
        <v>157</v>
      </c>
      <c r="D2235" t="s">
        <v>4499</v>
      </c>
      <c r="E2235" t="s">
        <v>4500</v>
      </c>
      <c r="G2235" s="1">
        <v>5</v>
      </c>
    </row>
    <row r="2236" spans="1:7" ht="14.25" hidden="1" customHeight="1" x14ac:dyDescent="0.45">
      <c r="A2236" t="str">
        <f>_xlfn.XLOOKUP(B2236,Ingot!$H$12:$H$119,Ingot!$G$12:$G$119,"")</f>
        <v>Metal</v>
      </c>
      <c r="B2236" t="s">
        <v>4316</v>
      </c>
      <c r="C2236" t="s">
        <v>157</v>
      </c>
      <c r="D2236" t="s">
        <v>4501</v>
      </c>
      <c r="E2236" t="s">
        <v>4502</v>
      </c>
      <c r="G2236" s="1">
        <v>10</v>
      </c>
    </row>
    <row r="2237" spans="1:7" ht="14.25" hidden="1" customHeight="1" x14ac:dyDescent="0.45">
      <c r="A2237" t="str">
        <f>_xlfn.XLOOKUP(B2237,Ingot!$H$12:$H$119,Ingot!$G$12:$G$119,"")</f>
        <v>Metal</v>
      </c>
      <c r="B2237" t="s">
        <v>4316</v>
      </c>
      <c r="C2237" t="s">
        <v>157</v>
      </c>
      <c r="D2237" t="s">
        <v>4503</v>
      </c>
      <c r="E2237" t="s">
        <v>4504</v>
      </c>
      <c r="G2237" s="1">
        <v>34.200000000000003</v>
      </c>
    </row>
    <row r="2238" spans="1:7" ht="14.25" hidden="1" customHeight="1" x14ac:dyDescent="0.45">
      <c r="A2238" t="str">
        <f>_xlfn.XLOOKUP(B2238,Ingot!$H$12:$H$119,Ingot!$G$12:$G$119,"")</f>
        <v>Metal</v>
      </c>
      <c r="B2238" t="s">
        <v>4316</v>
      </c>
      <c r="C2238" t="s">
        <v>157</v>
      </c>
      <c r="D2238" t="s">
        <v>4505</v>
      </c>
      <c r="E2238" t="s">
        <v>4506</v>
      </c>
      <c r="F2238" t="s">
        <v>180</v>
      </c>
      <c r="G2238" s="1">
        <v>6.84</v>
      </c>
    </row>
    <row r="2239" spans="1:7" ht="14.25" hidden="1" customHeight="1" x14ac:dyDescent="0.45">
      <c r="A2239" t="str">
        <f>_xlfn.XLOOKUP(B2239,Ingot!$H$12:$H$119,Ingot!$G$12:$G$119,"")</f>
        <v>Metal</v>
      </c>
      <c r="B2239" t="s">
        <v>4316</v>
      </c>
      <c r="C2239" t="s">
        <v>157</v>
      </c>
      <c r="D2239" t="s">
        <v>4507</v>
      </c>
      <c r="E2239" t="s">
        <v>4508</v>
      </c>
      <c r="F2239" t="s">
        <v>180</v>
      </c>
      <c r="G2239" s="1">
        <v>6.84</v>
      </c>
    </row>
    <row r="2240" spans="1:7" ht="14.25" hidden="1" customHeight="1" x14ac:dyDescent="0.45">
      <c r="A2240" t="str">
        <f>_xlfn.XLOOKUP(B2240,Ingot!$H$12:$H$119,Ingot!$G$12:$G$119,"")</f>
        <v>Metal</v>
      </c>
      <c r="B2240" t="s">
        <v>4316</v>
      </c>
      <c r="C2240" t="s">
        <v>157</v>
      </c>
      <c r="D2240" t="s">
        <v>4509</v>
      </c>
      <c r="E2240" t="s">
        <v>4510</v>
      </c>
      <c r="F2240" t="s">
        <v>180</v>
      </c>
      <c r="G2240" s="1">
        <v>5</v>
      </c>
    </row>
    <row r="2241" spans="1:7" ht="14.25" hidden="1" customHeight="1" x14ac:dyDescent="0.45">
      <c r="A2241" t="str">
        <f>_xlfn.XLOOKUP(B2241,Ingot!$H$12:$H$119,Ingot!$G$12:$G$119,"")</f>
        <v>Metal</v>
      </c>
      <c r="B2241" t="s">
        <v>4316</v>
      </c>
      <c r="C2241" t="s">
        <v>157</v>
      </c>
      <c r="D2241" t="s">
        <v>4511</v>
      </c>
      <c r="E2241" t="s">
        <v>4512</v>
      </c>
      <c r="G2241" s="1">
        <v>10</v>
      </c>
    </row>
    <row r="2242" spans="1:7" ht="14.25" hidden="1" customHeight="1" x14ac:dyDescent="0.45">
      <c r="A2242" t="str">
        <f>_xlfn.XLOOKUP(B2242,Ingot!$H$12:$H$119,Ingot!$G$12:$G$119,"")</f>
        <v>Metal</v>
      </c>
      <c r="B2242" t="s">
        <v>4316</v>
      </c>
      <c r="C2242" t="s">
        <v>157</v>
      </c>
      <c r="D2242" t="s">
        <v>4513</v>
      </c>
      <c r="E2242" t="s">
        <v>4514</v>
      </c>
      <c r="G2242" s="1">
        <v>39.200000000000003</v>
      </c>
    </row>
    <row r="2243" spans="1:7" ht="14.25" hidden="1" customHeight="1" x14ac:dyDescent="0.45">
      <c r="A2243" t="str">
        <f>_xlfn.XLOOKUP(B2243,Ingot!$H$12:$H$119,Ingot!$G$12:$G$119,"")</f>
        <v>Metal</v>
      </c>
      <c r="B2243" t="s">
        <v>4316</v>
      </c>
      <c r="C2243" t="s">
        <v>157</v>
      </c>
      <c r="D2243" t="s">
        <v>4515</v>
      </c>
      <c r="E2243" t="s">
        <v>4516</v>
      </c>
      <c r="G2243" s="1">
        <v>7.84</v>
      </c>
    </row>
    <row r="2244" spans="1:7" ht="14.25" hidden="1" customHeight="1" x14ac:dyDescent="0.45">
      <c r="A2244" t="str">
        <f>_xlfn.XLOOKUP(B2244,Ingot!$H$12:$H$119,Ingot!$G$12:$G$119,"")</f>
        <v>Metal</v>
      </c>
      <c r="B2244" t="s">
        <v>4316</v>
      </c>
      <c r="C2244" t="s">
        <v>157</v>
      </c>
      <c r="D2244" t="s">
        <v>4517</v>
      </c>
      <c r="E2244" t="s">
        <v>4518</v>
      </c>
      <c r="G2244" s="1">
        <v>7.84</v>
      </c>
    </row>
    <row r="2245" spans="1:7" ht="14.25" hidden="1" customHeight="1" x14ac:dyDescent="0.45">
      <c r="A2245" t="str">
        <f>_xlfn.XLOOKUP(B2245,Ingot!$H$12:$H$119,Ingot!$G$12:$G$119,"")</f>
        <v>Metal</v>
      </c>
      <c r="B2245" t="s">
        <v>4316</v>
      </c>
      <c r="C2245" t="s">
        <v>157</v>
      </c>
      <c r="D2245" t="s">
        <v>4519</v>
      </c>
      <c r="E2245" t="s">
        <v>4520</v>
      </c>
      <c r="G2245" s="1">
        <v>5.0999999999999996</v>
      </c>
    </row>
    <row r="2246" spans="1:7" ht="14.25" hidden="1" customHeight="1" x14ac:dyDescent="0.45">
      <c r="A2246" t="str">
        <f>_xlfn.XLOOKUP(B2246,Ingot!$H$12:$H$119,Ingot!$G$12:$G$119,"")</f>
        <v>Metal</v>
      </c>
      <c r="B2246" t="s">
        <v>4316</v>
      </c>
      <c r="C2246" t="s">
        <v>157</v>
      </c>
      <c r="D2246" t="s">
        <v>4521</v>
      </c>
      <c r="E2246" t="s">
        <v>4522</v>
      </c>
      <c r="G2246" s="1">
        <v>10.19</v>
      </c>
    </row>
    <row r="2247" spans="1:7" ht="14.25" hidden="1" customHeight="1" x14ac:dyDescent="0.45">
      <c r="A2247" t="str">
        <f>_xlfn.XLOOKUP(B2247,Ingot!$H$12:$H$119,Ingot!$G$12:$G$119,"")</f>
        <v>Metal</v>
      </c>
      <c r="B2247" t="s">
        <v>4316</v>
      </c>
      <c r="C2247" t="s">
        <v>157</v>
      </c>
      <c r="D2247" t="s">
        <v>4523</v>
      </c>
      <c r="E2247" t="s">
        <v>4524</v>
      </c>
      <c r="G2247" s="1">
        <v>38.700000000000003</v>
      </c>
    </row>
    <row r="2248" spans="1:7" ht="14.25" hidden="1" customHeight="1" x14ac:dyDescent="0.45">
      <c r="A2248" t="str">
        <f>_xlfn.XLOOKUP(B2248,Ingot!$H$12:$H$119,Ingot!$G$12:$G$119,"")</f>
        <v>Metal</v>
      </c>
      <c r="B2248" t="s">
        <v>4316</v>
      </c>
      <c r="C2248" t="s">
        <v>157</v>
      </c>
      <c r="D2248" t="s">
        <v>4525</v>
      </c>
      <c r="E2248" t="s">
        <v>4526</v>
      </c>
      <c r="G2248" s="1">
        <v>7.74</v>
      </c>
    </row>
    <row r="2249" spans="1:7" ht="14.25" hidden="1" customHeight="1" x14ac:dyDescent="0.45">
      <c r="A2249" t="str">
        <f>_xlfn.XLOOKUP(B2249,Ingot!$H$12:$H$119,Ingot!$G$12:$G$119,"")</f>
        <v>Metal</v>
      </c>
      <c r="B2249" t="s">
        <v>4316</v>
      </c>
      <c r="C2249" t="s">
        <v>157</v>
      </c>
      <c r="D2249" t="s">
        <v>4527</v>
      </c>
      <c r="E2249" t="s">
        <v>4528</v>
      </c>
      <c r="G2249" s="1">
        <v>7.74</v>
      </c>
    </row>
    <row r="2250" spans="1:7" ht="14.25" hidden="1" customHeight="1" x14ac:dyDescent="0.45">
      <c r="A2250" t="str">
        <f>_xlfn.XLOOKUP(B2250,Ingot!$H$12:$H$119,Ingot!$G$12:$G$119,"")</f>
        <v>Metal</v>
      </c>
      <c r="B2250" t="s">
        <v>4316</v>
      </c>
      <c r="C2250" t="s">
        <v>157</v>
      </c>
      <c r="D2250" t="s">
        <v>4529</v>
      </c>
      <c r="E2250" t="s">
        <v>4530</v>
      </c>
      <c r="G2250" s="1">
        <v>5.03</v>
      </c>
    </row>
    <row r="2251" spans="1:7" ht="14.25" hidden="1" customHeight="1" x14ac:dyDescent="0.45">
      <c r="A2251" t="str">
        <f>_xlfn.XLOOKUP(B2251,Ingot!$H$12:$H$119,Ingot!$G$12:$G$119,"")</f>
        <v>Metal</v>
      </c>
      <c r="B2251" t="s">
        <v>4316</v>
      </c>
      <c r="C2251" t="s">
        <v>157</v>
      </c>
      <c r="D2251" t="s">
        <v>4531</v>
      </c>
      <c r="E2251" t="s">
        <v>4532</v>
      </c>
      <c r="G2251" s="1">
        <v>10.06</v>
      </c>
    </row>
    <row r="2252" spans="1:7" ht="14.25" hidden="1" customHeight="1" x14ac:dyDescent="0.45">
      <c r="A2252" t="str">
        <f>_xlfn.XLOOKUP(B2252,Ingot!$H$12:$H$119,Ingot!$G$12:$G$119,"")</f>
        <v>Metal</v>
      </c>
      <c r="B2252" t="s">
        <v>4316</v>
      </c>
      <c r="C2252" t="s">
        <v>157</v>
      </c>
      <c r="D2252" t="s">
        <v>4533</v>
      </c>
      <c r="E2252" t="s">
        <v>4534</v>
      </c>
      <c r="F2252" t="s">
        <v>180</v>
      </c>
      <c r="G2252" s="1">
        <v>28.2</v>
      </c>
    </row>
    <row r="2253" spans="1:7" ht="14.25" hidden="1" customHeight="1" x14ac:dyDescent="0.45">
      <c r="A2253" t="str">
        <f>_xlfn.XLOOKUP(B2253,Ingot!$H$12:$H$119,Ingot!$G$12:$G$119,"")</f>
        <v>Metal</v>
      </c>
      <c r="B2253" t="s">
        <v>4316</v>
      </c>
      <c r="C2253" t="s">
        <v>157</v>
      </c>
      <c r="D2253" t="s">
        <v>4535</v>
      </c>
      <c r="E2253" t="s">
        <v>4536</v>
      </c>
      <c r="F2253" t="s">
        <v>180</v>
      </c>
      <c r="G2253" s="1">
        <v>5.64</v>
      </c>
    </row>
    <row r="2254" spans="1:7" ht="14.25" hidden="1" customHeight="1" x14ac:dyDescent="0.45">
      <c r="A2254" t="str">
        <f>_xlfn.XLOOKUP(B2254,Ingot!$H$12:$H$119,Ingot!$G$12:$G$119,"")</f>
        <v>Metal</v>
      </c>
      <c r="B2254" t="s">
        <v>4316</v>
      </c>
      <c r="C2254" t="s">
        <v>157</v>
      </c>
      <c r="D2254" t="s">
        <v>4537</v>
      </c>
      <c r="E2254" t="s">
        <v>4538</v>
      </c>
      <c r="F2254" t="s">
        <v>180</v>
      </c>
      <c r="G2254" s="1">
        <v>5.64</v>
      </c>
    </row>
    <row r="2255" spans="1:7" ht="14.25" hidden="1" customHeight="1" x14ac:dyDescent="0.45">
      <c r="A2255" t="str">
        <f>_xlfn.XLOOKUP(B2255,Ingot!$H$12:$H$119,Ingot!$G$12:$G$119,"")</f>
        <v>Metal</v>
      </c>
      <c r="B2255" t="s">
        <v>4316</v>
      </c>
      <c r="C2255" t="s">
        <v>157</v>
      </c>
      <c r="D2255" t="s">
        <v>4539</v>
      </c>
      <c r="E2255" t="s">
        <v>4540</v>
      </c>
      <c r="F2255" t="s">
        <v>180</v>
      </c>
      <c r="G2255" s="1">
        <v>5</v>
      </c>
    </row>
    <row r="2256" spans="1:7" ht="14.25" hidden="1" customHeight="1" x14ac:dyDescent="0.45">
      <c r="A2256" t="str">
        <f>_xlfn.XLOOKUP(B2256,Ingot!$H$12:$H$119,Ingot!$G$12:$G$119,"")</f>
        <v>Metal</v>
      </c>
      <c r="B2256" t="s">
        <v>4316</v>
      </c>
      <c r="C2256" t="s">
        <v>157</v>
      </c>
      <c r="D2256" t="s">
        <v>4541</v>
      </c>
      <c r="E2256" t="s">
        <v>4542</v>
      </c>
      <c r="F2256" t="s">
        <v>180</v>
      </c>
      <c r="G2256" s="1">
        <v>10</v>
      </c>
    </row>
    <row r="2257" spans="1:7" ht="14.25" hidden="1" customHeight="1" x14ac:dyDescent="0.45">
      <c r="A2257" t="str">
        <f>_xlfn.XLOOKUP(B2257,Ingot!$H$12:$H$119,Ingot!$G$12:$G$119,"")</f>
        <v>Metal</v>
      </c>
      <c r="B2257" t="s">
        <v>4316</v>
      </c>
      <c r="C2257" t="s">
        <v>239</v>
      </c>
      <c r="D2257" t="s">
        <v>4543</v>
      </c>
      <c r="E2257" t="s">
        <v>4544</v>
      </c>
      <c r="G2257" s="1">
        <f>(VLOOKUP(B2257,Ingot!H:I,2,FALSE()) * 0.75) * 0.75</f>
        <v>9.5625</v>
      </c>
    </row>
    <row r="2258" spans="1:7" ht="14.25" hidden="1" customHeight="1" x14ac:dyDescent="0.45">
      <c r="A2258" t="str">
        <f>_xlfn.XLOOKUP(B2258,Ingot!$H$12:$H$119,Ingot!$G$12:$G$119,"")</f>
        <v>Metal</v>
      </c>
      <c r="B2258" t="s">
        <v>4316</v>
      </c>
      <c r="C2258" t="s">
        <v>239</v>
      </c>
      <c r="D2258" t="s">
        <v>4545</v>
      </c>
      <c r="E2258" t="s">
        <v>4546</v>
      </c>
      <c r="G2258" s="1">
        <f>((VLOOKUP(B2258,Ingot!H:I,2,FALSE()) * 3) - 10.25) * 0.421875</f>
        <v>17.19140625</v>
      </c>
    </row>
    <row r="2259" spans="1:7" ht="14.25" hidden="1" customHeight="1" x14ac:dyDescent="0.45">
      <c r="A2259" t="str">
        <f>_xlfn.XLOOKUP(B2259,Ingot!$H$12:$H$119,Ingot!$G$12:$G$119,"")</f>
        <v>Metal</v>
      </c>
      <c r="B2259" t="s">
        <v>4316</v>
      </c>
      <c r="C2259" t="s">
        <v>239</v>
      </c>
      <c r="D2259" t="s">
        <v>4547</v>
      </c>
      <c r="E2259" t="s">
        <v>4548</v>
      </c>
      <c r="G2259" s="1">
        <f>((VLOOKUP(B2259,Ingot!H:I,2,FALSE()) * 3) - 10.25) * 0.75</f>
        <v>30.5625</v>
      </c>
    </row>
    <row r="2260" spans="1:7" ht="14.25" hidden="1" customHeight="1" x14ac:dyDescent="0.45">
      <c r="A2260" t="str">
        <f>_xlfn.XLOOKUP(B2260,Ingot!$H$12:$H$119,Ingot!$G$12:$G$119,"")</f>
        <v>Metal</v>
      </c>
      <c r="B2260" t="s">
        <v>4316</v>
      </c>
      <c r="C2260" t="s">
        <v>239</v>
      </c>
      <c r="D2260" t="s">
        <v>4549</v>
      </c>
      <c r="E2260" t="s">
        <v>4550</v>
      </c>
      <c r="G2260" s="1">
        <f>((VLOOKUP(B2260,Ingot!H:I,2,FALSE()) * 3) - 10.25) * 0.5625</f>
        <v>22.921875</v>
      </c>
    </row>
    <row r="2261" spans="1:7" ht="14.25" hidden="1" customHeight="1" x14ac:dyDescent="0.45">
      <c r="A2261" t="str">
        <f>_xlfn.XLOOKUP(B2261,Ingot!$H$12:$H$119,Ingot!$G$12:$G$119,"")</f>
        <v>Metal</v>
      </c>
      <c r="B2261" t="s">
        <v>4316</v>
      </c>
      <c r="C2261" t="s">
        <v>239</v>
      </c>
      <c r="D2261" t="s">
        <v>4551</v>
      </c>
      <c r="E2261" t="s">
        <v>4552</v>
      </c>
      <c r="G2261" s="1">
        <f>VLOOKUP(B2261,Ingot!H:I,2,FALSE()) * 0.75</f>
        <v>12.75</v>
      </c>
    </row>
    <row r="2262" spans="1:7" ht="14.25" hidden="1" customHeight="1" x14ac:dyDescent="0.45">
      <c r="A2262" t="str">
        <f>_xlfn.XLOOKUP(B2262,Ingot!$H$12:$H$119,Ingot!$G$12:$G$119,"")</f>
        <v>Metal</v>
      </c>
      <c r="B2262" t="s">
        <v>4316</v>
      </c>
      <c r="C2262" t="s">
        <v>239</v>
      </c>
      <c r="D2262" t="s">
        <v>4553</v>
      </c>
      <c r="E2262" t="s">
        <v>4554</v>
      </c>
      <c r="G2262" s="1">
        <f>(VLOOKUP(B2262,Ingot!H:I,2,FALSE()) * 3) - 10.25</f>
        <v>40.75</v>
      </c>
    </row>
    <row r="2263" spans="1:7" ht="14.25" hidden="1" customHeight="1" x14ac:dyDescent="0.45">
      <c r="A2263" t="str">
        <f>_xlfn.XLOOKUP(B2263,Ingot!$H$12:$H$119,Ingot!$G$12:$G$119,"")</f>
        <v>Metal</v>
      </c>
      <c r="B2263" t="s">
        <v>4555</v>
      </c>
      <c r="C2263" t="s">
        <v>10</v>
      </c>
      <c r="D2263" t="s">
        <v>4556</v>
      </c>
      <c r="E2263" t="s">
        <v>4557</v>
      </c>
      <c r="G2263" s="1">
        <v>0.08</v>
      </c>
    </row>
    <row r="2264" spans="1:7" ht="14.25" hidden="1" customHeight="1" x14ac:dyDescent="0.45">
      <c r="A2264" t="str">
        <f>_xlfn.XLOOKUP(B2264,Ingot!$H$12:$H$119,Ingot!$G$12:$G$119,"")</f>
        <v>Metal</v>
      </c>
      <c r="B2264" t="s">
        <v>4555</v>
      </c>
      <c r="C2264" t="s">
        <v>10</v>
      </c>
      <c r="D2264" t="s">
        <v>4558</v>
      </c>
      <c r="E2264" t="s">
        <v>4559</v>
      </c>
      <c r="G2264" s="1">
        <v>9.9</v>
      </c>
    </row>
    <row r="2265" spans="1:7" ht="14.25" hidden="1" customHeight="1" x14ac:dyDescent="0.45">
      <c r="A2265" t="str">
        <f>_xlfn.XLOOKUP(B2265,Ingot!$H$12:$H$119,Ingot!$G$12:$G$119,"")</f>
        <v>Metal</v>
      </c>
      <c r="B2265" t="s">
        <v>4555</v>
      </c>
      <c r="C2265" t="s">
        <v>10</v>
      </c>
      <c r="D2265" t="s">
        <v>4560</v>
      </c>
      <c r="E2265" t="s">
        <v>4561</v>
      </c>
      <c r="G2265" s="1">
        <v>5.66</v>
      </c>
    </row>
    <row r="2266" spans="1:7" ht="14.25" hidden="1" customHeight="1" x14ac:dyDescent="0.45">
      <c r="A2266" t="str">
        <f>_xlfn.XLOOKUP(B2266,Ingot!$H$12:$H$119,Ingot!$G$12:$G$119,"")</f>
        <v>Metal</v>
      </c>
      <c r="B2266" t="s">
        <v>4555</v>
      </c>
      <c r="C2266" t="s">
        <v>10</v>
      </c>
      <c r="D2266" t="s">
        <v>4562</v>
      </c>
      <c r="E2266" t="s">
        <v>4563</v>
      </c>
      <c r="G2266" s="1">
        <v>3.3</v>
      </c>
    </row>
    <row r="2267" spans="1:7" ht="14.25" hidden="1" customHeight="1" x14ac:dyDescent="0.45">
      <c r="A2267" t="str">
        <f>_xlfn.XLOOKUP(B2267,Ingot!$H$12:$H$119,Ingot!$G$12:$G$119,"")</f>
        <v>Metal</v>
      </c>
      <c r="B2267" t="s">
        <v>4555</v>
      </c>
      <c r="C2267" t="s">
        <v>10</v>
      </c>
      <c r="D2267" t="s">
        <v>4564</v>
      </c>
      <c r="E2267" t="s">
        <v>4565</v>
      </c>
      <c r="G2267" s="1">
        <v>0.66</v>
      </c>
    </row>
    <row r="2268" spans="1:7" ht="14.25" hidden="1" customHeight="1" x14ac:dyDescent="0.45">
      <c r="A2268" t="str">
        <f>_xlfn.XLOOKUP(B2268,Ingot!$H$12:$H$119,Ingot!$G$12:$G$119,"")</f>
        <v>Metal</v>
      </c>
      <c r="B2268" t="s">
        <v>4555</v>
      </c>
      <c r="C2268" t="s">
        <v>10</v>
      </c>
      <c r="D2268" t="s">
        <v>4566</v>
      </c>
      <c r="E2268" t="s">
        <v>4567</v>
      </c>
      <c r="G2268" s="1">
        <v>0.04</v>
      </c>
    </row>
    <row r="2269" spans="1:7" ht="14.25" hidden="1" customHeight="1" x14ac:dyDescent="0.45">
      <c r="A2269" t="str">
        <f>_xlfn.XLOOKUP(B2269,Ingot!$H$12:$H$119,Ingot!$G$12:$G$119,"")</f>
        <v>Metal</v>
      </c>
      <c r="B2269" t="s">
        <v>4555</v>
      </c>
      <c r="C2269" t="s">
        <v>10</v>
      </c>
      <c r="D2269" t="s">
        <v>4568</v>
      </c>
      <c r="E2269" t="s">
        <v>4569</v>
      </c>
      <c r="G2269" s="1">
        <v>0.33</v>
      </c>
    </row>
    <row r="2270" spans="1:7" ht="14.25" hidden="1" customHeight="1" x14ac:dyDescent="0.45">
      <c r="A2270" t="str">
        <f>_xlfn.XLOOKUP(B2270,Ingot!$H$12:$H$119,Ingot!$G$12:$G$119,"")</f>
        <v>Metal</v>
      </c>
      <c r="B2270" t="s">
        <v>4555</v>
      </c>
      <c r="C2270" t="s">
        <v>10</v>
      </c>
      <c r="D2270" t="s">
        <v>4570</v>
      </c>
      <c r="E2270" t="s">
        <v>4571</v>
      </c>
    </row>
    <row r="2271" spans="1:7" ht="14.25" hidden="1" customHeight="1" x14ac:dyDescent="0.45">
      <c r="A2271" t="str">
        <f>_xlfn.XLOOKUP(B2271,Ingot!$H$12:$H$119,Ingot!$G$12:$G$119,"")</f>
        <v>Metal</v>
      </c>
      <c r="B2271" t="s">
        <v>4555</v>
      </c>
      <c r="C2271" t="s">
        <v>10</v>
      </c>
      <c r="D2271" t="s">
        <v>4572</v>
      </c>
      <c r="E2271" t="s">
        <v>4573</v>
      </c>
      <c r="G2271" s="1">
        <v>0.05</v>
      </c>
    </row>
    <row r="2272" spans="1:7" ht="14.25" hidden="1" customHeight="1" x14ac:dyDescent="0.45">
      <c r="A2272" t="str">
        <f>_xlfn.XLOOKUP(B2272,Ingot!$H$12:$H$119,Ingot!$G$12:$G$119,"")</f>
        <v>Metal</v>
      </c>
      <c r="B2272" t="s">
        <v>4555</v>
      </c>
      <c r="C2272" t="s">
        <v>10</v>
      </c>
      <c r="D2272" t="s">
        <v>4574</v>
      </c>
      <c r="E2272" t="s">
        <v>4575</v>
      </c>
      <c r="G2272" s="1">
        <v>0.66</v>
      </c>
    </row>
    <row r="2273" spans="1:7" ht="14.25" hidden="1" customHeight="1" x14ac:dyDescent="0.45">
      <c r="A2273" t="str">
        <f>_xlfn.XLOOKUP(B2273,Ingot!$H$12:$H$119,Ingot!$G$12:$G$119,"")</f>
        <v>Metal</v>
      </c>
      <c r="B2273" t="s">
        <v>4555</v>
      </c>
      <c r="C2273" t="s">
        <v>10</v>
      </c>
      <c r="D2273" t="s">
        <v>4576</v>
      </c>
      <c r="E2273" t="s">
        <v>4577</v>
      </c>
      <c r="G2273" s="1">
        <v>3.96</v>
      </c>
    </row>
    <row r="2274" spans="1:7" ht="14.25" hidden="1" customHeight="1" x14ac:dyDescent="0.45">
      <c r="A2274" t="str">
        <f>_xlfn.XLOOKUP(B2274,Ingot!$H$12:$H$119,Ingot!$G$12:$G$119,"")</f>
        <v>Metal</v>
      </c>
      <c r="B2274" t="s">
        <v>4555</v>
      </c>
      <c r="C2274" t="s">
        <v>10</v>
      </c>
      <c r="D2274" t="s">
        <v>4578</v>
      </c>
      <c r="E2274" t="s">
        <v>4579</v>
      </c>
      <c r="G2274" s="1">
        <v>8.77</v>
      </c>
    </row>
    <row r="2275" spans="1:7" ht="14.25" hidden="1" customHeight="1" x14ac:dyDescent="0.45">
      <c r="A2275" t="str">
        <f>_xlfn.XLOOKUP(B2275,Ingot!$H$12:$H$119,Ingot!$G$12:$G$119,"")</f>
        <v>Metal</v>
      </c>
      <c r="B2275" t="s">
        <v>4555</v>
      </c>
      <c r="C2275" t="s">
        <v>10</v>
      </c>
      <c r="D2275" t="s">
        <v>4580</v>
      </c>
      <c r="E2275" t="s">
        <v>4581</v>
      </c>
      <c r="G2275" s="1">
        <v>3.5</v>
      </c>
    </row>
    <row r="2276" spans="1:7" ht="14.25" hidden="1" customHeight="1" x14ac:dyDescent="0.45">
      <c r="A2276" t="str">
        <f>_xlfn.XLOOKUP(B2276,Ingot!$H$12:$H$119,Ingot!$G$12:$G$119,"")</f>
        <v>Metal</v>
      </c>
      <c r="B2276" t="s">
        <v>4555</v>
      </c>
      <c r="C2276" t="s">
        <v>10</v>
      </c>
      <c r="D2276" t="s">
        <v>4582</v>
      </c>
      <c r="E2276" t="s">
        <v>4583</v>
      </c>
    </row>
    <row r="2277" spans="1:7" ht="14.25" hidden="1" customHeight="1" x14ac:dyDescent="0.45">
      <c r="A2277" t="str">
        <f>_xlfn.XLOOKUP(B2277,Ingot!$H$12:$H$119,Ingot!$G$12:$G$119,"")</f>
        <v>Metal</v>
      </c>
      <c r="B2277" t="s">
        <v>4555</v>
      </c>
      <c r="C2277" t="s">
        <v>10</v>
      </c>
      <c r="D2277" t="s">
        <v>4584</v>
      </c>
      <c r="E2277" t="s">
        <v>4585</v>
      </c>
      <c r="G2277" s="1">
        <v>2.2000000000000002</v>
      </c>
    </row>
    <row r="2278" spans="1:7" ht="14.25" hidden="1" customHeight="1" x14ac:dyDescent="0.45">
      <c r="A2278" t="str">
        <f>_xlfn.XLOOKUP(B2278,Ingot!$H$12:$H$119,Ingot!$G$12:$G$119,"")</f>
        <v>Metal</v>
      </c>
      <c r="B2278" t="s">
        <v>4555</v>
      </c>
      <c r="C2278" t="s">
        <v>10</v>
      </c>
      <c r="D2278" t="s">
        <v>4586</v>
      </c>
      <c r="E2278" t="s">
        <v>4587</v>
      </c>
      <c r="G2278" s="1">
        <v>1.1000000000000001</v>
      </c>
    </row>
    <row r="2279" spans="1:7" ht="14.25" hidden="1" customHeight="1" x14ac:dyDescent="0.45">
      <c r="A2279" t="str">
        <f>_xlfn.XLOOKUP(B2279,Ingot!$H$12:$H$119,Ingot!$G$12:$G$119,"")</f>
        <v>Metal</v>
      </c>
      <c r="B2279" t="s">
        <v>4555</v>
      </c>
      <c r="C2279" t="s">
        <v>10</v>
      </c>
      <c r="D2279" t="s">
        <v>4588</v>
      </c>
      <c r="E2279" t="s">
        <v>4589</v>
      </c>
      <c r="G2279" s="1">
        <v>0.22</v>
      </c>
    </row>
    <row r="2280" spans="1:7" ht="14.25" hidden="1" customHeight="1" x14ac:dyDescent="0.45">
      <c r="A2280" t="str">
        <f>_xlfn.XLOOKUP(B2280,Ingot!$H$12:$H$119,Ingot!$G$12:$G$119,"")</f>
        <v>Metal</v>
      </c>
      <c r="B2280" t="s">
        <v>4555</v>
      </c>
      <c r="C2280" t="s">
        <v>10</v>
      </c>
      <c r="D2280" t="s">
        <v>4590</v>
      </c>
      <c r="E2280" t="s">
        <v>4591</v>
      </c>
      <c r="G2280" s="1">
        <v>8.41</v>
      </c>
    </row>
    <row r="2281" spans="1:7" ht="14.25" hidden="1" customHeight="1" x14ac:dyDescent="0.45">
      <c r="A2281" t="str">
        <f>_xlfn.XLOOKUP(B2281,Ingot!$H$12:$H$119,Ingot!$G$12:$G$119,"")</f>
        <v>Metal</v>
      </c>
      <c r="B2281" t="s">
        <v>4555</v>
      </c>
      <c r="C2281" t="s">
        <v>10</v>
      </c>
      <c r="D2281" t="s">
        <v>4592</v>
      </c>
      <c r="E2281" t="s">
        <v>4593</v>
      </c>
      <c r="G2281" s="1">
        <v>3.64</v>
      </c>
    </row>
    <row r="2282" spans="1:7" ht="14.25" hidden="1" customHeight="1" x14ac:dyDescent="0.45">
      <c r="A2282" t="str">
        <f>_xlfn.XLOOKUP(B2282,Ingot!$H$12:$H$119,Ingot!$G$12:$G$119,"")</f>
        <v>Metal</v>
      </c>
      <c r="B2282" t="s">
        <v>4555</v>
      </c>
      <c r="C2282" t="s">
        <v>10</v>
      </c>
      <c r="D2282" t="s">
        <v>4594</v>
      </c>
      <c r="E2282" t="s">
        <v>4595</v>
      </c>
      <c r="G2282" s="1">
        <v>7.05</v>
      </c>
    </row>
    <row r="2283" spans="1:7" ht="14.25" hidden="1" customHeight="1" x14ac:dyDescent="0.45">
      <c r="A2283" t="str">
        <f>_xlfn.XLOOKUP(B2283,Ingot!$H$12:$H$119,Ingot!$G$12:$G$119,"")</f>
        <v>Metal</v>
      </c>
      <c r="B2283" t="s">
        <v>4555</v>
      </c>
      <c r="C2283" t="s">
        <v>10</v>
      </c>
      <c r="D2283" t="s">
        <v>4596</v>
      </c>
      <c r="E2283" t="s">
        <v>4597</v>
      </c>
      <c r="G2283" s="1">
        <v>2.65</v>
      </c>
    </row>
    <row r="2284" spans="1:7" ht="14.25" hidden="1" customHeight="1" x14ac:dyDescent="0.45">
      <c r="A2284" t="str">
        <f>_xlfn.XLOOKUP(B2284,Ingot!$H$12:$H$119,Ingot!$G$12:$G$119,"")</f>
        <v>Metal</v>
      </c>
      <c r="B2284" t="s">
        <v>4555</v>
      </c>
      <c r="C2284" t="s">
        <v>10</v>
      </c>
      <c r="D2284" t="s">
        <v>4598</v>
      </c>
      <c r="E2284" t="s">
        <v>4599</v>
      </c>
      <c r="G2284" s="1">
        <v>9</v>
      </c>
    </row>
    <row r="2285" spans="1:7" ht="14.25" hidden="1" customHeight="1" x14ac:dyDescent="0.45">
      <c r="A2285" t="str">
        <f>_xlfn.XLOOKUP(B2285,Ingot!$H$12:$H$119,Ingot!$G$12:$G$119,"")</f>
        <v>Metal</v>
      </c>
      <c r="B2285" t="s">
        <v>4555</v>
      </c>
      <c r="C2285" t="s">
        <v>10</v>
      </c>
      <c r="D2285" t="s">
        <v>4600</v>
      </c>
      <c r="E2285" t="s">
        <v>4601</v>
      </c>
      <c r="G2285" s="1">
        <v>10.23</v>
      </c>
    </row>
    <row r="2286" spans="1:7" ht="14.25" hidden="1" customHeight="1" x14ac:dyDescent="0.45">
      <c r="A2286" t="str">
        <f>_xlfn.XLOOKUP(B2286,Ingot!$H$12:$H$119,Ingot!$G$12:$G$119,"")</f>
        <v>Metal</v>
      </c>
      <c r="B2286" t="s">
        <v>4555</v>
      </c>
      <c r="C2286" t="s">
        <v>10</v>
      </c>
      <c r="D2286" t="s">
        <v>4602</v>
      </c>
      <c r="E2286" t="s">
        <v>4603</v>
      </c>
      <c r="G2286" s="1">
        <v>7.7</v>
      </c>
    </row>
    <row r="2287" spans="1:7" ht="14.25" hidden="1" customHeight="1" x14ac:dyDescent="0.45">
      <c r="A2287" t="str">
        <f>_xlfn.XLOOKUP(B2287,Ingot!$H$12:$H$119,Ingot!$G$12:$G$119,"")</f>
        <v>Metal</v>
      </c>
      <c r="B2287" t="s">
        <v>4555</v>
      </c>
      <c r="C2287" t="s">
        <v>10</v>
      </c>
      <c r="D2287" t="s">
        <v>4604</v>
      </c>
      <c r="E2287" t="s">
        <v>4605</v>
      </c>
      <c r="G2287" s="1">
        <v>10.02</v>
      </c>
    </row>
    <row r="2288" spans="1:7" ht="14.25" hidden="1" customHeight="1" x14ac:dyDescent="0.45">
      <c r="A2288" t="str">
        <f>_xlfn.XLOOKUP(B2288,Ingot!$H$12:$H$119,Ingot!$G$12:$G$119,"")</f>
        <v>Metal</v>
      </c>
      <c r="B2288" t="s">
        <v>4555</v>
      </c>
      <c r="C2288" t="s">
        <v>10</v>
      </c>
      <c r="D2288" t="s">
        <v>4606</v>
      </c>
      <c r="E2288" t="s">
        <v>4607</v>
      </c>
      <c r="G2288" s="1">
        <v>11.81</v>
      </c>
    </row>
    <row r="2289" spans="1:7" ht="14.25" hidden="1" customHeight="1" x14ac:dyDescent="0.45">
      <c r="A2289" t="str">
        <f>_xlfn.XLOOKUP(B2289,Ingot!$H$12:$H$119,Ingot!$G$12:$G$119,"")</f>
        <v>Metal</v>
      </c>
      <c r="B2289" t="s">
        <v>4555</v>
      </c>
      <c r="C2289" t="s">
        <v>10</v>
      </c>
      <c r="D2289" t="s">
        <v>4608</v>
      </c>
      <c r="E2289" t="s">
        <v>4609</v>
      </c>
      <c r="G2289" s="1">
        <v>8.44</v>
      </c>
    </row>
    <row r="2290" spans="1:7" ht="14.25" hidden="1" customHeight="1" x14ac:dyDescent="0.45">
      <c r="A2290" t="str">
        <f>_xlfn.XLOOKUP(B2290,Ingot!$H$12:$H$119,Ingot!$G$12:$G$119,"")</f>
        <v>Metal</v>
      </c>
      <c r="B2290" t="s">
        <v>4555</v>
      </c>
      <c r="C2290" t="s">
        <v>10</v>
      </c>
      <c r="D2290" t="s">
        <v>4610</v>
      </c>
      <c r="E2290" t="s">
        <v>4611</v>
      </c>
      <c r="G2290" s="1">
        <v>10.42</v>
      </c>
    </row>
    <row r="2291" spans="1:7" ht="14.25" hidden="1" customHeight="1" x14ac:dyDescent="0.45">
      <c r="A2291" t="str">
        <f>_xlfn.XLOOKUP(B2291,Ingot!$H$12:$H$119,Ingot!$G$12:$G$119,"")</f>
        <v>Metal</v>
      </c>
      <c r="B2291" t="s">
        <v>4555</v>
      </c>
      <c r="C2291" t="s">
        <v>10</v>
      </c>
      <c r="D2291" t="s">
        <v>4612</v>
      </c>
      <c r="E2291" t="s">
        <v>4613</v>
      </c>
    </row>
    <row r="2292" spans="1:7" ht="14.25" hidden="1" customHeight="1" x14ac:dyDescent="0.45">
      <c r="A2292" t="str">
        <f>_xlfn.XLOOKUP(B2292,Ingot!$H$12:$H$119,Ingot!$G$12:$G$119,"")</f>
        <v>Metal</v>
      </c>
      <c r="B2292" t="s">
        <v>4555</v>
      </c>
      <c r="C2292" t="s">
        <v>10</v>
      </c>
      <c r="D2292" t="s">
        <v>4614</v>
      </c>
      <c r="E2292" t="s">
        <v>4615</v>
      </c>
      <c r="G2292" s="1">
        <v>7.96</v>
      </c>
    </row>
    <row r="2293" spans="1:7" ht="14.25" hidden="1" customHeight="1" x14ac:dyDescent="0.45">
      <c r="A2293" t="str">
        <f>_xlfn.XLOOKUP(B2293,Ingot!$H$12:$H$119,Ingot!$G$12:$G$119,"")</f>
        <v>Metal</v>
      </c>
      <c r="B2293" t="s">
        <v>4555</v>
      </c>
      <c r="C2293" t="s">
        <v>10</v>
      </c>
      <c r="D2293" t="s">
        <v>4616</v>
      </c>
      <c r="E2293" t="s">
        <v>4617</v>
      </c>
      <c r="G2293" s="1">
        <v>9.64</v>
      </c>
    </row>
    <row r="2294" spans="1:7" ht="14.25" hidden="1" customHeight="1" x14ac:dyDescent="0.45">
      <c r="A2294" t="str">
        <f>_xlfn.XLOOKUP(B2294,Ingot!$H$12:$H$119,Ingot!$G$12:$G$119,"")</f>
        <v>Metal</v>
      </c>
      <c r="B2294" t="s">
        <v>4555</v>
      </c>
      <c r="C2294" t="s">
        <v>10</v>
      </c>
      <c r="D2294" t="s">
        <v>4618</v>
      </c>
      <c r="E2294" t="s">
        <v>4619</v>
      </c>
      <c r="G2294" s="1">
        <v>7.94</v>
      </c>
    </row>
    <row r="2295" spans="1:7" ht="14.25" hidden="1" customHeight="1" x14ac:dyDescent="0.45">
      <c r="A2295" t="str">
        <f>_xlfn.XLOOKUP(B2295,Ingot!$H$12:$H$119,Ingot!$G$12:$G$119,"")</f>
        <v>Metal</v>
      </c>
      <c r="B2295" t="s">
        <v>4555</v>
      </c>
      <c r="C2295" t="s">
        <v>10</v>
      </c>
      <c r="D2295" t="s">
        <v>4620</v>
      </c>
      <c r="E2295" t="s">
        <v>4621</v>
      </c>
      <c r="G2295" s="1">
        <v>8.66</v>
      </c>
    </row>
    <row r="2296" spans="1:7" ht="14.25" hidden="1" customHeight="1" x14ac:dyDescent="0.45">
      <c r="A2296" t="str">
        <f>_xlfn.XLOOKUP(B2296,Ingot!$H$12:$H$119,Ingot!$G$12:$G$119,"")</f>
        <v>Metal</v>
      </c>
      <c r="B2296" t="s">
        <v>4555</v>
      </c>
      <c r="C2296" t="s">
        <v>10</v>
      </c>
      <c r="D2296" t="s">
        <v>4622</v>
      </c>
      <c r="E2296" t="s">
        <v>4623</v>
      </c>
    </row>
    <row r="2297" spans="1:7" ht="14.25" hidden="1" customHeight="1" x14ac:dyDescent="0.45">
      <c r="A2297" t="str">
        <f>_xlfn.XLOOKUP(B2297,Ingot!$H$12:$H$119,Ingot!$G$12:$G$119,"")</f>
        <v>Metal</v>
      </c>
      <c r="B2297" t="s">
        <v>4555</v>
      </c>
      <c r="C2297" t="s">
        <v>10</v>
      </c>
      <c r="D2297" t="s">
        <v>4624</v>
      </c>
      <c r="E2297" t="s">
        <v>4625</v>
      </c>
      <c r="G2297" s="1">
        <v>2.65</v>
      </c>
    </row>
    <row r="2298" spans="1:7" ht="14.25" hidden="1" customHeight="1" x14ac:dyDescent="0.45">
      <c r="A2298" t="str">
        <f>_xlfn.XLOOKUP(B2298,Ingot!$H$12:$H$119,Ingot!$G$12:$G$119,"")</f>
        <v>Metal</v>
      </c>
      <c r="B2298" t="s">
        <v>4555</v>
      </c>
      <c r="C2298" t="s">
        <v>10</v>
      </c>
      <c r="D2298" t="s">
        <v>4626</v>
      </c>
      <c r="E2298" t="s">
        <v>4627</v>
      </c>
    </row>
    <row r="2299" spans="1:7" ht="14.25" hidden="1" customHeight="1" x14ac:dyDescent="0.45">
      <c r="A2299" t="str">
        <f>_xlfn.XLOOKUP(B2299,Ingot!$H$12:$H$119,Ingot!$G$12:$G$119,"")</f>
        <v>Metal</v>
      </c>
      <c r="B2299" t="s">
        <v>4555</v>
      </c>
      <c r="C2299" t="s">
        <v>10</v>
      </c>
      <c r="D2299" t="s">
        <v>4628</v>
      </c>
      <c r="E2299" t="s">
        <v>4629</v>
      </c>
      <c r="G2299" s="1">
        <v>12.64</v>
      </c>
    </row>
    <row r="2300" spans="1:7" ht="14.25" hidden="1" customHeight="1" x14ac:dyDescent="0.45">
      <c r="A2300" t="str">
        <f>_xlfn.XLOOKUP(B2300,Ingot!$H$12:$H$119,Ingot!$G$12:$G$119,"")</f>
        <v>Metal</v>
      </c>
      <c r="B2300" t="s">
        <v>4555</v>
      </c>
      <c r="C2300" t="s">
        <v>10</v>
      </c>
      <c r="D2300" t="s">
        <v>4630</v>
      </c>
      <c r="E2300" t="s">
        <v>4631</v>
      </c>
      <c r="G2300" s="1">
        <v>22.67</v>
      </c>
    </row>
    <row r="2301" spans="1:7" ht="14.25" hidden="1" customHeight="1" x14ac:dyDescent="0.45">
      <c r="A2301" t="str">
        <f>_xlfn.XLOOKUP(B2301,Ingot!$H$12:$H$119,Ingot!$G$12:$G$119,"")</f>
        <v>Metal</v>
      </c>
      <c r="B2301" t="s">
        <v>4555</v>
      </c>
      <c r="C2301" t="s">
        <v>10</v>
      </c>
      <c r="D2301" t="s">
        <v>4632</v>
      </c>
      <c r="E2301" t="s">
        <v>4633</v>
      </c>
      <c r="G2301" s="1">
        <v>8.3800000000000008</v>
      </c>
    </row>
    <row r="2302" spans="1:7" ht="14.25" hidden="1" customHeight="1" x14ac:dyDescent="0.45">
      <c r="A2302" t="str">
        <f>_xlfn.XLOOKUP(B2302,Ingot!$H$12:$H$119,Ingot!$G$12:$G$119,"")</f>
        <v>Metal</v>
      </c>
      <c r="B2302" t="s">
        <v>4555</v>
      </c>
      <c r="C2302" t="s">
        <v>10</v>
      </c>
      <c r="D2302" t="s">
        <v>4634</v>
      </c>
      <c r="E2302" t="s">
        <v>4635</v>
      </c>
      <c r="G2302" s="1">
        <v>2.2000000000000002</v>
      </c>
    </row>
    <row r="2303" spans="1:7" ht="14.25" hidden="1" customHeight="1" x14ac:dyDescent="0.45">
      <c r="A2303" t="str">
        <f>_xlfn.XLOOKUP(B2303,Ingot!$H$12:$H$119,Ingot!$G$12:$G$119,"")</f>
        <v>Metal</v>
      </c>
      <c r="B2303" t="s">
        <v>4555</v>
      </c>
      <c r="C2303" t="s">
        <v>10</v>
      </c>
      <c r="D2303" t="s">
        <v>4636</v>
      </c>
      <c r="E2303" t="s">
        <v>4637</v>
      </c>
      <c r="G2303" s="1">
        <v>3.09</v>
      </c>
    </row>
    <row r="2304" spans="1:7" ht="14.25" hidden="1" customHeight="1" x14ac:dyDescent="0.45">
      <c r="A2304" t="str">
        <f>_xlfn.XLOOKUP(B2304,Ingot!$H$12:$H$119,Ingot!$G$12:$G$119,"")</f>
        <v>Metal</v>
      </c>
      <c r="B2304" t="s">
        <v>4555</v>
      </c>
      <c r="C2304" t="s">
        <v>10</v>
      </c>
      <c r="D2304" t="s">
        <v>4638</v>
      </c>
      <c r="E2304" t="s">
        <v>4639</v>
      </c>
      <c r="G2304" s="1">
        <v>2.2999999999999998</v>
      </c>
    </row>
    <row r="2305" spans="1:7" ht="14.25" hidden="1" customHeight="1" x14ac:dyDescent="0.45">
      <c r="A2305" t="str">
        <f>_xlfn.XLOOKUP(B2305,Ingot!$H$12:$H$119,Ingot!$G$12:$G$119,"")</f>
        <v>Metal</v>
      </c>
      <c r="B2305" t="s">
        <v>4555</v>
      </c>
      <c r="C2305" t="s">
        <v>10</v>
      </c>
      <c r="D2305" t="s">
        <v>4640</v>
      </c>
      <c r="E2305" t="s">
        <v>4641</v>
      </c>
      <c r="G2305" s="1">
        <v>4.88</v>
      </c>
    </row>
    <row r="2306" spans="1:7" ht="14.25" hidden="1" customHeight="1" x14ac:dyDescent="0.45">
      <c r="A2306" t="str">
        <f>_xlfn.XLOOKUP(B2306,Ingot!$H$12:$H$119,Ingot!$G$12:$G$119,"")</f>
        <v>Metal</v>
      </c>
      <c r="B2306" t="s">
        <v>4555</v>
      </c>
      <c r="C2306" t="s">
        <v>10</v>
      </c>
      <c r="D2306" t="s">
        <v>4642</v>
      </c>
      <c r="E2306" t="s">
        <v>4643</v>
      </c>
      <c r="G2306" s="1">
        <v>8.43</v>
      </c>
    </row>
    <row r="2307" spans="1:7" ht="14.25" hidden="1" customHeight="1" x14ac:dyDescent="0.45">
      <c r="A2307" t="str">
        <f>_xlfn.XLOOKUP(B2307,Ingot!$H$12:$H$119,Ingot!$G$12:$G$119,"")</f>
        <v>Metal</v>
      </c>
      <c r="B2307" t="s">
        <v>4555</v>
      </c>
      <c r="C2307" t="s">
        <v>10</v>
      </c>
      <c r="D2307" t="s">
        <v>4644</v>
      </c>
      <c r="E2307" t="s">
        <v>4645</v>
      </c>
      <c r="G2307" s="1">
        <v>13.07</v>
      </c>
    </row>
    <row r="2308" spans="1:7" ht="14.25" hidden="1" customHeight="1" x14ac:dyDescent="0.45">
      <c r="A2308" t="str">
        <f>_xlfn.XLOOKUP(B2308,Ingot!$H$12:$H$119,Ingot!$G$12:$G$119,"")</f>
        <v>Metal</v>
      </c>
      <c r="B2308" t="s">
        <v>4555</v>
      </c>
      <c r="C2308" t="s">
        <v>10</v>
      </c>
      <c r="D2308" t="s">
        <v>4646</v>
      </c>
      <c r="E2308" t="s">
        <v>4647</v>
      </c>
    </row>
    <row r="2309" spans="1:7" ht="14.25" hidden="1" customHeight="1" x14ac:dyDescent="0.45">
      <c r="A2309" t="str">
        <f>_xlfn.XLOOKUP(B2309,Ingot!$H$12:$H$119,Ingot!$G$12:$G$119,"")</f>
        <v>Metal</v>
      </c>
      <c r="B2309" t="s">
        <v>4555</v>
      </c>
      <c r="C2309" t="s">
        <v>10</v>
      </c>
      <c r="D2309" t="s">
        <v>4648</v>
      </c>
      <c r="E2309" t="s">
        <v>4649</v>
      </c>
    </row>
    <row r="2310" spans="1:7" ht="14.25" hidden="1" customHeight="1" x14ac:dyDescent="0.45">
      <c r="A2310" t="str">
        <f>_xlfn.XLOOKUP(B2310,Ingot!$H$12:$H$119,Ingot!$G$12:$G$119,"")</f>
        <v>Metal</v>
      </c>
      <c r="B2310" t="s">
        <v>4555</v>
      </c>
      <c r="C2310" t="s">
        <v>10</v>
      </c>
      <c r="D2310" t="s">
        <v>4650</v>
      </c>
      <c r="E2310" t="s">
        <v>4651</v>
      </c>
      <c r="G2310" s="1">
        <v>6.8</v>
      </c>
    </row>
    <row r="2311" spans="1:7" ht="14.25" hidden="1" customHeight="1" x14ac:dyDescent="0.45">
      <c r="A2311" t="str">
        <f>_xlfn.XLOOKUP(B2311,Ingot!$H$12:$H$119,Ingot!$G$12:$G$119,"")</f>
        <v>Metal</v>
      </c>
      <c r="B2311" t="s">
        <v>4555</v>
      </c>
      <c r="C2311" t="s">
        <v>10</v>
      </c>
      <c r="D2311" t="s">
        <v>4652</v>
      </c>
      <c r="E2311" t="s">
        <v>4653</v>
      </c>
      <c r="G2311" s="1">
        <v>6.88</v>
      </c>
    </row>
    <row r="2312" spans="1:7" ht="14.25" hidden="1" customHeight="1" x14ac:dyDescent="0.45">
      <c r="A2312" t="str">
        <f>_xlfn.XLOOKUP(B2312,Ingot!$H$12:$H$119,Ingot!$G$12:$G$119,"")</f>
        <v>Metal</v>
      </c>
      <c r="B2312" t="s">
        <v>4555</v>
      </c>
      <c r="C2312" t="s">
        <v>10</v>
      </c>
      <c r="D2312" t="s">
        <v>4654</v>
      </c>
      <c r="E2312" t="s">
        <v>4655</v>
      </c>
      <c r="G2312" s="1">
        <v>5.5</v>
      </c>
    </row>
    <row r="2313" spans="1:7" ht="14.25" hidden="1" customHeight="1" x14ac:dyDescent="0.45">
      <c r="A2313" t="str">
        <f>_xlfn.XLOOKUP(B2313,Ingot!$H$12:$H$119,Ingot!$G$12:$G$119,"")</f>
        <v>Metal</v>
      </c>
      <c r="B2313" t="s">
        <v>4555</v>
      </c>
      <c r="C2313" t="s">
        <v>10</v>
      </c>
      <c r="D2313" t="s">
        <v>4656</v>
      </c>
      <c r="E2313" t="s">
        <v>4657</v>
      </c>
      <c r="G2313" s="1">
        <v>2.4300000000000002</v>
      </c>
    </row>
    <row r="2314" spans="1:7" ht="14.25" hidden="1" customHeight="1" x14ac:dyDescent="0.45">
      <c r="A2314" t="str">
        <f>_xlfn.XLOOKUP(B2314,Ingot!$H$12:$H$119,Ingot!$G$12:$G$119,"")</f>
        <v>Metal</v>
      </c>
      <c r="B2314" t="s">
        <v>4555</v>
      </c>
      <c r="C2314" t="s">
        <v>10</v>
      </c>
      <c r="D2314" t="s">
        <v>4658</v>
      </c>
      <c r="E2314" t="s">
        <v>4659</v>
      </c>
      <c r="G2314" s="1">
        <v>6.96</v>
      </c>
    </row>
    <row r="2315" spans="1:7" ht="14.25" hidden="1" customHeight="1" x14ac:dyDescent="0.45">
      <c r="A2315" t="str">
        <f>_xlfn.XLOOKUP(B2315,Ingot!$H$12:$H$119,Ingot!$G$12:$G$119,"")</f>
        <v>Metal</v>
      </c>
      <c r="B2315" t="s">
        <v>4555</v>
      </c>
      <c r="C2315" t="s">
        <v>10</v>
      </c>
      <c r="D2315" t="s">
        <v>4660</v>
      </c>
      <c r="E2315" t="s">
        <v>4661</v>
      </c>
      <c r="G2315" s="1">
        <v>6.32</v>
      </c>
    </row>
    <row r="2316" spans="1:7" ht="14.25" hidden="1" customHeight="1" x14ac:dyDescent="0.45">
      <c r="A2316" t="str">
        <f>_xlfn.XLOOKUP(B2316,Ingot!$H$12:$H$119,Ingot!$G$12:$G$119,"")</f>
        <v>Metal</v>
      </c>
      <c r="B2316" t="s">
        <v>4555</v>
      </c>
      <c r="C2316" t="s">
        <v>10</v>
      </c>
      <c r="D2316" t="s">
        <v>4662</v>
      </c>
      <c r="E2316" t="s">
        <v>4663</v>
      </c>
      <c r="G2316" s="1">
        <v>6.88</v>
      </c>
    </row>
    <row r="2317" spans="1:7" ht="14.25" hidden="1" customHeight="1" x14ac:dyDescent="0.45">
      <c r="A2317" t="str">
        <f>_xlfn.XLOOKUP(B2317,Ingot!$H$12:$H$119,Ingot!$G$12:$G$119,"")</f>
        <v>Metal</v>
      </c>
      <c r="B2317" t="s">
        <v>4555</v>
      </c>
      <c r="C2317" t="s">
        <v>10</v>
      </c>
      <c r="D2317" t="s">
        <v>4664</v>
      </c>
      <c r="E2317" t="s">
        <v>4665</v>
      </c>
      <c r="G2317" s="1">
        <v>2.44</v>
      </c>
    </row>
    <row r="2318" spans="1:7" ht="14.25" hidden="1" customHeight="1" x14ac:dyDescent="0.45">
      <c r="A2318" t="str">
        <f>_xlfn.XLOOKUP(B2318,Ingot!$H$12:$H$119,Ingot!$G$12:$G$119,"")</f>
        <v>Metal</v>
      </c>
      <c r="B2318" t="s">
        <v>4555</v>
      </c>
      <c r="C2318" t="s">
        <v>10</v>
      </c>
      <c r="D2318" t="s">
        <v>4666</v>
      </c>
      <c r="E2318" t="s">
        <v>4667</v>
      </c>
    </row>
    <row r="2319" spans="1:7" ht="14.25" hidden="1" customHeight="1" x14ac:dyDescent="0.45">
      <c r="A2319" t="str">
        <f>_xlfn.XLOOKUP(B2319,Ingot!$H$12:$H$119,Ingot!$G$12:$G$119,"")</f>
        <v>Metal</v>
      </c>
      <c r="B2319" t="s">
        <v>4555</v>
      </c>
      <c r="C2319" t="s">
        <v>10</v>
      </c>
      <c r="D2319" t="s">
        <v>4668</v>
      </c>
      <c r="E2319" t="s">
        <v>4669</v>
      </c>
    </row>
    <row r="2320" spans="1:7" ht="14.25" hidden="1" customHeight="1" x14ac:dyDescent="0.45">
      <c r="A2320" t="str">
        <f>_xlfn.XLOOKUP(B2320,Ingot!$H$12:$H$119,Ingot!$G$12:$G$119,"")</f>
        <v>Metal</v>
      </c>
      <c r="B2320" t="s">
        <v>4555</v>
      </c>
      <c r="C2320" t="s">
        <v>10</v>
      </c>
      <c r="D2320" t="s">
        <v>4670</v>
      </c>
      <c r="E2320" t="s">
        <v>4671</v>
      </c>
      <c r="G2320" s="1">
        <v>3.11</v>
      </c>
    </row>
    <row r="2321" spans="1:7" ht="14.25" hidden="1" customHeight="1" x14ac:dyDescent="0.45">
      <c r="A2321" t="str">
        <f>_xlfn.XLOOKUP(B2321,Ingot!$H$12:$H$119,Ingot!$G$12:$G$119,"")</f>
        <v>Metal</v>
      </c>
      <c r="B2321" t="s">
        <v>4555</v>
      </c>
      <c r="C2321" t="s">
        <v>10</v>
      </c>
      <c r="D2321" t="s">
        <v>4672</v>
      </c>
      <c r="E2321" t="s">
        <v>4673</v>
      </c>
      <c r="G2321" s="1">
        <v>2.44</v>
      </c>
    </row>
    <row r="2322" spans="1:7" ht="14.25" hidden="1" customHeight="1" x14ac:dyDescent="0.45">
      <c r="A2322" t="str">
        <f>_xlfn.XLOOKUP(B2322,Ingot!$H$12:$H$119,Ingot!$G$12:$G$119,"")</f>
        <v>Metal</v>
      </c>
      <c r="B2322" t="s">
        <v>4555</v>
      </c>
      <c r="C2322" t="s">
        <v>10</v>
      </c>
      <c r="D2322" t="s">
        <v>4674</v>
      </c>
      <c r="E2322" t="s">
        <v>4675</v>
      </c>
      <c r="G2322" s="1">
        <v>8.61</v>
      </c>
    </row>
    <row r="2323" spans="1:7" ht="14.25" hidden="1" customHeight="1" x14ac:dyDescent="0.45">
      <c r="A2323" t="str">
        <f>_xlfn.XLOOKUP(B2323,Ingot!$H$12:$H$119,Ingot!$G$12:$G$119,"")</f>
        <v>Metal</v>
      </c>
      <c r="B2323" t="s">
        <v>4555</v>
      </c>
      <c r="C2323" t="s">
        <v>10</v>
      </c>
      <c r="D2323" t="s">
        <v>4676</v>
      </c>
      <c r="E2323" t="s">
        <v>4677</v>
      </c>
    </row>
    <row r="2324" spans="1:7" ht="14.25" hidden="1" customHeight="1" x14ac:dyDescent="0.45">
      <c r="A2324" t="str">
        <f>_xlfn.XLOOKUP(B2324,Ingot!$H$12:$H$119,Ingot!$G$12:$G$119,"")</f>
        <v>Metal</v>
      </c>
      <c r="B2324" t="s">
        <v>4555</v>
      </c>
      <c r="C2324" t="s">
        <v>10</v>
      </c>
      <c r="D2324" t="s">
        <v>4678</v>
      </c>
      <c r="E2324" t="s">
        <v>4679</v>
      </c>
      <c r="G2324" s="1">
        <v>3.21</v>
      </c>
    </row>
    <row r="2325" spans="1:7" ht="14.25" hidden="1" customHeight="1" x14ac:dyDescent="0.45">
      <c r="A2325" t="str">
        <f>_xlfn.XLOOKUP(B2325,Ingot!$H$12:$H$119,Ingot!$G$12:$G$119,"")</f>
        <v>Metal</v>
      </c>
      <c r="B2325" t="s">
        <v>4555</v>
      </c>
      <c r="C2325" t="s">
        <v>10</v>
      </c>
      <c r="D2325" t="s">
        <v>4680</v>
      </c>
      <c r="E2325" t="s">
        <v>4681</v>
      </c>
      <c r="G2325" s="1">
        <v>2.77</v>
      </c>
    </row>
    <row r="2326" spans="1:7" ht="14.25" hidden="1" customHeight="1" x14ac:dyDescent="0.45">
      <c r="A2326" t="str">
        <f>_xlfn.XLOOKUP(B2326,Ingot!$H$12:$H$119,Ingot!$G$12:$G$119,"")</f>
        <v>Metal</v>
      </c>
      <c r="B2326" t="s">
        <v>4555</v>
      </c>
      <c r="C2326" t="s">
        <v>10</v>
      </c>
      <c r="D2326" t="s">
        <v>4682</v>
      </c>
      <c r="E2326" t="s">
        <v>4683</v>
      </c>
      <c r="G2326" s="1">
        <v>4.8899999999999997</v>
      </c>
    </row>
    <row r="2327" spans="1:7" ht="14.25" hidden="1" customHeight="1" x14ac:dyDescent="0.45">
      <c r="A2327" t="str">
        <f>_xlfn.XLOOKUP(B2327,Ingot!$H$12:$H$119,Ingot!$G$12:$G$119,"")</f>
        <v>Metal</v>
      </c>
      <c r="B2327" t="s">
        <v>4555</v>
      </c>
      <c r="C2327" t="s">
        <v>10</v>
      </c>
      <c r="D2327" t="s">
        <v>4684</v>
      </c>
      <c r="E2327" t="s">
        <v>4685</v>
      </c>
      <c r="G2327" s="1">
        <v>1.76</v>
      </c>
    </row>
    <row r="2328" spans="1:7" ht="14.25" hidden="1" customHeight="1" x14ac:dyDescent="0.45">
      <c r="A2328" t="str">
        <f>_xlfn.XLOOKUP(B2328,Ingot!$H$12:$H$119,Ingot!$G$12:$G$119,"")</f>
        <v>Metal</v>
      </c>
      <c r="B2328" t="s">
        <v>4555</v>
      </c>
      <c r="C2328" t="s">
        <v>10</v>
      </c>
      <c r="D2328" t="s">
        <v>4686</v>
      </c>
      <c r="E2328" t="s">
        <v>4687</v>
      </c>
    </row>
    <row r="2329" spans="1:7" ht="14.25" hidden="1" customHeight="1" x14ac:dyDescent="0.45">
      <c r="A2329" t="str">
        <f>_xlfn.XLOOKUP(B2329,Ingot!$H$12:$H$119,Ingot!$G$12:$G$119,"")</f>
        <v>Metal</v>
      </c>
      <c r="B2329" t="s">
        <v>4555</v>
      </c>
      <c r="C2329" t="s">
        <v>10</v>
      </c>
      <c r="D2329" t="s">
        <v>4688</v>
      </c>
      <c r="E2329" t="s">
        <v>4689</v>
      </c>
      <c r="G2329" s="1">
        <v>8.57</v>
      </c>
    </row>
    <row r="2330" spans="1:7" ht="14.25" hidden="1" customHeight="1" x14ac:dyDescent="0.45">
      <c r="A2330" t="str">
        <f>_xlfn.XLOOKUP(B2330,Ingot!$H$12:$H$119,Ingot!$G$12:$G$119,"")</f>
        <v>Metal</v>
      </c>
      <c r="B2330" t="s">
        <v>4555</v>
      </c>
      <c r="C2330" t="s">
        <v>10</v>
      </c>
      <c r="D2330" t="s">
        <v>4690</v>
      </c>
      <c r="E2330" t="s">
        <v>4691</v>
      </c>
    </row>
    <row r="2331" spans="1:7" ht="14.25" hidden="1" customHeight="1" x14ac:dyDescent="0.45">
      <c r="A2331" t="str">
        <f>_xlfn.XLOOKUP(B2331,Ingot!$H$12:$H$119,Ingot!$G$12:$G$119,"")</f>
        <v>Metal</v>
      </c>
      <c r="B2331" t="s">
        <v>4555</v>
      </c>
      <c r="C2331" t="s">
        <v>10</v>
      </c>
      <c r="D2331" t="s">
        <v>4692</v>
      </c>
      <c r="E2331" t="s">
        <v>4693</v>
      </c>
      <c r="G2331" s="1">
        <v>3.56</v>
      </c>
    </row>
    <row r="2332" spans="1:7" ht="14.25" hidden="1" customHeight="1" x14ac:dyDescent="0.45">
      <c r="A2332" t="str">
        <f>_xlfn.XLOOKUP(B2332,Ingot!$H$12:$H$119,Ingot!$G$12:$G$119,"")</f>
        <v>Metal</v>
      </c>
      <c r="B2332" t="s">
        <v>4555</v>
      </c>
      <c r="C2332" t="s">
        <v>10</v>
      </c>
      <c r="D2332" t="s">
        <v>4694</v>
      </c>
      <c r="E2332" t="s">
        <v>4695</v>
      </c>
      <c r="G2332" s="1">
        <v>8.91</v>
      </c>
    </row>
    <row r="2333" spans="1:7" ht="14.25" hidden="1" customHeight="1" x14ac:dyDescent="0.45">
      <c r="A2333" t="str">
        <f>_xlfn.XLOOKUP(B2333,Ingot!$H$12:$H$119,Ingot!$G$12:$G$119,"")</f>
        <v>Metal</v>
      </c>
      <c r="B2333" t="s">
        <v>4555</v>
      </c>
      <c r="C2333" t="s">
        <v>10</v>
      </c>
      <c r="D2333" t="s">
        <v>4696</v>
      </c>
      <c r="E2333" t="s">
        <v>4697</v>
      </c>
      <c r="G2333" s="1">
        <v>11.02</v>
      </c>
    </row>
    <row r="2334" spans="1:7" ht="14.25" hidden="1" customHeight="1" x14ac:dyDescent="0.45">
      <c r="A2334" t="str">
        <f>_xlfn.XLOOKUP(B2334,Ingot!$H$12:$H$119,Ingot!$G$12:$G$119,"")</f>
        <v>Metal</v>
      </c>
      <c r="B2334" t="s">
        <v>4555</v>
      </c>
      <c r="C2334" t="s">
        <v>10</v>
      </c>
      <c r="D2334" t="s">
        <v>4698</v>
      </c>
      <c r="E2334" t="s">
        <v>4699</v>
      </c>
      <c r="G2334" s="1">
        <v>5.12</v>
      </c>
    </row>
    <row r="2335" spans="1:7" ht="14.25" hidden="1" customHeight="1" x14ac:dyDescent="0.45">
      <c r="A2335" t="str">
        <f>_xlfn.XLOOKUP(B2335,Ingot!$H$12:$H$119,Ingot!$G$12:$G$119,"")</f>
        <v>Metal</v>
      </c>
      <c r="B2335" t="s">
        <v>4555</v>
      </c>
      <c r="C2335" t="s">
        <v>10</v>
      </c>
      <c r="D2335" t="s">
        <v>4700</v>
      </c>
      <c r="E2335" t="s">
        <v>4701</v>
      </c>
      <c r="G2335" s="1">
        <v>4.41</v>
      </c>
    </row>
    <row r="2336" spans="1:7" ht="14.25" hidden="1" customHeight="1" x14ac:dyDescent="0.45">
      <c r="A2336" t="str">
        <f>_xlfn.XLOOKUP(B2336,Ingot!$H$12:$H$119,Ingot!$G$12:$G$119,"")</f>
        <v>Metal</v>
      </c>
      <c r="B2336" t="s">
        <v>4555</v>
      </c>
      <c r="C2336" t="s">
        <v>157</v>
      </c>
      <c r="D2336" t="s">
        <v>4702</v>
      </c>
      <c r="E2336" t="s">
        <v>4703</v>
      </c>
      <c r="G2336" s="1">
        <v>35</v>
      </c>
    </row>
    <row r="2337" spans="1:7" ht="14.25" hidden="1" customHeight="1" x14ac:dyDescent="0.45">
      <c r="A2337" t="str">
        <f>_xlfn.XLOOKUP(B2337,Ingot!$H$12:$H$119,Ingot!$G$12:$G$119,"")</f>
        <v>Metal</v>
      </c>
      <c r="B2337" t="s">
        <v>4555</v>
      </c>
      <c r="C2337" t="s">
        <v>157</v>
      </c>
      <c r="D2337" t="s">
        <v>4704</v>
      </c>
      <c r="E2337" t="s">
        <v>4705</v>
      </c>
      <c r="G2337" s="1">
        <v>7</v>
      </c>
    </row>
    <row r="2338" spans="1:7" ht="14.25" hidden="1" customHeight="1" x14ac:dyDescent="0.45">
      <c r="A2338" t="str">
        <f>_xlfn.XLOOKUP(B2338,Ingot!$H$12:$H$119,Ingot!$G$12:$G$119,"")</f>
        <v>Metal</v>
      </c>
      <c r="B2338" t="s">
        <v>4555</v>
      </c>
      <c r="C2338" t="s">
        <v>157</v>
      </c>
      <c r="D2338" t="s">
        <v>4706</v>
      </c>
      <c r="E2338" t="s">
        <v>4707</v>
      </c>
      <c r="G2338" s="1">
        <v>7</v>
      </c>
    </row>
    <row r="2339" spans="1:7" ht="14.25" hidden="1" customHeight="1" x14ac:dyDescent="0.45">
      <c r="A2339" t="str">
        <f>_xlfn.XLOOKUP(B2339,Ingot!$H$12:$H$119,Ingot!$G$12:$G$119,"")</f>
        <v>Metal</v>
      </c>
      <c r="B2339" t="s">
        <v>4555</v>
      </c>
      <c r="C2339" t="s">
        <v>157</v>
      </c>
      <c r="D2339" t="s">
        <v>4708</v>
      </c>
      <c r="E2339" t="s">
        <v>4709</v>
      </c>
      <c r="G2339" s="1">
        <v>5</v>
      </c>
    </row>
    <row r="2340" spans="1:7" ht="14.25" hidden="1" customHeight="1" x14ac:dyDescent="0.45">
      <c r="A2340" t="str">
        <f>_xlfn.XLOOKUP(B2340,Ingot!$H$12:$H$119,Ingot!$G$12:$G$119,"")</f>
        <v>Metal</v>
      </c>
      <c r="B2340" t="s">
        <v>4555</v>
      </c>
      <c r="C2340" t="s">
        <v>157</v>
      </c>
      <c r="D2340" t="s">
        <v>4710</v>
      </c>
      <c r="E2340" t="s">
        <v>4711</v>
      </c>
      <c r="G2340" s="1">
        <v>10</v>
      </c>
    </row>
    <row r="2341" spans="1:7" ht="14.25" hidden="1" customHeight="1" x14ac:dyDescent="0.45">
      <c r="A2341" t="str">
        <f>_xlfn.XLOOKUP(B2341,Ingot!$H$12:$H$119,Ingot!$G$12:$G$119,"")</f>
        <v>Metal</v>
      </c>
      <c r="B2341" t="s">
        <v>4555</v>
      </c>
      <c r="C2341" t="s">
        <v>157</v>
      </c>
      <c r="D2341" t="s">
        <v>4712</v>
      </c>
      <c r="E2341" t="s">
        <v>4713</v>
      </c>
      <c r="G2341" s="1">
        <v>29.5</v>
      </c>
    </row>
    <row r="2342" spans="1:7" ht="14.25" hidden="1" customHeight="1" x14ac:dyDescent="0.45">
      <c r="A2342" t="str">
        <f>_xlfn.XLOOKUP(B2342,Ingot!$H$12:$H$119,Ingot!$G$12:$G$119,"")</f>
        <v>Metal</v>
      </c>
      <c r="B2342" t="s">
        <v>4555</v>
      </c>
      <c r="C2342" t="s">
        <v>157</v>
      </c>
      <c r="D2342" t="s">
        <v>4714</v>
      </c>
      <c r="E2342" t="s">
        <v>4715</v>
      </c>
      <c r="G2342" s="1">
        <v>5.9</v>
      </c>
    </row>
    <row r="2343" spans="1:7" ht="14.25" hidden="1" customHeight="1" x14ac:dyDescent="0.45">
      <c r="A2343" t="str">
        <f>_xlfn.XLOOKUP(B2343,Ingot!$H$12:$H$119,Ingot!$G$12:$G$119,"")</f>
        <v>Metal</v>
      </c>
      <c r="B2343" t="s">
        <v>4555</v>
      </c>
      <c r="C2343" t="s">
        <v>157</v>
      </c>
      <c r="D2343" t="s">
        <v>4716</v>
      </c>
      <c r="E2343" t="s">
        <v>4717</v>
      </c>
      <c r="G2343" s="1">
        <v>5.9</v>
      </c>
    </row>
    <row r="2344" spans="1:7" ht="14.25" hidden="1" customHeight="1" x14ac:dyDescent="0.45">
      <c r="A2344" t="str">
        <f>_xlfn.XLOOKUP(B2344,Ingot!$H$12:$H$119,Ingot!$G$12:$G$119,"")</f>
        <v>Metal</v>
      </c>
      <c r="B2344" t="s">
        <v>4555</v>
      </c>
      <c r="C2344" t="s">
        <v>157</v>
      </c>
      <c r="D2344" t="s">
        <v>4718</v>
      </c>
      <c r="E2344" t="s">
        <v>4719</v>
      </c>
      <c r="G2344" s="1">
        <v>5</v>
      </c>
    </row>
    <row r="2345" spans="1:7" ht="14.25" hidden="1" customHeight="1" x14ac:dyDescent="0.45">
      <c r="A2345" t="str">
        <f>_xlfn.XLOOKUP(B2345,Ingot!$H$12:$H$119,Ingot!$G$12:$G$119,"")</f>
        <v>Metal</v>
      </c>
      <c r="B2345" t="s">
        <v>4555</v>
      </c>
      <c r="C2345" t="s">
        <v>157</v>
      </c>
      <c r="D2345" t="s">
        <v>4720</v>
      </c>
      <c r="E2345" t="s">
        <v>4721</v>
      </c>
      <c r="G2345" s="1">
        <v>10</v>
      </c>
    </row>
    <row r="2346" spans="1:7" ht="14.25" hidden="1" customHeight="1" x14ac:dyDescent="0.45">
      <c r="A2346" t="str">
        <f>_xlfn.XLOOKUP(B2346,Ingot!$H$12:$H$119,Ingot!$G$12:$G$119,"")</f>
        <v>Metal</v>
      </c>
      <c r="B2346" t="s">
        <v>4555</v>
      </c>
      <c r="C2346" t="s">
        <v>157</v>
      </c>
      <c r="D2346" t="s">
        <v>4722</v>
      </c>
      <c r="E2346" t="s">
        <v>4723</v>
      </c>
      <c r="G2346" s="1">
        <v>28.5</v>
      </c>
    </row>
    <row r="2347" spans="1:7" ht="14.25" hidden="1" customHeight="1" x14ac:dyDescent="0.45">
      <c r="A2347" t="str">
        <f>_xlfn.XLOOKUP(B2347,Ingot!$H$12:$H$119,Ingot!$G$12:$G$119,"")</f>
        <v>Metal</v>
      </c>
      <c r="B2347" t="s">
        <v>4555</v>
      </c>
      <c r="C2347" t="s">
        <v>157</v>
      </c>
      <c r="D2347" t="s">
        <v>4724</v>
      </c>
      <c r="E2347" t="s">
        <v>4725</v>
      </c>
      <c r="G2347" s="1">
        <v>5.7</v>
      </c>
    </row>
    <row r="2348" spans="1:7" ht="14.25" hidden="1" customHeight="1" x14ac:dyDescent="0.45">
      <c r="A2348" t="str">
        <f>_xlfn.XLOOKUP(B2348,Ingot!$H$12:$H$119,Ingot!$G$12:$G$119,"")</f>
        <v>Metal</v>
      </c>
      <c r="B2348" t="s">
        <v>4555</v>
      </c>
      <c r="C2348" t="s">
        <v>157</v>
      </c>
      <c r="D2348" t="s">
        <v>4726</v>
      </c>
      <c r="E2348" t="s">
        <v>4727</v>
      </c>
      <c r="G2348" s="1">
        <v>5.7</v>
      </c>
    </row>
    <row r="2349" spans="1:7" ht="14.25" hidden="1" customHeight="1" x14ac:dyDescent="0.45">
      <c r="A2349" t="str">
        <f>_xlfn.XLOOKUP(B2349,Ingot!$H$12:$H$119,Ingot!$G$12:$G$119,"")</f>
        <v>Metal</v>
      </c>
      <c r="B2349" t="s">
        <v>4555</v>
      </c>
      <c r="C2349" t="s">
        <v>157</v>
      </c>
      <c r="D2349" t="s">
        <v>4728</v>
      </c>
      <c r="E2349" t="s">
        <v>4729</v>
      </c>
      <c r="G2349" s="1">
        <v>5</v>
      </c>
    </row>
    <row r="2350" spans="1:7" ht="14.25" hidden="1" customHeight="1" x14ac:dyDescent="0.45">
      <c r="A2350" t="str">
        <f>_xlfn.XLOOKUP(B2350,Ingot!$H$12:$H$119,Ingot!$G$12:$G$119,"")</f>
        <v>Metal</v>
      </c>
      <c r="B2350" t="s">
        <v>4555</v>
      </c>
      <c r="C2350" t="s">
        <v>157</v>
      </c>
      <c r="D2350" t="s">
        <v>4730</v>
      </c>
      <c r="E2350" t="s">
        <v>4731</v>
      </c>
      <c r="G2350" s="1">
        <v>10</v>
      </c>
    </row>
    <row r="2351" spans="1:7" ht="14.25" hidden="1" customHeight="1" x14ac:dyDescent="0.45">
      <c r="A2351" t="str">
        <f>_xlfn.XLOOKUP(B2351,Ingot!$H$12:$H$119,Ingot!$G$12:$G$119,"")</f>
        <v>Metal</v>
      </c>
      <c r="B2351" t="s">
        <v>4555</v>
      </c>
      <c r="C2351" t="s">
        <v>157</v>
      </c>
      <c r="D2351" t="s">
        <v>4732</v>
      </c>
      <c r="E2351" t="s">
        <v>4733</v>
      </c>
      <c r="G2351" s="1">
        <v>31</v>
      </c>
    </row>
    <row r="2352" spans="1:7" ht="14.25" hidden="1" customHeight="1" x14ac:dyDescent="0.45">
      <c r="A2352" t="str">
        <f>_xlfn.XLOOKUP(B2352,Ingot!$H$12:$H$119,Ingot!$G$12:$G$119,"")</f>
        <v>Metal</v>
      </c>
      <c r="B2352" t="s">
        <v>4555</v>
      </c>
      <c r="C2352" t="s">
        <v>157</v>
      </c>
      <c r="D2352" t="s">
        <v>4734</v>
      </c>
      <c r="E2352" t="s">
        <v>4735</v>
      </c>
      <c r="G2352" s="1">
        <v>6.2</v>
      </c>
    </row>
    <row r="2353" spans="1:7" ht="14.25" hidden="1" customHeight="1" x14ac:dyDescent="0.45">
      <c r="A2353" t="str">
        <f>_xlfn.XLOOKUP(B2353,Ingot!$H$12:$H$119,Ingot!$G$12:$G$119,"")</f>
        <v>Metal</v>
      </c>
      <c r="B2353" t="s">
        <v>4555</v>
      </c>
      <c r="C2353" t="s">
        <v>157</v>
      </c>
      <c r="D2353" t="s">
        <v>4736</v>
      </c>
      <c r="E2353" t="s">
        <v>4737</v>
      </c>
      <c r="G2353" s="1">
        <v>6.2</v>
      </c>
    </row>
    <row r="2354" spans="1:7" ht="14.25" hidden="1" customHeight="1" x14ac:dyDescent="0.45">
      <c r="A2354" t="str">
        <f>_xlfn.XLOOKUP(B2354,Ingot!$H$12:$H$119,Ingot!$G$12:$G$119,"")</f>
        <v>Metal</v>
      </c>
      <c r="B2354" t="s">
        <v>4555</v>
      </c>
      <c r="C2354" t="s">
        <v>157</v>
      </c>
      <c r="D2354" t="s">
        <v>4738</v>
      </c>
      <c r="E2354" t="s">
        <v>4739</v>
      </c>
      <c r="G2354" s="1">
        <v>5</v>
      </c>
    </row>
    <row r="2355" spans="1:7" ht="14.25" hidden="1" customHeight="1" x14ac:dyDescent="0.45">
      <c r="A2355" t="str">
        <f>_xlfn.XLOOKUP(B2355,Ingot!$H$12:$H$119,Ingot!$G$12:$G$119,"")</f>
        <v>Metal</v>
      </c>
      <c r="B2355" t="s">
        <v>4555</v>
      </c>
      <c r="C2355" t="s">
        <v>157</v>
      </c>
      <c r="D2355" t="s">
        <v>4740</v>
      </c>
      <c r="E2355" t="s">
        <v>4741</v>
      </c>
      <c r="G2355" s="1">
        <v>10</v>
      </c>
    </row>
    <row r="2356" spans="1:7" ht="14.25" hidden="1" customHeight="1" x14ac:dyDescent="0.45">
      <c r="A2356" t="str">
        <f>_xlfn.XLOOKUP(B2356,Ingot!$H$12:$H$119,Ingot!$G$12:$G$119,"")</f>
        <v>Metal</v>
      </c>
      <c r="B2356" t="s">
        <v>4555</v>
      </c>
      <c r="C2356" t="s">
        <v>157</v>
      </c>
      <c r="D2356" t="s">
        <v>4742</v>
      </c>
      <c r="E2356" t="s">
        <v>4743</v>
      </c>
      <c r="G2356" s="1">
        <v>33</v>
      </c>
    </row>
    <row r="2357" spans="1:7" ht="14.25" hidden="1" customHeight="1" x14ac:dyDescent="0.45">
      <c r="A2357" t="str">
        <f>_xlfn.XLOOKUP(B2357,Ingot!$H$12:$H$119,Ingot!$G$12:$G$119,"")</f>
        <v>Metal</v>
      </c>
      <c r="B2357" t="s">
        <v>4555</v>
      </c>
      <c r="C2357" t="s">
        <v>157</v>
      </c>
      <c r="D2357" t="s">
        <v>4744</v>
      </c>
      <c r="E2357" t="s">
        <v>4745</v>
      </c>
      <c r="G2357" s="1">
        <v>6.6</v>
      </c>
    </row>
    <row r="2358" spans="1:7" ht="14.25" hidden="1" customHeight="1" x14ac:dyDescent="0.45">
      <c r="A2358" t="str">
        <f>_xlfn.XLOOKUP(B2358,Ingot!$H$12:$H$119,Ingot!$G$12:$G$119,"")</f>
        <v>Metal</v>
      </c>
      <c r="B2358" t="s">
        <v>4555</v>
      </c>
      <c r="C2358" t="s">
        <v>157</v>
      </c>
      <c r="D2358" t="s">
        <v>4746</v>
      </c>
      <c r="E2358" t="s">
        <v>4747</v>
      </c>
      <c r="G2358" s="1">
        <v>6.6</v>
      </c>
    </row>
    <row r="2359" spans="1:7" ht="14.25" hidden="1" customHeight="1" x14ac:dyDescent="0.45">
      <c r="A2359" t="str">
        <f>_xlfn.XLOOKUP(B2359,Ingot!$H$12:$H$119,Ingot!$G$12:$G$119,"")</f>
        <v>Metal</v>
      </c>
      <c r="B2359" t="s">
        <v>4555</v>
      </c>
      <c r="C2359" t="s">
        <v>157</v>
      </c>
      <c r="D2359" t="s">
        <v>4748</v>
      </c>
      <c r="E2359" t="s">
        <v>4749</v>
      </c>
      <c r="G2359" s="1">
        <v>5</v>
      </c>
    </row>
    <row r="2360" spans="1:7" ht="14.25" hidden="1" customHeight="1" x14ac:dyDescent="0.45">
      <c r="A2360" t="str">
        <f>_xlfn.XLOOKUP(B2360,Ingot!$H$12:$H$119,Ingot!$G$12:$G$119,"")</f>
        <v>Metal</v>
      </c>
      <c r="B2360" t="s">
        <v>4555</v>
      </c>
      <c r="C2360" t="s">
        <v>157</v>
      </c>
      <c r="D2360" t="s">
        <v>4750</v>
      </c>
      <c r="E2360" t="s">
        <v>4751</v>
      </c>
      <c r="G2360" s="1">
        <v>10</v>
      </c>
    </row>
    <row r="2361" spans="1:7" ht="14.25" hidden="1" customHeight="1" x14ac:dyDescent="0.45">
      <c r="A2361" t="str">
        <f>_xlfn.XLOOKUP(B2361,Ingot!$H$12:$H$119,Ingot!$G$12:$G$119,"")</f>
        <v>Metal</v>
      </c>
      <c r="B2361" t="s">
        <v>4555</v>
      </c>
      <c r="C2361" t="s">
        <v>157</v>
      </c>
      <c r="D2361" t="s">
        <v>4752</v>
      </c>
      <c r="E2361" t="s">
        <v>4753</v>
      </c>
      <c r="G2361" s="1">
        <v>38</v>
      </c>
    </row>
    <row r="2362" spans="1:7" ht="14.25" hidden="1" customHeight="1" x14ac:dyDescent="0.45">
      <c r="A2362" t="str">
        <f>_xlfn.XLOOKUP(B2362,Ingot!$H$12:$H$119,Ingot!$G$12:$G$119,"")</f>
        <v>Metal</v>
      </c>
      <c r="B2362" t="s">
        <v>4555</v>
      </c>
      <c r="C2362" t="s">
        <v>157</v>
      </c>
      <c r="D2362" t="s">
        <v>4754</v>
      </c>
      <c r="E2362" t="s">
        <v>4755</v>
      </c>
      <c r="G2362" s="1">
        <v>7.6</v>
      </c>
    </row>
    <row r="2363" spans="1:7" ht="14.25" hidden="1" customHeight="1" x14ac:dyDescent="0.45">
      <c r="A2363" t="str">
        <f>_xlfn.XLOOKUP(B2363,Ingot!$H$12:$H$119,Ingot!$G$12:$G$119,"")</f>
        <v>Metal</v>
      </c>
      <c r="B2363" t="s">
        <v>4555</v>
      </c>
      <c r="C2363" t="s">
        <v>157</v>
      </c>
      <c r="D2363" t="s">
        <v>4756</v>
      </c>
      <c r="E2363" t="s">
        <v>4757</v>
      </c>
      <c r="G2363" s="1">
        <v>7.6</v>
      </c>
    </row>
    <row r="2364" spans="1:7" ht="14.25" hidden="1" customHeight="1" x14ac:dyDescent="0.45">
      <c r="A2364" t="str">
        <f>_xlfn.XLOOKUP(B2364,Ingot!$H$12:$H$119,Ingot!$G$12:$G$119,"")</f>
        <v>Metal</v>
      </c>
      <c r="B2364" t="s">
        <v>4555</v>
      </c>
      <c r="C2364" t="s">
        <v>157</v>
      </c>
      <c r="D2364" t="s">
        <v>4758</v>
      </c>
      <c r="E2364" t="s">
        <v>4759</v>
      </c>
      <c r="G2364" s="1">
        <v>5</v>
      </c>
    </row>
    <row r="2365" spans="1:7" ht="14.25" hidden="1" customHeight="1" x14ac:dyDescent="0.45">
      <c r="A2365" t="str">
        <f>_xlfn.XLOOKUP(B2365,Ingot!$H$12:$H$119,Ingot!$G$12:$G$119,"")</f>
        <v>Metal</v>
      </c>
      <c r="B2365" t="s">
        <v>4555</v>
      </c>
      <c r="C2365" t="s">
        <v>157</v>
      </c>
      <c r="D2365" t="s">
        <v>4760</v>
      </c>
      <c r="E2365" t="s">
        <v>4761</v>
      </c>
      <c r="G2365" s="1">
        <v>10</v>
      </c>
    </row>
    <row r="2366" spans="1:7" ht="14.25" hidden="1" customHeight="1" x14ac:dyDescent="0.45">
      <c r="A2366" t="str">
        <f>_xlfn.XLOOKUP(B2366,Ingot!$H$12:$H$119,Ingot!$G$12:$G$119,"")</f>
        <v>Metal</v>
      </c>
      <c r="B2366" t="s">
        <v>4555</v>
      </c>
      <c r="C2366" t="s">
        <v>157</v>
      </c>
      <c r="D2366" t="s">
        <v>4762</v>
      </c>
      <c r="E2366" t="s">
        <v>4763</v>
      </c>
      <c r="G2366" s="1">
        <v>37.5</v>
      </c>
    </row>
    <row r="2367" spans="1:7" ht="14.25" hidden="1" customHeight="1" x14ac:dyDescent="0.45">
      <c r="A2367" t="str">
        <f>_xlfn.XLOOKUP(B2367,Ingot!$H$12:$H$119,Ingot!$G$12:$G$119,"")</f>
        <v>Metal</v>
      </c>
      <c r="B2367" t="s">
        <v>4555</v>
      </c>
      <c r="C2367" t="s">
        <v>157</v>
      </c>
      <c r="D2367" t="s">
        <v>4764</v>
      </c>
      <c r="E2367" t="s">
        <v>4765</v>
      </c>
      <c r="G2367" s="1">
        <v>7.5</v>
      </c>
    </row>
    <row r="2368" spans="1:7" ht="14.25" hidden="1" customHeight="1" x14ac:dyDescent="0.45">
      <c r="A2368" t="str">
        <f>_xlfn.XLOOKUP(B2368,Ingot!$H$12:$H$119,Ingot!$G$12:$G$119,"")</f>
        <v>Metal</v>
      </c>
      <c r="B2368" t="s">
        <v>4555</v>
      </c>
      <c r="C2368" t="s">
        <v>157</v>
      </c>
      <c r="D2368" t="s">
        <v>4766</v>
      </c>
      <c r="E2368" t="s">
        <v>4767</v>
      </c>
      <c r="G2368" s="1">
        <v>7.5</v>
      </c>
    </row>
    <row r="2369" spans="1:7" ht="14.25" hidden="1" customHeight="1" x14ac:dyDescent="0.45">
      <c r="A2369" t="str">
        <f>_xlfn.XLOOKUP(B2369,Ingot!$H$12:$H$119,Ingot!$G$12:$G$119,"")</f>
        <v>Metal</v>
      </c>
      <c r="B2369" t="s">
        <v>4555</v>
      </c>
      <c r="C2369" t="s">
        <v>157</v>
      </c>
      <c r="D2369" t="s">
        <v>4768</v>
      </c>
      <c r="E2369" t="s">
        <v>4769</v>
      </c>
      <c r="G2369" s="1">
        <v>5</v>
      </c>
    </row>
    <row r="2370" spans="1:7" ht="14.25" hidden="1" customHeight="1" x14ac:dyDescent="0.45">
      <c r="A2370" t="str">
        <f>_xlfn.XLOOKUP(B2370,Ingot!$H$12:$H$119,Ingot!$G$12:$G$119,"")</f>
        <v>Metal</v>
      </c>
      <c r="B2370" t="s">
        <v>4555</v>
      </c>
      <c r="C2370" t="s">
        <v>157</v>
      </c>
      <c r="D2370" t="s">
        <v>4770</v>
      </c>
      <c r="E2370" t="s">
        <v>4771</v>
      </c>
      <c r="G2370" s="1">
        <v>10</v>
      </c>
    </row>
    <row r="2371" spans="1:7" ht="14.25" hidden="1" customHeight="1" x14ac:dyDescent="0.45">
      <c r="A2371" t="str">
        <f>_xlfn.XLOOKUP(B2371,Ingot!$H$12:$H$119,Ingot!$G$12:$G$119,"")</f>
        <v>Metal</v>
      </c>
      <c r="B2371" t="s">
        <v>4555</v>
      </c>
      <c r="C2371" t="s">
        <v>157</v>
      </c>
      <c r="D2371" t="s">
        <v>4772</v>
      </c>
      <c r="E2371" t="s">
        <v>4773</v>
      </c>
      <c r="G2371" s="1">
        <v>27</v>
      </c>
    </row>
    <row r="2372" spans="1:7" ht="14.25" hidden="1" customHeight="1" x14ac:dyDescent="0.45">
      <c r="A2372" t="str">
        <f>_xlfn.XLOOKUP(B2372,Ingot!$H$12:$H$119,Ingot!$G$12:$G$119,"")</f>
        <v>Metal</v>
      </c>
      <c r="B2372" t="s">
        <v>4555</v>
      </c>
      <c r="C2372" t="s">
        <v>157</v>
      </c>
      <c r="D2372" t="s">
        <v>4774</v>
      </c>
      <c r="E2372" t="s">
        <v>4775</v>
      </c>
      <c r="G2372" s="1">
        <v>5.4</v>
      </c>
    </row>
    <row r="2373" spans="1:7" ht="14.25" hidden="1" customHeight="1" x14ac:dyDescent="0.45">
      <c r="A2373" t="str">
        <f>_xlfn.XLOOKUP(B2373,Ingot!$H$12:$H$119,Ingot!$G$12:$G$119,"")</f>
        <v>Metal</v>
      </c>
      <c r="B2373" t="s">
        <v>4555</v>
      </c>
      <c r="C2373" t="s">
        <v>157</v>
      </c>
      <c r="D2373" t="s">
        <v>4776</v>
      </c>
      <c r="E2373" t="s">
        <v>4777</v>
      </c>
      <c r="G2373" s="1">
        <v>5.4</v>
      </c>
    </row>
    <row r="2374" spans="1:7" ht="14.25" hidden="1" customHeight="1" x14ac:dyDescent="0.45">
      <c r="A2374" t="str">
        <f>_xlfn.XLOOKUP(B2374,Ingot!$H$12:$H$119,Ingot!$G$12:$G$119,"")</f>
        <v>Metal</v>
      </c>
      <c r="B2374" t="s">
        <v>4555</v>
      </c>
      <c r="C2374" t="s">
        <v>157</v>
      </c>
      <c r="D2374" t="s">
        <v>4778</v>
      </c>
      <c r="E2374" t="s">
        <v>4779</v>
      </c>
      <c r="G2374" s="1">
        <v>5</v>
      </c>
    </row>
    <row r="2375" spans="1:7" ht="14.25" hidden="1" customHeight="1" x14ac:dyDescent="0.45">
      <c r="A2375" t="str">
        <f>_xlfn.XLOOKUP(B2375,Ingot!$H$12:$H$119,Ingot!$G$12:$G$119,"")</f>
        <v>Metal</v>
      </c>
      <c r="B2375" t="s">
        <v>4555</v>
      </c>
      <c r="C2375" t="s">
        <v>157</v>
      </c>
      <c r="D2375" t="s">
        <v>4780</v>
      </c>
      <c r="E2375" t="s">
        <v>4781</v>
      </c>
      <c r="G2375" s="1">
        <v>10</v>
      </c>
    </row>
    <row r="2376" spans="1:7" ht="14.25" hidden="1" customHeight="1" x14ac:dyDescent="0.45">
      <c r="A2376" t="str">
        <f>_xlfn.XLOOKUP(B2376,Ingot!$H$12:$H$119,Ingot!$G$12:$G$119,"")</f>
        <v>Metal</v>
      </c>
      <c r="B2376" t="s">
        <v>4555</v>
      </c>
      <c r="C2376" t="s">
        <v>239</v>
      </c>
      <c r="D2376" t="s">
        <v>4782</v>
      </c>
      <c r="E2376" t="s">
        <v>4783</v>
      </c>
    </row>
    <row r="2377" spans="1:7" ht="14.25" hidden="1" customHeight="1" x14ac:dyDescent="0.45">
      <c r="A2377" t="str">
        <f>_xlfn.XLOOKUP(B2377,Ingot!$H$12:$H$119,Ingot!$G$12:$G$119,"")</f>
        <v>Metal</v>
      </c>
      <c r="B2377" t="s">
        <v>4555</v>
      </c>
      <c r="C2377" t="s">
        <v>239</v>
      </c>
      <c r="D2377" t="s">
        <v>4784</v>
      </c>
      <c r="E2377" t="s">
        <v>4785</v>
      </c>
    </row>
    <row r="2378" spans="1:7" ht="14.25" hidden="1" customHeight="1" x14ac:dyDescent="0.45">
      <c r="A2378" t="str">
        <f>_xlfn.XLOOKUP(B2378,Ingot!$H$12:$H$119,Ingot!$G$12:$G$119,"")</f>
        <v>Metal</v>
      </c>
      <c r="B2378" t="s">
        <v>4555</v>
      </c>
      <c r="C2378" t="s">
        <v>239</v>
      </c>
      <c r="D2378" t="s">
        <v>4786</v>
      </c>
      <c r="E2378" t="s">
        <v>4787</v>
      </c>
    </row>
    <row r="2379" spans="1:7" ht="14.25" hidden="1" customHeight="1" x14ac:dyDescent="0.45">
      <c r="A2379" t="str">
        <f>_xlfn.XLOOKUP(B2379,Ingot!$H$12:$H$119,Ingot!$G$12:$G$119,"")</f>
        <v>Metal</v>
      </c>
      <c r="B2379" t="s">
        <v>4555</v>
      </c>
      <c r="C2379" t="s">
        <v>239</v>
      </c>
      <c r="D2379" t="s">
        <v>4788</v>
      </c>
      <c r="E2379" t="s">
        <v>4789</v>
      </c>
    </row>
    <row r="2380" spans="1:7" ht="14.25" hidden="1" customHeight="1" x14ac:dyDescent="0.45">
      <c r="A2380" t="str">
        <f>_xlfn.XLOOKUP(B2380,Ingot!$H$12:$H$119,Ingot!$G$12:$G$119,"")</f>
        <v>Metal</v>
      </c>
      <c r="B2380" t="s">
        <v>4555</v>
      </c>
      <c r="C2380" t="s">
        <v>239</v>
      </c>
      <c r="D2380" t="s">
        <v>4790</v>
      </c>
      <c r="E2380" t="s">
        <v>4791</v>
      </c>
    </row>
    <row r="2381" spans="1:7" ht="14.25" hidden="1" customHeight="1" x14ac:dyDescent="0.45">
      <c r="A2381" t="str">
        <f>_xlfn.XLOOKUP(B2381,Ingot!$H$12:$H$119,Ingot!$G$12:$G$119,"")</f>
        <v>Metal</v>
      </c>
      <c r="B2381" t="s">
        <v>4555</v>
      </c>
      <c r="C2381" t="s">
        <v>239</v>
      </c>
      <c r="D2381" t="s">
        <v>4792</v>
      </c>
      <c r="E2381" t="s">
        <v>4793</v>
      </c>
    </row>
    <row r="2382" spans="1:7" ht="14.25" hidden="1" customHeight="1" x14ac:dyDescent="0.45">
      <c r="A2382" t="str">
        <f>_xlfn.XLOOKUP(B2382,Ingot!$H$12:$H$119,Ingot!$G$12:$G$119,"")</f>
        <v>Metal</v>
      </c>
      <c r="B2382" t="s">
        <v>4794</v>
      </c>
      <c r="C2382" t="s">
        <v>10</v>
      </c>
      <c r="D2382" t="s">
        <v>4795</v>
      </c>
      <c r="E2382" t="s">
        <v>4796</v>
      </c>
      <c r="G2382" s="1">
        <v>0.08</v>
      </c>
    </row>
    <row r="2383" spans="1:7" ht="14.25" hidden="1" customHeight="1" x14ac:dyDescent="0.45">
      <c r="A2383" t="str">
        <f>_xlfn.XLOOKUP(B2383,Ingot!$H$12:$H$119,Ingot!$G$12:$G$119,"")</f>
        <v>Metal</v>
      </c>
      <c r="B2383" t="s">
        <v>4794</v>
      </c>
      <c r="C2383" t="s">
        <v>10</v>
      </c>
      <c r="D2383" t="s">
        <v>4797</v>
      </c>
      <c r="E2383" t="s">
        <v>4798</v>
      </c>
      <c r="G2383" s="1">
        <v>9.9</v>
      </c>
    </row>
    <row r="2384" spans="1:7" ht="14.25" hidden="1" customHeight="1" x14ac:dyDescent="0.45">
      <c r="A2384" t="str">
        <f>_xlfn.XLOOKUP(B2384,Ingot!$H$12:$H$119,Ingot!$G$12:$G$119,"")</f>
        <v>Metal</v>
      </c>
      <c r="B2384" t="s">
        <v>4794</v>
      </c>
      <c r="C2384" t="s">
        <v>10</v>
      </c>
      <c r="D2384" t="s">
        <v>4799</v>
      </c>
      <c r="E2384" t="s">
        <v>4800</v>
      </c>
      <c r="G2384" s="1">
        <v>5.66</v>
      </c>
    </row>
    <row r="2385" spans="1:7" ht="14.25" hidden="1" customHeight="1" x14ac:dyDescent="0.45">
      <c r="A2385" t="str">
        <f>_xlfn.XLOOKUP(B2385,Ingot!$H$12:$H$119,Ingot!$G$12:$G$119,"")</f>
        <v>Metal</v>
      </c>
      <c r="B2385" t="s">
        <v>4794</v>
      </c>
      <c r="C2385" t="s">
        <v>10</v>
      </c>
      <c r="D2385" t="s">
        <v>4801</v>
      </c>
      <c r="E2385" t="s">
        <v>4802</v>
      </c>
      <c r="G2385" s="1">
        <v>3.3</v>
      </c>
    </row>
    <row r="2386" spans="1:7" ht="14.25" hidden="1" customHeight="1" x14ac:dyDescent="0.45">
      <c r="A2386" t="str">
        <f>_xlfn.XLOOKUP(B2386,Ingot!$H$12:$H$119,Ingot!$G$12:$G$119,"")</f>
        <v>Metal</v>
      </c>
      <c r="B2386" t="s">
        <v>4794</v>
      </c>
      <c r="C2386" t="s">
        <v>10</v>
      </c>
      <c r="D2386" t="s">
        <v>4803</v>
      </c>
      <c r="E2386" t="s">
        <v>4804</v>
      </c>
      <c r="G2386" s="1">
        <v>0.66</v>
      </c>
    </row>
    <row r="2387" spans="1:7" ht="14.25" hidden="1" customHeight="1" x14ac:dyDescent="0.45">
      <c r="A2387" t="str">
        <f>_xlfn.XLOOKUP(B2387,Ingot!$H$12:$H$119,Ingot!$G$12:$G$119,"")</f>
        <v>Metal</v>
      </c>
      <c r="B2387" t="s">
        <v>4794</v>
      </c>
      <c r="C2387" t="s">
        <v>10</v>
      </c>
      <c r="D2387" t="s">
        <v>4805</v>
      </c>
      <c r="E2387" t="s">
        <v>4806</v>
      </c>
      <c r="G2387" s="1">
        <v>0.04</v>
      </c>
    </row>
    <row r="2388" spans="1:7" ht="14.25" hidden="1" customHeight="1" x14ac:dyDescent="0.45">
      <c r="A2388" t="str">
        <f>_xlfn.XLOOKUP(B2388,Ingot!$H$12:$H$119,Ingot!$G$12:$G$119,"")</f>
        <v>Metal</v>
      </c>
      <c r="B2388" t="s">
        <v>4794</v>
      </c>
      <c r="C2388" t="s">
        <v>10</v>
      </c>
      <c r="D2388" t="s">
        <v>4807</v>
      </c>
      <c r="E2388" t="s">
        <v>4808</v>
      </c>
      <c r="G2388" s="1">
        <v>0.33</v>
      </c>
    </row>
    <row r="2389" spans="1:7" ht="14.25" hidden="1" customHeight="1" x14ac:dyDescent="0.45">
      <c r="A2389" t="str">
        <f>_xlfn.XLOOKUP(B2389,Ingot!$H$12:$H$119,Ingot!$G$12:$G$119,"")</f>
        <v>Metal</v>
      </c>
      <c r="B2389" t="s">
        <v>4794</v>
      </c>
      <c r="C2389" t="s">
        <v>10</v>
      </c>
      <c r="D2389" t="s">
        <v>4809</v>
      </c>
      <c r="E2389" t="s">
        <v>4810</v>
      </c>
    </row>
    <row r="2390" spans="1:7" ht="14.25" hidden="1" customHeight="1" x14ac:dyDescent="0.45">
      <c r="A2390" t="str">
        <f>_xlfn.XLOOKUP(B2390,Ingot!$H$12:$H$119,Ingot!$G$12:$G$119,"")</f>
        <v>Metal</v>
      </c>
      <c r="B2390" t="s">
        <v>4794</v>
      </c>
      <c r="C2390" t="s">
        <v>10</v>
      </c>
      <c r="D2390" t="s">
        <v>4811</v>
      </c>
      <c r="E2390" t="s">
        <v>4812</v>
      </c>
      <c r="G2390" s="1">
        <v>0.05</v>
      </c>
    </row>
    <row r="2391" spans="1:7" ht="14.25" hidden="1" customHeight="1" x14ac:dyDescent="0.45">
      <c r="A2391" t="str">
        <f>_xlfn.XLOOKUP(B2391,Ingot!$H$12:$H$119,Ingot!$G$12:$G$119,"")</f>
        <v>Metal</v>
      </c>
      <c r="B2391" t="s">
        <v>4794</v>
      </c>
      <c r="C2391" t="s">
        <v>10</v>
      </c>
      <c r="D2391" t="s">
        <v>4813</v>
      </c>
      <c r="E2391" t="s">
        <v>4814</v>
      </c>
      <c r="G2391" s="1">
        <v>0.66</v>
      </c>
    </row>
    <row r="2392" spans="1:7" ht="14.25" hidden="1" customHeight="1" x14ac:dyDescent="0.45">
      <c r="A2392" t="str">
        <f>_xlfn.XLOOKUP(B2392,Ingot!$H$12:$H$119,Ingot!$G$12:$G$119,"")</f>
        <v>Metal</v>
      </c>
      <c r="B2392" t="s">
        <v>4794</v>
      </c>
      <c r="C2392" t="s">
        <v>10</v>
      </c>
      <c r="D2392" t="s">
        <v>4815</v>
      </c>
      <c r="E2392" t="s">
        <v>4816</v>
      </c>
      <c r="G2392" s="1">
        <v>3.96</v>
      </c>
    </row>
    <row r="2393" spans="1:7" ht="14.25" hidden="1" customHeight="1" x14ac:dyDescent="0.45">
      <c r="A2393" t="str">
        <f>_xlfn.XLOOKUP(B2393,Ingot!$H$12:$H$119,Ingot!$G$12:$G$119,"")</f>
        <v>Metal</v>
      </c>
      <c r="B2393" t="s">
        <v>4794</v>
      </c>
      <c r="C2393" t="s">
        <v>10</v>
      </c>
      <c r="D2393" t="s">
        <v>4817</v>
      </c>
      <c r="E2393" t="s">
        <v>4818</v>
      </c>
      <c r="G2393" s="1">
        <v>8.77</v>
      </c>
    </row>
    <row r="2394" spans="1:7" ht="14.25" hidden="1" customHeight="1" x14ac:dyDescent="0.45">
      <c r="A2394" t="str">
        <f>_xlfn.XLOOKUP(B2394,Ingot!$H$12:$H$119,Ingot!$G$12:$G$119,"")</f>
        <v>Metal</v>
      </c>
      <c r="B2394" t="s">
        <v>4794</v>
      </c>
      <c r="C2394" t="s">
        <v>10</v>
      </c>
      <c r="D2394" t="s">
        <v>4819</v>
      </c>
      <c r="E2394" t="s">
        <v>4820</v>
      </c>
      <c r="G2394" s="1">
        <v>3.5</v>
      </c>
    </row>
    <row r="2395" spans="1:7" ht="14.25" hidden="1" customHeight="1" x14ac:dyDescent="0.45">
      <c r="A2395" t="str">
        <f>_xlfn.XLOOKUP(B2395,Ingot!$H$12:$H$119,Ingot!$G$12:$G$119,"")</f>
        <v>Metal</v>
      </c>
      <c r="B2395" t="s">
        <v>4794</v>
      </c>
      <c r="C2395" t="s">
        <v>10</v>
      </c>
      <c r="D2395" t="s">
        <v>4821</v>
      </c>
      <c r="E2395" t="s">
        <v>4822</v>
      </c>
    </row>
    <row r="2396" spans="1:7" ht="14.25" hidden="1" customHeight="1" x14ac:dyDescent="0.45">
      <c r="A2396" t="str">
        <f>_xlfn.XLOOKUP(B2396,Ingot!$H$12:$H$119,Ingot!$G$12:$G$119,"")</f>
        <v>Metal</v>
      </c>
      <c r="B2396" t="s">
        <v>4794</v>
      </c>
      <c r="C2396" t="s">
        <v>10</v>
      </c>
      <c r="D2396" t="s">
        <v>4823</v>
      </c>
      <c r="E2396" t="s">
        <v>4824</v>
      </c>
      <c r="G2396" s="1">
        <v>2.2000000000000002</v>
      </c>
    </row>
    <row r="2397" spans="1:7" ht="14.25" hidden="1" customHeight="1" x14ac:dyDescent="0.45">
      <c r="A2397" t="str">
        <f>_xlfn.XLOOKUP(B2397,Ingot!$H$12:$H$119,Ingot!$G$12:$G$119,"")</f>
        <v>Metal</v>
      </c>
      <c r="B2397" t="s">
        <v>4794</v>
      </c>
      <c r="C2397" t="s">
        <v>10</v>
      </c>
      <c r="D2397" t="s">
        <v>4825</v>
      </c>
      <c r="E2397" t="s">
        <v>4826</v>
      </c>
      <c r="G2397" s="1">
        <v>1.1000000000000001</v>
      </c>
    </row>
    <row r="2398" spans="1:7" ht="14.25" hidden="1" customHeight="1" x14ac:dyDescent="0.45">
      <c r="A2398" t="str">
        <f>_xlfn.XLOOKUP(B2398,Ingot!$H$12:$H$119,Ingot!$G$12:$G$119,"")</f>
        <v>Metal</v>
      </c>
      <c r="B2398" t="s">
        <v>4794</v>
      </c>
      <c r="C2398" t="s">
        <v>10</v>
      </c>
      <c r="D2398" t="s">
        <v>4827</v>
      </c>
      <c r="E2398" t="s">
        <v>4828</v>
      </c>
      <c r="G2398" s="1">
        <v>0.22</v>
      </c>
    </row>
    <row r="2399" spans="1:7" ht="14.25" hidden="1" customHeight="1" x14ac:dyDescent="0.45">
      <c r="A2399" t="str">
        <f>_xlfn.XLOOKUP(B2399,Ingot!$H$12:$H$119,Ingot!$G$12:$G$119,"")</f>
        <v>Metal</v>
      </c>
      <c r="B2399" t="s">
        <v>4794</v>
      </c>
      <c r="C2399" t="s">
        <v>10</v>
      </c>
      <c r="D2399" t="s">
        <v>4829</v>
      </c>
      <c r="E2399" t="s">
        <v>4830</v>
      </c>
      <c r="G2399" s="1">
        <v>8.41</v>
      </c>
    </row>
    <row r="2400" spans="1:7" ht="14.25" hidden="1" customHeight="1" x14ac:dyDescent="0.45">
      <c r="A2400" t="str">
        <f>_xlfn.XLOOKUP(B2400,Ingot!$H$12:$H$119,Ingot!$G$12:$G$119,"")</f>
        <v>Metal</v>
      </c>
      <c r="B2400" t="s">
        <v>4794</v>
      </c>
      <c r="C2400" t="s">
        <v>10</v>
      </c>
      <c r="D2400" t="s">
        <v>4831</v>
      </c>
      <c r="E2400" t="s">
        <v>4832</v>
      </c>
      <c r="G2400" s="1">
        <v>3.64</v>
      </c>
    </row>
    <row r="2401" spans="1:7" ht="14.25" hidden="1" customHeight="1" x14ac:dyDescent="0.45">
      <c r="A2401" t="str">
        <f>_xlfn.XLOOKUP(B2401,Ingot!$H$12:$H$119,Ingot!$G$12:$G$119,"")</f>
        <v>Metal</v>
      </c>
      <c r="B2401" t="s">
        <v>4794</v>
      </c>
      <c r="C2401" t="s">
        <v>10</v>
      </c>
      <c r="D2401" t="s">
        <v>4833</v>
      </c>
      <c r="E2401" t="s">
        <v>4834</v>
      </c>
      <c r="G2401" s="1">
        <v>7.05</v>
      </c>
    </row>
    <row r="2402" spans="1:7" ht="14.25" hidden="1" customHeight="1" x14ac:dyDescent="0.45">
      <c r="A2402" t="str">
        <f>_xlfn.XLOOKUP(B2402,Ingot!$H$12:$H$119,Ingot!$G$12:$G$119,"")</f>
        <v>Metal</v>
      </c>
      <c r="B2402" t="s">
        <v>4794</v>
      </c>
      <c r="C2402" t="s">
        <v>10</v>
      </c>
      <c r="D2402" t="s">
        <v>4835</v>
      </c>
      <c r="E2402" t="s">
        <v>4836</v>
      </c>
      <c r="G2402" s="1">
        <v>2.65</v>
      </c>
    </row>
    <row r="2403" spans="1:7" ht="14.25" hidden="1" customHeight="1" x14ac:dyDescent="0.45">
      <c r="A2403" t="str">
        <f>_xlfn.XLOOKUP(B2403,Ingot!$H$12:$H$119,Ingot!$G$12:$G$119,"")</f>
        <v>Metal</v>
      </c>
      <c r="B2403" t="s">
        <v>4794</v>
      </c>
      <c r="C2403" t="s">
        <v>10</v>
      </c>
      <c r="D2403" t="s">
        <v>4837</v>
      </c>
      <c r="E2403" t="s">
        <v>4838</v>
      </c>
      <c r="G2403" s="1">
        <v>9</v>
      </c>
    </row>
    <row r="2404" spans="1:7" ht="14.25" hidden="1" customHeight="1" x14ac:dyDescent="0.45">
      <c r="A2404" t="str">
        <f>_xlfn.XLOOKUP(B2404,Ingot!$H$12:$H$119,Ingot!$G$12:$G$119,"")</f>
        <v>Metal</v>
      </c>
      <c r="B2404" t="s">
        <v>4794</v>
      </c>
      <c r="C2404" t="s">
        <v>10</v>
      </c>
      <c r="D2404" t="s">
        <v>4839</v>
      </c>
      <c r="E2404" t="s">
        <v>4840</v>
      </c>
      <c r="G2404" s="1">
        <v>10.23</v>
      </c>
    </row>
    <row r="2405" spans="1:7" ht="14.25" hidden="1" customHeight="1" x14ac:dyDescent="0.45">
      <c r="A2405" t="str">
        <f>_xlfn.XLOOKUP(B2405,Ingot!$H$12:$H$119,Ingot!$G$12:$G$119,"")</f>
        <v>Metal</v>
      </c>
      <c r="B2405" t="s">
        <v>4794</v>
      </c>
      <c r="C2405" t="s">
        <v>10</v>
      </c>
      <c r="D2405" t="s">
        <v>4841</v>
      </c>
      <c r="E2405" t="s">
        <v>4842</v>
      </c>
      <c r="G2405" s="1">
        <v>7.7</v>
      </c>
    </row>
    <row r="2406" spans="1:7" ht="14.25" hidden="1" customHeight="1" x14ac:dyDescent="0.45">
      <c r="A2406" t="str">
        <f>_xlfn.XLOOKUP(B2406,Ingot!$H$12:$H$119,Ingot!$G$12:$G$119,"")</f>
        <v>Metal</v>
      </c>
      <c r="B2406" t="s">
        <v>4794</v>
      </c>
      <c r="C2406" t="s">
        <v>10</v>
      </c>
      <c r="D2406" t="s">
        <v>4843</v>
      </c>
      <c r="E2406" t="s">
        <v>4844</v>
      </c>
      <c r="G2406" s="1">
        <v>10.02</v>
      </c>
    </row>
    <row r="2407" spans="1:7" ht="14.25" hidden="1" customHeight="1" x14ac:dyDescent="0.45">
      <c r="A2407" t="str">
        <f>_xlfn.XLOOKUP(B2407,Ingot!$H$12:$H$119,Ingot!$G$12:$G$119,"")</f>
        <v>Metal</v>
      </c>
      <c r="B2407" t="s">
        <v>4794</v>
      </c>
      <c r="C2407" t="s">
        <v>10</v>
      </c>
      <c r="D2407" t="s">
        <v>4845</v>
      </c>
      <c r="E2407" t="s">
        <v>4846</v>
      </c>
      <c r="G2407" s="1">
        <v>11.81</v>
      </c>
    </row>
    <row r="2408" spans="1:7" ht="14.25" hidden="1" customHeight="1" x14ac:dyDescent="0.45">
      <c r="A2408" t="str">
        <f>_xlfn.XLOOKUP(B2408,Ingot!$H$12:$H$119,Ingot!$G$12:$G$119,"")</f>
        <v>Metal</v>
      </c>
      <c r="B2408" t="s">
        <v>4794</v>
      </c>
      <c r="C2408" t="s">
        <v>10</v>
      </c>
      <c r="D2408" t="s">
        <v>4847</v>
      </c>
      <c r="E2408" t="s">
        <v>4848</v>
      </c>
      <c r="G2408" s="1">
        <v>8.44</v>
      </c>
    </row>
    <row r="2409" spans="1:7" ht="14.25" hidden="1" customHeight="1" x14ac:dyDescent="0.45">
      <c r="A2409" t="str">
        <f>_xlfn.XLOOKUP(B2409,Ingot!$H$12:$H$119,Ingot!$G$12:$G$119,"")</f>
        <v>Metal</v>
      </c>
      <c r="B2409" t="s">
        <v>4794</v>
      </c>
      <c r="C2409" t="s">
        <v>10</v>
      </c>
      <c r="D2409" t="s">
        <v>4849</v>
      </c>
      <c r="E2409" t="s">
        <v>4850</v>
      </c>
      <c r="G2409" s="1">
        <v>10.42</v>
      </c>
    </row>
    <row r="2410" spans="1:7" ht="14.25" hidden="1" customHeight="1" x14ac:dyDescent="0.45">
      <c r="A2410" t="str">
        <f>_xlfn.XLOOKUP(B2410,Ingot!$H$12:$H$119,Ingot!$G$12:$G$119,"")</f>
        <v>Metal</v>
      </c>
      <c r="B2410" t="s">
        <v>4794</v>
      </c>
      <c r="C2410" t="s">
        <v>10</v>
      </c>
      <c r="D2410" t="s">
        <v>4851</v>
      </c>
      <c r="E2410" t="s">
        <v>4852</v>
      </c>
    </row>
    <row r="2411" spans="1:7" ht="14.25" hidden="1" customHeight="1" x14ac:dyDescent="0.45">
      <c r="A2411" t="str">
        <f>_xlfn.XLOOKUP(B2411,Ingot!$H$12:$H$119,Ingot!$G$12:$G$119,"")</f>
        <v>Metal</v>
      </c>
      <c r="B2411" t="s">
        <v>4794</v>
      </c>
      <c r="C2411" t="s">
        <v>10</v>
      </c>
      <c r="D2411" t="s">
        <v>4853</v>
      </c>
      <c r="E2411" t="s">
        <v>4854</v>
      </c>
      <c r="G2411" s="1">
        <v>7.96</v>
      </c>
    </row>
    <row r="2412" spans="1:7" ht="14.25" hidden="1" customHeight="1" x14ac:dyDescent="0.45">
      <c r="A2412" t="str">
        <f>_xlfn.XLOOKUP(B2412,Ingot!$H$12:$H$119,Ingot!$G$12:$G$119,"")</f>
        <v>Metal</v>
      </c>
      <c r="B2412" t="s">
        <v>4794</v>
      </c>
      <c r="C2412" t="s">
        <v>10</v>
      </c>
      <c r="D2412" t="s">
        <v>4855</v>
      </c>
      <c r="E2412" t="s">
        <v>4856</v>
      </c>
      <c r="G2412" s="1">
        <v>9.64</v>
      </c>
    </row>
    <row r="2413" spans="1:7" ht="14.25" hidden="1" customHeight="1" x14ac:dyDescent="0.45">
      <c r="A2413" t="str">
        <f>_xlfn.XLOOKUP(B2413,Ingot!$H$12:$H$119,Ingot!$G$12:$G$119,"")</f>
        <v>Metal</v>
      </c>
      <c r="B2413" t="s">
        <v>4794</v>
      </c>
      <c r="C2413" t="s">
        <v>10</v>
      </c>
      <c r="D2413" t="s">
        <v>4857</v>
      </c>
      <c r="E2413" t="s">
        <v>4858</v>
      </c>
      <c r="G2413" s="1">
        <v>7.94</v>
      </c>
    </row>
    <row r="2414" spans="1:7" ht="14.25" hidden="1" customHeight="1" x14ac:dyDescent="0.45">
      <c r="A2414" t="str">
        <f>_xlfn.XLOOKUP(B2414,Ingot!$H$12:$H$119,Ingot!$G$12:$G$119,"")</f>
        <v>Metal</v>
      </c>
      <c r="B2414" t="s">
        <v>4794</v>
      </c>
      <c r="C2414" t="s">
        <v>10</v>
      </c>
      <c r="D2414" t="s">
        <v>4859</v>
      </c>
      <c r="E2414" t="s">
        <v>4860</v>
      </c>
      <c r="G2414" s="1">
        <v>8.66</v>
      </c>
    </row>
    <row r="2415" spans="1:7" ht="14.25" hidden="1" customHeight="1" x14ac:dyDescent="0.45">
      <c r="A2415" t="str">
        <f>_xlfn.XLOOKUP(B2415,Ingot!$H$12:$H$119,Ingot!$G$12:$G$119,"")</f>
        <v>Metal</v>
      </c>
      <c r="B2415" t="s">
        <v>4794</v>
      </c>
      <c r="C2415" t="s">
        <v>10</v>
      </c>
      <c r="D2415" t="s">
        <v>4861</v>
      </c>
      <c r="E2415" t="s">
        <v>4862</v>
      </c>
    </row>
    <row r="2416" spans="1:7" ht="14.25" hidden="1" customHeight="1" x14ac:dyDescent="0.45">
      <c r="A2416" t="str">
        <f>_xlfn.XLOOKUP(B2416,Ingot!$H$12:$H$119,Ingot!$G$12:$G$119,"")</f>
        <v>Metal</v>
      </c>
      <c r="B2416" t="s">
        <v>4794</v>
      </c>
      <c r="C2416" t="s">
        <v>10</v>
      </c>
      <c r="D2416" t="s">
        <v>4863</v>
      </c>
      <c r="E2416" t="s">
        <v>4864</v>
      </c>
      <c r="G2416" s="1">
        <v>2.65</v>
      </c>
    </row>
    <row r="2417" spans="1:7" ht="14.25" hidden="1" customHeight="1" x14ac:dyDescent="0.45">
      <c r="A2417" t="str">
        <f>_xlfn.XLOOKUP(B2417,Ingot!$H$12:$H$119,Ingot!$G$12:$G$119,"")</f>
        <v>Metal</v>
      </c>
      <c r="B2417" t="s">
        <v>4794</v>
      </c>
      <c r="C2417" t="s">
        <v>10</v>
      </c>
      <c r="D2417" t="s">
        <v>4865</v>
      </c>
      <c r="E2417" t="s">
        <v>4866</v>
      </c>
    </row>
    <row r="2418" spans="1:7" ht="14.25" hidden="1" customHeight="1" x14ac:dyDescent="0.45">
      <c r="A2418" t="str">
        <f>_xlfn.XLOOKUP(B2418,Ingot!$H$12:$H$119,Ingot!$G$12:$G$119,"")</f>
        <v>Metal</v>
      </c>
      <c r="B2418" t="s">
        <v>4794</v>
      </c>
      <c r="C2418" t="s">
        <v>10</v>
      </c>
      <c r="D2418" t="s">
        <v>4867</v>
      </c>
      <c r="E2418" t="s">
        <v>4868</v>
      </c>
      <c r="G2418" s="1">
        <v>12.64</v>
      </c>
    </row>
    <row r="2419" spans="1:7" ht="14.25" hidden="1" customHeight="1" x14ac:dyDescent="0.45">
      <c r="A2419" t="str">
        <f>_xlfn.XLOOKUP(B2419,Ingot!$H$12:$H$119,Ingot!$G$12:$G$119,"")</f>
        <v>Metal</v>
      </c>
      <c r="B2419" t="s">
        <v>4794</v>
      </c>
      <c r="C2419" t="s">
        <v>10</v>
      </c>
      <c r="D2419" t="s">
        <v>4869</v>
      </c>
      <c r="E2419" t="s">
        <v>4870</v>
      </c>
      <c r="G2419" s="1">
        <v>22.67</v>
      </c>
    </row>
    <row r="2420" spans="1:7" ht="14.25" hidden="1" customHeight="1" x14ac:dyDescent="0.45">
      <c r="A2420" t="str">
        <f>_xlfn.XLOOKUP(B2420,Ingot!$H$12:$H$119,Ingot!$G$12:$G$119,"")</f>
        <v>Metal</v>
      </c>
      <c r="B2420" t="s">
        <v>4794</v>
      </c>
      <c r="C2420" t="s">
        <v>10</v>
      </c>
      <c r="D2420" t="s">
        <v>4871</v>
      </c>
      <c r="E2420" t="s">
        <v>4872</v>
      </c>
      <c r="G2420" s="1">
        <v>8.3800000000000008</v>
      </c>
    </row>
    <row r="2421" spans="1:7" ht="14.25" hidden="1" customHeight="1" x14ac:dyDescent="0.45">
      <c r="A2421" t="str">
        <f>_xlfn.XLOOKUP(B2421,Ingot!$H$12:$H$119,Ingot!$G$12:$G$119,"")</f>
        <v>Metal</v>
      </c>
      <c r="B2421" t="s">
        <v>4794</v>
      </c>
      <c r="C2421" t="s">
        <v>10</v>
      </c>
      <c r="D2421" t="s">
        <v>4873</v>
      </c>
      <c r="E2421" t="s">
        <v>4874</v>
      </c>
      <c r="G2421" s="1">
        <v>2.2000000000000002</v>
      </c>
    </row>
    <row r="2422" spans="1:7" ht="14.25" hidden="1" customHeight="1" x14ac:dyDescent="0.45">
      <c r="A2422" t="str">
        <f>_xlfn.XLOOKUP(B2422,Ingot!$H$12:$H$119,Ingot!$G$12:$G$119,"")</f>
        <v>Metal</v>
      </c>
      <c r="B2422" t="s">
        <v>4794</v>
      </c>
      <c r="C2422" t="s">
        <v>10</v>
      </c>
      <c r="D2422" t="s">
        <v>4875</v>
      </c>
      <c r="E2422" t="s">
        <v>4876</v>
      </c>
      <c r="G2422" s="1">
        <v>3.09</v>
      </c>
    </row>
    <row r="2423" spans="1:7" ht="14.25" hidden="1" customHeight="1" x14ac:dyDescent="0.45">
      <c r="A2423" t="str">
        <f>_xlfn.XLOOKUP(B2423,Ingot!$H$12:$H$119,Ingot!$G$12:$G$119,"")</f>
        <v>Metal</v>
      </c>
      <c r="B2423" t="s">
        <v>4794</v>
      </c>
      <c r="C2423" t="s">
        <v>10</v>
      </c>
      <c r="D2423" t="s">
        <v>4877</v>
      </c>
      <c r="E2423" t="s">
        <v>4878</v>
      </c>
      <c r="G2423" s="1">
        <v>2.2999999999999998</v>
      </c>
    </row>
    <row r="2424" spans="1:7" ht="14.25" hidden="1" customHeight="1" x14ac:dyDescent="0.45">
      <c r="A2424" t="str">
        <f>_xlfn.XLOOKUP(B2424,Ingot!$H$12:$H$119,Ingot!$G$12:$G$119,"")</f>
        <v>Metal</v>
      </c>
      <c r="B2424" t="s">
        <v>4794</v>
      </c>
      <c r="C2424" t="s">
        <v>10</v>
      </c>
      <c r="D2424" t="s">
        <v>4879</v>
      </c>
      <c r="E2424" t="s">
        <v>4880</v>
      </c>
      <c r="G2424" s="1">
        <v>4.88</v>
      </c>
    </row>
    <row r="2425" spans="1:7" ht="14.25" hidden="1" customHeight="1" x14ac:dyDescent="0.45">
      <c r="A2425" t="str">
        <f>_xlfn.XLOOKUP(B2425,Ingot!$H$12:$H$119,Ingot!$G$12:$G$119,"")</f>
        <v>Metal</v>
      </c>
      <c r="B2425" t="s">
        <v>4794</v>
      </c>
      <c r="C2425" t="s">
        <v>10</v>
      </c>
      <c r="D2425" t="s">
        <v>4881</v>
      </c>
      <c r="E2425" t="s">
        <v>4882</v>
      </c>
      <c r="G2425" s="1">
        <v>8.43</v>
      </c>
    </row>
    <row r="2426" spans="1:7" ht="14.25" hidden="1" customHeight="1" x14ac:dyDescent="0.45">
      <c r="A2426" t="str">
        <f>_xlfn.XLOOKUP(B2426,Ingot!$H$12:$H$119,Ingot!$G$12:$G$119,"")</f>
        <v>Metal</v>
      </c>
      <c r="B2426" t="s">
        <v>4794</v>
      </c>
      <c r="C2426" t="s">
        <v>10</v>
      </c>
      <c r="D2426" t="s">
        <v>4883</v>
      </c>
      <c r="E2426" t="s">
        <v>4884</v>
      </c>
      <c r="G2426" s="1">
        <v>13.07</v>
      </c>
    </row>
    <row r="2427" spans="1:7" ht="14.25" hidden="1" customHeight="1" x14ac:dyDescent="0.45">
      <c r="A2427" t="str">
        <f>_xlfn.XLOOKUP(B2427,Ingot!$H$12:$H$119,Ingot!$G$12:$G$119,"")</f>
        <v>Metal</v>
      </c>
      <c r="B2427" t="s">
        <v>4794</v>
      </c>
      <c r="C2427" t="s">
        <v>10</v>
      </c>
      <c r="D2427" t="s">
        <v>4885</v>
      </c>
      <c r="E2427" t="s">
        <v>4886</v>
      </c>
    </row>
    <row r="2428" spans="1:7" ht="14.25" hidden="1" customHeight="1" x14ac:dyDescent="0.45">
      <c r="A2428" t="str">
        <f>_xlfn.XLOOKUP(B2428,Ingot!$H$12:$H$119,Ingot!$G$12:$G$119,"")</f>
        <v>Metal</v>
      </c>
      <c r="B2428" t="s">
        <v>4794</v>
      </c>
      <c r="C2428" t="s">
        <v>10</v>
      </c>
      <c r="D2428" t="s">
        <v>4887</v>
      </c>
      <c r="E2428" t="s">
        <v>4888</v>
      </c>
    </row>
    <row r="2429" spans="1:7" ht="14.25" hidden="1" customHeight="1" x14ac:dyDescent="0.45">
      <c r="A2429" t="str">
        <f>_xlfn.XLOOKUP(B2429,Ingot!$H$12:$H$119,Ingot!$G$12:$G$119,"")</f>
        <v>Metal</v>
      </c>
      <c r="B2429" t="s">
        <v>4794</v>
      </c>
      <c r="C2429" t="s">
        <v>10</v>
      </c>
      <c r="D2429" t="s">
        <v>4889</v>
      </c>
      <c r="E2429" t="s">
        <v>4890</v>
      </c>
      <c r="G2429" s="1">
        <v>6.8</v>
      </c>
    </row>
    <row r="2430" spans="1:7" ht="14.25" hidden="1" customHeight="1" x14ac:dyDescent="0.45">
      <c r="A2430" t="str">
        <f>_xlfn.XLOOKUP(B2430,Ingot!$H$12:$H$119,Ingot!$G$12:$G$119,"")</f>
        <v>Metal</v>
      </c>
      <c r="B2430" t="s">
        <v>4794</v>
      </c>
      <c r="C2430" t="s">
        <v>10</v>
      </c>
      <c r="D2430" t="s">
        <v>4891</v>
      </c>
      <c r="E2430" t="s">
        <v>4892</v>
      </c>
      <c r="G2430" s="1">
        <v>6.88</v>
      </c>
    </row>
    <row r="2431" spans="1:7" ht="14.25" hidden="1" customHeight="1" x14ac:dyDescent="0.45">
      <c r="A2431" t="str">
        <f>_xlfn.XLOOKUP(B2431,Ingot!$H$12:$H$119,Ingot!$G$12:$G$119,"")</f>
        <v>Metal</v>
      </c>
      <c r="B2431" t="s">
        <v>4794</v>
      </c>
      <c r="C2431" t="s">
        <v>10</v>
      </c>
      <c r="D2431" t="s">
        <v>4893</v>
      </c>
      <c r="E2431" t="s">
        <v>4894</v>
      </c>
      <c r="G2431" s="1">
        <v>5.5</v>
      </c>
    </row>
    <row r="2432" spans="1:7" ht="14.25" hidden="1" customHeight="1" x14ac:dyDescent="0.45">
      <c r="A2432" t="str">
        <f>_xlfn.XLOOKUP(B2432,Ingot!$H$12:$H$119,Ingot!$G$12:$G$119,"")</f>
        <v>Metal</v>
      </c>
      <c r="B2432" t="s">
        <v>4794</v>
      </c>
      <c r="C2432" t="s">
        <v>10</v>
      </c>
      <c r="D2432" t="s">
        <v>4895</v>
      </c>
      <c r="E2432" t="s">
        <v>4896</v>
      </c>
      <c r="G2432" s="1">
        <v>2.4300000000000002</v>
      </c>
    </row>
    <row r="2433" spans="1:7" ht="14.25" hidden="1" customHeight="1" x14ac:dyDescent="0.45">
      <c r="A2433" t="str">
        <f>_xlfn.XLOOKUP(B2433,Ingot!$H$12:$H$119,Ingot!$G$12:$G$119,"")</f>
        <v>Metal</v>
      </c>
      <c r="B2433" t="s">
        <v>4794</v>
      </c>
      <c r="C2433" t="s">
        <v>10</v>
      </c>
      <c r="D2433" t="s">
        <v>4897</v>
      </c>
      <c r="E2433" t="s">
        <v>4898</v>
      </c>
      <c r="G2433" s="1">
        <v>6.96</v>
      </c>
    </row>
    <row r="2434" spans="1:7" ht="14.25" hidden="1" customHeight="1" x14ac:dyDescent="0.45">
      <c r="A2434" t="str">
        <f>_xlfn.XLOOKUP(B2434,Ingot!$H$12:$H$119,Ingot!$G$12:$G$119,"")</f>
        <v>Metal</v>
      </c>
      <c r="B2434" t="s">
        <v>4794</v>
      </c>
      <c r="C2434" t="s">
        <v>10</v>
      </c>
      <c r="D2434" t="s">
        <v>4899</v>
      </c>
      <c r="E2434" t="s">
        <v>4900</v>
      </c>
      <c r="G2434" s="1">
        <v>6.32</v>
      </c>
    </row>
    <row r="2435" spans="1:7" ht="14.25" hidden="1" customHeight="1" x14ac:dyDescent="0.45">
      <c r="A2435" t="str">
        <f>_xlfn.XLOOKUP(B2435,Ingot!$H$12:$H$119,Ingot!$G$12:$G$119,"")</f>
        <v>Metal</v>
      </c>
      <c r="B2435" t="s">
        <v>4794</v>
      </c>
      <c r="C2435" t="s">
        <v>10</v>
      </c>
      <c r="D2435" t="s">
        <v>4901</v>
      </c>
      <c r="E2435" t="s">
        <v>4902</v>
      </c>
      <c r="G2435" s="1">
        <v>6.88</v>
      </c>
    </row>
    <row r="2436" spans="1:7" ht="14.25" hidden="1" customHeight="1" x14ac:dyDescent="0.45">
      <c r="A2436" t="str">
        <f>_xlfn.XLOOKUP(B2436,Ingot!$H$12:$H$119,Ingot!$G$12:$G$119,"")</f>
        <v>Metal</v>
      </c>
      <c r="B2436" t="s">
        <v>4794</v>
      </c>
      <c r="C2436" t="s">
        <v>10</v>
      </c>
      <c r="D2436" t="s">
        <v>4903</v>
      </c>
      <c r="E2436" t="s">
        <v>4904</v>
      </c>
      <c r="G2436" s="1">
        <v>2.44</v>
      </c>
    </row>
    <row r="2437" spans="1:7" ht="14.25" hidden="1" customHeight="1" x14ac:dyDescent="0.45">
      <c r="A2437" t="str">
        <f>_xlfn.XLOOKUP(B2437,Ingot!$H$12:$H$119,Ingot!$G$12:$G$119,"")</f>
        <v>Metal</v>
      </c>
      <c r="B2437" t="s">
        <v>4794</v>
      </c>
      <c r="C2437" t="s">
        <v>10</v>
      </c>
      <c r="D2437" t="s">
        <v>4905</v>
      </c>
      <c r="E2437" t="s">
        <v>4906</v>
      </c>
    </row>
    <row r="2438" spans="1:7" ht="14.25" hidden="1" customHeight="1" x14ac:dyDescent="0.45">
      <c r="A2438" t="str">
        <f>_xlfn.XLOOKUP(B2438,Ingot!$H$12:$H$119,Ingot!$G$12:$G$119,"")</f>
        <v>Metal</v>
      </c>
      <c r="B2438" t="s">
        <v>4794</v>
      </c>
      <c r="C2438" t="s">
        <v>10</v>
      </c>
      <c r="D2438" t="s">
        <v>4907</v>
      </c>
      <c r="E2438" t="s">
        <v>4908</v>
      </c>
    </row>
    <row r="2439" spans="1:7" ht="14.25" hidden="1" customHeight="1" x14ac:dyDescent="0.45">
      <c r="A2439" t="str">
        <f>_xlfn.XLOOKUP(B2439,Ingot!$H$12:$H$119,Ingot!$G$12:$G$119,"")</f>
        <v>Metal</v>
      </c>
      <c r="B2439" t="s">
        <v>4794</v>
      </c>
      <c r="C2439" t="s">
        <v>10</v>
      </c>
      <c r="D2439" t="s">
        <v>4909</v>
      </c>
      <c r="E2439" t="s">
        <v>4910</v>
      </c>
      <c r="G2439" s="1">
        <v>3.11</v>
      </c>
    </row>
    <row r="2440" spans="1:7" ht="14.25" hidden="1" customHeight="1" x14ac:dyDescent="0.45">
      <c r="A2440" t="str">
        <f>_xlfn.XLOOKUP(B2440,Ingot!$H$12:$H$119,Ingot!$G$12:$G$119,"")</f>
        <v>Metal</v>
      </c>
      <c r="B2440" t="s">
        <v>4794</v>
      </c>
      <c r="C2440" t="s">
        <v>10</v>
      </c>
      <c r="D2440" t="s">
        <v>4911</v>
      </c>
      <c r="E2440" t="s">
        <v>4912</v>
      </c>
      <c r="G2440" s="1">
        <v>2.44</v>
      </c>
    </row>
    <row r="2441" spans="1:7" ht="14.25" hidden="1" customHeight="1" x14ac:dyDescent="0.45">
      <c r="A2441" t="str">
        <f>_xlfn.XLOOKUP(B2441,Ingot!$H$12:$H$119,Ingot!$G$12:$G$119,"")</f>
        <v>Metal</v>
      </c>
      <c r="B2441" t="s">
        <v>4794</v>
      </c>
      <c r="C2441" t="s">
        <v>10</v>
      </c>
      <c r="D2441" t="s">
        <v>4913</v>
      </c>
      <c r="E2441" t="s">
        <v>4914</v>
      </c>
      <c r="G2441" s="1">
        <v>8.61</v>
      </c>
    </row>
    <row r="2442" spans="1:7" ht="14.25" hidden="1" customHeight="1" x14ac:dyDescent="0.45">
      <c r="A2442" t="str">
        <f>_xlfn.XLOOKUP(B2442,Ingot!$H$12:$H$119,Ingot!$G$12:$G$119,"")</f>
        <v>Metal</v>
      </c>
      <c r="B2442" t="s">
        <v>4794</v>
      </c>
      <c r="C2442" t="s">
        <v>10</v>
      </c>
      <c r="D2442" t="s">
        <v>4915</v>
      </c>
      <c r="E2442" t="s">
        <v>4916</v>
      </c>
    </row>
    <row r="2443" spans="1:7" ht="14.25" hidden="1" customHeight="1" x14ac:dyDescent="0.45">
      <c r="A2443" t="str">
        <f>_xlfn.XLOOKUP(B2443,Ingot!$H$12:$H$119,Ingot!$G$12:$G$119,"")</f>
        <v>Metal</v>
      </c>
      <c r="B2443" t="s">
        <v>4794</v>
      </c>
      <c r="C2443" t="s">
        <v>10</v>
      </c>
      <c r="D2443" t="s">
        <v>4917</v>
      </c>
      <c r="E2443" t="s">
        <v>4918</v>
      </c>
      <c r="G2443" s="1">
        <v>3.21</v>
      </c>
    </row>
    <row r="2444" spans="1:7" ht="14.25" hidden="1" customHeight="1" x14ac:dyDescent="0.45">
      <c r="A2444" t="str">
        <f>_xlfn.XLOOKUP(B2444,Ingot!$H$12:$H$119,Ingot!$G$12:$G$119,"")</f>
        <v>Metal</v>
      </c>
      <c r="B2444" t="s">
        <v>4794</v>
      </c>
      <c r="C2444" t="s">
        <v>10</v>
      </c>
      <c r="D2444" t="s">
        <v>4919</v>
      </c>
      <c r="E2444" t="s">
        <v>4920</v>
      </c>
      <c r="G2444" s="1">
        <v>2.77</v>
      </c>
    </row>
    <row r="2445" spans="1:7" ht="14.25" hidden="1" customHeight="1" x14ac:dyDescent="0.45">
      <c r="A2445" t="str">
        <f>_xlfn.XLOOKUP(B2445,Ingot!$H$12:$H$119,Ingot!$G$12:$G$119,"")</f>
        <v>Metal</v>
      </c>
      <c r="B2445" t="s">
        <v>4794</v>
      </c>
      <c r="C2445" t="s">
        <v>10</v>
      </c>
      <c r="D2445" t="s">
        <v>4921</v>
      </c>
      <c r="E2445" t="s">
        <v>4922</v>
      </c>
      <c r="G2445" s="1">
        <v>4.8899999999999997</v>
      </c>
    </row>
    <row r="2446" spans="1:7" ht="14.25" hidden="1" customHeight="1" x14ac:dyDescent="0.45">
      <c r="A2446" t="str">
        <f>_xlfn.XLOOKUP(B2446,Ingot!$H$12:$H$119,Ingot!$G$12:$G$119,"")</f>
        <v>Metal</v>
      </c>
      <c r="B2446" t="s">
        <v>4794</v>
      </c>
      <c r="C2446" t="s">
        <v>10</v>
      </c>
      <c r="D2446" t="s">
        <v>4923</v>
      </c>
      <c r="E2446" t="s">
        <v>4924</v>
      </c>
      <c r="G2446" s="1">
        <v>1.76</v>
      </c>
    </row>
    <row r="2447" spans="1:7" ht="14.25" hidden="1" customHeight="1" x14ac:dyDescent="0.45">
      <c r="A2447" t="str">
        <f>_xlfn.XLOOKUP(B2447,Ingot!$H$12:$H$119,Ingot!$G$12:$G$119,"")</f>
        <v>Metal</v>
      </c>
      <c r="B2447" t="s">
        <v>4794</v>
      </c>
      <c r="C2447" t="s">
        <v>10</v>
      </c>
      <c r="D2447" t="s">
        <v>4925</v>
      </c>
      <c r="E2447" t="s">
        <v>4926</v>
      </c>
    </row>
    <row r="2448" spans="1:7" ht="14.25" hidden="1" customHeight="1" x14ac:dyDescent="0.45">
      <c r="A2448" t="str">
        <f>_xlfn.XLOOKUP(B2448,Ingot!$H$12:$H$119,Ingot!$G$12:$G$119,"")</f>
        <v>Metal</v>
      </c>
      <c r="B2448" t="s">
        <v>4794</v>
      </c>
      <c r="C2448" t="s">
        <v>10</v>
      </c>
      <c r="D2448" t="s">
        <v>4927</v>
      </c>
      <c r="E2448" t="s">
        <v>4928</v>
      </c>
      <c r="G2448" s="1">
        <v>8.57</v>
      </c>
    </row>
    <row r="2449" spans="1:7" ht="14.25" hidden="1" customHeight="1" x14ac:dyDescent="0.45">
      <c r="A2449" t="str">
        <f>_xlfn.XLOOKUP(B2449,Ingot!$H$12:$H$119,Ingot!$G$12:$G$119,"")</f>
        <v>Metal</v>
      </c>
      <c r="B2449" t="s">
        <v>4794</v>
      </c>
      <c r="C2449" t="s">
        <v>10</v>
      </c>
      <c r="D2449" t="s">
        <v>4929</v>
      </c>
      <c r="E2449" t="s">
        <v>4930</v>
      </c>
    </row>
    <row r="2450" spans="1:7" ht="14.25" hidden="1" customHeight="1" x14ac:dyDescent="0.45">
      <c r="A2450" t="str">
        <f>_xlfn.XLOOKUP(B2450,Ingot!$H$12:$H$119,Ingot!$G$12:$G$119,"")</f>
        <v>Metal</v>
      </c>
      <c r="B2450" t="s">
        <v>4794</v>
      </c>
      <c r="C2450" t="s">
        <v>10</v>
      </c>
      <c r="D2450" t="s">
        <v>4931</v>
      </c>
      <c r="E2450" t="s">
        <v>4932</v>
      </c>
      <c r="G2450" s="1">
        <v>3.56</v>
      </c>
    </row>
    <row r="2451" spans="1:7" ht="14.25" hidden="1" customHeight="1" x14ac:dyDescent="0.45">
      <c r="A2451" t="str">
        <f>_xlfn.XLOOKUP(B2451,Ingot!$H$12:$H$119,Ingot!$G$12:$G$119,"")</f>
        <v>Metal</v>
      </c>
      <c r="B2451" t="s">
        <v>4794</v>
      </c>
      <c r="C2451" t="s">
        <v>10</v>
      </c>
      <c r="D2451" t="s">
        <v>4933</v>
      </c>
      <c r="E2451" t="s">
        <v>4934</v>
      </c>
      <c r="G2451" s="1">
        <v>8.91</v>
      </c>
    </row>
    <row r="2452" spans="1:7" ht="14.25" hidden="1" customHeight="1" x14ac:dyDescent="0.45">
      <c r="A2452" t="str">
        <f>_xlfn.XLOOKUP(B2452,Ingot!$H$12:$H$119,Ingot!$G$12:$G$119,"")</f>
        <v>Metal</v>
      </c>
      <c r="B2452" t="s">
        <v>4794</v>
      </c>
      <c r="C2452" t="s">
        <v>10</v>
      </c>
      <c r="D2452" t="s">
        <v>4935</v>
      </c>
      <c r="E2452" t="s">
        <v>4936</v>
      </c>
      <c r="G2452" s="1">
        <v>11.02</v>
      </c>
    </row>
    <row r="2453" spans="1:7" ht="14.25" hidden="1" customHeight="1" x14ac:dyDescent="0.45">
      <c r="A2453" t="str">
        <f>_xlfn.XLOOKUP(B2453,Ingot!$H$12:$H$119,Ingot!$G$12:$G$119,"")</f>
        <v>Metal</v>
      </c>
      <c r="B2453" t="s">
        <v>4794</v>
      </c>
      <c r="C2453" t="s">
        <v>10</v>
      </c>
      <c r="D2453" t="s">
        <v>4937</v>
      </c>
      <c r="E2453" t="s">
        <v>4938</v>
      </c>
      <c r="G2453" s="1">
        <v>5.12</v>
      </c>
    </row>
    <row r="2454" spans="1:7" ht="14.25" hidden="1" customHeight="1" x14ac:dyDescent="0.45">
      <c r="A2454" t="str">
        <f>_xlfn.XLOOKUP(B2454,Ingot!$H$12:$H$119,Ingot!$G$12:$G$119,"")</f>
        <v>Metal</v>
      </c>
      <c r="B2454" t="s">
        <v>4794</v>
      </c>
      <c r="C2454" t="s">
        <v>10</v>
      </c>
      <c r="D2454" t="s">
        <v>4939</v>
      </c>
      <c r="E2454" t="s">
        <v>4940</v>
      </c>
      <c r="G2454" s="1">
        <v>4.41</v>
      </c>
    </row>
    <row r="2455" spans="1:7" ht="14.25" hidden="1" customHeight="1" x14ac:dyDescent="0.45">
      <c r="A2455" t="str">
        <f>_xlfn.XLOOKUP(B2455,Ingot!$H$12:$H$119,Ingot!$G$12:$G$119,"")</f>
        <v>Metal</v>
      </c>
      <c r="B2455" t="s">
        <v>4794</v>
      </c>
      <c r="C2455" t="s">
        <v>157</v>
      </c>
      <c r="D2455" t="s">
        <v>4941</v>
      </c>
      <c r="E2455" t="s">
        <v>4942</v>
      </c>
      <c r="G2455" s="1">
        <v>35</v>
      </c>
    </row>
    <row r="2456" spans="1:7" ht="14.25" hidden="1" customHeight="1" x14ac:dyDescent="0.45">
      <c r="A2456" t="str">
        <f>_xlfn.XLOOKUP(B2456,Ingot!$H$12:$H$119,Ingot!$G$12:$G$119,"")</f>
        <v>Metal</v>
      </c>
      <c r="B2456" t="s">
        <v>4794</v>
      </c>
      <c r="C2456" t="s">
        <v>157</v>
      </c>
      <c r="D2456" t="s">
        <v>4943</v>
      </c>
      <c r="E2456" t="s">
        <v>4944</v>
      </c>
      <c r="G2456" s="1">
        <v>7</v>
      </c>
    </row>
    <row r="2457" spans="1:7" ht="14.25" hidden="1" customHeight="1" x14ac:dyDescent="0.45">
      <c r="A2457" t="str">
        <f>_xlfn.XLOOKUP(B2457,Ingot!$H$12:$H$119,Ingot!$G$12:$G$119,"")</f>
        <v>Metal</v>
      </c>
      <c r="B2457" t="s">
        <v>4794</v>
      </c>
      <c r="C2457" t="s">
        <v>157</v>
      </c>
      <c r="D2457" t="s">
        <v>4945</v>
      </c>
      <c r="E2457" t="s">
        <v>4946</v>
      </c>
      <c r="G2457" s="1">
        <v>7</v>
      </c>
    </row>
    <row r="2458" spans="1:7" ht="14.25" hidden="1" customHeight="1" x14ac:dyDescent="0.45">
      <c r="A2458" t="str">
        <f>_xlfn.XLOOKUP(B2458,Ingot!$H$12:$H$119,Ingot!$G$12:$G$119,"")</f>
        <v>Metal</v>
      </c>
      <c r="B2458" t="s">
        <v>4794</v>
      </c>
      <c r="C2458" t="s">
        <v>157</v>
      </c>
      <c r="D2458" t="s">
        <v>4947</v>
      </c>
      <c r="E2458" t="s">
        <v>4948</v>
      </c>
      <c r="G2458" s="1">
        <v>5</v>
      </c>
    </row>
    <row r="2459" spans="1:7" ht="14.25" hidden="1" customHeight="1" x14ac:dyDescent="0.45">
      <c r="A2459" t="str">
        <f>_xlfn.XLOOKUP(B2459,Ingot!$H$12:$H$119,Ingot!$G$12:$G$119,"")</f>
        <v>Metal</v>
      </c>
      <c r="B2459" t="s">
        <v>4794</v>
      </c>
      <c r="C2459" t="s">
        <v>157</v>
      </c>
      <c r="D2459" t="s">
        <v>4949</v>
      </c>
      <c r="E2459" t="s">
        <v>4950</v>
      </c>
      <c r="G2459" s="1">
        <v>10</v>
      </c>
    </row>
    <row r="2460" spans="1:7" ht="14.25" hidden="1" customHeight="1" x14ac:dyDescent="0.45">
      <c r="A2460" t="str">
        <f>_xlfn.XLOOKUP(B2460,Ingot!$H$12:$H$119,Ingot!$G$12:$G$119,"")</f>
        <v>Metal</v>
      </c>
      <c r="B2460" t="s">
        <v>4794</v>
      </c>
      <c r="C2460" t="s">
        <v>157</v>
      </c>
      <c r="D2460" t="s">
        <v>4951</v>
      </c>
      <c r="E2460" t="s">
        <v>4952</v>
      </c>
      <c r="G2460" s="1">
        <v>29.5</v>
      </c>
    </row>
    <row r="2461" spans="1:7" ht="14.25" hidden="1" customHeight="1" x14ac:dyDescent="0.45">
      <c r="A2461" t="str">
        <f>_xlfn.XLOOKUP(B2461,Ingot!$H$12:$H$119,Ingot!$G$12:$G$119,"")</f>
        <v>Metal</v>
      </c>
      <c r="B2461" t="s">
        <v>4794</v>
      </c>
      <c r="C2461" t="s">
        <v>157</v>
      </c>
      <c r="D2461" t="s">
        <v>4953</v>
      </c>
      <c r="E2461" t="s">
        <v>4954</v>
      </c>
      <c r="G2461" s="1">
        <v>5.9</v>
      </c>
    </row>
    <row r="2462" spans="1:7" ht="14.25" hidden="1" customHeight="1" x14ac:dyDescent="0.45">
      <c r="A2462" t="str">
        <f>_xlfn.XLOOKUP(B2462,Ingot!$H$12:$H$119,Ingot!$G$12:$G$119,"")</f>
        <v>Metal</v>
      </c>
      <c r="B2462" t="s">
        <v>4794</v>
      </c>
      <c r="C2462" t="s">
        <v>157</v>
      </c>
      <c r="D2462" t="s">
        <v>4955</v>
      </c>
      <c r="E2462" t="s">
        <v>4956</v>
      </c>
      <c r="G2462" s="1">
        <v>5.9</v>
      </c>
    </row>
    <row r="2463" spans="1:7" ht="14.25" hidden="1" customHeight="1" x14ac:dyDescent="0.45">
      <c r="A2463" t="str">
        <f>_xlfn.XLOOKUP(B2463,Ingot!$H$12:$H$119,Ingot!$G$12:$G$119,"")</f>
        <v>Metal</v>
      </c>
      <c r="B2463" t="s">
        <v>4794</v>
      </c>
      <c r="C2463" t="s">
        <v>157</v>
      </c>
      <c r="D2463" t="s">
        <v>4957</v>
      </c>
      <c r="E2463" t="s">
        <v>4958</v>
      </c>
      <c r="G2463" s="1">
        <v>5</v>
      </c>
    </row>
    <row r="2464" spans="1:7" ht="14.25" hidden="1" customHeight="1" x14ac:dyDescent="0.45">
      <c r="A2464" t="str">
        <f>_xlfn.XLOOKUP(B2464,Ingot!$H$12:$H$119,Ingot!$G$12:$G$119,"")</f>
        <v>Metal</v>
      </c>
      <c r="B2464" t="s">
        <v>4794</v>
      </c>
      <c r="C2464" t="s">
        <v>157</v>
      </c>
      <c r="D2464" t="s">
        <v>4959</v>
      </c>
      <c r="E2464" t="s">
        <v>4960</v>
      </c>
      <c r="G2464" s="1">
        <v>10</v>
      </c>
    </row>
    <row r="2465" spans="1:7" ht="14.25" hidden="1" customHeight="1" x14ac:dyDescent="0.45">
      <c r="A2465" t="str">
        <f>_xlfn.XLOOKUP(B2465,Ingot!$H$12:$H$119,Ingot!$G$12:$G$119,"")</f>
        <v>Metal</v>
      </c>
      <c r="B2465" t="s">
        <v>4794</v>
      </c>
      <c r="C2465" t="s">
        <v>157</v>
      </c>
      <c r="D2465" t="s">
        <v>4961</v>
      </c>
      <c r="E2465" t="s">
        <v>4962</v>
      </c>
      <c r="G2465" s="1">
        <v>28.5</v>
      </c>
    </row>
    <row r="2466" spans="1:7" ht="14.25" hidden="1" customHeight="1" x14ac:dyDescent="0.45">
      <c r="A2466" t="str">
        <f>_xlfn.XLOOKUP(B2466,Ingot!$H$12:$H$119,Ingot!$G$12:$G$119,"")</f>
        <v>Metal</v>
      </c>
      <c r="B2466" t="s">
        <v>4794</v>
      </c>
      <c r="C2466" t="s">
        <v>157</v>
      </c>
      <c r="D2466" t="s">
        <v>4963</v>
      </c>
      <c r="E2466" t="s">
        <v>4964</v>
      </c>
      <c r="G2466" s="1">
        <v>5.7</v>
      </c>
    </row>
    <row r="2467" spans="1:7" ht="14.25" hidden="1" customHeight="1" x14ac:dyDescent="0.45">
      <c r="A2467" t="str">
        <f>_xlfn.XLOOKUP(B2467,Ingot!$H$12:$H$119,Ingot!$G$12:$G$119,"")</f>
        <v>Metal</v>
      </c>
      <c r="B2467" t="s">
        <v>4794</v>
      </c>
      <c r="C2467" t="s">
        <v>157</v>
      </c>
      <c r="D2467" t="s">
        <v>4965</v>
      </c>
      <c r="E2467" t="s">
        <v>4966</v>
      </c>
      <c r="G2467" s="1">
        <v>5.7</v>
      </c>
    </row>
    <row r="2468" spans="1:7" ht="14.25" hidden="1" customHeight="1" x14ac:dyDescent="0.45">
      <c r="A2468" t="str">
        <f>_xlfn.XLOOKUP(B2468,Ingot!$H$12:$H$119,Ingot!$G$12:$G$119,"")</f>
        <v>Metal</v>
      </c>
      <c r="B2468" t="s">
        <v>4794</v>
      </c>
      <c r="C2468" t="s">
        <v>157</v>
      </c>
      <c r="D2468" t="s">
        <v>4967</v>
      </c>
      <c r="E2468" t="s">
        <v>4968</v>
      </c>
      <c r="G2468" s="1">
        <v>5</v>
      </c>
    </row>
    <row r="2469" spans="1:7" ht="14.25" hidden="1" customHeight="1" x14ac:dyDescent="0.45">
      <c r="A2469" t="str">
        <f>_xlfn.XLOOKUP(B2469,Ingot!$H$12:$H$119,Ingot!$G$12:$G$119,"")</f>
        <v>Metal</v>
      </c>
      <c r="B2469" t="s">
        <v>4794</v>
      </c>
      <c r="C2469" t="s">
        <v>157</v>
      </c>
      <c r="D2469" t="s">
        <v>4969</v>
      </c>
      <c r="E2469" t="s">
        <v>4970</v>
      </c>
      <c r="G2469" s="1">
        <v>10</v>
      </c>
    </row>
    <row r="2470" spans="1:7" ht="14.25" hidden="1" customHeight="1" x14ac:dyDescent="0.45">
      <c r="A2470" t="str">
        <f>_xlfn.XLOOKUP(B2470,Ingot!$H$12:$H$119,Ingot!$G$12:$G$119,"")</f>
        <v>Metal</v>
      </c>
      <c r="B2470" t="s">
        <v>4794</v>
      </c>
      <c r="C2470" t="s">
        <v>157</v>
      </c>
      <c r="D2470" t="s">
        <v>4971</v>
      </c>
      <c r="E2470" t="s">
        <v>4972</v>
      </c>
      <c r="G2470" s="1">
        <v>31</v>
      </c>
    </row>
    <row r="2471" spans="1:7" ht="14.25" hidden="1" customHeight="1" x14ac:dyDescent="0.45">
      <c r="A2471" t="str">
        <f>_xlfn.XLOOKUP(B2471,Ingot!$H$12:$H$119,Ingot!$G$12:$G$119,"")</f>
        <v>Metal</v>
      </c>
      <c r="B2471" t="s">
        <v>4794</v>
      </c>
      <c r="C2471" t="s">
        <v>157</v>
      </c>
      <c r="D2471" t="s">
        <v>4973</v>
      </c>
      <c r="E2471" t="s">
        <v>4974</v>
      </c>
      <c r="G2471" s="1">
        <v>6.2</v>
      </c>
    </row>
    <row r="2472" spans="1:7" ht="14.25" hidden="1" customHeight="1" x14ac:dyDescent="0.45">
      <c r="A2472" t="str">
        <f>_xlfn.XLOOKUP(B2472,Ingot!$H$12:$H$119,Ingot!$G$12:$G$119,"")</f>
        <v>Metal</v>
      </c>
      <c r="B2472" t="s">
        <v>4794</v>
      </c>
      <c r="C2472" t="s">
        <v>157</v>
      </c>
      <c r="D2472" t="s">
        <v>4975</v>
      </c>
      <c r="E2472" t="s">
        <v>4976</v>
      </c>
      <c r="G2472" s="1">
        <v>6.2</v>
      </c>
    </row>
    <row r="2473" spans="1:7" ht="14.25" hidden="1" customHeight="1" x14ac:dyDescent="0.45">
      <c r="A2473" t="str">
        <f>_xlfn.XLOOKUP(B2473,Ingot!$H$12:$H$119,Ingot!$G$12:$G$119,"")</f>
        <v>Metal</v>
      </c>
      <c r="B2473" t="s">
        <v>4794</v>
      </c>
      <c r="C2473" t="s">
        <v>157</v>
      </c>
      <c r="D2473" t="s">
        <v>4977</v>
      </c>
      <c r="E2473" t="s">
        <v>4978</v>
      </c>
      <c r="G2473" s="1">
        <v>5</v>
      </c>
    </row>
    <row r="2474" spans="1:7" ht="14.25" hidden="1" customHeight="1" x14ac:dyDescent="0.45">
      <c r="A2474" t="str">
        <f>_xlfn.XLOOKUP(B2474,Ingot!$H$12:$H$119,Ingot!$G$12:$G$119,"")</f>
        <v>Metal</v>
      </c>
      <c r="B2474" t="s">
        <v>4794</v>
      </c>
      <c r="C2474" t="s">
        <v>157</v>
      </c>
      <c r="D2474" t="s">
        <v>4979</v>
      </c>
      <c r="E2474" t="s">
        <v>4980</v>
      </c>
      <c r="G2474" s="1">
        <v>10</v>
      </c>
    </row>
    <row r="2475" spans="1:7" ht="14.25" hidden="1" customHeight="1" x14ac:dyDescent="0.45">
      <c r="A2475" t="str">
        <f>_xlfn.XLOOKUP(B2475,Ingot!$H$12:$H$119,Ingot!$G$12:$G$119,"")</f>
        <v>Metal</v>
      </c>
      <c r="B2475" t="s">
        <v>4794</v>
      </c>
      <c r="C2475" t="s">
        <v>157</v>
      </c>
      <c r="D2475" t="s">
        <v>4981</v>
      </c>
      <c r="E2475" t="s">
        <v>4982</v>
      </c>
      <c r="G2475" s="1">
        <v>33</v>
      </c>
    </row>
    <row r="2476" spans="1:7" ht="14.25" hidden="1" customHeight="1" x14ac:dyDescent="0.45">
      <c r="A2476" t="str">
        <f>_xlfn.XLOOKUP(B2476,Ingot!$H$12:$H$119,Ingot!$G$12:$G$119,"")</f>
        <v>Metal</v>
      </c>
      <c r="B2476" t="s">
        <v>4794</v>
      </c>
      <c r="C2476" t="s">
        <v>157</v>
      </c>
      <c r="D2476" t="s">
        <v>4983</v>
      </c>
      <c r="E2476" t="s">
        <v>4984</v>
      </c>
      <c r="G2476" s="1">
        <v>6.6</v>
      </c>
    </row>
    <row r="2477" spans="1:7" ht="14.25" hidden="1" customHeight="1" x14ac:dyDescent="0.45">
      <c r="A2477" t="str">
        <f>_xlfn.XLOOKUP(B2477,Ingot!$H$12:$H$119,Ingot!$G$12:$G$119,"")</f>
        <v>Metal</v>
      </c>
      <c r="B2477" t="s">
        <v>4794</v>
      </c>
      <c r="C2477" t="s">
        <v>157</v>
      </c>
      <c r="D2477" t="s">
        <v>4985</v>
      </c>
      <c r="E2477" t="s">
        <v>4986</v>
      </c>
      <c r="G2477" s="1">
        <v>6.6</v>
      </c>
    </row>
    <row r="2478" spans="1:7" ht="14.25" hidden="1" customHeight="1" x14ac:dyDescent="0.45">
      <c r="A2478" t="str">
        <f>_xlfn.XLOOKUP(B2478,Ingot!$H$12:$H$119,Ingot!$G$12:$G$119,"")</f>
        <v>Metal</v>
      </c>
      <c r="B2478" t="s">
        <v>4794</v>
      </c>
      <c r="C2478" t="s">
        <v>157</v>
      </c>
      <c r="D2478" t="s">
        <v>4987</v>
      </c>
      <c r="E2478" t="s">
        <v>4988</v>
      </c>
      <c r="G2478" s="1">
        <v>5</v>
      </c>
    </row>
    <row r="2479" spans="1:7" ht="14.25" hidden="1" customHeight="1" x14ac:dyDescent="0.45">
      <c r="A2479" t="str">
        <f>_xlfn.XLOOKUP(B2479,Ingot!$H$12:$H$119,Ingot!$G$12:$G$119,"")</f>
        <v>Metal</v>
      </c>
      <c r="B2479" t="s">
        <v>4794</v>
      </c>
      <c r="C2479" t="s">
        <v>157</v>
      </c>
      <c r="D2479" t="s">
        <v>4989</v>
      </c>
      <c r="E2479" t="s">
        <v>4990</v>
      </c>
      <c r="G2479" s="1">
        <v>10</v>
      </c>
    </row>
    <row r="2480" spans="1:7" ht="14.25" hidden="1" customHeight="1" x14ac:dyDescent="0.45">
      <c r="A2480" t="str">
        <f>_xlfn.XLOOKUP(B2480,Ingot!$H$12:$H$119,Ingot!$G$12:$G$119,"")</f>
        <v>Metal</v>
      </c>
      <c r="B2480" t="s">
        <v>4794</v>
      </c>
      <c r="C2480" t="s">
        <v>157</v>
      </c>
      <c r="D2480" t="s">
        <v>4991</v>
      </c>
      <c r="E2480" t="s">
        <v>4992</v>
      </c>
      <c r="G2480" s="1">
        <v>38</v>
      </c>
    </row>
    <row r="2481" spans="1:7" ht="14.25" hidden="1" customHeight="1" x14ac:dyDescent="0.45">
      <c r="A2481" t="str">
        <f>_xlfn.XLOOKUP(B2481,Ingot!$H$12:$H$119,Ingot!$G$12:$G$119,"")</f>
        <v>Metal</v>
      </c>
      <c r="B2481" t="s">
        <v>4794</v>
      </c>
      <c r="C2481" t="s">
        <v>157</v>
      </c>
      <c r="D2481" t="s">
        <v>4993</v>
      </c>
      <c r="E2481" t="s">
        <v>4994</v>
      </c>
      <c r="G2481" s="1">
        <v>7.6</v>
      </c>
    </row>
    <row r="2482" spans="1:7" ht="14.25" hidden="1" customHeight="1" x14ac:dyDescent="0.45">
      <c r="A2482" t="str">
        <f>_xlfn.XLOOKUP(B2482,Ingot!$H$12:$H$119,Ingot!$G$12:$G$119,"")</f>
        <v>Metal</v>
      </c>
      <c r="B2482" t="s">
        <v>4794</v>
      </c>
      <c r="C2482" t="s">
        <v>157</v>
      </c>
      <c r="D2482" t="s">
        <v>4995</v>
      </c>
      <c r="E2482" t="s">
        <v>4996</v>
      </c>
      <c r="G2482" s="1">
        <v>7.6</v>
      </c>
    </row>
    <row r="2483" spans="1:7" ht="14.25" hidden="1" customHeight="1" x14ac:dyDescent="0.45">
      <c r="A2483" t="str">
        <f>_xlfn.XLOOKUP(B2483,Ingot!$H$12:$H$119,Ingot!$G$12:$G$119,"")</f>
        <v>Metal</v>
      </c>
      <c r="B2483" t="s">
        <v>4794</v>
      </c>
      <c r="C2483" t="s">
        <v>157</v>
      </c>
      <c r="D2483" t="s">
        <v>4997</v>
      </c>
      <c r="E2483" t="s">
        <v>4998</v>
      </c>
      <c r="G2483" s="1">
        <v>5</v>
      </c>
    </row>
    <row r="2484" spans="1:7" ht="14.25" hidden="1" customHeight="1" x14ac:dyDescent="0.45">
      <c r="A2484" t="str">
        <f>_xlfn.XLOOKUP(B2484,Ingot!$H$12:$H$119,Ingot!$G$12:$G$119,"")</f>
        <v>Metal</v>
      </c>
      <c r="B2484" t="s">
        <v>4794</v>
      </c>
      <c r="C2484" t="s">
        <v>157</v>
      </c>
      <c r="D2484" t="s">
        <v>4999</v>
      </c>
      <c r="E2484" t="s">
        <v>5000</v>
      </c>
      <c r="G2484" s="1">
        <v>10</v>
      </c>
    </row>
    <row r="2485" spans="1:7" ht="14.25" hidden="1" customHeight="1" x14ac:dyDescent="0.45">
      <c r="A2485" t="str">
        <f>_xlfn.XLOOKUP(B2485,Ingot!$H$12:$H$119,Ingot!$G$12:$G$119,"")</f>
        <v>Metal</v>
      </c>
      <c r="B2485" t="s">
        <v>4794</v>
      </c>
      <c r="C2485" t="s">
        <v>157</v>
      </c>
      <c r="D2485" t="s">
        <v>5001</v>
      </c>
      <c r="E2485" t="s">
        <v>5002</v>
      </c>
      <c r="G2485" s="1">
        <v>37.5</v>
      </c>
    </row>
    <row r="2486" spans="1:7" ht="14.25" hidden="1" customHeight="1" x14ac:dyDescent="0.45">
      <c r="A2486" t="str">
        <f>_xlfn.XLOOKUP(B2486,Ingot!$H$12:$H$119,Ingot!$G$12:$G$119,"")</f>
        <v>Metal</v>
      </c>
      <c r="B2486" t="s">
        <v>4794</v>
      </c>
      <c r="C2486" t="s">
        <v>157</v>
      </c>
      <c r="D2486" t="s">
        <v>5003</v>
      </c>
      <c r="E2486" t="s">
        <v>5004</v>
      </c>
      <c r="G2486" s="1">
        <v>7.5</v>
      </c>
    </row>
    <row r="2487" spans="1:7" ht="14.25" hidden="1" customHeight="1" x14ac:dyDescent="0.45">
      <c r="A2487" t="str">
        <f>_xlfn.XLOOKUP(B2487,Ingot!$H$12:$H$119,Ingot!$G$12:$G$119,"")</f>
        <v>Metal</v>
      </c>
      <c r="B2487" t="s">
        <v>4794</v>
      </c>
      <c r="C2487" t="s">
        <v>157</v>
      </c>
      <c r="D2487" t="s">
        <v>5005</v>
      </c>
      <c r="E2487" t="s">
        <v>5006</v>
      </c>
      <c r="G2487" s="1">
        <v>7.5</v>
      </c>
    </row>
    <row r="2488" spans="1:7" ht="14.25" hidden="1" customHeight="1" x14ac:dyDescent="0.45">
      <c r="A2488" t="str">
        <f>_xlfn.XLOOKUP(B2488,Ingot!$H$12:$H$119,Ingot!$G$12:$G$119,"")</f>
        <v>Metal</v>
      </c>
      <c r="B2488" t="s">
        <v>4794</v>
      </c>
      <c r="C2488" t="s">
        <v>157</v>
      </c>
      <c r="D2488" t="s">
        <v>5007</v>
      </c>
      <c r="E2488" t="s">
        <v>5008</v>
      </c>
      <c r="G2488" s="1">
        <v>5</v>
      </c>
    </row>
    <row r="2489" spans="1:7" ht="14.25" hidden="1" customHeight="1" x14ac:dyDescent="0.45">
      <c r="A2489" t="str">
        <f>_xlfn.XLOOKUP(B2489,Ingot!$H$12:$H$119,Ingot!$G$12:$G$119,"")</f>
        <v>Metal</v>
      </c>
      <c r="B2489" t="s">
        <v>4794</v>
      </c>
      <c r="C2489" t="s">
        <v>157</v>
      </c>
      <c r="D2489" t="s">
        <v>5009</v>
      </c>
      <c r="E2489" t="s">
        <v>5010</v>
      </c>
      <c r="G2489" s="1">
        <v>10</v>
      </c>
    </row>
    <row r="2490" spans="1:7" ht="14.25" hidden="1" customHeight="1" x14ac:dyDescent="0.45">
      <c r="A2490" t="str">
        <f>_xlfn.XLOOKUP(B2490,Ingot!$H$12:$H$119,Ingot!$G$12:$G$119,"")</f>
        <v>Metal</v>
      </c>
      <c r="B2490" t="s">
        <v>4794</v>
      </c>
      <c r="C2490" t="s">
        <v>157</v>
      </c>
      <c r="D2490" t="s">
        <v>5011</v>
      </c>
      <c r="E2490" t="s">
        <v>5012</v>
      </c>
      <c r="G2490" s="1">
        <v>27</v>
      </c>
    </row>
    <row r="2491" spans="1:7" ht="14.25" hidden="1" customHeight="1" x14ac:dyDescent="0.45">
      <c r="A2491" t="str">
        <f>_xlfn.XLOOKUP(B2491,Ingot!$H$12:$H$119,Ingot!$G$12:$G$119,"")</f>
        <v>Metal</v>
      </c>
      <c r="B2491" t="s">
        <v>4794</v>
      </c>
      <c r="C2491" t="s">
        <v>157</v>
      </c>
      <c r="D2491" t="s">
        <v>5013</v>
      </c>
      <c r="E2491" t="s">
        <v>5014</v>
      </c>
      <c r="G2491" s="1">
        <v>5.4</v>
      </c>
    </row>
    <row r="2492" spans="1:7" ht="14.25" hidden="1" customHeight="1" x14ac:dyDescent="0.45">
      <c r="A2492" t="str">
        <f>_xlfn.XLOOKUP(B2492,Ingot!$H$12:$H$119,Ingot!$G$12:$G$119,"")</f>
        <v>Metal</v>
      </c>
      <c r="B2492" t="s">
        <v>4794</v>
      </c>
      <c r="C2492" t="s">
        <v>157</v>
      </c>
      <c r="D2492" t="s">
        <v>5015</v>
      </c>
      <c r="E2492" t="s">
        <v>5016</v>
      </c>
      <c r="G2492" s="1">
        <v>5.4</v>
      </c>
    </row>
    <row r="2493" spans="1:7" ht="14.25" hidden="1" customHeight="1" x14ac:dyDescent="0.45">
      <c r="A2493" t="str">
        <f>_xlfn.XLOOKUP(B2493,Ingot!$H$12:$H$119,Ingot!$G$12:$G$119,"")</f>
        <v>Metal</v>
      </c>
      <c r="B2493" t="s">
        <v>4794</v>
      </c>
      <c r="C2493" t="s">
        <v>157</v>
      </c>
      <c r="D2493" t="s">
        <v>5017</v>
      </c>
      <c r="E2493" t="s">
        <v>5018</v>
      </c>
      <c r="G2493" s="1">
        <v>5</v>
      </c>
    </row>
    <row r="2494" spans="1:7" ht="14.25" hidden="1" customHeight="1" x14ac:dyDescent="0.45">
      <c r="A2494" t="str">
        <f>_xlfn.XLOOKUP(B2494,Ingot!$H$12:$H$119,Ingot!$G$12:$G$119,"")</f>
        <v>Metal</v>
      </c>
      <c r="B2494" t="s">
        <v>4794</v>
      </c>
      <c r="C2494" t="s">
        <v>157</v>
      </c>
      <c r="D2494" t="s">
        <v>5019</v>
      </c>
      <c r="E2494" t="s">
        <v>5020</v>
      </c>
      <c r="G2494" s="1">
        <v>10</v>
      </c>
    </row>
    <row r="2495" spans="1:7" ht="14.25" hidden="1" customHeight="1" x14ac:dyDescent="0.45">
      <c r="A2495" t="str">
        <f>_xlfn.XLOOKUP(B2495,Ingot!$H$12:$H$119,Ingot!$G$12:$G$119,"")</f>
        <v>Metal</v>
      </c>
      <c r="B2495" t="s">
        <v>4794</v>
      </c>
      <c r="C2495" t="s">
        <v>239</v>
      </c>
      <c r="D2495" t="s">
        <v>5021</v>
      </c>
      <c r="E2495" t="s">
        <v>5022</v>
      </c>
    </row>
    <row r="2496" spans="1:7" ht="14.25" hidden="1" customHeight="1" x14ac:dyDescent="0.45">
      <c r="A2496" t="str">
        <f>_xlfn.XLOOKUP(B2496,Ingot!$H$12:$H$119,Ingot!$G$12:$G$119,"")</f>
        <v>Metal</v>
      </c>
      <c r="B2496" t="s">
        <v>4794</v>
      </c>
      <c r="C2496" t="s">
        <v>239</v>
      </c>
      <c r="D2496" t="s">
        <v>5023</v>
      </c>
      <c r="E2496" t="s">
        <v>5024</v>
      </c>
    </row>
    <row r="2497" spans="1:7" ht="14.25" hidden="1" customHeight="1" x14ac:dyDescent="0.45">
      <c r="A2497" t="str">
        <f>_xlfn.XLOOKUP(B2497,Ingot!$H$12:$H$119,Ingot!$G$12:$G$119,"")</f>
        <v>Metal</v>
      </c>
      <c r="B2497" t="s">
        <v>4794</v>
      </c>
      <c r="C2497" t="s">
        <v>239</v>
      </c>
      <c r="D2497" t="s">
        <v>5025</v>
      </c>
      <c r="E2497" t="s">
        <v>5026</v>
      </c>
    </row>
    <row r="2498" spans="1:7" ht="14.25" hidden="1" customHeight="1" x14ac:dyDescent="0.45">
      <c r="A2498" t="str">
        <f>_xlfn.XLOOKUP(B2498,Ingot!$H$12:$H$119,Ingot!$G$12:$G$119,"")</f>
        <v>Metal</v>
      </c>
      <c r="B2498" t="s">
        <v>4794</v>
      </c>
      <c r="C2498" t="s">
        <v>239</v>
      </c>
      <c r="D2498" t="s">
        <v>5027</v>
      </c>
      <c r="E2498" t="s">
        <v>5028</v>
      </c>
    </row>
    <row r="2499" spans="1:7" ht="14.25" hidden="1" customHeight="1" x14ac:dyDescent="0.45">
      <c r="A2499" t="str">
        <f>_xlfn.XLOOKUP(B2499,Ingot!$H$12:$H$119,Ingot!$G$12:$G$119,"")</f>
        <v>Metal</v>
      </c>
      <c r="B2499" t="s">
        <v>4794</v>
      </c>
      <c r="C2499" t="s">
        <v>239</v>
      </c>
      <c r="D2499" t="s">
        <v>5029</v>
      </c>
      <c r="E2499" t="s">
        <v>5030</v>
      </c>
    </row>
    <row r="2500" spans="1:7" ht="14.25" hidden="1" customHeight="1" x14ac:dyDescent="0.45">
      <c r="A2500" t="str">
        <f>_xlfn.XLOOKUP(B2500,Ingot!$H$12:$H$119,Ingot!$G$12:$G$119,"")</f>
        <v>Metal</v>
      </c>
      <c r="B2500" t="s">
        <v>4794</v>
      </c>
      <c r="C2500" t="s">
        <v>239</v>
      </c>
      <c r="D2500" t="s">
        <v>5031</v>
      </c>
      <c r="E2500" t="s">
        <v>5032</v>
      </c>
    </row>
    <row r="2501" spans="1:7" ht="14.25" hidden="1" customHeight="1" x14ac:dyDescent="0.45">
      <c r="A2501" t="str">
        <f>_xlfn.XLOOKUP(B2501,Ingot!$H$12:$H$119,Ingot!$G$12:$G$119,"")</f>
        <v>Metal</v>
      </c>
      <c r="B2501" t="s">
        <v>5033</v>
      </c>
      <c r="C2501" t="s">
        <v>10</v>
      </c>
      <c r="D2501" t="s">
        <v>5034</v>
      </c>
      <c r="E2501" t="s">
        <v>5035</v>
      </c>
      <c r="G2501" s="1">
        <v>0.08</v>
      </c>
    </row>
    <row r="2502" spans="1:7" ht="14.25" hidden="1" customHeight="1" x14ac:dyDescent="0.45">
      <c r="A2502" t="str">
        <f>_xlfn.XLOOKUP(B2502,Ingot!$H$12:$H$119,Ingot!$G$12:$G$119,"")</f>
        <v>Metal</v>
      </c>
      <c r="B2502" t="s">
        <v>5033</v>
      </c>
      <c r="C2502" t="s">
        <v>10</v>
      </c>
      <c r="D2502" t="s">
        <v>5036</v>
      </c>
      <c r="E2502" t="s">
        <v>5037</v>
      </c>
      <c r="G2502" s="1">
        <v>9.9</v>
      </c>
    </row>
    <row r="2503" spans="1:7" ht="14.25" hidden="1" customHeight="1" x14ac:dyDescent="0.45">
      <c r="A2503" t="str">
        <f>_xlfn.XLOOKUP(B2503,Ingot!$H$12:$H$119,Ingot!$G$12:$G$119,"")</f>
        <v>Metal</v>
      </c>
      <c r="B2503" t="s">
        <v>5033</v>
      </c>
      <c r="C2503" t="s">
        <v>10</v>
      </c>
      <c r="D2503" t="s">
        <v>5038</v>
      </c>
      <c r="E2503" t="s">
        <v>5039</v>
      </c>
      <c r="G2503" s="1">
        <v>5.66</v>
      </c>
    </row>
    <row r="2504" spans="1:7" ht="14.25" hidden="1" customHeight="1" x14ac:dyDescent="0.45">
      <c r="A2504" t="str">
        <f>_xlfn.XLOOKUP(B2504,Ingot!$H$12:$H$119,Ingot!$G$12:$G$119,"")</f>
        <v>Metal</v>
      </c>
      <c r="B2504" t="s">
        <v>5033</v>
      </c>
      <c r="C2504" t="s">
        <v>10</v>
      </c>
      <c r="D2504" t="s">
        <v>5040</v>
      </c>
      <c r="E2504" t="s">
        <v>5041</v>
      </c>
      <c r="G2504" s="1">
        <v>3.3</v>
      </c>
    </row>
    <row r="2505" spans="1:7" ht="14.25" hidden="1" customHeight="1" x14ac:dyDescent="0.45">
      <c r="A2505" t="str">
        <f>_xlfn.XLOOKUP(B2505,Ingot!$H$12:$H$119,Ingot!$G$12:$G$119,"")</f>
        <v>Metal</v>
      </c>
      <c r="B2505" t="s">
        <v>5033</v>
      </c>
      <c r="C2505" t="s">
        <v>10</v>
      </c>
      <c r="D2505" t="s">
        <v>5042</v>
      </c>
      <c r="E2505" t="s">
        <v>5043</v>
      </c>
      <c r="G2505" s="1">
        <v>0.66</v>
      </c>
    </row>
    <row r="2506" spans="1:7" ht="14.25" hidden="1" customHeight="1" x14ac:dyDescent="0.45">
      <c r="A2506" t="str">
        <f>_xlfn.XLOOKUP(B2506,Ingot!$H$12:$H$119,Ingot!$G$12:$G$119,"")</f>
        <v>Metal</v>
      </c>
      <c r="B2506" t="s">
        <v>5033</v>
      </c>
      <c r="C2506" t="s">
        <v>10</v>
      </c>
      <c r="D2506" t="s">
        <v>5044</v>
      </c>
      <c r="E2506" t="s">
        <v>5045</v>
      </c>
      <c r="G2506" s="1">
        <v>0.04</v>
      </c>
    </row>
    <row r="2507" spans="1:7" ht="14.25" hidden="1" customHeight="1" x14ac:dyDescent="0.45">
      <c r="A2507" t="str">
        <f>_xlfn.XLOOKUP(B2507,Ingot!$H$12:$H$119,Ingot!$G$12:$G$119,"")</f>
        <v>Metal</v>
      </c>
      <c r="B2507" t="s">
        <v>5033</v>
      </c>
      <c r="C2507" t="s">
        <v>10</v>
      </c>
      <c r="D2507" t="s">
        <v>5046</v>
      </c>
      <c r="E2507" t="s">
        <v>5047</v>
      </c>
      <c r="G2507" s="1">
        <v>0.33</v>
      </c>
    </row>
    <row r="2508" spans="1:7" ht="14.25" hidden="1" customHeight="1" x14ac:dyDescent="0.45">
      <c r="A2508" t="str">
        <f>_xlfn.XLOOKUP(B2508,Ingot!$H$12:$H$119,Ingot!$G$12:$G$119,"")</f>
        <v>Metal</v>
      </c>
      <c r="B2508" t="s">
        <v>5033</v>
      </c>
      <c r="C2508" t="s">
        <v>10</v>
      </c>
      <c r="D2508" t="s">
        <v>5048</v>
      </c>
      <c r="E2508" t="s">
        <v>5049</v>
      </c>
    </row>
    <row r="2509" spans="1:7" ht="14.25" hidden="1" customHeight="1" x14ac:dyDescent="0.45">
      <c r="A2509" t="str">
        <f>_xlfn.XLOOKUP(B2509,Ingot!$H$12:$H$119,Ingot!$G$12:$G$119,"")</f>
        <v>Metal</v>
      </c>
      <c r="B2509" t="s">
        <v>5033</v>
      </c>
      <c r="C2509" t="s">
        <v>10</v>
      </c>
      <c r="D2509" t="s">
        <v>5050</v>
      </c>
      <c r="E2509" t="s">
        <v>5051</v>
      </c>
      <c r="G2509" s="1">
        <v>0.05</v>
      </c>
    </row>
    <row r="2510" spans="1:7" ht="14.25" hidden="1" customHeight="1" x14ac:dyDescent="0.45">
      <c r="A2510" t="str">
        <f>_xlfn.XLOOKUP(B2510,Ingot!$H$12:$H$119,Ingot!$G$12:$G$119,"")</f>
        <v>Metal</v>
      </c>
      <c r="B2510" t="s">
        <v>5033</v>
      </c>
      <c r="C2510" t="s">
        <v>10</v>
      </c>
      <c r="D2510" t="s">
        <v>5052</v>
      </c>
      <c r="E2510" t="s">
        <v>5053</v>
      </c>
      <c r="G2510" s="1">
        <v>0.66</v>
      </c>
    </row>
    <row r="2511" spans="1:7" ht="14.25" hidden="1" customHeight="1" x14ac:dyDescent="0.45">
      <c r="A2511" t="str">
        <f>_xlfn.XLOOKUP(B2511,Ingot!$H$12:$H$119,Ingot!$G$12:$G$119,"")</f>
        <v>Metal</v>
      </c>
      <c r="B2511" t="s">
        <v>5033</v>
      </c>
      <c r="C2511" t="s">
        <v>10</v>
      </c>
      <c r="D2511" t="s">
        <v>5054</v>
      </c>
      <c r="E2511" t="s">
        <v>5055</v>
      </c>
      <c r="G2511" s="1">
        <v>3.96</v>
      </c>
    </row>
    <row r="2512" spans="1:7" ht="14.25" hidden="1" customHeight="1" x14ac:dyDescent="0.45">
      <c r="A2512" t="str">
        <f>_xlfn.XLOOKUP(B2512,Ingot!$H$12:$H$119,Ingot!$G$12:$G$119,"")</f>
        <v>Metal</v>
      </c>
      <c r="B2512" t="s">
        <v>5033</v>
      </c>
      <c r="C2512" t="s">
        <v>10</v>
      </c>
      <c r="D2512" t="s">
        <v>5056</v>
      </c>
      <c r="E2512" t="s">
        <v>5057</v>
      </c>
      <c r="G2512" s="1">
        <v>8.77</v>
      </c>
    </row>
    <row r="2513" spans="1:7" ht="14.25" hidden="1" customHeight="1" x14ac:dyDescent="0.45">
      <c r="A2513" t="str">
        <f>_xlfn.XLOOKUP(B2513,Ingot!$H$12:$H$119,Ingot!$G$12:$G$119,"")</f>
        <v>Metal</v>
      </c>
      <c r="B2513" t="s">
        <v>5033</v>
      </c>
      <c r="C2513" t="s">
        <v>10</v>
      </c>
      <c r="D2513" t="s">
        <v>5058</v>
      </c>
      <c r="E2513" t="s">
        <v>5059</v>
      </c>
      <c r="G2513" s="1">
        <v>3.5</v>
      </c>
    </row>
    <row r="2514" spans="1:7" ht="14.25" hidden="1" customHeight="1" x14ac:dyDescent="0.45">
      <c r="A2514" t="str">
        <f>_xlfn.XLOOKUP(B2514,Ingot!$H$12:$H$119,Ingot!$G$12:$G$119,"")</f>
        <v>Metal</v>
      </c>
      <c r="B2514" t="s">
        <v>5033</v>
      </c>
      <c r="C2514" t="s">
        <v>10</v>
      </c>
      <c r="D2514" t="s">
        <v>5060</v>
      </c>
      <c r="E2514" t="s">
        <v>5061</v>
      </c>
    </row>
    <row r="2515" spans="1:7" ht="14.25" hidden="1" customHeight="1" x14ac:dyDescent="0.45">
      <c r="A2515" t="str">
        <f>_xlfn.XLOOKUP(B2515,Ingot!$H$12:$H$119,Ingot!$G$12:$G$119,"")</f>
        <v>Metal</v>
      </c>
      <c r="B2515" t="s">
        <v>5033</v>
      </c>
      <c r="C2515" t="s">
        <v>10</v>
      </c>
      <c r="D2515" t="s">
        <v>5062</v>
      </c>
      <c r="E2515" t="s">
        <v>5063</v>
      </c>
      <c r="G2515" s="1">
        <v>2.2000000000000002</v>
      </c>
    </row>
    <row r="2516" spans="1:7" ht="14.25" hidden="1" customHeight="1" x14ac:dyDescent="0.45">
      <c r="A2516" t="str">
        <f>_xlfn.XLOOKUP(B2516,Ingot!$H$12:$H$119,Ingot!$G$12:$G$119,"")</f>
        <v>Metal</v>
      </c>
      <c r="B2516" t="s">
        <v>5033</v>
      </c>
      <c r="C2516" t="s">
        <v>10</v>
      </c>
      <c r="D2516" t="s">
        <v>5064</v>
      </c>
      <c r="E2516" t="s">
        <v>5065</v>
      </c>
      <c r="G2516" s="1">
        <v>1.1000000000000001</v>
      </c>
    </row>
    <row r="2517" spans="1:7" ht="14.25" hidden="1" customHeight="1" x14ac:dyDescent="0.45">
      <c r="A2517" t="str">
        <f>_xlfn.XLOOKUP(B2517,Ingot!$H$12:$H$119,Ingot!$G$12:$G$119,"")</f>
        <v>Metal</v>
      </c>
      <c r="B2517" t="s">
        <v>5033</v>
      </c>
      <c r="C2517" t="s">
        <v>10</v>
      </c>
      <c r="D2517" t="s">
        <v>5066</v>
      </c>
      <c r="E2517" t="s">
        <v>5067</v>
      </c>
      <c r="G2517" s="1">
        <v>0.22</v>
      </c>
    </row>
    <row r="2518" spans="1:7" ht="14.25" hidden="1" customHeight="1" x14ac:dyDescent="0.45">
      <c r="A2518" t="str">
        <f>_xlfn.XLOOKUP(B2518,Ingot!$H$12:$H$119,Ingot!$G$12:$G$119,"")</f>
        <v>Metal</v>
      </c>
      <c r="B2518" t="s">
        <v>5033</v>
      </c>
      <c r="C2518" t="s">
        <v>10</v>
      </c>
      <c r="D2518" t="s">
        <v>5068</v>
      </c>
      <c r="E2518" t="s">
        <v>5069</v>
      </c>
      <c r="G2518" s="1">
        <v>8.41</v>
      </c>
    </row>
    <row r="2519" spans="1:7" ht="14.25" hidden="1" customHeight="1" x14ac:dyDescent="0.45">
      <c r="A2519" t="str">
        <f>_xlfn.XLOOKUP(B2519,Ingot!$H$12:$H$119,Ingot!$G$12:$G$119,"")</f>
        <v>Metal</v>
      </c>
      <c r="B2519" t="s">
        <v>5033</v>
      </c>
      <c r="C2519" t="s">
        <v>10</v>
      </c>
      <c r="D2519" t="s">
        <v>5070</v>
      </c>
      <c r="E2519" t="s">
        <v>5071</v>
      </c>
      <c r="G2519" s="1">
        <v>3.64</v>
      </c>
    </row>
    <row r="2520" spans="1:7" ht="14.25" hidden="1" customHeight="1" x14ac:dyDescent="0.45">
      <c r="A2520" t="str">
        <f>_xlfn.XLOOKUP(B2520,Ingot!$H$12:$H$119,Ingot!$G$12:$G$119,"")</f>
        <v>Metal</v>
      </c>
      <c r="B2520" t="s">
        <v>5033</v>
      </c>
      <c r="C2520" t="s">
        <v>10</v>
      </c>
      <c r="D2520" t="s">
        <v>5072</v>
      </c>
      <c r="E2520" t="s">
        <v>5073</v>
      </c>
      <c r="G2520" s="1">
        <v>7.05</v>
      </c>
    </row>
    <row r="2521" spans="1:7" ht="14.25" hidden="1" customHeight="1" x14ac:dyDescent="0.45">
      <c r="A2521" t="str">
        <f>_xlfn.XLOOKUP(B2521,Ingot!$H$12:$H$119,Ingot!$G$12:$G$119,"")</f>
        <v>Metal</v>
      </c>
      <c r="B2521" t="s">
        <v>5033</v>
      </c>
      <c r="C2521" t="s">
        <v>10</v>
      </c>
      <c r="D2521" t="s">
        <v>5074</v>
      </c>
      <c r="E2521" t="s">
        <v>5075</v>
      </c>
      <c r="G2521" s="1">
        <v>2.65</v>
      </c>
    </row>
    <row r="2522" spans="1:7" ht="14.25" hidden="1" customHeight="1" x14ac:dyDescent="0.45">
      <c r="A2522" t="str">
        <f>_xlfn.XLOOKUP(B2522,Ingot!$H$12:$H$119,Ingot!$G$12:$G$119,"")</f>
        <v>Metal</v>
      </c>
      <c r="B2522" t="s">
        <v>5033</v>
      </c>
      <c r="C2522" t="s">
        <v>10</v>
      </c>
      <c r="D2522" t="s">
        <v>5076</v>
      </c>
      <c r="E2522" t="s">
        <v>5077</v>
      </c>
      <c r="G2522" s="1">
        <v>9</v>
      </c>
    </row>
    <row r="2523" spans="1:7" ht="14.25" hidden="1" customHeight="1" x14ac:dyDescent="0.45">
      <c r="A2523" t="str">
        <f>_xlfn.XLOOKUP(B2523,Ingot!$H$12:$H$119,Ingot!$G$12:$G$119,"")</f>
        <v>Metal</v>
      </c>
      <c r="B2523" t="s">
        <v>5033</v>
      </c>
      <c r="C2523" t="s">
        <v>10</v>
      </c>
      <c r="D2523" t="s">
        <v>5078</v>
      </c>
      <c r="E2523" t="s">
        <v>5079</v>
      </c>
      <c r="G2523" s="1">
        <v>10.23</v>
      </c>
    </row>
    <row r="2524" spans="1:7" ht="14.25" hidden="1" customHeight="1" x14ac:dyDescent="0.45">
      <c r="A2524" t="str">
        <f>_xlfn.XLOOKUP(B2524,Ingot!$H$12:$H$119,Ingot!$G$12:$G$119,"")</f>
        <v>Metal</v>
      </c>
      <c r="B2524" t="s">
        <v>5033</v>
      </c>
      <c r="C2524" t="s">
        <v>10</v>
      </c>
      <c r="D2524" t="s">
        <v>5080</v>
      </c>
      <c r="E2524" t="s">
        <v>5081</v>
      </c>
      <c r="G2524" s="1">
        <v>7.7</v>
      </c>
    </row>
    <row r="2525" spans="1:7" ht="14.25" hidden="1" customHeight="1" x14ac:dyDescent="0.45">
      <c r="A2525" t="str">
        <f>_xlfn.XLOOKUP(B2525,Ingot!$H$12:$H$119,Ingot!$G$12:$G$119,"")</f>
        <v>Metal</v>
      </c>
      <c r="B2525" t="s">
        <v>5033</v>
      </c>
      <c r="C2525" t="s">
        <v>10</v>
      </c>
      <c r="D2525" t="s">
        <v>5082</v>
      </c>
      <c r="E2525" t="s">
        <v>5083</v>
      </c>
      <c r="G2525" s="1">
        <v>10.02</v>
      </c>
    </row>
    <row r="2526" spans="1:7" ht="14.25" hidden="1" customHeight="1" x14ac:dyDescent="0.45">
      <c r="A2526" t="str">
        <f>_xlfn.XLOOKUP(B2526,Ingot!$H$12:$H$119,Ingot!$G$12:$G$119,"")</f>
        <v>Metal</v>
      </c>
      <c r="B2526" t="s">
        <v>5033</v>
      </c>
      <c r="C2526" t="s">
        <v>10</v>
      </c>
      <c r="D2526" t="s">
        <v>5084</v>
      </c>
      <c r="E2526" t="s">
        <v>5085</v>
      </c>
      <c r="G2526" s="1">
        <v>11.81</v>
      </c>
    </row>
    <row r="2527" spans="1:7" ht="14.25" hidden="1" customHeight="1" x14ac:dyDescent="0.45">
      <c r="A2527" t="str">
        <f>_xlfn.XLOOKUP(B2527,Ingot!$H$12:$H$119,Ingot!$G$12:$G$119,"")</f>
        <v>Metal</v>
      </c>
      <c r="B2527" t="s">
        <v>5033</v>
      </c>
      <c r="C2527" t="s">
        <v>10</v>
      </c>
      <c r="D2527" t="s">
        <v>5086</v>
      </c>
      <c r="E2527" t="s">
        <v>5087</v>
      </c>
      <c r="G2527" s="1">
        <v>8.44</v>
      </c>
    </row>
    <row r="2528" spans="1:7" ht="14.25" hidden="1" customHeight="1" x14ac:dyDescent="0.45">
      <c r="A2528" t="str">
        <f>_xlfn.XLOOKUP(B2528,Ingot!$H$12:$H$119,Ingot!$G$12:$G$119,"")</f>
        <v>Metal</v>
      </c>
      <c r="B2528" t="s">
        <v>5033</v>
      </c>
      <c r="C2528" t="s">
        <v>10</v>
      </c>
      <c r="D2528" t="s">
        <v>5088</v>
      </c>
      <c r="E2528" t="s">
        <v>5089</v>
      </c>
      <c r="G2528" s="1">
        <v>10.42</v>
      </c>
    </row>
    <row r="2529" spans="1:7" ht="14.25" hidden="1" customHeight="1" x14ac:dyDescent="0.45">
      <c r="A2529" t="str">
        <f>_xlfn.XLOOKUP(B2529,Ingot!$H$12:$H$119,Ingot!$G$12:$G$119,"")</f>
        <v>Metal</v>
      </c>
      <c r="B2529" t="s">
        <v>5033</v>
      </c>
      <c r="C2529" t="s">
        <v>10</v>
      </c>
      <c r="D2529" t="s">
        <v>5090</v>
      </c>
      <c r="E2529" t="s">
        <v>5091</v>
      </c>
    </row>
    <row r="2530" spans="1:7" ht="14.25" hidden="1" customHeight="1" x14ac:dyDescent="0.45">
      <c r="A2530" t="str">
        <f>_xlfn.XLOOKUP(B2530,Ingot!$H$12:$H$119,Ingot!$G$12:$G$119,"")</f>
        <v>Metal</v>
      </c>
      <c r="B2530" t="s">
        <v>5033</v>
      </c>
      <c r="C2530" t="s">
        <v>10</v>
      </c>
      <c r="D2530" t="s">
        <v>5092</v>
      </c>
      <c r="E2530" t="s">
        <v>5093</v>
      </c>
      <c r="G2530" s="1">
        <v>7.96</v>
      </c>
    </row>
    <row r="2531" spans="1:7" ht="14.25" hidden="1" customHeight="1" x14ac:dyDescent="0.45">
      <c r="A2531" t="str">
        <f>_xlfn.XLOOKUP(B2531,Ingot!$H$12:$H$119,Ingot!$G$12:$G$119,"")</f>
        <v>Metal</v>
      </c>
      <c r="B2531" t="s">
        <v>5033</v>
      </c>
      <c r="C2531" t="s">
        <v>10</v>
      </c>
      <c r="D2531" t="s">
        <v>5094</v>
      </c>
      <c r="E2531" t="s">
        <v>5095</v>
      </c>
      <c r="G2531" s="1">
        <v>9.64</v>
      </c>
    </row>
    <row r="2532" spans="1:7" ht="14.25" hidden="1" customHeight="1" x14ac:dyDescent="0.45">
      <c r="A2532" t="str">
        <f>_xlfn.XLOOKUP(B2532,Ingot!$H$12:$H$119,Ingot!$G$12:$G$119,"")</f>
        <v>Metal</v>
      </c>
      <c r="B2532" t="s">
        <v>5033</v>
      </c>
      <c r="C2532" t="s">
        <v>10</v>
      </c>
      <c r="D2532" t="s">
        <v>5096</v>
      </c>
      <c r="E2532" t="s">
        <v>5097</v>
      </c>
      <c r="G2532" s="1">
        <v>7.94</v>
      </c>
    </row>
    <row r="2533" spans="1:7" ht="14.25" hidden="1" customHeight="1" x14ac:dyDescent="0.45">
      <c r="A2533" t="str">
        <f>_xlfn.XLOOKUP(B2533,Ingot!$H$12:$H$119,Ingot!$G$12:$G$119,"")</f>
        <v>Metal</v>
      </c>
      <c r="B2533" t="s">
        <v>5033</v>
      </c>
      <c r="C2533" t="s">
        <v>10</v>
      </c>
      <c r="D2533" t="s">
        <v>5098</v>
      </c>
      <c r="E2533" t="s">
        <v>5099</v>
      </c>
      <c r="G2533" s="1">
        <v>8.66</v>
      </c>
    </row>
    <row r="2534" spans="1:7" ht="14.25" hidden="1" customHeight="1" x14ac:dyDescent="0.45">
      <c r="A2534" t="str">
        <f>_xlfn.XLOOKUP(B2534,Ingot!$H$12:$H$119,Ingot!$G$12:$G$119,"")</f>
        <v>Metal</v>
      </c>
      <c r="B2534" t="s">
        <v>5033</v>
      </c>
      <c r="C2534" t="s">
        <v>10</v>
      </c>
      <c r="D2534" t="s">
        <v>5100</v>
      </c>
      <c r="E2534" t="s">
        <v>5101</v>
      </c>
    </row>
    <row r="2535" spans="1:7" ht="14.25" hidden="1" customHeight="1" x14ac:dyDescent="0.45">
      <c r="A2535" t="str">
        <f>_xlfn.XLOOKUP(B2535,Ingot!$H$12:$H$119,Ingot!$G$12:$G$119,"")</f>
        <v>Metal</v>
      </c>
      <c r="B2535" t="s">
        <v>5033</v>
      </c>
      <c r="C2535" t="s">
        <v>10</v>
      </c>
      <c r="D2535" t="s">
        <v>5102</v>
      </c>
      <c r="E2535" t="s">
        <v>5103</v>
      </c>
      <c r="G2535" s="1">
        <v>2.65</v>
      </c>
    </row>
    <row r="2536" spans="1:7" ht="14.25" hidden="1" customHeight="1" x14ac:dyDescent="0.45">
      <c r="A2536" t="str">
        <f>_xlfn.XLOOKUP(B2536,Ingot!$H$12:$H$119,Ingot!$G$12:$G$119,"")</f>
        <v>Metal</v>
      </c>
      <c r="B2536" t="s">
        <v>5033</v>
      </c>
      <c r="C2536" t="s">
        <v>10</v>
      </c>
      <c r="D2536" t="s">
        <v>5104</v>
      </c>
      <c r="E2536" t="s">
        <v>5105</v>
      </c>
    </row>
    <row r="2537" spans="1:7" ht="14.25" hidden="1" customHeight="1" x14ac:dyDescent="0.45">
      <c r="A2537" t="str">
        <f>_xlfn.XLOOKUP(B2537,Ingot!$H$12:$H$119,Ingot!$G$12:$G$119,"")</f>
        <v>Metal</v>
      </c>
      <c r="B2537" t="s">
        <v>5033</v>
      </c>
      <c r="C2537" t="s">
        <v>10</v>
      </c>
      <c r="D2537" t="s">
        <v>5106</v>
      </c>
      <c r="E2537" t="s">
        <v>5107</v>
      </c>
      <c r="G2537" s="1">
        <v>12.64</v>
      </c>
    </row>
    <row r="2538" spans="1:7" ht="14.25" hidden="1" customHeight="1" x14ac:dyDescent="0.45">
      <c r="A2538" t="str">
        <f>_xlfn.XLOOKUP(B2538,Ingot!$H$12:$H$119,Ingot!$G$12:$G$119,"")</f>
        <v>Metal</v>
      </c>
      <c r="B2538" t="s">
        <v>5033</v>
      </c>
      <c r="C2538" t="s">
        <v>10</v>
      </c>
      <c r="D2538" t="s">
        <v>5108</v>
      </c>
      <c r="E2538" t="s">
        <v>5109</v>
      </c>
      <c r="G2538" s="1">
        <v>22.67</v>
      </c>
    </row>
    <row r="2539" spans="1:7" ht="14.25" hidden="1" customHeight="1" x14ac:dyDescent="0.45">
      <c r="A2539" t="str">
        <f>_xlfn.XLOOKUP(B2539,Ingot!$H$12:$H$119,Ingot!$G$12:$G$119,"")</f>
        <v>Metal</v>
      </c>
      <c r="B2539" t="s">
        <v>5033</v>
      </c>
      <c r="C2539" t="s">
        <v>10</v>
      </c>
      <c r="D2539" t="s">
        <v>5110</v>
      </c>
      <c r="E2539" t="s">
        <v>5111</v>
      </c>
      <c r="G2539" s="1">
        <v>8.3800000000000008</v>
      </c>
    </row>
    <row r="2540" spans="1:7" ht="14.25" hidden="1" customHeight="1" x14ac:dyDescent="0.45">
      <c r="A2540" t="str">
        <f>_xlfn.XLOOKUP(B2540,Ingot!$H$12:$H$119,Ingot!$G$12:$G$119,"")</f>
        <v>Metal</v>
      </c>
      <c r="B2540" t="s">
        <v>5033</v>
      </c>
      <c r="C2540" t="s">
        <v>10</v>
      </c>
      <c r="D2540" t="s">
        <v>5112</v>
      </c>
      <c r="E2540" t="s">
        <v>5113</v>
      </c>
      <c r="G2540" s="1">
        <v>2.2000000000000002</v>
      </c>
    </row>
    <row r="2541" spans="1:7" ht="14.25" hidden="1" customHeight="1" x14ac:dyDescent="0.45">
      <c r="A2541" t="str">
        <f>_xlfn.XLOOKUP(B2541,Ingot!$H$12:$H$119,Ingot!$G$12:$G$119,"")</f>
        <v>Metal</v>
      </c>
      <c r="B2541" t="s">
        <v>5033</v>
      </c>
      <c r="C2541" t="s">
        <v>10</v>
      </c>
      <c r="D2541" t="s">
        <v>5114</v>
      </c>
      <c r="E2541" t="s">
        <v>5115</v>
      </c>
      <c r="G2541" s="1">
        <v>3.09</v>
      </c>
    </row>
    <row r="2542" spans="1:7" ht="14.25" hidden="1" customHeight="1" x14ac:dyDescent="0.45">
      <c r="A2542" t="str">
        <f>_xlfn.XLOOKUP(B2542,Ingot!$H$12:$H$119,Ingot!$G$12:$G$119,"")</f>
        <v>Metal</v>
      </c>
      <c r="B2542" t="s">
        <v>5033</v>
      </c>
      <c r="C2542" t="s">
        <v>10</v>
      </c>
      <c r="D2542" t="s">
        <v>5116</v>
      </c>
      <c r="E2542" t="s">
        <v>5117</v>
      </c>
      <c r="G2542" s="1">
        <v>2.2999999999999998</v>
      </c>
    </row>
    <row r="2543" spans="1:7" ht="14.25" hidden="1" customHeight="1" x14ac:dyDescent="0.45">
      <c r="A2543" t="str">
        <f>_xlfn.XLOOKUP(B2543,Ingot!$H$12:$H$119,Ingot!$G$12:$G$119,"")</f>
        <v>Metal</v>
      </c>
      <c r="B2543" t="s">
        <v>5033</v>
      </c>
      <c r="C2543" t="s">
        <v>10</v>
      </c>
      <c r="D2543" t="s">
        <v>5118</v>
      </c>
      <c r="E2543" t="s">
        <v>5119</v>
      </c>
      <c r="G2543" s="1">
        <v>4.88</v>
      </c>
    </row>
    <row r="2544" spans="1:7" ht="14.25" hidden="1" customHeight="1" x14ac:dyDescent="0.45">
      <c r="A2544" t="str">
        <f>_xlfn.XLOOKUP(B2544,Ingot!$H$12:$H$119,Ingot!$G$12:$G$119,"")</f>
        <v>Metal</v>
      </c>
      <c r="B2544" t="s">
        <v>5033</v>
      </c>
      <c r="C2544" t="s">
        <v>10</v>
      </c>
      <c r="D2544" t="s">
        <v>5120</v>
      </c>
      <c r="E2544" t="s">
        <v>5121</v>
      </c>
      <c r="G2544" s="1">
        <v>8.43</v>
      </c>
    </row>
    <row r="2545" spans="1:7" ht="14.25" hidden="1" customHeight="1" x14ac:dyDescent="0.45">
      <c r="A2545" t="str">
        <f>_xlfn.XLOOKUP(B2545,Ingot!$H$12:$H$119,Ingot!$G$12:$G$119,"")</f>
        <v>Metal</v>
      </c>
      <c r="B2545" t="s">
        <v>5033</v>
      </c>
      <c r="C2545" t="s">
        <v>10</v>
      </c>
      <c r="D2545" t="s">
        <v>5122</v>
      </c>
      <c r="E2545" t="s">
        <v>5123</v>
      </c>
      <c r="G2545" s="1">
        <v>13.07</v>
      </c>
    </row>
    <row r="2546" spans="1:7" ht="14.25" hidden="1" customHeight="1" x14ac:dyDescent="0.45">
      <c r="A2546" t="str">
        <f>_xlfn.XLOOKUP(B2546,Ingot!$H$12:$H$119,Ingot!$G$12:$G$119,"")</f>
        <v>Metal</v>
      </c>
      <c r="B2546" t="s">
        <v>5033</v>
      </c>
      <c r="C2546" t="s">
        <v>10</v>
      </c>
      <c r="D2546" t="s">
        <v>5124</v>
      </c>
      <c r="E2546" t="s">
        <v>5125</v>
      </c>
    </row>
    <row r="2547" spans="1:7" ht="14.25" hidden="1" customHeight="1" x14ac:dyDescent="0.45">
      <c r="A2547" t="str">
        <f>_xlfn.XLOOKUP(B2547,Ingot!$H$12:$H$119,Ingot!$G$12:$G$119,"")</f>
        <v>Metal</v>
      </c>
      <c r="B2547" t="s">
        <v>5033</v>
      </c>
      <c r="C2547" t="s">
        <v>10</v>
      </c>
      <c r="D2547" t="s">
        <v>5126</v>
      </c>
      <c r="E2547" t="s">
        <v>5127</v>
      </c>
    </row>
    <row r="2548" spans="1:7" ht="14.25" hidden="1" customHeight="1" x14ac:dyDescent="0.45">
      <c r="A2548" t="str">
        <f>_xlfn.XLOOKUP(B2548,Ingot!$H$12:$H$119,Ingot!$G$12:$G$119,"")</f>
        <v>Metal</v>
      </c>
      <c r="B2548" t="s">
        <v>5033</v>
      </c>
      <c r="C2548" t="s">
        <v>10</v>
      </c>
      <c r="D2548" t="s">
        <v>5128</v>
      </c>
      <c r="E2548" t="s">
        <v>5129</v>
      </c>
      <c r="G2548" s="1">
        <v>6.8</v>
      </c>
    </row>
    <row r="2549" spans="1:7" ht="14.25" hidden="1" customHeight="1" x14ac:dyDescent="0.45">
      <c r="A2549" t="str">
        <f>_xlfn.XLOOKUP(B2549,Ingot!$H$12:$H$119,Ingot!$G$12:$G$119,"")</f>
        <v>Metal</v>
      </c>
      <c r="B2549" t="s">
        <v>5033</v>
      </c>
      <c r="C2549" t="s">
        <v>10</v>
      </c>
      <c r="D2549" t="s">
        <v>5130</v>
      </c>
      <c r="E2549" t="s">
        <v>5131</v>
      </c>
      <c r="G2549" s="1">
        <v>6.88</v>
      </c>
    </row>
    <row r="2550" spans="1:7" ht="14.25" hidden="1" customHeight="1" x14ac:dyDescent="0.45">
      <c r="A2550" t="str">
        <f>_xlfn.XLOOKUP(B2550,Ingot!$H$12:$H$119,Ingot!$G$12:$G$119,"")</f>
        <v>Metal</v>
      </c>
      <c r="B2550" t="s">
        <v>5033</v>
      </c>
      <c r="C2550" t="s">
        <v>10</v>
      </c>
      <c r="D2550" t="s">
        <v>5132</v>
      </c>
      <c r="E2550" t="s">
        <v>5133</v>
      </c>
      <c r="G2550" s="1">
        <v>5.5</v>
      </c>
    </row>
    <row r="2551" spans="1:7" ht="14.25" hidden="1" customHeight="1" x14ac:dyDescent="0.45">
      <c r="A2551" t="str">
        <f>_xlfn.XLOOKUP(B2551,Ingot!$H$12:$H$119,Ingot!$G$12:$G$119,"")</f>
        <v>Metal</v>
      </c>
      <c r="B2551" t="s">
        <v>5033</v>
      </c>
      <c r="C2551" t="s">
        <v>10</v>
      </c>
      <c r="D2551" t="s">
        <v>5134</v>
      </c>
      <c r="E2551" t="s">
        <v>5135</v>
      </c>
      <c r="G2551" s="1">
        <v>2.4300000000000002</v>
      </c>
    </row>
    <row r="2552" spans="1:7" ht="14.25" hidden="1" customHeight="1" x14ac:dyDescent="0.45">
      <c r="A2552" t="str">
        <f>_xlfn.XLOOKUP(B2552,Ingot!$H$12:$H$119,Ingot!$G$12:$G$119,"")</f>
        <v>Metal</v>
      </c>
      <c r="B2552" t="s">
        <v>5033</v>
      </c>
      <c r="C2552" t="s">
        <v>10</v>
      </c>
      <c r="D2552" t="s">
        <v>5136</v>
      </c>
      <c r="E2552" t="s">
        <v>5137</v>
      </c>
      <c r="G2552" s="1">
        <v>6.96</v>
      </c>
    </row>
    <row r="2553" spans="1:7" ht="14.25" hidden="1" customHeight="1" x14ac:dyDescent="0.45">
      <c r="A2553" t="str">
        <f>_xlfn.XLOOKUP(B2553,Ingot!$H$12:$H$119,Ingot!$G$12:$G$119,"")</f>
        <v>Metal</v>
      </c>
      <c r="B2553" t="s">
        <v>5033</v>
      </c>
      <c r="C2553" t="s">
        <v>10</v>
      </c>
      <c r="D2553" t="s">
        <v>5138</v>
      </c>
      <c r="E2553" t="s">
        <v>5139</v>
      </c>
      <c r="G2553" s="1">
        <v>6.32</v>
      </c>
    </row>
    <row r="2554" spans="1:7" ht="14.25" hidden="1" customHeight="1" x14ac:dyDescent="0.45">
      <c r="A2554" t="str">
        <f>_xlfn.XLOOKUP(B2554,Ingot!$H$12:$H$119,Ingot!$G$12:$G$119,"")</f>
        <v>Metal</v>
      </c>
      <c r="B2554" t="s">
        <v>5033</v>
      </c>
      <c r="C2554" t="s">
        <v>10</v>
      </c>
      <c r="D2554" t="s">
        <v>5140</v>
      </c>
      <c r="E2554" t="s">
        <v>5141</v>
      </c>
      <c r="G2554" s="1">
        <v>6.88</v>
      </c>
    </row>
    <row r="2555" spans="1:7" ht="14.25" hidden="1" customHeight="1" x14ac:dyDescent="0.45">
      <c r="A2555" t="str">
        <f>_xlfn.XLOOKUP(B2555,Ingot!$H$12:$H$119,Ingot!$G$12:$G$119,"")</f>
        <v>Metal</v>
      </c>
      <c r="B2555" t="s">
        <v>5033</v>
      </c>
      <c r="C2555" t="s">
        <v>10</v>
      </c>
      <c r="D2555" t="s">
        <v>5142</v>
      </c>
      <c r="E2555" t="s">
        <v>5143</v>
      </c>
      <c r="G2555" s="1">
        <v>2.44</v>
      </c>
    </row>
    <row r="2556" spans="1:7" ht="14.25" hidden="1" customHeight="1" x14ac:dyDescent="0.45">
      <c r="A2556" t="str">
        <f>_xlfn.XLOOKUP(B2556,Ingot!$H$12:$H$119,Ingot!$G$12:$G$119,"")</f>
        <v>Metal</v>
      </c>
      <c r="B2556" t="s">
        <v>5033</v>
      </c>
      <c r="C2556" t="s">
        <v>10</v>
      </c>
      <c r="D2556" t="s">
        <v>5144</v>
      </c>
      <c r="E2556" t="s">
        <v>5145</v>
      </c>
    </row>
    <row r="2557" spans="1:7" ht="14.25" hidden="1" customHeight="1" x14ac:dyDescent="0.45">
      <c r="A2557" t="str">
        <f>_xlfn.XLOOKUP(B2557,Ingot!$H$12:$H$119,Ingot!$G$12:$G$119,"")</f>
        <v>Metal</v>
      </c>
      <c r="B2557" t="s">
        <v>5033</v>
      </c>
      <c r="C2557" t="s">
        <v>10</v>
      </c>
      <c r="D2557" t="s">
        <v>5146</v>
      </c>
      <c r="E2557" t="s">
        <v>5147</v>
      </c>
    </row>
    <row r="2558" spans="1:7" ht="14.25" hidden="1" customHeight="1" x14ac:dyDescent="0.45">
      <c r="A2558" t="str">
        <f>_xlfn.XLOOKUP(B2558,Ingot!$H$12:$H$119,Ingot!$G$12:$G$119,"")</f>
        <v>Metal</v>
      </c>
      <c r="B2558" t="s">
        <v>5033</v>
      </c>
      <c r="C2558" t="s">
        <v>10</v>
      </c>
      <c r="D2558" t="s">
        <v>5148</v>
      </c>
      <c r="E2558" t="s">
        <v>5149</v>
      </c>
      <c r="G2558" s="1">
        <v>3.11</v>
      </c>
    </row>
    <row r="2559" spans="1:7" ht="14.25" hidden="1" customHeight="1" x14ac:dyDescent="0.45">
      <c r="A2559" t="str">
        <f>_xlfn.XLOOKUP(B2559,Ingot!$H$12:$H$119,Ingot!$G$12:$G$119,"")</f>
        <v>Metal</v>
      </c>
      <c r="B2559" t="s">
        <v>5033</v>
      </c>
      <c r="C2559" t="s">
        <v>10</v>
      </c>
      <c r="D2559" t="s">
        <v>5150</v>
      </c>
      <c r="E2559" t="s">
        <v>5151</v>
      </c>
      <c r="G2559" s="1">
        <v>2.44</v>
      </c>
    </row>
    <row r="2560" spans="1:7" ht="14.25" hidden="1" customHeight="1" x14ac:dyDescent="0.45">
      <c r="A2560" t="str">
        <f>_xlfn.XLOOKUP(B2560,Ingot!$H$12:$H$119,Ingot!$G$12:$G$119,"")</f>
        <v>Metal</v>
      </c>
      <c r="B2560" t="s">
        <v>5033</v>
      </c>
      <c r="C2560" t="s">
        <v>10</v>
      </c>
      <c r="D2560" t="s">
        <v>5152</v>
      </c>
      <c r="E2560" t="s">
        <v>5153</v>
      </c>
      <c r="G2560" s="1">
        <v>8.61</v>
      </c>
    </row>
    <row r="2561" spans="1:7" ht="14.25" hidden="1" customHeight="1" x14ac:dyDescent="0.45">
      <c r="A2561" t="str">
        <f>_xlfn.XLOOKUP(B2561,Ingot!$H$12:$H$119,Ingot!$G$12:$G$119,"")</f>
        <v>Metal</v>
      </c>
      <c r="B2561" t="s">
        <v>5033</v>
      </c>
      <c r="C2561" t="s">
        <v>10</v>
      </c>
      <c r="D2561" t="s">
        <v>5154</v>
      </c>
      <c r="E2561" t="s">
        <v>5155</v>
      </c>
    </row>
    <row r="2562" spans="1:7" ht="14.25" hidden="1" customHeight="1" x14ac:dyDescent="0.45">
      <c r="A2562" t="str">
        <f>_xlfn.XLOOKUP(B2562,Ingot!$H$12:$H$119,Ingot!$G$12:$G$119,"")</f>
        <v>Metal</v>
      </c>
      <c r="B2562" t="s">
        <v>5033</v>
      </c>
      <c r="C2562" t="s">
        <v>10</v>
      </c>
      <c r="D2562" t="s">
        <v>5156</v>
      </c>
      <c r="E2562" t="s">
        <v>5157</v>
      </c>
      <c r="G2562" s="1">
        <v>3.21</v>
      </c>
    </row>
    <row r="2563" spans="1:7" ht="14.25" hidden="1" customHeight="1" x14ac:dyDescent="0.45">
      <c r="A2563" t="str">
        <f>_xlfn.XLOOKUP(B2563,Ingot!$H$12:$H$119,Ingot!$G$12:$G$119,"")</f>
        <v>Metal</v>
      </c>
      <c r="B2563" t="s">
        <v>5033</v>
      </c>
      <c r="C2563" t="s">
        <v>10</v>
      </c>
      <c r="D2563" t="s">
        <v>5158</v>
      </c>
      <c r="E2563" t="s">
        <v>5159</v>
      </c>
      <c r="G2563" s="1">
        <v>2.77</v>
      </c>
    </row>
    <row r="2564" spans="1:7" ht="14.25" hidden="1" customHeight="1" x14ac:dyDescent="0.45">
      <c r="A2564" t="str">
        <f>_xlfn.XLOOKUP(B2564,Ingot!$H$12:$H$119,Ingot!$G$12:$G$119,"")</f>
        <v>Metal</v>
      </c>
      <c r="B2564" t="s">
        <v>5033</v>
      </c>
      <c r="C2564" t="s">
        <v>10</v>
      </c>
      <c r="D2564" t="s">
        <v>5160</v>
      </c>
      <c r="E2564" t="s">
        <v>5161</v>
      </c>
      <c r="G2564" s="1">
        <v>4.8899999999999997</v>
      </c>
    </row>
    <row r="2565" spans="1:7" ht="14.25" hidden="1" customHeight="1" x14ac:dyDescent="0.45">
      <c r="A2565" t="str">
        <f>_xlfn.XLOOKUP(B2565,Ingot!$H$12:$H$119,Ingot!$G$12:$G$119,"")</f>
        <v>Metal</v>
      </c>
      <c r="B2565" t="s">
        <v>5033</v>
      </c>
      <c r="C2565" t="s">
        <v>10</v>
      </c>
      <c r="D2565" t="s">
        <v>5162</v>
      </c>
      <c r="E2565" t="s">
        <v>5163</v>
      </c>
      <c r="G2565" s="1">
        <v>1.76</v>
      </c>
    </row>
    <row r="2566" spans="1:7" ht="14.25" hidden="1" customHeight="1" x14ac:dyDescent="0.45">
      <c r="A2566" t="str">
        <f>_xlfn.XLOOKUP(B2566,Ingot!$H$12:$H$119,Ingot!$G$12:$G$119,"")</f>
        <v>Metal</v>
      </c>
      <c r="B2566" t="s">
        <v>5033</v>
      </c>
      <c r="C2566" t="s">
        <v>10</v>
      </c>
      <c r="D2566" t="s">
        <v>5164</v>
      </c>
      <c r="E2566" t="s">
        <v>5165</v>
      </c>
    </row>
    <row r="2567" spans="1:7" ht="14.25" hidden="1" customHeight="1" x14ac:dyDescent="0.45">
      <c r="A2567" t="str">
        <f>_xlfn.XLOOKUP(B2567,Ingot!$H$12:$H$119,Ingot!$G$12:$G$119,"")</f>
        <v>Metal</v>
      </c>
      <c r="B2567" t="s">
        <v>5033</v>
      </c>
      <c r="C2567" t="s">
        <v>10</v>
      </c>
      <c r="D2567" t="s">
        <v>5166</v>
      </c>
      <c r="E2567" t="s">
        <v>5167</v>
      </c>
      <c r="G2567" s="1">
        <v>8.57</v>
      </c>
    </row>
    <row r="2568" spans="1:7" ht="14.25" hidden="1" customHeight="1" x14ac:dyDescent="0.45">
      <c r="A2568" t="str">
        <f>_xlfn.XLOOKUP(B2568,Ingot!$H$12:$H$119,Ingot!$G$12:$G$119,"")</f>
        <v>Metal</v>
      </c>
      <c r="B2568" t="s">
        <v>5033</v>
      </c>
      <c r="C2568" t="s">
        <v>10</v>
      </c>
      <c r="D2568" t="s">
        <v>5168</v>
      </c>
      <c r="E2568" t="s">
        <v>5169</v>
      </c>
    </row>
    <row r="2569" spans="1:7" ht="14.25" hidden="1" customHeight="1" x14ac:dyDescent="0.45">
      <c r="A2569" t="str">
        <f>_xlfn.XLOOKUP(B2569,Ingot!$H$12:$H$119,Ingot!$G$12:$G$119,"")</f>
        <v>Metal</v>
      </c>
      <c r="B2569" t="s">
        <v>5033</v>
      </c>
      <c r="C2569" t="s">
        <v>10</v>
      </c>
      <c r="D2569" t="s">
        <v>5170</v>
      </c>
      <c r="E2569" t="s">
        <v>5171</v>
      </c>
      <c r="G2569" s="1">
        <v>3.56</v>
      </c>
    </row>
    <row r="2570" spans="1:7" ht="14.25" hidden="1" customHeight="1" x14ac:dyDescent="0.45">
      <c r="A2570" t="str">
        <f>_xlfn.XLOOKUP(B2570,Ingot!$H$12:$H$119,Ingot!$G$12:$G$119,"")</f>
        <v>Metal</v>
      </c>
      <c r="B2570" t="s">
        <v>5033</v>
      </c>
      <c r="C2570" t="s">
        <v>10</v>
      </c>
      <c r="D2570" t="s">
        <v>5172</v>
      </c>
      <c r="E2570" t="s">
        <v>5173</v>
      </c>
      <c r="G2570" s="1">
        <v>8.91</v>
      </c>
    </row>
    <row r="2571" spans="1:7" ht="14.25" hidden="1" customHeight="1" x14ac:dyDescent="0.45">
      <c r="A2571" t="str">
        <f>_xlfn.XLOOKUP(B2571,Ingot!$H$12:$H$119,Ingot!$G$12:$G$119,"")</f>
        <v>Metal</v>
      </c>
      <c r="B2571" t="s">
        <v>5033</v>
      </c>
      <c r="C2571" t="s">
        <v>10</v>
      </c>
      <c r="D2571" t="s">
        <v>5174</v>
      </c>
      <c r="E2571" t="s">
        <v>5175</v>
      </c>
      <c r="G2571" s="1">
        <v>11.02</v>
      </c>
    </row>
    <row r="2572" spans="1:7" ht="14.25" hidden="1" customHeight="1" x14ac:dyDescent="0.45">
      <c r="A2572" t="str">
        <f>_xlfn.XLOOKUP(B2572,Ingot!$H$12:$H$119,Ingot!$G$12:$G$119,"")</f>
        <v>Metal</v>
      </c>
      <c r="B2572" t="s">
        <v>5033</v>
      </c>
      <c r="C2572" t="s">
        <v>10</v>
      </c>
      <c r="D2572" t="s">
        <v>5176</v>
      </c>
      <c r="E2572" t="s">
        <v>5177</v>
      </c>
      <c r="G2572" s="1">
        <v>5.12</v>
      </c>
    </row>
    <row r="2573" spans="1:7" ht="14.25" hidden="1" customHeight="1" x14ac:dyDescent="0.45">
      <c r="A2573" t="str">
        <f>_xlfn.XLOOKUP(B2573,Ingot!$H$12:$H$119,Ingot!$G$12:$G$119,"")</f>
        <v>Metal</v>
      </c>
      <c r="B2573" t="s">
        <v>5033</v>
      </c>
      <c r="C2573" t="s">
        <v>10</v>
      </c>
      <c r="D2573" t="s">
        <v>5178</v>
      </c>
      <c r="E2573" t="s">
        <v>5179</v>
      </c>
      <c r="G2573" s="1">
        <v>4.41</v>
      </c>
    </row>
    <row r="2574" spans="1:7" ht="14.25" hidden="1" customHeight="1" x14ac:dyDescent="0.45">
      <c r="A2574" t="str">
        <f>_xlfn.XLOOKUP(B2574,Ingot!$H$12:$H$119,Ingot!$G$12:$G$119,"")</f>
        <v>Metal</v>
      </c>
      <c r="B2574" t="s">
        <v>5033</v>
      </c>
      <c r="C2574" t="s">
        <v>157</v>
      </c>
      <c r="D2574" t="s">
        <v>5180</v>
      </c>
      <c r="E2574" t="s">
        <v>5181</v>
      </c>
      <c r="G2574" s="1">
        <v>33.93</v>
      </c>
    </row>
    <row r="2575" spans="1:7" ht="14.25" hidden="1" customHeight="1" x14ac:dyDescent="0.45">
      <c r="A2575" t="str">
        <f>_xlfn.XLOOKUP(B2575,Ingot!$H$12:$H$119,Ingot!$G$12:$G$119,"")</f>
        <v>Metal</v>
      </c>
      <c r="B2575" t="s">
        <v>5033</v>
      </c>
      <c r="C2575" t="s">
        <v>157</v>
      </c>
      <c r="D2575" t="s">
        <v>5182</v>
      </c>
      <c r="E2575" t="s">
        <v>5183</v>
      </c>
      <c r="G2575" s="1">
        <v>6.79</v>
      </c>
    </row>
    <row r="2576" spans="1:7" ht="14.25" hidden="1" customHeight="1" x14ac:dyDescent="0.45">
      <c r="A2576" t="str">
        <f>_xlfn.XLOOKUP(B2576,Ingot!$H$12:$H$119,Ingot!$G$12:$G$119,"")</f>
        <v>Metal</v>
      </c>
      <c r="B2576" t="s">
        <v>5033</v>
      </c>
      <c r="C2576" t="s">
        <v>157</v>
      </c>
      <c r="D2576" t="s">
        <v>5184</v>
      </c>
      <c r="E2576" t="s">
        <v>5185</v>
      </c>
      <c r="G2576" s="1">
        <v>6.79</v>
      </c>
    </row>
    <row r="2577" spans="1:7" ht="14.25" hidden="1" customHeight="1" x14ac:dyDescent="0.45">
      <c r="A2577" t="str">
        <f>_xlfn.XLOOKUP(B2577,Ingot!$H$12:$H$119,Ingot!$G$12:$G$119,"")</f>
        <v>Metal</v>
      </c>
      <c r="B2577" t="s">
        <v>5033</v>
      </c>
      <c r="C2577" t="s">
        <v>157</v>
      </c>
      <c r="D2577" t="s">
        <v>5186</v>
      </c>
      <c r="E2577" t="s">
        <v>5187</v>
      </c>
      <c r="G2577" s="1">
        <v>5</v>
      </c>
    </row>
    <row r="2578" spans="1:7" ht="14.25" hidden="1" customHeight="1" x14ac:dyDescent="0.45">
      <c r="A2578" t="str">
        <f>_xlfn.XLOOKUP(B2578,Ingot!$H$12:$H$119,Ingot!$G$12:$G$119,"")</f>
        <v>Metal</v>
      </c>
      <c r="B2578" t="s">
        <v>5033</v>
      </c>
      <c r="C2578" t="s">
        <v>157</v>
      </c>
      <c r="D2578" t="s">
        <v>5188</v>
      </c>
      <c r="E2578" t="s">
        <v>5189</v>
      </c>
      <c r="G2578" s="1">
        <v>10</v>
      </c>
    </row>
    <row r="2579" spans="1:7" ht="14.25" hidden="1" customHeight="1" x14ac:dyDescent="0.45">
      <c r="A2579" t="str">
        <f>_xlfn.XLOOKUP(B2579,Ingot!$H$12:$H$119,Ingot!$G$12:$G$119,"")</f>
        <v>Metal</v>
      </c>
      <c r="B2579" t="s">
        <v>5033</v>
      </c>
      <c r="C2579" t="s">
        <v>157</v>
      </c>
      <c r="D2579" t="s">
        <v>5190</v>
      </c>
      <c r="E2579" t="s">
        <v>5191</v>
      </c>
      <c r="G2579" s="1">
        <v>28.43</v>
      </c>
    </row>
    <row r="2580" spans="1:7" ht="14.25" hidden="1" customHeight="1" x14ac:dyDescent="0.45">
      <c r="A2580" t="str">
        <f>_xlfn.XLOOKUP(B2580,Ingot!$H$12:$H$119,Ingot!$G$12:$G$119,"")</f>
        <v>Metal</v>
      </c>
      <c r="B2580" t="s">
        <v>5033</v>
      </c>
      <c r="C2580" t="s">
        <v>157</v>
      </c>
      <c r="D2580" t="s">
        <v>5192</v>
      </c>
      <c r="E2580" t="s">
        <v>5193</v>
      </c>
      <c r="G2580" s="1">
        <v>5.69</v>
      </c>
    </row>
    <row r="2581" spans="1:7" ht="14.25" hidden="1" customHeight="1" x14ac:dyDescent="0.45">
      <c r="A2581" t="str">
        <f>_xlfn.XLOOKUP(B2581,Ingot!$H$12:$H$119,Ingot!$G$12:$G$119,"")</f>
        <v>Metal</v>
      </c>
      <c r="B2581" t="s">
        <v>5033</v>
      </c>
      <c r="C2581" t="s">
        <v>157</v>
      </c>
      <c r="D2581" t="s">
        <v>5194</v>
      </c>
      <c r="E2581" t="s">
        <v>5195</v>
      </c>
      <c r="G2581" s="1">
        <v>5.69</v>
      </c>
    </row>
    <row r="2582" spans="1:7" ht="14.25" hidden="1" customHeight="1" x14ac:dyDescent="0.45">
      <c r="A2582" t="str">
        <f>_xlfn.XLOOKUP(B2582,Ingot!$H$12:$H$119,Ingot!$G$12:$G$119,"")</f>
        <v>Metal</v>
      </c>
      <c r="B2582" t="s">
        <v>5033</v>
      </c>
      <c r="C2582" t="s">
        <v>157</v>
      </c>
      <c r="D2582" t="s">
        <v>5196</v>
      </c>
      <c r="E2582" t="s">
        <v>5197</v>
      </c>
      <c r="G2582" s="1">
        <v>5</v>
      </c>
    </row>
    <row r="2583" spans="1:7" ht="14.25" hidden="1" customHeight="1" x14ac:dyDescent="0.45">
      <c r="A2583" t="str">
        <f>_xlfn.XLOOKUP(B2583,Ingot!$H$12:$H$119,Ingot!$G$12:$G$119,"")</f>
        <v>Metal</v>
      </c>
      <c r="B2583" t="s">
        <v>5033</v>
      </c>
      <c r="C2583" t="s">
        <v>157</v>
      </c>
      <c r="D2583" t="s">
        <v>5198</v>
      </c>
      <c r="E2583" t="s">
        <v>5199</v>
      </c>
      <c r="G2583" s="1">
        <v>10</v>
      </c>
    </row>
    <row r="2584" spans="1:7" ht="14.25" hidden="1" customHeight="1" x14ac:dyDescent="0.45">
      <c r="A2584" t="str">
        <f>_xlfn.XLOOKUP(B2584,Ingot!$H$12:$H$119,Ingot!$G$12:$G$119,"")</f>
        <v>Metal</v>
      </c>
      <c r="B2584" t="s">
        <v>5033</v>
      </c>
      <c r="C2584" t="s">
        <v>157</v>
      </c>
      <c r="D2584" t="s">
        <v>5200</v>
      </c>
      <c r="E2584" t="s">
        <v>5201</v>
      </c>
      <c r="F2584" t="s">
        <v>180</v>
      </c>
      <c r="G2584" s="1">
        <v>27.43</v>
      </c>
    </row>
    <row r="2585" spans="1:7" ht="14.25" hidden="1" customHeight="1" x14ac:dyDescent="0.45">
      <c r="A2585" t="str">
        <f>_xlfn.XLOOKUP(B2585,Ingot!$H$12:$H$119,Ingot!$G$12:$G$119,"")</f>
        <v>Metal</v>
      </c>
      <c r="B2585" t="s">
        <v>5033</v>
      </c>
      <c r="C2585" t="s">
        <v>157</v>
      </c>
      <c r="D2585" t="s">
        <v>5202</v>
      </c>
      <c r="E2585" t="s">
        <v>5203</v>
      </c>
      <c r="F2585" t="s">
        <v>180</v>
      </c>
      <c r="G2585" s="1">
        <v>5.49</v>
      </c>
    </row>
    <row r="2586" spans="1:7" ht="14.25" hidden="1" customHeight="1" x14ac:dyDescent="0.45">
      <c r="A2586" t="str">
        <f>_xlfn.XLOOKUP(B2586,Ingot!$H$12:$H$119,Ingot!$G$12:$G$119,"")</f>
        <v>Metal</v>
      </c>
      <c r="B2586" t="s">
        <v>5033</v>
      </c>
      <c r="C2586" t="s">
        <v>157</v>
      </c>
      <c r="D2586" t="s">
        <v>5204</v>
      </c>
      <c r="E2586" t="s">
        <v>5205</v>
      </c>
      <c r="F2586" t="s">
        <v>180</v>
      </c>
      <c r="G2586" s="1">
        <v>5.49</v>
      </c>
    </row>
    <row r="2587" spans="1:7" ht="14.25" hidden="1" customHeight="1" x14ac:dyDescent="0.45">
      <c r="A2587" t="str">
        <f>_xlfn.XLOOKUP(B2587,Ingot!$H$12:$H$119,Ingot!$G$12:$G$119,"")</f>
        <v>Metal</v>
      </c>
      <c r="B2587" t="s">
        <v>5033</v>
      </c>
      <c r="C2587" t="s">
        <v>157</v>
      </c>
      <c r="D2587" t="s">
        <v>5206</v>
      </c>
      <c r="E2587" t="s">
        <v>5207</v>
      </c>
      <c r="F2587" t="s">
        <v>180</v>
      </c>
      <c r="G2587" s="1">
        <v>5</v>
      </c>
    </row>
    <row r="2588" spans="1:7" ht="14.25" hidden="1" customHeight="1" x14ac:dyDescent="0.45">
      <c r="A2588" t="str">
        <f>_xlfn.XLOOKUP(B2588,Ingot!$H$12:$H$119,Ingot!$G$12:$G$119,"")</f>
        <v>Metal</v>
      </c>
      <c r="B2588" t="s">
        <v>5033</v>
      </c>
      <c r="C2588" t="s">
        <v>157</v>
      </c>
      <c r="D2588" t="s">
        <v>5208</v>
      </c>
      <c r="E2588" t="s">
        <v>5209</v>
      </c>
      <c r="F2588" t="s">
        <v>180</v>
      </c>
      <c r="G2588" s="1">
        <v>10</v>
      </c>
    </row>
    <row r="2589" spans="1:7" ht="14.25" hidden="1" customHeight="1" x14ac:dyDescent="0.45">
      <c r="A2589" t="str">
        <f>_xlfn.XLOOKUP(B2589,Ingot!$H$12:$H$119,Ingot!$G$12:$G$119,"")</f>
        <v>Metal</v>
      </c>
      <c r="B2589" t="s">
        <v>5033</v>
      </c>
      <c r="C2589" t="s">
        <v>157</v>
      </c>
      <c r="D2589" t="s">
        <v>5210</v>
      </c>
      <c r="E2589" t="s">
        <v>5211</v>
      </c>
      <c r="G2589" s="1">
        <v>29.93</v>
      </c>
    </row>
    <row r="2590" spans="1:7" ht="14.25" hidden="1" customHeight="1" x14ac:dyDescent="0.45">
      <c r="A2590" t="str">
        <f>_xlfn.XLOOKUP(B2590,Ingot!$H$12:$H$119,Ingot!$G$12:$G$119,"")</f>
        <v>Metal</v>
      </c>
      <c r="B2590" t="s">
        <v>5033</v>
      </c>
      <c r="C2590" t="s">
        <v>157</v>
      </c>
      <c r="D2590" t="s">
        <v>5212</v>
      </c>
      <c r="E2590" t="s">
        <v>5213</v>
      </c>
      <c r="G2590" s="1">
        <v>5.99</v>
      </c>
    </row>
    <row r="2591" spans="1:7" ht="14.25" hidden="1" customHeight="1" x14ac:dyDescent="0.45">
      <c r="A2591" t="str">
        <f>_xlfn.XLOOKUP(B2591,Ingot!$H$12:$H$119,Ingot!$G$12:$G$119,"")</f>
        <v>Metal</v>
      </c>
      <c r="B2591" t="s">
        <v>5033</v>
      </c>
      <c r="C2591" t="s">
        <v>157</v>
      </c>
      <c r="D2591" t="s">
        <v>5214</v>
      </c>
      <c r="E2591" t="s">
        <v>5215</v>
      </c>
      <c r="G2591" s="1">
        <v>5.99</v>
      </c>
    </row>
    <row r="2592" spans="1:7" ht="14.25" hidden="1" customHeight="1" x14ac:dyDescent="0.45">
      <c r="A2592" t="str">
        <f>_xlfn.XLOOKUP(B2592,Ingot!$H$12:$H$119,Ingot!$G$12:$G$119,"")</f>
        <v>Metal</v>
      </c>
      <c r="B2592" t="s">
        <v>5033</v>
      </c>
      <c r="C2592" t="s">
        <v>157</v>
      </c>
      <c r="D2592" t="s">
        <v>5216</v>
      </c>
      <c r="E2592" t="s">
        <v>5217</v>
      </c>
      <c r="G2592" s="1">
        <v>5</v>
      </c>
    </row>
    <row r="2593" spans="1:7" ht="14.25" hidden="1" customHeight="1" x14ac:dyDescent="0.45">
      <c r="A2593" t="str">
        <f>_xlfn.XLOOKUP(B2593,Ingot!$H$12:$H$119,Ingot!$G$12:$G$119,"")</f>
        <v>Metal</v>
      </c>
      <c r="B2593" t="s">
        <v>5033</v>
      </c>
      <c r="C2593" t="s">
        <v>157</v>
      </c>
      <c r="D2593" t="s">
        <v>5218</v>
      </c>
      <c r="E2593" t="s">
        <v>5219</v>
      </c>
      <c r="G2593" s="1">
        <v>10</v>
      </c>
    </row>
    <row r="2594" spans="1:7" ht="14.25" hidden="1" customHeight="1" x14ac:dyDescent="0.45">
      <c r="A2594" t="str">
        <f>_xlfn.XLOOKUP(B2594,Ingot!$H$12:$H$119,Ingot!$G$12:$G$119,"")</f>
        <v>Metal</v>
      </c>
      <c r="B2594" t="s">
        <v>5033</v>
      </c>
      <c r="C2594" t="s">
        <v>157</v>
      </c>
      <c r="D2594" t="s">
        <v>5220</v>
      </c>
      <c r="E2594" t="s">
        <v>5221</v>
      </c>
      <c r="G2594" s="1">
        <v>31.93</v>
      </c>
    </row>
    <row r="2595" spans="1:7" ht="14.25" hidden="1" customHeight="1" x14ac:dyDescent="0.45">
      <c r="A2595" t="str">
        <f>_xlfn.XLOOKUP(B2595,Ingot!$H$12:$H$119,Ingot!$G$12:$G$119,"")</f>
        <v>Metal</v>
      </c>
      <c r="B2595" t="s">
        <v>5033</v>
      </c>
      <c r="C2595" t="s">
        <v>157</v>
      </c>
      <c r="D2595" t="s">
        <v>5222</v>
      </c>
      <c r="E2595" t="s">
        <v>5223</v>
      </c>
      <c r="F2595" t="s">
        <v>180</v>
      </c>
      <c r="G2595" s="1">
        <v>6.39</v>
      </c>
    </row>
    <row r="2596" spans="1:7" ht="14.25" hidden="1" customHeight="1" x14ac:dyDescent="0.45">
      <c r="A2596" t="str">
        <f>_xlfn.XLOOKUP(B2596,Ingot!$H$12:$H$119,Ingot!$G$12:$G$119,"")</f>
        <v>Metal</v>
      </c>
      <c r="B2596" t="s">
        <v>5033</v>
      </c>
      <c r="C2596" t="s">
        <v>157</v>
      </c>
      <c r="D2596" t="s">
        <v>5224</v>
      </c>
      <c r="E2596" t="s">
        <v>5225</v>
      </c>
      <c r="F2596" t="s">
        <v>180</v>
      </c>
      <c r="G2596" s="1">
        <v>6.39</v>
      </c>
    </row>
    <row r="2597" spans="1:7" ht="14.25" hidden="1" customHeight="1" x14ac:dyDescent="0.45">
      <c r="A2597" t="str">
        <f>_xlfn.XLOOKUP(B2597,Ingot!$H$12:$H$119,Ingot!$G$12:$G$119,"")</f>
        <v>Metal</v>
      </c>
      <c r="B2597" t="s">
        <v>5033</v>
      </c>
      <c r="C2597" t="s">
        <v>157</v>
      </c>
      <c r="D2597" t="s">
        <v>5226</v>
      </c>
      <c r="E2597" t="s">
        <v>5227</v>
      </c>
      <c r="F2597" t="s">
        <v>180</v>
      </c>
      <c r="G2597" s="1">
        <v>5</v>
      </c>
    </row>
    <row r="2598" spans="1:7" ht="14.25" hidden="1" customHeight="1" x14ac:dyDescent="0.45">
      <c r="A2598" t="str">
        <f>_xlfn.XLOOKUP(B2598,Ingot!$H$12:$H$119,Ingot!$G$12:$G$119,"")</f>
        <v>Metal</v>
      </c>
      <c r="B2598" t="s">
        <v>5033</v>
      </c>
      <c r="C2598" t="s">
        <v>157</v>
      </c>
      <c r="D2598" t="s">
        <v>5228</v>
      </c>
      <c r="E2598" t="s">
        <v>5229</v>
      </c>
      <c r="G2598" s="1">
        <v>10</v>
      </c>
    </row>
    <row r="2599" spans="1:7" ht="14.25" hidden="1" customHeight="1" x14ac:dyDescent="0.45">
      <c r="A2599" t="str">
        <f>_xlfn.XLOOKUP(B2599,Ingot!$H$12:$H$119,Ingot!$G$12:$G$119,"")</f>
        <v>Metal</v>
      </c>
      <c r="B2599" t="s">
        <v>5033</v>
      </c>
      <c r="C2599" t="s">
        <v>157</v>
      </c>
      <c r="D2599" t="s">
        <v>5230</v>
      </c>
      <c r="E2599" t="s">
        <v>5231</v>
      </c>
      <c r="G2599" s="1">
        <v>36.93</v>
      </c>
    </row>
    <row r="2600" spans="1:7" ht="14.25" hidden="1" customHeight="1" x14ac:dyDescent="0.45">
      <c r="A2600" t="str">
        <f>_xlfn.XLOOKUP(B2600,Ingot!$H$12:$H$119,Ingot!$G$12:$G$119,"")</f>
        <v>Metal</v>
      </c>
      <c r="B2600" t="s">
        <v>5033</v>
      </c>
      <c r="C2600" t="s">
        <v>157</v>
      </c>
      <c r="D2600" t="s">
        <v>5232</v>
      </c>
      <c r="E2600" t="s">
        <v>5233</v>
      </c>
      <c r="G2600" s="1">
        <v>7.39</v>
      </c>
    </row>
    <row r="2601" spans="1:7" ht="14.25" hidden="1" customHeight="1" x14ac:dyDescent="0.45">
      <c r="A2601" t="str">
        <f>_xlfn.XLOOKUP(B2601,Ingot!$H$12:$H$119,Ingot!$G$12:$G$119,"")</f>
        <v>Metal</v>
      </c>
      <c r="B2601" t="s">
        <v>5033</v>
      </c>
      <c r="C2601" t="s">
        <v>157</v>
      </c>
      <c r="D2601" t="s">
        <v>5234</v>
      </c>
      <c r="E2601" t="s">
        <v>5235</v>
      </c>
      <c r="G2601" s="1">
        <v>7.39</v>
      </c>
    </row>
    <row r="2602" spans="1:7" ht="14.25" hidden="1" customHeight="1" x14ac:dyDescent="0.45">
      <c r="A2602" t="str">
        <f>_xlfn.XLOOKUP(B2602,Ingot!$H$12:$H$119,Ingot!$G$12:$G$119,"")</f>
        <v>Metal</v>
      </c>
      <c r="B2602" t="s">
        <v>5033</v>
      </c>
      <c r="C2602" t="s">
        <v>157</v>
      </c>
      <c r="D2602" t="s">
        <v>5236</v>
      </c>
      <c r="E2602" t="s">
        <v>5237</v>
      </c>
      <c r="G2602" s="1">
        <v>5</v>
      </c>
    </row>
    <row r="2603" spans="1:7" ht="14.25" hidden="1" customHeight="1" x14ac:dyDescent="0.45">
      <c r="A2603" t="str">
        <f>_xlfn.XLOOKUP(B2603,Ingot!$H$12:$H$119,Ingot!$G$12:$G$119,"")</f>
        <v>Metal</v>
      </c>
      <c r="B2603" t="s">
        <v>5033</v>
      </c>
      <c r="C2603" t="s">
        <v>157</v>
      </c>
      <c r="D2603" t="s">
        <v>5238</v>
      </c>
      <c r="E2603" t="s">
        <v>5239</v>
      </c>
      <c r="G2603" s="1">
        <v>10</v>
      </c>
    </row>
    <row r="2604" spans="1:7" ht="14.25" hidden="1" customHeight="1" x14ac:dyDescent="0.45">
      <c r="A2604" t="str">
        <f>_xlfn.XLOOKUP(B2604,Ingot!$H$12:$H$119,Ingot!$G$12:$G$119,"")</f>
        <v>Metal</v>
      </c>
      <c r="B2604" t="s">
        <v>5033</v>
      </c>
      <c r="C2604" t="s">
        <v>157</v>
      </c>
      <c r="D2604" t="s">
        <v>5240</v>
      </c>
      <c r="E2604" t="s">
        <v>5241</v>
      </c>
      <c r="G2604" s="1">
        <v>36.43</v>
      </c>
    </row>
    <row r="2605" spans="1:7" ht="14.25" hidden="1" customHeight="1" x14ac:dyDescent="0.45">
      <c r="A2605" t="str">
        <f>_xlfn.XLOOKUP(B2605,Ingot!$H$12:$H$119,Ingot!$G$12:$G$119,"")</f>
        <v>Metal</v>
      </c>
      <c r="B2605" t="s">
        <v>5033</v>
      </c>
      <c r="C2605" t="s">
        <v>157</v>
      </c>
      <c r="D2605" t="s">
        <v>5242</v>
      </c>
      <c r="E2605" t="s">
        <v>5243</v>
      </c>
      <c r="G2605" s="1">
        <v>7.29</v>
      </c>
    </row>
    <row r="2606" spans="1:7" ht="14.25" hidden="1" customHeight="1" x14ac:dyDescent="0.45">
      <c r="A2606" t="str">
        <f>_xlfn.XLOOKUP(B2606,Ingot!$H$12:$H$119,Ingot!$G$12:$G$119,"")</f>
        <v>Metal</v>
      </c>
      <c r="B2606" t="s">
        <v>5033</v>
      </c>
      <c r="C2606" t="s">
        <v>157</v>
      </c>
      <c r="D2606" t="s">
        <v>5244</v>
      </c>
      <c r="E2606" t="s">
        <v>5245</v>
      </c>
      <c r="G2606" s="1">
        <v>7.29</v>
      </c>
    </row>
    <row r="2607" spans="1:7" ht="14.25" hidden="1" customHeight="1" x14ac:dyDescent="0.45">
      <c r="A2607" t="str">
        <f>_xlfn.XLOOKUP(B2607,Ingot!$H$12:$H$119,Ingot!$G$12:$G$119,"")</f>
        <v>Metal</v>
      </c>
      <c r="B2607" t="s">
        <v>5033</v>
      </c>
      <c r="C2607" t="s">
        <v>157</v>
      </c>
      <c r="D2607" t="s">
        <v>5246</v>
      </c>
      <c r="E2607" t="s">
        <v>5247</v>
      </c>
      <c r="G2607" s="1">
        <v>5</v>
      </c>
    </row>
    <row r="2608" spans="1:7" ht="14.25" hidden="1" customHeight="1" x14ac:dyDescent="0.45">
      <c r="A2608" t="str">
        <f>_xlfn.XLOOKUP(B2608,Ingot!$H$12:$H$119,Ingot!$G$12:$G$119,"")</f>
        <v>Metal</v>
      </c>
      <c r="B2608" t="s">
        <v>5033</v>
      </c>
      <c r="C2608" t="s">
        <v>157</v>
      </c>
      <c r="D2608" t="s">
        <v>5248</v>
      </c>
      <c r="E2608" t="s">
        <v>5249</v>
      </c>
      <c r="G2608" s="1">
        <v>10</v>
      </c>
    </row>
    <row r="2609" spans="1:7" ht="14.25" hidden="1" customHeight="1" x14ac:dyDescent="0.45">
      <c r="A2609" t="str">
        <f>_xlfn.XLOOKUP(B2609,Ingot!$H$12:$H$119,Ingot!$G$12:$G$119,"")</f>
        <v>Metal</v>
      </c>
      <c r="B2609" t="s">
        <v>5033</v>
      </c>
      <c r="C2609" t="s">
        <v>157</v>
      </c>
      <c r="D2609" t="s">
        <v>5250</v>
      </c>
      <c r="E2609" t="s">
        <v>5251</v>
      </c>
      <c r="F2609" t="s">
        <v>180</v>
      </c>
      <c r="G2609" s="1">
        <v>25.93</v>
      </c>
    </row>
    <row r="2610" spans="1:7" ht="14.25" hidden="1" customHeight="1" x14ac:dyDescent="0.45">
      <c r="A2610" t="str">
        <f>_xlfn.XLOOKUP(B2610,Ingot!$H$12:$H$119,Ingot!$G$12:$G$119,"")</f>
        <v>Metal</v>
      </c>
      <c r="B2610" t="s">
        <v>5033</v>
      </c>
      <c r="C2610" t="s">
        <v>157</v>
      </c>
      <c r="D2610" t="s">
        <v>5252</v>
      </c>
      <c r="E2610" t="s">
        <v>5253</v>
      </c>
      <c r="F2610" t="s">
        <v>180</v>
      </c>
      <c r="G2610" s="1">
        <v>5.19</v>
      </c>
    </row>
    <row r="2611" spans="1:7" ht="14.25" hidden="1" customHeight="1" x14ac:dyDescent="0.45">
      <c r="A2611" t="str">
        <f>_xlfn.XLOOKUP(B2611,Ingot!$H$12:$H$119,Ingot!$G$12:$G$119,"")</f>
        <v>Metal</v>
      </c>
      <c r="B2611" t="s">
        <v>5033</v>
      </c>
      <c r="C2611" t="s">
        <v>157</v>
      </c>
      <c r="D2611" t="s">
        <v>5254</v>
      </c>
      <c r="E2611" t="s">
        <v>5255</v>
      </c>
      <c r="F2611" t="s">
        <v>180</v>
      </c>
      <c r="G2611" s="1">
        <v>5.19</v>
      </c>
    </row>
    <row r="2612" spans="1:7" ht="14.25" hidden="1" customHeight="1" x14ac:dyDescent="0.45">
      <c r="A2612" t="str">
        <f>_xlfn.XLOOKUP(B2612,Ingot!$H$12:$H$119,Ingot!$G$12:$G$119,"")</f>
        <v>Metal</v>
      </c>
      <c r="B2612" t="s">
        <v>5033</v>
      </c>
      <c r="C2612" t="s">
        <v>157</v>
      </c>
      <c r="D2612" t="s">
        <v>5256</v>
      </c>
      <c r="E2612" t="s">
        <v>5257</v>
      </c>
      <c r="F2612" t="s">
        <v>180</v>
      </c>
      <c r="G2612" s="1">
        <v>5</v>
      </c>
    </row>
    <row r="2613" spans="1:7" ht="14.25" hidden="1" customHeight="1" x14ac:dyDescent="0.45">
      <c r="A2613" t="str">
        <f>_xlfn.XLOOKUP(B2613,Ingot!$H$12:$H$119,Ingot!$G$12:$G$119,"")</f>
        <v>Metal</v>
      </c>
      <c r="B2613" t="s">
        <v>5033</v>
      </c>
      <c r="C2613" t="s">
        <v>157</v>
      </c>
      <c r="D2613" t="s">
        <v>5258</v>
      </c>
      <c r="E2613" t="s">
        <v>5259</v>
      </c>
      <c r="F2613" t="s">
        <v>180</v>
      </c>
      <c r="G2613" s="1">
        <v>10</v>
      </c>
    </row>
    <row r="2614" spans="1:7" ht="14.25" hidden="1" customHeight="1" x14ac:dyDescent="0.45">
      <c r="A2614" t="str">
        <f>_xlfn.XLOOKUP(B2614,Ingot!$H$12:$H$119,Ingot!$G$12:$G$119,"")</f>
        <v>Metal</v>
      </c>
      <c r="B2614" t="s">
        <v>5033</v>
      </c>
      <c r="C2614" t="s">
        <v>239</v>
      </c>
      <c r="D2614" t="s">
        <v>5260</v>
      </c>
      <c r="E2614" t="s">
        <v>5261</v>
      </c>
      <c r="G2614" s="1">
        <f>(VLOOKUP(B2614,Ingot!H:I,2,FALSE()) * 0.75) * 0.75</f>
        <v>4.78125</v>
      </c>
    </row>
    <row r="2615" spans="1:7" ht="14.25" hidden="1" customHeight="1" x14ac:dyDescent="0.45">
      <c r="A2615" t="str">
        <f>_xlfn.XLOOKUP(B2615,Ingot!$H$12:$H$119,Ingot!$G$12:$G$119,"")</f>
        <v>Metal</v>
      </c>
      <c r="B2615" t="s">
        <v>5033</v>
      </c>
      <c r="C2615" t="s">
        <v>239</v>
      </c>
      <c r="D2615" t="s">
        <v>5262</v>
      </c>
      <c r="E2615" t="s">
        <v>5263</v>
      </c>
      <c r="G2615" s="1">
        <f>((VLOOKUP(B2615,Ingot!H:I,2,FALSE()) * 3) - 10.25) * 0.421875</f>
        <v>6.43359375</v>
      </c>
    </row>
    <row r="2616" spans="1:7" ht="14.25" hidden="1" customHeight="1" x14ac:dyDescent="0.45">
      <c r="A2616" t="str">
        <f>_xlfn.XLOOKUP(B2616,Ingot!$H$12:$H$119,Ingot!$G$12:$G$119,"")</f>
        <v>Metal</v>
      </c>
      <c r="B2616" t="s">
        <v>5033</v>
      </c>
      <c r="C2616" t="s">
        <v>239</v>
      </c>
      <c r="D2616" t="s">
        <v>5264</v>
      </c>
      <c r="E2616" t="s">
        <v>5265</v>
      </c>
      <c r="G2616" s="1">
        <f>((VLOOKUP(B2616,Ingot!H:I,2,FALSE()) * 3) - 10.25) * 0.75</f>
        <v>11.4375</v>
      </c>
    </row>
    <row r="2617" spans="1:7" ht="14.25" hidden="1" customHeight="1" x14ac:dyDescent="0.45">
      <c r="A2617" t="str">
        <f>_xlfn.XLOOKUP(B2617,Ingot!$H$12:$H$119,Ingot!$G$12:$G$119,"")</f>
        <v>Metal</v>
      </c>
      <c r="B2617" t="s">
        <v>5033</v>
      </c>
      <c r="C2617" t="s">
        <v>239</v>
      </c>
      <c r="D2617" t="s">
        <v>5266</v>
      </c>
      <c r="E2617" t="s">
        <v>5267</v>
      </c>
      <c r="G2617" s="1">
        <f>((VLOOKUP(B2617,Ingot!H:I,2,FALSE()) * 3) - 10.25) * 0.5625</f>
        <v>8.578125</v>
      </c>
    </row>
    <row r="2618" spans="1:7" ht="14.25" hidden="1" customHeight="1" x14ac:dyDescent="0.45">
      <c r="A2618" t="str">
        <f>_xlfn.XLOOKUP(B2618,Ingot!$H$12:$H$119,Ingot!$G$12:$G$119,"")</f>
        <v>Metal</v>
      </c>
      <c r="B2618" t="s">
        <v>5033</v>
      </c>
      <c r="C2618" t="s">
        <v>239</v>
      </c>
      <c r="D2618" t="s">
        <v>5268</v>
      </c>
      <c r="E2618" t="s">
        <v>5269</v>
      </c>
      <c r="G2618" s="1">
        <f>VLOOKUP(B2618,Ingot!H:I,2,FALSE()) * 0.75</f>
        <v>6.375</v>
      </c>
    </row>
    <row r="2619" spans="1:7" ht="14.25" hidden="1" customHeight="1" x14ac:dyDescent="0.45">
      <c r="A2619" t="str">
        <f>_xlfn.XLOOKUP(B2619,Ingot!$H$12:$H$119,Ingot!$G$12:$G$119,"")</f>
        <v>Metal</v>
      </c>
      <c r="B2619" t="s">
        <v>5033</v>
      </c>
      <c r="C2619" t="s">
        <v>239</v>
      </c>
      <c r="D2619" t="s">
        <v>5270</v>
      </c>
      <c r="E2619" t="s">
        <v>5271</v>
      </c>
      <c r="G2619" s="1">
        <f>(VLOOKUP(B2619,Ingot!H:I,2,FALSE()) * 3) - 10.25</f>
        <v>15.25</v>
      </c>
    </row>
    <row r="2620" spans="1:7" ht="14.25" hidden="1" customHeight="1" x14ac:dyDescent="0.45">
      <c r="A2620" t="str">
        <f>_xlfn.XLOOKUP(B2620,Ingot!$H$12:$H$119,Ingot!$G$12:$G$119,"")</f>
        <v>Metal</v>
      </c>
      <c r="B2620" t="s">
        <v>5272</v>
      </c>
      <c r="C2620" t="s">
        <v>10</v>
      </c>
      <c r="D2620" t="s">
        <v>5273</v>
      </c>
      <c r="E2620" t="s">
        <v>5274</v>
      </c>
      <c r="G2620" s="1">
        <v>0.08</v>
      </c>
    </row>
    <row r="2621" spans="1:7" ht="14.25" hidden="1" customHeight="1" x14ac:dyDescent="0.45">
      <c r="A2621" t="str">
        <f>_xlfn.XLOOKUP(B2621,Ingot!$H$12:$H$119,Ingot!$G$12:$G$119,"")</f>
        <v>Metal</v>
      </c>
      <c r="B2621" t="s">
        <v>5272</v>
      </c>
      <c r="C2621" t="s">
        <v>10</v>
      </c>
      <c r="D2621" t="s">
        <v>5275</v>
      </c>
      <c r="E2621" t="s">
        <v>5276</v>
      </c>
      <c r="G2621" s="1">
        <v>9.9</v>
      </c>
    </row>
    <row r="2622" spans="1:7" ht="14.25" hidden="1" customHeight="1" x14ac:dyDescent="0.45">
      <c r="A2622" t="str">
        <f>_xlfn.XLOOKUP(B2622,Ingot!$H$12:$H$119,Ingot!$G$12:$G$119,"")</f>
        <v>Metal</v>
      </c>
      <c r="B2622" t="s">
        <v>5272</v>
      </c>
      <c r="C2622" t="s">
        <v>10</v>
      </c>
      <c r="D2622" t="s">
        <v>5277</v>
      </c>
      <c r="E2622" t="s">
        <v>5278</v>
      </c>
      <c r="G2622" s="1">
        <v>5.66</v>
      </c>
    </row>
    <row r="2623" spans="1:7" ht="14.25" hidden="1" customHeight="1" x14ac:dyDescent="0.45">
      <c r="A2623" t="str">
        <f>_xlfn.XLOOKUP(B2623,Ingot!$H$12:$H$119,Ingot!$G$12:$G$119,"")</f>
        <v>Metal</v>
      </c>
      <c r="B2623" t="s">
        <v>5272</v>
      </c>
      <c r="C2623" t="s">
        <v>10</v>
      </c>
      <c r="D2623" t="s">
        <v>5279</v>
      </c>
      <c r="E2623" t="s">
        <v>5280</v>
      </c>
      <c r="G2623" s="1">
        <v>3.3</v>
      </c>
    </row>
    <row r="2624" spans="1:7" ht="14.25" hidden="1" customHeight="1" x14ac:dyDescent="0.45">
      <c r="A2624" t="str">
        <f>_xlfn.XLOOKUP(B2624,Ingot!$H$12:$H$119,Ingot!$G$12:$G$119,"")</f>
        <v>Metal</v>
      </c>
      <c r="B2624" t="s">
        <v>5272</v>
      </c>
      <c r="C2624" t="s">
        <v>10</v>
      </c>
      <c r="D2624" t="s">
        <v>5281</v>
      </c>
      <c r="E2624" t="s">
        <v>5282</v>
      </c>
      <c r="G2624" s="1">
        <v>0.66</v>
      </c>
    </row>
    <row r="2625" spans="1:7" ht="14.25" hidden="1" customHeight="1" x14ac:dyDescent="0.45">
      <c r="A2625" t="str">
        <f>_xlfn.XLOOKUP(B2625,Ingot!$H$12:$H$119,Ingot!$G$12:$G$119,"")</f>
        <v>Metal</v>
      </c>
      <c r="B2625" t="s">
        <v>5272</v>
      </c>
      <c r="C2625" t="s">
        <v>10</v>
      </c>
      <c r="D2625" t="s">
        <v>5283</v>
      </c>
      <c r="E2625" t="s">
        <v>5284</v>
      </c>
      <c r="G2625" s="1">
        <v>0.04</v>
      </c>
    </row>
    <row r="2626" spans="1:7" ht="14.25" hidden="1" customHeight="1" x14ac:dyDescent="0.45">
      <c r="A2626" t="str">
        <f>_xlfn.XLOOKUP(B2626,Ingot!$H$12:$H$119,Ingot!$G$12:$G$119,"")</f>
        <v>Metal</v>
      </c>
      <c r="B2626" t="s">
        <v>5272</v>
      </c>
      <c r="C2626" t="s">
        <v>10</v>
      </c>
      <c r="D2626" t="s">
        <v>5285</v>
      </c>
      <c r="E2626" t="s">
        <v>5286</v>
      </c>
      <c r="G2626" s="1">
        <v>0.33</v>
      </c>
    </row>
    <row r="2627" spans="1:7" ht="14.25" hidden="1" customHeight="1" x14ac:dyDescent="0.45">
      <c r="A2627" t="str">
        <f>_xlfn.XLOOKUP(B2627,Ingot!$H$12:$H$119,Ingot!$G$12:$G$119,"")</f>
        <v>Metal</v>
      </c>
      <c r="B2627" t="s">
        <v>5272</v>
      </c>
      <c r="C2627" t="s">
        <v>10</v>
      </c>
      <c r="D2627" t="s">
        <v>5287</v>
      </c>
      <c r="E2627" t="s">
        <v>5288</v>
      </c>
    </row>
    <row r="2628" spans="1:7" ht="14.25" hidden="1" customHeight="1" x14ac:dyDescent="0.45">
      <c r="A2628" t="str">
        <f>_xlfn.XLOOKUP(B2628,Ingot!$H$12:$H$119,Ingot!$G$12:$G$119,"")</f>
        <v>Metal</v>
      </c>
      <c r="B2628" t="s">
        <v>5272</v>
      </c>
      <c r="C2628" t="s">
        <v>10</v>
      </c>
      <c r="D2628" t="s">
        <v>5289</v>
      </c>
      <c r="E2628" t="s">
        <v>5290</v>
      </c>
      <c r="G2628" s="1">
        <v>0.05</v>
      </c>
    </row>
    <row r="2629" spans="1:7" ht="14.25" hidden="1" customHeight="1" x14ac:dyDescent="0.45">
      <c r="A2629" t="str">
        <f>_xlfn.XLOOKUP(B2629,Ingot!$H$12:$H$119,Ingot!$G$12:$G$119,"")</f>
        <v>Metal</v>
      </c>
      <c r="B2629" t="s">
        <v>5272</v>
      </c>
      <c r="C2629" t="s">
        <v>10</v>
      </c>
      <c r="D2629" t="s">
        <v>5291</v>
      </c>
      <c r="E2629" t="s">
        <v>5292</v>
      </c>
      <c r="G2629" s="1">
        <v>0.66</v>
      </c>
    </row>
    <row r="2630" spans="1:7" ht="14.25" hidden="1" customHeight="1" x14ac:dyDescent="0.45">
      <c r="A2630" t="str">
        <f>_xlfn.XLOOKUP(B2630,Ingot!$H$12:$H$119,Ingot!$G$12:$G$119,"")</f>
        <v>Metal</v>
      </c>
      <c r="B2630" t="s">
        <v>5272</v>
      </c>
      <c r="C2630" t="s">
        <v>10</v>
      </c>
      <c r="D2630" t="s">
        <v>5293</v>
      </c>
      <c r="E2630" t="s">
        <v>5294</v>
      </c>
      <c r="G2630" s="1">
        <v>3.96</v>
      </c>
    </row>
    <row r="2631" spans="1:7" ht="14.25" hidden="1" customHeight="1" x14ac:dyDescent="0.45">
      <c r="A2631" t="str">
        <f>_xlfn.XLOOKUP(B2631,Ingot!$H$12:$H$119,Ingot!$G$12:$G$119,"")</f>
        <v>Metal</v>
      </c>
      <c r="B2631" t="s">
        <v>5272</v>
      </c>
      <c r="C2631" t="s">
        <v>10</v>
      </c>
      <c r="D2631" t="s">
        <v>5295</v>
      </c>
      <c r="E2631" t="s">
        <v>5296</v>
      </c>
      <c r="G2631" s="1">
        <v>8.77</v>
      </c>
    </row>
    <row r="2632" spans="1:7" ht="14.25" hidden="1" customHeight="1" x14ac:dyDescent="0.45">
      <c r="A2632" t="str">
        <f>_xlfn.XLOOKUP(B2632,Ingot!$H$12:$H$119,Ingot!$G$12:$G$119,"")</f>
        <v>Metal</v>
      </c>
      <c r="B2632" t="s">
        <v>5272</v>
      </c>
      <c r="C2632" t="s">
        <v>10</v>
      </c>
      <c r="D2632" t="s">
        <v>5297</v>
      </c>
      <c r="E2632" t="s">
        <v>5298</v>
      </c>
      <c r="G2632" s="1">
        <v>3.5</v>
      </c>
    </row>
    <row r="2633" spans="1:7" ht="14.25" hidden="1" customHeight="1" x14ac:dyDescent="0.45">
      <c r="A2633" t="str">
        <f>_xlfn.XLOOKUP(B2633,Ingot!$H$12:$H$119,Ingot!$G$12:$G$119,"")</f>
        <v>Metal</v>
      </c>
      <c r="B2633" t="s">
        <v>5272</v>
      </c>
      <c r="C2633" t="s">
        <v>10</v>
      </c>
      <c r="D2633" t="s">
        <v>5299</v>
      </c>
      <c r="E2633" t="s">
        <v>5300</v>
      </c>
    </row>
    <row r="2634" spans="1:7" ht="14.25" hidden="1" customHeight="1" x14ac:dyDescent="0.45">
      <c r="A2634" t="str">
        <f>_xlfn.XLOOKUP(B2634,Ingot!$H$12:$H$119,Ingot!$G$12:$G$119,"")</f>
        <v>Metal</v>
      </c>
      <c r="B2634" t="s">
        <v>5272</v>
      </c>
      <c r="C2634" t="s">
        <v>10</v>
      </c>
      <c r="D2634" t="s">
        <v>5301</v>
      </c>
      <c r="E2634" t="s">
        <v>5302</v>
      </c>
      <c r="G2634" s="1">
        <v>2.2000000000000002</v>
      </c>
    </row>
    <row r="2635" spans="1:7" ht="14.25" hidden="1" customHeight="1" x14ac:dyDescent="0.45">
      <c r="A2635" t="str">
        <f>_xlfn.XLOOKUP(B2635,Ingot!$H$12:$H$119,Ingot!$G$12:$G$119,"")</f>
        <v>Metal</v>
      </c>
      <c r="B2635" t="s">
        <v>5272</v>
      </c>
      <c r="C2635" t="s">
        <v>10</v>
      </c>
      <c r="D2635" t="s">
        <v>5303</v>
      </c>
      <c r="E2635" t="s">
        <v>5304</v>
      </c>
      <c r="G2635" s="1">
        <v>1.1000000000000001</v>
      </c>
    </row>
    <row r="2636" spans="1:7" ht="14.25" hidden="1" customHeight="1" x14ac:dyDescent="0.45">
      <c r="A2636" t="str">
        <f>_xlfn.XLOOKUP(B2636,Ingot!$H$12:$H$119,Ingot!$G$12:$G$119,"")</f>
        <v>Metal</v>
      </c>
      <c r="B2636" t="s">
        <v>5272</v>
      </c>
      <c r="C2636" t="s">
        <v>10</v>
      </c>
      <c r="D2636" t="s">
        <v>5305</v>
      </c>
      <c r="E2636" t="s">
        <v>5306</v>
      </c>
      <c r="G2636" s="1">
        <v>0.22</v>
      </c>
    </row>
    <row r="2637" spans="1:7" ht="14.25" hidden="1" customHeight="1" x14ac:dyDescent="0.45">
      <c r="A2637" t="str">
        <f>_xlfn.XLOOKUP(B2637,Ingot!$H$12:$H$119,Ingot!$G$12:$G$119,"")</f>
        <v>Metal</v>
      </c>
      <c r="B2637" t="s">
        <v>5272</v>
      </c>
      <c r="C2637" t="s">
        <v>10</v>
      </c>
      <c r="D2637" t="s">
        <v>5307</v>
      </c>
      <c r="E2637" t="s">
        <v>5308</v>
      </c>
      <c r="G2637" s="1">
        <v>8.41</v>
      </c>
    </row>
    <row r="2638" spans="1:7" ht="14.25" hidden="1" customHeight="1" x14ac:dyDescent="0.45">
      <c r="A2638" t="str">
        <f>_xlfn.XLOOKUP(B2638,Ingot!$H$12:$H$119,Ingot!$G$12:$G$119,"")</f>
        <v>Metal</v>
      </c>
      <c r="B2638" t="s">
        <v>5272</v>
      </c>
      <c r="C2638" t="s">
        <v>10</v>
      </c>
      <c r="D2638" t="s">
        <v>5309</v>
      </c>
      <c r="E2638" t="s">
        <v>5310</v>
      </c>
      <c r="G2638" s="1">
        <v>3.64</v>
      </c>
    </row>
    <row r="2639" spans="1:7" ht="14.25" hidden="1" customHeight="1" x14ac:dyDescent="0.45">
      <c r="A2639" t="str">
        <f>_xlfn.XLOOKUP(B2639,Ingot!$H$12:$H$119,Ingot!$G$12:$G$119,"")</f>
        <v>Metal</v>
      </c>
      <c r="B2639" t="s">
        <v>5272</v>
      </c>
      <c r="C2639" t="s">
        <v>10</v>
      </c>
      <c r="D2639" t="s">
        <v>5311</v>
      </c>
      <c r="E2639" t="s">
        <v>5312</v>
      </c>
      <c r="G2639" s="1">
        <v>7.05</v>
      </c>
    </row>
    <row r="2640" spans="1:7" ht="14.25" hidden="1" customHeight="1" x14ac:dyDescent="0.45">
      <c r="A2640" t="str">
        <f>_xlfn.XLOOKUP(B2640,Ingot!$H$12:$H$119,Ingot!$G$12:$G$119,"")</f>
        <v>Metal</v>
      </c>
      <c r="B2640" t="s">
        <v>5272</v>
      </c>
      <c r="C2640" t="s">
        <v>10</v>
      </c>
      <c r="D2640" t="s">
        <v>5313</v>
      </c>
      <c r="E2640" t="s">
        <v>5314</v>
      </c>
      <c r="G2640" s="1">
        <v>2.65</v>
      </c>
    </row>
    <row r="2641" spans="1:7" ht="14.25" hidden="1" customHeight="1" x14ac:dyDescent="0.45">
      <c r="A2641" t="str">
        <f>_xlfn.XLOOKUP(B2641,Ingot!$H$12:$H$119,Ingot!$G$12:$G$119,"")</f>
        <v>Metal</v>
      </c>
      <c r="B2641" t="s">
        <v>5272</v>
      </c>
      <c r="C2641" t="s">
        <v>10</v>
      </c>
      <c r="D2641" t="s">
        <v>5315</v>
      </c>
      <c r="E2641" t="s">
        <v>5316</v>
      </c>
      <c r="G2641" s="1">
        <v>9</v>
      </c>
    </row>
    <row r="2642" spans="1:7" ht="14.25" hidden="1" customHeight="1" x14ac:dyDescent="0.45">
      <c r="A2642" t="str">
        <f>_xlfn.XLOOKUP(B2642,Ingot!$H$12:$H$119,Ingot!$G$12:$G$119,"")</f>
        <v>Metal</v>
      </c>
      <c r="B2642" t="s">
        <v>5272</v>
      </c>
      <c r="C2642" t="s">
        <v>10</v>
      </c>
      <c r="D2642" t="s">
        <v>5317</v>
      </c>
      <c r="E2642" t="s">
        <v>5318</v>
      </c>
      <c r="G2642" s="1">
        <v>10.23</v>
      </c>
    </row>
    <row r="2643" spans="1:7" ht="14.25" hidden="1" customHeight="1" x14ac:dyDescent="0.45">
      <c r="A2643" t="str">
        <f>_xlfn.XLOOKUP(B2643,Ingot!$H$12:$H$119,Ingot!$G$12:$G$119,"")</f>
        <v>Metal</v>
      </c>
      <c r="B2643" t="s">
        <v>5272</v>
      </c>
      <c r="C2643" t="s">
        <v>10</v>
      </c>
      <c r="D2643" t="s">
        <v>5319</v>
      </c>
      <c r="E2643" t="s">
        <v>5320</v>
      </c>
      <c r="G2643" s="1">
        <v>7.7</v>
      </c>
    </row>
    <row r="2644" spans="1:7" ht="14.25" hidden="1" customHeight="1" x14ac:dyDescent="0.45">
      <c r="A2644" t="str">
        <f>_xlfn.XLOOKUP(B2644,Ingot!$H$12:$H$119,Ingot!$G$12:$G$119,"")</f>
        <v>Metal</v>
      </c>
      <c r="B2644" t="s">
        <v>5272</v>
      </c>
      <c r="C2644" t="s">
        <v>10</v>
      </c>
      <c r="D2644" t="s">
        <v>5321</v>
      </c>
      <c r="E2644" t="s">
        <v>5322</v>
      </c>
      <c r="G2644" s="1">
        <v>10.02</v>
      </c>
    </row>
    <row r="2645" spans="1:7" ht="14.25" hidden="1" customHeight="1" x14ac:dyDescent="0.45">
      <c r="A2645" t="str">
        <f>_xlfn.XLOOKUP(B2645,Ingot!$H$12:$H$119,Ingot!$G$12:$G$119,"")</f>
        <v>Metal</v>
      </c>
      <c r="B2645" t="s">
        <v>5272</v>
      </c>
      <c r="C2645" t="s">
        <v>10</v>
      </c>
      <c r="D2645" t="s">
        <v>5323</v>
      </c>
      <c r="E2645" t="s">
        <v>5324</v>
      </c>
      <c r="G2645" s="1">
        <v>11.81</v>
      </c>
    </row>
    <row r="2646" spans="1:7" ht="14.25" hidden="1" customHeight="1" x14ac:dyDescent="0.45">
      <c r="A2646" t="str">
        <f>_xlfn.XLOOKUP(B2646,Ingot!$H$12:$H$119,Ingot!$G$12:$G$119,"")</f>
        <v>Metal</v>
      </c>
      <c r="B2646" t="s">
        <v>5272</v>
      </c>
      <c r="C2646" t="s">
        <v>10</v>
      </c>
      <c r="D2646" t="s">
        <v>5325</v>
      </c>
      <c r="E2646" t="s">
        <v>5326</v>
      </c>
      <c r="G2646" s="1">
        <v>8.44</v>
      </c>
    </row>
    <row r="2647" spans="1:7" ht="14.25" hidden="1" customHeight="1" x14ac:dyDescent="0.45">
      <c r="A2647" t="str">
        <f>_xlfn.XLOOKUP(B2647,Ingot!$H$12:$H$119,Ingot!$G$12:$G$119,"")</f>
        <v>Metal</v>
      </c>
      <c r="B2647" t="s">
        <v>5272</v>
      </c>
      <c r="C2647" t="s">
        <v>10</v>
      </c>
      <c r="D2647" t="s">
        <v>5327</v>
      </c>
      <c r="E2647" t="s">
        <v>5328</v>
      </c>
      <c r="G2647" s="1">
        <v>10.42</v>
      </c>
    </row>
    <row r="2648" spans="1:7" ht="14.25" hidden="1" customHeight="1" x14ac:dyDescent="0.45">
      <c r="A2648" t="str">
        <f>_xlfn.XLOOKUP(B2648,Ingot!$H$12:$H$119,Ingot!$G$12:$G$119,"")</f>
        <v>Metal</v>
      </c>
      <c r="B2648" t="s">
        <v>5272</v>
      </c>
      <c r="C2648" t="s">
        <v>10</v>
      </c>
      <c r="D2648" t="s">
        <v>5329</v>
      </c>
      <c r="E2648" t="s">
        <v>5330</v>
      </c>
    </row>
    <row r="2649" spans="1:7" ht="14.25" hidden="1" customHeight="1" x14ac:dyDescent="0.45">
      <c r="A2649" t="str">
        <f>_xlfn.XLOOKUP(B2649,Ingot!$H$12:$H$119,Ingot!$G$12:$G$119,"")</f>
        <v>Metal</v>
      </c>
      <c r="B2649" t="s">
        <v>5272</v>
      </c>
      <c r="C2649" t="s">
        <v>10</v>
      </c>
      <c r="D2649" t="s">
        <v>5331</v>
      </c>
      <c r="E2649" t="s">
        <v>5332</v>
      </c>
      <c r="G2649" s="1">
        <v>7.96</v>
      </c>
    </row>
    <row r="2650" spans="1:7" ht="14.25" hidden="1" customHeight="1" x14ac:dyDescent="0.45">
      <c r="A2650" t="str">
        <f>_xlfn.XLOOKUP(B2650,Ingot!$H$12:$H$119,Ingot!$G$12:$G$119,"")</f>
        <v>Metal</v>
      </c>
      <c r="B2650" t="s">
        <v>5272</v>
      </c>
      <c r="C2650" t="s">
        <v>10</v>
      </c>
      <c r="D2650" t="s">
        <v>5333</v>
      </c>
      <c r="E2650" t="s">
        <v>5334</v>
      </c>
      <c r="G2650" s="1">
        <v>9.64</v>
      </c>
    </row>
    <row r="2651" spans="1:7" ht="14.25" hidden="1" customHeight="1" x14ac:dyDescent="0.45">
      <c r="A2651" t="str">
        <f>_xlfn.XLOOKUP(B2651,Ingot!$H$12:$H$119,Ingot!$G$12:$G$119,"")</f>
        <v>Metal</v>
      </c>
      <c r="B2651" t="s">
        <v>5272</v>
      </c>
      <c r="C2651" t="s">
        <v>10</v>
      </c>
      <c r="D2651" t="s">
        <v>5335</v>
      </c>
      <c r="E2651" t="s">
        <v>5336</v>
      </c>
      <c r="G2651" s="1">
        <v>7.94</v>
      </c>
    </row>
    <row r="2652" spans="1:7" ht="14.25" hidden="1" customHeight="1" x14ac:dyDescent="0.45">
      <c r="A2652" t="str">
        <f>_xlfn.XLOOKUP(B2652,Ingot!$H$12:$H$119,Ingot!$G$12:$G$119,"")</f>
        <v>Metal</v>
      </c>
      <c r="B2652" t="s">
        <v>5272</v>
      </c>
      <c r="C2652" t="s">
        <v>10</v>
      </c>
      <c r="D2652" t="s">
        <v>5337</v>
      </c>
      <c r="E2652" t="s">
        <v>5338</v>
      </c>
      <c r="G2652" s="1">
        <v>8.66</v>
      </c>
    </row>
    <row r="2653" spans="1:7" ht="14.25" hidden="1" customHeight="1" x14ac:dyDescent="0.45">
      <c r="A2653" t="str">
        <f>_xlfn.XLOOKUP(B2653,Ingot!$H$12:$H$119,Ingot!$G$12:$G$119,"")</f>
        <v>Metal</v>
      </c>
      <c r="B2653" t="s">
        <v>5272</v>
      </c>
      <c r="C2653" t="s">
        <v>10</v>
      </c>
      <c r="D2653" t="s">
        <v>5339</v>
      </c>
      <c r="E2653" t="s">
        <v>5340</v>
      </c>
    </row>
    <row r="2654" spans="1:7" ht="14.25" hidden="1" customHeight="1" x14ac:dyDescent="0.45">
      <c r="A2654" t="str">
        <f>_xlfn.XLOOKUP(B2654,Ingot!$H$12:$H$119,Ingot!$G$12:$G$119,"")</f>
        <v>Metal</v>
      </c>
      <c r="B2654" t="s">
        <v>5272</v>
      </c>
      <c r="C2654" t="s">
        <v>10</v>
      </c>
      <c r="D2654" t="s">
        <v>5341</v>
      </c>
      <c r="E2654" t="s">
        <v>5342</v>
      </c>
      <c r="G2654" s="1">
        <v>2.65</v>
      </c>
    </row>
    <row r="2655" spans="1:7" ht="14.25" hidden="1" customHeight="1" x14ac:dyDescent="0.45">
      <c r="A2655" t="str">
        <f>_xlfn.XLOOKUP(B2655,Ingot!$H$12:$H$119,Ingot!$G$12:$G$119,"")</f>
        <v>Metal</v>
      </c>
      <c r="B2655" t="s">
        <v>5272</v>
      </c>
      <c r="C2655" t="s">
        <v>10</v>
      </c>
      <c r="D2655" t="s">
        <v>5343</v>
      </c>
      <c r="E2655" t="s">
        <v>5344</v>
      </c>
    </row>
    <row r="2656" spans="1:7" ht="14.25" hidden="1" customHeight="1" x14ac:dyDescent="0.45">
      <c r="A2656" t="str">
        <f>_xlfn.XLOOKUP(B2656,Ingot!$H$12:$H$119,Ingot!$G$12:$G$119,"")</f>
        <v>Metal</v>
      </c>
      <c r="B2656" t="s">
        <v>5272</v>
      </c>
      <c r="C2656" t="s">
        <v>10</v>
      </c>
      <c r="D2656" t="s">
        <v>5345</v>
      </c>
      <c r="E2656" t="s">
        <v>5346</v>
      </c>
      <c r="G2656" s="1">
        <v>12.64</v>
      </c>
    </row>
    <row r="2657" spans="1:7" ht="14.25" hidden="1" customHeight="1" x14ac:dyDescent="0.45">
      <c r="A2657" t="str">
        <f>_xlfn.XLOOKUP(B2657,Ingot!$H$12:$H$119,Ingot!$G$12:$G$119,"")</f>
        <v>Metal</v>
      </c>
      <c r="B2657" t="s">
        <v>5272</v>
      </c>
      <c r="C2657" t="s">
        <v>10</v>
      </c>
      <c r="D2657" t="s">
        <v>5347</v>
      </c>
      <c r="E2657" t="s">
        <v>5348</v>
      </c>
      <c r="G2657" s="1">
        <v>22.67</v>
      </c>
    </row>
    <row r="2658" spans="1:7" ht="14.25" hidden="1" customHeight="1" x14ac:dyDescent="0.45">
      <c r="A2658" t="str">
        <f>_xlfn.XLOOKUP(B2658,Ingot!$H$12:$H$119,Ingot!$G$12:$G$119,"")</f>
        <v>Metal</v>
      </c>
      <c r="B2658" t="s">
        <v>5272</v>
      </c>
      <c r="C2658" t="s">
        <v>10</v>
      </c>
      <c r="D2658" t="s">
        <v>5349</v>
      </c>
      <c r="E2658" t="s">
        <v>5350</v>
      </c>
      <c r="G2658" s="1">
        <v>8.3800000000000008</v>
      </c>
    </row>
    <row r="2659" spans="1:7" ht="14.25" hidden="1" customHeight="1" x14ac:dyDescent="0.45">
      <c r="A2659" t="str">
        <f>_xlfn.XLOOKUP(B2659,Ingot!$H$12:$H$119,Ingot!$G$12:$G$119,"")</f>
        <v>Metal</v>
      </c>
      <c r="B2659" t="s">
        <v>5272</v>
      </c>
      <c r="C2659" t="s">
        <v>10</v>
      </c>
      <c r="D2659" t="s">
        <v>5351</v>
      </c>
      <c r="E2659" t="s">
        <v>5352</v>
      </c>
      <c r="G2659" s="1">
        <v>2.2000000000000002</v>
      </c>
    </row>
    <row r="2660" spans="1:7" ht="14.25" hidden="1" customHeight="1" x14ac:dyDescent="0.45">
      <c r="A2660" t="str">
        <f>_xlfn.XLOOKUP(B2660,Ingot!$H$12:$H$119,Ingot!$G$12:$G$119,"")</f>
        <v>Metal</v>
      </c>
      <c r="B2660" t="s">
        <v>5272</v>
      </c>
      <c r="C2660" t="s">
        <v>10</v>
      </c>
      <c r="D2660" t="s">
        <v>5353</v>
      </c>
      <c r="E2660" t="s">
        <v>5354</v>
      </c>
      <c r="G2660" s="1">
        <v>3.09</v>
      </c>
    </row>
    <row r="2661" spans="1:7" ht="14.25" hidden="1" customHeight="1" x14ac:dyDescent="0.45">
      <c r="A2661" t="str">
        <f>_xlfn.XLOOKUP(B2661,Ingot!$H$12:$H$119,Ingot!$G$12:$G$119,"")</f>
        <v>Metal</v>
      </c>
      <c r="B2661" t="s">
        <v>5272</v>
      </c>
      <c r="C2661" t="s">
        <v>10</v>
      </c>
      <c r="D2661" t="s">
        <v>5355</v>
      </c>
      <c r="E2661" t="s">
        <v>5356</v>
      </c>
      <c r="G2661" s="1">
        <v>2.2999999999999998</v>
      </c>
    </row>
    <row r="2662" spans="1:7" ht="14.25" hidden="1" customHeight="1" x14ac:dyDescent="0.45">
      <c r="A2662" t="str">
        <f>_xlfn.XLOOKUP(B2662,Ingot!$H$12:$H$119,Ingot!$G$12:$G$119,"")</f>
        <v>Metal</v>
      </c>
      <c r="B2662" t="s">
        <v>5272</v>
      </c>
      <c r="C2662" t="s">
        <v>10</v>
      </c>
      <c r="D2662" t="s">
        <v>5357</v>
      </c>
      <c r="E2662" t="s">
        <v>5358</v>
      </c>
      <c r="G2662" s="1">
        <v>4.88</v>
      </c>
    </row>
    <row r="2663" spans="1:7" ht="14.25" hidden="1" customHeight="1" x14ac:dyDescent="0.45">
      <c r="A2663" t="str">
        <f>_xlfn.XLOOKUP(B2663,Ingot!$H$12:$H$119,Ingot!$G$12:$G$119,"")</f>
        <v>Metal</v>
      </c>
      <c r="B2663" t="s">
        <v>5272</v>
      </c>
      <c r="C2663" t="s">
        <v>10</v>
      </c>
      <c r="D2663" t="s">
        <v>5359</v>
      </c>
      <c r="E2663" t="s">
        <v>5360</v>
      </c>
      <c r="G2663" s="1">
        <v>8.43</v>
      </c>
    </row>
    <row r="2664" spans="1:7" ht="14.25" hidden="1" customHeight="1" x14ac:dyDescent="0.45">
      <c r="A2664" t="str">
        <f>_xlfn.XLOOKUP(B2664,Ingot!$H$12:$H$119,Ingot!$G$12:$G$119,"")</f>
        <v>Metal</v>
      </c>
      <c r="B2664" t="s">
        <v>5272</v>
      </c>
      <c r="C2664" t="s">
        <v>10</v>
      </c>
      <c r="D2664" t="s">
        <v>5361</v>
      </c>
      <c r="E2664" t="s">
        <v>5362</v>
      </c>
      <c r="G2664" s="1">
        <v>13.07</v>
      </c>
    </row>
    <row r="2665" spans="1:7" ht="14.25" hidden="1" customHeight="1" x14ac:dyDescent="0.45">
      <c r="A2665" t="str">
        <f>_xlfn.XLOOKUP(B2665,Ingot!$H$12:$H$119,Ingot!$G$12:$G$119,"")</f>
        <v>Metal</v>
      </c>
      <c r="B2665" t="s">
        <v>5272</v>
      </c>
      <c r="C2665" t="s">
        <v>10</v>
      </c>
      <c r="D2665" t="s">
        <v>5363</v>
      </c>
      <c r="E2665" t="s">
        <v>5364</v>
      </c>
    </row>
    <row r="2666" spans="1:7" ht="14.25" hidden="1" customHeight="1" x14ac:dyDescent="0.45">
      <c r="A2666" t="str">
        <f>_xlfn.XLOOKUP(B2666,Ingot!$H$12:$H$119,Ingot!$G$12:$G$119,"")</f>
        <v>Metal</v>
      </c>
      <c r="B2666" t="s">
        <v>5272</v>
      </c>
      <c r="C2666" t="s">
        <v>10</v>
      </c>
      <c r="D2666" t="s">
        <v>5365</v>
      </c>
      <c r="E2666" t="s">
        <v>5366</v>
      </c>
    </row>
    <row r="2667" spans="1:7" ht="14.25" hidden="1" customHeight="1" x14ac:dyDescent="0.45">
      <c r="A2667" t="str">
        <f>_xlfn.XLOOKUP(B2667,Ingot!$H$12:$H$119,Ingot!$G$12:$G$119,"")</f>
        <v>Metal</v>
      </c>
      <c r="B2667" t="s">
        <v>5272</v>
      </c>
      <c r="C2667" t="s">
        <v>10</v>
      </c>
      <c r="D2667" t="s">
        <v>5367</v>
      </c>
      <c r="E2667" t="s">
        <v>5368</v>
      </c>
      <c r="G2667" s="1">
        <v>6.8</v>
      </c>
    </row>
    <row r="2668" spans="1:7" ht="14.25" hidden="1" customHeight="1" x14ac:dyDescent="0.45">
      <c r="A2668" t="str">
        <f>_xlfn.XLOOKUP(B2668,Ingot!$H$12:$H$119,Ingot!$G$12:$G$119,"")</f>
        <v>Metal</v>
      </c>
      <c r="B2668" t="s">
        <v>5272</v>
      </c>
      <c r="C2668" t="s">
        <v>10</v>
      </c>
      <c r="D2668" t="s">
        <v>5369</v>
      </c>
      <c r="E2668" t="s">
        <v>5370</v>
      </c>
      <c r="G2668" s="1">
        <v>6.88</v>
      </c>
    </row>
    <row r="2669" spans="1:7" ht="14.25" hidden="1" customHeight="1" x14ac:dyDescent="0.45">
      <c r="A2669" t="str">
        <f>_xlfn.XLOOKUP(B2669,Ingot!$H$12:$H$119,Ingot!$G$12:$G$119,"")</f>
        <v>Metal</v>
      </c>
      <c r="B2669" t="s">
        <v>5272</v>
      </c>
      <c r="C2669" t="s">
        <v>10</v>
      </c>
      <c r="D2669" t="s">
        <v>5371</v>
      </c>
      <c r="E2669" t="s">
        <v>5372</v>
      </c>
      <c r="G2669" s="1">
        <v>5.5</v>
      </c>
    </row>
    <row r="2670" spans="1:7" ht="14.25" hidden="1" customHeight="1" x14ac:dyDescent="0.45">
      <c r="A2670" t="str">
        <f>_xlfn.XLOOKUP(B2670,Ingot!$H$12:$H$119,Ingot!$G$12:$G$119,"")</f>
        <v>Metal</v>
      </c>
      <c r="B2670" t="s">
        <v>5272</v>
      </c>
      <c r="C2670" t="s">
        <v>10</v>
      </c>
      <c r="D2670" t="s">
        <v>5373</v>
      </c>
      <c r="E2670" t="s">
        <v>5374</v>
      </c>
      <c r="G2670" s="1">
        <v>2.4300000000000002</v>
      </c>
    </row>
    <row r="2671" spans="1:7" ht="14.25" hidden="1" customHeight="1" x14ac:dyDescent="0.45">
      <c r="A2671" t="str">
        <f>_xlfn.XLOOKUP(B2671,Ingot!$H$12:$H$119,Ingot!$G$12:$G$119,"")</f>
        <v>Metal</v>
      </c>
      <c r="B2671" t="s">
        <v>5272</v>
      </c>
      <c r="C2671" t="s">
        <v>10</v>
      </c>
      <c r="D2671" t="s">
        <v>5375</v>
      </c>
      <c r="E2671" t="s">
        <v>5376</v>
      </c>
      <c r="G2671" s="1">
        <v>6.96</v>
      </c>
    </row>
    <row r="2672" spans="1:7" ht="14.25" hidden="1" customHeight="1" x14ac:dyDescent="0.45">
      <c r="A2672" t="str">
        <f>_xlfn.XLOOKUP(B2672,Ingot!$H$12:$H$119,Ingot!$G$12:$G$119,"")</f>
        <v>Metal</v>
      </c>
      <c r="B2672" t="s">
        <v>5272</v>
      </c>
      <c r="C2672" t="s">
        <v>10</v>
      </c>
      <c r="D2672" t="s">
        <v>5377</v>
      </c>
      <c r="E2672" t="s">
        <v>5378</v>
      </c>
      <c r="G2672" s="1">
        <v>6.32</v>
      </c>
    </row>
    <row r="2673" spans="1:7" ht="14.25" hidden="1" customHeight="1" x14ac:dyDescent="0.45">
      <c r="A2673" t="str">
        <f>_xlfn.XLOOKUP(B2673,Ingot!$H$12:$H$119,Ingot!$G$12:$G$119,"")</f>
        <v>Metal</v>
      </c>
      <c r="B2673" t="s">
        <v>5272</v>
      </c>
      <c r="C2673" t="s">
        <v>10</v>
      </c>
      <c r="D2673" t="s">
        <v>5379</v>
      </c>
      <c r="E2673" t="s">
        <v>5380</v>
      </c>
      <c r="G2673" s="1">
        <v>6.88</v>
      </c>
    </row>
    <row r="2674" spans="1:7" ht="14.25" hidden="1" customHeight="1" x14ac:dyDescent="0.45">
      <c r="A2674" t="str">
        <f>_xlfn.XLOOKUP(B2674,Ingot!$H$12:$H$119,Ingot!$G$12:$G$119,"")</f>
        <v>Metal</v>
      </c>
      <c r="B2674" t="s">
        <v>5272</v>
      </c>
      <c r="C2674" t="s">
        <v>10</v>
      </c>
      <c r="D2674" t="s">
        <v>5381</v>
      </c>
      <c r="E2674" t="s">
        <v>5382</v>
      </c>
      <c r="G2674" s="1">
        <v>2.44</v>
      </c>
    </row>
    <row r="2675" spans="1:7" ht="14.25" hidden="1" customHeight="1" x14ac:dyDescent="0.45">
      <c r="A2675" t="str">
        <f>_xlfn.XLOOKUP(B2675,Ingot!$H$12:$H$119,Ingot!$G$12:$G$119,"")</f>
        <v>Metal</v>
      </c>
      <c r="B2675" t="s">
        <v>5272</v>
      </c>
      <c r="C2675" t="s">
        <v>10</v>
      </c>
      <c r="D2675" t="s">
        <v>5383</v>
      </c>
      <c r="E2675" t="s">
        <v>5384</v>
      </c>
    </row>
    <row r="2676" spans="1:7" ht="14.25" hidden="1" customHeight="1" x14ac:dyDescent="0.45">
      <c r="A2676" t="str">
        <f>_xlfn.XLOOKUP(B2676,Ingot!$H$12:$H$119,Ingot!$G$12:$G$119,"")</f>
        <v>Metal</v>
      </c>
      <c r="B2676" t="s">
        <v>5272</v>
      </c>
      <c r="C2676" t="s">
        <v>10</v>
      </c>
      <c r="D2676" t="s">
        <v>5385</v>
      </c>
      <c r="E2676" t="s">
        <v>5386</v>
      </c>
    </row>
    <row r="2677" spans="1:7" ht="14.25" hidden="1" customHeight="1" x14ac:dyDescent="0.45">
      <c r="A2677" t="str">
        <f>_xlfn.XLOOKUP(B2677,Ingot!$H$12:$H$119,Ingot!$G$12:$G$119,"")</f>
        <v>Metal</v>
      </c>
      <c r="B2677" t="s">
        <v>5272</v>
      </c>
      <c r="C2677" t="s">
        <v>10</v>
      </c>
      <c r="D2677" t="s">
        <v>5387</v>
      </c>
      <c r="E2677" t="s">
        <v>5388</v>
      </c>
      <c r="G2677" s="1">
        <v>3.11</v>
      </c>
    </row>
    <row r="2678" spans="1:7" ht="14.25" hidden="1" customHeight="1" x14ac:dyDescent="0.45">
      <c r="A2678" t="str">
        <f>_xlfn.XLOOKUP(B2678,Ingot!$H$12:$H$119,Ingot!$G$12:$G$119,"")</f>
        <v>Metal</v>
      </c>
      <c r="B2678" t="s">
        <v>5272</v>
      </c>
      <c r="C2678" t="s">
        <v>10</v>
      </c>
      <c r="D2678" t="s">
        <v>5389</v>
      </c>
      <c r="E2678" t="s">
        <v>5390</v>
      </c>
      <c r="G2678" s="1">
        <v>2.44</v>
      </c>
    </row>
    <row r="2679" spans="1:7" ht="14.25" hidden="1" customHeight="1" x14ac:dyDescent="0.45">
      <c r="A2679" t="str">
        <f>_xlfn.XLOOKUP(B2679,Ingot!$H$12:$H$119,Ingot!$G$12:$G$119,"")</f>
        <v>Metal</v>
      </c>
      <c r="B2679" t="s">
        <v>5272</v>
      </c>
      <c r="C2679" t="s">
        <v>10</v>
      </c>
      <c r="D2679" t="s">
        <v>5391</v>
      </c>
      <c r="E2679" t="s">
        <v>5392</v>
      </c>
      <c r="G2679" s="1">
        <v>8.61</v>
      </c>
    </row>
    <row r="2680" spans="1:7" ht="14.25" hidden="1" customHeight="1" x14ac:dyDescent="0.45">
      <c r="A2680" t="str">
        <f>_xlfn.XLOOKUP(B2680,Ingot!$H$12:$H$119,Ingot!$G$12:$G$119,"")</f>
        <v>Metal</v>
      </c>
      <c r="B2680" t="s">
        <v>5272</v>
      </c>
      <c r="C2680" t="s">
        <v>10</v>
      </c>
      <c r="D2680" t="s">
        <v>5393</v>
      </c>
      <c r="E2680" t="s">
        <v>5394</v>
      </c>
    </row>
    <row r="2681" spans="1:7" ht="14.25" hidden="1" customHeight="1" x14ac:dyDescent="0.45">
      <c r="A2681" t="str">
        <f>_xlfn.XLOOKUP(B2681,Ingot!$H$12:$H$119,Ingot!$G$12:$G$119,"")</f>
        <v>Metal</v>
      </c>
      <c r="B2681" t="s">
        <v>5272</v>
      </c>
      <c r="C2681" t="s">
        <v>10</v>
      </c>
      <c r="D2681" t="s">
        <v>5395</v>
      </c>
      <c r="E2681" t="s">
        <v>5396</v>
      </c>
      <c r="G2681" s="1">
        <v>3.21</v>
      </c>
    </row>
    <row r="2682" spans="1:7" ht="14.25" hidden="1" customHeight="1" x14ac:dyDescent="0.45">
      <c r="A2682" t="str">
        <f>_xlfn.XLOOKUP(B2682,Ingot!$H$12:$H$119,Ingot!$G$12:$G$119,"")</f>
        <v>Metal</v>
      </c>
      <c r="B2682" t="s">
        <v>5272</v>
      </c>
      <c r="C2682" t="s">
        <v>10</v>
      </c>
      <c r="D2682" t="s">
        <v>5397</v>
      </c>
      <c r="E2682" t="s">
        <v>5398</v>
      </c>
      <c r="G2682" s="1">
        <v>2.77</v>
      </c>
    </row>
    <row r="2683" spans="1:7" ht="14.25" hidden="1" customHeight="1" x14ac:dyDescent="0.45">
      <c r="A2683" t="str">
        <f>_xlfn.XLOOKUP(B2683,Ingot!$H$12:$H$119,Ingot!$G$12:$G$119,"")</f>
        <v>Metal</v>
      </c>
      <c r="B2683" t="s">
        <v>5272</v>
      </c>
      <c r="C2683" t="s">
        <v>10</v>
      </c>
      <c r="D2683" t="s">
        <v>5399</v>
      </c>
      <c r="E2683" t="s">
        <v>5400</v>
      </c>
      <c r="G2683" s="1">
        <v>4.8899999999999997</v>
      </c>
    </row>
    <row r="2684" spans="1:7" ht="14.25" hidden="1" customHeight="1" x14ac:dyDescent="0.45">
      <c r="A2684" t="str">
        <f>_xlfn.XLOOKUP(B2684,Ingot!$H$12:$H$119,Ingot!$G$12:$G$119,"")</f>
        <v>Metal</v>
      </c>
      <c r="B2684" t="s">
        <v>5272</v>
      </c>
      <c r="C2684" t="s">
        <v>10</v>
      </c>
      <c r="D2684" t="s">
        <v>5401</v>
      </c>
      <c r="E2684" t="s">
        <v>5402</v>
      </c>
      <c r="G2684" s="1">
        <v>1.76</v>
      </c>
    </row>
    <row r="2685" spans="1:7" ht="14.25" hidden="1" customHeight="1" x14ac:dyDescent="0.45">
      <c r="A2685" t="str">
        <f>_xlfn.XLOOKUP(B2685,Ingot!$H$12:$H$119,Ingot!$G$12:$G$119,"")</f>
        <v>Metal</v>
      </c>
      <c r="B2685" t="s">
        <v>5272</v>
      </c>
      <c r="C2685" t="s">
        <v>10</v>
      </c>
      <c r="D2685" t="s">
        <v>5403</v>
      </c>
      <c r="E2685" t="s">
        <v>5404</v>
      </c>
    </row>
    <row r="2686" spans="1:7" ht="14.25" hidden="1" customHeight="1" x14ac:dyDescent="0.45">
      <c r="A2686" t="str">
        <f>_xlfn.XLOOKUP(B2686,Ingot!$H$12:$H$119,Ingot!$G$12:$G$119,"")</f>
        <v>Metal</v>
      </c>
      <c r="B2686" t="s">
        <v>5272</v>
      </c>
      <c r="C2686" t="s">
        <v>10</v>
      </c>
      <c r="D2686" t="s">
        <v>5405</v>
      </c>
      <c r="E2686" t="s">
        <v>5406</v>
      </c>
      <c r="G2686" s="1">
        <v>8.57</v>
      </c>
    </row>
    <row r="2687" spans="1:7" ht="14.25" hidden="1" customHeight="1" x14ac:dyDescent="0.45">
      <c r="A2687" t="str">
        <f>_xlfn.XLOOKUP(B2687,Ingot!$H$12:$H$119,Ingot!$G$12:$G$119,"")</f>
        <v>Metal</v>
      </c>
      <c r="B2687" t="s">
        <v>5272</v>
      </c>
      <c r="C2687" t="s">
        <v>10</v>
      </c>
      <c r="D2687" t="s">
        <v>5407</v>
      </c>
      <c r="E2687" t="s">
        <v>5408</v>
      </c>
    </row>
    <row r="2688" spans="1:7" ht="14.25" hidden="1" customHeight="1" x14ac:dyDescent="0.45">
      <c r="A2688" t="str">
        <f>_xlfn.XLOOKUP(B2688,Ingot!$H$12:$H$119,Ingot!$G$12:$G$119,"")</f>
        <v>Metal</v>
      </c>
      <c r="B2688" t="s">
        <v>5272</v>
      </c>
      <c r="C2688" t="s">
        <v>10</v>
      </c>
      <c r="D2688" t="s">
        <v>5409</v>
      </c>
      <c r="E2688" t="s">
        <v>5410</v>
      </c>
      <c r="G2688" s="1">
        <v>3.56</v>
      </c>
    </row>
    <row r="2689" spans="1:7" ht="14.25" hidden="1" customHeight="1" x14ac:dyDescent="0.45">
      <c r="A2689" t="str">
        <f>_xlfn.XLOOKUP(B2689,Ingot!$H$12:$H$119,Ingot!$G$12:$G$119,"")</f>
        <v>Metal</v>
      </c>
      <c r="B2689" t="s">
        <v>5272</v>
      </c>
      <c r="C2689" t="s">
        <v>10</v>
      </c>
      <c r="D2689" t="s">
        <v>5411</v>
      </c>
      <c r="E2689" t="s">
        <v>5412</v>
      </c>
      <c r="G2689" s="1">
        <v>8.91</v>
      </c>
    </row>
    <row r="2690" spans="1:7" ht="14.25" hidden="1" customHeight="1" x14ac:dyDescent="0.45">
      <c r="A2690" t="str">
        <f>_xlfn.XLOOKUP(B2690,Ingot!$H$12:$H$119,Ingot!$G$12:$G$119,"")</f>
        <v>Metal</v>
      </c>
      <c r="B2690" t="s">
        <v>5272</v>
      </c>
      <c r="C2690" t="s">
        <v>10</v>
      </c>
      <c r="D2690" t="s">
        <v>5413</v>
      </c>
      <c r="E2690" t="s">
        <v>5414</v>
      </c>
      <c r="G2690" s="1">
        <v>11.02</v>
      </c>
    </row>
    <row r="2691" spans="1:7" ht="14.25" hidden="1" customHeight="1" x14ac:dyDescent="0.45">
      <c r="A2691" t="str">
        <f>_xlfn.XLOOKUP(B2691,Ingot!$H$12:$H$119,Ingot!$G$12:$G$119,"")</f>
        <v>Metal</v>
      </c>
      <c r="B2691" t="s">
        <v>5272</v>
      </c>
      <c r="C2691" t="s">
        <v>10</v>
      </c>
      <c r="D2691" t="s">
        <v>5415</v>
      </c>
      <c r="E2691" t="s">
        <v>5416</v>
      </c>
      <c r="G2691" s="1">
        <v>5.12</v>
      </c>
    </row>
    <row r="2692" spans="1:7" ht="14.25" hidden="1" customHeight="1" x14ac:dyDescent="0.45">
      <c r="A2692" t="str">
        <f>_xlfn.XLOOKUP(B2692,Ingot!$H$12:$H$119,Ingot!$G$12:$G$119,"")</f>
        <v>Metal</v>
      </c>
      <c r="B2692" t="s">
        <v>5272</v>
      </c>
      <c r="C2692" t="s">
        <v>10</v>
      </c>
      <c r="D2692" t="s">
        <v>5417</v>
      </c>
      <c r="E2692" t="s">
        <v>5418</v>
      </c>
      <c r="G2692" s="1">
        <v>4.41</v>
      </c>
    </row>
    <row r="2693" spans="1:7" ht="14.25" hidden="1" customHeight="1" x14ac:dyDescent="0.45">
      <c r="A2693" t="str">
        <f>_xlfn.XLOOKUP(B2693,Ingot!$H$12:$H$119,Ingot!$G$12:$G$119,"")</f>
        <v>Metal</v>
      </c>
      <c r="B2693" t="s">
        <v>5272</v>
      </c>
      <c r="C2693" t="s">
        <v>157</v>
      </c>
      <c r="D2693" t="s">
        <v>5419</v>
      </c>
      <c r="E2693" t="s">
        <v>5420</v>
      </c>
      <c r="G2693" s="1">
        <v>35.130000000000003</v>
      </c>
    </row>
    <row r="2694" spans="1:7" ht="14.25" hidden="1" customHeight="1" x14ac:dyDescent="0.45">
      <c r="A2694" t="str">
        <f>_xlfn.XLOOKUP(B2694,Ingot!$H$12:$H$119,Ingot!$G$12:$G$119,"")</f>
        <v>Metal</v>
      </c>
      <c r="B2694" t="s">
        <v>5272</v>
      </c>
      <c r="C2694" t="s">
        <v>157</v>
      </c>
      <c r="D2694" t="s">
        <v>5421</v>
      </c>
      <c r="E2694" t="s">
        <v>5422</v>
      </c>
      <c r="G2694" s="1">
        <v>7.03</v>
      </c>
    </row>
    <row r="2695" spans="1:7" ht="14.25" hidden="1" customHeight="1" x14ac:dyDescent="0.45">
      <c r="A2695" t="str">
        <f>_xlfn.XLOOKUP(B2695,Ingot!$H$12:$H$119,Ingot!$G$12:$G$119,"")</f>
        <v>Metal</v>
      </c>
      <c r="B2695" t="s">
        <v>5272</v>
      </c>
      <c r="C2695" t="s">
        <v>157</v>
      </c>
      <c r="D2695" t="s">
        <v>5423</v>
      </c>
      <c r="E2695" t="s">
        <v>5424</v>
      </c>
      <c r="G2695" s="1">
        <v>7.03</v>
      </c>
    </row>
    <row r="2696" spans="1:7" ht="14.25" hidden="1" customHeight="1" x14ac:dyDescent="0.45">
      <c r="A2696" t="str">
        <f>_xlfn.XLOOKUP(B2696,Ingot!$H$12:$H$119,Ingot!$G$12:$G$119,"")</f>
        <v>Metal</v>
      </c>
      <c r="B2696" t="s">
        <v>5272</v>
      </c>
      <c r="C2696" t="s">
        <v>157</v>
      </c>
      <c r="D2696" t="s">
        <v>5425</v>
      </c>
      <c r="E2696" t="s">
        <v>5426</v>
      </c>
      <c r="G2696" s="1">
        <v>5</v>
      </c>
    </row>
    <row r="2697" spans="1:7" ht="14.25" hidden="1" customHeight="1" x14ac:dyDescent="0.45">
      <c r="A2697" t="str">
        <f>_xlfn.XLOOKUP(B2697,Ingot!$H$12:$H$119,Ingot!$G$12:$G$119,"")</f>
        <v>Metal</v>
      </c>
      <c r="B2697" t="s">
        <v>5272</v>
      </c>
      <c r="C2697" t="s">
        <v>157</v>
      </c>
      <c r="D2697" t="s">
        <v>5427</v>
      </c>
      <c r="E2697" t="s">
        <v>5428</v>
      </c>
      <c r="G2697" s="1">
        <v>10</v>
      </c>
    </row>
    <row r="2698" spans="1:7" ht="14.25" hidden="1" customHeight="1" x14ac:dyDescent="0.45">
      <c r="A2698" t="str">
        <f>_xlfn.XLOOKUP(B2698,Ingot!$H$12:$H$119,Ingot!$G$12:$G$119,"")</f>
        <v>Metal</v>
      </c>
      <c r="B2698" t="s">
        <v>5272</v>
      </c>
      <c r="C2698" t="s">
        <v>157</v>
      </c>
      <c r="D2698" t="s">
        <v>5429</v>
      </c>
      <c r="E2698" t="s">
        <v>5430</v>
      </c>
      <c r="G2698" s="1">
        <v>29.63</v>
      </c>
    </row>
    <row r="2699" spans="1:7" ht="14.25" hidden="1" customHeight="1" x14ac:dyDescent="0.45">
      <c r="A2699" t="str">
        <f>_xlfn.XLOOKUP(B2699,Ingot!$H$12:$H$119,Ingot!$G$12:$G$119,"")</f>
        <v>Metal</v>
      </c>
      <c r="B2699" t="s">
        <v>5272</v>
      </c>
      <c r="C2699" t="s">
        <v>157</v>
      </c>
      <c r="D2699" t="s">
        <v>5431</v>
      </c>
      <c r="E2699" t="s">
        <v>5432</v>
      </c>
      <c r="G2699" s="1">
        <v>5.93</v>
      </c>
    </row>
    <row r="2700" spans="1:7" ht="14.25" hidden="1" customHeight="1" x14ac:dyDescent="0.45">
      <c r="A2700" t="str">
        <f>_xlfn.XLOOKUP(B2700,Ingot!$H$12:$H$119,Ingot!$G$12:$G$119,"")</f>
        <v>Metal</v>
      </c>
      <c r="B2700" t="s">
        <v>5272</v>
      </c>
      <c r="C2700" t="s">
        <v>157</v>
      </c>
      <c r="D2700" t="s">
        <v>5433</v>
      </c>
      <c r="E2700" t="s">
        <v>5434</v>
      </c>
      <c r="G2700" s="1">
        <v>5.93</v>
      </c>
    </row>
    <row r="2701" spans="1:7" ht="14.25" hidden="1" customHeight="1" x14ac:dyDescent="0.45">
      <c r="A2701" t="str">
        <f>_xlfn.XLOOKUP(B2701,Ingot!$H$12:$H$119,Ingot!$G$12:$G$119,"")</f>
        <v>Metal</v>
      </c>
      <c r="B2701" t="s">
        <v>5272</v>
      </c>
      <c r="C2701" t="s">
        <v>157</v>
      </c>
      <c r="D2701" t="s">
        <v>5435</v>
      </c>
      <c r="E2701" t="s">
        <v>5436</v>
      </c>
      <c r="G2701" s="1">
        <v>5</v>
      </c>
    </row>
    <row r="2702" spans="1:7" ht="14.25" hidden="1" customHeight="1" x14ac:dyDescent="0.45">
      <c r="A2702" t="str">
        <f>_xlfn.XLOOKUP(B2702,Ingot!$H$12:$H$119,Ingot!$G$12:$G$119,"")</f>
        <v>Metal</v>
      </c>
      <c r="B2702" t="s">
        <v>5272</v>
      </c>
      <c r="C2702" t="s">
        <v>157</v>
      </c>
      <c r="D2702" t="s">
        <v>5437</v>
      </c>
      <c r="E2702" t="s">
        <v>5438</v>
      </c>
      <c r="G2702" s="1">
        <v>10</v>
      </c>
    </row>
    <row r="2703" spans="1:7" ht="14.25" hidden="1" customHeight="1" x14ac:dyDescent="0.45">
      <c r="A2703" t="str">
        <f>_xlfn.XLOOKUP(B2703,Ingot!$H$12:$H$119,Ingot!$G$12:$G$119,"")</f>
        <v>Metal</v>
      </c>
      <c r="B2703" t="s">
        <v>5272</v>
      </c>
      <c r="C2703" t="s">
        <v>157</v>
      </c>
      <c r="D2703" t="s">
        <v>5439</v>
      </c>
      <c r="E2703" t="s">
        <v>5440</v>
      </c>
      <c r="F2703" t="s">
        <v>180</v>
      </c>
      <c r="G2703" s="1">
        <v>28.63</v>
      </c>
    </row>
    <row r="2704" spans="1:7" ht="14.25" hidden="1" customHeight="1" x14ac:dyDescent="0.45">
      <c r="A2704" t="str">
        <f>_xlfn.XLOOKUP(B2704,Ingot!$H$12:$H$119,Ingot!$G$12:$G$119,"")</f>
        <v>Metal</v>
      </c>
      <c r="B2704" t="s">
        <v>5272</v>
      </c>
      <c r="C2704" t="s">
        <v>157</v>
      </c>
      <c r="D2704" t="s">
        <v>5441</v>
      </c>
      <c r="E2704" t="s">
        <v>5442</v>
      </c>
      <c r="F2704" t="s">
        <v>180</v>
      </c>
      <c r="G2704" s="1">
        <v>5.73</v>
      </c>
    </row>
    <row r="2705" spans="1:7" ht="14.25" hidden="1" customHeight="1" x14ac:dyDescent="0.45">
      <c r="A2705" t="str">
        <f>_xlfn.XLOOKUP(B2705,Ingot!$H$12:$H$119,Ingot!$G$12:$G$119,"")</f>
        <v>Metal</v>
      </c>
      <c r="B2705" t="s">
        <v>5272</v>
      </c>
      <c r="C2705" t="s">
        <v>157</v>
      </c>
      <c r="D2705" t="s">
        <v>5443</v>
      </c>
      <c r="E2705" t="s">
        <v>5444</v>
      </c>
      <c r="F2705" t="s">
        <v>180</v>
      </c>
      <c r="G2705" s="1">
        <v>5.73</v>
      </c>
    </row>
    <row r="2706" spans="1:7" ht="14.25" hidden="1" customHeight="1" x14ac:dyDescent="0.45">
      <c r="A2706" t="str">
        <f>_xlfn.XLOOKUP(B2706,Ingot!$H$12:$H$119,Ingot!$G$12:$G$119,"")</f>
        <v>Metal</v>
      </c>
      <c r="B2706" t="s">
        <v>5272</v>
      </c>
      <c r="C2706" t="s">
        <v>157</v>
      </c>
      <c r="D2706" t="s">
        <v>5445</v>
      </c>
      <c r="E2706" t="s">
        <v>5446</v>
      </c>
      <c r="F2706" t="s">
        <v>180</v>
      </c>
      <c r="G2706" s="1">
        <v>5</v>
      </c>
    </row>
    <row r="2707" spans="1:7" ht="14.25" hidden="1" customHeight="1" x14ac:dyDescent="0.45">
      <c r="A2707" t="str">
        <f>_xlfn.XLOOKUP(B2707,Ingot!$H$12:$H$119,Ingot!$G$12:$G$119,"")</f>
        <v>Metal</v>
      </c>
      <c r="B2707" t="s">
        <v>5272</v>
      </c>
      <c r="C2707" t="s">
        <v>157</v>
      </c>
      <c r="D2707" t="s">
        <v>5447</v>
      </c>
      <c r="E2707" t="s">
        <v>5448</v>
      </c>
      <c r="F2707" t="s">
        <v>180</v>
      </c>
      <c r="G2707" s="1">
        <v>10</v>
      </c>
    </row>
    <row r="2708" spans="1:7" ht="14.25" hidden="1" customHeight="1" x14ac:dyDescent="0.45">
      <c r="A2708" t="str">
        <f>_xlfn.XLOOKUP(B2708,Ingot!$H$12:$H$119,Ingot!$G$12:$G$119,"")</f>
        <v>Metal</v>
      </c>
      <c r="B2708" t="s">
        <v>5272</v>
      </c>
      <c r="C2708" t="s">
        <v>157</v>
      </c>
      <c r="D2708" t="s">
        <v>5449</v>
      </c>
      <c r="E2708" t="s">
        <v>5450</v>
      </c>
      <c r="G2708" s="1">
        <v>31.13</v>
      </c>
    </row>
    <row r="2709" spans="1:7" ht="14.25" hidden="1" customHeight="1" x14ac:dyDescent="0.45">
      <c r="A2709" t="str">
        <f>_xlfn.XLOOKUP(B2709,Ingot!$H$12:$H$119,Ingot!$G$12:$G$119,"")</f>
        <v>Metal</v>
      </c>
      <c r="B2709" t="s">
        <v>5272</v>
      </c>
      <c r="C2709" t="s">
        <v>157</v>
      </c>
      <c r="D2709" t="s">
        <v>5451</v>
      </c>
      <c r="E2709" t="s">
        <v>5452</v>
      </c>
      <c r="G2709" s="1">
        <v>6.23</v>
      </c>
    </row>
    <row r="2710" spans="1:7" ht="14.25" hidden="1" customHeight="1" x14ac:dyDescent="0.45">
      <c r="A2710" t="str">
        <f>_xlfn.XLOOKUP(B2710,Ingot!$H$12:$H$119,Ingot!$G$12:$G$119,"")</f>
        <v>Metal</v>
      </c>
      <c r="B2710" t="s">
        <v>5272</v>
      </c>
      <c r="C2710" t="s">
        <v>157</v>
      </c>
      <c r="D2710" t="s">
        <v>5453</v>
      </c>
      <c r="E2710" t="s">
        <v>5454</v>
      </c>
      <c r="G2710" s="1">
        <v>6.23</v>
      </c>
    </row>
    <row r="2711" spans="1:7" ht="14.25" hidden="1" customHeight="1" x14ac:dyDescent="0.45">
      <c r="A2711" t="str">
        <f>_xlfn.XLOOKUP(B2711,Ingot!$H$12:$H$119,Ingot!$G$12:$G$119,"")</f>
        <v>Metal</v>
      </c>
      <c r="B2711" t="s">
        <v>5272</v>
      </c>
      <c r="C2711" t="s">
        <v>157</v>
      </c>
      <c r="D2711" t="s">
        <v>5455</v>
      </c>
      <c r="E2711" t="s">
        <v>5456</v>
      </c>
      <c r="G2711" s="1">
        <v>5</v>
      </c>
    </row>
    <row r="2712" spans="1:7" ht="14.25" hidden="1" customHeight="1" x14ac:dyDescent="0.45">
      <c r="A2712" t="str">
        <f>_xlfn.XLOOKUP(B2712,Ingot!$H$12:$H$119,Ingot!$G$12:$G$119,"")</f>
        <v>Metal</v>
      </c>
      <c r="B2712" t="s">
        <v>5272</v>
      </c>
      <c r="C2712" t="s">
        <v>157</v>
      </c>
      <c r="D2712" t="s">
        <v>5457</v>
      </c>
      <c r="E2712" t="s">
        <v>5458</v>
      </c>
      <c r="G2712" s="1">
        <v>10</v>
      </c>
    </row>
    <row r="2713" spans="1:7" ht="14.25" hidden="1" customHeight="1" x14ac:dyDescent="0.45">
      <c r="A2713" t="str">
        <f>_xlfn.XLOOKUP(B2713,Ingot!$H$12:$H$119,Ingot!$G$12:$G$119,"")</f>
        <v>Metal</v>
      </c>
      <c r="B2713" t="s">
        <v>5272</v>
      </c>
      <c r="C2713" t="s">
        <v>157</v>
      </c>
      <c r="D2713" t="s">
        <v>5459</v>
      </c>
      <c r="E2713" t="s">
        <v>5460</v>
      </c>
      <c r="G2713" s="1">
        <v>33.130000000000003</v>
      </c>
    </row>
    <row r="2714" spans="1:7" ht="14.25" hidden="1" customHeight="1" x14ac:dyDescent="0.45">
      <c r="A2714" t="str">
        <f>_xlfn.XLOOKUP(B2714,Ingot!$H$12:$H$119,Ingot!$G$12:$G$119,"")</f>
        <v>Metal</v>
      </c>
      <c r="B2714" t="s">
        <v>5272</v>
      </c>
      <c r="C2714" t="s">
        <v>157</v>
      </c>
      <c r="D2714" t="s">
        <v>5461</v>
      </c>
      <c r="E2714" t="s">
        <v>5462</v>
      </c>
      <c r="F2714" t="s">
        <v>180</v>
      </c>
      <c r="G2714" s="1">
        <v>6.63</v>
      </c>
    </row>
    <row r="2715" spans="1:7" ht="14.25" hidden="1" customHeight="1" x14ac:dyDescent="0.45">
      <c r="A2715" t="str">
        <f>_xlfn.XLOOKUP(B2715,Ingot!$H$12:$H$119,Ingot!$G$12:$G$119,"")</f>
        <v>Metal</v>
      </c>
      <c r="B2715" t="s">
        <v>5272</v>
      </c>
      <c r="C2715" t="s">
        <v>157</v>
      </c>
      <c r="D2715" t="s">
        <v>5463</v>
      </c>
      <c r="E2715" t="s">
        <v>5464</v>
      </c>
      <c r="F2715" t="s">
        <v>180</v>
      </c>
      <c r="G2715" s="1">
        <v>6.63</v>
      </c>
    </row>
    <row r="2716" spans="1:7" ht="14.25" hidden="1" customHeight="1" x14ac:dyDescent="0.45">
      <c r="A2716" t="str">
        <f>_xlfn.XLOOKUP(B2716,Ingot!$H$12:$H$119,Ingot!$G$12:$G$119,"")</f>
        <v>Metal</v>
      </c>
      <c r="B2716" t="s">
        <v>5272</v>
      </c>
      <c r="C2716" t="s">
        <v>157</v>
      </c>
      <c r="D2716" t="s">
        <v>5465</v>
      </c>
      <c r="E2716" t="s">
        <v>5466</v>
      </c>
      <c r="F2716" t="s">
        <v>180</v>
      </c>
      <c r="G2716" s="1">
        <v>5</v>
      </c>
    </row>
    <row r="2717" spans="1:7" ht="14.25" hidden="1" customHeight="1" x14ac:dyDescent="0.45">
      <c r="A2717" t="str">
        <f>_xlfn.XLOOKUP(B2717,Ingot!$H$12:$H$119,Ingot!$G$12:$G$119,"")</f>
        <v>Metal</v>
      </c>
      <c r="B2717" t="s">
        <v>5272</v>
      </c>
      <c r="C2717" t="s">
        <v>157</v>
      </c>
      <c r="D2717" t="s">
        <v>5467</v>
      </c>
      <c r="E2717" t="s">
        <v>5468</v>
      </c>
      <c r="G2717" s="1">
        <v>10</v>
      </c>
    </row>
    <row r="2718" spans="1:7" ht="14.25" hidden="1" customHeight="1" x14ac:dyDescent="0.45">
      <c r="A2718" t="str">
        <f>_xlfn.XLOOKUP(B2718,Ingot!$H$12:$H$119,Ingot!$G$12:$G$119,"")</f>
        <v>Metal</v>
      </c>
      <c r="B2718" t="s">
        <v>5272</v>
      </c>
      <c r="C2718" t="s">
        <v>157</v>
      </c>
      <c r="D2718" t="s">
        <v>5469</v>
      </c>
      <c r="E2718" t="s">
        <v>5470</v>
      </c>
      <c r="G2718" s="1">
        <v>38.130000000000003</v>
      </c>
    </row>
    <row r="2719" spans="1:7" ht="14.25" hidden="1" customHeight="1" x14ac:dyDescent="0.45">
      <c r="A2719" t="str">
        <f>_xlfn.XLOOKUP(B2719,Ingot!$H$12:$H$119,Ingot!$G$12:$G$119,"")</f>
        <v>Metal</v>
      </c>
      <c r="B2719" t="s">
        <v>5272</v>
      </c>
      <c r="C2719" t="s">
        <v>157</v>
      </c>
      <c r="D2719" t="s">
        <v>5471</v>
      </c>
      <c r="E2719" t="s">
        <v>5472</v>
      </c>
      <c r="G2719" s="1">
        <v>7.63</v>
      </c>
    </row>
    <row r="2720" spans="1:7" ht="14.25" hidden="1" customHeight="1" x14ac:dyDescent="0.45">
      <c r="A2720" t="str">
        <f>_xlfn.XLOOKUP(B2720,Ingot!$H$12:$H$119,Ingot!$G$12:$G$119,"")</f>
        <v>Metal</v>
      </c>
      <c r="B2720" t="s">
        <v>5272</v>
      </c>
      <c r="C2720" t="s">
        <v>157</v>
      </c>
      <c r="D2720" t="s">
        <v>5473</v>
      </c>
      <c r="E2720" t="s">
        <v>5474</v>
      </c>
      <c r="G2720" s="1">
        <v>7.63</v>
      </c>
    </row>
    <row r="2721" spans="1:7" ht="14.25" hidden="1" customHeight="1" x14ac:dyDescent="0.45">
      <c r="A2721" t="str">
        <f>_xlfn.XLOOKUP(B2721,Ingot!$H$12:$H$119,Ingot!$G$12:$G$119,"")</f>
        <v>Metal</v>
      </c>
      <c r="B2721" t="s">
        <v>5272</v>
      </c>
      <c r="C2721" t="s">
        <v>157</v>
      </c>
      <c r="D2721" t="s">
        <v>5475</v>
      </c>
      <c r="E2721" t="s">
        <v>5476</v>
      </c>
      <c r="G2721" s="1">
        <v>5</v>
      </c>
    </row>
    <row r="2722" spans="1:7" ht="14.25" hidden="1" customHeight="1" x14ac:dyDescent="0.45">
      <c r="A2722" t="str">
        <f>_xlfn.XLOOKUP(B2722,Ingot!$H$12:$H$119,Ingot!$G$12:$G$119,"")</f>
        <v>Metal</v>
      </c>
      <c r="B2722" t="s">
        <v>5272</v>
      </c>
      <c r="C2722" t="s">
        <v>157</v>
      </c>
      <c r="D2722" t="s">
        <v>5477</v>
      </c>
      <c r="E2722" t="s">
        <v>5478</v>
      </c>
      <c r="G2722" s="1">
        <v>10</v>
      </c>
    </row>
    <row r="2723" spans="1:7" ht="14.25" hidden="1" customHeight="1" x14ac:dyDescent="0.45">
      <c r="A2723" t="str">
        <f>_xlfn.XLOOKUP(B2723,Ingot!$H$12:$H$119,Ingot!$G$12:$G$119,"")</f>
        <v>Metal</v>
      </c>
      <c r="B2723" t="s">
        <v>5272</v>
      </c>
      <c r="C2723" t="s">
        <v>157</v>
      </c>
      <c r="D2723" t="s">
        <v>5479</v>
      </c>
      <c r="E2723" t="s">
        <v>5480</v>
      </c>
      <c r="G2723" s="1">
        <v>37.630000000000003</v>
      </c>
    </row>
    <row r="2724" spans="1:7" ht="14.25" hidden="1" customHeight="1" x14ac:dyDescent="0.45">
      <c r="A2724" t="str">
        <f>_xlfn.XLOOKUP(B2724,Ingot!$H$12:$H$119,Ingot!$G$12:$G$119,"")</f>
        <v>Metal</v>
      </c>
      <c r="B2724" t="s">
        <v>5272</v>
      </c>
      <c r="C2724" t="s">
        <v>157</v>
      </c>
      <c r="D2724" t="s">
        <v>5481</v>
      </c>
      <c r="E2724" t="s">
        <v>5482</v>
      </c>
      <c r="G2724" s="1">
        <v>7.53</v>
      </c>
    </row>
    <row r="2725" spans="1:7" ht="14.25" hidden="1" customHeight="1" x14ac:dyDescent="0.45">
      <c r="A2725" t="str">
        <f>_xlfn.XLOOKUP(B2725,Ingot!$H$12:$H$119,Ingot!$G$12:$G$119,"")</f>
        <v>Metal</v>
      </c>
      <c r="B2725" t="s">
        <v>5272</v>
      </c>
      <c r="C2725" t="s">
        <v>157</v>
      </c>
      <c r="D2725" t="s">
        <v>5483</v>
      </c>
      <c r="E2725" t="s">
        <v>5484</v>
      </c>
      <c r="G2725" s="1">
        <v>7.53</v>
      </c>
    </row>
    <row r="2726" spans="1:7" ht="14.25" hidden="1" customHeight="1" x14ac:dyDescent="0.45">
      <c r="A2726" t="str">
        <f>_xlfn.XLOOKUP(B2726,Ingot!$H$12:$H$119,Ingot!$G$12:$G$119,"")</f>
        <v>Metal</v>
      </c>
      <c r="B2726" t="s">
        <v>5272</v>
      </c>
      <c r="C2726" t="s">
        <v>157</v>
      </c>
      <c r="D2726" t="s">
        <v>5485</v>
      </c>
      <c r="E2726" t="s">
        <v>5486</v>
      </c>
      <c r="G2726" s="1">
        <v>5</v>
      </c>
    </row>
    <row r="2727" spans="1:7" ht="14.25" hidden="1" customHeight="1" x14ac:dyDescent="0.45">
      <c r="A2727" t="str">
        <f>_xlfn.XLOOKUP(B2727,Ingot!$H$12:$H$119,Ingot!$G$12:$G$119,"")</f>
        <v>Metal</v>
      </c>
      <c r="B2727" t="s">
        <v>5272</v>
      </c>
      <c r="C2727" t="s">
        <v>157</v>
      </c>
      <c r="D2727" t="s">
        <v>5487</v>
      </c>
      <c r="E2727" t="s">
        <v>5488</v>
      </c>
      <c r="G2727" s="1">
        <v>10</v>
      </c>
    </row>
    <row r="2728" spans="1:7" ht="14.25" hidden="1" customHeight="1" x14ac:dyDescent="0.45">
      <c r="A2728" t="str">
        <f>_xlfn.XLOOKUP(B2728,Ingot!$H$12:$H$119,Ingot!$G$12:$G$119,"")</f>
        <v>Metal</v>
      </c>
      <c r="B2728" t="s">
        <v>5272</v>
      </c>
      <c r="C2728" t="s">
        <v>157</v>
      </c>
      <c r="D2728" t="s">
        <v>5489</v>
      </c>
      <c r="E2728" t="s">
        <v>5490</v>
      </c>
      <c r="F2728" t="s">
        <v>180</v>
      </c>
      <c r="G2728" s="1">
        <v>27.13</v>
      </c>
    </row>
    <row r="2729" spans="1:7" ht="14.25" hidden="1" customHeight="1" x14ac:dyDescent="0.45">
      <c r="A2729" t="str">
        <f>_xlfn.XLOOKUP(B2729,Ingot!$H$12:$H$119,Ingot!$G$12:$G$119,"")</f>
        <v>Metal</v>
      </c>
      <c r="B2729" t="s">
        <v>5272</v>
      </c>
      <c r="C2729" t="s">
        <v>157</v>
      </c>
      <c r="D2729" t="s">
        <v>5491</v>
      </c>
      <c r="E2729" t="s">
        <v>5492</v>
      </c>
      <c r="F2729" t="s">
        <v>180</v>
      </c>
      <c r="G2729" s="1">
        <v>5.43</v>
      </c>
    </row>
    <row r="2730" spans="1:7" ht="14.25" hidden="1" customHeight="1" x14ac:dyDescent="0.45">
      <c r="A2730" t="str">
        <f>_xlfn.XLOOKUP(B2730,Ingot!$H$12:$H$119,Ingot!$G$12:$G$119,"")</f>
        <v>Metal</v>
      </c>
      <c r="B2730" t="s">
        <v>5272</v>
      </c>
      <c r="C2730" t="s">
        <v>157</v>
      </c>
      <c r="D2730" t="s">
        <v>5493</v>
      </c>
      <c r="E2730" t="s">
        <v>5494</v>
      </c>
      <c r="F2730" t="s">
        <v>180</v>
      </c>
      <c r="G2730" s="1">
        <v>5.43</v>
      </c>
    </row>
    <row r="2731" spans="1:7" ht="14.25" hidden="1" customHeight="1" x14ac:dyDescent="0.45">
      <c r="A2731" t="str">
        <f>_xlfn.XLOOKUP(B2731,Ingot!$H$12:$H$119,Ingot!$G$12:$G$119,"")</f>
        <v>Metal</v>
      </c>
      <c r="B2731" t="s">
        <v>5272</v>
      </c>
      <c r="C2731" t="s">
        <v>157</v>
      </c>
      <c r="D2731" t="s">
        <v>5495</v>
      </c>
      <c r="E2731" t="s">
        <v>5496</v>
      </c>
      <c r="F2731" t="s">
        <v>180</v>
      </c>
      <c r="G2731" s="1">
        <v>5</v>
      </c>
    </row>
    <row r="2732" spans="1:7" ht="14.25" hidden="1" customHeight="1" x14ac:dyDescent="0.45">
      <c r="A2732" t="str">
        <f>_xlfn.XLOOKUP(B2732,Ingot!$H$12:$H$119,Ingot!$G$12:$G$119,"")</f>
        <v>Metal</v>
      </c>
      <c r="B2732" t="s">
        <v>5272</v>
      </c>
      <c r="C2732" t="s">
        <v>157</v>
      </c>
      <c r="D2732" t="s">
        <v>5497</v>
      </c>
      <c r="E2732" t="s">
        <v>5498</v>
      </c>
      <c r="F2732" t="s">
        <v>180</v>
      </c>
      <c r="G2732" s="1">
        <v>10</v>
      </c>
    </row>
    <row r="2733" spans="1:7" ht="14.25" hidden="1" customHeight="1" x14ac:dyDescent="0.45">
      <c r="A2733" t="str">
        <f>_xlfn.XLOOKUP(B2733,Ingot!$H$12:$H$119,Ingot!$G$12:$G$119,"")</f>
        <v>Metal</v>
      </c>
      <c r="B2733" t="s">
        <v>5272</v>
      </c>
      <c r="C2733" t="s">
        <v>239</v>
      </c>
      <c r="D2733" t="s">
        <v>5499</v>
      </c>
      <c r="E2733" t="s">
        <v>5500</v>
      </c>
      <c r="G2733" s="1">
        <f>(VLOOKUP(B2733,Ingot!H:I,2,FALSE()) * 0.75) * 0.75</f>
        <v>7.3125</v>
      </c>
    </row>
    <row r="2734" spans="1:7" ht="14.25" hidden="1" customHeight="1" x14ac:dyDescent="0.45">
      <c r="A2734" t="str">
        <f>_xlfn.XLOOKUP(B2734,Ingot!$H$12:$H$119,Ingot!$G$12:$G$119,"")</f>
        <v>Metal</v>
      </c>
      <c r="B2734" t="s">
        <v>5272</v>
      </c>
      <c r="C2734" t="s">
        <v>239</v>
      </c>
      <c r="D2734" t="s">
        <v>5501</v>
      </c>
      <c r="E2734" t="s">
        <v>5502</v>
      </c>
      <c r="G2734" s="1">
        <f>((VLOOKUP(B2734,Ingot!H:I,2,FALSE()) * 3) - 10.25) * 0.421875</f>
        <v>12.12890625</v>
      </c>
    </row>
    <row r="2735" spans="1:7" ht="14.25" hidden="1" customHeight="1" x14ac:dyDescent="0.45">
      <c r="A2735" t="str">
        <f>_xlfn.XLOOKUP(B2735,Ingot!$H$12:$H$119,Ingot!$G$12:$G$119,"")</f>
        <v>Metal</v>
      </c>
      <c r="B2735" t="s">
        <v>5272</v>
      </c>
      <c r="C2735" t="s">
        <v>239</v>
      </c>
      <c r="D2735" t="s">
        <v>5503</v>
      </c>
      <c r="E2735" t="s">
        <v>5504</v>
      </c>
      <c r="G2735" s="1">
        <f>((VLOOKUP(B2735,Ingot!H:I,2,FALSE()) * 3) - 10.25) * 0.75</f>
        <v>21.5625</v>
      </c>
    </row>
    <row r="2736" spans="1:7" ht="14.25" hidden="1" customHeight="1" x14ac:dyDescent="0.45">
      <c r="A2736" t="str">
        <f>_xlfn.XLOOKUP(B2736,Ingot!$H$12:$H$119,Ingot!$G$12:$G$119,"")</f>
        <v>Metal</v>
      </c>
      <c r="B2736" t="s">
        <v>5272</v>
      </c>
      <c r="C2736" t="s">
        <v>239</v>
      </c>
      <c r="D2736" t="s">
        <v>5505</v>
      </c>
      <c r="E2736" t="s">
        <v>5506</v>
      </c>
      <c r="G2736" s="1">
        <f>((VLOOKUP(B2736,Ingot!H:I,2,FALSE()) * 3) - 10.25) * 0.5625</f>
        <v>16.171875</v>
      </c>
    </row>
    <row r="2737" spans="1:7" ht="14.25" hidden="1" customHeight="1" x14ac:dyDescent="0.45">
      <c r="A2737" t="str">
        <f>_xlfn.XLOOKUP(B2737,Ingot!$H$12:$H$119,Ingot!$G$12:$G$119,"")</f>
        <v>Metal</v>
      </c>
      <c r="B2737" t="s">
        <v>5272</v>
      </c>
      <c r="C2737" t="s">
        <v>239</v>
      </c>
      <c r="D2737" t="s">
        <v>5507</v>
      </c>
      <c r="E2737" t="s">
        <v>5508</v>
      </c>
      <c r="G2737" s="1">
        <f>VLOOKUP(B2737,Ingot!H:I,2,FALSE()) * 0.75</f>
        <v>9.75</v>
      </c>
    </row>
    <row r="2738" spans="1:7" ht="14.25" hidden="1" customHeight="1" x14ac:dyDescent="0.45">
      <c r="A2738" t="str">
        <f>_xlfn.XLOOKUP(B2738,Ingot!$H$12:$H$119,Ingot!$G$12:$G$119,"")</f>
        <v>Metal</v>
      </c>
      <c r="B2738" t="s">
        <v>5272</v>
      </c>
      <c r="C2738" t="s">
        <v>239</v>
      </c>
      <c r="D2738" t="s">
        <v>5509</v>
      </c>
      <c r="E2738" t="s">
        <v>5510</v>
      </c>
      <c r="G2738" s="1">
        <f>(VLOOKUP(B2738,Ingot!H:I,2,FALSE()) * 3) - 10.25</f>
        <v>28.75</v>
      </c>
    </row>
    <row r="2739" spans="1:7" ht="14.25" hidden="1" customHeight="1" x14ac:dyDescent="0.45">
      <c r="A2739" t="str">
        <f>_xlfn.XLOOKUP(B2739,Ingot!$H$12:$H$119,Ingot!$G$12:$G$119,"")</f>
        <v>Metal</v>
      </c>
      <c r="B2739" t="s">
        <v>5511</v>
      </c>
      <c r="C2739" t="s">
        <v>10</v>
      </c>
      <c r="D2739" t="s">
        <v>5512</v>
      </c>
      <c r="E2739" t="s">
        <v>5513</v>
      </c>
      <c r="G2739" s="1">
        <v>0.08</v>
      </c>
    </row>
    <row r="2740" spans="1:7" ht="14.25" hidden="1" customHeight="1" x14ac:dyDescent="0.45">
      <c r="A2740" t="str">
        <f>_xlfn.XLOOKUP(B2740,Ingot!$H$12:$H$119,Ingot!$G$12:$G$119,"")</f>
        <v>Metal</v>
      </c>
      <c r="B2740" t="s">
        <v>5511</v>
      </c>
      <c r="C2740" t="s">
        <v>10</v>
      </c>
      <c r="D2740" t="s">
        <v>5514</v>
      </c>
      <c r="E2740" t="s">
        <v>5515</v>
      </c>
      <c r="G2740" s="1">
        <v>9.9</v>
      </c>
    </row>
    <row r="2741" spans="1:7" ht="14.25" hidden="1" customHeight="1" x14ac:dyDescent="0.45">
      <c r="A2741" t="str">
        <f>_xlfn.XLOOKUP(B2741,Ingot!$H$12:$H$119,Ingot!$G$12:$G$119,"")</f>
        <v>Metal</v>
      </c>
      <c r="B2741" t="s">
        <v>5511</v>
      </c>
      <c r="C2741" t="s">
        <v>10</v>
      </c>
      <c r="D2741" t="s">
        <v>5516</v>
      </c>
      <c r="E2741" t="s">
        <v>5517</v>
      </c>
      <c r="G2741" s="1">
        <v>5.66</v>
      </c>
    </row>
    <row r="2742" spans="1:7" ht="14.25" hidden="1" customHeight="1" x14ac:dyDescent="0.45">
      <c r="A2742" t="str">
        <f>_xlfn.XLOOKUP(B2742,Ingot!$H$12:$H$119,Ingot!$G$12:$G$119,"")</f>
        <v>Metal</v>
      </c>
      <c r="B2742" t="s">
        <v>5511</v>
      </c>
      <c r="C2742" t="s">
        <v>10</v>
      </c>
      <c r="D2742" t="s">
        <v>5518</v>
      </c>
      <c r="E2742" t="s">
        <v>5519</v>
      </c>
      <c r="G2742" s="1">
        <v>3.3</v>
      </c>
    </row>
    <row r="2743" spans="1:7" ht="14.25" hidden="1" customHeight="1" x14ac:dyDescent="0.45">
      <c r="A2743" t="str">
        <f>_xlfn.XLOOKUP(B2743,Ingot!$H$12:$H$119,Ingot!$G$12:$G$119,"")</f>
        <v>Metal</v>
      </c>
      <c r="B2743" t="s">
        <v>5511</v>
      </c>
      <c r="C2743" t="s">
        <v>10</v>
      </c>
      <c r="D2743" t="s">
        <v>5520</v>
      </c>
      <c r="E2743" t="s">
        <v>5521</v>
      </c>
      <c r="G2743" s="1">
        <v>0.66</v>
      </c>
    </row>
    <row r="2744" spans="1:7" ht="14.25" hidden="1" customHeight="1" x14ac:dyDescent="0.45">
      <c r="A2744" t="str">
        <f>_xlfn.XLOOKUP(B2744,Ingot!$H$12:$H$119,Ingot!$G$12:$G$119,"")</f>
        <v>Metal</v>
      </c>
      <c r="B2744" t="s">
        <v>5511</v>
      </c>
      <c r="C2744" t="s">
        <v>10</v>
      </c>
      <c r="D2744" t="s">
        <v>5522</v>
      </c>
      <c r="E2744" t="s">
        <v>5523</v>
      </c>
      <c r="G2744" s="1">
        <v>0.04</v>
      </c>
    </row>
    <row r="2745" spans="1:7" ht="14.25" hidden="1" customHeight="1" x14ac:dyDescent="0.45">
      <c r="A2745" t="str">
        <f>_xlfn.XLOOKUP(B2745,Ingot!$H$12:$H$119,Ingot!$G$12:$G$119,"")</f>
        <v>Metal</v>
      </c>
      <c r="B2745" t="s">
        <v>5511</v>
      </c>
      <c r="C2745" t="s">
        <v>10</v>
      </c>
      <c r="D2745" t="s">
        <v>5524</v>
      </c>
      <c r="E2745" t="s">
        <v>5525</v>
      </c>
      <c r="G2745" s="1">
        <v>0.33</v>
      </c>
    </row>
    <row r="2746" spans="1:7" ht="14.25" hidden="1" customHeight="1" x14ac:dyDescent="0.45">
      <c r="A2746" t="str">
        <f>_xlfn.XLOOKUP(B2746,Ingot!$H$12:$H$119,Ingot!$G$12:$G$119,"")</f>
        <v>Metal</v>
      </c>
      <c r="B2746" t="s">
        <v>5511</v>
      </c>
      <c r="C2746" t="s">
        <v>10</v>
      </c>
      <c r="D2746" t="s">
        <v>5526</v>
      </c>
      <c r="E2746" t="s">
        <v>5527</v>
      </c>
    </row>
    <row r="2747" spans="1:7" ht="14.25" hidden="1" customHeight="1" x14ac:dyDescent="0.45">
      <c r="A2747" t="str">
        <f>_xlfn.XLOOKUP(B2747,Ingot!$H$12:$H$119,Ingot!$G$12:$G$119,"")</f>
        <v>Metal</v>
      </c>
      <c r="B2747" t="s">
        <v>5511</v>
      </c>
      <c r="C2747" t="s">
        <v>10</v>
      </c>
      <c r="D2747" t="s">
        <v>5528</v>
      </c>
      <c r="E2747" t="s">
        <v>5529</v>
      </c>
      <c r="G2747" s="1">
        <v>0.05</v>
      </c>
    </row>
    <row r="2748" spans="1:7" ht="14.25" hidden="1" customHeight="1" x14ac:dyDescent="0.45">
      <c r="A2748" t="str">
        <f>_xlfn.XLOOKUP(B2748,Ingot!$H$12:$H$119,Ingot!$G$12:$G$119,"")</f>
        <v>Metal</v>
      </c>
      <c r="B2748" t="s">
        <v>5511</v>
      </c>
      <c r="C2748" t="s">
        <v>10</v>
      </c>
      <c r="D2748" t="s">
        <v>5530</v>
      </c>
      <c r="E2748" t="s">
        <v>5531</v>
      </c>
      <c r="G2748" s="1">
        <v>0.66</v>
      </c>
    </row>
    <row r="2749" spans="1:7" ht="14.25" hidden="1" customHeight="1" x14ac:dyDescent="0.45">
      <c r="A2749" t="str">
        <f>_xlfn.XLOOKUP(B2749,Ingot!$H$12:$H$119,Ingot!$G$12:$G$119,"")</f>
        <v>Metal</v>
      </c>
      <c r="B2749" t="s">
        <v>5511</v>
      </c>
      <c r="C2749" t="s">
        <v>10</v>
      </c>
      <c r="D2749" t="s">
        <v>5532</v>
      </c>
      <c r="E2749" t="s">
        <v>5533</v>
      </c>
      <c r="G2749" s="1">
        <v>3.96</v>
      </c>
    </row>
    <row r="2750" spans="1:7" ht="14.25" hidden="1" customHeight="1" x14ac:dyDescent="0.45">
      <c r="A2750" t="str">
        <f>_xlfn.XLOOKUP(B2750,Ingot!$H$12:$H$119,Ingot!$G$12:$G$119,"")</f>
        <v>Metal</v>
      </c>
      <c r="B2750" t="s">
        <v>5511</v>
      </c>
      <c r="C2750" t="s">
        <v>10</v>
      </c>
      <c r="D2750" t="s">
        <v>5534</v>
      </c>
      <c r="E2750" t="s">
        <v>5535</v>
      </c>
      <c r="G2750" s="1">
        <v>8.77</v>
      </c>
    </row>
    <row r="2751" spans="1:7" ht="14.25" hidden="1" customHeight="1" x14ac:dyDescent="0.45">
      <c r="A2751" t="str">
        <f>_xlfn.XLOOKUP(B2751,Ingot!$H$12:$H$119,Ingot!$G$12:$G$119,"")</f>
        <v>Metal</v>
      </c>
      <c r="B2751" t="s">
        <v>5511</v>
      </c>
      <c r="C2751" t="s">
        <v>10</v>
      </c>
      <c r="D2751" t="s">
        <v>5536</v>
      </c>
      <c r="E2751" t="s">
        <v>5537</v>
      </c>
      <c r="G2751" s="1">
        <v>3.5</v>
      </c>
    </row>
    <row r="2752" spans="1:7" ht="14.25" hidden="1" customHeight="1" x14ac:dyDescent="0.45">
      <c r="A2752" t="str">
        <f>_xlfn.XLOOKUP(B2752,Ingot!$H$12:$H$119,Ingot!$G$12:$G$119,"")</f>
        <v>Metal</v>
      </c>
      <c r="B2752" t="s">
        <v>5511</v>
      </c>
      <c r="C2752" t="s">
        <v>10</v>
      </c>
      <c r="D2752" t="s">
        <v>5538</v>
      </c>
      <c r="E2752" t="s">
        <v>5539</v>
      </c>
    </row>
    <row r="2753" spans="1:7" ht="14.25" hidden="1" customHeight="1" x14ac:dyDescent="0.45">
      <c r="A2753" t="str">
        <f>_xlfn.XLOOKUP(B2753,Ingot!$H$12:$H$119,Ingot!$G$12:$G$119,"")</f>
        <v>Metal</v>
      </c>
      <c r="B2753" t="s">
        <v>5511</v>
      </c>
      <c r="C2753" t="s">
        <v>10</v>
      </c>
      <c r="D2753" t="s">
        <v>5540</v>
      </c>
      <c r="E2753" t="s">
        <v>5541</v>
      </c>
      <c r="G2753" s="1">
        <v>2.2000000000000002</v>
      </c>
    </row>
    <row r="2754" spans="1:7" ht="14.25" hidden="1" customHeight="1" x14ac:dyDescent="0.45">
      <c r="A2754" t="str">
        <f>_xlfn.XLOOKUP(B2754,Ingot!$H$12:$H$119,Ingot!$G$12:$G$119,"")</f>
        <v>Metal</v>
      </c>
      <c r="B2754" t="s">
        <v>5511</v>
      </c>
      <c r="C2754" t="s">
        <v>10</v>
      </c>
      <c r="D2754" t="s">
        <v>5542</v>
      </c>
      <c r="E2754" t="s">
        <v>5543</v>
      </c>
      <c r="G2754" s="1">
        <v>1.1000000000000001</v>
      </c>
    </row>
    <row r="2755" spans="1:7" ht="14.25" hidden="1" customHeight="1" x14ac:dyDescent="0.45">
      <c r="A2755" t="str">
        <f>_xlfn.XLOOKUP(B2755,Ingot!$H$12:$H$119,Ingot!$G$12:$G$119,"")</f>
        <v>Metal</v>
      </c>
      <c r="B2755" t="s">
        <v>5511</v>
      </c>
      <c r="C2755" t="s">
        <v>10</v>
      </c>
      <c r="D2755" t="s">
        <v>5544</v>
      </c>
      <c r="E2755" t="s">
        <v>5545</v>
      </c>
      <c r="G2755" s="1">
        <v>0.22</v>
      </c>
    </row>
    <row r="2756" spans="1:7" ht="14.25" hidden="1" customHeight="1" x14ac:dyDescent="0.45">
      <c r="A2756" t="str">
        <f>_xlfn.XLOOKUP(B2756,Ingot!$H$12:$H$119,Ingot!$G$12:$G$119,"")</f>
        <v>Metal</v>
      </c>
      <c r="B2756" t="s">
        <v>5511</v>
      </c>
      <c r="C2756" t="s">
        <v>10</v>
      </c>
      <c r="D2756" t="s">
        <v>5546</v>
      </c>
      <c r="E2756" t="s">
        <v>5547</v>
      </c>
      <c r="G2756" s="1">
        <v>8.41</v>
      </c>
    </row>
    <row r="2757" spans="1:7" ht="14.25" hidden="1" customHeight="1" x14ac:dyDescent="0.45">
      <c r="A2757" t="str">
        <f>_xlfn.XLOOKUP(B2757,Ingot!$H$12:$H$119,Ingot!$G$12:$G$119,"")</f>
        <v>Metal</v>
      </c>
      <c r="B2757" t="s">
        <v>5511</v>
      </c>
      <c r="C2757" t="s">
        <v>10</v>
      </c>
      <c r="D2757" t="s">
        <v>5548</v>
      </c>
      <c r="E2757" t="s">
        <v>5549</v>
      </c>
      <c r="G2757" s="1">
        <v>3.64</v>
      </c>
    </row>
    <row r="2758" spans="1:7" ht="14.25" hidden="1" customHeight="1" x14ac:dyDescent="0.45">
      <c r="A2758" t="str">
        <f>_xlfn.XLOOKUP(B2758,Ingot!$H$12:$H$119,Ingot!$G$12:$G$119,"")</f>
        <v>Metal</v>
      </c>
      <c r="B2758" t="s">
        <v>5511</v>
      </c>
      <c r="C2758" t="s">
        <v>10</v>
      </c>
      <c r="D2758" t="s">
        <v>5550</v>
      </c>
      <c r="E2758" t="s">
        <v>5551</v>
      </c>
      <c r="G2758" s="1">
        <v>7.05</v>
      </c>
    </row>
    <row r="2759" spans="1:7" ht="14.25" hidden="1" customHeight="1" x14ac:dyDescent="0.45">
      <c r="A2759" t="str">
        <f>_xlfn.XLOOKUP(B2759,Ingot!$H$12:$H$119,Ingot!$G$12:$G$119,"")</f>
        <v>Metal</v>
      </c>
      <c r="B2759" t="s">
        <v>5511</v>
      </c>
      <c r="C2759" t="s">
        <v>10</v>
      </c>
      <c r="D2759" t="s">
        <v>5552</v>
      </c>
      <c r="E2759" t="s">
        <v>5553</v>
      </c>
      <c r="G2759" s="1">
        <v>2.65</v>
      </c>
    </row>
    <row r="2760" spans="1:7" ht="14.25" hidden="1" customHeight="1" x14ac:dyDescent="0.45">
      <c r="A2760" t="str">
        <f>_xlfn.XLOOKUP(B2760,Ingot!$H$12:$H$119,Ingot!$G$12:$G$119,"")</f>
        <v>Metal</v>
      </c>
      <c r="B2760" t="s">
        <v>5511</v>
      </c>
      <c r="C2760" t="s">
        <v>10</v>
      </c>
      <c r="D2760" t="s">
        <v>5554</v>
      </c>
      <c r="E2760" t="s">
        <v>5555</v>
      </c>
      <c r="G2760" s="1">
        <v>9</v>
      </c>
    </row>
    <row r="2761" spans="1:7" ht="14.25" hidden="1" customHeight="1" x14ac:dyDescent="0.45">
      <c r="A2761" t="str">
        <f>_xlfn.XLOOKUP(B2761,Ingot!$H$12:$H$119,Ingot!$G$12:$G$119,"")</f>
        <v>Metal</v>
      </c>
      <c r="B2761" t="s">
        <v>5511</v>
      </c>
      <c r="C2761" t="s">
        <v>10</v>
      </c>
      <c r="D2761" t="s">
        <v>5556</v>
      </c>
      <c r="E2761" t="s">
        <v>5557</v>
      </c>
      <c r="G2761" s="1">
        <v>10.23</v>
      </c>
    </row>
    <row r="2762" spans="1:7" ht="14.25" hidden="1" customHeight="1" x14ac:dyDescent="0.45">
      <c r="A2762" t="str">
        <f>_xlfn.XLOOKUP(B2762,Ingot!$H$12:$H$119,Ingot!$G$12:$G$119,"")</f>
        <v>Metal</v>
      </c>
      <c r="B2762" t="s">
        <v>5511</v>
      </c>
      <c r="C2762" t="s">
        <v>10</v>
      </c>
      <c r="D2762" t="s">
        <v>5558</v>
      </c>
      <c r="E2762" t="s">
        <v>5559</v>
      </c>
      <c r="G2762" s="1">
        <v>7.7</v>
      </c>
    </row>
    <row r="2763" spans="1:7" ht="14.25" hidden="1" customHeight="1" x14ac:dyDescent="0.45">
      <c r="A2763" t="str">
        <f>_xlfn.XLOOKUP(B2763,Ingot!$H$12:$H$119,Ingot!$G$12:$G$119,"")</f>
        <v>Metal</v>
      </c>
      <c r="B2763" t="s">
        <v>5511</v>
      </c>
      <c r="C2763" t="s">
        <v>10</v>
      </c>
      <c r="D2763" t="s">
        <v>5560</v>
      </c>
      <c r="E2763" t="s">
        <v>5561</v>
      </c>
      <c r="G2763" s="1">
        <v>10.02</v>
      </c>
    </row>
    <row r="2764" spans="1:7" ht="14.25" hidden="1" customHeight="1" x14ac:dyDescent="0.45">
      <c r="A2764" t="str">
        <f>_xlfn.XLOOKUP(B2764,Ingot!$H$12:$H$119,Ingot!$G$12:$G$119,"")</f>
        <v>Metal</v>
      </c>
      <c r="B2764" t="s">
        <v>5511</v>
      </c>
      <c r="C2764" t="s">
        <v>10</v>
      </c>
      <c r="D2764" t="s">
        <v>5562</v>
      </c>
      <c r="E2764" t="s">
        <v>5563</v>
      </c>
      <c r="G2764" s="1">
        <v>11.81</v>
      </c>
    </row>
    <row r="2765" spans="1:7" ht="14.25" hidden="1" customHeight="1" x14ac:dyDescent="0.45">
      <c r="A2765" t="str">
        <f>_xlfn.XLOOKUP(B2765,Ingot!$H$12:$H$119,Ingot!$G$12:$G$119,"")</f>
        <v>Metal</v>
      </c>
      <c r="B2765" t="s">
        <v>5511</v>
      </c>
      <c r="C2765" t="s">
        <v>10</v>
      </c>
      <c r="D2765" t="s">
        <v>5564</v>
      </c>
      <c r="E2765" t="s">
        <v>5565</v>
      </c>
      <c r="G2765" s="1">
        <v>8.44</v>
      </c>
    </row>
    <row r="2766" spans="1:7" ht="14.25" hidden="1" customHeight="1" x14ac:dyDescent="0.45">
      <c r="A2766" t="str">
        <f>_xlfn.XLOOKUP(B2766,Ingot!$H$12:$H$119,Ingot!$G$12:$G$119,"")</f>
        <v>Metal</v>
      </c>
      <c r="B2766" t="s">
        <v>5511</v>
      </c>
      <c r="C2766" t="s">
        <v>10</v>
      </c>
      <c r="D2766" t="s">
        <v>5566</v>
      </c>
      <c r="E2766" t="s">
        <v>5567</v>
      </c>
      <c r="G2766" s="1">
        <v>10.42</v>
      </c>
    </row>
    <row r="2767" spans="1:7" ht="14.25" hidden="1" customHeight="1" x14ac:dyDescent="0.45">
      <c r="A2767" t="str">
        <f>_xlfn.XLOOKUP(B2767,Ingot!$H$12:$H$119,Ingot!$G$12:$G$119,"")</f>
        <v>Metal</v>
      </c>
      <c r="B2767" t="s">
        <v>5511</v>
      </c>
      <c r="C2767" t="s">
        <v>10</v>
      </c>
      <c r="D2767" t="s">
        <v>5568</v>
      </c>
      <c r="E2767" t="s">
        <v>5569</v>
      </c>
    </row>
    <row r="2768" spans="1:7" ht="14.25" hidden="1" customHeight="1" x14ac:dyDescent="0.45">
      <c r="A2768" t="str">
        <f>_xlfn.XLOOKUP(B2768,Ingot!$H$12:$H$119,Ingot!$G$12:$G$119,"")</f>
        <v>Metal</v>
      </c>
      <c r="B2768" t="s">
        <v>5511</v>
      </c>
      <c r="C2768" t="s">
        <v>10</v>
      </c>
      <c r="D2768" t="s">
        <v>5570</v>
      </c>
      <c r="E2768" t="s">
        <v>5571</v>
      </c>
      <c r="G2768" s="1">
        <v>7.96</v>
      </c>
    </row>
    <row r="2769" spans="1:7" ht="14.25" hidden="1" customHeight="1" x14ac:dyDescent="0.45">
      <c r="A2769" t="str">
        <f>_xlfn.XLOOKUP(B2769,Ingot!$H$12:$H$119,Ingot!$G$12:$G$119,"")</f>
        <v>Metal</v>
      </c>
      <c r="B2769" t="s">
        <v>5511</v>
      </c>
      <c r="C2769" t="s">
        <v>10</v>
      </c>
      <c r="D2769" t="s">
        <v>5572</v>
      </c>
      <c r="E2769" t="s">
        <v>5573</v>
      </c>
      <c r="G2769" s="1">
        <v>9.64</v>
      </c>
    </row>
    <row r="2770" spans="1:7" ht="14.25" hidden="1" customHeight="1" x14ac:dyDescent="0.45">
      <c r="A2770" t="str">
        <f>_xlfn.XLOOKUP(B2770,Ingot!$H$12:$H$119,Ingot!$G$12:$G$119,"")</f>
        <v>Metal</v>
      </c>
      <c r="B2770" t="s">
        <v>5511</v>
      </c>
      <c r="C2770" t="s">
        <v>10</v>
      </c>
      <c r="D2770" t="s">
        <v>5574</v>
      </c>
      <c r="E2770" t="s">
        <v>5575</v>
      </c>
      <c r="G2770" s="1">
        <v>7.94</v>
      </c>
    </row>
    <row r="2771" spans="1:7" ht="14.25" hidden="1" customHeight="1" x14ac:dyDescent="0.45">
      <c r="A2771" t="str">
        <f>_xlfn.XLOOKUP(B2771,Ingot!$H$12:$H$119,Ingot!$G$12:$G$119,"")</f>
        <v>Metal</v>
      </c>
      <c r="B2771" t="s">
        <v>5511</v>
      </c>
      <c r="C2771" t="s">
        <v>10</v>
      </c>
      <c r="D2771" t="s">
        <v>5576</v>
      </c>
      <c r="E2771" t="s">
        <v>5577</v>
      </c>
      <c r="G2771" s="1">
        <v>8.66</v>
      </c>
    </row>
    <row r="2772" spans="1:7" ht="14.25" hidden="1" customHeight="1" x14ac:dyDescent="0.45">
      <c r="A2772" t="str">
        <f>_xlfn.XLOOKUP(B2772,Ingot!$H$12:$H$119,Ingot!$G$12:$G$119,"")</f>
        <v>Metal</v>
      </c>
      <c r="B2772" t="s">
        <v>5511</v>
      </c>
      <c r="C2772" t="s">
        <v>10</v>
      </c>
      <c r="D2772" t="s">
        <v>5578</v>
      </c>
      <c r="E2772" t="s">
        <v>5579</v>
      </c>
    </row>
    <row r="2773" spans="1:7" ht="14.25" hidden="1" customHeight="1" x14ac:dyDescent="0.45">
      <c r="A2773" t="str">
        <f>_xlfn.XLOOKUP(B2773,Ingot!$H$12:$H$119,Ingot!$G$12:$G$119,"")</f>
        <v>Metal</v>
      </c>
      <c r="B2773" t="s">
        <v>5511</v>
      </c>
      <c r="C2773" t="s">
        <v>10</v>
      </c>
      <c r="D2773" t="s">
        <v>5580</v>
      </c>
      <c r="E2773" t="s">
        <v>5581</v>
      </c>
      <c r="G2773" s="1">
        <v>2.65</v>
      </c>
    </row>
    <row r="2774" spans="1:7" ht="14.25" hidden="1" customHeight="1" x14ac:dyDescent="0.45">
      <c r="A2774" t="str">
        <f>_xlfn.XLOOKUP(B2774,Ingot!$H$12:$H$119,Ingot!$G$12:$G$119,"")</f>
        <v>Metal</v>
      </c>
      <c r="B2774" t="s">
        <v>5511</v>
      </c>
      <c r="C2774" t="s">
        <v>10</v>
      </c>
      <c r="D2774" t="s">
        <v>5582</v>
      </c>
      <c r="E2774" t="s">
        <v>5583</v>
      </c>
    </row>
    <row r="2775" spans="1:7" ht="14.25" hidden="1" customHeight="1" x14ac:dyDescent="0.45">
      <c r="A2775" t="str">
        <f>_xlfn.XLOOKUP(B2775,Ingot!$H$12:$H$119,Ingot!$G$12:$G$119,"")</f>
        <v>Metal</v>
      </c>
      <c r="B2775" t="s">
        <v>5511</v>
      </c>
      <c r="C2775" t="s">
        <v>10</v>
      </c>
      <c r="D2775" t="s">
        <v>5584</v>
      </c>
      <c r="E2775" t="s">
        <v>5585</v>
      </c>
      <c r="G2775" s="1">
        <v>12.64</v>
      </c>
    </row>
    <row r="2776" spans="1:7" ht="14.25" hidden="1" customHeight="1" x14ac:dyDescent="0.45">
      <c r="A2776" t="str">
        <f>_xlfn.XLOOKUP(B2776,Ingot!$H$12:$H$119,Ingot!$G$12:$G$119,"")</f>
        <v>Metal</v>
      </c>
      <c r="B2776" t="s">
        <v>5511</v>
      </c>
      <c r="C2776" t="s">
        <v>10</v>
      </c>
      <c r="D2776" t="s">
        <v>5586</v>
      </c>
      <c r="E2776" t="s">
        <v>5587</v>
      </c>
      <c r="G2776" s="1">
        <v>22.67</v>
      </c>
    </row>
    <row r="2777" spans="1:7" ht="14.25" hidden="1" customHeight="1" x14ac:dyDescent="0.45">
      <c r="A2777" t="str">
        <f>_xlfn.XLOOKUP(B2777,Ingot!$H$12:$H$119,Ingot!$G$12:$G$119,"")</f>
        <v>Metal</v>
      </c>
      <c r="B2777" t="s">
        <v>5511</v>
      </c>
      <c r="C2777" t="s">
        <v>10</v>
      </c>
      <c r="D2777" t="s">
        <v>5588</v>
      </c>
      <c r="E2777" t="s">
        <v>5589</v>
      </c>
      <c r="G2777" s="1">
        <v>8.3800000000000008</v>
      </c>
    </row>
    <row r="2778" spans="1:7" ht="14.25" hidden="1" customHeight="1" x14ac:dyDescent="0.45">
      <c r="A2778" t="str">
        <f>_xlfn.XLOOKUP(B2778,Ingot!$H$12:$H$119,Ingot!$G$12:$G$119,"")</f>
        <v>Metal</v>
      </c>
      <c r="B2778" t="s">
        <v>5511</v>
      </c>
      <c r="C2778" t="s">
        <v>10</v>
      </c>
      <c r="D2778" t="s">
        <v>5590</v>
      </c>
      <c r="E2778" t="s">
        <v>5591</v>
      </c>
      <c r="G2778" s="1">
        <v>2.2000000000000002</v>
      </c>
    </row>
    <row r="2779" spans="1:7" ht="14.25" hidden="1" customHeight="1" x14ac:dyDescent="0.45">
      <c r="A2779" t="str">
        <f>_xlfn.XLOOKUP(B2779,Ingot!$H$12:$H$119,Ingot!$G$12:$G$119,"")</f>
        <v>Metal</v>
      </c>
      <c r="B2779" t="s">
        <v>5511</v>
      </c>
      <c r="C2779" t="s">
        <v>10</v>
      </c>
      <c r="D2779" t="s">
        <v>5592</v>
      </c>
      <c r="E2779" t="s">
        <v>5593</v>
      </c>
      <c r="G2779" s="1">
        <v>3.09</v>
      </c>
    </row>
    <row r="2780" spans="1:7" ht="14.25" hidden="1" customHeight="1" x14ac:dyDescent="0.45">
      <c r="A2780" t="str">
        <f>_xlfn.XLOOKUP(B2780,Ingot!$H$12:$H$119,Ingot!$G$12:$G$119,"")</f>
        <v>Metal</v>
      </c>
      <c r="B2780" t="s">
        <v>5511</v>
      </c>
      <c r="C2780" t="s">
        <v>10</v>
      </c>
      <c r="D2780" t="s">
        <v>5594</v>
      </c>
      <c r="E2780" t="s">
        <v>5595</v>
      </c>
      <c r="G2780" s="1">
        <v>2.2999999999999998</v>
      </c>
    </row>
    <row r="2781" spans="1:7" ht="14.25" hidden="1" customHeight="1" x14ac:dyDescent="0.45">
      <c r="A2781" t="str">
        <f>_xlfn.XLOOKUP(B2781,Ingot!$H$12:$H$119,Ingot!$G$12:$G$119,"")</f>
        <v>Metal</v>
      </c>
      <c r="B2781" t="s">
        <v>5511</v>
      </c>
      <c r="C2781" t="s">
        <v>10</v>
      </c>
      <c r="D2781" t="s">
        <v>5596</v>
      </c>
      <c r="E2781" t="s">
        <v>5597</v>
      </c>
      <c r="G2781" s="1">
        <v>4.88</v>
      </c>
    </row>
    <row r="2782" spans="1:7" ht="14.25" hidden="1" customHeight="1" x14ac:dyDescent="0.45">
      <c r="A2782" t="str">
        <f>_xlfn.XLOOKUP(B2782,Ingot!$H$12:$H$119,Ingot!$G$12:$G$119,"")</f>
        <v>Metal</v>
      </c>
      <c r="B2782" t="s">
        <v>5511</v>
      </c>
      <c r="C2782" t="s">
        <v>10</v>
      </c>
      <c r="D2782" t="s">
        <v>5598</v>
      </c>
      <c r="E2782" t="s">
        <v>5599</v>
      </c>
      <c r="G2782" s="1">
        <v>8.43</v>
      </c>
    </row>
    <row r="2783" spans="1:7" ht="14.25" hidden="1" customHeight="1" x14ac:dyDescent="0.45">
      <c r="A2783" t="str">
        <f>_xlfn.XLOOKUP(B2783,Ingot!$H$12:$H$119,Ingot!$G$12:$G$119,"")</f>
        <v>Metal</v>
      </c>
      <c r="B2783" t="s">
        <v>5511</v>
      </c>
      <c r="C2783" t="s">
        <v>10</v>
      </c>
      <c r="D2783" t="s">
        <v>5600</v>
      </c>
      <c r="E2783" t="s">
        <v>5601</v>
      </c>
      <c r="G2783" s="1">
        <v>13.07</v>
      </c>
    </row>
    <row r="2784" spans="1:7" ht="14.25" hidden="1" customHeight="1" x14ac:dyDescent="0.45">
      <c r="A2784" t="str">
        <f>_xlfn.XLOOKUP(B2784,Ingot!$H$12:$H$119,Ingot!$G$12:$G$119,"")</f>
        <v>Metal</v>
      </c>
      <c r="B2784" t="s">
        <v>5511</v>
      </c>
      <c r="C2784" t="s">
        <v>10</v>
      </c>
      <c r="D2784" t="s">
        <v>5602</v>
      </c>
      <c r="E2784" t="s">
        <v>5603</v>
      </c>
    </row>
    <row r="2785" spans="1:7" ht="14.25" hidden="1" customHeight="1" x14ac:dyDescent="0.45">
      <c r="A2785" t="str">
        <f>_xlfn.XLOOKUP(B2785,Ingot!$H$12:$H$119,Ingot!$G$12:$G$119,"")</f>
        <v>Metal</v>
      </c>
      <c r="B2785" t="s">
        <v>5511</v>
      </c>
      <c r="C2785" t="s">
        <v>10</v>
      </c>
      <c r="D2785" t="s">
        <v>5604</v>
      </c>
      <c r="E2785" t="s">
        <v>5605</v>
      </c>
    </row>
    <row r="2786" spans="1:7" ht="14.25" hidden="1" customHeight="1" x14ac:dyDescent="0.45">
      <c r="A2786" t="str">
        <f>_xlfn.XLOOKUP(B2786,Ingot!$H$12:$H$119,Ingot!$G$12:$G$119,"")</f>
        <v>Metal</v>
      </c>
      <c r="B2786" t="s">
        <v>5511</v>
      </c>
      <c r="C2786" t="s">
        <v>10</v>
      </c>
      <c r="D2786" t="s">
        <v>5606</v>
      </c>
      <c r="E2786" t="s">
        <v>5607</v>
      </c>
      <c r="G2786" s="1">
        <v>6.8</v>
      </c>
    </row>
    <row r="2787" spans="1:7" ht="14.25" hidden="1" customHeight="1" x14ac:dyDescent="0.45">
      <c r="A2787" t="str">
        <f>_xlfn.XLOOKUP(B2787,Ingot!$H$12:$H$119,Ingot!$G$12:$G$119,"")</f>
        <v>Metal</v>
      </c>
      <c r="B2787" t="s">
        <v>5511</v>
      </c>
      <c r="C2787" t="s">
        <v>10</v>
      </c>
      <c r="D2787" t="s">
        <v>5608</v>
      </c>
      <c r="E2787" t="s">
        <v>5609</v>
      </c>
      <c r="G2787" s="1">
        <v>6.88</v>
      </c>
    </row>
    <row r="2788" spans="1:7" ht="14.25" hidden="1" customHeight="1" x14ac:dyDescent="0.45">
      <c r="A2788" t="str">
        <f>_xlfn.XLOOKUP(B2788,Ingot!$H$12:$H$119,Ingot!$G$12:$G$119,"")</f>
        <v>Metal</v>
      </c>
      <c r="B2788" t="s">
        <v>5511</v>
      </c>
      <c r="C2788" t="s">
        <v>10</v>
      </c>
      <c r="D2788" t="s">
        <v>5610</v>
      </c>
      <c r="E2788" t="s">
        <v>5611</v>
      </c>
      <c r="G2788" s="1">
        <v>5.5</v>
      </c>
    </row>
    <row r="2789" spans="1:7" ht="14.25" hidden="1" customHeight="1" x14ac:dyDescent="0.45">
      <c r="A2789" t="str">
        <f>_xlfn.XLOOKUP(B2789,Ingot!$H$12:$H$119,Ingot!$G$12:$G$119,"")</f>
        <v>Metal</v>
      </c>
      <c r="B2789" t="s">
        <v>5511</v>
      </c>
      <c r="C2789" t="s">
        <v>10</v>
      </c>
      <c r="D2789" t="s">
        <v>5612</v>
      </c>
      <c r="E2789" t="s">
        <v>5613</v>
      </c>
      <c r="G2789" s="1">
        <v>2.4300000000000002</v>
      </c>
    </row>
    <row r="2790" spans="1:7" ht="14.25" hidden="1" customHeight="1" x14ac:dyDescent="0.45">
      <c r="A2790" t="str">
        <f>_xlfn.XLOOKUP(B2790,Ingot!$H$12:$H$119,Ingot!$G$12:$G$119,"")</f>
        <v>Metal</v>
      </c>
      <c r="B2790" t="s">
        <v>5511</v>
      </c>
      <c r="C2790" t="s">
        <v>10</v>
      </c>
      <c r="D2790" t="s">
        <v>5614</v>
      </c>
      <c r="E2790" t="s">
        <v>5615</v>
      </c>
      <c r="G2790" s="1">
        <v>6.96</v>
      </c>
    </row>
    <row r="2791" spans="1:7" ht="14.25" hidden="1" customHeight="1" x14ac:dyDescent="0.45">
      <c r="A2791" t="str">
        <f>_xlfn.XLOOKUP(B2791,Ingot!$H$12:$H$119,Ingot!$G$12:$G$119,"")</f>
        <v>Metal</v>
      </c>
      <c r="B2791" t="s">
        <v>5511</v>
      </c>
      <c r="C2791" t="s">
        <v>10</v>
      </c>
      <c r="D2791" t="s">
        <v>5616</v>
      </c>
      <c r="E2791" t="s">
        <v>5617</v>
      </c>
      <c r="G2791" s="1">
        <v>6.32</v>
      </c>
    </row>
    <row r="2792" spans="1:7" ht="14.25" hidden="1" customHeight="1" x14ac:dyDescent="0.45">
      <c r="A2792" t="str">
        <f>_xlfn.XLOOKUP(B2792,Ingot!$H$12:$H$119,Ingot!$G$12:$G$119,"")</f>
        <v>Metal</v>
      </c>
      <c r="B2792" t="s">
        <v>5511</v>
      </c>
      <c r="C2792" t="s">
        <v>10</v>
      </c>
      <c r="D2792" t="s">
        <v>5618</v>
      </c>
      <c r="E2792" t="s">
        <v>5619</v>
      </c>
      <c r="G2792" s="1">
        <v>6.88</v>
      </c>
    </row>
    <row r="2793" spans="1:7" ht="14.25" hidden="1" customHeight="1" x14ac:dyDescent="0.45">
      <c r="A2793" t="str">
        <f>_xlfn.XLOOKUP(B2793,Ingot!$H$12:$H$119,Ingot!$G$12:$G$119,"")</f>
        <v>Metal</v>
      </c>
      <c r="B2793" t="s">
        <v>5511</v>
      </c>
      <c r="C2793" t="s">
        <v>10</v>
      </c>
      <c r="D2793" t="s">
        <v>5620</v>
      </c>
      <c r="E2793" t="s">
        <v>5621</v>
      </c>
      <c r="G2793" s="1">
        <v>2.44</v>
      </c>
    </row>
    <row r="2794" spans="1:7" ht="14.25" hidden="1" customHeight="1" x14ac:dyDescent="0.45">
      <c r="A2794" t="str">
        <f>_xlfn.XLOOKUP(B2794,Ingot!$H$12:$H$119,Ingot!$G$12:$G$119,"")</f>
        <v>Metal</v>
      </c>
      <c r="B2794" t="s">
        <v>5511</v>
      </c>
      <c r="C2794" t="s">
        <v>10</v>
      </c>
      <c r="D2794" t="s">
        <v>5622</v>
      </c>
      <c r="E2794" t="s">
        <v>5623</v>
      </c>
    </row>
    <row r="2795" spans="1:7" ht="14.25" hidden="1" customHeight="1" x14ac:dyDescent="0.45">
      <c r="A2795" t="str">
        <f>_xlfn.XLOOKUP(B2795,Ingot!$H$12:$H$119,Ingot!$G$12:$G$119,"")</f>
        <v>Metal</v>
      </c>
      <c r="B2795" t="s">
        <v>5511</v>
      </c>
      <c r="C2795" t="s">
        <v>10</v>
      </c>
      <c r="D2795" t="s">
        <v>5624</v>
      </c>
      <c r="E2795" t="s">
        <v>5625</v>
      </c>
    </row>
    <row r="2796" spans="1:7" ht="14.25" hidden="1" customHeight="1" x14ac:dyDescent="0.45">
      <c r="A2796" t="str">
        <f>_xlfn.XLOOKUP(B2796,Ingot!$H$12:$H$119,Ingot!$G$12:$G$119,"")</f>
        <v>Metal</v>
      </c>
      <c r="B2796" t="s">
        <v>5511</v>
      </c>
      <c r="C2796" t="s">
        <v>10</v>
      </c>
      <c r="D2796" t="s">
        <v>5626</v>
      </c>
      <c r="E2796" t="s">
        <v>5627</v>
      </c>
      <c r="G2796" s="1">
        <v>3.11</v>
      </c>
    </row>
    <row r="2797" spans="1:7" ht="14.25" hidden="1" customHeight="1" x14ac:dyDescent="0.45">
      <c r="A2797" t="str">
        <f>_xlfn.XLOOKUP(B2797,Ingot!$H$12:$H$119,Ingot!$G$12:$G$119,"")</f>
        <v>Metal</v>
      </c>
      <c r="B2797" t="s">
        <v>5511</v>
      </c>
      <c r="C2797" t="s">
        <v>10</v>
      </c>
      <c r="D2797" t="s">
        <v>5628</v>
      </c>
      <c r="E2797" t="s">
        <v>5629</v>
      </c>
      <c r="G2797" s="1">
        <v>2.44</v>
      </c>
    </row>
    <row r="2798" spans="1:7" ht="14.25" hidden="1" customHeight="1" x14ac:dyDescent="0.45">
      <c r="A2798" t="str">
        <f>_xlfn.XLOOKUP(B2798,Ingot!$H$12:$H$119,Ingot!$G$12:$G$119,"")</f>
        <v>Metal</v>
      </c>
      <c r="B2798" t="s">
        <v>5511</v>
      </c>
      <c r="C2798" t="s">
        <v>10</v>
      </c>
      <c r="D2798" t="s">
        <v>5630</v>
      </c>
      <c r="E2798" t="s">
        <v>5631</v>
      </c>
      <c r="G2798" s="1">
        <v>8.61</v>
      </c>
    </row>
    <row r="2799" spans="1:7" ht="14.25" hidden="1" customHeight="1" x14ac:dyDescent="0.45">
      <c r="A2799" t="str">
        <f>_xlfn.XLOOKUP(B2799,Ingot!$H$12:$H$119,Ingot!$G$12:$G$119,"")</f>
        <v>Metal</v>
      </c>
      <c r="B2799" t="s">
        <v>5511</v>
      </c>
      <c r="C2799" t="s">
        <v>10</v>
      </c>
      <c r="D2799" t="s">
        <v>5632</v>
      </c>
      <c r="E2799" t="s">
        <v>5633</v>
      </c>
    </row>
    <row r="2800" spans="1:7" ht="14.25" hidden="1" customHeight="1" x14ac:dyDescent="0.45">
      <c r="A2800" t="str">
        <f>_xlfn.XLOOKUP(B2800,Ingot!$H$12:$H$119,Ingot!$G$12:$G$119,"")</f>
        <v>Metal</v>
      </c>
      <c r="B2800" t="s">
        <v>5511</v>
      </c>
      <c r="C2800" t="s">
        <v>10</v>
      </c>
      <c r="D2800" t="s">
        <v>5634</v>
      </c>
      <c r="E2800" t="s">
        <v>5635</v>
      </c>
      <c r="G2800" s="1">
        <v>3.21</v>
      </c>
    </row>
    <row r="2801" spans="1:7" ht="14.25" hidden="1" customHeight="1" x14ac:dyDescent="0.45">
      <c r="A2801" t="str">
        <f>_xlfn.XLOOKUP(B2801,Ingot!$H$12:$H$119,Ingot!$G$12:$G$119,"")</f>
        <v>Metal</v>
      </c>
      <c r="B2801" t="s">
        <v>5511</v>
      </c>
      <c r="C2801" t="s">
        <v>10</v>
      </c>
      <c r="D2801" t="s">
        <v>5636</v>
      </c>
      <c r="E2801" t="s">
        <v>5637</v>
      </c>
      <c r="G2801" s="1">
        <v>2.77</v>
      </c>
    </row>
    <row r="2802" spans="1:7" ht="14.25" hidden="1" customHeight="1" x14ac:dyDescent="0.45">
      <c r="A2802" t="str">
        <f>_xlfn.XLOOKUP(B2802,Ingot!$H$12:$H$119,Ingot!$G$12:$G$119,"")</f>
        <v>Metal</v>
      </c>
      <c r="B2802" t="s">
        <v>5511</v>
      </c>
      <c r="C2802" t="s">
        <v>10</v>
      </c>
      <c r="D2802" t="s">
        <v>5638</v>
      </c>
      <c r="E2802" t="s">
        <v>5639</v>
      </c>
      <c r="G2802" s="1">
        <v>4.8899999999999997</v>
      </c>
    </row>
    <row r="2803" spans="1:7" ht="14.25" hidden="1" customHeight="1" x14ac:dyDescent="0.45">
      <c r="A2803" t="str">
        <f>_xlfn.XLOOKUP(B2803,Ingot!$H$12:$H$119,Ingot!$G$12:$G$119,"")</f>
        <v>Metal</v>
      </c>
      <c r="B2803" t="s">
        <v>5511</v>
      </c>
      <c r="C2803" t="s">
        <v>10</v>
      </c>
      <c r="D2803" t="s">
        <v>5640</v>
      </c>
      <c r="E2803" t="s">
        <v>5641</v>
      </c>
      <c r="G2803" s="1">
        <v>1.76</v>
      </c>
    </row>
    <row r="2804" spans="1:7" ht="14.25" hidden="1" customHeight="1" x14ac:dyDescent="0.45">
      <c r="A2804" t="str">
        <f>_xlfn.XLOOKUP(B2804,Ingot!$H$12:$H$119,Ingot!$G$12:$G$119,"")</f>
        <v>Metal</v>
      </c>
      <c r="B2804" t="s">
        <v>5511</v>
      </c>
      <c r="C2804" t="s">
        <v>10</v>
      </c>
      <c r="D2804" t="s">
        <v>5642</v>
      </c>
      <c r="E2804" t="s">
        <v>5643</v>
      </c>
    </row>
    <row r="2805" spans="1:7" ht="14.25" hidden="1" customHeight="1" x14ac:dyDescent="0.45">
      <c r="A2805" t="str">
        <f>_xlfn.XLOOKUP(B2805,Ingot!$H$12:$H$119,Ingot!$G$12:$G$119,"")</f>
        <v>Metal</v>
      </c>
      <c r="B2805" t="s">
        <v>5511</v>
      </c>
      <c r="C2805" t="s">
        <v>10</v>
      </c>
      <c r="D2805" t="s">
        <v>5644</v>
      </c>
      <c r="E2805" t="s">
        <v>5645</v>
      </c>
      <c r="G2805" s="1">
        <v>8.57</v>
      </c>
    </row>
    <row r="2806" spans="1:7" ht="14.25" hidden="1" customHeight="1" x14ac:dyDescent="0.45">
      <c r="A2806" t="str">
        <f>_xlfn.XLOOKUP(B2806,Ingot!$H$12:$H$119,Ingot!$G$12:$G$119,"")</f>
        <v>Metal</v>
      </c>
      <c r="B2806" t="s">
        <v>5511</v>
      </c>
      <c r="C2806" t="s">
        <v>10</v>
      </c>
      <c r="D2806" t="s">
        <v>5646</v>
      </c>
      <c r="E2806" t="s">
        <v>5647</v>
      </c>
    </row>
    <row r="2807" spans="1:7" ht="14.25" hidden="1" customHeight="1" x14ac:dyDescent="0.45">
      <c r="A2807" t="str">
        <f>_xlfn.XLOOKUP(B2807,Ingot!$H$12:$H$119,Ingot!$G$12:$G$119,"")</f>
        <v>Metal</v>
      </c>
      <c r="B2807" t="s">
        <v>5511</v>
      </c>
      <c r="C2807" t="s">
        <v>10</v>
      </c>
      <c r="D2807" t="s">
        <v>5648</v>
      </c>
      <c r="E2807" t="s">
        <v>5649</v>
      </c>
      <c r="G2807" s="1">
        <v>3.56</v>
      </c>
    </row>
    <row r="2808" spans="1:7" ht="14.25" hidden="1" customHeight="1" x14ac:dyDescent="0.45">
      <c r="A2808" t="str">
        <f>_xlfn.XLOOKUP(B2808,Ingot!$H$12:$H$119,Ingot!$G$12:$G$119,"")</f>
        <v>Metal</v>
      </c>
      <c r="B2808" t="s">
        <v>5511</v>
      </c>
      <c r="C2808" t="s">
        <v>10</v>
      </c>
      <c r="D2808" t="s">
        <v>5650</v>
      </c>
      <c r="E2808" t="s">
        <v>5651</v>
      </c>
      <c r="G2808" s="1">
        <v>8.91</v>
      </c>
    </row>
    <row r="2809" spans="1:7" ht="14.25" hidden="1" customHeight="1" x14ac:dyDescent="0.45">
      <c r="A2809" t="str">
        <f>_xlfn.XLOOKUP(B2809,Ingot!$H$12:$H$119,Ingot!$G$12:$G$119,"")</f>
        <v>Metal</v>
      </c>
      <c r="B2809" t="s">
        <v>5511</v>
      </c>
      <c r="C2809" t="s">
        <v>10</v>
      </c>
      <c r="D2809" t="s">
        <v>5652</v>
      </c>
      <c r="E2809" t="s">
        <v>5653</v>
      </c>
      <c r="G2809" s="1">
        <v>11.02</v>
      </c>
    </row>
    <row r="2810" spans="1:7" ht="14.25" hidden="1" customHeight="1" x14ac:dyDescent="0.45">
      <c r="A2810" t="str">
        <f>_xlfn.XLOOKUP(B2810,Ingot!$H$12:$H$119,Ingot!$G$12:$G$119,"")</f>
        <v>Metal</v>
      </c>
      <c r="B2810" t="s">
        <v>5511</v>
      </c>
      <c r="C2810" t="s">
        <v>10</v>
      </c>
      <c r="D2810" t="s">
        <v>5654</v>
      </c>
      <c r="E2810" t="s">
        <v>5655</v>
      </c>
      <c r="G2810" s="1">
        <v>5.12</v>
      </c>
    </row>
    <row r="2811" spans="1:7" ht="14.25" hidden="1" customHeight="1" x14ac:dyDescent="0.45">
      <c r="A2811" t="str">
        <f>_xlfn.XLOOKUP(B2811,Ingot!$H$12:$H$119,Ingot!$G$12:$G$119,"")</f>
        <v>Metal</v>
      </c>
      <c r="B2811" t="s">
        <v>5511</v>
      </c>
      <c r="C2811" t="s">
        <v>10</v>
      </c>
      <c r="D2811" t="s">
        <v>5656</v>
      </c>
      <c r="E2811" t="s">
        <v>5657</v>
      </c>
      <c r="G2811" s="1">
        <v>4.41</v>
      </c>
    </row>
    <row r="2812" spans="1:7" ht="14.25" hidden="1" customHeight="1" x14ac:dyDescent="0.45">
      <c r="A2812" t="str">
        <f>_xlfn.XLOOKUP(B2812,Ingot!$H$12:$H$119,Ingot!$G$12:$G$119,"")</f>
        <v>Metal</v>
      </c>
      <c r="B2812" t="s">
        <v>5511</v>
      </c>
      <c r="C2812" t="s">
        <v>157</v>
      </c>
      <c r="D2812" t="s">
        <v>5658</v>
      </c>
      <c r="E2812" t="s">
        <v>5659</v>
      </c>
      <c r="G2812" s="1">
        <v>34.07</v>
      </c>
    </row>
    <row r="2813" spans="1:7" ht="14.25" hidden="1" customHeight="1" x14ac:dyDescent="0.45">
      <c r="A2813" t="str">
        <f>_xlfn.XLOOKUP(B2813,Ingot!$H$12:$H$119,Ingot!$G$12:$G$119,"")</f>
        <v>Metal</v>
      </c>
      <c r="B2813" t="s">
        <v>5511</v>
      </c>
      <c r="C2813" t="s">
        <v>157</v>
      </c>
      <c r="D2813" t="s">
        <v>5660</v>
      </c>
      <c r="E2813" t="s">
        <v>5661</v>
      </c>
      <c r="G2813" s="1">
        <v>6.81</v>
      </c>
    </row>
    <row r="2814" spans="1:7" ht="14.25" hidden="1" customHeight="1" x14ac:dyDescent="0.45">
      <c r="A2814" t="str">
        <f>_xlfn.XLOOKUP(B2814,Ingot!$H$12:$H$119,Ingot!$G$12:$G$119,"")</f>
        <v>Metal</v>
      </c>
      <c r="B2814" t="s">
        <v>5511</v>
      </c>
      <c r="C2814" t="s">
        <v>157</v>
      </c>
      <c r="D2814" t="s">
        <v>5662</v>
      </c>
      <c r="E2814" t="s">
        <v>5663</v>
      </c>
      <c r="G2814" s="1">
        <v>6.81</v>
      </c>
    </row>
    <row r="2815" spans="1:7" ht="14.25" hidden="1" customHeight="1" x14ac:dyDescent="0.45">
      <c r="A2815" t="str">
        <f>_xlfn.XLOOKUP(B2815,Ingot!$H$12:$H$119,Ingot!$G$12:$G$119,"")</f>
        <v>Metal</v>
      </c>
      <c r="B2815" t="s">
        <v>5511</v>
      </c>
      <c r="C2815" t="s">
        <v>157</v>
      </c>
      <c r="D2815" t="s">
        <v>5664</v>
      </c>
      <c r="E2815" t="s">
        <v>5665</v>
      </c>
      <c r="G2815" s="1">
        <v>5</v>
      </c>
    </row>
    <row r="2816" spans="1:7" ht="14.25" hidden="1" customHeight="1" x14ac:dyDescent="0.45">
      <c r="A2816" t="str">
        <f>_xlfn.XLOOKUP(B2816,Ingot!$H$12:$H$119,Ingot!$G$12:$G$119,"")</f>
        <v>Metal</v>
      </c>
      <c r="B2816" t="s">
        <v>5511</v>
      </c>
      <c r="C2816" t="s">
        <v>157</v>
      </c>
      <c r="D2816" t="s">
        <v>5666</v>
      </c>
      <c r="E2816" t="s">
        <v>5667</v>
      </c>
      <c r="G2816" s="1">
        <v>10</v>
      </c>
    </row>
    <row r="2817" spans="1:7" ht="14.25" hidden="1" customHeight="1" x14ac:dyDescent="0.45">
      <c r="A2817" t="str">
        <f>_xlfn.XLOOKUP(B2817,Ingot!$H$12:$H$119,Ingot!$G$12:$G$119,"")</f>
        <v>Metal</v>
      </c>
      <c r="B2817" t="s">
        <v>5511</v>
      </c>
      <c r="C2817" t="s">
        <v>157</v>
      </c>
      <c r="D2817" t="s">
        <v>5668</v>
      </c>
      <c r="E2817" t="s">
        <v>5669</v>
      </c>
      <c r="G2817" s="1">
        <v>28.57</v>
      </c>
    </row>
    <row r="2818" spans="1:7" ht="14.25" hidden="1" customHeight="1" x14ac:dyDescent="0.45">
      <c r="A2818" t="str">
        <f>_xlfn.XLOOKUP(B2818,Ingot!$H$12:$H$119,Ingot!$G$12:$G$119,"")</f>
        <v>Metal</v>
      </c>
      <c r="B2818" t="s">
        <v>5511</v>
      </c>
      <c r="C2818" t="s">
        <v>157</v>
      </c>
      <c r="D2818" t="s">
        <v>5670</v>
      </c>
      <c r="E2818" t="s">
        <v>5671</v>
      </c>
      <c r="G2818" s="1">
        <v>5.71</v>
      </c>
    </row>
    <row r="2819" spans="1:7" ht="14.25" hidden="1" customHeight="1" x14ac:dyDescent="0.45">
      <c r="A2819" t="str">
        <f>_xlfn.XLOOKUP(B2819,Ingot!$H$12:$H$119,Ingot!$G$12:$G$119,"")</f>
        <v>Metal</v>
      </c>
      <c r="B2819" t="s">
        <v>5511</v>
      </c>
      <c r="C2819" t="s">
        <v>157</v>
      </c>
      <c r="D2819" t="s">
        <v>5672</v>
      </c>
      <c r="E2819" t="s">
        <v>5673</v>
      </c>
      <c r="G2819" s="1">
        <v>5.71</v>
      </c>
    </row>
    <row r="2820" spans="1:7" ht="14.25" hidden="1" customHeight="1" x14ac:dyDescent="0.45">
      <c r="A2820" t="str">
        <f>_xlfn.XLOOKUP(B2820,Ingot!$H$12:$H$119,Ingot!$G$12:$G$119,"")</f>
        <v>Metal</v>
      </c>
      <c r="B2820" t="s">
        <v>5511</v>
      </c>
      <c r="C2820" t="s">
        <v>157</v>
      </c>
      <c r="D2820" t="s">
        <v>5674</v>
      </c>
      <c r="E2820" t="s">
        <v>5675</v>
      </c>
      <c r="G2820" s="1">
        <v>5</v>
      </c>
    </row>
    <row r="2821" spans="1:7" ht="14.25" hidden="1" customHeight="1" x14ac:dyDescent="0.45">
      <c r="A2821" t="str">
        <f>_xlfn.XLOOKUP(B2821,Ingot!$H$12:$H$119,Ingot!$G$12:$G$119,"")</f>
        <v>Metal</v>
      </c>
      <c r="B2821" t="s">
        <v>5511</v>
      </c>
      <c r="C2821" t="s">
        <v>157</v>
      </c>
      <c r="D2821" t="s">
        <v>5676</v>
      </c>
      <c r="E2821" t="s">
        <v>5677</v>
      </c>
      <c r="G2821" s="1">
        <v>10</v>
      </c>
    </row>
    <row r="2822" spans="1:7" ht="14.25" hidden="1" customHeight="1" x14ac:dyDescent="0.45">
      <c r="A2822" t="str">
        <f>_xlfn.XLOOKUP(B2822,Ingot!$H$12:$H$119,Ingot!$G$12:$G$119,"")</f>
        <v>Metal</v>
      </c>
      <c r="B2822" t="s">
        <v>5511</v>
      </c>
      <c r="C2822" t="s">
        <v>157</v>
      </c>
      <c r="D2822" t="s">
        <v>5678</v>
      </c>
      <c r="E2822" t="s">
        <v>5679</v>
      </c>
      <c r="F2822" t="s">
        <v>180</v>
      </c>
      <c r="G2822" s="1">
        <v>27.57</v>
      </c>
    </row>
    <row r="2823" spans="1:7" ht="14.25" hidden="1" customHeight="1" x14ac:dyDescent="0.45">
      <c r="A2823" t="str">
        <f>_xlfn.XLOOKUP(B2823,Ingot!$H$12:$H$119,Ingot!$G$12:$G$119,"")</f>
        <v>Metal</v>
      </c>
      <c r="B2823" t="s">
        <v>5511</v>
      </c>
      <c r="C2823" t="s">
        <v>157</v>
      </c>
      <c r="D2823" t="s">
        <v>5680</v>
      </c>
      <c r="E2823" t="s">
        <v>5681</v>
      </c>
      <c r="F2823" t="s">
        <v>180</v>
      </c>
      <c r="G2823" s="1">
        <v>5.51</v>
      </c>
    </row>
    <row r="2824" spans="1:7" ht="14.25" hidden="1" customHeight="1" x14ac:dyDescent="0.45">
      <c r="A2824" t="str">
        <f>_xlfn.XLOOKUP(B2824,Ingot!$H$12:$H$119,Ingot!$G$12:$G$119,"")</f>
        <v>Metal</v>
      </c>
      <c r="B2824" t="s">
        <v>5511</v>
      </c>
      <c r="C2824" t="s">
        <v>157</v>
      </c>
      <c r="D2824" t="s">
        <v>5682</v>
      </c>
      <c r="E2824" t="s">
        <v>5683</v>
      </c>
      <c r="F2824" t="s">
        <v>180</v>
      </c>
      <c r="G2824" s="1">
        <v>5.51</v>
      </c>
    </row>
    <row r="2825" spans="1:7" ht="14.25" hidden="1" customHeight="1" x14ac:dyDescent="0.45">
      <c r="A2825" t="str">
        <f>_xlfn.XLOOKUP(B2825,Ingot!$H$12:$H$119,Ingot!$G$12:$G$119,"")</f>
        <v>Metal</v>
      </c>
      <c r="B2825" t="s">
        <v>5511</v>
      </c>
      <c r="C2825" t="s">
        <v>157</v>
      </c>
      <c r="D2825" t="s">
        <v>5684</v>
      </c>
      <c r="E2825" t="s">
        <v>5685</v>
      </c>
      <c r="F2825" t="s">
        <v>180</v>
      </c>
      <c r="G2825" s="1">
        <v>5</v>
      </c>
    </row>
    <row r="2826" spans="1:7" ht="14.25" hidden="1" customHeight="1" x14ac:dyDescent="0.45">
      <c r="A2826" t="str">
        <f>_xlfn.XLOOKUP(B2826,Ingot!$H$12:$H$119,Ingot!$G$12:$G$119,"")</f>
        <v>Metal</v>
      </c>
      <c r="B2826" t="s">
        <v>5511</v>
      </c>
      <c r="C2826" t="s">
        <v>157</v>
      </c>
      <c r="D2826" t="s">
        <v>5686</v>
      </c>
      <c r="E2826" t="s">
        <v>5687</v>
      </c>
      <c r="F2826" t="s">
        <v>180</v>
      </c>
      <c r="G2826" s="1">
        <v>10</v>
      </c>
    </row>
    <row r="2827" spans="1:7" ht="14.25" hidden="1" customHeight="1" x14ac:dyDescent="0.45">
      <c r="A2827" t="str">
        <f>_xlfn.XLOOKUP(B2827,Ingot!$H$12:$H$119,Ingot!$G$12:$G$119,"")</f>
        <v>Metal</v>
      </c>
      <c r="B2827" t="s">
        <v>5511</v>
      </c>
      <c r="C2827" t="s">
        <v>157</v>
      </c>
      <c r="D2827" t="s">
        <v>5688</v>
      </c>
      <c r="E2827" t="s">
        <v>5689</v>
      </c>
      <c r="G2827" s="1">
        <v>30.07</v>
      </c>
    </row>
    <row r="2828" spans="1:7" ht="14.25" hidden="1" customHeight="1" x14ac:dyDescent="0.45">
      <c r="A2828" t="str">
        <f>_xlfn.XLOOKUP(B2828,Ingot!$H$12:$H$119,Ingot!$G$12:$G$119,"")</f>
        <v>Metal</v>
      </c>
      <c r="B2828" t="s">
        <v>5511</v>
      </c>
      <c r="C2828" t="s">
        <v>157</v>
      </c>
      <c r="D2828" t="s">
        <v>5690</v>
      </c>
      <c r="E2828" t="s">
        <v>5691</v>
      </c>
      <c r="G2828" s="1">
        <v>6.01</v>
      </c>
    </row>
    <row r="2829" spans="1:7" ht="14.25" hidden="1" customHeight="1" x14ac:dyDescent="0.45">
      <c r="A2829" t="str">
        <f>_xlfn.XLOOKUP(B2829,Ingot!$H$12:$H$119,Ingot!$G$12:$G$119,"")</f>
        <v>Metal</v>
      </c>
      <c r="B2829" t="s">
        <v>5511</v>
      </c>
      <c r="C2829" t="s">
        <v>157</v>
      </c>
      <c r="D2829" t="s">
        <v>5692</v>
      </c>
      <c r="E2829" t="s">
        <v>5693</v>
      </c>
      <c r="G2829" s="1">
        <v>6.01</v>
      </c>
    </row>
    <row r="2830" spans="1:7" ht="14.25" hidden="1" customHeight="1" x14ac:dyDescent="0.45">
      <c r="A2830" t="str">
        <f>_xlfn.XLOOKUP(B2830,Ingot!$H$12:$H$119,Ingot!$G$12:$G$119,"")</f>
        <v>Metal</v>
      </c>
      <c r="B2830" t="s">
        <v>5511</v>
      </c>
      <c r="C2830" t="s">
        <v>157</v>
      </c>
      <c r="D2830" t="s">
        <v>5694</v>
      </c>
      <c r="E2830" t="s">
        <v>5695</v>
      </c>
      <c r="G2830" s="1">
        <v>5</v>
      </c>
    </row>
    <row r="2831" spans="1:7" ht="14.25" hidden="1" customHeight="1" x14ac:dyDescent="0.45">
      <c r="A2831" t="str">
        <f>_xlfn.XLOOKUP(B2831,Ingot!$H$12:$H$119,Ingot!$G$12:$G$119,"")</f>
        <v>Metal</v>
      </c>
      <c r="B2831" t="s">
        <v>5511</v>
      </c>
      <c r="C2831" t="s">
        <v>157</v>
      </c>
      <c r="D2831" t="s">
        <v>5696</v>
      </c>
      <c r="E2831" t="s">
        <v>5697</v>
      </c>
      <c r="G2831" s="1">
        <v>10</v>
      </c>
    </row>
    <row r="2832" spans="1:7" ht="14.25" hidden="1" customHeight="1" x14ac:dyDescent="0.45">
      <c r="A2832" t="str">
        <f>_xlfn.XLOOKUP(B2832,Ingot!$H$12:$H$119,Ingot!$G$12:$G$119,"")</f>
        <v>Metal</v>
      </c>
      <c r="B2832" t="s">
        <v>5511</v>
      </c>
      <c r="C2832" t="s">
        <v>157</v>
      </c>
      <c r="D2832" t="s">
        <v>5698</v>
      </c>
      <c r="E2832" t="s">
        <v>5699</v>
      </c>
      <c r="G2832" s="1">
        <v>32.07</v>
      </c>
    </row>
    <row r="2833" spans="1:7" ht="14.25" hidden="1" customHeight="1" x14ac:dyDescent="0.45">
      <c r="A2833" t="str">
        <f>_xlfn.XLOOKUP(B2833,Ingot!$H$12:$H$119,Ingot!$G$12:$G$119,"")</f>
        <v>Metal</v>
      </c>
      <c r="B2833" t="s">
        <v>5511</v>
      </c>
      <c r="C2833" t="s">
        <v>157</v>
      </c>
      <c r="D2833" t="s">
        <v>5700</v>
      </c>
      <c r="E2833" t="s">
        <v>5701</v>
      </c>
      <c r="F2833" t="s">
        <v>180</v>
      </c>
      <c r="G2833" s="1">
        <v>6.41</v>
      </c>
    </row>
    <row r="2834" spans="1:7" ht="14.25" hidden="1" customHeight="1" x14ac:dyDescent="0.45">
      <c r="A2834" t="str">
        <f>_xlfn.XLOOKUP(B2834,Ingot!$H$12:$H$119,Ingot!$G$12:$G$119,"")</f>
        <v>Metal</v>
      </c>
      <c r="B2834" t="s">
        <v>5511</v>
      </c>
      <c r="C2834" t="s">
        <v>157</v>
      </c>
      <c r="D2834" t="s">
        <v>5702</v>
      </c>
      <c r="E2834" t="s">
        <v>5703</v>
      </c>
      <c r="F2834" t="s">
        <v>180</v>
      </c>
      <c r="G2834" s="1">
        <v>6.41</v>
      </c>
    </row>
    <row r="2835" spans="1:7" ht="14.25" hidden="1" customHeight="1" x14ac:dyDescent="0.45">
      <c r="A2835" t="str">
        <f>_xlfn.XLOOKUP(B2835,Ingot!$H$12:$H$119,Ingot!$G$12:$G$119,"")</f>
        <v>Metal</v>
      </c>
      <c r="B2835" t="s">
        <v>5511</v>
      </c>
      <c r="C2835" t="s">
        <v>157</v>
      </c>
      <c r="D2835" t="s">
        <v>5704</v>
      </c>
      <c r="E2835" t="s">
        <v>5705</v>
      </c>
      <c r="F2835" t="s">
        <v>180</v>
      </c>
      <c r="G2835" s="1">
        <v>5</v>
      </c>
    </row>
    <row r="2836" spans="1:7" ht="14.25" hidden="1" customHeight="1" x14ac:dyDescent="0.45">
      <c r="A2836" t="str">
        <f>_xlfn.XLOOKUP(B2836,Ingot!$H$12:$H$119,Ingot!$G$12:$G$119,"")</f>
        <v>Metal</v>
      </c>
      <c r="B2836" t="s">
        <v>5511</v>
      </c>
      <c r="C2836" t="s">
        <v>157</v>
      </c>
      <c r="D2836" t="s">
        <v>5706</v>
      </c>
      <c r="E2836" t="s">
        <v>5707</v>
      </c>
      <c r="G2836" s="1">
        <v>10</v>
      </c>
    </row>
    <row r="2837" spans="1:7" ht="14.25" hidden="1" customHeight="1" x14ac:dyDescent="0.45">
      <c r="A2837" t="str">
        <f>_xlfn.XLOOKUP(B2837,Ingot!$H$12:$H$119,Ingot!$G$12:$G$119,"")</f>
        <v>Metal</v>
      </c>
      <c r="B2837" t="s">
        <v>5511</v>
      </c>
      <c r="C2837" t="s">
        <v>157</v>
      </c>
      <c r="D2837" t="s">
        <v>5708</v>
      </c>
      <c r="E2837" t="s">
        <v>5709</v>
      </c>
      <c r="G2837" s="1">
        <v>37.07</v>
      </c>
    </row>
    <row r="2838" spans="1:7" ht="14.25" hidden="1" customHeight="1" x14ac:dyDescent="0.45">
      <c r="A2838" t="str">
        <f>_xlfn.XLOOKUP(B2838,Ingot!$H$12:$H$119,Ingot!$G$12:$G$119,"")</f>
        <v>Metal</v>
      </c>
      <c r="B2838" t="s">
        <v>5511</v>
      </c>
      <c r="C2838" t="s">
        <v>157</v>
      </c>
      <c r="D2838" t="s">
        <v>5710</v>
      </c>
      <c r="E2838" t="s">
        <v>5711</v>
      </c>
      <c r="G2838" s="1">
        <v>7.41</v>
      </c>
    </row>
    <row r="2839" spans="1:7" ht="14.25" hidden="1" customHeight="1" x14ac:dyDescent="0.45">
      <c r="A2839" t="str">
        <f>_xlfn.XLOOKUP(B2839,Ingot!$H$12:$H$119,Ingot!$G$12:$G$119,"")</f>
        <v>Metal</v>
      </c>
      <c r="B2839" t="s">
        <v>5511</v>
      </c>
      <c r="C2839" t="s">
        <v>157</v>
      </c>
      <c r="D2839" t="s">
        <v>5712</v>
      </c>
      <c r="E2839" t="s">
        <v>5713</v>
      </c>
      <c r="G2839" s="1">
        <v>7.41</v>
      </c>
    </row>
    <row r="2840" spans="1:7" ht="14.25" hidden="1" customHeight="1" x14ac:dyDescent="0.45">
      <c r="A2840" t="str">
        <f>_xlfn.XLOOKUP(B2840,Ingot!$H$12:$H$119,Ingot!$G$12:$G$119,"")</f>
        <v>Metal</v>
      </c>
      <c r="B2840" t="s">
        <v>5511</v>
      </c>
      <c r="C2840" t="s">
        <v>157</v>
      </c>
      <c r="D2840" t="s">
        <v>5714</v>
      </c>
      <c r="E2840" t="s">
        <v>5715</v>
      </c>
      <c r="G2840" s="1">
        <v>5</v>
      </c>
    </row>
    <row r="2841" spans="1:7" ht="14.25" hidden="1" customHeight="1" x14ac:dyDescent="0.45">
      <c r="A2841" t="str">
        <f>_xlfn.XLOOKUP(B2841,Ingot!$H$12:$H$119,Ingot!$G$12:$G$119,"")</f>
        <v>Metal</v>
      </c>
      <c r="B2841" t="s">
        <v>5511</v>
      </c>
      <c r="C2841" t="s">
        <v>157</v>
      </c>
      <c r="D2841" t="s">
        <v>5716</v>
      </c>
      <c r="E2841" t="s">
        <v>5717</v>
      </c>
      <c r="G2841" s="1">
        <v>10</v>
      </c>
    </row>
    <row r="2842" spans="1:7" ht="14.25" hidden="1" customHeight="1" x14ac:dyDescent="0.45">
      <c r="A2842" t="str">
        <f>_xlfn.XLOOKUP(B2842,Ingot!$H$12:$H$119,Ingot!$G$12:$G$119,"")</f>
        <v>Metal</v>
      </c>
      <c r="B2842" t="s">
        <v>5511</v>
      </c>
      <c r="C2842" t="s">
        <v>157</v>
      </c>
      <c r="D2842" t="s">
        <v>5718</v>
      </c>
      <c r="E2842" t="s">
        <v>5719</v>
      </c>
      <c r="G2842" s="1">
        <v>36.57</v>
      </c>
    </row>
    <row r="2843" spans="1:7" ht="14.25" hidden="1" customHeight="1" x14ac:dyDescent="0.45">
      <c r="A2843" t="str">
        <f>_xlfn.XLOOKUP(B2843,Ingot!$H$12:$H$119,Ingot!$G$12:$G$119,"")</f>
        <v>Metal</v>
      </c>
      <c r="B2843" t="s">
        <v>5511</v>
      </c>
      <c r="C2843" t="s">
        <v>157</v>
      </c>
      <c r="D2843" t="s">
        <v>5720</v>
      </c>
      <c r="E2843" t="s">
        <v>5721</v>
      </c>
      <c r="G2843" s="1">
        <v>7.31</v>
      </c>
    </row>
    <row r="2844" spans="1:7" ht="14.25" hidden="1" customHeight="1" x14ac:dyDescent="0.45">
      <c r="A2844" t="str">
        <f>_xlfn.XLOOKUP(B2844,Ingot!$H$12:$H$119,Ingot!$G$12:$G$119,"")</f>
        <v>Metal</v>
      </c>
      <c r="B2844" t="s">
        <v>5511</v>
      </c>
      <c r="C2844" t="s">
        <v>157</v>
      </c>
      <c r="D2844" t="s">
        <v>5722</v>
      </c>
      <c r="E2844" t="s">
        <v>5723</v>
      </c>
      <c r="G2844" s="1">
        <v>7.31</v>
      </c>
    </row>
    <row r="2845" spans="1:7" ht="14.25" hidden="1" customHeight="1" x14ac:dyDescent="0.45">
      <c r="A2845" t="str">
        <f>_xlfn.XLOOKUP(B2845,Ingot!$H$12:$H$119,Ingot!$G$12:$G$119,"")</f>
        <v>Metal</v>
      </c>
      <c r="B2845" t="s">
        <v>5511</v>
      </c>
      <c r="C2845" t="s">
        <v>157</v>
      </c>
      <c r="D2845" t="s">
        <v>5724</v>
      </c>
      <c r="E2845" t="s">
        <v>5725</v>
      </c>
      <c r="G2845" s="1">
        <v>5</v>
      </c>
    </row>
    <row r="2846" spans="1:7" ht="14.25" hidden="1" customHeight="1" x14ac:dyDescent="0.45">
      <c r="A2846" t="str">
        <f>_xlfn.XLOOKUP(B2846,Ingot!$H$12:$H$119,Ingot!$G$12:$G$119,"")</f>
        <v>Metal</v>
      </c>
      <c r="B2846" t="s">
        <v>5511</v>
      </c>
      <c r="C2846" t="s">
        <v>157</v>
      </c>
      <c r="D2846" t="s">
        <v>5726</v>
      </c>
      <c r="E2846" t="s">
        <v>5727</v>
      </c>
      <c r="G2846" s="1">
        <v>10</v>
      </c>
    </row>
    <row r="2847" spans="1:7" ht="14.25" hidden="1" customHeight="1" x14ac:dyDescent="0.45">
      <c r="A2847" t="str">
        <f>_xlfn.XLOOKUP(B2847,Ingot!$H$12:$H$119,Ingot!$G$12:$G$119,"")</f>
        <v>Metal</v>
      </c>
      <c r="B2847" t="s">
        <v>5511</v>
      </c>
      <c r="C2847" t="s">
        <v>157</v>
      </c>
      <c r="D2847" t="s">
        <v>5728</v>
      </c>
      <c r="E2847" t="s">
        <v>5729</v>
      </c>
      <c r="F2847" t="s">
        <v>180</v>
      </c>
      <c r="G2847" s="1">
        <v>26.07</v>
      </c>
    </row>
    <row r="2848" spans="1:7" ht="14.25" hidden="1" customHeight="1" x14ac:dyDescent="0.45">
      <c r="A2848" t="str">
        <f>_xlfn.XLOOKUP(B2848,Ingot!$H$12:$H$119,Ingot!$G$12:$G$119,"")</f>
        <v>Metal</v>
      </c>
      <c r="B2848" t="s">
        <v>5511</v>
      </c>
      <c r="C2848" t="s">
        <v>157</v>
      </c>
      <c r="D2848" t="s">
        <v>5730</v>
      </c>
      <c r="E2848" t="s">
        <v>5731</v>
      </c>
      <c r="F2848" t="s">
        <v>180</v>
      </c>
      <c r="G2848" s="1">
        <v>5.21</v>
      </c>
    </row>
    <row r="2849" spans="1:7" ht="14.25" hidden="1" customHeight="1" x14ac:dyDescent="0.45">
      <c r="A2849" t="str">
        <f>_xlfn.XLOOKUP(B2849,Ingot!$H$12:$H$119,Ingot!$G$12:$G$119,"")</f>
        <v>Metal</v>
      </c>
      <c r="B2849" t="s">
        <v>5511</v>
      </c>
      <c r="C2849" t="s">
        <v>157</v>
      </c>
      <c r="D2849" t="s">
        <v>5732</v>
      </c>
      <c r="E2849" t="s">
        <v>5733</v>
      </c>
      <c r="F2849" t="s">
        <v>180</v>
      </c>
      <c r="G2849" s="1">
        <v>5.21</v>
      </c>
    </row>
    <row r="2850" spans="1:7" ht="14.25" hidden="1" customHeight="1" x14ac:dyDescent="0.45">
      <c r="A2850" t="str">
        <f>_xlfn.XLOOKUP(B2850,Ingot!$H$12:$H$119,Ingot!$G$12:$G$119,"")</f>
        <v>Metal</v>
      </c>
      <c r="B2850" t="s">
        <v>5511</v>
      </c>
      <c r="C2850" t="s">
        <v>157</v>
      </c>
      <c r="D2850" t="s">
        <v>5734</v>
      </c>
      <c r="E2850" t="s">
        <v>5735</v>
      </c>
      <c r="F2850" t="s">
        <v>180</v>
      </c>
      <c r="G2850" s="1">
        <v>5</v>
      </c>
    </row>
    <row r="2851" spans="1:7" ht="14.25" hidden="1" customHeight="1" x14ac:dyDescent="0.45">
      <c r="A2851" t="str">
        <f>_xlfn.XLOOKUP(B2851,Ingot!$H$12:$H$119,Ingot!$G$12:$G$119,"")</f>
        <v>Metal</v>
      </c>
      <c r="B2851" t="s">
        <v>5511</v>
      </c>
      <c r="C2851" t="s">
        <v>157</v>
      </c>
      <c r="D2851" t="s">
        <v>5736</v>
      </c>
      <c r="E2851" t="s">
        <v>5737</v>
      </c>
      <c r="F2851" t="s">
        <v>180</v>
      </c>
      <c r="G2851" s="1">
        <v>10</v>
      </c>
    </row>
    <row r="2852" spans="1:7" ht="14.25" hidden="1" customHeight="1" x14ac:dyDescent="0.45">
      <c r="A2852" t="str">
        <f>_xlfn.XLOOKUP(B2852,Ingot!$H$12:$H$119,Ingot!$G$12:$G$119,"")</f>
        <v>Metal</v>
      </c>
      <c r="B2852" t="s">
        <v>5511</v>
      </c>
      <c r="C2852" t="s">
        <v>239</v>
      </c>
      <c r="D2852" t="s">
        <v>5738</v>
      </c>
      <c r="E2852" t="s">
        <v>5739</v>
      </c>
      <c r="G2852" s="1">
        <f>(VLOOKUP(B2852,Ingot!H:I,2,FALSE()) * 0.75) * 0.75</f>
        <v>5.0625</v>
      </c>
    </row>
    <row r="2853" spans="1:7" ht="14.25" hidden="1" customHeight="1" x14ac:dyDescent="0.45">
      <c r="A2853" t="str">
        <f>_xlfn.XLOOKUP(B2853,Ingot!$H$12:$H$119,Ingot!$G$12:$G$119,"")</f>
        <v>Metal</v>
      </c>
      <c r="B2853" t="s">
        <v>5511</v>
      </c>
      <c r="C2853" t="s">
        <v>239</v>
      </c>
      <c r="D2853" t="s">
        <v>5740</v>
      </c>
      <c r="E2853" t="s">
        <v>5741</v>
      </c>
      <c r="G2853" s="1">
        <f>((VLOOKUP(B2853,Ingot!H:I,2,FALSE()) * 3) - 10.25) * 0.421875</f>
        <v>7.06640625</v>
      </c>
    </row>
    <row r="2854" spans="1:7" ht="14.25" hidden="1" customHeight="1" x14ac:dyDescent="0.45">
      <c r="A2854" t="str">
        <f>_xlfn.XLOOKUP(B2854,Ingot!$H$12:$H$119,Ingot!$G$12:$G$119,"")</f>
        <v>Metal</v>
      </c>
      <c r="B2854" t="s">
        <v>5511</v>
      </c>
      <c r="C2854" t="s">
        <v>239</v>
      </c>
      <c r="D2854" t="s">
        <v>5742</v>
      </c>
      <c r="E2854" t="s">
        <v>5743</v>
      </c>
      <c r="G2854" s="1">
        <f>((VLOOKUP(B2854,Ingot!H:I,2,FALSE()) * 3) - 10.25) * 0.75</f>
        <v>12.5625</v>
      </c>
    </row>
    <row r="2855" spans="1:7" ht="14.25" hidden="1" customHeight="1" x14ac:dyDescent="0.45">
      <c r="A2855" t="str">
        <f>_xlfn.XLOOKUP(B2855,Ingot!$H$12:$H$119,Ingot!$G$12:$G$119,"")</f>
        <v>Metal</v>
      </c>
      <c r="B2855" t="s">
        <v>5511</v>
      </c>
      <c r="C2855" t="s">
        <v>239</v>
      </c>
      <c r="D2855" t="s">
        <v>5744</v>
      </c>
      <c r="E2855" t="s">
        <v>5745</v>
      </c>
      <c r="G2855" s="1">
        <f>((VLOOKUP(B2855,Ingot!H:I,2,FALSE()) * 3) - 10.25) * 0.5625</f>
        <v>9.421875</v>
      </c>
    </row>
    <row r="2856" spans="1:7" ht="14.25" hidden="1" customHeight="1" x14ac:dyDescent="0.45">
      <c r="A2856" t="str">
        <f>_xlfn.XLOOKUP(B2856,Ingot!$H$12:$H$119,Ingot!$G$12:$G$119,"")</f>
        <v>Metal</v>
      </c>
      <c r="B2856" t="s">
        <v>5511</v>
      </c>
      <c r="C2856" t="s">
        <v>239</v>
      </c>
      <c r="D2856" t="s">
        <v>5746</v>
      </c>
      <c r="E2856" t="s">
        <v>5747</v>
      </c>
      <c r="G2856" s="1">
        <f>VLOOKUP(B2856,Ingot!H:I,2,FALSE()) * 0.75</f>
        <v>6.75</v>
      </c>
    </row>
    <row r="2857" spans="1:7" ht="14.25" hidden="1" customHeight="1" x14ac:dyDescent="0.45">
      <c r="A2857" t="str">
        <f>_xlfn.XLOOKUP(B2857,Ingot!$H$12:$H$119,Ingot!$G$12:$G$119,"")</f>
        <v>Metal</v>
      </c>
      <c r="B2857" t="s">
        <v>5511</v>
      </c>
      <c r="C2857" t="s">
        <v>239</v>
      </c>
      <c r="D2857" t="s">
        <v>5748</v>
      </c>
      <c r="E2857" t="s">
        <v>5749</v>
      </c>
      <c r="G2857" s="1">
        <f>(VLOOKUP(B2857,Ingot!H:I,2,FALSE()) * 3) - 10.25</f>
        <v>16.75</v>
      </c>
    </row>
    <row r="2858" spans="1:7" ht="14.25" hidden="1" customHeight="1" x14ac:dyDescent="0.45">
      <c r="A2858" t="str">
        <f>_xlfn.XLOOKUP(B2858,Ingot!$H$12:$H$119,Ingot!$G$12:$G$119,"")</f>
        <v>Metal</v>
      </c>
      <c r="B2858" t="s">
        <v>5750</v>
      </c>
      <c r="C2858" t="s">
        <v>10</v>
      </c>
      <c r="D2858" t="s">
        <v>5751</v>
      </c>
      <c r="E2858" t="s">
        <v>5752</v>
      </c>
      <c r="G2858" s="1">
        <v>0.08</v>
      </c>
    </row>
    <row r="2859" spans="1:7" ht="14.25" hidden="1" customHeight="1" x14ac:dyDescent="0.45">
      <c r="A2859" t="str">
        <f>_xlfn.XLOOKUP(B2859,Ingot!$H$12:$H$119,Ingot!$G$12:$G$119,"")</f>
        <v>Metal</v>
      </c>
      <c r="B2859" t="s">
        <v>5750</v>
      </c>
      <c r="C2859" t="s">
        <v>10</v>
      </c>
      <c r="D2859" t="s">
        <v>5753</v>
      </c>
      <c r="E2859" t="s">
        <v>5754</v>
      </c>
      <c r="G2859" s="1">
        <v>9.9</v>
      </c>
    </row>
    <row r="2860" spans="1:7" ht="14.25" hidden="1" customHeight="1" x14ac:dyDescent="0.45">
      <c r="A2860" t="str">
        <f>_xlfn.XLOOKUP(B2860,Ingot!$H$12:$H$119,Ingot!$G$12:$G$119,"")</f>
        <v>Metal</v>
      </c>
      <c r="B2860" t="s">
        <v>5750</v>
      </c>
      <c r="C2860" t="s">
        <v>10</v>
      </c>
      <c r="D2860" t="s">
        <v>5755</v>
      </c>
      <c r="E2860" t="s">
        <v>5756</v>
      </c>
      <c r="G2860" s="1">
        <v>5.66</v>
      </c>
    </row>
    <row r="2861" spans="1:7" ht="14.25" hidden="1" customHeight="1" x14ac:dyDescent="0.45">
      <c r="A2861" t="str">
        <f>_xlfn.XLOOKUP(B2861,Ingot!$H$12:$H$119,Ingot!$G$12:$G$119,"")</f>
        <v>Metal</v>
      </c>
      <c r="B2861" t="s">
        <v>5750</v>
      </c>
      <c r="C2861" t="s">
        <v>10</v>
      </c>
      <c r="D2861" t="s">
        <v>5757</v>
      </c>
      <c r="E2861" t="s">
        <v>5758</v>
      </c>
      <c r="G2861" s="1">
        <v>3.3</v>
      </c>
    </row>
    <row r="2862" spans="1:7" ht="14.25" hidden="1" customHeight="1" x14ac:dyDescent="0.45">
      <c r="A2862" t="str">
        <f>_xlfn.XLOOKUP(B2862,Ingot!$H$12:$H$119,Ingot!$G$12:$G$119,"")</f>
        <v>Metal</v>
      </c>
      <c r="B2862" t="s">
        <v>5750</v>
      </c>
      <c r="C2862" t="s">
        <v>10</v>
      </c>
      <c r="D2862" t="s">
        <v>5759</v>
      </c>
      <c r="E2862" t="s">
        <v>5760</v>
      </c>
      <c r="G2862" s="1">
        <v>0.66</v>
      </c>
    </row>
    <row r="2863" spans="1:7" ht="14.25" hidden="1" customHeight="1" x14ac:dyDescent="0.45">
      <c r="A2863" t="str">
        <f>_xlfn.XLOOKUP(B2863,Ingot!$H$12:$H$119,Ingot!$G$12:$G$119,"")</f>
        <v>Metal</v>
      </c>
      <c r="B2863" t="s">
        <v>5750</v>
      </c>
      <c r="C2863" t="s">
        <v>10</v>
      </c>
      <c r="D2863" t="s">
        <v>5761</v>
      </c>
      <c r="E2863" t="s">
        <v>5762</v>
      </c>
      <c r="G2863" s="1">
        <v>0.04</v>
      </c>
    </row>
    <row r="2864" spans="1:7" ht="14.25" hidden="1" customHeight="1" x14ac:dyDescent="0.45">
      <c r="A2864" t="str">
        <f>_xlfn.XLOOKUP(B2864,Ingot!$H$12:$H$119,Ingot!$G$12:$G$119,"")</f>
        <v>Metal</v>
      </c>
      <c r="B2864" t="s">
        <v>5750</v>
      </c>
      <c r="C2864" t="s">
        <v>10</v>
      </c>
      <c r="D2864" t="s">
        <v>5763</v>
      </c>
      <c r="E2864" t="s">
        <v>5764</v>
      </c>
      <c r="G2864" s="1">
        <v>0.33</v>
      </c>
    </row>
    <row r="2865" spans="1:7" ht="14.25" hidden="1" customHeight="1" x14ac:dyDescent="0.45">
      <c r="A2865" t="str">
        <f>_xlfn.XLOOKUP(B2865,Ingot!$H$12:$H$119,Ingot!$G$12:$G$119,"")</f>
        <v>Metal</v>
      </c>
      <c r="B2865" t="s">
        <v>5750</v>
      </c>
      <c r="C2865" t="s">
        <v>10</v>
      </c>
      <c r="D2865" t="s">
        <v>5765</v>
      </c>
      <c r="E2865" t="s">
        <v>5766</v>
      </c>
    </row>
    <row r="2866" spans="1:7" ht="14.25" hidden="1" customHeight="1" x14ac:dyDescent="0.45">
      <c r="A2866" t="str">
        <f>_xlfn.XLOOKUP(B2866,Ingot!$H$12:$H$119,Ingot!$G$12:$G$119,"")</f>
        <v>Metal</v>
      </c>
      <c r="B2866" t="s">
        <v>5750</v>
      </c>
      <c r="C2866" t="s">
        <v>10</v>
      </c>
      <c r="D2866" t="s">
        <v>5767</v>
      </c>
      <c r="E2866" t="s">
        <v>5768</v>
      </c>
      <c r="G2866" s="1">
        <v>0.05</v>
      </c>
    </row>
    <row r="2867" spans="1:7" ht="14.25" hidden="1" customHeight="1" x14ac:dyDescent="0.45">
      <c r="A2867" t="str">
        <f>_xlfn.XLOOKUP(B2867,Ingot!$H$12:$H$119,Ingot!$G$12:$G$119,"")</f>
        <v>Metal</v>
      </c>
      <c r="B2867" t="s">
        <v>5750</v>
      </c>
      <c r="C2867" t="s">
        <v>10</v>
      </c>
      <c r="D2867" t="s">
        <v>5769</v>
      </c>
      <c r="E2867" t="s">
        <v>5770</v>
      </c>
      <c r="G2867" s="1">
        <v>0.66</v>
      </c>
    </row>
    <row r="2868" spans="1:7" ht="14.25" hidden="1" customHeight="1" x14ac:dyDescent="0.45">
      <c r="A2868" t="str">
        <f>_xlfn.XLOOKUP(B2868,Ingot!$H$12:$H$119,Ingot!$G$12:$G$119,"")</f>
        <v>Metal</v>
      </c>
      <c r="B2868" t="s">
        <v>5750</v>
      </c>
      <c r="C2868" t="s">
        <v>10</v>
      </c>
      <c r="D2868" t="s">
        <v>5771</v>
      </c>
      <c r="E2868" t="s">
        <v>5772</v>
      </c>
      <c r="G2868" s="1">
        <v>3.96</v>
      </c>
    </row>
    <row r="2869" spans="1:7" ht="14.25" hidden="1" customHeight="1" x14ac:dyDescent="0.45">
      <c r="A2869" t="str">
        <f>_xlfn.XLOOKUP(B2869,Ingot!$H$12:$H$119,Ingot!$G$12:$G$119,"")</f>
        <v>Metal</v>
      </c>
      <c r="B2869" t="s">
        <v>5750</v>
      </c>
      <c r="C2869" t="s">
        <v>10</v>
      </c>
      <c r="D2869" t="s">
        <v>5773</v>
      </c>
      <c r="E2869" t="s">
        <v>5774</v>
      </c>
      <c r="G2869" s="1">
        <v>8.77</v>
      </c>
    </row>
    <row r="2870" spans="1:7" ht="14.25" hidden="1" customHeight="1" x14ac:dyDescent="0.45">
      <c r="A2870" t="str">
        <f>_xlfn.XLOOKUP(B2870,Ingot!$H$12:$H$119,Ingot!$G$12:$G$119,"")</f>
        <v>Metal</v>
      </c>
      <c r="B2870" t="s">
        <v>5750</v>
      </c>
      <c r="C2870" t="s">
        <v>10</v>
      </c>
      <c r="D2870" t="s">
        <v>5775</v>
      </c>
      <c r="E2870" t="s">
        <v>5776</v>
      </c>
      <c r="G2870" s="1">
        <v>3.5</v>
      </c>
    </row>
    <row r="2871" spans="1:7" ht="14.25" hidden="1" customHeight="1" x14ac:dyDescent="0.45">
      <c r="A2871" t="str">
        <f>_xlfn.XLOOKUP(B2871,Ingot!$H$12:$H$119,Ingot!$G$12:$G$119,"")</f>
        <v>Metal</v>
      </c>
      <c r="B2871" t="s">
        <v>5750</v>
      </c>
      <c r="C2871" t="s">
        <v>10</v>
      </c>
      <c r="D2871" t="s">
        <v>5777</v>
      </c>
      <c r="E2871" t="s">
        <v>5778</v>
      </c>
    </row>
    <row r="2872" spans="1:7" ht="14.25" hidden="1" customHeight="1" x14ac:dyDescent="0.45">
      <c r="A2872" t="str">
        <f>_xlfn.XLOOKUP(B2872,Ingot!$H$12:$H$119,Ingot!$G$12:$G$119,"")</f>
        <v>Metal</v>
      </c>
      <c r="B2872" t="s">
        <v>5750</v>
      </c>
      <c r="C2872" t="s">
        <v>10</v>
      </c>
      <c r="D2872" t="s">
        <v>5779</v>
      </c>
      <c r="E2872" t="s">
        <v>5780</v>
      </c>
      <c r="G2872" s="1">
        <v>2.2000000000000002</v>
      </c>
    </row>
    <row r="2873" spans="1:7" ht="14.25" hidden="1" customHeight="1" x14ac:dyDescent="0.45">
      <c r="A2873" t="str">
        <f>_xlfn.XLOOKUP(B2873,Ingot!$H$12:$H$119,Ingot!$G$12:$G$119,"")</f>
        <v>Metal</v>
      </c>
      <c r="B2873" t="s">
        <v>5750</v>
      </c>
      <c r="C2873" t="s">
        <v>10</v>
      </c>
      <c r="D2873" t="s">
        <v>5781</v>
      </c>
      <c r="E2873" t="s">
        <v>5782</v>
      </c>
      <c r="G2873" s="1">
        <v>1.1000000000000001</v>
      </c>
    </row>
    <row r="2874" spans="1:7" ht="14.25" hidden="1" customHeight="1" x14ac:dyDescent="0.45">
      <c r="A2874" t="str">
        <f>_xlfn.XLOOKUP(B2874,Ingot!$H$12:$H$119,Ingot!$G$12:$G$119,"")</f>
        <v>Metal</v>
      </c>
      <c r="B2874" t="s">
        <v>5750</v>
      </c>
      <c r="C2874" t="s">
        <v>10</v>
      </c>
      <c r="D2874" t="s">
        <v>5783</v>
      </c>
      <c r="E2874" t="s">
        <v>5784</v>
      </c>
      <c r="G2874" s="1">
        <v>0.22</v>
      </c>
    </row>
    <row r="2875" spans="1:7" ht="14.25" hidden="1" customHeight="1" x14ac:dyDescent="0.45">
      <c r="A2875" t="str">
        <f>_xlfn.XLOOKUP(B2875,Ingot!$H$12:$H$119,Ingot!$G$12:$G$119,"")</f>
        <v>Metal</v>
      </c>
      <c r="B2875" t="s">
        <v>5750</v>
      </c>
      <c r="C2875" t="s">
        <v>10</v>
      </c>
      <c r="D2875" t="s">
        <v>5785</v>
      </c>
      <c r="E2875" t="s">
        <v>5786</v>
      </c>
      <c r="G2875" s="1">
        <v>8.41</v>
      </c>
    </row>
    <row r="2876" spans="1:7" ht="14.25" hidden="1" customHeight="1" x14ac:dyDescent="0.45">
      <c r="A2876" t="str">
        <f>_xlfn.XLOOKUP(B2876,Ingot!$H$12:$H$119,Ingot!$G$12:$G$119,"")</f>
        <v>Metal</v>
      </c>
      <c r="B2876" t="s">
        <v>5750</v>
      </c>
      <c r="C2876" t="s">
        <v>10</v>
      </c>
      <c r="D2876" t="s">
        <v>5787</v>
      </c>
      <c r="E2876" t="s">
        <v>5788</v>
      </c>
      <c r="G2876" s="1">
        <v>3.64</v>
      </c>
    </row>
    <row r="2877" spans="1:7" ht="14.25" hidden="1" customHeight="1" x14ac:dyDescent="0.45">
      <c r="A2877" t="str">
        <f>_xlfn.XLOOKUP(B2877,Ingot!$H$12:$H$119,Ingot!$G$12:$G$119,"")</f>
        <v>Metal</v>
      </c>
      <c r="B2877" t="s">
        <v>5750</v>
      </c>
      <c r="C2877" t="s">
        <v>10</v>
      </c>
      <c r="D2877" t="s">
        <v>5789</v>
      </c>
      <c r="E2877" t="s">
        <v>5790</v>
      </c>
      <c r="G2877" s="1">
        <v>7.05</v>
      </c>
    </row>
    <row r="2878" spans="1:7" ht="14.25" hidden="1" customHeight="1" x14ac:dyDescent="0.45">
      <c r="A2878" t="str">
        <f>_xlfn.XLOOKUP(B2878,Ingot!$H$12:$H$119,Ingot!$G$12:$G$119,"")</f>
        <v>Metal</v>
      </c>
      <c r="B2878" t="s">
        <v>5750</v>
      </c>
      <c r="C2878" t="s">
        <v>10</v>
      </c>
      <c r="D2878" t="s">
        <v>5791</v>
      </c>
      <c r="E2878" t="s">
        <v>5792</v>
      </c>
      <c r="G2878" s="1">
        <v>2.65</v>
      </c>
    </row>
    <row r="2879" spans="1:7" ht="14.25" hidden="1" customHeight="1" x14ac:dyDescent="0.45">
      <c r="A2879" t="str">
        <f>_xlfn.XLOOKUP(B2879,Ingot!$H$12:$H$119,Ingot!$G$12:$G$119,"")</f>
        <v>Metal</v>
      </c>
      <c r="B2879" t="s">
        <v>5750</v>
      </c>
      <c r="C2879" t="s">
        <v>10</v>
      </c>
      <c r="D2879" t="s">
        <v>5793</v>
      </c>
      <c r="E2879" t="s">
        <v>5794</v>
      </c>
      <c r="G2879" s="1">
        <v>9</v>
      </c>
    </row>
    <row r="2880" spans="1:7" ht="14.25" hidden="1" customHeight="1" x14ac:dyDescent="0.45">
      <c r="A2880" t="str">
        <f>_xlfn.XLOOKUP(B2880,Ingot!$H$12:$H$119,Ingot!$G$12:$G$119,"")</f>
        <v>Metal</v>
      </c>
      <c r="B2880" t="s">
        <v>5750</v>
      </c>
      <c r="C2880" t="s">
        <v>10</v>
      </c>
      <c r="D2880" t="s">
        <v>5795</v>
      </c>
      <c r="E2880" t="s">
        <v>5796</v>
      </c>
      <c r="G2880" s="1">
        <v>10.23</v>
      </c>
    </row>
    <row r="2881" spans="1:7" ht="14.25" hidden="1" customHeight="1" x14ac:dyDescent="0.45">
      <c r="A2881" t="str">
        <f>_xlfn.XLOOKUP(B2881,Ingot!$H$12:$H$119,Ingot!$G$12:$G$119,"")</f>
        <v>Metal</v>
      </c>
      <c r="B2881" t="s">
        <v>5750</v>
      </c>
      <c r="C2881" t="s">
        <v>10</v>
      </c>
      <c r="D2881" t="s">
        <v>5797</v>
      </c>
      <c r="E2881" t="s">
        <v>5798</v>
      </c>
      <c r="G2881" s="1">
        <v>7.7</v>
      </c>
    </row>
    <row r="2882" spans="1:7" ht="14.25" hidden="1" customHeight="1" x14ac:dyDescent="0.45">
      <c r="A2882" t="str">
        <f>_xlfn.XLOOKUP(B2882,Ingot!$H$12:$H$119,Ingot!$G$12:$G$119,"")</f>
        <v>Metal</v>
      </c>
      <c r="B2882" t="s">
        <v>5750</v>
      </c>
      <c r="C2882" t="s">
        <v>10</v>
      </c>
      <c r="D2882" t="s">
        <v>5799</v>
      </c>
      <c r="E2882" t="s">
        <v>5800</v>
      </c>
      <c r="G2882" s="1">
        <v>10.02</v>
      </c>
    </row>
    <row r="2883" spans="1:7" ht="14.25" hidden="1" customHeight="1" x14ac:dyDescent="0.45">
      <c r="A2883" t="str">
        <f>_xlfn.XLOOKUP(B2883,Ingot!$H$12:$H$119,Ingot!$G$12:$G$119,"")</f>
        <v>Metal</v>
      </c>
      <c r="B2883" t="s">
        <v>5750</v>
      </c>
      <c r="C2883" t="s">
        <v>10</v>
      </c>
      <c r="D2883" t="s">
        <v>5801</v>
      </c>
      <c r="E2883" t="s">
        <v>5802</v>
      </c>
      <c r="G2883" s="1">
        <v>11.81</v>
      </c>
    </row>
    <row r="2884" spans="1:7" ht="14.25" hidden="1" customHeight="1" x14ac:dyDescent="0.45">
      <c r="A2884" t="str">
        <f>_xlfn.XLOOKUP(B2884,Ingot!$H$12:$H$119,Ingot!$G$12:$G$119,"")</f>
        <v>Metal</v>
      </c>
      <c r="B2884" t="s">
        <v>5750</v>
      </c>
      <c r="C2884" t="s">
        <v>10</v>
      </c>
      <c r="D2884" t="s">
        <v>5803</v>
      </c>
      <c r="E2884" t="s">
        <v>5804</v>
      </c>
      <c r="G2884" s="1">
        <v>8.44</v>
      </c>
    </row>
    <row r="2885" spans="1:7" ht="14.25" hidden="1" customHeight="1" x14ac:dyDescent="0.45">
      <c r="A2885" t="str">
        <f>_xlfn.XLOOKUP(B2885,Ingot!$H$12:$H$119,Ingot!$G$12:$G$119,"")</f>
        <v>Metal</v>
      </c>
      <c r="B2885" t="s">
        <v>5750</v>
      </c>
      <c r="C2885" t="s">
        <v>10</v>
      </c>
      <c r="D2885" t="s">
        <v>5805</v>
      </c>
      <c r="E2885" t="s">
        <v>5806</v>
      </c>
      <c r="G2885" s="1">
        <v>10.42</v>
      </c>
    </row>
    <row r="2886" spans="1:7" ht="14.25" hidden="1" customHeight="1" x14ac:dyDescent="0.45">
      <c r="A2886" t="str">
        <f>_xlfn.XLOOKUP(B2886,Ingot!$H$12:$H$119,Ingot!$G$12:$G$119,"")</f>
        <v>Metal</v>
      </c>
      <c r="B2886" t="s">
        <v>5750</v>
      </c>
      <c r="C2886" t="s">
        <v>10</v>
      </c>
      <c r="D2886" t="s">
        <v>5807</v>
      </c>
      <c r="E2886" t="s">
        <v>5808</v>
      </c>
    </row>
    <row r="2887" spans="1:7" ht="14.25" hidden="1" customHeight="1" x14ac:dyDescent="0.45">
      <c r="A2887" t="str">
        <f>_xlfn.XLOOKUP(B2887,Ingot!$H$12:$H$119,Ingot!$G$12:$G$119,"")</f>
        <v>Metal</v>
      </c>
      <c r="B2887" t="s">
        <v>5750</v>
      </c>
      <c r="C2887" t="s">
        <v>10</v>
      </c>
      <c r="D2887" t="s">
        <v>5809</v>
      </c>
      <c r="E2887" t="s">
        <v>5810</v>
      </c>
      <c r="G2887" s="1">
        <v>7.96</v>
      </c>
    </row>
    <row r="2888" spans="1:7" ht="14.25" hidden="1" customHeight="1" x14ac:dyDescent="0.45">
      <c r="A2888" t="str">
        <f>_xlfn.XLOOKUP(B2888,Ingot!$H$12:$H$119,Ingot!$G$12:$G$119,"")</f>
        <v>Metal</v>
      </c>
      <c r="B2888" t="s">
        <v>5750</v>
      </c>
      <c r="C2888" t="s">
        <v>10</v>
      </c>
      <c r="D2888" t="s">
        <v>5811</v>
      </c>
      <c r="E2888" t="s">
        <v>5812</v>
      </c>
      <c r="G2888" s="1">
        <v>9.64</v>
      </c>
    </row>
    <row r="2889" spans="1:7" ht="14.25" hidden="1" customHeight="1" x14ac:dyDescent="0.45">
      <c r="A2889" t="str">
        <f>_xlfn.XLOOKUP(B2889,Ingot!$H$12:$H$119,Ingot!$G$12:$G$119,"")</f>
        <v>Metal</v>
      </c>
      <c r="B2889" t="s">
        <v>5750</v>
      </c>
      <c r="C2889" t="s">
        <v>10</v>
      </c>
      <c r="D2889" t="s">
        <v>5813</v>
      </c>
      <c r="E2889" t="s">
        <v>5814</v>
      </c>
      <c r="G2889" s="1">
        <v>7.94</v>
      </c>
    </row>
    <row r="2890" spans="1:7" ht="14.25" hidden="1" customHeight="1" x14ac:dyDescent="0.45">
      <c r="A2890" t="str">
        <f>_xlfn.XLOOKUP(B2890,Ingot!$H$12:$H$119,Ingot!$G$12:$G$119,"")</f>
        <v>Metal</v>
      </c>
      <c r="B2890" t="s">
        <v>5750</v>
      </c>
      <c r="C2890" t="s">
        <v>10</v>
      </c>
      <c r="D2890" t="s">
        <v>5815</v>
      </c>
      <c r="E2890" t="s">
        <v>5816</v>
      </c>
      <c r="G2890" s="1">
        <v>8.66</v>
      </c>
    </row>
    <row r="2891" spans="1:7" ht="14.25" hidden="1" customHeight="1" x14ac:dyDescent="0.45">
      <c r="A2891" t="str">
        <f>_xlfn.XLOOKUP(B2891,Ingot!$H$12:$H$119,Ingot!$G$12:$G$119,"")</f>
        <v>Metal</v>
      </c>
      <c r="B2891" t="s">
        <v>5750</v>
      </c>
      <c r="C2891" t="s">
        <v>10</v>
      </c>
      <c r="D2891" t="s">
        <v>5817</v>
      </c>
      <c r="E2891" t="s">
        <v>5818</v>
      </c>
    </row>
    <row r="2892" spans="1:7" ht="14.25" hidden="1" customHeight="1" x14ac:dyDescent="0.45">
      <c r="A2892" t="str">
        <f>_xlfn.XLOOKUP(B2892,Ingot!$H$12:$H$119,Ingot!$G$12:$G$119,"")</f>
        <v>Metal</v>
      </c>
      <c r="B2892" t="s">
        <v>5750</v>
      </c>
      <c r="C2892" t="s">
        <v>10</v>
      </c>
      <c r="D2892" t="s">
        <v>5819</v>
      </c>
      <c r="E2892" t="s">
        <v>5820</v>
      </c>
      <c r="G2892" s="1">
        <v>2.65</v>
      </c>
    </row>
    <row r="2893" spans="1:7" ht="14.25" hidden="1" customHeight="1" x14ac:dyDescent="0.45">
      <c r="A2893" t="str">
        <f>_xlfn.XLOOKUP(B2893,Ingot!$H$12:$H$119,Ingot!$G$12:$G$119,"")</f>
        <v>Metal</v>
      </c>
      <c r="B2893" t="s">
        <v>5750</v>
      </c>
      <c r="C2893" t="s">
        <v>10</v>
      </c>
      <c r="D2893" t="s">
        <v>5821</v>
      </c>
      <c r="E2893" t="s">
        <v>5822</v>
      </c>
    </row>
    <row r="2894" spans="1:7" ht="14.25" hidden="1" customHeight="1" x14ac:dyDescent="0.45">
      <c r="A2894" t="str">
        <f>_xlfn.XLOOKUP(B2894,Ingot!$H$12:$H$119,Ingot!$G$12:$G$119,"")</f>
        <v>Metal</v>
      </c>
      <c r="B2894" t="s">
        <v>5750</v>
      </c>
      <c r="C2894" t="s">
        <v>10</v>
      </c>
      <c r="D2894" t="s">
        <v>5823</v>
      </c>
      <c r="E2894" t="s">
        <v>5824</v>
      </c>
      <c r="G2894" s="1">
        <v>12.64</v>
      </c>
    </row>
    <row r="2895" spans="1:7" ht="14.25" hidden="1" customHeight="1" x14ac:dyDescent="0.45">
      <c r="A2895" t="str">
        <f>_xlfn.XLOOKUP(B2895,Ingot!$H$12:$H$119,Ingot!$G$12:$G$119,"")</f>
        <v>Metal</v>
      </c>
      <c r="B2895" t="s">
        <v>5750</v>
      </c>
      <c r="C2895" t="s">
        <v>10</v>
      </c>
      <c r="D2895" t="s">
        <v>5825</v>
      </c>
      <c r="E2895" t="s">
        <v>5826</v>
      </c>
      <c r="G2895" s="1">
        <v>22.67</v>
      </c>
    </row>
    <row r="2896" spans="1:7" ht="14.25" hidden="1" customHeight="1" x14ac:dyDescent="0.45">
      <c r="A2896" t="str">
        <f>_xlfn.XLOOKUP(B2896,Ingot!$H$12:$H$119,Ingot!$G$12:$G$119,"")</f>
        <v>Metal</v>
      </c>
      <c r="B2896" t="s">
        <v>5750</v>
      </c>
      <c r="C2896" t="s">
        <v>10</v>
      </c>
      <c r="D2896" t="s">
        <v>5827</v>
      </c>
      <c r="E2896" t="s">
        <v>5828</v>
      </c>
      <c r="G2896" s="1">
        <v>8.3800000000000008</v>
      </c>
    </row>
    <row r="2897" spans="1:7" ht="14.25" hidden="1" customHeight="1" x14ac:dyDescent="0.45">
      <c r="A2897" t="str">
        <f>_xlfn.XLOOKUP(B2897,Ingot!$H$12:$H$119,Ingot!$G$12:$G$119,"")</f>
        <v>Metal</v>
      </c>
      <c r="B2897" t="s">
        <v>5750</v>
      </c>
      <c r="C2897" t="s">
        <v>10</v>
      </c>
      <c r="D2897" t="s">
        <v>5829</v>
      </c>
      <c r="E2897" t="s">
        <v>5830</v>
      </c>
      <c r="G2897" s="1">
        <v>2.2000000000000002</v>
      </c>
    </row>
    <row r="2898" spans="1:7" ht="14.25" hidden="1" customHeight="1" x14ac:dyDescent="0.45">
      <c r="A2898" t="str">
        <f>_xlfn.XLOOKUP(B2898,Ingot!$H$12:$H$119,Ingot!$G$12:$G$119,"")</f>
        <v>Metal</v>
      </c>
      <c r="B2898" t="s">
        <v>5750</v>
      </c>
      <c r="C2898" t="s">
        <v>10</v>
      </c>
      <c r="D2898" t="s">
        <v>5831</v>
      </c>
      <c r="E2898" t="s">
        <v>5832</v>
      </c>
      <c r="G2898" s="1">
        <v>3.09</v>
      </c>
    </row>
    <row r="2899" spans="1:7" ht="14.25" hidden="1" customHeight="1" x14ac:dyDescent="0.45">
      <c r="A2899" t="str">
        <f>_xlfn.XLOOKUP(B2899,Ingot!$H$12:$H$119,Ingot!$G$12:$G$119,"")</f>
        <v>Metal</v>
      </c>
      <c r="B2899" t="s">
        <v>5750</v>
      </c>
      <c r="C2899" t="s">
        <v>10</v>
      </c>
      <c r="D2899" t="s">
        <v>5833</v>
      </c>
      <c r="E2899" t="s">
        <v>5834</v>
      </c>
      <c r="G2899" s="1">
        <v>2.2999999999999998</v>
      </c>
    </row>
    <row r="2900" spans="1:7" ht="14.25" hidden="1" customHeight="1" x14ac:dyDescent="0.45">
      <c r="A2900" t="str">
        <f>_xlfn.XLOOKUP(B2900,Ingot!$H$12:$H$119,Ingot!$G$12:$G$119,"")</f>
        <v>Metal</v>
      </c>
      <c r="B2900" t="s">
        <v>5750</v>
      </c>
      <c r="C2900" t="s">
        <v>10</v>
      </c>
      <c r="D2900" t="s">
        <v>5835</v>
      </c>
      <c r="E2900" t="s">
        <v>5836</v>
      </c>
      <c r="G2900" s="1">
        <v>4.88</v>
      </c>
    </row>
    <row r="2901" spans="1:7" ht="14.25" hidden="1" customHeight="1" x14ac:dyDescent="0.45">
      <c r="A2901" t="str">
        <f>_xlfn.XLOOKUP(B2901,Ingot!$H$12:$H$119,Ingot!$G$12:$G$119,"")</f>
        <v>Metal</v>
      </c>
      <c r="B2901" t="s">
        <v>5750</v>
      </c>
      <c r="C2901" t="s">
        <v>10</v>
      </c>
      <c r="D2901" t="s">
        <v>5837</v>
      </c>
      <c r="E2901" t="s">
        <v>5838</v>
      </c>
      <c r="G2901" s="1">
        <v>8.43</v>
      </c>
    </row>
    <row r="2902" spans="1:7" ht="14.25" hidden="1" customHeight="1" x14ac:dyDescent="0.45">
      <c r="A2902" t="str">
        <f>_xlfn.XLOOKUP(B2902,Ingot!$H$12:$H$119,Ingot!$G$12:$G$119,"")</f>
        <v>Metal</v>
      </c>
      <c r="B2902" t="s">
        <v>5750</v>
      </c>
      <c r="C2902" t="s">
        <v>10</v>
      </c>
      <c r="D2902" t="s">
        <v>5839</v>
      </c>
      <c r="E2902" t="s">
        <v>5840</v>
      </c>
      <c r="G2902" s="1">
        <v>13.07</v>
      </c>
    </row>
    <row r="2903" spans="1:7" ht="14.25" hidden="1" customHeight="1" x14ac:dyDescent="0.45">
      <c r="A2903" t="str">
        <f>_xlfn.XLOOKUP(B2903,Ingot!$H$12:$H$119,Ingot!$G$12:$G$119,"")</f>
        <v>Metal</v>
      </c>
      <c r="B2903" t="s">
        <v>5750</v>
      </c>
      <c r="C2903" t="s">
        <v>10</v>
      </c>
      <c r="D2903" t="s">
        <v>5841</v>
      </c>
      <c r="E2903" t="s">
        <v>5842</v>
      </c>
    </row>
    <row r="2904" spans="1:7" ht="14.25" hidden="1" customHeight="1" x14ac:dyDescent="0.45">
      <c r="A2904" t="str">
        <f>_xlfn.XLOOKUP(B2904,Ingot!$H$12:$H$119,Ingot!$G$12:$G$119,"")</f>
        <v>Metal</v>
      </c>
      <c r="B2904" t="s">
        <v>5750</v>
      </c>
      <c r="C2904" t="s">
        <v>10</v>
      </c>
      <c r="D2904" t="s">
        <v>5843</v>
      </c>
      <c r="E2904" t="s">
        <v>5844</v>
      </c>
    </row>
    <row r="2905" spans="1:7" ht="14.25" hidden="1" customHeight="1" x14ac:dyDescent="0.45">
      <c r="A2905" t="str">
        <f>_xlfn.XLOOKUP(B2905,Ingot!$H$12:$H$119,Ingot!$G$12:$G$119,"")</f>
        <v>Metal</v>
      </c>
      <c r="B2905" t="s">
        <v>5750</v>
      </c>
      <c r="C2905" t="s">
        <v>10</v>
      </c>
      <c r="D2905" t="s">
        <v>5845</v>
      </c>
      <c r="E2905" t="s">
        <v>5846</v>
      </c>
      <c r="G2905" s="1">
        <v>6.8</v>
      </c>
    </row>
    <row r="2906" spans="1:7" ht="14.25" hidden="1" customHeight="1" x14ac:dyDescent="0.45">
      <c r="A2906" t="str">
        <f>_xlfn.XLOOKUP(B2906,Ingot!$H$12:$H$119,Ingot!$G$12:$G$119,"")</f>
        <v>Metal</v>
      </c>
      <c r="B2906" t="s">
        <v>5750</v>
      </c>
      <c r="C2906" t="s">
        <v>10</v>
      </c>
      <c r="D2906" t="s">
        <v>5847</v>
      </c>
      <c r="E2906" t="s">
        <v>5848</v>
      </c>
      <c r="G2906" s="1">
        <v>6.88</v>
      </c>
    </row>
    <row r="2907" spans="1:7" ht="14.25" hidden="1" customHeight="1" x14ac:dyDescent="0.45">
      <c r="A2907" t="str">
        <f>_xlfn.XLOOKUP(B2907,Ingot!$H$12:$H$119,Ingot!$G$12:$G$119,"")</f>
        <v>Metal</v>
      </c>
      <c r="B2907" t="s">
        <v>5750</v>
      </c>
      <c r="C2907" t="s">
        <v>10</v>
      </c>
      <c r="D2907" t="s">
        <v>5849</v>
      </c>
      <c r="E2907" t="s">
        <v>5850</v>
      </c>
      <c r="G2907" s="1">
        <v>5.5</v>
      </c>
    </row>
    <row r="2908" spans="1:7" ht="14.25" hidden="1" customHeight="1" x14ac:dyDescent="0.45">
      <c r="A2908" t="str">
        <f>_xlfn.XLOOKUP(B2908,Ingot!$H$12:$H$119,Ingot!$G$12:$G$119,"")</f>
        <v>Metal</v>
      </c>
      <c r="B2908" t="s">
        <v>5750</v>
      </c>
      <c r="C2908" t="s">
        <v>10</v>
      </c>
      <c r="D2908" t="s">
        <v>5851</v>
      </c>
      <c r="E2908" t="s">
        <v>5852</v>
      </c>
      <c r="G2908" s="1">
        <v>2.4300000000000002</v>
      </c>
    </row>
    <row r="2909" spans="1:7" ht="14.25" hidden="1" customHeight="1" x14ac:dyDescent="0.45">
      <c r="A2909" t="str">
        <f>_xlfn.XLOOKUP(B2909,Ingot!$H$12:$H$119,Ingot!$G$12:$G$119,"")</f>
        <v>Metal</v>
      </c>
      <c r="B2909" t="s">
        <v>5750</v>
      </c>
      <c r="C2909" t="s">
        <v>10</v>
      </c>
      <c r="D2909" t="s">
        <v>5853</v>
      </c>
      <c r="E2909" t="s">
        <v>5854</v>
      </c>
      <c r="G2909" s="1">
        <v>6.96</v>
      </c>
    </row>
    <row r="2910" spans="1:7" ht="14.25" hidden="1" customHeight="1" x14ac:dyDescent="0.45">
      <c r="A2910" t="str">
        <f>_xlfn.XLOOKUP(B2910,Ingot!$H$12:$H$119,Ingot!$G$12:$G$119,"")</f>
        <v>Metal</v>
      </c>
      <c r="B2910" t="s">
        <v>5750</v>
      </c>
      <c r="C2910" t="s">
        <v>10</v>
      </c>
      <c r="D2910" t="s">
        <v>5855</v>
      </c>
      <c r="E2910" t="s">
        <v>5856</v>
      </c>
      <c r="G2910" s="1">
        <v>6.32</v>
      </c>
    </row>
    <row r="2911" spans="1:7" ht="14.25" hidden="1" customHeight="1" x14ac:dyDescent="0.45">
      <c r="A2911" t="str">
        <f>_xlfn.XLOOKUP(B2911,Ingot!$H$12:$H$119,Ingot!$G$12:$G$119,"")</f>
        <v>Metal</v>
      </c>
      <c r="B2911" t="s">
        <v>5750</v>
      </c>
      <c r="C2911" t="s">
        <v>10</v>
      </c>
      <c r="D2911" t="s">
        <v>5857</v>
      </c>
      <c r="E2911" t="s">
        <v>5858</v>
      </c>
      <c r="G2911" s="1">
        <v>6.88</v>
      </c>
    </row>
    <row r="2912" spans="1:7" ht="14.25" hidden="1" customHeight="1" x14ac:dyDescent="0.45">
      <c r="A2912" t="str">
        <f>_xlfn.XLOOKUP(B2912,Ingot!$H$12:$H$119,Ingot!$G$12:$G$119,"")</f>
        <v>Metal</v>
      </c>
      <c r="B2912" t="s">
        <v>5750</v>
      </c>
      <c r="C2912" t="s">
        <v>10</v>
      </c>
      <c r="D2912" t="s">
        <v>5859</v>
      </c>
      <c r="E2912" t="s">
        <v>5860</v>
      </c>
      <c r="G2912" s="1">
        <v>2.44</v>
      </c>
    </row>
    <row r="2913" spans="1:7" ht="14.25" hidden="1" customHeight="1" x14ac:dyDescent="0.45">
      <c r="A2913" t="str">
        <f>_xlfn.XLOOKUP(B2913,Ingot!$H$12:$H$119,Ingot!$G$12:$G$119,"")</f>
        <v>Metal</v>
      </c>
      <c r="B2913" t="s">
        <v>5750</v>
      </c>
      <c r="C2913" t="s">
        <v>10</v>
      </c>
      <c r="D2913" t="s">
        <v>5861</v>
      </c>
      <c r="E2913" t="s">
        <v>5862</v>
      </c>
    </row>
    <row r="2914" spans="1:7" ht="14.25" hidden="1" customHeight="1" x14ac:dyDescent="0.45">
      <c r="A2914" t="str">
        <f>_xlfn.XLOOKUP(B2914,Ingot!$H$12:$H$119,Ingot!$G$12:$G$119,"")</f>
        <v>Metal</v>
      </c>
      <c r="B2914" t="s">
        <v>5750</v>
      </c>
      <c r="C2914" t="s">
        <v>10</v>
      </c>
      <c r="D2914" t="s">
        <v>5863</v>
      </c>
      <c r="E2914" t="s">
        <v>5864</v>
      </c>
    </row>
    <row r="2915" spans="1:7" ht="14.25" hidden="1" customHeight="1" x14ac:dyDescent="0.45">
      <c r="A2915" t="str">
        <f>_xlfn.XLOOKUP(B2915,Ingot!$H$12:$H$119,Ingot!$G$12:$G$119,"")</f>
        <v>Metal</v>
      </c>
      <c r="B2915" t="s">
        <v>5750</v>
      </c>
      <c r="C2915" t="s">
        <v>10</v>
      </c>
      <c r="D2915" t="s">
        <v>5865</v>
      </c>
      <c r="E2915" t="s">
        <v>5866</v>
      </c>
      <c r="G2915" s="1">
        <v>3.11</v>
      </c>
    </row>
    <row r="2916" spans="1:7" ht="14.25" hidden="1" customHeight="1" x14ac:dyDescent="0.45">
      <c r="A2916" t="str">
        <f>_xlfn.XLOOKUP(B2916,Ingot!$H$12:$H$119,Ingot!$G$12:$G$119,"")</f>
        <v>Metal</v>
      </c>
      <c r="B2916" t="s">
        <v>5750</v>
      </c>
      <c r="C2916" t="s">
        <v>10</v>
      </c>
      <c r="D2916" t="s">
        <v>5867</v>
      </c>
      <c r="E2916" t="s">
        <v>5868</v>
      </c>
      <c r="G2916" s="1">
        <v>2.44</v>
      </c>
    </row>
    <row r="2917" spans="1:7" ht="14.25" hidden="1" customHeight="1" x14ac:dyDescent="0.45">
      <c r="A2917" t="str">
        <f>_xlfn.XLOOKUP(B2917,Ingot!$H$12:$H$119,Ingot!$G$12:$G$119,"")</f>
        <v>Metal</v>
      </c>
      <c r="B2917" t="s">
        <v>5750</v>
      </c>
      <c r="C2917" t="s">
        <v>10</v>
      </c>
      <c r="D2917" t="s">
        <v>5869</v>
      </c>
      <c r="E2917" t="s">
        <v>5870</v>
      </c>
      <c r="G2917" s="1">
        <v>8.61</v>
      </c>
    </row>
    <row r="2918" spans="1:7" ht="14.25" hidden="1" customHeight="1" x14ac:dyDescent="0.45">
      <c r="A2918" t="str">
        <f>_xlfn.XLOOKUP(B2918,Ingot!$H$12:$H$119,Ingot!$G$12:$G$119,"")</f>
        <v>Metal</v>
      </c>
      <c r="B2918" t="s">
        <v>5750</v>
      </c>
      <c r="C2918" t="s">
        <v>10</v>
      </c>
      <c r="D2918" t="s">
        <v>5871</v>
      </c>
      <c r="E2918" t="s">
        <v>5872</v>
      </c>
    </row>
    <row r="2919" spans="1:7" ht="14.25" hidden="1" customHeight="1" x14ac:dyDescent="0.45">
      <c r="A2919" t="str">
        <f>_xlfn.XLOOKUP(B2919,Ingot!$H$12:$H$119,Ingot!$G$12:$G$119,"")</f>
        <v>Metal</v>
      </c>
      <c r="B2919" t="s">
        <v>5750</v>
      </c>
      <c r="C2919" t="s">
        <v>10</v>
      </c>
      <c r="D2919" t="s">
        <v>5873</v>
      </c>
      <c r="E2919" t="s">
        <v>5874</v>
      </c>
      <c r="G2919" s="1">
        <v>3.21</v>
      </c>
    </row>
    <row r="2920" spans="1:7" ht="14.25" hidden="1" customHeight="1" x14ac:dyDescent="0.45">
      <c r="A2920" t="str">
        <f>_xlfn.XLOOKUP(B2920,Ingot!$H$12:$H$119,Ingot!$G$12:$G$119,"")</f>
        <v>Metal</v>
      </c>
      <c r="B2920" t="s">
        <v>5750</v>
      </c>
      <c r="C2920" t="s">
        <v>10</v>
      </c>
      <c r="D2920" t="s">
        <v>5875</v>
      </c>
      <c r="E2920" t="s">
        <v>5876</v>
      </c>
      <c r="G2920" s="1">
        <v>2.77</v>
      </c>
    </row>
    <row r="2921" spans="1:7" ht="14.25" hidden="1" customHeight="1" x14ac:dyDescent="0.45">
      <c r="A2921" t="str">
        <f>_xlfn.XLOOKUP(B2921,Ingot!$H$12:$H$119,Ingot!$G$12:$G$119,"")</f>
        <v>Metal</v>
      </c>
      <c r="B2921" t="s">
        <v>5750</v>
      </c>
      <c r="C2921" t="s">
        <v>10</v>
      </c>
      <c r="D2921" t="s">
        <v>5877</v>
      </c>
      <c r="E2921" t="s">
        <v>5878</v>
      </c>
      <c r="G2921" s="1">
        <v>4.8899999999999997</v>
      </c>
    </row>
    <row r="2922" spans="1:7" ht="14.25" hidden="1" customHeight="1" x14ac:dyDescent="0.45">
      <c r="A2922" t="str">
        <f>_xlfn.XLOOKUP(B2922,Ingot!$H$12:$H$119,Ingot!$G$12:$G$119,"")</f>
        <v>Metal</v>
      </c>
      <c r="B2922" t="s">
        <v>5750</v>
      </c>
      <c r="C2922" t="s">
        <v>10</v>
      </c>
      <c r="D2922" t="s">
        <v>5879</v>
      </c>
      <c r="E2922" t="s">
        <v>5880</v>
      </c>
      <c r="G2922" s="1">
        <v>1.76</v>
      </c>
    </row>
    <row r="2923" spans="1:7" ht="14.25" hidden="1" customHeight="1" x14ac:dyDescent="0.45">
      <c r="A2923" t="str">
        <f>_xlfn.XLOOKUP(B2923,Ingot!$H$12:$H$119,Ingot!$G$12:$G$119,"")</f>
        <v>Metal</v>
      </c>
      <c r="B2923" t="s">
        <v>5750</v>
      </c>
      <c r="C2923" t="s">
        <v>10</v>
      </c>
      <c r="D2923" t="s">
        <v>5881</v>
      </c>
      <c r="E2923" t="s">
        <v>5882</v>
      </c>
    </row>
    <row r="2924" spans="1:7" ht="14.25" hidden="1" customHeight="1" x14ac:dyDescent="0.45">
      <c r="A2924" t="str">
        <f>_xlfn.XLOOKUP(B2924,Ingot!$H$12:$H$119,Ingot!$G$12:$G$119,"")</f>
        <v>Metal</v>
      </c>
      <c r="B2924" t="s">
        <v>5750</v>
      </c>
      <c r="C2924" t="s">
        <v>10</v>
      </c>
      <c r="D2924" t="s">
        <v>5883</v>
      </c>
      <c r="E2924" t="s">
        <v>5884</v>
      </c>
      <c r="G2924" s="1">
        <v>8.57</v>
      </c>
    </row>
    <row r="2925" spans="1:7" ht="14.25" hidden="1" customHeight="1" x14ac:dyDescent="0.45">
      <c r="A2925" t="str">
        <f>_xlfn.XLOOKUP(B2925,Ingot!$H$12:$H$119,Ingot!$G$12:$G$119,"")</f>
        <v>Metal</v>
      </c>
      <c r="B2925" t="s">
        <v>5750</v>
      </c>
      <c r="C2925" t="s">
        <v>10</v>
      </c>
      <c r="D2925" t="s">
        <v>5885</v>
      </c>
      <c r="E2925" t="s">
        <v>5886</v>
      </c>
    </row>
    <row r="2926" spans="1:7" ht="14.25" hidden="1" customHeight="1" x14ac:dyDescent="0.45">
      <c r="A2926" t="str">
        <f>_xlfn.XLOOKUP(B2926,Ingot!$H$12:$H$119,Ingot!$G$12:$G$119,"")</f>
        <v>Metal</v>
      </c>
      <c r="B2926" t="s">
        <v>5750</v>
      </c>
      <c r="C2926" t="s">
        <v>10</v>
      </c>
      <c r="D2926" t="s">
        <v>5887</v>
      </c>
      <c r="E2926" t="s">
        <v>5888</v>
      </c>
      <c r="G2926" s="1">
        <v>3.56</v>
      </c>
    </row>
    <row r="2927" spans="1:7" ht="14.25" hidden="1" customHeight="1" x14ac:dyDescent="0.45">
      <c r="A2927" t="str">
        <f>_xlfn.XLOOKUP(B2927,Ingot!$H$12:$H$119,Ingot!$G$12:$G$119,"")</f>
        <v>Metal</v>
      </c>
      <c r="B2927" t="s">
        <v>5750</v>
      </c>
      <c r="C2927" t="s">
        <v>10</v>
      </c>
      <c r="D2927" t="s">
        <v>5889</v>
      </c>
      <c r="E2927" t="s">
        <v>5890</v>
      </c>
      <c r="G2927" s="1">
        <v>8.91</v>
      </c>
    </row>
    <row r="2928" spans="1:7" ht="14.25" hidden="1" customHeight="1" x14ac:dyDescent="0.45">
      <c r="A2928" t="str">
        <f>_xlfn.XLOOKUP(B2928,Ingot!$H$12:$H$119,Ingot!$G$12:$G$119,"")</f>
        <v>Metal</v>
      </c>
      <c r="B2928" t="s">
        <v>5750</v>
      </c>
      <c r="C2928" t="s">
        <v>10</v>
      </c>
      <c r="D2928" t="s">
        <v>5891</v>
      </c>
      <c r="E2928" t="s">
        <v>5892</v>
      </c>
      <c r="G2928" s="1">
        <v>11.02</v>
      </c>
    </row>
    <row r="2929" spans="1:7" ht="14.25" hidden="1" customHeight="1" x14ac:dyDescent="0.45">
      <c r="A2929" t="str">
        <f>_xlfn.XLOOKUP(B2929,Ingot!$H$12:$H$119,Ingot!$G$12:$G$119,"")</f>
        <v>Metal</v>
      </c>
      <c r="B2929" t="s">
        <v>5750</v>
      </c>
      <c r="C2929" t="s">
        <v>10</v>
      </c>
      <c r="D2929" t="s">
        <v>5893</v>
      </c>
      <c r="E2929" t="s">
        <v>5894</v>
      </c>
      <c r="G2929" s="1">
        <v>5.12</v>
      </c>
    </row>
    <row r="2930" spans="1:7" ht="14.25" hidden="1" customHeight="1" x14ac:dyDescent="0.45">
      <c r="A2930" t="str">
        <f>_xlfn.XLOOKUP(B2930,Ingot!$H$12:$H$119,Ingot!$G$12:$G$119,"")</f>
        <v>Metal</v>
      </c>
      <c r="B2930" t="s">
        <v>5750</v>
      </c>
      <c r="C2930" t="s">
        <v>10</v>
      </c>
      <c r="D2930" t="s">
        <v>5895</v>
      </c>
      <c r="E2930" t="s">
        <v>5896</v>
      </c>
      <c r="G2930" s="1">
        <v>4.41</v>
      </c>
    </row>
    <row r="2931" spans="1:7" ht="14.25" hidden="1" customHeight="1" x14ac:dyDescent="0.45">
      <c r="A2931" t="str">
        <f>_xlfn.XLOOKUP(B2931,Ingot!$H$12:$H$119,Ingot!$G$12:$G$119,"")</f>
        <v>Metal</v>
      </c>
      <c r="B2931" t="s">
        <v>5750</v>
      </c>
      <c r="C2931" t="s">
        <v>157</v>
      </c>
      <c r="D2931" t="s">
        <v>5897</v>
      </c>
      <c r="E2931" t="s">
        <v>5898</v>
      </c>
      <c r="G2931" s="1">
        <v>33.53</v>
      </c>
    </row>
    <row r="2932" spans="1:7" ht="14.25" hidden="1" customHeight="1" x14ac:dyDescent="0.45">
      <c r="A2932" t="str">
        <f>_xlfn.XLOOKUP(B2932,Ingot!$H$12:$H$119,Ingot!$G$12:$G$119,"")</f>
        <v>Metal</v>
      </c>
      <c r="B2932" t="s">
        <v>5750</v>
      </c>
      <c r="C2932" t="s">
        <v>157</v>
      </c>
      <c r="D2932" t="s">
        <v>5899</v>
      </c>
      <c r="E2932" t="s">
        <v>5900</v>
      </c>
      <c r="G2932" s="1">
        <v>6.71</v>
      </c>
    </row>
    <row r="2933" spans="1:7" ht="14.25" hidden="1" customHeight="1" x14ac:dyDescent="0.45">
      <c r="A2933" t="str">
        <f>_xlfn.XLOOKUP(B2933,Ingot!$H$12:$H$119,Ingot!$G$12:$G$119,"")</f>
        <v>Metal</v>
      </c>
      <c r="B2933" t="s">
        <v>5750</v>
      </c>
      <c r="C2933" t="s">
        <v>157</v>
      </c>
      <c r="D2933" t="s">
        <v>5901</v>
      </c>
      <c r="E2933" t="s">
        <v>5902</v>
      </c>
      <c r="G2933" s="1">
        <v>6.71</v>
      </c>
    </row>
    <row r="2934" spans="1:7" ht="14.25" hidden="1" customHeight="1" x14ac:dyDescent="0.45">
      <c r="A2934" t="str">
        <f>_xlfn.XLOOKUP(B2934,Ingot!$H$12:$H$119,Ingot!$G$12:$G$119,"")</f>
        <v>Metal</v>
      </c>
      <c r="B2934" t="s">
        <v>5750</v>
      </c>
      <c r="C2934" t="s">
        <v>157</v>
      </c>
      <c r="D2934" t="s">
        <v>5903</v>
      </c>
      <c r="E2934" t="s">
        <v>5904</v>
      </c>
      <c r="G2934" s="1">
        <v>5</v>
      </c>
    </row>
    <row r="2935" spans="1:7" ht="14.25" hidden="1" customHeight="1" x14ac:dyDescent="0.45">
      <c r="A2935" t="str">
        <f>_xlfn.XLOOKUP(B2935,Ingot!$H$12:$H$119,Ingot!$G$12:$G$119,"")</f>
        <v>Metal</v>
      </c>
      <c r="B2935" t="s">
        <v>5750</v>
      </c>
      <c r="C2935" t="s">
        <v>157</v>
      </c>
      <c r="D2935" t="s">
        <v>5905</v>
      </c>
      <c r="E2935" t="s">
        <v>5906</v>
      </c>
      <c r="G2935" s="1">
        <v>10</v>
      </c>
    </row>
    <row r="2936" spans="1:7" ht="14.25" hidden="1" customHeight="1" x14ac:dyDescent="0.45">
      <c r="A2936" t="str">
        <f>_xlfn.XLOOKUP(B2936,Ingot!$H$12:$H$119,Ingot!$G$12:$G$119,"")</f>
        <v>Metal</v>
      </c>
      <c r="B2936" t="s">
        <v>5750</v>
      </c>
      <c r="C2936" t="s">
        <v>157</v>
      </c>
      <c r="D2936" t="s">
        <v>5907</v>
      </c>
      <c r="E2936" t="s">
        <v>5908</v>
      </c>
      <c r="G2936" s="1">
        <v>28.03</v>
      </c>
    </row>
    <row r="2937" spans="1:7" ht="14.25" hidden="1" customHeight="1" x14ac:dyDescent="0.45">
      <c r="A2937" t="str">
        <f>_xlfn.XLOOKUP(B2937,Ingot!$H$12:$H$119,Ingot!$G$12:$G$119,"")</f>
        <v>Metal</v>
      </c>
      <c r="B2937" t="s">
        <v>5750</v>
      </c>
      <c r="C2937" t="s">
        <v>157</v>
      </c>
      <c r="D2937" t="s">
        <v>5909</v>
      </c>
      <c r="E2937" t="s">
        <v>5910</v>
      </c>
      <c r="G2937" s="1">
        <v>5.61</v>
      </c>
    </row>
    <row r="2938" spans="1:7" ht="14.25" hidden="1" customHeight="1" x14ac:dyDescent="0.45">
      <c r="A2938" t="str">
        <f>_xlfn.XLOOKUP(B2938,Ingot!$H$12:$H$119,Ingot!$G$12:$G$119,"")</f>
        <v>Metal</v>
      </c>
      <c r="B2938" t="s">
        <v>5750</v>
      </c>
      <c r="C2938" t="s">
        <v>157</v>
      </c>
      <c r="D2938" t="s">
        <v>5911</v>
      </c>
      <c r="E2938" t="s">
        <v>5912</v>
      </c>
      <c r="G2938" s="1">
        <v>5.61</v>
      </c>
    </row>
    <row r="2939" spans="1:7" ht="14.25" hidden="1" customHeight="1" x14ac:dyDescent="0.45">
      <c r="A2939" t="str">
        <f>_xlfn.XLOOKUP(B2939,Ingot!$H$12:$H$119,Ingot!$G$12:$G$119,"")</f>
        <v>Metal</v>
      </c>
      <c r="B2939" t="s">
        <v>5750</v>
      </c>
      <c r="C2939" t="s">
        <v>157</v>
      </c>
      <c r="D2939" t="s">
        <v>5913</v>
      </c>
      <c r="E2939" t="s">
        <v>5914</v>
      </c>
      <c r="G2939" s="1">
        <v>5</v>
      </c>
    </row>
    <row r="2940" spans="1:7" ht="14.25" hidden="1" customHeight="1" x14ac:dyDescent="0.45">
      <c r="A2940" t="str">
        <f>_xlfn.XLOOKUP(B2940,Ingot!$H$12:$H$119,Ingot!$G$12:$G$119,"")</f>
        <v>Metal</v>
      </c>
      <c r="B2940" t="s">
        <v>5750</v>
      </c>
      <c r="C2940" t="s">
        <v>157</v>
      </c>
      <c r="D2940" t="s">
        <v>5915</v>
      </c>
      <c r="E2940" t="s">
        <v>5916</v>
      </c>
      <c r="G2940" s="1">
        <v>10</v>
      </c>
    </row>
    <row r="2941" spans="1:7" ht="14.25" hidden="1" customHeight="1" x14ac:dyDescent="0.45">
      <c r="A2941" t="str">
        <f>_xlfn.XLOOKUP(B2941,Ingot!$H$12:$H$119,Ingot!$G$12:$G$119,"")</f>
        <v>Metal</v>
      </c>
      <c r="B2941" t="s">
        <v>5750</v>
      </c>
      <c r="C2941" t="s">
        <v>157</v>
      </c>
      <c r="D2941" t="s">
        <v>5917</v>
      </c>
      <c r="E2941" t="s">
        <v>5918</v>
      </c>
      <c r="F2941" t="s">
        <v>180</v>
      </c>
      <c r="G2941" s="1">
        <v>27.03</v>
      </c>
    </row>
    <row r="2942" spans="1:7" ht="14.25" hidden="1" customHeight="1" x14ac:dyDescent="0.45">
      <c r="A2942" t="str">
        <f>_xlfn.XLOOKUP(B2942,Ingot!$H$12:$H$119,Ingot!$G$12:$G$119,"")</f>
        <v>Metal</v>
      </c>
      <c r="B2942" t="s">
        <v>5750</v>
      </c>
      <c r="C2942" t="s">
        <v>157</v>
      </c>
      <c r="D2942" t="s">
        <v>5919</v>
      </c>
      <c r="E2942" t="s">
        <v>5920</v>
      </c>
      <c r="F2942" t="s">
        <v>180</v>
      </c>
      <c r="G2942" s="1">
        <v>5.41</v>
      </c>
    </row>
    <row r="2943" spans="1:7" ht="14.25" hidden="1" customHeight="1" x14ac:dyDescent="0.45">
      <c r="A2943" t="str">
        <f>_xlfn.XLOOKUP(B2943,Ingot!$H$12:$H$119,Ingot!$G$12:$G$119,"")</f>
        <v>Metal</v>
      </c>
      <c r="B2943" t="s">
        <v>5750</v>
      </c>
      <c r="C2943" t="s">
        <v>157</v>
      </c>
      <c r="D2943" t="s">
        <v>5921</v>
      </c>
      <c r="E2943" t="s">
        <v>5922</v>
      </c>
      <c r="F2943" t="s">
        <v>180</v>
      </c>
      <c r="G2943" s="1">
        <v>5.41</v>
      </c>
    </row>
    <row r="2944" spans="1:7" ht="14.25" hidden="1" customHeight="1" x14ac:dyDescent="0.45">
      <c r="A2944" t="str">
        <f>_xlfn.XLOOKUP(B2944,Ingot!$H$12:$H$119,Ingot!$G$12:$G$119,"")</f>
        <v>Metal</v>
      </c>
      <c r="B2944" t="s">
        <v>5750</v>
      </c>
      <c r="C2944" t="s">
        <v>157</v>
      </c>
      <c r="D2944" t="s">
        <v>5923</v>
      </c>
      <c r="E2944" t="s">
        <v>5924</v>
      </c>
      <c r="F2944" t="s">
        <v>180</v>
      </c>
      <c r="G2944" s="1">
        <v>5</v>
      </c>
    </row>
    <row r="2945" spans="1:7" ht="14.25" hidden="1" customHeight="1" x14ac:dyDescent="0.45">
      <c r="A2945" t="str">
        <f>_xlfn.XLOOKUP(B2945,Ingot!$H$12:$H$119,Ingot!$G$12:$G$119,"")</f>
        <v>Metal</v>
      </c>
      <c r="B2945" t="s">
        <v>5750</v>
      </c>
      <c r="C2945" t="s">
        <v>157</v>
      </c>
      <c r="D2945" t="s">
        <v>5925</v>
      </c>
      <c r="E2945" t="s">
        <v>5926</v>
      </c>
      <c r="F2945" t="s">
        <v>180</v>
      </c>
      <c r="G2945" s="1">
        <v>10</v>
      </c>
    </row>
    <row r="2946" spans="1:7" ht="14.25" hidden="1" customHeight="1" x14ac:dyDescent="0.45">
      <c r="A2946" t="str">
        <f>_xlfn.XLOOKUP(B2946,Ingot!$H$12:$H$119,Ingot!$G$12:$G$119,"")</f>
        <v>Metal</v>
      </c>
      <c r="B2946" t="s">
        <v>5750</v>
      </c>
      <c r="C2946" t="s">
        <v>157</v>
      </c>
      <c r="D2946" t="s">
        <v>5927</v>
      </c>
      <c r="E2946" t="s">
        <v>5928</v>
      </c>
      <c r="G2946" s="1">
        <v>29.53</v>
      </c>
    </row>
    <row r="2947" spans="1:7" ht="14.25" hidden="1" customHeight="1" x14ac:dyDescent="0.45">
      <c r="A2947" t="str">
        <f>_xlfn.XLOOKUP(B2947,Ingot!$H$12:$H$119,Ingot!$G$12:$G$119,"")</f>
        <v>Metal</v>
      </c>
      <c r="B2947" t="s">
        <v>5750</v>
      </c>
      <c r="C2947" t="s">
        <v>157</v>
      </c>
      <c r="D2947" t="s">
        <v>5929</v>
      </c>
      <c r="E2947" t="s">
        <v>5930</v>
      </c>
      <c r="G2947" s="1">
        <v>5.91</v>
      </c>
    </row>
    <row r="2948" spans="1:7" ht="14.25" hidden="1" customHeight="1" x14ac:dyDescent="0.45">
      <c r="A2948" t="str">
        <f>_xlfn.XLOOKUP(B2948,Ingot!$H$12:$H$119,Ingot!$G$12:$G$119,"")</f>
        <v>Metal</v>
      </c>
      <c r="B2948" t="s">
        <v>5750</v>
      </c>
      <c r="C2948" t="s">
        <v>157</v>
      </c>
      <c r="D2948" t="s">
        <v>5931</v>
      </c>
      <c r="E2948" t="s">
        <v>5932</v>
      </c>
      <c r="G2948" s="1">
        <v>5.91</v>
      </c>
    </row>
    <row r="2949" spans="1:7" ht="14.25" hidden="1" customHeight="1" x14ac:dyDescent="0.45">
      <c r="A2949" t="str">
        <f>_xlfn.XLOOKUP(B2949,Ingot!$H$12:$H$119,Ingot!$G$12:$G$119,"")</f>
        <v>Metal</v>
      </c>
      <c r="B2949" t="s">
        <v>5750</v>
      </c>
      <c r="C2949" t="s">
        <v>157</v>
      </c>
      <c r="D2949" t="s">
        <v>5933</v>
      </c>
      <c r="E2949" t="s">
        <v>5934</v>
      </c>
      <c r="G2949" s="1">
        <v>5</v>
      </c>
    </row>
    <row r="2950" spans="1:7" ht="14.25" hidden="1" customHeight="1" x14ac:dyDescent="0.45">
      <c r="A2950" t="str">
        <f>_xlfn.XLOOKUP(B2950,Ingot!$H$12:$H$119,Ingot!$G$12:$G$119,"")</f>
        <v>Metal</v>
      </c>
      <c r="B2950" t="s">
        <v>5750</v>
      </c>
      <c r="C2950" t="s">
        <v>157</v>
      </c>
      <c r="D2950" t="s">
        <v>5935</v>
      </c>
      <c r="E2950" t="s">
        <v>5936</v>
      </c>
      <c r="G2950" s="1">
        <v>10</v>
      </c>
    </row>
    <row r="2951" spans="1:7" ht="14.25" hidden="1" customHeight="1" x14ac:dyDescent="0.45">
      <c r="A2951" t="str">
        <f>_xlfn.XLOOKUP(B2951,Ingot!$H$12:$H$119,Ingot!$G$12:$G$119,"")</f>
        <v>Metal</v>
      </c>
      <c r="B2951" t="s">
        <v>5750</v>
      </c>
      <c r="C2951" t="s">
        <v>157</v>
      </c>
      <c r="D2951" t="s">
        <v>5937</v>
      </c>
      <c r="E2951" t="s">
        <v>5938</v>
      </c>
      <c r="G2951" s="1">
        <v>31.53</v>
      </c>
    </row>
    <row r="2952" spans="1:7" ht="14.25" hidden="1" customHeight="1" x14ac:dyDescent="0.45">
      <c r="A2952" t="str">
        <f>_xlfn.XLOOKUP(B2952,Ingot!$H$12:$H$119,Ingot!$G$12:$G$119,"")</f>
        <v>Metal</v>
      </c>
      <c r="B2952" t="s">
        <v>5750</v>
      </c>
      <c r="C2952" t="s">
        <v>157</v>
      </c>
      <c r="D2952" t="s">
        <v>5939</v>
      </c>
      <c r="E2952" t="s">
        <v>5940</v>
      </c>
      <c r="F2952" t="s">
        <v>180</v>
      </c>
      <c r="G2952" s="1">
        <v>6.31</v>
      </c>
    </row>
    <row r="2953" spans="1:7" ht="14.25" hidden="1" customHeight="1" x14ac:dyDescent="0.45">
      <c r="A2953" t="str">
        <f>_xlfn.XLOOKUP(B2953,Ingot!$H$12:$H$119,Ingot!$G$12:$G$119,"")</f>
        <v>Metal</v>
      </c>
      <c r="B2953" t="s">
        <v>5750</v>
      </c>
      <c r="C2953" t="s">
        <v>157</v>
      </c>
      <c r="D2953" t="s">
        <v>5941</v>
      </c>
      <c r="E2953" t="s">
        <v>5942</v>
      </c>
      <c r="F2953" t="s">
        <v>180</v>
      </c>
      <c r="G2953" s="1">
        <v>6.31</v>
      </c>
    </row>
    <row r="2954" spans="1:7" ht="14.25" hidden="1" customHeight="1" x14ac:dyDescent="0.45">
      <c r="A2954" t="str">
        <f>_xlfn.XLOOKUP(B2954,Ingot!$H$12:$H$119,Ingot!$G$12:$G$119,"")</f>
        <v>Metal</v>
      </c>
      <c r="B2954" t="s">
        <v>5750</v>
      </c>
      <c r="C2954" t="s">
        <v>157</v>
      </c>
      <c r="D2954" t="s">
        <v>5943</v>
      </c>
      <c r="E2954" t="s">
        <v>5944</v>
      </c>
      <c r="F2954" t="s">
        <v>180</v>
      </c>
      <c r="G2954" s="1">
        <v>5</v>
      </c>
    </row>
    <row r="2955" spans="1:7" ht="14.25" hidden="1" customHeight="1" x14ac:dyDescent="0.45">
      <c r="A2955" t="str">
        <f>_xlfn.XLOOKUP(B2955,Ingot!$H$12:$H$119,Ingot!$G$12:$G$119,"")</f>
        <v>Metal</v>
      </c>
      <c r="B2955" t="s">
        <v>5750</v>
      </c>
      <c r="C2955" t="s">
        <v>157</v>
      </c>
      <c r="D2955" t="s">
        <v>5945</v>
      </c>
      <c r="E2955" t="s">
        <v>5946</v>
      </c>
      <c r="G2955" s="1">
        <v>10</v>
      </c>
    </row>
    <row r="2956" spans="1:7" ht="14.25" hidden="1" customHeight="1" x14ac:dyDescent="0.45">
      <c r="A2956" t="str">
        <f>_xlfn.XLOOKUP(B2956,Ingot!$H$12:$H$119,Ingot!$G$12:$G$119,"")</f>
        <v>Metal</v>
      </c>
      <c r="B2956" t="s">
        <v>5750</v>
      </c>
      <c r="C2956" t="s">
        <v>157</v>
      </c>
      <c r="D2956" t="s">
        <v>5947</v>
      </c>
      <c r="E2956" t="s">
        <v>5948</v>
      </c>
      <c r="G2956" s="1">
        <v>36.53</v>
      </c>
    </row>
    <row r="2957" spans="1:7" ht="14.25" hidden="1" customHeight="1" x14ac:dyDescent="0.45">
      <c r="A2957" t="str">
        <f>_xlfn.XLOOKUP(B2957,Ingot!$H$12:$H$119,Ingot!$G$12:$G$119,"")</f>
        <v>Metal</v>
      </c>
      <c r="B2957" t="s">
        <v>5750</v>
      </c>
      <c r="C2957" t="s">
        <v>157</v>
      </c>
      <c r="D2957" t="s">
        <v>5949</v>
      </c>
      <c r="E2957" t="s">
        <v>5950</v>
      </c>
      <c r="G2957" s="1">
        <v>7.31</v>
      </c>
    </row>
    <row r="2958" spans="1:7" ht="14.25" hidden="1" customHeight="1" x14ac:dyDescent="0.45">
      <c r="A2958" t="str">
        <f>_xlfn.XLOOKUP(B2958,Ingot!$H$12:$H$119,Ingot!$G$12:$G$119,"")</f>
        <v>Metal</v>
      </c>
      <c r="B2958" t="s">
        <v>5750</v>
      </c>
      <c r="C2958" t="s">
        <v>157</v>
      </c>
      <c r="D2958" t="s">
        <v>5951</v>
      </c>
      <c r="E2958" t="s">
        <v>5952</v>
      </c>
      <c r="G2958" s="1">
        <v>7.31</v>
      </c>
    </row>
    <row r="2959" spans="1:7" ht="14.25" hidden="1" customHeight="1" x14ac:dyDescent="0.45">
      <c r="A2959" t="str">
        <f>_xlfn.XLOOKUP(B2959,Ingot!$H$12:$H$119,Ingot!$G$12:$G$119,"")</f>
        <v>Metal</v>
      </c>
      <c r="B2959" t="s">
        <v>5750</v>
      </c>
      <c r="C2959" t="s">
        <v>157</v>
      </c>
      <c r="D2959" t="s">
        <v>5953</v>
      </c>
      <c r="E2959" t="s">
        <v>5954</v>
      </c>
      <c r="G2959" s="1">
        <v>5</v>
      </c>
    </row>
    <row r="2960" spans="1:7" ht="14.25" hidden="1" customHeight="1" x14ac:dyDescent="0.45">
      <c r="A2960" t="str">
        <f>_xlfn.XLOOKUP(B2960,Ingot!$H$12:$H$119,Ingot!$G$12:$G$119,"")</f>
        <v>Metal</v>
      </c>
      <c r="B2960" t="s">
        <v>5750</v>
      </c>
      <c r="C2960" t="s">
        <v>157</v>
      </c>
      <c r="D2960" t="s">
        <v>5955</v>
      </c>
      <c r="E2960" t="s">
        <v>5956</v>
      </c>
      <c r="G2960" s="1">
        <v>10</v>
      </c>
    </row>
    <row r="2961" spans="1:7" ht="14.25" hidden="1" customHeight="1" x14ac:dyDescent="0.45">
      <c r="A2961" t="str">
        <f>_xlfn.XLOOKUP(B2961,Ingot!$H$12:$H$119,Ingot!$G$12:$G$119,"")</f>
        <v>Metal</v>
      </c>
      <c r="B2961" t="s">
        <v>5750</v>
      </c>
      <c r="C2961" t="s">
        <v>157</v>
      </c>
      <c r="D2961" t="s">
        <v>5957</v>
      </c>
      <c r="E2961" t="s">
        <v>5958</v>
      </c>
      <c r="G2961" s="1">
        <v>36.03</v>
      </c>
    </row>
    <row r="2962" spans="1:7" ht="14.25" hidden="1" customHeight="1" x14ac:dyDescent="0.45">
      <c r="A2962" t="str">
        <f>_xlfn.XLOOKUP(B2962,Ingot!$H$12:$H$119,Ingot!$G$12:$G$119,"")</f>
        <v>Metal</v>
      </c>
      <c r="B2962" t="s">
        <v>5750</v>
      </c>
      <c r="C2962" t="s">
        <v>157</v>
      </c>
      <c r="D2962" t="s">
        <v>5959</v>
      </c>
      <c r="E2962" t="s">
        <v>5960</v>
      </c>
      <c r="G2962" s="1">
        <v>7.21</v>
      </c>
    </row>
    <row r="2963" spans="1:7" ht="14.25" hidden="1" customHeight="1" x14ac:dyDescent="0.45">
      <c r="A2963" t="str">
        <f>_xlfn.XLOOKUP(B2963,Ingot!$H$12:$H$119,Ingot!$G$12:$G$119,"")</f>
        <v>Metal</v>
      </c>
      <c r="B2963" t="s">
        <v>5750</v>
      </c>
      <c r="C2963" t="s">
        <v>157</v>
      </c>
      <c r="D2963" t="s">
        <v>5961</v>
      </c>
      <c r="E2963" t="s">
        <v>5962</v>
      </c>
      <c r="G2963" s="1">
        <v>7.21</v>
      </c>
    </row>
    <row r="2964" spans="1:7" ht="14.25" hidden="1" customHeight="1" x14ac:dyDescent="0.45">
      <c r="A2964" t="str">
        <f>_xlfn.XLOOKUP(B2964,Ingot!$H$12:$H$119,Ingot!$G$12:$G$119,"")</f>
        <v>Metal</v>
      </c>
      <c r="B2964" t="s">
        <v>5750</v>
      </c>
      <c r="C2964" t="s">
        <v>157</v>
      </c>
      <c r="D2964" t="s">
        <v>5963</v>
      </c>
      <c r="E2964" t="s">
        <v>5964</v>
      </c>
      <c r="G2964" s="1">
        <v>5</v>
      </c>
    </row>
    <row r="2965" spans="1:7" ht="14.25" hidden="1" customHeight="1" x14ac:dyDescent="0.45">
      <c r="A2965" t="str">
        <f>_xlfn.XLOOKUP(B2965,Ingot!$H$12:$H$119,Ingot!$G$12:$G$119,"")</f>
        <v>Metal</v>
      </c>
      <c r="B2965" t="s">
        <v>5750</v>
      </c>
      <c r="C2965" t="s">
        <v>157</v>
      </c>
      <c r="D2965" t="s">
        <v>5965</v>
      </c>
      <c r="E2965" t="s">
        <v>5966</v>
      </c>
      <c r="G2965" s="1">
        <v>10</v>
      </c>
    </row>
    <row r="2966" spans="1:7" ht="14.25" hidden="1" customHeight="1" x14ac:dyDescent="0.45">
      <c r="A2966" t="str">
        <f>_xlfn.XLOOKUP(B2966,Ingot!$H$12:$H$119,Ingot!$G$12:$G$119,"")</f>
        <v>Metal</v>
      </c>
      <c r="B2966" t="s">
        <v>5750</v>
      </c>
      <c r="C2966" t="s">
        <v>157</v>
      </c>
      <c r="D2966" t="s">
        <v>5967</v>
      </c>
      <c r="E2966" t="s">
        <v>5968</v>
      </c>
      <c r="F2966" t="s">
        <v>180</v>
      </c>
      <c r="G2966" s="1">
        <v>25.53</v>
      </c>
    </row>
    <row r="2967" spans="1:7" ht="14.25" hidden="1" customHeight="1" x14ac:dyDescent="0.45">
      <c r="A2967" t="str">
        <f>_xlfn.XLOOKUP(B2967,Ingot!$H$12:$H$119,Ingot!$G$12:$G$119,"")</f>
        <v>Metal</v>
      </c>
      <c r="B2967" t="s">
        <v>5750</v>
      </c>
      <c r="C2967" t="s">
        <v>157</v>
      </c>
      <c r="D2967" t="s">
        <v>5969</v>
      </c>
      <c r="E2967" t="s">
        <v>5970</v>
      </c>
      <c r="F2967" t="s">
        <v>180</v>
      </c>
      <c r="G2967" s="1">
        <v>5.1100000000000003</v>
      </c>
    </row>
    <row r="2968" spans="1:7" ht="14.25" hidden="1" customHeight="1" x14ac:dyDescent="0.45">
      <c r="A2968" t="str">
        <f>_xlfn.XLOOKUP(B2968,Ingot!$H$12:$H$119,Ingot!$G$12:$G$119,"")</f>
        <v>Metal</v>
      </c>
      <c r="B2968" t="s">
        <v>5750</v>
      </c>
      <c r="C2968" t="s">
        <v>157</v>
      </c>
      <c r="D2968" t="s">
        <v>5971</v>
      </c>
      <c r="E2968" t="s">
        <v>5972</v>
      </c>
      <c r="F2968" t="s">
        <v>180</v>
      </c>
      <c r="G2968" s="1">
        <v>5.1100000000000003</v>
      </c>
    </row>
    <row r="2969" spans="1:7" ht="14.25" hidden="1" customHeight="1" x14ac:dyDescent="0.45">
      <c r="A2969" t="str">
        <f>_xlfn.XLOOKUP(B2969,Ingot!$H$12:$H$119,Ingot!$G$12:$G$119,"")</f>
        <v>Metal</v>
      </c>
      <c r="B2969" t="s">
        <v>5750</v>
      </c>
      <c r="C2969" t="s">
        <v>157</v>
      </c>
      <c r="D2969" t="s">
        <v>5973</v>
      </c>
      <c r="E2969" t="s">
        <v>5974</v>
      </c>
      <c r="F2969" t="s">
        <v>180</v>
      </c>
      <c r="G2969" s="1">
        <v>5</v>
      </c>
    </row>
    <row r="2970" spans="1:7" ht="14.25" hidden="1" customHeight="1" x14ac:dyDescent="0.45">
      <c r="A2970" t="str">
        <f>_xlfn.XLOOKUP(B2970,Ingot!$H$12:$H$119,Ingot!$G$12:$G$119,"")</f>
        <v>Metal</v>
      </c>
      <c r="B2970" t="s">
        <v>5750</v>
      </c>
      <c r="C2970" t="s">
        <v>157</v>
      </c>
      <c r="D2970" t="s">
        <v>5975</v>
      </c>
      <c r="E2970" t="s">
        <v>5976</v>
      </c>
      <c r="F2970" t="s">
        <v>180</v>
      </c>
      <c r="G2970" s="1">
        <v>10</v>
      </c>
    </row>
    <row r="2971" spans="1:7" ht="14.25" hidden="1" customHeight="1" x14ac:dyDescent="0.45">
      <c r="A2971" t="str">
        <f>_xlfn.XLOOKUP(B2971,Ingot!$H$12:$H$119,Ingot!$G$12:$G$119,"")</f>
        <v>Metal</v>
      </c>
      <c r="B2971" t="s">
        <v>5750</v>
      </c>
      <c r="C2971" t="s">
        <v>239</v>
      </c>
      <c r="D2971" t="s">
        <v>5977</v>
      </c>
      <c r="E2971" t="s">
        <v>5978</v>
      </c>
      <c r="G2971" s="1">
        <f>(VLOOKUP(B2971,Ingot!H:I,2,FALSE()) * 0.75) * 0.75</f>
        <v>3.9375</v>
      </c>
    </row>
    <row r="2972" spans="1:7" ht="14.25" hidden="1" customHeight="1" x14ac:dyDescent="0.45">
      <c r="A2972" t="str">
        <f>_xlfn.XLOOKUP(B2972,Ingot!$H$12:$H$119,Ingot!$G$12:$G$119,"")</f>
        <v>Metal</v>
      </c>
      <c r="B2972" t="s">
        <v>5750</v>
      </c>
      <c r="C2972" t="s">
        <v>239</v>
      </c>
      <c r="D2972" t="s">
        <v>5979</v>
      </c>
      <c r="E2972" t="s">
        <v>5980</v>
      </c>
      <c r="G2972" s="1">
        <f>((VLOOKUP(B2972,Ingot!H:I,2,FALSE()) * 3) - 10.25) * 0.421875</f>
        <v>4.53515625</v>
      </c>
    </row>
    <row r="2973" spans="1:7" ht="14.25" hidden="1" customHeight="1" x14ac:dyDescent="0.45">
      <c r="A2973" t="str">
        <f>_xlfn.XLOOKUP(B2973,Ingot!$H$12:$H$119,Ingot!$G$12:$G$119,"")</f>
        <v>Metal</v>
      </c>
      <c r="B2973" t="s">
        <v>5750</v>
      </c>
      <c r="C2973" t="s">
        <v>239</v>
      </c>
      <c r="D2973" t="s">
        <v>5981</v>
      </c>
      <c r="E2973" t="s">
        <v>5982</v>
      </c>
      <c r="G2973" s="1">
        <f>((VLOOKUP(B2973,Ingot!H:I,2,FALSE()) * 3) - 10.25) * 0.75</f>
        <v>8.0625</v>
      </c>
    </row>
    <row r="2974" spans="1:7" ht="14.25" hidden="1" customHeight="1" x14ac:dyDescent="0.45">
      <c r="A2974" t="str">
        <f>_xlfn.XLOOKUP(B2974,Ingot!$H$12:$H$119,Ingot!$G$12:$G$119,"")</f>
        <v>Metal</v>
      </c>
      <c r="B2974" t="s">
        <v>5750</v>
      </c>
      <c r="C2974" t="s">
        <v>239</v>
      </c>
      <c r="D2974" t="s">
        <v>5983</v>
      </c>
      <c r="E2974" t="s">
        <v>5984</v>
      </c>
      <c r="G2974" s="1">
        <f>((VLOOKUP(B2974,Ingot!H:I,2,FALSE()) * 3) - 10.25) * 0.5625</f>
        <v>6.046875</v>
      </c>
    </row>
    <row r="2975" spans="1:7" ht="14.25" hidden="1" customHeight="1" x14ac:dyDescent="0.45">
      <c r="A2975" t="str">
        <f>_xlfn.XLOOKUP(B2975,Ingot!$H$12:$H$119,Ingot!$G$12:$G$119,"")</f>
        <v>Metal</v>
      </c>
      <c r="B2975" t="s">
        <v>5750</v>
      </c>
      <c r="C2975" t="s">
        <v>239</v>
      </c>
      <c r="D2975" t="s">
        <v>5985</v>
      </c>
      <c r="E2975" t="s">
        <v>5986</v>
      </c>
      <c r="G2975" s="1">
        <f>VLOOKUP(B2975,Ingot!H:I,2,FALSE()) * 0.75</f>
        <v>5.25</v>
      </c>
    </row>
    <row r="2976" spans="1:7" ht="14.25" hidden="1" customHeight="1" x14ac:dyDescent="0.45">
      <c r="A2976" t="str">
        <f>_xlfn.XLOOKUP(B2976,Ingot!$H$12:$H$119,Ingot!$G$12:$G$119,"")</f>
        <v>Metal</v>
      </c>
      <c r="B2976" t="s">
        <v>5750</v>
      </c>
      <c r="C2976" t="s">
        <v>239</v>
      </c>
      <c r="D2976" t="s">
        <v>5987</v>
      </c>
      <c r="E2976" t="s">
        <v>5988</v>
      </c>
      <c r="G2976" s="1">
        <f>(VLOOKUP(B2976,Ingot!H:I,2,FALSE()) * 3) - 10.25</f>
        <v>10.75</v>
      </c>
    </row>
    <row r="2977" spans="1:7" ht="14.25" hidden="1" customHeight="1" x14ac:dyDescent="0.45">
      <c r="A2977" t="str">
        <f>_xlfn.XLOOKUP(B2977,Ingot!$H$12:$H$119,Ingot!$G$12:$G$119,"")</f>
        <v>Wood</v>
      </c>
      <c r="B2977" t="s">
        <v>5990</v>
      </c>
      <c r="C2977" t="s">
        <v>10</v>
      </c>
      <c r="D2977" t="s">
        <v>5991</v>
      </c>
      <c r="E2977" t="s">
        <v>5992</v>
      </c>
      <c r="G2977" s="1">
        <v>0.08</v>
      </c>
    </row>
    <row r="2978" spans="1:7" ht="14.25" hidden="1" customHeight="1" x14ac:dyDescent="0.45">
      <c r="A2978" t="str">
        <f>_xlfn.XLOOKUP(B2978,Ingot!$H$12:$H$119,Ingot!$G$12:$G$119,"")</f>
        <v>Wood</v>
      </c>
      <c r="B2978" t="s">
        <v>5990</v>
      </c>
      <c r="C2978" t="s">
        <v>10</v>
      </c>
      <c r="D2978" t="s">
        <v>5993</v>
      </c>
      <c r="E2978" t="s">
        <v>5994</v>
      </c>
      <c r="G2978" s="1">
        <v>9.9</v>
      </c>
    </row>
    <row r="2979" spans="1:7" ht="14.25" hidden="1" customHeight="1" x14ac:dyDescent="0.45">
      <c r="A2979" t="str">
        <f>_xlfn.XLOOKUP(B2979,Ingot!$H$12:$H$119,Ingot!$G$12:$G$119,"")</f>
        <v>Wood</v>
      </c>
      <c r="B2979" t="s">
        <v>5990</v>
      </c>
      <c r="C2979" t="s">
        <v>10</v>
      </c>
      <c r="D2979" t="s">
        <v>5995</v>
      </c>
      <c r="E2979" t="s">
        <v>5996</v>
      </c>
      <c r="G2979" s="1">
        <v>5.66</v>
      </c>
    </row>
    <row r="2980" spans="1:7" ht="14.25" hidden="1" customHeight="1" x14ac:dyDescent="0.45">
      <c r="A2980" t="str">
        <f>_xlfn.XLOOKUP(B2980,Ingot!$H$12:$H$119,Ingot!$G$12:$G$119,"")</f>
        <v>Wood</v>
      </c>
      <c r="B2980" t="s">
        <v>5990</v>
      </c>
      <c r="C2980" t="s">
        <v>10</v>
      </c>
      <c r="D2980" t="s">
        <v>5997</v>
      </c>
      <c r="E2980" t="s">
        <v>5998</v>
      </c>
      <c r="G2980" s="1">
        <v>3.3</v>
      </c>
    </row>
    <row r="2981" spans="1:7" ht="14.25" hidden="1" customHeight="1" x14ac:dyDescent="0.45">
      <c r="A2981" t="str">
        <f>_xlfn.XLOOKUP(B2981,Ingot!$H$12:$H$119,Ingot!$G$12:$G$119,"")</f>
        <v>Wood</v>
      </c>
      <c r="B2981" t="s">
        <v>5990</v>
      </c>
      <c r="C2981" t="s">
        <v>10</v>
      </c>
      <c r="D2981" t="s">
        <v>5999</v>
      </c>
      <c r="E2981" t="s">
        <v>6000</v>
      </c>
      <c r="G2981" s="1">
        <v>0.66</v>
      </c>
    </row>
    <row r="2982" spans="1:7" ht="14.25" hidden="1" customHeight="1" x14ac:dyDescent="0.45">
      <c r="A2982" t="str">
        <f>_xlfn.XLOOKUP(B2982,Ingot!$H$12:$H$119,Ingot!$G$12:$G$119,"")</f>
        <v>Wood</v>
      </c>
      <c r="B2982" t="s">
        <v>5990</v>
      </c>
      <c r="C2982" t="s">
        <v>10</v>
      </c>
      <c r="D2982" t="s">
        <v>6001</v>
      </c>
      <c r="E2982" t="s">
        <v>6002</v>
      </c>
      <c r="G2982" s="1">
        <v>0.04</v>
      </c>
    </row>
    <row r="2983" spans="1:7" ht="14.25" hidden="1" customHeight="1" x14ac:dyDescent="0.45">
      <c r="A2983" t="str">
        <f>_xlfn.XLOOKUP(B2983,Ingot!$H$12:$H$119,Ingot!$G$12:$G$119,"")</f>
        <v>Wood</v>
      </c>
      <c r="B2983" t="s">
        <v>5990</v>
      </c>
      <c r="C2983" t="s">
        <v>10</v>
      </c>
      <c r="D2983" t="s">
        <v>6003</v>
      </c>
      <c r="E2983" t="s">
        <v>6004</v>
      </c>
      <c r="G2983" s="1">
        <v>0.33</v>
      </c>
    </row>
    <row r="2984" spans="1:7" ht="14.25" hidden="1" customHeight="1" x14ac:dyDescent="0.45">
      <c r="A2984" t="str">
        <f>_xlfn.XLOOKUP(B2984,Ingot!$H$12:$H$119,Ingot!$G$12:$G$119,"")</f>
        <v>Wood</v>
      </c>
      <c r="B2984" t="s">
        <v>5990</v>
      </c>
      <c r="C2984" t="s">
        <v>10</v>
      </c>
      <c r="D2984" t="s">
        <v>6005</v>
      </c>
      <c r="E2984" t="s">
        <v>6006</v>
      </c>
    </row>
    <row r="2985" spans="1:7" ht="14.25" hidden="1" customHeight="1" x14ac:dyDescent="0.45">
      <c r="A2985" t="str">
        <f>_xlfn.XLOOKUP(B2985,Ingot!$H$12:$H$119,Ingot!$G$12:$G$119,"")</f>
        <v>Wood</v>
      </c>
      <c r="B2985" t="s">
        <v>5990</v>
      </c>
      <c r="C2985" t="s">
        <v>10</v>
      </c>
      <c r="D2985" t="s">
        <v>6007</v>
      </c>
      <c r="E2985" t="s">
        <v>6008</v>
      </c>
      <c r="G2985" s="1">
        <v>0.05</v>
      </c>
    </row>
    <row r="2986" spans="1:7" ht="14.25" hidden="1" customHeight="1" x14ac:dyDescent="0.45">
      <c r="A2986" t="str">
        <f>_xlfn.XLOOKUP(B2986,Ingot!$H$12:$H$119,Ingot!$G$12:$G$119,"")</f>
        <v>Wood</v>
      </c>
      <c r="B2986" t="s">
        <v>5990</v>
      </c>
      <c r="C2986" t="s">
        <v>10</v>
      </c>
      <c r="D2986" t="s">
        <v>6009</v>
      </c>
      <c r="E2986" t="s">
        <v>6010</v>
      </c>
      <c r="G2986" s="1">
        <v>0.66</v>
      </c>
    </row>
    <row r="2987" spans="1:7" ht="14.25" hidden="1" customHeight="1" x14ac:dyDescent="0.45">
      <c r="A2987" t="str">
        <f>_xlfn.XLOOKUP(B2987,Ingot!$H$12:$H$119,Ingot!$G$12:$G$119,"")</f>
        <v>Wood</v>
      </c>
      <c r="B2987" t="s">
        <v>5990</v>
      </c>
      <c r="C2987" t="s">
        <v>10</v>
      </c>
      <c r="D2987" t="s">
        <v>6011</v>
      </c>
      <c r="E2987" t="s">
        <v>6012</v>
      </c>
      <c r="G2987" s="1">
        <v>3.96</v>
      </c>
    </row>
    <row r="2988" spans="1:7" ht="14.25" hidden="1" customHeight="1" x14ac:dyDescent="0.45">
      <c r="A2988" t="str">
        <f>_xlfn.XLOOKUP(B2988,Ingot!$H$12:$H$119,Ingot!$G$12:$G$119,"")</f>
        <v>Wood</v>
      </c>
      <c r="B2988" t="s">
        <v>5990</v>
      </c>
      <c r="C2988" t="s">
        <v>10</v>
      </c>
      <c r="D2988" t="s">
        <v>6013</v>
      </c>
      <c r="E2988" t="s">
        <v>6014</v>
      </c>
      <c r="G2988" s="1">
        <v>8.77</v>
      </c>
    </row>
    <row r="2989" spans="1:7" ht="14.25" hidden="1" customHeight="1" x14ac:dyDescent="0.45">
      <c r="A2989" t="str">
        <f>_xlfn.XLOOKUP(B2989,Ingot!$H$12:$H$119,Ingot!$G$12:$G$119,"")</f>
        <v>Wood</v>
      </c>
      <c r="B2989" t="s">
        <v>5990</v>
      </c>
      <c r="C2989" t="s">
        <v>10</v>
      </c>
      <c r="D2989" t="s">
        <v>6015</v>
      </c>
      <c r="E2989" t="s">
        <v>6016</v>
      </c>
      <c r="G2989" s="1">
        <v>3.5</v>
      </c>
    </row>
    <row r="2990" spans="1:7" ht="14.25" hidden="1" customHeight="1" x14ac:dyDescent="0.45">
      <c r="A2990" t="str">
        <f>_xlfn.XLOOKUP(B2990,Ingot!$H$12:$H$119,Ingot!$G$12:$G$119,"")</f>
        <v>Wood</v>
      </c>
      <c r="B2990" t="s">
        <v>5990</v>
      </c>
      <c r="C2990" t="s">
        <v>10</v>
      </c>
      <c r="D2990" t="s">
        <v>6017</v>
      </c>
      <c r="E2990" t="s">
        <v>6018</v>
      </c>
    </row>
    <row r="2991" spans="1:7" ht="14.25" hidden="1" customHeight="1" x14ac:dyDescent="0.45">
      <c r="A2991" t="str">
        <f>_xlfn.XLOOKUP(B2991,Ingot!$H$12:$H$119,Ingot!$G$12:$G$119,"")</f>
        <v>Wood</v>
      </c>
      <c r="B2991" t="s">
        <v>5990</v>
      </c>
      <c r="C2991" t="s">
        <v>10</v>
      </c>
      <c r="D2991" t="s">
        <v>6019</v>
      </c>
      <c r="E2991" t="s">
        <v>6020</v>
      </c>
      <c r="G2991" s="1">
        <v>2.2000000000000002</v>
      </c>
    </row>
    <row r="2992" spans="1:7" ht="14.25" hidden="1" customHeight="1" x14ac:dyDescent="0.45">
      <c r="A2992" t="str">
        <f>_xlfn.XLOOKUP(B2992,Ingot!$H$12:$H$119,Ingot!$G$12:$G$119,"")</f>
        <v>Wood</v>
      </c>
      <c r="B2992" t="s">
        <v>5990</v>
      </c>
      <c r="C2992" t="s">
        <v>10</v>
      </c>
      <c r="D2992" t="s">
        <v>6021</v>
      </c>
      <c r="E2992" t="s">
        <v>6022</v>
      </c>
      <c r="G2992" s="1">
        <v>1.1000000000000001</v>
      </c>
    </row>
    <row r="2993" spans="1:7" ht="14.25" hidden="1" customHeight="1" x14ac:dyDescent="0.45">
      <c r="A2993" t="str">
        <f>_xlfn.XLOOKUP(B2993,Ingot!$H$12:$H$119,Ingot!$G$12:$G$119,"")</f>
        <v>Wood</v>
      </c>
      <c r="B2993" t="s">
        <v>5990</v>
      </c>
      <c r="C2993" t="s">
        <v>10</v>
      </c>
      <c r="D2993" t="s">
        <v>6023</v>
      </c>
      <c r="E2993" t="s">
        <v>6024</v>
      </c>
      <c r="G2993" s="1">
        <v>0.22</v>
      </c>
    </row>
    <row r="2994" spans="1:7" ht="14.25" hidden="1" customHeight="1" x14ac:dyDescent="0.45">
      <c r="A2994" t="str">
        <f>_xlfn.XLOOKUP(B2994,Ingot!$H$12:$H$119,Ingot!$G$12:$G$119,"")</f>
        <v>Wood</v>
      </c>
      <c r="B2994" t="s">
        <v>5990</v>
      </c>
      <c r="C2994" t="s">
        <v>10</v>
      </c>
      <c r="D2994" t="s">
        <v>6025</v>
      </c>
      <c r="E2994" t="s">
        <v>6026</v>
      </c>
      <c r="G2994" s="1">
        <v>8.41</v>
      </c>
    </row>
    <row r="2995" spans="1:7" ht="14.25" hidden="1" customHeight="1" x14ac:dyDescent="0.45">
      <c r="A2995" t="str">
        <f>_xlfn.XLOOKUP(B2995,Ingot!$H$12:$H$119,Ingot!$G$12:$G$119,"")</f>
        <v>Wood</v>
      </c>
      <c r="B2995" t="s">
        <v>5990</v>
      </c>
      <c r="C2995" t="s">
        <v>10</v>
      </c>
      <c r="D2995" t="s">
        <v>6027</v>
      </c>
      <c r="E2995" t="s">
        <v>6028</v>
      </c>
      <c r="G2995" s="1">
        <v>3.64</v>
      </c>
    </row>
    <row r="2996" spans="1:7" ht="14.25" hidden="1" customHeight="1" x14ac:dyDescent="0.45">
      <c r="A2996" t="str">
        <f>_xlfn.XLOOKUP(B2996,Ingot!$H$12:$H$119,Ingot!$G$12:$G$119,"")</f>
        <v>Wood</v>
      </c>
      <c r="B2996" t="s">
        <v>5990</v>
      </c>
      <c r="C2996" t="s">
        <v>10</v>
      </c>
      <c r="D2996" t="s">
        <v>6029</v>
      </c>
      <c r="E2996" t="s">
        <v>6030</v>
      </c>
      <c r="G2996" s="1">
        <v>7.05</v>
      </c>
    </row>
    <row r="2997" spans="1:7" ht="14.25" hidden="1" customHeight="1" x14ac:dyDescent="0.45">
      <c r="A2997" t="str">
        <f>_xlfn.XLOOKUP(B2997,Ingot!$H$12:$H$119,Ingot!$G$12:$G$119,"")</f>
        <v>Wood</v>
      </c>
      <c r="B2997" t="s">
        <v>5990</v>
      </c>
      <c r="C2997" t="s">
        <v>10</v>
      </c>
      <c r="D2997" t="s">
        <v>6031</v>
      </c>
      <c r="E2997" t="s">
        <v>6032</v>
      </c>
      <c r="G2997" s="1">
        <v>2.65</v>
      </c>
    </row>
    <row r="2998" spans="1:7" ht="14.25" hidden="1" customHeight="1" x14ac:dyDescent="0.45">
      <c r="A2998" t="str">
        <f>_xlfn.XLOOKUP(B2998,Ingot!$H$12:$H$119,Ingot!$G$12:$G$119,"")</f>
        <v>Wood</v>
      </c>
      <c r="B2998" t="s">
        <v>5990</v>
      </c>
      <c r="C2998" t="s">
        <v>10</v>
      </c>
      <c r="D2998" t="s">
        <v>6033</v>
      </c>
      <c r="E2998" t="s">
        <v>6034</v>
      </c>
      <c r="G2998" s="1">
        <v>9</v>
      </c>
    </row>
    <row r="2999" spans="1:7" ht="14.25" hidden="1" customHeight="1" x14ac:dyDescent="0.45">
      <c r="A2999" t="str">
        <f>_xlfn.XLOOKUP(B2999,Ingot!$H$12:$H$119,Ingot!$G$12:$G$119,"")</f>
        <v>Wood</v>
      </c>
      <c r="B2999" t="s">
        <v>5990</v>
      </c>
      <c r="C2999" t="s">
        <v>10</v>
      </c>
      <c r="D2999" t="s">
        <v>6035</v>
      </c>
      <c r="E2999" t="s">
        <v>6036</v>
      </c>
      <c r="G2999" s="1">
        <v>10.23</v>
      </c>
    </row>
    <row r="3000" spans="1:7" ht="14.25" hidden="1" customHeight="1" x14ac:dyDescent="0.45">
      <c r="A3000" t="str">
        <f>_xlfn.XLOOKUP(B3000,Ingot!$H$12:$H$119,Ingot!$G$12:$G$119,"")</f>
        <v>Wood</v>
      </c>
      <c r="B3000" t="s">
        <v>5990</v>
      </c>
      <c r="C3000" t="s">
        <v>10</v>
      </c>
      <c r="D3000" t="s">
        <v>6037</v>
      </c>
      <c r="E3000" t="s">
        <v>6038</v>
      </c>
      <c r="G3000" s="1">
        <v>7.7</v>
      </c>
    </row>
    <row r="3001" spans="1:7" ht="14.25" hidden="1" customHeight="1" x14ac:dyDescent="0.45">
      <c r="A3001" t="str">
        <f>_xlfn.XLOOKUP(B3001,Ingot!$H$12:$H$119,Ingot!$G$12:$G$119,"")</f>
        <v>Wood</v>
      </c>
      <c r="B3001" t="s">
        <v>5990</v>
      </c>
      <c r="C3001" t="s">
        <v>10</v>
      </c>
      <c r="D3001" t="s">
        <v>6039</v>
      </c>
      <c r="E3001" t="s">
        <v>6040</v>
      </c>
      <c r="G3001" s="1">
        <v>10.02</v>
      </c>
    </row>
    <row r="3002" spans="1:7" ht="14.25" hidden="1" customHeight="1" x14ac:dyDescent="0.45">
      <c r="A3002" t="str">
        <f>_xlfn.XLOOKUP(B3002,Ingot!$H$12:$H$119,Ingot!$G$12:$G$119,"")</f>
        <v>Wood</v>
      </c>
      <c r="B3002" t="s">
        <v>5990</v>
      </c>
      <c r="C3002" t="s">
        <v>10</v>
      </c>
      <c r="D3002" t="s">
        <v>6041</v>
      </c>
      <c r="E3002" t="s">
        <v>6042</v>
      </c>
      <c r="G3002" s="1">
        <v>11.81</v>
      </c>
    </row>
    <row r="3003" spans="1:7" ht="14.25" hidden="1" customHeight="1" x14ac:dyDescent="0.45">
      <c r="A3003" t="str">
        <f>_xlfn.XLOOKUP(B3003,Ingot!$H$12:$H$119,Ingot!$G$12:$G$119,"")</f>
        <v>Wood</v>
      </c>
      <c r="B3003" t="s">
        <v>5990</v>
      </c>
      <c r="C3003" t="s">
        <v>10</v>
      </c>
      <c r="D3003" t="s">
        <v>6043</v>
      </c>
      <c r="E3003" t="s">
        <v>6044</v>
      </c>
      <c r="G3003" s="1">
        <v>8.44</v>
      </c>
    </row>
    <row r="3004" spans="1:7" ht="14.25" hidden="1" customHeight="1" x14ac:dyDescent="0.45">
      <c r="A3004" t="str">
        <f>_xlfn.XLOOKUP(B3004,Ingot!$H$12:$H$119,Ingot!$G$12:$G$119,"")</f>
        <v>Wood</v>
      </c>
      <c r="B3004" t="s">
        <v>5990</v>
      </c>
      <c r="C3004" t="s">
        <v>10</v>
      </c>
      <c r="D3004" t="s">
        <v>6045</v>
      </c>
      <c r="E3004" t="s">
        <v>6046</v>
      </c>
      <c r="G3004" s="1">
        <v>10.42</v>
      </c>
    </row>
    <row r="3005" spans="1:7" ht="14.25" hidden="1" customHeight="1" x14ac:dyDescent="0.45">
      <c r="A3005" t="str">
        <f>_xlfn.XLOOKUP(B3005,Ingot!$H$12:$H$119,Ingot!$G$12:$G$119,"")</f>
        <v>Wood</v>
      </c>
      <c r="B3005" t="s">
        <v>5990</v>
      </c>
      <c r="C3005" t="s">
        <v>10</v>
      </c>
      <c r="D3005" t="s">
        <v>6047</v>
      </c>
      <c r="E3005" t="s">
        <v>6048</v>
      </c>
    </row>
    <row r="3006" spans="1:7" ht="14.25" hidden="1" customHeight="1" x14ac:dyDescent="0.45">
      <c r="A3006" t="str">
        <f>_xlfn.XLOOKUP(B3006,Ingot!$H$12:$H$119,Ingot!$G$12:$G$119,"")</f>
        <v>Wood</v>
      </c>
      <c r="B3006" t="s">
        <v>5990</v>
      </c>
      <c r="C3006" t="s">
        <v>10</v>
      </c>
      <c r="D3006" t="s">
        <v>6049</v>
      </c>
      <c r="E3006" t="s">
        <v>6050</v>
      </c>
      <c r="G3006" s="1">
        <v>7.96</v>
      </c>
    </row>
    <row r="3007" spans="1:7" ht="14.25" hidden="1" customHeight="1" x14ac:dyDescent="0.45">
      <c r="A3007" t="str">
        <f>_xlfn.XLOOKUP(B3007,Ingot!$H$12:$H$119,Ingot!$G$12:$G$119,"")</f>
        <v>Wood</v>
      </c>
      <c r="B3007" t="s">
        <v>5990</v>
      </c>
      <c r="C3007" t="s">
        <v>10</v>
      </c>
      <c r="D3007" t="s">
        <v>6051</v>
      </c>
      <c r="E3007" t="s">
        <v>6052</v>
      </c>
      <c r="G3007" s="1">
        <v>9.64</v>
      </c>
    </row>
    <row r="3008" spans="1:7" ht="14.25" hidden="1" customHeight="1" x14ac:dyDescent="0.45">
      <c r="A3008" t="str">
        <f>_xlfn.XLOOKUP(B3008,Ingot!$H$12:$H$119,Ingot!$G$12:$G$119,"")</f>
        <v>Wood</v>
      </c>
      <c r="B3008" t="s">
        <v>5990</v>
      </c>
      <c r="C3008" t="s">
        <v>10</v>
      </c>
      <c r="D3008" t="s">
        <v>6053</v>
      </c>
      <c r="E3008" t="s">
        <v>6054</v>
      </c>
      <c r="G3008" s="1">
        <v>7.94</v>
      </c>
    </row>
    <row r="3009" spans="1:7" ht="14.25" hidden="1" customHeight="1" x14ac:dyDescent="0.45">
      <c r="A3009" t="str">
        <f>_xlfn.XLOOKUP(B3009,Ingot!$H$12:$H$119,Ingot!$G$12:$G$119,"")</f>
        <v>Wood</v>
      </c>
      <c r="B3009" t="s">
        <v>5990</v>
      </c>
      <c r="C3009" t="s">
        <v>10</v>
      </c>
      <c r="D3009" t="s">
        <v>6055</v>
      </c>
      <c r="E3009" t="s">
        <v>6056</v>
      </c>
      <c r="G3009" s="1">
        <v>8.66</v>
      </c>
    </row>
    <row r="3010" spans="1:7" ht="14.25" hidden="1" customHeight="1" x14ac:dyDescent="0.45">
      <c r="A3010" t="str">
        <f>_xlfn.XLOOKUP(B3010,Ingot!$H$12:$H$119,Ingot!$G$12:$G$119,"")</f>
        <v>Wood</v>
      </c>
      <c r="B3010" t="s">
        <v>5990</v>
      </c>
      <c r="C3010" t="s">
        <v>10</v>
      </c>
      <c r="D3010" t="s">
        <v>6057</v>
      </c>
      <c r="E3010" t="s">
        <v>6058</v>
      </c>
    </row>
    <row r="3011" spans="1:7" ht="14.25" hidden="1" customHeight="1" x14ac:dyDescent="0.45">
      <c r="A3011" t="str">
        <f>_xlfn.XLOOKUP(B3011,Ingot!$H$12:$H$119,Ingot!$G$12:$G$119,"")</f>
        <v>Wood</v>
      </c>
      <c r="B3011" t="s">
        <v>5990</v>
      </c>
      <c r="C3011" t="s">
        <v>10</v>
      </c>
      <c r="D3011" t="s">
        <v>6059</v>
      </c>
      <c r="E3011" t="s">
        <v>6060</v>
      </c>
      <c r="G3011" s="1">
        <v>2.65</v>
      </c>
    </row>
    <row r="3012" spans="1:7" ht="14.25" hidden="1" customHeight="1" x14ac:dyDescent="0.45">
      <c r="A3012" t="str">
        <f>_xlfn.XLOOKUP(B3012,Ingot!$H$12:$H$119,Ingot!$G$12:$G$119,"")</f>
        <v>Wood</v>
      </c>
      <c r="B3012" t="s">
        <v>5990</v>
      </c>
      <c r="C3012" t="s">
        <v>10</v>
      </c>
      <c r="D3012" t="s">
        <v>6061</v>
      </c>
      <c r="E3012" t="s">
        <v>6062</v>
      </c>
    </row>
    <row r="3013" spans="1:7" ht="14.25" hidden="1" customHeight="1" x14ac:dyDescent="0.45">
      <c r="A3013" t="str">
        <f>_xlfn.XLOOKUP(B3013,Ingot!$H$12:$H$119,Ingot!$G$12:$G$119,"")</f>
        <v>Wood</v>
      </c>
      <c r="B3013" t="s">
        <v>5990</v>
      </c>
      <c r="C3013" t="s">
        <v>10</v>
      </c>
      <c r="D3013" t="s">
        <v>6063</v>
      </c>
      <c r="E3013" t="s">
        <v>6064</v>
      </c>
      <c r="G3013" s="1">
        <v>12.64</v>
      </c>
    </row>
    <row r="3014" spans="1:7" ht="14.25" hidden="1" customHeight="1" x14ac:dyDescent="0.45">
      <c r="A3014" t="str">
        <f>_xlfn.XLOOKUP(B3014,Ingot!$H$12:$H$119,Ingot!$G$12:$G$119,"")</f>
        <v>Wood</v>
      </c>
      <c r="B3014" t="s">
        <v>5990</v>
      </c>
      <c r="C3014" t="s">
        <v>10</v>
      </c>
      <c r="D3014" t="s">
        <v>6065</v>
      </c>
      <c r="E3014" t="s">
        <v>6066</v>
      </c>
      <c r="G3014" s="1">
        <v>22.67</v>
      </c>
    </row>
    <row r="3015" spans="1:7" ht="14.25" hidden="1" customHeight="1" x14ac:dyDescent="0.45">
      <c r="A3015" t="str">
        <f>_xlfn.XLOOKUP(B3015,Ingot!$H$12:$H$119,Ingot!$G$12:$G$119,"")</f>
        <v>Wood</v>
      </c>
      <c r="B3015" t="s">
        <v>5990</v>
      </c>
      <c r="C3015" t="s">
        <v>10</v>
      </c>
      <c r="D3015" t="s">
        <v>6067</v>
      </c>
      <c r="E3015" t="s">
        <v>6068</v>
      </c>
      <c r="G3015" s="1">
        <v>8.3800000000000008</v>
      </c>
    </row>
    <row r="3016" spans="1:7" ht="14.25" hidden="1" customHeight="1" x14ac:dyDescent="0.45">
      <c r="A3016" t="str">
        <f>_xlfn.XLOOKUP(B3016,Ingot!$H$12:$H$119,Ingot!$G$12:$G$119,"")</f>
        <v>Wood</v>
      </c>
      <c r="B3016" t="s">
        <v>5990</v>
      </c>
      <c r="C3016" t="s">
        <v>10</v>
      </c>
      <c r="D3016" t="s">
        <v>6069</v>
      </c>
      <c r="E3016" t="s">
        <v>6070</v>
      </c>
      <c r="G3016" s="1">
        <v>2.2000000000000002</v>
      </c>
    </row>
    <row r="3017" spans="1:7" ht="14.25" hidden="1" customHeight="1" x14ac:dyDescent="0.45">
      <c r="A3017" t="str">
        <f>_xlfn.XLOOKUP(B3017,Ingot!$H$12:$H$119,Ingot!$G$12:$G$119,"")</f>
        <v>Wood</v>
      </c>
      <c r="B3017" t="s">
        <v>5990</v>
      </c>
      <c r="C3017" t="s">
        <v>10</v>
      </c>
      <c r="D3017" t="s">
        <v>6071</v>
      </c>
      <c r="E3017" t="s">
        <v>6072</v>
      </c>
      <c r="G3017" s="1">
        <v>3.09</v>
      </c>
    </row>
    <row r="3018" spans="1:7" ht="14.25" hidden="1" customHeight="1" x14ac:dyDescent="0.45">
      <c r="A3018" t="str">
        <f>_xlfn.XLOOKUP(B3018,Ingot!$H$12:$H$119,Ingot!$G$12:$G$119,"")</f>
        <v>Wood</v>
      </c>
      <c r="B3018" t="s">
        <v>5990</v>
      </c>
      <c r="C3018" t="s">
        <v>10</v>
      </c>
      <c r="D3018" t="s">
        <v>6073</v>
      </c>
      <c r="E3018" t="s">
        <v>6074</v>
      </c>
      <c r="G3018" s="1">
        <v>2.2999999999999998</v>
      </c>
    </row>
    <row r="3019" spans="1:7" ht="14.25" hidden="1" customHeight="1" x14ac:dyDescent="0.45">
      <c r="A3019" t="str">
        <f>_xlfn.XLOOKUP(B3019,Ingot!$H$12:$H$119,Ingot!$G$12:$G$119,"")</f>
        <v>Wood</v>
      </c>
      <c r="B3019" t="s">
        <v>5990</v>
      </c>
      <c r="C3019" t="s">
        <v>10</v>
      </c>
      <c r="D3019" t="s">
        <v>6075</v>
      </c>
      <c r="E3019" t="s">
        <v>6076</v>
      </c>
      <c r="G3019" s="1">
        <v>4.88</v>
      </c>
    </row>
    <row r="3020" spans="1:7" ht="14.25" hidden="1" customHeight="1" x14ac:dyDescent="0.45">
      <c r="A3020" t="str">
        <f>_xlfn.XLOOKUP(B3020,Ingot!$H$12:$H$119,Ingot!$G$12:$G$119,"")</f>
        <v>Wood</v>
      </c>
      <c r="B3020" t="s">
        <v>5990</v>
      </c>
      <c r="C3020" t="s">
        <v>10</v>
      </c>
      <c r="D3020" t="s">
        <v>6077</v>
      </c>
      <c r="E3020" t="s">
        <v>6078</v>
      </c>
      <c r="G3020" s="1">
        <v>8.43</v>
      </c>
    </row>
    <row r="3021" spans="1:7" ht="14.25" hidden="1" customHeight="1" x14ac:dyDescent="0.45">
      <c r="A3021" t="str">
        <f>_xlfn.XLOOKUP(B3021,Ingot!$H$12:$H$119,Ingot!$G$12:$G$119,"")</f>
        <v>Wood</v>
      </c>
      <c r="B3021" t="s">
        <v>5990</v>
      </c>
      <c r="C3021" t="s">
        <v>10</v>
      </c>
      <c r="D3021" t="s">
        <v>6079</v>
      </c>
      <c r="E3021" t="s">
        <v>6080</v>
      </c>
      <c r="G3021" s="1">
        <v>13.07</v>
      </c>
    </row>
    <row r="3022" spans="1:7" ht="14.25" hidden="1" customHeight="1" x14ac:dyDescent="0.45">
      <c r="A3022" t="str">
        <f>_xlfn.XLOOKUP(B3022,Ingot!$H$12:$H$119,Ingot!$G$12:$G$119,"")</f>
        <v>Wood</v>
      </c>
      <c r="B3022" t="s">
        <v>5990</v>
      </c>
      <c r="C3022" t="s">
        <v>10</v>
      </c>
      <c r="D3022" t="s">
        <v>6081</v>
      </c>
      <c r="E3022" t="s">
        <v>6082</v>
      </c>
    </row>
    <row r="3023" spans="1:7" ht="14.25" hidden="1" customHeight="1" x14ac:dyDescent="0.45">
      <c r="A3023" t="str">
        <f>_xlfn.XLOOKUP(B3023,Ingot!$H$12:$H$119,Ingot!$G$12:$G$119,"")</f>
        <v>Wood</v>
      </c>
      <c r="B3023" t="s">
        <v>5990</v>
      </c>
      <c r="C3023" t="s">
        <v>10</v>
      </c>
      <c r="D3023" t="s">
        <v>6083</v>
      </c>
      <c r="E3023" t="s">
        <v>6084</v>
      </c>
    </row>
    <row r="3024" spans="1:7" ht="14.25" hidden="1" customHeight="1" x14ac:dyDescent="0.45">
      <c r="A3024" t="str">
        <f>_xlfn.XLOOKUP(B3024,Ingot!$H$12:$H$119,Ingot!$G$12:$G$119,"")</f>
        <v>Wood</v>
      </c>
      <c r="B3024" t="s">
        <v>5990</v>
      </c>
      <c r="C3024" t="s">
        <v>10</v>
      </c>
      <c r="D3024" t="s">
        <v>6085</v>
      </c>
      <c r="E3024" t="s">
        <v>6086</v>
      </c>
      <c r="G3024" s="1">
        <v>6.8</v>
      </c>
    </row>
    <row r="3025" spans="1:7" ht="14.25" hidden="1" customHeight="1" x14ac:dyDescent="0.45">
      <c r="A3025" t="str">
        <f>_xlfn.XLOOKUP(B3025,Ingot!$H$12:$H$119,Ingot!$G$12:$G$119,"")</f>
        <v>Wood</v>
      </c>
      <c r="B3025" t="s">
        <v>5990</v>
      </c>
      <c r="C3025" t="s">
        <v>10</v>
      </c>
      <c r="D3025" t="s">
        <v>6087</v>
      </c>
      <c r="E3025" t="s">
        <v>6088</v>
      </c>
      <c r="G3025" s="1">
        <v>6.88</v>
      </c>
    </row>
    <row r="3026" spans="1:7" ht="14.25" hidden="1" customHeight="1" x14ac:dyDescent="0.45">
      <c r="A3026" t="str">
        <f>_xlfn.XLOOKUP(B3026,Ingot!$H$12:$H$119,Ingot!$G$12:$G$119,"")</f>
        <v>Wood</v>
      </c>
      <c r="B3026" t="s">
        <v>5990</v>
      </c>
      <c r="C3026" t="s">
        <v>10</v>
      </c>
      <c r="D3026" t="s">
        <v>6089</v>
      </c>
      <c r="E3026" t="s">
        <v>6090</v>
      </c>
      <c r="G3026" s="1">
        <v>5.5</v>
      </c>
    </row>
    <row r="3027" spans="1:7" ht="14.25" hidden="1" customHeight="1" x14ac:dyDescent="0.45">
      <c r="A3027" t="str">
        <f>_xlfn.XLOOKUP(B3027,Ingot!$H$12:$H$119,Ingot!$G$12:$G$119,"")</f>
        <v>Wood</v>
      </c>
      <c r="B3027" t="s">
        <v>5990</v>
      </c>
      <c r="C3027" t="s">
        <v>10</v>
      </c>
      <c r="D3027" t="s">
        <v>6091</v>
      </c>
      <c r="E3027" t="s">
        <v>6092</v>
      </c>
      <c r="G3027" s="1">
        <v>2.4300000000000002</v>
      </c>
    </row>
    <row r="3028" spans="1:7" ht="14.25" hidden="1" customHeight="1" x14ac:dyDescent="0.45">
      <c r="A3028" t="str">
        <f>_xlfn.XLOOKUP(B3028,Ingot!$H$12:$H$119,Ingot!$G$12:$G$119,"")</f>
        <v>Wood</v>
      </c>
      <c r="B3028" t="s">
        <v>5990</v>
      </c>
      <c r="C3028" t="s">
        <v>10</v>
      </c>
      <c r="D3028" t="s">
        <v>6093</v>
      </c>
      <c r="E3028" t="s">
        <v>6094</v>
      </c>
      <c r="G3028" s="1">
        <v>6.96</v>
      </c>
    </row>
    <row r="3029" spans="1:7" ht="14.25" hidden="1" customHeight="1" x14ac:dyDescent="0.45">
      <c r="A3029" t="str">
        <f>_xlfn.XLOOKUP(B3029,Ingot!$H$12:$H$119,Ingot!$G$12:$G$119,"")</f>
        <v>Wood</v>
      </c>
      <c r="B3029" t="s">
        <v>5990</v>
      </c>
      <c r="C3029" t="s">
        <v>10</v>
      </c>
      <c r="D3029" t="s">
        <v>6095</v>
      </c>
      <c r="E3029" t="s">
        <v>6096</v>
      </c>
      <c r="G3029" s="1">
        <v>6.32</v>
      </c>
    </row>
    <row r="3030" spans="1:7" ht="14.25" hidden="1" customHeight="1" x14ac:dyDescent="0.45">
      <c r="A3030" t="str">
        <f>_xlfn.XLOOKUP(B3030,Ingot!$H$12:$H$119,Ingot!$G$12:$G$119,"")</f>
        <v>Wood</v>
      </c>
      <c r="B3030" t="s">
        <v>5990</v>
      </c>
      <c r="C3030" t="s">
        <v>10</v>
      </c>
      <c r="D3030" t="s">
        <v>6097</v>
      </c>
      <c r="E3030" t="s">
        <v>6098</v>
      </c>
      <c r="G3030" s="1">
        <v>6.88</v>
      </c>
    </row>
    <row r="3031" spans="1:7" ht="14.25" hidden="1" customHeight="1" x14ac:dyDescent="0.45">
      <c r="A3031" t="str">
        <f>_xlfn.XLOOKUP(B3031,Ingot!$H$12:$H$119,Ingot!$G$12:$G$119,"")</f>
        <v>Wood</v>
      </c>
      <c r="B3031" t="s">
        <v>5990</v>
      </c>
      <c r="C3031" t="s">
        <v>10</v>
      </c>
      <c r="D3031" t="s">
        <v>6099</v>
      </c>
      <c r="E3031" t="s">
        <v>6100</v>
      </c>
      <c r="G3031" s="1">
        <v>2.44</v>
      </c>
    </row>
    <row r="3032" spans="1:7" ht="14.25" hidden="1" customHeight="1" x14ac:dyDescent="0.45">
      <c r="A3032" t="str">
        <f>_xlfn.XLOOKUP(B3032,Ingot!$H$12:$H$119,Ingot!$G$12:$G$119,"")</f>
        <v>Wood</v>
      </c>
      <c r="B3032" t="s">
        <v>5990</v>
      </c>
      <c r="C3032" t="s">
        <v>10</v>
      </c>
      <c r="D3032" t="s">
        <v>6101</v>
      </c>
      <c r="E3032" t="s">
        <v>6102</v>
      </c>
    </row>
    <row r="3033" spans="1:7" ht="14.25" hidden="1" customHeight="1" x14ac:dyDescent="0.45">
      <c r="A3033" t="str">
        <f>_xlfn.XLOOKUP(B3033,Ingot!$H$12:$H$119,Ingot!$G$12:$G$119,"")</f>
        <v>Wood</v>
      </c>
      <c r="B3033" t="s">
        <v>5990</v>
      </c>
      <c r="C3033" t="s">
        <v>10</v>
      </c>
      <c r="D3033" t="s">
        <v>6103</v>
      </c>
      <c r="E3033" t="s">
        <v>6104</v>
      </c>
    </row>
    <row r="3034" spans="1:7" ht="14.25" hidden="1" customHeight="1" x14ac:dyDescent="0.45">
      <c r="A3034" t="str">
        <f>_xlfn.XLOOKUP(B3034,Ingot!$H$12:$H$119,Ingot!$G$12:$G$119,"")</f>
        <v>Wood</v>
      </c>
      <c r="B3034" t="s">
        <v>5990</v>
      </c>
      <c r="C3034" t="s">
        <v>10</v>
      </c>
      <c r="D3034" t="s">
        <v>6105</v>
      </c>
      <c r="E3034" t="s">
        <v>6106</v>
      </c>
      <c r="G3034" s="1">
        <v>3.11</v>
      </c>
    </row>
    <row r="3035" spans="1:7" ht="14.25" hidden="1" customHeight="1" x14ac:dyDescent="0.45">
      <c r="A3035" t="str">
        <f>_xlfn.XLOOKUP(B3035,Ingot!$H$12:$H$119,Ingot!$G$12:$G$119,"")</f>
        <v>Wood</v>
      </c>
      <c r="B3035" t="s">
        <v>5990</v>
      </c>
      <c r="C3035" t="s">
        <v>10</v>
      </c>
      <c r="D3035" t="s">
        <v>6107</v>
      </c>
      <c r="E3035" t="s">
        <v>6108</v>
      </c>
      <c r="G3035" s="1">
        <v>2.44</v>
      </c>
    </row>
    <row r="3036" spans="1:7" ht="14.25" hidden="1" customHeight="1" x14ac:dyDescent="0.45">
      <c r="A3036" t="str">
        <f>_xlfn.XLOOKUP(B3036,Ingot!$H$12:$H$119,Ingot!$G$12:$G$119,"")</f>
        <v>Wood</v>
      </c>
      <c r="B3036" t="s">
        <v>5990</v>
      </c>
      <c r="C3036" t="s">
        <v>10</v>
      </c>
      <c r="D3036" t="s">
        <v>6109</v>
      </c>
      <c r="E3036" t="s">
        <v>6110</v>
      </c>
      <c r="G3036" s="1">
        <v>8.61</v>
      </c>
    </row>
    <row r="3037" spans="1:7" ht="14.25" hidden="1" customHeight="1" x14ac:dyDescent="0.45">
      <c r="A3037" t="str">
        <f>_xlfn.XLOOKUP(B3037,Ingot!$H$12:$H$119,Ingot!$G$12:$G$119,"")</f>
        <v>Wood</v>
      </c>
      <c r="B3037" t="s">
        <v>5990</v>
      </c>
      <c r="C3037" t="s">
        <v>10</v>
      </c>
      <c r="D3037" t="s">
        <v>6111</v>
      </c>
      <c r="E3037" t="s">
        <v>6112</v>
      </c>
    </row>
    <row r="3038" spans="1:7" ht="14.25" hidden="1" customHeight="1" x14ac:dyDescent="0.45">
      <c r="A3038" t="str">
        <f>_xlfn.XLOOKUP(B3038,Ingot!$H$12:$H$119,Ingot!$G$12:$G$119,"")</f>
        <v>Wood</v>
      </c>
      <c r="B3038" t="s">
        <v>5990</v>
      </c>
      <c r="C3038" t="s">
        <v>10</v>
      </c>
      <c r="D3038" t="s">
        <v>6113</v>
      </c>
      <c r="E3038" t="s">
        <v>6114</v>
      </c>
      <c r="G3038" s="1">
        <v>3.21</v>
      </c>
    </row>
    <row r="3039" spans="1:7" ht="14.25" hidden="1" customHeight="1" x14ac:dyDescent="0.45">
      <c r="A3039" t="str">
        <f>_xlfn.XLOOKUP(B3039,Ingot!$H$12:$H$119,Ingot!$G$12:$G$119,"")</f>
        <v>Wood</v>
      </c>
      <c r="B3039" t="s">
        <v>5990</v>
      </c>
      <c r="C3039" t="s">
        <v>10</v>
      </c>
      <c r="D3039" t="s">
        <v>6115</v>
      </c>
      <c r="E3039" t="s">
        <v>6116</v>
      </c>
      <c r="G3039" s="1">
        <v>2.77</v>
      </c>
    </row>
    <row r="3040" spans="1:7" ht="14.25" hidden="1" customHeight="1" x14ac:dyDescent="0.45">
      <c r="A3040" t="str">
        <f>_xlfn.XLOOKUP(B3040,Ingot!$H$12:$H$119,Ingot!$G$12:$G$119,"")</f>
        <v>Wood</v>
      </c>
      <c r="B3040" t="s">
        <v>5990</v>
      </c>
      <c r="C3040" t="s">
        <v>10</v>
      </c>
      <c r="D3040" t="s">
        <v>6117</v>
      </c>
      <c r="E3040" t="s">
        <v>6118</v>
      </c>
      <c r="G3040" s="1">
        <v>4.8899999999999997</v>
      </c>
    </row>
    <row r="3041" spans="1:7" ht="14.25" hidden="1" customHeight="1" x14ac:dyDescent="0.45">
      <c r="A3041" t="str">
        <f>_xlfn.XLOOKUP(B3041,Ingot!$H$12:$H$119,Ingot!$G$12:$G$119,"")</f>
        <v>Wood</v>
      </c>
      <c r="B3041" t="s">
        <v>5990</v>
      </c>
      <c r="C3041" t="s">
        <v>10</v>
      </c>
      <c r="D3041" t="s">
        <v>6119</v>
      </c>
      <c r="E3041" t="s">
        <v>6120</v>
      </c>
      <c r="G3041" s="1">
        <v>1.76</v>
      </c>
    </row>
    <row r="3042" spans="1:7" ht="14.25" hidden="1" customHeight="1" x14ac:dyDescent="0.45">
      <c r="A3042" t="str">
        <f>_xlfn.XLOOKUP(B3042,Ingot!$H$12:$H$119,Ingot!$G$12:$G$119,"")</f>
        <v>Wood</v>
      </c>
      <c r="B3042" t="s">
        <v>5990</v>
      </c>
      <c r="C3042" t="s">
        <v>10</v>
      </c>
      <c r="D3042" t="s">
        <v>6121</v>
      </c>
      <c r="E3042" t="s">
        <v>6122</v>
      </c>
    </row>
    <row r="3043" spans="1:7" ht="14.25" hidden="1" customHeight="1" x14ac:dyDescent="0.45">
      <c r="A3043" t="str">
        <f>_xlfn.XLOOKUP(B3043,Ingot!$H$12:$H$119,Ingot!$G$12:$G$119,"")</f>
        <v>Wood</v>
      </c>
      <c r="B3043" t="s">
        <v>5990</v>
      </c>
      <c r="C3043" t="s">
        <v>10</v>
      </c>
      <c r="D3043" t="s">
        <v>6123</v>
      </c>
      <c r="E3043" t="s">
        <v>6124</v>
      </c>
      <c r="G3043" s="1">
        <v>8.57</v>
      </c>
    </row>
    <row r="3044" spans="1:7" ht="14.25" hidden="1" customHeight="1" x14ac:dyDescent="0.45">
      <c r="A3044" t="str">
        <f>_xlfn.XLOOKUP(B3044,Ingot!$H$12:$H$119,Ingot!$G$12:$G$119,"")</f>
        <v>Wood</v>
      </c>
      <c r="B3044" t="s">
        <v>5990</v>
      </c>
      <c r="C3044" t="s">
        <v>10</v>
      </c>
      <c r="D3044" t="s">
        <v>6125</v>
      </c>
      <c r="E3044" t="s">
        <v>6126</v>
      </c>
    </row>
    <row r="3045" spans="1:7" ht="14.25" hidden="1" customHeight="1" x14ac:dyDescent="0.45">
      <c r="A3045" t="str">
        <f>_xlfn.XLOOKUP(B3045,Ingot!$H$12:$H$119,Ingot!$G$12:$G$119,"")</f>
        <v>Wood</v>
      </c>
      <c r="B3045" t="s">
        <v>5990</v>
      </c>
      <c r="C3045" t="s">
        <v>10</v>
      </c>
      <c r="D3045" t="s">
        <v>6127</v>
      </c>
      <c r="E3045" t="s">
        <v>6128</v>
      </c>
      <c r="G3045" s="1">
        <v>3.56</v>
      </c>
    </row>
    <row r="3046" spans="1:7" ht="14.25" hidden="1" customHeight="1" x14ac:dyDescent="0.45">
      <c r="A3046" t="str">
        <f>_xlfn.XLOOKUP(B3046,Ingot!$H$12:$H$119,Ingot!$G$12:$G$119,"")</f>
        <v>Wood</v>
      </c>
      <c r="B3046" t="s">
        <v>5990</v>
      </c>
      <c r="C3046" t="s">
        <v>10</v>
      </c>
      <c r="D3046" t="s">
        <v>6129</v>
      </c>
      <c r="E3046" t="s">
        <v>6130</v>
      </c>
      <c r="G3046" s="1">
        <v>8.91</v>
      </c>
    </row>
    <row r="3047" spans="1:7" ht="14.25" hidden="1" customHeight="1" x14ac:dyDescent="0.45">
      <c r="A3047" t="str">
        <f>_xlfn.XLOOKUP(B3047,Ingot!$H$12:$H$119,Ingot!$G$12:$G$119,"")</f>
        <v>Wood</v>
      </c>
      <c r="B3047" t="s">
        <v>5990</v>
      </c>
      <c r="C3047" t="s">
        <v>10</v>
      </c>
      <c r="D3047" t="s">
        <v>6131</v>
      </c>
      <c r="E3047" t="s">
        <v>6132</v>
      </c>
      <c r="G3047" s="1">
        <v>11.02</v>
      </c>
    </row>
    <row r="3048" spans="1:7" ht="14.25" hidden="1" customHeight="1" x14ac:dyDescent="0.45">
      <c r="A3048" t="str">
        <f>_xlfn.XLOOKUP(B3048,Ingot!$H$12:$H$119,Ingot!$G$12:$G$119,"")</f>
        <v>Wood</v>
      </c>
      <c r="B3048" t="s">
        <v>5990</v>
      </c>
      <c r="C3048" t="s">
        <v>10</v>
      </c>
      <c r="D3048" t="s">
        <v>6133</v>
      </c>
      <c r="E3048" t="s">
        <v>6134</v>
      </c>
      <c r="G3048" s="1">
        <v>5.12</v>
      </c>
    </row>
    <row r="3049" spans="1:7" ht="14.25" hidden="1" customHeight="1" x14ac:dyDescent="0.45">
      <c r="A3049" t="str">
        <f>_xlfn.XLOOKUP(B3049,Ingot!$H$12:$H$119,Ingot!$G$12:$G$119,"")</f>
        <v>Wood</v>
      </c>
      <c r="B3049" t="s">
        <v>5990</v>
      </c>
      <c r="C3049" t="s">
        <v>10</v>
      </c>
      <c r="D3049" t="s">
        <v>6135</v>
      </c>
      <c r="E3049" t="s">
        <v>6136</v>
      </c>
      <c r="G3049" s="1">
        <v>4.41</v>
      </c>
    </row>
    <row r="3050" spans="1:7" ht="14.25" hidden="1" customHeight="1" x14ac:dyDescent="0.45">
      <c r="A3050" t="str">
        <f>_xlfn.XLOOKUP(B3050,Ingot!$H$12:$H$119,Ingot!$G$12:$G$119,"")</f>
        <v>Wood</v>
      </c>
      <c r="B3050" t="s">
        <v>5990</v>
      </c>
      <c r="C3050" t="s">
        <v>157</v>
      </c>
      <c r="D3050" t="s">
        <v>6137</v>
      </c>
      <c r="E3050" t="s">
        <v>6138</v>
      </c>
      <c r="G3050" s="1">
        <v>24.75</v>
      </c>
    </row>
    <row r="3051" spans="1:7" ht="14.25" hidden="1" customHeight="1" x14ac:dyDescent="0.45">
      <c r="A3051" t="str">
        <f>_xlfn.XLOOKUP(B3051,Ingot!$H$12:$H$119,Ingot!$G$12:$G$119,"")</f>
        <v>Wood</v>
      </c>
      <c r="B3051" t="s">
        <v>5990</v>
      </c>
      <c r="C3051" t="s">
        <v>157</v>
      </c>
      <c r="D3051" t="s">
        <v>6139</v>
      </c>
      <c r="E3051" t="s">
        <v>6140</v>
      </c>
      <c r="G3051" s="1">
        <v>5</v>
      </c>
    </row>
    <row r="3052" spans="1:7" ht="14.25" hidden="1" customHeight="1" x14ac:dyDescent="0.45">
      <c r="A3052" t="str">
        <f>_xlfn.XLOOKUP(B3052,Ingot!$H$12:$H$119,Ingot!$G$12:$G$119,"")</f>
        <v>Wood</v>
      </c>
      <c r="B3052" t="s">
        <v>5990</v>
      </c>
      <c r="C3052" t="s">
        <v>157</v>
      </c>
      <c r="D3052" t="s">
        <v>6141</v>
      </c>
      <c r="E3052" t="s">
        <v>6142</v>
      </c>
      <c r="G3052" s="1">
        <v>5</v>
      </c>
    </row>
    <row r="3053" spans="1:7" ht="14.25" hidden="1" customHeight="1" x14ac:dyDescent="0.45">
      <c r="A3053" t="str">
        <f>_xlfn.XLOOKUP(B3053,Ingot!$H$12:$H$119,Ingot!$G$12:$G$119,"")</f>
        <v>Wood</v>
      </c>
      <c r="B3053" t="s">
        <v>5990</v>
      </c>
      <c r="C3053" t="s">
        <v>157</v>
      </c>
      <c r="D3053" t="s">
        <v>6143</v>
      </c>
      <c r="E3053" t="s">
        <v>6144</v>
      </c>
      <c r="G3053" s="1">
        <v>5</v>
      </c>
    </row>
    <row r="3054" spans="1:7" ht="14.25" hidden="1" customHeight="1" x14ac:dyDescent="0.45">
      <c r="A3054" t="str">
        <f>_xlfn.XLOOKUP(B3054,Ingot!$H$12:$H$119,Ingot!$G$12:$G$119,"")</f>
        <v>Wood</v>
      </c>
      <c r="B3054" t="s">
        <v>5990</v>
      </c>
      <c r="C3054" t="s">
        <v>157</v>
      </c>
      <c r="D3054" t="s">
        <v>6145</v>
      </c>
      <c r="E3054" t="s">
        <v>6146</v>
      </c>
      <c r="G3054" s="1">
        <v>10</v>
      </c>
    </row>
    <row r="3055" spans="1:7" ht="14.25" hidden="1" customHeight="1" x14ac:dyDescent="0.45">
      <c r="A3055" t="str">
        <f>_xlfn.XLOOKUP(B3055,Ingot!$H$12:$H$119,Ingot!$G$12:$G$119,"")</f>
        <v>Wood</v>
      </c>
      <c r="B3055" t="s">
        <v>5990</v>
      </c>
      <c r="C3055" t="s">
        <v>157</v>
      </c>
      <c r="D3055" t="s">
        <v>6147</v>
      </c>
      <c r="E3055" t="s">
        <v>6148</v>
      </c>
      <c r="G3055" s="1">
        <v>21.55</v>
      </c>
    </row>
    <row r="3056" spans="1:7" ht="14.25" hidden="1" customHeight="1" x14ac:dyDescent="0.45">
      <c r="A3056" t="str">
        <f>_xlfn.XLOOKUP(B3056,Ingot!$H$12:$H$119,Ingot!$G$12:$G$119,"")</f>
        <v>Wood</v>
      </c>
      <c r="B3056" t="s">
        <v>5990</v>
      </c>
      <c r="C3056" t="s">
        <v>157</v>
      </c>
      <c r="D3056" t="s">
        <v>6149</v>
      </c>
      <c r="E3056" t="s">
        <v>6150</v>
      </c>
      <c r="G3056" s="1">
        <v>5</v>
      </c>
    </row>
    <row r="3057" spans="1:7" ht="14.25" hidden="1" customHeight="1" x14ac:dyDescent="0.45">
      <c r="A3057" t="str">
        <f>_xlfn.XLOOKUP(B3057,Ingot!$H$12:$H$119,Ingot!$G$12:$G$119,"")</f>
        <v>Wood</v>
      </c>
      <c r="B3057" t="s">
        <v>5990</v>
      </c>
      <c r="C3057" t="s">
        <v>157</v>
      </c>
      <c r="D3057" t="s">
        <v>6151</v>
      </c>
      <c r="E3057" t="s">
        <v>6152</v>
      </c>
      <c r="G3057" s="1">
        <v>5</v>
      </c>
    </row>
    <row r="3058" spans="1:7" ht="14.25" hidden="1" customHeight="1" x14ac:dyDescent="0.45">
      <c r="A3058" t="str">
        <f>_xlfn.XLOOKUP(B3058,Ingot!$H$12:$H$119,Ingot!$G$12:$G$119,"")</f>
        <v>Wood</v>
      </c>
      <c r="B3058" t="s">
        <v>5990</v>
      </c>
      <c r="C3058" t="s">
        <v>157</v>
      </c>
      <c r="D3058" t="s">
        <v>6153</v>
      </c>
      <c r="E3058" t="s">
        <v>6154</v>
      </c>
      <c r="G3058" s="1">
        <v>5</v>
      </c>
    </row>
    <row r="3059" spans="1:7" ht="14.25" hidden="1" customHeight="1" x14ac:dyDescent="0.45">
      <c r="A3059" t="str">
        <f>_xlfn.XLOOKUP(B3059,Ingot!$H$12:$H$119,Ingot!$G$12:$G$119,"")</f>
        <v>Wood</v>
      </c>
      <c r="B3059" t="s">
        <v>5990</v>
      </c>
      <c r="C3059" t="s">
        <v>157</v>
      </c>
      <c r="D3059" t="s">
        <v>6155</v>
      </c>
      <c r="E3059" t="s">
        <v>6156</v>
      </c>
      <c r="G3059" s="1">
        <v>10</v>
      </c>
    </row>
    <row r="3060" spans="1:7" ht="14.25" hidden="1" customHeight="1" x14ac:dyDescent="0.45">
      <c r="A3060" t="str">
        <f>_xlfn.XLOOKUP(B3060,Ingot!$H$12:$H$119,Ingot!$G$12:$G$119,"")</f>
        <v>Wood</v>
      </c>
      <c r="B3060" t="s">
        <v>5990</v>
      </c>
      <c r="C3060" t="s">
        <v>157</v>
      </c>
      <c r="D3060" t="s">
        <v>6157</v>
      </c>
      <c r="E3060" t="s">
        <v>6158</v>
      </c>
      <c r="F3060" t="s">
        <v>180</v>
      </c>
      <c r="G3060" s="1">
        <v>20.75</v>
      </c>
    </row>
    <row r="3061" spans="1:7" ht="14.25" hidden="1" customHeight="1" x14ac:dyDescent="0.45">
      <c r="A3061" t="str">
        <f>_xlfn.XLOOKUP(B3061,Ingot!$H$12:$H$119,Ingot!$G$12:$G$119,"")</f>
        <v>Wood</v>
      </c>
      <c r="B3061" t="s">
        <v>5990</v>
      </c>
      <c r="C3061" t="s">
        <v>157</v>
      </c>
      <c r="D3061" t="s">
        <v>6159</v>
      </c>
      <c r="E3061" t="s">
        <v>6160</v>
      </c>
      <c r="F3061" t="s">
        <v>180</v>
      </c>
      <c r="G3061" s="1">
        <v>5</v>
      </c>
    </row>
    <row r="3062" spans="1:7" ht="14.25" hidden="1" customHeight="1" x14ac:dyDescent="0.45">
      <c r="A3062" t="str">
        <f>_xlfn.XLOOKUP(B3062,Ingot!$H$12:$H$119,Ingot!$G$12:$G$119,"")</f>
        <v>Wood</v>
      </c>
      <c r="B3062" t="s">
        <v>5990</v>
      </c>
      <c r="C3062" t="s">
        <v>157</v>
      </c>
      <c r="D3062" t="s">
        <v>6161</v>
      </c>
      <c r="E3062" t="s">
        <v>6162</v>
      </c>
      <c r="F3062" t="s">
        <v>180</v>
      </c>
      <c r="G3062" s="1">
        <v>5</v>
      </c>
    </row>
    <row r="3063" spans="1:7" ht="14.25" hidden="1" customHeight="1" x14ac:dyDescent="0.45">
      <c r="A3063" t="str">
        <f>_xlfn.XLOOKUP(B3063,Ingot!$H$12:$H$119,Ingot!$G$12:$G$119,"")</f>
        <v>Wood</v>
      </c>
      <c r="B3063" t="s">
        <v>5990</v>
      </c>
      <c r="C3063" t="s">
        <v>157</v>
      </c>
      <c r="D3063" t="s">
        <v>6163</v>
      </c>
      <c r="E3063" t="s">
        <v>6164</v>
      </c>
      <c r="F3063" t="s">
        <v>180</v>
      </c>
      <c r="G3063" s="1">
        <v>5</v>
      </c>
    </row>
    <row r="3064" spans="1:7" ht="14.25" hidden="1" customHeight="1" x14ac:dyDescent="0.45">
      <c r="A3064" t="str">
        <f>_xlfn.XLOOKUP(B3064,Ingot!$H$12:$H$119,Ingot!$G$12:$G$119,"")</f>
        <v>Wood</v>
      </c>
      <c r="B3064" t="s">
        <v>5990</v>
      </c>
      <c r="C3064" t="s">
        <v>157</v>
      </c>
      <c r="D3064" t="s">
        <v>6165</v>
      </c>
      <c r="E3064" t="s">
        <v>6166</v>
      </c>
      <c r="F3064" t="s">
        <v>180</v>
      </c>
      <c r="G3064" s="1">
        <v>10</v>
      </c>
    </row>
    <row r="3065" spans="1:7" ht="14.25" hidden="1" customHeight="1" x14ac:dyDescent="0.45">
      <c r="A3065" t="str">
        <f>_xlfn.XLOOKUP(B3065,Ingot!$H$12:$H$119,Ingot!$G$12:$G$119,"")</f>
        <v>Wood</v>
      </c>
      <c r="B3065" t="s">
        <v>5990</v>
      </c>
      <c r="C3065" t="s">
        <v>157</v>
      </c>
      <c r="D3065" t="s">
        <v>6167</v>
      </c>
      <c r="E3065" t="s">
        <v>6168</v>
      </c>
      <c r="G3065" s="1">
        <v>22.75</v>
      </c>
    </row>
    <row r="3066" spans="1:7" ht="14.25" hidden="1" customHeight="1" x14ac:dyDescent="0.45">
      <c r="A3066" t="str">
        <f>_xlfn.XLOOKUP(B3066,Ingot!$H$12:$H$119,Ingot!$G$12:$G$119,"")</f>
        <v>Wood</v>
      </c>
      <c r="B3066" t="s">
        <v>5990</v>
      </c>
      <c r="C3066" t="s">
        <v>157</v>
      </c>
      <c r="D3066" t="s">
        <v>6169</v>
      </c>
      <c r="E3066" t="s">
        <v>6170</v>
      </c>
      <c r="G3066" s="1">
        <v>5</v>
      </c>
    </row>
    <row r="3067" spans="1:7" ht="14.25" hidden="1" customHeight="1" x14ac:dyDescent="0.45">
      <c r="A3067" t="str">
        <f>_xlfn.XLOOKUP(B3067,Ingot!$H$12:$H$119,Ingot!$G$12:$G$119,"")</f>
        <v>Wood</v>
      </c>
      <c r="B3067" t="s">
        <v>5990</v>
      </c>
      <c r="C3067" t="s">
        <v>157</v>
      </c>
      <c r="D3067" t="s">
        <v>6171</v>
      </c>
      <c r="E3067" t="s">
        <v>6172</v>
      </c>
      <c r="G3067" s="1">
        <v>5</v>
      </c>
    </row>
    <row r="3068" spans="1:7" ht="14.25" hidden="1" customHeight="1" x14ac:dyDescent="0.45">
      <c r="A3068" t="str">
        <f>_xlfn.XLOOKUP(B3068,Ingot!$H$12:$H$119,Ingot!$G$12:$G$119,"")</f>
        <v>Wood</v>
      </c>
      <c r="B3068" t="s">
        <v>5990</v>
      </c>
      <c r="C3068" t="s">
        <v>157</v>
      </c>
      <c r="D3068" t="s">
        <v>6173</v>
      </c>
      <c r="E3068" t="s">
        <v>6174</v>
      </c>
      <c r="G3068" s="1">
        <v>5</v>
      </c>
    </row>
    <row r="3069" spans="1:7" ht="14.25" hidden="1" customHeight="1" x14ac:dyDescent="0.45">
      <c r="A3069" t="str">
        <f>_xlfn.XLOOKUP(B3069,Ingot!$H$12:$H$119,Ingot!$G$12:$G$119,"")</f>
        <v>Wood</v>
      </c>
      <c r="B3069" t="s">
        <v>5990</v>
      </c>
      <c r="C3069" t="s">
        <v>157</v>
      </c>
      <c r="D3069" t="s">
        <v>6175</v>
      </c>
      <c r="E3069" t="s">
        <v>6176</v>
      </c>
      <c r="G3069" s="1">
        <v>10</v>
      </c>
    </row>
    <row r="3070" spans="1:7" ht="14.25" hidden="1" customHeight="1" x14ac:dyDescent="0.45">
      <c r="A3070" t="str">
        <f>_xlfn.XLOOKUP(B3070,Ingot!$H$12:$H$119,Ingot!$G$12:$G$119,"")</f>
        <v>Wood</v>
      </c>
      <c r="B3070" t="s">
        <v>5990</v>
      </c>
      <c r="C3070" t="s">
        <v>157</v>
      </c>
      <c r="D3070" t="s">
        <v>6177</v>
      </c>
      <c r="E3070" t="s">
        <v>6178</v>
      </c>
      <c r="G3070" s="1">
        <v>23.75</v>
      </c>
    </row>
    <row r="3071" spans="1:7" ht="14.25" hidden="1" customHeight="1" x14ac:dyDescent="0.45">
      <c r="A3071" t="str">
        <f>_xlfn.XLOOKUP(B3071,Ingot!$H$12:$H$119,Ingot!$G$12:$G$119,"")</f>
        <v>Wood</v>
      </c>
      <c r="B3071" t="s">
        <v>5990</v>
      </c>
      <c r="C3071" t="s">
        <v>157</v>
      </c>
      <c r="D3071" t="s">
        <v>6179</v>
      </c>
      <c r="E3071" t="s">
        <v>6180</v>
      </c>
      <c r="F3071" t="s">
        <v>180</v>
      </c>
      <c r="G3071" s="1">
        <v>5</v>
      </c>
    </row>
    <row r="3072" spans="1:7" ht="14.25" hidden="1" customHeight="1" x14ac:dyDescent="0.45">
      <c r="A3072" t="str">
        <f>_xlfn.XLOOKUP(B3072,Ingot!$H$12:$H$119,Ingot!$G$12:$G$119,"")</f>
        <v>Wood</v>
      </c>
      <c r="B3072" t="s">
        <v>5990</v>
      </c>
      <c r="C3072" t="s">
        <v>157</v>
      </c>
      <c r="D3072" t="s">
        <v>6181</v>
      </c>
      <c r="E3072" t="s">
        <v>6182</v>
      </c>
      <c r="F3072" t="s">
        <v>180</v>
      </c>
      <c r="G3072" s="1">
        <v>5</v>
      </c>
    </row>
    <row r="3073" spans="1:7" ht="14.25" hidden="1" customHeight="1" x14ac:dyDescent="0.45">
      <c r="A3073" t="str">
        <f>_xlfn.XLOOKUP(B3073,Ingot!$H$12:$H$119,Ingot!$G$12:$G$119,"")</f>
        <v>Wood</v>
      </c>
      <c r="B3073" t="s">
        <v>5990</v>
      </c>
      <c r="C3073" t="s">
        <v>157</v>
      </c>
      <c r="D3073" t="s">
        <v>6183</v>
      </c>
      <c r="E3073" t="s">
        <v>6184</v>
      </c>
      <c r="F3073" t="s">
        <v>180</v>
      </c>
      <c r="G3073" s="1">
        <v>5</v>
      </c>
    </row>
    <row r="3074" spans="1:7" ht="14.25" hidden="1" customHeight="1" x14ac:dyDescent="0.45">
      <c r="A3074" t="str">
        <f>_xlfn.XLOOKUP(B3074,Ingot!$H$12:$H$119,Ingot!$G$12:$G$119,"")</f>
        <v>Wood</v>
      </c>
      <c r="B3074" t="s">
        <v>5990</v>
      </c>
      <c r="C3074" t="s">
        <v>157</v>
      </c>
      <c r="D3074" t="s">
        <v>6185</v>
      </c>
      <c r="E3074" t="s">
        <v>6186</v>
      </c>
      <c r="G3074" s="1">
        <v>10</v>
      </c>
    </row>
    <row r="3075" spans="1:7" ht="14.25" hidden="1" customHeight="1" x14ac:dyDescent="0.45">
      <c r="A3075" t="str">
        <f>_xlfn.XLOOKUP(B3075,Ingot!$H$12:$H$119,Ingot!$G$12:$G$119,"")</f>
        <v>Wood</v>
      </c>
      <c r="B3075" t="s">
        <v>5990</v>
      </c>
      <c r="C3075" t="s">
        <v>157</v>
      </c>
      <c r="D3075" t="s">
        <v>6187</v>
      </c>
      <c r="E3075" t="s">
        <v>6188</v>
      </c>
      <c r="G3075" s="1">
        <v>27.55</v>
      </c>
    </row>
    <row r="3076" spans="1:7" ht="14.25" hidden="1" customHeight="1" x14ac:dyDescent="0.45">
      <c r="A3076" t="str">
        <f>_xlfn.XLOOKUP(B3076,Ingot!$H$12:$H$119,Ingot!$G$12:$G$119,"")</f>
        <v>Wood</v>
      </c>
      <c r="B3076" t="s">
        <v>5990</v>
      </c>
      <c r="C3076" t="s">
        <v>157</v>
      </c>
      <c r="D3076" t="s">
        <v>6189</v>
      </c>
      <c r="E3076" t="s">
        <v>6190</v>
      </c>
      <c r="G3076" s="1">
        <v>5.51</v>
      </c>
    </row>
    <row r="3077" spans="1:7" ht="14.25" hidden="1" customHeight="1" x14ac:dyDescent="0.45">
      <c r="A3077" t="str">
        <f>_xlfn.XLOOKUP(B3077,Ingot!$H$12:$H$119,Ingot!$G$12:$G$119,"")</f>
        <v>Wood</v>
      </c>
      <c r="B3077" t="s">
        <v>5990</v>
      </c>
      <c r="C3077" t="s">
        <v>157</v>
      </c>
      <c r="D3077" t="s">
        <v>6191</v>
      </c>
      <c r="E3077" t="s">
        <v>6192</v>
      </c>
      <c r="G3077" s="1">
        <v>5.51</v>
      </c>
    </row>
    <row r="3078" spans="1:7" ht="14.25" hidden="1" customHeight="1" x14ac:dyDescent="0.45">
      <c r="A3078" t="str">
        <f>_xlfn.XLOOKUP(B3078,Ingot!$H$12:$H$119,Ingot!$G$12:$G$119,"")</f>
        <v>Wood</v>
      </c>
      <c r="B3078" t="s">
        <v>5990</v>
      </c>
      <c r="C3078" t="s">
        <v>157</v>
      </c>
      <c r="D3078" t="s">
        <v>6193</v>
      </c>
      <c r="E3078" t="s">
        <v>6194</v>
      </c>
      <c r="G3078" s="1">
        <v>5</v>
      </c>
    </row>
    <row r="3079" spans="1:7" ht="14.25" hidden="1" customHeight="1" x14ac:dyDescent="0.45">
      <c r="A3079" t="str">
        <f>_xlfn.XLOOKUP(B3079,Ingot!$H$12:$H$119,Ingot!$G$12:$G$119,"")</f>
        <v>Wood</v>
      </c>
      <c r="B3079" t="s">
        <v>5990</v>
      </c>
      <c r="C3079" t="s">
        <v>157</v>
      </c>
      <c r="D3079" t="s">
        <v>6195</v>
      </c>
      <c r="E3079" t="s">
        <v>6196</v>
      </c>
      <c r="G3079" s="1">
        <v>10</v>
      </c>
    </row>
    <row r="3080" spans="1:7" ht="14.25" hidden="1" customHeight="1" x14ac:dyDescent="0.45">
      <c r="A3080" t="str">
        <f>_xlfn.XLOOKUP(B3080,Ingot!$H$12:$H$119,Ingot!$G$12:$G$119,"")</f>
        <v>Wood</v>
      </c>
      <c r="B3080" t="s">
        <v>5990</v>
      </c>
      <c r="C3080" t="s">
        <v>157</v>
      </c>
      <c r="D3080" t="s">
        <v>6197</v>
      </c>
      <c r="E3080" t="s">
        <v>6198</v>
      </c>
      <c r="G3080" s="1">
        <v>26.25</v>
      </c>
    </row>
    <row r="3081" spans="1:7" ht="14.25" hidden="1" customHeight="1" x14ac:dyDescent="0.45">
      <c r="A3081" t="str">
        <f>_xlfn.XLOOKUP(B3081,Ingot!$H$12:$H$119,Ingot!$G$12:$G$119,"")</f>
        <v>Wood</v>
      </c>
      <c r="B3081" t="s">
        <v>5990</v>
      </c>
      <c r="C3081" t="s">
        <v>157</v>
      </c>
      <c r="D3081" t="s">
        <v>6199</v>
      </c>
      <c r="E3081" t="s">
        <v>6200</v>
      </c>
      <c r="G3081" s="1">
        <v>5.25</v>
      </c>
    </row>
    <row r="3082" spans="1:7" ht="14.25" hidden="1" customHeight="1" x14ac:dyDescent="0.45">
      <c r="A3082" t="str">
        <f>_xlfn.XLOOKUP(B3082,Ingot!$H$12:$H$119,Ingot!$G$12:$G$119,"")</f>
        <v>Wood</v>
      </c>
      <c r="B3082" t="s">
        <v>5990</v>
      </c>
      <c r="C3082" t="s">
        <v>157</v>
      </c>
      <c r="D3082" t="s">
        <v>6201</v>
      </c>
      <c r="E3082" t="s">
        <v>6202</v>
      </c>
      <c r="G3082" s="1">
        <v>5.25</v>
      </c>
    </row>
    <row r="3083" spans="1:7" ht="14.25" hidden="1" customHeight="1" x14ac:dyDescent="0.45">
      <c r="A3083" t="str">
        <f>_xlfn.XLOOKUP(B3083,Ingot!$H$12:$H$119,Ingot!$G$12:$G$119,"")</f>
        <v>Wood</v>
      </c>
      <c r="B3083" t="s">
        <v>5990</v>
      </c>
      <c r="C3083" t="s">
        <v>157</v>
      </c>
      <c r="D3083" t="s">
        <v>6203</v>
      </c>
      <c r="E3083" t="s">
        <v>6204</v>
      </c>
      <c r="G3083" s="1">
        <v>5</v>
      </c>
    </row>
    <row r="3084" spans="1:7" ht="14.25" hidden="1" customHeight="1" x14ac:dyDescent="0.45">
      <c r="A3084" t="str">
        <f>_xlfn.XLOOKUP(B3084,Ingot!$H$12:$H$119,Ingot!$G$12:$G$119,"")</f>
        <v>Wood</v>
      </c>
      <c r="B3084" t="s">
        <v>5990</v>
      </c>
      <c r="C3084" t="s">
        <v>157</v>
      </c>
      <c r="D3084" t="s">
        <v>6205</v>
      </c>
      <c r="E3084" t="s">
        <v>6206</v>
      </c>
      <c r="G3084" s="1">
        <v>10</v>
      </c>
    </row>
    <row r="3085" spans="1:7" ht="14.25" hidden="1" customHeight="1" x14ac:dyDescent="0.45">
      <c r="A3085" t="str">
        <f>_xlfn.XLOOKUP(B3085,Ingot!$H$12:$H$119,Ingot!$G$12:$G$119,"")</f>
        <v>Wood</v>
      </c>
      <c r="B3085" t="s">
        <v>5990</v>
      </c>
      <c r="C3085" t="s">
        <v>157</v>
      </c>
      <c r="D3085" t="s">
        <v>6207</v>
      </c>
      <c r="E3085" t="s">
        <v>6208</v>
      </c>
      <c r="F3085" t="s">
        <v>180</v>
      </c>
      <c r="G3085" s="1">
        <v>19.95</v>
      </c>
    </row>
    <row r="3086" spans="1:7" ht="14.25" hidden="1" customHeight="1" x14ac:dyDescent="0.45">
      <c r="A3086" t="str">
        <f>_xlfn.XLOOKUP(B3086,Ingot!$H$12:$H$119,Ingot!$G$12:$G$119,"")</f>
        <v>Wood</v>
      </c>
      <c r="B3086" t="s">
        <v>5990</v>
      </c>
      <c r="C3086" t="s">
        <v>157</v>
      </c>
      <c r="D3086" t="s">
        <v>6209</v>
      </c>
      <c r="E3086" t="s">
        <v>6210</v>
      </c>
      <c r="F3086" t="s">
        <v>180</v>
      </c>
      <c r="G3086" s="1">
        <v>5</v>
      </c>
    </row>
    <row r="3087" spans="1:7" ht="14.25" hidden="1" customHeight="1" x14ac:dyDescent="0.45">
      <c r="A3087" t="str">
        <f>_xlfn.XLOOKUP(B3087,Ingot!$H$12:$H$119,Ingot!$G$12:$G$119,"")</f>
        <v>Wood</v>
      </c>
      <c r="B3087" t="s">
        <v>5990</v>
      </c>
      <c r="C3087" t="s">
        <v>157</v>
      </c>
      <c r="D3087" t="s">
        <v>6211</v>
      </c>
      <c r="E3087" t="s">
        <v>6212</v>
      </c>
      <c r="F3087" t="s">
        <v>180</v>
      </c>
      <c r="G3087" s="1">
        <v>5</v>
      </c>
    </row>
    <row r="3088" spans="1:7" ht="14.25" hidden="1" customHeight="1" x14ac:dyDescent="0.45">
      <c r="A3088" t="str">
        <f>_xlfn.XLOOKUP(B3088,Ingot!$H$12:$H$119,Ingot!$G$12:$G$119,"")</f>
        <v>Wood</v>
      </c>
      <c r="B3088" t="s">
        <v>5990</v>
      </c>
      <c r="C3088" t="s">
        <v>157</v>
      </c>
      <c r="D3088" t="s">
        <v>6213</v>
      </c>
      <c r="E3088" t="s">
        <v>6214</v>
      </c>
      <c r="F3088" t="s">
        <v>180</v>
      </c>
      <c r="G3088" s="1">
        <v>5</v>
      </c>
    </row>
    <row r="3089" spans="1:7" ht="14.25" hidden="1" customHeight="1" x14ac:dyDescent="0.45">
      <c r="A3089" t="str">
        <f>_xlfn.XLOOKUP(B3089,Ingot!$H$12:$H$119,Ingot!$G$12:$G$119,"")</f>
        <v>Wood</v>
      </c>
      <c r="B3089" t="s">
        <v>5990</v>
      </c>
      <c r="C3089" t="s">
        <v>157</v>
      </c>
      <c r="D3089" t="s">
        <v>6215</v>
      </c>
      <c r="E3089" t="s">
        <v>6216</v>
      </c>
      <c r="F3089" t="s">
        <v>180</v>
      </c>
      <c r="G3089" s="1">
        <v>10</v>
      </c>
    </row>
    <row r="3090" spans="1:7" ht="14.25" hidden="1" customHeight="1" x14ac:dyDescent="0.45">
      <c r="A3090" t="str">
        <f>_xlfn.XLOOKUP(B3090,Ingot!$H$12:$H$119,Ingot!$G$12:$G$119,"")</f>
        <v>Wood</v>
      </c>
      <c r="B3090" t="s">
        <v>5990</v>
      </c>
      <c r="C3090" t="s">
        <v>239</v>
      </c>
      <c r="D3090" t="s">
        <v>6217</v>
      </c>
      <c r="E3090" t="s">
        <v>6218</v>
      </c>
      <c r="G3090" s="1">
        <f>(VLOOKUP(B3090,Ingot!H:I,2,FALSE()) * 0.75) * 0.75</f>
        <v>6.46875</v>
      </c>
    </row>
    <row r="3091" spans="1:7" ht="14.25" hidden="1" customHeight="1" x14ac:dyDescent="0.45">
      <c r="A3091" t="str">
        <f>_xlfn.XLOOKUP(B3091,Ingot!$H$12:$H$119,Ingot!$G$12:$G$119,"")</f>
        <v>Wood</v>
      </c>
      <c r="B3091" t="s">
        <v>5990</v>
      </c>
      <c r="C3091" t="s">
        <v>239</v>
      </c>
      <c r="D3091" t="s">
        <v>6219</v>
      </c>
      <c r="E3091" t="s">
        <v>6220</v>
      </c>
      <c r="G3091" s="1">
        <f>((VLOOKUP(B3091,Ingot!H:I,2,FALSE()) * 3) - 10.25) * 0.421875</f>
        <v>10.23046875</v>
      </c>
    </row>
    <row r="3092" spans="1:7" ht="14.25" hidden="1" customHeight="1" x14ac:dyDescent="0.45">
      <c r="A3092" t="str">
        <f>_xlfn.XLOOKUP(B3092,Ingot!$H$12:$H$119,Ingot!$G$12:$G$119,"")</f>
        <v>Wood</v>
      </c>
      <c r="B3092" t="s">
        <v>5990</v>
      </c>
      <c r="C3092" t="s">
        <v>239</v>
      </c>
      <c r="D3092" t="s">
        <v>6221</v>
      </c>
      <c r="E3092" t="s">
        <v>6222</v>
      </c>
      <c r="G3092" s="1">
        <f>((VLOOKUP(B3092,Ingot!H:I,2,FALSE()) * 3) - 10.25) * 0.75</f>
        <v>18.1875</v>
      </c>
    </row>
    <row r="3093" spans="1:7" ht="14.25" hidden="1" customHeight="1" x14ac:dyDescent="0.45">
      <c r="A3093" t="str">
        <f>_xlfn.XLOOKUP(B3093,Ingot!$H$12:$H$119,Ingot!$G$12:$G$119,"")</f>
        <v>Wood</v>
      </c>
      <c r="B3093" t="s">
        <v>5990</v>
      </c>
      <c r="C3093" t="s">
        <v>239</v>
      </c>
      <c r="D3093" t="s">
        <v>6223</v>
      </c>
      <c r="E3093" t="s">
        <v>6224</v>
      </c>
      <c r="G3093" s="1">
        <f>((VLOOKUP(B3093,Ingot!H:I,2,FALSE()) * 3) - 10.25) * 0.5625</f>
        <v>13.640625</v>
      </c>
    </row>
    <row r="3094" spans="1:7" ht="14.25" hidden="1" customHeight="1" x14ac:dyDescent="0.45">
      <c r="A3094" t="str">
        <f>_xlfn.XLOOKUP(B3094,Ingot!$H$12:$H$119,Ingot!$G$12:$G$119,"")</f>
        <v>Wood</v>
      </c>
      <c r="B3094" t="s">
        <v>5990</v>
      </c>
      <c r="C3094" t="s">
        <v>239</v>
      </c>
      <c r="D3094" t="s">
        <v>6225</v>
      </c>
      <c r="E3094" t="s">
        <v>6226</v>
      </c>
      <c r="G3094" s="1">
        <f>VLOOKUP(B3094,Ingot!H:I,2,FALSE()) * 0.75</f>
        <v>8.625</v>
      </c>
    </row>
    <row r="3095" spans="1:7" ht="14.25" hidden="1" customHeight="1" x14ac:dyDescent="0.45">
      <c r="A3095" t="str">
        <f>_xlfn.XLOOKUP(B3095,Ingot!$H$12:$H$119,Ingot!$G$12:$G$119,"")</f>
        <v>Wood</v>
      </c>
      <c r="B3095" t="s">
        <v>5990</v>
      </c>
      <c r="C3095" t="s">
        <v>239</v>
      </c>
      <c r="D3095" t="s">
        <v>6227</v>
      </c>
      <c r="E3095" t="s">
        <v>6228</v>
      </c>
      <c r="G3095" s="1">
        <f>(VLOOKUP(B3095,Ingot!H:I,2,FALSE()) * 3) - 10.25</f>
        <v>24.25</v>
      </c>
    </row>
    <row r="3096" spans="1:7" ht="14.25" hidden="1" customHeight="1" x14ac:dyDescent="0.45">
      <c r="A3096" t="str">
        <f>_xlfn.XLOOKUP(B3096,Ingot!$H$12:$H$119,Ingot!$G$12:$G$119,"")</f>
        <v>Wood</v>
      </c>
      <c r="B3096" t="s">
        <v>6229</v>
      </c>
      <c r="C3096" t="s">
        <v>10</v>
      </c>
      <c r="D3096" t="s">
        <v>6230</v>
      </c>
      <c r="E3096" t="s">
        <v>6231</v>
      </c>
      <c r="G3096" s="1">
        <v>0.08</v>
      </c>
    </row>
    <row r="3097" spans="1:7" ht="14.25" hidden="1" customHeight="1" x14ac:dyDescent="0.45">
      <c r="A3097" t="str">
        <f>_xlfn.XLOOKUP(B3097,Ingot!$H$12:$H$119,Ingot!$G$12:$G$119,"")</f>
        <v>Wood</v>
      </c>
      <c r="B3097" t="s">
        <v>6229</v>
      </c>
      <c r="C3097" t="s">
        <v>10</v>
      </c>
      <c r="D3097" t="s">
        <v>6232</v>
      </c>
      <c r="E3097" t="s">
        <v>6233</v>
      </c>
      <c r="G3097" s="1">
        <v>9.9</v>
      </c>
    </row>
    <row r="3098" spans="1:7" ht="14.25" hidden="1" customHeight="1" x14ac:dyDescent="0.45">
      <c r="A3098" t="str">
        <f>_xlfn.XLOOKUP(B3098,Ingot!$H$12:$H$119,Ingot!$G$12:$G$119,"")</f>
        <v>Wood</v>
      </c>
      <c r="B3098" t="s">
        <v>6229</v>
      </c>
      <c r="C3098" t="s">
        <v>10</v>
      </c>
      <c r="D3098" t="s">
        <v>6234</v>
      </c>
      <c r="E3098" t="s">
        <v>6235</v>
      </c>
      <c r="G3098" s="1">
        <v>5.66</v>
      </c>
    </row>
    <row r="3099" spans="1:7" ht="14.25" hidden="1" customHeight="1" x14ac:dyDescent="0.45">
      <c r="A3099" t="str">
        <f>_xlfn.XLOOKUP(B3099,Ingot!$H$12:$H$119,Ingot!$G$12:$G$119,"")</f>
        <v>Wood</v>
      </c>
      <c r="B3099" t="s">
        <v>6229</v>
      </c>
      <c r="C3099" t="s">
        <v>10</v>
      </c>
      <c r="D3099" t="s">
        <v>6236</v>
      </c>
      <c r="E3099" t="s">
        <v>6237</v>
      </c>
      <c r="G3099" s="1">
        <v>3.3</v>
      </c>
    </row>
    <row r="3100" spans="1:7" ht="14.25" hidden="1" customHeight="1" x14ac:dyDescent="0.45">
      <c r="A3100" t="str">
        <f>_xlfn.XLOOKUP(B3100,Ingot!$H$12:$H$119,Ingot!$G$12:$G$119,"")</f>
        <v>Wood</v>
      </c>
      <c r="B3100" t="s">
        <v>6229</v>
      </c>
      <c r="C3100" t="s">
        <v>10</v>
      </c>
      <c r="D3100" t="s">
        <v>6238</v>
      </c>
      <c r="E3100" t="s">
        <v>6239</v>
      </c>
      <c r="G3100" s="1">
        <v>0.66</v>
      </c>
    </row>
    <row r="3101" spans="1:7" ht="14.25" hidden="1" customHeight="1" x14ac:dyDescent="0.45">
      <c r="A3101" t="str">
        <f>_xlfn.XLOOKUP(B3101,Ingot!$H$12:$H$119,Ingot!$G$12:$G$119,"")</f>
        <v>Wood</v>
      </c>
      <c r="B3101" t="s">
        <v>6229</v>
      </c>
      <c r="C3101" t="s">
        <v>10</v>
      </c>
      <c r="D3101" t="s">
        <v>6240</v>
      </c>
      <c r="E3101" t="s">
        <v>6241</v>
      </c>
      <c r="G3101" s="1">
        <v>0.04</v>
      </c>
    </row>
    <row r="3102" spans="1:7" ht="14.25" hidden="1" customHeight="1" x14ac:dyDescent="0.45">
      <c r="A3102" t="str">
        <f>_xlfn.XLOOKUP(B3102,Ingot!$H$12:$H$119,Ingot!$G$12:$G$119,"")</f>
        <v>Wood</v>
      </c>
      <c r="B3102" t="s">
        <v>6229</v>
      </c>
      <c r="C3102" t="s">
        <v>10</v>
      </c>
      <c r="D3102" t="s">
        <v>6242</v>
      </c>
      <c r="E3102" t="s">
        <v>6243</v>
      </c>
      <c r="G3102" s="1">
        <v>0.33</v>
      </c>
    </row>
    <row r="3103" spans="1:7" ht="14.25" hidden="1" customHeight="1" x14ac:dyDescent="0.45">
      <c r="A3103" t="str">
        <f>_xlfn.XLOOKUP(B3103,Ingot!$H$12:$H$119,Ingot!$G$12:$G$119,"")</f>
        <v>Wood</v>
      </c>
      <c r="B3103" t="s">
        <v>6229</v>
      </c>
      <c r="C3103" t="s">
        <v>10</v>
      </c>
      <c r="D3103" t="s">
        <v>6244</v>
      </c>
      <c r="E3103" t="s">
        <v>6245</v>
      </c>
    </row>
    <row r="3104" spans="1:7" ht="14.25" hidden="1" customHeight="1" x14ac:dyDescent="0.45">
      <c r="A3104" t="str">
        <f>_xlfn.XLOOKUP(B3104,Ingot!$H$12:$H$119,Ingot!$G$12:$G$119,"")</f>
        <v>Wood</v>
      </c>
      <c r="B3104" t="s">
        <v>6229</v>
      </c>
      <c r="C3104" t="s">
        <v>10</v>
      </c>
      <c r="D3104" t="s">
        <v>6246</v>
      </c>
      <c r="E3104" t="s">
        <v>6247</v>
      </c>
      <c r="G3104" s="1">
        <v>0.05</v>
      </c>
    </row>
    <row r="3105" spans="1:7" ht="14.25" hidden="1" customHeight="1" x14ac:dyDescent="0.45">
      <c r="A3105" t="str">
        <f>_xlfn.XLOOKUP(B3105,Ingot!$H$12:$H$119,Ingot!$G$12:$G$119,"")</f>
        <v>Wood</v>
      </c>
      <c r="B3105" t="s">
        <v>6229</v>
      </c>
      <c r="C3105" t="s">
        <v>10</v>
      </c>
      <c r="D3105" t="s">
        <v>6248</v>
      </c>
      <c r="E3105" t="s">
        <v>6249</v>
      </c>
      <c r="G3105" s="1">
        <v>0.66</v>
      </c>
    </row>
    <row r="3106" spans="1:7" ht="14.25" hidden="1" customHeight="1" x14ac:dyDescent="0.45">
      <c r="A3106" t="str">
        <f>_xlfn.XLOOKUP(B3106,Ingot!$H$12:$H$119,Ingot!$G$12:$G$119,"")</f>
        <v>Wood</v>
      </c>
      <c r="B3106" t="s">
        <v>6229</v>
      </c>
      <c r="C3106" t="s">
        <v>10</v>
      </c>
      <c r="D3106" t="s">
        <v>6250</v>
      </c>
      <c r="E3106" t="s">
        <v>6251</v>
      </c>
      <c r="G3106" s="1">
        <v>3.96</v>
      </c>
    </row>
    <row r="3107" spans="1:7" ht="14.25" hidden="1" customHeight="1" x14ac:dyDescent="0.45">
      <c r="A3107" t="str">
        <f>_xlfn.XLOOKUP(B3107,Ingot!$H$12:$H$119,Ingot!$G$12:$G$119,"")</f>
        <v>Wood</v>
      </c>
      <c r="B3107" t="s">
        <v>6229</v>
      </c>
      <c r="C3107" t="s">
        <v>10</v>
      </c>
      <c r="D3107" t="s">
        <v>6252</v>
      </c>
      <c r="E3107" t="s">
        <v>6253</v>
      </c>
      <c r="G3107" s="1">
        <v>8.77</v>
      </c>
    </row>
    <row r="3108" spans="1:7" ht="14.25" hidden="1" customHeight="1" x14ac:dyDescent="0.45">
      <c r="A3108" t="str">
        <f>_xlfn.XLOOKUP(B3108,Ingot!$H$12:$H$119,Ingot!$G$12:$G$119,"")</f>
        <v>Wood</v>
      </c>
      <c r="B3108" t="s">
        <v>6229</v>
      </c>
      <c r="C3108" t="s">
        <v>10</v>
      </c>
      <c r="D3108" t="s">
        <v>6254</v>
      </c>
      <c r="E3108" t="s">
        <v>6255</v>
      </c>
      <c r="G3108" s="1">
        <v>3.5</v>
      </c>
    </row>
    <row r="3109" spans="1:7" ht="14.25" hidden="1" customHeight="1" x14ac:dyDescent="0.45">
      <c r="A3109" t="str">
        <f>_xlfn.XLOOKUP(B3109,Ingot!$H$12:$H$119,Ingot!$G$12:$G$119,"")</f>
        <v>Wood</v>
      </c>
      <c r="B3109" t="s">
        <v>6229</v>
      </c>
      <c r="C3109" t="s">
        <v>10</v>
      </c>
      <c r="D3109" t="s">
        <v>6256</v>
      </c>
      <c r="E3109" t="s">
        <v>6257</v>
      </c>
    </row>
    <row r="3110" spans="1:7" ht="14.25" hidden="1" customHeight="1" x14ac:dyDescent="0.45">
      <c r="A3110" t="str">
        <f>_xlfn.XLOOKUP(B3110,Ingot!$H$12:$H$119,Ingot!$G$12:$G$119,"")</f>
        <v>Wood</v>
      </c>
      <c r="B3110" t="s">
        <v>6229</v>
      </c>
      <c r="C3110" t="s">
        <v>10</v>
      </c>
      <c r="D3110" t="s">
        <v>6258</v>
      </c>
      <c r="E3110" t="s">
        <v>6259</v>
      </c>
      <c r="G3110" s="1">
        <v>2.2000000000000002</v>
      </c>
    </row>
    <row r="3111" spans="1:7" ht="14.25" hidden="1" customHeight="1" x14ac:dyDescent="0.45">
      <c r="A3111" t="str">
        <f>_xlfn.XLOOKUP(B3111,Ingot!$H$12:$H$119,Ingot!$G$12:$G$119,"")</f>
        <v>Wood</v>
      </c>
      <c r="B3111" t="s">
        <v>6229</v>
      </c>
      <c r="C3111" t="s">
        <v>10</v>
      </c>
      <c r="D3111" t="s">
        <v>6260</v>
      </c>
      <c r="E3111" t="s">
        <v>6261</v>
      </c>
      <c r="G3111" s="1">
        <v>1.1000000000000001</v>
      </c>
    </row>
    <row r="3112" spans="1:7" ht="14.25" hidden="1" customHeight="1" x14ac:dyDescent="0.45">
      <c r="A3112" t="str">
        <f>_xlfn.XLOOKUP(B3112,Ingot!$H$12:$H$119,Ingot!$G$12:$G$119,"")</f>
        <v>Wood</v>
      </c>
      <c r="B3112" t="s">
        <v>6229</v>
      </c>
      <c r="C3112" t="s">
        <v>10</v>
      </c>
      <c r="D3112" t="s">
        <v>6262</v>
      </c>
      <c r="E3112" t="s">
        <v>6263</v>
      </c>
      <c r="G3112" s="1">
        <v>0.22</v>
      </c>
    </row>
    <row r="3113" spans="1:7" ht="14.25" hidden="1" customHeight="1" x14ac:dyDescent="0.45">
      <c r="A3113" t="str">
        <f>_xlfn.XLOOKUP(B3113,Ingot!$H$12:$H$119,Ingot!$G$12:$G$119,"")</f>
        <v>Wood</v>
      </c>
      <c r="B3113" t="s">
        <v>6229</v>
      </c>
      <c r="C3113" t="s">
        <v>10</v>
      </c>
      <c r="D3113" t="s">
        <v>6264</v>
      </c>
      <c r="E3113" t="s">
        <v>6265</v>
      </c>
      <c r="G3113" s="1">
        <v>8.41</v>
      </c>
    </row>
    <row r="3114" spans="1:7" ht="14.25" hidden="1" customHeight="1" x14ac:dyDescent="0.45">
      <c r="A3114" t="str">
        <f>_xlfn.XLOOKUP(B3114,Ingot!$H$12:$H$119,Ingot!$G$12:$G$119,"")</f>
        <v>Wood</v>
      </c>
      <c r="B3114" t="s">
        <v>6229</v>
      </c>
      <c r="C3114" t="s">
        <v>10</v>
      </c>
      <c r="D3114" t="s">
        <v>6266</v>
      </c>
      <c r="E3114" t="s">
        <v>6267</v>
      </c>
      <c r="G3114" s="1">
        <v>3.64</v>
      </c>
    </row>
    <row r="3115" spans="1:7" ht="14.25" hidden="1" customHeight="1" x14ac:dyDescent="0.45">
      <c r="A3115" t="str">
        <f>_xlfn.XLOOKUP(B3115,Ingot!$H$12:$H$119,Ingot!$G$12:$G$119,"")</f>
        <v>Wood</v>
      </c>
      <c r="B3115" t="s">
        <v>6229</v>
      </c>
      <c r="C3115" t="s">
        <v>10</v>
      </c>
      <c r="D3115" t="s">
        <v>6268</v>
      </c>
      <c r="E3115" t="s">
        <v>6269</v>
      </c>
      <c r="G3115" s="1">
        <v>7.05</v>
      </c>
    </row>
    <row r="3116" spans="1:7" ht="14.25" hidden="1" customHeight="1" x14ac:dyDescent="0.45">
      <c r="A3116" t="str">
        <f>_xlfn.XLOOKUP(B3116,Ingot!$H$12:$H$119,Ingot!$G$12:$G$119,"")</f>
        <v>Wood</v>
      </c>
      <c r="B3116" t="s">
        <v>6229</v>
      </c>
      <c r="C3116" t="s">
        <v>10</v>
      </c>
      <c r="D3116" t="s">
        <v>6270</v>
      </c>
      <c r="E3116" t="s">
        <v>6271</v>
      </c>
      <c r="G3116" s="1">
        <v>2.65</v>
      </c>
    </row>
    <row r="3117" spans="1:7" ht="14.25" hidden="1" customHeight="1" x14ac:dyDescent="0.45">
      <c r="A3117" t="str">
        <f>_xlfn.XLOOKUP(B3117,Ingot!$H$12:$H$119,Ingot!$G$12:$G$119,"")</f>
        <v>Wood</v>
      </c>
      <c r="B3117" t="s">
        <v>6229</v>
      </c>
      <c r="C3117" t="s">
        <v>10</v>
      </c>
      <c r="D3117" t="s">
        <v>6272</v>
      </c>
      <c r="E3117" t="s">
        <v>6273</v>
      </c>
      <c r="G3117" s="1">
        <v>9</v>
      </c>
    </row>
    <row r="3118" spans="1:7" ht="14.25" hidden="1" customHeight="1" x14ac:dyDescent="0.45">
      <c r="A3118" t="str">
        <f>_xlfn.XLOOKUP(B3118,Ingot!$H$12:$H$119,Ingot!$G$12:$G$119,"")</f>
        <v>Wood</v>
      </c>
      <c r="B3118" t="s">
        <v>6229</v>
      </c>
      <c r="C3118" t="s">
        <v>10</v>
      </c>
      <c r="D3118" t="s">
        <v>6274</v>
      </c>
      <c r="E3118" t="s">
        <v>6275</v>
      </c>
      <c r="G3118" s="1">
        <v>10.23</v>
      </c>
    </row>
    <row r="3119" spans="1:7" ht="14.25" hidden="1" customHeight="1" x14ac:dyDescent="0.45">
      <c r="A3119" t="str">
        <f>_xlfn.XLOOKUP(B3119,Ingot!$H$12:$H$119,Ingot!$G$12:$G$119,"")</f>
        <v>Wood</v>
      </c>
      <c r="B3119" t="s">
        <v>6229</v>
      </c>
      <c r="C3119" t="s">
        <v>10</v>
      </c>
      <c r="D3119" t="s">
        <v>6276</v>
      </c>
      <c r="E3119" t="s">
        <v>6277</v>
      </c>
      <c r="G3119" s="1">
        <v>7.7</v>
      </c>
    </row>
    <row r="3120" spans="1:7" ht="14.25" hidden="1" customHeight="1" x14ac:dyDescent="0.45">
      <c r="A3120" t="str">
        <f>_xlfn.XLOOKUP(B3120,Ingot!$H$12:$H$119,Ingot!$G$12:$G$119,"")</f>
        <v>Wood</v>
      </c>
      <c r="B3120" t="s">
        <v>6229</v>
      </c>
      <c r="C3120" t="s">
        <v>10</v>
      </c>
      <c r="D3120" t="s">
        <v>6278</v>
      </c>
      <c r="E3120" t="s">
        <v>6279</v>
      </c>
      <c r="G3120" s="1">
        <v>10.02</v>
      </c>
    </row>
    <row r="3121" spans="1:7" ht="14.25" hidden="1" customHeight="1" x14ac:dyDescent="0.45">
      <c r="A3121" t="str">
        <f>_xlfn.XLOOKUP(B3121,Ingot!$H$12:$H$119,Ingot!$G$12:$G$119,"")</f>
        <v>Wood</v>
      </c>
      <c r="B3121" t="s">
        <v>6229</v>
      </c>
      <c r="C3121" t="s">
        <v>10</v>
      </c>
      <c r="D3121" t="s">
        <v>6280</v>
      </c>
      <c r="E3121" t="s">
        <v>6281</v>
      </c>
      <c r="G3121" s="1">
        <v>11.81</v>
      </c>
    </row>
    <row r="3122" spans="1:7" ht="14.25" hidden="1" customHeight="1" x14ac:dyDescent="0.45">
      <c r="A3122" t="str">
        <f>_xlfn.XLOOKUP(B3122,Ingot!$H$12:$H$119,Ingot!$G$12:$G$119,"")</f>
        <v>Wood</v>
      </c>
      <c r="B3122" t="s">
        <v>6229</v>
      </c>
      <c r="C3122" t="s">
        <v>10</v>
      </c>
      <c r="D3122" t="s">
        <v>6282</v>
      </c>
      <c r="E3122" t="s">
        <v>6283</v>
      </c>
      <c r="G3122" s="1">
        <v>8.44</v>
      </c>
    </row>
    <row r="3123" spans="1:7" ht="14.25" hidden="1" customHeight="1" x14ac:dyDescent="0.45">
      <c r="A3123" t="str">
        <f>_xlfn.XLOOKUP(B3123,Ingot!$H$12:$H$119,Ingot!$G$12:$G$119,"")</f>
        <v>Wood</v>
      </c>
      <c r="B3123" t="s">
        <v>6229</v>
      </c>
      <c r="C3123" t="s">
        <v>10</v>
      </c>
      <c r="D3123" t="s">
        <v>6284</v>
      </c>
      <c r="E3123" t="s">
        <v>6285</v>
      </c>
      <c r="G3123" s="1">
        <v>10.42</v>
      </c>
    </row>
    <row r="3124" spans="1:7" ht="14.25" hidden="1" customHeight="1" x14ac:dyDescent="0.45">
      <c r="A3124" t="str">
        <f>_xlfn.XLOOKUP(B3124,Ingot!$H$12:$H$119,Ingot!$G$12:$G$119,"")</f>
        <v>Wood</v>
      </c>
      <c r="B3124" t="s">
        <v>6229</v>
      </c>
      <c r="C3124" t="s">
        <v>10</v>
      </c>
      <c r="D3124" t="s">
        <v>6286</v>
      </c>
      <c r="E3124" t="s">
        <v>6287</v>
      </c>
    </row>
    <row r="3125" spans="1:7" ht="14.25" hidden="1" customHeight="1" x14ac:dyDescent="0.45">
      <c r="A3125" t="str">
        <f>_xlfn.XLOOKUP(B3125,Ingot!$H$12:$H$119,Ingot!$G$12:$G$119,"")</f>
        <v>Wood</v>
      </c>
      <c r="B3125" t="s">
        <v>6229</v>
      </c>
      <c r="C3125" t="s">
        <v>10</v>
      </c>
      <c r="D3125" t="s">
        <v>6288</v>
      </c>
      <c r="E3125" t="s">
        <v>6289</v>
      </c>
      <c r="G3125" s="1">
        <v>7.96</v>
      </c>
    </row>
    <row r="3126" spans="1:7" ht="14.25" hidden="1" customHeight="1" x14ac:dyDescent="0.45">
      <c r="A3126" t="str">
        <f>_xlfn.XLOOKUP(B3126,Ingot!$H$12:$H$119,Ingot!$G$12:$G$119,"")</f>
        <v>Wood</v>
      </c>
      <c r="B3126" t="s">
        <v>6229</v>
      </c>
      <c r="C3126" t="s">
        <v>10</v>
      </c>
      <c r="D3126" t="s">
        <v>6290</v>
      </c>
      <c r="E3126" t="s">
        <v>6291</v>
      </c>
      <c r="G3126" s="1">
        <v>9.64</v>
      </c>
    </row>
    <row r="3127" spans="1:7" ht="14.25" hidden="1" customHeight="1" x14ac:dyDescent="0.45">
      <c r="A3127" t="str">
        <f>_xlfn.XLOOKUP(B3127,Ingot!$H$12:$H$119,Ingot!$G$12:$G$119,"")</f>
        <v>Wood</v>
      </c>
      <c r="B3127" t="s">
        <v>6229</v>
      </c>
      <c r="C3127" t="s">
        <v>10</v>
      </c>
      <c r="D3127" t="s">
        <v>6292</v>
      </c>
      <c r="E3127" t="s">
        <v>6293</v>
      </c>
      <c r="G3127" s="1">
        <v>7.94</v>
      </c>
    </row>
    <row r="3128" spans="1:7" ht="14.25" hidden="1" customHeight="1" x14ac:dyDescent="0.45">
      <c r="A3128" t="str">
        <f>_xlfn.XLOOKUP(B3128,Ingot!$H$12:$H$119,Ingot!$G$12:$G$119,"")</f>
        <v>Wood</v>
      </c>
      <c r="B3128" t="s">
        <v>6229</v>
      </c>
      <c r="C3128" t="s">
        <v>10</v>
      </c>
      <c r="D3128" t="s">
        <v>6294</v>
      </c>
      <c r="E3128" t="s">
        <v>6295</v>
      </c>
      <c r="G3128" s="1">
        <v>8.66</v>
      </c>
    </row>
    <row r="3129" spans="1:7" ht="14.25" hidden="1" customHeight="1" x14ac:dyDescent="0.45">
      <c r="A3129" t="str">
        <f>_xlfn.XLOOKUP(B3129,Ingot!$H$12:$H$119,Ingot!$G$12:$G$119,"")</f>
        <v>Wood</v>
      </c>
      <c r="B3129" t="s">
        <v>6229</v>
      </c>
      <c r="C3129" t="s">
        <v>10</v>
      </c>
      <c r="D3129" t="s">
        <v>6296</v>
      </c>
      <c r="E3129" t="s">
        <v>6297</v>
      </c>
    </row>
    <row r="3130" spans="1:7" ht="14.25" hidden="1" customHeight="1" x14ac:dyDescent="0.45">
      <c r="A3130" t="str">
        <f>_xlfn.XLOOKUP(B3130,Ingot!$H$12:$H$119,Ingot!$G$12:$G$119,"")</f>
        <v>Wood</v>
      </c>
      <c r="B3130" t="s">
        <v>6229</v>
      </c>
      <c r="C3130" t="s">
        <v>10</v>
      </c>
      <c r="D3130" t="s">
        <v>6298</v>
      </c>
      <c r="E3130" t="s">
        <v>6299</v>
      </c>
      <c r="G3130" s="1">
        <v>2.65</v>
      </c>
    </row>
    <row r="3131" spans="1:7" ht="14.25" hidden="1" customHeight="1" x14ac:dyDescent="0.45">
      <c r="A3131" t="str">
        <f>_xlfn.XLOOKUP(B3131,Ingot!$H$12:$H$119,Ingot!$G$12:$G$119,"")</f>
        <v>Wood</v>
      </c>
      <c r="B3131" t="s">
        <v>6229</v>
      </c>
      <c r="C3131" t="s">
        <v>10</v>
      </c>
      <c r="D3131" t="s">
        <v>6300</v>
      </c>
      <c r="E3131" t="s">
        <v>6301</v>
      </c>
    </row>
    <row r="3132" spans="1:7" ht="14.25" hidden="1" customHeight="1" x14ac:dyDescent="0.45">
      <c r="A3132" t="str">
        <f>_xlfn.XLOOKUP(B3132,Ingot!$H$12:$H$119,Ingot!$G$12:$G$119,"")</f>
        <v>Wood</v>
      </c>
      <c r="B3132" t="s">
        <v>6229</v>
      </c>
      <c r="C3132" t="s">
        <v>10</v>
      </c>
      <c r="D3132" t="s">
        <v>6302</v>
      </c>
      <c r="E3132" t="s">
        <v>6303</v>
      </c>
      <c r="G3132" s="1">
        <v>12.64</v>
      </c>
    </row>
    <row r="3133" spans="1:7" ht="14.25" hidden="1" customHeight="1" x14ac:dyDescent="0.45">
      <c r="A3133" t="str">
        <f>_xlfn.XLOOKUP(B3133,Ingot!$H$12:$H$119,Ingot!$G$12:$G$119,"")</f>
        <v>Wood</v>
      </c>
      <c r="B3133" t="s">
        <v>6229</v>
      </c>
      <c r="C3133" t="s">
        <v>10</v>
      </c>
      <c r="D3133" t="s">
        <v>6304</v>
      </c>
      <c r="E3133" t="s">
        <v>6305</v>
      </c>
      <c r="G3133" s="1">
        <v>22.67</v>
      </c>
    </row>
    <row r="3134" spans="1:7" ht="14.25" hidden="1" customHeight="1" x14ac:dyDescent="0.45">
      <c r="A3134" t="str">
        <f>_xlfn.XLOOKUP(B3134,Ingot!$H$12:$H$119,Ingot!$G$12:$G$119,"")</f>
        <v>Wood</v>
      </c>
      <c r="B3134" t="s">
        <v>6229</v>
      </c>
      <c r="C3134" t="s">
        <v>10</v>
      </c>
      <c r="D3134" t="s">
        <v>6306</v>
      </c>
      <c r="E3134" t="s">
        <v>6307</v>
      </c>
      <c r="G3134" s="1">
        <v>8.3800000000000008</v>
      </c>
    </row>
    <row r="3135" spans="1:7" ht="14.25" hidden="1" customHeight="1" x14ac:dyDescent="0.45">
      <c r="A3135" t="str">
        <f>_xlfn.XLOOKUP(B3135,Ingot!$H$12:$H$119,Ingot!$G$12:$G$119,"")</f>
        <v>Wood</v>
      </c>
      <c r="B3135" t="s">
        <v>6229</v>
      </c>
      <c r="C3135" t="s">
        <v>10</v>
      </c>
      <c r="D3135" t="s">
        <v>6308</v>
      </c>
      <c r="E3135" t="s">
        <v>6309</v>
      </c>
      <c r="G3135" s="1">
        <v>2.2000000000000002</v>
      </c>
    </row>
    <row r="3136" spans="1:7" ht="14.25" hidden="1" customHeight="1" x14ac:dyDescent="0.45">
      <c r="A3136" t="str">
        <f>_xlfn.XLOOKUP(B3136,Ingot!$H$12:$H$119,Ingot!$G$12:$G$119,"")</f>
        <v>Wood</v>
      </c>
      <c r="B3136" t="s">
        <v>6229</v>
      </c>
      <c r="C3136" t="s">
        <v>10</v>
      </c>
      <c r="D3136" t="s">
        <v>6310</v>
      </c>
      <c r="E3136" t="s">
        <v>6311</v>
      </c>
      <c r="G3136" s="1">
        <v>3.09</v>
      </c>
    </row>
    <row r="3137" spans="1:7" ht="14.25" hidden="1" customHeight="1" x14ac:dyDescent="0.45">
      <c r="A3137" t="str">
        <f>_xlfn.XLOOKUP(B3137,Ingot!$H$12:$H$119,Ingot!$G$12:$G$119,"")</f>
        <v>Wood</v>
      </c>
      <c r="B3137" t="s">
        <v>6229</v>
      </c>
      <c r="C3137" t="s">
        <v>10</v>
      </c>
      <c r="D3137" t="s">
        <v>6312</v>
      </c>
      <c r="E3137" t="s">
        <v>6313</v>
      </c>
      <c r="G3137" s="1">
        <v>2.2999999999999998</v>
      </c>
    </row>
    <row r="3138" spans="1:7" ht="14.25" hidden="1" customHeight="1" x14ac:dyDescent="0.45">
      <c r="A3138" t="str">
        <f>_xlfn.XLOOKUP(B3138,Ingot!$H$12:$H$119,Ingot!$G$12:$G$119,"")</f>
        <v>Wood</v>
      </c>
      <c r="B3138" t="s">
        <v>6229</v>
      </c>
      <c r="C3138" t="s">
        <v>10</v>
      </c>
      <c r="D3138" t="s">
        <v>6314</v>
      </c>
      <c r="E3138" t="s">
        <v>6315</v>
      </c>
      <c r="G3138" s="1">
        <v>4.88</v>
      </c>
    </row>
    <row r="3139" spans="1:7" ht="14.25" hidden="1" customHeight="1" x14ac:dyDescent="0.45">
      <c r="A3139" t="str">
        <f>_xlfn.XLOOKUP(B3139,Ingot!$H$12:$H$119,Ingot!$G$12:$G$119,"")</f>
        <v>Wood</v>
      </c>
      <c r="B3139" t="s">
        <v>6229</v>
      </c>
      <c r="C3139" t="s">
        <v>10</v>
      </c>
      <c r="D3139" t="s">
        <v>6316</v>
      </c>
      <c r="E3139" t="s">
        <v>6317</v>
      </c>
      <c r="G3139" s="1">
        <v>8.43</v>
      </c>
    </row>
    <row r="3140" spans="1:7" ht="14.25" hidden="1" customHeight="1" x14ac:dyDescent="0.45">
      <c r="A3140" t="str">
        <f>_xlfn.XLOOKUP(B3140,Ingot!$H$12:$H$119,Ingot!$G$12:$G$119,"")</f>
        <v>Wood</v>
      </c>
      <c r="B3140" t="s">
        <v>6229</v>
      </c>
      <c r="C3140" t="s">
        <v>10</v>
      </c>
      <c r="D3140" t="s">
        <v>6318</v>
      </c>
      <c r="E3140" t="s">
        <v>6319</v>
      </c>
      <c r="G3140" s="1">
        <v>13.07</v>
      </c>
    </row>
    <row r="3141" spans="1:7" ht="14.25" hidden="1" customHeight="1" x14ac:dyDescent="0.45">
      <c r="A3141" t="str">
        <f>_xlfn.XLOOKUP(B3141,Ingot!$H$12:$H$119,Ingot!$G$12:$G$119,"")</f>
        <v>Wood</v>
      </c>
      <c r="B3141" t="s">
        <v>6229</v>
      </c>
      <c r="C3141" t="s">
        <v>10</v>
      </c>
      <c r="D3141" t="s">
        <v>6320</v>
      </c>
      <c r="E3141" t="s">
        <v>6321</v>
      </c>
    </row>
    <row r="3142" spans="1:7" ht="14.25" hidden="1" customHeight="1" x14ac:dyDescent="0.45">
      <c r="A3142" t="str">
        <f>_xlfn.XLOOKUP(B3142,Ingot!$H$12:$H$119,Ingot!$G$12:$G$119,"")</f>
        <v>Wood</v>
      </c>
      <c r="B3142" t="s">
        <v>6229</v>
      </c>
      <c r="C3142" t="s">
        <v>10</v>
      </c>
      <c r="D3142" t="s">
        <v>6322</v>
      </c>
      <c r="E3142" t="s">
        <v>6323</v>
      </c>
    </row>
    <row r="3143" spans="1:7" ht="14.25" hidden="1" customHeight="1" x14ac:dyDescent="0.45">
      <c r="A3143" t="str">
        <f>_xlfn.XLOOKUP(B3143,Ingot!$H$12:$H$119,Ingot!$G$12:$G$119,"")</f>
        <v>Wood</v>
      </c>
      <c r="B3143" t="s">
        <v>6229</v>
      </c>
      <c r="C3143" t="s">
        <v>10</v>
      </c>
      <c r="D3143" t="s">
        <v>6324</v>
      </c>
      <c r="E3143" t="s">
        <v>6325</v>
      </c>
      <c r="G3143" s="1">
        <v>6.8</v>
      </c>
    </row>
    <row r="3144" spans="1:7" ht="14.25" hidden="1" customHeight="1" x14ac:dyDescent="0.45">
      <c r="A3144" t="str">
        <f>_xlfn.XLOOKUP(B3144,Ingot!$H$12:$H$119,Ingot!$G$12:$G$119,"")</f>
        <v>Wood</v>
      </c>
      <c r="B3144" t="s">
        <v>6229</v>
      </c>
      <c r="C3144" t="s">
        <v>10</v>
      </c>
      <c r="D3144" t="s">
        <v>6326</v>
      </c>
      <c r="E3144" t="s">
        <v>6327</v>
      </c>
      <c r="G3144" s="1">
        <v>6.88</v>
      </c>
    </row>
    <row r="3145" spans="1:7" ht="14.25" hidden="1" customHeight="1" x14ac:dyDescent="0.45">
      <c r="A3145" t="str">
        <f>_xlfn.XLOOKUP(B3145,Ingot!$H$12:$H$119,Ingot!$G$12:$G$119,"")</f>
        <v>Wood</v>
      </c>
      <c r="B3145" t="s">
        <v>6229</v>
      </c>
      <c r="C3145" t="s">
        <v>10</v>
      </c>
      <c r="D3145" t="s">
        <v>6328</v>
      </c>
      <c r="E3145" t="s">
        <v>6329</v>
      </c>
      <c r="G3145" s="1">
        <v>5.5</v>
      </c>
    </row>
    <row r="3146" spans="1:7" ht="14.25" hidden="1" customHeight="1" x14ac:dyDescent="0.45">
      <c r="A3146" t="str">
        <f>_xlfn.XLOOKUP(B3146,Ingot!$H$12:$H$119,Ingot!$G$12:$G$119,"")</f>
        <v>Wood</v>
      </c>
      <c r="B3146" t="s">
        <v>6229</v>
      </c>
      <c r="C3146" t="s">
        <v>10</v>
      </c>
      <c r="D3146" t="s">
        <v>6330</v>
      </c>
      <c r="E3146" t="s">
        <v>6331</v>
      </c>
      <c r="G3146" s="1">
        <v>2.4300000000000002</v>
      </c>
    </row>
    <row r="3147" spans="1:7" ht="14.25" hidden="1" customHeight="1" x14ac:dyDescent="0.45">
      <c r="A3147" t="str">
        <f>_xlfn.XLOOKUP(B3147,Ingot!$H$12:$H$119,Ingot!$G$12:$G$119,"")</f>
        <v>Wood</v>
      </c>
      <c r="B3147" t="s">
        <v>6229</v>
      </c>
      <c r="C3147" t="s">
        <v>10</v>
      </c>
      <c r="D3147" t="s">
        <v>6332</v>
      </c>
      <c r="E3147" t="s">
        <v>6333</v>
      </c>
      <c r="G3147" s="1">
        <v>6.96</v>
      </c>
    </row>
    <row r="3148" spans="1:7" ht="14.25" hidden="1" customHeight="1" x14ac:dyDescent="0.45">
      <c r="A3148" t="str">
        <f>_xlfn.XLOOKUP(B3148,Ingot!$H$12:$H$119,Ingot!$G$12:$G$119,"")</f>
        <v>Wood</v>
      </c>
      <c r="B3148" t="s">
        <v>6229</v>
      </c>
      <c r="C3148" t="s">
        <v>10</v>
      </c>
      <c r="D3148" t="s">
        <v>6334</v>
      </c>
      <c r="E3148" t="s">
        <v>6335</v>
      </c>
      <c r="G3148" s="1">
        <v>6.32</v>
      </c>
    </row>
    <row r="3149" spans="1:7" ht="14.25" hidden="1" customHeight="1" x14ac:dyDescent="0.45">
      <c r="A3149" t="str">
        <f>_xlfn.XLOOKUP(B3149,Ingot!$H$12:$H$119,Ingot!$G$12:$G$119,"")</f>
        <v>Wood</v>
      </c>
      <c r="B3149" t="s">
        <v>6229</v>
      </c>
      <c r="C3149" t="s">
        <v>10</v>
      </c>
      <c r="D3149" t="s">
        <v>6336</v>
      </c>
      <c r="E3149" t="s">
        <v>6337</v>
      </c>
      <c r="G3149" s="1">
        <v>6.88</v>
      </c>
    </row>
    <row r="3150" spans="1:7" ht="14.25" hidden="1" customHeight="1" x14ac:dyDescent="0.45">
      <c r="A3150" t="str">
        <f>_xlfn.XLOOKUP(B3150,Ingot!$H$12:$H$119,Ingot!$G$12:$G$119,"")</f>
        <v>Wood</v>
      </c>
      <c r="B3150" t="s">
        <v>6229</v>
      </c>
      <c r="C3150" t="s">
        <v>10</v>
      </c>
      <c r="D3150" t="s">
        <v>6338</v>
      </c>
      <c r="E3150" t="s">
        <v>6339</v>
      </c>
      <c r="G3150" s="1">
        <v>2.44</v>
      </c>
    </row>
    <row r="3151" spans="1:7" ht="14.25" hidden="1" customHeight="1" x14ac:dyDescent="0.45">
      <c r="A3151" t="str">
        <f>_xlfn.XLOOKUP(B3151,Ingot!$H$12:$H$119,Ingot!$G$12:$G$119,"")</f>
        <v>Wood</v>
      </c>
      <c r="B3151" t="s">
        <v>6229</v>
      </c>
      <c r="C3151" t="s">
        <v>10</v>
      </c>
      <c r="D3151" t="s">
        <v>6340</v>
      </c>
      <c r="E3151" t="s">
        <v>6341</v>
      </c>
    </row>
    <row r="3152" spans="1:7" ht="14.25" hidden="1" customHeight="1" x14ac:dyDescent="0.45">
      <c r="A3152" t="str">
        <f>_xlfn.XLOOKUP(B3152,Ingot!$H$12:$H$119,Ingot!$G$12:$G$119,"")</f>
        <v>Wood</v>
      </c>
      <c r="B3152" t="s">
        <v>6229</v>
      </c>
      <c r="C3152" t="s">
        <v>10</v>
      </c>
      <c r="D3152" t="s">
        <v>6342</v>
      </c>
      <c r="E3152" t="s">
        <v>6343</v>
      </c>
    </row>
    <row r="3153" spans="1:7" ht="14.25" hidden="1" customHeight="1" x14ac:dyDescent="0.45">
      <c r="A3153" t="str">
        <f>_xlfn.XLOOKUP(B3153,Ingot!$H$12:$H$119,Ingot!$G$12:$G$119,"")</f>
        <v>Wood</v>
      </c>
      <c r="B3153" t="s">
        <v>6229</v>
      </c>
      <c r="C3153" t="s">
        <v>10</v>
      </c>
      <c r="D3153" t="s">
        <v>6344</v>
      </c>
      <c r="E3153" t="s">
        <v>6345</v>
      </c>
      <c r="G3153" s="1">
        <v>3.11</v>
      </c>
    </row>
    <row r="3154" spans="1:7" ht="14.25" hidden="1" customHeight="1" x14ac:dyDescent="0.45">
      <c r="A3154" t="str">
        <f>_xlfn.XLOOKUP(B3154,Ingot!$H$12:$H$119,Ingot!$G$12:$G$119,"")</f>
        <v>Wood</v>
      </c>
      <c r="B3154" t="s">
        <v>6229</v>
      </c>
      <c r="C3154" t="s">
        <v>10</v>
      </c>
      <c r="D3154" t="s">
        <v>6346</v>
      </c>
      <c r="E3154" t="s">
        <v>6347</v>
      </c>
      <c r="G3154" s="1">
        <v>2.44</v>
      </c>
    </row>
    <row r="3155" spans="1:7" ht="14.25" hidden="1" customHeight="1" x14ac:dyDescent="0.45">
      <c r="A3155" t="str">
        <f>_xlfn.XLOOKUP(B3155,Ingot!$H$12:$H$119,Ingot!$G$12:$G$119,"")</f>
        <v>Wood</v>
      </c>
      <c r="B3155" t="s">
        <v>6229</v>
      </c>
      <c r="C3155" t="s">
        <v>10</v>
      </c>
      <c r="D3155" t="s">
        <v>6348</v>
      </c>
      <c r="E3155" t="s">
        <v>6349</v>
      </c>
      <c r="G3155" s="1">
        <v>8.61</v>
      </c>
    </row>
    <row r="3156" spans="1:7" ht="14.25" hidden="1" customHeight="1" x14ac:dyDescent="0.45">
      <c r="A3156" t="str">
        <f>_xlfn.XLOOKUP(B3156,Ingot!$H$12:$H$119,Ingot!$G$12:$G$119,"")</f>
        <v>Wood</v>
      </c>
      <c r="B3156" t="s">
        <v>6229</v>
      </c>
      <c r="C3156" t="s">
        <v>10</v>
      </c>
      <c r="D3156" t="s">
        <v>6350</v>
      </c>
      <c r="E3156" t="s">
        <v>6351</v>
      </c>
    </row>
    <row r="3157" spans="1:7" ht="14.25" hidden="1" customHeight="1" x14ac:dyDescent="0.45">
      <c r="A3157" t="str">
        <f>_xlfn.XLOOKUP(B3157,Ingot!$H$12:$H$119,Ingot!$G$12:$G$119,"")</f>
        <v>Wood</v>
      </c>
      <c r="B3157" t="s">
        <v>6229</v>
      </c>
      <c r="C3157" t="s">
        <v>10</v>
      </c>
      <c r="D3157" t="s">
        <v>6352</v>
      </c>
      <c r="E3157" t="s">
        <v>6353</v>
      </c>
      <c r="G3157" s="1">
        <v>3.21</v>
      </c>
    </row>
    <row r="3158" spans="1:7" ht="14.25" hidden="1" customHeight="1" x14ac:dyDescent="0.45">
      <c r="A3158" t="str">
        <f>_xlfn.XLOOKUP(B3158,Ingot!$H$12:$H$119,Ingot!$G$12:$G$119,"")</f>
        <v>Wood</v>
      </c>
      <c r="B3158" t="s">
        <v>6229</v>
      </c>
      <c r="C3158" t="s">
        <v>10</v>
      </c>
      <c r="D3158" t="s">
        <v>6354</v>
      </c>
      <c r="E3158" t="s">
        <v>6355</v>
      </c>
      <c r="G3158" s="1">
        <v>2.77</v>
      </c>
    </row>
    <row r="3159" spans="1:7" ht="14.25" hidden="1" customHeight="1" x14ac:dyDescent="0.45">
      <c r="A3159" t="str">
        <f>_xlfn.XLOOKUP(B3159,Ingot!$H$12:$H$119,Ingot!$G$12:$G$119,"")</f>
        <v>Wood</v>
      </c>
      <c r="B3159" t="s">
        <v>6229</v>
      </c>
      <c r="C3159" t="s">
        <v>10</v>
      </c>
      <c r="D3159" t="s">
        <v>6356</v>
      </c>
      <c r="E3159" t="s">
        <v>6357</v>
      </c>
      <c r="G3159" s="1">
        <v>4.8899999999999997</v>
      </c>
    </row>
    <row r="3160" spans="1:7" ht="14.25" hidden="1" customHeight="1" x14ac:dyDescent="0.45">
      <c r="A3160" t="str">
        <f>_xlfn.XLOOKUP(B3160,Ingot!$H$12:$H$119,Ingot!$G$12:$G$119,"")</f>
        <v>Wood</v>
      </c>
      <c r="B3160" t="s">
        <v>6229</v>
      </c>
      <c r="C3160" t="s">
        <v>10</v>
      </c>
      <c r="D3160" t="s">
        <v>6358</v>
      </c>
      <c r="E3160" t="s">
        <v>6359</v>
      </c>
      <c r="G3160" s="1">
        <v>1.76</v>
      </c>
    </row>
    <row r="3161" spans="1:7" ht="14.25" hidden="1" customHeight="1" x14ac:dyDescent="0.45">
      <c r="A3161" t="str">
        <f>_xlfn.XLOOKUP(B3161,Ingot!$H$12:$H$119,Ingot!$G$12:$G$119,"")</f>
        <v>Wood</v>
      </c>
      <c r="B3161" t="s">
        <v>6229</v>
      </c>
      <c r="C3161" t="s">
        <v>10</v>
      </c>
      <c r="D3161" t="s">
        <v>6360</v>
      </c>
      <c r="E3161" t="s">
        <v>6361</v>
      </c>
    </row>
    <row r="3162" spans="1:7" ht="14.25" hidden="1" customHeight="1" x14ac:dyDescent="0.45">
      <c r="A3162" t="str">
        <f>_xlfn.XLOOKUP(B3162,Ingot!$H$12:$H$119,Ingot!$G$12:$G$119,"")</f>
        <v>Wood</v>
      </c>
      <c r="B3162" t="s">
        <v>6229</v>
      </c>
      <c r="C3162" t="s">
        <v>10</v>
      </c>
      <c r="D3162" t="s">
        <v>6362</v>
      </c>
      <c r="E3162" t="s">
        <v>6363</v>
      </c>
      <c r="G3162" s="1">
        <v>8.57</v>
      </c>
    </row>
    <row r="3163" spans="1:7" ht="14.25" hidden="1" customHeight="1" x14ac:dyDescent="0.45">
      <c r="A3163" t="str">
        <f>_xlfn.XLOOKUP(B3163,Ingot!$H$12:$H$119,Ingot!$G$12:$G$119,"")</f>
        <v>Wood</v>
      </c>
      <c r="B3163" t="s">
        <v>6229</v>
      </c>
      <c r="C3163" t="s">
        <v>10</v>
      </c>
      <c r="D3163" t="s">
        <v>6364</v>
      </c>
      <c r="E3163" t="s">
        <v>6365</v>
      </c>
    </row>
    <row r="3164" spans="1:7" ht="14.25" hidden="1" customHeight="1" x14ac:dyDescent="0.45">
      <c r="A3164" t="str">
        <f>_xlfn.XLOOKUP(B3164,Ingot!$H$12:$H$119,Ingot!$G$12:$G$119,"")</f>
        <v>Wood</v>
      </c>
      <c r="B3164" t="s">
        <v>6229</v>
      </c>
      <c r="C3164" t="s">
        <v>10</v>
      </c>
      <c r="D3164" t="s">
        <v>6366</v>
      </c>
      <c r="E3164" t="s">
        <v>6367</v>
      </c>
      <c r="G3164" s="1">
        <v>3.56</v>
      </c>
    </row>
    <row r="3165" spans="1:7" ht="14.25" hidden="1" customHeight="1" x14ac:dyDescent="0.45">
      <c r="A3165" t="str">
        <f>_xlfn.XLOOKUP(B3165,Ingot!$H$12:$H$119,Ingot!$G$12:$G$119,"")</f>
        <v>Wood</v>
      </c>
      <c r="B3165" t="s">
        <v>6229</v>
      </c>
      <c r="C3165" t="s">
        <v>10</v>
      </c>
      <c r="D3165" t="s">
        <v>6368</v>
      </c>
      <c r="E3165" t="s">
        <v>6369</v>
      </c>
      <c r="G3165" s="1">
        <v>8.91</v>
      </c>
    </row>
    <row r="3166" spans="1:7" ht="14.25" hidden="1" customHeight="1" x14ac:dyDescent="0.45">
      <c r="A3166" t="str">
        <f>_xlfn.XLOOKUP(B3166,Ingot!$H$12:$H$119,Ingot!$G$12:$G$119,"")</f>
        <v>Wood</v>
      </c>
      <c r="B3166" t="s">
        <v>6229</v>
      </c>
      <c r="C3166" t="s">
        <v>10</v>
      </c>
      <c r="D3166" t="s">
        <v>6370</v>
      </c>
      <c r="E3166" t="s">
        <v>6371</v>
      </c>
      <c r="G3166" s="1">
        <v>11.02</v>
      </c>
    </row>
    <row r="3167" spans="1:7" ht="14.25" hidden="1" customHeight="1" x14ac:dyDescent="0.45">
      <c r="A3167" t="str">
        <f>_xlfn.XLOOKUP(B3167,Ingot!$H$12:$H$119,Ingot!$G$12:$G$119,"")</f>
        <v>Wood</v>
      </c>
      <c r="B3167" t="s">
        <v>6229</v>
      </c>
      <c r="C3167" t="s">
        <v>10</v>
      </c>
      <c r="D3167" t="s">
        <v>6372</v>
      </c>
      <c r="E3167" t="s">
        <v>6373</v>
      </c>
      <c r="G3167" s="1">
        <v>5.12</v>
      </c>
    </row>
    <row r="3168" spans="1:7" ht="14.25" hidden="1" customHeight="1" x14ac:dyDescent="0.45">
      <c r="A3168" t="str">
        <f>_xlfn.XLOOKUP(B3168,Ingot!$H$12:$H$119,Ingot!$G$12:$G$119,"")</f>
        <v>Wood</v>
      </c>
      <c r="B3168" t="s">
        <v>6229</v>
      </c>
      <c r="C3168" t="s">
        <v>10</v>
      </c>
      <c r="D3168" t="s">
        <v>6374</v>
      </c>
      <c r="E3168" t="s">
        <v>6375</v>
      </c>
      <c r="G3168" s="1">
        <v>4.41</v>
      </c>
    </row>
    <row r="3169" spans="1:7" ht="14.25" hidden="1" customHeight="1" x14ac:dyDescent="0.45">
      <c r="A3169" t="str">
        <f>_xlfn.XLOOKUP(B3169,Ingot!$H$12:$H$119,Ingot!$G$12:$G$119,"")</f>
        <v>Wood</v>
      </c>
      <c r="B3169" t="s">
        <v>6229</v>
      </c>
      <c r="C3169" t="s">
        <v>157</v>
      </c>
      <c r="D3169" t="s">
        <v>6376</v>
      </c>
      <c r="E3169" t="s">
        <v>6377</v>
      </c>
      <c r="G3169" s="1">
        <v>23.73</v>
      </c>
    </row>
    <row r="3170" spans="1:7" ht="14.25" hidden="1" customHeight="1" x14ac:dyDescent="0.45">
      <c r="A3170" t="str">
        <f>_xlfn.XLOOKUP(B3170,Ingot!$H$12:$H$119,Ingot!$G$12:$G$119,"")</f>
        <v>Wood</v>
      </c>
      <c r="B3170" t="s">
        <v>6229</v>
      </c>
      <c r="C3170" t="s">
        <v>157</v>
      </c>
      <c r="D3170" t="s">
        <v>6378</v>
      </c>
      <c r="E3170" t="s">
        <v>6379</v>
      </c>
      <c r="G3170" s="1">
        <v>5</v>
      </c>
    </row>
    <row r="3171" spans="1:7" ht="14.25" hidden="1" customHeight="1" x14ac:dyDescent="0.45">
      <c r="A3171" t="str">
        <f>_xlfn.XLOOKUP(B3171,Ingot!$H$12:$H$119,Ingot!$G$12:$G$119,"")</f>
        <v>Wood</v>
      </c>
      <c r="B3171" t="s">
        <v>6229</v>
      </c>
      <c r="C3171" t="s">
        <v>157</v>
      </c>
      <c r="D3171" t="s">
        <v>6380</v>
      </c>
      <c r="E3171" t="s">
        <v>6381</v>
      </c>
      <c r="G3171" s="1">
        <v>5</v>
      </c>
    </row>
    <row r="3172" spans="1:7" ht="14.25" hidden="1" customHeight="1" x14ac:dyDescent="0.45">
      <c r="A3172" t="str">
        <f>_xlfn.XLOOKUP(B3172,Ingot!$H$12:$H$119,Ingot!$G$12:$G$119,"")</f>
        <v>Wood</v>
      </c>
      <c r="B3172" t="s">
        <v>6229</v>
      </c>
      <c r="C3172" t="s">
        <v>157</v>
      </c>
      <c r="D3172" t="s">
        <v>6382</v>
      </c>
      <c r="E3172" t="s">
        <v>6383</v>
      </c>
      <c r="G3172" s="1">
        <v>5</v>
      </c>
    </row>
    <row r="3173" spans="1:7" ht="14.25" hidden="1" customHeight="1" x14ac:dyDescent="0.45">
      <c r="A3173" t="str">
        <f>_xlfn.XLOOKUP(B3173,Ingot!$H$12:$H$119,Ingot!$G$12:$G$119,"")</f>
        <v>Wood</v>
      </c>
      <c r="B3173" t="s">
        <v>6229</v>
      </c>
      <c r="C3173" t="s">
        <v>157</v>
      </c>
      <c r="D3173" t="s">
        <v>6384</v>
      </c>
      <c r="E3173" t="s">
        <v>6385</v>
      </c>
      <c r="G3173" s="1">
        <v>10</v>
      </c>
    </row>
    <row r="3174" spans="1:7" ht="14.25" hidden="1" customHeight="1" x14ac:dyDescent="0.45">
      <c r="A3174" t="str">
        <f>_xlfn.XLOOKUP(B3174,Ingot!$H$12:$H$119,Ingot!$G$12:$G$119,"")</f>
        <v>Wood</v>
      </c>
      <c r="B3174" t="s">
        <v>6229</v>
      </c>
      <c r="C3174" t="s">
        <v>157</v>
      </c>
      <c r="D3174" t="s">
        <v>6386</v>
      </c>
      <c r="E3174" t="s">
        <v>6387</v>
      </c>
      <c r="G3174" s="1">
        <v>20.53</v>
      </c>
    </row>
    <row r="3175" spans="1:7" ht="14.25" hidden="1" customHeight="1" x14ac:dyDescent="0.45">
      <c r="A3175" t="str">
        <f>_xlfn.XLOOKUP(B3175,Ingot!$H$12:$H$119,Ingot!$G$12:$G$119,"")</f>
        <v>Wood</v>
      </c>
      <c r="B3175" t="s">
        <v>6229</v>
      </c>
      <c r="C3175" t="s">
        <v>157</v>
      </c>
      <c r="D3175" t="s">
        <v>6388</v>
      </c>
      <c r="E3175" t="s">
        <v>6389</v>
      </c>
      <c r="G3175" s="1">
        <v>5</v>
      </c>
    </row>
    <row r="3176" spans="1:7" ht="14.25" hidden="1" customHeight="1" x14ac:dyDescent="0.45">
      <c r="A3176" t="str">
        <f>_xlfn.XLOOKUP(B3176,Ingot!$H$12:$H$119,Ingot!$G$12:$G$119,"")</f>
        <v>Wood</v>
      </c>
      <c r="B3176" t="s">
        <v>6229</v>
      </c>
      <c r="C3176" t="s">
        <v>157</v>
      </c>
      <c r="D3176" t="s">
        <v>6390</v>
      </c>
      <c r="E3176" t="s">
        <v>6391</v>
      </c>
      <c r="G3176" s="1">
        <v>5</v>
      </c>
    </row>
    <row r="3177" spans="1:7" ht="14.25" hidden="1" customHeight="1" x14ac:dyDescent="0.45">
      <c r="A3177" t="str">
        <f>_xlfn.XLOOKUP(B3177,Ingot!$H$12:$H$119,Ingot!$G$12:$G$119,"")</f>
        <v>Wood</v>
      </c>
      <c r="B3177" t="s">
        <v>6229</v>
      </c>
      <c r="C3177" t="s">
        <v>157</v>
      </c>
      <c r="D3177" t="s">
        <v>6392</v>
      </c>
      <c r="E3177" t="s">
        <v>6393</v>
      </c>
      <c r="G3177" s="1">
        <v>5</v>
      </c>
    </row>
    <row r="3178" spans="1:7" ht="14.25" hidden="1" customHeight="1" x14ac:dyDescent="0.45">
      <c r="A3178" t="str">
        <f>_xlfn.XLOOKUP(B3178,Ingot!$H$12:$H$119,Ingot!$G$12:$G$119,"")</f>
        <v>Wood</v>
      </c>
      <c r="B3178" t="s">
        <v>6229</v>
      </c>
      <c r="C3178" t="s">
        <v>157</v>
      </c>
      <c r="D3178" t="s">
        <v>6394</v>
      </c>
      <c r="E3178" t="s">
        <v>6395</v>
      </c>
      <c r="G3178" s="1">
        <v>10</v>
      </c>
    </row>
    <row r="3179" spans="1:7" ht="14.25" hidden="1" customHeight="1" x14ac:dyDescent="0.45">
      <c r="A3179" t="str">
        <f>_xlfn.XLOOKUP(B3179,Ingot!$H$12:$H$119,Ingot!$G$12:$G$119,"")</f>
        <v>Wood</v>
      </c>
      <c r="B3179" t="s">
        <v>6229</v>
      </c>
      <c r="C3179" t="s">
        <v>157</v>
      </c>
      <c r="D3179" t="s">
        <v>6396</v>
      </c>
      <c r="E3179" t="s">
        <v>6397</v>
      </c>
      <c r="F3179" t="s">
        <v>180</v>
      </c>
      <c r="G3179" s="1">
        <v>19.73</v>
      </c>
    </row>
    <row r="3180" spans="1:7" ht="14.25" hidden="1" customHeight="1" x14ac:dyDescent="0.45">
      <c r="A3180" t="str">
        <f>_xlfn.XLOOKUP(B3180,Ingot!$H$12:$H$119,Ingot!$G$12:$G$119,"")</f>
        <v>Wood</v>
      </c>
      <c r="B3180" t="s">
        <v>6229</v>
      </c>
      <c r="C3180" t="s">
        <v>157</v>
      </c>
      <c r="D3180" t="s">
        <v>6398</v>
      </c>
      <c r="E3180" t="s">
        <v>6399</v>
      </c>
      <c r="F3180" t="s">
        <v>180</v>
      </c>
      <c r="G3180" s="1">
        <v>5</v>
      </c>
    </row>
    <row r="3181" spans="1:7" ht="14.25" hidden="1" customHeight="1" x14ac:dyDescent="0.45">
      <c r="A3181" t="str">
        <f>_xlfn.XLOOKUP(B3181,Ingot!$H$12:$H$119,Ingot!$G$12:$G$119,"")</f>
        <v>Wood</v>
      </c>
      <c r="B3181" t="s">
        <v>6229</v>
      </c>
      <c r="C3181" t="s">
        <v>157</v>
      </c>
      <c r="D3181" t="s">
        <v>6400</v>
      </c>
      <c r="E3181" t="s">
        <v>6401</v>
      </c>
      <c r="F3181" t="s">
        <v>180</v>
      </c>
      <c r="G3181" s="1">
        <v>5</v>
      </c>
    </row>
    <row r="3182" spans="1:7" ht="14.25" hidden="1" customHeight="1" x14ac:dyDescent="0.45">
      <c r="A3182" t="str">
        <f>_xlfn.XLOOKUP(B3182,Ingot!$H$12:$H$119,Ingot!$G$12:$G$119,"")</f>
        <v>Wood</v>
      </c>
      <c r="B3182" t="s">
        <v>6229</v>
      </c>
      <c r="C3182" t="s">
        <v>157</v>
      </c>
      <c r="D3182" t="s">
        <v>6402</v>
      </c>
      <c r="E3182" t="s">
        <v>6403</v>
      </c>
      <c r="F3182" t="s">
        <v>180</v>
      </c>
      <c r="G3182" s="1">
        <v>5</v>
      </c>
    </row>
    <row r="3183" spans="1:7" ht="14.25" hidden="1" customHeight="1" x14ac:dyDescent="0.45">
      <c r="A3183" t="str">
        <f>_xlfn.XLOOKUP(B3183,Ingot!$H$12:$H$119,Ingot!$G$12:$G$119,"")</f>
        <v>Wood</v>
      </c>
      <c r="B3183" t="s">
        <v>6229</v>
      </c>
      <c r="C3183" t="s">
        <v>157</v>
      </c>
      <c r="D3183" t="s">
        <v>6404</v>
      </c>
      <c r="E3183" t="s">
        <v>6405</v>
      </c>
      <c r="F3183" t="s">
        <v>180</v>
      </c>
      <c r="G3183" s="1">
        <v>10</v>
      </c>
    </row>
    <row r="3184" spans="1:7" ht="14.25" hidden="1" customHeight="1" x14ac:dyDescent="0.45">
      <c r="A3184" t="str">
        <f>_xlfn.XLOOKUP(B3184,Ingot!$H$12:$H$119,Ingot!$G$12:$G$119,"")</f>
        <v>Wood</v>
      </c>
      <c r="B3184" t="s">
        <v>6229</v>
      </c>
      <c r="C3184" t="s">
        <v>157</v>
      </c>
      <c r="D3184" t="s">
        <v>6406</v>
      </c>
      <c r="E3184" t="s">
        <v>6407</v>
      </c>
      <c r="G3184" s="1">
        <v>21.73</v>
      </c>
    </row>
    <row r="3185" spans="1:7" ht="14.25" hidden="1" customHeight="1" x14ac:dyDescent="0.45">
      <c r="A3185" t="str">
        <f>_xlfn.XLOOKUP(B3185,Ingot!$H$12:$H$119,Ingot!$G$12:$G$119,"")</f>
        <v>Wood</v>
      </c>
      <c r="B3185" t="s">
        <v>6229</v>
      </c>
      <c r="C3185" t="s">
        <v>157</v>
      </c>
      <c r="D3185" t="s">
        <v>6408</v>
      </c>
      <c r="E3185" t="s">
        <v>6409</v>
      </c>
      <c r="G3185" s="1">
        <v>5</v>
      </c>
    </row>
    <row r="3186" spans="1:7" ht="14.25" hidden="1" customHeight="1" x14ac:dyDescent="0.45">
      <c r="A3186" t="str">
        <f>_xlfn.XLOOKUP(B3186,Ingot!$H$12:$H$119,Ingot!$G$12:$G$119,"")</f>
        <v>Wood</v>
      </c>
      <c r="B3186" t="s">
        <v>6229</v>
      </c>
      <c r="C3186" t="s">
        <v>157</v>
      </c>
      <c r="D3186" t="s">
        <v>6410</v>
      </c>
      <c r="E3186" t="s">
        <v>6411</v>
      </c>
      <c r="G3186" s="1">
        <v>5</v>
      </c>
    </row>
    <row r="3187" spans="1:7" ht="14.25" hidden="1" customHeight="1" x14ac:dyDescent="0.45">
      <c r="A3187" t="str">
        <f>_xlfn.XLOOKUP(B3187,Ingot!$H$12:$H$119,Ingot!$G$12:$G$119,"")</f>
        <v>Wood</v>
      </c>
      <c r="B3187" t="s">
        <v>6229</v>
      </c>
      <c r="C3187" t="s">
        <v>157</v>
      </c>
      <c r="D3187" t="s">
        <v>6412</v>
      </c>
      <c r="E3187" t="s">
        <v>6413</v>
      </c>
      <c r="G3187" s="1">
        <v>5</v>
      </c>
    </row>
    <row r="3188" spans="1:7" ht="14.25" hidden="1" customHeight="1" x14ac:dyDescent="0.45">
      <c r="A3188" t="str">
        <f>_xlfn.XLOOKUP(B3188,Ingot!$H$12:$H$119,Ingot!$G$12:$G$119,"")</f>
        <v>Wood</v>
      </c>
      <c r="B3188" t="s">
        <v>6229</v>
      </c>
      <c r="C3188" t="s">
        <v>157</v>
      </c>
      <c r="D3188" t="s">
        <v>6414</v>
      </c>
      <c r="E3188" t="s">
        <v>6415</v>
      </c>
      <c r="G3188" s="1">
        <v>10</v>
      </c>
    </row>
    <row r="3189" spans="1:7" ht="14.25" hidden="1" customHeight="1" x14ac:dyDescent="0.45">
      <c r="A3189" t="str">
        <f>_xlfn.XLOOKUP(B3189,Ingot!$H$12:$H$119,Ingot!$G$12:$G$119,"")</f>
        <v>Wood</v>
      </c>
      <c r="B3189" t="s">
        <v>6229</v>
      </c>
      <c r="C3189" t="s">
        <v>157</v>
      </c>
      <c r="D3189" t="s">
        <v>6416</v>
      </c>
      <c r="E3189" t="s">
        <v>6417</v>
      </c>
      <c r="G3189" s="1">
        <v>22.73</v>
      </c>
    </row>
    <row r="3190" spans="1:7" ht="14.25" hidden="1" customHeight="1" x14ac:dyDescent="0.45">
      <c r="A3190" t="str">
        <f>_xlfn.XLOOKUP(B3190,Ingot!$H$12:$H$119,Ingot!$G$12:$G$119,"")</f>
        <v>Wood</v>
      </c>
      <c r="B3190" t="s">
        <v>6229</v>
      </c>
      <c r="C3190" t="s">
        <v>157</v>
      </c>
      <c r="D3190" t="s">
        <v>6418</v>
      </c>
      <c r="E3190" t="s">
        <v>6419</v>
      </c>
      <c r="F3190" t="s">
        <v>180</v>
      </c>
      <c r="G3190" s="1">
        <v>5</v>
      </c>
    </row>
    <row r="3191" spans="1:7" ht="14.25" hidden="1" customHeight="1" x14ac:dyDescent="0.45">
      <c r="A3191" t="str">
        <f>_xlfn.XLOOKUP(B3191,Ingot!$H$12:$H$119,Ingot!$G$12:$G$119,"")</f>
        <v>Wood</v>
      </c>
      <c r="B3191" t="s">
        <v>6229</v>
      </c>
      <c r="C3191" t="s">
        <v>157</v>
      </c>
      <c r="D3191" t="s">
        <v>6420</v>
      </c>
      <c r="E3191" t="s">
        <v>6421</v>
      </c>
      <c r="F3191" t="s">
        <v>180</v>
      </c>
      <c r="G3191" s="1">
        <v>5</v>
      </c>
    </row>
    <row r="3192" spans="1:7" ht="14.25" hidden="1" customHeight="1" x14ac:dyDescent="0.45">
      <c r="A3192" t="str">
        <f>_xlfn.XLOOKUP(B3192,Ingot!$H$12:$H$119,Ingot!$G$12:$G$119,"")</f>
        <v>Wood</v>
      </c>
      <c r="B3192" t="s">
        <v>6229</v>
      </c>
      <c r="C3192" t="s">
        <v>157</v>
      </c>
      <c r="D3192" t="s">
        <v>6422</v>
      </c>
      <c r="E3192" t="s">
        <v>6423</v>
      </c>
      <c r="F3192" t="s">
        <v>180</v>
      </c>
      <c r="G3192" s="1">
        <v>5</v>
      </c>
    </row>
    <row r="3193" spans="1:7" ht="14.25" hidden="1" customHeight="1" x14ac:dyDescent="0.45">
      <c r="A3193" t="str">
        <f>_xlfn.XLOOKUP(B3193,Ingot!$H$12:$H$119,Ingot!$G$12:$G$119,"")</f>
        <v>Wood</v>
      </c>
      <c r="B3193" t="s">
        <v>6229</v>
      </c>
      <c r="C3193" t="s">
        <v>157</v>
      </c>
      <c r="D3193" t="s">
        <v>6424</v>
      </c>
      <c r="E3193" t="s">
        <v>6425</v>
      </c>
      <c r="G3193" s="1">
        <v>10</v>
      </c>
    </row>
    <row r="3194" spans="1:7" ht="14.25" hidden="1" customHeight="1" x14ac:dyDescent="0.45">
      <c r="A3194" t="str">
        <f>_xlfn.XLOOKUP(B3194,Ingot!$H$12:$H$119,Ingot!$G$12:$G$119,"")</f>
        <v>Wood</v>
      </c>
      <c r="B3194" t="s">
        <v>6229</v>
      </c>
      <c r="C3194" t="s">
        <v>157</v>
      </c>
      <c r="D3194" t="s">
        <v>6426</v>
      </c>
      <c r="E3194" t="s">
        <v>6427</v>
      </c>
      <c r="G3194" s="1">
        <v>26.53</v>
      </c>
    </row>
    <row r="3195" spans="1:7" ht="14.25" hidden="1" customHeight="1" x14ac:dyDescent="0.45">
      <c r="A3195" t="str">
        <f>_xlfn.XLOOKUP(B3195,Ingot!$H$12:$H$119,Ingot!$G$12:$G$119,"")</f>
        <v>Wood</v>
      </c>
      <c r="B3195" t="s">
        <v>6229</v>
      </c>
      <c r="C3195" t="s">
        <v>157</v>
      </c>
      <c r="D3195" t="s">
        <v>6428</v>
      </c>
      <c r="E3195" t="s">
        <v>6429</v>
      </c>
      <c r="G3195" s="1">
        <v>5.31</v>
      </c>
    </row>
    <row r="3196" spans="1:7" ht="14.25" hidden="1" customHeight="1" x14ac:dyDescent="0.45">
      <c r="A3196" t="str">
        <f>_xlfn.XLOOKUP(B3196,Ingot!$H$12:$H$119,Ingot!$G$12:$G$119,"")</f>
        <v>Wood</v>
      </c>
      <c r="B3196" t="s">
        <v>6229</v>
      </c>
      <c r="C3196" t="s">
        <v>157</v>
      </c>
      <c r="D3196" t="s">
        <v>6430</v>
      </c>
      <c r="E3196" t="s">
        <v>6431</v>
      </c>
      <c r="G3196" s="1">
        <v>5.31</v>
      </c>
    </row>
    <row r="3197" spans="1:7" ht="14.25" hidden="1" customHeight="1" x14ac:dyDescent="0.45">
      <c r="A3197" t="str">
        <f>_xlfn.XLOOKUP(B3197,Ingot!$H$12:$H$119,Ingot!$G$12:$G$119,"")</f>
        <v>Wood</v>
      </c>
      <c r="B3197" t="s">
        <v>6229</v>
      </c>
      <c r="C3197" t="s">
        <v>157</v>
      </c>
      <c r="D3197" t="s">
        <v>6432</v>
      </c>
      <c r="E3197" t="s">
        <v>6433</v>
      </c>
      <c r="G3197" s="1">
        <v>5</v>
      </c>
    </row>
    <row r="3198" spans="1:7" ht="14.25" hidden="1" customHeight="1" x14ac:dyDescent="0.45">
      <c r="A3198" t="str">
        <f>_xlfn.XLOOKUP(B3198,Ingot!$H$12:$H$119,Ingot!$G$12:$G$119,"")</f>
        <v>Wood</v>
      </c>
      <c r="B3198" t="s">
        <v>6229</v>
      </c>
      <c r="C3198" t="s">
        <v>157</v>
      </c>
      <c r="D3198" t="s">
        <v>6434</v>
      </c>
      <c r="E3198" t="s">
        <v>6435</v>
      </c>
      <c r="G3198" s="1">
        <v>10</v>
      </c>
    </row>
    <row r="3199" spans="1:7" ht="14.25" hidden="1" customHeight="1" x14ac:dyDescent="0.45">
      <c r="A3199" t="str">
        <f>_xlfn.XLOOKUP(B3199,Ingot!$H$12:$H$119,Ingot!$G$12:$G$119,"")</f>
        <v>Wood</v>
      </c>
      <c r="B3199" t="s">
        <v>6229</v>
      </c>
      <c r="C3199" t="s">
        <v>157</v>
      </c>
      <c r="D3199" t="s">
        <v>6436</v>
      </c>
      <c r="E3199" t="s">
        <v>6437</v>
      </c>
      <c r="G3199" s="1">
        <v>25.23</v>
      </c>
    </row>
    <row r="3200" spans="1:7" ht="14.25" hidden="1" customHeight="1" x14ac:dyDescent="0.45">
      <c r="A3200" t="str">
        <f>_xlfn.XLOOKUP(B3200,Ingot!$H$12:$H$119,Ingot!$G$12:$G$119,"")</f>
        <v>Wood</v>
      </c>
      <c r="B3200" t="s">
        <v>6229</v>
      </c>
      <c r="C3200" t="s">
        <v>157</v>
      </c>
      <c r="D3200" t="s">
        <v>6438</v>
      </c>
      <c r="E3200" t="s">
        <v>6439</v>
      </c>
      <c r="G3200" s="1">
        <v>5.05</v>
      </c>
    </row>
    <row r="3201" spans="1:7" ht="14.25" hidden="1" customHeight="1" x14ac:dyDescent="0.45">
      <c r="A3201" t="str">
        <f>_xlfn.XLOOKUP(B3201,Ingot!$H$12:$H$119,Ingot!$G$12:$G$119,"")</f>
        <v>Wood</v>
      </c>
      <c r="B3201" t="s">
        <v>6229</v>
      </c>
      <c r="C3201" t="s">
        <v>157</v>
      </c>
      <c r="D3201" t="s">
        <v>6440</v>
      </c>
      <c r="E3201" t="s">
        <v>6441</v>
      </c>
      <c r="G3201" s="1">
        <v>5.05</v>
      </c>
    </row>
    <row r="3202" spans="1:7" ht="14.25" hidden="1" customHeight="1" x14ac:dyDescent="0.45">
      <c r="A3202" t="str">
        <f>_xlfn.XLOOKUP(B3202,Ingot!$H$12:$H$119,Ingot!$G$12:$G$119,"")</f>
        <v>Wood</v>
      </c>
      <c r="B3202" t="s">
        <v>6229</v>
      </c>
      <c r="C3202" t="s">
        <v>157</v>
      </c>
      <c r="D3202" t="s">
        <v>6442</v>
      </c>
      <c r="E3202" t="s">
        <v>6443</v>
      </c>
      <c r="G3202" s="1">
        <v>5</v>
      </c>
    </row>
    <row r="3203" spans="1:7" ht="14.25" hidden="1" customHeight="1" x14ac:dyDescent="0.45">
      <c r="A3203" t="str">
        <f>_xlfn.XLOOKUP(B3203,Ingot!$H$12:$H$119,Ingot!$G$12:$G$119,"")</f>
        <v>Wood</v>
      </c>
      <c r="B3203" t="s">
        <v>6229</v>
      </c>
      <c r="C3203" t="s">
        <v>157</v>
      </c>
      <c r="D3203" t="s">
        <v>6444</v>
      </c>
      <c r="E3203" t="s">
        <v>6445</v>
      </c>
      <c r="G3203" s="1">
        <v>10</v>
      </c>
    </row>
    <row r="3204" spans="1:7" ht="14.25" hidden="1" customHeight="1" x14ac:dyDescent="0.45">
      <c r="A3204" t="str">
        <f>_xlfn.XLOOKUP(B3204,Ingot!$H$12:$H$119,Ingot!$G$12:$G$119,"")</f>
        <v>Wood</v>
      </c>
      <c r="B3204" t="s">
        <v>6229</v>
      </c>
      <c r="C3204" t="s">
        <v>157</v>
      </c>
      <c r="D3204" t="s">
        <v>6446</v>
      </c>
      <c r="E3204" t="s">
        <v>6447</v>
      </c>
      <c r="F3204" t="s">
        <v>180</v>
      </c>
      <c r="G3204" s="1">
        <v>18.93</v>
      </c>
    </row>
    <row r="3205" spans="1:7" ht="14.25" hidden="1" customHeight="1" x14ac:dyDescent="0.45">
      <c r="A3205" t="str">
        <f>_xlfn.XLOOKUP(B3205,Ingot!$H$12:$H$119,Ingot!$G$12:$G$119,"")</f>
        <v>Wood</v>
      </c>
      <c r="B3205" t="s">
        <v>6229</v>
      </c>
      <c r="C3205" t="s">
        <v>157</v>
      </c>
      <c r="D3205" t="s">
        <v>6448</v>
      </c>
      <c r="E3205" t="s">
        <v>6449</v>
      </c>
      <c r="F3205" t="s">
        <v>180</v>
      </c>
      <c r="G3205" s="1">
        <v>5</v>
      </c>
    </row>
    <row r="3206" spans="1:7" ht="14.25" hidden="1" customHeight="1" x14ac:dyDescent="0.45">
      <c r="A3206" t="str">
        <f>_xlfn.XLOOKUP(B3206,Ingot!$H$12:$H$119,Ingot!$G$12:$G$119,"")</f>
        <v>Wood</v>
      </c>
      <c r="B3206" t="s">
        <v>6229</v>
      </c>
      <c r="C3206" t="s">
        <v>157</v>
      </c>
      <c r="D3206" t="s">
        <v>6450</v>
      </c>
      <c r="E3206" t="s">
        <v>6451</v>
      </c>
      <c r="F3206" t="s">
        <v>180</v>
      </c>
      <c r="G3206" s="1">
        <v>5</v>
      </c>
    </row>
    <row r="3207" spans="1:7" ht="14.25" hidden="1" customHeight="1" x14ac:dyDescent="0.45">
      <c r="A3207" t="str">
        <f>_xlfn.XLOOKUP(B3207,Ingot!$H$12:$H$119,Ingot!$G$12:$G$119,"")</f>
        <v>Wood</v>
      </c>
      <c r="B3207" t="s">
        <v>6229</v>
      </c>
      <c r="C3207" t="s">
        <v>157</v>
      </c>
      <c r="D3207" t="s">
        <v>6452</v>
      </c>
      <c r="E3207" t="s">
        <v>6453</v>
      </c>
      <c r="F3207" t="s">
        <v>180</v>
      </c>
      <c r="G3207" s="1">
        <v>5</v>
      </c>
    </row>
    <row r="3208" spans="1:7" ht="14.25" hidden="1" customHeight="1" x14ac:dyDescent="0.45">
      <c r="A3208" t="str">
        <f>_xlfn.XLOOKUP(B3208,Ingot!$H$12:$H$119,Ingot!$G$12:$G$119,"")</f>
        <v>Wood</v>
      </c>
      <c r="B3208" t="s">
        <v>6229</v>
      </c>
      <c r="C3208" t="s">
        <v>157</v>
      </c>
      <c r="D3208" t="s">
        <v>6454</v>
      </c>
      <c r="E3208" t="s">
        <v>6455</v>
      </c>
      <c r="F3208" t="s">
        <v>180</v>
      </c>
      <c r="G3208" s="1">
        <v>10</v>
      </c>
    </row>
    <row r="3209" spans="1:7" ht="14.25" hidden="1" customHeight="1" x14ac:dyDescent="0.45">
      <c r="A3209" t="str">
        <f>_xlfn.XLOOKUP(B3209,Ingot!$H$12:$H$119,Ingot!$G$12:$G$119,"")</f>
        <v>Wood</v>
      </c>
      <c r="B3209" t="s">
        <v>6229</v>
      </c>
      <c r="C3209" t="s">
        <v>239</v>
      </c>
      <c r="D3209" t="s">
        <v>6456</v>
      </c>
      <c r="E3209" t="s">
        <v>6457</v>
      </c>
      <c r="G3209" s="1">
        <f>(VLOOKUP(B3209,Ingot!H:I,2,FALSE()) * 0.75) * 0.75</f>
        <v>4.5</v>
      </c>
    </row>
    <row r="3210" spans="1:7" ht="14.25" hidden="1" customHeight="1" x14ac:dyDescent="0.45">
      <c r="A3210" t="str">
        <f>_xlfn.XLOOKUP(B3210,Ingot!$H$12:$H$119,Ingot!$G$12:$G$119,"")</f>
        <v>Wood</v>
      </c>
      <c r="B3210" t="s">
        <v>6229</v>
      </c>
      <c r="C3210" t="s">
        <v>239</v>
      </c>
      <c r="D3210" t="s">
        <v>6458</v>
      </c>
      <c r="E3210" t="s">
        <v>6459</v>
      </c>
      <c r="G3210" s="1">
        <f>((VLOOKUP(B3210,Ingot!H:I,2,FALSE()) * 3) - 10.25) * 0.421875</f>
        <v>5.80078125</v>
      </c>
    </row>
    <row r="3211" spans="1:7" ht="14.25" hidden="1" customHeight="1" x14ac:dyDescent="0.45">
      <c r="A3211" t="str">
        <f>_xlfn.XLOOKUP(B3211,Ingot!$H$12:$H$119,Ingot!$G$12:$G$119,"")</f>
        <v>Wood</v>
      </c>
      <c r="B3211" t="s">
        <v>6229</v>
      </c>
      <c r="C3211" t="s">
        <v>239</v>
      </c>
      <c r="D3211" t="s">
        <v>6460</v>
      </c>
      <c r="E3211" t="s">
        <v>6461</v>
      </c>
      <c r="G3211" s="1">
        <f>((VLOOKUP(B3211,Ingot!H:I,2,FALSE()) * 3) - 10.25) * 0.75</f>
        <v>10.3125</v>
      </c>
    </row>
    <row r="3212" spans="1:7" ht="14.25" hidden="1" customHeight="1" x14ac:dyDescent="0.45">
      <c r="A3212" t="str">
        <f>_xlfn.XLOOKUP(B3212,Ingot!$H$12:$H$119,Ingot!$G$12:$G$119,"")</f>
        <v>Wood</v>
      </c>
      <c r="B3212" t="s">
        <v>6229</v>
      </c>
      <c r="C3212" t="s">
        <v>239</v>
      </c>
      <c r="D3212" t="s">
        <v>6462</v>
      </c>
      <c r="E3212" t="s">
        <v>6463</v>
      </c>
      <c r="G3212" s="1">
        <f>((VLOOKUP(B3212,Ingot!H:I,2,FALSE()) * 3) - 10.25) * 0.5625</f>
        <v>7.734375</v>
      </c>
    </row>
    <row r="3213" spans="1:7" ht="14.25" hidden="1" customHeight="1" x14ac:dyDescent="0.45">
      <c r="A3213" t="str">
        <f>_xlfn.XLOOKUP(B3213,Ingot!$H$12:$H$119,Ingot!$G$12:$G$119,"")</f>
        <v>Wood</v>
      </c>
      <c r="B3213" t="s">
        <v>6229</v>
      </c>
      <c r="C3213" t="s">
        <v>239</v>
      </c>
      <c r="D3213" t="s">
        <v>6464</v>
      </c>
      <c r="E3213" t="s">
        <v>6465</v>
      </c>
      <c r="G3213" s="1">
        <f>VLOOKUP(B3213,Ingot!H:I,2,FALSE()) * 0.75</f>
        <v>6</v>
      </c>
    </row>
    <row r="3214" spans="1:7" ht="14.25" hidden="1" customHeight="1" x14ac:dyDescent="0.45">
      <c r="A3214" t="str">
        <f>_xlfn.XLOOKUP(B3214,Ingot!$H$12:$H$119,Ingot!$G$12:$G$119,"")</f>
        <v>Wood</v>
      </c>
      <c r="B3214" t="s">
        <v>6229</v>
      </c>
      <c r="C3214" t="s">
        <v>239</v>
      </c>
      <c r="D3214" t="s">
        <v>6466</v>
      </c>
      <c r="E3214" t="s">
        <v>6467</v>
      </c>
      <c r="G3214" s="1">
        <f>(VLOOKUP(B3214,Ingot!H:I,2,FALSE()) * 3) - 10.25</f>
        <v>13.75</v>
      </c>
    </row>
    <row r="3215" spans="1:7" ht="14.25" hidden="1" customHeight="1" x14ac:dyDescent="0.45">
      <c r="A3215" t="str">
        <f>_xlfn.XLOOKUP(B3215,Ingot!$H$12:$H$119,Ingot!$G$12:$G$119,"")</f>
        <v>Wood</v>
      </c>
      <c r="B3215" t="s">
        <v>6468</v>
      </c>
      <c r="C3215" t="s">
        <v>10</v>
      </c>
      <c r="D3215" t="s">
        <v>6469</v>
      </c>
      <c r="E3215" t="s">
        <v>6470</v>
      </c>
      <c r="G3215" s="1">
        <v>0.08</v>
      </c>
    </row>
    <row r="3216" spans="1:7" ht="14.25" hidden="1" customHeight="1" x14ac:dyDescent="0.45">
      <c r="A3216" t="str">
        <f>_xlfn.XLOOKUP(B3216,Ingot!$H$12:$H$119,Ingot!$G$12:$G$119,"")</f>
        <v>Wood</v>
      </c>
      <c r="B3216" t="s">
        <v>6468</v>
      </c>
      <c r="C3216" t="s">
        <v>10</v>
      </c>
      <c r="D3216" t="s">
        <v>6471</v>
      </c>
      <c r="E3216" t="s">
        <v>6472</v>
      </c>
      <c r="G3216" s="1">
        <v>9.9</v>
      </c>
    </row>
    <row r="3217" spans="1:7" ht="14.25" hidden="1" customHeight="1" x14ac:dyDescent="0.45">
      <c r="A3217" t="str">
        <f>_xlfn.XLOOKUP(B3217,Ingot!$H$12:$H$119,Ingot!$G$12:$G$119,"")</f>
        <v>Wood</v>
      </c>
      <c r="B3217" t="s">
        <v>6468</v>
      </c>
      <c r="C3217" t="s">
        <v>10</v>
      </c>
      <c r="D3217" t="s">
        <v>6473</v>
      </c>
      <c r="E3217" t="s">
        <v>6474</v>
      </c>
      <c r="G3217" s="1">
        <v>5.66</v>
      </c>
    </row>
    <row r="3218" spans="1:7" ht="14.25" hidden="1" customHeight="1" x14ac:dyDescent="0.45">
      <c r="A3218" t="str">
        <f>_xlfn.XLOOKUP(B3218,Ingot!$H$12:$H$119,Ingot!$G$12:$G$119,"")</f>
        <v>Wood</v>
      </c>
      <c r="B3218" t="s">
        <v>6468</v>
      </c>
      <c r="C3218" t="s">
        <v>10</v>
      </c>
      <c r="D3218" t="s">
        <v>6475</v>
      </c>
      <c r="E3218" t="s">
        <v>6476</v>
      </c>
      <c r="G3218" s="1">
        <v>3.3</v>
      </c>
    </row>
    <row r="3219" spans="1:7" ht="14.25" hidden="1" customHeight="1" x14ac:dyDescent="0.45">
      <c r="A3219" t="str">
        <f>_xlfn.XLOOKUP(B3219,Ingot!$H$12:$H$119,Ingot!$G$12:$G$119,"")</f>
        <v>Wood</v>
      </c>
      <c r="B3219" t="s">
        <v>6468</v>
      </c>
      <c r="C3219" t="s">
        <v>10</v>
      </c>
      <c r="D3219" t="s">
        <v>6477</v>
      </c>
      <c r="E3219" t="s">
        <v>6478</v>
      </c>
      <c r="G3219" s="1">
        <v>0.66</v>
      </c>
    </row>
    <row r="3220" spans="1:7" ht="14.25" hidden="1" customHeight="1" x14ac:dyDescent="0.45">
      <c r="A3220" t="str">
        <f>_xlfn.XLOOKUP(B3220,Ingot!$H$12:$H$119,Ingot!$G$12:$G$119,"")</f>
        <v>Wood</v>
      </c>
      <c r="B3220" t="s">
        <v>6468</v>
      </c>
      <c r="C3220" t="s">
        <v>10</v>
      </c>
      <c r="D3220" t="s">
        <v>6479</v>
      </c>
      <c r="E3220" t="s">
        <v>6480</v>
      </c>
      <c r="G3220" s="1">
        <v>0.04</v>
      </c>
    </row>
    <row r="3221" spans="1:7" ht="14.25" hidden="1" customHeight="1" x14ac:dyDescent="0.45">
      <c r="A3221" t="str">
        <f>_xlfn.XLOOKUP(B3221,Ingot!$H$12:$H$119,Ingot!$G$12:$G$119,"")</f>
        <v>Wood</v>
      </c>
      <c r="B3221" t="s">
        <v>6468</v>
      </c>
      <c r="C3221" t="s">
        <v>10</v>
      </c>
      <c r="D3221" t="s">
        <v>6481</v>
      </c>
      <c r="E3221" t="s">
        <v>6482</v>
      </c>
      <c r="G3221" s="1">
        <v>0.33</v>
      </c>
    </row>
    <row r="3222" spans="1:7" ht="14.25" hidden="1" customHeight="1" x14ac:dyDescent="0.45">
      <c r="A3222" t="str">
        <f>_xlfn.XLOOKUP(B3222,Ingot!$H$12:$H$119,Ingot!$G$12:$G$119,"")</f>
        <v>Wood</v>
      </c>
      <c r="B3222" t="s">
        <v>6468</v>
      </c>
      <c r="C3222" t="s">
        <v>10</v>
      </c>
      <c r="D3222" t="s">
        <v>6483</v>
      </c>
      <c r="E3222" t="s">
        <v>6484</v>
      </c>
    </row>
    <row r="3223" spans="1:7" ht="14.25" hidden="1" customHeight="1" x14ac:dyDescent="0.45">
      <c r="A3223" t="str">
        <f>_xlfn.XLOOKUP(B3223,Ingot!$H$12:$H$119,Ingot!$G$12:$G$119,"")</f>
        <v>Wood</v>
      </c>
      <c r="B3223" t="s">
        <v>6468</v>
      </c>
      <c r="C3223" t="s">
        <v>10</v>
      </c>
      <c r="D3223" t="s">
        <v>6485</v>
      </c>
      <c r="E3223" t="s">
        <v>6486</v>
      </c>
      <c r="G3223" s="1">
        <v>0.05</v>
      </c>
    </row>
    <row r="3224" spans="1:7" ht="14.25" hidden="1" customHeight="1" x14ac:dyDescent="0.45">
      <c r="A3224" t="str">
        <f>_xlfn.XLOOKUP(B3224,Ingot!$H$12:$H$119,Ingot!$G$12:$G$119,"")</f>
        <v>Wood</v>
      </c>
      <c r="B3224" t="s">
        <v>6468</v>
      </c>
      <c r="C3224" t="s">
        <v>10</v>
      </c>
      <c r="D3224" t="s">
        <v>6487</v>
      </c>
      <c r="E3224" t="s">
        <v>6488</v>
      </c>
      <c r="G3224" s="1">
        <v>0.66</v>
      </c>
    </row>
    <row r="3225" spans="1:7" ht="14.25" hidden="1" customHeight="1" x14ac:dyDescent="0.45">
      <c r="A3225" t="str">
        <f>_xlfn.XLOOKUP(B3225,Ingot!$H$12:$H$119,Ingot!$G$12:$G$119,"")</f>
        <v>Wood</v>
      </c>
      <c r="B3225" t="s">
        <v>6468</v>
      </c>
      <c r="C3225" t="s">
        <v>10</v>
      </c>
      <c r="D3225" t="s">
        <v>6489</v>
      </c>
      <c r="E3225" t="s">
        <v>6490</v>
      </c>
      <c r="G3225" s="1">
        <v>3.96</v>
      </c>
    </row>
    <row r="3226" spans="1:7" ht="14.25" hidden="1" customHeight="1" x14ac:dyDescent="0.45">
      <c r="A3226" t="str">
        <f>_xlfn.XLOOKUP(B3226,Ingot!$H$12:$H$119,Ingot!$G$12:$G$119,"")</f>
        <v>Wood</v>
      </c>
      <c r="B3226" t="s">
        <v>6468</v>
      </c>
      <c r="C3226" t="s">
        <v>10</v>
      </c>
      <c r="D3226" t="s">
        <v>6491</v>
      </c>
      <c r="E3226" t="s">
        <v>6492</v>
      </c>
      <c r="G3226" s="1">
        <v>8.77</v>
      </c>
    </row>
    <row r="3227" spans="1:7" ht="14.25" hidden="1" customHeight="1" x14ac:dyDescent="0.45">
      <c r="A3227" t="str">
        <f>_xlfn.XLOOKUP(B3227,Ingot!$H$12:$H$119,Ingot!$G$12:$G$119,"")</f>
        <v>Wood</v>
      </c>
      <c r="B3227" t="s">
        <v>6468</v>
      </c>
      <c r="C3227" t="s">
        <v>10</v>
      </c>
      <c r="D3227" t="s">
        <v>6493</v>
      </c>
      <c r="E3227" t="s">
        <v>6494</v>
      </c>
      <c r="G3227" s="1">
        <v>3.5</v>
      </c>
    </row>
    <row r="3228" spans="1:7" ht="14.25" hidden="1" customHeight="1" x14ac:dyDescent="0.45">
      <c r="A3228" t="str">
        <f>_xlfn.XLOOKUP(B3228,Ingot!$H$12:$H$119,Ingot!$G$12:$G$119,"")</f>
        <v>Wood</v>
      </c>
      <c r="B3228" t="s">
        <v>6468</v>
      </c>
      <c r="C3228" t="s">
        <v>10</v>
      </c>
      <c r="D3228" t="s">
        <v>6495</v>
      </c>
      <c r="E3228" t="s">
        <v>6496</v>
      </c>
    </row>
    <row r="3229" spans="1:7" ht="14.25" hidden="1" customHeight="1" x14ac:dyDescent="0.45">
      <c r="A3229" t="str">
        <f>_xlfn.XLOOKUP(B3229,Ingot!$H$12:$H$119,Ingot!$G$12:$G$119,"")</f>
        <v>Wood</v>
      </c>
      <c r="B3229" t="s">
        <v>6468</v>
      </c>
      <c r="C3229" t="s">
        <v>10</v>
      </c>
      <c r="D3229" t="s">
        <v>6497</v>
      </c>
      <c r="E3229" t="s">
        <v>6498</v>
      </c>
      <c r="G3229" s="1">
        <v>2.2000000000000002</v>
      </c>
    </row>
    <row r="3230" spans="1:7" ht="14.25" hidden="1" customHeight="1" x14ac:dyDescent="0.45">
      <c r="A3230" t="str">
        <f>_xlfn.XLOOKUP(B3230,Ingot!$H$12:$H$119,Ingot!$G$12:$G$119,"")</f>
        <v>Wood</v>
      </c>
      <c r="B3230" t="s">
        <v>6468</v>
      </c>
      <c r="C3230" t="s">
        <v>10</v>
      </c>
      <c r="D3230" t="s">
        <v>6499</v>
      </c>
      <c r="E3230" t="s">
        <v>6500</v>
      </c>
      <c r="G3230" s="1">
        <v>1.1000000000000001</v>
      </c>
    </row>
    <row r="3231" spans="1:7" ht="14.25" hidden="1" customHeight="1" x14ac:dyDescent="0.45">
      <c r="A3231" t="str">
        <f>_xlfn.XLOOKUP(B3231,Ingot!$H$12:$H$119,Ingot!$G$12:$G$119,"")</f>
        <v>Wood</v>
      </c>
      <c r="B3231" t="s">
        <v>6468</v>
      </c>
      <c r="C3231" t="s">
        <v>10</v>
      </c>
      <c r="D3231" t="s">
        <v>6501</v>
      </c>
      <c r="E3231" t="s">
        <v>6502</v>
      </c>
      <c r="G3231" s="1">
        <v>0.22</v>
      </c>
    </row>
    <row r="3232" spans="1:7" ht="14.25" hidden="1" customHeight="1" x14ac:dyDescent="0.45">
      <c r="A3232" t="str">
        <f>_xlfn.XLOOKUP(B3232,Ingot!$H$12:$H$119,Ingot!$G$12:$G$119,"")</f>
        <v>Wood</v>
      </c>
      <c r="B3232" t="s">
        <v>6468</v>
      </c>
      <c r="C3232" t="s">
        <v>10</v>
      </c>
      <c r="D3232" t="s">
        <v>6503</v>
      </c>
      <c r="E3232" t="s">
        <v>6504</v>
      </c>
      <c r="G3232" s="1">
        <v>8.41</v>
      </c>
    </row>
    <row r="3233" spans="1:7" ht="14.25" hidden="1" customHeight="1" x14ac:dyDescent="0.45">
      <c r="A3233" t="str">
        <f>_xlfn.XLOOKUP(B3233,Ingot!$H$12:$H$119,Ingot!$G$12:$G$119,"")</f>
        <v>Wood</v>
      </c>
      <c r="B3233" t="s">
        <v>6468</v>
      </c>
      <c r="C3233" t="s">
        <v>10</v>
      </c>
      <c r="D3233" t="s">
        <v>6505</v>
      </c>
      <c r="E3233" t="s">
        <v>6506</v>
      </c>
      <c r="G3233" s="1">
        <v>3.64</v>
      </c>
    </row>
    <row r="3234" spans="1:7" ht="14.25" hidden="1" customHeight="1" x14ac:dyDescent="0.45">
      <c r="A3234" t="str">
        <f>_xlfn.XLOOKUP(B3234,Ingot!$H$12:$H$119,Ingot!$G$12:$G$119,"")</f>
        <v>Wood</v>
      </c>
      <c r="B3234" t="s">
        <v>6468</v>
      </c>
      <c r="C3234" t="s">
        <v>10</v>
      </c>
      <c r="D3234" t="s">
        <v>6507</v>
      </c>
      <c r="E3234" t="s">
        <v>6508</v>
      </c>
      <c r="G3234" s="1">
        <v>7.05</v>
      </c>
    </row>
    <row r="3235" spans="1:7" ht="14.25" hidden="1" customHeight="1" x14ac:dyDescent="0.45">
      <c r="A3235" t="str">
        <f>_xlfn.XLOOKUP(B3235,Ingot!$H$12:$H$119,Ingot!$G$12:$G$119,"")</f>
        <v>Wood</v>
      </c>
      <c r="B3235" t="s">
        <v>6468</v>
      </c>
      <c r="C3235" t="s">
        <v>10</v>
      </c>
      <c r="D3235" t="s">
        <v>6509</v>
      </c>
      <c r="E3235" t="s">
        <v>6510</v>
      </c>
      <c r="G3235" s="1">
        <v>2.65</v>
      </c>
    </row>
    <row r="3236" spans="1:7" ht="14.25" hidden="1" customHeight="1" x14ac:dyDescent="0.45">
      <c r="A3236" t="str">
        <f>_xlfn.XLOOKUP(B3236,Ingot!$H$12:$H$119,Ingot!$G$12:$G$119,"")</f>
        <v>Wood</v>
      </c>
      <c r="B3236" t="s">
        <v>6468</v>
      </c>
      <c r="C3236" t="s">
        <v>10</v>
      </c>
      <c r="D3236" t="s">
        <v>6511</v>
      </c>
      <c r="E3236" t="s">
        <v>6512</v>
      </c>
      <c r="G3236" s="1">
        <v>9</v>
      </c>
    </row>
    <row r="3237" spans="1:7" ht="14.25" hidden="1" customHeight="1" x14ac:dyDescent="0.45">
      <c r="A3237" t="str">
        <f>_xlfn.XLOOKUP(B3237,Ingot!$H$12:$H$119,Ingot!$G$12:$G$119,"")</f>
        <v>Wood</v>
      </c>
      <c r="B3237" t="s">
        <v>6468</v>
      </c>
      <c r="C3237" t="s">
        <v>10</v>
      </c>
      <c r="D3237" t="s">
        <v>6513</v>
      </c>
      <c r="E3237" t="s">
        <v>6514</v>
      </c>
      <c r="G3237" s="1">
        <v>10.23</v>
      </c>
    </row>
    <row r="3238" spans="1:7" ht="14.25" hidden="1" customHeight="1" x14ac:dyDescent="0.45">
      <c r="A3238" t="str">
        <f>_xlfn.XLOOKUP(B3238,Ingot!$H$12:$H$119,Ingot!$G$12:$G$119,"")</f>
        <v>Wood</v>
      </c>
      <c r="B3238" t="s">
        <v>6468</v>
      </c>
      <c r="C3238" t="s">
        <v>10</v>
      </c>
      <c r="D3238" t="s">
        <v>6515</v>
      </c>
      <c r="E3238" t="s">
        <v>6516</v>
      </c>
      <c r="G3238" s="1">
        <v>7.7</v>
      </c>
    </row>
    <row r="3239" spans="1:7" ht="14.25" hidden="1" customHeight="1" x14ac:dyDescent="0.45">
      <c r="A3239" t="str">
        <f>_xlfn.XLOOKUP(B3239,Ingot!$H$12:$H$119,Ingot!$G$12:$G$119,"")</f>
        <v>Wood</v>
      </c>
      <c r="B3239" t="s">
        <v>6468</v>
      </c>
      <c r="C3239" t="s">
        <v>10</v>
      </c>
      <c r="D3239" t="s">
        <v>6517</v>
      </c>
      <c r="E3239" t="s">
        <v>6518</v>
      </c>
      <c r="G3239" s="1">
        <v>10.02</v>
      </c>
    </row>
    <row r="3240" spans="1:7" ht="14.25" hidden="1" customHeight="1" x14ac:dyDescent="0.45">
      <c r="A3240" t="str">
        <f>_xlfn.XLOOKUP(B3240,Ingot!$H$12:$H$119,Ingot!$G$12:$G$119,"")</f>
        <v>Wood</v>
      </c>
      <c r="B3240" t="s">
        <v>6468</v>
      </c>
      <c r="C3240" t="s">
        <v>10</v>
      </c>
      <c r="D3240" t="s">
        <v>6519</v>
      </c>
      <c r="E3240" t="s">
        <v>6520</v>
      </c>
      <c r="G3240" s="1">
        <v>11.81</v>
      </c>
    </row>
    <row r="3241" spans="1:7" ht="14.25" hidden="1" customHeight="1" x14ac:dyDescent="0.45">
      <c r="A3241" t="str">
        <f>_xlfn.XLOOKUP(B3241,Ingot!$H$12:$H$119,Ingot!$G$12:$G$119,"")</f>
        <v>Wood</v>
      </c>
      <c r="B3241" t="s">
        <v>6468</v>
      </c>
      <c r="C3241" t="s">
        <v>10</v>
      </c>
      <c r="D3241" t="s">
        <v>6521</v>
      </c>
      <c r="E3241" t="s">
        <v>6522</v>
      </c>
      <c r="G3241" s="1">
        <v>8.44</v>
      </c>
    </row>
    <row r="3242" spans="1:7" ht="14.25" hidden="1" customHeight="1" x14ac:dyDescent="0.45">
      <c r="A3242" t="str">
        <f>_xlfn.XLOOKUP(B3242,Ingot!$H$12:$H$119,Ingot!$G$12:$G$119,"")</f>
        <v>Wood</v>
      </c>
      <c r="B3242" t="s">
        <v>6468</v>
      </c>
      <c r="C3242" t="s">
        <v>10</v>
      </c>
      <c r="D3242" t="s">
        <v>6523</v>
      </c>
      <c r="E3242" t="s">
        <v>6524</v>
      </c>
      <c r="G3242" s="1">
        <v>10.42</v>
      </c>
    </row>
    <row r="3243" spans="1:7" ht="14.25" hidden="1" customHeight="1" x14ac:dyDescent="0.45">
      <c r="A3243" t="str">
        <f>_xlfn.XLOOKUP(B3243,Ingot!$H$12:$H$119,Ingot!$G$12:$G$119,"")</f>
        <v>Wood</v>
      </c>
      <c r="B3243" t="s">
        <v>6468</v>
      </c>
      <c r="C3243" t="s">
        <v>10</v>
      </c>
      <c r="D3243" t="s">
        <v>6525</v>
      </c>
      <c r="E3243" t="s">
        <v>6526</v>
      </c>
    </row>
    <row r="3244" spans="1:7" ht="14.25" hidden="1" customHeight="1" x14ac:dyDescent="0.45">
      <c r="A3244" t="str">
        <f>_xlfn.XLOOKUP(B3244,Ingot!$H$12:$H$119,Ingot!$G$12:$G$119,"")</f>
        <v>Wood</v>
      </c>
      <c r="B3244" t="s">
        <v>6468</v>
      </c>
      <c r="C3244" t="s">
        <v>10</v>
      </c>
      <c r="D3244" t="s">
        <v>6527</v>
      </c>
      <c r="E3244" t="s">
        <v>6528</v>
      </c>
      <c r="G3244" s="1">
        <v>7.96</v>
      </c>
    </row>
    <row r="3245" spans="1:7" ht="14.25" hidden="1" customHeight="1" x14ac:dyDescent="0.45">
      <c r="A3245" t="str">
        <f>_xlfn.XLOOKUP(B3245,Ingot!$H$12:$H$119,Ingot!$G$12:$G$119,"")</f>
        <v>Wood</v>
      </c>
      <c r="B3245" t="s">
        <v>6468</v>
      </c>
      <c r="C3245" t="s">
        <v>10</v>
      </c>
      <c r="D3245" t="s">
        <v>6529</v>
      </c>
      <c r="E3245" t="s">
        <v>6530</v>
      </c>
      <c r="G3245" s="1">
        <v>9.64</v>
      </c>
    </row>
    <row r="3246" spans="1:7" ht="14.25" hidden="1" customHeight="1" x14ac:dyDescent="0.45">
      <c r="A3246" t="str">
        <f>_xlfn.XLOOKUP(B3246,Ingot!$H$12:$H$119,Ingot!$G$12:$G$119,"")</f>
        <v>Wood</v>
      </c>
      <c r="B3246" t="s">
        <v>6468</v>
      </c>
      <c r="C3246" t="s">
        <v>10</v>
      </c>
      <c r="D3246" t="s">
        <v>6531</v>
      </c>
      <c r="E3246" t="s">
        <v>6532</v>
      </c>
      <c r="G3246" s="1">
        <v>7.94</v>
      </c>
    </row>
    <row r="3247" spans="1:7" ht="14.25" hidden="1" customHeight="1" x14ac:dyDescent="0.45">
      <c r="A3247" t="str">
        <f>_xlfn.XLOOKUP(B3247,Ingot!$H$12:$H$119,Ingot!$G$12:$G$119,"")</f>
        <v>Wood</v>
      </c>
      <c r="B3247" t="s">
        <v>6468</v>
      </c>
      <c r="C3247" t="s">
        <v>10</v>
      </c>
      <c r="D3247" t="s">
        <v>6533</v>
      </c>
      <c r="E3247" t="s">
        <v>6534</v>
      </c>
      <c r="G3247" s="1">
        <v>8.66</v>
      </c>
    </row>
    <row r="3248" spans="1:7" ht="14.25" hidden="1" customHeight="1" x14ac:dyDescent="0.45">
      <c r="A3248" t="str">
        <f>_xlfn.XLOOKUP(B3248,Ingot!$H$12:$H$119,Ingot!$G$12:$G$119,"")</f>
        <v>Wood</v>
      </c>
      <c r="B3248" t="s">
        <v>6468</v>
      </c>
      <c r="C3248" t="s">
        <v>10</v>
      </c>
      <c r="D3248" t="s">
        <v>6535</v>
      </c>
      <c r="E3248" t="s">
        <v>6536</v>
      </c>
    </row>
    <row r="3249" spans="1:7" ht="14.25" hidden="1" customHeight="1" x14ac:dyDescent="0.45">
      <c r="A3249" t="str">
        <f>_xlfn.XLOOKUP(B3249,Ingot!$H$12:$H$119,Ingot!$G$12:$G$119,"")</f>
        <v>Wood</v>
      </c>
      <c r="B3249" t="s">
        <v>6468</v>
      </c>
      <c r="C3249" t="s">
        <v>10</v>
      </c>
      <c r="D3249" t="s">
        <v>6537</v>
      </c>
      <c r="E3249" t="s">
        <v>6538</v>
      </c>
      <c r="G3249" s="1">
        <v>2.65</v>
      </c>
    </row>
    <row r="3250" spans="1:7" ht="14.25" hidden="1" customHeight="1" x14ac:dyDescent="0.45">
      <c r="A3250" t="str">
        <f>_xlfn.XLOOKUP(B3250,Ingot!$H$12:$H$119,Ingot!$G$12:$G$119,"")</f>
        <v>Wood</v>
      </c>
      <c r="B3250" t="s">
        <v>6468</v>
      </c>
      <c r="C3250" t="s">
        <v>10</v>
      </c>
      <c r="D3250" t="s">
        <v>6539</v>
      </c>
      <c r="E3250" t="s">
        <v>6540</v>
      </c>
    </row>
    <row r="3251" spans="1:7" ht="14.25" hidden="1" customHeight="1" x14ac:dyDescent="0.45">
      <c r="A3251" t="str">
        <f>_xlfn.XLOOKUP(B3251,Ingot!$H$12:$H$119,Ingot!$G$12:$G$119,"")</f>
        <v>Wood</v>
      </c>
      <c r="B3251" t="s">
        <v>6468</v>
      </c>
      <c r="C3251" t="s">
        <v>10</v>
      </c>
      <c r="D3251" t="s">
        <v>6541</v>
      </c>
      <c r="E3251" t="s">
        <v>6542</v>
      </c>
      <c r="G3251" s="1">
        <v>12.64</v>
      </c>
    </row>
    <row r="3252" spans="1:7" ht="14.25" hidden="1" customHeight="1" x14ac:dyDescent="0.45">
      <c r="A3252" t="str">
        <f>_xlfn.XLOOKUP(B3252,Ingot!$H$12:$H$119,Ingot!$G$12:$G$119,"")</f>
        <v>Wood</v>
      </c>
      <c r="B3252" t="s">
        <v>6468</v>
      </c>
      <c r="C3252" t="s">
        <v>10</v>
      </c>
      <c r="D3252" t="s">
        <v>6543</v>
      </c>
      <c r="E3252" t="s">
        <v>6544</v>
      </c>
      <c r="G3252" s="1">
        <v>22.67</v>
      </c>
    </row>
    <row r="3253" spans="1:7" ht="14.25" hidden="1" customHeight="1" x14ac:dyDescent="0.45">
      <c r="A3253" t="str">
        <f>_xlfn.XLOOKUP(B3253,Ingot!$H$12:$H$119,Ingot!$G$12:$G$119,"")</f>
        <v>Wood</v>
      </c>
      <c r="B3253" t="s">
        <v>6468</v>
      </c>
      <c r="C3253" t="s">
        <v>10</v>
      </c>
      <c r="D3253" t="s">
        <v>6545</v>
      </c>
      <c r="E3253" t="s">
        <v>6546</v>
      </c>
      <c r="G3253" s="1">
        <v>8.3800000000000008</v>
      </c>
    </row>
    <row r="3254" spans="1:7" ht="14.25" hidden="1" customHeight="1" x14ac:dyDescent="0.45">
      <c r="A3254" t="str">
        <f>_xlfn.XLOOKUP(B3254,Ingot!$H$12:$H$119,Ingot!$G$12:$G$119,"")</f>
        <v>Wood</v>
      </c>
      <c r="B3254" t="s">
        <v>6468</v>
      </c>
      <c r="C3254" t="s">
        <v>10</v>
      </c>
      <c r="D3254" t="s">
        <v>6547</v>
      </c>
      <c r="E3254" t="s">
        <v>6548</v>
      </c>
      <c r="G3254" s="1">
        <v>2.2000000000000002</v>
      </c>
    </row>
    <row r="3255" spans="1:7" ht="14.25" hidden="1" customHeight="1" x14ac:dyDescent="0.45">
      <c r="A3255" t="str">
        <f>_xlfn.XLOOKUP(B3255,Ingot!$H$12:$H$119,Ingot!$G$12:$G$119,"")</f>
        <v>Wood</v>
      </c>
      <c r="B3255" t="s">
        <v>6468</v>
      </c>
      <c r="C3255" t="s">
        <v>10</v>
      </c>
      <c r="D3255" t="s">
        <v>6549</v>
      </c>
      <c r="E3255" t="s">
        <v>6550</v>
      </c>
      <c r="G3255" s="1">
        <v>3.09</v>
      </c>
    </row>
    <row r="3256" spans="1:7" ht="14.25" hidden="1" customHeight="1" x14ac:dyDescent="0.45">
      <c r="A3256" t="str">
        <f>_xlfn.XLOOKUP(B3256,Ingot!$H$12:$H$119,Ingot!$G$12:$G$119,"")</f>
        <v>Wood</v>
      </c>
      <c r="B3256" t="s">
        <v>6468</v>
      </c>
      <c r="C3256" t="s">
        <v>10</v>
      </c>
      <c r="D3256" t="s">
        <v>6551</v>
      </c>
      <c r="E3256" t="s">
        <v>6552</v>
      </c>
      <c r="G3256" s="1">
        <v>2.2999999999999998</v>
      </c>
    </row>
    <row r="3257" spans="1:7" ht="14.25" hidden="1" customHeight="1" x14ac:dyDescent="0.45">
      <c r="A3257" t="str">
        <f>_xlfn.XLOOKUP(B3257,Ingot!$H$12:$H$119,Ingot!$G$12:$G$119,"")</f>
        <v>Wood</v>
      </c>
      <c r="B3257" t="s">
        <v>6468</v>
      </c>
      <c r="C3257" t="s">
        <v>10</v>
      </c>
      <c r="D3257" t="s">
        <v>6553</v>
      </c>
      <c r="E3257" t="s">
        <v>6554</v>
      </c>
      <c r="G3257" s="1">
        <v>4.88</v>
      </c>
    </row>
    <row r="3258" spans="1:7" ht="14.25" hidden="1" customHeight="1" x14ac:dyDescent="0.45">
      <c r="A3258" t="str">
        <f>_xlfn.XLOOKUP(B3258,Ingot!$H$12:$H$119,Ingot!$G$12:$G$119,"")</f>
        <v>Wood</v>
      </c>
      <c r="B3258" t="s">
        <v>6468</v>
      </c>
      <c r="C3258" t="s">
        <v>10</v>
      </c>
      <c r="D3258" t="s">
        <v>6555</v>
      </c>
      <c r="E3258" t="s">
        <v>6556</v>
      </c>
      <c r="G3258" s="1">
        <v>8.43</v>
      </c>
    </row>
    <row r="3259" spans="1:7" ht="14.25" hidden="1" customHeight="1" x14ac:dyDescent="0.45">
      <c r="A3259" t="str">
        <f>_xlfn.XLOOKUP(B3259,Ingot!$H$12:$H$119,Ingot!$G$12:$G$119,"")</f>
        <v>Wood</v>
      </c>
      <c r="B3259" t="s">
        <v>6468</v>
      </c>
      <c r="C3259" t="s">
        <v>10</v>
      </c>
      <c r="D3259" t="s">
        <v>6557</v>
      </c>
      <c r="E3259" t="s">
        <v>6558</v>
      </c>
      <c r="G3259" s="1">
        <v>13.07</v>
      </c>
    </row>
    <row r="3260" spans="1:7" ht="14.25" hidden="1" customHeight="1" x14ac:dyDescent="0.45">
      <c r="A3260" t="str">
        <f>_xlfn.XLOOKUP(B3260,Ingot!$H$12:$H$119,Ingot!$G$12:$G$119,"")</f>
        <v>Wood</v>
      </c>
      <c r="B3260" t="s">
        <v>6468</v>
      </c>
      <c r="C3260" t="s">
        <v>10</v>
      </c>
      <c r="D3260" t="s">
        <v>6559</v>
      </c>
      <c r="E3260" t="s">
        <v>6560</v>
      </c>
    </row>
    <row r="3261" spans="1:7" ht="14.25" hidden="1" customHeight="1" x14ac:dyDescent="0.45">
      <c r="A3261" t="str">
        <f>_xlfn.XLOOKUP(B3261,Ingot!$H$12:$H$119,Ingot!$G$12:$G$119,"")</f>
        <v>Wood</v>
      </c>
      <c r="B3261" t="s">
        <v>6468</v>
      </c>
      <c r="C3261" t="s">
        <v>10</v>
      </c>
      <c r="D3261" t="s">
        <v>6561</v>
      </c>
      <c r="E3261" t="s">
        <v>6562</v>
      </c>
    </row>
    <row r="3262" spans="1:7" ht="14.25" hidden="1" customHeight="1" x14ac:dyDescent="0.45">
      <c r="A3262" t="str">
        <f>_xlfn.XLOOKUP(B3262,Ingot!$H$12:$H$119,Ingot!$G$12:$G$119,"")</f>
        <v>Wood</v>
      </c>
      <c r="B3262" t="s">
        <v>6468</v>
      </c>
      <c r="C3262" t="s">
        <v>10</v>
      </c>
      <c r="D3262" t="s">
        <v>6563</v>
      </c>
      <c r="E3262" t="s">
        <v>6564</v>
      </c>
      <c r="G3262" s="1">
        <v>6.8</v>
      </c>
    </row>
    <row r="3263" spans="1:7" ht="14.25" hidden="1" customHeight="1" x14ac:dyDescent="0.45">
      <c r="A3263" t="str">
        <f>_xlfn.XLOOKUP(B3263,Ingot!$H$12:$H$119,Ingot!$G$12:$G$119,"")</f>
        <v>Wood</v>
      </c>
      <c r="B3263" t="s">
        <v>6468</v>
      </c>
      <c r="C3263" t="s">
        <v>10</v>
      </c>
      <c r="D3263" t="s">
        <v>6565</v>
      </c>
      <c r="E3263" t="s">
        <v>6566</v>
      </c>
      <c r="G3263" s="1">
        <v>6.88</v>
      </c>
    </row>
    <row r="3264" spans="1:7" ht="14.25" hidden="1" customHeight="1" x14ac:dyDescent="0.45">
      <c r="A3264" t="str">
        <f>_xlfn.XLOOKUP(B3264,Ingot!$H$12:$H$119,Ingot!$G$12:$G$119,"")</f>
        <v>Wood</v>
      </c>
      <c r="B3264" t="s">
        <v>6468</v>
      </c>
      <c r="C3264" t="s">
        <v>10</v>
      </c>
      <c r="D3264" t="s">
        <v>6567</v>
      </c>
      <c r="E3264" t="s">
        <v>6568</v>
      </c>
      <c r="G3264" s="1">
        <v>5.5</v>
      </c>
    </row>
    <row r="3265" spans="1:7" ht="14.25" hidden="1" customHeight="1" x14ac:dyDescent="0.45">
      <c r="A3265" t="str">
        <f>_xlfn.XLOOKUP(B3265,Ingot!$H$12:$H$119,Ingot!$G$12:$G$119,"")</f>
        <v>Wood</v>
      </c>
      <c r="B3265" t="s">
        <v>6468</v>
      </c>
      <c r="C3265" t="s">
        <v>10</v>
      </c>
      <c r="D3265" t="s">
        <v>6569</v>
      </c>
      <c r="E3265" t="s">
        <v>6570</v>
      </c>
      <c r="G3265" s="1">
        <v>2.4300000000000002</v>
      </c>
    </row>
    <row r="3266" spans="1:7" ht="14.25" hidden="1" customHeight="1" x14ac:dyDescent="0.45">
      <c r="A3266" t="str">
        <f>_xlfn.XLOOKUP(B3266,Ingot!$H$12:$H$119,Ingot!$G$12:$G$119,"")</f>
        <v>Wood</v>
      </c>
      <c r="B3266" t="s">
        <v>6468</v>
      </c>
      <c r="C3266" t="s">
        <v>10</v>
      </c>
      <c r="D3266" t="s">
        <v>6571</v>
      </c>
      <c r="E3266" t="s">
        <v>6572</v>
      </c>
      <c r="G3266" s="1">
        <v>6.96</v>
      </c>
    </row>
    <row r="3267" spans="1:7" ht="14.25" hidden="1" customHeight="1" x14ac:dyDescent="0.45">
      <c r="A3267" t="str">
        <f>_xlfn.XLOOKUP(B3267,Ingot!$H$12:$H$119,Ingot!$G$12:$G$119,"")</f>
        <v>Wood</v>
      </c>
      <c r="B3267" t="s">
        <v>6468</v>
      </c>
      <c r="C3267" t="s">
        <v>10</v>
      </c>
      <c r="D3267" t="s">
        <v>6573</v>
      </c>
      <c r="E3267" t="s">
        <v>6574</v>
      </c>
      <c r="G3267" s="1">
        <v>6.32</v>
      </c>
    </row>
    <row r="3268" spans="1:7" ht="14.25" hidden="1" customHeight="1" x14ac:dyDescent="0.45">
      <c r="A3268" t="str">
        <f>_xlfn.XLOOKUP(B3268,Ingot!$H$12:$H$119,Ingot!$G$12:$G$119,"")</f>
        <v>Wood</v>
      </c>
      <c r="B3268" t="s">
        <v>6468</v>
      </c>
      <c r="C3268" t="s">
        <v>10</v>
      </c>
      <c r="D3268" t="s">
        <v>6575</v>
      </c>
      <c r="E3268" t="s">
        <v>6576</v>
      </c>
      <c r="G3268" s="1">
        <v>6.88</v>
      </c>
    </row>
    <row r="3269" spans="1:7" ht="14.25" hidden="1" customHeight="1" x14ac:dyDescent="0.45">
      <c r="A3269" t="str">
        <f>_xlfn.XLOOKUP(B3269,Ingot!$H$12:$H$119,Ingot!$G$12:$G$119,"")</f>
        <v>Wood</v>
      </c>
      <c r="B3269" t="s">
        <v>6468</v>
      </c>
      <c r="C3269" t="s">
        <v>10</v>
      </c>
      <c r="D3269" t="s">
        <v>6577</v>
      </c>
      <c r="E3269" t="s">
        <v>6578</v>
      </c>
      <c r="G3269" s="1">
        <v>2.44</v>
      </c>
    </row>
    <row r="3270" spans="1:7" ht="14.25" hidden="1" customHeight="1" x14ac:dyDescent="0.45">
      <c r="A3270" t="str">
        <f>_xlfn.XLOOKUP(B3270,Ingot!$H$12:$H$119,Ingot!$G$12:$G$119,"")</f>
        <v>Wood</v>
      </c>
      <c r="B3270" t="s">
        <v>6468</v>
      </c>
      <c r="C3270" t="s">
        <v>10</v>
      </c>
      <c r="D3270" t="s">
        <v>6579</v>
      </c>
      <c r="E3270" t="s">
        <v>6580</v>
      </c>
    </row>
    <row r="3271" spans="1:7" ht="14.25" hidden="1" customHeight="1" x14ac:dyDescent="0.45">
      <c r="A3271" t="str">
        <f>_xlfn.XLOOKUP(B3271,Ingot!$H$12:$H$119,Ingot!$G$12:$G$119,"")</f>
        <v>Wood</v>
      </c>
      <c r="B3271" t="s">
        <v>6468</v>
      </c>
      <c r="C3271" t="s">
        <v>10</v>
      </c>
      <c r="D3271" t="s">
        <v>6581</v>
      </c>
      <c r="E3271" t="s">
        <v>6582</v>
      </c>
    </row>
    <row r="3272" spans="1:7" ht="14.25" hidden="1" customHeight="1" x14ac:dyDescent="0.45">
      <c r="A3272" t="str">
        <f>_xlfn.XLOOKUP(B3272,Ingot!$H$12:$H$119,Ingot!$G$12:$G$119,"")</f>
        <v>Wood</v>
      </c>
      <c r="B3272" t="s">
        <v>6468</v>
      </c>
      <c r="C3272" t="s">
        <v>10</v>
      </c>
      <c r="D3272" t="s">
        <v>6583</v>
      </c>
      <c r="E3272" t="s">
        <v>6584</v>
      </c>
      <c r="G3272" s="1">
        <v>3.11</v>
      </c>
    </row>
    <row r="3273" spans="1:7" ht="14.25" hidden="1" customHeight="1" x14ac:dyDescent="0.45">
      <c r="A3273" t="str">
        <f>_xlfn.XLOOKUP(B3273,Ingot!$H$12:$H$119,Ingot!$G$12:$G$119,"")</f>
        <v>Wood</v>
      </c>
      <c r="B3273" t="s">
        <v>6468</v>
      </c>
      <c r="C3273" t="s">
        <v>10</v>
      </c>
      <c r="D3273" t="s">
        <v>6585</v>
      </c>
      <c r="E3273" t="s">
        <v>6586</v>
      </c>
      <c r="G3273" s="1">
        <v>2.44</v>
      </c>
    </row>
    <row r="3274" spans="1:7" ht="14.25" hidden="1" customHeight="1" x14ac:dyDescent="0.45">
      <c r="A3274" t="str">
        <f>_xlfn.XLOOKUP(B3274,Ingot!$H$12:$H$119,Ingot!$G$12:$G$119,"")</f>
        <v>Wood</v>
      </c>
      <c r="B3274" t="s">
        <v>6468</v>
      </c>
      <c r="C3274" t="s">
        <v>10</v>
      </c>
      <c r="D3274" t="s">
        <v>6587</v>
      </c>
      <c r="E3274" t="s">
        <v>6588</v>
      </c>
      <c r="G3274" s="1">
        <v>8.61</v>
      </c>
    </row>
    <row r="3275" spans="1:7" ht="14.25" hidden="1" customHeight="1" x14ac:dyDescent="0.45">
      <c r="A3275" t="str">
        <f>_xlfn.XLOOKUP(B3275,Ingot!$H$12:$H$119,Ingot!$G$12:$G$119,"")</f>
        <v>Wood</v>
      </c>
      <c r="B3275" t="s">
        <v>6468</v>
      </c>
      <c r="C3275" t="s">
        <v>10</v>
      </c>
      <c r="D3275" t="s">
        <v>6589</v>
      </c>
      <c r="E3275" t="s">
        <v>6590</v>
      </c>
    </row>
    <row r="3276" spans="1:7" ht="14.25" hidden="1" customHeight="1" x14ac:dyDescent="0.45">
      <c r="A3276" t="str">
        <f>_xlfn.XLOOKUP(B3276,Ingot!$H$12:$H$119,Ingot!$G$12:$G$119,"")</f>
        <v>Wood</v>
      </c>
      <c r="B3276" t="s">
        <v>6468</v>
      </c>
      <c r="C3276" t="s">
        <v>10</v>
      </c>
      <c r="D3276" t="s">
        <v>6591</v>
      </c>
      <c r="E3276" t="s">
        <v>6592</v>
      </c>
      <c r="G3276" s="1">
        <v>3.21</v>
      </c>
    </row>
    <row r="3277" spans="1:7" ht="14.25" hidden="1" customHeight="1" x14ac:dyDescent="0.45">
      <c r="A3277" t="str">
        <f>_xlfn.XLOOKUP(B3277,Ingot!$H$12:$H$119,Ingot!$G$12:$G$119,"")</f>
        <v>Wood</v>
      </c>
      <c r="B3277" t="s">
        <v>6468</v>
      </c>
      <c r="C3277" t="s">
        <v>10</v>
      </c>
      <c r="D3277" t="s">
        <v>6593</v>
      </c>
      <c r="E3277" t="s">
        <v>6594</v>
      </c>
      <c r="G3277" s="1">
        <v>2.77</v>
      </c>
    </row>
    <row r="3278" spans="1:7" ht="14.25" hidden="1" customHeight="1" x14ac:dyDescent="0.45">
      <c r="A3278" t="str">
        <f>_xlfn.XLOOKUP(B3278,Ingot!$H$12:$H$119,Ingot!$G$12:$G$119,"")</f>
        <v>Wood</v>
      </c>
      <c r="B3278" t="s">
        <v>6468</v>
      </c>
      <c r="C3278" t="s">
        <v>10</v>
      </c>
      <c r="D3278" t="s">
        <v>6595</v>
      </c>
      <c r="E3278" t="s">
        <v>6596</v>
      </c>
      <c r="G3278" s="1">
        <v>4.8899999999999997</v>
      </c>
    </row>
    <row r="3279" spans="1:7" ht="14.25" hidden="1" customHeight="1" x14ac:dyDescent="0.45">
      <c r="A3279" t="str">
        <f>_xlfn.XLOOKUP(B3279,Ingot!$H$12:$H$119,Ingot!$G$12:$G$119,"")</f>
        <v>Wood</v>
      </c>
      <c r="B3279" t="s">
        <v>6468</v>
      </c>
      <c r="C3279" t="s">
        <v>10</v>
      </c>
      <c r="D3279" t="s">
        <v>6597</v>
      </c>
      <c r="E3279" t="s">
        <v>6598</v>
      </c>
      <c r="G3279" s="1">
        <v>1.76</v>
      </c>
    </row>
    <row r="3280" spans="1:7" ht="14.25" hidden="1" customHeight="1" x14ac:dyDescent="0.45">
      <c r="A3280" t="str">
        <f>_xlfn.XLOOKUP(B3280,Ingot!$H$12:$H$119,Ingot!$G$12:$G$119,"")</f>
        <v>Wood</v>
      </c>
      <c r="B3280" t="s">
        <v>6468</v>
      </c>
      <c r="C3280" t="s">
        <v>10</v>
      </c>
      <c r="D3280" t="s">
        <v>6599</v>
      </c>
      <c r="E3280" t="s">
        <v>6600</v>
      </c>
    </row>
    <row r="3281" spans="1:7" ht="14.25" hidden="1" customHeight="1" x14ac:dyDescent="0.45">
      <c r="A3281" t="str">
        <f>_xlfn.XLOOKUP(B3281,Ingot!$H$12:$H$119,Ingot!$G$12:$G$119,"")</f>
        <v>Wood</v>
      </c>
      <c r="B3281" t="s">
        <v>6468</v>
      </c>
      <c r="C3281" t="s">
        <v>10</v>
      </c>
      <c r="D3281" t="s">
        <v>6601</v>
      </c>
      <c r="E3281" t="s">
        <v>6602</v>
      </c>
      <c r="G3281" s="1">
        <v>8.57</v>
      </c>
    </row>
    <row r="3282" spans="1:7" ht="14.25" hidden="1" customHeight="1" x14ac:dyDescent="0.45">
      <c r="A3282" t="str">
        <f>_xlfn.XLOOKUP(B3282,Ingot!$H$12:$H$119,Ingot!$G$12:$G$119,"")</f>
        <v>Wood</v>
      </c>
      <c r="B3282" t="s">
        <v>6468</v>
      </c>
      <c r="C3282" t="s">
        <v>10</v>
      </c>
      <c r="D3282" t="s">
        <v>6603</v>
      </c>
      <c r="E3282" t="s">
        <v>6604</v>
      </c>
    </row>
    <row r="3283" spans="1:7" ht="14.25" hidden="1" customHeight="1" x14ac:dyDescent="0.45">
      <c r="A3283" t="str">
        <f>_xlfn.XLOOKUP(B3283,Ingot!$H$12:$H$119,Ingot!$G$12:$G$119,"")</f>
        <v>Wood</v>
      </c>
      <c r="B3283" t="s">
        <v>6468</v>
      </c>
      <c r="C3283" t="s">
        <v>10</v>
      </c>
      <c r="D3283" t="s">
        <v>6605</v>
      </c>
      <c r="E3283" t="s">
        <v>6606</v>
      </c>
      <c r="G3283" s="1">
        <v>3.56</v>
      </c>
    </row>
    <row r="3284" spans="1:7" ht="14.25" hidden="1" customHeight="1" x14ac:dyDescent="0.45">
      <c r="A3284" t="str">
        <f>_xlfn.XLOOKUP(B3284,Ingot!$H$12:$H$119,Ingot!$G$12:$G$119,"")</f>
        <v>Wood</v>
      </c>
      <c r="B3284" t="s">
        <v>6468</v>
      </c>
      <c r="C3284" t="s">
        <v>10</v>
      </c>
      <c r="D3284" t="s">
        <v>6607</v>
      </c>
      <c r="E3284" t="s">
        <v>6608</v>
      </c>
      <c r="G3284" s="1">
        <v>8.91</v>
      </c>
    </row>
    <row r="3285" spans="1:7" ht="14.25" hidden="1" customHeight="1" x14ac:dyDescent="0.45">
      <c r="A3285" t="str">
        <f>_xlfn.XLOOKUP(B3285,Ingot!$H$12:$H$119,Ingot!$G$12:$G$119,"")</f>
        <v>Wood</v>
      </c>
      <c r="B3285" t="s">
        <v>6468</v>
      </c>
      <c r="C3285" t="s">
        <v>10</v>
      </c>
      <c r="D3285" t="s">
        <v>6609</v>
      </c>
      <c r="E3285" t="s">
        <v>6610</v>
      </c>
      <c r="G3285" s="1">
        <v>11.02</v>
      </c>
    </row>
    <row r="3286" spans="1:7" ht="14.25" hidden="1" customHeight="1" x14ac:dyDescent="0.45">
      <c r="A3286" t="str">
        <f>_xlfn.XLOOKUP(B3286,Ingot!$H$12:$H$119,Ingot!$G$12:$G$119,"")</f>
        <v>Wood</v>
      </c>
      <c r="B3286" t="s">
        <v>6468</v>
      </c>
      <c r="C3286" t="s">
        <v>10</v>
      </c>
      <c r="D3286" t="s">
        <v>6611</v>
      </c>
      <c r="E3286" t="s">
        <v>6612</v>
      </c>
      <c r="G3286" s="1">
        <v>5.12</v>
      </c>
    </row>
    <row r="3287" spans="1:7" ht="14.25" hidden="1" customHeight="1" x14ac:dyDescent="0.45">
      <c r="A3287" t="str">
        <f>_xlfn.XLOOKUP(B3287,Ingot!$H$12:$H$119,Ingot!$G$12:$G$119,"")</f>
        <v>Wood</v>
      </c>
      <c r="B3287" t="s">
        <v>6468</v>
      </c>
      <c r="C3287" t="s">
        <v>10</v>
      </c>
      <c r="D3287" t="s">
        <v>6613</v>
      </c>
      <c r="E3287" t="s">
        <v>6614</v>
      </c>
      <c r="G3287" s="1">
        <v>4.41</v>
      </c>
    </row>
    <row r="3288" spans="1:7" ht="14.25" hidden="1" customHeight="1" x14ac:dyDescent="0.45">
      <c r="A3288" t="str">
        <f>_xlfn.XLOOKUP(B3288,Ingot!$H$12:$H$119,Ingot!$G$12:$G$119,"")</f>
        <v>Wood</v>
      </c>
      <c r="B3288" t="s">
        <v>6468</v>
      </c>
      <c r="C3288" t="s">
        <v>157</v>
      </c>
      <c r="D3288" t="s">
        <v>6615</v>
      </c>
      <c r="E3288" t="s">
        <v>6616</v>
      </c>
      <c r="G3288" s="1">
        <v>24</v>
      </c>
    </row>
    <row r="3289" spans="1:7" ht="14.25" hidden="1" customHeight="1" x14ac:dyDescent="0.45">
      <c r="A3289" t="str">
        <f>_xlfn.XLOOKUP(B3289,Ingot!$H$12:$H$119,Ingot!$G$12:$G$119,"")</f>
        <v>Wood</v>
      </c>
      <c r="B3289" t="s">
        <v>6468</v>
      </c>
      <c r="C3289" t="s">
        <v>157</v>
      </c>
      <c r="D3289" t="s">
        <v>6617</v>
      </c>
      <c r="E3289" t="s">
        <v>6618</v>
      </c>
      <c r="G3289" s="1">
        <v>5</v>
      </c>
    </row>
    <row r="3290" spans="1:7" ht="14.25" hidden="1" customHeight="1" x14ac:dyDescent="0.45">
      <c r="A3290" t="str">
        <f>_xlfn.XLOOKUP(B3290,Ingot!$H$12:$H$119,Ingot!$G$12:$G$119,"")</f>
        <v>Wood</v>
      </c>
      <c r="B3290" t="s">
        <v>6468</v>
      </c>
      <c r="C3290" t="s">
        <v>157</v>
      </c>
      <c r="D3290" t="s">
        <v>6619</v>
      </c>
      <c r="E3290" t="s">
        <v>6620</v>
      </c>
      <c r="G3290" s="1">
        <v>5</v>
      </c>
    </row>
    <row r="3291" spans="1:7" ht="14.25" hidden="1" customHeight="1" x14ac:dyDescent="0.45">
      <c r="A3291" t="str">
        <f>_xlfn.XLOOKUP(B3291,Ingot!$H$12:$H$119,Ingot!$G$12:$G$119,"")</f>
        <v>Wood</v>
      </c>
      <c r="B3291" t="s">
        <v>6468</v>
      </c>
      <c r="C3291" t="s">
        <v>157</v>
      </c>
      <c r="D3291" t="s">
        <v>6621</v>
      </c>
      <c r="E3291" t="s">
        <v>6622</v>
      </c>
      <c r="G3291" s="1">
        <v>5</v>
      </c>
    </row>
    <row r="3292" spans="1:7" ht="14.25" hidden="1" customHeight="1" x14ac:dyDescent="0.45">
      <c r="A3292" t="str">
        <f>_xlfn.XLOOKUP(B3292,Ingot!$H$12:$H$119,Ingot!$G$12:$G$119,"")</f>
        <v>Wood</v>
      </c>
      <c r="B3292" t="s">
        <v>6468</v>
      </c>
      <c r="C3292" t="s">
        <v>157</v>
      </c>
      <c r="D3292" t="s">
        <v>6623</v>
      </c>
      <c r="E3292" t="s">
        <v>6624</v>
      </c>
      <c r="G3292" s="1">
        <v>10</v>
      </c>
    </row>
    <row r="3293" spans="1:7" ht="14.25" hidden="1" customHeight="1" x14ac:dyDescent="0.45">
      <c r="A3293" t="str">
        <f>_xlfn.XLOOKUP(B3293,Ingot!$H$12:$H$119,Ingot!$G$12:$G$119,"")</f>
        <v>Wood</v>
      </c>
      <c r="B3293" t="s">
        <v>6468</v>
      </c>
      <c r="C3293" t="s">
        <v>157</v>
      </c>
      <c r="D3293" t="s">
        <v>6625</v>
      </c>
      <c r="E3293" t="s">
        <v>6626</v>
      </c>
      <c r="G3293" s="1">
        <v>20.8</v>
      </c>
    </row>
    <row r="3294" spans="1:7" ht="14.25" hidden="1" customHeight="1" x14ac:dyDescent="0.45">
      <c r="A3294" t="str">
        <f>_xlfn.XLOOKUP(B3294,Ingot!$H$12:$H$119,Ingot!$G$12:$G$119,"")</f>
        <v>Wood</v>
      </c>
      <c r="B3294" t="s">
        <v>6468</v>
      </c>
      <c r="C3294" t="s">
        <v>157</v>
      </c>
      <c r="D3294" t="s">
        <v>6627</v>
      </c>
      <c r="E3294" t="s">
        <v>6628</v>
      </c>
      <c r="G3294" s="1">
        <v>5</v>
      </c>
    </row>
    <row r="3295" spans="1:7" ht="14.25" hidden="1" customHeight="1" x14ac:dyDescent="0.45">
      <c r="A3295" t="str">
        <f>_xlfn.XLOOKUP(B3295,Ingot!$H$12:$H$119,Ingot!$G$12:$G$119,"")</f>
        <v>Wood</v>
      </c>
      <c r="B3295" t="s">
        <v>6468</v>
      </c>
      <c r="C3295" t="s">
        <v>157</v>
      </c>
      <c r="D3295" t="s">
        <v>6629</v>
      </c>
      <c r="E3295" t="s">
        <v>6630</v>
      </c>
      <c r="G3295" s="1">
        <v>5</v>
      </c>
    </row>
    <row r="3296" spans="1:7" ht="14.25" hidden="1" customHeight="1" x14ac:dyDescent="0.45">
      <c r="A3296" t="str">
        <f>_xlfn.XLOOKUP(B3296,Ingot!$H$12:$H$119,Ingot!$G$12:$G$119,"")</f>
        <v>Wood</v>
      </c>
      <c r="B3296" t="s">
        <v>6468</v>
      </c>
      <c r="C3296" t="s">
        <v>157</v>
      </c>
      <c r="D3296" t="s">
        <v>6631</v>
      </c>
      <c r="E3296" t="s">
        <v>6632</v>
      </c>
      <c r="G3296" s="1">
        <v>5</v>
      </c>
    </row>
    <row r="3297" spans="1:7" ht="14.25" hidden="1" customHeight="1" x14ac:dyDescent="0.45">
      <c r="A3297" t="str">
        <f>_xlfn.XLOOKUP(B3297,Ingot!$H$12:$H$119,Ingot!$G$12:$G$119,"")</f>
        <v>Wood</v>
      </c>
      <c r="B3297" t="s">
        <v>6468</v>
      </c>
      <c r="C3297" t="s">
        <v>157</v>
      </c>
      <c r="D3297" t="s">
        <v>6633</v>
      </c>
      <c r="E3297" t="s">
        <v>6634</v>
      </c>
      <c r="G3297" s="1">
        <v>10</v>
      </c>
    </row>
    <row r="3298" spans="1:7" ht="14.25" hidden="1" customHeight="1" x14ac:dyDescent="0.45">
      <c r="A3298" t="str">
        <f>_xlfn.XLOOKUP(B3298,Ingot!$H$12:$H$119,Ingot!$G$12:$G$119,"")</f>
        <v>Wood</v>
      </c>
      <c r="B3298" t="s">
        <v>6468</v>
      </c>
      <c r="C3298" t="s">
        <v>157</v>
      </c>
      <c r="D3298" t="s">
        <v>6635</v>
      </c>
      <c r="E3298" t="s">
        <v>6636</v>
      </c>
      <c r="G3298" s="1">
        <v>20</v>
      </c>
    </row>
    <row r="3299" spans="1:7" ht="14.25" hidden="1" customHeight="1" x14ac:dyDescent="0.45">
      <c r="A3299" t="str">
        <f>_xlfn.XLOOKUP(B3299,Ingot!$H$12:$H$119,Ingot!$G$12:$G$119,"")</f>
        <v>Wood</v>
      </c>
      <c r="B3299" t="s">
        <v>6468</v>
      </c>
      <c r="C3299" t="s">
        <v>157</v>
      </c>
      <c r="D3299" t="s">
        <v>6637</v>
      </c>
      <c r="E3299" t="s">
        <v>6638</v>
      </c>
      <c r="G3299" s="1">
        <v>5</v>
      </c>
    </row>
    <row r="3300" spans="1:7" ht="14.25" hidden="1" customHeight="1" x14ac:dyDescent="0.45">
      <c r="A3300" t="str">
        <f>_xlfn.XLOOKUP(B3300,Ingot!$H$12:$H$119,Ingot!$G$12:$G$119,"")</f>
        <v>Wood</v>
      </c>
      <c r="B3300" t="s">
        <v>6468</v>
      </c>
      <c r="C3300" t="s">
        <v>157</v>
      </c>
      <c r="D3300" t="s">
        <v>6639</v>
      </c>
      <c r="E3300" t="s">
        <v>6640</v>
      </c>
      <c r="G3300" s="1">
        <v>5</v>
      </c>
    </row>
    <row r="3301" spans="1:7" ht="14.25" hidden="1" customHeight="1" x14ac:dyDescent="0.45">
      <c r="A3301" t="str">
        <f>_xlfn.XLOOKUP(B3301,Ingot!$H$12:$H$119,Ingot!$G$12:$G$119,"")</f>
        <v>Wood</v>
      </c>
      <c r="B3301" t="s">
        <v>6468</v>
      </c>
      <c r="C3301" t="s">
        <v>157</v>
      </c>
      <c r="D3301" t="s">
        <v>6641</v>
      </c>
      <c r="E3301" t="s">
        <v>6642</v>
      </c>
      <c r="G3301" s="1">
        <v>5</v>
      </c>
    </row>
    <row r="3302" spans="1:7" ht="14.25" hidden="1" customHeight="1" x14ac:dyDescent="0.45">
      <c r="A3302" t="str">
        <f>_xlfn.XLOOKUP(B3302,Ingot!$H$12:$H$119,Ingot!$G$12:$G$119,"")</f>
        <v>Wood</v>
      </c>
      <c r="B3302" t="s">
        <v>6468</v>
      </c>
      <c r="C3302" t="s">
        <v>157</v>
      </c>
      <c r="D3302" t="s">
        <v>6643</v>
      </c>
      <c r="E3302" t="s">
        <v>6644</v>
      </c>
      <c r="G3302" s="1">
        <v>10</v>
      </c>
    </row>
    <row r="3303" spans="1:7" ht="14.25" hidden="1" customHeight="1" x14ac:dyDescent="0.45">
      <c r="A3303" t="str">
        <f>_xlfn.XLOOKUP(B3303,Ingot!$H$12:$H$119,Ingot!$G$12:$G$119,"")</f>
        <v>Wood</v>
      </c>
      <c r="B3303" t="s">
        <v>6468</v>
      </c>
      <c r="C3303" t="s">
        <v>157</v>
      </c>
      <c r="D3303" t="s">
        <v>6645</v>
      </c>
      <c r="E3303" t="s">
        <v>6646</v>
      </c>
      <c r="G3303" s="1">
        <v>22</v>
      </c>
    </row>
    <row r="3304" spans="1:7" ht="14.25" hidden="1" customHeight="1" x14ac:dyDescent="0.45">
      <c r="A3304" t="str">
        <f>_xlfn.XLOOKUP(B3304,Ingot!$H$12:$H$119,Ingot!$G$12:$G$119,"")</f>
        <v>Wood</v>
      </c>
      <c r="B3304" t="s">
        <v>6468</v>
      </c>
      <c r="C3304" t="s">
        <v>157</v>
      </c>
      <c r="D3304" t="s">
        <v>6647</v>
      </c>
      <c r="E3304" t="s">
        <v>6648</v>
      </c>
      <c r="G3304" s="1">
        <v>5</v>
      </c>
    </row>
    <row r="3305" spans="1:7" ht="14.25" hidden="1" customHeight="1" x14ac:dyDescent="0.45">
      <c r="A3305" t="str">
        <f>_xlfn.XLOOKUP(B3305,Ingot!$H$12:$H$119,Ingot!$G$12:$G$119,"")</f>
        <v>Wood</v>
      </c>
      <c r="B3305" t="s">
        <v>6468</v>
      </c>
      <c r="C3305" t="s">
        <v>157</v>
      </c>
      <c r="D3305" t="s">
        <v>6649</v>
      </c>
      <c r="E3305" t="s">
        <v>6650</v>
      </c>
      <c r="G3305" s="1">
        <v>5</v>
      </c>
    </row>
    <row r="3306" spans="1:7" ht="14.25" hidden="1" customHeight="1" x14ac:dyDescent="0.45">
      <c r="A3306" t="str">
        <f>_xlfn.XLOOKUP(B3306,Ingot!$H$12:$H$119,Ingot!$G$12:$G$119,"")</f>
        <v>Wood</v>
      </c>
      <c r="B3306" t="s">
        <v>6468</v>
      </c>
      <c r="C3306" t="s">
        <v>157</v>
      </c>
      <c r="D3306" t="s">
        <v>6651</v>
      </c>
      <c r="E3306" t="s">
        <v>6652</v>
      </c>
      <c r="G3306" s="1">
        <v>5</v>
      </c>
    </row>
    <row r="3307" spans="1:7" ht="14.25" hidden="1" customHeight="1" x14ac:dyDescent="0.45">
      <c r="A3307" t="str">
        <f>_xlfn.XLOOKUP(B3307,Ingot!$H$12:$H$119,Ingot!$G$12:$G$119,"")</f>
        <v>Wood</v>
      </c>
      <c r="B3307" t="s">
        <v>6468</v>
      </c>
      <c r="C3307" t="s">
        <v>157</v>
      </c>
      <c r="D3307" t="s">
        <v>6653</v>
      </c>
      <c r="E3307" t="s">
        <v>6654</v>
      </c>
      <c r="G3307" s="1">
        <v>10</v>
      </c>
    </row>
    <row r="3308" spans="1:7" ht="14.25" hidden="1" customHeight="1" x14ac:dyDescent="0.45">
      <c r="A3308" t="str">
        <f>_xlfn.XLOOKUP(B3308,Ingot!$H$12:$H$119,Ingot!$G$12:$G$119,"")</f>
        <v>Wood</v>
      </c>
      <c r="B3308" t="s">
        <v>6468</v>
      </c>
      <c r="C3308" t="s">
        <v>157</v>
      </c>
      <c r="D3308" t="s">
        <v>6655</v>
      </c>
      <c r="E3308" t="s">
        <v>6656</v>
      </c>
      <c r="G3308" s="1">
        <v>23</v>
      </c>
    </row>
    <row r="3309" spans="1:7" ht="14.25" hidden="1" customHeight="1" x14ac:dyDescent="0.45">
      <c r="A3309" t="str">
        <f>_xlfn.XLOOKUP(B3309,Ingot!$H$12:$H$119,Ingot!$G$12:$G$119,"")</f>
        <v>Wood</v>
      </c>
      <c r="B3309" t="s">
        <v>6468</v>
      </c>
      <c r="C3309" t="s">
        <v>157</v>
      </c>
      <c r="D3309" t="s">
        <v>6657</v>
      </c>
      <c r="E3309" t="s">
        <v>6658</v>
      </c>
      <c r="G3309" s="1">
        <v>5</v>
      </c>
    </row>
    <row r="3310" spans="1:7" ht="14.25" hidden="1" customHeight="1" x14ac:dyDescent="0.45">
      <c r="A3310" t="str">
        <f>_xlfn.XLOOKUP(B3310,Ingot!$H$12:$H$119,Ingot!$G$12:$G$119,"")</f>
        <v>Wood</v>
      </c>
      <c r="B3310" t="s">
        <v>6468</v>
      </c>
      <c r="C3310" t="s">
        <v>157</v>
      </c>
      <c r="D3310" t="s">
        <v>6659</v>
      </c>
      <c r="E3310" t="s">
        <v>6660</v>
      </c>
      <c r="G3310" s="1">
        <v>5</v>
      </c>
    </row>
    <row r="3311" spans="1:7" ht="14.25" hidden="1" customHeight="1" x14ac:dyDescent="0.45">
      <c r="A3311" t="str">
        <f>_xlfn.XLOOKUP(B3311,Ingot!$H$12:$H$119,Ingot!$G$12:$G$119,"")</f>
        <v>Wood</v>
      </c>
      <c r="B3311" t="s">
        <v>6468</v>
      </c>
      <c r="C3311" t="s">
        <v>157</v>
      </c>
      <c r="D3311" t="s">
        <v>6661</v>
      </c>
      <c r="E3311" t="s">
        <v>6662</v>
      </c>
      <c r="G3311" s="1">
        <v>5</v>
      </c>
    </row>
    <row r="3312" spans="1:7" ht="14.25" hidden="1" customHeight="1" x14ac:dyDescent="0.45">
      <c r="A3312" t="str">
        <f>_xlfn.XLOOKUP(B3312,Ingot!$H$12:$H$119,Ingot!$G$12:$G$119,"")</f>
        <v>Wood</v>
      </c>
      <c r="B3312" t="s">
        <v>6468</v>
      </c>
      <c r="C3312" t="s">
        <v>157</v>
      </c>
      <c r="D3312" t="s">
        <v>6663</v>
      </c>
      <c r="E3312" t="s">
        <v>6664</v>
      </c>
      <c r="G3312" s="1">
        <v>10</v>
      </c>
    </row>
    <row r="3313" spans="1:7" ht="14.25" hidden="1" customHeight="1" x14ac:dyDescent="0.45">
      <c r="A3313" t="str">
        <f>_xlfn.XLOOKUP(B3313,Ingot!$H$12:$H$119,Ingot!$G$12:$G$119,"")</f>
        <v>Wood</v>
      </c>
      <c r="B3313" t="s">
        <v>6468</v>
      </c>
      <c r="C3313" t="s">
        <v>157</v>
      </c>
      <c r="D3313" t="s">
        <v>6665</v>
      </c>
      <c r="E3313" t="s">
        <v>6666</v>
      </c>
      <c r="G3313" s="1">
        <v>26.8</v>
      </c>
    </row>
    <row r="3314" spans="1:7" ht="14.25" hidden="1" customHeight="1" x14ac:dyDescent="0.45">
      <c r="A3314" t="str">
        <f>_xlfn.XLOOKUP(B3314,Ingot!$H$12:$H$119,Ingot!$G$12:$G$119,"")</f>
        <v>Wood</v>
      </c>
      <c r="B3314" t="s">
        <v>6468</v>
      </c>
      <c r="C3314" t="s">
        <v>157</v>
      </c>
      <c r="D3314" t="s">
        <v>6667</v>
      </c>
      <c r="E3314" t="s">
        <v>6668</v>
      </c>
      <c r="G3314" s="1">
        <v>5.36</v>
      </c>
    </row>
    <row r="3315" spans="1:7" ht="14.25" hidden="1" customHeight="1" x14ac:dyDescent="0.45">
      <c r="A3315" t="str">
        <f>_xlfn.XLOOKUP(B3315,Ingot!$H$12:$H$119,Ingot!$G$12:$G$119,"")</f>
        <v>Wood</v>
      </c>
      <c r="B3315" t="s">
        <v>6468</v>
      </c>
      <c r="C3315" t="s">
        <v>157</v>
      </c>
      <c r="D3315" t="s">
        <v>6669</v>
      </c>
      <c r="E3315" t="s">
        <v>6670</v>
      </c>
      <c r="G3315" s="1">
        <v>5.36</v>
      </c>
    </row>
    <row r="3316" spans="1:7" ht="14.25" hidden="1" customHeight="1" x14ac:dyDescent="0.45">
      <c r="A3316" t="str">
        <f>_xlfn.XLOOKUP(B3316,Ingot!$H$12:$H$119,Ingot!$G$12:$G$119,"")</f>
        <v>Wood</v>
      </c>
      <c r="B3316" t="s">
        <v>6468</v>
      </c>
      <c r="C3316" t="s">
        <v>157</v>
      </c>
      <c r="D3316" t="s">
        <v>6671</v>
      </c>
      <c r="E3316" t="s">
        <v>6672</v>
      </c>
      <c r="G3316" s="1">
        <v>5</v>
      </c>
    </row>
    <row r="3317" spans="1:7" ht="14.25" hidden="1" customHeight="1" x14ac:dyDescent="0.45">
      <c r="A3317" t="str">
        <f>_xlfn.XLOOKUP(B3317,Ingot!$H$12:$H$119,Ingot!$G$12:$G$119,"")</f>
        <v>Wood</v>
      </c>
      <c r="B3317" t="s">
        <v>6468</v>
      </c>
      <c r="C3317" t="s">
        <v>157</v>
      </c>
      <c r="D3317" t="s">
        <v>6673</v>
      </c>
      <c r="E3317" t="s">
        <v>6674</v>
      </c>
      <c r="G3317" s="1">
        <v>10</v>
      </c>
    </row>
    <row r="3318" spans="1:7" ht="14.25" hidden="1" customHeight="1" x14ac:dyDescent="0.45">
      <c r="A3318" t="str">
        <f>_xlfn.XLOOKUP(B3318,Ingot!$H$12:$H$119,Ingot!$G$12:$G$119,"")</f>
        <v>Wood</v>
      </c>
      <c r="B3318" t="s">
        <v>6468</v>
      </c>
      <c r="C3318" t="s">
        <v>157</v>
      </c>
      <c r="D3318" t="s">
        <v>6675</v>
      </c>
      <c r="E3318" t="s">
        <v>6676</v>
      </c>
      <c r="G3318" s="1">
        <v>25.5</v>
      </c>
    </row>
    <row r="3319" spans="1:7" ht="14.25" hidden="1" customHeight="1" x14ac:dyDescent="0.45">
      <c r="A3319" t="str">
        <f>_xlfn.XLOOKUP(B3319,Ingot!$H$12:$H$119,Ingot!$G$12:$G$119,"")</f>
        <v>Wood</v>
      </c>
      <c r="B3319" t="s">
        <v>6468</v>
      </c>
      <c r="C3319" t="s">
        <v>157</v>
      </c>
      <c r="D3319" t="s">
        <v>6677</v>
      </c>
      <c r="E3319" t="s">
        <v>6678</v>
      </c>
      <c r="G3319" s="1">
        <v>5.0999999999999996</v>
      </c>
    </row>
    <row r="3320" spans="1:7" ht="14.25" hidden="1" customHeight="1" x14ac:dyDescent="0.45">
      <c r="A3320" t="str">
        <f>_xlfn.XLOOKUP(B3320,Ingot!$H$12:$H$119,Ingot!$G$12:$G$119,"")</f>
        <v>Wood</v>
      </c>
      <c r="B3320" t="s">
        <v>6468</v>
      </c>
      <c r="C3320" t="s">
        <v>157</v>
      </c>
      <c r="D3320" t="s">
        <v>6679</v>
      </c>
      <c r="E3320" t="s">
        <v>6680</v>
      </c>
      <c r="G3320" s="1">
        <v>5.0999999999999996</v>
      </c>
    </row>
    <row r="3321" spans="1:7" ht="14.25" hidden="1" customHeight="1" x14ac:dyDescent="0.45">
      <c r="A3321" t="str">
        <f>_xlfn.XLOOKUP(B3321,Ingot!$H$12:$H$119,Ingot!$G$12:$G$119,"")</f>
        <v>Wood</v>
      </c>
      <c r="B3321" t="s">
        <v>6468</v>
      </c>
      <c r="C3321" t="s">
        <v>157</v>
      </c>
      <c r="D3321" t="s">
        <v>6681</v>
      </c>
      <c r="E3321" t="s">
        <v>6682</v>
      </c>
      <c r="G3321" s="1">
        <v>5</v>
      </c>
    </row>
    <row r="3322" spans="1:7" ht="14.25" hidden="1" customHeight="1" x14ac:dyDescent="0.45">
      <c r="A3322" t="str">
        <f>_xlfn.XLOOKUP(B3322,Ingot!$H$12:$H$119,Ingot!$G$12:$G$119,"")</f>
        <v>Wood</v>
      </c>
      <c r="B3322" t="s">
        <v>6468</v>
      </c>
      <c r="C3322" t="s">
        <v>157</v>
      </c>
      <c r="D3322" t="s">
        <v>6683</v>
      </c>
      <c r="E3322" t="s">
        <v>6684</v>
      </c>
      <c r="G3322" s="1">
        <v>10</v>
      </c>
    </row>
    <row r="3323" spans="1:7" ht="14.25" hidden="1" customHeight="1" x14ac:dyDescent="0.45">
      <c r="A3323" t="str">
        <f>_xlfn.XLOOKUP(B3323,Ingot!$H$12:$H$119,Ingot!$G$12:$G$119,"")</f>
        <v>Wood</v>
      </c>
      <c r="B3323" t="s">
        <v>6468</v>
      </c>
      <c r="C3323" t="s">
        <v>157</v>
      </c>
      <c r="D3323" t="s">
        <v>6685</v>
      </c>
      <c r="E3323" t="s">
        <v>6686</v>
      </c>
      <c r="G3323" s="1">
        <v>19.2</v>
      </c>
    </row>
    <row r="3324" spans="1:7" ht="14.25" hidden="1" customHeight="1" x14ac:dyDescent="0.45">
      <c r="A3324" t="str">
        <f>_xlfn.XLOOKUP(B3324,Ingot!$H$12:$H$119,Ingot!$G$12:$G$119,"")</f>
        <v>Wood</v>
      </c>
      <c r="B3324" t="s">
        <v>6468</v>
      </c>
      <c r="C3324" t="s">
        <v>157</v>
      </c>
      <c r="D3324" t="s">
        <v>6687</v>
      </c>
      <c r="E3324" t="s">
        <v>6688</v>
      </c>
      <c r="G3324" s="1">
        <v>5</v>
      </c>
    </row>
    <row r="3325" spans="1:7" ht="14.25" hidden="1" customHeight="1" x14ac:dyDescent="0.45">
      <c r="A3325" t="str">
        <f>_xlfn.XLOOKUP(B3325,Ingot!$H$12:$H$119,Ingot!$G$12:$G$119,"")</f>
        <v>Wood</v>
      </c>
      <c r="B3325" t="s">
        <v>6468</v>
      </c>
      <c r="C3325" t="s">
        <v>157</v>
      </c>
      <c r="D3325" t="s">
        <v>6689</v>
      </c>
      <c r="E3325" t="s">
        <v>6690</v>
      </c>
      <c r="G3325" s="1">
        <v>5</v>
      </c>
    </row>
    <row r="3326" spans="1:7" ht="14.25" hidden="1" customHeight="1" x14ac:dyDescent="0.45">
      <c r="A3326" t="str">
        <f>_xlfn.XLOOKUP(B3326,Ingot!$H$12:$H$119,Ingot!$G$12:$G$119,"")</f>
        <v>Wood</v>
      </c>
      <c r="B3326" t="s">
        <v>6468</v>
      </c>
      <c r="C3326" t="s">
        <v>157</v>
      </c>
      <c r="D3326" t="s">
        <v>6691</v>
      </c>
      <c r="E3326" t="s">
        <v>6692</v>
      </c>
      <c r="G3326" s="1">
        <v>5</v>
      </c>
    </row>
    <row r="3327" spans="1:7" ht="14.25" hidden="1" customHeight="1" x14ac:dyDescent="0.45">
      <c r="A3327" t="str">
        <f>_xlfn.XLOOKUP(B3327,Ingot!$H$12:$H$119,Ingot!$G$12:$G$119,"")</f>
        <v>Wood</v>
      </c>
      <c r="B3327" t="s">
        <v>6468</v>
      </c>
      <c r="C3327" t="s">
        <v>157</v>
      </c>
      <c r="D3327" t="s">
        <v>6693</v>
      </c>
      <c r="E3327" t="s">
        <v>6694</v>
      </c>
      <c r="G3327" s="1">
        <v>10</v>
      </c>
    </row>
    <row r="3328" spans="1:7" ht="14.25" hidden="1" customHeight="1" x14ac:dyDescent="0.45">
      <c r="A3328" t="str">
        <f>_xlfn.XLOOKUP(B3328,Ingot!$H$12:$H$119,Ingot!$G$12:$G$119,"")</f>
        <v>Wood</v>
      </c>
      <c r="B3328" t="s">
        <v>6468</v>
      </c>
      <c r="C3328" t="s">
        <v>239</v>
      </c>
      <c r="D3328" t="s">
        <v>6695</v>
      </c>
      <c r="E3328" t="s">
        <v>6696</v>
      </c>
    </row>
    <row r="3329" spans="1:7" ht="14.25" hidden="1" customHeight="1" x14ac:dyDescent="0.45">
      <c r="A3329" t="str">
        <f>_xlfn.XLOOKUP(B3329,Ingot!$H$12:$H$119,Ingot!$G$12:$G$119,"")</f>
        <v>Wood</v>
      </c>
      <c r="B3329" t="s">
        <v>6468</v>
      </c>
      <c r="C3329" t="s">
        <v>239</v>
      </c>
      <c r="D3329" t="s">
        <v>6697</v>
      </c>
      <c r="E3329" t="s">
        <v>6698</v>
      </c>
    </row>
    <row r="3330" spans="1:7" ht="14.25" hidden="1" customHeight="1" x14ac:dyDescent="0.45">
      <c r="A3330" t="str">
        <f>_xlfn.XLOOKUP(B3330,Ingot!$H$12:$H$119,Ingot!$G$12:$G$119,"")</f>
        <v>Wood</v>
      </c>
      <c r="B3330" t="s">
        <v>6468</v>
      </c>
      <c r="C3330" t="s">
        <v>239</v>
      </c>
      <c r="D3330" t="s">
        <v>6699</v>
      </c>
      <c r="E3330" t="s">
        <v>6700</v>
      </c>
    </row>
    <row r="3331" spans="1:7" ht="14.25" hidden="1" customHeight="1" x14ac:dyDescent="0.45">
      <c r="A3331" t="str">
        <f>_xlfn.XLOOKUP(B3331,Ingot!$H$12:$H$119,Ingot!$G$12:$G$119,"")</f>
        <v>Wood</v>
      </c>
      <c r="B3331" t="s">
        <v>6468</v>
      </c>
      <c r="C3331" t="s">
        <v>239</v>
      </c>
      <c r="D3331" t="s">
        <v>6701</v>
      </c>
      <c r="E3331" t="s">
        <v>6702</v>
      </c>
    </row>
    <row r="3332" spans="1:7" ht="14.25" hidden="1" customHeight="1" x14ac:dyDescent="0.45">
      <c r="A3332" t="str">
        <f>_xlfn.XLOOKUP(B3332,Ingot!$H$12:$H$119,Ingot!$G$12:$G$119,"")</f>
        <v>Wood</v>
      </c>
      <c r="B3332" t="s">
        <v>6468</v>
      </c>
      <c r="C3332" t="s">
        <v>239</v>
      </c>
      <c r="D3332" t="s">
        <v>6703</v>
      </c>
      <c r="E3332" t="s">
        <v>6704</v>
      </c>
    </row>
    <row r="3333" spans="1:7" ht="14.25" hidden="1" customHeight="1" x14ac:dyDescent="0.45">
      <c r="A3333" t="str">
        <f>_xlfn.XLOOKUP(B3333,Ingot!$H$12:$H$119,Ingot!$G$12:$G$119,"")</f>
        <v>Wood</v>
      </c>
      <c r="B3333" t="s">
        <v>6468</v>
      </c>
      <c r="C3333" t="s">
        <v>239</v>
      </c>
      <c r="D3333" t="s">
        <v>6705</v>
      </c>
      <c r="E3333" t="s">
        <v>6706</v>
      </c>
    </row>
    <row r="3334" spans="1:7" ht="14.25" hidden="1" customHeight="1" x14ac:dyDescent="0.45">
      <c r="A3334" t="str">
        <f>_xlfn.XLOOKUP(B3334,Ingot!$H$12:$H$119,Ingot!$G$12:$G$119,"")</f>
        <v>Wood</v>
      </c>
      <c r="B3334" t="s">
        <v>6707</v>
      </c>
      <c r="C3334" t="s">
        <v>10</v>
      </c>
      <c r="D3334" t="s">
        <v>6708</v>
      </c>
      <c r="E3334" t="s">
        <v>6709</v>
      </c>
      <c r="G3334" s="1">
        <v>0.08</v>
      </c>
    </row>
    <row r="3335" spans="1:7" ht="14.25" hidden="1" customHeight="1" x14ac:dyDescent="0.45">
      <c r="A3335" t="str">
        <f>_xlfn.XLOOKUP(B3335,Ingot!$H$12:$H$119,Ingot!$G$12:$G$119,"")</f>
        <v>Wood</v>
      </c>
      <c r="B3335" t="s">
        <v>6707</v>
      </c>
      <c r="C3335" t="s">
        <v>10</v>
      </c>
      <c r="D3335" t="s">
        <v>6710</v>
      </c>
      <c r="E3335" t="s">
        <v>6711</v>
      </c>
      <c r="G3335" s="1">
        <v>9.9</v>
      </c>
    </row>
    <row r="3336" spans="1:7" ht="14.25" hidden="1" customHeight="1" x14ac:dyDescent="0.45">
      <c r="A3336" t="str">
        <f>_xlfn.XLOOKUP(B3336,Ingot!$H$12:$H$119,Ingot!$G$12:$G$119,"")</f>
        <v>Wood</v>
      </c>
      <c r="B3336" t="s">
        <v>6707</v>
      </c>
      <c r="C3336" t="s">
        <v>10</v>
      </c>
      <c r="D3336" t="s">
        <v>6712</v>
      </c>
      <c r="E3336" t="s">
        <v>6713</v>
      </c>
      <c r="G3336" s="1">
        <v>5.66</v>
      </c>
    </row>
    <row r="3337" spans="1:7" ht="14.25" hidden="1" customHeight="1" x14ac:dyDescent="0.45">
      <c r="A3337" t="str">
        <f>_xlfn.XLOOKUP(B3337,Ingot!$H$12:$H$119,Ingot!$G$12:$G$119,"")</f>
        <v>Wood</v>
      </c>
      <c r="B3337" t="s">
        <v>6707</v>
      </c>
      <c r="C3337" t="s">
        <v>10</v>
      </c>
      <c r="D3337" t="s">
        <v>6714</v>
      </c>
      <c r="E3337" t="s">
        <v>6715</v>
      </c>
      <c r="G3337" s="1">
        <v>3.3</v>
      </c>
    </row>
    <row r="3338" spans="1:7" ht="14.25" hidden="1" customHeight="1" x14ac:dyDescent="0.45">
      <c r="A3338" t="str">
        <f>_xlfn.XLOOKUP(B3338,Ingot!$H$12:$H$119,Ingot!$G$12:$G$119,"")</f>
        <v>Wood</v>
      </c>
      <c r="B3338" t="s">
        <v>6707</v>
      </c>
      <c r="C3338" t="s">
        <v>10</v>
      </c>
      <c r="D3338" t="s">
        <v>6716</v>
      </c>
      <c r="E3338" t="s">
        <v>6717</v>
      </c>
      <c r="G3338" s="1">
        <v>0.66</v>
      </c>
    </row>
    <row r="3339" spans="1:7" ht="14.25" hidden="1" customHeight="1" x14ac:dyDescent="0.45">
      <c r="A3339" t="str">
        <f>_xlfn.XLOOKUP(B3339,Ingot!$H$12:$H$119,Ingot!$G$12:$G$119,"")</f>
        <v>Wood</v>
      </c>
      <c r="B3339" t="s">
        <v>6707</v>
      </c>
      <c r="C3339" t="s">
        <v>10</v>
      </c>
      <c r="D3339" t="s">
        <v>6718</v>
      </c>
      <c r="E3339" t="s">
        <v>6719</v>
      </c>
      <c r="G3339" s="1">
        <v>0.04</v>
      </c>
    </row>
    <row r="3340" spans="1:7" ht="14.25" hidden="1" customHeight="1" x14ac:dyDescent="0.45">
      <c r="A3340" t="str">
        <f>_xlfn.XLOOKUP(B3340,Ingot!$H$12:$H$119,Ingot!$G$12:$G$119,"")</f>
        <v>Wood</v>
      </c>
      <c r="B3340" t="s">
        <v>6707</v>
      </c>
      <c r="C3340" t="s">
        <v>10</v>
      </c>
      <c r="D3340" t="s">
        <v>6720</v>
      </c>
      <c r="E3340" t="s">
        <v>6721</v>
      </c>
      <c r="G3340" s="1">
        <v>0.33</v>
      </c>
    </row>
    <row r="3341" spans="1:7" ht="14.25" hidden="1" customHeight="1" x14ac:dyDescent="0.45">
      <c r="A3341" t="str">
        <f>_xlfn.XLOOKUP(B3341,Ingot!$H$12:$H$119,Ingot!$G$12:$G$119,"")</f>
        <v>Wood</v>
      </c>
      <c r="B3341" t="s">
        <v>6707</v>
      </c>
      <c r="C3341" t="s">
        <v>10</v>
      </c>
      <c r="D3341" t="s">
        <v>6722</v>
      </c>
      <c r="E3341" t="s">
        <v>6723</v>
      </c>
    </row>
    <row r="3342" spans="1:7" ht="14.25" hidden="1" customHeight="1" x14ac:dyDescent="0.45">
      <c r="A3342" t="str">
        <f>_xlfn.XLOOKUP(B3342,Ingot!$H$12:$H$119,Ingot!$G$12:$G$119,"")</f>
        <v>Wood</v>
      </c>
      <c r="B3342" t="s">
        <v>6707</v>
      </c>
      <c r="C3342" t="s">
        <v>10</v>
      </c>
      <c r="D3342" t="s">
        <v>6724</v>
      </c>
      <c r="E3342" t="s">
        <v>6725</v>
      </c>
      <c r="G3342" s="1">
        <v>0.05</v>
      </c>
    </row>
    <row r="3343" spans="1:7" ht="14.25" hidden="1" customHeight="1" x14ac:dyDescent="0.45">
      <c r="A3343" t="str">
        <f>_xlfn.XLOOKUP(B3343,Ingot!$H$12:$H$119,Ingot!$G$12:$G$119,"")</f>
        <v>Wood</v>
      </c>
      <c r="B3343" t="s">
        <v>6707</v>
      </c>
      <c r="C3343" t="s">
        <v>10</v>
      </c>
      <c r="D3343" t="s">
        <v>6726</v>
      </c>
      <c r="E3343" t="s">
        <v>6727</v>
      </c>
      <c r="G3343" s="1">
        <v>0.66</v>
      </c>
    </row>
    <row r="3344" spans="1:7" ht="14.25" hidden="1" customHeight="1" x14ac:dyDescent="0.45">
      <c r="A3344" t="str">
        <f>_xlfn.XLOOKUP(B3344,Ingot!$H$12:$H$119,Ingot!$G$12:$G$119,"")</f>
        <v>Wood</v>
      </c>
      <c r="B3344" t="s">
        <v>6707</v>
      </c>
      <c r="C3344" t="s">
        <v>10</v>
      </c>
      <c r="D3344" t="s">
        <v>6728</v>
      </c>
      <c r="E3344" t="s">
        <v>6729</v>
      </c>
      <c r="G3344" s="1">
        <v>3.96</v>
      </c>
    </row>
    <row r="3345" spans="1:7" ht="14.25" hidden="1" customHeight="1" x14ac:dyDescent="0.45">
      <c r="A3345" t="str">
        <f>_xlfn.XLOOKUP(B3345,Ingot!$H$12:$H$119,Ingot!$G$12:$G$119,"")</f>
        <v>Wood</v>
      </c>
      <c r="B3345" t="s">
        <v>6707</v>
      </c>
      <c r="C3345" t="s">
        <v>10</v>
      </c>
      <c r="D3345" t="s">
        <v>6730</v>
      </c>
      <c r="E3345" t="s">
        <v>6731</v>
      </c>
      <c r="G3345" s="1">
        <v>8.77</v>
      </c>
    </row>
    <row r="3346" spans="1:7" ht="14.25" hidden="1" customHeight="1" x14ac:dyDescent="0.45">
      <c r="A3346" t="str">
        <f>_xlfn.XLOOKUP(B3346,Ingot!$H$12:$H$119,Ingot!$G$12:$G$119,"")</f>
        <v>Wood</v>
      </c>
      <c r="B3346" t="s">
        <v>6707</v>
      </c>
      <c r="C3346" t="s">
        <v>10</v>
      </c>
      <c r="D3346" t="s">
        <v>6732</v>
      </c>
      <c r="E3346" t="s">
        <v>6733</v>
      </c>
      <c r="G3346" s="1">
        <v>3.5</v>
      </c>
    </row>
    <row r="3347" spans="1:7" ht="14.25" hidden="1" customHeight="1" x14ac:dyDescent="0.45">
      <c r="A3347" t="str">
        <f>_xlfn.XLOOKUP(B3347,Ingot!$H$12:$H$119,Ingot!$G$12:$G$119,"")</f>
        <v>Wood</v>
      </c>
      <c r="B3347" t="s">
        <v>6707</v>
      </c>
      <c r="C3347" t="s">
        <v>10</v>
      </c>
      <c r="D3347" t="s">
        <v>6734</v>
      </c>
      <c r="E3347" t="s">
        <v>6735</v>
      </c>
    </row>
    <row r="3348" spans="1:7" ht="14.25" hidden="1" customHeight="1" x14ac:dyDescent="0.45">
      <c r="A3348" t="str">
        <f>_xlfn.XLOOKUP(B3348,Ingot!$H$12:$H$119,Ingot!$G$12:$G$119,"")</f>
        <v>Wood</v>
      </c>
      <c r="B3348" t="s">
        <v>6707</v>
      </c>
      <c r="C3348" t="s">
        <v>10</v>
      </c>
      <c r="D3348" t="s">
        <v>6736</v>
      </c>
      <c r="E3348" t="s">
        <v>6737</v>
      </c>
      <c r="G3348" s="1">
        <v>2.2000000000000002</v>
      </c>
    </row>
    <row r="3349" spans="1:7" ht="14.25" hidden="1" customHeight="1" x14ac:dyDescent="0.45">
      <c r="A3349" t="str">
        <f>_xlfn.XLOOKUP(B3349,Ingot!$H$12:$H$119,Ingot!$G$12:$G$119,"")</f>
        <v>Wood</v>
      </c>
      <c r="B3349" t="s">
        <v>6707</v>
      </c>
      <c r="C3349" t="s">
        <v>10</v>
      </c>
      <c r="D3349" t="s">
        <v>6738</v>
      </c>
      <c r="E3349" t="s">
        <v>6739</v>
      </c>
      <c r="G3349" s="1">
        <v>1.1000000000000001</v>
      </c>
    </row>
    <row r="3350" spans="1:7" ht="14.25" hidden="1" customHeight="1" x14ac:dyDescent="0.45">
      <c r="A3350" t="str">
        <f>_xlfn.XLOOKUP(B3350,Ingot!$H$12:$H$119,Ingot!$G$12:$G$119,"")</f>
        <v>Wood</v>
      </c>
      <c r="B3350" t="s">
        <v>6707</v>
      </c>
      <c r="C3350" t="s">
        <v>10</v>
      </c>
      <c r="D3350" t="s">
        <v>6740</v>
      </c>
      <c r="E3350" t="s">
        <v>6741</v>
      </c>
      <c r="G3350" s="1">
        <v>0.22</v>
      </c>
    </row>
    <row r="3351" spans="1:7" ht="14.25" hidden="1" customHeight="1" x14ac:dyDescent="0.45">
      <c r="A3351" t="str">
        <f>_xlfn.XLOOKUP(B3351,Ingot!$H$12:$H$119,Ingot!$G$12:$G$119,"")</f>
        <v>Wood</v>
      </c>
      <c r="B3351" t="s">
        <v>6707</v>
      </c>
      <c r="C3351" t="s">
        <v>10</v>
      </c>
      <c r="D3351" t="s">
        <v>6742</v>
      </c>
      <c r="E3351" t="s">
        <v>6743</v>
      </c>
      <c r="G3351" s="1">
        <v>8.41</v>
      </c>
    </row>
    <row r="3352" spans="1:7" ht="14.25" hidden="1" customHeight="1" x14ac:dyDescent="0.45">
      <c r="A3352" t="str">
        <f>_xlfn.XLOOKUP(B3352,Ingot!$H$12:$H$119,Ingot!$G$12:$G$119,"")</f>
        <v>Wood</v>
      </c>
      <c r="B3352" t="s">
        <v>6707</v>
      </c>
      <c r="C3352" t="s">
        <v>10</v>
      </c>
      <c r="D3352" t="s">
        <v>6744</v>
      </c>
      <c r="E3352" t="s">
        <v>6745</v>
      </c>
      <c r="G3352" s="1">
        <v>3.64</v>
      </c>
    </row>
    <row r="3353" spans="1:7" ht="14.25" hidden="1" customHeight="1" x14ac:dyDescent="0.45">
      <c r="A3353" t="str">
        <f>_xlfn.XLOOKUP(B3353,Ingot!$H$12:$H$119,Ingot!$G$12:$G$119,"")</f>
        <v>Wood</v>
      </c>
      <c r="B3353" t="s">
        <v>6707</v>
      </c>
      <c r="C3353" t="s">
        <v>10</v>
      </c>
      <c r="D3353" t="s">
        <v>6746</v>
      </c>
      <c r="E3353" t="s">
        <v>6747</v>
      </c>
      <c r="G3353" s="1">
        <v>7.05</v>
      </c>
    </row>
    <row r="3354" spans="1:7" ht="14.25" hidden="1" customHeight="1" x14ac:dyDescent="0.45">
      <c r="A3354" t="str">
        <f>_xlfn.XLOOKUP(B3354,Ingot!$H$12:$H$119,Ingot!$G$12:$G$119,"")</f>
        <v>Wood</v>
      </c>
      <c r="B3354" t="s">
        <v>6707</v>
      </c>
      <c r="C3354" t="s">
        <v>10</v>
      </c>
      <c r="D3354" t="s">
        <v>6748</v>
      </c>
      <c r="E3354" t="s">
        <v>6749</v>
      </c>
      <c r="G3354" s="1">
        <v>2.65</v>
      </c>
    </row>
    <row r="3355" spans="1:7" ht="14.25" hidden="1" customHeight="1" x14ac:dyDescent="0.45">
      <c r="A3355" t="str">
        <f>_xlfn.XLOOKUP(B3355,Ingot!$H$12:$H$119,Ingot!$G$12:$G$119,"")</f>
        <v>Wood</v>
      </c>
      <c r="B3355" t="s">
        <v>6707</v>
      </c>
      <c r="C3355" t="s">
        <v>10</v>
      </c>
      <c r="D3355" t="s">
        <v>6750</v>
      </c>
      <c r="E3355" t="s">
        <v>6751</v>
      </c>
      <c r="G3355" s="1">
        <v>9</v>
      </c>
    </row>
    <row r="3356" spans="1:7" ht="14.25" hidden="1" customHeight="1" x14ac:dyDescent="0.45">
      <c r="A3356" t="str">
        <f>_xlfn.XLOOKUP(B3356,Ingot!$H$12:$H$119,Ingot!$G$12:$G$119,"")</f>
        <v>Wood</v>
      </c>
      <c r="B3356" t="s">
        <v>6707</v>
      </c>
      <c r="C3356" t="s">
        <v>10</v>
      </c>
      <c r="D3356" t="s">
        <v>6752</v>
      </c>
      <c r="E3356" t="s">
        <v>6753</v>
      </c>
      <c r="G3356" s="1">
        <v>10.23</v>
      </c>
    </row>
    <row r="3357" spans="1:7" ht="14.25" hidden="1" customHeight="1" x14ac:dyDescent="0.45">
      <c r="A3357" t="str">
        <f>_xlfn.XLOOKUP(B3357,Ingot!$H$12:$H$119,Ingot!$G$12:$G$119,"")</f>
        <v>Wood</v>
      </c>
      <c r="B3357" t="s">
        <v>6707</v>
      </c>
      <c r="C3357" t="s">
        <v>10</v>
      </c>
      <c r="D3357" t="s">
        <v>6754</v>
      </c>
      <c r="E3357" t="s">
        <v>6755</v>
      </c>
      <c r="G3357" s="1">
        <v>7.7</v>
      </c>
    </row>
    <row r="3358" spans="1:7" ht="14.25" hidden="1" customHeight="1" x14ac:dyDescent="0.45">
      <c r="A3358" t="str">
        <f>_xlfn.XLOOKUP(B3358,Ingot!$H$12:$H$119,Ingot!$G$12:$G$119,"")</f>
        <v>Wood</v>
      </c>
      <c r="B3358" t="s">
        <v>6707</v>
      </c>
      <c r="C3358" t="s">
        <v>10</v>
      </c>
      <c r="D3358" t="s">
        <v>6756</v>
      </c>
      <c r="E3358" t="s">
        <v>6757</v>
      </c>
      <c r="G3358" s="1">
        <v>10.02</v>
      </c>
    </row>
    <row r="3359" spans="1:7" ht="14.25" hidden="1" customHeight="1" x14ac:dyDescent="0.45">
      <c r="A3359" t="str">
        <f>_xlfn.XLOOKUP(B3359,Ingot!$H$12:$H$119,Ingot!$G$12:$G$119,"")</f>
        <v>Wood</v>
      </c>
      <c r="B3359" t="s">
        <v>6707</v>
      </c>
      <c r="C3359" t="s">
        <v>10</v>
      </c>
      <c r="D3359" t="s">
        <v>6758</v>
      </c>
      <c r="E3359" t="s">
        <v>6759</v>
      </c>
      <c r="G3359" s="1">
        <v>11.81</v>
      </c>
    </row>
    <row r="3360" spans="1:7" ht="14.25" hidden="1" customHeight="1" x14ac:dyDescent="0.45">
      <c r="A3360" t="str">
        <f>_xlfn.XLOOKUP(B3360,Ingot!$H$12:$H$119,Ingot!$G$12:$G$119,"")</f>
        <v>Wood</v>
      </c>
      <c r="B3360" t="s">
        <v>6707</v>
      </c>
      <c r="C3360" t="s">
        <v>10</v>
      </c>
      <c r="D3360" t="s">
        <v>6760</v>
      </c>
      <c r="E3360" t="s">
        <v>6761</v>
      </c>
      <c r="G3360" s="1">
        <v>8.44</v>
      </c>
    </row>
    <row r="3361" spans="1:7" ht="14.25" hidden="1" customHeight="1" x14ac:dyDescent="0.45">
      <c r="A3361" t="str">
        <f>_xlfn.XLOOKUP(B3361,Ingot!$H$12:$H$119,Ingot!$G$12:$G$119,"")</f>
        <v>Wood</v>
      </c>
      <c r="B3361" t="s">
        <v>6707</v>
      </c>
      <c r="C3361" t="s">
        <v>10</v>
      </c>
      <c r="D3361" t="s">
        <v>6762</v>
      </c>
      <c r="E3361" t="s">
        <v>6763</v>
      </c>
      <c r="G3361" s="1">
        <v>10.42</v>
      </c>
    </row>
    <row r="3362" spans="1:7" ht="14.25" hidden="1" customHeight="1" x14ac:dyDescent="0.45">
      <c r="A3362" t="str">
        <f>_xlfn.XLOOKUP(B3362,Ingot!$H$12:$H$119,Ingot!$G$12:$G$119,"")</f>
        <v>Wood</v>
      </c>
      <c r="B3362" t="s">
        <v>6707</v>
      </c>
      <c r="C3362" t="s">
        <v>10</v>
      </c>
      <c r="D3362" t="s">
        <v>6764</v>
      </c>
      <c r="E3362" t="s">
        <v>6765</v>
      </c>
    </row>
    <row r="3363" spans="1:7" ht="14.25" hidden="1" customHeight="1" x14ac:dyDescent="0.45">
      <c r="A3363" t="str">
        <f>_xlfn.XLOOKUP(B3363,Ingot!$H$12:$H$119,Ingot!$G$12:$G$119,"")</f>
        <v>Wood</v>
      </c>
      <c r="B3363" t="s">
        <v>6707</v>
      </c>
      <c r="C3363" t="s">
        <v>10</v>
      </c>
      <c r="D3363" t="s">
        <v>6766</v>
      </c>
      <c r="E3363" t="s">
        <v>6767</v>
      </c>
      <c r="G3363" s="1">
        <v>7.96</v>
      </c>
    </row>
    <row r="3364" spans="1:7" ht="14.25" hidden="1" customHeight="1" x14ac:dyDescent="0.45">
      <c r="A3364" t="str">
        <f>_xlfn.XLOOKUP(B3364,Ingot!$H$12:$H$119,Ingot!$G$12:$G$119,"")</f>
        <v>Wood</v>
      </c>
      <c r="B3364" t="s">
        <v>6707</v>
      </c>
      <c r="C3364" t="s">
        <v>10</v>
      </c>
      <c r="D3364" t="s">
        <v>6768</v>
      </c>
      <c r="E3364" t="s">
        <v>6769</v>
      </c>
      <c r="G3364" s="1">
        <v>9.64</v>
      </c>
    </row>
    <row r="3365" spans="1:7" ht="14.25" hidden="1" customHeight="1" x14ac:dyDescent="0.45">
      <c r="A3365" t="str">
        <f>_xlfn.XLOOKUP(B3365,Ingot!$H$12:$H$119,Ingot!$G$12:$G$119,"")</f>
        <v>Wood</v>
      </c>
      <c r="B3365" t="s">
        <v>6707</v>
      </c>
      <c r="C3365" t="s">
        <v>10</v>
      </c>
      <c r="D3365" t="s">
        <v>6770</v>
      </c>
      <c r="E3365" t="s">
        <v>6771</v>
      </c>
      <c r="G3365" s="1">
        <v>7.94</v>
      </c>
    </row>
    <row r="3366" spans="1:7" ht="14.25" hidden="1" customHeight="1" x14ac:dyDescent="0.45">
      <c r="A3366" t="str">
        <f>_xlfn.XLOOKUP(B3366,Ingot!$H$12:$H$119,Ingot!$G$12:$G$119,"")</f>
        <v>Wood</v>
      </c>
      <c r="B3366" t="s">
        <v>6707</v>
      </c>
      <c r="C3366" t="s">
        <v>10</v>
      </c>
      <c r="D3366" t="s">
        <v>6772</v>
      </c>
      <c r="E3366" t="s">
        <v>6773</v>
      </c>
      <c r="G3366" s="1">
        <v>8.66</v>
      </c>
    </row>
    <row r="3367" spans="1:7" ht="14.25" hidden="1" customHeight="1" x14ac:dyDescent="0.45">
      <c r="A3367" t="str">
        <f>_xlfn.XLOOKUP(B3367,Ingot!$H$12:$H$119,Ingot!$G$12:$G$119,"")</f>
        <v>Wood</v>
      </c>
      <c r="B3367" t="s">
        <v>6707</v>
      </c>
      <c r="C3367" t="s">
        <v>10</v>
      </c>
      <c r="D3367" t="s">
        <v>6774</v>
      </c>
      <c r="E3367" t="s">
        <v>6775</v>
      </c>
    </row>
    <row r="3368" spans="1:7" ht="14.25" hidden="1" customHeight="1" x14ac:dyDescent="0.45">
      <c r="A3368" t="str">
        <f>_xlfn.XLOOKUP(B3368,Ingot!$H$12:$H$119,Ingot!$G$12:$G$119,"")</f>
        <v>Wood</v>
      </c>
      <c r="B3368" t="s">
        <v>6707</v>
      </c>
      <c r="C3368" t="s">
        <v>10</v>
      </c>
      <c r="D3368" t="s">
        <v>6776</v>
      </c>
      <c r="E3368" t="s">
        <v>6777</v>
      </c>
      <c r="G3368" s="1">
        <v>2.65</v>
      </c>
    </row>
    <row r="3369" spans="1:7" ht="14.25" hidden="1" customHeight="1" x14ac:dyDescent="0.45">
      <c r="A3369" t="str">
        <f>_xlfn.XLOOKUP(B3369,Ingot!$H$12:$H$119,Ingot!$G$12:$G$119,"")</f>
        <v>Wood</v>
      </c>
      <c r="B3369" t="s">
        <v>6707</v>
      </c>
      <c r="C3369" t="s">
        <v>10</v>
      </c>
      <c r="D3369" t="s">
        <v>6778</v>
      </c>
      <c r="E3369" t="s">
        <v>6779</v>
      </c>
    </row>
    <row r="3370" spans="1:7" ht="14.25" hidden="1" customHeight="1" x14ac:dyDescent="0.45">
      <c r="A3370" t="str">
        <f>_xlfn.XLOOKUP(B3370,Ingot!$H$12:$H$119,Ingot!$G$12:$G$119,"")</f>
        <v>Wood</v>
      </c>
      <c r="B3370" t="s">
        <v>6707</v>
      </c>
      <c r="C3370" t="s">
        <v>10</v>
      </c>
      <c r="D3370" t="s">
        <v>6780</v>
      </c>
      <c r="E3370" t="s">
        <v>6781</v>
      </c>
      <c r="G3370" s="1">
        <v>12.64</v>
      </c>
    </row>
    <row r="3371" spans="1:7" ht="14.25" hidden="1" customHeight="1" x14ac:dyDescent="0.45">
      <c r="A3371" t="str">
        <f>_xlfn.XLOOKUP(B3371,Ingot!$H$12:$H$119,Ingot!$G$12:$G$119,"")</f>
        <v>Wood</v>
      </c>
      <c r="B3371" t="s">
        <v>6707</v>
      </c>
      <c r="C3371" t="s">
        <v>10</v>
      </c>
      <c r="D3371" t="s">
        <v>6782</v>
      </c>
      <c r="E3371" t="s">
        <v>6783</v>
      </c>
      <c r="G3371" s="1">
        <v>22.67</v>
      </c>
    </row>
    <row r="3372" spans="1:7" ht="14.25" hidden="1" customHeight="1" x14ac:dyDescent="0.45">
      <c r="A3372" t="str">
        <f>_xlfn.XLOOKUP(B3372,Ingot!$H$12:$H$119,Ingot!$G$12:$G$119,"")</f>
        <v>Wood</v>
      </c>
      <c r="B3372" t="s">
        <v>6707</v>
      </c>
      <c r="C3372" t="s">
        <v>10</v>
      </c>
      <c r="D3372" t="s">
        <v>6784</v>
      </c>
      <c r="E3372" t="s">
        <v>6785</v>
      </c>
      <c r="G3372" s="1">
        <v>8.3800000000000008</v>
      </c>
    </row>
    <row r="3373" spans="1:7" ht="14.25" hidden="1" customHeight="1" x14ac:dyDescent="0.45">
      <c r="A3373" t="str">
        <f>_xlfn.XLOOKUP(B3373,Ingot!$H$12:$H$119,Ingot!$G$12:$G$119,"")</f>
        <v>Wood</v>
      </c>
      <c r="B3373" t="s">
        <v>6707</v>
      </c>
      <c r="C3373" t="s">
        <v>10</v>
      </c>
      <c r="D3373" t="s">
        <v>6786</v>
      </c>
      <c r="E3373" t="s">
        <v>6787</v>
      </c>
      <c r="G3373" s="1">
        <v>2.2000000000000002</v>
      </c>
    </row>
    <row r="3374" spans="1:7" ht="14.25" hidden="1" customHeight="1" x14ac:dyDescent="0.45">
      <c r="A3374" t="str">
        <f>_xlfn.XLOOKUP(B3374,Ingot!$H$12:$H$119,Ingot!$G$12:$G$119,"")</f>
        <v>Wood</v>
      </c>
      <c r="B3374" t="s">
        <v>6707</v>
      </c>
      <c r="C3374" t="s">
        <v>10</v>
      </c>
      <c r="D3374" t="s">
        <v>6788</v>
      </c>
      <c r="E3374" t="s">
        <v>6789</v>
      </c>
      <c r="G3374" s="1">
        <v>3.09</v>
      </c>
    </row>
    <row r="3375" spans="1:7" ht="14.25" hidden="1" customHeight="1" x14ac:dyDescent="0.45">
      <c r="A3375" t="str">
        <f>_xlfn.XLOOKUP(B3375,Ingot!$H$12:$H$119,Ingot!$G$12:$G$119,"")</f>
        <v>Wood</v>
      </c>
      <c r="B3375" t="s">
        <v>6707</v>
      </c>
      <c r="C3375" t="s">
        <v>10</v>
      </c>
      <c r="D3375" t="s">
        <v>6790</v>
      </c>
      <c r="E3375" t="s">
        <v>6791</v>
      </c>
      <c r="G3375" s="1">
        <v>2.2999999999999998</v>
      </c>
    </row>
    <row r="3376" spans="1:7" ht="14.25" hidden="1" customHeight="1" x14ac:dyDescent="0.45">
      <c r="A3376" t="str">
        <f>_xlfn.XLOOKUP(B3376,Ingot!$H$12:$H$119,Ingot!$G$12:$G$119,"")</f>
        <v>Wood</v>
      </c>
      <c r="B3376" t="s">
        <v>6707</v>
      </c>
      <c r="C3376" t="s">
        <v>10</v>
      </c>
      <c r="D3376" t="s">
        <v>6792</v>
      </c>
      <c r="E3376" t="s">
        <v>6793</v>
      </c>
      <c r="G3376" s="1">
        <v>4.88</v>
      </c>
    </row>
    <row r="3377" spans="1:7" ht="14.25" hidden="1" customHeight="1" x14ac:dyDescent="0.45">
      <c r="A3377" t="str">
        <f>_xlfn.XLOOKUP(B3377,Ingot!$H$12:$H$119,Ingot!$G$12:$G$119,"")</f>
        <v>Wood</v>
      </c>
      <c r="B3377" t="s">
        <v>6707</v>
      </c>
      <c r="C3377" t="s">
        <v>10</v>
      </c>
      <c r="D3377" t="s">
        <v>6794</v>
      </c>
      <c r="E3377" t="s">
        <v>6795</v>
      </c>
      <c r="G3377" s="1">
        <v>8.43</v>
      </c>
    </row>
    <row r="3378" spans="1:7" ht="14.25" hidden="1" customHeight="1" x14ac:dyDescent="0.45">
      <c r="A3378" t="str">
        <f>_xlfn.XLOOKUP(B3378,Ingot!$H$12:$H$119,Ingot!$G$12:$G$119,"")</f>
        <v>Wood</v>
      </c>
      <c r="B3378" t="s">
        <v>6707</v>
      </c>
      <c r="C3378" t="s">
        <v>10</v>
      </c>
      <c r="D3378" t="s">
        <v>6796</v>
      </c>
      <c r="E3378" t="s">
        <v>6797</v>
      </c>
      <c r="G3378" s="1">
        <v>13.07</v>
      </c>
    </row>
    <row r="3379" spans="1:7" ht="14.25" hidden="1" customHeight="1" x14ac:dyDescent="0.45">
      <c r="A3379" t="str">
        <f>_xlfn.XLOOKUP(B3379,Ingot!$H$12:$H$119,Ingot!$G$12:$G$119,"")</f>
        <v>Wood</v>
      </c>
      <c r="B3379" t="s">
        <v>6707</v>
      </c>
      <c r="C3379" t="s">
        <v>10</v>
      </c>
      <c r="D3379" t="s">
        <v>6798</v>
      </c>
      <c r="E3379" t="s">
        <v>6799</v>
      </c>
    </row>
    <row r="3380" spans="1:7" ht="14.25" hidden="1" customHeight="1" x14ac:dyDescent="0.45">
      <c r="A3380" t="str">
        <f>_xlfn.XLOOKUP(B3380,Ingot!$H$12:$H$119,Ingot!$G$12:$G$119,"")</f>
        <v>Wood</v>
      </c>
      <c r="B3380" t="s">
        <v>6707</v>
      </c>
      <c r="C3380" t="s">
        <v>10</v>
      </c>
      <c r="D3380" t="s">
        <v>6800</v>
      </c>
      <c r="E3380" t="s">
        <v>6801</v>
      </c>
    </row>
    <row r="3381" spans="1:7" ht="14.25" hidden="1" customHeight="1" x14ac:dyDescent="0.45">
      <c r="A3381" t="str">
        <f>_xlfn.XLOOKUP(B3381,Ingot!$H$12:$H$119,Ingot!$G$12:$G$119,"")</f>
        <v>Wood</v>
      </c>
      <c r="B3381" t="s">
        <v>6707</v>
      </c>
      <c r="C3381" t="s">
        <v>10</v>
      </c>
      <c r="D3381" t="s">
        <v>6802</v>
      </c>
      <c r="E3381" t="s">
        <v>6803</v>
      </c>
      <c r="G3381" s="1">
        <v>6.8</v>
      </c>
    </row>
    <row r="3382" spans="1:7" ht="14.25" hidden="1" customHeight="1" x14ac:dyDescent="0.45">
      <c r="A3382" t="str">
        <f>_xlfn.XLOOKUP(B3382,Ingot!$H$12:$H$119,Ingot!$G$12:$G$119,"")</f>
        <v>Wood</v>
      </c>
      <c r="B3382" t="s">
        <v>6707</v>
      </c>
      <c r="C3382" t="s">
        <v>10</v>
      </c>
      <c r="D3382" t="s">
        <v>6804</v>
      </c>
      <c r="E3382" t="s">
        <v>6805</v>
      </c>
      <c r="G3382" s="1">
        <v>6.88</v>
      </c>
    </row>
    <row r="3383" spans="1:7" ht="14.25" hidden="1" customHeight="1" x14ac:dyDescent="0.45">
      <c r="A3383" t="str">
        <f>_xlfn.XLOOKUP(B3383,Ingot!$H$12:$H$119,Ingot!$G$12:$G$119,"")</f>
        <v>Wood</v>
      </c>
      <c r="B3383" t="s">
        <v>6707</v>
      </c>
      <c r="C3383" t="s">
        <v>10</v>
      </c>
      <c r="D3383" t="s">
        <v>6806</v>
      </c>
      <c r="E3383" t="s">
        <v>6807</v>
      </c>
      <c r="G3383" s="1">
        <v>5.5</v>
      </c>
    </row>
    <row r="3384" spans="1:7" ht="14.25" hidden="1" customHeight="1" x14ac:dyDescent="0.45">
      <c r="A3384" t="str">
        <f>_xlfn.XLOOKUP(B3384,Ingot!$H$12:$H$119,Ingot!$G$12:$G$119,"")</f>
        <v>Wood</v>
      </c>
      <c r="B3384" t="s">
        <v>6707</v>
      </c>
      <c r="C3384" t="s">
        <v>10</v>
      </c>
      <c r="D3384" t="s">
        <v>6808</v>
      </c>
      <c r="E3384" t="s">
        <v>6809</v>
      </c>
      <c r="G3384" s="1">
        <v>2.4300000000000002</v>
      </c>
    </row>
    <row r="3385" spans="1:7" ht="14.25" hidden="1" customHeight="1" x14ac:dyDescent="0.45">
      <c r="A3385" t="str">
        <f>_xlfn.XLOOKUP(B3385,Ingot!$H$12:$H$119,Ingot!$G$12:$G$119,"")</f>
        <v>Wood</v>
      </c>
      <c r="B3385" t="s">
        <v>6707</v>
      </c>
      <c r="C3385" t="s">
        <v>10</v>
      </c>
      <c r="D3385" t="s">
        <v>6810</v>
      </c>
      <c r="E3385" t="s">
        <v>6811</v>
      </c>
      <c r="G3385" s="1">
        <v>6.96</v>
      </c>
    </row>
    <row r="3386" spans="1:7" ht="14.25" hidden="1" customHeight="1" x14ac:dyDescent="0.45">
      <c r="A3386" t="str">
        <f>_xlfn.XLOOKUP(B3386,Ingot!$H$12:$H$119,Ingot!$G$12:$G$119,"")</f>
        <v>Wood</v>
      </c>
      <c r="B3386" t="s">
        <v>6707</v>
      </c>
      <c r="C3386" t="s">
        <v>10</v>
      </c>
      <c r="D3386" t="s">
        <v>6812</v>
      </c>
      <c r="E3386" t="s">
        <v>6813</v>
      </c>
      <c r="G3386" s="1">
        <v>6.32</v>
      </c>
    </row>
    <row r="3387" spans="1:7" ht="14.25" hidden="1" customHeight="1" x14ac:dyDescent="0.45">
      <c r="A3387" t="str">
        <f>_xlfn.XLOOKUP(B3387,Ingot!$H$12:$H$119,Ingot!$G$12:$G$119,"")</f>
        <v>Wood</v>
      </c>
      <c r="B3387" t="s">
        <v>6707</v>
      </c>
      <c r="C3387" t="s">
        <v>10</v>
      </c>
      <c r="D3387" t="s">
        <v>6814</v>
      </c>
      <c r="E3387" t="s">
        <v>6815</v>
      </c>
      <c r="G3387" s="1">
        <v>6.88</v>
      </c>
    </row>
    <row r="3388" spans="1:7" ht="14.25" hidden="1" customHeight="1" x14ac:dyDescent="0.45">
      <c r="A3388" t="str">
        <f>_xlfn.XLOOKUP(B3388,Ingot!$H$12:$H$119,Ingot!$G$12:$G$119,"")</f>
        <v>Wood</v>
      </c>
      <c r="B3388" t="s">
        <v>6707</v>
      </c>
      <c r="C3388" t="s">
        <v>10</v>
      </c>
      <c r="D3388" t="s">
        <v>6816</v>
      </c>
      <c r="E3388" t="s">
        <v>6817</v>
      </c>
      <c r="G3388" s="1">
        <v>2.44</v>
      </c>
    </row>
    <row r="3389" spans="1:7" ht="14.25" hidden="1" customHeight="1" x14ac:dyDescent="0.45">
      <c r="A3389" t="str">
        <f>_xlfn.XLOOKUP(B3389,Ingot!$H$12:$H$119,Ingot!$G$12:$G$119,"")</f>
        <v>Wood</v>
      </c>
      <c r="B3389" t="s">
        <v>6707</v>
      </c>
      <c r="C3389" t="s">
        <v>10</v>
      </c>
      <c r="D3389" t="s">
        <v>6818</v>
      </c>
      <c r="E3389" t="s">
        <v>6819</v>
      </c>
    </row>
    <row r="3390" spans="1:7" ht="14.25" hidden="1" customHeight="1" x14ac:dyDescent="0.45">
      <c r="A3390" t="str">
        <f>_xlfn.XLOOKUP(B3390,Ingot!$H$12:$H$119,Ingot!$G$12:$G$119,"")</f>
        <v>Wood</v>
      </c>
      <c r="B3390" t="s">
        <v>6707</v>
      </c>
      <c r="C3390" t="s">
        <v>10</v>
      </c>
      <c r="D3390" t="s">
        <v>6820</v>
      </c>
      <c r="E3390" t="s">
        <v>6821</v>
      </c>
    </row>
    <row r="3391" spans="1:7" ht="14.25" hidden="1" customHeight="1" x14ac:dyDescent="0.45">
      <c r="A3391" t="str">
        <f>_xlfn.XLOOKUP(B3391,Ingot!$H$12:$H$119,Ingot!$G$12:$G$119,"")</f>
        <v>Wood</v>
      </c>
      <c r="B3391" t="s">
        <v>6707</v>
      </c>
      <c r="C3391" t="s">
        <v>10</v>
      </c>
      <c r="D3391" t="s">
        <v>6822</v>
      </c>
      <c r="E3391" t="s">
        <v>6823</v>
      </c>
      <c r="G3391" s="1">
        <v>3.11</v>
      </c>
    </row>
    <row r="3392" spans="1:7" ht="14.25" hidden="1" customHeight="1" x14ac:dyDescent="0.45">
      <c r="A3392" t="str">
        <f>_xlfn.XLOOKUP(B3392,Ingot!$H$12:$H$119,Ingot!$G$12:$G$119,"")</f>
        <v>Wood</v>
      </c>
      <c r="B3392" t="s">
        <v>6707</v>
      </c>
      <c r="C3392" t="s">
        <v>10</v>
      </c>
      <c r="D3392" t="s">
        <v>6824</v>
      </c>
      <c r="E3392" t="s">
        <v>6825</v>
      </c>
      <c r="G3392" s="1">
        <v>2.44</v>
      </c>
    </row>
    <row r="3393" spans="1:7" ht="14.25" hidden="1" customHeight="1" x14ac:dyDescent="0.45">
      <c r="A3393" t="str">
        <f>_xlfn.XLOOKUP(B3393,Ingot!$H$12:$H$119,Ingot!$G$12:$G$119,"")</f>
        <v>Wood</v>
      </c>
      <c r="B3393" t="s">
        <v>6707</v>
      </c>
      <c r="C3393" t="s">
        <v>10</v>
      </c>
      <c r="D3393" t="s">
        <v>6826</v>
      </c>
      <c r="E3393" t="s">
        <v>6827</v>
      </c>
      <c r="G3393" s="1">
        <v>8.61</v>
      </c>
    </row>
    <row r="3394" spans="1:7" ht="14.25" hidden="1" customHeight="1" x14ac:dyDescent="0.45">
      <c r="A3394" t="str">
        <f>_xlfn.XLOOKUP(B3394,Ingot!$H$12:$H$119,Ingot!$G$12:$G$119,"")</f>
        <v>Wood</v>
      </c>
      <c r="B3394" t="s">
        <v>6707</v>
      </c>
      <c r="C3394" t="s">
        <v>10</v>
      </c>
      <c r="D3394" t="s">
        <v>6828</v>
      </c>
      <c r="E3394" t="s">
        <v>6829</v>
      </c>
    </row>
    <row r="3395" spans="1:7" ht="14.25" hidden="1" customHeight="1" x14ac:dyDescent="0.45">
      <c r="A3395" t="str">
        <f>_xlfn.XLOOKUP(B3395,Ingot!$H$12:$H$119,Ingot!$G$12:$G$119,"")</f>
        <v>Wood</v>
      </c>
      <c r="B3395" t="s">
        <v>6707</v>
      </c>
      <c r="C3395" t="s">
        <v>10</v>
      </c>
      <c r="D3395" t="s">
        <v>6830</v>
      </c>
      <c r="E3395" t="s">
        <v>6831</v>
      </c>
      <c r="G3395" s="1">
        <v>3.21</v>
      </c>
    </row>
    <row r="3396" spans="1:7" ht="14.25" hidden="1" customHeight="1" x14ac:dyDescent="0.45">
      <c r="A3396" t="str">
        <f>_xlfn.XLOOKUP(B3396,Ingot!$H$12:$H$119,Ingot!$G$12:$G$119,"")</f>
        <v>Wood</v>
      </c>
      <c r="B3396" t="s">
        <v>6707</v>
      </c>
      <c r="C3396" t="s">
        <v>10</v>
      </c>
      <c r="D3396" t="s">
        <v>6832</v>
      </c>
      <c r="E3396" t="s">
        <v>6833</v>
      </c>
      <c r="G3396" s="1">
        <v>2.77</v>
      </c>
    </row>
    <row r="3397" spans="1:7" ht="14.25" hidden="1" customHeight="1" x14ac:dyDescent="0.45">
      <c r="A3397" t="str">
        <f>_xlfn.XLOOKUP(B3397,Ingot!$H$12:$H$119,Ingot!$G$12:$G$119,"")</f>
        <v>Wood</v>
      </c>
      <c r="B3397" t="s">
        <v>6707</v>
      </c>
      <c r="C3397" t="s">
        <v>10</v>
      </c>
      <c r="D3397" t="s">
        <v>6834</v>
      </c>
      <c r="E3397" t="s">
        <v>6835</v>
      </c>
      <c r="G3397" s="1">
        <v>4.8899999999999997</v>
      </c>
    </row>
    <row r="3398" spans="1:7" ht="14.25" hidden="1" customHeight="1" x14ac:dyDescent="0.45">
      <c r="A3398" t="str">
        <f>_xlfn.XLOOKUP(B3398,Ingot!$H$12:$H$119,Ingot!$G$12:$G$119,"")</f>
        <v>Wood</v>
      </c>
      <c r="B3398" t="s">
        <v>6707</v>
      </c>
      <c r="C3398" t="s">
        <v>10</v>
      </c>
      <c r="D3398" t="s">
        <v>6836</v>
      </c>
      <c r="E3398" t="s">
        <v>6837</v>
      </c>
      <c r="G3398" s="1">
        <v>1.76</v>
      </c>
    </row>
    <row r="3399" spans="1:7" ht="14.25" hidden="1" customHeight="1" x14ac:dyDescent="0.45">
      <c r="A3399" t="str">
        <f>_xlfn.XLOOKUP(B3399,Ingot!$H$12:$H$119,Ingot!$G$12:$G$119,"")</f>
        <v>Wood</v>
      </c>
      <c r="B3399" t="s">
        <v>6707</v>
      </c>
      <c r="C3399" t="s">
        <v>10</v>
      </c>
      <c r="D3399" t="s">
        <v>6838</v>
      </c>
      <c r="E3399" t="s">
        <v>6839</v>
      </c>
    </row>
    <row r="3400" spans="1:7" ht="14.25" hidden="1" customHeight="1" x14ac:dyDescent="0.45">
      <c r="A3400" t="str">
        <f>_xlfn.XLOOKUP(B3400,Ingot!$H$12:$H$119,Ingot!$G$12:$G$119,"")</f>
        <v>Wood</v>
      </c>
      <c r="B3400" t="s">
        <v>6707</v>
      </c>
      <c r="C3400" t="s">
        <v>10</v>
      </c>
      <c r="D3400" t="s">
        <v>6840</v>
      </c>
      <c r="E3400" t="s">
        <v>6841</v>
      </c>
      <c r="G3400" s="1">
        <v>8.57</v>
      </c>
    </row>
    <row r="3401" spans="1:7" ht="14.25" hidden="1" customHeight="1" x14ac:dyDescent="0.45">
      <c r="A3401" t="str">
        <f>_xlfn.XLOOKUP(B3401,Ingot!$H$12:$H$119,Ingot!$G$12:$G$119,"")</f>
        <v>Wood</v>
      </c>
      <c r="B3401" t="s">
        <v>6707</v>
      </c>
      <c r="C3401" t="s">
        <v>10</v>
      </c>
      <c r="D3401" t="s">
        <v>6842</v>
      </c>
      <c r="E3401" t="s">
        <v>6843</v>
      </c>
    </row>
    <row r="3402" spans="1:7" ht="14.25" hidden="1" customHeight="1" x14ac:dyDescent="0.45">
      <c r="A3402" t="str">
        <f>_xlfn.XLOOKUP(B3402,Ingot!$H$12:$H$119,Ingot!$G$12:$G$119,"")</f>
        <v>Wood</v>
      </c>
      <c r="B3402" t="s">
        <v>6707</v>
      </c>
      <c r="C3402" t="s">
        <v>10</v>
      </c>
      <c r="D3402" t="s">
        <v>6844</v>
      </c>
      <c r="E3402" t="s">
        <v>6845</v>
      </c>
      <c r="G3402" s="1">
        <v>3.56</v>
      </c>
    </row>
    <row r="3403" spans="1:7" ht="14.25" hidden="1" customHeight="1" x14ac:dyDescent="0.45">
      <c r="A3403" t="str">
        <f>_xlfn.XLOOKUP(B3403,Ingot!$H$12:$H$119,Ingot!$G$12:$G$119,"")</f>
        <v>Wood</v>
      </c>
      <c r="B3403" t="s">
        <v>6707</v>
      </c>
      <c r="C3403" t="s">
        <v>10</v>
      </c>
      <c r="D3403" t="s">
        <v>6846</v>
      </c>
      <c r="E3403" t="s">
        <v>6847</v>
      </c>
      <c r="G3403" s="1">
        <v>8.91</v>
      </c>
    </row>
    <row r="3404" spans="1:7" ht="14.25" hidden="1" customHeight="1" x14ac:dyDescent="0.45">
      <c r="A3404" t="str">
        <f>_xlfn.XLOOKUP(B3404,Ingot!$H$12:$H$119,Ingot!$G$12:$G$119,"")</f>
        <v>Wood</v>
      </c>
      <c r="B3404" t="s">
        <v>6707</v>
      </c>
      <c r="C3404" t="s">
        <v>10</v>
      </c>
      <c r="D3404" t="s">
        <v>6848</v>
      </c>
      <c r="E3404" t="s">
        <v>6849</v>
      </c>
      <c r="G3404" s="1">
        <v>11.02</v>
      </c>
    </row>
    <row r="3405" spans="1:7" ht="14.25" hidden="1" customHeight="1" x14ac:dyDescent="0.45">
      <c r="A3405" t="str">
        <f>_xlfn.XLOOKUP(B3405,Ingot!$H$12:$H$119,Ingot!$G$12:$G$119,"")</f>
        <v>Wood</v>
      </c>
      <c r="B3405" t="s">
        <v>6707</v>
      </c>
      <c r="C3405" t="s">
        <v>10</v>
      </c>
      <c r="D3405" t="s">
        <v>6850</v>
      </c>
      <c r="E3405" t="s">
        <v>6851</v>
      </c>
      <c r="G3405" s="1">
        <v>5.12</v>
      </c>
    </row>
    <row r="3406" spans="1:7" ht="14.25" hidden="1" customHeight="1" x14ac:dyDescent="0.45">
      <c r="A3406" t="str">
        <f>_xlfn.XLOOKUP(B3406,Ingot!$H$12:$H$119,Ingot!$G$12:$G$119,"")</f>
        <v>Wood</v>
      </c>
      <c r="B3406" t="s">
        <v>6707</v>
      </c>
      <c r="C3406" t="s">
        <v>10</v>
      </c>
      <c r="D3406" t="s">
        <v>6852</v>
      </c>
      <c r="E3406" t="s">
        <v>6853</v>
      </c>
      <c r="G3406" s="1">
        <v>4.41</v>
      </c>
    </row>
    <row r="3407" spans="1:7" ht="14.25" hidden="1" customHeight="1" x14ac:dyDescent="0.45">
      <c r="A3407" t="str">
        <f>_xlfn.XLOOKUP(B3407,Ingot!$H$12:$H$119,Ingot!$G$12:$G$119,"")</f>
        <v>Wood</v>
      </c>
      <c r="B3407" t="s">
        <v>6707</v>
      </c>
      <c r="C3407" t="s">
        <v>157</v>
      </c>
      <c r="D3407" t="s">
        <v>6854</v>
      </c>
      <c r="E3407" t="s">
        <v>6855</v>
      </c>
      <c r="G3407" s="1">
        <v>24</v>
      </c>
    </row>
    <row r="3408" spans="1:7" ht="14.25" hidden="1" customHeight="1" x14ac:dyDescent="0.45">
      <c r="A3408" t="str">
        <f>_xlfn.XLOOKUP(B3408,Ingot!$H$12:$H$119,Ingot!$G$12:$G$119,"")</f>
        <v>Wood</v>
      </c>
      <c r="B3408" t="s">
        <v>6707</v>
      </c>
      <c r="C3408" t="s">
        <v>157</v>
      </c>
      <c r="D3408" t="s">
        <v>6856</v>
      </c>
      <c r="E3408" t="s">
        <v>6857</v>
      </c>
      <c r="G3408" s="1">
        <v>5</v>
      </c>
    </row>
    <row r="3409" spans="1:7" ht="14.25" hidden="1" customHeight="1" x14ac:dyDescent="0.45">
      <c r="A3409" t="str">
        <f>_xlfn.XLOOKUP(B3409,Ingot!$H$12:$H$119,Ingot!$G$12:$G$119,"")</f>
        <v>Wood</v>
      </c>
      <c r="B3409" t="s">
        <v>6707</v>
      </c>
      <c r="C3409" t="s">
        <v>157</v>
      </c>
      <c r="D3409" t="s">
        <v>6858</v>
      </c>
      <c r="E3409" t="s">
        <v>6859</v>
      </c>
      <c r="G3409" s="1">
        <v>5</v>
      </c>
    </row>
    <row r="3410" spans="1:7" ht="14.25" hidden="1" customHeight="1" x14ac:dyDescent="0.45">
      <c r="A3410" t="str">
        <f>_xlfn.XLOOKUP(B3410,Ingot!$H$12:$H$119,Ingot!$G$12:$G$119,"")</f>
        <v>Wood</v>
      </c>
      <c r="B3410" t="s">
        <v>6707</v>
      </c>
      <c r="C3410" t="s">
        <v>157</v>
      </c>
      <c r="D3410" t="s">
        <v>6860</v>
      </c>
      <c r="E3410" t="s">
        <v>6861</v>
      </c>
      <c r="G3410" s="1">
        <v>5</v>
      </c>
    </row>
    <row r="3411" spans="1:7" ht="14.25" hidden="1" customHeight="1" x14ac:dyDescent="0.45">
      <c r="A3411" t="str">
        <f>_xlfn.XLOOKUP(B3411,Ingot!$H$12:$H$119,Ingot!$G$12:$G$119,"")</f>
        <v>Wood</v>
      </c>
      <c r="B3411" t="s">
        <v>6707</v>
      </c>
      <c r="C3411" t="s">
        <v>157</v>
      </c>
      <c r="D3411" t="s">
        <v>6862</v>
      </c>
      <c r="E3411" t="s">
        <v>6863</v>
      </c>
      <c r="G3411" s="1">
        <v>10</v>
      </c>
    </row>
    <row r="3412" spans="1:7" ht="14.25" hidden="1" customHeight="1" x14ac:dyDescent="0.45">
      <c r="A3412" t="str">
        <f>_xlfn.XLOOKUP(B3412,Ingot!$H$12:$H$119,Ingot!$G$12:$G$119,"")</f>
        <v>Wood</v>
      </c>
      <c r="B3412" t="s">
        <v>6707</v>
      </c>
      <c r="C3412" t="s">
        <v>157</v>
      </c>
      <c r="D3412" t="s">
        <v>6864</v>
      </c>
      <c r="E3412" t="s">
        <v>6865</v>
      </c>
      <c r="G3412" s="1">
        <v>20.8</v>
      </c>
    </row>
    <row r="3413" spans="1:7" ht="14.25" hidden="1" customHeight="1" x14ac:dyDescent="0.45">
      <c r="A3413" t="str">
        <f>_xlfn.XLOOKUP(B3413,Ingot!$H$12:$H$119,Ingot!$G$12:$G$119,"")</f>
        <v>Wood</v>
      </c>
      <c r="B3413" t="s">
        <v>6707</v>
      </c>
      <c r="C3413" t="s">
        <v>157</v>
      </c>
      <c r="D3413" t="s">
        <v>6866</v>
      </c>
      <c r="E3413" t="s">
        <v>6867</v>
      </c>
      <c r="G3413" s="1">
        <v>5</v>
      </c>
    </row>
    <row r="3414" spans="1:7" ht="14.25" hidden="1" customHeight="1" x14ac:dyDescent="0.45">
      <c r="A3414" t="str">
        <f>_xlfn.XLOOKUP(B3414,Ingot!$H$12:$H$119,Ingot!$G$12:$G$119,"")</f>
        <v>Wood</v>
      </c>
      <c r="B3414" t="s">
        <v>6707</v>
      </c>
      <c r="C3414" t="s">
        <v>157</v>
      </c>
      <c r="D3414" t="s">
        <v>6868</v>
      </c>
      <c r="E3414" t="s">
        <v>6869</v>
      </c>
      <c r="G3414" s="1">
        <v>5</v>
      </c>
    </row>
    <row r="3415" spans="1:7" ht="14.25" hidden="1" customHeight="1" x14ac:dyDescent="0.45">
      <c r="A3415" t="str">
        <f>_xlfn.XLOOKUP(B3415,Ingot!$H$12:$H$119,Ingot!$G$12:$G$119,"")</f>
        <v>Wood</v>
      </c>
      <c r="B3415" t="s">
        <v>6707</v>
      </c>
      <c r="C3415" t="s">
        <v>157</v>
      </c>
      <c r="D3415" t="s">
        <v>6870</v>
      </c>
      <c r="E3415" t="s">
        <v>6871</v>
      </c>
      <c r="G3415" s="1">
        <v>5</v>
      </c>
    </row>
    <row r="3416" spans="1:7" ht="14.25" hidden="1" customHeight="1" x14ac:dyDescent="0.45">
      <c r="A3416" t="str">
        <f>_xlfn.XLOOKUP(B3416,Ingot!$H$12:$H$119,Ingot!$G$12:$G$119,"")</f>
        <v>Wood</v>
      </c>
      <c r="B3416" t="s">
        <v>6707</v>
      </c>
      <c r="C3416" t="s">
        <v>157</v>
      </c>
      <c r="D3416" t="s">
        <v>6872</v>
      </c>
      <c r="E3416" t="s">
        <v>6873</v>
      </c>
      <c r="G3416" s="1">
        <v>10</v>
      </c>
    </row>
    <row r="3417" spans="1:7" ht="14.25" hidden="1" customHeight="1" x14ac:dyDescent="0.45">
      <c r="A3417" t="str">
        <f>_xlfn.XLOOKUP(B3417,Ingot!$H$12:$H$119,Ingot!$G$12:$G$119,"")</f>
        <v>Wood</v>
      </c>
      <c r="B3417" t="s">
        <v>6707</v>
      </c>
      <c r="C3417" t="s">
        <v>157</v>
      </c>
      <c r="D3417" t="s">
        <v>6874</v>
      </c>
      <c r="E3417" t="s">
        <v>6875</v>
      </c>
      <c r="G3417" s="1">
        <v>20</v>
      </c>
    </row>
    <row r="3418" spans="1:7" ht="14.25" hidden="1" customHeight="1" x14ac:dyDescent="0.45">
      <c r="A3418" t="str">
        <f>_xlfn.XLOOKUP(B3418,Ingot!$H$12:$H$119,Ingot!$G$12:$G$119,"")</f>
        <v>Wood</v>
      </c>
      <c r="B3418" t="s">
        <v>6707</v>
      </c>
      <c r="C3418" t="s">
        <v>157</v>
      </c>
      <c r="D3418" t="s">
        <v>6876</v>
      </c>
      <c r="E3418" t="s">
        <v>6877</v>
      </c>
      <c r="G3418" s="1">
        <v>5</v>
      </c>
    </row>
    <row r="3419" spans="1:7" ht="14.25" hidden="1" customHeight="1" x14ac:dyDescent="0.45">
      <c r="A3419" t="str">
        <f>_xlfn.XLOOKUP(B3419,Ingot!$H$12:$H$119,Ingot!$G$12:$G$119,"")</f>
        <v>Wood</v>
      </c>
      <c r="B3419" t="s">
        <v>6707</v>
      </c>
      <c r="C3419" t="s">
        <v>157</v>
      </c>
      <c r="D3419" t="s">
        <v>6878</v>
      </c>
      <c r="E3419" t="s">
        <v>6879</v>
      </c>
      <c r="G3419" s="1">
        <v>5</v>
      </c>
    </row>
    <row r="3420" spans="1:7" ht="14.25" hidden="1" customHeight="1" x14ac:dyDescent="0.45">
      <c r="A3420" t="str">
        <f>_xlfn.XLOOKUP(B3420,Ingot!$H$12:$H$119,Ingot!$G$12:$G$119,"")</f>
        <v>Wood</v>
      </c>
      <c r="B3420" t="s">
        <v>6707</v>
      </c>
      <c r="C3420" t="s">
        <v>157</v>
      </c>
      <c r="D3420" t="s">
        <v>6880</v>
      </c>
      <c r="E3420" t="s">
        <v>6881</v>
      </c>
      <c r="G3420" s="1">
        <v>5</v>
      </c>
    </row>
    <row r="3421" spans="1:7" ht="14.25" hidden="1" customHeight="1" x14ac:dyDescent="0.45">
      <c r="A3421" t="str">
        <f>_xlfn.XLOOKUP(B3421,Ingot!$H$12:$H$119,Ingot!$G$12:$G$119,"")</f>
        <v>Wood</v>
      </c>
      <c r="B3421" t="s">
        <v>6707</v>
      </c>
      <c r="C3421" t="s">
        <v>157</v>
      </c>
      <c r="D3421" t="s">
        <v>6882</v>
      </c>
      <c r="E3421" t="s">
        <v>6883</v>
      </c>
      <c r="G3421" s="1">
        <v>10</v>
      </c>
    </row>
    <row r="3422" spans="1:7" ht="14.25" hidden="1" customHeight="1" x14ac:dyDescent="0.45">
      <c r="A3422" t="str">
        <f>_xlfn.XLOOKUP(B3422,Ingot!$H$12:$H$119,Ingot!$G$12:$G$119,"")</f>
        <v>Wood</v>
      </c>
      <c r="B3422" t="s">
        <v>6707</v>
      </c>
      <c r="C3422" t="s">
        <v>157</v>
      </c>
      <c r="D3422" t="s">
        <v>6884</v>
      </c>
      <c r="E3422" t="s">
        <v>6885</v>
      </c>
      <c r="G3422" s="1">
        <v>22</v>
      </c>
    </row>
    <row r="3423" spans="1:7" ht="14.25" hidden="1" customHeight="1" x14ac:dyDescent="0.45">
      <c r="A3423" t="str">
        <f>_xlfn.XLOOKUP(B3423,Ingot!$H$12:$H$119,Ingot!$G$12:$G$119,"")</f>
        <v>Wood</v>
      </c>
      <c r="B3423" t="s">
        <v>6707</v>
      </c>
      <c r="C3423" t="s">
        <v>157</v>
      </c>
      <c r="D3423" t="s">
        <v>6886</v>
      </c>
      <c r="E3423" t="s">
        <v>6887</v>
      </c>
      <c r="G3423" s="1">
        <v>5</v>
      </c>
    </row>
    <row r="3424" spans="1:7" ht="14.25" hidden="1" customHeight="1" x14ac:dyDescent="0.45">
      <c r="A3424" t="str">
        <f>_xlfn.XLOOKUP(B3424,Ingot!$H$12:$H$119,Ingot!$G$12:$G$119,"")</f>
        <v>Wood</v>
      </c>
      <c r="B3424" t="s">
        <v>6707</v>
      </c>
      <c r="C3424" t="s">
        <v>157</v>
      </c>
      <c r="D3424" t="s">
        <v>6888</v>
      </c>
      <c r="E3424" t="s">
        <v>6889</v>
      </c>
      <c r="G3424" s="1">
        <v>5</v>
      </c>
    </row>
    <row r="3425" spans="1:7" ht="14.25" hidden="1" customHeight="1" x14ac:dyDescent="0.45">
      <c r="A3425" t="str">
        <f>_xlfn.XLOOKUP(B3425,Ingot!$H$12:$H$119,Ingot!$G$12:$G$119,"")</f>
        <v>Wood</v>
      </c>
      <c r="B3425" t="s">
        <v>6707</v>
      </c>
      <c r="C3425" t="s">
        <v>157</v>
      </c>
      <c r="D3425" t="s">
        <v>6890</v>
      </c>
      <c r="E3425" t="s">
        <v>6891</v>
      </c>
      <c r="G3425" s="1">
        <v>5</v>
      </c>
    </row>
    <row r="3426" spans="1:7" ht="14.25" hidden="1" customHeight="1" x14ac:dyDescent="0.45">
      <c r="A3426" t="str">
        <f>_xlfn.XLOOKUP(B3426,Ingot!$H$12:$H$119,Ingot!$G$12:$G$119,"")</f>
        <v>Wood</v>
      </c>
      <c r="B3426" t="s">
        <v>6707</v>
      </c>
      <c r="C3426" t="s">
        <v>157</v>
      </c>
      <c r="D3426" t="s">
        <v>6892</v>
      </c>
      <c r="E3426" t="s">
        <v>6893</v>
      </c>
      <c r="G3426" s="1">
        <v>10</v>
      </c>
    </row>
    <row r="3427" spans="1:7" ht="14.25" hidden="1" customHeight="1" x14ac:dyDescent="0.45">
      <c r="A3427" t="str">
        <f>_xlfn.XLOOKUP(B3427,Ingot!$H$12:$H$119,Ingot!$G$12:$G$119,"")</f>
        <v>Wood</v>
      </c>
      <c r="B3427" t="s">
        <v>6707</v>
      </c>
      <c r="C3427" t="s">
        <v>157</v>
      </c>
      <c r="D3427" t="s">
        <v>6894</v>
      </c>
      <c r="E3427" t="s">
        <v>6895</v>
      </c>
      <c r="G3427" s="1">
        <v>23</v>
      </c>
    </row>
    <row r="3428" spans="1:7" ht="14.25" hidden="1" customHeight="1" x14ac:dyDescent="0.45">
      <c r="A3428" t="str">
        <f>_xlfn.XLOOKUP(B3428,Ingot!$H$12:$H$119,Ingot!$G$12:$G$119,"")</f>
        <v>Wood</v>
      </c>
      <c r="B3428" t="s">
        <v>6707</v>
      </c>
      <c r="C3428" t="s">
        <v>157</v>
      </c>
      <c r="D3428" t="s">
        <v>6896</v>
      </c>
      <c r="E3428" t="s">
        <v>6897</v>
      </c>
      <c r="G3428" s="1">
        <v>5</v>
      </c>
    </row>
    <row r="3429" spans="1:7" ht="14.25" hidden="1" customHeight="1" x14ac:dyDescent="0.45">
      <c r="A3429" t="str">
        <f>_xlfn.XLOOKUP(B3429,Ingot!$H$12:$H$119,Ingot!$G$12:$G$119,"")</f>
        <v>Wood</v>
      </c>
      <c r="B3429" t="s">
        <v>6707</v>
      </c>
      <c r="C3429" t="s">
        <v>157</v>
      </c>
      <c r="D3429" t="s">
        <v>6898</v>
      </c>
      <c r="E3429" t="s">
        <v>6899</v>
      </c>
      <c r="G3429" s="1">
        <v>5</v>
      </c>
    </row>
    <row r="3430" spans="1:7" ht="14.25" hidden="1" customHeight="1" x14ac:dyDescent="0.45">
      <c r="A3430" t="str">
        <f>_xlfn.XLOOKUP(B3430,Ingot!$H$12:$H$119,Ingot!$G$12:$G$119,"")</f>
        <v>Wood</v>
      </c>
      <c r="B3430" t="s">
        <v>6707</v>
      </c>
      <c r="C3430" t="s">
        <v>157</v>
      </c>
      <c r="D3430" t="s">
        <v>6900</v>
      </c>
      <c r="E3430" t="s">
        <v>6901</v>
      </c>
      <c r="G3430" s="1">
        <v>5</v>
      </c>
    </row>
    <row r="3431" spans="1:7" ht="14.25" hidden="1" customHeight="1" x14ac:dyDescent="0.45">
      <c r="A3431" t="str">
        <f>_xlfn.XLOOKUP(B3431,Ingot!$H$12:$H$119,Ingot!$G$12:$G$119,"")</f>
        <v>Wood</v>
      </c>
      <c r="B3431" t="s">
        <v>6707</v>
      </c>
      <c r="C3431" t="s">
        <v>157</v>
      </c>
      <c r="D3431" t="s">
        <v>6902</v>
      </c>
      <c r="E3431" t="s">
        <v>6903</v>
      </c>
      <c r="G3431" s="1">
        <v>10</v>
      </c>
    </row>
    <row r="3432" spans="1:7" ht="14.25" hidden="1" customHeight="1" x14ac:dyDescent="0.45">
      <c r="A3432" t="str">
        <f>_xlfn.XLOOKUP(B3432,Ingot!$H$12:$H$119,Ingot!$G$12:$G$119,"")</f>
        <v>Wood</v>
      </c>
      <c r="B3432" t="s">
        <v>6707</v>
      </c>
      <c r="C3432" t="s">
        <v>157</v>
      </c>
      <c r="D3432" t="s">
        <v>6904</v>
      </c>
      <c r="E3432" t="s">
        <v>6905</v>
      </c>
      <c r="G3432" s="1">
        <v>26.8</v>
      </c>
    </row>
    <row r="3433" spans="1:7" ht="14.25" hidden="1" customHeight="1" x14ac:dyDescent="0.45">
      <c r="A3433" t="str">
        <f>_xlfn.XLOOKUP(B3433,Ingot!$H$12:$H$119,Ingot!$G$12:$G$119,"")</f>
        <v>Wood</v>
      </c>
      <c r="B3433" t="s">
        <v>6707</v>
      </c>
      <c r="C3433" t="s">
        <v>157</v>
      </c>
      <c r="D3433" t="s">
        <v>6906</v>
      </c>
      <c r="E3433" t="s">
        <v>6907</v>
      </c>
      <c r="G3433" s="1">
        <v>5.36</v>
      </c>
    </row>
    <row r="3434" spans="1:7" ht="14.25" hidden="1" customHeight="1" x14ac:dyDescent="0.45">
      <c r="A3434" t="str">
        <f>_xlfn.XLOOKUP(B3434,Ingot!$H$12:$H$119,Ingot!$G$12:$G$119,"")</f>
        <v>Wood</v>
      </c>
      <c r="B3434" t="s">
        <v>6707</v>
      </c>
      <c r="C3434" t="s">
        <v>157</v>
      </c>
      <c r="D3434" t="s">
        <v>6908</v>
      </c>
      <c r="E3434" t="s">
        <v>6909</v>
      </c>
      <c r="G3434" s="1">
        <v>5.36</v>
      </c>
    </row>
    <row r="3435" spans="1:7" ht="14.25" hidden="1" customHeight="1" x14ac:dyDescent="0.45">
      <c r="A3435" t="str">
        <f>_xlfn.XLOOKUP(B3435,Ingot!$H$12:$H$119,Ingot!$G$12:$G$119,"")</f>
        <v>Wood</v>
      </c>
      <c r="B3435" t="s">
        <v>6707</v>
      </c>
      <c r="C3435" t="s">
        <v>157</v>
      </c>
      <c r="D3435" t="s">
        <v>6910</v>
      </c>
      <c r="E3435" t="s">
        <v>6911</v>
      </c>
      <c r="G3435" s="1">
        <v>5</v>
      </c>
    </row>
    <row r="3436" spans="1:7" ht="14.25" hidden="1" customHeight="1" x14ac:dyDescent="0.45">
      <c r="A3436" t="str">
        <f>_xlfn.XLOOKUP(B3436,Ingot!$H$12:$H$119,Ingot!$G$12:$G$119,"")</f>
        <v>Wood</v>
      </c>
      <c r="B3436" t="s">
        <v>6707</v>
      </c>
      <c r="C3436" t="s">
        <v>157</v>
      </c>
      <c r="D3436" t="s">
        <v>6912</v>
      </c>
      <c r="E3436" t="s">
        <v>6913</v>
      </c>
      <c r="G3436" s="1">
        <v>10</v>
      </c>
    </row>
    <row r="3437" spans="1:7" ht="14.25" hidden="1" customHeight="1" x14ac:dyDescent="0.45">
      <c r="A3437" t="str">
        <f>_xlfn.XLOOKUP(B3437,Ingot!$H$12:$H$119,Ingot!$G$12:$G$119,"")</f>
        <v>Wood</v>
      </c>
      <c r="B3437" t="s">
        <v>6707</v>
      </c>
      <c r="C3437" t="s">
        <v>157</v>
      </c>
      <c r="D3437" t="s">
        <v>6914</v>
      </c>
      <c r="E3437" t="s">
        <v>6915</v>
      </c>
      <c r="G3437" s="1">
        <v>25.5</v>
      </c>
    </row>
    <row r="3438" spans="1:7" ht="14.25" hidden="1" customHeight="1" x14ac:dyDescent="0.45">
      <c r="A3438" t="str">
        <f>_xlfn.XLOOKUP(B3438,Ingot!$H$12:$H$119,Ingot!$G$12:$G$119,"")</f>
        <v>Wood</v>
      </c>
      <c r="B3438" t="s">
        <v>6707</v>
      </c>
      <c r="C3438" t="s">
        <v>157</v>
      </c>
      <c r="D3438" t="s">
        <v>6916</v>
      </c>
      <c r="E3438" t="s">
        <v>6917</v>
      </c>
      <c r="G3438" s="1">
        <v>5.0999999999999996</v>
      </c>
    </row>
    <row r="3439" spans="1:7" ht="14.25" hidden="1" customHeight="1" x14ac:dyDescent="0.45">
      <c r="A3439" t="str">
        <f>_xlfn.XLOOKUP(B3439,Ingot!$H$12:$H$119,Ingot!$G$12:$G$119,"")</f>
        <v>Wood</v>
      </c>
      <c r="B3439" t="s">
        <v>6707</v>
      </c>
      <c r="C3439" t="s">
        <v>157</v>
      </c>
      <c r="D3439" t="s">
        <v>6918</v>
      </c>
      <c r="E3439" t="s">
        <v>6919</v>
      </c>
      <c r="G3439" s="1">
        <v>5.0999999999999996</v>
      </c>
    </row>
    <row r="3440" spans="1:7" ht="14.25" hidden="1" customHeight="1" x14ac:dyDescent="0.45">
      <c r="A3440" t="str">
        <f>_xlfn.XLOOKUP(B3440,Ingot!$H$12:$H$119,Ingot!$G$12:$G$119,"")</f>
        <v>Wood</v>
      </c>
      <c r="B3440" t="s">
        <v>6707</v>
      </c>
      <c r="C3440" t="s">
        <v>157</v>
      </c>
      <c r="D3440" t="s">
        <v>6920</v>
      </c>
      <c r="E3440" t="s">
        <v>6921</v>
      </c>
      <c r="G3440" s="1">
        <v>5</v>
      </c>
    </row>
    <row r="3441" spans="1:7" ht="14.25" hidden="1" customHeight="1" x14ac:dyDescent="0.45">
      <c r="A3441" t="str">
        <f>_xlfn.XLOOKUP(B3441,Ingot!$H$12:$H$119,Ingot!$G$12:$G$119,"")</f>
        <v>Wood</v>
      </c>
      <c r="B3441" t="s">
        <v>6707</v>
      </c>
      <c r="C3441" t="s">
        <v>157</v>
      </c>
      <c r="D3441" t="s">
        <v>6922</v>
      </c>
      <c r="E3441" t="s">
        <v>6923</v>
      </c>
      <c r="G3441" s="1">
        <v>10</v>
      </c>
    </row>
    <row r="3442" spans="1:7" ht="14.25" hidden="1" customHeight="1" x14ac:dyDescent="0.45">
      <c r="A3442" t="str">
        <f>_xlfn.XLOOKUP(B3442,Ingot!$H$12:$H$119,Ingot!$G$12:$G$119,"")</f>
        <v>Wood</v>
      </c>
      <c r="B3442" t="s">
        <v>6707</v>
      </c>
      <c r="C3442" t="s">
        <v>157</v>
      </c>
      <c r="D3442" t="s">
        <v>6924</v>
      </c>
      <c r="E3442" t="s">
        <v>6925</v>
      </c>
      <c r="G3442" s="1">
        <v>19.2</v>
      </c>
    </row>
    <row r="3443" spans="1:7" ht="14.25" hidden="1" customHeight="1" x14ac:dyDescent="0.45">
      <c r="A3443" t="str">
        <f>_xlfn.XLOOKUP(B3443,Ingot!$H$12:$H$119,Ingot!$G$12:$G$119,"")</f>
        <v>Wood</v>
      </c>
      <c r="B3443" t="s">
        <v>6707</v>
      </c>
      <c r="C3443" t="s">
        <v>157</v>
      </c>
      <c r="D3443" t="s">
        <v>6926</v>
      </c>
      <c r="E3443" t="s">
        <v>6927</v>
      </c>
      <c r="G3443" s="1">
        <v>5</v>
      </c>
    </row>
    <row r="3444" spans="1:7" ht="14.25" hidden="1" customHeight="1" x14ac:dyDescent="0.45">
      <c r="A3444" t="str">
        <f>_xlfn.XLOOKUP(B3444,Ingot!$H$12:$H$119,Ingot!$G$12:$G$119,"")</f>
        <v>Wood</v>
      </c>
      <c r="B3444" t="s">
        <v>6707</v>
      </c>
      <c r="C3444" t="s">
        <v>157</v>
      </c>
      <c r="D3444" t="s">
        <v>6928</v>
      </c>
      <c r="E3444" t="s">
        <v>6929</v>
      </c>
      <c r="G3444" s="1">
        <v>5</v>
      </c>
    </row>
    <row r="3445" spans="1:7" ht="14.25" hidden="1" customHeight="1" x14ac:dyDescent="0.45">
      <c r="A3445" t="str">
        <f>_xlfn.XLOOKUP(B3445,Ingot!$H$12:$H$119,Ingot!$G$12:$G$119,"")</f>
        <v>Wood</v>
      </c>
      <c r="B3445" t="s">
        <v>6707</v>
      </c>
      <c r="C3445" t="s">
        <v>157</v>
      </c>
      <c r="D3445" t="s">
        <v>6930</v>
      </c>
      <c r="E3445" t="s">
        <v>6931</v>
      </c>
      <c r="G3445" s="1">
        <v>5</v>
      </c>
    </row>
    <row r="3446" spans="1:7" ht="14.25" hidden="1" customHeight="1" x14ac:dyDescent="0.45">
      <c r="A3446" t="str">
        <f>_xlfn.XLOOKUP(B3446,Ingot!$H$12:$H$119,Ingot!$G$12:$G$119,"")</f>
        <v>Wood</v>
      </c>
      <c r="B3446" t="s">
        <v>6707</v>
      </c>
      <c r="C3446" t="s">
        <v>157</v>
      </c>
      <c r="D3446" t="s">
        <v>6932</v>
      </c>
      <c r="E3446" t="s">
        <v>6933</v>
      </c>
      <c r="G3446" s="1">
        <v>10</v>
      </c>
    </row>
    <row r="3447" spans="1:7" ht="14.25" hidden="1" customHeight="1" x14ac:dyDescent="0.45">
      <c r="A3447" t="str">
        <f>_xlfn.XLOOKUP(B3447,Ingot!$H$12:$H$119,Ingot!$G$12:$G$119,"")</f>
        <v>Wood</v>
      </c>
      <c r="B3447" t="s">
        <v>6707</v>
      </c>
      <c r="C3447" t="s">
        <v>239</v>
      </c>
      <c r="D3447" t="s">
        <v>6934</v>
      </c>
      <c r="E3447" t="s">
        <v>6935</v>
      </c>
    </row>
    <row r="3448" spans="1:7" ht="14.25" hidden="1" customHeight="1" x14ac:dyDescent="0.45">
      <c r="A3448" t="str">
        <f>_xlfn.XLOOKUP(B3448,Ingot!$H$12:$H$119,Ingot!$G$12:$G$119,"")</f>
        <v>Wood</v>
      </c>
      <c r="B3448" t="s">
        <v>6707</v>
      </c>
      <c r="C3448" t="s">
        <v>239</v>
      </c>
      <c r="D3448" t="s">
        <v>6936</v>
      </c>
      <c r="E3448" t="s">
        <v>6937</v>
      </c>
    </row>
    <row r="3449" spans="1:7" ht="14.25" hidden="1" customHeight="1" x14ac:dyDescent="0.45">
      <c r="A3449" t="str">
        <f>_xlfn.XLOOKUP(B3449,Ingot!$H$12:$H$119,Ingot!$G$12:$G$119,"")</f>
        <v>Wood</v>
      </c>
      <c r="B3449" t="s">
        <v>6707</v>
      </c>
      <c r="C3449" t="s">
        <v>239</v>
      </c>
      <c r="D3449" t="s">
        <v>6938</v>
      </c>
      <c r="E3449" t="s">
        <v>6939</v>
      </c>
    </row>
    <row r="3450" spans="1:7" ht="14.25" hidden="1" customHeight="1" x14ac:dyDescent="0.45">
      <c r="A3450" t="str">
        <f>_xlfn.XLOOKUP(B3450,Ingot!$H$12:$H$119,Ingot!$G$12:$G$119,"")</f>
        <v>Wood</v>
      </c>
      <c r="B3450" t="s">
        <v>6707</v>
      </c>
      <c r="C3450" t="s">
        <v>239</v>
      </c>
      <c r="D3450" t="s">
        <v>6940</v>
      </c>
      <c r="E3450" t="s">
        <v>6941</v>
      </c>
    </row>
    <row r="3451" spans="1:7" ht="14.25" hidden="1" customHeight="1" x14ac:dyDescent="0.45">
      <c r="A3451" t="str">
        <f>_xlfn.XLOOKUP(B3451,Ingot!$H$12:$H$119,Ingot!$G$12:$G$119,"")</f>
        <v>Wood</v>
      </c>
      <c r="B3451" t="s">
        <v>6707</v>
      </c>
      <c r="C3451" t="s">
        <v>239</v>
      </c>
      <c r="D3451" t="s">
        <v>6942</v>
      </c>
      <c r="E3451" t="s">
        <v>6943</v>
      </c>
    </row>
    <row r="3452" spans="1:7" ht="14.25" hidden="1" customHeight="1" x14ac:dyDescent="0.45">
      <c r="A3452" t="str">
        <f>_xlfn.XLOOKUP(B3452,Ingot!$H$12:$H$119,Ingot!$G$12:$G$119,"")</f>
        <v>Wood</v>
      </c>
      <c r="B3452" t="s">
        <v>6707</v>
      </c>
      <c r="C3452" t="s">
        <v>239</v>
      </c>
      <c r="D3452" t="s">
        <v>6944</v>
      </c>
      <c r="E3452" t="s">
        <v>6945</v>
      </c>
    </row>
    <row r="3453" spans="1:7" ht="14.25" hidden="1" customHeight="1" x14ac:dyDescent="0.45">
      <c r="A3453" t="str">
        <f>_xlfn.XLOOKUP(B3453,Ingot!$H$12:$H$119,Ingot!$G$12:$G$119,"")</f>
        <v>Wood</v>
      </c>
      <c r="B3453" t="s">
        <v>6946</v>
      </c>
      <c r="C3453" t="s">
        <v>10</v>
      </c>
      <c r="D3453" t="s">
        <v>6947</v>
      </c>
      <c r="E3453" t="s">
        <v>6948</v>
      </c>
      <c r="G3453" s="1">
        <v>0.08</v>
      </c>
    </row>
    <row r="3454" spans="1:7" ht="14.25" hidden="1" customHeight="1" x14ac:dyDescent="0.45">
      <c r="A3454" t="str">
        <f>_xlfn.XLOOKUP(B3454,Ingot!$H$12:$H$119,Ingot!$G$12:$G$119,"")</f>
        <v>Wood</v>
      </c>
      <c r="B3454" t="s">
        <v>6946</v>
      </c>
      <c r="C3454" t="s">
        <v>10</v>
      </c>
      <c r="D3454" t="s">
        <v>6949</v>
      </c>
      <c r="E3454" t="s">
        <v>6950</v>
      </c>
      <c r="G3454" s="1">
        <v>9.9</v>
      </c>
    </row>
    <row r="3455" spans="1:7" ht="14.25" hidden="1" customHeight="1" x14ac:dyDescent="0.45">
      <c r="A3455" t="str">
        <f>_xlfn.XLOOKUP(B3455,Ingot!$H$12:$H$119,Ingot!$G$12:$G$119,"")</f>
        <v>Wood</v>
      </c>
      <c r="B3455" t="s">
        <v>6946</v>
      </c>
      <c r="C3455" t="s">
        <v>10</v>
      </c>
      <c r="D3455" t="s">
        <v>6951</v>
      </c>
      <c r="E3455" t="s">
        <v>6952</v>
      </c>
      <c r="G3455" s="1">
        <v>5.66</v>
      </c>
    </row>
    <row r="3456" spans="1:7" ht="14.25" hidden="1" customHeight="1" x14ac:dyDescent="0.45">
      <c r="A3456" t="str">
        <f>_xlfn.XLOOKUP(B3456,Ingot!$H$12:$H$119,Ingot!$G$12:$G$119,"")</f>
        <v>Wood</v>
      </c>
      <c r="B3456" t="s">
        <v>6946</v>
      </c>
      <c r="C3456" t="s">
        <v>10</v>
      </c>
      <c r="D3456" t="s">
        <v>6953</v>
      </c>
      <c r="E3456" t="s">
        <v>6954</v>
      </c>
      <c r="G3456" s="1">
        <v>3.3</v>
      </c>
    </row>
    <row r="3457" spans="1:7" ht="14.25" hidden="1" customHeight="1" x14ac:dyDescent="0.45">
      <c r="A3457" t="str">
        <f>_xlfn.XLOOKUP(B3457,Ingot!$H$12:$H$119,Ingot!$G$12:$G$119,"")</f>
        <v>Wood</v>
      </c>
      <c r="B3457" t="s">
        <v>6946</v>
      </c>
      <c r="C3457" t="s">
        <v>10</v>
      </c>
      <c r="D3457" t="s">
        <v>6955</v>
      </c>
      <c r="E3457" t="s">
        <v>6956</v>
      </c>
      <c r="G3457" s="1">
        <v>0.66</v>
      </c>
    </row>
    <row r="3458" spans="1:7" ht="14.25" hidden="1" customHeight="1" x14ac:dyDescent="0.45">
      <c r="A3458" t="str">
        <f>_xlfn.XLOOKUP(B3458,Ingot!$H$12:$H$119,Ingot!$G$12:$G$119,"")</f>
        <v>Wood</v>
      </c>
      <c r="B3458" t="s">
        <v>6946</v>
      </c>
      <c r="C3458" t="s">
        <v>10</v>
      </c>
      <c r="D3458" t="s">
        <v>6957</v>
      </c>
      <c r="E3458" t="s">
        <v>6958</v>
      </c>
      <c r="G3458" s="1">
        <v>0.04</v>
      </c>
    </row>
    <row r="3459" spans="1:7" ht="14.25" hidden="1" customHeight="1" x14ac:dyDescent="0.45">
      <c r="A3459" t="str">
        <f>_xlfn.XLOOKUP(B3459,Ingot!$H$12:$H$119,Ingot!$G$12:$G$119,"")</f>
        <v>Wood</v>
      </c>
      <c r="B3459" t="s">
        <v>6946</v>
      </c>
      <c r="C3459" t="s">
        <v>10</v>
      </c>
      <c r="D3459" t="s">
        <v>6959</v>
      </c>
      <c r="E3459" t="s">
        <v>6960</v>
      </c>
      <c r="G3459" s="1">
        <v>0.33</v>
      </c>
    </row>
    <row r="3460" spans="1:7" ht="14.25" hidden="1" customHeight="1" x14ac:dyDescent="0.45">
      <c r="A3460" t="str">
        <f>_xlfn.XLOOKUP(B3460,Ingot!$H$12:$H$119,Ingot!$G$12:$G$119,"")</f>
        <v>Wood</v>
      </c>
      <c r="B3460" t="s">
        <v>6946</v>
      </c>
      <c r="C3460" t="s">
        <v>10</v>
      </c>
      <c r="D3460" t="s">
        <v>6961</v>
      </c>
      <c r="E3460" t="s">
        <v>6962</v>
      </c>
    </row>
    <row r="3461" spans="1:7" ht="14.25" hidden="1" customHeight="1" x14ac:dyDescent="0.45">
      <c r="A3461" t="str">
        <f>_xlfn.XLOOKUP(B3461,Ingot!$H$12:$H$119,Ingot!$G$12:$G$119,"")</f>
        <v>Wood</v>
      </c>
      <c r="B3461" t="s">
        <v>6946</v>
      </c>
      <c r="C3461" t="s">
        <v>10</v>
      </c>
      <c r="D3461" t="s">
        <v>6963</v>
      </c>
      <c r="E3461" t="s">
        <v>6964</v>
      </c>
      <c r="G3461" s="1">
        <v>0.05</v>
      </c>
    </row>
    <row r="3462" spans="1:7" ht="14.25" hidden="1" customHeight="1" x14ac:dyDescent="0.45">
      <c r="A3462" t="str">
        <f>_xlfn.XLOOKUP(B3462,Ingot!$H$12:$H$119,Ingot!$G$12:$G$119,"")</f>
        <v>Wood</v>
      </c>
      <c r="B3462" t="s">
        <v>6946</v>
      </c>
      <c r="C3462" t="s">
        <v>10</v>
      </c>
      <c r="D3462" t="s">
        <v>6965</v>
      </c>
      <c r="E3462" t="s">
        <v>6966</v>
      </c>
      <c r="G3462" s="1">
        <v>0.66</v>
      </c>
    </row>
    <row r="3463" spans="1:7" ht="14.25" hidden="1" customHeight="1" x14ac:dyDescent="0.45">
      <c r="A3463" t="str">
        <f>_xlfn.XLOOKUP(B3463,Ingot!$H$12:$H$119,Ingot!$G$12:$G$119,"")</f>
        <v>Wood</v>
      </c>
      <c r="B3463" t="s">
        <v>6946</v>
      </c>
      <c r="C3463" t="s">
        <v>10</v>
      </c>
      <c r="D3463" t="s">
        <v>6967</v>
      </c>
      <c r="E3463" t="s">
        <v>6968</v>
      </c>
      <c r="G3463" s="1">
        <v>3.96</v>
      </c>
    </row>
    <row r="3464" spans="1:7" ht="14.25" hidden="1" customHeight="1" x14ac:dyDescent="0.45">
      <c r="A3464" t="str">
        <f>_xlfn.XLOOKUP(B3464,Ingot!$H$12:$H$119,Ingot!$G$12:$G$119,"")</f>
        <v>Wood</v>
      </c>
      <c r="B3464" t="s">
        <v>6946</v>
      </c>
      <c r="C3464" t="s">
        <v>10</v>
      </c>
      <c r="D3464" t="s">
        <v>6969</v>
      </c>
      <c r="E3464" t="s">
        <v>6970</v>
      </c>
      <c r="G3464" s="1">
        <v>8.77</v>
      </c>
    </row>
    <row r="3465" spans="1:7" ht="14.25" hidden="1" customHeight="1" x14ac:dyDescent="0.45">
      <c r="A3465" t="str">
        <f>_xlfn.XLOOKUP(B3465,Ingot!$H$12:$H$119,Ingot!$G$12:$G$119,"")</f>
        <v>Wood</v>
      </c>
      <c r="B3465" t="s">
        <v>6946</v>
      </c>
      <c r="C3465" t="s">
        <v>10</v>
      </c>
      <c r="D3465" t="s">
        <v>6971</v>
      </c>
      <c r="E3465" t="s">
        <v>6972</v>
      </c>
      <c r="G3465" s="1">
        <v>3.5</v>
      </c>
    </row>
    <row r="3466" spans="1:7" ht="14.25" hidden="1" customHeight="1" x14ac:dyDescent="0.45">
      <c r="A3466" t="str">
        <f>_xlfn.XLOOKUP(B3466,Ingot!$H$12:$H$119,Ingot!$G$12:$G$119,"")</f>
        <v>Wood</v>
      </c>
      <c r="B3466" t="s">
        <v>6946</v>
      </c>
      <c r="C3466" t="s">
        <v>10</v>
      </c>
      <c r="D3466" t="s">
        <v>6973</v>
      </c>
      <c r="E3466" t="s">
        <v>6974</v>
      </c>
    </row>
    <row r="3467" spans="1:7" ht="14.25" hidden="1" customHeight="1" x14ac:dyDescent="0.45">
      <c r="A3467" t="str">
        <f>_xlfn.XLOOKUP(B3467,Ingot!$H$12:$H$119,Ingot!$G$12:$G$119,"")</f>
        <v>Wood</v>
      </c>
      <c r="B3467" t="s">
        <v>6946</v>
      </c>
      <c r="C3467" t="s">
        <v>10</v>
      </c>
      <c r="D3467" t="s">
        <v>6975</v>
      </c>
      <c r="E3467" t="s">
        <v>6976</v>
      </c>
      <c r="G3467" s="1">
        <v>2.2000000000000002</v>
      </c>
    </row>
    <row r="3468" spans="1:7" ht="14.25" hidden="1" customHeight="1" x14ac:dyDescent="0.45">
      <c r="A3468" t="str">
        <f>_xlfn.XLOOKUP(B3468,Ingot!$H$12:$H$119,Ingot!$G$12:$G$119,"")</f>
        <v>Wood</v>
      </c>
      <c r="B3468" t="s">
        <v>6946</v>
      </c>
      <c r="C3468" t="s">
        <v>10</v>
      </c>
      <c r="D3468" t="s">
        <v>6977</v>
      </c>
      <c r="E3468" t="s">
        <v>6978</v>
      </c>
      <c r="G3468" s="1">
        <v>1.1000000000000001</v>
      </c>
    </row>
    <row r="3469" spans="1:7" ht="14.25" hidden="1" customHeight="1" x14ac:dyDescent="0.45">
      <c r="A3469" t="str">
        <f>_xlfn.XLOOKUP(B3469,Ingot!$H$12:$H$119,Ingot!$G$12:$G$119,"")</f>
        <v>Wood</v>
      </c>
      <c r="B3469" t="s">
        <v>6946</v>
      </c>
      <c r="C3469" t="s">
        <v>10</v>
      </c>
      <c r="D3469" t="s">
        <v>6979</v>
      </c>
      <c r="E3469" t="s">
        <v>6980</v>
      </c>
      <c r="G3469" s="1">
        <v>0.22</v>
      </c>
    </row>
    <row r="3470" spans="1:7" ht="14.25" hidden="1" customHeight="1" x14ac:dyDescent="0.45">
      <c r="A3470" t="str">
        <f>_xlfn.XLOOKUP(B3470,Ingot!$H$12:$H$119,Ingot!$G$12:$G$119,"")</f>
        <v>Wood</v>
      </c>
      <c r="B3470" t="s">
        <v>6946</v>
      </c>
      <c r="C3470" t="s">
        <v>10</v>
      </c>
      <c r="D3470" t="s">
        <v>6981</v>
      </c>
      <c r="E3470" t="s">
        <v>6982</v>
      </c>
      <c r="G3470" s="1">
        <v>8.41</v>
      </c>
    </row>
    <row r="3471" spans="1:7" ht="14.25" hidden="1" customHeight="1" x14ac:dyDescent="0.45">
      <c r="A3471" t="str">
        <f>_xlfn.XLOOKUP(B3471,Ingot!$H$12:$H$119,Ingot!$G$12:$G$119,"")</f>
        <v>Wood</v>
      </c>
      <c r="B3471" t="s">
        <v>6946</v>
      </c>
      <c r="C3471" t="s">
        <v>10</v>
      </c>
      <c r="D3471" t="s">
        <v>6983</v>
      </c>
      <c r="E3471" t="s">
        <v>6984</v>
      </c>
      <c r="G3471" s="1">
        <v>3.64</v>
      </c>
    </row>
    <row r="3472" spans="1:7" ht="14.25" hidden="1" customHeight="1" x14ac:dyDescent="0.45">
      <c r="A3472" t="str">
        <f>_xlfn.XLOOKUP(B3472,Ingot!$H$12:$H$119,Ingot!$G$12:$G$119,"")</f>
        <v>Wood</v>
      </c>
      <c r="B3472" t="s">
        <v>6946</v>
      </c>
      <c r="C3472" t="s">
        <v>10</v>
      </c>
      <c r="D3472" t="s">
        <v>6985</v>
      </c>
      <c r="E3472" t="s">
        <v>6986</v>
      </c>
      <c r="G3472" s="1">
        <v>7.05</v>
      </c>
    </row>
    <row r="3473" spans="1:7" ht="14.25" hidden="1" customHeight="1" x14ac:dyDescent="0.45">
      <c r="A3473" t="str">
        <f>_xlfn.XLOOKUP(B3473,Ingot!$H$12:$H$119,Ingot!$G$12:$G$119,"")</f>
        <v>Wood</v>
      </c>
      <c r="B3473" t="s">
        <v>6946</v>
      </c>
      <c r="C3473" t="s">
        <v>10</v>
      </c>
      <c r="D3473" t="s">
        <v>6987</v>
      </c>
      <c r="E3473" t="s">
        <v>6988</v>
      </c>
      <c r="G3473" s="1">
        <v>2.65</v>
      </c>
    </row>
    <row r="3474" spans="1:7" ht="14.25" hidden="1" customHeight="1" x14ac:dyDescent="0.45">
      <c r="A3474" t="str">
        <f>_xlfn.XLOOKUP(B3474,Ingot!$H$12:$H$119,Ingot!$G$12:$G$119,"")</f>
        <v>Wood</v>
      </c>
      <c r="B3474" t="s">
        <v>6946</v>
      </c>
      <c r="C3474" t="s">
        <v>10</v>
      </c>
      <c r="D3474" t="s">
        <v>6989</v>
      </c>
      <c r="E3474" t="s">
        <v>6990</v>
      </c>
      <c r="G3474" s="1">
        <v>9</v>
      </c>
    </row>
    <row r="3475" spans="1:7" ht="14.25" hidden="1" customHeight="1" x14ac:dyDescent="0.45">
      <c r="A3475" t="str">
        <f>_xlfn.XLOOKUP(B3475,Ingot!$H$12:$H$119,Ingot!$G$12:$G$119,"")</f>
        <v>Wood</v>
      </c>
      <c r="B3475" t="s">
        <v>6946</v>
      </c>
      <c r="C3475" t="s">
        <v>10</v>
      </c>
      <c r="D3475" t="s">
        <v>6991</v>
      </c>
      <c r="E3475" t="s">
        <v>6992</v>
      </c>
      <c r="G3475" s="1">
        <v>10.23</v>
      </c>
    </row>
    <row r="3476" spans="1:7" ht="14.25" hidden="1" customHeight="1" x14ac:dyDescent="0.45">
      <c r="A3476" t="str">
        <f>_xlfn.XLOOKUP(B3476,Ingot!$H$12:$H$119,Ingot!$G$12:$G$119,"")</f>
        <v>Wood</v>
      </c>
      <c r="B3476" t="s">
        <v>6946</v>
      </c>
      <c r="C3476" t="s">
        <v>10</v>
      </c>
      <c r="D3476" t="s">
        <v>6993</v>
      </c>
      <c r="E3476" t="s">
        <v>6994</v>
      </c>
      <c r="G3476" s="1">
        <v>7.7</v>
      </c>
    </row>
    <row r="3477" spans="1:7" ht="14.25" hidden="1" customHeight="1" x14ac:dyDescent="0.45">
      <c r="A3477" t="str">
        <f>_xlfn.XLOOKUP(B3477,Ingot!$H$12:$H$119,Ingot!$G$12:$G$119,"")</f>
        <v>Wood</v>
      </c>
      <c r="B3477" t="s">
        <v>6946</v>
      </c>
      <c r="C3477" t="s">
        <v>10</v>
      </c>
      <c r="D3477" t="s">
        <v>6995</v>
      </c>
      <c r="E3477" t="s">
        <v>6996</v>
      </c>
      <c r="G3477" s="1">
        <v>10.02</v>
      </c>
    </row>
    <row r="3478" spans="1:7" ht="14.25" hidden="1" customHeight="1" x14ac:dyDescent="0.45">
      <c r="A3478" t="str">
        <f>_xlfn.XLOOKUP(B3478,Ingot!$H$12:$H$119,Ingot!$G$12:$G$119,"")</f>
        <v>Wood</v>
      </c>
      <c r="B3478" t="s">
        <v>6946</v>
      </c>
      <c r="C3478" t="s">
        <v>10</v>
      </c>
      <c r="D3478" t="s">
        <v>6997</v>
      </c>
      <c r="E3478" t="s">
        <v>6998</v>
      </c>
      <c r="G3478" s="1">
        <v>11.81</v>
      </c>
    </row>
    <row r="3479" spans="1:7" ht="14.25" hidden="1" customHeight="1" x14ac:dyDescent="0.45">
      <c r="A3479" t="str">
        <f>_xlfn.XLOOKUP(B3479,Ingot!$H$12:$H$119,Ingot!$G$12:$G$119,"")</f>
        <v>Wood</v>
      </c>
      <c r="B3479" t="s">
        <v>6946</v>
      </c>
      <c r="C3479" t="s">
        <v>10</v>
      </c>
      <c r="D3479" t="s">
        <v>6999</v>
      </c>
      <c r="E3479" t="s">
        <v>7000</v>
      </c>
      <c r="G3479" s="1">
        <v>8.44</v>
      </c>
    </row>
    <row r="3480" spans="1:7" ht="14.25" hidden="1" customHeight="1" x14ac:dyDescent="0.45">
      <c r="A3480" t="str">
        <f>_xlfn.XLOOKUP(B3480,Ingot!$H$12:$H$119,Ingot!$G$12:$G$119,"")</f>
        <v>Wood</v>
      </c>
      <c r="B3480" t="s">
        <v>6946</v>
      </c>
      <c r="C3480" t="s">
        <v>10</v>
      </c>
      <c r="D3480" t="s">
        <v>7001</v>
      </c>
      <c r="E3480" t="s">
        <v>7002</v>
      </c>
      <c r="G3480" s="1">
        <v>10.42</v>
      </c>
    </row>
    <row r="3481" spans="1:7" ht="14.25" hidden="1" customHeight="1" x14ac:dyDescent="0.45">
      <c r="A3481" t="str">
        <f>_xlfn.XLOOKUP(B3481,Ingot!$H$12:$H$119,Ingot!$G$12:$G$119,"")</f>
        <v>Wood</v>
      </c>
      <c r="B3481" t="s">
        <v>6946</v>
      </c>
      <c r="C3481" t="s">
        <v>10</v>
      </c>
      <c r="D3481" t="s">
        <v>7003</v>
      </c>
      <c r="E3481" t="s">
        <v>7004</v>
      </c>
    </row>
    <row r="3482" spans="1:7" ht="14.25" hidden="1" customHeight="1" x14ac:dyDescent="0.45">
      <c r="A3482" t="str">
        <f>_xlfn.XLOOKUP(B3482,Ingot!$H$12:$H$119,Ingot!$G$12:$G$119,"")</f>
        <v>Wood</v>
      </c>
      <c r="B3482" t="s">
        <v>6946</v>
      </c>
      <c r="C3482" t="s">
        <v>10</v>
      </c>
      <c r="D3482" t="s">
        <v>7005</v>
      </c>
      <c r="E3482" t="s">
        <v>7006</v>
      </c>
      <c r="G3482" s="1">
        <v>7.96</v>
      </c>
    </row>
    <row r="3483" spans="1:7" ht="14.25" hidden="1" customHeight="1" x14ac:dyDescent="0.45">
      <c r="A3483" t="str">
        <f>_xlfn.XLOOKUP(B3483,Ingot!$H$12:$H$119,Ingot!$G$12:$G$119,"")</f>
        <v>Wood</v>
      </c>
      <c r="B3483" t="s">
        <v>6946</v>
      </c>
      <c r="C3483" t="s">
        <v>10</v>
      </c>
      <c r="D3483" t="s">
        <v>7007</v>
      </c>
      <c r="E3483" t="s">
        <v>7008</v>
      </c>
      <c r="G3483" s="1">
        <v>9.64</v>
      </c>
    </row>
    <row r="3484" spans="1:7" ht="14.25" hidden="1" customHeight="1" x14ac:dyDescent="0.45">
      <c r="A3484" t="str">
        <f>_xlfn.XLOOKUP(B3484,Ingot!$H$12:$H$119,Ingot!$G$12:$G$119,"")</f>
        <v>Wood</v>
      </c>
      <c r="B3484" t="s">
        <v>6946</v>
      </c>
      <c r="C3484" t="s">
        <v>10</v>
      </c>
      <c r="D3484" t="s">
        <v>7009</v>
      </c>
      <c r="E3484" t="s">
        <v>7010</v>
      </c>
      <c r="G3484" s="1">
        <v>7.94</v>
      </c>
    </row>
    <row r="3485" spans="1:7" ht="14.25" hidden="1" customHeight="1" x14ac:dyDescent="0.45">
      <c r="A3485" t="str">
        <f>_xlfn.XLOOKUP(B3485,Ingot!$H$12:$H$119,Ingot!$G$12:$G$119,"")</f>
        <v>Wood</v>
      </c>
      <c r="B3485" t="s">
        <v>6946</v>
      </c>
      <c r="C3485" t="s">
        <v>10</v>
      </c>
      <c r="D3485" t="s">
        <v>7011</v>
      </c>
      <c r="E3485" t="s">
        <v>7012</v>
      </c>
      <c r="G3485" s="1">
        <v>8.66</v>
      </c>
    </row>
    <row r="3486" spans="1:7" ht="14.25" hidden="1" customHeight="1" x14ac:dyDescent="0.45">
      <c r="A3486" t="str">
        <f>_xlfn.XLOOKUP(B3486,Ingot!$H$12:$H$119,Ingot!$G$12:$G$119,"")</f>
        <v>Wood</v>
      </c>
      <c r="B3486" t="s">
        <v>6946</v>
      </c>
      <c r="C3486" t="s">
        <v>10</v>
      </c>
      <c r="D3486" t="s">
        <v>7013</v>
      </c>
      <c r="E3486" t="s">
        <v>7014</v>
      </c>
    </row>
    <row r="3487" spans="1:7" ht="14.25" hidden="1" customHeight="1" x14ac:dyDescent="0.45">
      <c r="A3487" t="str">
        <f>_xlfn.XLOOKUP(B3487,Ingot!$H$12:$H$119,Ingot!$G$12:$G$119,"")</f>
        <v>Wood</v>
      </c>
      <c r="B3487" t="s">
        <v>6946</v>
      </c>
      <c r="C3487" t="s">
        <v>10</v>
      </c>
      <c r="D3487" t="s">
        <v>7015</v>
      </c>
      <c r="E3487" t="s">
        <v>7016</v>
      </c>
      <c r="G3487" s="1">
        <v>2.65</v>
      </c>
    </row>
    <row r="3488" spans="1:7" ht="14.25" hidden="1" customHeight="1" x14ac:dyDescent="0.45">
      <c r="A3488" t="str">
        <f>_xlfn.XLOOKUP(B3488,Ingot!$H$12:$H$119,Ingot!$G$12:$G$119,"")</f>
        <v>Wood</v>
      </c>
      <c r="B3488" t="s">
        <v>6946</v>
      </c>
      <c r="C3488" t="s">
        <v>10</v>
      </c>
      <c r="D3488" t="s">
        <v>7017</v>
      </c>
      <c r="E3488" t="s">
        <v>7018</v>
      </c>
    </row>
    <row r="3489" spans="1:7" ht="14.25" hidden="1" customHeight="1" x14ac:dyDescent="0.45">
      <c r="A3489" t="str">
        <f>_xlfn.XLOOKUP(B3489,Ingot!$H$12:$H$119,Ingot!$G$12:$G$119,"")</f>
        <v>Wood</v>
      </c>
      <c r="B3489" t="s">
        <v>6946</v>
      </c>
      <c r="C3489" t="s">
        <v>10</v>
      </c>
      <c r="D3489" t="s">
        <v>7019</v>
      </c>
      <c r="E3489" t="s">
        <v>7020</v>
      </c>
      <c r="G3489" s="1">
        <v>12.64</v>
      </c>
    </row>
    <row r="3490" spans="1:7" ht="14.25" hidden="1" customHeight="1" x14ac:dyDescent="0.45">
      <c r="A3490" t="str">
        <f>_xlfn.XLOOKUP(B3490,Ingot!$H$12:$H$119,Ingot!$G$12:$G$119,"")</f>
        <v>Wood</v>
      </c>
      <c r="B3490" t="s">
        <v>6946</v>
      </c>
      <c r="C3490" t="s">
        <v>10</v>
      </c>
      <c r="D3490" t="s">
        <v>7021</v>
      </c>
      <c r="E3490" t="s">
        <v>7022</v>
      </c>
      <c r="G3490" s="1">
        <v>22.67</v>
      </c>
    </row>
    <row r="3491" spans="1:7" ht="14.25" hidden="1" customHeight="1" x14ac:dyDescent="0.45">
      <c r="A3491" t="str">
        <f>_xlfn.XLOOKUP(B3491,Ingot!$H$12:$H$119,Ingot!$G$12:$G$119,"")</f>
        <v>Wood</v>
      </c>
      <c r="B3491" t="s">
        <v>6946</v>
      </c>
      <c r="C3491" t="s">
        <v>10</v>
      </c>
      <c r="D3491" t="s">
        <v>7023</v>
      </c>
      <c r="E3491" t="s">
        <v>7024</v>
      </c>
      <c r="G3491" s="1">
        <v>8.3800000000000008</v>
      </c>
    </row>
    <row r="3492" spans="1:7" ht="14.25" hidden="1" customHeight="1" x14ac:dyDescent="0.45">
      <c r="A3492" t="str">
        <f>_xlfn.XLOOKUP(B3492,Ingot!$H$12:$H$119,Ingot!$G$12:$G$119,"")</f>
        <v>Wood</v>
      </c>
      <c r="B3492" t="s">
        <v>6946</v>
      </c>
      <c r="C3492" t="s">
        <v>10</v>
      </c>
      <c r="D3492" t="s">
        <v>7025</v>
      </c>
      <c r="E3492" t="s">
        <v>7026</v>
      </c>
      <c r="G3492" s="1">
        <v>2.2000000000000002</v>
      </c>
    </row>
    <row r="3493" spans="1:7" ht="14.25" hidden="1" customHeight="1" x14ac:dyDescent="0.45">
      <c r="A3493" t="str">
        <f>_xlfn.XLOOKUP(B3493,Ingot!$H$12:$H$119,Ingot!$G$12:$G$119,"")</f>
        <v>Wood</v>
      </c>
      <c r="B3493" t="s">
        <v>6946</v>
      </c>
      <c r="C3493" t="s">
        <v>10</v>
      </c>
      <c r="D3493" t="s">
        <v>7027</v>
      </c>
      <c r="E3493" t="s">
        <v>7028</v>
      </c>
      <c r="G3493" s="1">
        <v>3.09</v>
      </c>
    </row>
    <row r="3494" spans="1:7" ht="14.25" hidden="1" customHeight="1" x14ac:dyDescent="0.45">
      <c r="A3494" t="str">
        <f>_xlfn.XLOOKUP(B3494,Ingot!$H$12:$H$119,Ingot!$G$12:$G$119,"")</f>
        <v>Wood</v>
      </c>
      <c r="B3494" t="s">
        <v>6946</v>
      </c>
      <c r="C3494" t="s">
        <v>10</v>
      </c>
      <c r="D3494" t="s">
        <v>7029</v>
      </c>
      <c r="E3494" t="s">
        <v>7030</v>
      </c>
      <c r="G3494" s="1">
        <v>2.2999999999999998</v>
      </c>
    </row>
    <row r="3495" spans="1:7" ht="14.25" hidden="1" customHeight="1" x14ac:dyDescent="0.45">
      <c r="A3495" t="str">
        <f>_xlfn.XLOOKUP(B3495,Ingot!$H$12:$H$119,Ingot!$G$12:$G$119,"")</f>
        <v>Wood</v>
      </c>
      <c r="B3495" t="s">
        <v>6946</v>
      </c>
      <c r="C3495" t="s">
        <v>10</v>
      </c>
      <c r="D3495" t="s">
        <v>7031</v>
      </c>
      <c r="E3495" t="s">
        <v>7032</v>
      </c>
      <c r="G3495" s="1">
        <v>4.88</v>
      </c>
    </row>
    <row r="3496" spans="1:7" ht="14.25" hidden="1" customHeight="1" x14ac:dyDescent="0.45">
      <c r="A3496" t="str">
        <f>_xlfn.XLOOKUP(B3496,Ingot!$H$12:$H$119,Ingot!$G$12:$G$119,"")</f>
        <v>Wood</v>
      </c>
      <c r="B3496" t="s">
        <v>6946</v>
      </c>
      <c r="C3496" t="s">
        <v>10</v>
      </c>
      <c r="D3496" t="s">
        <v>7033</v>
      </c>
      <c r="E3496" t="s">
        <v>7034</v>
      </c>
      <c r="G3496" s="1">
        <v>8.43</v>
      </c>
    </row>
    <row r="3497" spans="1:7" ht="14.25" hidden="1" customHeight="1" x14ac:dyDescent="0.45">
      <c r="A3497" t="str">
        <f>_xlfn.XLOOKUP(B3497,Ingot!$H$12:$H$119,Ingot!$G$12:$G$119,"")</f>
        <v>Wood</v>
      </c>
      <c r="B3497" t="s">
        <v>6946</v>
      </c>
      <c r="C3497" t="s">
        <v>10</v>
      </c>
      <c r="D3497" t="s">
        <v>7035</v>
      </c>
      <c r="E3497" t="s">
        <v>7036</v>
      </c>
      <c r="G3497" s="1">
        <v>13.07</v>
      </c>
    </row>
    <row r="3498" spans="1:7" ht="14.25" hidden="1" customHeight="1" x14ac:dyDescent="0.45">
      <c r="A3498" t="str">
        <f>_xlfn.XLOOKUP(B3498,Ingot!$H$12:$H$119,Ingot!$G$12:$G$119,"")</f>
        <v>Wood</v>
      </c>
      <c r="B3498" t="s">
        <v>6946</v>
      </c>
      <c r="C3498" t="s">
        <v>10</v>
      </c>
      <c r="D3498" t="s">
        <v>7037</v>
      </c>
      <c r="E3498" t="s">
        <v>7038</v>
      </c>
    </row>
    <row r="3499" spans="1:7" ht="14.25" hidden="1" customHeight="1" x14ac:dyDescent="0.45">
      <c r="A3499" t="str">
        <f>_xlfn.XLOOKUP(B3499,Ingot!$H$12:$H$119,Ingot!$G$12:$G$119,"")</f>
        <v>Wood</v>
      </c>
      <c r="B3499" t="s">
        <v>6946</v>
      </c>
      <c r="C3499" t="s">
        <v>10</v>
      </c>
      <c r="D3499" t="s">
        <v>7039</v>
      </c>
      <c r="E3499" t="s">
        <v>7040</v>
      </c>
    </row>
    <row r="3500" spans="1:7" ht="14.25" hidden="1" customHeight="1" x14ac:dyDescent="0.45">
      <c r="A3500" t="str">
        <f>_xlfn.XLOOKUP(B3500,Ingot!$H$12:$H$119,Ingot!$G$12:$G$119,"")</f>
        <v>Wood</v>
      </c>
      <c r="B3500" t="s">
        <v>6946</v>
      </c>
      <c r="C3500" t="s">
        <v>10</v>
      </c>
      <c r="D3500" t="s">
        <v>7041</v>
      </c>
      <c r="E3500" t="s">
        <v>7042</v>
      </c>
      <c r="G3500" s="1">
        <v>6.8</v>
      </c>
    </row>
    <row r="3501" spans="1:7" ht="14.25" hidden="1" customHeight="1" x14ac:dyDescent="0.45">
      <c r="A3501" t="str">
        <f>_xlfn.XLOOKUP(B3501,Ingot!$H$12:$H$119,Ingot!$G$12:$G$119,"")</f>
        <v>Wood</v>
      </c>
      <c r="B3501" t="s">
        <v>6946</v>
      </c>
      <c r="C3501" t="s">
        <v>10</v>
      </c>
      <c r="D3501" t="s">
        <v>7043</v>
      </c>
      <c r="E3501" t="s">
        <v>7044</v>
      </c>
      <c r="G3501" s="1">
        <v>6.88</v>
      </c>
    </row>
    <row r="3502" spans="1:7" ht="14.25" hidden="1" customHeight="1" x14ac:dyDescent="0.45">
      <c r="A3502" t="str">
        <f>_xlfn.XLOOKUP(B3502,Ingot!$H$12:$H$119,Ingot!$G$12:$G$119,"")</f>
        <v>Wood</v>
      </c>
      <c r="B3502" t="s">
        <v>6946</v>
      </c>
      <c r="C3502" t="s">
        <v>10</v>
      </c>
      <c r="D3502" t="s">
        <v>7045</v>
      </c>
      <c r="E3502" t="s">
        <v>7046</v>
      </c>
      <c r="G3502" s="1">
        <v>5.5</v>
      </c>
    </row>
    <row r="3503" spans="1:7" ht="14.25" hidden="1" customHeight="1" x14ac:dyDescent="0.45">
      <c r="A3503" t="str">
        <f>_xlfn.XLOOKUP(B3503,Ingot!$H$12:$H$119,Ingot!$G$12:$G$119,"")</f>
        <v>Wood</v>
      </c>
      <c r="B3503" t="s">
        <v>6946</v>
      </c>
      <c r="C3503" t="s">
        <v>10</v>
      </c>
      <c r="D3503" t="s">
        <v>7047</v>
      </c>
      <c r="E3503" t="s">
        <v>7048</v>
      </c>
      <c r="G3503" s="1">
        <v>2.4300000000000002</v>
      </c>
    </row>
    <row r="3504" spans="1:7" ht="14.25" hidden="1" customHeight="1" x14ac:dyDescent="0.45">
      <c r="A3504" t="str">
        <f>_xlfn.XLOOKUP(B3504,Ingot!$H$12:$H$119,Ingot!$G$12:$G$119,"")</f>
        <v>Wood</v>
      </c>
      <c r="B3504" t="s">
        <v>6946</v>
      </c>
      <c r="C3504" t="s">
        <v>10</v>
      </c>
      <c r="D3504" t="s">
        <v>7049</v>
      </c>
      <c r="E3504" t="s">
        <v>7050</v>
      </c>
      <c r="G3504" s="1">
        <v>6.96</v>
      </c>
    </row>
    <row r="3505" spans="1:7" ht="14.25" hidden="1" customHeight="1" x14ac:dyDescent="0.45">
      <c r="A3505" t="str">
        <f>_xlfn.XLOOKUP(B3505,Ingot!$H$12:$H$119,Ingot!$G$12:$G$119,"")</f>
        <v>Wood</v>
      </c>
      <c r="B3505" t="s">
        <v>6946</v>
      </c>
      <c r="C3505" t="s">
        <v>10</v>
      </c>
      <c r="D3505" t="s">
        <v>7051</v>
      </c>
      <c r="E3505" t="s">
        <v>7052</v>
      </c>
      <c r="G3505" s="1">
        <v>6.32</v>
      </c>
    </row>
    <row r="3506" spans="1:7" ht="14.25" hidden="1" customHeight="1" x14ac:dyDescent="0.45">
      <c r="A3506" t="str">
        <f>_xlfn.XLOOKUP(B3506,Ingot!$H$12:$H$119,Ingot!$G$12:$G$119,"")</f>
        <v>Wood</v>
      </c>
      <c r="B3506" t="s">
        <v>6946</v>
      </c>
      <c r="C3506" t="s">
        <v>10</v>
      </c>
      <c r="D3506" t="s">
        <v>7053</v>
      </c>
      <c r="E3506" t="s">
        <v>7054</v>
      </c>
      <c r="G3506" s="1">
        <v>6.88</v>
      </c>
    </row>
    <row r="3507" spans="1:7" ht="14.25" hidden="1" customHeight="1" x14ac:dyDescent="0.45">
      <c r="A3507" t="str">
        <f>_xlfn.XLOOKUP(B3507,Ingot!$H$12:$H$119,Ingot!$G$12:$G$119,"")</f>
        <v>Wood</v>
      </c>
      <c r="B3507" t="s">
        <v>6946</v>
      </c>
      <c r="C3507" t="s">
        <v>10</v>
      </c>
      <c r="D3507" t="s">
        <v>7055</v>
      </c>
      <c r="E3507" t="s">
        <v>7056</v>
      </c>
      <c r="G3507" s="1">
        <v>2.44</v>
      </c>
    </row>
    <row r="3508" spans="1:7" ht="14.25" hidden="1" customHeight="1" x14ac:dyDescent="0.45">
      <c r="A3508" t="str">
        <f>_xlfn.XLOOKUP(B3508,Ingot!$H$12:$H$119,Ingot!$G$12:$G$119,"")</f>
        <v>Wood</v>
      </c>
      <c r="B3508" t="s">
        <v>6946</v>
      </c>
      <c r="C3508" t="s">
        <v>10</v>
      </c>
      <c r="D3508" t="s">
        <v>7057</v>
      </c>
      <c r="E3508" t="s">
        <v>7058</v>
      </c>
    </row>
    <row r="3509" spans="1:7" ht="14.25" hidden="1" customHeight="1" x14ac:dyDescent="0.45">
      <c r="A3509" t="str">
        <f>_xlfn.XLOOKUP(B3509,Ingot!$H$12:$H$119,Ingot!$G$12:$G$119,"")</f>
        <v>Wood</v>
      </c>
      <c r="B3509" t="s">
        <v>6946</v>
      </c>
      <c r="C3509" t="s">
        <v>10</v>
      </c>
      <c r="D3509" t="s">
        <v>7059</v>
      </c>
      <c r="E3509" t="s">
        <v>7060</v>
      </c>
    </row>
    <row r="3510" spans="1:7" ht="14.25" hidden="1" customHeight="1" x14ac:dyDescent="0.45">
      <c r="A3510" t="str">
        <f>_xlfn.XLOOKUP(B3510,Ingot!$H$12:$H$119,Ingot!$G$12:$G$119,"")</f>
        <v>Wood</v>
      </c>
      <c r="B3510" t="s">
        <v>6946</v>
      </c>
      <c r="C3510" t="s">
        <v>10</v>
      </c>
      <c r="D3510" t="s">
        <v>7061</v>
      </c>
      <c r="E3510" t="s">
        <v>7062</v>
      </c>
      <c r="G3510" s="1">
        <v>3.11</v>
      </c>
    </row>
    <row r="3511" spans="1:7" ht="14.25" hidden="1" customHeight="1" x14ac:dyDescent="0.45">
      <c r="A3511" t="str">
        <f>_xlfn.XLOOKUP(B3511,Ingot!$H$12:$H$119,Ingot!$G$12:$G$119,"")</f>
        <v>Wood</v>
      </c>
      <c r="B3511" t="s">
        <v>6946</v>
      </c>
      <c r="C3511" t="s">
        <v>10</v>
      </c>
      <c r="D3511" t="s">
        <v>7063</v>
      </c>
      <c r="E3511" t="s">
        <v>7064</v>
      </c>
      <c r="G3511" s="1">
        <v>2.44</v>
      </c>
    </row>
    <row r="3512" spans="1:7" ht="14.25" hidden="1" customHeight="1" x14ac:dyDescent="0.45">
      <c r="A3512" t="str">
        <f>_xlfn.XLOOKUP(B3512,Ingot!$H$12:$H$119,Ingot!$G$12:$G$119,"")</f>
        <v>Wood</v>
      </c>
      <c r="B3512" t="s">
        <v>6946</v>
      </c>
      <c r="C3512" t="s">
        <v>10</v>
      </c>
      <c r="D3512" t="s">
        <v>7065</v>
      </c>
      <c r="E3512" t="s">
        <v>7066</v>
      </c>
      <c r="G3512" s="1">
        <v>8.61</v>
      </c>
    </row>
    <row r="3513" spans="1:7" ht="14.25" hidden="1" customHeight="1" x14ac:dyDescent="0.45">
      <c r="A3513" t="str">
        <f>_xlfn.XLOOKUP(B3513,Ingot!$H$12:$H$119,Ingot!$G$12:$G$119,"")</f>
        <v>Wood</v>
      </c>
      <c r="B3513" t="s">
        <v>6946</v>
      </c>
      <c r="C3513" t="s">
        <v>10</v>
      </c>
      <c r="D3513" t="s">
        <v>7067</v>
      </c>
      <c r="E3513" t="s">
        <v>7068</v>
      </c>
    </row>
    <row r="3514" spans="1:7" ht="14.25" hidden="1" customHeight="1" x14ac:dyDescent="0.45">
      <c r="A3514" t="str">
        <f>_xlfn.XLOOKUP(B3514,Ingot!$H$12:$H$119,Ingot!$G$12:$G$119,"")</f>
        <v>Wood</v>
      </c>
      <c r="B3514" t="s">
        <v>6946</v>
      </c>
      <c r="C3514" t="s">
        <v>10</v>
      </c>
      <c r="D3514" t="s">
        <v>7069</v>
      </c>
      <c r="E3514" t="s">
        <v>7070</v>
      </c>
      <c r="G3514" s="1">
        <v>3.21</v>
      </c>
    </row>
    <row r="3515" spans="1:7" ht="14.25" hidden="1" customHeight="1" x14ac:dyDescent="0.45">
      <c r="A3515" t="str">
        <f>_xlfn.XLOOKUP(B3515,Ingot!$H$12:$H$119,Ingot!$G$12:$G$119,"")</f>
        <v>Wood</v>
      </c>
      <c r="B3515" t="s">
        <v>6946</v>
      </c>
      <c r="C3515" t="s">
        <v>10</v>
      </c>
      <c r="D3515" t="s">
        <v>7071</v>
      </c>
      <c r="E3515" t="s">
        <v>7072</v>
      </c>
      <c r="G3515" s="1">
        <v>2.77</v>
      </c>
    </row>
    <row r="3516" spans="1:7" ht="14.25" hidden="1" customHeight="1" x14ac:dyDescent="0.45">
      <c r="A3516" t="str">
        <f>_xlfn.XLOOKUP(B3516,Ingot!$H$12:$H$119,Ingot!$G$12:$G$119,"")</f>
        <v>Wood</v>
      </c>
      <c r="B3516" t="s">
        <v>6946</v>
      </c>
      <c r="C3516" t="s">
        <v>10</v>
      </c>
      <c r="D3516" t="s">
        <v>7073</v>
      </c>
      <c r="E3516" t="s">
        <v>7074</v>
      </c>
      <c r="G3516" s="1">
        <v>4.8899999999999997</v>
      </c>
    </row>
    <row r="3517" spans="1:7" ht="14.25" hidden="1" customHeight="1" x14ac:dyDescent="0.45">
      <c r="A3517" t="str">
        <f>_xlfn.XLOOKUP(B3517,Ingot!$H$12:$H$119,Ingot!$G$12:$G$119,"")</f>
        <v>Wood</v>
      </c>
      <c r="B3517" t="s">
        <v>6946</v>
      </c>
      <c r="C3517" t="s">
        <v>10</v>
      </c>
      <c r="D3517" t="s">
        <v>7075</v>
      </c>
      <c r="E3517" t="s">
        <v>7076</v>
      </c>
      <c r="G3517" s="1">
        <v>1.76</v>
      </c>
    </row>
    <row r="3518" spans="1:7" ht="14.25" hidden="1" customHeight="1" x14ac:dyDescent="0.45">
      <c r="A3518" t="str">
        <f>_xlfn.XLOOKUP(B3518,Ingot!$H$12:$H$119,Ingot!$G$12:$G$119,"")</f>
        <v>Wood</v>
      </c>
      <c r="B3518" t="s">
        <v>6946</v>
      </c>
      <c r="C3518" t="s">
        <v>10</v>
      </c>
      <c r="D3518" t="s">
        <v>7077</v>
      </c>
      <c r="E3518" t="s">
        <v>7078</v>
      </c>
    </row>
    <row r="3519" spans="1:7" ht="14.25" hidden="1" customHeight="1" x14ac:dyDescent="0.45">
      <c r="A3519" t="str">
        <f>_xlfn.XLOOKUP(B3519,Ingot!$H$12:$H$119,Ingot!$G$12:$G$119,"")</f>
        <v>Wood</v>
      </c>
      <c r="B3519" t="s">
        <v>6946</v>
      </c>
      <c r="C3519" t="s">
        <v>10</v>
      </c>
      <c r="D3519" t="s">
        <v>7079</v>
      </c>
      <c r="E3519" t="s">
        <v>7080</v>
      </c>
      <c r="G3519" s="1">
        <v>8.57</v>
      </c>
    </row>
    <row r="3520" spans="1:7" ht="14.25" hidden="1" customHeight="1" x14ac:dyDescent="0.45">
      <c r="A3520" t="str">
        <f>_xlfn.XLOOKUP(B3520,Ingot!$H$12:$H$119,Ingot!$G$12:$G$119,"")</f>
        <v>Wood</v>
      </c>
      <c r="B3520" t="s">
        <v>6946</v>
      </c>
      <c r="C3520" t="s">
        <v>10</v>
      </c>
      <c r="D3520" t="s">
        <v>7081</v>
      </c>
      <c r="E3520" t="s">
        <v>7082</v>
      </c>
    </row>
    <row r="3521" spans="1:7" ht="14.25" hidden="1" customHeight="1" x14ac:dyDescent="0.45">
      <c r="A3521" t="str">
        <f>_xlfn.XLOOKUP(B3521,Ingot!$H$12:$H$119,Ingot!$G$12:$G$119,"")</f>
        <v>Wood</v>
      </c>
      <c r="B3521" t="s">
        <v>6946</v>
      </c>
      <c r="C3521" t="s">
        <v>10</v>
      </c>
      <c r="D3521" t="s">
        <v>7083</v>
      </c>
      <c r="E3521" t="s">
        <v>7084</v>
      </c>
      <c r="G3521" s="1">
        <v>3.56</v>
      </c>
    </row>
    <row r="3522" spans="1:7" ht="14.25" hidden="1" customHeight="1" x14ac:dyDescent="0.45">
      <c r="A3522" t="str">
        <f>_xlfn.XLOOKUP(B3522,Ingot!$H$12:$H$119,Ingot!$G$12:$G$119,"")</f>
        <v>Wood</v>
      </c>
      <c r="B3522" t="s">
        <v>6946</v>
      </c>
      <c r="C3522" t="s">
        <v>10</v>
      </c>
      <c r="D3522" t="s">
        <v>7085</v>
      </c>
      <c r="E3522" t="s">
        <v>7086</v>
      </c>
      <c r="G3522" s="1">
        <v>8.91</v>
      </c>
    </row>
    <row r="3523" spans="1:7" ht="14.25" hidden="1" customHeight="1" x14ac:dyDescent="0.45">
      <c r="A3523" t="str">
        <f>_xlfn.XLOOKUP(B3523,Ingot!$H$12:$H$119,Ingot!$G$12:$G$119,"")</f>
        <v>Wood</v>
      </c>
      <c r="B3523" t="s">
        <v>6946</v>
      </c>
      <c r="C3523" t="s">
        <v>10</v>
      </c>
      <c r="D3523" t="s">
        <v>7087</v>
      </c>
      <c r="E3523" t="s">
        <v>7088</v>
      </c>
      <c r="G3523" s="1">
        <v>11.02</v>
      </c>
    </row>
    <row r="3524" spans="1:7" ht="14.25" hidden="1" customHeight="1" x14ac:dyDescent="0.45">
      <c r="A3524" t="str">
        <f>_xlfn.XLOOKUP(B3524,Ingot!$H$12:$H$119,Ingot!$G$12:$G$119,"")</f>
        <v>Wood</v>
      </c>
      <c r="B3524" t="s">
        <v>6946</v>
      </c>
      <c r="C3524" t="s">
        <v>10</v>
      </c>
      <c r="D3524" t="s">
        <v>7089</v>
      </c>
      <c r="E3524" t="s">
        <v>7090</v>
      </c>
      <c r="G3524" s="1">
        <v>5.12</v>
      </c>
    </row>
    <row r="3525" spans="1:7" ht="14.25" hidden="1" customHeight="1" x14ac:dyDescent="0.45">
      <c r="A3525" t="str">
        <f>_xlfn.XLOOKUP(B3525,Ingot!$H$12:$H$119,Ingot!$G$12:$G$119,"")</f>
        <v>Wood</v>
      </c>
      <c r="B3525" t="s">
        <v>6946</v>
      </c>
      <c r="C3525" t="s">
        <v>10</v>
      </c>
      <c r="D3525" t="s">
        <v>7091</v>
      </c>
      <c r="E3525" t="s">
        <v>7092</v>
      </c>
      <c r="G3525" s="1">
        <v>4.41</v>
      </c>
    </row>
    <row r="3526" spans="1:7" ht="14.25" hidden="1" customHeight="1" x14ac:dyDescent="0.45">
      <c r="A3526" t="str">
        <f>_xlfn.XLOOKUP(B3526,Ingot!$H$12:$H$119,Ingot!$G$12:$G$119,"")</f>
        <v>Wood</v>
      </c>
      <c r="B3526" t="s">
        <v>6946</v>
      </c>
      <c r="C3526" t="s">
        <v>157</v>
      </c>
      <c r="D3526" t="s">
        <v>7093</v>
      </c>
      <c r="E3526" t="s">
        <v>7094</v>
      </c>
      <c r="G3526" s="1">
        <v>24</v>
      </c>
    </row>
    <row r="3527" spans="1:7" ht="14.25" hidden="1" customHeight="1" x14ac:dyDescent="0.45">
      <c r="A3527" t="str">
        <f>_xlfn.XLOOKUP(B3527,Ingot!$H$12:$H$119,Ingot!$G$12:$G$119,"")</f>
        <v>Wood</v>
      </c>
      <c r="B3527" t="s">
        <v>6946</v>
      </c>
      <c r="C3527" t="s">
        <v>157</v>
      </c>
      <c r="D3527" t="s">
        <v>7095</v>
      </c>
      <c r="E3527" t="s">
        <v>7096</v>
      </c>
      <c r="G3527" s="1">
        <v>5</v>
      </c>
    </row>
    <row r="3528" spans="1:7" ht="14.25" hidden="1" customHeight="1" x14ac:dyDescent="0.45">
      <c r="A3528" t="str">
        <f>_xlfn.XLOOKUP(B3528,Ingot!$H$12:$H$119,Ingot!$G$12:$G$119,"")</f>
        <v>Wood</v>
      </c>
      <c r="B3528" t="s">
        <v>6946</v>
      </c>
      <c r="C3528" t="s">
        <v>157</v>
      </c>
      <c r="D3528" t="s">
        <v>7097</v>
      </c>
      <c r="E3528" t="s">
        <v>7098</v>
      </c>
      <c r="G3528" s="1">
        <v>5</v>
      </c>
    </row>
    <row r="3529" spans="1:7" ht="14.25" hidden="1" customHeight="1" x14ac:dyDescent="0.45">
      <c r="A3529" t="str">
        <f>_xlfn.XLOOKUP(B3529,Ingot!$H$12:$H$119,Ingot!$G$12:$G$119,"")</f>
        <v>Wood</v>
      </c>
      <c r="B3529" t="s">
        <v>6946</v>
      </c>
      <c r="C3529" t="s">
        <v>157</v>
      </c>
      <c r="D3529" t="s">
        <v>7099</v>
      </c>
      <c r="E3529" t="s">
        <v>7100</v>
      </c>
      <c r="G3529" s="1">
        <v>5</v>
      </c>
    </row>
    <row r="3530" spans="1:7" ht="14.25" hidden="1" customHeight="1" x14ac:dyDescent="0.45">
      <c r="A3530" t="str">
        <f>_xlfn.XLOOKUP(B3530,Ingot!$H$12:$H$119,Ingot!$G$12:$G$119,"")</f>
        <v>Wood</v>
      </c>
      <c r="B3530" t="s">
        <v>6946</v>
      </c>
      <c r="C3530" t="s">
        <v>157</v>
      </c>
      <c r="D3530" t="s">
        <v>7101</v>
      </c>
      <c r="E3530" t="s">
        <v>7102</v>
      </c>
      <c r="G3530" s="1">
        <v>10</v>
      </c>
    </row>
    <row r="3531" spans="1:7" ht="14.25" hidden="1" customHeight="1" x14ac:dyDescent="0.45">
      <c r="A3531" t="str">
        <f>_xlfn.XLOOKUP(B3531,Ingot!$H$12:$H$119,Ingot!$G$12:$G$119,"")</f>
        <v>Wood</v>
      </c>
      <c r="B3531" t="s">
        <v>6946</v>
      </c>
      <c r="C3531" t="s">
        <v>157</v>
      </c>
      <c r="D3531" t="s">
        <v>7103</v>
      </c>
      <c r="E3531" t="s">
        <v>7104</v>
      </c>
      <c r="G3531" s="1">
        <v>20.8</v>
      </c>
    </row>
    <row r="3532" spans="1:7" ht="14.25" hidden="1" customHeight="1" x14ac:dyDescent="0.45">
      <c r="A3532" t="str">
        <f>_xlfn.XLOOKUP(B3532,Ingot!$H$12:$H$119,Ingot!$G$12:$G$119,"")</f>
        <v>Wood</v>
      </c>
      <c r="B3532" t="s">
        <v>6946</v>
      </c>
      <c r="C3532" t="s">
        <v>157</v>
      </c>
      <c r="D3532" t="s">
        <v>7105</v>
      </c>
      <c r="E3532" t="s">
        <v>7106</v>
      </c>
      <c r="G3532" s="1">
        <v>5</v>
      </c>
    </row>
    <row r="3533" spans="1:7" ht="14.25" hidden="1" customHeight="1" x14ac:dyDescent="0.45">
      <c r="A3533" t="str">
        <f>_xlfn.XLOOKUP(B3533,Ingot!$H$12:$H$119,Ingot!$G$12:$G$119,"")</f>
        <v>Wood</v>
      </c>
      <c r="B3533" t="s">
        <v>6946</v>
      </c>
      <c r="C3533" t="s">
        <v>157</v>
      </c>
      <c r="D3533" t="s">
        <v>7107</v>
      </c>
      <c r="E3533" t="s">
        <v>7108</v>
      </c>
      <c r="G3533" s="1">
        <v>5</v>
      </c>
    </row>
    <row r="3534" spans="1:7" ht="14.25" hidden="1" customHeight="1" x14ac:dyDescent="0.45">
      <c r="A3534" t="str">
        <f>_xlfn.XLOOKUP(B3534,Ingot!$H$12:$H$119,Ingot!$G$12:$G$119,"")</f>
        <v>Wood</v>
      </c>
      <c r="B3534" t="s">
        <v>6946</v>
      </c>
      <c r="C3534" t="s">
        <v>157</v>
      </c>
      <c r="D3534" t="s">
        <v>7109</v>
      </c>
      <c r="E3534" t="s">
        <v>7110</v>
      </c>
      <c r="G3534" s="1">
        <v>5</v>
      </c>
    </row>
    <row r="3535" spans="1:7" ht="14.25" hidden="1" customHeight="1" x14ac:dyDescent="0.45">
      <c r="A3535" t="str">
        <f>_xlfn.XLOOKUP(B3535,Ingot!$H$12:$H$119,Ingot!$G$12:$G$119,"")</f>
        <v>Wood</v>
      </c>
      <c r="B3535" t="s">
        <v>6946</v>
      </c>
      <c r="C3535" t="s">
        <v>157</v>
      </c>
      <c r="D3535" t="s">
        <v>7111</v>
      </c>
      <c r="E3535" t="s">
        <v>7112</v>
      </c>
      <c r="G3535" s="1">
        <v>10</v>
      </c>
    </row>
    <row r="3536" spans="1:7" ht="14.25" hidden="1" customHeight="1" x14ac:dyDescent="0.45">
      <c r="A3536" t="str">
        <f>_xlfn.XLOOKUP(B3536,Ingot!$H$12:$H$119,Ingot!$G$12:$G$119,"")</f>
        <v>Wood</v>
      </c>
      <c r="B3536" t="s">
        <v>6946</v>
      </c>
      <c r="C3536" t="s">
        <v>157</v>
      </c>
      <c r="D3536" t="s">
        <v>7113</v>
      </c>
      <c r="E3536" t="s">
        <v>7114</v>
      </c>
      <c r="F3536" t="s">
        <v>180</v>
      </c>
      <c r="G3536" s="1">
        <v>20</v>
      </c>
    </row>
    <row r="3537" spans="1:7" ht="14.25" hidden="1" customHeight="1" x14ac:dyDescent="0.45">
      <c r="A3537" t="str">
        <f>_xlfn.XLOOKUP(B3537,Ingot!$H$12:$H$119,Ingot!$G$12:$G$119,"")</f>
        <v>Wood</v>
      </c>
      <c r="B3537" t="s">
        <v>6946</v>
      </c>
      <c r="C3537" t="s">
        <v>157</v>
      </c>
      <c r="D3537" t="s">
        <v>7115</v>
      </c>
      <c r="E3537" t="s">
        <v>7116</v>
      </c>
      <c r="F3537" t="s">
        <v>180</v>
      </c>
      <c r="G3537" s="1">
        <v>5</v>
      </c>
    </row>
    <row r="3538" spans="1:7" ht="14.25" hidden="1" customHeight="1" x14ac:dyDescent="0.45">
      <c r="A3538" t="str">
        <f>_xlfn.XLOOKUP(B3538,Ingot!$H$12:$H$119,Ingot!$G$12:$G$119,"")</f>
        <v>Wood</v>
      </c>
      <c r="B3538" t="s">
        <v>6946</v>
      </c>
      <c r="C3538" t="s">
        <v>157</v>
      </c>
      <c r="D3538" t="s">
        <v>7117</v>
      </c>
      <c r="E3538" t="s">
        <v>7118</v>
      </c>
      <c r="F3538" t="s">
        <v>180</v>
      </c>
      <c r="G3538" s="1">
        <v>5</v>
      </c>
    </row>
    <row r="3539" spans="1:7" ht="14.25" hidden="1" customHeight="1" x14ac:dyDescent="0.45">
      <c r="A3539" t="str">
        <f>_xlfn.XLOOKUP(B3539,Ingot!$H$12:$H$119,Ingot!$G$12:$G$119,"")</f>
        <v>Wood</v>
      </c>
      <c r="B3539" t="s">
        <v>6946</v>
      </c>
      <c r="C3539" t="s">
        <v>157</v>
      </c>
      <c r="D3539" t="s">
        <v>7119</v>
      </c>
      <c r="E3539" t="s">
        <v>7120</v>
      </c>
      <c r="F3539" t="s">
        <v>180</v>
      </c>
      <c r="G3539" s="1">
        <v>5</v>
      </c>
    </row>
    <row r="3540" spans="1:7" ht="14.25" hidden="1" customHeight="1" x14ac:dyDescent="0.45">
      <c r="A3540" t="str">
        <f>_xlfn.XLOOKUP(B3540,Ingot!$H$12:$H$119,Ingot!$G$12:$G$119,"")</f>
        <v>Wood</v>
      </c>
      <c r="B3540" t="s">
        <v>6946</v>
      </c>
      <c r="C3540" t="s">
        <v>157</v>
      </c>
      <c r="D3540" t="s">
        <v>7121</v>
      </c>
      <c r="E3540" t="s">
        <v>7122</v>
      </c>
      <c r="F3540" t="s">
        <v>180</v>
      </c>
      <c r="G3540" s="1">
        <v>10</v>
      </c>
    </row>
    <row r="3541" spans="1:7" ht="14.25" hidden="1" customHeight="1" x14ac:dyDescent="0.45">
      <c r="A3541" t="str">
        <f>_xlfn.XLOOKUP(B3541,Ingot!$H$12:$H$119,Ingot!$G$12:$G$119,"")</f>
        <v>Wood</v>
      </c>
      <c r="B3541" t="s">
        <v>6946</v>
      </c>
      <c r="C3541" t="s">
        <v>157</v>
      </c>
      <c r="D3541" t="s">
        <v>7123</v>
      </c>
      <c r="E3541" t="s">
        <v>7124</v>
      </c>
      <c r="G3541" s="1">
        <v>22</v>
      </c>
    </row>
    <row r="3542" spans="1:7" ht="14.25" hidden="1" customHeight="1" x14ac:dyDescent="0.45">
      <c r="A3542" t="str">
        <f>_xlfn.XLOOKUP(B3542,Ingot!$H$12:$H$119,Ingot!$G$12:$G$119,"")</f>
        <v>Wood</v>
      </c>
      <c r="B3542" t="s">
        <v>6946</v>
      </c>
      <c r="C3542" t="s">
        <v>157</v>
      </c>
      <c r="D3542" t="s">
        <v>7125</v>
      </c>
      <c r="E3542" t="s">
        <v>7126</v>
      </c>
      <c r="G3542" s="1">
        <v>5</v>
      </c>
    </row>
    <row r="3543" spans="1:7" ht="14.25" hidden="1" customHeight="1" x14ac:dyDescent="0.45">
      <c r="A3543" t="str">
        <f>_xlfn.XLOOKUP(B3543,Ingot!$H$12:$H$119,Ingot!$G$12:$G$119,"")</f>
        <v>Wood</v>
      </c>
      <c r="B3543" t="s">
        <v>6946</v>
      </c>
      <c r="C3543" t="s">
        <v>157</v>
      </c>
      <c r="D3543" t="s">
        <v>7127</v>
      </c>
      <c r="E3543" t="s">
        <v>7128</v>
      </c>
      <c r="G3543" s="1">
        <v>5</v>
      </c>
    </row>
    <row r="3544" spans="1:7" ht="14.25" hidden="1" customHeight="1" x14ac:dyDescent="0.45">
      <c r="A3544" t="str">
        <f>_xlfn.XLOOKUP(B3544,Ingot!$H$12:$H$119,Ingot!$G$12:$G$119,"")</f>
        <v>Wood</v>
      </c>
      <c r="B3544" t="s">
        <v>6946</v>
      </c>
      <c r="C3544" t="s">
        <v>157</v>
      </c>
      <c r="D3544" t="s">
        <v>7129</v>
      </c>
      <c r="E3544" t="s">
        <v>7130</v>
      </c>
      <c r="G3544" s="1">
        <v>5</v>
      </c>
    </row>
    <row r="3545" spans="1:7" ht="14.25" hidden="1" customHeight="1" x14ac:dyDescent="0.45">
      <c r="A3545" t="str">
        <f>_xlfn.XLOOKUP(B3545,Ingot!$H$12:$H$119,Ingot!$G$12:$G$119,"")</f>
        <v>Wood</v>
      </c>
      <c r="B3545" t="s">
        <v>6946</v>
      </c>
      <c r="C3545" t="s">
        <v>157</v>
      </c>
      <c r="D3545" t="s">
        <v>7131</v>
      </c>
      <c r="E3545" t="s">
        <v>7132</v>
      </c>
      <c r="G3545" s="1">
        <v>10</v>
      </c>
    </row>
    <row r="3546" spans="1:7" ht="14.25" hidden="1" customHeight="1" x14ac:dyDescent="0.45">
      <c r="A3546" t="str">
        <f>_xlfn.XLOOKUP(B3546,Ingot!$H$12:$H$119,Ingot!$G$12:$G$119,"")</f>
        <v>Wood</v>
      </c>
      <c r="B3546" t="s">
        <v>6946</v>
      </c>
      <c r="C3546" t="s">
        <v>157</v>
      </c>
      <c r="D3546" t="s">
        <v>7133</v>
      </c>
      <c r="E3546" t="s">
        <v>7134</v>
      </c>
      <c r="G3546" s="1">
        <v>23</v>
      </c>
    </row>
    <row r="3547" spans="1:7" ht="14.25" hidden="1" customHeight="1" x14ac:dyDescent="0.45">
      <c r="A3547" t="str">
        <f>_xlfn.XLOOKUP(B3547,Ingot!$H$12:$H$119,Ingot!$G$12:$G$119,"")</f>
        <v>Wood</v>
      </c>
      <c r="B3547" t="s">
        <v>6946</v>
      </c>
      <c r="C3547" t="s">
        <v>157</v>
      </c>
      <c r="D3547" t="s">
        <v>7135</v>
      </c>
      <c r="E3547" t="s">
        <v>7136</v>
      </c>
      <c r="F3547" t="s">
        <v>180</v>
      </c>
      <c r="G3547" s="1">
        <v>5</v>
      </c>
    </row>
    <row r="3548" spans="1:7" ht="14.25" hidden="1" customHeight="1" x14ac:dyDescent="0.45">
      <c r="A3548" t="str">
        <f>_xlfn.XLOOKUP(B3548,Ingot!$H$12:$H$119,Ingot!$G$12:$G$119,"")</f>
        <v>Wood</v>
      </c>
      <c r="B3548" t="s">
        <v>6946</v>
      </c>
      <c r="C3548" t="s">
        <v>157</v>
      </c>
      <c r="D3548" t="s">
        <v>7137</v>
      </c>
      <c r="E3548" t="s">
        <v>7138</v>
      </c>
      <c r="F3548" t="s">
        <v>180</v>
      </c>
      <c r="G3548" s="1">
        <v>5</v>
      </c>
    </row>
    <row r="3549" spans="1:7" ht="14.25" hidden="1" customHeight="1" x14ac:dyDescent="0.45">
      <c r="A3549" t="str">
        <f>_xlfn.XLOOKUP(B3549,Ingot!$H$12:$H$119,Ingot!$G$12:$G$119,"")</f>
        <v>Wood</v>
      </c>
      <c r="B3549" t="s">
        <v>6946</v>
      </c>
      <c r="C3549" t="s">
        <v>157</v>
      </c>
      <c r="D3549" t="s">
        <v>7139</v>
      </c>
      <c r="E3549" t="s">
        <v>7140</v>
      </c>
      <c r="F3549" t="s">
        <v>180</v>
      </c>
      <c r="G3549" s="1">
        <v>5</v>
      </c>
    </row>
    <row r="3550" spans="1:7" ht="14.25" hidden="1" customHeight="1" x14ac:dyDescent="0.45">
      <c r="A3550" t="str">
        <f>_xlfn.XLOOKUP(B3550,Ingot!$H$12:$H$119,Ingot!$G$12:$G$119,"")</f>
        <v>Wood</v>
      </c>
      <c r="B3550" t="s">
        <v>6946</v>
      </c>
      <c r="C3550" t="s">
        <v>157</v>
      </c>
      <c r="D3550" t="s">
        <v>7141</v>
      </c>
      <c r="E3550" t="s">
        <v>7142</v>
      </c>
      <c r="G3550" s="1">
        <v>10</v>
      </c>
    </row>
    <row r="3551" spans="1:7" ht="14.25" hidden="1" customHeight="1" x14ac:dyDescent="0.45">
      <c r="A3551" t="str">
        <f>_xlfn.XLOOKUP(B3551,Ingot!$H$12:$H$119,Ingot!$G$12:$G$119,"")</f>
        <v>Wood</v>
      </c>
      <c r="B3551" t="s">
        <v>6946</v>
      </c>
      <c r="C3551" t="s">
        <v>157</v>
      </c>
      <c r="D3551" t="s">
        <v>7143</v>
      </c>
      <c r="E3551" t="s">
        <v>7144</v>
      </c>
      <c r="G3551" s="1">
        <v>26.8</v>
      </c>
    </row>
    <row r="3552" spans="1:7" ht="14.25" hidden="1" customHeight="1" x14ac:dyDescent="0.45">
      <c r="A3552" t="str">
        <f>_xlfn.XLOOKUP(B3552,Ingot!$H$12:$H$119,Ingot!$G$12:$G$119,"")</f>
        <v>Wood</v>
      </c>
      <c r="B3552" t="s">
        <v>6946</v>
      </c>
      <c r="C3552" t="s">
        <v>157</v>
      </c>
      <c r="D3552" t="s">
        <v>7145</v>
      </c>
      <c r="E3552" t="s">
        <v>7146</v>
      </c>
      <c r="G3552" s="1">
        <v>5.36</v>
      </c>
    </row>
    <row r="3553" spans="1:7" ht="14.25" hidden="1" customHeight="1" x14ac:dyDescent="0.45">
      <c r="A3553" t="str">
        <f>_xlfn.XLOOKUP(B3553,Ingot!$H$12:$H$119,Ingot!$G$12:$G$119,"")</f>
        <v>Wood</v>
      </c>
      <c r="B3553" t="s">
        <v>6946</v>
      </c>
      <c r="C3553" t="s">
        <v>157</v>
      </c>
      <c r="D3553" t="s">
        <v>7147</v>
      </c>
      <c r="E3553" t="s">
        <v>7148</v>
      </c>
      <c r="G3553" s="1">
        <v>5.36</v>
      </c>
    </row>
    <row r="3554" spans="1:7" ht="14.25" hidden="1" customHeight="1" x14ac:dyDescent="0.45">
      <c r="A3554" t="str">
        <f>_xlfn.XLOOKUP(B3554,Ingot!$H$12:$H$119,Ingot!$G$12:$G$119,"")</f>
        <v>Wood</v>
      </c>
      <c r="B3554" t="s">
        <v>6946</v>
      </c>
      <c r="C3554" t="s">
        <v>157</v>
      </c>
      <c r="D3554" t="s">
        <v>7149</v>
      </c>
      <c r="E3554" t="s">
        <v>7150</v>
      </c>
      <c r="G3554" s="1">
        <v>5</v>
      </c>
    </row>
    <row r="3555" spans="1:7" ht="14.25" hidden="1" customHeight="1" x14ac:dyDescent="0.45">
      <c r="A3555" t="str">
        <f>_xlfn.XLOOKUP(B3555,Ingot!$H$12:$H$119,Ingot!$G$12:$G$119,"")</f>
        <v>Wood</v>
      </c>
      <c r="B3555" t="s">
        <v>6946</v>
      </c>
      <c r="C3555" t="s">
        <v>157</v>
      </c>
      <c r="D3555" t="s">
        <v>7151</v>
      </c>
      <c r="E3555" t="s">
        <v>7152</v>
      </c>
      <c r="G3555" s="1">
        <v>10</v>
      </c>
    </row>
    <row r="3556" spans="1:7" ht="14.25" hidden="1" customHeight="1" x14ac:dyDescent="0.45">
      <c r="A3556" t="str">
        <f>_xlfn.XLOOKUP(B3556,Ingot!$H$12:$H$119,Ingot!$G$12:$G$119,"")</f>
        <v>Wood</v>
      </c>
      <c r="B3556" t="s">
        <v>6946</v>
      </c>
      <c r="C3556" t="s">
        <v>157</v>
      </c>
      <c r="D3556" t="s">
        <v>7153</v>
      </c>
      <c r="E3556" t="s">
        <v>7154</v>
      </c>
      <c r="G3556" s="1">
        <v>25.5</v>
      </c>
    </row>
    <row r="3557" spans="1:7" ht="14.25" hidden="1" customHeight="1" x14ac:dyDescent="0.45">
      <c r="A3557" t="str">
        <f>_xlfn.XLOOKUP(B3557,Ingot!$H$12:$H$119,Ingot!$G$12:$G$119,"")</f>
        <v>Wood</v>
      </c>
      <c r="B3557" t="s">
        <v>6946</v>
      </c>
      <c r="C3557" t="s">
        <v>157</v>
      </c>
      <c r="D3557" t="s">
        <v>7155</v>
      </c>
      <c r="E3557" t="s">
        <v>7156</v>
      </c>
      <c r="G3557" s="1">
        <v>5.0999999999999996</v>
      </c>
    </row>
    <row r="3558" spans="1:7" ht="14.25" hidden="1" customHeight="1" x14ac:dyDescent="0.45">
      <c r="A3558" t="str">
        <f>_xlfn.XLOOKUP(B3558,Ingot!$H$12:$H$119,Ingot!$G$12:$G$119,"")</f>
        <v>Wood</v>
      </c>
      <c r="B3558" t="s">
        <v>6946</v>
      </c>
      <c r="C3558" t="s">
        <v>157</v>
      </c>
      <c r="D3558" t="s">
        <v>7157</v>
      </c>
      <c r="E3558" t="s">
        <v>7158</v>
      </c>
      <c r="G3558" s="1">
        <v>5.0999999999999996</v>
      </c>
    </row>
    <row r="3559" spans="1:7" ht="14.25" hidden="1" customHeight="1" x14ac:dyDescent="0.45">
      <c r="A3559" t="str">
        <f>_xlfn.XLOOKUP(B3559,Ingot!$H$12:$H$119,Ingot!$G$12:$G$119,"")</f>
        <v>Wood</v>
      </c>
      <c r="B3559" t="s">
        <v>6946</v>
      </c>
      <c r="C3559" t="s">
        <v>157</v>
      </c>
      <c r="D3559" t="s">
        <v>7159</v>
      </c>
      <c r="E3559" t="s">
        <v>7160</v>
      </c>
      <c r="G3559" s="1">
        <v>5</v>
      </c>
    </row>
    <row r="3560" spans="1:7" ht="14.25" hidden="1" customHeight="1" x14ac:dyDescent="0.45">
      <c r="A3560" t="str">
        <f>_xlfn.XLOOKUP(B3560,Ingot!$H$12:$H$119,Ingot!$G$12:$G$119,"")</f>
        <v>Wood</v>
      </c>
      <c r="B3560" t="s">
        <v>6946</v>
      </c>
      <c r="C3560" t="s">
        <v>157</v>
      </c>
      <c r="D3560" t="s">
        <v>7161</v>
      </c>
      <c r="E3560" t="s">
        <v>7162</v>
      </c>
      <c r="G3560" s="1">
        <v>10</v>
      </c>
    </row>
    <row r="3561" spans="1:7" ht="14.25" hidden="1" customHeight="1" x14ac:dyDescent="0.45">
      <c r="A3561" t="str">
        <f>_xlfn.XLOOKUP(B3561,Ingot!$H$12:$H$119,Ingot!$G$12:$G$119,"")</f>
        <v>Wood</v>
      </c>
      <c r="B3561" t="s">
        <v>6946</v>
      </c>
      <c r="C3561" t="s">
        <v>157</v>
      </c>
      <c r="D3561" t="s">
        <v>7163</v>
      </c>
      <c r="E3561" t="s">
        <v>7164</v>
      </c>
      <c r="F3561" t="s">
        <v>180</v>
      </c>
      <c r="G3561" s="1">
        <v>19.2</v>
      </c>
    </row>
    <row r="3562" spans="1:7" ht="14.25" hidden="1" customHeight="1" x14ac:dyDescent="0.45">
      <c r="A3562" t="str">
        <f>_xlfn.XLOOKUP(B3562,Ingot!$H$12:$H$119,Ingot!$G$12:$G$119,"")</f>
        <v>Wood</v>
      </c>
      <c r="B3562" t="s">
        <v>6946</v>
      </c>
      <c r="C3562" t="s">
        <v>157</v>
      </c>
      <c r="D3562" t="s">
        <v>7165</v>
      </c>
      <c r="E3562" t="s">
        <v>7166</v>
      </c>
      <c r="F3562" t="s">
        <v>180</v>
      </c>
      <c r="G3562" s="1">
        <v>5</v>
      </c>
    </row>
    <row r="3563" spans="1:7" ht="14.25" hidden="1" customHeight="1" x14ac:dyDescent="0.45">
      <c r="A3563" t="str">
        <f>_xlfn.XLOOKUP(B3563,Ingot!$H$12:$H$119,Ingot!$G$12:$G$119,"")</f>
        <v>Wood</v>
      </c>
      <c r="B3563" t="s">
        <v>6946</v>
      </c>
      <c r="C3563" t="s">
        <v>157</v>
      </c>
      <c r="D3563" t="s">
        <v>7167</v>
      </c>
      <c r="E3563" t="s">
        <v>7168</v>
      </c>
      <c r="F3563" t="s">
        <v>180</v>
      </c>
      <c r="G3563" s="1">
        <v>5</v>
      </c>
    </row>
    <row r="3564" spans="1:7" ht="14.25" hidden="1" customHeight="1" x14ac:dyDescent="0.45">
      <c r="A3564" t="str">
        <f>_xlfn.XLOOKUP(B3564,Ingot!$H$12:$H$119,Ingot!$G$12:$G$119,"")</f>
        <v>Wood</v>
      </c>
      <c r="B3564" t="s">
        <v>6946</v>
      </c>
      <c r="C3564" t="s">
        <v>157</v>
      </c>
      <c r="D3564" t="s">
        <v>7169</v>
      </c>
      <c r="E3564" t="s">
        <v>7170</v>
      </c>
      <c r="F3564" t="s">
        <v>180</v>
      </c>
      <c r="G3564" s="1">
        <v>5</v>
      </c>
    </row>
    <row r="3565" spans="1:7" ht="14.25" hidden="1" customHeight="1" x14ac:dyDescent="0.45">
      <c r="A3565" t="str">
        <f>_xlfn.XLOOKUP(B3565,Ingot!$H$12:$H$119,Ingot!$G$12:$G$119,"")</f>
        <v>Wood</v>
      </c>
      <c r="B3565" t="s">
        <v>6946</v>
      </c>
      <c r="C3565" t="s">
        <v>157</v>
      </c>
      <c r="D3565" t="s">
        <v>7171</v>
      </c>
      <c r="E3565" t="s">
        <v>7172</v>
      </c>
      <c r="F3565" t="s">
        <v>180</v>
      </c>
      <c r="G3565" s="1">
        <v>10</v>
      </c>
    </row>
    <row r="3566" spans="1:7" ht="14.25" hidden="1" customHeight="1" x14ac:dyDescent="0.45">
      <c r="A3566" t="str">
        <f>_xlfn.XLOOKUP(B3566,Ingot!$H$12:$H$119,Ingot!$G$12:$G$119,"")</f>
        <v>Wood</v>
      </c>
      <c r="B3566" t="s">
        <v>6946</v>
      </c>
      <c r="C3566" t="s">
        <v>239</v>
      </c>
      <c r="D3566" t="s">
        <v>7173</v>
      </c>
      <c r="E3566" t="s">
        <v>7174</v>
      </c>
      <c r="G3566" s="1">
        <f>(VLOOKUP(B3566,Ingot!H:I,2,FALSE()) * 0.75) * 0.75</f>
        <v>5.0625</v>
      </c>
    </row>
    <row r="3567" spans="1:7" ht="14.25" hidden="1" customHeight="1" x14ac:dyDescent="0.45">
      <c r="A3567" t="str">
        <f>_xlfn.XLOOKUP(B3567,Ingot!$H$12:$H$119,Ingot!$G$12:$G$119,"")</f>
        <v>Wood</v>
      </c>
      <c r="B3567" t="s">
        <v>6946</v>
      </c>
      <c r="C3567" t="s">
        <v>239</v>
      </c>
      <c r="D3567" t="s">
        <v>7175</v>
      </c>
      <c r="E3567" t="s">
        <v>7176</v>
      </c>
      <c r="G3567" s="1">
        <f>((VLOOKUP(B3567,Ingot!H:I,2,FALSE()) * 3) - 10.25) * 0.421875</f>
        <v>7.06640625</v>
      </c>
    </row>
    <row r="3568" spans="1:7" ht="14.25" hidden="1" customHeight="1" x14ac:dyDescent="0.45">
      <c r="A3568" t="str">
        <f>_xlfn.XLOOKUP(B3568,Ingot!$H$12:$H$119,Ingot!$G$12:$G$119,"")</f>
        <v>Wood</v>
      </c>
      <c r="B3568" t="s">
        <v>6946</v>
      </c>
      <c r="C3568" t="s">
        <v>239</v>
      </c>
      <c r="D3568" t="s">
        <v>7177</v>
      </c>
      <c r="E3568" t="s">
        <v>7178</v>
      </c>
      <c r="G3568" s="1">
        <f>((VLOOKUP(B3568,Ingot!H:I,2,FALSE()) * 3) - 10.25) * 0.75</f>
        <v>12.5625</v>
      </c>
    </row>
    <row r="3569" spans="1:7" ht="14.25" hidden="1" customHeight="1" x14ac:dyDescent="0.45">
      <c r="A3569" t="str">
        <f>_xlfn.XLOOKUP(B3569,Ingot!$H$12:$H$119,Ingot!$G$12:$G$119,"")</f>
        <v>Wood</v>
      </c>
      <c r="B3569" t="s">
        <v>6946</v>
      </c>
      <c r="C3569" t="s">
        <v>239</v>
      </c>
      <c r="D3569" t="s">
        <v>7179</v>
      </c>
      <c r="E3569" t="s">
        <v>7180</v>
      </c>
      <c r="G3569" s="1">
        <f>((VLOOKUP(B3569,Ingot!H:I,2,FALSE()) * 3) - 10.25) * 0.5625</f>
        <v>9.421875</v>
      </c>
    </row>
    <row r="3570" spans="1:7" ht="14.25" hidden="1" customHeight="1" x14ac:dyDescent="0.45">
      <c r="A3570" t="str">
        <f>_xlfn.XLOOKUP(B3570,Ingot!$H$12:$H$119,Ingot!$G$12:$G$119,"")</f>
        <v>Wood</v>
      </c>
      <c r="B3570" t="s">
        <v>6946</v>
      </c>
      <c r="C3570" t="s">
        <v>239</v>
      </c>
      <c r="D3570" t="s">
        <v>7181</v>
      </c>
      <c r="E3570" t="s">
        <v>7182</v>
      </c>
      <c r="G3570" s="1">
        <f>VLOOKUP(B3570,Ingot!H:I,2,FALSE()) * 0.75</f>
        <v>6.75</v>
      </c>
    </row>
    <row r="3571" spans="1:7" ht="14.25" hidden="1" customHeight="1" x14ac:dyDescent="0.45">
      <c r="A3571" t="str">
        <f>_xlfn.XLOOKUP(B3571,Ingot!$H$12:$H$119,Ingot!$G$12:$G$119,"")</f>
        <v>Wood</v>
      </c>
      <c r="B3571" t="s">
        <v>6946</v>
      </c>
      <c r="C3571" t="s">
        <v>239</v>
      </c>
      <c r="D3571" t="s">
        <v>7183</v>
      </c>
      <c r="E3571" t="s">
        <v>7184</v>
      </c>
      <c r="G3571" s="1">
        <f>(VLOOKUP(B3571,Ingot!H:I,2,FALSE()) * 3) - 10.25</f>
        <v>16.75</v>
      </c>
    </row>
    <row r="3572" spans="1:7" ht="14.25" hidden="1" customHeight="1" x14ac:dyDescent="0.45">
      <c r="A3572" t="str">
        <f>_xlfn.XLOOKUP(B3572,Ingot!$H$12:$H$119,Ingot!$G$12:$G$119,"")</f>
        <v>Wood</v>
      </c>
      <c r="B3572" t="s">
        <v>7185</v>
      </c>
      <c r="C3572" t="s">
        <v>10</v>
      </c>
      <c r="D3572" t="s">
        <v>7186</v>
      </c>
      <c r="E3572" t="s">
        <v>7187</v>
      </c>
      <c r="G3572" s="1">
        <v>0.08</v>
      </c>
    </row>
    <row r="3573" spans="1:7" ht="14.25" hidden="1" customHeight="1" x14ac:dyDescent="0.45">
      <c r="A3573" t="str">
        <f>_xlfn.XLOOKUP(B3573,Ingot!$H$12:$H$119,Ingot!$G$12:$G$119,"")</f>
        <v>Wood</v>
      </c>
      <c r="B3573" t="s">
        <v>7185</v>
      </c>
      <c r="C3573" t="s">
        <v>10</v>
      </c>
      <c r="D3573" t="s">
        <v>7188</v>
      </c>
      <c r="E3573" t="s">
        <v>7189</v>
      </c>
      <c r="G3573" s="1">
        <v>9.9</v>
      </c>
    </row>
    <row r="3574" spans="1:7" ht="14.25" hidden="1" customHeight="1" x14ac:dyDescent="0.45">
      <c r="A3574" t="str">
        <f>_xlfn.XLOOKUP(B3574,Ingot!$H$12:$H$119,Ingot!$G$12:$G$119,"")</f>
        <v>Wood</v>
      </c>
      <c r="B3574" t="s">
        <v>7185</v>
      </c>
      <c r="C3574" t="s">
        <v>10</v>
      </c>
      <c r="D3574" t="s">
        <v>7190</v>
      </c>
      <c r="E3574" t="s">
        <v>7191</v>
      </c>
      <c r="G3574" s="1">
        <v>5.66</v>
      </c>
    </row>
    <row r="3575" spans="1:7" ht="14.25" hidden="1" customHeight="1" x14ac:dyDescent="0.45">
      <c r="A3575" t="str">
        <f>_xlfn.XLOOKUP(B3575,Ingot!$H$12:$H$119,Ingot!$G$12:$G$119,"")</f>
        <v>Wood</v>
      </c>
      <c r="B3575" t="s">
        <v>7185</v>
      </c>
      <c r="C3575" t="s">
        <v>10</v>
      </c>
      <c r="D3575" t="s">
        <v>7192</v>
      </c>
      <c r="E3575" t="s">
        <v>7193</v>
      </c>
      <c r="G3575" s="1">
        <v>3.3</v>
      </c>
    </row>
    <row r="3576" spans="1:7" ht="14.25" hidden="1" customHeight="1" x14ac:dyDescent="0.45">
      <c r="A3576" t="str">
        <f>_xlfn.XLOOKUP(B3576,Ingot!$H$12:$H$119,Ingot!$G$12:$G$119,"")</f>
        <v>Wood</v>
      </c>
      <c r="B3576" t="s">
        <v>7185</v>
      </c>
      <c r="C3576" t="s">
        <v>10</v>
      </c>
      <c r="D3576" t="s">
        <v>7194</v>
      </c>
      <c r="E3576" t="s">
        <v>7195</v>
      </c>
      <c r="G3576" s="1">
        <v>0.66</v>
      </c>
    </row>
    <row r="3577" spans="1:7" ht="14.25" hidden="1" customHeight="1" x14ac:dyDescent="0.45">
      <c r="A3577" t="str">
        <f>_xlfn.XLOOKUP(B3577,Ingot!$H$12:$H$119,Ingot!$G$12:$G$119,"")</f>
        <v>Wood</v>
      </c>
      <c r="B3577" t="s">
        <v>7185</v>
      </c>
      <c r="C3577" t="s">
        <v>10</v>
      </c>
      <c r="D3577" t="s">
        <v>7196</v>
      </c>
      <c r="E3577" t="s">
        <v>7197</v>
      </c>
      <c r="G3577" s="1">
        <v>0.04</v>
      </c>
    </row>
    <row r="3578" spans="1:7" ht="14.25" hidden="1" customHeight="1" x14ac:dyDescent="0.45">
      <c r="A3578" t="str">
        <f>_xlfn.XLOOKUP(B3578,Ingot!$H$12:$H$119,Ingot!$G$12:$G$119,"")</f>
        <v>Wood</v>
      </c>
      <c r="B3578" t="s">
        <v>7185</v>
      </c>
      <c r="C3578" t="s">
        <v>10</v>
      </c>
      <c r="D3578" t="s">
        <v>7198</v>
      </c>
      <c r="E3578" t="s">
        <v>7199</v>
      </c>
      <c r="G3578" s="1">
        <v>0.33</v>
      </c>
    </row>
    <row r="3579" spans="1:7" ht="14.25" hidden="1" customHeight="1" x14ac:dyDescent="0.45">
      <c r="A3579" t="str">
        <f>_xlfn.XLOOKUP(B3579,Ingot!$H$12:$H$119,Ingot!$G$12:$G$119,"")</f>
        <v>Wood</v>
      </c>
      <c r="B3579" t="s">
        <v>7185</v>
      </c>
      <c r="C3579" t="s">
        <v>10</v>
      </c>
      <c r="D3579" t="s">
        <v>7200</v>
      </c>
      <c r="E3579" t="s">
        <v>7201</v>
      </c>
    </row>
    <row r="3580" spans="1:7" ht="14.25" hidden="1" customHeight="1" x14ac:dyDescent="0.45">
      <c r="A3580" t="str">
        <f>_xlfn.XLOOKUP(B3580,Ingot!$H$12:$H$119,Ingot!$G$12:$G$119,"")</f>
        <v>Wood</v>
      </c>
      <c r="B3580" t="s">
        <v>7185</v>
      </c>
      <c r="C3580" t="s">
        <v>10</v>
      </c>
      <c r="D3580" t="s">
        <v>7202</v>
      </c>
      <c r="E3580" t="s">
        <v>7203</v>
      </c>
      <c r="G3580" s="1">
        <v>0.05</v>
      </c>
    </row>
    <row r="3581" spans="1:7" ht="14.25" hidden="1" customHeight="1" x14ac:dyDescent="0.45">
      <c r="A3581" t="str">
        <f>_xlfn.XLOOKUP(B3581,Ingot!$H$12:$H$119,Ingot!$G$12:$G$119,"")</f>
        <v>Wood</v>
      </c>
      <c r="B3581" t="s">
        <v>7185</v>
      </c>
      <c r="C3581" t="s">
        <v>10</v>
      </c>
      <c r="D3581" t="s">
        <v>7204</v>
      </c>
      <c r="E3581" t="s">
        <v>7205</v>
      </c>
      <c r="G3581" s="1">
        <v>0.66</v>
      </c>
    </row>
    <row r="3582" spans="1:7" ht="14.25" hidden="1" customHeight="1" x14ac:dyDescent="0.45">
      <c r="A3582" t="str">
        <f>_xlfn.XLOOKUP(B3582,Ingot!$H$12:$H$119,Ingot!$G$12:$G$119,"")</f>
        <v>Wood</v>
      </c>
      <c r="B3582" t="s">
        <v>7185</v>
      </c>
      <c r="C3582" t="s">
        <v>10</v>
      </c>
      <c r="D3582" t="s">
        <v>7206</v>
      </c>
      <c r="E3582" t="s">
        <v>7207</v>
      </c>
      <c r="G3582" s="1">
        <v>3.96</v>
      </c>
    </row>
    <row r="3583" spans="1:7" ht="14.25" hidden="1" customHeight="1" x14ac:dyDescent="0.45">
      <c r="A3583" t="str">
        <f>_xlfn.XLOOKUP(B3583,Ingot!$H$12:$H$119,Ingot!$G$12:$G$119,"")</f>
        <v>Wood</v>
      </c>
      <c r="B3583" t="s">
        <v>7185</v>
      </c>
      <c r="C3583" t="s">
        <v>10</v>
      </c>
      <c r="D3583" t="s">
        <v>7208</v>
      </c>
      <c r="E3583" t="s">
        <v>7209</v>
      </c>
      <c r="G3583" s="1">
        <v>8.77</v>
      </c>
    </row>
    <row r="3584" spans="1:7" ht="14.25" hidden="1" customHeight="1" x14ac:dyDescent="0.45">
      <c r="A3584" t="str">
        <f>_xlfn.XLOOKUP(B3584,Ingot!$H$12:$H$119,Ingot!$G$12:$G$119,"")</f>
        <v>Wood</v>
      </c>
      <c r="B3584" t="s">
        <v>7185</v>
      </c>
      <c r="C3584" t="s">
        <v>10</v>
      </c>
      <c r="D3584" t="s">
        <v>7210</v>
      </c>
      <c r="E3584" t="s">
        <v>7211</v>
      </c>
      <c r="G3584" s="1">
        <v>3.5</v>
      </c>
    </row>
    <row r="3585" spans="1:7" ht="14.25" hidden="1" customHeight="1" x14ac:dyDescent="0.45">
      <c r="A3585" t="str">
        <f>_xlfn.XLOOKUP(B3585,Ingot!$H$12:$H$119,Ingot!$G$12:$G$119,"")</f>
        <v>Wood</v>
      </c>
      <c r="B3585" t="s">
        <v>7185</v>
      </c>
      <c r="C3585" t="s">
        <v>10</v>
      </c>
      <c r="D3585" t="s">
        <v>7212</v>
      </c>
      <c r="E3585" t="s">
        <v>7213</v>
      </c>
    </row>
    <row r="3586" spans="1:7" ht="14.25" hidden="1" customHeight="1" x14ac:dyDescent="0.45">
      <c r="A3586" t="str">
        <f>_xlfn.XLOOKUP(B3586,Ingot!$H$12:$H$119,Ingot!$G$12:$G$119,"")</f>
        <v>Wood</v>
      </c>
      <c r="B3586" t="s">
        <v>7185</v>
      </c>
      <c r="C3586" t="s">
        <v>10</v>
      </c>
      <c r="D3586" t="s">
        <v>7214</v>
      </c>
      <c r="E3586" t="s">
        <v>7215</v>
      </c>
      <c r="G3586" s="1">
        <v>2.2000000000000002</v>
      </c>
    </row>
    <row r="3587" spans="1:7" ht="14.25" hidden="1" customHeight="1" x14ac:dyDescent="0.45">
      <c r="A3587" t="str">
        <f>_xlfn.XLOOKUP(B3587,Ingot!$H$12:$H$119,Ingot!$G$12:$G$119,"")</f>
        <v>Wood</v>
      </c>
      <c r="B3587" t="s">
        <v>7185</v>
      </c>
      <c r="C3587" t="s">
        <v>10</v>
      </c>
      <c r="D3587" t="s">
        <v>7216</v>
      </c>
      <c r="E3587" t="s">
        <v>7217</v>
      </c>
      <c r="G3587" s="1">
        <v>1.1000000000000001</v>
      </c>
    </row>
    <row r="3588" spans="1:7" ht="14.25" hidden="1" customHeight="1" x14ac:dyDescent="0.45">
      <c r="A3588" t="str">
        <f>_xlfn.XLOOKUP(B3588,Ingot!$H$12:$H$119,Ingot!$G$12:$G$119,"")</f>
        <v>Wood</v>
      </c>
      <c r="B3588" t="s">
        <v>7185</v>
      </c>
      <c r="C3588" t="s">
        <v>10</v>
      </c>
      <c r="D3588" t="s">
        <v>7218</v>
      </c>
      <c r="E3588" t="s">
        <v>7219</v>
      </c>
      <c r="G3588" s="1">
        <v>0.22</v>
      </c>
    </row>
    <row r="3589" spans="1:7" ht="14.25" hidden="1" customHeight="1" x14ac:dyDescent="0.45">
      <c r="A3589" t="str">
        <f>_xlfn.XLOOKUP(B3589,Ingot!$H$12:$H$119,Ingot!$G$12:$G$119,"")</f>
        <v>Wood</v>
      </c>
      <c r="B3589" t="s">
        <v>7185</v>
      </c>
      <c r="C3589" t="s">
        <v>10</v>
      </c>
      <c r="D3589" t="s">
        <v>7220</v>
      </c>
      <c r="E3589" t="s">
        <v>7221</v>
      </c>
      <c r="G3589" s="1">
        <v>8.41</v>
      </c>
    </row>
    <row r="3590" spans="1:7" ht="14.25" hidden="1" customHeight="1" x14ac:dyDescent="0.45">
      <c r="A3590" t="str">
        <f>_xlfn.XLOOKUP(B3590,Ingot!$H$12:$H$119,Ingot!$G$12:$G$119,"")</f>
        <v>Wood</v>
      </c>
      <c r="B3590" t="s">
        <v>7185</v>
      </c>
      <c r="C3590" t="s">
        <v>10</v>
      </c>
      <c r="D3590" t="s">
        <v>7222</v>
      </c>
      <c r="E3590" t="s">
        <v>7223</v>
      </c>
      <c r="G3590" s="1">
        <v>3.64</v>
      </c>
    </row>
    <row r="3591" spans="1:7" ht="14.25" hidden="1" customHeight="1" x14ac:dyDescent="0.45">
      <c r="A3591" t="str">
        <f>_xlfn.XLOOKUP(B3591,Ingot!$H$12:$H$119,Ingot!$G$12:$G$119,"")</f>
        <v>Wood</v>
      </c>
      <c r="B3591" t="s">
        <v>7185</v>
      </c>
      <c r="C3591" t="s">
        <v>10</v>
      </c>
      <c r="D3591" t="s">
        <v>7224</v>
      </c>
      <c r="E3591" t="s">
        <v>7225</v>
      </c>
      <c r="G3591" s="1">
        <v>7.05</v>
      </c>
    </row>
    <row r="3592" spans="1:7" ht="14.25" hidden="1" customHeight="1" x14ac:dyDescent="0.45">
      <c r="A3592" t="str">
        <f>_xlfn.XLOOKUP(B3592,Ingot!$H$12:$H$119,Ingot!$G$12:$G$119,"")</f>
        <v>Wood</v>
      </c>
      <c r="B3592" t="s">
        <v>7185</v>
      </c>
      <c r="C3592" t="s">
        <v>10</v>
      </c>
      <c r="D3592" t="s">
        <v>7226</v>
      </c>
      <c r="E3592" t="s">
        <v>7227</v>
      </c>
      <c r="G3592" s="1">
        <v>2.65</v>
      </c>
    </row>
    <row r="3593" spans="1:7" ht="14.25" hidden="1" customHeight="1" x14ac:dyDescent="0.45">
      <c r="A3593" t="str">
        <f>_xlfn.XLOOKUP(B3593,Ingot!$H$12:$H$119,Ingot!$G$12:$G$119,"")</f>
        <v>Wood</v>
      </c>
      <c r="B3593" t="s">
        <v>7185</v>
      </c>
      <c r="C3593" t="s">
        <v>10</v>
      </c>
      <c r="D3593" t="s">
        <v>7228</v>
      </c>
      <c r="E3593" t="s">
        <v>7229</v>
      </c>
      <c r="G3593" s="1">
        <v>9</v>
      </c>
    </row>
    <row r="3594" spans="1:7" ht="14.25" hidden="1" customHeight="1" x14ac:dyDescent="0.45">
      <c r="A3594" t="str">
        <f>_xlfn.XLOOKUP(B3594,Ingot!$H$12:$H$119,Ingot!$G$12:$G$119,"")</f>
        <v>Wood</v>
      </c>
      <c r="B3594" t="s">
        <v>7185</v>
      </c>
      <c r="C3594" t="s">
        <v>10</v>
      </c>
      <c r="D3594" t="s">
        <v>7230</v>
      </c>
      <c r="E3594" t="s">
        <v>7231</v>
      </c>
      <c r="G3594" s="1">
        <v>10.23</v>
      </c>
    </row>
    <row r="3595" spans="1:7" ht="14.25" hidden="1" customHeight="1" x14ac:dyDescent="0.45">
      <c r="A3595" t="str">
        <f>_xlfn.XLOOKUP(B3595,Ingot!$H$12:$H$119,Ingot!$G$12:$G$119,"")</f>
        <v>Wood</v>
      </c>
      <c r="B3595" t="s">
        <v>7185</v>
      </c>
      <c r="C3595" t="s">
        <v>10</v>
      </c>
      <c r="D3595" t="s">
        <v>7232</v>
      </c>
      <c r="E3595" t="s">
        <v>7233</v>
      </c>
      <c r="G3595" s="1">
        <v>7.7</v>
      </c>
    </row>
    <row r="3596" spans="1:7" ht="14.25" hidden="1" customHeight="1" x14ac:dyDescent="0.45">
      <c r="A3596" t="str">
        <f>_xlfn.XLOOKUP(B3596,Ingot!$H$12:$H$119,Ingot!$G$12:$G$119,"")</f>
        <v>Wood</v>
      </c>
      <c r="B3596" t="s">
        <v>7185</v>
      </c>
      <c r="C3596" t="s">
        <v>10</v>
      </c>
      <c r="D3596" t="s">
        <v>7234</v>
      </c>
      <c r="E3596" t="s">
        <v>7235</v>
      </c>
      <c r="G3596" s="1">
        <v>10.02</v>
      </c>
    </row>
    <row r="3597" spans="1:7" ht="14.25" hidden="1" customHeight="1" x14ac:dyDescent="0.45">
      <c r="A3597" t="str">
        <f>_xlfn.XLOOKUP(B3597,Ingot!$H$12:$H$119,Ingot!$G$12:$G$119,"")</f>
        <v>Wood</v>
      </c>
      <c r="B3597" t="s">
        <v>7185</v>
      </c>
      <c r="C3597" t="s">
        <v>10</v>
      </c>
      <c r="D3597" t="s">
        <v>7236</v>
      </c>
      <c r="E3597" t="s">
        <v>7237</v>
      </c>
      <c r="G3597" s="1">
        <v>11.81</v>
      </c>
    </row>
    <row r="3598" spans="1:7" ht="14.25" hidden="1" customHeight="1" x14ac:dyDescent="0.45">
      <c r="A3598" t="str">
        <f>_xlfn.XLOOKUP(B3598,Ingot!$H$12:$H$119,Ingot!$G$12:$G$119,"")</f>
        <v>Wood</v>
      </c>
      <c r="B3598" t="s">
        <v>7185</v>
      </c>
      <c r="C3598" t="s">
        <v>10</v>
      </c>
      <c r="D3598" t="s">
        <v>7238</v>
      </c>
      <c r="E3598" t="s">
        <v>7239</v>
      </c>
      <c r="G3598" s="1">
        <v>8.44</v>
      </c>
    </row>
    <row r="3599" spans="1:7" ht="14.25" hidden="1" customHeight="1" x14ac:dyDescent="0.45">
      <c r="A3599" t="str">
        <f>_xlfn.XLOOKUP(B3599,Ingot!$H$12:$H$119,Ingot!$G$12:$G$119,"")</f>
        <v>Wood</v>
      </c>
      <c r="B3599" t="s">
        <v>7185</v>
      </c>
      <c r="C3599" t="s">
        <v>10</v>
      </c>
      <c r="D3599" t="s">
        <v>7240</v>
      </c>
      <c r="E3599" t="s">
        <v>7241</v>
      </c>
      <c r="G3599" s="1">
        <v>10.42</v>
      </c>
    </row>
    <row r="3600" spans="1:7" ht="14.25" hidden="1" customHeight="1" x14ac:dyDescent="0.45">
      <c r="A3600" t="str">
        <f>_xlfn.XLOOKUP(B3600,Ingot!$H$12:$H$119,Ingot!$G$12:$G$119,"")</f>
        <v>Wood</v>
      </c>
      <c r="B3600" t="s">
        <v>7185</v>
      </c>
      <c r="C3600" t="s">
        <v>10</v>
      </c>
      <c r="D3600" t="s">
        <v>7242</v>
      </c>
      <c r="E3600" t="s">
        <v>7243</v>
      </c>
    </row>
    <row r="3601" spans="1:7" ht="14.25" hidden="1" customHeight="1" x14ac:dyDescent="0.45">
      <c r="A3601" t="str">
        <f>_xlfn.XLOOKUP(B3601,Ingot!$H$12:$H$119,Ingot!$G$12:$G$119,"")</f>
        <v>Wood</v>
      </c>
      <c r="B3601" t="s">
        <v>7185</v>
      </c>
      <c r="C3601" t="s">
        <v>10</v>
      </c>
      <c r="D3601" t="s">
        <v>7244</v>
      </c>
      <c r="E3601" t="s">
        <v>7245</v>
      </c>
      <c r="G3601" s="1">
        <v>7.96</v>
      </c>
    </row>
    <row r="3602" spans="1:7" ht="14.25" hidden="1" customHeight="1" x14ac:dyDescent="0.45">
      <c r="A3602" t="str">
        <f>_xlfn.XLOOKUP(B3602,Ingot!$H$12:$H$119,Ingot!$G$12:$G$119,"")</f>
        <v>Wood</v>
      </c>
      <c r="B3602" t="s">
        <v>7185</v>
      </c>
      <c r="C3602" t="s">
        <v>10</v>
      </c>
      <c r="D3602" t="s">
        <v>7246</v>
      </c>
      <c r="E3602" t="s">
        <v>7247</v>
      </c>
      <c r="G3602" s="1">
        <v>9.64</v>
      </c>
    </row>
    <row r="3603" spans="1:7" ht="14.25" hidden="1" customHeight="1" x14ac:dyDescent="0.45">
      <c r="A3603" t="str">
        <f>_xlfn.XLOOKUP(B3603,Ingot!$H$12:$H$119,Ingot!$G$12:$G$119,"")</f>
        <v>Wood</v>
      </c>
      <c r="B3603" t="s">
        <v>7185</v>
      </c>
      <c r="C3603" t="s">
        <v>10</v>
      </c>
      <c r="D3603" t="s">
        <v>7248</v>
      </c>
      <c r="E3603" t="s">
        <v>7249</v>
      </c>
      <c r="G3603" s="1">
        <v>7.94</v>
      </c>
    </row>
    <row r="3604" spans="1:7" ht="14.25" hidden="1" customHeight="1" x14ac:dyDescent="0.45">
      <c r="A3604" t="str">
        <f>_xlfn.XLOOKUP(B3604,Ingot!$H$12:$H$119,Ingot!$G$12:$G$119,"")</f>
        <v>Wood</v>
      </c>
      <c r="B3604" t="s">
        <v>7185</v>
      </c>
      <c r="C3604" t="s">
        <v>10</v>
      </c>
      <c r="D3604" t="s">
        <v>7250</v>
      </c>
      <c r="E3604" t="s">
        <v>7251</v>
      </c>
      <c r="G3604" s="1">
        <v>8.66</v>
      </c>
    </row>
    <row r="3605" spans="1:7" ht="14.25" hidden="1" customHeight="1" x14ac:dyDescent="0.45">
      <c r="A3605" t="str">
        <f>_xlfn.XLOOKUP(B3605,Ingot!$H$12:$H$119,Ingot!$G$12:$G$119,"")</f>
        <v>Wood</v>
      </c>
      <c r="B3605" t="s">
        <v>7185</v>
      </c>
      <c r="C3605" t="s">
        <v>10</v>
      </c>
      <c r="D3605" t="s">
        <v>7252</v>
      </c>
      <c r="E3605" t="s">
        <v>7253</v>
      </c>
    </row>
    <row r="3606" spans="1:7" ht="14.25" hidden="1" customHeight="1" x14ac:dyDescent="0.45">
      <c r="A3606" t="str">
        <f>_xlfn.XLOOKUP(B3606,Ingot!$H$12:$H$119,Ingot!$G$12:$G$119,"")</f>
        <v>Wood</v>
      </c>
      <c r="B3606" t="s">
        <v>7185</v>
      </c>
      <c r="C3606" t="s">
        <v>10</v>
      </c>
      <c r="D3606" t="s">
        <v>7254</v>
      </c>
      <c r="E3606" t="s">
        <v>7255</v>
      </c>
      <c r="G3606" s="1">
        <v>2.65</v>
      </c>
    </row>
    <row r="3607" spans="1:7" ht="14.25" hidden="1" customHeight="1" x14ac:dyDescent="0.45">
      <c r="A3607" t="str">
        <f>_xlfn.XLOOKUP(B3607,Ingot!$H$12:$H$119,Ingot!$G$12:$G$119,"")</f>
        <v>Wood</v>
      </c>
      <c r="B3607" t="s">
        <v>7185</v>
      </c>
      <c r="C3607" t="s">
        <v>10</v>
      </c>
      <c r="D3607" t="s">
        <v>7256</v>
      </c>
      <c r="E3607" t="s">
        <v>7257</v>
      </c>
    </row>
    <row r="3608" spans="1:7" ht="14.25" hidden="1" customHeight="1" x14ac:dyDescent="0.45">
      <c r="A3608" t="str">
        <f>_xlfn.XLOOKUP(B3608,Ingot!$H$12:$H$119,Ingot!$G$12:$G$119,"")</f>
        <v>Wood</v>
      </c>
      <c r="B3608" t="s">
        <v>7185</v>
      </c>
      <c r="C3608" t="s">
        <v>10</v>
      </c>
      <c r="D3608" t="s">
        <v>7258</v>
      </c>
      <c r="E3608" t="s">
        <v>7259</v>
      </c>
      <c r="G3608" s="1">
        <v>12.64</v>
      </c>
    </row>
    <row r="3609" spans="1:7" ht="14.25" hidden="1" customHeight="1" x14ac:dyDescent="0.45">
      <c r="A3609" t="str">
        <f>_xlfn.XLOOKUP(B3609,Ingot!$H$12:$H$119,Ingot!$G$12:$G$119,"")</f>
        <v>Wood</v>
      </c>
      <c r="B3609" t="s">
        <v>7185</v>
      </c>
      <c r="C3609" t="s">
        <v>10</v>
      </c>
      <c r="D3609" t="s">
        <v>7260</v>
      </c>
      <c r="E3609" t="s">
        <v>7261</v>
      </c>
      <c r="G3609" s="1">
        <v>22.67</v>
      </c>
    </row>
    <row r="3610" spans="1:7" ht="14.25" hidden="1" customHeight="1" x14ac:dyDescent="0.45">
      <c r="A3610" t="str">
        <f>_xlfn.XLOOKUP(B3610,Ingot!$H$12:$H$119,Ingot!$G$12:$G$119,"")</f>
        <v>Wood</v>
      </c>
      <c r="B3610" t="s">
        <v>7185</v>
      </c>
      <c r="C3610" t="s">
        <v>10</v>
      </c>
      <c r="D3610" t="s">
        <v>7262</v>
      </c>
      <c r="E3610" t="s">
        <v>7263</v>
      </c>
      <c r="G3610" s="1">
        <v>8.3800000000000008</v>
      </c>
    </row>
    <row r="3611" spans="1:7" ht="14.25" hidden="1" customHeight="1" x14ac:dyDescent="0.45">
      <c r="A3611" t="str">
        <f>_xlfn.XLOOKUP(B3611,Ingot!$H$12:$H$119,Ingot!$G$12:$G$119,"")</f>
        <v>Wood</v>
      </c>
      <c r="B3611" t="s">
        <v>7185</v>
      </c>
      <c r="C3611" t="s">
        <v>10</v>
      </c>
      <c r="D3611" t="s">
        <v>7264</v>
      </c>
      <c r="E3611" t="s">
        <v>7265</v>
      </c>
      <c r="G3611" s="1">
        <v>2.2000000000000002</v>
      </c>
    </row>
    <row r="3612" spans="1:7" ht="14.25" hidden="1" customHeight="1" x14ac:dyDescent="0.45">
      <c r="A3612" t="str">
        <f>_xlfn.XLOOKUP(B3612,Ingot!$H$12:$H$119,Ingot!$G$12:$G$119,"")</f>
        <v>Wood</v>
      </c>
      <c r="B3612" t="s">
        <v>7185</v>
      </c>
      <c r="C3612" t="s">
        <v>10</v>
      </c>
      <c r="D3612" t="s">
        <v>7266</v>
      </c>
      <c r="E3612" t="s">
        <v>7267</v>
      </c>
      <c r="G3612" s="1">
        <v>3.09</v>
      </c>
    </row>
    <row r="3613" spans="1:7" ht="14.25" hidden="1" customHeight="1" x14ac:dyDescent="0.45">
      <c r="A3613" t="str">
        <f>_xlfn.XLOOKUP(B3613,Ingot!$H$12:$H$119,Ingot!$G$12:$G$119,"")</f>
        <v>Wood</v>
      </c>
      <c r="B3613" t="s">
        <v>7185</v>
      </c>
      <c r="C3613" t="s">
        <v>10</v>
      </c>
      <c r="D3613" t="s">
        <v>7268</v>
      </c>
      <c r="E3613" t="s">
        <v>7269</v>
      </c>
      <c r="G3613" s="1">
        <v>2.2999999999999998</v>
      </c>
    </row>
    <row r="3614" spans="1:7" ht="14.25" hidden="1" customHeight="1" x14ac:dyDescent="0.45">
      <c r="A3614" t="str">
        <f>_xlfn.XLOOKUP(B3614,Ingot!$H$12:$H$119,Ingot!$G$12:$G$119,"")</f>
        <v>Wood</v>
      </c>
      <c r="B3614" t="s">
        <v>7185</v>
      </c>
      <c r="C3614" t="s">
        <v>10</v>
      </c>
      <c r="D3614" t="s">
        <v>7270</v>
      </c>
      <c r="E3614" t="s">
        <v>7271</v>
      </c>
      <c r="G3614" s="1">
        <v>4.88</v>
      </c>
    </row>
    <row r="3615" spans="1:7" ht="14.25" hidden="1" customHeight="1" x14ac:dyDescent="0.45">
      <c r="A3615" t="str">
        <f>_xlfn.XLOOKUP(B3615,Ingot!$H$12:$H$119,Ingot!$G$12:$G$119,"")</f>
        <v>Wood</v>
      </c>
      <c r="B3615" t="s">
        <v>7185</v>
      </c>
      <c r="C3615" t="s">
        <v>10</v>
      </c>
      <c r="D3615" t="s">
        <v>7272</v>
      </c>
      <c r="E3615" t="s">
        <v>7273</v>
      </c>
      <c r="G3615" s="1">
        <v>8.43</v>
      </c>
    </row>
    <row r="3616" spans="1:7" ht="14.25" hidden="1" customHeight="1" x14ac:dyDescent="0.45">
      <c r="A3616" t="str">
        <f>_xlfn.XLOOKUP(B3616,Ingot!$H$12:$H$119,Ingot!$G$12:$G$119,"")</f>
        <v>Wood</v>
      </c>
      <c r="B3616" t="s">
        <v>7185</v>
      </c>
      <c r="C3616" t="s">
        <v>10</v>
      </c>
      <c r="D3616" t="s">
        <v>7274</v>
      </c>
      <c r="E3616" t="s">
        <v>7275</v>
      </c>
      <c r="G3616" s="1">
        <v>13.07</v>
      </c>
    </row>
    <row r="3617" spans="1:7" ht="14.25" hidden="1" customHeight="1" x14ac:dyDescent="0.45">
      <c r="A3617" t="str">
        <f>_xlfn.XLOOKUP(B3617,Ingot!$H$12:$H$119,Ingot!$G$12:$G$119,"")</f>
        <v>Wood</v>
      </c>
      <c r="B3617" t="s">
        <v>7185</v>
      </c>
      <c r="C3617" t="s">
        <v>10</v>
      </c>
      <c r="D3617" t="s">
        <v>7276</v>
      </c>
      <c r="E3617" t="s">
        <v>7277</v>
      </c>
    </row>
    <row r="3618" spans="1:7" ht="14.25" hidden="1" customHeight="1" x14ac:dyDescent="0.45">
      <c r="A3618" t="str">
        <f>_xlfn.XLOOKUP(B3618,Ingot!$H$12:$H$119,Ingot!$G$12:$G$119,"")</f>
        <v>Wood</v>
      </c>
      <c r="B3618" t="s">
        <v>7185</v>
      </c>
      <c r="C3618" t="s">
        <v>10</v>
      </c>
      <c r="D3618" t="s">
        <v>7278</v>
      </c>
      <c r="E3618" t="s">
        <v>7279</v>
      </c>
    </row>
    <row r="3619" spans="1:7" ht="14.25" hidden="1" customHeight="1" x14ac:dyDescent="0.45">
      <c r="A3619" t="str">
        <f>_xlfn.XLOOKUP(B3619,Ingot!$H$12:$H$119,Ingot!$G$12:$G$119,"")</f>
        <v>Wood</v>
      </c>
      <c r="B3619" t="s">
        <v>7185</v>
      </c>
      <c r="C3619" t="s">
        <v>10</v>
      </c>
      <c r="D3619" t="s">
        <v>7280</v>
      </c>
      <c r="E3619" t="s">
        <v>7281</v>
      </c>
      <c r="G3619" s="1">
        <v>6.8</v>
      </c>
    </row>
    <row r="3620" spans="1:7" ht="14.25" hidden="1" customHeight="1" x14ac:dyDescent="0.45">
      <c r="A3620" t="str">
        <f>_xlfn.XLOOKUP(B3620,Ingot!$H$12:$H$119,Ingot!$G$12:$G$119,"")</f>
        <v>Wood</v>
      </c>
      <c r="B3620" t="s">
        <v>7185</v>
      </c>
      <c r="C3620" t="s">
        <v>10</v>
      </c>
      <c r="D3620" t="s">
        <v>7282</v>
      </c>
      <c r="E3620" t="s">
        <v>7283</v>
      </c>
      <c r="G3620" s="1">
        <v>6.88</v>
      </c>
    </row>
    <row r="3621" spans="1:7" ht="14.25" hidden="1" customHeight="1" x14ac:dyDescent="0.45">
      <c r="A3621" t="str">
        <f>_xlfn.XLOOKUP(B3621,Ingot!$H$12:$H$119,Ingot!$G$12:$G$119,"")</f>
        <v>Wood</v>
      </c>
      <c r="B3621" t="s">
        <v>7185</v>
      </c>
      <c r="C3621" t="s">
        <v>10</v>
      </c>
      <c r="D3621" t="s">
        <v>7284</v>
      </c>
      <c r="E3621" t="s">
        <v>7285</v>
      </c>
      <c r="G3621" s="1">
        <v>5.5</v>
      </c>
    </row>
    <row r="3622" spans="1:7" ht="14.25" hidden="1" customHeight="1" x14ac:dyDescent="0.45">
      <c r="A3622" t="str">
        <f>_xlfn.XLOOKUP(B3622,Ingot!$H$12:$H$119,Ingot!$G$12:$G$119,"")</f>
        <v>Wood</v>
      </c>
      <c r="B3622" t="s">
        <v>7185</v>
      </c>
      <c r="C3622" t="s">
        <v>10</v>
      </c>
      <c r="D3622" t="s">
        <v>7286</v>
      </c>
      <c r="E3622" t="s">
        <v>7287</v>
      </c>
      <c r="G3622" s="1">
        <v>2.4300000000000002</v>
      </c>
    </row>
    <row r="3623" spans="1:7" ht="14.25" hidden="1" customHeight="1" x14ac:dyDescent="0.45">
      <c r="A3623" t="str">
        <f>_xlfn.XLOOKUP(B3623,Ingot!$H$12:$H$119,Ingot!$G$12:$G$119,"")</f>
        <v>Wood</v>
      </c>
      <c r="B3623" t="s">
        <v>7185</v>
      </c>
      <c r="C3623" t="s">
        <v>10</v>
      </c>
      <c r="D3623" t="s">
        <v>7288</v>
      </c>
      <c r="E3623" t="s">
        <v>7289</v>
      </c>
      <c r="G3623" s="1">
        <v>6.96</v>
      </c>
    </row>
    <row r="3624" spans="1:7" ht="14.25" hidden="1" customHeight="1" x14ac:dyDescent="0.45">
      <c r="A3624" t="str">
        <f>_xlfn.XLOOKUP(B3624,Ingot!$H$12:$H$119,Ingot!$G$12:$G$119,"")</f>
        <v>Wood</v>
      </c>
      <c r="B3624" t="s">
        <v>7185</v>
      </c>
      <c r="C3624" t="s">
        <v>10</v>
      </c>
      <c r="D3624" t="s">
        <v>7290</v>
      </c>
      <c r="E3624" t="s">
        <v>7291</v>
      </c>
      <c r="G3624" s="1">
        <v>6.32</v>
      </c>
    </row>
    <row r="3625" spans="1:7" ht="14.25" hidden="1" customHeight="1" x14ac:dyDescent="0.45">
      <c r="A3625" t="str">
        <f>_xlfn.XLOOKUP(B3625,Ingot!$H$12:$H$119,Ingot!$G$12:$G$119,"")</f>
        <v>Wood</v>
      </c>
      <c r="B3625" t="s">
        <v>7185</v>
      </c>
      <c r="C3625" t="s">
        <v>10</v>
      </c>
      <c r="D3625" t="s">
        <v>7292</v>
      </c>
      <c r="E3625" t="s">
        <v>7293</v>
      </c>
      <c r="G3625" s="1">
        <v>6.88</v>
      </c>
    </row>
    <row r="3626" spans="1:7" ht="14.25" hidden="1" customHeight="1" x14ac:dyDescent="0.45">
      <c r="A3626" t="str">
        <f>_xlfn.XLOOKUP(B3626,Ingot!$H$12:$H$119,Ingot!$G$12:$G$119,"")</f>
        <v>Wood</v>
      </c>
      <c r="B3626" t="s">
        <v>7185</v>
      </c>
      <c r="C3626" t="s">
        <v>10</v>
      </c>
      <c r="D3626" t="s">
        <v>7294</v>
      </c>
      <c r="E3626" t="s">
        <v>7295</v>
      </c>
      <c r="G3626" s="1">
        <v>2.44</v>
      </c>
    </row>
    <row r="3627" spans="1:7" ht="14.25" hidden="1" customHeight="1" x14ac:dyDescent="0.45">
      <c r="A3627" t="str">
        <f>_xlfn.XLOOKUP(B3627,Ingot!$H$12:$H$119,Ingot!$G$12:$G$119,"")</f>
        <v>Wood</v>
      </c>
      <c r="B3627" t="s">
        <v>7185</v>
      </c>
      <c r="C3627" t="s">
        <v>10</v>
      </c>
      <c r="D3627" t="s">
        <v>7296</v>
      </c>
      <c r="E3627" t="s">
        <v>7297</v>
      </c>
    </row>
    <row r="3628" spans="1:7" ht="14.25" hidden="1" customHeight="1" x14ac:dyDescent="0.45">
      <c r="A3628" t="str">
        <f>_xlfn.XLOOKUP(B3628,Ingot!$H$12:$H$119,Ingot!$G$12:$G$119,"")</f>
        <v>Wood</v>
      </c>
      <c r="B3628" t="s">
        <v>7185</v>
      </c>
      <c r="C3628" t="s">
        <v>10</v>
      </c>
      <c r="D3628" t="s">
        <v>7298</v>
      </c>
      <c r="E3628" t="s">
        <v>7299</v>
      </c>
    </row>
    <row r="3629" spans="1:7" ht="14.25" hidden="1" customHeight="1" x14ac:dyDescent="0.45">
      <c r="A3629" t="str">
        <f>_xlfn.XLOOKUP(B3629,Ingot!$H$12:$H$119,Ingot!$G$12:$G$119,"")</f>
        <v>Wood</v>
      </c>
      <c r="B3629" t="s">
        <v>7185</v>
      </c>
      <c r="C3629" t="s">
        <v>10</v>
      </c>
      <c r="D3629" t="s">
        <v>7300</v>
      </c>
      <c r="E3629" t="s">
        <v>7301</v>
      </c>
      <c r="G3629" s="1">
        <v>3.11</v>
      </c>
    </row>
    <row r="3630" spans="1:7" ht="14.25" hidden="1" customHeight="1" x14ac:dyDescent="0.45">
      <c r="A3630" t="str">
        <f>_xlfn.XLOOKUP(B3630,Ingot!$H$12:$H$119,Ingot!$G$12:$G$119,"")</f>
        <v>Wood</v>
      </c>
      <c r="B3630" t="s">
        <v>7185</v>
      </c>
      <c r="C3630" t="s">
        <v>10</v>
      </c>
      <c r="D3630" t="s">
        <v>7302</v>
      </c>
      <c r="E3630" t="s">
        <v>7303</v>
      </c>
      <c r="G3630" s="1">
        <v>2.44</v>
      </c>
    </row>
    <row r="3631" spans="1:7" ht="14.25" hidden="1" customHeight="1" x14ac:dyDescent="0.45">
      <c r="A3631" t="str">
        <f>_xlfn.XLOOKUP(B3631,Ingot!$H$12:$H$119,Ingot!$G$12:$G$119,"")</f>
        <v>Wood</v>
      </c>
      <c r="B3631" t="s">
        <v>7185</v>
      </c>
      <c r="C3631" t="s">
        <v>10</v>
      </c>
      <c r="D3631" t="s">
        <v>7304</v>
      </c>
      <c r="E3631" t="s">
        <v>7305</v>
      </c>
      <c r="G3631" s="1">
        <v>8.61</v>
      </c>
    </row>
    <row r="3632" spans="1:7" ht="14.25" hidden="1" customHeight="1" x14ac:dyDescent="0.45">
      <c r="A3632" t="str">
        <f>_xlfn.XLOOKUP(B3632,Ingot!$H$12:$H$119,Ingot!$G$12:$G$119,"")</f>
        <v>Wood</v>
      </c>
      <c r="B3632" t="s">
        <v>7185</v>
      </c>
      <c r="C3632" t="s">
        <v>10</v>
      </c>
      <c r="D3632" t="s">
        <v>7306</v>
      </c>
      <c r="E3632" t="s">
        <v>7307</v>
      </c>
    </row>
    <row r="3633" spans="1:7" ht="14.25" hidden="1" customHeight="1" x14ac:dyDescent="0.45">
      <c r="A3633" t="str">
        <f>_xlfn.XLOOKUP(B3633,Ingot!$H$12:$H$119,Ingot!$G$12:$G$119,"")</f>
        <v>Wood</v>
      </c>
      <c r="B3633" t="s">
        <v>7185</v>
      </c>
      <c r="C3633" t="s">
        <v>10</v>
      </c>
      <c r="D3633" t="s">
        <v>7308</v>
      </c>
      <c r="E3633" t="s">
        <v>7309</v>
      </c>
      <c r="G3633" s="1">
        <v>3.21</v>
      </c>
    </row>
    <row r="3634" spans="1:7" ht="14.25" hidden="1" customHeight="1" x14ac:dyDescent="0.45">
      <c r="A3634" t="str">
        <f>_xlfn.XLOOKUP(B3634,Ingot!$H$12:$H$119,Ingot!$G$12:$G$119,"")</f>
        <v>Wood</v>
      </c>
      <c r="B3634" t="s">
        <v>7185</v>
      </c>
      <c r="C3634" t="s">
        <v>10</v>
      </c>
      <c r="D3634" t="s">
        <v>7310</v>
      </c>
      <c r="E3634" t="s">
        <v>7311</v>
      </c>
      <c r="G3634" s="1">
        <v>2.77</v>
      </c>
    </row>
    <row r="3635" spans="1:7" ht="14.25" hidden="1" customHeight="1" x14ac:dyDescent="0.45">
      <c r="A3635" t="str">
        <f>_xlfn.XLOOKUP(B3635,Ingot!$H$12:$H$119,Ingot!$G$12:$G$119,"")</f>
        <v>Wood</v>
      </c>
      <c r="B3635" t="s">
        <v>7185</v>
      </c>
      <c r="C3635" t="s">
        <v>10</v>
      </c>
      <c r="D3635" t="s">
        <v>7312</v>
      </c>
      <c r="E3635" t="s">
        <v>7313</v>
      </c>
      <c r="G3635" s="1">
        <v>4.8899999999999997</v>
      </c>
    </row>
    <row r="3636" spans="1:7" ht="14.25" hidden="1" customHeight="1" x14ac:dyDescent="0.45">
      <c r="A3636" t="str">
        <f>_xlfn.XLOOKUP(B3636,Ingot!$H$12:$H$119,Ingot!$G$12:$G$119,"")</f>
        <v>Wood</v>
      </c>
      <c r="B3636" t="s">
        <v>7185</v>
      </c>
      <c r="C3636" t="s">
        <v>10</v>
      </c>
      <c r="D3636" t="s">
        <v>7314</v>
      </c>
      <c r="E3636" t="s">
        <v>7315</v>
      </c>
      <c r="G3636" s="1">
        <v>1.76</v>
      </c>
    </row>
    <row r="3637" spans="1:7" ht="14.25" hidden="1" customHeight="1" x14ac:dyDescent="0.45">
      <c r="A3637" t="str">
        <f>_xlfn.XLOOKUP(B3637,Ingot!$H$12:$H$119,Ingot!$G$12:$G$119,"")</f>
        <v>Wood</v>
      </c>
      <c r="B3637" t="s">
        <v>7185</v>
      </c>
      <c r="C3637" t="s">
        <v>10</v>
      </c>
      <c r="D3637" t="s">
        <v>7316</v>
      </c>
      <c r="E3637" t="s">
        <v>7317</v>
      </c>
    </row>
    <row r="3638" spans="1:7" ht="14.25" hidden="1" customHeight="1" x14ac:dyDescent="0.45">
      <c r="A3638" t="str">
        <f>_xlfn.XLOOKUP(B3638,Ingot!$H$12:$H$119,Ingot!$G$12:$G$119,"")</f>
        <v>Wood</v>
      </c>
      <c r="B3638" t="s">
        <v>7185</v>
      </c>
      <c r="C3638" t="s">
        <v>10</v>
      </c>
      <c r="D3638" t="s">
        <v>7318</v>
      </c>
      <c r="E3638" t="s">
        <v>7319</v>
      </c>
      <c r="G3638" s="1">
        <v>8.57</v>
      </c>
    </row>
    <row r="3639" spans="1:7" ht="14.25" hidden="1" customHeight="1" x14ac:dyDescent="0.45">
      <c r="A3639" t="str">
        <f>_xlfn.XLOOKUP(B3639,Ingot!$H$12:$H$119,Ingot!$G$12:$G$119,"")</f>
        <v>Wood</v>
      </c>
      <c r="B3639" t="s">
        <v>7185</v>
      </c>
      <c r="C3639" t="s">
        <v>10</v>
      </c>
      <c r="D3639" t="s">
        <v>7320</v>
      </c>
      <c r="E3639" t="s">
        <v>7321</v>
      </c>
    </row>
    <row r="3640" spans="1:7" ht="14.25" hidden="1" customHeight="1" x14ac:dyDescent="0.45">
      <c r="A3640" t="str">
        <f>_xlfn.XLOOKUP(B3640,Ingot!$H$12:$H$119,Ingot!$G$12:$G$119,"")</f>
        <v>Wood</v>
      </c>
      <c r="B3640" t="s">
        <v>7185</v>
      </c>
      <c r="C3640" t="s">
        <v>10</v>
      </c>
      <c r="D3640" t="s">
        <v>7322</v>
      </c>
      <c r="E3640" t="s">
        <v>7323</v>
      </c>
      <c r="G3640" s="1">
        <v>3.56</v>
      </c>
    </row>
    <row r="3641" spans="1:7" ht="14.25" hidden="1" customHeight="1" x14ac:dyDescent="0.45">
      <c r="A3641" t="str">
        <f>_xlfn.XLOOKUP(B3641,Ingot!$H$12:$H$119,Ingot!$G$12:$G$119,"")</f>
        <v>Wood</v>
      </c>
      <c r="B3641" t="s">
        <v>7185</v>
      </c>
      <c r="C3641" t="s">
        <v>10</v>
      </c>
      <c r="D3641" t="s">
        <v>7324</v>
      </c>
      <c r="E3641" t="s">
        <v>7325</v>
      </c>
      <c r="G3641" s="1">
        <v>8.91</v>
      </c>
    </row>
    <row r="3642" spans="1:7" ht="14.25" hidden="1" customHeight="1" x14ac:dyDescent="0.45">
      <c r="A3642" t="str">
        <f>_xlfn.XLOOKUP(B3642,Ingot!$H$12:$H$119,Ingot!$G$12:$G$119,"")</f>
        <v>Wood</v>
      </c>
      <c r="B3642" t="s">
        <v>7185</v>
      </c>
      <c r="C3642" t="s">
        <v>10</v>
      </c>
      <c r="D3642" t="s">
        <v>7326</v>
      </c>
      <c r="E3642" t="s">
        <v>7327</v>
      </c>
      <c r="G3642" s="1">
        <v>11.02</v>
      </c>
    </row>
    <row r="3643" spans="1:7" ht="14.25" hidden="1" customHeight="1" x14ac:dyDescent="0.45">
      <c r="A3643" t="str">
        <f>_xlfn.XLOOKUP(B3643,Ingot!$H$12:$H$119,Ingot!$G$12:$G$119,"")</f>
        <v>Wood</v>
      </c>
      <c r="B3643" t="s">
        <v>7185</v>
      </c>
      <c r="C3643" t="s">
        <v>10</v>
      </c>
      <c r="D3643" t="s">
        <v>7328</v>
      </c>
      <c r="E3643" t="s">
        <v>7329</v>
      </c>
      <c r="G3643" s="1">
        <v>5.12</v>
      </c>
    </row>
    <row r="3644" spans="1:7" ht="14.25" hidden="1" customHeight="1" x14ac:dyDescent="0.45">
      <c r="A3644" t="str">
        <f>_xlfn.XLOOKUP(B3644,Ingot!$H$12:$H$119,Ingot!$G$12:$G$119,"")</f>
        <v>Wood</v>
      </c>
      <c r="B3644" t="s">
        <v>7185</v>
      </c>
      <c r="C3644" t="s">
        <v>10</v>
      </c>
      <c r="D3644" t="s">
        <v>7330</v>
      </c>
      <c r="E3644" t="s">
        <v>7331</v>
      </c>
      <c r="G3644" s="1">
        <v>4.41</v>
      </c>
    </row>
    <row r="3645" spans="1:7" ht="14.25" hidden="1" customHeight="1" x14ac:dyDescent="0.45">
      <c r="A3645" t="str">
        <f>_xlfn.XLOOKUP(B3645,Ingot!$H$12:$H$119,Ingot!$G$12:$G$119,"")</f>
        <v>Wood</v>
      </c>
      <c r="B3645" t="s">
        <v>7185</v>
      </c>
      <c r="C3645" t="s">
        <v>157</v>
      </c>
      <c r="D3645" t="s">
        <v>7332</v>
      </c>
      <c r="E3645" t="s">
        <v>7333</v>
      </c>
      <c r="G3645" s="1">
        <v>25.05</v>
      </c>
    </row>
    <row r="3646" spans="1:7" ht="14.25" hidden="1" customHeight="1" x14ac:dyDescent="0.45">
      <c r="A3646" t="str">
        <f>_xlfn.XLOOKUP(B3646,Ingot!$H$12:$H$119,Ingot!$G$12:$G$119,"")</f>
        <v>Wood</v>
      </c>
      <c r="B3646" t="s">
        <v>7185</v>
      </c>
      <c r="C3646" t="s">
        <v>157</v>
      </c>
      <c r="D3646" t="s">
        <v>7334</v>
      </c>
      <c r="E3646" t="s">
        <v>7335</v>
      </c>
      <c r="G3646" s="1">
        <v>5.01</v>
      </c>
    </row>
    <row r="3647" spans="1:7" ht="14.25" hidden="1" customHeight="1" x14ac:dyDescent="0.45">
      <c r="A3647" t="str">
        <f>_xlfn.XLOOKUP(B3647,Ingot!$H$12:$H$119,Ingot!$G$12:$G$119,"")</f>
        <v>Wood</v>
      </c>
      <c r="B3647" t="s">
        <v>7185</v>
      </c>
      <c r="C3647" t="s">
        <v>157</v>
      </c>
      <c r="D3647" t="s">
        <v>7336</v>
      </c>
      <c r="E3647" t="s">
        <v>7337</v>
      </c>
      <c r="G3647" s="1">
        <v>5.01</v>
      </c>
    </row>
    <row r="3648" spans="1:7" ht="14.25" hidden="1" customHeight="1" x14ac:dyDescent="0.45">
      <c r="A3648" t="str">
        <f>_xlfn.XLOOKUP(B3648,Ingot!$H$12:$H$119,Ingot!$G$12:$G$119,"")</f>
        <v>Wood</v>
      </c>
      <c r="B3648" t="s">
        <v>7185</v>
      </c>
      <c r="C3648" t="s">
        <v>157</v>
      </c>
      <c r="D3648" t="s">
        <v>7338</v>
      </c>
      <c r="E3648" t="s">
        <v>7339</v>
      </c>
      <c r="G3648" s="1">
        <v>5</v>
      </c>
    </row>
    <row r="3649" spans="1:7" ht="14.25" hidden="1" customHeight="1" x14ac:dyDescent="0.45">
      <c r="A3649" t="str">
        <f>_xlfn.XLOOKUP(B3649,Ingot!$H$12:$H$119,Ingot!$G$12:$G$119,"")</f>
        <v>Wood</v>
      </c>
      <c r="B3649" t="s">
        <v>7185</v>
      </c>
      <c r="C3649" t="s">
        <v>157</v>
      </c>
      <c r="D3649" t="s">
        <v>7340</v>
      </c>
      <c r="E3649" t="s">
        <v>7341</v>
      </c>
      <c r="G3649" s="1">
        <v>10</v>
      </c>
    </row>
    <row r="3650" spans="1:7" ht="14.25" hidden="1" customHeight="1" x14ac:dyDescent="0.45">
      <c r="A3650" t="str">
        <f>_xlfn.XLOOKUP(B3650,Ingot!$H$12:$H$119,Ingot!$G$12:$G$119,"")</f>
        <v>Wood</v>
      </c>
      <c r="B3650" t="s">
        <v>7185</v>
      </c>
      <c r="C3650" t="s">
        <v>157</v>
      </c>
      <c r="D3650" t="s">
        <v>7342</v>
      </c>
      <c r="E3650" t="s">
        <v>7343</v>
      </c>
      <c r="G3650" s="1">
        <v>21.85</v>
      </c>
    </row>
    <row r="3651" spans="1:7" ht="14.25" hidden="1" customHeight="1" x14ac:dyDescent="0.45">
      <c r="A3651" t="str">
        <f>_xlfn.XLOOKUP(B3651,Ingot!$H$12:$H$119,Ingot!$G$12:$G$119,"")</f>
        <v>Wood</v>
      </c>
      <c r="B3651" t="s">
        <v>7185</v>
      </c>
      <c r="C3651" t="s">
        <v>157</v>
      </c>
      <c r="D3651" t="s">
        <v>7344</v>
      </c>
      <c r="E3651" t="s">
        <v>7345</v>
      </c>
      <c r="G3651" s="1">
        <v>5</v>
      </c>
    </row>
    <row r="3652" spans="1:7" ht="14.25" hidden="1" customHeight="1" x14ac:dyDescent="0.45">
      <c r="A3652" t="str">
        <f>_xlfn.XLOOKUP(B3652,Ingot!$H$12:$H$119,Ingot!$G$12:$G$119,"")</f>
        <v>Wood</v>
      </c>
      <c r="B3652" t="s">
        <v>7185</v>
      </c>
      <c r="C3652" t="s">
        <v>157</v>
      </c>
      <c r="D3652" t="s">
        <v>7346</v>
      </c>
      <c r="E3652" t="s">
        <v>7347</v>
      </c>
      <c r="G3652" s="1">
        <v>5</v>
      </c>
    </row>
    <row r="3653" spans="1:7" ht="14.25" hidden="1" customHeight="1" x14ac:dyDescent="0.45">
      <c r="A3653" t="str">
        <f>_xlfn.XLOOKUP(B3653,Ingot!$H$12:$H$119,Ingot!$G$12:$G$119,"")</f>
        <v>Wood</v>
      </c>
      <c r="B3653" t="s">
        <v>7185</v>
      </c>
      <c r="C3653" t="s">
        <v>157</v>
      </c>
      <c r="D3653" t="s">
        <v>7348</v>
      </c>
      <c r="E3653" t="s">
        <v>7349</v>
      </c>
      <c r="G3653" s="1">
        <v>5</v>
      </c>
    </row>
    <row r="3654" spans="1:7" ht="14.25" hidden="1" customHeight="1" x14ac:dyDescent="0.45">
      <c r="A3654" t="str">
        <f>_xlfn.XLOOKUP(B3654,Ingot!$H$12:$H$119,Ingot!$G$12:$G$119,"")</f>
        <v>Wood</v>
      </c>
      <c r="B3654" t="s">
        <v>7185</v>
      </c>
      <c r="C3654" t="s">
        <v>157</v>
      </c>
      <c r="D3654" t="s">
        <v>7350</v>
      </c>
      <c r="E3654" t="s">
        <v>7351</v>
      </c>
      <c r="G3654" s="1">
        <v>10</v>
      </c>
    </row>
    <row r="3655" spans="1:7" ht="14.25" hidden="1" customHeight="1" x14ac:dyDescent="0.45">
      <c r="A3655" t="str">
        <f>_xlfn.XLOOKUP(B3655,Ingot!$H$12:$H$119,Ingot!$G$12:$G$119,"")</f>
        <v>Wood</v>
      </c>
      <c r="B3655" t="s">
        <v>7185</v>
      </c>
      <c r="C3655" t="s">
        <v>157</v>
      </c>
      <c r="D3655" t="s">
        <v>7352</v>
      </c>
      <c r="E3655" t="s">
        <v>7353</v>
      </c>
      <c r="F3655" t="s">
        <v>180</v>
      </c>
      <c r="G3655" s="1">
        <v>21.05</v>
      </c>
    </row>
    <row r="3656" spans="1:7" ht="14.25" hidden="1" customHeight="1" x14ac:dyDescent="0.45">
      <c r="A3656" t="str">
        <f>_xlfn.XLOOKUP(B3656,Ingot!$H$12:$H$119,Ingot!$G$12:$G$119,"")</f>
        <v>Wood</v>
      </c>
      <c r="B3656" t="s">
        <v>7185</v>
      </c>
      <c r="C3656" t="s">
        <v>157</v>
      </c>
      <c r="D3656" t="s">
        <v>7354</v>
      </c>
      <c r="E3656" t="s">
        <v>7355</v>
      </c>
      <c r="F3656" t="s">
        <v>180</v>
      </c>
      <c r="G3656" s="1">
        <v>5</v>
      </c>
    </row>
    <row r="3657" spans="1:7" ht="14.25" hidden="1" customHeight="1" x14ac:dyDescent="0.45">
      <c r="A3657" t="str">
        <f>_xlfn.XLOOKUP(B3657,Ingot!$H$12:$H$119,Ingot!$G$12:$G$119,"")</f>
        <v>Wood</v>
      </c>
      <c r="B3657" t="s">
        <v>7185</v>
      </c>
      <c r="C3657" t="s">
        <v>157</v>
      </c>
      <c r="D3657" t="s">
        <v>7356</v>
      </c>
      <c r="E3657" t="s">
        <v>7357</v>
      </c>
      <c r="F3657" t="s">
        <v>180</v>
      </c>
      <c r="G3657" s="1">
        <v>5</v>
      </c>
    </row>
    <row r="3658" spans="1:7" ht="14.25" hidden="1" customHeight="1" x14ac:dyDescent="0.45">
      <c r="A3658" t="str">
        <f>_xlfn.XLOOKUP(B3658,Ingot!$H$12:$H$119,Ingot!$G$12:$G$119,"")</f>
        <v>Wood</v>
      </c>
      <c r="B3658" t="s">
        <v>7185</v>
      </c>
      <c r="C3658" t="s">
        <v>157</v>
      </c>
      <c r="D3658" t="s">
        <v>7358</v>
      </c>
      <c r="E3658" t="s">
        <v>7359</v>
      </c>
      <c r="F3658" t="s">
        <v>180</v>
      </c>
      <c r="G3658" s="1">
        <v>5</v>
      </c>
    </row>
    <row r="3659" spans="1:7" ht="14.25" hidden="1" customHeight="1" x14ac:dyDescent="0.45">
      <c r="A3659" t="str">
        <f>_xlfn.XLOOKUP(B3659,Ingot!$H$12:$H$119,Ingot!$G$12:$G$119,"")</f>
        <v>Wood</v>
      </c>
      <c r="B3659" t="s">
        <v>7185</v>
      </c>
      <c r="C3659" t="s">
        <v>157</v>
      </c>
      <c r="D3659" t="s">
        <v>7360</v>
      </c>
      <c r="E3659" t="s">
        <v>7361</v>
      </c>
      <c r="F3659" t="s">
        <v>180</v>
      </c>
      <c r="G3659" s="1">
        <v>10</v>
      </c>
    </row>
    <row r="3660" spans="1:7" ht="14.25" hidden="1" customHeight="1" x14ac:dyDescent="0.45">
      <c r="A3660" t="str">
        <f>_xlfn.XLOOKUP(B3660,Ingot!$H$12:$H$119,Ingot!$G$12:$G$119,"")</f>
        <v>Wood</v>
      </c>
      <c r="B3660" t="s">
        <v>7185</v>
      </c>
      <c r="C3660" t="s">
        <v>157</v>
      </c>
      <c r="D3660" t="s">
        <v>7362</v>
      </c>
      <c r="E3660" t="s">
        <v>7363</v>
      </c>
      <c r="G3660" s="1">
        <v>23.05</v>
      </c>
    </row>
    <row r="3661" spans="1:7" ht="14.25" hidden="1" customHeight="1" x14ac:dyDescent="0.45">
      <c r="A3661" t="str">
        <f>_xlfn.XLOOKUP(B3661,Ingot!$H$12:$H$119,Ingot!$G$12:$G$119,"")</f>
        <v>Wood</v>
      </c>
      <c r="B3661" t="s">
        <v>7185</v>
      </c>
      <c r="C3661" t="s">
        <v>157</v>
      </c>
      <c r="D3661" t="s">
        <v>7364</v>
      </c>
      <c r="E3661" t="s">
        <v>7365</v>
      </c>
      <c r="G3661" s="1">
        <v>5</v>
      </c>
    </row>
    <row r="3662" spans="1:7" ht="14.25" hidden="1" customHeight="1" x14ac:dyDescent="0.45">
      <c r="A3662" t="str">
        <f>_xlfn.XLOOKUP(B3662,Ingot!$H$12:$H$119,Ingot!$G$12:$G$119,"")</f>
        <v>Wood</v>
      </c>
      <c r="B3662" t="s">
        <v>7185</v>
      </c>
      <c r="C3662" t="s">
        <v>157</v>
      </c>
      <c r="D3662" t="s">
        <v>7366</v>
      </c>
      <c r="E3662" t="s">
        <v>7367</v>
      </c>
      <c r="G3662" s="1">
        <v>5</v>
      </c>
    </row>
    <row r="3663" spans="1:7" ht="14.25" hidden="1" customHeight="1" x14ac:dyDescent="0.45">
      <c r="A3663" t="str">
        <f>_xlfn.XLOOKUP(B3663,Ingot!$H$12:$H$119,Ingot!$G$12:$G$119,"")</f>
        <v>Wood</v>
      </c>
      <c r="B3663" t="s">
        <v>7185</v>
      </c>
      <c r="C3663" t="s">
        <v>157</v>
      </c>
      <c r="D3663" t="s">
        <v>7368</v>
      </c>
      <c r="E3663" t="s">
        <v>7369</v>
      </c>
      <c r="G3663" s="1">
        <v>5</v>
      </c>
    </row>
    <row r="3664" spans="1:7" ht="14.25" hidden="1" customHeight="1" x14ac:dyDescent="0.45">
      <c r="A3664" t="str">
        <f>_xlfn.XLOOKUP(B3664,Ingot!$H$12:$H$119,Ingot!$G$12:$G$119,"")</f>
        <v>Wood</v>
      </c>
      <c r="B3664" t="s">
        <v>7185</v>
      </c>
      <c r="C3664" t="s">
        <v>157</v>
      </c>
      <c r="D3664" t="s">
        <v>7370</v>
      </c>
      <c r="E3664" t="s">
        <v>7371</v>
      </c>
      <c r="G3664" s="1">
        <v>10</v>
      </c>
    </row>
    <row r="3665" spans="1:7" ht="14.25" hidden="1" customHeight="1" x14ac:dyDescent="0.45">
      <c r="A3665" t="str">
        <f>_xlfn.XLOOKUP(B3665,Ingot!$H$12:$H$119,Ingot!$G$12:$G$119,"")</f>
        <v>Wood</v>
      </c>
      <c r="B3665" t="s">
        <v>7185</v>
      </c>
      <c r="C3665" t="s">
        <v>157</v>
      </c>
      <c r="D3665" t="s">
        <v>7372</v>
      </c>
      <c r="E3665" t="s">
        <v>7373</v>
      </c>
      <c r="G3665" s="1">
        <v>24.05</v>
      </c>
    </row>
    <row r="3666" spans="1:7" ht="14.25" hidden="1" customHeight="1" x14ac:dyDescent="0.45">
      <c r="A3666" t="str">
        <f>_xlfn.XLOOKUP(B3666,Ingot!$H$12:$H$119,Ingot!$G$12:$G$119,"")</f>
        <v>Wood</v>
      </c>
      <c r="B3666" t="s">
        <v>7185</v>
      </c>
      <c r="C3666" t="s">
        <v>157</v>
      </c>
      <c r="D3666" t="s">
        <v>7374</v>
      </c>
      <c r="E3666" t="s">
        <v>7375</v>
      </c>
      <c r="F3666" t="s">
        <v>180</v>
      </c>
      <c r="G3666" s="1">
        <v>5</v>
      </c>
    </row>
    <row r="3667" spans="1:7" ht="14.25" hidden="1" customHeight="1" x14ac:dyDescent="0.45">
      <c r="A3667" t="str">
        <f>_xlfn.XLOOKUP(B3667,Ingot!$H$12:$H$119,Ingot!$G$12:$G$119,"")</f>
        <v>Wood</v>
      </c>
      <c r="B3667" t="s">
        <v>7185</v>
      </c>
      <c r="C3667" t="s">
        <v>157</v>
      </c>
      <c r="D3667" t="s">
        <v>7376</v>
      </c>
      <c r="E3667" t="s">
        <v>7377</v>
      </c>
      <c r="F3667" t="s">
        <v>180</v>
      </c>
      <c r="G3667" s="1">
        <v>5</v>
      </c>
    </row>
    <row r="3668" spans="1:7" ht="14.25" hidden="1" customHeight="1" x14ac:dyDescent="0.45">
      <c r="A3668" t="str">
        <f>_xlfn.XLOOKUP(B3668,Ingot!$H$12:$H$119,Ingot!$G$12:$G$119,"")</f>
        <v>Wood</v>
      </c>
      <c r="B3668" t="s">
        <v>7185</v>
      </c>
      <c r="C3668" t="s">
        <v>157</v>
      </c>
      <c r="D3668" t="s">
        <v>7378</v>
      </c>
      <c r="E3668" t="s">
        <v>7379</v>
      </c>
      <c r="F3668" t="s">
        <v>180</v>
      </c>
      <c r="G3668" s="1">
        <v>5</v>
      </c>
    </row>
    <row r="3669" spans="1:7" ht="14.25" hidden="1" customHeight="1" x14ac:dyDescent="0.45">
      <c r="A3669" t="str">
        <f>_xlfn.XLOOKUP(B3669,Ingot!$H$12:$H$119,Ingot!$G$12:$G$119,"")</f>
        <v>Wood</v>
      </c>
      <c r="B3669" t="s">
        <v>7185</v>
      </c>
      <c r="C3669" t="s">
        <v>157</v>
      </c>
      <c r="D3669" t="s">
        <v>7380</v>
      </c>
      <c r="E3669" t="s">
        <v>7381</v>
      </c>
      <c r="G3669" s="1">
        <v>10</v>
      </c>
    </row>
    <row r="3670" spans="1:7" ht="14.25" hidden="1" customHeight="1" x14ac:dyDescent="0.45">
      <c r="A3670" t="str">
        <f>_xlfn.XLOOKUP(B3670,Ingot!$H$12:$H$119,Ingot!$G$12:$G$119,"")</f>
        <v>Wood</v>
      </c>
      <c r="B3670" t="s">
        <v>7185</v>
      </c>
      <c r="C3670" t="s">
        <v>157</v>
      </c>
      <c r="D3670" t="s">
        <v>7382</v>
      </c>
      <c r="E3670" t="s">
        <v>7383</v>
      </c>
      <c r="G3670" s="1">
        <v>27.85</v>
      </c>
    </row>
    <row r="3671" spans="1:7" ht="14.25" hidden="1" customHeight="1" x14ac:dyDescent="0.45">
      <c r="A3671" t="str">
        <f>_xlfn.XLOOKUP(B3671,Ingot!$H$12:$H$119,Ingot!$G$12:$G$119,"")</f>
        <v>Wood</v>
      </c>
      <c r="B3671" t="s">
        <v>7185</v>
      </c>
      <c r="C3671" t="s">
        <v>157</v>
      </c>
      <c r="D3671" t="s">
        <v>7384</v>
      </c>
      <c r="E3671" t="s">
        <v>7385</v>
      </c>
      <c r="G3671" s="1">
        <v>5.57</v>
      </c>
    </row>
    <row r="3672" spans="1:7" ht="14.25" hidden="1" customHeight="1" x14ac:dyDescent="0.45">
      <c r="A3672" t="str">
        <f>_xlfn.XLOOKUP(B3672,Ingot!$H$12:$H$119,Ingot!$G$12:$G$119,"")</f>
        <v>Wood</v>
      </c>
      <c r="B3672" t="s">
        <v>7185</v>
      </c>
      <c r="C3672" t="s">
        <v>157</v>
      </c>
      <c r="D3672" t="s">
        <v>7386</v>
      </c>
      <c r="E3672" t="s">
        <v>7387</v>
      </c>
      <c r="G3672" s="1">
        <v>5.57</v>
      </c>
    </row>
    <row r="3673" spans="1:7" ht="14.25" hidden="1" customHeight="1" x14ac:dyDescent="0.45">
      <c r="A3673" t="str">
        <f>_xlfn.XLOOKUP(B3673,Ingot!$H$12:$H$119,Ingot!$G$12:$G$119,"")</f>
        <v>Wood</v>
      </c>
      <c r="B3673" t="s">
        <v>7185</v>
      </c>
      <c r="C3673" t="s">
        <v>157</v>
      </c>
      <c r="D3673" t="s">
        <v>7388</v>
      </c>
      <c r="E3673" t="s">
        <v>7389</v>
      </c>
      <c r="G3673" s="1">
        <v>5</v>
      </c>
    </row>
    <row r="3674" spans="1:7" ht="14.25" hidden="1" customHeight="1" x14ac:dyDescent="0.45">
      <c r="A3674" t="str">
        <f>_xlfn.XLOOKUP(B3674,Ingot!$H$12:$H$119,Ingot!$G$12:$G$119,"")</f>
        <v>Wood</v>
      </c>
      <c r="B3674" t="s">
        <v>7185</v>
      </c>
      <c r="C3674" t="s">
        <v>157</v>
      </c>
      <c r="D3674" t="s">
        <v>7390</v>
      </c>
      <c r="E3674" t="s">
        <v>7391</v>
      </c>
      <c r="G3674" s="1">
        <v>10</v>
      </c>
    </row>
    <row r="3675" spans="1:7" ht="14.25" hidden="1" customHeight="1" x14ac:dyDescent="0.45">
      <c r="A3675" t="str">
        <f>_xlfn.XLOOKUP(B3675,Ingot!$H$12:$H$119,Ingot!$G$12:$G$119,"")</f>
        <v>Wood</v>
      </c>
      <c r="B3675" t="s">
        <v>7185</v>
      </c>
      <c r="C3675" t="s">
        <v>157</v>
      </c>
      <c r="D3675" t="s">
        <v>7392</v>
      </c>
      <c r="E3675" t="s">
        <v>7393</v>
      </c>
      <c r="G3675" s="1">
        <v>26.55</v>
      </c>
    </row>
    <row r="3676" spans="1:7" ht="14.25" hidden="1" customHeight="1" x14ac:dyDescent="0.45">
      <c r="A3676" t="str">
        <f>_xlfn.XLOOKUP(B3676,Ingot!$H$12:$H$119,Ingot!$G$12:$G$119,"")</f>
        <v>Wood</v>
      </c>
      <c r="B3676" t="s">
        <v>7185</v>
      </c>
      <c r="C3676" t="s">
        <v>157</v>
      </c>
      <c r="D3676" t="s">
        <v>7394</v>
      </c>
      <c r="E3676" t="s">
        <v>7395</v>
      </c>
      <c r="G3676" s="1">
        <v>5.31</v>
      </c>
    </row>
    <row r="3677" spans="1:7" ht="14.25" hidden="1" customHeight="1" x14ac:dyDescent="0.45">
      <c r="A3677" t="str">
        <f>_xlfn.XLOOKUP(B3677,Ingot!$H$12:$H$119,Ingot!$G$12:$G$119,"")</f>
        <v>Wood</v>
      </c>
      <c r="B3677" t="s">
        <v>7185</v>
      </c>
      <c r="C3677" t="s">
        <v>157</v>
      </c>
      <c r="D3677" t="s">
        <v>7396</v>
      </c>
      <c r="E3677" t="s">
        <v>7397</v>
      </c>
      <c r="G3677" s="1">
        <v>5.31</v>
      </c>
    </row>
    <row r="3678" spans="1:7" ht="14.25" hidden="1" customHeight="1" x14ac:dyDescent="0.45">
      <c r="A3678" t="str">
        <f>_xlfn.XLOOKUP(B3678,Ingot!$H$12:$H$119,Ingot!$G$12:$G$119,"")</f>
        <v>Wood</v>
      </c>
      <c r="B3678" t="s">
        <v>7185</v>
      </c>
      <c r="C3678" t="s">
        <v>157</v>
      </c>
      <c r="D3678" t="s">
        <v>7398</v>
      </c>
      <c r="E3678" t="s">
        <v>7399</v>
      </c>
      <c r="G3678" s="1">
        <v>5</v>
      </c>
    </row>
    <row r="3679" spans="1:7" ht="14.25" hidden="1" customHeight="1" x14ac:dyDescent="0.45">
      <c r="A3679" t="str">
        <f>_xlfn.XLOOKUP(B3679,Ingot!$H$12:$H$119,Ingot!$G$12:$G$119,"")</f>
        <v>Wood</v>
      </c>
      <c r="B3679" t="s">
        <v>7185</v>
      </c>
      <c r="C3679" t="s">
        <v>157</v>
      </c>
      <c r="D3679" t="s">
        <v>7400</v>
      </c>
      <c r="E3679" t="s">
        <v>7401</v>
      </c>
      <c r="G3679" s="1">
        <v>10</v>
      </c>
    </row>
    <row r="3680" spans="1:7" ht="14.25" hidden="1" customHeight="1" x14ac:dyDescent="0.45">
      <c r="A3680" t="str">
        <f>_xlfn.XLOOKUP(B3680,Ingot!$H$12:$H$119,Ingot!$G$12:$G$119,"")</f>
        <v>Wood</v>
      </c>
      <c r="B3680" t="s">
        <v>7185</v>
      </c>
      <c r="C3680" t="s">
        <v>157</v>
      </c>
      <c r="D3680" t="s">
        <v>7402</v>
      </c>
      <c r="E3680" t="s">
        <v>7403</v>
      </c>
      <c r="F3680" t="s">
        <v>180</v>
      </c>
      <c r="G3680" s="1">
        <v>20.25</v>
      </c>
    </row>
    <row r="3681" spans="1:7" ht="14.25" hidden="1" customHeight="1" x14ac:dyDescent="0.45">
      <c r="A3681" t="str">
        <f>_xlfn.XLOOKUP(B3681,Ingot!$H$12:$H$119,Ingot!$G$12:$G$119,"")</f>
        <v>Wood</v>
      </c>
      <c r="B3681" t="s">
        <v>7185</v>
      </c>
      <c r="C3681" t="s">
        <v>157</v>
      </c>
      <c r="D3681" t="s">
        <v>7404</v>
      </c>
      <c r="E3681" t="s">
        <v>7405</v>
      </c>
      <c r="F3681" t="s">
        <v>180</v>
      </c>
      <c r="G3681" s="1">
        <v>5</v>
      </c>
    </row>
    <row r="3682" spans="1:7" ht="14.25" hidden="1" customHeight="1" x14ac:dyDescent="0.45">
      <c r="A3682" t="str">
        <f>_xlfn.XLOOKUP(B3682,Ingot!$H$12:$H$119,Ingot!$G$12:$G$119,"")</f>
        <v>Wood</v>
      </c>
      <c r="B3682" t="s">
        <v>7185</v>
      </c>
      <c r="C3682" t="s">
        <v>157</v>
      </c>
      <c r="D3682" t="s">
        <v>7406</v>
      </c>
      <c r="E3682" t="s">
        <v>7407</v>
      </c>
      <c r="F3682" t="s">
        <v>180</v>
      </c>
      <c r="G3682" s="1">
        <v>5</v>
      </c>
    </row>
    <row r="3683" spans="1:7" ht="14.25" hidden="1" customHeight="1" x14ac:dyDescent="0.45">
      <c r="A3683" t="str">
        <f>_xlfn.XLOOKUP(B3683,Ingot!$H$12:$H$119,Ingot!$G$12:$G$119,"")</f>
        <v>Wood</v>
      </c>
      <c r="B3683" t="s">
        <v>7185</v>
      </c>
      <c r="C3683" t="s">
        <v>157</v>
      </c>
      <c r="D3683" t="s">
        <v>7408</v>
      </c>
      <c r="E3683" t="s">
        <v>7409</v>
      </c>
      <c r="F3683" t="s">
        <v>180</v>
      </c>
      <c r="G3683" s="1">
        <v>5</v>
      </c>
    </row>
    <row r="3684" spans="1:7" ht="14.25" hidden="1" customHeight="1" x14ac:dyDescent="0.45">
      <c r="A3684" t="str">
        <f>_xlfn.XLOOKUP(B3684,Ingot!$H$12:$H$119,Ingot!$G$12:$G$119,"")</f>
        <v>Wood</v>
      </c>
      <c r="B3684" t="s">
        <v>7185</v>
      </c>
      <c r="C3684" t="s">
        <v>157</v>
      </c>
      <c r="D3684" t="s">
        <v>7410</v>
      </c>
      <c r="E3684" t="s">
        <v>7411</v>
      </c>
      <c r="F3684" t="s">
        <v>180</v>
      </c>
      <c r="G3684" s="1">
        <v>10</v>
      </c>
    </row>
    <row r="3685" spans="1:7" ht="14.25" hidden="1" customHeight="1" x14ac:dyDescent="0.45">
      <c r="A3685" t="str">
        <f>_xlfn.XLOOKUP(B3685,Ingot!$H$12:$H$119,Ingot!$G$12:$G$119,"")</f>
        <v>Wood</v>
      </c>
      <c r="B3685" t="s">
        <v>7185</v>
      </c>
      <c r="C3685" t="s">
        <v>239</v>
      </c>
      <c r="D3685" t="s">
        <v>7412</v>
      </c>
      <c r="E3685" t="s">
        <v>7413</v>
      </c>
      <c r="G3685" s="1">
        <f>(VLOOKUP(B3685,Ingot!H:I,2,FALSE()) * 0.75) * 0.75</f>
        <v>7.03125</v>
      </c>
    </row>
    <row r="3686" spans="1:7" ht="14.25" hidden="1" customHeight="1" x14ac:dyDescent="0.45">
      <c r="A3686" t="str">
        <f>_xlfn.XLOOKUP(B3686,Ingot!$H$12:$H$119,Ingot!$G$12:$G$119,"")</f>
        <v>Wood</v>
      </c>
      <c r="B3686" t="s">
        <v>7185</v>
      </c>
      <c r="C3686" t="s">
        <v>239</v>
      </c>
      <c r="D3686" t="s">
        <v>7414</v>
      </c>
      <c r="E3686" t="s">
        <v>7415</v>
      </c>
      <c r="G3686" s="1">
        <f>((VLOOKUP(B3686,Ingot!H:I,2,FALSE()) * 3) - 10.25) * 0.421875</f>
        <v>11.49609375</v>
      </c>
    </row>
    <row r="3687" spans="1:7" ht="14.25" hidden="1" customHeight="1" x14ac:dyDescent="0.45">
      <c r="A3687" t="str">
        <f>_xlfn.XLOOKUP(B3687,Ingot!$H$12:$H$119,Ingot!$G$12:$G$119,"")</f>
        <v>Wood</v>
      </c>
      <c r="B3687" t="s">
        <v>7185</v>
      </c>
      <c r="C3687" t="s">
        <v>239</v>
      </c>
      <c r="D3687" t="s">
        <v>7416</v>
      </c>
      <c r="E3687" t="s">
        <v>7417</v>
      </c>
      <c r="G3687" s="1">
        <f>((VLOOKUP(B3687,Ingot!H:I,2,FALSE()) * 3) - 10.25) * 0.75</f>
        <v>20.4375</v>
      </c>
    </row>
    <row r="3688" spans="1:7" ht="14.25" hidden="1" customHeight="1" x14ac:dyDescent="0.45">
      <c r="A3688" t="str">
        <f>_xlfn.XLOOKUP(B3688,Ingot!$H$12:$H$119,Ingot!$G$12:$G$119,"")</f>
        <v>Wood</v>
      </c>
      <c r="B3688" t="s">
        <v>7185</v>
      </c>
      <c r="C3688" t="s">
        <v>239</v>
      </c>
      <c r="D3688" t="s">
        <v>7418</v>
      </c>
      <c r="E3688" t="s">
        <v>7419</v>
      </c>
      <c r="G3688" s="1">
        <f>((VLOOKUP(B3688,Ingot!H:I,2,FALSE()) * 3) - 10.25) * 0.5625</f>
        <v>15.328125</v>
      </c>
    </row>
    <row r="3689" spans="1:7" ht="14.25" hidden="1" customHeight="1" x14ac:dyDescent="0.45">
      <c r="A3689" t="str">
        <f>_xlfn.XLOOKUP(B3689,Ingot!$H$12:$H$119,Ingot!$G$12:$G$119,"")</f>
        <v>Wood</v>
      </c>
      <c r="B3689" t="s">
        <v>7185</v>
      </c>
      <c r="C3689" t="s">
        <v>239</v>
      </c>
      <c r="D3689" t="s">
        <v>7420</v>
      </c>
      <c r="E3689" t="s">
        <v>7421</v>
      </c>
      <c r="G3689" s="1">
        <f>VLOOKUP(B3689,Ingot!H:I,2,FALSE()) * 0.75</f>
        <v>9.375</v>
      </c>
    </row>
    <row r="3690" spans="1:7" ht="14.25" hidden="1" customHeight="1" x14ac:dyDescent="0.45">
      <c r="A3690" t="str">
        <f>_xlfn.XLOOKUP(B3690,Ingot!$H$12:$H$119,Ingot!$G$12:$G$119,"")</f>
        <v>Wood</v>
      </c>
      <c r="B3690" t="s">
        <v>7185</v>
      </c>
      <c r="C3690" t="s">
        <v>239</v>
      </c>
      <c r="D3690" t="s">
        <v>7422</v>
      </c>
      <c r="E3690" t="s">
        <v>7423</v>
      </c>
      <c r="G3690" s="1">
        <f>(VLOOKUP(B3690,Ingot!H:I,2,FALSE()) * 3) - 10.25</f>
        <v>27.25</v>
      </c>
    </row>
    <row r="3691" spans="1:7" ht="14.25" hidden="1" customHeight="1" x14ac:dyDescent="0.45">
      <c r="A3691" t="str">
        <f>_xlfn.XLOOKUP(B3691,Ingot!$H$12:$H$119,Ingot!$G$12:$G$119,"")</f>
        <v>Wood</v>
      </c>
      <c r="B3691" t="s">
        <v>7424</v>
      </c>
      <c r="C3691" t="s">
        <v>10</v>
      </c>
      <c r="D3691" t="s">
        <v>7425</v>
      </c>
      <c r="E3691" t="s">
        <v>7426</v>
      </c>
      <c r="G3691" s="1">
        <v>0.08</v>
      </c>
    </row>
    <row r="3692" spans="1:7" ht="14.25" hidden="1" customHeight="1" x14ac:dyDescent="0.45">
      <c r="A3692" t="str">
        <f>_xlfn.XLOOKUP(B3692,Ingot!$H$12:$H$119,Ingot!$G$12:$G$119,"")</f>
        <v>Wood</v>
      </c>
      <c r="B3692" t="s">
        <v>7424</v>
      </c>
      <c r="C3692" t="s">
        <v>10</v>
      </c>
      <c r="D3692" t="s">
        <v>7427</v>
      </c>
      <c r="E3692" t="s">
        <v>7428</v>
      </c>
      <c r="G3692" s="1">
        <v>9.9</v>
      </c>
    </row>
    <row r="3693" spans="1:7" ht="14.25" hidden="1" customHeight="1" x14ac:dyDescent="0.45">
      <c r="A3693" t="str">
        <f>_xlfn.XLOOKUP(B3693,Ingot!$H$12:$H$119,Ingot!$G$12:$G$119,"")</f>
        <v>Wood</v>
      </c>
      <c r="B3693" t="s">
        <v>7424</v>
      </c>
      <c r="C3693" t="s">
        <v>10</v>
      </c>
      <c r="D3693" t="s">
        <v>7429</v>
      </c>
      <c r="E3693" t="s">
        <v>7430</v>
      </c>
      <c r="G3693" s="1">
        <v>5.66</v>
      </c>
    </row>
    <row r="3694" spans="1:7" ht="14.25" hidden="1" customHeight="1" x14ac:dyDescent="0.45">
      <c r="A3694" t="str">
        <f>_xlfn.XLOOKUP(B3694,Ingot!$H$12:$H$119,Ingot!$G$12:$G$119,"")</f>
        <v>Wood</v>
      </c>
      <c r="B3694" t="s">
        <v>7424</v>
      </c>
      <c r="C3694" t="s">
        <v>10</v>
      </c>
      <c r="D3694" t="s">
        <v>7431</v>
      </c>
      <c r="E3694" t="s">
        <v>7432</v>
      </c>
      <c r="G3694" s="1">
        <v>3.3</v>
      </c>
    </row>
    <row r="3695" spans="1:7" ht="14.25" hidden="1" customHeight="1" x14ac:dyDescent="0.45">
      <c r="A3695" t="str">
        <f>_xlfn.XLOOKUP(B3695,Ingot!$H$12:$H$119,Ingot!$G$12:$G$119,"")</f>
        <v>Wood</v>
      </c>
      <c r="B3695" t="s">
        <v>7424</v>
      </c>
      <c r="C3695" t="s">
        <v>10</v>
      </c>
      <c r="D3695" t="s">
        <v>7433</v>
      </c>
      <c r="E3695" t="s">
        <v>7434</v>
      </c>
      <c r="G3695" s="1">
        <v>0.66</v>
      </c>
    </row>
    <row r="3696" spans="1:7" ht="14.25" hidden="1" customHeight="1" x14ac:dyDescent="0.45">
      <c r="A3696" t="str">
        <f>_xlfn.XLOOKUP(B3696,Ingot!$H$12:$H$119,Ingot!$G$12:$G$119,"")</f>
        <v>Wood</v>
      </c>
      <c r="B3696" t="s">
        <v>7424</v>
      </c>
      <c r="C3696" t="s">
        <v>10</v>
      </c>
      <c r="D3696" t="s">
        <v>7435</v>
      </c>
      <c r="E3696" t="s">
        <v>7436</v>
      </c>
      <c r="G3696" s="1">
        <v>0.04</v>
      </c>
    </row>
    <row r="3697" spans="1:7" ht="14.25" hidden="1" customHeight="1" x14ac:dyDescent="0.45">
      <c r="A3697" t="str">
        <f>_xlfn.XLOOKUP(B3697,Ingot!$H$12:$H$119,Ingot!$G$12:$G$119,"")</f>
        <v>Wood</v>
      </c>
      <c r="B3697" t="s">
        <v>7424</v>
      </c>
      <c r="C3697" t="s">
        <v>10</v>
      </c>
      <c r="D3697" t="s">
        <v>7437</v>
      </c>
      <c r="E3697" t="s">
        <v>7438</v>
      </c>
      <c r="G3697" s="1">
        <v>0.33</v>
      </c>
    </row>
    <row r="3698" spans="1:7" ht="14.25" hidden="1" customHeight="1" x14ac:dyDescent="0.45">
      <c r="A3698" t="str">
        <f>_xlfn.XLOOKUP(B3698,Ingot!$H$12:$H$119,Ingot!$G$12:$G$119,"")</f>
        <v>Wood</v>
      </c>
      <c r="B3698" t="s">
        <v>7424</v>
      </c>
      <c r="C3698" t="s">
        <v>10</v>
      </c>
      <c r="D3698" t="s">
        <v>7439</v>
      </c>
      <c r="E3698" t="s">
        <v>7440</v>
      </c>
    </row>
    <row r="3699" spans="1:7" ht="14.25" hidden="1" customHeight="1" x14ac:dyDescent="0.45">
      <c r="A3699" t="str">
        <f>_xlfn.XLOOKUP(B3699,Ingot!$H$12:$H$119,Ingot!$G$12:$G$119,"")</f>
        <v>Wood</v>
      </c>
      <c r="B3699" t="s">
        <v>7424</v>
      </c>
      <c r="C3699" t="s">
        <v>10</v>
      </c>
      <c r="D3699" t="s">
        <v>7441</v>
      </c>
      <c r="E3699" t="s">
        <v>7442</v>
      </c>
      <c r="G3699" s="1">
        <v>0.05</v>
      </c>
    </row>
    <row r="3700" spans="1:7" ht="14.25" hidden="1" customHeight="1" x14ac:dyDescent="0.45">
      <c r="A3700" t="str">
        <f>_xlfn.XLOOKUP(B3700,Ingot!$H$12:$H$119,Ingot!$G$12:$G$119,"")</f>
        <v>Wood</v>
      </c>
      <c r="B3700" t="s">
        <v>7424</v>
      </c>
      <c r="C3700" t="s">
        <v>10</v>
      </c>
      <c r="D3700" t="s">
        <v>7443</v>
      </c>
      <c r="E3700" t="s">
        <v>7444</v>
      </c>
      <c r="G3700" s="1">
        <v>0.66</v>
      </c>
    </row>
    <row r="3701" spans="1:7" ht="14.25" hidden="1" customHeight="1" x14ac:dyDescent="0.45">
      <c r="A3701" t="str">
        <f>_xlfn.XLOOKUP(B3701,Ingot!$H$12:$H$119,Ingot!$G$12:$G$119,"")</f>
        <v>Wood</v>
      </c>
      <c r="B3701" t="s">
        <v>7424</v>
      </c>
      <c r="C3701" t="s">
        <v>10</v>
      </c>
      <c r="D3701" t="s">
        <v>7445</v>
      </c>
      <c r="E3701" t="s">
        <v>7446</v>
      </c>
      <c r="G3701" s="1">
        <v>3.96</v>
      </c>
    </row>
    <row r="3702" spans="1:7" ht="14.25" hidden="1" customHeight="1" x14ac:dyDescent="0.45">
      <c r="A3702" t="str">
        <f>_xlfn.XLOOKUP(B3702,Ingot!$H$12:$H$119,Ingot!$G$12:$G$119,"")</f>
        <v>Wood</v>
      </c>
      <c r="B3702" t="s">
        <v>7424</v>
      </c>
      <c r="C3702" t="s">
        <v>10</v>
      </c>
      <c r="D3702" t="s">
        <v>7447</v>
      </c>
      <c r="E3702" t="s">
        <v>7448</v>
      </c>
      <c r="G3702" s="1">
        <v>8.77</v>
      </c>
    </row>
    <row r="3703" spans="1:7" ht="14.25" hidden="1" customHeight="1" x14ac:dyDescent="0.45">
      <c r="A3703" t="str">
        <f>_xlfn.XLOOKUP(B3703,Ingot!$H$12:$H$119,Ingot!$G$12:$G$119,"")</f>
        <v>Wood</v>
      </c>
      <c r="B3703" t="s">
        <v>7424</v>
      </c>
      <c r="C3703" t="s">
        <v>10</v>
      </c>
      <c r="D3703" t="s">
        <v>7449</v>
      </c>
      <c r="E3703" t="s">
        <v>7450</v>
      </c>
      <c r="G3703" s="1">
        <v>3.5</v>
      </c>
    </row>
    <row r="3704" spans="1:7" ht="14.25" hidden="1" customHeight="1" x14ac:dyDescent="0.45">
      <c r="A3704" t="str">
        <f>_xlfn.XLOOKUP(B3704,Ingot!$H$12:$H$119,Ingot!$G$12:$G$119,"")</f>
        <v>Wood</v>
      </c>
      <c r="B3704" t="s">
        <v>7424</v>
      </c>
      <c r="C3704" t="s">
        <v>10</v>
      </c>
      <c r="D3704" t="s">
        <v>7451</v>
      </c>
      <c r="E3704" t="s">
        <v>7452</v>
      </c>
    </row>
    <row r="3705" spans="1:7" ht="14.25" hidden="1" customHeight="1" x14ac:dyDescent="0.45">
      <c r="A3705" t="str">
        <f>_xlfn.XLOOKUP(B3705,Ingot!$H$12:$H$119,Ingot!$G$12:$G$119,"")</f>
        <v>Wood</v>
      </c>
      <c r="B3705" t="s">
        <v>7424</v>
      </c>
      <c r="C3705" t="s">
        <v>10</v>
      </c>
      <c r="D3705" t="s">
        <v>7453</v>
      </c>
      <c r="E3705" t="s">
        <v>7454</v>
      </c>
      <c r="G3705" s="1">
        <v>2.2000000000000002</v>
      </c>
    </row>
    <row r="3706" spans="1:7" ht="14.25" hidden="1" customHeight="1" x14ac:dyDescent="0.45">
      <c r="A3706" t="str">
        <f>_xlfn.XLOOKUP(B3706,Ingot!$H$12:$H$119,Ingot!$G$12:$G$119,"")</f>
        <v>Wood</v>
      </c>
      <c r="B3706" t="s">
        <v>7424</v>
      </c>
      <c r="C3706" t="s">
        <v>10</v>
      </c>
      <c r="D3706" t="s">
        <v>7455</v>
      </c>
      <c r="E3706" t="s">
        <v>7456</v>
      </c>
      <c r="G3706" s="1">
        <v>1.1000000000000001</v>
      </c>
    </row>
    <row r="3707" spans="1:7" ht="14.25" hidden="1" customHeight="1" x14ac:dyDescent="0.45">
      <c r="A3707" t="str">
        <f>_xlfn.XLOOKUP(B3707,Ingot!$H$12:$H$119,Ingot!$G$12:$G$119,"")</f>
        <v>Wood</v>
      </c>
      <c r="B3707" t="s">
        <v>7424</v>
      </c>
      <c r="C3707" t="s">
        <v>10</v>
      </c>
      <c r="D3707" t="s">
        <v>7457</v>
      </c>
      <c r="E3707" t="s">
        <v>7458</v>
      </c>
      <c r="G3707" s="1">
        <v>0.22</v>
      </c>
    </row>
    <row r="3708" spans="1:7" ht="14.25" hidden="1" customHeight="1" x14ac:dyDescent="0.45">
      <c r="A3708" t="str">
        <f>_xlfn.XLOOKUP(B3708,Ingot!$H$12:$H$119,Ingot!$G$12:$G$119,"")</f>
        <v>Wood</v>
      </c>
      <c r="B3708" t="s">
        <v>7424</v>
      </c>
      <c r="C3708" t="s">
        <v>10</v>
      </c>
      <c r="D3708" t="s">
        <v>7459</v>
      </c>
      <c r="E3708" t="s">
        <v>7460</v>
      </c>
      <c r="G3708" s="1">
        <v>8.41</v>
      </c>
    </row>
    <row r="3709" spans="1:7" ht="14.25" hidden="1" customHeight="1" x14ac:dyDescent="0.45">
      <c r="A3709" t="str">
        <f>_xlfn.XLOOKUP(B3709,Ingot!$H$12:$H$119,Ingot!$G$12:$G$119,"")</f>
        <v>Wood</v>
      </c>
      <c r="B3709" t="s">
        <v>7424</v>
      </c>
      <c r="C3709" t="s">
        <v>10</v>
      </c>
      <c r="D3709" t="s">
        <v>7461</v>
      </c>
      <c r="E3709" t="s">
        <v>7462</v>
      </c>
      <c r="G3709" s="1">
        <v>3.64</v>
      </c>
    </row>
    <row r="3710" spans="1:7" ht="14.25" hidden="1" customHeight="1" x14ac:dyDescent="0.45">
      <c r="A3710" t="str">
        <f>_xlfn.XLOOKUP(B3710,Ingot!$H$12:$H$119,Ingot!$G$12:$G$119,"")</f>
        <v>Wood</v>
      </c>
      <c r="B3710" t="s">
        <v>7424</v>
      </c>
      <c r="C3710" t="s">
        <v>10</v>
      </c>
      <c r="D3710" t="s">
        <v>7463</v>
      </c>
      <c r="E3710" t="s">
        <v>7464</v>
      </c>
      <c r="G3710" s="1">
        <v>7.05</v>
      </c>
    </row>
    <row r="3711" spans="1:7" ht="14.25" hidden="1" customHeight="1" x14ac:dyDescent="0.45">
      <c r="A3711" t="str">
        <f>_xlfn.XLOOKUP(B3711,Ingot!$H$12:$H$119,Ingot!$G$12:$G$119,"")</f>
        <v>Wood</v>
      </c>
      <c r="B3711" t="s">
        <v>7424</v>
      </c>
      <c r="C3711" t="s">
        <v>10</v>
      </c>
      <c r="D3711" t="s">
        <v>7465</v>
      </c>
      <c r="E3711" t="s">
        <v>7466</v>
      </c>
      <c r="G3711" s="1">
        <v>2.65</v>
      </c>
    </row>
    <row r="3712" spans="1:7" ht="14.25" hidden="1" customHeight="1" x14ac:dyDescent="0.45">
      <c r="A3712" t="str">
        <f>_xlfn.XLOOKUP(B3712,Ingot!$H$12:$H$119,Ingot!$G$12:$G$119,"")</f>
        <v>Wood</v>
      </c>
      <c r="B3712" t="s">
        <v>7424</v>
      </c>
      <c r="C3712" t="s">
        <v>10</v>
      </c>
      <c r="D3712" t="s">
        <v>7467</v>
      </c>
      <c r="E3712" t="s">
        <v>7468</v>
      </c>
      <c r="G3712" s="1">
        <v>9</v>
      </c>
    </row>
    <row r="3713" spans="1:7" ht="14.25" hidden="1" customHeight="1" x14ac:dyDescent="0.45">
      <c r="A3713" t="str">
        <f>_xlfn.XLOOKUP(B3713,Ingot!$H$12:$H$119,Ingot!$G$12:$G$119,"")</f>
        <v>Wood</v>
      </c>
      <c r="B3713" t="s">
        <v>7424</v>
      </c>
      <c r="C3713" t="s">
        <v>10</v>
      </c>
      <c r="D3713" t="s">
        <v>7469</v>
      </c>
      <c r="E3713" t="s">
        <v>7470</v>
      </c>
      <c r="G3713" s="1">
        <v>10.23</v>
      </c>
    </row>
    <row r="3714" spans="1:7" ht="14.25" hidden="1" customHeight="1" x14ac:dyDescent="0.45">
      <c r="A3714" t="str">
        <f>_xlfn.XLOOKUP(B3714,Ingot!$H$12:$H$119,Ingot!$G$12:$G$119,"")</f>
        <v>Wood</v>
      </c>
      <c r="B3714" t="s">
        <v>7424</v>
      </c>
      <c r="C3714" t="s">
        <v>10</v>
      </c>
      <c r="D3714" t="s">
        <v>7471</v>
      </c>
      <c r="E3714" t="s">
        <v>7472</v>
      </c>
      <c r="G3714" s="1">
        <v>7.7</v>
      </c>
    </row>
    <row r="3715" spans="1:7" ht="14.25" hidden="1" customHeight="1" x14ac:dyDescent="0.45">
      <c r="A3715" t="str">
        <f>_xlfn.XLOOKUP(B3715,Ingot!$H$12:$H$119,Ingot!$G$12:$G$119,"")</f>
        <v>Wood</v>
      </c>
      <c r="B3715" t="s">
        <v>7424</v>
      </c>
      <c r="C3715" t="s">
        <v>10</v>
      </c>
      <c r="D3715" t="s">
        <v>7473</v>
      </c>
      <c r="E3715" t="s">
        <v>7474</v>
      </c>
      <c r="G3715" s="1">
        <v>10.02</v>
      </c>
    </row>
    <row r="3716" spans="1:7" ht="14.25" hidden="1" customHeight="1" x14ac:dyDescent="0.45">
      <c r="A3716" t="str">
        <f>_xlfn.XLOOKUP(B3716,Ingot!$H$12:$H$119,Ingot!$G$12:$G$119,"")</f>
        <v>Wood</v>
      </c>
      <c r="B3716" t="s">
        <v>7424</v>
      </c>
      <c r="C3716" t="s">
        <v>10</v>
      </c>
      <c r="D3716" t="s">
        <v>7475</v>
      </c>
      <c r="E3716" t="s">
        <v>7476</v>
      </c>
      <c r="G3716" s="1">
        <v>11.81</v>
      </c>
    </row>
    <row r="3717" spans="1:7" ht="14.25" hidden="1" customHeight="1" x14ac:dyDescent="0.45">
      <c r="A3717" t="str">
        <f>_xlfn.XLOOKUP(B3717,Ingot!$H$12:$H$119,Ingot!$G$12:$G$119,"")</f>
        <v>Wood</v>
      </c>
      <c r="B3717" t="s">
        <v>7424</v>
      </c>
      <c r="C3717" t="s">
        <v>10</v>
      </c>
      <c r="D3717" t="s">
        <v>7477</v>
      </c>
      <c r="E3717" t="s">
        <v>7478</v>
      </c>
      <c r="G3717" s="1">
        <v>8.44</v>
      </c>
    </row>
    <row r="3718" spans="1:7" ht="14.25" hidden="1" customHeight="1" x14ac:dyDescent="0.45">
      <c r="A3718" t="str">
        <f>_xlfn.XLOOKUP(B3718,Ingot!$H$12:$H$119,Ingot!$G$12:$G$119,"")</f>
        <v>Wood</v>
      </c>
      <c r="B3718" t="s">
        <v>7424</v>
      </c>
      <c r="C3718" t="s">
        <v>10</v>
      </c>
      <c r="D3718" t="s">
        <v>7479</v>
      </c>
      <c r="E3718" t="s">
        <v>7480</v>
      </c>
      <c r="G3718" s="1">
        <v>10.42</v>
      </c>
    </row>
    <row r="3719" spans="1:7" ht="14.25" hidden="1" customHeight="1" x14ac:dyDescent="0.45">
      <c r="A3719" t="str">
        <f>_xlfn.XLOOKUP(B3719,Ingot!$H$12:$H$119,Ingot!$G$12:$G$119,"")</f>
        <v>Wood</v>
      </c>
      <c r="B3719" t="s">
        <v>7424</v>
      </c>
      <c r="C3719" t="s">
        <v>10</v>
      </c>
      <c r="D3719" t="s">
        <v>7481</v>
      </c>
      <c r="E3719" t="s">
        <v>7482</v>
      </c>
    </row>
    <row r="3720" spans="1:7" ht="14.25" hidden="1" customHeight="1" x14ac:dyDescent="0.45">
      <c r="A3720" t="str">
        <f>_xlfn.XLOOKUP(B3720,Ingot!$H$12:$H$119,Ingot!$G$12:$G$119,"")</f>
        <v>Wood</v>
      </c>
      <c r="B3720" t="s">
        <v>7424</v>
      </c>
      <c r="C3720" t="s">
        <v>10</v>
      </c>
      <c r="D3720" t="s">
        <v>7483</v>
      </c>
      <c r="E3720" t="s">
        <v>7484</v>
      </c>
      <c r="G3720" s="1">
        <v>7.96</v>
      </c>
    </row>
    <row r="3721" spans="1:7" ht="14.25" hidden="1" customHeight="1" x14ac:dyDescent="0.45">
      <c r="A3721" t="str">
        <f>_xlfn.XLOOKUP(B3721,Ingot!$H$12:$H$119,Ingot!$G$12:$G$119,"")</f>
        <v>Wood</v>
      </c>
      <c r="B3721" t="s">
        <v>7424</v>
      </c>
      <c r="C3721" t="s">
        <v>10</v>
      </c>
      <c r="D3721" t="s">
        <v>7485</v>
      </c>
      <c r="E3721" t="s">
        <v>7486</v>
      </c>
      <c r="G3721" s="1">
        <v>9.64</v>
      </c>
    </row>
    <row r="3722" spans="1:7" ht="14.25" hidden="1" customHeight="1" x14ac:dyDescent="0.45">
      <c r="A3722" t="str">
        <f>_xlfn.XLOOKUP(B3722,Ingot!$H$12:$H$119,Ingot!$G$12:$G$119,"")</f>
        <v>Wood</v>
      </c>
      <c r="B3722" t="s">
        <v>7424</v>
      </c>
      <c r="C3722" t="s">
        <v>10</v>
      </c>
      <c r="D3722" t="s">
        <v>7487</v>
      </c>
      <c r="E3722" t="s">
        <v>7488</v>
      </c>
      <c r="G3722" s="1">
        <v>7.94</v>
      </c>
    </row>
    <row r="3723" spans="1:7" ht="14.25" hidden="1" customHeight="1" x14ac:dyDescent="0.45">
      <c r="A3723" t="str">
        <f>_xlfn.XLOOKUP(B3723,Ingot!$H$12:$H$119,Ingot!$G$12:$G$119,"")</f>
        <v>Wood</v>
      </c>
      <c r="B3723" t="s">
        <v>7424</v>
      </c>
      <c r="C3723" t="s">
        <v>10</v>
      </c>
      <c r="D3723" t="s">
        <v>7489</v>
      </c>
      <c r="E3723" t="s">
        <v>7490</v>
      </c>
      <c r="G3723" s="1">
        <v>8.66</v>
      </c>
    </row>
    <row r="3724" spans="1:7" ht="14.25" hidden="1" customHeight="1" x14ac:dyDescent="0.45">
      <c r="A3724" t="str">
        <f>_xlfn.XLOOKUP(B3724,Ingot!$H$12:$H$119,Ingot!$G$12:$G$119,"")</f>
        <v>Wood</v>
      </c>
      <c r="B3724" t="s">
        <v>7424</v>
      </c>
      <c r="C3724" t="s">
        <v>10</v>
      </c>
      <c r="D3724" t="s">
        <v>7491</v>
      </c>
      <c r="E3724" t="s">
        <v>7492</v>
      </c>
    </row>
    <row r="3725" spans="1:7" ht="14.25" hidden="1" customHeight="1" x14ac:dyDescent="0.45">
      <c r="A3725" t="str">
        <f>_xlfn.XLOOKUP(B3725,Ingot!$H$12:$H$119,Ingot!$G$12:$G$119,"")</f>
        <v>Wood</v>
      </c>
      <c r="B3725" t="s">
        <v>7424</v>
      </c>
      <c r="C3725" t="s">
        <v>10</v>
      </c>
      <c r="D3725" t="s">
        <v>7493</v>
      </c>
      <c r="E3725" t="s">
        <v>7494</v>
      </c>
      <c r="G3725" s="1">
        <v>2.65</v>
      </c>
    </row>
    <row r="3726" spans="1:7" ht="14.25" hidden="1" customHeight="1" x14ac:dyDescent="0.45">
      <c r="A3726" t="str">
        <f>_xlfn.XLOOKUP(B3726,Ingot!$H$12:$H$119,Ingot!$G$12:$G$119,"")</f>
        <v>Wood</v>
      </c>
      <c r="B3726" t="s">
        <v>7424</v>
      </c>
      <c r="C3726" t="s">
        <v>10</v>
      </c>
      <c r="D3726" t="s">
        <v>7495</v>
      </c>
      <c r="E3726" t="s">
        <v>7496</v>
      </c>
    </row>
    <row r="3727" spans="1:7" ht="14.25" hidden="1" customHeight="1" x14ac:dyDescent="0.45">
      <c r="A3727" t="str">
        <f>_xlfn.XLOOKUP(B3727,Ingot!$H$12:$H$119,Ingot!$G$12:$G$119,"")</f>
        <v>Wood</v>
      </c>
      <c r="B3727" t="s">
        <v>7424</v>
      </c>
      <c r="C3727" t="s">
        <v>10</v>
      </c>
      <c r="D3727" t="s">
        <v>7497</v>
      </c>
      <c r="E3727" t="s">
        <v>7498</v>
      </c>
      <c r="G3727" s="1">
        <v>12.64</v>
      </c>
    </row>
    <row r="3728" spans="1:7" ht="14.25" hidden="1" customHeight="1" x14ac:dyDescent="0.45">
      <c r="A3728" t="str">
        <f>_xlfn.XLOOKUP(B3728,Ingot!$H$12:$H$119,Ingot!$G$12:$G$119,"")</f>
        <v>Wood</v>
      </c>
      <c r="B3728" t="s">
        <v>7424</v>
      </c>
      <c r="C3728" t="s">
        <v>10</v>
      </c>
      <c r="D3728" t="s">
        <v>7499</v>
      </c>
      <c r="E3728" t="s">
        <v>7500</v>
      </c>
      <c r="G3728" s="1">
        <v>22.67</v>
      </c>
    </row>
    <row r="3729" spans="1:7" ht="14.25" hidden="1" customHeight="1" x14ac:dyDescent="0.45">
      <c r="A3729" t="str">
        <f>_xlfn.XLOOKUP(B3729,Ingot!$H$12:$H$119,Ingot!$G$12:$G$119,"")</f>
        <v>Wood</v>
      </c>
      <c r="B3729" t="s">
        <v>7424</v>
      </c>
      <c r="C3729" t="s">
        <v>10</v>
      </c>
      <c r="D3729" t="s">
        <v>7501</v>
      </c>
      <c r="E3729" t="s">
        <v>7502</v>
      </c>
      <c r="G3729" s="1">
        <v>8.3800000000000008</v>
      </c>
    </row>
    <row r="3730" spans="1:7" ht="14.25" hidden="1" customHeight="1" x14ac:dyDescent="0.45">
      <c r="A3730" t="str">
        <f>_xlfn.XLOOKUP(B3730,Ingot!$H$12:$H$119,Ingot!$G$12:$G$119,"")</f>
        <v>Wood</v>
      </c>
      <c r="B3730" t="s">
        <v>7424</v>
      </c>
      <c r="C3730" t="s">
        <v>10</v>
      </c>
      <c r="D3730" t="s">
        <v>7503</v>
      </c>
      <c r="E3730" t="s">
        <v>7504</v>
      </c>
      <c r="G3730" s="1">
        <v>2.2000000000000002</v>
      </c>
    </row>
    <row r="3731" spans="1:7" ht="14.25" hidden="1" customHeight="1" x14ac:dyDescent="0.45">
      <c r="A3731" t="str">
        <f>_xlfn.XLOOKUP(B3731,Ingot!$H$12:$H$119,Ingot!$G$12:$G$119,"")</f>
        <v>Wood</v>
      </c>
      <c r="B3731" t="s">
        <v>7424</v>
      </c>
      <c r="C3731" t="s">
        <v>10</v>
      </c>
      <c r="D3731" t="s">
        <v>7505</v>
      </c>
      <c r="E3731" t="s">
        <v>7506</v>
      </c>
      <c r="G3731" s="1">
        <v>3.09</v>
      </c>
    </row>
    <row r="3732" spans="1:7" ht="14.25" hidden="1" customHeight="1" x14ac:dyDescent="0.45">
      <c r="A3732" t="str">
        <f>_xlfn.XLOOKUP(B3732,Ingot!$H$12:$H$119,Ingot!$G$12:$G$119,"")</f>
        <v>Wood</v>
      </c>
      <c r="B3732" t="s">
        <v>7424</v>
      </c>
      <c r="C3732" t="s">
        <v>10</v>
      </c>
      <c r="D3732" t="s">
        <v>7507</v>
      </c>
      <c r="E3732" t="s">
        <v>7508</v>
      </c>
      <c r="G3732" s="1">
        <v>2.2999999999999998</v>
      </c>
    </row>
    <row r="3733" spans="1:7" ht="14.25" hidden="1" customHeight="1" x14ac:dyDescent="0.45">
      <c r="A3733" t="str">
        <f>_xlfn.XLOOKUP(B3733,Ingot!$H$12:$H$119,Ingot!$G$12:$G$119,"")</f>
        <v>Wood</v>
      </c>
      <c r="B3733" t="s">
        <v>7424</v>
      </c>
      <c r="C3733" t="s">
        <v>10</v>
      </c>
      <c r="D3733" t="s">
        <v>7509</v>
      </c>
      <c r="E3733" t="s">
        <v>7510</v>
      </c>
      <c r="G3733" s="1">
        <v>4.88</v>
      </c>
    </row>
    <row r="3734" spans="1:7" ht="14.25" hidden="1" customHeight="1" x14ac:dyDescent="0.45">
      <c r="A3734" t="str">
        <f>_xlfn.XLOOKUP(B3734,Ingot!$H$12:$H$119,Ingot!$G$12:$G$119,"")</f>
        <v>Wood</v>
      </c>
      <c r="B3734" t="s">
        <v>7424</v>
      </c>
      <c r="C3734" t="s">
        <v>10</v>
      </c>
      <c r="D3734" t="s">
        <v>7511</v>
      </c>
      <c r="E3734" t="s">
        <v>7512</v>
      </c>
      <c r="G3734" s="1">
        <v>8.43</v>
      </c>
    </row>
    <row r="3735" spans="1:7" ht="14.25" hidden="1" customHeight="1" x14ac:dyDescent="0.45">
      <c r="A3735" t="str">
        <f>_xlfn.XLOOKUP(B3735,Ingot!$H$12:$H$119,Ingot!$G$12:$G$119,"")</f>
        <v>Wood</v>
      </c>
      <c r="B3735" t="s">
        <v>7424</v>
      </c>
      <c r="C3735" t="s">
        <v>10</v>
      </c>
      <c r="D3735" t="s">
        <v>7513</v>
      </c>
      <c r="E3735" t="s">
        <v>7514</v>
      </c>
      <c r="G3735" s="1">
        <v>13.07</v>
      </c>
    </row>
    <row r="3736" spans="1:7" ht="14.25" hidden="1" customHeight="1" x14ac:dyDescent="0.45">
      <c r="A3736" t="str">
        <f>_xlfn.XLOOKUP(B3736,Ingot!$H$12:$H$119,Ingot!$G$12:$G$119,"")</f>
        <v>Wood</v>
      </c>
      <c r="B3736" t="s">
        <v>7424</v>
      </c>
      <c r="C3736" t="s">
        <v>10</v>
      </c>
      <c r="D3736" t="s">
        <v>7515</v>
      </c>
      <c r="E3736" t="s">
        <v>7516</v>
      </c>
    </row>
    <row r="3737" spans="1:7" ht="14.25" hidden="1" customHeight="1" x14ac:dyDescent="0.45">
      <c r="A3737" t="str">
        <f>_xlfn.XLOOKUP(B3737,Ingot!$H$12:$H$119,Ingot!$G$12:$G$119,"")</f>
        <v>Wood</v>
      </c>
      <c r="B3737" t="s">
        <v>7424</v>
      </c>
      <c r="C3737" t="s">
        <v>10</v>
      </c>
      <c r="D3737" t="s">
        <v>7517</v>
      </c>
      <c r="E3737" t="s">
        <v>7518</v>
      </c>
    </row>
    <row r="3738" spans="1:7" ht="14.25" hidden="1" customHeight="1" x14ac:dyDescent="0.45">
      <c r="A3738" t="str">
        <f>_xlfn.XLOOKUP(B3738,Ingot!$H$12:$H$119,Ingot!$G$12:$G$119,"")</f>
        <v>Wood</v>
      </c>
      <c r="B3738" t="s">
        <v>7424</v>
      </c>
      <c r="C3738" t="s">
        <v>10</v>
      </c>
      <c r="D3738" t="s">
        <v>7519</v>
      </c>
      <c r="E3738" t="s">
        <v>7520</v>
      </c>
      <c r="G3738" s="1">
        <v>6.8</v>
      </c>
    </row>
    <row r="3739" spans="1:7" ht="14.25" hidden="1" customHeight="1" x14ac:dyDescent="0.45">
      <c r="A3739" t="str">
        <f>_xlfn.XLOOKUP(B3739,Ingot!$H$12:$H$119,Ingot!$G$12:$G$119,"")</f>
        <v>Wood</v>
      </c>
      <c r="B3739" t="s">
        <v>7424</v>
      </c>
      <c r="C3739" t="s">
        <v>10</v>
      </c>
      <c r="D3739" t="s">
        <v>7521</v>
      </c>
      <c r="E3739" t="s">
        <v>7522</v>
      </c>
      <c r="G3739" s="1">
        <v>6.88</v>
      </c>
    </row>
    <row r="3740" spans="1:7" ht="14.25" hidden="1" customHeight="1" x14ac:dyDescent="0.45">
      <c r="A3740" t="str">
        <f>_xlfn.XLOOKUP(B3740,Ingot!$H$12:$H$119,Ingot!$G$12:$G$119,"")</f>
        <v>Wood</v>
      </c>
      <c r="B3740" t="s">
        <v>7424</v>
      </c>
      <c r="C3740" t="s">
        <v>10</v>
      </c>
      <c r="D3740" t="s">
        <v>7523</v>
      </c>
      <c r="E3740" t="s">
        <v>7524</v>
      </c>
      <c r="G3740" s="1">
        <v>5.5</v>
      </c>
    </row>
    <row r="3741" spans="1:7" ht="14.25" hidden="1" customHeight="1" x14ac:dyDescent="0.45">
      <c r="A3741" t="str">
        <f>_xlfn.XLOOKUP(B3741,Ingot!$H$12:$H$119,Ingot!$G$12:$G$119,"")</f>
        <v>Wood</v>
      </c>
      <c r="B3741" t="s">
        <v>7424</v>
      </c>
      <c r="C3741" t="s">
        <v>10</v>
      </c>
      <c r="D3741" t="s">
        <v>7525</v>
      </c>
      <c r="E3741" t="s">
        <v>7526</v>
      </c>
      <c r="G3741" s="1">
        <v>2.4300000000000002</v>
      </c>
    </row>
    <row r="3742" spans="1:7" ht="14.25" hidden="1" customHeight="1" x14ac:dyDescent="0.45">
      <c r="A3742" t="str">
        <f>_xlfn.XLOOKUP(B3742,Ingot!$H$12:$H$119,Ingot!$G$12:$G$119,"")</f>
        <v>Wood</v>
      </c>
      <c r="B3742" t="s">
        <v>7424</v>
      </c>
      <c r="C3742" t="s">
        <v>10</v>
      </c>
      <c r="D3742" t="s">
        <v>7527</v>
      </c>
      <c r="E3742" t="s">
        <v>7528</v>
      </c>
      <c r="G3742" s="1">
        <v>6.96</v>
      </c>
    </row>
    <row r="3743" spans="1:7" ht="14.25" hidden="1" customHeight="1" x14ac:dyDescent="0.45">
      <c r="A3743" t="str">
        <f>_xlfn.XLOOKUP(B3743,Ingot!$H$12:$H$119,Ingot!$G$12:$G$119,"")</f>
        <v>Wood</v>
      </c>
      <c r="B3743" t="s">
        <v>7424</v>
      </c>
      <c r="C3743" t="s">
        <v>10</v>
      </c>
      <c r="D3743" t="s">
        <v>7529</v>
      </c>
      <c r="E3743" t="s">
        <v>7530</v>
      </c>
      <c r="G3743" s="1">
        <v>6.32</v>
      </c>
    </row>
    <row r="3744" spans="1:7" ht="14.25" hidden="1" customHeight="1" x14ac:dyDescent="0.45">
      <c r="A3744" t="str">
        <f>_xlfn.XLOOKUP(B3744,Ingot!$H$12:$H$119,Ingot!$G$12:$G$119,"")</f>
        <v>Wood</v>
      </c>
      <c r="B3744" t="s">
        <v>7424</v>
      </c>
      <c r="C3744" t="s">
        <v>10</v>
      </c>
      <c r="D3744" t="s">
        <v>7531</v>
      </c>
      <c r="E3744" t="s">
        <v>7532</v>
      </c>
      <c r="G3744" s="1">
        <v>6.88</v>
      </c>
    </row>
    <row r="3745" spans="1:7" ht="14.25" hidden="1" customHeight="1" x14ac:dyDescent="0.45">
      <c r="A3745" t="str">
        <f>_xlfn.XLOOKUP(B3745,Ingot!$H$12:$H$119,Ingot!$G$12:$G$119,"")</f>
        <v>Wood</v>
      </c>
      <c r="B3745" t="s">
        <v>7424</v>
      </c>
      <c r="C3745" t="s">
        <v>10</v>
      </c>
      <c r="D3745" t="s">
        <v>7533</v>
      </c>
      <c r="E3745" t="s">
        <v>7534</v>
      </c>
      <c r="G3745" s="1">
        <v>2.44</v>
      </c>
    </row>
    <row r="3746" spans="1:7" ht="14.25" hidden="1" customHeight="1" x14ac:dyDescent="0.45">
      <c r="A3746" t="str">
        <f>_xlfn.XLOOKUP(B3746,Ingot!$H$12:$H$119,Ingot!$G$12:$G$119,"")</f>
        <v>Wood</v>
      </c>
      <c r="B3746" t="s">
        <v>7424</v>
      </c>
      <c r="C3746" t="s">
        <v>10</v>
      </c>
      <c r="D3746" t="s">
        <v>7535</v>
      </c>
      <c r="E3746" t="s">
        <v>7536</v>
      </c>
    </row>
    <row r="3747" spans="1:7" ht="14.25" hidden="1" customHeight="1" x14ac:dyDescent="0.45">
      <c r="A3747" t="str">
        <f>_xlfn.XLOOKUP(B3747,Ingot!$H$12:$H$119,Ingot!$G$12:$G$119,"")</f>
        <v>Wood</v>
      </c>
      <c r="B3747" t="s">
        <v>7424</v>
      </c>
      <c r="C3747" t="s">
        <v>10</v>
      </c>
      <c r="D3747" t="s">
        <v>7537</v>
      </c>
      <c r="E3747" t="s">
        <v>7538</v>
      </c>
    </row>
    <row r="3748" spans="1:7" ht="14.25" hidden="1" customHeight="1" x14ac:dyDescent="0.45">
      <c r="A3748" t="str">
        <f>_xlfn.XLOOKUP(B3748,Ingot!$H$12:$H$119,Ingot!$G$12:$G$119,"")</f>
        <v>Wood</v>
      </c>
      <c r="B3748" t="s">
        <v>7424</v>
      </c>
      <c r="C3748" t="s">
        <v>10</v>
      </c>
      <c r="D3748" t="s">
        <v>7539</v>
      </c>
      <c r="E3748" t="s">
        <v>7540</v>
      </c>
      <c r="G3748" s="1">
        <v>3.11</v>
      </c>
    </row>
    <row r="3749" spans="1:7" ht="14.25" hidden="1" customHeight="1" x14ac:dyDescent="0.45">
      <c r="A3749" t="str">
        <f>_xlfn.XLOOKUP(B3749,Ingot!$H$12:$H$119,Ingot!$G$12:$G$119,"")</f>
        <v>Wood</v>
      </c>
      <c r="B3749" t="s">
        <v>7424</v>
      </c>
      <c r="C3749" t="s">
        <v>10</v>
      </c>
      <c r="D3749" t="s">
        <v>7541</v>
      </c>
      <c r="E3749" t="s">
        <v>7542</v>
      </c>
      <c r="G3749" s="1">
        <v>2.44</v>
      </c>
    </row>
    <row r="3750" spans="1:7" ht="14.25" hidden="1" customHeight="1" x14ac:dyDescent="0.45">
      <c r="A3750" t="str">
        <f>_xlfn.XLOOKUP(B3750,Ingot!$H$12:$H$119,Ingot!$G$12:$G$119,"")</f>
        <v>Wood</v>
      </c>
      <c r="B3750" t="s">
        <v>7424</v>
      </c>
      <c r="C3750" t="s">
        <v>10</v>
      </c>
      <c r="D3750" t="s">
        <v>7543</v>
      </c>
      <c r="E3750" t="s">
        <v>7544</v>
      </c>
      <c r="G3750" s="1">
        <v>8.61</v>
      </c>
    </row>
    <row r="3751" spans="1:7" ht="14.25" hidden="1" customHeight="1" x14ac:dyDescent="0.45">
      <c r="A3751" t="str">
        <f>_xlfn.XLOOKUP(B3751,Ingot!$H$12:$H$119,Ingot!$G$12:$G$119,"")</f>
        <v>Wood</v>
      </c>
      <c r="B3751" t="s">
        <v>7424</v>
      </c>
      <c r="C3751" t="s">
        <v>10</v>
      </c>
      <c r="D3751" t="s">
        <v>7545</v>
      </c>
      <c r="E3751" t="s">
        <v>7546</v>
      </c>
    </row>
    <row r="3752" spans="1:7" ht="14.25" hidden="1" customHeight="1" x14ac:dyDescent="0.45">
      <c r="A3752" t="str">
        <f>_xlfn.XLOOKUP(B3752,Ingot!$H$12:$H$119,Ingot!$G$12:$G$119,"")</f>
        <v>Wood</v>
      </c>
      <c r="B3752" t="s">
        <v>7424</v>
      </c>
      <c r="C3752" t="s">
        <v>10</v>
      </c>
      <c r="D3752" t="s">
        <v>7547</v>
      </c>
      <c r="E3752" t="s">
        <v>7548</v>
      </c>
      <c r="G3752" s="1">
        <v>3.21</v>
      </c>
    </row>
    <row r="3753" spans="1:7" ht="14.25" hidden="1" customHeight="1" x14ac:dyDescent="0.45">
      <c r="A3753" t="str">
        <f>_xlfn.XLOOKUP(B3753,Ingot!$H$12:$H$119,Ingot!$G$12:$G$119,"")</f>
        <v>Wood</v>
      </c>
      <c r="B3753" t="s">
        <v>7424</v>
      </c>
      <c r="C3753" t="s">
        <v>10</v>
      </c>
      <c r="D3753" t="s">
        <v>7549</v>
      </c>
      <c r="E3753" t="s">
        <v>7550</v>
      </c>
      <c r="G3753" s="1">
        <v>2.77</v>
      </c>
    </row>
    <row r="3754" spans="1:7" ht="14.25" hidden="1" customHeight="1" x14ac:dyDescent="0.45">
      <c r="A3754" t="str">
        <f>_xlfn.XLOOKUP(B3754,Ingot!$H$12:$H$119,Ingot!$G$12:$G$119,"")</f>
        <v>Wood</v>
      </c>
      <c r="B3754" t="s">
        <v>7424</v>
      </c>
      <c r="C3754" t="s">
        <v>10</v>
      </c>
      <c r="D3754" t="s">
        <v>7551</v>
      </c>
      <c r="E3754" t="s">
        <v>7552</v>
      </c>
      <c r="G3754" s="1">
        <v>4.8899999999999997</v>
      </c>
    </row>
    <row r="3755" spans="1:7" ht="14.25" hidden="1" customHeight="1" x14ac:dyDescent="0.45">
      <c r="A3755" t="str">
        <f>_xlfn.XLOOKUP(B3755,Ingot!$H$12:$H$119,Ingot!$G$12:$G$119,"")</f>
        <v>Wood</v>
      </c>
      <c r="B3755" t="s">
        <v>7424</v>
      </c>
      <c r="C3755" t="s">
        <v>10</v>
      </c>
      <c r="D3755" t="s">
        <v>7553</v>
      </c>
      <c r="E3755" t="s">
        <v>7554</v>
      </c>
      <c r="G3755" s="1">
        <v>1.76</v>
      </c>
    </row>
    <row r="3756" spans="1:7" ht="14.25" hidden="1" customHeight="1" x14ac:dyDescent="0.45">
      <c r="A3756" t="str">
        <f>_xlfn.XLOOKUP(B3756,Ingot!$H$12:$H$119,Ingot!$G$12:$G$119,"")</f>
        <v>Wood</v>
      </c>
      <c r="B3756" t="s">
        <v>7424</v>
      </c>
      <c r="C3756" t="s">
        <v>10</v>
      </c>
      <c r="D3756" t="s">
        <v>7555</v>
      </c>
      <c r="E3756" t="s">
        <v>7556</v>
      </c>
    </row>
    <row r="3757" spans="1:7" ht="14.25" hidden="1" customHeight="1" x14ac:dyDescent="0.45">
      <c r="A3757" t="str">
        <f>_xlfn.XLOOKUP(B3757,Ingot!$H$12:$H$119,Ingot!$G$12:$G$119,"")</f>
        <v>Wood</v>
      </c>
      <c r="B3757" t="s">
        <v>7424</v>
      </c>
      <c r="C3757" t="s">
        <v>10</v>
      </c>
      <c r="D3757" t="s">
        <v>7557</v>
      </c>
      <c r="E3757" t="s">
        <v>7558</v>
      </c>
      <c r="G3757" s="1">
        <v>8.57</v>
      </c>
    </row>
    <row r="3758" spans="1:7" ht="14.25" hidden="1" customHeight="1" x14ac:dyDescent="0.45">
      <c r="A3758" t="str">
        <f>_xlfn.XLOOKUP(B3758,Ingot!$H$12:$H$119,Ingot!$G$12:$G$119,"")</f>
        <v>Wood</v>
      </c>
      <c r="B3758" t="s">
        <v>7424</v>
      </c>
      <c r="C3758" t="s">
        <v>10</v>
      </c>
      <c r="D3758" t="s">
        <v>7559</v>
      </c>
      <c r="E3758" t="s">
        <v>7560</v>
      </c>
    </row>
    <row r="3759" spans="1:7" ht="14.25" hidden="1" customHeight="1" x14ac:dyDescent="0.45">
      <c r="A3759" t="str">
        <f>_xlfn.XLOOKUP(B3759,Ingot!$H$12:$H$119,Ingot!$G$12:$G$119,"")</f>
        <v>Wood</v>
      </c>
      <c r="B3759" t="s">
        <v>7424</v>
      </c>
      <c r="C3759" t="s">
        <v>10</v>
      </c>
      <c r="D3759" t="s">
        <v>7561</v>
      </c>
      <c r="E3759" t="s">
        <v>7562</v>
      </c>
      <c r="G3759" s="1">
        <v>3.56</v>
      </c>
    </row>
    <row r="3760" spans="1:7" ht="14.25" hidden="1" customHeight="1" x14ac:dyDescent="0.45">
      <c r="A3760" t="str">
        <f>_xlfn.XLOOKUP(B3760,Ingot!$H$12:$H$119,Ingot!$G$12:$G$119,"")</f>
        <v>Wood</v>
      </c>
      <c r="B3760" t="s">
        <v>7424</v>
      </c>
      <c r="C3760" t="s">
        <v>10</v>
      </c>
      <c r="D3760" t="s">
        <v>7563</v>
      </c>
      <c r="E3760" t="s">
        <v>7564</v>
      </c>
      <c r="G3760" s="1">
        <v>8.91</v>
      </c>
    </row>
    <row r="3761" spans="1:7" ht="14.25" hidden="1" customHeight="1" x14ac:dyDescent="0.45">
      <c r="A3761" t="str">
        <f>_xlfn.XLOOKUP(B3761,Ingot!$H$12:$H$119,Ingot!$G$12:$G$119,"")</f>
        <v>Wood</v>
      </c>
      <c r="B3761" t="s">
        <v>7424</v>
      </c>
      <c r="C3761" t="s">
        <v>10</v>
      </c>
      <c r="D3761" t="s">
        <v>7565</v>
      </c>
      <c r="E3761" t="s">
        <v>7566</v>
      </c>
      <c r="G3761" s="1">
        <v>11.02</v>
      </c>
    </row>
    <row r="3762" spans="1:7" ht="14.25" hidden="1" customHeight="1" x14ac:dyDescent="0.45">
      <c r="A3762" t="str">
        <f>_xlfn.XLOOKUP(B3762,Ingot!$H$12:$H$119,Ingot!$G$12:$G$119,"")</f>
        <v>Wood</v>
      </c>
      <c r="B3762" t="s">
        <v>7424</v>
      </c>
      <c r="C3762" t="s">
        <v>10</v>
      </c>
      <c r="D3762" t="s">
        <v>7567</v>
      </c>
      <c r="E3762" t="s">
        <v>7568</v>
      </c>
      <c r="G3762" s="1">
        <v>5.12</v>
      </c>
    </row>
    <row r="3763" spans="1:7" ht="14.25" hidden="1" customHeight="1" x14ac:dyDescent="0.45">
      <c r="A3763" t="str">
        <f>_xlfn.XLOOKUP(B3763,Ingot!$H$12:$H$119,Ingot!$G$12:$G$119,"")</f>
        <v>Wood</v>
      </c>
      <c r="B3763" t="s">
        <v>7424</v>
      </c>
      <c r="C3763" t="s">
        <v>10</v>
      </c>
      <c r="D3763" t="s">
        <v>7569</v>
      </c>
      <c r="E3763" t="s">
        <v>7570</v>
      </c>
      <c r="G3763" s="1">
        <v>4.41</v>
      </c>
    </row>
    <row r="3764" spans="1:7" ht="14.25" hidden="1" customHeight="1" x14ac:dyDescent="0.45">
      <c r="A3764" t="str">
        <f>_xlfn.XLOOKUP(B3764,Ingot!$H$12:$H$119,Ingot!$G$12:$G$119,"")</f>
        <v>Wood</v>
      </c>
      <c r="B3764" t="s">
        <v>7424</v>
      </c>
      <c r="C3764" t="s">
        <v>157</v>
      </c>
      <c r="D3764" t="s">
        <v>7571</v>
      </c>
      <c r="E3764" t="s">
        <v>7572</v>
      </c>
      <c r="G3764" s="1">
        <v>24</v>
      </c>
    </row>
    <row r="3765" spans="1:7" ht="14.25" hidden="1" customHeight="1" x14ac:dyDescent="0.45">
      <c r="A3765" t="str">
        <f>_xlfn.XLOOKUP(B3765,Ingot!$H$12:$H$119,Ingot!$G$12:$G$119,"")</f>
        <v>Wood</v>
      </c>
      <c r="B3765" t="s">
        <v>7424</v>
      </c>
      <c r="C3765" t="s">
        <v>157</v>
      </c>
      <c r="D3765" t="s">
        <v>7573</v>
      </c>
      <c r="E3765" t="s">
        <v>7574</v>
      </c>
      <c r="G3765" s="1">
        <v>5</v>
      </c>
    </row>
    <row r="3766" spans="1:7" ht="14.25" hidden="1" customHeight="1" x14ac:dyDescent="0.45">
      <c r="A3766" t="str">
        <f>_xlfn.XLOOKUP(B3766,Ingot!$H$12:$H$119,Ingot!$G$12:$G$119,"")</f>
        <v>Wood</v>
      </c>
      <c r="B3766" t="s">
        <v>7424</v>
      </c>
      <c r="C3766" t="s">
        <v>157</v>
      </c>
      <c r="D3766" t="s">
        <v>7575</v>
      </c>
      <c r="E3766" t="s">
        <v>7576</v>
      </c>
      <c r="G3766" s="1">
        <v>5</v>
      </c>
    </row>
    <row r="3767" spans="1:7" ht="14.25" hidden="1" customHeight="1" x14ac:dyDescent="0.45">
      <c r="A3767" t="str">
        <f>_xlfn.XLOOKUP(B3767,Ingot!$H$12:$H$119,Ingot!$G$12:$G$119,"")</f>
        <v>Wood</v>
      </c>
      <c r="B3767" t="s">
        <v>7424</v>
      </c>
      <c r="C3767" t="s">
        <v>157</v>
      </c>
      <c r="D3767" t="s">
        <v>7577</v>
      </c>
      <c r="E3767" t="s">
        <v>7578</v>
      </c>
      <c r="G3767" s="1">
        <v>5</v>
      </c>
    </row>
    <row r="3768" spans="1:7" ht="14.25" hidden="1" customHeight="1" x14ac:dyDescent="0.45">
      <c r="A3768" t="str">
        <f>_xlfn.XLOOKUP(B3768,Ingot!$H$12:$H$119,Ingot!$G$12:$G$119,"")</f>
        <v>Wood</v>
      </c>
      <c r="B3768" t="s">
        <v>7424</v>
      </c>
      <c r="C3768" t="s">
        <v>157</v>
      </c>
      <c r="D3768" t="s">
        <v>7579</v>
      </c>
      <c r="E3768" t="s">
        <v>7580</v>
      </c>
      <c r="G3768" s="1">
        <v>10</v>
      </c>
    </row>
    <row r="3769" spans="1:7" ht="14.25" hidden="1" customHeight="1" x14ac:dyDescent="0.45">
      <c r="A3769" t="str">
        <f>_xlfn.XLOOKUP(B3769,Ingot!$H$12:$H$119,Ingot!$G$12:$G$119,"")</f>
        <v>Wood</v>
      </c>
      <c r="B3769" t="s">
        <v>7424</v>
      </c>
      <c r="C3769" t="s">
        <v>157</v>
      </c>
      <c r="D3769" t="s">
        <v>7581</v>
      </c>
      <c r="E3769" t="s">
        <v>7582</v>
      </c>
      <c r="G3769" s="1">
        <v>20.8</v>
      </c>
    </row>
    <row r="3770" spans="1:7" ht="14.25" hidden="1" customHeight="1" x14ac:dyDescent="0.45">
      <c r="A3770" t="str">
        <f>_xlfn.XLOOKUP(B3770,Ingot!$H$12:$H$119,Ingot!$G$12:$G$119,"")</f>
        <v>Wood</v>
      </c>
      <c r="B3770" t="s">
        <v>7424</v>
      </c>
      <c r="C3770" t="s">
        <v>157</v>
      </c>
      <c r="D3770" t="s">
        <v>7583</v>
      </c>
      <c r="E3770" t="s">
        <v>7584</v>
      </c>
      <c r="G3770" s="1">
        <v>5</v>
      </c>
    </row>
    <row r="3771" spans="1:7" ht="14.25" hidden="1" customHeight="1" x14ac:dyDescent="0.45">
      <c r="A3771" t="str">
        <f>_xlfn.XLOOKUP(B3771,Ingot!$H$12:$H$119,Ingot!$G$12:$G$119,"")</f>
        <v>Wood</v>
      </c>
      <c r="B3771" t="s">
        <v>7424</v>
      </c>
      <c r="C3771" t="s">
        <v>157</v>
      </c>
      <c r="D3771" t="s">
        <v>7585</v>
      </c>
      <c r="E3771" t="s">
        <v>7586</v>
      </c>
      <c r="G3771" s="1">
        <v>5</v>
      </c>
    </row>
    <row r="3772" spans="1:7" ht="14.25" hidden="1" customHeight="1" x14ac:dyDescent="0.45">
      <c r="A3772" t="str">
        <f>_xlfn.XLOOKUP(B3772,Ingot!$H$12:$H$119,Ingot!$G$12:$G$119,"")</f>
        <v>Wood</v>
      </c>
      <c r="B3772" t="s">
        <v>7424</v>
      </c>
      <c r="C3772" t="s">
        <v>157</v>
      </c>
      <c r="D3772" t="s">
        <v>7587</v>
      </c>
      <c r="E3772" t="s">
        <v>7588</v>
      </c>
      <c r="G3772" s="1">
        <v>5</v>
      </c>
    </row>
    <row r="3773" spans="1:7" ht="14.25" hidden="1" customHeight="1" x14ac:dyDescent="0.45">
      <c r="A3773" t="str">
        <f>_xlfn.XLOOKUP(B3773,Ingot!$H$12:$H$119,Ingot!$G$12:$G$119,"")</f>
        <v>Wood</v>
      </c>
      <c r="B3773" t="s">
        <v>7424</v>
      </c>
      <c r="C3773" t="s">
        <v>157</v>
      </c>
      <c r="D3773" t="s">
        <v>7589</v>
      </c>
      <c r="E3773" t="s">
        <v>7590</v>
      </c>
      <c r="G3773" s="1">
        <v>10</v>
      </c>
    </row>
    <row r="3774" spans="1:7" ht="14.25" hidden="1" customHeight="1" x14ac:dyDescent="0.45">
      <c r="A3774" t="str">
        <f>_xlfn.XLOOKUP(B3774,Ingot!$H$12:$H$119,Ingot!$G$12:$G$119,"")</f>
        <v>Wood</v>
      </c>
      <c r="B3774" t="s">
        <v>7424</v>
      </c>
      <c r="C3774" t="s">
        <v>157</v>
      </c>
      <c r="D3774" t="s">
        <v>7591</v>
      </c>
      <c r="E3774" t="s">
        <v>7592</v>
      </c>
      <c r="G3774" s="1">
        <v>20</v>
      </c>
    </row>
    <row r="3775" spans="1:7" ht="14.25" hidden="1" customHeight="1" x14ac:dyDescent="0.45">
      <c r="A3775" t="str">
        <f>_xlfn.XLOOKUP(B3775,Ingot!$H$12:$H$119,Ingot!$G$12:$G$119,"")</f>
        <v>Wood</v>
      </c>
      <c r="B3775" t="s">
        <v>7424</v>
      </c>
      <c r="C3775" t="s">
        <v>157</v>
      </c>
      <c r="D3775" t="s">
        <v>7593</v>
      </c>
      <c r="E3775" t="s">
        <v>7594</v>
      </c>
      <c r="G3775" s="1">
        <v>5</v>
      </c>
    </row>
    <row r="3776" spans="1:7" ht="14.25" hidden="1" customHeight="1" x14ac:dyDescent="0.45">
      <c r="A3776" t="str">
        <f>_xlfn.XLOOKUP(B3776,Ingot!$H$12:$H$119,Ingot!$G$12:$G$119,"")</f>
        <v>Wood</v>
      </c>
      <c r="B3776" t="s">
        <v>7424</v>
      </c>
      <c r="C3776" t="s">
        <v>157</v>
      </c>
      <c r="D3776" t="s">
        <v>7595</v>
      </c>
      <c r="E3776" t="s">
        <v>7596</v>
      </c>
      <c r="G3776" s="1">
        <v>5</v>
      </c>
    </row>
    <row r="3777" spans="1:7" ht="14.25" hidden="1" customHeight="1" x14ac:dyDescent="0.45">
      <c r="A3777" t="str">
        <f>_xlfn.XLOOKUP(B3777,Ingot!$H$12:$H$119,Ingot!$G$12:$G$119,"")</f>
        <v>Wood</v>
      </c>
      <c r="B3777" t="s">
        <v>7424</v>
      </c>
      <c r="C3777" t="s">
        <v>157</v>
      </c>
      <c r="D3777" t="s">
        <v>7597</v>
      </c>
      <c r="E3777" t="s">
        <v>7598</v>
      </c>
      <c r="G3777" s="1">
        <v>5</v>
      </c>
    </row>
    <row r="3778" spans="1:7" ht="14.25" hidden="1" customHeight="1" x14ac:dyDescent="0.45">
      <c r="A3778" t="str">
        <f>_xlfn.XLOOKUP(B3778,Ingot!$H$12:$H$119,Ingot!$G$12:$G$119,"")</f>
        <v>Wood</v>
      </c>
      <c r="B3778" t="s">
        <v>7424</v>
      </c>
      <c r="C3778" t="s">
        <v>157</v>
      </c>
      <c r="D3778" t="s">
        <v>7599</v>
      </c>
      <c r="E3778" t="s">
        <v>7600</v>
      </c>
      <c r="G3778" s="1">
        <v>10</v>
      </c>
    </row>
    <row r="3779" spans="1:7" ht="14.25" hidden="1" customHeight="1" x14ac:dyDescent="0.45">
      <c r="A3779" t="str">
        <f>_xlfn.XLOOKUP(B3779,Ingot!$H$12:$H$119,Ingot!$G$12:$G$119,"")</f>
        <v>Wood</v>
      </c>
      <c r="B3779" t="s">
        <v>7424</v>
      </c>
      <c r="C3779" t="s">
        <v>157</v>
      </c>
      <c r="D3779" t="s">
        <v>7601</v>
      </c>
      <c r="E3779" t="s">
        <v>7602</v>
      </c>
      <c r="G3779" s="1">
        <v>22</v>
      </c>
    </row>
    <row r="3780" spans="1:7" ht="14.25" hidden="1" customHeight="1" x14ac:dyDescent="0.45">
      <c r="A3780" t="str">
        <f>_xlfn.XLOOKUP(B3780,Ingot!$H$12:$H$119,Ingot!$G$12:$G$119,"")</f>
        <v>Wood</v>
      </c>
      <c r="B3780" t="s">
        <v>7424</v>
      </c>
      <c r="C3780" t="s">
        <v>157</v>
      </c>
      <c r="D3780" t="s">
        <v>7603</v>
      </c>
      <c r="E3780" t="s">
        <v>7604</v>
      </c>
      <c r="G3780" s="1">
        <v>5</v>
      </c>
    </row>
    <row r="3781" spans="1:7" ht="14.25" hidden="1" customHeight="1" x14ac:dyDescent="0.45">
      <c r="A3781" t="str">
        <f>_xlfn.XLOOKUP(B3781,Ingot!$H$12:$H$119,Ingot!$G$12:$G$119,"")</f>
        <v>Wood</v>
      </c>
      <c r="B3781" t="s">
        <v>7424</v>
      </c>
      <c r="C3781" t="s">
        <v>157</v>
      </c>
      <c r="D3781" t="s">
        <v>7605</v>
      </c>
      <c r="E3781" t="s">
        <v>7606</v>
      </c>
      <c r="G3781" s="1">
        <v>5</v>
      </c>
    </row>
    <row r="3782" spans="1:7" ht="14.25" hidden="1" customHeight="1" x14ac:dyDescent="0.45">
      <c r="A3782" t="str">
        <f>_xlfn.XLOOKUP(B3782,Ingot!$H$12:$H$119,Ingot!$G$12:$G$119,"")</f>
        <v>Wood</v>
      </c>
      <c r="B3782" t="s">
        <v>7424</v>
      </c>
      <c r="C3782" t="s">
        <v>157</v>
      </c>
      <c r="D3782" t="s">
        <v>7607</v>
      </c>
      <c r="E3782" t="s">
        <v>7608</v>
      </c>
      <c r="G3782" s="1">
        <v>5</v>
      </c>
    </row>
    <row r="3783" spans="1:7" ht="14.25" hidden="1" customHeight="1" x14ac:dyDescent="0.45">
      <c r="A3783" t="str">
        <f>_xlfn.XLOOKUP(B3783,Ingot!$H$12:$H$119,Ingot!$G$12:$G$119,"")</f>
        <v>Wood</v>
      </c>
      <c r="B3783" t="s">
        <v>7424</v>
      </c>
      <c r="C3783" t="s">
        <v>157</v>
      </c>
      <c r="D3783" t="s">
        <v>7609</v>
      </c>
      <c r="E3783" t="s">
        <v>7610</v>
      </c>
      <c r="G3783" s="1">
        <v>10</v>
      </c>
    </row>
    <row r="3784" spans="1:7" ht="14.25" hidden="1" customHeight="1" x14ac:dyDescent="0.45">
      <c r="A3784" t="str">
        <f>_xlfn.XLOOKUP(B3784,Ingot!$H$12:$H$119,Ingot!$G$12:$G$119,"")</f>
        <v>Wood</v>
      </c>
      <c r="B3784" t="s">
        <v>7424</v>
      </c>
      <c r="C3784" t="s">
        <v>157</v>
      </c>
      <c r="D3784" t="s">
        <v>7611</v>
      </c>
      <c r="E3784" t="s">
        <v>7612</v>
      </c>
      <c r="G3784" s="1">
        <v>23</v>
      </c>
    </row>
    <row r="3785" spans="1:7" ht="14.25" hidden="1" customHeight="1" x14ac:dyDescent="0.45">
      <c r="A3785" t="str">
        <f>_xlfn.XLOOKUP(B3785,Ingot!$H$12:$H$119,Ingot!$G$12:$G$119,"")</f>
        <v>Wood</v>
      </c>
      <c r="B3785" t="s">
        <v>7424</v>
      </c>
      <c r="C3785" t="s">
        <v>157</v>
      </c>
      <c r="D3785" t="s">
        <v>7613</v>
      </c>
      <c r="E3785" t="s">
        <v>7614</v>
      </c>
      <c r="G3785" s="1">
        <v>5</v>
      </c>
    </row>
    <row r="3786" spans="1:7" ht="14.25" hidden="1" customHeight="1" x14ac:dyDescent="0.45">
      <c r="A3786" t="str">
        <f>_xlfn.XLOOKUP(B3786,Ingot!$H$12:$H$119,Ingot!$G$12:$G$119,"")</f>
        <v>Wood</v>
      </c>
      <c r="B3786" t="s">
        <v>7424</v>
      </c>
      <c r="C3786" t="s">
        <v>157</v>
      </c>
      <c r="D3786" t="s">
        <v>7615</v>
      </c>
      <c r="E3786" t="s">
        <v>7616</v>
      </c>
      <c r="G3786" s="1">
        <v>5</v>
      </c>
    </row>
    <row r="3787" spans="1:7" ht="14.25" hidden="1" customHeight="1" x14ac:dyDescent="0.45">
      <c r="A3787" t="str">
        <f>_xlfn.XLOOKUP(B3787,Ingot!$H$12:$H$119,Ingot!$G$12:$G$119,"")</f>
        <v>Wood</v>
      </c>
      <c r="B3787" t="s">
        <v>7424</v>
      </c>
      <c r="C3787" t="s">
        <v>157</v>
      </c>
      <c r="D3787" t="s">
        <v>7617</v>
      </c>
      <c r="E3787" t="s">
        <v>7618</v>
      </c>
      <c r="G3787" s="1">
        <v>5</v>
      </c>
    </row>
    <row r="3788" spans="1:7" ht="14.25" hidden="1" customHeight="1" x14ac:dyDescent="0.45">
      <c r="A3788" t="str">
        <f>_xlfn.XLOOKUP(B3788,Ingot!$H$12:$H$119,Ingot!$G$12:$G$119,"")</f>
        <v>Wood</v>
      </c>
      <c r="B3788" t="s">
        <v>7424</v>
      </c>
      <c r="C3788" t="s">
        <v>157</v>
      </c>
      <c r="D3788" t="s">
        <v>7619</v>
      </c>
      <c r="E3788" t="s">
        <v>7620</v>
      </c>
      <c r="G3788" s="1">
        <v>10</v>
      </c>
    </row>
    <row r="3789" spans="1:7" ht="14.25" hidden="1" customHeight="1" x14ac:dyDescent="0.45">
      <c r="A3789" t="str">
        <f>_xlfn.XLOOKUP(B3789,Ingot!$H$12:$H$119,Ingot!$G$12:$G$119,"")</f>
        <v>Wood</v>
      </c>
      <c r="B3789" t="s">
        <v>7424</v>
      </c>
      <c r="C3789" t="s">
        <v>157</v>
      </c>
      <c r="D3789" t="s">
        <v>7621</v>
      </c>
      <c r="E3789" t="s">
        <v>7622</v>
      </c>
      <c r="G3789" s="1">
        <v>26.8</v>
      </c>
    </row>
    <row r="3790" spans="1:7" ht="14.25" hidden="1" customHeight="1" x14ac:dyDescent="0.45">
      <c r="A3790" t="str">
        <f>_xlfn.XLOOKUP(B3790,Ingot!$H$12:$H$119,Ingot!$G$12:$G$119,"")</f>
        <v>Wood</v>
      </c>
      <c r="B3790" t="s">
        <v>7424</v>
      </c>
      <c r="C3790" t="s">
        <v>157</v>
      </c>
      <c r="D3790" t="s">
        <v>7623</v>
      </c>
      <c r="E3790" t="s">
        <v>7624</v>
      </c>
      <c r="G3790" s="1">
        <v>5.36</v>
      </c>
    </row>
    <row r="3791" spans="1:7" ht="14.25" hidden="1" customHeight="1" x14ac:dyDescent="0.45">
      <c r="A3791" t="str">
        <f>_xlfn.XLOOKUP(B3791,Ingot!$H$12:$H$119,Ingot!$G$12:$G$119,"")</f>
        <v>Wood</v>
      </c>
      <c r="B3791" t="s">
        <v>7424</v>
      </c>
      <c r="C3791" t="s">
        <v>157</v>
      </c>
      <c r="D3791" t="s">
        <v>7625</v>
      </c>
      <c r="E3791" t="s">
        <v>7626</v>
      </c>
      <c r="G3791" s="1">
        <v>5.36</v>
      </c>
    </row>
    <row r="3792" spans="1:7" ht="14.25" hidden="1" customHeight="1" x14ac:dyDescent="0.45">
      <c r="A3792" t="str">
        <f>_xlfn.XLOOKUP(B3792,Ingot!$H$12:$H$119,Ingot!$G$12:$G$119,"")</f>
        <v>Wood</v>
      </c>
      <c r="B3792" t="s">
        <v>7424</v>
      </c>
      <c r="C3792" t="s">
        <v>157</v>
      </c>
      <c r="D3792" t="s">
        <v>7627</v>
      </c>
      <c r="E3792" t="s">
        <v>7628</v>
      </c>
      <c r="G3792" s="1">
        <v>5</v>
      </c>
    </row>
    <row r="3793" spans="1:7" ht="14.25" hidden="1" customHeight="1" x14ac:dyDescent="0.45">
      <c r="A3793" t="str">
        <f>_xlfn.XLOOKUP(B3793,Ingot!$H$12:$H$119,Ingot!$G$12:$G$119,"")</f>
        <v>Wood</v>
      </c>
      <c r="B3793" t="s">
        <v>7424</v>
      </c>
      <c r="C3793" t="s">
        <v>157</v>
      </c>
      <c r="D3793" t="s">
        <v>7629</v>
      </c>
      <c r="E3793" t="s">
        <v>7630</v>
      </c>
      <c r="G3793" s="1">
        <v>10</v>
      </c>
    </row>
    <row r="3794" spans="1:7" ht="14.25" hidden="1" customHeight="1" x14ac:dyDescent="0.45">
      <c r="A3794" t="str">
        <f>_xlfn.XLOOKUP(B3794,Ingot!$H$12:$H$119,Ingot!$G$12:$G$119,"")</f>
        <v>Wood</v>
      </c>
      <c r="B3794" t="s">
        <v>7424</v>
      </c>
      <c r="C3794" t="s">
        <v>157</v>
      </c>
      <c r="D3794" t="s">
        <v>7631</v>
      </c>
      <c r="E3794" t="s">
        <v>7632</v>
      </c>
      <c r="G3794" s="1">
        <v>25.5</v>
      </c>
    </row>
    <row r="3795" spans="1:7" ht="14.25" hidden="1" customHeight="1" x14ac:dyDescent="0.45">
      <c r="A3795" t="str">
        <f>_xlfn.XLOOKUP(B3795,Ingot!$H$12:$H$119,Ingot!$G$12:$G$119,"")</f>
        <v>Wood</v>
      </c>
      <c r="B3795" t="s">
        <v>7424</v>
      </c>
      <c r="C3795" t="s">
        <v>157</v>
      </c>
      <c r="D3795" t="s">
        <v>7633</v>
      </c>
      <c r="E3795" t="s">
        <v>7634</v>
      </c>
      <c r="G3795" s="1">
        <v>5.0999999999999996</v>
      </c>
    </row>
    <row r="3796" spans="1:7" ht="14.25" hidden="1" customHeight="1" x14ac:dyDescent="0.45">
      <c r="A3796" t="str">
        <f>_xlfn.XLOOKUP(B3796,Ingot!$H$12:$H$119,Ingot!$G$12:$G$119,"")</f>
        <v>Wood</v>
      </c>
      <c r="B3796" t="s">
        <v>7424</v>
      </c>
      <c r="C3796" t="s">
        <v>157</v>
      </c>
      <c r="D3796" t="s">
        <v>7635</v>
      </c>
      <c r="E3796" t="s">
        <v>7636</v>
      </c>
      <c r="G3796" s="1">
        <v>5.0999999999999996</v>
      </c>
    </row>
    <row r="3797" spans="1:7" ht="14.25" hidden="1" customHeight="1" x14ac:dyDescent="0.45">
      <c r="A3797" t="str">
        <f>_xlfn.XLOOKUP(B3797,Ingot!$H$12:$H$119,Ingot!$G$12:$G$119,"")</f>
        <v>Wood</v>
      </c>
      <c r="B3797" t="s">
        <v>7424</v>
      </c>
      <c r="C3797" t="s">
        <v>157</v>
      </c>
      <c r="D3797" t="s">
        <v>7637</v>
      </c>
      <c r="E3797" t="s">
        <v>7638</v>
      </c>
      <c r="G3797" s="1">
        <v>5</v>
      </c>
    </row>
    <row r="3798" spans="1:7" ht="14.25" hidden="1" customHeight="1" x14ac:dyDescent="0.45">
      <c r="A3798" t="str">
        <f>_xlfn.XLOOKUP(B3798,Ingot!$H$12:$H$119,Ingot!$G$12:$G$119,"")</f>
        <v>Wood</v>
      </c>
      <c r="B3798" t="s">
        <v>7424</v>
      </c>
      <c r="C3798" t="s">
        <v>157</v>
      </c>
      <c r="D3798" t="s">
        <v>7639</v>
      </c>
      <c r="E3798" t="s">
        <v>7640</v>
      </c>
      <c r="G3798" s="1">
        <v>10</v>
      </c>
    </row>
    <row r="3799" spans="1:7" ht="14.25" hidden="1" customHeight="1" x14ac:dyDescent="0.45">
      <c r="A3799" t="str">
        <f>_xlfn.XLOOKUP(B3799,Ingot!$H$12:$H$119,Ingot!$G$12:$G$119,"")</f>
        <v>Wood</v>
      </c>
      <c r="B3799" t="s">
        <v>7424</v>
      </c>
      <c r="C3799" t="s">
        <v>157</v>
      </c>
      <c r="D3799" t="s">
        <v>7641</v>
      </c>
      <c r="E3799" t="s">
        <v>7642</v>
      </c>
      <c r="G3799" s="1">
        <v>19.2</v>
      </c>
    </row>
    <row r="3800" spans="1:7" ht="14.25" hidden="1" customHeight="1" x14ac:dyDescent="0.45">
      <c r="A3800" t="str">
        <f>_xlfn.XLOOKUP(B3800,Ingot!$H$12:$H$119,Ingot!$G$12:$G$119,"")</f>
        <v>Wood</v>
      </c>
      <c r="B3800" t="s">
        <v>7424</v>
      </c>
      <c r="C3800" t="s">
        <v>157</v>
      </c>
      <c r="D3800" t="s">
        <v>7643</v>
      </c>
      <c r="E3800" t="s">
        <v>7644</v>
      </c>
      <c r="G3800" s="1">
        <v>5</v>
      </c>
    </row>
    <row r="3801" spans="1:7" ht="14.25" hidden="1" customHeight="1" x14ac:dyDescent="0.45">
      <c r="A3801" t="str">
        <f>_xlfn.XLOOKUP(B3801,Ingot!$H$12:$H$119,Ingot!$G$12:$G$119,"")</f>
        <v>Wood</v>
      </c>
      <c r="B3801" t="s">
        <v>7424</v>
      </c>
      <c r="C3801" t="s">
        <v>157</v>
      </c>
      <c r="D3801" t="s">
        <v>7645</v>
      </c>
      <c r="E3801" t="s">
        <v>7646</v>
      </c>
      <c r="G3801" s="1">
        <v>5</v>
      </c>
    </row>
    <row r="3802" spans="1:7" ht="14.25" hidden="1" customHeight="1" x14ac:dyDescent="0.45">
      <c r="A3802" t="str">
        <f>_xlfn.XLOOKUP(B3802,Ingot!$H$12:$H$119,Ingot!$G$12:$G$119,"")</f>
        <v>Wood</v>
      </c>
      <c r="B3802" t="s">
        <v>7424</v>
      </c>
      <c r="C3802" t="s">
        <v>157</v>
      </c>
      <c r="D3802" t="s">
        <v>7647</v>
      </c>
      <c r="E3802" t="s">
        <v>7648</v>
      </c>
      <c r="G3802" s="1">
        <v>5</v>
      </c>
    </row>
    <row r="3803" spans="1:7" ht="14.25" hidden="1" customHeight="1" x14ac:dyDescent="0.45">
      <c r="A3803" t="str">
        <f>_xlfn.XLOOKUP(B3803,Ingot!$H$12:$H$119,Ingot!$G$12:$G$119,"")</f>
        <v>Wood</v>
      </c>
      <c r="B3803" t="s">
        <v>7424</v>
      </c>
      <c r="C3803" t="s">
        <v>157</v>
      </c>
      <c r="D3803" t="s">
        <v>7649</v>
      </c>
      <c r="E3803" t="s">
        <v>7650</v>
      </c>
      <c r="G3803" s="1">
        <v>10</v>
      </c>
    </row>
    <row r="3804" spans="1:7" ht="14.25" hidden="1" customHeight="1" x14ac:dyDescent="0.45">
      <c r="A3804" t="str">
        <f>_xlfn.XLOOKUP(B3804,Ingot!$H$12:$H$119,Ingot!$G$12:$G$119,"")</f>
        <v>Wood</v>
      </c>
      <c r="B3804" t="s">
        <v>7424</v>
      </c>
      <c r="C3804" t="s">
        <v>239</v>
      </c>
      <c r="D3804" t="s">
        <v>7651</v>
      </c>
      <c r="E3804" t="s">
        <v>7652</v>
      </c>
    </row>
    <row r="3805" spans="1:7" ht="14.25" hidden="1" customHeight="1" x14ac:dyDescent="0.45">
      <c r="A3805" t="str">
        <f>_xlfn.XLOOKUP(B3805,Ingot!$H$12:$H$119,Ingot!$G$12:$G$119,"")</f>
        <v>Wood</v>
      </c>
      <c r="B3805" t="s">
        <v>7424</v>
      </c>
      <c r="C3805" t="s">
        <v>239</v>
      </c>
      <c r="D3805" t="s">
        <v>7653</v>
      </c>
      <c r="E3805" t="s">
        <v>7654</v>
      </c>
    </row>
    <row r="3806" spans="1:7" ht="14.25" hidden="1" customHeight="1" x14ac:dyDescent="0.45">
      <c r="A3806" t="str">
        <f>_xlfn.XLOOKUP(B3806,Ingot!$H$12:$H$119,Ingot!$G$12:$G$119,"")</f>
        <v>Wood</v>
      </c>
      <c r="B3806" t="s">
        <v>7424</v>
      </c>
      <c r="C3806" t="s">
        <v>239</v>
      </c>
      <c r="D3806" t="s">
        <v>7655</v>
      </c>
      <c r="E3806" t="s">
        <v>7656</v>
      </c>
    </row>
    <row r="3807" spans="1:7" ht="14.25" hidden="1" customHeight="1" x14ac:dyDescent="0.45">
      <c r="A3807" t="str">
        <f>_xlfn.XLOOKUP(B3807,Ingot!$H$12:$H$119,Ingot!$G$12:$G$119,"")</f>
        <v>Wood</v>
      </c>
      <c r="B3807" t="s">
        <v>7424</v>
      </c>
      <c r="C3807" t="s">
        <v>239</v>
      </c>
      <c r="D3807" t="s">
        <v>7657</v>
      </c>
      <c r="E3807" t="s">
        <v>7658</v>
      </c>
    </row>
    <row r="3808" spans="1:7" ht="14.25" hidden="1" customHeight="1" x14ac:dyDescent="0.45">
      <c r="A3808" t="str">
        <f>_xlfn.XLOOKUP(B3808,Ingot!$H$12:$H$119,Ingot!$G$12:$G$119,"")</f>
        <v>Wood</v>
      </c>
      <c r="B3808" t="s">
        <v>7424</v>
      </c>
      <c r="C3808" t="s">
        <v>239</v>
      </c>
      <c r="D3808" t="s">
        <v>7659</v>
      </c>
      <c r="E3808" t="s">
        <v>7660</v>
      </c>
    </row>
    <row r="3809" spans="1:7" ht="14.25" hidden="1" customHeight="1" x14ac:dyDescent="0.45">
      <c r="A3809" t="str">
        <f>_xlfn.XLOOKUP(B3809,Ingot!$H$12:$H$119,Ingot!$G$12:$G$119,"")</f>
        <v>Wood</v>
      </c>
      <c r="B3809" t="s">
        <v>7424</v>
      </c>
      <c r="C3809" t="s">
        <v>239</v>
      </c>
      <c r="D3809" t="s">
        <v>7661</v>
      </c>
      <c r="E3809" t="s">
        <v>7662</v>
      </c>
    </row>
    <row r="3810" spans="1:7" ht="14.25" hidden="1" customHeight="1" x14ac:dyDescent="0.45">
      <c r="A3810" t="str">
        <f>_xlfn.XLOOKUP(B3810,Ingot!$H$12:$H$119,Ingot!$G$12:$G$119,"")</f>
        <v>Wood</v>
      </c>
      <c r="B3810" t="s">
        <v>7663</v>
      </c>
      <c r="C3810" t="s">
        <v>10</v>
      </c>
      <c r="D3810" t="s">
        <v>7664</v>
      </c>
      <c r="E3810" t="s">
        <v>7665</v>
      </c>
      <c r="G3810" s="1">
        <v>0.08</v>
      </c>
    </row>
    <row r="3811" spans="1:7" ht="14.25" hidden="1" customHeight="1" x14ac:dyDescent="0.45">
      <c r="A3811" t="str">
        <f>_xlfn.XLOOKUP(B3811,Ingot!$H$12:$H$119,Ingot!$G$12:$G$119,"")</f>
        <v>Wood</v>
      </c>
      <c r="B3811" t="s">
        <v>7663</v>
      </c>
      <c r="C3811" t="s">
        <v>10</v>
      </c>
      <c r="D3811" t="s">
        <v>7666</v>
      </c>
      <c r="E3811" t="s">
        <v>7667</v>
      </c>
      <c r="G3811" s="1">
        <v>9.9</v>
      </c>
    </row>
    <row r="3812" spans="1:7" ht="14.25" hidden="1" customHeight="1" x14ac:dyDescent="0.45">
      <c r="A3812" t="str">
        <f>_xlfn.XLOOKUP(B3812,Ingot!$H$12:$H$119,Ingot!$G$12:$G$119,"")</f>
        <v>Wood</v>
      </c>
      <c r="B3812" t="s">
        <v>7663</v>
      </c>
      <c r="C3812" t="s">
        <v>10</v>
      </c>
      <c r="D3812" t="s">
        <v>7668</v>
      </c>
      <c r="E3812" t="s">
        <v>7669</v>
      </c>
      <c r="G3812" s="1">
        <v>5.66</v>
      </c>
    </row>
    <row r="3813" spans="1:7" ht="14.25" hidden="1" customHeight="1" x14ac:dyDescent="0.45">
      <c r="A3813" t="str">
        <f>_xlfn.XLOOKUP(B3813,Ingot!$H$12:$H$119,Ingot!$G$12:$G$119,"")</f>
        <v>Wood</v>
      </c>
      <c r="B3813" t="s">
        <v>7663</v>
      </c>
      <c r="C3813" t="s">
        <v>10</v>
      </c>
      <c r="D3813" t="s">
        <v>7670</v>
      </c>
      <c r="E3813" t="s">
        <v>7671</v>
      </c>
      <c r="G3813" s="1">
        <v>3.3</v>
      </c>
    </row>
    <row r="3814" spans="1:7" ht="14.25" hidden="1" customHeight="1" x14ac:dyDescent="0.45">
      <c r="A3814" t="str">
        <f>_xlfn.XLOOKUP(B3814,Ingot!$H$12:$H$119,Ingot!$G$12:$G$119,"")</f>
        <v>Wood</v>
      </c>
      <c r="B3814" t="s">
        <v>7663</v>
      </c>
      <c r="C3814" t="s">
        <v>10</v>
      </c>
      <c r="D3814" t="s">
        <v>7672</v>
      </c>
      <c r="E3814" t="s">
        <v>7673</v>
      </c>
      <c r="G3814" s="1">
        <v>0.66</v>
      </c>
    </row>
    <row r="3815" spans="1:7" ht="14.25" hidden="1" customHeight="1" x14ac:dyDescent="0.45">
      <c r="A3815" t="str">
        <f>_xlfn.XLOOKUP(B3815,Ingot!$H$12:$H$119,Ingot!$G$12:$G$119,"")</f>
        <v>Wood</v>
      </c>
      <c r="B3815" t="s">
        <v>7663</v>
      </c>
      <c r="C3815" t="s">
        <v>10</v>
      </c>
      <c r="D3815" t="s">
        <v>7674</v>
      </c>
      <c r="E3815" t="s">
        <v>7675</v>
      </c>
      <c r="G3815" s="1">
        <v>0.04</v>
      </c>
    </row>
    <row r="3816" spans="1:7" ht="14.25" hidden="1" customHeight="1" x14ac:dyDescent="0.45">
      <c r="A3816" t="str">
        <f>_xlfn.XLOOKUP(B3816,Ingot!$H$12:$H$119,Ingot!$G$12:$G$119,"")</f>
        <v>Wood</v>
      </c>
      <c r="B3816" t="s">
        <v>7663</v>
      </c>
      <c r="C3816" t="s">
        <v>10</v>
      </c>
      <c r="D3816" t="s">
        <v>7676</v>
      </c>
      <c r="E3816" t="s">
        <v>7677</v>
      </c>
      <c r="G3816" s="1">
        <v>0.33</v>
      </c>
    </row>
    <row r="3817" spans="1:7" ht="14.25" hidden="1" customHeight="1" x14ac:dyDescent="0.45">
      <c r="A3817" t="str">
        <f>_xlfn.XLOOKUP(B3817,Ingot!$H$12:$H$119,Ingot!$G$12:$G$119,"")</f>
        <v>Wood</v>
      </c>
      <c r="B3817" t="s">
        <v>7663</v>
      </c>
      <c r="C3817" t="s">
        <v>10</v>
      </c>
      <c r="D3817" t="s">
        <v>7678</v>
      </c>
      <c r="E3817" t="s">
        <v>7679</v>
      </c>
    </row>
    <row r="3818" spans="1:7" ht="14.25" hidden="1" customHeight="1" x14ac:dyDescent="0.45">
      <c r="A3818" t="str">
        <f>_xlfn.XLOOKUP(B3818,Ingot!$H$12:$H$119,Ingot!$G$12:$G$119,"")</f>
        <v>Wood</v>
      </c>
      <c r="B3818" t="s">
        <v>7663</v>
      </c>
      <c r="C3818" t="s">
        <v>10</v>
      </c>
      <c r="D3818" t="s">
        <v>7680</v>
      </c>
      <c r="E3818" t="s">
        <v>7681</v>
      </c>
      <c r="G3818" s="1">
        <v>0.05</v>
      </c>
    </row>
    <row r="3819" spans="1:7" ht="14.25" hidden="1" customHeight="1" x14ac:dyDescent="0.45">
      <c r="A3819" t="str">
        <f>_xlfn.XLOOKUP(B3819,Ingot!$H$12:$H$119,Ingot!$G$12:$G$119,"")</f>
        <v>Wood</v>
      </c>
      <c r="B3819" t="s">
        <v>7663</v>
      </c>
      <c r="C3819" t="s">
        <v>10</v>
      </c>
      <c r="D3819" t="s">
        <v>7682</v>
      </c>
      <c r="E3819" t="s">
        <v>7683</v>
      </c>
      <c r="G3819" s="1">
        <v>0.66</v>
      </c>
    </row>
    <row r="3820" spans="1:7" ht="14.25" hidden="1" customHeight="1" x14ac:dyDescent="0.45">
      <c r="A3820" t="str">
        <f>_xlfn.XLOOKUP(B3820,Ingot!$H$12:$H$119,Ingot!$G$12:$G$119,"")</f>
        <v>Wood</v>
      </c>
      <c r="B3820" t="s">
        <v>7663</v>
      </c>
      <c r="C3820" t="s">
        <v>10</v>
      </c>
      <c r="D3820" t="s">
        <v>7684</v>
      </c>
      <c r="E3820" t="s">
        <v>7685</v>
      </c>
      <c r="G3820" s="1">
        <v>3.96</v>
      </c>
    </row>
    <row r="3821" spans="1:7" ht="14.25" hidden="1" customHeight="1" x14ac:dyDescent="0.45">
      <c r="A3821" t="str">
        <f>_xlfn.XLOOKUP(B3821,Ingot!$H$12:$H$119,Ingot!$G$12:$G$119,"")</f>
        <v>Wood</v>
      </c>
      <c r="B3821" t="s">
        <v>7663</v>
      </c>
      <c r="C3821" t="s">
        <v>10</v>
      </c>
      <c r="D3821" t="s">
        <v>7686</v>
      </c>
      <c r="E3821" t="s">
        <v>7687</v>
      </c>
      <c r="G3821" s="1">
        <v>8.77</v>
      </c>
    </row>
    <row r="3822" spans="1:7" ht="14.25" hidden="1" customHeight="1" x14ac:dyDescent="0.45">
      <c r="A3822" t="str">
        <f>_xlfn.XLOOKUP(B3822,Ingot!$H$12:$H$119,Ingot!$G$12:$G$119,"")</f>
        <v>Wood</v>
      </c>
      <c r="B3822" t="s">
        <v>7663</v>
      </c>
      <c r="C3822" t="s">
        <v>10</v>
      </c>
      <c r="D3822" t="s">
        <v>7688</v>
      </c>
      <c r="E3822" t="s">
        <v>7689</v>
      </c>
      <c r="G3822" s="1">
        <v>3.5</v>
      </c>
    </row>
    <row r="3823" spans="1:7" ht="14.25" hidden="1" customHeight="1" x14ac:dyDescent="0.45">
      <c r="A3823" t="str">
        <f>_xlfn.XLOOKUP(B3823,Ingot!$H$12:$H$119,Ingot!$G$12:$G$119,"")</f>
        <v>Wood</v>
      </c>
      <c r="B3823" t="s">
        <v>7663</v>
      </c>
      <c r="C3823" t="s">
        <v>10</v>
      </c>
      <c r="D3823" t="s">
        <v>7690</v>
      </c>
      <c r="E3823" t="s">
        <v>7691</v>
      </c>
    </row>
    <row r="3824" spans="1:7" ht="14.25" hidden="1" customHeight="1" x14ac:dyDescent="0.45">
      <c r="A3824" t="str">
        <f>_xlfn.XLOOKUP(B3824,Ingot!$H$12:$H$119,Ingot!$G$12:$G$119,"")</f>
        <v>Wood</v>
      </c>
      <c r="B3824" t="s">
        <v>7663</v>
      </c>
      <c r="C3824" t="s">
        <v>10</v>
      </c>
      <c r="D3824" t="s">
        <v>7692</v>
      </c>
      <c r="E3824" t="s">
        <v>7693</v>
      </c>
      <c r="G3824" s="1">
        <v>2.2000000000000002</v>
      </c>
    </row>
    <row r="3825" spans="1:7" ht="14.25" hidden="1" customHeight="1" x14ac:dyDescent="0.45">
      <c r="A3825" t="str">
        <f>_xlfn.XLOOKUP(B3825,Ingot!$H$12:$H$119,Ingot!$G$12:$G$119,"")</f>
        <v>Wood</v>
      </c>
      <c r="B3825" t="s">
        <v>7663</v>
      </c>
      <c r="C3825" t="s">
        <v>10</v>
      </c>
      <c r="D3825" t="s">
        <v>7694</v>
      </c>
      <c r="E3825" t="s">
        <v>7695</v>
      </c>
      <c r="G3825" s="1">
        <v>1.1000000000000001</v>
      </c>
    </row>
    <row r="3826" spans="1:7" ht="14.25" hidden="1" customHeight="1" x14ac:dyDescent="0.45">
      <c r="A3826" t="str">
        <f>_xlfn.XLOOKUP(B3826,Ingot!$H$12:$H$119,Ingot!$G$12:$G$119,"")</f>
        <v>Wood</v>
      </c>
      <c r="B3826" t="s">
        <v>7663</v>
      </c>
      <c r="C3826" t="s">
        <v>10</v>
      </c>
      <c r="D3826" t="s">
        <v>7696</v>
      </c>
      <c r="E3826" t="s">
        <v>7697</v>
      </c>
      <c r="G3826" s="1">
        <v>0.22</v>
      </c>
    </row>
    <row r="3827" spans="1:7" ht="14.25" hidden="1" customHeight="1" x14ac:dyDescent="0.45">
      <c r="A3827" t="str">
        <f>_xlfn.XLOOKUP(B3827,Ingot!$H$12:$H$119,Ingot!$G$12:$G$119,"")</f>
        <v>Wood</v>
      </c>
      <c r="B3827" t="s">
        <v>7663</v>
      </c>
      <c r="C3827" t="s">
        <v>10</v>
      </c>
      <c r="D3827" t="s">
        <v>7698</v>
      </c>
      <c r="E3827" t="s">
        <v>7699</v>
      </c>
      <c r="G3827" s="1">
        <v>8.41</v>
      </c>
    </row>
    <row r="3828" spans="1:7" ht="14.25" hidden="1" customHeight="1" x14ac:dyDescent="0.45">
      <c r="A3828" t="str">
        <f>_xlfn.XLOOKUP(B3828,Ingot!$H$12:$H$119,Ingot!$G$12:$G$119,"")</f>
        <v>Wood</v>
      </c>
      <c r="B3828" t="s">
        <v>7663</v>
      </c>
      <c r="C3828" t="s">
        <v>10</v>
      </c>
      <c r="D3828" t="s">
        <v>7700</v>
      </c>
      <c r="E3828" t="s">
        <v>7701</v>
      </c>
      <c r="G3828" s="1">
        <v>3.64</v>
      </c>
    </row>
    <row r="3829" spans="1:7" ht="14.25" hidden="1" customHeight="1" x14ac:dyDescent="0.45">
      <c r="A3829" t="str">
        <f>_xlfn.XLOOKUP(B3829,Ingot!$H$12:$H$119,Ingot!$G$12:$G$119,"")</f>
        <v>Wood</v>
      </c>
      <c r="B3829" t="s">
        <v>7663</v>
      </c>
      <c r="C3829" t="s">
        <v>10</v>
      </c>
      <c r="D3829" t="s">
        <v>7702</v>
      </c>
      <c r="E3829" t="s">
        <v>7703</v>
      </c>
      <c r="G3829" s="1">
        <v>7.05</v>
      </c>
    </row>
    <row r="3830" spans="1:7" ht="14.25" hidden="1" customHeight="1" x14ac:dyDescent="0.45">
      <c r="A3830" t="str">
        <f>_xlfn.XLOOKUP(B3830,Ingot!$H$12:$H$119,Ingot!$G$12:$G$119,"")</f>
        <v>Wood</v>
      </c>
      <c r="B3830" t="s">
        <v>7663</v>
      </c>
      <c r="C3830" t="s">
        <v>10</v>
      </c>
      <c r="D3830" t="s">
        <v>7704</v>
      </c>
      <c r="E3830" t="s">
        <v>7705</v>
      </c>
      <c r="G3830" s="1">
        <v>2.65</v>
      </c>
    </row>
    <row r="3831" spans="1:7" ht="14.25" hidden="1" customHeight="1" x14ac:dyDescent="0.45">
      <c r="A3831" t="str">
        <f>_xlfn.XLOOKUP(B3831,Ingot!$H$12:$H$119,Ingot!$G$12:$G$119,"")</f>
        <v>Wood</v>
      </c>
      <c r="B3831" t="s">
        <v>7663</v>
      </c>
      <c r="C3831" t="s">
        <v>10</v>
      </c>
      <c r="D3831" t="s">
        <v>7706</v>
      </c>
      <c r="E3831" t="s">
        <v>7707</v>
      </c>
      <c r="G3831" s="1">
        <v>9</v>
      </c>
    </row>
    <row r="3832" spans="1:7" ht="14.25" hidden="1" customHeight="1" x14ac:dyDescent="0.45">
      <c r="A3832" t="str">
        <f>_xlfn.XLOOKUP(B3832,Ingot!$H$12:$H$119,Ingot!$G$12:$G$119,"")</f>
        <v>Wood</v>
      </c>
      <c r="B3832" t="s">
        <v>7663</v>
      </c>
      <c r="C3832" t="s">
        <v>10</v>
      </c>
      <c r="D3832" t="s">
        <v>7708</v>
      </c>
      <c r="E3832" t="s">
        <v>7709</v>
      </c>
      <c r="G3832" s="1">
        <v>10.23</v>
      </c>
    </row>
    <row r="3833" spans="1:7" ht="14.25" hidden="1" customHeight="1" x14ac:dyDescent="0.45">
      <c r="A3833" t="str">
        <f>_xlfn.XLOOKUP(B3833,Ingot!$H$12:$H$119,Ingot!$G$12:$G$119,"")</f>
        <v>Wood</v>
      </c>
      <c r="B3833" t="s">
        <v>7663</v>
      </c>
      <c r="C3833" t="s">
        <v>10</v>
      </c>
      <c r="D3833" t="s">
        <v>7710</v>
      </c>
      <c r="E3833" t="s">
        <v>7711</v>
      </c>
      <c r="G3833" s="1">
        <v>7.7</v>
      </c>
    </row>
    <row r="3834" spans="1:7" ht="14.25" hidden="1" customHeight="1" x14ac:dyDescent="0.45">
      <c r="A3834" t="str">
        <f>_xlfn.XLOOKUP(B3834,Ingot!$H$12:$H$119,Ingot!$G$12:$G$119,"")</f>
        <v>Wood</v>
      </c>
      <c r="B3834" t="s">
        <v>7663</v>
      </c>
      <c r="C3834" t="s">
        <v>10</v>
      </c>
      <c r="D3834" t="s">
        <v>7712</v>
      </c>
      <c r="E3834" t="s">
        <v>7713</v>
      </c>
      <c r="G3834" s="1">
        <v>10.02</v>
      </c>
    </row>
    <row r="3835" spans="1:7" ht="14.25" hidden="1" customHeight="1" x14ac:dyDescent="0.45">
      <c r="A3835" t="str">
        <f>_xlfn.XLOOKUP(B3835,Ingot!$H$12:$H$119,Ingot!$G$12:$G$119,"")</f>
        <v>Wood</v>
      </c>
      <c r="B3835" t="s">
        <v>7663</v>
      </c>
      <c r="C3835" t="s">
        <v>10</v>
      </c>
      <c r="D3835" t="s">
        <v>7714</v>
      </c>
      <c r="E3835" t="s">
        <v>7715</v>
      </c>
      <c r="G3835" s="1">
        <v>11.81</v>
      </c>
    </row>
    <row r="3836" spans="1:7" ht="14.25" hidden="1" customHeight="1" x14ac:dyDescent="0.45">
      <c r="A3836" t="str">
        <f>_xlfn.XLOOKUP(B3836,Ingot!$H$12:$H$119,Ingot!$G$12:$G$119,"")</f>
        <v>Wood</v>
      </c>
      <c r="B3836" t="s">
        <v>7663</v>
      </c>
      <c r="C3836" t="s">
        <v>10</v>
      </c>
      <c r="D3836" t="s">
        <v>7716</v>
      </c>
      <c r="E3836" t="s">
        <v>7717</v>
      </c>
      <c r="G3836" s="1">
        <v>8.44</v>
      </c>
    </row>
    <row r="3837" spans="1:7" ht="14.25" hidden="1" customHeight="1" x14ac:dyDescent="0.45">
      <c r="A3837" t="str">
        <f>_xlfn.XLOOKUP(B3837,Ingot!$H$12:$H$119,Ingot!$G$12:$G$119,"")</f>
        <v>Wood</v>
      </c>
      <c r="B3837" t="s">
        <v>7663</v>
      </c>
      <c r="C3837" t="s">
        <v>10</v>
      </c>
      <c r="D3837" t="s">
        <v>7718</v>
      </c>
      <c r="E3837" t="s">
        <v>7719</v>
      </c>
      <c r="G3837" s="1">
        <v>10.42</v>
      </c>
    </row>
    <row r="3838" spans="1:7" ht="14.25" hidden="1" customHeight="1" x14ac:dyDescent="0.45">
      <c r="A3838" t="str">
        <f>_xlfn.XLOOKUP(B3838,Ingot!$H$12:$H$119,Ingot!$G$12:$G$119,"")</f>
        <v>Wood</v>
      </c>
      <c r="B3838" t="s">
        <v>7663</v>
      </c>
      <c r="C3838" t="s">
        <v>10</v>
      </c>
      <c r="D3838" t="s">
        <v>7720</v>
      </c>
      <c r="E3838" t="s">
        <v>7721</v>
      </c>
    </row>
    <row r="3839" spans="1:7" ht="14.25" hidden="1" customHeight="1" x14ac:dyDescent="0.45">
      <c r="A3839" t="str">
        <f>_xlfn.XLOOKUP(B3839,Ingot!$H$12:$H$119,Ingot!$G$12:$G$119,"")</f>
        <v>Wood</v>
      </c>
      <c r="B3839" t="s">
        <v>7663</v>
      </c>
      <c r="C3839" t="s">
        <v>10</v>
      </c>
      <c r="D3839" t="s">
        <v>7722</v>
      </c>
      <c r="E3839" t="s">
        <v>7723</v>
      </c>
      <c r="G3839" s="1">
        <v>7.96</v>
      </c>
    </row>
    <row r="3840" spans="1:7" ht="14.25" hidden="1" customHeight="1" x14ac:dyDescent="0.45">
      <c r="A3840" t="str">
        <f>_xlfn.XLOOKUP(B3840,Ingot!$H$12:$H$119,Ingot!$G$12:$G$119,"")</f>
        <v>Wood</v>
      </c>
      <c r="B3840" t="s">
        <v>7663</v>
      </c>
      <c r="C3840" t="s">
        <v>10</v>
      </c>
      <c r="D3840" t="s">
        <v>7724</v>
      </c>
      <c r="E3840" t="s">
        <v>7725</v>
      </c>
      <c r="G3840" s="1">
        <v>9.64</v>
      </c>
    </row>
    <row r="3841" spans="1:7" ht="14.25" hidden="1" customHeight="1" x14ac:dyDescent="0.45">
      <c r="A3841" t="str">
        <f>_xlfn.XLOOKUP(B3841,Ingot!$H$12:$H$119,Ingot!$G$12:$G$119,"")</f>
        <v>Wood</v>
      </c>
      <c r="B3841" t="s">
        <v>7663</v>
      </c>
      <c r="C3841" t="s">
        <v>10</v>
      </c>
      <c r="D3841" t="s">
        <v>7726</v>
      </c>
      <c r="E3841" t="s">
        <v>7727</v>
      </c>
      <c r="G3841" s="1">
        <v>7.94</v>
      </c>
    </row>
    <row r="3842" spans="1:7" ht="14.25" hidden="1" customHeight="1" x14ac:dyDescent="0.45">
      <c r="A3842" t="str">
        <f>_xlfn.XLOOKUP(B3842,Ingot!$H$12:$H$119,Ingot!$G$12:$G$119,"")</f>
        <v>Wood</v>
      </c>
      <c r="B3842" t="s">
        <v>7663</v>
      </c>
      <c r="C3842" t="s">
        <v>10</v>
      </c>
      <c r="D3842" t="s">
        <v>7728</v>
      </c>
      <c r="E3842" t="s">
        <v>7729</v>
      </c>
      <c r="G3842" s="1">
        <v>8.66</v>
      </c>
    </row>
    <row r="3843" spans="1:7" ht="14.25" hidden="1" customHeight="1" x14ac:dyDescent="0.45">
      <c r="A3843" t="str">
        <f>_xlfn.XLOOKUP(B3843,Ingot!$H$12:$H$119,Ingot!$G$12:$G$119,"")</f>
        <v>Wood</v>
      </c>
      <c r="B3843" t="s">
        <v>7663</v>
      </c>
      <c r="C3843" t="s">
        <v>10</v>
      </c>
      <c r="D3843" t="s">
        <v>7730</v>
      </c>
      <c r="E3843" t="s">
        <v>7731</v>
      </c>
    </row>
    <row r="3844" spans="1:7" ht="14.25" hidden="1" customHeight="1" x14ac:dyDescent="0.45">
      <c r="A3844" t="str">
        <f>_xlfn.XLOOKUP(B3844,Ingot!$H$12:$H$119,Ingot!$G$12:$G$119,"")</f>
        <v>Wood</v>
      </c>
      <c r="B3844" t="s">
        <v>7663</v>
      </c>
      <c r="C3844" t="s">
        <v>10</v>
      </c>
      <c r="D3844" t="s">
        <v>7732</v>
      </c>
      <c r="E3844" t="s">
        <v>7733</v>
      </c>
      <c r="G3844" s="1">
        <v>2.65</v>
      </c>
    </row>
    <row r="3845" spans="1:7" ht="14.25" hidden="1" customHeight="1" x14ac:dyDescent="0.45">
      <c r="A3845" t="str">
        <f>_xlfn.XLOOKUP(B3845,Ingot!$H$12:$H$119,Ingot!$G$12:$G$119,"")</f>
        <v>Wood</v>
      </c>
      <c r="B3845" t="s">
        <v>7663</v>
      </c>
      <c r="C3845" t="s">
        <v>10</v>
      </c>
      <c r="D3845" t="s">
        <v>7734</v>
      </c>
      <c r="E3845" t="s">
        <v>7735</v>
      </c>
    </row>
    <row r="3846" spans="1:7" ht="14.25" hidden="1" customHeight="1" x14ac:dyDescent="0.45">
      <c r="A3846" t="str">
        <f>_xlfn.XLOOKUP(B3846,Ingot!$H$12:$H$119,Ingot!$G$12:$G$119,"")</f>
        <v>Wood</v>
      </c>
      <c r="B3846" t="s">
        <v>7663</v>
      </c>
      <c r="C3846" t="s">
        <v>10</v>
      </c>
      <c r="D3846" t="s">
        <v>7736</v>
      </c>
      <c r="E3846" t="s">
        <v>7737</v>
      </c>
      <c r="G3846" s="1">
        <v>12.64</v>
      </c>
    </row>
    <row r="3847" spans="1:7" ht="14.25" hidden="1" customHeight="1" x14ac:dyDescent="0.45">
      <c r="A3847" t="str">
        <f>_xlfn.XLOOKUP(B3847,Ingot!$H$12:$H$119,Ingot!$G$12:$G$119,"")</f>
        <v>Wood</v>
      </c>
      <c r="B3847" t="s">
        <v>7663</v>
      </c>
      <c r="C3847" t="s">
        <v>10</v>
      </c>
      <c r="D3847" t="s">
        <v>7738</v>
      </c>
      <c r="E3847" t="s">
        <v>7739</v>
      </c>
      <c r="G3847" s="1">
        <v>22.67</v>
      </c>
    </row>
    <row r="3848" spans="1:7" ht="14.25" hidden="1" customHeight="1" x14ac:dyDescent="0.45">
      <c r="A3848" t="str">
        <f>_xlfn.XLOOKUP(B3848,Ingot!$H$12:$H$119,Ingot!$G$12:$G$119,"")</f>
        <v>Wood</v>
      </c>
      <c r="B3848" t="s">
        <v>7663</v>
      </c>
      <c r="C3848" t="s">
        <v>10</v>
      </c>
      <c r="D3848" t="s">
        <v>7740</v>
      </c>
      <c r="E3848" t="s">
        <v>7741</v>
      </c>
      <c r="G3848" s="1">
        <v>8.3800000000000008</v>
      </c>
    </row>
    <row r="3849" spans="1:7" ht="14.25" hidden="1" customHeight="1" x14ac:dyDescent="0.45">
      <c r="A3849" t="str">
        <f>_xlfn.XLOOKUP(B3849,Ingot!$H$12:$H$119,Ingot!$G$12:$G$119,"")</f>
        <v>Wood</v>
      </c>
      <c r="B3849" t="s">
        <v>7663</v>
      </c>
      <c r="C3849" t="s">
        <v>10</v>
      </c>
      <c r="D3849" t="s">
        <v>7742</v>
      </c>
      <c r="E3849" t="s">
        <v>7743</v>
      </c>
      <c r="G3849" s="1">
        <v>2.2000000000000002</v>
      </c>
    </row>
    <row r="3850" spans="1:7" ht="14.25" hidden="1" customHeight="1" x14ac:dyDescent="0.45">
      <c r="A3850" t="str">
        <f>_xlfn.XLOOKUP(B3850,Ingot!$H$12:$H$119,Ingot!$G$12:$G$119,"")</f>
        <v>Wood</v>
      </c>
      <c r="B3850" t="s">
        <v>7663</v>
      </c>
      <c r="C3850" t="s">
        <v>10</v>
      </c>
      <c r="D3850" t="s">
        <v>7744</v>
      </c>
      <c r="E3850" t="s">
        <v>7745</v>
      </c>
      <c r="G3850" s="1">
        <v>3.09</v>
      </c>
    </row>
    <row r="3851" spans="1:7" ht="14.25" hidden="1" customHeight="1" x14ac:dyDescent="0.45">
      <c r="A3851" t="str">
        <f>_xlfn.XLOOKUP(B3851,Ingot!$H$12:$H$119,Ingot!$G$12:$G$119,"")</f>
        <v>Wood</v>
      </c>
      <c r="B3851" t="s">
        <v>7663</v>
      </c>
      <c r="C3851" t="s">
        <v>10</v>
      </c>
      <c r="D3851" t="s">
        <v>7746</v>
      </c>
      <c r="E3851" t="s">
        <v>7747</v>
      </c>
      <c r="G3851" s="1">
        <v>2.2999999999999998</v>
      </c>
    </row>
    <row r="3852" spans="1:7" ht="14.25" hidden="1" customHeight="1" x14ac:dyDescent="0.45">
      <c r="A3852" t="str">
        <f>_xlfn.XLOOKUP(B3852,Ingot!$H$12:$H$119,Ingot!$G$12:$G$119,"")</f>
        <v>Wood</v>
      </c>
      <c r="B3852" t="s">
        <v>7663</v>
      </c>
      <c r="C3852" t="s">
        <v>10</v>
      </c>
      <c r="D3852" t="s">
        <v>7748</v>
      </c>
      <c r="E3852" t="s">
        <v>7749</v>
      </c>
      <c r="G3852" s="1">
        <v>4.88</v>
      </c>
    </row>
    <row r="3853" spans="1:7" ht="14.25" hidden="1" customHeight="1" x14ac:dyDescent="0.45">
      <c r="A3853" t="str">
        <f>_xlfn.XLOOKUP(B3853,Ingot!$H$12:$H$119,Ingot!$G$12:$G$119,"")</f>
        <v>Wood</v>
      </c>
      <c r="B3853" t="s">
        <v>7663</v>
      </c>
      <c r="C3853" t="s">
        <v>10</v>
      </c>
      <c r="D3853" t="s">
        <v>7750</v>
      </c>
      <c r="E3853" t="s">
        <v>7751</v>
      </c>
      <c r="G3853" s="1">
        <v>8.43</v>
      </c>
    </row>
    <row r="3854" spans="1:7" ht="14.25" hidden="1" customHeight="1" x14ac:dyDescent="0.45">
      <c r="A3854" t="str">
        <f>_xlfn.XLOOKUP(B3854,Ingot!$H$12:$H$119,Ingot!$G$12:$G$119,"")</f>
        <v>Wood</v>
      </c>
      <c r="B3854" t="s">
        <v>7663</v>
      </c>
      <c r="C3854" t="s">
        <v>10</v>
      </c>
      <c r="D3854" t="s">
        <v>7752</v>
      </c>
      <c r="E3854" t="s">
        <v>7753</v>
      </c>
      <c r="G3854" s="1">
        <v>13.07</v>
      </c>
    </row>
    <row r="3855" spans="1:7" ht="14.25" hidden="1" customHeight="1" x14ac:dyDescent="0.45">
      <c r="A3855" t="str">
        <f>_xlfn.XLOOKUP(B3855,Ingot!$H$12:$H$119,Ingot!$G$12:$G$119,"")</f>
        <v>Wood</v>
      </c>
      <c r="B3855" t="s">
        <v>7663</v>
      </c>
      <c r="C3855" t="s">
        <v>10</v>
      </c>
      <c r="D3855" t="s">
        <v>7754</v>
      </c>
      <c r="E3855" t="s">
        <v>7755</v>
      </c>
    </row>
    <row r="3856" spans="1:7" ht="14.25" hidden="1" customHeight="1" x14ac:dyDescent="0.45">
      <c r="A3856" t="str">
        <f>_xlfn.XLOOKUP(B3856,Ingot!$H$12:$H$119,Ingot!$G$12:$G$119,"")</f>
        <v>Wood</v>
      </c>
      <c r="B3856" t="s">
        <v>7663</v>
      </c>
      <c r="C3856" t="s">
        <v>10</v>
      </c>
      <c r="D3856" t="s">
        <v>7756</v>
      </c>
      <c r="E3856" t="s">
        <v>7757</v>
      </c>
    </row>
    <row r="3857" spans="1:7" ht="14.25" hidden="1" customHeight="1" x14ac:dyDescent="0.45">
      <c r="A3857" t="str">
        <f>_xlfn.XLOOKUP(B3857,Ingot!$H$12:$H$119,Ingot!$G$12:$G$119,"")</f>
        <v>Wood</v>
      </c>
      <c r="B3857" t="s">
        <v>7663</v>
      </c>
      <c r="C3857" t="s">
        <v>10</v>
      </c>
      <c r="D3857" t="s">
        <v>7758</v>
      </c>
      <c r="E3857" t="s">
        <v>7759</v>
      </c>
      <c r="G3857" s="1">
        <v>6.8</v>
      </c>
    </row>
    <row r="3858" spans="1:7" ht="14.25" hidden="1" customHeight="1" x14ac:dyDescent="0.45">
      <c r="A3858" t="str">
        <f>_xlfn.XLOOKUP(B3858,Ingot!$H$12:$H$119,Ingot!$G$12:$G$119,"")</f>
        <v>Wood</v>
      </c>
      <c r="B3858" t="s">
        <v>7663</v>
      </c>
      <c r="C3858" t="s">
        <v>10</v>
      </c>
      <c r="D3858" t="s">
        <v>7760</v>
      </c>
      <c r="E3858" t="s">
        <v>7761</v>
      </c>
      <c r="G3858" s="1">
        <v>6.88</v>
      </c>
    </row>
    <row r="3859" spans="1:7" ht="14.25" hidden="1" customHeight="1" x14ac:dyDescent="0.45">
      <c r="A3859" t="str">
        <f>_xlfn.XLOOKUP(B3859,Ingot!$H$12:$H$119,Ingot!$G$12:$G$119,"")</f>
        <v>Wood</v>
      </c>
      <c r="B3859" t="s">
        <v>7663</v>
      </c>
      <c r="C3859" t="s">
        <v>10</v>
      </c>
      <c r="D3859" t="s">
        <v>7762</v>
      </c>
      <c r="E3859" t="s">
        <v>7763</v>
      </c>
      <c r="G3859" s="1">
        <v>5.5</v>
      </c>
    </row>
    <row r="3860" spans="1:7" ht="14.25" hidden="1" customHeight="1" x14ac:dyDescent="0.45">
      <c r="A3860" t="str">
        <f>_xlfn.XLOOKUP(B3860,Ingot!$H$12:$H$119,Ingot!$G$12:$G$119,"")</f>
        <v>Wood</v>
      </c>
      <c r="B3860" t="s">
        <v>7663</v>
      </c>
      <c r="C3860" t="s">
        <v>10</v>
      </c>
      <c r="D3860" t="s">
        <v>7764</v>
      </c>
      <c r="E3860" t="s">
        <v>7765</v>
      </c>
      <c r="G3860" s="1">
        <v>2.4300000000000002</v>
      </c>
    </row>
    <row r="3861" spans="1:7" ht="14.25" hidden="1" customHeight="1" x14ac:dyDescent="0.45">
      <c r="A3861" t="str">
        <f>_xlfn.XLOOKUP(B3861,Ingot!$H$12:$H$119,Ingot!$G$12:$G$119,"")</f>
        <v>Wood</v>
      </c>
      <c r="B3861" t="s">
        <v>7663</v>
      </c>
      <c r="C3861" t="s">
        <v>10</v>
      </c>
      <c r="D3861" t="s">
        <v>7766</v>
      </c>
      <c r="E3861" t="s">
        <v>7767</v>
      </c>
      <c r="G3861" s="1">
        <v>6.96</v>
      </c>
    </row>
    <row r="3862" spans="1:7" ht="14.25" hidden="1" customHeight="1" x14ac:dyDescent="0.45">
      <c r="A3862" t="str">
        <f>_xlfn.XLOOKUP(B3862,Ingot!$H$12:$H$119,Ingot!$G$12:$G$119,"")</f>
        <v>Wood</v>
      </c>
      <c r="B3862" t="s">
        <v>7663</v>
      </c>
      <c r="C3862" t="s">
        <v>10</v>
      </c>
      <c r="D3862" t="s">
        <v>7768</v>
      </c>
      <c r="E3862" t="s">
        <v>7769</v>
      </c>
      <c r="G3862" s="1">
        <v>6.32</v>
      </c>
    </row>
    <row r="3863" spans="1:7" ht="14.25" hidden="1" customHeight="1" x14ac:dyDescent="0.45">
      <c r="A3863" t="str">
        <f>_xlfn.XLOOKUP(B3863,Ingot!$H$12:$H$119,Ingot!$G$12:$G$119,"")</f>
        <v>Wood</v>
      </c>
      <c r="B3863" t="s">
        <v>7663</v>
      </c>
      <c r="C3863" t="s">
        <v>10</v>
      </c>
      <c r="D3863" t="s">
        <v>7770</v>
      </c>
      <c r="E3863" t="s">
        <v>7771</v>
      </c>
      <c r="G3863" s="1">
        <v>6.88</v>
      </c>
    </row>
    <row r="3864" spans="1:7" ht="14.25" hidden="1" customHeight="1" x14ac:dyDescent="0.45">
      <c r="A3864" t="str">
        <f>_xlfn.XLOOKUP(B3864,Ingot!$H$12:$H$119,Ingot!$G$12:$G$119,"")</f>
        <v>Wood</v>
      </c>
      <c r="B3864" t="s">
        <v>7663</v>
      </c>
      <c r="C3864" t="s">
        <v>10</v>
      </c>
      <c r="D3864" t="s">
        <v>7772</v>
      </c>
      <c r="E3864" t="s">
        <v>7773</v>
      </c>
      <c r="G3864" s="1">
        <v>2.44</v>
      </c>
    </row>
    <row r="3865" spans="1:7" ht="14.25" hidden="1" customHeight="1" x14ac:dyDescent="0.45">
      <c r="A3865" t="str">
        <f>_xlfn.XLOOKUP(B3865,Ingot!$H$12:$H$119,Ingot!$G$12:$G$119,"")</f>
        <v>Wood</v>
      </c>
      <c r="B3865" t="s">
        <v>7663</v>
      </c>
      <c r="C3865" t="s">
        <v>10</v>
      </c>
      <c r="D3865" t="s">
        <v>7774</v>
      </c>
      <c r="E3865" t="s">
        <v>7775</v>
      </c>
    </row>
    <row r="3866" spans="1:7" ht="14.25" hidden="1" customHeight="1" x14ac:dyDescent="0.45">
      <c r="A3866" t="str">
        <f>_xlfn.XLOOKUP(B3866,Ingot!$H$12:$H$119,Ingot!$G$12:$G$119,"")</f>
        <v>Wood</v>
      </c>
      <c r="B3866" t="s">
        <v>7663</v>
      </c>
      <c r="C3866" t="s">
        <v>10</v>
      </c>
      <c r="D3866" t="s">
        <v>7776</v>
      </c>
      <c r="E3866" t="s">
        <v>7777</v>
      </c>
    </row>
    <row r="3867" spans="1:7" ht="14.25" hidden="1" customHeight="1" x14ac:dyDescent="0.45">
      <c r="A3867" t="str">
        <f>_xlfn.XLOOKUP(B3867,Ingot!$H$12:$H$119,Ingot!$G$12:$G$119,"")</f>
        <v>Wood</v>
      </c>
      <c r="B3867" t="s">
        <v>7663</v>
      </c>
      <c r="C3867" t="s">
        <v>10</v>
      </c>
      <c r="D3867" t="s">
        <v>7778</v>
      </c>
      <c r="E3867" t="s">
        <v>7779</v>
      </c>
      <c r="G3867" s="1">
        <v>3.11</v>
      </c>
    </row>
    <row r="3868" spans="1:7" ht="14.25" hidden="1" customHeight="1" x14ac:dyDescent="0.45">
      <c r="A3868" t="str">
        <f>_xlfn.XLOOKUP(B3868,Ingot!$H$12:$H$119,Ingot!$G$12:$G$119,"")</f>
        <v>Wood</v>
      </c>
      <c r="B3868" t="s">
        <v>7663</v>
      </c>
      <c r="C3868" t="s">
        <v>10</v>
      </c>
      <c r="D3868" t="s">
        <v>7780</v>
      </c>
      <c r="E3868" t="s">
        <v>7781</v>
      </c>
      <c r="G3868" s="1">
        <v>2.44</v>
      </c>
    </row>
    <row r="3869" spans="1:7" ht="14.25" hidden="1" customHeight="1" x14ac:dyDescent="0.45">
      <c r="A3869" t="str">
        <f>_xlfn.XLOOKUP(B3869,Ingot!$H$12:$H$119,Ingot!$G$12:$G$119,"")</f>
        <v>Wood</v>
      </c>
      <c r="B3869" t="s">
        <v>7663</v>
      </c>
      <c r="C3869" t="s">
        <v>10</v>
      </c>
      <c r="D3869" t="s">
        <v>7782</v>
      </c>
      <c r="E3869" t="s">
        <v>7783</v>
      </c>
      <c r="G3869" s="1">
        <v>8.61</v>
      </c>
    </row>
    <row r="3870" spans="1:7" ht="14.25" hidden="1" customHeight="1" x14ac:dyDescent="0.45">
      <c r="A3870" t="str">
        <f>_xlfn.XLOOKUP(B3870,Ingot!$H$12:$H$119,Ingot!$G$12:$G$119,"")</f>
        <v>Wood</v>
      </c>
      <c r="B3870" t="s">
        <v>7663</v>
      </c>
      <c r="C3870" t="s">
        <v>10</v>
      </c>
      <c r="D3870" t="s">
        <v>7784</v>
      </c>
      <c r="E3870" t="s">
        <v>7785</v>
      </c>
    </row>
    <row r="3871" spans="1:7" ht="14.25" hidden="1" customHeight="1" x14ac:dyDescent="0.45">
      <c r="A3871" t="str">
        <f>_xlfn.XLOOKUP(B3871,Ingot!$H$12:$H$119,Ingot!$G$12:$G$119,"")</f>
        <v>Wood</v>
      </c>
      <c r="B3871" t="s">
        <v>7663</v>
      </c>
      <c r="C3871" t="s">
        <v>10</v>
      </c>
      <c r="D3871" t="s">
        <v>7786</v>
      </c>
      <c r="E3871" t="s">
        <v>7787</v>
      </c>
      <c r="G3871" s="1">
        <v>3.21</v>
      </c>
    </row>
    <row r="3872" spans="1:7" ht="14.25" hidden="1" customHeight="1" x14ac:dyDescent="0.45">
      <c r="A3872" t="str">
        <f>_xlfn.XLOOKUP(B3872,Ingot!$H$12:$H$119,Ingot!$G$12:$G$119,"")</f>
        <v>Wood</v>
      </c>
      <c r="B3872" t="s">
        <v>7663</v>
      </c>
      <c r="C3872" t="s">
        <v>10</v>
      </c>
      <c r="D3872" t="s">
        <v>7788</v>
      </c>
      <c r="E3872" t="s">
        <v>7789</v>
      </c>
      <c r="G3872" s="1">
        <v>2.77</v>
      </c>
    </row>
    <row r="3873" spans="1:7" ht="14.25" hidden="1" customHeight="1" x14ac:dyDescent="0.45">
      <c r="A3873" t="str">
        <f>_xlfn.XLOOKUP(B3873,Ingot!$H$12:$H$119,Ingot!$G$12:$G$119,"")</f>
        <v>Wood</v>
      </c>
      <c r="B3873" t="s">
        <v>7663</v>
      </c>
      <c r="C3873" t="s">
        <v>10</v>
      </c>
      <c r="D3873" t="s">
        <v>7790</v>
      </c>
      <c r="E3873" t="s">
        <v>7791</v>
      </c>
      <c r="G3873" s="1">
        <v>4.8899999999999997</v>
      </c>
    </row>
    <row r="3874" spans="1:7" ht="14.25" hidden="1" customHeight="1" x14ac:dyDescent="0.45">
      <c r="A3874" t="str">
        <f>_xlfn.XLOOKUP(B3874,Ingot!$H$12:$H$119,Ingot!$G$12:$G$119,"")</f>
        <v>Wood</v>
      </c>
      <c r="B3874" t="s">
        <v>7663</v>
      </c>
      <c r="C3874" t="s">
        <v>10</v>
      </c>
      <c r="D3874" t="s">
        <v>7792</v>
      </c>
      <c r="E3874" t="s">
        <v>7793</v>
      </c>
      <c r="G3874" s="1">
        <v>1.76</v>
      </c>
    </row>
    <row r="3875" spans="1:7" ht="14.25" hidden="1" customHeight="1" x14ac:dyDescent="0.45">
      <c r="A3875" t="str">
        <f>_xlfn.XLOOKUP(B3875,Ingot!$H$12:$H$119,Ingot!$G$12:$G$119,"")</f>
        <v>Wood</v>
      </c>
      <c r="B3875" t="s">
        <v>7663</v>
      </c>
      <c r="C3875" t="s">
        <v>10</v>
      </c>
      <c r="D3875" t="s">
        <v>7794</v>
      </c>
      <c r="E3875" t="s">
        <v>7795</v>
      </c>
    </row>
    <row r="3876" spans="1:7" ht="14.25" hidden="1" customHeight="1" x14ac:dyDescent="0.45">
      <c r="A3876" t="str">
        <f>_xlfn.XLOOKUP(B3876,Ingot!$H$12:$H$119,Ingot!$G$12:$G$119,"")</f>
        <v>Wood</v>
      </c>
      <c r="B3876" t="s">
        <v>7663</v>
      </c>
      <c r="C3876" t="s">
        <v>10</v>
      </c>
      <c r="D3876" t="s">
        <v>7796</v>
      </c>
      <c r="E3876" t="s">
        <v>7797</v>
      </c>
      <c r="G3876" s="1">
        <v>8.57</v>
      </c>
    </row>
    <row r="3877" spans="1:7" ht="14.25" hidden="1" customHeight="1" x14ac:dyDescent="0.45">
      <c r="A3877" t="str">
        <f>_xlfn.XLOOKUP(B3877,Ingot!$H$12:$H$119,Ingot!$G$12:$G$119,"")</f>
        <v>Wood</v>
      </c>
      <c r="B3877" t="s">
        <v>7663</v>
      </c>
      <c r="C3877" t="s">
        <v>10</v>
      </c>
      <c r="D3877" t="s">
        <v>7798</v>
      </c>
      <c r="E3877" t="s">
        <v>7799</v>
      </c>
    </row>
    <row r="3878" spans="1:7" ht="14.25" hidden="1" customHeight="1" x14ac:dyDescent="0.45">
      <c r="A3878" t="str">
        <f>_xlfn.XLOOKUP(B3878,Ingot!$H$12:$H$119,Ingot!$G$12:$G$119,"")</f>
        <v>Wood</v>
      </c>
      <c r="B3878" t="s">
        <v>7663</v>
      </c>
      <c r="C3878" t="s">
        <v>10</v>
      </c>
      <c r="D3878" t="s">
        <v>7800</v>
      </c>
      <c r="E3878" t="s">
        <v>7801</v>
      </c>
      <c r="G3878" s="1">
        <v>3.56</v>
      </c>
    </row>
    <row r="3879" spans="1:7" ht="14.25" hidden="1" customHeight="1" x14ac:dyDescent="0.45">
      <c r="A3879" t="str">
        <f>_xlfn.XLOOKUP(B3879,Ingot!$H$12:$H$119,Ingot!$G$12:$G$119,"")</f>
        <v>Wood</v>
      </c>
      <c r="B3879" t="s">
        <v>7663</v>
      </c>
      <c r="C3879" t="s">
        <v>10</v>
      </c>
      <c r="D3879" t="s">
        <v>7802</v>
      </c>
      <c r="E3879" t="s">
        <v>7803</v>
      </c>
      <c r="G3879" s="1">
        <v>8.91</v>
      </c>
    </row>
    <row r="3880" spans="1:7" ht="14.25" hidden="1" customHeight="1" x14ac:dyDescent="0.45">
      <c r="A3880" t="str">
        <f>_xlfn.XLOOKUP(B3880,Ingot!$H$12:$H$119,Ingot!$G$12:$G$119,"")</f>
        <v>Wood</v>
      </c>
      <c r="B3880" t="s">
        <v>7663</v>
      </c>
      <c r="C3880" t="s">
        <v>10</v>
      </c>
      <c r="D3880" t="s">
        <v>7804</v>
      </c>
      <c r="E3880" t="s">
        <v>7805</v>
      </c>
      <c r="G3880" s="1">
        <v>11.02</v>
      </c>
    </row>
    <row r="3881" spans="1:7" ht="14.25" hidden="1" customHeight="1" x14ac:dyDescent="0.45">
      <c r="A3881" t="str">
        <f>_xlfn.XLOOKUP(B3881,Ingot!$H$12:$H$119,Ingot!$G$12:$G$119,"")</f>
        <v>Wood</v>
      </c>
      <c r="B3881" t="s">
        <v>7663</v>
      </c>
      <c r="C3881" t="s">
        <v>10</v>
      </c>
      <c r="D3881" t="s">
        <v>7806</v>
      </c>
      <c r="E3881" t="s">
        <v>7807</v>
      </c>
      <c r="G3881" s="1">
        <v>5.12</v>
      </c>
    </row>
    <row r="3882" spans="1:7" ht="14.25" hidden="1" customHeight="1" x14ac:dyDescent="0.45">
      <c r="A3882" t="str">
        <f>_xlfn.XLOOKUP(B3882,Ingot!$H$12:$H$119,Ingot!$G$12:$G$119,"")</f>
        <v>Wood</v>
      </c>
      <c r="B3882" t="s">
        <v>7663</v>
      </c>
      <c r="C3882" t="s">
        <v>10</v>
      </c>
      <c r="D3882" t="s">
        <v>7808</v>
      </c>
      <c r="E3882" t="s">
        <v>7809</v>
      </c>
      <c r="G3882" s="1">
        <v>4.41</v>
      </c>
    </row>
    <row r="3883" spans="1:7" ht="14.25" hidden="1" customHeight="1" x14ac:dyDescent="0.45">
      <c r="A3883" t="str">
        <f>_xlfn.XLOOKUP(B3883,Ingot!$H$12:$H$119,Ingot!$G$12:$G$119,"")</f>
        <v>Wood</v>
      </c>
      <c r="B3883" t="s">
        <v>7663</v>
      </c>
      <c r="C3883" t="s">
        <v>157</v>
      </c>
      <c r="D3883" t="s">
        <v>7810</v>
      </c>
      <c r="E3883" t="s">
        <v>7811</v>
      </c>
      <c r="G3883" s="1">
        <v>24</v>
      </c>
    </row>
    <row r="3884" spans="1:7" ht="14.25" hidden="1" customHeight="1" x14ac:dyDescent="0.45">
      <c r="A3884" t="str">
        <f>_xlfn.XLOOKUP(B3884,Ingot!$H$12:$H$119,Ingot!$G$12:$G$119,"")</f>
        <v>Wood</v>
      </c>
      <c r="B3884" t="s">
        <v>7663</v>
      </c>
      <c r="C3884" t="s">
        <v>157</v>
      </c>
      <c r="D3884" t="s">
        <v>7812</v>
      </c>
      <c r="E3884" t="s">
        <v>7813</v>
      </c>
      <c r="G3884" s="1">
        <v>5</v>
      </c>
    </row>
    <row r="3885" spans="1:7" ht="14.25" hidden="1" customHeight="1" x14ac:dyDescent="0.45">
      <c r="A3885" t="str">
        <f>_xlfn.XLOOKUP(B3885,Ingot!$H$12:$H$119,Ingot!$G$12:$G$119,"")</f>
        <v>Wood</v>
      </c>
      <c r="B3885" t="s">
        <v>7663</v>
      </c>
      <c r="C3885" t="s">
        <v>157</v>
      </c>
      <c r="D3885" t="s">
        <v>7814</v>
      </c>
      <c r="E3885" t="s">
        <v>7815</v>
      </c>
      <c r="G3885" s="1">
        <v>5</v>
      </c>
    </row>
    <row r="3886" spans="1:7" ht="14.25" hidden="1" customHeight="1" x14ac:dyDescent="0.45">
      <c r="A3886" t="str">
        <f>_xlfn.XLOOKUP(B3886,Ingot!$H$12:$H$119,Ingot!$G$12:$G$119,"")</f>
        <v>Wood</v>
      </c>
      <c r="B3886" t="s">
        <v>7663</v>
      </c>
      <c r="C3886" t="s">
        <v>157</v>
      </c>
      <c r="D3886" t="s">
        <v>7816</v>
      </c>
      <c r="E3886" t="s">
        <v>7817</v>
      </c>
      <c r="G3886" s="1">
        <v>5</v>
      </c>
    </row>
    <row r="3887" spans="1:7" ht="14.25" hidden="1" customHeight="1" x14ac:dyDescent="0.45">
      <c r="A3887" t="str">
        <f>_xlfn.XLOOKUP(B3887,Ingot!$H$12:$H$119,Ingot!$G$12:$G$119,"")</f>
        <v>Wood</v>
      </c>
      <c r="B3887" t="s">
        <v>7663</v>
      </c>
      <c r="C3887" t="s">
        <v>157</v>
      </c>
      <c r="D3887" t="s">
        <v>7818</v>
      </c>
      <c r="E3887" t="s">
        <v>7819</v>
      </c>
      <c r="G3887" s="1">
        <v>10</v>
      </c>
    </row>
    <row r="3888" spans="1:7" ht="14.25" hidden="1" customHeight="1" x14ac:dyDescent="0.45">
      <c r="A3888" t="str">
        <f>_xlfn.XLOOKUP(B3888,Ingot!$H$12:$H$119,Ingot!$G$12:$G$119,"")</f>
        <v>Wood</v>
      </c>
      <c r="B3888" t="s">
        <v>7663</v>
      </c>
      <c r="C3888" t="s">
        <v>157</v>
      </c>
      <c r="D3888" t="s">
        <v>7820</v>
      </c>
      <c r="E3888" t="s">
        <v>7821</v>
      </c>
      <c r="G3888" s="1">
        <v>20.8</v>
      </c>
    </row>
    <row r="3889" spans="1:7" ht="14.25" hidden="1" customHeight="1" x14ac:dyDescent="0.45">
      <c r="A3889" t="str">
        <f>_xlfn.XLOOKUP(B3889,Ingot!$H$12:$H$119,Ingot!$G$12:$G$119,"")</f>
        <v>Wood</v>
      </c>
      <c r="B3889" t="s">
        <v>7663</v>
      </c>
      <c r="C3889" t="s">
        <v>157</v>
      </c>
      <c r="D3889" t="s">
        <v>7822</v>
      </c>
      <c r="E3889" t="s">
        <v>7823</v>
      </c>
      <c r="G3889" s="1">
        <v>5</v>
      </c>
    </row>
    <row r="3890" spans="1:7" ht="14.25" hidden="1" customHeight="1" x14ac:dyDescent="0.45">
      <c r="A3890" t="str">
        <f>_xlfn.XLOOKUP(B3890,Ingot!$H$12:$H$119,Ingot!$G$12:$G$119,"")</f>
        <v>Wood</v>
      </c>
      <c r="B3890" t="s">
        <v>7663</v>
      </c>
      <c r="C3890" t="s">
        <v>157</v>
      </c>
      <c r="D3890" t="s">
        <v>7824</v>
      </c>
      <c r="E3890" t="s">
        <v>7825</v>
      </c>
      <c r="G3890" s="1">
        <v>5</v>
      </c>
    </row>
    <row r="3891" spans="1:7" ht="14.25" hidden="1" customHeight="1" x14ac:dyDescent="0.45">
      <c r="A3891" t="str">
        <f>_xlfn.XLOOKUP(B3891,Ingot!$H$12:$H$119,Ingot!$G$12:$G$119,"")</f>
        <v>Wood</v>
      </c>
      <c r="B3891" t="s">
        <v>7663</v>
      </c>
      <c r="C3891" t="s">
        <v>157</v>
      </c>
      <c r="D3891" t="s">
        <v>7826</v>
      </c>
      <c r="E3891" t="s">
        <v>7827</v>
      </c>
      <c r="G3891" s="1">
        <v>5</v>
      </c>
    </row>
    <row r="3892" spans="1:7" ht="14.25" hidden="1" customHeight="1" x14ac:dyDescent="0.45">
      <c r="A3892" t="str">
        <f>_xlfn.XLOOKUP(B3892,Ingot!$H$12:$H$119,Ingot!$G$12:$G$119,"")</f>
        <v>Wood</v>
      </c>
      <c r="B3892" t="s">
        <v>7663</v>
      </c>
      <c r="C3892" t="s">
        <v>157</v>
      </c>
      <c r="D3892" t="s">
        <v>7828</v>
      </c>
      <c r="E3892" t="s">
        <v>7829</v>
      </c>
      <c r="G3892" s="1">
        <v>10</v>
      </c>
    </row>
    <row r="3893" spans="1:7" ht="14.25" hidden="1" customHeight="1" x14ac:dyDescent="0.45">
      <c r="A3893" t="str">
        <f>_xlfn.XLOOKUP(B3893,Ingot!$H$12:$H$119,Ingot!$G$12:$G$119,"")</f>
        <v>Wood</v>
      </c>
      <c r="B3893" t="s">
        <v>7663</v>
      </c>
      <c r="C3893" t="s">
        <v>157</v>
      </c>
      <c r="D3893" t="s">
        <v>7830</v>
      </c>
      <c r="E3893" t="s">
        <v>7831</v>
      </c>
      <c r="G3893" s="1">
        <v>20</v>
      </c>
    </row>
    <row r="3894" spans="1:7" ht="14.25" hidden="1" customHeight="1" x14ac:dyDescent="0.45">
      <c r="A3894" t="str">
        <f>_xlfn.XLOOKUP(B3894,Ingot!$H$12:$H$119,Ingot!$G$12:$G$119,"")</f>
        <v>Wood</v>
      </c>
      <c r="B3894" t="s">
        <v>7663</v>
      </c>
      <c r="C3894" t="s">
        <v>157</v>
      </c>
      <c r="D3894" t="s">
        <v>7832</v>
      </c>
      <c r="E3894" t="s">
        <v>7833</v>
      </c>
      <c r="G3894" s="1">
        <v>5</v>
      </c>
    </row>
    <row r="3895" spans="1:7" ht="14.25" hidden="1" customHeight="1" x14ac:dyDescent="0.45">
      <c r="A3895" t="str">
        <f>_xlfn.XLOOKUP(B3895,Ingot!$H$12:$H$119,Ingot!$G$12:$G$119,"")</f>
        <v>Wood</v>
      </c>
      <c r="B3895" t="s">
        <v>7663</v>
      </c>
      <c r="C3895" t="s">
        <v>157</v>
      </c>
      <c r="D3895" t="s">
        <v>7834</v>
      </c>
      <c r="E3895" t="s">
        <v>7835</v>
      </c>
      <c r="G3895" s="1">
        <v>5</v>
      </c>
    </row>
    <row r="3896" spans="1:7" ht="14.25" hidden="1" customHeight="1" x14ac:dyDescent="0.45">
      <c r="A3896" t="str">
        <f>_xlfn.XLOOKUP(B3896,Ingot!$H$12:$H$119,Ingot!$G$12:$G$119,"")</f>
        <v>Wood</v>
      </c>
      <c r="B3896" t="s">
        <v>7663</v>
      </c>
      <c r="C3896" t="s">
        <v>157</v>
      </c>
      <c r="D3896" t="s">
        <v>7836</v>
      </c>
      <c r="E3896" t="s">
        <v>7837</v>
      </c>
      <c r="G3896" s="1">
        <v>5</v>
      </c>
    </row>
    <row r="3897" spans="1:7" ht="14.25" hidden="1" customHeight="1" x14ac:dyDescent="0.45">
      <c r="A3897" t="str">
        <f>_xlfn.XLOOKUP(B3897,Ingot!$H$12:$H$119,Ingot!$G$12:$G$119,"")</f>
        <v>Wood</v>
      </c>
      <c r="B3897" t="s">
        <v>7663</v>
      </c>
      <c r="C3897" t="s">
        <v>157</v>
      </c>
      <c r="D3897" t="s">
        <v>7838</v>
      </c>
      <c r="E3897" t="s">
        <v>7839</v>
      </c>
      <c r="G3897" s="1">
        <v>10</v>
      </c>
    </row>
    <row r="3898" spans="1:7" ht="14.25" hidden="1" customHeight="1" x14ac:dyDescent="0.45">
      <c r="A3898" t="str">
        <f>_xlfn.XLOOKUP(B3898,Ingot!$H$12:$H$119,Ingot!$G$12:$G$119,"")</f>
        <v>Wood</v>
      </c>
      <c r="B3898" t="s">
        <v>7663</v>
      </c>
      <c r="C3898" t="s">
        <v>157</v>
      </c>
      <c r="D3898" t="s">
        <v>7840</v>
      </c>
      <c r="E3898" t="s">
        <v>7841</v>
      </c>
      <c r="G3898" s="1">
        <v>22</v>
      </c>
    </row>
    <row r="3899" spans="1:7" ht="14.25" hidden="1" customHeight="1" x14ac:dyDescent="0.45">
      <c r="A3899" t="str">
        <f>_xlfn.XLOOKUP(B3899,Ingot!$H$12:$H$119,Ingot!$G$12:$G$119,"")</f>
        <v>Wood</v>
      </c>
      <c r="B3899" t="s">
        <v>7663</v>
      </c>
      <c r="C3899" t="s">
        <v>157</v>
      </c>
      <c r="D3899" t="s">
        <v>7842</v>
      </c>
      <c r="E3899" t="s">
        <v>7843</v>
      </c>
      <c r="G3899" s="1">
        <v>5</v>
      </c>
    </row>
    <row r="3900" spans="1:7" ht="14.25" hidden="1" customHeight="1" x14ac:dyDescent="0.45">
      <c r="A3900" t="str">
        <f>_xlfn.XLOOKUP(B3900,Ingot!$H$12:$H$119,Ingot!$G$12:$G$119,"")</f>
        <v>Wood</v>
      </c>
      <c r="B3900" t="s">
        <v>7663</v>
      </c>
      <c r="C3900" t="s">
        <v>157</v>
      </c>
      <c r="D3900" t="s">
        <v>7844</v>
      </c>
      <c r="E3900" t="s">
        <v>7845</v>
      </c>
      <c r="G3900" s="1">
        <v>5</v>
      </c>
    </row>
    <row r="3901" spans="1:7" ht="14.25" hidden="1" customHeight="1" x14ac:dyDescent="0.45">
      <c r="A3901" t="str">
        <f>_xlfn.XLOOKUP(B3901,Ingot!$H$12:$H$119,Ingot!$G$12:$G$119,"")</f>
        <v>Wood</v>
      </c>
      <c r="B3901" t="s">
        <v>7663</v>
      </c>
      <c r="C3901" t="s">
        <v>157</v>
      </c>
      <c r="D3901" t="s">
        <v>7846</v>
      </c>
      <c r="E3901" t="s">
        <v>7847</v>
      </c>
      <c r="G3901" s="1">
        <v>5</v>
      </c>
    </row>
    <row r="3902" spans="1:7" ht="14.25" hidden="1" customHeight="1" x14ac:dyDescent="0.45">
      <c r="A3902" t="str">
        <f>_xlfn.XLOOKUP(B3902,Ingot!$H$12:$H$119,Ingot!$G$12:$G$119,"")</f>
        <v>Wood</v>
      </c>
      <c r="B3902" t="s">
        <v>7663</v>
      </c>
      <c r="C3902" t="s">
        <v>157</v>
      </c>
      <c r="D3902" t="s">
        <v>7848</v>
      </c>
      <c r="E3902" t="s">
        <v>7849</v>
      </c>
      <c r="G3902" s="1">
        <v>10</v>
      </c>
    </row>
    <row r="3903" spans="1:7" ht="14.25" hidden="1" customHeight="1" x14ac:dyDescent="0.45">
      <c r="A3903" t="str">
        <f>_xlfn.XLOOKUP(B3903,Ingot!$H$12:$H$119,Ingot!$G$12:$G$119,"")</f>
        <v>Wood</v>
      </c>
      <c r="B3903" t="s">
        <v>7663</v>
      </c>
      <c r="C3903" t="s">
        <v>157</v>
      </c>
      <c r="D3903" t="s">
        <v>7850</v>
      </c>
      <c r="E3903" t="s">
        <v>7851</v>
      </c>
      <c r="G3903" s="1">
        <v>23</v>
      </c>
    </row>
    <row r="3904" spans="1:7" ht="14.25" hidden="1" customHeight="1" x14ac:dyDescent="0.45">
      <c r="A3904" t="str">
        <f>_xlfn.XLOOKUP(B3904,Ingot!$H$12:$H$119,Ingot!$G$12:$G$119,"")</f>
        <v>Wood</v>
      </c>
      <c r="B3904" t="s">
        <v>7663</v>
      </c>
      <c r="C3904" t="s">
        <v>157</v>
      </c>
      <c r="D3904" t="s">
        <v>7852</v>
      </c>
      <c r="E3904" t="s">
        <v>7853</v>
      </c>
      <c r="G3904" s="1">
        <v>5</v>
      </c>
    </row>
    <row r="3905" spans="1:7" ht="14.25" hidden="1" customHeight="1" x14ac:dyDescent="0.45">
      <c r="A3905" t="str">
        <f>_xlfn.XLOOKUP(B3905,Ingot!$H$12:$H$119,Ingot!$G$12:$G$119,"")</f>
        <v>Wood</v>
      </c>
      <c r="B3905" t="s">
        <v>7663</v>
      </c>
      <c r="C3905" t="s">
        <v>157</v>
      </c>
      <c r="D3905" t="s">
        <v>7854</v>
      </c>
      <c r="E3905" t="s">
        <v>7855</v>
      </c>
      <c r="G3905" s="1">
        <v>5</v>
      </c>
    </row>
    <row r="3906" spans="1:7" ht="14.25" hidden="1" customHeight="1" x14ac:dyDescent="0.45">
      <c r="A3906" t="str">
        <f>_xlfn.XLOOKUP(B3906,Ingot!$H$12:$H$119,Ingot!$G$12:$G$119,"")</f>
        <v>Wood</v>
      </c>
      <c r="B3906" t="s">
        <v>7663</v>
      </c>
      <c r="C3906" t="s">
        <v>157</v>
      </c>
      <c r="D3906" t="s">
        <v>7856</v>
      </c>
      <c r="E3906" t="s">
        <v>7857</v>
      </c>
      <c r="G3906" s="1">
        <v>5</v>
      </c>
    </row>
    <row r="3907" spans="1:7" ht="14.25" hidden="1" customHeight="1" x14ac:dyDescent="0.45">
      <c r="A3907" t="str">
        <f>_xlfn.XLOOKUP(B3907,Ingot!$H$12:$H$119,Ingot!$G$12:$G$119,"")</f>
        <v>Wood</v>
      </c>
      <c r="B3907" t="s">
        <v>7663</v>
      </c>
      <c r="C3907" t="s">
        <v>157</v>
      </c>
      <c r="D3907" t="s">
        <v>7858</v>
      </c>
      <c r="E3907" t="s">
        <v>7859</v>
      </c>
      <c r="G3907" s="1">
        <v>10</v>
      </c>
    </row>
    <row r="3908" spans="1:7" ht="14.25" hidden="1" customHeight="1" x14ac:dyDescent="0.45">
      <c r="A3908" t="str">
        <f>_xlfn.XLOOKUP(B3908,Ingot!$H$12:$H$119,Ingot!$G$12:$G$119,"")</f>
        <v>Wood</v>
      </c>
      <c r="B3908" t="s">
        <v>7663</v>
      </c>
      <c r="C3908" t="s">
        <v>157</v>
      </c>
      <c r="D3908" t="s">
        <v>7860</v>
      </c>
      <c r="E3908" t="s">
        <v>7861</v>
      </c>
      <c r="G3908" s="1">
        <v>26.8</v>
      </c>
    </row>
    <row r="3909" spans="1:7" ht="14.25" hidden="1" customHeight="1" x14ac:dyDescent="0.45">
      <c r="A3909" t="str">
        <f>_xlfn.XLOOKUP(B3909,Ingot!$H$12:$H$119,Ingot!$G$12:$G$119,"")</f>
        <v>Wood</v>
      </c>
      <c r="B3909" t="s">
        <v>7663</v>
      </c>
      <c r="C3909" t="s">
        <v>157</v>
      </c>
      <c r="D3909" t="s">
        <v>7862</v>
      </c>
      <c r="E3909" t="s">
        <v>7863</v>
      </c>
      <c r="G3909" s="1">
        <v>5.36</v>
      </c>
    </row>
    <row r="3910" spans="1:7" ht="14.25" hidden="1" customHeight="1" x14ac:dyDescent="0.45">
      <c r="A3910" t="str">
        <f>_xlfn.XLOOKUP(B3910,Ingot!$H$12:$H$119,Ingot!$G$12:$G$119,"")</f>
        <v>Wood</v>
      </c>
      <c r="B3910" t="s">
        <v>7663</v>
      </c>
      <c r="C3910" t="s">
        <v>157</v>
      </c>
      <c r="D3910" t="s">
        <v>7864</v>
      </c>
      <c r="E3910" t="s">
        <v>7865</v>
      </c>
      <c r="G3910" s="1">
        <v>5.36</v>
      </c>
    </row>
    <row r="3911" spans="1:7" ht="14.25" hidden="1" customHeight="1" x14ac:dyDescent="0.45">
      <c r="A3911" t="str">
        <f>_xlfn.XLOOKUP(B3911,Ingot!$H$12:$H$119,Ingot!$G$12:$G$119,"")</f>
        <v>Wood</v>
      </c>
      <c r="B3911" t="s">
        <v>7663</v>
      </c>
      <c r="C3911" t="s">
        <v>157</v>
      </c>
      <c r="D3911" t="s">
        <v>7866</v>
      </c>
      <c r="E3911" t="s">
        <v>7867</v>
      </c>
      <c r="G3911" s="1">
        <v>5</v>
      </c>
    </row>
    <row r="3912" spans="1:7" ht="14.25" hidden="1" customHeight="1" x14ac:dyDescent="0.45">
      <c r="A3912" t="str">
        <f>_xlfn.XLOOKUP(B3912,Ingot!$H$12:$H$119,Ingot!$G$12:$G$119,"")</f>
        <v>Wood</v>
      </c>
      <c r="B3912" t="s">
        <v>7663</v>
      </c>
      <c r="C3912" t="s">
        <v>157</v>
      </c>
      <c r="D3912" t="s">
        <v>7868</v>
      </c>
      <c r="E3912" t="s">
        <v>7869</v>
      </c>
      <c r="G3912" s="1">
        <v>10</v>
      </c>
    </row>
    <row r="3913" spans="1:7" ht="14.25" hidden="1" customHeight="1" x14ac:dyDescent="0.45">
      <c r="A3913" t="str">
        <f>_xlfn.XLOOKUP(B3913,Ingot!$H$12:$H$119,Ingot!$G$12:$G$119,"")</f>
        <v>Wood</v>
      </c>
      <c r="B3913" t="s">
        <v>7663</v>
      </c>
      <c r="C3913" t="s">
        <v>157</v>
      </c>
      <c r="D3913" t="s">
        <v>7870</v>
      </c>
      <c r="E3913" t="s">
        <v>7871</v>
      </c>
      <c r="G3913" s="1">
        <v>25.5</v>
      </c>
    </row>
    <row r="3914" spans="1:7" ht="14.25" hidden="1" customHeight="1" x14ac:dyDescent="0.45">
      <c r="A3914" t="str">
        <f>_xlfn.XLOOKUP(B3914,Ingot!$H$12:$H$119,Ingot!$G$12:$G$119,"")</f>
        <v>Wood</v>
      </c>
      <c r="B3914" t="s">
        <v>7663</v>
      </c>
      <c r="C3914" t="s">
        <v>157</v>
      </c>
      <c r="D3914" t="s">
        <v>7872</v>
      </c>
      <c r="E3914" t="s">
        <v>7873</v>
      </c>
      <c r="G3914" s="1">
        <v>5.0999999999999996</v>
      </c>
    </row>
    <row r="3915" spans="1:7" ht="14.25" hidden="1" customHeight="1" x14ac:dyDescent="0.45">
      <c r="A3915" t="str">
        <f>_xlfn.XLOOKUP(B3915,Ingot!$H$12:$H$119,Ingot!$G$12:$G$119,"")</f>
        <v>Wood</v>
      </c>
      <c r="B3915" t="s">
        <v>7663</v>
      </c>
      <c r="C3915" t="s">
        <v>157</v>
      </c>
      <c r="D3915" t="s">
        <v>7874</v>
      </c>
      <c r="E3915" t="s">
        <v>7875</v>
      </c>
      <c r="G3915" s="1">
        <v>5.0999999999999996</v>
      </c>
    </row>
    <row r="3916" spans="1:7" ht="14.25" hidden="1" customHeight="1" x14ac:dyDescent="0.45">
      <c r="A3916" t="str">
        <f>_xlfn.XLOOKUP(B3916,Ingot!$H$12:$H$119,Ingot!$G$12:$G$119,"")</f>
        <v>Wood</v>
      </c>
      <c r="B3916" t="s">
        <v>7663</v>
      </c>
      <c r="C3916" t="s">
        <v>157</v>
      </c>
      <c r="D3916" t="s">
        <v>7876</v>
      </c>
      <c r="E3916" t="s">
        <v>7877</v>
      </c>
      <c r="G3916" s="1">
        <v>5</v>
      </c>
    </row>
    <row r="3917" spans="1:7" ht="14.25" hidden="1" customHeight="1" x14ac:dyDescent="0.45">
      <c r="A3917" t="str">
        <f>_xlfn.XLOOKUP(B3917,Ingot!$H$12:$H$119,Ingot!$G$12:$G$119,"")</f>
        <v>Wood</v>
      </c>
      <c r="B3917" t="s">
        <v>7663</v>
      </c>
      <c r="C3917" t="s">
        <v>157</v>
      </c>
      <c r="D3917" t="s">
        <v>7878</v>
      </c>
      <c r="E3917" t="s">
        <v>7879</v>
      </c>
      <c r="G3917" s="1">
        <v>10</v>
      </c>
    </row>
    <row r="3918" spans="1:7" ht="14.25" hidden="1" customHeight="1" x14ac:dyDescent="0.45">
      <c r="A3918" t="str">
        <f>_xlfn.XLOOKUP(B3918,Ingot!$H$12:$H$119,Ingot!$G$12:$G$119,"")</f>
        <v>Wood</v>
      </c>
      <c r="B3918" t="s">
        <v>7663</v>
      </c>
      <c r="C3918" t="s">
        <v>157</v>
      </c>
      <c r="D3918" t="s">
        <v>7880</v>
      </c>
      <c r="E3918" t="s">
        <v>7881</v>
      </c>
      <c r="G3918" s="1">
        <v>19.2</v>
      </c>
    </row>
    <row r="3919" spans="1:7" ht="14.25" hidden="1" customHeight="1" x14ac:dyDescent="0.45">
      <c r="A3919" t="str">
        <f>_xlfn.XLOOKUP(B3919,Ingot!$H$12:$H$119,Ingot!$G$12:$G$119,"")</f>
        <v>Wood</v>
      </c>
      <c r="B3919" t="s">
        <v>7663</v>
      </c>
      <c r="C3919" t="s">
        <v>157</v>
      </c>
      <c r="D3919" t="s">
        <v>7882</v>
      </c>
      <c r="E3919" t="s">
        <v>7883</v>
      </c>
      <c r="G3919" s="1">
        <v>5</v>
      </c>
    </row>
    <row r="3920" spans="1:7" ht="14.25" hidden="1" customHeight="1" x14ac:dyDescent="0.45">
      <c r="A3920" t="str">
        <f>_xlfn.XLOOKUP(B3920,Ingot!$H$12:$H$119,Ingot!$G$12:$G$119,"")</f>
        <v>Wood</v>
      </c>
      <c r="B3920" t="s">
        <v>7663</v>
      </c>
      <c r="C3920" t="s">
        <v>157</v>
      </c>
      <c r="D3920" t="s">
        <v>7884</v>
      </c>
      <c r="E3920" t="s">
        <v>7885</v>
      </c>
      <c r="G3920" s="1">
        <v>5</v>
      </c>
    </row>
    <row r="3921" spans="1:7" ht="14.25" hidden="1" customHeight="1" x14ac:dyDescent="0.45">
      <c r="A3921" t="str">
        <f>_xlfn.XLOOKUP(B3921,Ingot!$H$12:$H$119,Ingot!$G$12:$G$119,"")</f>
        <v>Wood</v>
      </c>
      <c r="B3921" t="s">
        <v>7663</v>
      </c>
      <c r="C3921" t="s">
        <v>157</v>
      </c>
      <c r="D3921" t="s">
        <v>7886</v>
      </c>
      <c r="E3921" t="s">
        <v>7887</v>
      </c>
      <c r="G3921" s="1">
        <v>5</v>
      </c>
    </row>
    <row r="3922" spans="1:7" ht="14.25" hidden="1" customHeight="1" x14ac:dyDescent="0.45">
      <c r="A3922" t="str">
        <f>_xlfn.XLOOKUP(B3922,Ingot!$H$12:$H$119,Ingot!$G$12:$G$119,"")</f>
        <v>Wood</v>
      </c>
      <c r="B3922" t="s">
        <v>7663</v>
      </c>
      <c r="C3922" t="s">
        <v>157</v>
      </c>
      <c r="D3922" t="s">
        <v>7888</v>
      </c>
      <c r="E3922" t="s">
        <v>7889</v>
      </c>
      <c r="G3922" s="1">
        <v>10</v>
      </c>
    </row>
    <row r="3923" spans="1:7" ht="14.25" hidden="1" customHeight="1" x14ac:dyDescent="0.45">
      <c r="A3923" t="str">
        <f>_xlfn.XLOOKUP(B3923,Ingot!$H$12:$H$119,Ingot!$G$12:$G$119,"")</f>
        <v>Wood</v>
      </c>
      <c r="B3923" t="s">
        <v>7663</v>
      </c>
      <c r="C3923" t="s">
        <v>239</v>
      </c>
      <c r="D3923" t="s">
        <v>7890</v>
      </c>
      <c r="E3923" t="s">
        <v>7891</v>
      </c>
    </row>
    <row r="3924" spans="1:7" ht="14.25" hidden="1" customHeight="1" x14ac:dyDescent="0.45">
      <c r="A3924" t="str">
        <f>_xlfn.XLOOKUP(B3924,Ingot!$H$12:$H$119,Ingot!$G$12:$G$119,"")</f>
        <v>Wood</v>
      </c>
      <c r="B3924" t="s">
        <v>7663</v>
      </c>
      <c r="C3924" t="s">
        <v>239</v>
      </c>
      <c r="D3924" t="s">
        <v>7892</v>
      </c>
      <c r="E3924" t="s">
        <v>7893</v>
      </c>
    </row>
    <row r="3925" spans="1:7" ht="14.25" hidden="1" customHeight="1" x14ac:dyDescent="0.45">
      <c r="A3925" t="str">
        <f>_xlfn.XLOOKUP(B3925,Ingot!$H$12:$H$119,Ingot!$G$12:$G$119,"")</f>
        <v>Wood</v>
      </c>
      <c r="B3925" t="s">
        <v>7663</v>
      </c>
      <c r="C3925" t="s">
        <v>239</v>
      </c>
      <c r="D3925" t="s">
        <v>7894</v>
      </c>
      <c r="E3925" t="s">
        <v>7895</v>
      </c>
    </row>
    <row r="3926" spans="1:7" ht="14.25" hidden="1" customHeight="1" x14ac:dyDescent="0.45">
      <c r="A3926" t="str">
        <f>_xlfn.XLOOKUP(B3926,Ingot!$H$12:$H$119,Ingot!$G$12:$G$119,"")</f>
        <v>Wood</v>
      </c>
      <c r="B3926" t="s">
        <v>7663</v>
      </c>
      <c r="C3926" t="s">
        <v>239</v>
      </c>
      <c r="D3926" t="s">
        <v>7896</v>
      </c>
      <c r="E3926" t="s">
        <v>7897</v>
      </c>
    </row>
    <row r="3927" spans="1:7" ht="14.25" hidden="1" customHeight="1" x14ac:dyDescent="0.45">
      <c r="A3927" t="str">
        <f>_xlfn.XLOOKUP(B3927,Ingot!$H$12:$H$119,Ingot!$G$12:$G$119,"")</f>
        <v>Wood</v>
      </c>
      <c r="B3927" t="s">
        <v>7663</v>
      </c>
      <c r="C3927" t="s">
        <v>239</v>
      </c>
      <c r="D3927" t="s">
        <v>7898</v>
      </c>
      <c r="E3927" t="s">
        <v>7899</v>
      </c>
    </row>
    <row r="3928" spans="1:7" ht="14.25" hidden="1" customHeight="1" x14ac:dyDescent="0.45">
      <c r="A3928" t="str">
        <f>_xlfn.XLOOKUP(B3928,Ingot!$H$12:$H$119,Ingot!$G$12:$G$119,"")</f>
        <v>Wood</v>
      </c>
      <c r="B3928" t="s">
        <v>7663</v>
      </c>
      <c r="C3928" t="s">
        <v>239</v>
      </c>
      <c r="D3928" t="s">
        <v>7900</v>
      </c>
      <c r="E3928" t="s">
        <v>7901</v>
      </c>
    </row>
    <row r="3929" spans="1:7" ht="14.25" hidden="1" customHeight="1" x14ac:dyDescent="0.45">
      <c r="A3929" t="str">
        <f>_xlfn.XLOOKUP(B3929,Ingot!$H$12:$H$119,Ingot!$G$12:$G$119,"")</f>
        <v>Wood</v>
      </c>
      <c r="B3929" t="s">
        <v>7902</v>
      </c>
      <c r="C3929" t="s">
        <v>10</v>
      </c>
      <c r="D3929" t="s">
        <v>7903</v>
      </c>
      <c r="E3929" t="s">
        <v>7904</v>
      </c>
      <c r="G3929" s="1">
        <v>0.08</v>
      </c>
    </row>
    <row r="3930" spans="1:7" ht="14.25" hidden="1" customHeight="1" x14ac:dyDescent="0.45">
      <c r="A3930" t="str">
        <f>_xlfn.XLOOKUP(B3930,Ingot!$H$12:$H$119,Ingot!$G$12:$G$119,"")</f>
        <v>Wood</v>
      </c>
      <c r="B3930" t="s">
        <v>7902</v>
      </c>
      <c r="C3930" t="s">
        <v>10</v>
      </c>
      <c r="D3930" t="s">
        <v>7905</v>
      </c>
      <c r="E3930" t="s">
        <v>7906</v>
      </c>
      <c r="G3930" s="1">
        <v>9.9</v>
      </c>
    </row>
    <row r="3931" spans="1:7" ht="14.25" hidden="1" customHeight="1" x14ac:dyDescent="0.45">
      <c r="A3931" t="str">
        <f>_xlfn.XLOOKUP(B3931,Ingot!$H$12:$H$119,Ingot!$G$12:$G$119,"")</f>
        <v>Wood</v>
      </c>
      <c r="B3931" t="s">
        <v>7902</v>
      </c>
      <c r="C3931" t="s">
        <v>10</v>
      </c>
      <c r="D3931" t="s">
        <v>7907</v>
      </c>
      <c r="E3931" t="s">
        <v>7908</v>
      </c>
      <c r="G3931" s="1">
        <v>5.66</v>
      </c>
    </row>
    <row r="3932" spans="1:7" ht="14.25" hidden="1" customHeight="1" x14ac:dyDescent="0.45">
      <c r="A3932" t="str">
        <f>_xlfn.XLOOKUP(B3932,Ingot!$H$12:$H$119,Ingot!$G$12:$G$119,"")</f>
        <v>Wood</v>
      </c>
      <c r="B3932" t="s">
        <v>7902</v>
      </c>
      <c r="C3932" t="s">
        <v>10</v>
      </c>
      <c r="D3932" t="s">
        <v>7909</v>
      </c>
      <c r="E3932" t="s">
        <v>7910</v>
      </c>
      <c r="G3932" s="1">
        <v>3.3</v>
      </c>
    </row>
    <row r="3933" spans="1:7" ht="14.25" hidden="1" customHeight="1" x14ac:dyDescent="0.45">
      <c r="A3933" t="str">
        <f>_xlfn.XLOOKUP(B3933,Ingot!$H$12:$H$119,Ingot!$G$12:$G$119,"")</f>
        <v>Wood</v>
      </c>
      <c r="B3933" t="s">
        <v>7902</v>
      </c>
      <c r="C3933" t="s">
        <v>10</v>
      </c>
      <c r="D3933" t="s">
        <v>7911</v>
      </c>
      <c r="E3933" t="s">
        <v>7912</v>
      </c>
      <c r="G3933" s="1">
        <v>0.66</v>
      </c>
    </row>
    <row r="3934" spans="1:7" ht="14.25" hidden="1" customHeight="1" x14ac:dyDescent="0.45">
      <c r="A3934" t="str">
        <f>_xlfn.XLOOKUP(B3934,Ingot!$H$12:$H$119,Ingot!$G$12:$G$119,"")</f>
        <v>Wood</v>
      </c>
      <c r="B3934" t="s">
        <v>7902</v>
      </c>
      <c r="C3934" t="s">
        <v>10</v>
      </c>
      <c r="D3934" t="s">
        <v>7913</v>
      </c>
      <c r="E3934" t="s">
        <v>7914</v>
      </c>
      <c r="G3934" s="1">
        <v>0.04</v>
      </c>
    </row>
    <row r="3935" spans="1:7" ht="14.25" hidden="1" customHeight="1" x14ac:dyDescent="0.45">
      <c r="A3935" t="str">
        <f>_xlfn.XLOOKUP(B3935,Ingot!$H$12:$H$119,Ingot!$G$12:$G$119,"")</f>
        <v>Wood</v>
      </c>
      <c r="B3935" t="s">
        <v>7902</v>
      </c>
      <c r="C3935" t="s">
        <v>10</v>
      </c>
      <c r="D3935" t="s">
        <v>7915</v>
      </c>
      <c r="E3935" t="s">
        <v>7916</v>
      </c>
      <c r="G3935" s="1">
        <v>0.33</v>
      </c>
    </row>
    <row r="3936" spans="1:7" ht="14.25" hidden="1" customHeight="1" x14ac:dyDescent="0.45">
      <c r="A3936" t="str">
        <f>_xlfn.XLOOKUP(B3936,Ingot!$H$12:$H$119,Ingot!$G$12:$G$119,"")</f>
        <v>Wood</v>
      </c>
      <c r="B3936" t="s">
        <v>7902</v>
      </c>
      <c r="C3936" t="s">
        <v>10</v>
      </c>
      <c r="D3936" t="s">
        <v>7917</v>
      </c>
      <c r="E3936" t="s">
        <v>7918</v>
      </c>
    </row>
    <row r="3937" spans="1:7" ht="14.25" hidden="1" customHeight="1" x14ac:dyDescent="0.45">
      <c r="A3937" t="str">
        <f>_xlfn.XLOOKUP(B3937,Ingot!$H$12:$H$119,Ingot!$G$12:$G$119,"")</f>
        <v>Wood</v>
      </c>
      <c r="B3937" t="s">
        <v>7902</v>
      </c>
      <c r="C3937" t="s">
        <v>10</v>
      </c>
      <c r="D3937" t="s">
        <v>7919</v>
      </c>
      <c r="E3937" t="s">
        <v>7920</v>
      </c>
      <c r="G3937" s="1">
        <v>0.05</v>
      </c>
    </row>
    <row r="3938" spans="1:7" ht="14.25" hidden="1" customHeight="1" x14ac:dyDescent="0.45">
      <c r="A3938" t="str">
        <f>_xlfn.XLOOKUP(B3938,Ingot!$H$12:$H$119,Ingot!$G$12:$G$119,"")</f>
        <v>Wood</v>
      </c>
      <c r="B3938" t="s">
        <v>7902</v>
      </c>
      <c r="C3938" t="s">
        <v>10</v>
      </c>
      <c r="D3938" t="s">
        <v>7921</v>
      </c>
      <c r="E3938" t="s">
        <v>7922</v>
      </c>
      <c r="G3938" s="1">
        <v>0.66</v>
      </c>
    </row>
    <row r="3939" spans="1:7" ht="14.25" hidden="1" customHeight="1" x14ac:dyDescent="0.45">
      <c r="A3939" t="str">
        <f>_xlfn.XLOOKUP(B3939,Ingot!$H$12:$H$119,Ingot!$G$12:$G$119,"")</f>
        <v>Wood</v>
      </c>
      <c r="B3939" t="s">
        <v>7902</v>
      </c>
      <c r="C3939" t="s">
        <v>10</v>
      </c>
      <c r="D3939" t="s">
        <v>7923</v>
      </c>
      <c r="E3939" t="s">
        <v>7924</v>
      </c>
      <c r="G3939" s="1">
        <v>3.96</v>
      </c>
    </row>
    <row r="3940" spans="1:7" ht="14.25" hidden="1" customHeight="1" x14ac:dyDescent="0.45">
      <c r="A3940" t="str">
        <f>_xlfn.XLOOKUP(B3940,Ingot!$H$12:$H$119,Ingot!$G$12:$G$119,"")</f>
        <v>Wood</v>
      </c>
      <c r="B3940" t="s">
        <v>7902</v>
      </c>
      <c r="C3940" t="s">
        <v>10</v>
      </c>
      <c r="D3940" t="s">
        <v>7925</v>
      </c>
      <c r="E3940" t="s">
        <v>7926</v>
      </c>
      <c r="G3940" s="1">
        <v>8.77</v>
      </c>
    </row>
    <row r="3941" spans="1:7" ht="14.25" hidden="1" customHeight="1" x14ac:dyDescent="0.45">
      <c r="A3941" t="str">
        <f>_xlfn.XLOOKUP(B3941,Ingot!$H$12:$H$119,Ingot!$G$12:$G$119,"")</f>
        <v>Wood</v>
      </c>
      <c r="B3941" t="s">
        <v>7902</v>
      </c>
      <c r="C3941" t="s">
        <v>10</v>
      </c>
      <c r="D3941" t="s">
        <v>7927</v>
      </c>
      <c r="E3941" t="s">
        <v>7928</v>
      </c>
      <c r="G3941" s="1">
        <v>3.5</v>
      </c>
    </row>
    <row r="3942" spans="1:7" ht="14.25" hidden="1" customHeight="1" x14ac:dyDescent="0.45">
      <c r="A3942" t="str">
        <f>_xlfn.XLOOKUP(B3942,Ingot!$H$12:$H$119,Ingot!$G$12:$G$119,"")</f>
        <v>Wood</v>
      </c>
      <c r="B3942" t="s">
        <v>7902</v>
      </c>
      <c r="C3942" t="s">
        <v>10</v>
      </c>
      <c r="D3942" t="s">
        <v>7929</v>
      </c>
      <c r="E3942" t="s">
        <v>7930</v>
      </c>
    </row>
    <row r="3943" spans="1:7" ht="14.25" hidden="1" customHeight="1" x14ac:dyDescent="0.45">
      <c r="A3943" t="str">
        <f>_xlfn.XLOOKUP(B3943,Ingot!$H$12:$H$119,Ingot!$G$12:$G$119,"")</f>
        <v>Wood</v>
      </c>
      <c r="B3943" t="s">
        <v>7902</v>
      </c>
      <c r="C3943" t="s">
        <v>10</v>
      </c>
      <c r="D3943" t="s">
        <v>7931</v>
      </c>
      <c r="E3943" t="s">
        <v>7932</v>
      </c>
      <c r="G3943" s="1">
        <v>2.2000000000000002</v>
      </c>
    </row>
    <row r="3944" spans="1:7" ht="14.25" hidden="1" customHeight="1" x14ac:dyDescent="0.45">
      <c r="A3944" t="str">
        <f>_xlfn.XLOOKUP(B3944,Ingot!$H$12:$H$119,Ingot!$G$12:$G$119,"")</f>
        <v>Wood</v>
      </c>
      <c r="B3944" t="s">
        <v>7902</v>
      </c>
      <c r="C3944" t="s">
        <v>10</v>
      </c>
      <c r="D3944" t="s">
        <v>7933</v>
      </c>
      <c r="E3944" t="s">
        <v>7934</v>
      </c>
      <c r="G3944" s="1">
        <v>1.1000000000000001</v>
      </c>
    </row>
    <row r="3945" spans="1:7" ht="14.25" hidden="1" customHeight="1" x14ac:dyDescent="0.45">
      <c r="A3945" t="str">
        <f>_xlfn.XLOOKUP(B3945,Ingot!$H$12:$H$119,Ingot!$G$12:$G$119,"")</f>
        <v>Wood</v>
      </c>
      <c r="B3945" t="s">
        <v>7902</v>
      </c>
      <c r="C3945" t="s">
        <v>10</v>
      </c>
      <c r="D3945" t="s">
        <v>7935</v>
      </c>
      <c r="E3945" t="s">
        <v>7936</v>
      </c>
      <c r="G3945" s="1">
        <v>0.22</v>
      </c>
    </row>
    <row r="3946" spans="1:7" ht="14.25" hidden="1" customHeight="1" x14ac:dyDescent="0.45">
      <c r="A3946" t="str">
        <f>_xlfn.XLOOKUP(B3946,Ingot!$H$12:$H$119,Ingot!$G$12:$G$119,"")</f>
        <v>Wood</v>
      </c>
      <c r="B3946" t="s">
        <v>7902</v>
      </c>
      <c r="C3946" t="s">
        <v>10</v>
      </c>
      <c r="D3946" t="s">
        <v>7937</v>
      </c>
      <c r="E3946" t="s">
        <v>7938</v>
      </c>
      <c r="G3946" s="1">
        <v>8.41</v>
      </c>
    </row>
    <row r="3947" spans="1:7" ht="14.25" hidden="1" customHeight="1" x14ac:dyDescent="0.45">
      <c r="A3947" t="str">
        <f>_xlfn.XLOOKUP(B3947,Ingot!$H$12:$H$119,Ingot!$G$12:$G$119,"")</f>
        <v>Wood</v>
      </c>
      <c r="B3947" t="s">
        <v>7902</v>
      </c>
      <c r="C3947" t="s">
        <v>10</v>
      </c>
      <c r="D3947" t="s">
        <v>7939</v>
      </c>
      <c r="E3947" t="s">
        <v>7940</v>
      </c>
      <c r="G3947" s="1">
        <v>3.64</v>
      </c>
    </row>
    <row r="3948" spans="1:7" ht="14.25" hidden="1" customHeight="1" x14ac:dyDescent="0.45">
      <c r="A3948" t="str">
        <f>_xlfn.XLOOKUP(B3948,Ingot!$H$12:$H$119,Ingot!$G$12:$G$119,"")</f>
        <v>Wood</v>
      </c>
      <c r="B3948" t="s">
        <v>7902</v>
      </c>
      <c r="C3948" t="s">
        <v>10</v>
      </c>
      <c r="D3948" t="s">
        <v>7941</v>
      </c>
      <c r="E3948" t="s">
        <v>7942</v>
      </c>
      <c r="G3948" s="1">
        <v>7.05</v>
      </c>
    </row>
    <row r="3949" spans="1:7" ht="14.25" hidden="1" customHeight="1" x14ac:dyDescent="0.45">
      <c r="A3949" t="str">
        <f>_xlfn.XLOOKUP(B3949,Ingot!$H$12:$H$119,Ingot!$G$12:$G$119,"")</f>
        <v>Wood</v>
      </c>
      <c r="B3949" t="s">
        <v>7902</v>
      </c>
      <c r="C3949" t="s">
        <v>10</v>
      </c>
      <c r="D3949" t="s">
        <v>7943</v>
      </c>
      <c r="E3949" t="s">
        <v>7944</v>
      </c>
      <c r="G3949" s="1">
        <v>2.65</v>
      </c>
    </row>
    <row r="3950" spans="1:7" ht="14.25" hidden="1" customHeight="1" x14ac:dyDescent="0.45">
      <c r="A3950" t="str">
        <f>_xlfn.XLOOKUP(B3950,Ingot!$H$12:$H$119,Ingot!$G$12:$G$119,"")</f>
        <v>Wood</v>
      </c>
      <c r="B3950" t="s">
        <v>7902</v>
      </c>
      <c r="C3950" t="s">
        <v>10</v>
      </c>
      <c r="D3950" t="s">
        <v>7945</v>
      </c>
      <c r="E3950" t="s">
        <v>7946</v>
      </c>
      <c r="G3950" s="1">
        <v>9</v>
      </c>
    </row>
    <row r="3951" spans="1:7" ht="14.25" hidden="1" customHeight="1" x14ac:dyDescent="0.45">
      <c r="A3951" t="str">
        <f>_xlfn.XLOOKUP(B3951,Ingot!$H$12:$H$119,Ingot!$G$12:$G$119,"")</f>
        <v>Wood</v>
      </c>
      <c r="B3951" t="s">
        <v>7902</v>
      </c>
      <c r="C3951" t="s">
        <v>10</v>
      </c>
      <c r="D3951" t="s">
        <v>7947</v>
      </c>
      <c r="E3951" t="s">
        <v>7948</v>
      </c>
      <c r="G3951" s="1">
        <v>10.23</v>
      </c>
    </row>
    <row r="3952" spans="1:7" ht="14.25" hidden="1" customHeight="1" x14ac:dyDescent="0.45">
      <c r="A3952" t="str">
        <f>_xlfn.XLOOKUP(B3952,Ingot!$H$12:$H$119,Ingot!$G$12:$G$119,"")</f>
        <v>Wood</v>
      </c>
      <c r="B3952" t="s">
        <v>7902</v>
      </c>
      <c r="C3952" t="s">
        <v>10</v>
      </c>
      <c r="D3952" t="s">
        <v>7949</v>
      </c>
      <c r="E3952" t="s">
        <v>7950</v>
      </c>
      <c r="G3952" s="1">
        <v>7.7</v>
      </c>
    </row>
    <row r="3953" spans="1:7" ht="14.25" hidden="1" customHeight="1" x14ac:dyDescent="0.45">
      <c r="A3953" t="str">
        <f>_xlfn.XLOOKUP(B3953,Ingot!$H$12:$H$119,Ingot!$G$12:$G$119,"")</f>
        <v>Wood</v>
      </c>
      <c r="B3953" t="s">
        <v>7902</v>
      </c>
      <c r="C3953" t="s">
        <v>10</v>
      </c>
      <c r="D3953" t="s">
        <v>7951</v>
      </c>
      <c r="E3953" t="s">
        <v>7952</v>
      </c>
      <c r="G3953" s="1">
        <v>10.02</v>
      </c>
    </row>
    <row r="3954" spans="1:7" ht="14.25" hidden="1" customHeight="1" x14ac:dyDescent="0.45">
      <c r="A3954" t="str">
        <f>_xlfn.XLOOKUP(B3954,Ingot!$H$12:$H$119,Ingot!$G$12:$G$119,"")</f>
        <v>Wood</v>
      </c>
      <c r="B3954" t="s">
        <v>7902</v>
      </c>
      <c r="C3954" t="s">
        <v>10</v>
      </c>
      <c r="D3954" t="s">
        <v>7953</v>
      </c>
      <c r="E3954" t="s">
        <v>7954</v>
      </c>
      <c r="G3954" s="1">
        <v>11.81</v>
      </c>
    </row>
    <row r="3955" spans="1:7" ht="14.25" hidden="1" customHeight="1" x14ac:dyDescent="0.45">
      <c r="A3955" t="str">
        <f>_xlfn.XLOOKUP(B3955,Ingot!$H$12:$H$119,Ingot!$G$12:$G$119,"")</f>
        <v>Wood</v>
      </c>
      <c r="B3955" t="s">
        <v>7902</v>
      </c>
      <c r="C3955" t="s">
        <v>10</v>
      </c>
      <c r="D3955" t="s">
        <v>7955</v>
      </c>
      <c r="E3955" t="s">
        <v>7956</v>
      </c>
      <c r="G3955" s="1">
        <v>8.44</v>
      </c>
    </row>
    <row r="3956" spans="1:7" ht="14.25" hidden="1" customHeight="1" x14ac:dyDescent="0.45">
      <c r="A3956" t="str">
        <f>_xlfn.XLOOKUP(B3956,Ingot!$H$12:$H$119,Ingot!$G$12:$G$119,"")</f>
        <v>Wood</v>
      </c>
      <c r="B3956" t="s">
        <v>7902</v>
      </c>
      <c r="C3956" t="s">
        <v>10</v>
      </c>
      <c r="D3956" t="s">
        <v>7957</v>
      </c>
      <c r="E3956" t="s">
        <v>7958</v>
      </c>
      <c r="G3956" s="1">
        <v>10.42</v>
      </c>
    </row>
    <row r="3957" spans="1:7" ht="14.25" hidden="1" customHeight="1" x14ac:dyDescent="0.45">
      <c r="A3957" t="str">
        <f>_xlfn.XLOOKUP(B3957,Ingot!$H$12:$H$119,Ingot!$G$12:$G$119,"")</f>
        <v>Wood</v>
      </c>
      <c r="B3957" t="s">
        <v>7902</v>
      </c>
      <c r="C3957" t="s">
        <v>10</v>
      </c>
      <c r="D3957" t="s">
        <v>7959</v>
      </c>
      <c r="E3957" t="s">
        <v>7960</v>
      </c>
    </row>
    <row r="3958" spans="1:7" ht="14.25" hidden="1" customHeight="1" x14ac:dyDescent="0.45">
      <c r="A3958" t="str">
        <f>_xlfn.XLOOKUP(B3958,Ingot!$H$12:$H$119,Ingot!$G$12:$G$119,"")</f>
        <v>Wood</v>
      </c>
      <c r="B3958" t="s">
        <v>7902</v>
      </c>
      <c r="C3958" t="s">
        <v>10</v>
      </c>
      <c r="D3958" t="s">
        <v>7961</v>
      </c>
      <c r="E3958" t="s">
        <v>7962</v>
      </c>
      <c r="G3958" s="1">
        <v>7.96</v>
      </c>
    </row>
    <row r="3959" spans="1:7" ht="14.25" hidden="1" customHeight="1" x14ac:dyDescent="0.45">
      <c r="A3959" t="str">
        <f>_xlfn.XLOOKUP(B3959,Ingot!$H$12:$H$119,Ingot!$G$12:$G$119,"")</f>
        <v>Wood</v>
      </c>
      <c r="B3959" t="s">
        <v>7902</v>
      </c>
      <c r="C3959" t="s">
        <v>10</v>
      </c>
      <c r="D3959" t="s">
        <v>7963</v>
      </c>
      <c r="E3959" t="s">
        <v>7964</v>
      </c>
      <c r="G3959" s="1">
        <v>9.64</v>
      </c>
    </row>
    <row r="3960" spans="1:7" ht="14.25" hidden="1" customHeight="1" x14ac:dyDescent="0.45">
      <c r="A3960" t="str">
        <f>_xlfn.XLOOKUP(B3960,Ingot!$H$12:$H$119,Ingot!$G$12:$G$119,"")</f>
        <v>Wood</v>
      </c>
      <c r="B3960" t="s">
        <v>7902</v>
      </c>
      <c r="C3960" t="s">
        <v>10</v>
      </c>
      <c r="D3960" t="s">
        <v>7965</v>
      </c>
      <c r="E3960" t="s">
        <v>7966</v>
      </c>
      <c r="G3960" s="1">
        <v>7.94</v>
      </c>
    </row>
    <row r="3961" spans="1:7" ht="14.25" hidden="1" customHeight="1" x14ac:dyDescent="0.45">
      <c r="A3961" t="str">
        <f>_xlfn.XLOOKUP(B3961,Ingot!$H$12:$H$119,Ingot!$G$12:$G$119,"")</f>
        <v>Wood</v>
      </c>
      <c r="B3961" t="s">
        <v>7902</v>
      </c>
      <c r="C3961" t="s">
        <v>10</v>
      </c>
      <c r="D3961" t="s">
        <v>7967</v>
      </c>
      <c r="E3961" t="s">
        <v>7968</v>
      </c>
      <c r="G3961" s="1">
        <v>8.66</v>
      </c>
    </row>
    <row r="3962" spans="1:7" ht="14.25" hidden="1" customHeight="1" x14ac:dyDescent="0.45">
      <c r="A3962" t="str">
        <f>_xlfn.XLOOKUP(B3962,Ingot!$H$12:$H$119,Ingot!$G$12:$G$119,"")</f>
        <v>Wood</v>
      </c>
      <c r="B3962" t="s">
        <v>7902</v>
      </c>
      <c r="C3962" t="s">
        <v>10</v>
      </c>
      <c r="D3962" t="s">
        <v>7969</v>
      </c>
      <c r="E3962" t="s">
        <v>7970</v>
      </c>
    </row>
    <row r="3963" spans="1:7" ht="14.25" hidden="1" customHeight="1" x14ac:dyDescent="0.45">
      <c r="A3963" t="str">
        <f>_xlfn.XLOOKUP(B3963,Ingot!$H$12:$H$119,Ingot!$G$12:$G$119,"")</f>
        <v>Wood</v>
      </c>
      <c r="B3963" t="s">
        <v>7902</v>
      </c>
      <c r="C3963" t="s">
        <v>10</v>
      </c>
      <c r="D3963" t="s">
        <v>7971</v>
      </c>
      <c r="E3963" t="s">
        <v>7972</v>
      </c>
      <c r="G3963" s="1">
        <v>2.65</v>
      </c>
    </row>
    <row r="3964" spans="1:7" ht="14.25" hidden="1" customHeight="1" x14ac:dyDescent="0.45">
      <c r="A3964" t="str">
        <f>_xlfn.XLOOKUP(B3964,Ingot!$H$12:$H$119,Ingot!$G$12:$G$119,"")</f>
        <v>Wood</v>
      </c>
      <c r="B3964" t="s">
        <v>7902</v>
      </c>
      <c r="C3964" t="s">
        <v>10</v>
      </c>
      <c r="D3964" t="s">
        <v>7973</v>
      </c>
      <c r="E3964" t="s">
        <v>7974</v>
      </c>
    </row>
    <row r="3965" spans="1:7" ht="14.25" hidden="1" customHeight="1" x14ac:dyDescent="0.45">
      <c r="A3965" t="str">
        <f>_xlfn.XLOOKUP(B3965,Ingot!$H$12:$H$119,Ingot!$G$12:$G$119,"")</f>
        <v>Wood</v>
      </c>
      <c r="B3965" t="s">
        <v>7902</v>
      </c>
      <c r="C3965" t="s">
        <v>10</v>
      </c>
      <c r="D3965" t="s">
        <v>7975</v>
      </c>
      <c r="E3965" t="s">
        <v>7976</v>
      </c>
      <c r="G3965" s="1">
        <v>12.64</v>
      </c>
    </row>
    <row r="3966" spans="1:7" ht="14.25" hidden="1" customHeight="1" x14ac:dyDescent="0.45">
      <c r="A3966" t="str">
        <f>_xlfn.XLOOKUP(B3966,Ingot!$H$12:$H$119,Ingot!$G$12:$G$119,"")</f>
        <v>Wood</v>
      </c>
      <c r="B3966" t="s">
        <v>7902</v>
      </c>
      <c r="C3966" t="s">
        <v>10</v>
      </c>
      <c r="D3966" t="s">
        <v>7977</v>
      </c>
      <c r="E3966" t="s">
        <v>7978</v>
      </c>
      <c r="G3966" s="1">
        <v>22.67</v>
      </c>
    </row>
    <row r="3967" spans="1:7" ht="14.25" hidden="1" customHeight="1" x14ac:dyDescent="0.45">
      <c r="A3967" t="str">
        <f>_xlfn.XLOOKUP(B3967,Ingot!$H$12:$H$119,Ingot!$G$12:$G$119,"")</f>
        <v>Wood</v>
      </c>
      <c r="B3967" t="s">
        <v>7902</v>
      </c>
      <c r="C3967" t="s">
        <v>10</v>
      </c>
      <c r="D3967" t="s">
        <v>7979</v>
      </c>
      <c r="E3967" t="s">
        <v>7980</v>
      </c>
      <c r="G3967" s="1">
        <v>8.3800000000000008</v>
      </c>
    </row>
    <row r="3968" spans="1:7" ht="14.25" hidden="1" customHeight="1" x14ac:dyDescent="0.45">
      <c r="A3968" t="str">
        <f>_xlfn.XLOOKUP(B3968,Ingot!$H$12:$H$119,Ingot!$G$12:$G$119,"")</f>
        <v>Wood</v>
      </c>
      <c r="B3968" t="s">
        <v>7902</v>
      </c>
      <c r="C3968" t="s">
        <v>10</v>
      </c>
      <c r="D3968" t="s">
        <v>7981</v>
      </c>
      <c r="E3968" t="s">
        <v>7982</v>
      </c>
      <c r="G3968" s="1">
        <v>2.2000000000000002</v>
      </c>
    </row>
    <row r="3969" spans="1:7" ht="14.25" hidden="1" customHeight="1" x14ac:dyDescent="0.45">
      <c r="A3969" t="str">
        <f>_xlfn.XLOOKUP(B3969,Ingot!$H$12:$H$119,Ingot!$G$12:$G$119,"")</f>
        <v>Wood</v>
      </c>
      <c r="B3969" t="s">
        <v>7902</v>
      </c>
      <c r="C3969" t="s">
        <v>10</v>
      </c>
      <c r="D3969" t="s">
        <v>7983</v>
      </c>
      <c r="E3969" t="s">
        <v>7984</v>
      </c>
      <c r="G3969" s="1">
        <v>3.09</v>
      </c>
    </row>
    <row r="3970" spans="1:7" ht="14.25" hidden="1" customHeight="1" x14ac:dyDescent="0.45">
      <c r="A3970" t="str">
        <f>_xlfn.XLOOKUP(B3970,Ingot!$H$12:$H$119,Ingot!$G$12:$G$119,"")</f>
        <v>Wood</v>
      </c>
      <c r="B3970" t="s">
        <v>7902</v>
      </c>
      <c r="C3970" t="s">
        <v>10</v>
      </c>
      <c r="D3970" t="s">
        <v>7985</v>
      </c>
      <c r="E3970" t="s">
        <v>7986</v>
      </c>
      <c r="G3970" s="1">
        <v>2.2999999999999998</v>
      </c>
    </row>
    <row r="3971" spans="1:7" ht="14.25" hidden="1" customHeight="1" x14ac:dyDescent="0.45">
      <c r="A3971" t="str">
        <f>_xlfn.XLOOKUP(B3971,Ingot!$H$12:$H$119,Ingot!$G$12:$G$119,"")</f>
        <v>Wood</v>
      </c>
      <c r="B3971" t="s">
        <v>7902</v>
      </c>
      <c r="C3971" t="s">
        <v>10</v>
      </c>
      <c r="D3971" t="s">
        <v>7987</v>
      </c>
      <c r="E3971" t="s">
        <v>7988</v>
      </c>
      <c r="G3971" s="1">
        <v>4.88</v>
      </c>
    </row>
    <row r="3972" spans="1:7" ht="14.25" hidden="1" customHeight="1" x14ac:dyDescent="0.45">
      <c r="A3972" t="str">
        <f>_xlfn.XLOOKUP(B3972,Ingot!$H$12:$H$119,Ingot!$G$12:$G$119,"")</f>
        <v>Wood</v>
      </c>
      <c r="B3972" t="s">
        <v>7902</v>
      </c>
      <c r="C3972" t="s">
        <v>10</v>
      </c>
      <c r="D3972" t="s">
        <v>7989</v>
      </c>
      <c r="E3972" t="s">
        <v>7990</v>
      </c>
      <c r="G3972" s="1">
        <v>8.43</v>
      </c>
    </row>
    <row r="3973" spans="1:7" ht="14.25" hidden="1" customHeight="1" x14ac:dyDescent="0.45">
      <c r="A3973" t="str">
        <f>_xlfn.XLOOKUP(B3973,Ingot!$H$12:$H$119,Ingot!$G$12:$G$119,"")</f>
        <v>Wood</v>
      </c>
      <c r="B3973" t="s">
        <v>7902</v>
      </c>
      <c r="C3973" t="s">
        <v>10</v>
      </c>
      <c r="D3973" t="s">
        <v>7991</v>
      </c>
      <c r="E3973" t="s">
        <v>7992</v>
      </c>
      <c r="G3973" s="1">
        <v>13.07</v>
      </c>
    </row>
    <row r="3974" spans="1:7" ht="14.25" hidden="1" customHeight="1" x14ac:dyDescent="0.45">
      <c r="A3974" t="str">
        <f>_xlfn.XLOOKUP(B3974,Ingot!$H$12:$H$119,Ingot!$G$12:$G$119,"")</f>
        <v>Wood</v>
      </c>
      <c r="B3974" t="s">
        <v>7902</v>
      </c>
      <c r="C3974" t="s">
        <v>10</v>
      </c>
      <c r="D3974" t="s">
        <v>7993</v>
      </c>
      <c r="E3974" t="s">
        <v>7994</v>
      </c>
    </row>
    <row r="3975" spans="1:7" ht="14.25" hidden="1" customHeight="1" x14ac:dyDescent="0.45">
      <c r="A3975" t="str">
        <f>_xlfn.XLOOKUP(B3975,Ingot!$H$12:$H$119,Ingot!$G$12:$G$119,"")</f>
        <v>Wood</v>
      </c>
      <c r="B3975" t="s">
        <v>7902</v>
      </c>
      <c r="C3975" t="s">
        <v>10</v>
      </c>
      <c r="D3975" t="s">
        <v>7995</v>
      </c>
      <c r="E3975" t="s">
        <v>7996</v>
      </c>
    </row>
    <row r="3976" spans="1:7" ht="14.25" hidden="1" customHeight="1" x14ac:dyDescent="0.45">
      <c r="A3976" t="str">
        <f>_xlfn.XLOOKUP(B3976,Ingot!$H$12:$H$119,Ingot!$G$12:$G$119,"")</f>
        <v>Wood</v>
      </c>
      <c r="B3976" t="s">
        <v>7902</v>
      </c>
      <c r="C3976" t="s">
        <v>10</v>
      </c>
      <c r="D3976" t="s">
        <v>7997</v>
      </c>
      <c r="E3976" t="s">
        <v>7998</v>
      </c>
      <c r="G3976" s="1">
        <v>6.8</v>
      </c>
    </row>
    <row r="3977" spans="1:7" ht="14.25" hidden="1" customHeight="1" x14ac:dyDescent="0.45">
      <c r="A3977" t="str">
        <f>_xlfn.XLOOKUP(B3977,Ingot!$H$12:$H$119,Ingot!$G$12:$G$119,"")</f>
        <v>Wood</v>
      </c>
      <c r="B3977" t="s">
        <v>7902</v>
      </c>
      <c r="C3977" t="s">
        <v>10</v>
      </c>
      <c r="D3977" t="s">
        <v>7999</v>
      </c>
      <c r="E3977" t="s">
        <v>8000</v>
      </c>
      <c r="G3977" s="1">
        <v>6.88</v>
      </c>
    </row>
    <row r="3978" spans="1:7" ht="14.25" hidden="1" customHeight="1" x14ac:dyDescent="0.45">
      <c r="A3978" t="str">
        <f>_xlfn.XLOOKUP(B3978,Ingot!$H$12:$H$119,Ingot!$G$12:$G$119,"")</f>
        <v>Wood</v>
      </c>
      <c r="B3978" t="s">
        <v>7902</v>
      </c>
      <c r="C3978" t="s">
        <v>10</v>
      </c>
      <c r="D3978" t="s">
        <v>8001</v>
      </c>
      <c r="E3978" t="s">
        <v>8002</v>
      </c>
      <c r="G3978" s="1">
        <v>5.5</v>
      </c>
    </row>
    <row r="3979" spans="1:7" ht="14.25" hidden="1" customHeight="1" x14ac:dyDescent="0.45">
      <c r="A3979" t="str">
        <f>_xlfn.XLOOKUP(B3979,Ingot!$H$12:$H$119,Ingot!$G$12:$G$119,"")</f>
        <v>Wood</v>
      </c>
      <c r="B3979" t="s">
        <v>7902</v>
      </c>
      <c r="C3979" t="s">
        <v>10</v>
      </c>
      <c r="D3979" t="s">
        <v>8003</v>
      </c>
      <c r="E3979" t="s">
        <v>8004</v>
      </c>
      <c r="G3979" s="1">
        <v>2.4300000000000002</v>
      </c>
    </row>
    <row r="3980" spans="1:7" ht="14.25" hidden="1" customHeight="1" x14ac:dyDescent="0.45">
      <c r="A3980" t="str">
        <f>_xlfn.XLOOKUP(B3980,Ingot!$H$12:$H$119,Ingot!$G$12:$G$119,"")</f>
        <v>Wood</v>
      </c>
      <c r="B3980" t="s">
        <v>7902</v>
      </c>
      <c r="C3980" t="s">
        <v>10</v>
      </c>
      <c r="D3980" t="s">
        <v>8005</v>
      </c>
      <c r="E3980" t="s">
        <v>8006</v>
      </c>
      <c r="G3980" s="1">
        <v>6.96</v>
      </c>
    </row>
    <row r="3981" spans="1:7" ht="14.25" hidden="1" customHeight="1" x14ac:dyDescent="0.45">
      <c r="A3981" t="str">
        <f>_xlfn.XLOOKUP(B3981,Ingot!$H$12:$H$119,Ingot!$G$12:$G$119,"")</f>
        <v>Wood</v>
      </c>
      <c r="B3981" t="s">
        <v>7902</v>
      </c>
      <c r="C3981" t="s">
        <v>10</v>
      </c>
      <c r="D3981" t="s">
        <v>8007</v>
      </c>
      <c r="E3981" t="s">
        <v>8008</v>
      </c>
      <c r="G3981" s="1">
        <v>6.32</v>
      </c>
    </row>
    <row r="3982" spans="1:7" ht="14.25" hidden="1" customHeight="1" x14ac:dyDescent="0.45">
      <c r="A3982" t="str">
        <f>_xlfn.XLOOKUP(B3982,Ingot!$H$12:$H$119,Ingot!$G$12:$G$119,"")</f>
        <v>Wood</v>
      </c>
      <c r="B3982" t="s">
        <v>7902</v>
      </c>
      <c r="C3982" t="s">
        <v>10</v>
      </c>
      <c r="D3982" t="s">
        <v>8009</v>
      </c>
      <c r="E3982" t="s">
        <v>8010</v>
      </c>
      <c r="G3982" s="1">
        <v>6.88</v>
      </c>
    </row>
    <row r="3983" spans="1:7" ht="14.25" hidden="1" customHeight="1" x14ac:dyDescent="0.45">
      <c r="A3983" t="str">
        <f>_xlfn.XLOOKUP(B3983,Ingot!$H$12:$H$119,Ingot!$G$12:$G$119,"")</f>
        <v>Wood</v>
      </c>
      <c r="B3983" t="s">
        <v>7902</v>
      </c>
      <c r="C3983" t="s">
        <v>10</v>
      </c>
      <c r="D3983" t="s">
        <v>8011</v>
      </c>
      <c r="E3983" t="s">
        <v>8012</v>
      </c>
      <c r="G3983" s="1">
        <v>2.44</v>
      </c>
    </row>
    <row r="3984" spans="1:7" ht="14.25" hidden="1" customHeight="1" x14ac:dyDescent="0.45">
      <c r="A3984" t="str">
        <f>_xlfn.XLOOKUP(B3984,Ingot!$H$12:$H$119,Ingot!$G$12:$G$119,"")</f>
        <v>Wood</v>
      </c>
      <c r="B3984" t="s">
        <v>7902</v>
      </c>
      <c r="C3984" t="s">
        <v>10</v>
      </c>
      <c r="D3984" t="s">
        <v>8013</v>
      </c>
      <c r="E3984" t="s">
        <v>8014</v>
      </c>
    </row>
    <row r="3985" spans="1:7" ht="14.25" hidden="1" customHeight="1" x14ac:dyDescent="0.45">
      <c r="A3985" t="str">
        <f>_xlfn.XLOOKUP(B3985,Ingot!$H$12:$H$119,Ingot!$G$12:$G$119,"")</f>
        <v>Wood</v>
      </c>
      <c r="B3985" t="s">
        <v>7902</v>
      </c>
      <c r="C3985" t="s">
        <v>10</v>
      </c>
      <c r="D3985" t="s">
        <v>8015</v>
      </c>
      <c r="E3985" t="s">
        <v>8016</v>
      </c>
    </row>
    <row r="3986" spans="1:7" ht="14.25" hidden="1" customHeight="1" x14ac:dyDescent="0.45">
      <c r="A3986" t="str">
        <f>_xlfn.XLOOKUP(B3986,Ingot!$H$12:$H$119,Ingot!$G$12:$G$119,"")</f>
        <v>Wood</v>
      </c>
      <c r="B3986" t="s">
        <v>7902</v>
      </c>
      <c r="C3986" t="s">
        <v>10</v>
      </c>
      <c r="D3986" t="s">
        <v>8017</v>
      </c>
      <c r="E3986" t="s">
        <v>8018</v>
      </c>
      <c r="G3986" s="1">
        <v>3.11</v>
      </c>
    </row>
    <row r="3987" spans="1:7" ht="14.25" hidden="1" customHeight="1" x14ac:dyDescent="0.45">
      <c r="A3987" t="str">
        <f>_xlfn.XLOOKUP(B3987,Ingot!$H$12:$H$119,Ingot!$G$12:$G$119,"")</f>
        <v>Wood</v>
      </c>
      <c r="B3987" t="s">
        <v>7902</v>
      </c>
      <c r="C3987" t="s">
        <v>10</v>
      </c>
      <c r="D3987" t="s">
        <v>8019</v>
      </c>
      <c r="E3987" t="s">
        <v>8020</v>
      </c>
      <c r="G3987" s="1">
        <v>2.44</v>
      </c>
    </row>
    <row r="3988" spans="1:7" ht="14.25" hidden="1" customHeight="1" x14ac:dyDescent="0.45">
      <c r="A3988" t="str">
        <f>_xlfn.XLOOKUP(B3988,Ingot!$H$12:$H$119,Ingot!$G$12:$G$119,"")</f>
        <v>Wood</v>
      </c>
      <c r="B3988" t="s">
        <v>7902</v>
      </c>
      <c r="C3988" t="s">
        <v>10</v>
      </c>
      <c r="D3988" t="s">
        <v>8021</v>
      </c>
      <c r="E3988" t="s">
        <v>8022</v>
      </c>
      <c r="G3988" s="1">
        <v>8.61</v>
      </c>
    </row>
    <row r="3989" spans="1:7" ht="14.25" hidden="1" customHeight="1" x14ac:dyDescent="0.45">
      <c r="A3989" t="str">
        <f>_xlfn.XLOOKUP(B3989,Ingot!$H$12:$H$119,Ingot!$G$12:$G$119,"")</f>
        <v>Wood</v>
      </c>
      <c r="B3989" t="s">
        <v>7902</v>
      </c>
      <c r="C3989" t="s">
        <v>10</v>
      </c>
      <c r="D3989" t="s">
        <v>8023</v>
      </c>
      <c r="E3989" t="s">
        <v>8024</v>
      </c>
    </row>
    <row r="3990" spans="1:7" ht="14.25" hidden="1" customHeight="1" x14ac:dyDescent="0.45">
      <c r="A3990" t="str">
        <f>_xlfn.XLOOKUP(B3990,Ingot!$H$12:$H$119,Ingot!$G$12:$G$119,"")</f>
        <v>Wood</v>
      </c>
      <c r="B3990" t="s">
        <v>7902</v>
      </c>
      <c r="C3990" t="s">
        <v>10</v>
      </c>
      <c r="D3990" t="s">
        <v>8025</v>
      </c>
      <c r="E3990" t="s">
        <v>8026</v>
      </c>
      <c r="G3990" s="1">
        <v>3.21</v>
      </c>
    </row>
    <row r="3991" spans="1:7" ht="14.25" hidden="1" customHeight="1" x14ac:dyDescent="0.45">
      <c r="A3991" t="str">
        <f>_xlfn.XLOOKUP(B3991,Ingot!$H$12:$H$119,Ingot!$G$12:$G$119,"")</f>
        <v>Wood</v>
      </c>
      <c r="B3991" t="s">
        <v>7902</v>
      </c>
      <c r="C3991" t="s">
        <v>10</v>
      </c>
      <c r="D3991" t="s">
        <v>8027</v>
      </c>
      <c r="E3991" t="s">
        <v>8028</v>
      </c>
      <c r="G3991" s="1">
        <v>2.77</v>
      </c>
    </row>
    <row r="3992" spans="1:7" ht="14.25" hidden="1" customHeight="1" x14ac:dyDescent="0.45">
      <c r="A3992" t="str">
        <f>_xlfn.XLOOKUP(B3992,Ingot!$H$12:$H$119,Ingot!$G$12:$G$119,"")</f>
        <v>Wood</v>
      </c>
      <c r="B3992" t="s">
        <v>7902</v>
      </c>
      <c r="C3992" t="s">
        <v>10</v>
      </c>
      <c r="D3992" t="s">
        <v>8029</v>
      </c>
      <c r="E3992" t="s">
        <v>8030</v>
      </c>
      <c r="G3992" s="1">
        <v>4.8899999999999997</v>
      </c>
    </row>
    <row r="3993" spans="1:7" ht="14.25" hidden="1" customHeight="1" x14ac:dyDescent="0.45">
      <c r="A3993" t="str">
        <f>_xlfn.XLOOKUP(B3993,Ingot!$H$12:$H$119,Ingot!$G$12:$G$119,"")</f>
        <v>Wood</v>
      </c>
      <c r="B3993" t="s">
        <v>7902</v>
      </c>
      <c r="C3993" t="s">
        <v>10</v>
      </c>
      <c r="D3993" t="s">
        <v>8031</v>
      </c>
      <c r="E3993" t="s">
        <v>8032</v>
      </c>
      <c r="G3993" s="1">
        <v>1.76</v>
      </c>
    </row>
    <row r="3994" spans="1:7" ht="14.25" hidden="1" customHeight="1" x14ac:dyDescent="0.45">
      <c r="A3994" t="str">
        <f>_xlfn.XLOOKUP(B3994,Ingot!$H$12:$H$119,Ingot!$G$12:$G$119,"")</f>
        <v>Wood</v>
      </c>
      <c r="B3994" t="s">
        <v>7902</v>
      </c>
      <c r="C3994" t="s">
        <v>10</v>
      </c>
      <c r="D3994" t="s">
        <v>8033</v>
      </c>
      <c r="E3994" t="s">
        <v>8034</v>
      </c>
    </row>
    <row r="3995" spans="1:7" ht="14.25" hidden="1" customHeight="1" x14ac:dyDescent="0.45">
      <c r="A3995" t="str">
        <f>_xlfn.XLOOKUP(B3995,Ingot!$H$12:$H$119,Ingot!$G$12:$G$119,"")</f>
        <v>Wood</v>
      </c>
      <c r="B3995" t="s">
        <v>7902</v>
      </c>
      <c r="C3995" t="s">
        <v>10</v>
      </c>
      <c r="D3995" t="s">
        <v>8035</v>
      </c>
      <c r="E3995" t="s">
        <v>8036</v>
      </c>
      <c r="G3995" s="1">
        <v>8.57</v>
      </c>
    </row>
    <row r="3996" spans="1:7" ht="14.25" hidden="1" customHeight="1" x14ac:dyDescent="0.45">
      <c r="A3996" t="str">
        <f>_xlfn.XLOOKUP(B3996,Ingot!$H$12:$H$119,Ingot!$G$12:$G$119,"")</f>
        <v>Wood</v>
      </c>
      <c r="B3996" t="s">
        <v>7902</v>
      </c>
      <c r="C3996" t="s">
        <v>10</v>
      </c>
      <c r="D3996" t="s">
        <v>8037</v>
      </c>
      <c r="E3996" t="s">
        <v>8038</v>
      </c>
    </row>
    <row r="3997" spans="1:7" ht="14.25" hidden="1" customHeight="1" x14ac:dyDescent="0.45">
      <c r="A3997" t="str">
        <f>_xlfn.XLOOKUP(B3997,Ingot!$H$12:$H$119,Ingot!$G$12:$G$119,"")</f>
        <v>Wood</v>
      </c>
      <c r="B3997" t="s">
        <v>7902</v>
      </c>
      <c r="C3997" t="s">
        <v>10</v>
      </c>
      <c r="D3997" t="s">
        <v>8039</v>
      </c>
      <c r="E3997" t="s">
        <v>8040</v>
      </c>
      <c r="G3997" s="1">
        <v>3.56</v>
      </c>
    </row>
    <row r="3998" spans="1:7" ht="14.25" hidden="1" customHeight="1" x14ac:dyDescent="0.45">
      <c r="A3998" t="str">
        <f>_xlfn.XLOOKUP(B3998,Ingot!$H$12:$H$119,Ingot!$G$12:$G$119,"")</f>
        <v>Wood</v>
      </c>
      <c r="B3998" t="s">
        <v>7902</v>
      </c>
      <c r="C3998" t="s">
        <v>10</v>
      </c>
      <c r="D3998" t="s">
        <v>8041</v>
      </c>
      <c r="E3998" t="s">
        <v>8042</v>
      </c>
      <c r="G3998" s="1">
        <v>8.91</v>
      </c>
    </row>
    <row r="3999" spans="1:7" ht="14.25" hidden="1" customHeight="1" x14ac:dyDescent="0.45">
      <c r="A3999" t="str">
        <f>_xlfn.XLOOKUP(B3999,Ingot!$H$12:$H$119,Ingot!$G$12:$G$119,"")</f>
        <v>Wood</v>
      </c>
      <c r="B3999" t="s">
        <v>7902</v>
      </c>
      <c r="C3999" t="s">
        <v>10</v>
      </c>
      <c r="D3999" t="s">
        <v>8043</v>
      </c>
      <c r="E3999" t="s">
        <v>8044</v>
      </c>
      <c r="G3999" s="1">
        <v>11.02</v>
      </c>
    </row>
    <row r="4000" spans="1:7" ht="14.25" hidden="1" customHeight="1" x14ac:dyDescent="0.45">
      <c r="A4000" t="str">
        <f>_xlfn.XLOOKUP(B4000,Ingot!$H$12:$H$119,Ingot!$G$12:$G$119,"")</f>
        <v>Wood</v>
      </c>
      <c r="B4000" t="s">
        <v>7902</v>
      </c>
      <c r="C4000" t="s">
        <v>10</v>
      </c>
      <c r="D4000" t="s">
        <v>8045</v>
      </c>
      <c r="E4000" t="s">
        <v>8046</v>
      </c>
      <c r="G4000" s="1">
        <v>5.12</v>
      </c>
    </row>
    <row r="4001" spans="1:7" ht="14.25" hidden="1" customHeight="1" x14ac:dyDescent="0.45">
      <c r="A4001" t="str">
        <f>_xlfn.XLOOKUP(B4001,Ingot!$H$12:$H$119,Ingot!$G$12:$G$119,"")</f>
        <v>Wood</v>
      </c>
      <c r="B4001" t="s">
        <v>7902</v>
      </c>
      <c r="C4001" t="s">
        <v>10</v>
      </c>
      <c r="D4001" t="s">
        <v>8047</v>
      </c>
      <c r="E4001" t="s">
        <v>8048</v>
      </c>
      <c r="G4001" s="1">
        <v>4.41</v>
      </c>
    </row>
    <row r="4002" spans="1:7" ht="14.25" hidden="1" customHeight="1" x14ac:dyDescent="0.45">
      <c r="A4002" t="str">
        <f>_xlfn.XLOOKUP(B4002,Ingot!$H$12:$H$119,Ingot!$G$12:$G$119,"")</f>
        <v>Wood</v>
      </c>
      <c r="B4002" t="s">
        <v>7902</v>
      </c>
      <c r="C4002" t="s">
        <v>157</v>
      </c>
      <c r="D4002" t="s">
        <v>8049</v>
      </c>
      <c r="E4002" t="s">
        <v>8050</v>
      </c>
      <c r="G4002" s="1">
        <v>24</v>
      </c>
    </row>
    <row r="4003" spans="1:7" ht="14.25" hidden="1" customHeight="1" x14ac:dyDescent="0.45">
      <c r="A4003" t="str">
        <f>_xlfn.XLOOKUP(B4003,Ingot!$H$12:$H$119,Ingot!$G$12:$G$119,"")</f>
        <v>Wood</v>
      </c>
      <c r="B4003" t="s">
        <v>7902</v>
      </c>
      <c r="C4003" t="s">
        <v>157</v>
      </c>
      <c r="D4003" t="s">
        <v>8051</v>
      </c>
      <c r="E4003" t="s">
        <v>8052</v>
      </c>
      <c r="G4003" s="1">
        <v>5</v>
      </c>
    </row>
    <row r="4004" spans="1:7" ht="14.25" hidden="1" customHeight="1" x14ac:dyDescent="0.45">
      <c r="A4004" t="str">
        <f>_xlfn.XLOOKUP(B4004,Ingot!$H$12:$H$119,Ingot!$G$12:$G$119,"")</f>
        <v>Wood</v>
      </c>
      <c r="B4004" t="s">
        <v>7902</v>
      </c>
      <c r="C4004" t="s">
        <v>157</v>
      </c>
      <c r="D4004" t="s">
        <v>8053</v>
      </c>
      <c r="E4004" t="s">
        <v>8054</v>
      </c>
      <c r="G4004" s="1">
        <v>5</v>
      </c>
    </row>
    <row r="4005" spans="1:7" ht="14.25" hidden="1" customHeight="1" x14ac:dyDescent="0.45">
      <c r="A4005" t="str">
        <f>_xlfn.XLOOKUP(B4005,Ingot!$H$12:$H$119,Ingot!$G$12:$G$119,"")</f>
        <v>Wood</v>
      </c>
      <c r="B4005" t="s">
        <v>7902</v>
      </c>
      <c r="C4005" t="s">
        <v>157</v>
      </c>
      <c r="D4005" t="s">
        <v>8055</v>
      </c>
      <c r="E4005" t="s">
        <v>8056</v>
      </c>
      <c r="G4005" s="1">
        <v>5</v>
      </c>
    </row>
    <row r="4006" spans="1:7" ht="14.25" hidden="1" customHeight="1" x14ac:dyDescent="0.45">
      <c r="A4006" t="str">
        <f>_xlfn.XLOOKUP(B4006,Ingot!$H$12:$H$119,Ingot!$G$12:$G$119,"")</f>
        <v>Wood</v>
      </c>
      <c r="B4006" t="s">
        <v>7902</v>
      </c>
      <c r="C4006" t="s">
        <v>157</v>
      </c>
      <c r="D4006" t="s">
        <v>8057</v>
      </c>
      <c r="E4006" t="s">
        <v>8058</v>
      </c>
      <c r="G4006" s="1">
        <v>10</v>
      </c>
    </row>
    <row r="4007" spans="1:7" ht="14.25" hidden="1" customHeight="1" x14ac:dyDescent="0.45">
      <c r="A4007" t="str">
        <f>_xlfn.XLOOKUP(B4007,Ingot!$H$12:$H$119,Ingot!$G$12:$G$119,"")</f>
        <v>Wood</v>
      </c>
      <c r="B4007" t="s">
        <v>7902</v>
      </c>
      <c r="C4007" t="s">
        <v>157</v>
      </c>
      <c r="D4007" t="s">
        <v>8059</v>
      </c>
      <c r="E4007" t="s">
        <v>8060</v>
      </c>
      <c r="G4007" s="1">
        <v>20.8</v>
      </c>
    </row>
    <row r="4008" spans="1:7" ht="14.25" hidden="1" customHeight="1" x14ac:dyDescent="0.45">
      <c r="A4008" t="str">
        <f>_xlfn.XLOOKUP(B4008,Ingot!$H$12:$H$119,Ingot!$G$12:$G$119,"")</f>
        <v>Wood</v>
      </c>
      <c r="B4008" t="s">
        <v>7902</v>
      </c>
      <c r="C4008" t="s">
        <v>157</v>
      </c>
      <c r="D4008" t="s">
        <v>8061</v>
      </c>
      <c r="E4008" t="s">
        <v>8062</v>
      </c>
      <c r="G4008" s="1">
        <v>5</v>
      </c>
    </row>
    <row r="4009" spans="1:7" ht="14.25" hidden="1" customHeight="1" x14ac:dyDescent="0.45">
      <c r="A4009" t="str">
        <f>_xlfn.XLOOKUP(B4009,Ingot!$H$12:$H$119,Ingot!$G$12:$G$119,"")</f>
        <v>Wood</v>
      </c>
      <c r="B4009" t="s">
        <v>7902</v>
      </c>
      <c r="C4009" t="s">
        <v>157</v>
      </c>
      <c r="D4009" t="s">
        <v>8063</v>
      </c>
      <c r="E4009" t="s">
        <v>8064</v>
      </c>
      <c r="G4009" s="1">
        <v>5</v>
      </c>
    </row>
    <row r="4010" spans="1:7" ht="14.25" hidden="1" customHeight="1" x14ac:dyDescent="0.45">
      <c r="A4010" t="str">
        <f>_xlfn.XLOOKUP(B4010,Ingot!$H$12:$H$119,Ingot!$G$12:$G$119,"")</f>
        <v>Wood</v>
      </c>
      <c r="B4010" t="s">
        <v>7902</v>
      </c>
      <c r="C4010" t="s">
        <v>157</v>
      </c>
      <c r="D4010" t="s">
        <v>8065</v>
      </c>
      <c r="E4010" t="s">
        <v>8066</v>
      </c>
      <c r="G4010" s="1">
        <v>5</v>
      </c>
    </row>
    <row r="4011" spans="1:7" ht="14.25" hidden="1" customHeight="1" x14ac:dyDescent="0.45">
      <c r="A4011" t="str">
        <f>_xlfn.XLOOKUP(B4011,Ingot!$H$12:$H$119,Ingot!$G$12:$G$119,"")</f>
        <v>Wood</v>
      </c>
      <c r="B4011" t="s">
        <v>7902</v>
      </c>
      <c r="C4011" t="s">
        <v>157</v>
      </c>
      <c r="D4011" t="s">
        <v>8067</v>
      </c>
      <c r="E4011" t="s">
        <v>8068</v>
      </c>
      <c r="G4011" s="1">
        <v>10</v>
      </c>
    </row>
    <row r="4012" spans="1:7" ht="14.25" hidden="1" customHeight="1" x14ac:dyDescent="0.45">
      <c r="A4012" t="str">
        <f>_xlfn.XLOOKUP(B4012,Ingot!$H$12:$H$119,Ingot!$G$12:$G$119,"")</f>
        <v>Wood</v>
      </c>
      <c r="B4012" t="s">
        <v>7902</v>
      </c>
      <c r="C4012" t="s">
        <v>157</v>
      </c>
      <c r="D4012" t="s">
        <v>8069</v>
      </c>
      <c r="E4012" t="s">
        <v>8070</v>
      </c>
      <c r="G4012" s="1">
        <v>20</v>
      </c>
    </row>
    <row r="4013" spans="1:7" ht="14.25" hidden="1" customHeight="1" x14ac:dyDescent="0.45">
      <c r="A4013" t="str">
        <f>_xlfn.XLOOKUP(B4013,Ingot!$H$12:$H$119,Ingot!$G$12:$G$119,"")</f>
        <v>Wood</v>
      </c>
      <c r="B4013" t="s">
        <v>7902</v>
      </c>
      <c r="C4013" t="s">
        <v>157</v>
      </c>
      <c r="D4013" t="s">
        <v>8071</v>
      </c>
      <c r="E4013" t="s">
        <v>8072</v>
      </c>
      <c r="G4013" s="1">
        <v>5</v>
      </c>
    </row>
    <row r="4014" spans="1:7" ht="14.25" hidden="1" customHeight="1" x14ac:dyDescent="0.45">
      <c r="A4014" t="str">
        <f>_xlfn.XLOOKUP(B4014,Ingot!$H$12:$H$119,Ingot!$G$12:$G$119,"")</f>
        <v>Wood</v>
      </c>
      <c r="B4014" t="s">
        <v>7902</v>
      </c>
      <c r="C4014" t="s">
        <v>157</v>
      </c>
      <c r="D4014" t="s">
        <v>8073</v>
      </c>
      <c r="E4014" t="s">
        <v>8074</v>
      </c>
      <c r="G4014" s="1">
        <v>5</v>
      </c>
    </row>
    <row r="4015" spans="1:7" ht="14.25" hidden="1" customHeight="1" x14ac:dyDescent="0.45">
      <c r="A4015" t="str">
        <f>_xlfn.XLOOKUP(B4015,Ingot!$H$12:$H$119,Ingot!$G$12:$G$119,"")</f>
        <v>Wood</v>
      </c>
      <c r="B4015" t="s">
        <v>7902</v>
      </c>
      <c r="C4015" t="s">
        <v>157</v>
      </c>
      <c r="D4015" t="s">
        <v>8075</v>
      </c>
      <c r="E4015" t="s">
        <v>8076</v>
      </c>
      <c r="G4015" s="1">
        <v>5</v>
      </c>
    </row>
    <row r="4016" spans="1:7" ht="14.25" hidden="1" customHeight="1" x14ac:dyDescent="0.45">
      <c r="A4016" t="str">
        <f>_xlfn.XLOOKUP(B4016,Ingot!$H$12:$H$119,Ingot!$G$12:$G$119,"")</f>
        <v>Wood</v>
      </c>
      <c r="B4016" t="s">
        <v>7902</v>
      </c>
      <c r="C4016" t="s">
        <v>157</v>
      </c>
      <c r="D4016" t="s">
        <v>8077</v>
      </c>
      <c r="E4016" t="s">
        <v>8078</v>
      </c>
      <c r="G4016" s="1">
        <v>10</v>
      </c>
    </row>
    <row r="4017" spans="1:7" ht="14.25" hidden="1" customHeight="1" x14ac:dyDescent="0.45">
      <c r="A4017" t="str">
        <f>_xlfn.XLOOKUP(B4017,Ingot!$H$12:$H$119,Ingot!$G$12:$G$119,"")</f>
        <v>Wood</v>
      </c>
      <c r="B4017" t="s">
        <v>7902</v>
      </c>
      <c r="C4017" t="s">
        <v>157</v>
      </c>
      <c r="D4017" t="s">
        <v>8079</v>
      </c>
      <c r="E4017" t="s">
        <v>8080</v>
      </c>
      <c r="G4017" s="1">
        <v>22</v>
      </c>
    </row>
    <row r="4018" spans="1:7" ht="14.25" hidden="1" customHeight="1" x14ac:dyDescent="0.45">
      <c r="A4018" t="str">
        <f>_xlfn.XLOOKUP(B4018,Ingot!$H$12:$H$119,Ingot!$G$12:$G$119,"")</f>
        <v>Wood</v>
      </c>
      <c r="B4018" t="s">
        <v>7902</v>
      </c>
      <c r="C4018" t="s">
        <v>157</v>
      </c>
      <c r="D4018" t="s">
        <v>8081</v>
      </c>
      <c r="E4018" t="s">
        <v>8082</v>
      </c>
      <c r="G4018" s="1">
        <v>5</v>
      </c>
    </row>
    <row r="4019" spans="1:7" ht="14.25" hidden="1" customHeight="1" x14ac:dyDescent="0.45">
      <c r="A4019" t="str">
        <f>_xlfn.XLOOKUP(B4019,Ingot!$H$12:$H$119,Ingot!$G$12:$G$119,"")</f>
        <v>Wood</v>
      </c>
      <c r="B4019" t="s">
        <v>7902</v>
      </c>
      <c r="C4019" t="s">
        <v>157</v>
      </c>
      <c r="D4019" t="s">
        <v>8083</v>
      </c>
      <c r="E4019" t="s">
        <v>8084</v>
      </c>
      <c r="G4019" s="1">
        <v>5</v>
      </c>
    </row>
    <row r="4020" spans="1:7" ht="14.25" hidden="1" customHeight="1" x14ac:dyDescent="0.45">
      <c r="A4020" t="str">
        <f>_xlfn.XLOOKUP(B4020,Ingot!$H$12:$H$119,Ingot!$G$12:$G$119,"")</f>
        <v>Wood</v>
      </c>
      <c r="B4020" t="s">
        <v>7902</v>
      </c>
      <c r="C4020" t="s">
        <v>157</v>
      </c>
      <c r="D4020" t="s">
        <v>8085</v>
      </c>
      <c r="E4020" t="s">
        <v>8086</v>
      </c>
      <c r="G4020" s="1">
        <v>5</v>
      </c>
    </row>
    <row r="4021" spans="1:7" ht="14.25" hidden="1" customHeight="1" x14ac:dyDescent="0.45">
      <c r="A4021" t="str">
        <f>_xlfn.XLOOKUP(B4021,Ingot!$H$12:$H$119,Ingot!$G$12:$G$119,"")</f>
        <v>Wood</v>
      </c>
      <c r="B4021" t="s">
        <v>7902</v>
      </c>
      <c r="C4021" t="s">
        <v>157</v>
      </c>
      <c r="D4021" t="s">
        <v>8087</v>
      </c>
      <c r="E4021" t="s">
        <v>8088</v>
      </c>
      <c r="G4021" s="1">
        <v>10</v>
      </c>
    </row>
    <row r="4022" spans="1:7" ht="14.25" hidden="1" customHeight="1" x14ac:dyDescent="0.45">
      <c r="A4022" t="str">
        <f>_xlfn.XLOOKUP(B4022,Ingot!$H$12:$H$119,Ingot!$G$12:$G$119,"")</f>
        <v>Wood</v>
      </c>
      <c r="B4022" t="s">
        <v>7902</v>
      </c>
      <c r="C4022" t="s">
        <v>157</v>
      </c>
      <c r="D4022" t="s">
        <v>8089</v>
      </c>
      <c r="E4022" t="s">
        <v>8090</v>
      </c>
      <c r="G4022" s="1">
        <v>23</v>
      </c>
    </row>
    <row r="4023" spans="1:7" ht="14.25" hidden="1" customHeight="1" x14ac:dyDescent="0.45">
      <c r="A4023" t="str">
        <f>_xlfn.XLOOKUP(B4023,Ingot!$H$12:$H$119,Ingot!$G$12:$G$119,"")</f>
        <v>Wood</v>
      </c>
      <c r="B4023" t="s">
        <v>7902</v>
      </c>
      <c r="C4023" t="s">
        <v>157</v>
      </c>
      <c r="D4023" t="s">
        <v>8091</v>
      </c>
      <c r="E4023" t="s">
        <v>8092</v>
      </c>
      <c r="G4023" s="1">
        <v>5</v>
      </c>
    </row>
    <row r="4024" spans="1:7" ht="14.25" hidden="1" customHeight="1" x14ac:dyDescent="0.45">
      <c r="A4024" t="str">
        <f>_xlfn.XLOOKUP(B4024,Ingot!$H$12:$H$119,Ingot!$G$12:$G$119,"")</f>
        <v>Wood</v>
      </c>
      <c r="B4024" t="s">
        <v>7902</v>
      </c>
      <c r="C4024" t="s">
        <v>157</v>
      </c>
      <c r="D4024" t="s">
        <v>8093</v>
      </c>
      <c r="E4024" t="s">
        <v>8094</v>
      </c>
      <c r="G4024" s="1">
        <v>5</v>
      </c>
    </row>
    <row r="4025" spans="1:7" ht="14.25" hidden="1" customHeight="1" x14ac:dyDescent="0.45">
      <c r="A4025" t="str">
        <f>_xlfn.XLOOKUP(B4025,Ingot!$H$12:$H$119,Ingot!$G$12:$G$119,"")</f>
        <v>Wood</v>
      </c>
      <c r="B4025" t="s">
        <v>7902</v>
      </c>
      <c r="C4025" t="s">
        <v>157</v>
      </c>
      <c r="D4025" t="s">
        <v>8095</v>
      </c>
      <c r="E4025" t="s">
        <v>8096</v>
      </c>
      <c r="G4025" s="1">
        <v>5</v>
      </c>
    </row>
    <row r="4026" spans="1:7" ht="14.25" hidden="1" customHeight="1" x14ac:dyDescent="0.45">
      <c r="A4026" t="str">
        <f>_xlfn.XLOOKUP(B4026,Ingot!$H$12:$H$119,Ingot!$G$12:$G$119,"")</f>
        <v>Wood</v>
      </c>
      <c r="B4026" t="s">
        <v>7902</v>
      </c>
      <c r="C4026" t="s">
        <v>157</v>
      </c>
      <c r="D4026" t="s">
        <v>8097</v>
      </c>
      <c r="E4026" t="s">
        <v>8098</v>
      </c>
      <c r="G4026" s="1">
        <v>10</v>
      </c>
    </row>
    <row r="4027" spans="1:7" ht="14.25" hidden="1" customHeight="1" x14ac:dyDescent="0.45">
      <c r="A4027" t="str">
        <f>_xlfn.XLOOKUP(B4027,Ingot!$H$12:$H$119,Ingot!$G$12:$G$119,"")</f>
        <v>Wood</v>
      </c>
      <c r="B4027" t="s">
        <v>7902</v>
      </c>
      <c r="C4027" t="s">
        <v>157</v>
      </c>
      <c r="D4027" t="s">
        <v>8099</v>
      </c>
      <c r="E4027" t="s">
        <v>8100</v>
      </c>
      <c r="G4027" s="1">
        <v>26.8</v>
      </c>
    </row>
    <row r="4028" spans="1:7" ht="14.25" hidden="1" customHeight="1" x14ac:dyDescent="0.45">
      <c r="A4028" t="str">
        <f>_xlfn.XLOOKUP(B4028,Ingot!$H$12:$H$119,Ingot!$G$12:$G$119,"")</f>
        <v>Wood</v>
      </c>
      <c r="B4028" t="s">
        <v>7902</v>
      </c>
      <c r="C4028" t="s">
        <v>157</v>
      </c>
      <c r="D4028" t="s">
        <v>8101</v>
      </c>
      <c r="E4028" t="s">
        <v>8102</v>
      </c>
      <c r="G4028" s="1">
        <v>5.36</v>
      </c>
    </row>
    <row r="4029" spans="1:7" ht="14.25" hidden="1" customHeight="1" x14ac:dyDescent="0.45">
      <c r="A4029" t="str">
        <f>_xlfn.XLOOKUP(B4029,Ingot!$H$12:$H$119,Ingot!$G$12:$G$119,"")</f>
        <v>Wood</v>
      </c>
      <c r="B4029" t="s">
        <v>7902</v>
      </c>
      <c r="C4029" t="s">
        <v>157</v>
      </c>
      <c r="D4029" t="s">
        <v>8103</v>
      </c>
      <c r="E4029" t="s">
        <v>8104</v>
      </c>
      <c r="G4029" s="1">
        <v>5.36</v>
      </c>
    </row>
    <row r="4030" spans="1:7" ht="14.25" hidden="1" customHeight="1" x14ac:dyDescent="0.45">
      <c r="A4030" t="str">
        <f>_xlfn.XLOOKUP(B4030,Ingot!$H$12:$H$119,Ingot!$G$12:$G$119,"")</f>
        <v>Wood</v>
      </c>
      <c r="B4030" t="s">
        <v>7902</v>
      </c>
      <c r="C4030" t="s">
        <v>157</v>
      </c>
      <c r="D4030" t="s">
        <v>8105</v>
      </c>
      <c r="E4030" t="s">
        <v>8106</v>
      </c>
      <c r="G4030" s="1">
        <v>5</v>
      </c>
    </row>
    <row r="4031" spans="1:7" ht="14.25" hidden="1" customHeight="1" x14ac:dyDescent="0.45">
      <c r="A4031" t="str">
        <f>_xlfn.XLOOKUP(B4031,Ingot!$H$12:$H$119,Ingot!$G$12:$G$119,"")</f>
        <v>Wood</v>
      </c>
      <c r="B4031" t="s">
        <v>7902</v>
      </c>
      <c r="C4031" t="s">
        <v>157</v>
      </c>
      <c r="D4031" t="s">
        <v>8107</v>
      </c>
      <c r="E4031" t="s">
        <v>8108</v>
      </c>
      <c r="G4031" s="1">
        <v>10</v>
      </c>
    </row>
    <row r="4032" spans="1:7" ht="14.25" hidden="1" customHeight="1" x14ac:dyDescent="0.45">
      <c r="A4032" t="str">
        <f>_xlfn.XLOOKUP(B4032,Ingot!$H$12:$H$119,Ingot!$G$12:$G$119,"")</f>
        <v>Wood</v>
      </c>
      <c r="B4032" t="s">
        <v>7902</v>
      </c>
      <c r="C4032" t="s">
        <v>157</v>
      </c>
      <c r="D4032" t="s">
        <v>8109</v>
      </c>
      <c r="E4032" t="s">
        <v>8110</v>
      </c>
      <c r="G4032" s="1">
        <v>25.5</v>
      </c>
    </row>
    <row r="4033" spans="1:7" ht="14.25" hidden="1" customHeight="1" x14ac:dyDescent="0.45">
      <c r="A4033" t="str">
        <f>_xlfn.XLOOKUP(B4033,Ingot!$H$12:$H$119,Ingot!$G$12:$G$119,"")</f>
        <v>Wood</v>
      </c>
      <c r="B4033" t="s">
        <v>7902</v>
      </c>
      <c r="C4033" t="s">
        <v>157</v>
      </c>
      <c r="D4033" t="s">
        <v>8111</v>
      </c>
      <c r="E4033" t="s">
        <v>8112</v>
      </c>
      <c r="G4033" s="1">
        <v>5.0999999999999996</v>
      </c>
    </row>
    <row r="4034" spans="1:7" ht="14.25" hidden="1" customHeight="1" x14ac:dyDescent="0.45">
      <c r="A4034" t="str">
        <f>_xlfn.XLOOKUP(B4034,Ingot!$H$12:$H$119,Ingot!$G$12:$G$119,"")</f>
        <v>Wood</v>
      </c>
      <c r="B4034" t="s">
        <v>7902</v>
      </c>
      <c r="C4034" t="s">
        <v>157</v>
      </c>
      <c r="D4034" t="s">
        <v>8113</v>
      </c>
      <c r="E4034" t="s">
        <v>8114</v>
      </c>
      <c r="G4034" s="1">
        <v>5.0999999999999996</v>
      </c>
    </row>
    <row r="4035" spans="1:7" ht="14.25" hidden="1" customHeight="1" x14ac:dyDescent="0.45">
      <c r="A4035" t="str">
        <f>_xlfn.XLOOKUP(B4035,Ingot!$H$12:$H$119,Ingot!$G$12:$G$119,"")</f>
        <v>Wood</v>
      </c>
      <c r="B4035" t="s">
        <v>7902</v>
      </c>
      <c r="C4035" t="s">
        <v>157</v>
      </c>
      <c r="D4035" t="s">
        <v>8115</v>
      </c>
      <c r="E4035" t="s">
        <v>8116</v>
      </c>
      <c r="G4035" s="1">
        <v>5</v>
      </c>
    </row>
    <row r="4036" spans="1:7" ht="14.25" hidden="1" customHeight="1" x14ac:dyDescent="0.45">
      <c r="A4036" t="str">
        <f>_xlfn.XLOOKUP(B4036,Ingot!$H$12:$H$119,Ingot!$G$12:$G$119,"")</f>
        <v>Wood</v>
      </c>
      <c r="B4036" t="s">
        <v>7902</v>
      </c>
      <c r="C4036" t="s">
        <v>157</v>
      </c>
      <c r="D4036" t="s">
        <v>8117</v>
      </c>
      <c r="E4036" t="s">
        <v>8118</v>
      </c>
      <c r="G4036" s="1">
        <v>10</v>
      </c>
    </row>
    <row r="4037" spans="1:7" ht="14.25" hidden="1" customHeight="1" x14ac:dyDescent="0.45">
      <c r="A4037" t="str">
        <f>_xlfn.XLOOKUP(B4037,Ingot!$H$12:$H$119,Ingot!$G$12:$G$119,"")</f>
        <v>Wood</v>
      </c>
      <c r="B4037" t="s">
        <v>7902</v>
      </c>
      <c r="C4037" t="s">
        <v>157</v>
      </c>
      <c r="D4037" t="s">
        <v>8119</v>
      </c>
      <c r="E4037" t="s">
        <v>8120</v>
      </c>
      <c r="G4037" s="1">
        <v>19.2</v>
      </c>
    </row>
    <row r="4038" spans="1:7" ht="14.25" hidden="1" customHeight="1" x14ac:dyDescent="0.45">
      <c r="A4038" t="str">
        <f>_xlfn.XLOOKUP(B4038,Ingot!$H$12:$H$119,Ingot!$G$12:$G$119,"")</f>
        <v>Wood</v>
      </c>
      <c r="B4038" t="s">
        <v>7902</v>
      </c>
      <c r="C4038" t="s">
        <v>157</v>
      </c>
      <c r="D4038" t="s">
        <v>8121</v>
      </c>
      <c r="E4038" t="s">
        <v>8122</v>
      </c>
      <c r="G4038" s="1">
        <v>5</v>
      </c>
    </row>
    <row r="4039" spans="1:7" ht="14.25" hidden="1" customHeight="1" x14ac:dyDescent="0.45">
      <c r="A4039" t="str">
        <f>_xlfn.XLOOKUP(B4039,Ingot!$H$12:$H$119,Ingot!$G$12:$G$119,"")</f>
        <v>Wood</v>
      </c>
      <c r="B4039" t="s">
        <v>7902</v>
      </c>
      <c r="C4039" t="s">
        <v>157</v>
      </c>
      <c r="D4039" t="s">
        <v>8123</v>
      </c>
      <c r="E4039" t="s">
        <v>8124</v>
      </c>
      <c r="G4039" s="1">
        <v>5</v>
      </c>
    </row>
    <row r="4040" spans="1:7" ht="14.25" hidden="1" customHeight="1" x14ac:dyDescent="0.45">
      <c r="A4040" t="str">
        <f>_xlfn.XLOOKUP(B4040,Ingot!$H$12:$H$119,Ingot!$G$12:$G$119,"")</f>
        <v>Wood</v>
      </c>
      <c r="B4040" t="s">
        <v>7902</v>
      </c>
      <c r="C4040" t="s">
        <v>157</v>
      </c>
      <c r="D4040" t="s">
        <v>8125</v>
      </c>
      <c r="E4040" t="s">
        <v>8126</v>
      </c>
      <c r="G4040" s="1">
        <v>5</v>
      </c>
    </row>
    <row r="4041" spans="1:7" ht="14.25" hidden="1" customHeight="1" x14ac:dyDescent="0.45">
      <c r="A4041" t="str">
        <f>_xlfn.XLOOKUP(B4041,Ingot!$H$12:$H$119,Ingot!$G$12:$G$119,"")</f>
        <v>Wood</v>
      </c>
      <c r="B4041" t="s">
        <v>7902</v>
      </c>
      <c r="C4041" t="s">
        <v>157</v>
      </c>
      <c r="D4041" t="s">
        <v>8127</v>
      </c>
      <c r="E4041" t="s">
        <v>8128</v>
      </c>
      <c r="G4041" s="1">
        <v>10</v>
      </c>
    </row>
    <row r="4042" spans="1:7" ht="14.25" hidden="1" customHeight="1" x14ac:dyDescent="0.45">
      <c r="A4042" t="str">
        <f>_xlfn.XLOOKUP(B4042,Ingot!$H$12:$H$119,Ingot!$G$12:$G$119,"")</f>
        <v>Wood</v>
      </c>
      <c r="B4042" t="s">
        <v>7902</v>
      </c>
      <c r="C4042" t="s">
        <v>239</v>
      </c>
      <c r="D4042" t="s">
        <v>8129</v>
      </c>
      <c r="E4042" t="s">
        <v>8130</v>
      </c>
    </row>
    <row r="4043" spans="1:7" ht="14.25" hidden="1" customHeight="1" x14ac:dyDescent="0.45">
      <c r="A4043" t="str">
        <f>_xlfn.XLOOKUP(B4043,Ingot!$H$12:$H$119,Ingot!$G$12:$G$119,"")</f>
        <v>Wood</v>
      </c>
      <c r="B4043" t="s">
        <v>7902</v>
      </c>
      <c r="C4043" t="s">
        <v>239</v>
      </c>
      <c r="D4043" t="s">
        <v>8131</v>
      </c>
      <c r="E4043" t="s">
        <v>8132</v>
      </c>
    </row>
    <row r="4044" spans="1:7" ht="14.25" hidden="1" customHeight="1" x14ac:dyDescent="0.45">
      <c r="A4044" t="str">
        <f>_xlfn.XLOOKUP(B4044,Ingot!$H$12:$H$119,Ingot!$G$12:$G$119,"")</f>
        <v>Wood</v>
      </c>
      <c r="B4044" t="s">
        <v>7902</v>
      </c>
      <c r="C4044" t="s">
        <v>239</v>
      </c>
      <c r="D4044" t="s">
        <v>8133</v>
      </c>
      <c r="E4044" t="s">
        <v>8134</v>
      </c>
    </row>
    <row r="4045" spans="1:7" ht="14.25" hidden="1" customHeight="1" x14ac:dyDescent="0.45">
      <c r="A4045" t="str">
        <f>_xlfn.XLOOKUP(B4045,Ingot!$H$12:$H$119,Ingot!$G$12:$G$119,"")</f>
        <v>Wood</v>
      </c>
      <c r="B4045" t="s">
        <v>7902</v>
      </c>
      <c r="C4045" t="s">
        <v>239</v>
      </c>
      <c r="D4045" t="s">
        <v>8135</v>
      </c>
      <c r="E4045" t="s">
        <v>8136</v>
      </c>
    </row>
    <row r="4046" spans="1:7" ht="14.25" hidden="1" customHeight="1" x14ac:dyDescent="0.45">
      <c r="A4046" t="str">
        <f>_xlfn.XLOOKUP(B4046,Ingot!$H$12:$H$119,Ingot!$G$12:$G$119,"")</f>
        <v>Wood</v>
      </c>
      <c r="B4046" t="s">
        <v>7902</v>
      </c>
      <c r="C4046" t="s">
        <v>239</v>
      </c>
      <c r="D4046" t="s">
        <v>8137</v>
      </c>
      <c r="E4046" t="s">
        <v>8138</v>
      </c>
    </row>
    <row r="4047" spans="1:7" ht="14.25" hidden="1" customHeight="1" x14ac:dyDescent="0.45">
      <c r="A4047" t="str">
        <f>_xlfn.XLOOKUP(B4047,Ingot!$H$12:$H$119,Ingot!$G$12:$G$119,"")</f>
        <v>Wood</v>
      </c>
      <c r="B4047" t="s">
        <v>7902</v>
      </c>
      <c r="C4047" t="s">
        <v>239</v>
      </c>
      <c r="D4047" t="s">
        <v>8139</v>
      </c>
      <c r="E4047" t="s">
        <v>8140</v>
      </c>
    </row>
    <row r="4048" spans="1:7" ht="14.25" hidden="1" customHeight="1" x14ac:dyDescent="0.45">
      <c r="A4048" t="str">
        <f>_xlfn.XLOOKUP(B4048,Ingot!$H$12:$H$119,Ingot!$G$12:$G$119,"")</f>
        <v>Wood</v>
      </c>
      <c r="B4048" t="s">
        <v>8141</v>
      </c>
      <c r="C4048" t="s">
        <v>10</v>
      </c>
      <c r="D4048" t="s">
        <v>8142</v>
      </c>
      <c r="E4048" t="s">
        <v>8143</v>
      </c>
      <c r="G4048" s="1">
        <v>0.08</v>
      </c>
    </row>
    <row r="4049" spans="1:7" ht="14.25" hidden="1" customHeight="1" x14ac:dyDescent="0.45">
      <c r="A4049" t="str">
        <f>_xlfn.XLOOKUP(B4049,Ingot!$H$12:$H$119,Ingot!$G$12:$G$119,"")</f>
        <v>Wood</v>
      </c>
      <c r="B4049" t="s">
        <v>8141</v>
      </c>
      <c r="C4049" t="s">
        <v>10</v>
      </c>
      <c r="D4049" t="s">
        <v>8144</v>
      </c>
      <c r="E4049" t="s">
        <v>8145</v>
      </c>
      <c r="G4049" s="1">
        <v>9.9</v>
      </c>
    </row>
    <row r="4050" spans="1:7" ht="14.25" hidden="1" customHeight="1" x14ac:dyDescent="0.45">
      <c r="A4050" t="str">
        <f>_xlfn.XLOOKUP(B4050,Ingot!$H$12:$H$119,Ingot!$G$12:$G$119,"")</f>
        <v>Wood</v>
      </c>
      <c r="B4050" t="s">
        <v>8141</v>
      </c>
      <c r="C4050" t="s">
        <v>10</v>
      </c>
      <c r="D4050" t="s">
        <v>8146</v>
      </c>
      <c r="E4050" t="s">
        <v>8147</v>
      </c>
      <c r="G4050" s="1">
        <v>5.66</v>
      </c>
    </row>
    <row r="4051" spans="1:7" ht="14.25" hidden="1" customHeight="1" x14ac:dyDescent="0.45">
      <c r="A4051" t="str">
        <f>_xlfn.XLOOKUP(B4051,Ingot!$H$12:$H$119,Ingot!$G$12:$G$119,"")</f>
        <v>Wood</v>
      </c>
      <c r="B4051" t="s">
        <v>8141</v>
      </c>
      <c r="C4051" t="s">
        <v>10</v>
      </c>
      <c r="D4051" t="s">
        <v>8148</v>
      </c>
      <c r="E4051" t="s">
        <v>8149</v>
      </c>
      <c r="G4051" s="1">
        <v>3.3</v>
      </c>
    </row>
    <row r="4052" spans="1:7" ht="14.25" hidden="1" customHeight="1" x14ac:dyDescent="0.45">
      <c r="A4052" t="str">
        <f>_xlfn.XLOOKUP(B4052,Ingot!$H$12:$H$119,Ingot!$G$12:$G$119,"")</f>
        <v>Wood</v>
      </c>
      <c r="B4052" t="s">
        <v>8141</v>
      </c>
      <c r="C4052" t="s">
        <v>10</v>
      </c>
      <c r="D4052" t="s">
        <v>8150</v>
      </c>
      <c r="E4052" t="s">
        <v>8151</v>
      </c>
      <c r="G4052" s="1">
        <v>0.66</v>
      </c>
    </row>
    <row r="4053" spans="1:7" ht="14.25" hidden="1" customHeight="1" x14ac:dyDescent="0.45">
      <c r="A4053" t="str">
        <f>_xlfn.XLOOKUP(B4053,Ingot!$H$12:$H$119,Ingot!$G$12:$G$119,"")</f>
        <v>Wood</v>
      </c>
      <c r="B4053" t="s">
        <v>8141</v>
      </c>
      <c r="C4053" t="s">
        <v>10</v>
      </c>
      <c r="D4053" t="s">
        <v>8152</v>
      </c>
      <c r="E4053" t="s">
        <v>8153</v>
      </c>
      <c r="G4053" s="1">
        <v>0.04</v>
      </c>
    </row>
    <row r="4054" spans="1:7" ht="14.25" hidden="1" customHeight="1" x14ac:dyDescent="0.45">
      <c r="A4054" t="str">
        <f>_xlfn.XLOOKUP(B4054,Ingot!$H$12:$H$119,Ingot!$G$12:$G$119,"")</f>
        <v>Wood</v>
      </c>
      <c r="B4054" t="s">
        <v>8141</v>
      </c>
      <c r="C4054" t="s">
        <v>10</v>
      </c>
      <c r="D4054" t="s">
        <v>8154</v>
      </c>
      <c r="E4054" t="s">
        <v>8155</v>
      </c>
      <c r="G4054" s="1">
        <v>0.33</v>
      </c>
    </row>
    <row r="4055" spans="1:7" ht="14.25" hidden="1" customHeight="1" x14ac:dyDescent="0.45">
      <c r="A4055" t="str">
        <f>_xlfn.XLOOKUP(B4055,Ingot!$H$12:$H$119,Ingot!$G$12:$G$119,"")</f>
        <v>Wood</v>
      </c>
      <c r="B4055" t="s">
        <v>8141</v>
      </c>
      <c r="C4055" t="s">
        <v>10</v>
      </c>
      <c r="D4055" t="s">
        <v>8156</v>
      </c>
      <c r="E4055" t="s">
        <v>8157</v>
      </c>
    </row>
    <row r="4056" spans="1:7" ht="14.25" hidden="1" customHeight="1" x14ac:dyDescent="0.45">
      <c r="A4056" t="str">
        <f>_xlfn.XLOOKUP(B4056,Ingot!$H$12:$H$119,Ingot!$G$12:$G$119,"")</f>
        <v>Wood</v>
      </c>
      <c r="B4056" t="s">
        <v>8141</v>
      </c>
      <c r="C4056" t="s">
        <v>10</v>
      </c>
      <c r="D4056" t="s">
        <v>8158</v>
      </c>
      <c r="E4056" t="s">
        <v>8159</v>
      </c>
      <c r="G4056" s="1">
        <v>0.05</v>
      </c>
    </row>
    <row r="4057" spans="1:7" ht="14.25" hidden="1" customHeight="1" x14ac:dyDescent="0.45">
      <c r="A4057" t="str">
        <f>_xlfn.XLOOKUP(B4057,Ingot!$H$12:$H$119,Ingot!$G$12:$G$119,"")</f>
        <v>Wood</v>
      </c>
      <c r="B4057" t="s">
        <v>8141</v>
      </c>
      <c r="C4057" t="s">
        <v>10</v>
      </c>
      <c r="D4057" t="s">
        <v>8160</v>
      </c>
      <c r="E4057" t="s">
        <v>8161</v>
      </c>
      <c r="G4057" s="1">
        <v>0.66</v>
      </c>
    </row>
    <row r="4058" spans="1:7" ht="14.25" hidden="1" customHeight="1" x14ac:dyDescent="0.45">
      <c r="A4058" t="str">
        <f>_xlfn.XLOOKUP(B4058,Ingot!$H$12:$H$119,Ingot!$G$12:$G$119,"")</f>
        <v>Wood</v>
      </c>
      <c r="B4058" t="s">
        <v>8141</v>
      </c>
      <c r="C4058" t="s">
        <v>10</v>
      </c>
      <c r="D4058" t="s">
        <v>8162</v>
      </c>
      <c r="E4058" t="s">
        <v>8163</v>
      </c>
      <c r="G4058" s="1">
        <v>3.96</v>
      </c>
    </row>
    <row r="4059" spans="1:7" ht="14.25" hidden="1" customHeight="1" x14ac:dyDescent="0.45">
      <c r="A4059" t="str">
        <f>_xlfn.XLOOKUP(B4059,Ingot!$H$12:$H$119,Ingot!$G$12:$G$119,"")</f>
        <v>Wood</v>
      </c>
      <c r="B4059" t="s">
        <v>8141</v>
      </c>
      <c r="C4059" t="s">
        <v>10</v>
      </c>
      <c r="D4059" t="s">
        <v>8164</v>
      </c>
      <c r="E4059" t="s">
        <v>8165</v>
      </c>
      <c r="G4059" s="1">
        <v>8.77</v>
      </c>
    </row>
    <row r="4060" spans="1:7" ht="14.25" hidden="1" customHeight="1" x14ac:dyDescent="0.45">
      <c r="A4060" t="str">
        <f>_xlfn.XLOOKUP(B4060,Ingot!$H$12:$H$119,Ingot!$G$12:$G$119,"")</f>
        <v>Wood</v>
      </c>
      <c r="B4060" t="s">
        <v>8141</v>
      </c>
      <c r="C4060" t="s">
        <v>10</v>
      </c>
      <c r="D4060" t="s">
        <v>8166</v>
      </c>
      <c r="E4060" t="s">
        <v>8167</v>
      </c>
      <c r="G4060" s="1">
        <v>3.5</v>
      </c>
    </row>
    <row r="4061" spans="1:7" ht="14.25" hidden="1" customHeight="1" x14ac:dyDescent="0.45">
      <c r="A4061" t="str">
        <f>_xlfn.XLOOKUP(B4061,Ingot!$H$12:$H$119,Ingot!$G$12:$G$119,"")</f>
        <v>Wood</v>
      </c>
      <c r="B4061" t="s">
        <v>8141</v>
      </c>
      <c r="C4061" t="s">
        <v>10</v>
      </c>
      <c r="D4061" t="s">
        <v>8168</v>
      </c>
      <c r="E4061" t="s">
        <v>8169</v>
      </c>
    </row>
    <row r="4062" spans="1:7" ht="14.25" hidden="1" customHeight="1" x14ac:dyDescent="0.45">
      <c r="A4062" t="str">
        <f>_xlfn.XLOOKUP(B4062,Ingot!$H$12:$H$119,Ingot!$G$12:$G$119,"")</f>
        <v>Wood</v>
      </c>
      <c r="B4062" t="s">
        <v>8141</v>
      </c>
      <c r="C4062" t="s">
        <v>10</v>
      </c>
      <c r="D4062" t="s">
        <v>8170</v>
      </c>
      <c r="E4062" t="s">
        <v>8171</v>
      </c>
      <c r="G4062" s="1">
        <v>2.2000000000000002</v>
      </c>
    </row>
    <row r="4063" spans="1:7" ht="14.25" hidden="1" customHeight="1" x14ac:dyDescent="0.45">
      <c r="A4063" t="str">
        <f>_xlfn.XLOOKUP(B4063,Ingot!$H$12:$H$119,Ingot!$G$12:$G$119,"")</f>
        <v>Wood</v>
      </c>
      <c r="B4063" t="s">
        <v>8141</v>
      </c>
      <c r="C4063" t="s">
        <v>10</v>
      </c>
      <c r="D4063" t="s">
        <v>8172</v>
      </c>
      <c r="E4063" t="s">
        <v>8173</v>
      </c>
      <c r="G4063" s="1">
        <v>1.1000000000000001</v>
      </c>
    </row>
    <row r="4064" spans="1:7" ht="14.25" hidden="1" customHeight="1" x14ac:dyDescent="0.45">
      <c r="A4064" t="str">
        <f>_xlfn.XLOOKUP(B4064,Ingot!$H$12:$H$119,Ingot!$G$12:$G$119,"")</f>
        <v>Wood</v>
      </c>
      <c r="B4064" t="s">
        <v>8141</v>
      </c>
      <c r="C4064" t="s">
        <v>10</v>
      </c>
      <c r="D4064" t="s">
        <v>8174</v>
      </c>
      <c r="E4064" t="s">
        <v>8175</v>
      </c>
      <c r="G4064" s="1">
        <v>0.22</v>
      </c>
    </row>
    <row r="4065" spans="1:7" ht="14.25" hidden="1" customHeight="1" x14ac:dyDescent="0.45">
      <c r="A4065" t="str">
        <f>_xlfn.XLOOKUP(B4065,Ingot!$H$12:$H$119,Ingot!$G$12:$G$119,"")</f>
        <v>Wood</v>
      </c>
      <c r="B4065" t="s">
        <v>8141</v>
      </c>
      <c r="C4065" t="s">
        <v>10</v>
      </c>
      <c r="D4065" t="s">
        <v>8176</v>
      </c>
      <c r="E4065" t="s">
        <v>8177</v>
      </c>
      <c r="G4065" s="1">
        <v>8.41</v>
      </c>
    </row>
    <row r="4066" spans="1:7" ht="14.25" hidden="1" customHeight="1" x14ac:dyDescent="0.45">
      <c r="A4066" t="str">
        <f>_xlfn.XLOOKUP(B4066,Ingot!$H$12:$H$119,Ingot!$G$12:$G$119,"")</f>
        <v>Wood</v>
      </c>
      <c r="B4066" t="s">
        <v>8141</v>
      </c>
      <c r="C4066" t="s">
        <v>10</v>
      </c>
      <c r="D4066" t="s">
        <v>8178</v>
      </c>
      <c r="E4066" t="s">
        <v>8179</v>
      </c>
      <c r="G4066" s="1">
        <v>3.64</v>
      </c>
    </row>
    <row r="4067" spans="1:7" ht="14.25" hidden="1" customHeight="1" x14ac:dyDescent="0.45">
      <c r="A4067" t="str">
        <f>_xlfn.XLOOKUP(B4067,Ingot!$H$12:$H$119,Ingot!$G$12:$G$119,"")</f>
        <v>Wood</v>
      </c>
      <c r="B4067" t="s">
        <v>8141</v>
      </c>
      <c r="C4067" t="s">
        <v>10</v>
      </c>
      <c r="D4067" t="s">
        <v>8180</v>
      </c>
      <c r="E4067" t="s">
        <v>8181</v>
      </c>
      <c r="G4067" s="1">
        <v>7.05</v>
      </c>
    </row>
    <row r="4068" spans="1:7" ht="14.25" hidden="1" customHeight="1" x14ac:dyDescent="0.45">
      <c r="A4068" t="str">
        <f>_xlfn.XLOOKUP(B4068,Ingot!$H$12:$H$119,Ingot!$G$12:$G$119,"")</f>
        <v>Wood</v>
      </c>
      <c r="B4068" t="s">
        <v>8141</v>
      </c>
      <c r="C4068" t="s">
        <v>10</v>
      </c>
      <c r="D4068" t="s">
        <v>8182</v>
      </c>
      <c r="E4068" t="s">
        <v>8183</v>
      </c>
      <c r="G4068" s="1">
        <v>2.65</v>
      </c>
    </row>
    <row r="4069" spans="1:7" ht="14.25" hidden="1" customHeight="1" x14ac:dyDescent="0.45">
      <c r="A4069" t="str">
        <f>_xlfn.XLOOKUP(B4069,Ingot!$H$12:$H$119,Ingot!$G$12:$G$119,"")</f>
        <v>Wood</v>
      </c>
      <c r="B4069" t="s">
        <v>8141</v>
      </c>
      <c r="C4069" t="s">
        <v>10</v>
      </c>
      <c r="D4069" t="s">
        <v>8184</v>
      </c>
      <c r="E4069" t="s">
        <v>8185</v>
      </c>
      <c r="G4069" s="1">
        <v>9</v>
      </c>
    </row>
    <row r="4070" spans="1:7" ht="14.25" hidden="1" customHeight="1" x14ac:dyDescent="0.45">
      <c r="A4070" t="str">
        <f>_xlfn.XLOOKUP(B4070,Ingot!$H$12:$H$119,Ingot!$G$12:$G$119,"")</f>
        <v>Wood</v>
      </c>
      <c r="B4070" t="s">
        <v>8141</v>
      </c>
      <c r="C4070" t="s">
        <v>10</v>
      </c>
      <c r="D4070" t="s">
        <v>8186</v>
      </c>
      <c r="E4070" t="s">
        <v>8187</v>
      </c>
      <c r="G4070" s="1">
        <v>10.23</v>
      </c>
    </row>
    <row r="4071" spans="1:7" ht="14.25" hidden="1" customHeight="1" x14ac:dyDescent="0.45">
      <c r="A4071" t="str">
        <f>_xlfn.XLOOKUP(B4071,Ingot!$H$12:$H$119,Ingot!$G$12:$G$119,"")</f>
        <v>Wood</v>
      </c>
      <c r="B4071" t="s">
        <v>8141</v>
      </c>
      <c r="C4071" t="s">
        <v>10</v>
      </c>
      <c r="D4071" t="s">
        <v>8188</v>
      </c>
      <c r="E4071" t="s">
        <v>8189</v>
      </c>
      <c r="G4071" s="1">
        <v>7.7</v>
      </c>
    </row>
    <row r="4072" spans="1:7" ht="14.25" hidden="1" customHeight="1" x14ac:dyDescent="0.45">
      <c r="A4072" t="str">
        <f>_xlfn.XLOOKUP(B4072,Ingot!$H$12:$H$119,Ingot!$G$12:$G$119,"")</f>
        <v>Wood</v>
      </c>
      <c r="B4072" t="s">
        <v>8141</v>
      </c>
      <c r="C4072" t="s">
        <v>10</v>
      </c>
      <c r="D4072" t="s">
        <v>8190</v>
      </c>
      <c r="E4072" t="s">
        <v>8191</v>
      </c>
      <c r="G4072" s="1">
        <v>10.02</v>
      </c>
    </row>
    <row r="4073" spans="1:7" ht="14.25" hidden="1" customHeight="1" x14ac:dyDescent="0.45">
      <c r="A4073" t="str">
        <f>_xlfn.XLOOKUP(B4073,Ingot!$H$12:$H$119,Ingot!$G$12:$G$119,"")</f>
        <v>Wood</v>
      </c>
      <c r="B4073" t="s">
        <v>8141</v>
      </c>
      <c r="C4073" t="s">
        <v>10</v>
      </c>
      <c r="D4073" t="s">
        <v>8192</v>
      </c>
      <c r="E4073" t="s">
        <v>8193</v>
      </c>
      <c r="G4073" s="1">
        <v>11.81</v>
      </c>
    </row>
    <row r="4074" spans="1:7" ht="14.25" hidden="1" customHeight="1" x14ac:dyDescent="0.45">
      <c r="A4074" t="str">
        <f>_xlfn.XLOOKUP(B4074,Ingot!$H$12:$H$119,Ingot!$G$12:$G$119,"")</f>
        <v>Wood</v>
      </c>
      <c r="B4074" t="s">
        <v>8141</v>
      </c>
      <c r="C4074" t="s">
        <v>10</v>
      </c>
      <c r="D4074" t="s">
        <v>8194</v>
      </c>
      <c r="E4074" t="s">
        <v>8195</v>
      </c>
      <c r="G4074" s="1">
        <v>8.44</v>
      </c>
    </row>
    <row r="4075" spans="1:7" ht="14.25" hidden="1" customHeight="1" x14ac:dyDescent="0.45">
      <c r="A4075" t="str">
        <f>_xlfn.XLOOKUP(B4075,Ingot!$H$12:$H$119,Ingot!$G$12:$G$119,"")</f>
        <v>Wood</v>
      </c>
      <c r="B4075" t="s">
        <v>8141</v>
      </c>
      <c r="C4075" t="s">
        <v>10</v>
      </c>
      <c r="D4075" t="s">
        <v>8196</v>
      </c>
      <c r="E4075" t="s">
        <v>8197</v>
      </c>
      <c r="G4075" s="1">
        <v>10.42</v>
      </c>
    </row>
    <row r="4076" spans="1:7" ht="14.25" hidden="1" customHeight="1" x14ac:dyDescent="0.45">
      <c r="A4076" t="str">
        <f>_xlfn.XLOOKUP(B4076,Ingot!$H$12:$H$119,Ingot!$G$12:$G$119,"")</f>
        <v>Wood</v>
      </c>
      <c r="B4076" t="s">
        <v>8141</v>
      </c>
      <c r="C4076" t="s">
        <v>10</v>
      </c>
      <c r="D4076" t="s">
        <v>8198</v>
      </c>
      <c r="E4076" t="s">
        <v>8199</v>
      </c>
    </row>
    <row r="4077" spans="1:7" ht="14.25" hidden="1" customHeight="1" x14ac:dyDescent="0.45">
      <c r="A4077" t="str">
        <f>_xlfn.XLOOKUP(B4077,Ingot!$H$12:$H$119,Ingot!$G$12:$G$119,"")</f>
        <v>Wood</v>
      </c>
      <c r="B4077" t="s">
        <v>8141</v>
      </c>
      <c r="C4077" t="s">
        <v>10</v>
      </c>
      <c r="D4077" t="s">
        <v>8200</v>
      </c>
      <c r="E4077" t="s">
        <v>8201</v>
      </c>
      <c r="G4077" s="1">
        <v>7.96</v>
      </c>
    </row>
    <row r="4078" spans="1:7" ht="14.25" hidden="1" customHeight="1" x14ac:dyDescent="0.45">
      <c r="A4078" t="str">
        <f>_xlfn.XLOOKUP(B4078,Ingot!$H$12:$H$119,Ingot!$G$12:$G$119,"")</f>
        <v>Wood</v>
      </c>
      <c r="B4078" t="s">
        <v>8141</v>
      </c>
      <c r="C4078" t="s">
        <v>10</v>
      </c>
      <c r="D4078" t="s">
        <v>8202</v>
      </c>
      <c r="E4078" t="s">
        <v>8203</v>
      </c>
      <c r="G4078" s="1">
        <v>9.64</v>
      </c>
    </row>
    <row r="4079" spans="1:7" ht="14.25" hidden="1" customHeight="1" x14ac:dyDescent="0.45">
      <c r="A4079" t="str">
        <f>_xlfn.XLOOKUP(B4079,Ingot!$H$12:$H$119,Ingot!$G$12:$G$119,"")</f>
        <v>Wood</v>
      </c>
      <c r="B4079" t="s">
        <v>8141</v>
      </c>
      <c r="C4079" t="s">
        <v>10</v>
      </c>
      <c r="D4079" t="s">
        <v>8204</v>
      </c>
      <c r="E4079" t="s">
        <v>8205</v>
      </c>
      <c r="G4079" s="1">
        <v>7.94</v>
      </c>
    </row>
    <row r="4080" spans="1:7" ht="14.25" hidden="1" customHeight="1" x14ac:dyDescent="0.45">
      <c r="A4080" t="str">
        <f>_xlfn.XLOOKUP(B4080,Ingot!$H$12:$H$119,Ingot!$G$12:$G$119,"")</f>
        <v>Wood</v>
      </c>
      <c r="B4080" t="s">
        <v>8141</v>
      </c>
      <c r="C4080" t="s">
        <v>10</v>
      </c>
      <c r="D4080" t="s">
        <v>8206</v>
      </c>
      <c r="E4080" t="s">
        <v>8207</v>
      </c>
      <c r="G4080" s="1">
        <v>8.66</v>
      </c>
    </row>
    <row r="4081" spans="1:7" ht="14.25" hidden="1" customHeight="1" x14ac:dyDescent="0.45">
      <c r="A4081" t="str">
        <f>_xlfn.XLOOKUP(B4081,Ingot!$H$12:$H$119,Ingot!$G$12:$G$119,"")</f>
        <v>Wood</v>
      </c>
      <c r="B4081" t="s">
        <v>8141</v>
      </c>
      <c r="C4081" t="s">
        <v>10</v>
      </c>
      <c r="D4081" t="s">
        <v>8208</v>
      </c>
      <c r="E4081" t="s">
        <v>8209</v>
      </c>
    </row>
    <row r="4082" spans="1:7" ht="14.25" hidden="1" customHeight="1" x14ac:dyDescent="0.45">
      <c r="A4082" t="str">
        <f>_xlfn.XLOOKUP(B4082,Ingot!$H$12:$H$119,Ingot!$G$12:$G$119,"")</f>
        <v>Wood</v>
      </c>
      <c r="B4082" t="s">
        <v>8141</v>
      </c>
      <c r="C4082" t="s">
        <v>10</v>
      </c>
      <c r="D4082" t="s">
        <v>8210</v>
      </c>
      <c r="E4082" t="s">
        <v>8211</v>
      </c>
      <c r="G4082" s="1">
        <v>2.65</v>
      </c>
    </row>
    <row r="4083" spans="1:7" ht="14.25" hidden="1" customHeight="1" x14ac:dyDescent="0.45">
      <c r="A4083" t="str">
        <f>_xlfn.XLOOKUP(B4083,Ingot!$H$12:$H$119,Ingot!$G$12:$G$119,"")</f>
        <v>Wood</v>
      </c>
      <c r="B4083" t="s">
        <v>8141</v>
      </c>
      <c r="C4083" t="s">
        <v>10</v>
      </c>
      <c r="D4083" t="s">
        <v>8212</v>
      </c>
      <c r="E4083" t="s">
        <v>8213</v>
      </c>
    </row>
    <row r="4084" spans="1:7" ht="14.25" hidden="1" customHeight="1" x14ac:dyDescent="0.45">
      <c r="A4084" t="str">
        <f>_xlfn.XLOOKUP(B4084,Ingot!$H$12:$H$119,Ingot!$G$12:$G$119,"")</f>
        <v>Wood</v>
      </c>
      <c r="B4084" t="s">
        <v>8141</v>
      </c>
      <c r="C4084" t="s">
        <v>10</v>
      </c>
      <c r="D4084" t="s">
        <v>8214</v>
      </c>
      <c r="E4084" t="s">
        <v>8215</v>
      </c>
      <c r="G4084" s="1">
        <v>12.64</v>
      </c>
    </row>
    <row r="4085" spans="1:7" ht="14.25" hidden="1" customHeight="1" x14ac:dyDescent="0.45">
      <c r="A4085" t="str">
        <f>_xlfn.XLOOKUP(B4085,Ingot!$H$12:$H$119,Ingot!$G$12:$G$119,"")</f>
        <v>Wood</v>
      </c>
      <c r="B4085" t="s">
        <v>8141</v>
      </c>
      <c r="C4085" t="s">
        <v>10</v>
      </c>
      <c r="D4085" t="s">
        <v>8216</v>
      </c>
      <c r="E4085" t="s">
        <v>8217</v>
      </c>
      <c r="G4085" s="1">
        <v>22.67</v>
      </c>
    </row>
    <row r="4086" spans="1:7" ht="14.25" hidden="1" customHeight="1" x14ac:dyDescent="0.45">
      <c r="A4086" t="str">
        <f>_xlfn.XLOOKUP(B4086,Ingot!$H$12:$H$119,Ingot!$G$12:$G$119,"")</f>
        <v>Wood</v>
      </c>
      <c r="B4086" t="s">
        <v>8141</v>
      </c>
      <c r="C4086" t="s">
        <v>10</v>
      </c>
      <c r="D4086" t="s">
        <v>8218</v>
      </c>
      <c r="E4086" t="s">
        <v>8219</v>
      </c>
      <c r="G4086" s="1">
        <v>8.3800000000000008</v>
      </c>
    </row>
    <row r="4087" spans="1:7" ht="14.25" hidden="1" customHeight="1" x14ac:dyDescent="0.45">
      <c r="A4087" t="str">
        <f>_xlfn.XLOOKUP(B4087,Ingot!$H$12:$H$119,Ingot!$G$12:$G$119,"")</f>
        <v>Wood</v>
      </c>
      <c r="B4087" t="s">
        <v>8141</v>
      </c>
      <c r="C4087" t="s">
        <v>10</v>
      </c>
      <c r="D4087" t="s">
        <v>8220</v>
      </c>
      <c r="E4087" t="s">
        <v>8221</v>
      </c>
      <c r="G4087" s="1">
        <v>2.2000000000000002</v>
      </c>
    </row>
    <row r="4088" spans="1:7" ht="14.25" hidden="1" customHeight="1" x14ac:dyDescent="0.45">
      <c r="A4088" t="str">
        <f>_xlfn.XLOOKUP(B4088,Ingot!$H$12:$H$119,Ingot!$G$12:$G$119,"")</f>
        <v>Wood</v>
      </c>
      <c r="B4088" t="s">
        <v>8141</v>
      </c>
      <c r="C4088" t="s">
        <v>10</v>
      </c>
      <c r="D4088" t="s">
        <v>8222</v>
      </c>
      <c r="E4088" t="s">
        <v>8223</v>
      </c>
      <c r="G4088" s="1">
        <v>3.09</v>
      </c>
    </row>
    <row r="4089" spans="1:7" ht="14.25" hidden="1" customHeight="1" x14ac:dyDescent="0.45">
      <c r="A4089" t="str">
        <f>_xlfn.XLOOKUP(B4089,Ingot!$H$12:$H$119,Ingot!$G$12:$G$119,"")</f>
        <v>Wood</v>
      </c>
      <c r="B4089" t="s">
        <v>8141</v>
      </c>
      <c r="C4089" t="s">
        <v>10</v>
      </c>
      <c r="D4089" t="s">
        <v>8224</v>
      </c>
      <c r="E4089" t="s">
        <v>8225</v>
      </c>
      <c r="G4089" s="1">
        <v>2.2999999999999998</v>
      </c>
    </row>
    <row r="4090" spans="1:7" ht="14.25" hidden="1" customHeight="1" x14ac:dyDescent="0.45">
      <c r="A4090" t="str">
        <f>_xlfn.XLOOKUP(B4090,Ingot!$H$12:$H$119,Ingot!$G$12:$G$119,"")</f>
        <v>Wood</v>
      </c>
      <c r="B4090" t="s">
        <v>8141</v>
      </c>
      <c r="C4090" t="s">
        <v>10</v>
      </c>
      <c r="D4090" t="s">
        <v>8226</v>
      </c>
      <c r="E4090" t="s">
        <v>8227</v>
      </c>
      <c r="G4090" s="1">
        <v>4.88</v>
      </c>
    </row>
    <row r="4091" spans="1:7" ht="14.25" hidden="1" customHeight="1" x14ac:dyDescent="0.45">
      <c r="A4091" t="str">
        <f>_xlfn.XLOOKUP(B4091,Ingot!$H$12:$H$119,Ingot!$G$12:$G$119,"")</f>
        <v>Wood</v>
      </c>
      <c r="B4091" t="s">
        <v>8141</v>
      </c>
      <c r="C4091" t="s">
        <v>10</v>
      </c>
      <c r="D4091" t="s">
        <v>8228</v>
      </c>
      <c r="E4091" t="s">
        <v>8229</v>
      </c>
      <c r="G4091" s="1">
        <v>8.43</v>
      </c>
    </row>
    <row r="4092" spans="1:7" ht="14.25" hidden="1" customHeight="1" x14ac:dyDescent="0.45">
      <c r="A4092" t="str">
        <f>_xlfn.XLOOKUP(B4092,Ingot!$H$12:$H$119,Ingot!$G$12:$G$119,"")</f>
        <v>Wood</v>
      </c>
      <c r="B4092" t="s">
        <v>8141</v>
      </c>
      <c r="C4092" t="s">
        <v>10</v>
      </c>
      <c r="D4092" t="s">
        <v>8230</v>
      </c>
      <c r="E4092" t="s">
        <v>8231</v>
      </c>
      <c r="G4092" s="1">
        <v>13.07</v>
      </c>
    </row>
    <row r="4093" spans="1:7" ht="14.25" hidden="1" customHeight="1" x14ac:dyDescent="0.45">
      <c r="A4093" t="str">
        <f>_xlfn.XLOOKUP(B4093,Ingot!$H$12:$H$119,Ingot!$G$12:$G$119,"")</f>
        <v>Wood</v>
      </c>
      <c r="B4093" t="s">
        <v>8141</v>
      </c>
      <c r="C4093" t="s">
        <v>10</v>
      </c>
      <c r="D4093" t="s">
        <v>8232</v>
      </c>
      <c r="E4093" t="s">
        <v>8233</v>
      </c>
    </row>
    <row r="4094" spans="1:7" ht="14.25" hidden="1" customHeight="1" x14ac:dyDescent="0.45">
      <c r="A4094" t="str">
        <f>_xlfn.XLOOKUP(B4094,Ingot!$H$12:$H$119,Ingot!$G$12:$G$119,"")</f>
        <v>Wood</v>
      </c>
      <c r="B4094" t="s">
        <v>8141</v>
      </c>
      <c r="C4094" t="s">
        <v>10</v>
      </c>
      <c r="D4094" t="s">
        <v>8234</v>
      </c>
      <c r="E4094" t="s">
        <v>8235</v>
      </c>
    </row>
    <row r="4095" spans="1:7" ht="14.25" hidden="1" customHeight="1" x14ac:dyDescent="0.45">
      <c r="A4095" t="str">
        <f>_xlfn.XLOOKUP(B4095,Ingot!$H$12:$H$119,Ingot!$G$12:$G$119,"")</f>
        <v>Wood</v>
      </c>
      <c r="B4095" t="s">
        <v>8141</v>
      </c>
      <c r="C4095" t="s">
        <v>10</v>
      </c>
      <c r="D4095" t="s">
        <v>8236</v>
      </c>
      <c r="E4095" t="s">
        <v>8237</v>
      </c>
      <c r="G4095" s="1">
        <v>6.8</v>
      </c>
    </row>
    <row r="4096" spans="1:7" ht="14.25" hidden="1" customHeight="1" x14ac:dyDescent="0.45">
      <c r="A4096" t="str">
        <f>_xlfn.XLOOKUP(B4096,Ingot!$H$12:$H$119,Ingot!$G$12:$G$119,"")</f>
        <v>Wood</v>
      </c>
      <c r="B4096" t="s">
        <v>8141</v>
      </c>
      <c r="C4096" t="s">
        <v>10</v>
      </c>
      <c r="D4096" t="s">
        <v>8238</v>
      </c>
      <c r="E4096" t="s">
        <v>8239</v>
      </c>
      <c r="G4096" s="1">
        <v>6.88</v>
      </c>
    </row>
    <row r="4097" spans="1:7" ht="14.25" hidden="1" customHeight="1" x14ac:dyDescent="0.45">
      <c r="A4097" t="str">
        <f>_xlfn.XLOOKUP(B4097,Ingot!$H$12:$H$119,Ingot!$G$12:$G$119,"")</f>
        <v>Wood</v>
      </c>
      <c r="B4097" t="s">
        <v>8141</v>
      </c>
      <c r="C4097" t="s">
        <v>10</v>
      </c>
      <c r="D4097" t="s">
        <v>8240</v>
      </c>
      <c r="E4097" t="s">
        <v>8241</v>
      </c>
      <c r="G4097" s="1">
        <v>5.5</v>
      </c>
    </row>
    <row r="4098" spans="1:7" ht="14.25" hidden="1" customHeight="1" x14ac:dyDescent="0.45">
      <c r="A4098" t="str">
        <f>_xlfn.XLOOKUP(B4098,Ingot!$H$12:$H$119,Ingot!$G$12:$G$119,"")</f>
        <v>Wood</v>
      </c>
      <c r="B4098" t="s">
        <v>8141</v>
      </c>
      <c r="C4098" t="s">
        <v>10</v>
      </c>
      <c r="D4098" t="s">
        <v>8242</v>
      </c>
      <c r="E4098" t="s">
        <v>8243</v>
      </c>
      <c r="G4098" s="1">
        <v>2.4300000000000002</v>
      </c>
    </row>
    <row r="4099" spans="1:7" ht="14.25" hidden="1" customHeight="1" x14ac:dyDescent="0.45">
      <c r="A4099" t="str">
        <f>_xlfn.XLOOKUP(B4099,Ingot!$H$12:$H$119,Ingot!$G$12:$G$119,"")</f>
        <v>Wood</v>
      </c>
      <c r="B4099" t="s">
        <v>8141</v>
      </c>
      <c r="C4099" t="s">
        <v>10</v>
      </c>
      <c r="D4099" t="s">
        <v>8244</v>
      </c>
      <c r="E4099" t="s">
        <v>8245</v>
      </c>
      <c r="G4099" s="1">
        <v>6.96</v>
      </c>
    </row>
    <row r="4100" spans="1:7" ht="14.25" hidden="1" customHeight="1" x14ac:dyDescent="0.45">
      <c r="A4100" t="str">
        <f>_xlfn.XLOOKUP(B4100,Ingot!$H$12:$H$119,Ingot!$G$12:$G$119,"")</f>
        <v>Wood</v>
      </c>
      <c r="B4100" t="s">
        <v>8141</v>
      </c>
      <c r="C4100" t="s">
        <v>10</v>
      </c>
      <c r="D4100" t="s">
        <v>8246</v>
      </c>
      <c r="E4100" t="s">
        <v>8247</v>
      </c>
      <c r="G4100" s="1">
        <v>6.32</v>
      </c>
    </row>
    <row r="4101" spans="1:7" ht="14.25" hidden="1" customHeight="1" x14ac:dyDescent="0.45">
      <c r="A4101" t="str">
        <f>_xlfn.XLOOKUP(B4101,Ingot!$H$12:$H$119,Ingot!$G$12:$G$119,"")</f>
        <v>Wood</v>
      </c>
      <c r="B4101" t="s">
        <v>8141</v>
      </c>
      <c r="C4101" t="s">
        <v>10</v>
      </c>
      <c r="D4101" t="s">
        <v>8248</v>
      </c>
      <c r="E4101" t="s">
        <v>8249</v>
      </c>
      <c r="G4101" s="1">
        <v>6.88</v>
      </c>
    </row>
    <row r="4102" spans="1:7" ht="14.25" hidden="1" customHeight="1" x14ac:dyDescent="0.45">
      <c r="A4102" t="str">
        <f>_xlfn.XLOOKUP(B4102,Ingot!$H$12:$H$119,Ingot!$G$12:$G$119,"")</f>
        <v>Wood</v>
      </c>
      <c r="B4102" t="s">
        <v>8141</v>
      </c>
      <c r="C4102" t="s">
        <v>10</v>
      </c>
      <c r="D4102" t="s">
        <v>8250</v>
      </c>
      <c r="E4102" t="s">
        <v>8251</v>
      </c>
      <c r="G4102" s="1">
        <v>2.44</v>
      </c>
    </row>
    <row r="4103" spans="1:7" ht="14.25" hidden="1" customHeight="1" x14ac:dyDescent="0.45">
      <c r="A4103" t="str">
        <f>_xlfn.XLOOKUP(B4103,Ingot!$H$12:$H$119,Ingot!$G$12:$G$119,"")</f>
        <v>Wood</v>
      </c>
      <c r="B4103" t="s">
        <v>8141</v>
      </c>
      <c r="C4103" t="s">
        <v>10</v>
      </c>
      <c r="D4103" t="s">
        <v>8252</v>
      </c>
      <c r="E4103" t="s">
        <v>8253</v>
      </c>
    </row>
    <row r="4104" spans="1:7" ht="14.25" hidden="1" customHeight="1" x14ac:dyDescent="0.45">
      <c r="A4104" t="str">
        <f>_xlfn.XLOOKUP(B4104,Ingot!$H$12:$H$119,Ingot!$G$12:$G$119,"")</f>
        <v>Wood</v>
      </c>
      <c r="B4104" t="s">
        <v>8141</v>
      </c>
      <c r="C4104" t="s">
        <v>10</v>
      </c>
      <c r="D4104" t="s">
        <v>8254</v>
      </c>
      <c r="E4104" t="s">
        <v>8255</v>
      </c>
    </row>
    <row r="4105" spans="1:7" ht="14.25" hidden="1" customHeight="1" x14ac:dyDescent="0.45">
      <c r="A4105" t="str">
        <f>_xlfn.XLOOKUP(B4105,Ingot!$H$12:$H$119,Ingot!$G$12:$G$119,"")</f>
        <v>Wood</v>
      </c>
      <c r="B4105" t="s">
        <v>8141</v>
      </c>
      <c r="C4105" t="s">
        <v>10</v>
      </c>
      <c r="D4105" t="s">
        <v>8256</v>
      </c>
      <c r="E4105" t="s">
        <v>8257</v>
      </c>
      <c r="G4105" s="1">
        <v>3.11</v>
      </c>
    </row>
    <row r="4106" spans="1:7" ht="14.25" hidden="1" customHeight="1" x14ac:dyDescent="0.45">
      <c r="A4106" t="str">
        <f>_xlfn.XLOOKUP(B4106,Ingot!$H$12:$H$119,Ingot!$G$12:$G$119,"")</f>
        <v>Wood</v>
      </c>
      <c r="B4106" t="s">
        <v>8141</v>
      </c>
      <c r="C4106" t="s">
        <v>10</v>
      </c>
      <c r="D4106" t="s">
        <v>8258</v>
      </c>
      <c r="E4106" t="s">
        <v>8259</v>
      </c>
      <c r="G4106" s="1">
        <v>2.44</v>
      </c>
    </row>
    <row r="4107" spans="1:7" ht="14.25" hidden="1" customHeight="1" x14ac:dyDescent="0.45">
      <c r="A4107" t="str">
        <f>_xlfn.XLOOKUP(B4107,Ingot!$H$12:$H$119,Ingot!$G$12:$G$119,"")</f>
        <v>Wood</v>
      </c>
      <c r="B4107" t="s">
        <v>8141</v>
      </c>
      <c r="C4107" t="s">
        <v>10</v>
      </c>
      <c r="D4107" t="s">
        <v>8260</v>
      </c>
      <c r="E4107" t="s">
        <v>8261</v>
      </c>
      <c r="G4107" s="1">
        <v>8.61</v>
      </c>
    </row>
    <row r="4108" spans="1:7" ht="14.25" hidden="1" customHeight="1" x14ac:dyDescent="0.45">
      <c r="A4108" t="str">
        <f>_xlfn.XLOOKUP(B4108,Ingot!$H$12:$H$119,Ingot!$G$12:$G$119,"")</f>
        <v>Wood</v>
      </c>
      <c r="B4108" t="s">
        <v>8141</v>
      </c>
      <c r="C4108" t="s">
        <v>10</v>
      </c>
      <c r="D4108" t="s">
        <v>8262</v>
      </c>
      <c r="E4108" t="s">
        <v>8263</v>
      </c>
    </row>
    <row r="4109" spans="1:7" ht="14.25" hidden="1" customHeight="1" x14ac:dyDescent="0.45">
      <c r="A4109" t="str">
        <f>_xlfn.XLOOKUP(B4109,Ingot!$H$12:$H$119,Ingot!$G$12:$G$119,"")</f>
        <v>Wood</v>
      </c>
      <c r="B4109" t="s">
        <v>8141</v>
      </c>
      <c r="C4109" t="s">
        <v>10</v>
      </c>
      <c r="D4109" t="s">
        <v>8264</v>
      </c>
      <c r="E4109" t="s">
        <v>8265</v>
      </c>
      <c r="G4109" s="1">
        <v>3.21</v>
      </c>
    </row>
    <row r="4110" spans="1:7" ht="14.25" hidden="1" customHeight="1" x14ac:dyDescent="0.45">
      <c r="A4110" t="str">
        <f>_xlfn.XLOOKUP(B4110,Ingot!$H$12:$H$119,Ingot!$G$12:$G$119,"")</f>
        <v>Wood</v>
      </c>
      <c r="B4110" t="s">
        <v>8141</v>
      </c>
      <c r="C4110" t="s">
        <v>10</v>
      </c>
      <c r="D4110" t="s">
        <v>8266</v>
      </c>
      <c r="E4110" t="s">
        <v>8267</v>
      </c>
      <c r="G4110" s="1">
        <v>2.77</v>
      </c>
    </row>
    <row r="4111" spans="1:7" ht="14.25" hidden="1" customHeight="1" x14ac:dyDescent="0.45">
      <c r="A4111" t="str">
        <f>_xlfn.XLOOKUP(B4111,Ingot!$H$12:$H$119,Ingot!$G$12:$G$119,"")</f>
        <v>Wood</v>
      </c>
      <c r="B4111" t="s">
        <v>8141</v>
      </c>
      <c r="C4111" t="s">
        <v>10</v>
      </c>
      <c r="D4111" t="s">
        <v>8268</v>
      </c>
      <c r="E4111" t="s">
        <v>8269</v>
      </c>
      <c r="G4111" s="1">
        <v>4.8899999999999997</v>
      </c>
    </row>
    <row r="4112" spans="1:7" ht="14.25" hidden="1" customHeight="1" x14ac:dyDescent="0.45">
      <c r="A4112" t="str">
        <f>_xlfn.XLOOKUP(B4112,Ingot!$H$12:$H$119,Ingot!$G$12:$G$119,"")</f>
        <v>Wood</v>
      </c>
      <c r="B4112" t="s">
        <v>8141</v>
      </c>
      <c r="C4112" t="s">
        <v>10</v>
      </c>
      <c r="D4112" t="s">
        <v>8270</v>
      </c>
      <c r="E4112" t="s">
        <v>8271</v>
      </c>
      <c r="G4112" s="1">
        <v>1.76</v>
      </c>
    </row>
    <row r="4113" spans="1:7" ht="14.25" hidden="1" customHeight="1" x14ac:dyDescent="0.45">
      <c r="A4113" t="str">
        <f>_xlfn.XLOOKUP(B4113,Ingot!$H$12:$H$119,Ingot!$G$12:$G$119,"")</f>
        <v>Wood</v>
      </c>
      <c r="B4113" t="s">
        <v>8141</v>
      </c>
      <c r="C4113" t="s">
        <v>10</v>
      </c>
      <c r="D4113" t="s">
        <v>8272</v>
      </c>
      <c r="E4113" t="s">
        <v>8273</v>
      </c>
    </row>
    <row r="4114" spans="1:7" ht="14.25" hidden="1" customHeight="1" x14ac:dyDescent="0.45">
      <c r="A4114" t="str">
        <f>_xlfn.XLOOKUP(B4114,Ingot!$H$12:$H$119,Ingot!$G$12:$G$119,"")</f>
        <v>Wood</v>
      </c>
      <c r="B4114" t="s">
        <v>8141</v>
      </c>
      <c r="C4114" t="s">
        <v>10</v>
      </c>
      <c r="D4114" t="s">
        <v>8274</v>
      </c>
      <c r="E4114" t="s">
        <v>8275</v>
      </c>
      <c r="G4114" s="1">
        <v>8.57</v>
      </c>
    </row>
    <row r="4115" spans="1:7" ht="14.25" hidden="1" customHeight="1" x14ac:dyDescent="0.45">
      <c r="A4115" t="str">
        <f>_xlfn.XLOOKUP(B4115,Ingot!$H$12:$H$119,Ingot!$G$12:$G$119,"")</f>
        <v>Wood</v>
      </c>
      <c r="B4115" t="s">
        <v>8141</v>
      </c>
      <c r="C4115" t="s">
        <v>10</v>
      </c>
      <c r="D4115" t="s">
        <v>8276</v>
      </c>
      <c r="E4115" t="s">
        <v>8277</v>
      </c>
    </row>
    <row r="4116" spans="1:7" ht="14.25" hidden="1" customHeight="1" x14ac:dyDescent="0.45">
      <c r="A4116" t="str">
        <f>_xlfn.XLOOKUP(B4116,Ingot!$H$12:$H$119,Ingot!$G$12:$G$119,"")</f>
        <v>Wood</v>
      </c>
      <c r="B4116" t="s">
        <v>8141</v>
      </c>
      <c r="C4116" t="s">
        <v>10</v>
      </c>
      <c r="D4116" t="s">
        <v>8278</v>
      </c>
      <c r="E4116" t="s">
        <v>8279</v>
      </c>
      <c r="G4116" s="1">
        <v>3.56</v>
      </c>
    </row>
    <row r="4117" spans="1:7" ht="14.25" hidden="1" customHeight="1" x14ac:dyDescent="0.45">
      <c r="A4117" t="str">
        <f>_xlfn.XLOOKUP(B4117,Ingot!$H$12:$H$119,Ingot!$G$12:$G$119,"")</f>
        <v>Wood</v>
      </c>
      <c r="B4117" t="s">
        <v>8141</v>
      </c>
      <c r="C4117" t="s">
        <v>10</v>
      </c>
      <c r="D4117" t="s">
        <v>8280</v>
      </c>
      <c r="E4117" t="s">
        <v>8281</v>
      </c>
      <c r="G4117" s="1">
        <v>8.91</v>
      </c>
    </row>
    <row r="4118" spans="1:7" ht="14.25" hidden="1" customHeight="1" x14ac:dyDescent="0.45">
      <c r="A4118" t="str">
        <f>_xlfn.XLOOKUP(B4118,Ingot!$H$12:$H$119,Ingot!$G$12:$G$119,"")</f>
        <v>Wood</v>
      </c>
      <c r="B4118" t="s">
        <v>8141</v>
      </c>
      <c r="C4118" t="s">
        <v>10</v>
      </c>
      <c r="D4118" t="s">
        <v>8282</v>
      </c>
      <c r="E4118" t="s">
        <v>8283</v>
      </c>
      <c r="G4118" s="1">
        <v>11.02</v>
      </c>
    </row>
    <row r="4119" spans="1:7" ht="14.25" hidden="1" customHeight="1" x14ac:dyDescent="0.45">
      <c r="A4119" t="str">
        <f>_xlfn.XLOOKUP(B4119,Ingot!$H$12:$H$119,Ingot!$G$12:$G$119,"")</f>
        <v>Wood</v>
      </c>
      <c r="B4119" t="s">
        <v>8141</v>
      </c>
      <c r="C4119" t="s">
        <v>10</v>
      </c>
      <c r="D4119" t="s">
        <v>8284</v>
      </c>
      <c r="E4119" t="s">
        <v>8285</v>
      </c>
      <c r="G4119" s="1">
        <v>5.12</v>
      </c>
    </row>
    <row r="4120" spans="1:7" ht="14.25" hidden="1" customHeight="1" x14ac:dyDescent="0.45">
      <c r="A4120" t="str">
        <f>_xlfn.XLOOKUP(B4120,Ingot!$H$12:$H$119,Ingot!$G$12:$G$119,"")</f>
        <v>Wood</v>
      </c>
      <c r="B4120" t="s">
        <v>8141</v>
      </c>
      <c r="C4120" t="s">
        <v>10</v>
      </c>
      <c r="D4120" t="s">
        <v>8286</v>
      </c>
      <c r="E4120" t="s">
        <v>8287</v>
      </c>
      <c r="G4120" s="1">
        <v>4.41</v>
      </c>
    </row>
    <row r="4121" spans="1:7" ht="14.25" hidden="1" customHeight="1" x14ac:dyDescent="0.45">
      <c r="A4121" t="str">
        <f>_xlfn.XLOOKUP(B4121,Ingot!$H$12:$H$119,Ingot!$G$12:$G$119,"")</f>
        <v>Wood</v>
      </c>
      <c r="B4121" t="s">
        <v>8141</v>
      </c>
      <c r="C4121" t="s">
        <v>157</v>
      </c>
      <c r="D4121" t="s">
        <v>8288</v>
      </c>
      <c r="E4121" t="s">
        <v>8289</v>
      </c>
      <c r="G4121" s="1">
        <v>23.2</v>
      </c>
    </row>
    <row r="4122" spans="1:7" ht="14.25" hidden="1" customHeight="1" x14ac:dyDescent="0.45">
      <c r="A4122" t="str">
        <f>_xlfn.XLOOKUP(B4122,Ingot!$H$12:$H$119,Ingot!$G$12:$G$119,"")</f>
        <v>Wood</v>
      </c>
      <c r="B4122" t="s">
        <v>8141</v>
      </c>
      <c r="C4122" t="s">
        <v>157</v>
      </c>
      <c r="D4122" t="s">
        <v>8290</v>
      </c>
      <c r="E4122" t="s">
        <v>8291</v>
      </c>
      <c r="G4122" s="1">
        <v>5</v>
      </c>
    </row>
    <row r="4123" spans="1:7" ht="14.25" hidden="1" customHeight="1" x14ac:dyDescent="0.45">
      <c r="A4123" t="str">
        <f>_xlfn.XLOOKUP(B4123,Ingot!$H$12:$H$119,Ingot!$G$12:$G$119,"")</f>
        <v>Wood</v>
      </c>
      <c r="B4123" t="s">
        <v>8141</v>
      </c>
      <c r="C4123" t="s">
        <v>157</v>
      </c>
      <c r="D4123" t="s">
        <v>8292</v>
      </c>
      <c r="E4123" t="s">
        <v>8293</v>
      </c>
      <c r="G4123" s="1">
        <v>5</v>
      </c>
    </row>
    <row r="4124" spans="1:7" ht="14.25" hidden="1" customHeight="1" x14ac:dyDescent="0.45">
      <c r="A4124" t="str">
        <f>_xlfn.XLOOKUP(B4124,Ingot!$H$12:$H$119,Ingot!$G$12:$G$119,"")</f>
        <v>Wood</v>
      </c>
      <c r="B4124" t="s">
        <v>8141</v>
      </c>
      <c r="C4124" t="s">
        <v>157</v>
      </c>
      <c r="D4124" t="s">
        <v>8294</v>
      </c>
      <c r="E4124" t="s">
        <v>8295</v>
      </c>
      <c r="G4124" s="1">
        <v>5</v>
      </c>
    </row>
    <row r="4125" spans="1:7" ht="14.25" hidden="1" customHeight="1" x14ac:dyDescent="0.45">
      <c r="A4125" t="str">
        <f>_xlfn.XLOOKUP(B4125,Ingot!$H$12:$H$119,Ingot!$G$12:$G$119,"")</f>
        <v>Wood</v>
      </c>
      <c r="B4125" t="s">
        <v>8141</v>
      </c>
      <c r="C4125" t="s">
        <v>157</v>
      </c>
      <c r="D4125" t="s">
        <v>8296</v>
      </c>
      <c r="E4125" t="s">
        <v>8297</v>
      </c>
      <c r="G4125" s="1">
        <v>10</v>
      </c>
    </row>
    <row r="4126" spans="1:7" ht="14.25" hidden="1" customHeight="1" x14ac:dyDescent="0.45">
      <c r="A4126" t="str">
        <f>_xlfn.XLOOKUP(B4126,Ingot!$H$12:$H$119,Ingot!$G$12:$G$119,"")</f>
        <v>Wood</v>
      </c>
      <c r="B4126" t="s">
        <v>8141</v>
      </c>
      <c r="C4126" t="s">
        <v>157</v>
      </c>
      <c r="D4126" t="s">
        <v>8298</v>
      </c>
      <c r="E4126" t="s">
        <v>8299</v>
      </c>
      <c r="G4126" s="1">
        <v>20</v>
      </c>
    </row>
    <row r="4127" spans="1:7" ht="14.25" hidden="1" customHeight="1" x14ac:dyDescent="0.45">
      <c r="A4127" t="str">
        <f>_xlfn.XLOOKUP(B4127,Ingot!$H$12:$H$119,Ingot!$G$12:$G$119,"")</f>
        <v>Wood</v>
      </c>
      <c r="B4127" t="s">
        <v>8141</v>
      </c>
      <c r="C4127" t="s">
        <v>157</v>
      </c>
      <c r="D4127" t="s">
        <v>8300</v>
      </c>
      <c r="E4127" t="s">
        <v>8301</v>
      </c>
      <c r="G4127" s="1">
        <v>5</v>
      </c>
    </row>
    <row r="4128" spans="1:7" ht="14.25" hidden="1" customHeight="1" x14ac:dyDescent="0.45">
      <c r="A4128" t="str">
        <f>_xlfn.XLOOKUP(B4128,Ingot!$H$12:$H$119,Ingot!$G$12:$G$119,"")</f>
        <v>Wood</v>
      </c>
      <c r="B4128" t="s">
        <v>8141</v>
      </c>
      <c r="C4128" t="s">
        <v>157</v>
      </c>
      <c r="D4128" t="s">
        <v>8302</v>
      </c>
      <c r="E4128" t="s">
        <v>8303</v>
      </c>
      <c r="G4128" s="1">
        <v>5</v>
      </c>
    </row>
    <row r="4129" spans="1:7" ht="14.25" hidden="1" customHeight="1" x14ac:dyDescent="0.45">
      <c r="A4129" t="str">
        <f>_xlfn.XLOOKUP(B4129,Ingot!$H$12:$H$119,Ingot!$G$12:$G$119,"")</f>
        <v>Wood</v>
      </c>
      <c r="B4129" t="s">
        <v>8141</v>
      </c>
      <c r="C4129" t="s">
        <v>157</v>
      </c>
      <c r="D4129" t="s">
        <v>8304</v>
      </c>
      <c r="E4129" t="s">
        <v>8305</v>
      </c>
      <c r="G4129" s="1">
        <v>5</v>
      </c>
    </row>
    <row r="4130" spans="1:7" ht="14.25" hidden="1" customHeight="1" x14ac:dyDescent="0.45">
      <c r="A4130" t="str">
        <f>_xlfn.XLOOKUP(B4130,Ingot!$H$12:$H$119,Ingot!$G$12:$G$119,"")</f>
        <v>Wood</v>
      </c>
      <c r="B4130" t="s">
        <v>8141</v>
      </c>
      <c r="C4130" t="s">
        <v>157</v>
      </c>
      <c r="D4130" t="s">
        <v>8306</v>
      </c>
      <c r="E4130" t="s">
        <v>8307</v>
      </c>
      <c r="G4130" s="1">
        <v>10</v>
      </c>
    </row>
    <row r="4131" spans="1:7" ht="14.25" hidden="1" customHeight="1" x14ac:dyDescent="0.45">
      <c r="A4131" t="str">
        <f>_xlfn.XLOOKUP(B4131,Ingot!$H$12:$H$119,Ingot!$G$12:$G$119,"")</f>
        <v>Wood</v>
      </c>
      <c r="B4131" t="s">
        <v>8141</v>
      </c>
      <c r="C4131" t="s">
        <v>157</v>
      </c>
      <c r="D4131" t="s">
        <v>8308</v>
      </c>
      <c r="E4131" t="s">
        <v>8309</v>
      </c>
      <c r="F4131" t="s">
        <v>180</v>
      </c>
      <c r="G4131" s="1">
        <v>19.2</v>
      </c>
    </row>
    <row r="4132" spans="1:7" ht="14.25" hidden="1" customHeight="1" x14ac:dyDescent="0.45">
      <c r="A4132" t="str">
        <f>_xlfn.XLOOKUP(B4132,Ingot!$H$12:$H$119,Ingot!$G$12:$G$119,"")</f>
        <v>Wood</v>
      </c>
      <c r="B4132" t="s">
        <v>8141</v>
      </c>
      <c r="C4132" t="s">
        <v>157</v>
      </c>
      <c r="D4132" t="s">
        <v>8310</v>
      </c>
      <c r="E4132" t="s">
        <v>8311</v>
      </c>
      <c r="F4132" t="s">
        <v>180</v>
      </c>
      <c r="G4132" s="1">
        <v>5</v>
      </c>
    </row>
    <row r="4133" spans="1:7" ht="14.25" hidden="1" customHeight="1" x14ac:dyDescent="0.45">
      <c r="A4133" t="str">
        <f>_xlfn.XLOOKUP(B4133,Ingot!$H$12:$H$119,Ingot!$G$12:$G$119,"")</f>
        <v>Wood</v>
      </c>
      <c r="B4133" t="s">
        <v>8141</v>
      </c>
      <c r="C4133" t="s">
        <v>157</v>
      </c>
      <c r="D4133" t="s">
        <v>8312</v>
      </c>
      <c r="E4133" t="s">
        <v>8313</v>
      </c>
      <c r="F4133" t="s">
        <v>180</v>
      </c>
      <c r="G4133" s="1">
        <v>5</v>
      </c>
    </row>
    <row r="4134" spans="1:7" ht="14.25" hidden="1" customHeight="1" x14ac:dyDescent="0.45">
      <c r="A4134" t="str">
        <f>_xlfn.XLOOKUP(B4134,Ingot!$H$12:$H$119,Ingot!$G$12:$G$119,"")</f>
        <v>Wood</v>
      </c>
      <c r="B4134" t="s">
        <v>8141</v>
      </c>
      <c r="C4134" t="s">
        <v>157</v>
      </c>
      <c r="D4134" t="s">
        <v>8314</v>
      </c>
      <c r="E4134" t="s">
        <v>8315</v>
      </c>
      <c r="F4134" t="s">
        <v>180</v>
      </c>
      <c r="G4134" s="1">
        <v>5</v>
      </c>
    </row>
    <row r="4135" spans="1:7" ht="14.25" hidden="1" customHeight="1" x14ac:dyDescent="0.45">
      <c r="A4135" t="str">
        <f>_xlfn.XLOOKUP(B4135,Ingot!$H$12:$H$119,Ingot!$G$12:$G$119,"")</f>
        <v>Wood</v>
      </c>
      <c r="B4135" t="s">
        <v>8141</v>
      </c>
      <c r="C4135" t="s">
        <v>157</v>
      </c>
      <c r="D4135" t="s">
        <v>8316</v>
      </c>
      <c r="E4135" t="s">
        <v>8317</v>
      </c>
      <c r="F4135" t="s">
        <v>180</v>
      </c>
      <c r="G4135" s="1">
        <v>10</v>
      </c>
    </row>
    <row r="4136" spans="1:7" ht="14.25" hidden="1" customHeight="1" x14ac:dyDescent="0.45">
      <c r="A4136" t="str">
        <f>_xlfn.XLOOKUP(B4136,Ingot!$H$12:$H$119,Ingot!$G$12:$G$119,"")</f>
        <v>Wood</v>
      </c>
      <c r="B4136" t="s">
        <v>8141</v>
      </c>
      <c r="C4136" t="s">
        <v>157</v>
      </c>
      <c r="D4136" t="s">
        <v>8318</v>
      </c>
      <c r="E4136" t="s">
        <v>8319</v>
      </c>
      <c r="G4136" s="1">
        <v>21.2</v>
      </c>
    </row>
    <row r="4137" spans="1:7" ht="14.25" hidden="1" customHeight="1" x14ac:dyDescent="0.45">
      <c r="A4137" t="str">
        <f>_xlfn.XLOOKUP(B4137,Ingot!$H$12:$H$119,Ingot!$G$12:$G$119,"")</f>
        <v>Wood</v>
      </c>
      <c r="B4137" t="s">
        <v>8141</v>
      </c>
      <c r="C4137" t="s">
        <v>157</v>
      </c>
      <c r="D4137" t="s">
        <v>8320</v>
      </c>
      <c r="E4137" t="s">
        <v>8321</v>
      </c>
      <c r="G4137" s="1">
        <v>5</v>
      </c>
    </row>
    <row r="4138" spans="1:7" ht="14.25" hidden="1" customHeight="1" x14ac:dyDescent="0.45">
      <c r="A4138" t="str">
        <f>_xlfn.XLOOKUP(B4138,Ingot!$H$12:$H$119,Ingot!$G$12:$G$119,"")</f>
        <v>Wood</v>
      </c>
      <c r="B4138" t="s">
        <v>8141</v>
      </c>
      <c r="C4138" t="s">
        <v>157</v>
      </c>
      <c r="D4138" t="s">
        <v>8322</v>
      </c>
      <c r="E4138" t="s">
        <v>8323</v>
      </c>
      <c r="G4138" s="1">
        <v>5</v>
      </c>
    </row>
    <row r="4139" spans="1:7" ht="14.25" hidden="1" customHeight="1" x14ac:dyDescent="0.45">
      <c r="A4139" t="str">
        <f>_xlfn.XLOOKUP(B4139,Ingot!$H$12:$H$119,Ingot!$G$12:$G$119,"")</f>
        <v>Wood</v>
      </c>
      <c r="B4139" t="s">
        <v>8141</v>
      </c>
      <c r="C4139" t="s">
        <v>157</v>
      </c>
      <c r="D4139" t="s">
        <v>8324</v>
      </c>
      <c r="E4139" t="s">
        <v>8325</v>
      </c>
      <c r="G4139" s="1">
        <v>5</v>
      </c>
    </row>
    <row r="4140" spans="1:7" ht="14.25" hidden="1" customHeight="1" x14ac:dyDescent="0.45">
      <c r="A4140" t="str">
        <f>_xlfn.XLOOKUP(B4140,Ingot!$H$12:$H$119,Ingot!$G$12:$G$119,"")</f>
        <v>Wood</v>
      </c>
      <c r="B4140" t="s">
        <v>8141</v>
      </c>
      <c r="C4140" t="s">
        <v>157</v>
      </c>
      <c r="D4140" t="s">
        <v>8326</v>
      </c>
      <c r="E4140" t="s">
        <v>8327</v>
      </c>
      <c r="G4140" s="1">
        <v>10</v>
      </c>
    </row>
    <row r="4141" spans="1:7" ht="14.25" hidden="1" customHeight="1" x14ac:dyDescent="0.45">
      <c r="A4141" t="str">
        <f>_xlfn.XLOOKUP(B4141,Ingot!$H$12:$H$119,Ingot!$G$12:$G$119,"")</f>
        <v>Wood</v>
      </c>
      <c r="B4141" t="s">
        <v>8141</v>
      </c>
      <c r="C4141" t="s">
        <v>157</v>
      </c>
      <c r="D4141" t="s">
        <v>8328</v>
      </c>
      <c r="E4141" t="s">
        <v>8329</v>
      </c>
      <c r="G4141" s="1">
        <v>22.2</v>
      </c>
    </row>
    <row r="4142" spans="1:7" ht="14.25" hidden="1" customHeight="1" x14ac:dyDescent="0.45">
      <c r="A4142" t="str">
        <f>_xlfn.XLOOKUP(B4142,Ingot!$H$12:$H$119,Ingot!$G$12:$G$119,"")</f>
        <v>Wood</v>
      </c>
      <c r="B4142" t="s">
        <v>8141</v>
      </c>
      <c r="C4142" t="s">
        <v>157</v>
      </c>
      <c r="D4142" t="s">
        <v>8330</v>
      </c>
      <c r="E4142" t="s">
        <v>8331</v>
      </c>
      <c r="F4142" t="s">
        <v>180</v>
      </c>
      <c r="G4142" s="1">
        <v>5</v>
      </c>
    </row>
    <row r="4143" spans="1:7" ht="14.25" hidden="1" customHeight="1" x14ac:dyDescent="0.45">
      <c r="A4143" t="str">
        <f>_xlfn.XLOOKUP(B4143,Ingot!$H$12:$H$119,Ingot!$G$12:$G$119,"")</f>
        <v>Wood</v>
      </c>
      <c r="B4143" t="s">
        <v>8141</v>
      </c>
      <c r="C4143" t="s">
        <v>157</v>
      </c>
      <c r="D4143" t="s">
        <v>8332</v>
      </c>
      <c r="E4143" t="s">
        <v>8333</v>
      </c>
      <c r="F4143" t="s">
        <v>180</v>
      </c>
      <c r="G4143" s="1">
        <v>5</v>
      </c>
    </row>
    <row r="4144" spans="1:7" ht="14.25" hidden="1" customHeight="1" x14ac:dyDescent="0.45">
      <c r="A4144" t="str">
        <f>_xlfn.XLOOKUP(B4144,Ingot!$H$12:$H$119,Ingot!$G$12:$G$119,"")</f>
        <v>Wood</v>
      </c>
      <c r="B4144" t="s">
        <v>8141</v>
      </c>
      <c r="C4144" t="s">
        <v>157</v>
      </c>
      <c r="D4144" t="s">
        <v>8334</v>
      </c>
      <c r="E4144" t="s">
        <v>8335</v>
      </c>
      <c r="F4144" t="s">
        <v>180</v>
      </c>
      <c r="G4144" s="1">
        <v>5</v>
      </c>
    </row>
    <row r="4145" spans="1:7" ht="14.25" hidden="1" customHeight="1" x14ac:dyDescent="0.45">
      <c r="A4145" t="str">
        <f>_xlfn.XLOOKUP(B4145,Ingot!$H$12:$H$119,Ingot!$G$12:$G$119,"")</f>
        <v>Wood</v>
      </c>
      <c r="B4145" t="s">
        <v>8141</v>
      </c>
      <c r="C4145" t="s">
        <v>157</v>
      </c>
      <c r="D4145" t="s">
        <v>8336</v>
      </c>
      <c r="E4145" t="s">
        <v>8337</v>
      </c>
      <c r="G4145" s="1">
        <v>10</v>
      </c>
    </row>
    <row r="4146" spans="1:7" ht="14.25" hidden="1" customHeight="1" x14ac:dyDescent="0.45">
      <c r="A4146" t="str">
        <f>_xlfn.XLOOKUP(B4146,Ingot!$H$12:$H$119,Ingot!$G$12:$G$119,"")</f>
        <v>Wood</v>
      </c>
      <c r="B4146" t="s">
        <v>8141</v>
      </c>
      <c r="C4146" t="s">
        <v>157</v>
      </c>
      <c r="D4146" t="s">
        <v>8338</v>
      </c>
      <c r="E4146" t="s">
        <v>8339</v>
      </c>
      <c r="G4146" s="1">
        <v>26</v>
      </c>
    </row>
    <row r="4147" spans="1:7" ht="14.25" hidden="1" customHeight="1" x14ac:dyDescent="0.45">
      <c r="A4147" t="str">
        <f>_xlfn.XLOOKUP(B4147,Ingot!$H$12:$H$119,Ingot!$G$12:$G$119,"")</f>
        <v>Wood</v>
      </c>
      <c r="B4147" t="s">
        <v>8141</v>
      </c>
      <c r="C4147" t="s">
        <v>157</v>
      </c>
      <c r="D4147" t="s">
        <v>8340</v>
      </c>
      <c r="E4147" t="s">
        <v>8341</v>
      </c>
      <c r="G4147" s="1">
        <v>5.2</v>
      </c>
    </row>
    <row r="4148" spans="1:7" ht="14.25" hidden="1" customHeight="1" x14ac:dyDescent="0.45">
      <c r="A4148" t="str">
        <f>_xlfn.XLOOKUP(B4148,Ingot!$H$12:$H$119,Ingot!$G$12:$G$119,"")</f>
        <v>Wood</v>
      </c>
      <c r="B4148" t="s">
        <v>8141</v>
      </c>
      <c r="C4148" t="s">
        <v>157</v>
      </c>
      <c r="D4148" t="s">
        <v>8342</v>
      </c>
      <c r="E4148" t="s">
        <v>8343</v>
      </c>
      <c r="G4148" s="1">
        <v>5.2</v>
      </c>
    </row>
    <row r="4149" spans="1:7" ht="14.25" hidden="1" customHeight="1" x14ac:dyDescent="0.45">
      <c r="A4149" t="str">
        <f>_xlfn.XLOOKUP(B4149,Ingot!$H$12:$H$119,Ingot!$G$12:$G$119,"")</f>
        <v>Wood</v>
      </c>
      <c r="B4149" t="s">
        <v>8141</v>
      </c>
      <c r="C4149" t="s">
        <v>157</v>
      </c>
      <c r="D4149" t="s">
        <v>8344</v>
      </c>
      <c r="E4149" t="s">
        <v>8345</v>
      </c>
      <c r="G4149" s="1">
        <v>5</v>
      </c>
    </row>
    <row r="4150" spans="1:7" ht="14.25" hidden="1" customHeight="1" x14ac:dyDescent="0.45">
      <c r="A4150" t="str">
        <f>_xlfn.XLOOKUP(B4150,Ingot!$H$12:$H$119,Ingot!$G$12:$G$119,"")</f>
        <v>Wood</v>
      </c>
      <c r="B4150" t="s">
        <v>8141</v>
      </c>
      <c r="C4150" t="s">
        <v>157</v>
      </c>
      <c r="D4150" t="s">
        <v>8346</v>
      </c>
      <c r="E4150" t="s">
        <v>8347</v>
      </c>
      <c r="G4150" s="1">
        <v>10</v>
      </c>
    </row>
    <row r="4151" spans="1:7" ht="14.25" hidden="1" customHeight="1" x14ac:dyDescent="0.45">
      <c r="A4151" t="str">
        <f>_xlfn.XLOOKUP(B4151,Ingot!$H$12:$H$119,Ingot!$G$12:$G$119,"")</f>
        <v>Wood</v>
      </c>
      <c r="B4151" t="s">
        <v>8141</v>
      </c>
      <c r="C4151" t="s">
        <v>157</v>
      </c>
      <c r="D4151" t="s">
        <v>8348</v>
      </c>
      <c r="E4151" t="s">
        <v>8349</v>
      </c>
      <c r="G4151" s="1">
        <v>24.7</v>
      </c>
    </row>
    <row r="4152" spans="1:7" ht="14.25" hidden="1" customHeight="1" x14ac:dyDescent="0.45">
      <c r="A4152" t="str">
        <f>_xlfn.XLOOKUP(B4152,Ingot!$H$12:$H$119,Ingot!$G$12:$G$119,"")</f>
        <v>Wood</v>
      </c>
      <c r="B4152" t="s">
        <v>8141</v>
      </c>
      <c r="C4152" t="s">
        <v>157</v>
      </c>
      <c r="D4152" t="s">
        <v>8350</v>
      </c>
      <c r="E4152" t="s">
        <v>8351</v>
      </c>
      <c r="G4152" s="1">
        <v>5</v>
      </c>
    </row>
    <row r="4153" spans="1:7" ht="14.25" hidden="1" customHeight="1" x14ac:dyDescent="0.45">
      <c r="A4153" t="str">
        <f>_xlfn.XLOOKUP(B4153,Ingot!$H$12:$H$119,Ingot!$G$12:$G$119,"")</f>
        <v>Wood</v>
      </c>
      <c r="B4153" t="s">
        <v>8141</v>
      </c>
      <c r="C4153" t="s">
        <v>157</v>
      </c>
      <c r="D4153" t="s">
        <v>8352</v>
      </c>
      <c r="E4153" t="s">
        <v>8353</v>
      </c>
      <c r="G4153" s="1">
        <v>5</v>
      </c>
    </row>
    <row r="4154" spans="1:7" ht="14.25" hidden="1" customHeight="1" x14ac:dyDescent="0.45">
      <c r="A4154" t="str">
        <f>_xlfn.XLOOKUP(B4154,Ingot!$H$12:$H$119,Ingot!$G$12:$G$119,"")</f>
        <v>Wood</v>
      </c>
      <c r="B4154" t="s">
        <v>8141</v>
      </c>
      <c r="C4154" t="s">
        <v>157</v>
      </c>
      <c r="D4154" t="s">
        <v>8354</v>
      </c>
      <c r="E4154" t="s">
        <v>8355</v>
      </c>
      <c r="G4154" s="1">
        <v>5</v>
      </c>
    </row>
    <row r="4155" spans="1:7" ht="14.25" hidden="1" customHeight="1" x14ac:dyDescent="0.45">
      <c r="A4155" t="str">
        <f>_xlfn.XLOOKUP(B4155,Ingot!$H$12:$H$119,Ingot!$G$12:$G$119,"")</f>
        <v>Wood</v>
      </c>
      <c r="B4155" t="s">
        <v>8141</v>
      </c>
      <c r="C4155" t="s">
        <v>157</v>
      </c>
      <c r="D4155" t="s">
        <v>8356</v>
      </c>
      <c r="E4155" t="s">
        <v>8357</v>
      </c>
      <c r="G4155" s="1">
        <v>10</v>
      </c>
    </row>
    <row r="4156" spans="1:7" ht="14.25" hidden="1" customHeight="1" x14ac:dyDescent="0.45">
      <c r="A4156" t="str">
        <f>_xlfn.XLOOKUP(B4156,Ingot!$H$12:$H$119,Ingot!$G$12:$G$119,"")</f>
        <v>Wood</v>
      </c>
      <c r="B4156" t="s">
        <v>8141</v>
      </c>
      <c r="C4156" t="s">
        <v>157</v>
      </c>
      <c r="D4156" t="s">
        <v>8358</v>
      </c>
      <c r="E4156" t="s">
        <v>8359</v>
      </c>
      <c r="F4156" t="s">
        <v>180</v>
      </c>
      <c r="G4156" s="1">
        <v>18.399999999999999</v>
      </c>
    </row>
    <row r="4157" spans="1:7" ht="14.25" hidden="1" customHeight="1" x14ac:dyDescent="0.45">
      <c r="A4157" t="str">
        <f>_xlfn.XLOOKUP(B4157,Ingot!$H$12:$H$119,Ingot!$G$12:$G$119,"")</f>
        <v>Wood</v>
      </c>
      <c r="B4157" t="s">
        <v>8141</v>
      </c>
      <c r="C4157" t="s">
        <v>157</v>
      </c>
      <c r="D4157" t="s">
        <v>8360</v>
      </c>
      <c r="E4157" t="s">
        <v>8361</v>
      </c>
      <c r="F4157" t="s">
        <v>180</v>
      </c>
      <c r="G4157" s="1">
        <v>5</v>
      </c>
    </row>
    <row r="4158" spans="1:7" ht="14.25" hidden="1" customHeight="1" x14ac:dyDescent="0.45">
      <c r="A4158" t="str">
        <f>_xlfn.XLOOKUP(B4158,Ingot!$H$12:$H$119,Ingot!$G$12:$G$119,"")</f>
        <v>Wood</v>
      </c>
      <c r="B4158" t="s">
        <v>8141</v>
      </c>
      <c r="C4158" t="s">
        <v>157</v>
      </c>
      <c r="D4158" t="s">
        <v>8362</v>
      </c>
      <c r="E4158" t="s">
        <v>8363</v>
      </c>
      <c r="F4158" t="s">
        <v>180</v>
      </c>
      <c r="G4158" s="1">
        <v>5</v>
      </c>
    </row>
    <row r="4159" spans="1:7" ht="14.25" hidden="1" customHeight="1" x14ac:dyDescent="0.45">
      <c r="A4159" t="str">
        <f>_xlfn.XLOOKUP(B4159,Ingot!$H$12:$H$119,Ingot!$G$12:$G$119,"")</f>
        <v>Wood</v>
      </c>
      <c r="B4159" t="s">
        <v>8141</v>
      </c>
      <c r="C4159" t="s">
        <v>157</v>
      </c>
      <c r="D4159" t="s">
        <v>8364</v>
      </c>
      <c r="E4159" t="s">
        <v>8365</v>
      </c>
      <c r="F4159" t="s">
        <v>180</v>
      </c>
      <c r="G4159" s="1">
        <v>5</v>
      </c>
    </row>
    <row r="4160" spans="1:7" ht="14.25" hidden="1" customHeight="1" x14ac:dyDescent="0.45">
      <c r="A4160" t="str">
        <f>_xlfn.XLOOKUP(B4160,Ingot!$H$12:$H$119,Ingot!$G$12:$G$119,"")</f>
        <v>Wood</v>
      </c>
      <c r="B4160" t="s">
        <v>8141</v>
      </c>
      <c r="C4160" t="s">
        <v>157</v>
      </c>
      <c r="D4160" t="s">
        <v>8366</v>
      </c>
      <c r="E4160" t="s">
        <v>8367</v>
      </c>
      <c r="F4160" t="s">
        <v>180</v>
      </c>
      <c r="G4160" s="1">
        <v>10</v>
      </c>
    </row>
    <row r="4161" spans="1:7" ht="14.25" hidden="1" customHeight="1" x14ac:dyDescent="0.45">
      <c r="A4161" t="str">
        <f>_xlfn.XLOOKUP(B4161,Ingot!$H$12:$H$119,Ingot!$G$12:$G$119,"")</f>
        <v>Wood</v>
      </c>
      <c r="B4161" t="s">
        <v>8141</v>
      </c>
      <c r="C4161" t="s">
        <v>239</v>
      </c>
      <c r="D4161" t="s">
        <v>8368</v>
      </c>
      <c r="E4161" t="s">
        <v>8369</v>
      </c>
      <c r="G4161" s="1">
        <f>(VLOOKUP(B4161,Ingot!H:I,2,FALSE()) * 0.75) * 0.75</f>
        <v>3.375</v>
      </c>
    </row>
    <row r="4162" spans="1:7" ht="14.25" hidden="1" customHeight="1" x14ac:dyDescent="0.45">
      <c r="A4162" t="str">
        <f>_xlfn.XLOOKUP(B4162,Ingot!$H$12:$H$119,Ingot!$G$12:$G$119,"")</f>
        <v>Wood</v>
      </c>
      <c r="B4162" t="s">
        <v>8141</v>
      </c>
      <c r="C4162" t="s">
        <v>239</v>
      </c>
      <c r="D4162" t="s">
        <v>8370</v>
      </c>
      <c r="E4162" t="s">
        <v>8371</v>
      </c>
      <c r="G4162" s="1">
        <f>((VLOOKUP(B4162,Ingot!H:I,2,FALSE()) * 3) - 10.25) * 0.421875</f>
        <v>3.26953125</v>
      </c>
    </row>
    <row r="4163" spans="1:7" ht="14.25" hidden="1" customHeight="1" x14ac:dyDescent="0.45">
      <c r="A4163" t="str">
        <f>_xlfn.XLOOKUP(B4163,Ingot!$H$12:$H$119,Ingot!$G$12:$G$119,"")</f>
        <v>Wood</v>
      </c>
      <c r="B4163" t="s">
        <v>8141</v>
      </c>
      <c r="C4163" t="s">
        <v>239</v>
      </c>
      <c r="D4163" t="s">
        <v>8372</v>
      </c>
      <c r="E4163" t="s">
        <v>8373</v>
      </c>
      <c r="G4163" s="1">
        <f>((VLOOKUP(B4163,Ingot!H:I,2,FALSE()) * 3) - 10.25) * 0.75</f>
        <v>5.8125</v>
      </c>
    </row>
    <row r="4164" spans="1:7" ht="14.25" hidden="1" customHeight="1" x14ac:dyDescent="0.45">
      <c r="A4164" t="str">
        <f>_xlfn.XLOOKUP(B4164,Ingot!$H$12:$H$119,Ingot!$G$12:$G$119,"")</f>
        <v>Wood</v>
      </c>
      <c r="B4164" t="s">
        <v>8141</v>
      </c>
      <c r="C4164" t="s">
        <v>239</v>
      </c>
      <c r="D4164" t="s">
        <v>8374</v>
      </c>
      <c r="E4164" t="s">
        <v>8375</v>
      </c>
      <c r="G4164" s="1">
        <f>((VLOOKUP(B4164,Ingot!H:I,2,FALSE()) * 3) - 10.25) * 0.5625</f>
        <v>4.359375</v>
      </c>
    </row>
    <row r="4165" spans="1:7" ht="14.25" hidden="1" customHeight="1" x14ac:dyDescent="0.45">
      <c r="A4165" t="str">
        <f>_xlfn.XLOOKUP(B4165,Ingot!$H$12:$H$119,Ingot!$G$12:$G$119,"")</f>
        <v>Wood</v>
      </c>
      <c r="B4165" t="s">
        <v>8141</v>
      </c>
      <c r="C4165" t="s">
        <v>239</v>
      </c>
      <c r="D4165" t="s">
        <v>8376</v>
      </c>
      <c r="E4165" t="s">
        <v>8377</v>
      </c>
      <c r="G4165" s="1">
        <f>VLOOKUP(B4165,Ingot!H:I,2,FALSE()) * 0.75</f>
        <v>4.5</v>
      </c>
    </row>
    <row r="4166" spans="1:7" ht="14.25" hidden="1" customHeight="1" x14ac:dyDescent="0.45">
      <c r="A4166" t="str">
        <f>_xlfn.XLOOKUP(B4166,Ingot!$H$12:$H$119,Ingot!$G$12:$G$119,"")</f>
        <v>Wood</v>
      </c>
      <c r="B4166" t="s">
        <v>8141</v>
      </c>
      <c r="C4166" t="s">
        <v>239</v>
      </c>
      <c r="D4166" t="s">
        <v>8378</v>
      </c>
      <c r="E4166" t="s">
        <v>8379</v>
      </c>
      <c r="G4166" s="1">
        <f>(VLOOKUP(B4166,Ingot!H:I,2,FALSE()) * 3) - 10.25</f>
        <v>7.75</v>
      </c>
    </row>
    <row r="4167" spans="1:7" ht="14.25" hidden="1" customHeight="1" x14ac:dyDescent="0.45">
      <c r="A4167" t="str">
        <f>_xlfn.XLOOKUP(B4167,Ingot!$H$12:$H$119,Ingot!$G$12:$G$119,"")</f>
        <v>Wood</v>
      </c>
      <c r="B4167" t="s">
        <v>8380</v>
      </c>
      <c r="C4167" t="s">
        <v>10</v>
      </c>
      <c r="D4167" t="s">
        <v>8381</v>
      </c>
      <c r="E4167" t="s">
        <v>8382</v>
      </c>
      <c r="G4167" s="1">
        <v>0.08</v>
      </c>
    </row>
    <row r="4168" spans="1:7" ht="14.25" hidden="1" customHeight="1" x14ac:dyDescent="0.45">
      <c r="A4168" t="str">
        <f>_xlfn.XLOOKUP(B4168,Ingot!$H$12:$H$119,Ingot!$G$12:$G$119,"")</f>
        <v>Wood</v>
      </c>
      <c r="B4168" t="s">
        <v>8380</v>
      </c>
      <c r="C4168" t="s">
        <v>10</v>
      </c>
      <c r="D4168" t="s">
        <v>8383</v>
      </c>
      <c r="E4168" t="s">
        <v>8384</v>
      </c>
      <c r="G4168" s="1">
        <v>9.9</v>
      </c>
    </row>
    <row r="4169" spans="1:7" ht="14.25" hidden="1" customHeight="1" x14ac:dyDescent="0.45">
      <c r="A4169" t="str">
        <f>_xlfn.XLOOKUP(B4169,Ingot!$H$12:$H$119,Ingot!$G$12:$G$119,"")</f>
        <v>Wood</v>
      </c>
      <c r="B4169" t="s">
        <v>8380</v>
      </c>
      <c r="C4169" t="s">
        <v>10</v>
      </c>
      <c r="D4169" t="s">
        <v>8385</v>
      </c>
      <c r="E4169" t="s">
        <v>8386</v>
      </c>
      <c r="G4169" s="1">
        <v>5.66</v>
      </c>
    </row>
    <row r="4170" spans="1:7" ht="14.25" hidden="1" customHeight="1" x14ac:dyDescent="0.45">
      <c r="A4170" t="str">
        <f>_xlfn.XLOOKUP(B4170,Ingot!$H$12:$H$119,Ingot!$G$12:$G$119,"")</f>
        <v>Wood</v>
      </c>
      <c r="B4170" t="s">
        <v>8380</v>
      </c>
      <c r="C4170" t="s">
        <v>10</v>
      </c>
      <c r="D4170" t="s">
        <v>8387</v>
      </c>
      <c r="E4170" t="s">
        <v>8388</v>
      </c>
      <c r="G4170" s="1">
        <v>3.3</v>
      </c>
    </row>
    <row r="4171" spans="1:7" ht="14.25" hidden="1" customHeight="1" x14ac:dyDescent="0.45">
      <c r="A4171" t="str">
        <f>_xlfn.XLOOKUP(B4171,Ingot!$H$12:$H$119,Ingot!$G$12:$G$119,"")</f>
        <v>Wood</v>
      </c>
      <c r="B4171" t="s">
        <v>8380</v>
      </c>
      <c r="C4171" t="s">
        <v>10</v>
      </c>
      <c r="D4171" t="s">
        <v>8389</v>
      </c>
      <c r="E4171" t="s">
        <v>8390</v>
      </c>
      <c r="G4171" s="1">
        <v>0.66</v>
      </c>
    </row>
    <row r="4172" spans="1:7" ht="14.25" hidden="1" customHeight="1" x14ac:dyDescent="0.45">
      <c r="A4172" t="str">
        <f>_xlfn.XLOOKUP(B4172,Ingot!$H$12:$H$119,Ingot!$G$12:$G$119,"")</f>
        <v>Wood</v>
      </c>
      <c r="B4172" t="s">
        <v>8380</v>
      </c>
      <c r="C4172" t="s">
        <v>10</v>
      </c>
      <c r="D4172" t="s">
        <v>8391</v>
      </c>
      <c r="E4172" t="s">
        <v>8392</v>
      </c>
      <c r="G4172" s="1">
        <v>0.04</v>
      </c>
    </row>
    <row r="4173" spans="1:7" ht="14.25" hidden="1" customHeight="1" x14ac:dyDescent="0.45">
      <c r="A4173" t="str">
        <f>_xlfn.XLOOKUP(B4173,Ingot!$H$12:$H$119,Ingot!$G$12:$G$119,"")</f>
        <v>Wood</v>
      </c>
      <c r="B4173" t="s">
        <v>8380</v>
      </c>
      <c r="C4173" t="s">
        <v>10</v>
      </c>
      <c r="D4173" t="s">
        <v>8393</v>
      </c>
      <c r="E4173" t="s">
        <v>8394</v>
      </c>
      <c r="G4173" s="1">
        <v>0.33</v>
      </c>
    </row>
    <row r="4174" spans="1:7" ht="14.25" hidden="1" customHeight="1" x14ac:dyDescent="0.45">
      <c r="A4174" t="str">
        <f>_xlfn.XLOOKUP(B4174,Ingot!$H$12:$H$119,Ingot!$G$12:$G$119,"")</f>
        <v>Wood</v>
      </c>
      <c r="B4174" t="s">
        <v>8380</v>
      </c>
      <c r="C4174" t="s">
        <v>10</v>
      </c>
      <c r="D4174" t="s">
        <v>8395</v>
      </c>
      <c r="E4174" t="s">
        <v>8396</v>
      </c>
    </row>
    <row r="4175" spans="1:7" ht="14.25" hidden="1" customHeight="1" x14ac:dyDescent="0.45">
      <c r="A4175" t="str">
        <f>_xlfn.XLOOKUP(B4175,Ingot!$H$12:$H$119,Ingot!$G$12:$G$119,"")</f>
        <v>Wood</v>
      </c>
      <c r="B4175" t="s">
        <v>8380</v>
      </c>
      <c r="C4175" t="s">
        <v>10</v>
      </c>
      <c r="D4175" t="s">
        <v>8397</v>
      </c>
      <c r="E4175" t="s">
        <v>8398</v>
      </c>
      <c r="G4175" s="1">
        <v>0.05</v>
      </c>
    </row>
    <row r="4176" spans="1:7" ht="14.25" hidden="1" customHeight="1" x14ac:dyDescent="0.45">
      <c r="A4176" t="str">
        <f>_xlfn.XLOOKUP(B4176,Ingot!$H$12:$H$119,Ingot!$G$12:$G$119,"")</f>
        <v>Wood</v>
      </c>
      <c r="B4176" t="s">
        <v>8380</v>
      </c>
      <c r="C4176" t="s">
        <v>10</v>
      </c>
      <c r="D4176" t="s">
        <v>8399</v>
      </c>
      <c r="E4176" t="s">
        <v>8400</v>
      </c>
      <c r="G4176" s="1">
        <v>0.66</v>
      </c>
    </row>
    <row r="4177" spans="1:7" ht="14.25" hidden="1" customHeight="1" x14ac:dyDescent="0.45">
      <c r="A4177" t="str">
        <f>_xlfn.XLOOKUP(B4177,Ingot!$H$12:$H$119,Ingot!$G$12:$G$119,"")</f>
        <v>Wood</v>
      </c>
      <c r="B4177" t="s">
        <v>8380</v>
      </c>
      <c r="C4177" t="s">
        <v>10</v>
      </c>
      <c r="D4177" t="s">
        <v>8401</v>
      </c>
      <c r="E4177" t="s">
        <v>8402</v>
      </c>
      <c r="G4177" s="1">
        <v>3.96</v>
      </c>
    </row>
    <row r="4178" spans="1:7" ht="14.25" hidden="1" customHeight="1" x14ac:dyDescent="0.45">
      <c r="A4178" t="str">
        <f>_xlfn.XLOOKUP(B4178,Ingot!$H$12:$H$119,Ingot!$G$12:$G$119,"")</f>
        <v>Wood</v>
      </c>
      <c r="B4178" t="s">
        <v>8380</v>
      </c>
      <c r="C4178" t="s">
        <v>10</v>
      </c>
      <c r="D4178" t="s">
        <v>8403</v>
      </c>
      <c r="E4178" t="s">
        <v>8404</v>
      </c>
      <c r="G4178" s="1">
        <v>8.77</v>
      </c>
    </row>
    <row r="4179" spans="1:7" ht="14.25" hidden="1" customHeight="1" x14ac:dyDescent="0.45">
      <c r="A4179" t="str">
        <f>_xlfn.XLOOKUP(B4179,Ingot!$H$12:$H$119,Ingot!$G$12:$G$119,"")</f>
        <v>Wood</v>
      </c>
      <c r="B4179" t="s">
        <v>8380</v>
      </c>
      <c r="C4179" t="s">
        <v>10</v>
      </c>
      <c r="D4179" t="s">
        <v>8405</v>
      </c>
      <c r="E4179" t="s">
        <v>8406</v>
      </c>
      <c r="G4179" s="1">
        <v>3.5</v>
      </c>
    </row>
    <row r="4180" spans="1:7" ht="14.25" hidden="1" customHeight="1" x14ac:dyDescent="0.45">
      <c r="A4180" t="str">
        <f>_xlfn.XLOOKUP(B4180,Ingot!$H$12:$H$119,Ingot!$G$12:$G$119,"")</f>
        <v>Wood</v>
      </c>
      <c r="B4180" t="s">
        <v>8380</v>
      </c>
      <c r="C4180" t="s">
        <v>10</v>
      </c>
      <c r="D4180" t="s">
        <v>8407</v>
      </c>
      <c r="E4180" t="s">
        <v>8408</v>
      </c>
    </row>
    <row r="4181" spans="1:7" ht="14.25" hidden="1" customHeight="1" x14ac:dyDescent="0.45">
      <c r="A4181" t="str">
        <f>_xlfn.XLOOKUP(B4181,Ingot!$H$12:$H$119,Ingot!$G$12:$G$119,"")</f>
        <v>Wood</v>
      </c>
      <c r="B4181" t="s">
        <v>8380</v>
      </c>
      <c r="C4181" t="s">
        <v>10</v>
      </c>
      <c r="D4181" t="s">
        <v>8409</v>
      </c>
      <c r="E4181" t="s">
        <v>8410</v>
      </c>
      <c r="G4181" s="1">
        <v>2.2000000000000002</v>
      </c>
    </row>
    <row r="4182" spans="1:7" ht="14.25" hidden="1" customHeight="1" x14ac:dyDescent="0.45">
      <c r="A4182" t="str">
        <f>_xlfn.XLOOKUP(B4182,Ingot!$H$12:$H$119,Ingot!$G$12:$G$119,"")</f>
        <v>Wood</v>
      </c>
      <c r="B4182" t="s">
        <v>8380</v>
      </c>
      <c r="C4182" t="s">
        <v>10</v>
      </c>
      <c r="D4182" t="s">
        <v>8411</v>
      </c>
      <c r="E4182" t="s">
        <v>8412</v>
      </c>
      <c r="G4182" s="1">
        <v>1.1000000000000001</v>
      </c>
    </row>
    <row r="4183" spans="1:7" ht="14.25" hidden="1" customHeight="1" x14ac:dyDescent="0.45">
      <c r="A4183" t="str">
        <f>_xlfn.XLOOKUP(B4183,Ingot!$H$12:$H$119,Ingot!$G$12:$G$119,"")</f>
        <v>Wood</v>
      </c>
      <c r="B4183" t="s">
        <v>8380</v>
      </c>
      <c r="C4183" t="s">
        <v>10</v>
      </c>
      <c r="D4183" t="s">
        <v>8413</v>
      </c>
      <c r="E4183" t="s">
        <v>8414</v>
      </c>
      <c r="G4183" s="1">
        <v>0.22</v>
      </c>
    </row>
    <row r="4184" spans="1:7" ht="14.25" hidden="1" customHeight="1" x14ac:dyDescent="0.45">
      <c r="A4184" t="str">
        <f>_xlfn.XLOOKUP(B4184,Ingot!$H$12:$H$119,Ingot!$G$12:$G$119,"")</f>
        <v>Wood</v>
      </c>
      <c r="B4184" t="s">
        <v>8380</v>
      </c>
      <c r="C4184" t="s">
        <v>10</v>
      </c>
      <c r="D4184" t="s">
        <v>8415</v>
      </c>
      <c r="E4184" t="s">
        <v>8416</v>
      </c>
      <c r="G4184" s="1">
        <v>8.41</v>
      </c>
    </row>
    <row r="4185" spans="1:7" ht="14.25" hidden="1" customHeight="1" x14ac:dyDescent="0.45">
      <c r="A4185" t="str">
        <f>_xlfn.XLOOKUP(B4185,Ingot!$H$12:$H$119,Ingot!$G$12:$G$119,"")</f>
        <v>Wood</v>
      </c>
      <c r="B4185" t="s">
        <v>8380</v>
      </c>
      <c r="C4185" t="s">
        <v>10</v>
      </c>
      <c r="D4185" t="s">
        <v>8417</v>
      </c>
      <c r="E4185" t="s">
        <v>8418</v>
      </c>
      <c r="G4185" s="1">
        <v>3.64</v>
      </c>
    </row>
    <row r="4186" spans="1:7" ht="14.25" hidden="1" customHeight="1" x14ac:dyDescent="0.45">
      <c r="A4186" t="str">
        <f>_xlfn.XLOOKUP(B4186,Ingot!$H$12:$H$119,Ingot!$G$12:$G$119,"")</f>
        <v>Wood</v>
      </c>
      <c r="B4186" t="s">
        <v>8380</v>
      </c>
      <c r="C4186" t="s">
        <v>10</v>
      </c>
      <c r="D4186" t="s">
        <v>8419</v>
      </c>
      <c r="E4186" t="s">
        <v>8420</v>
      </c>
      <c r="G4186" s="1">
        <v>7.05</v>
      </c>
    </row>
    <row r="4187" spans="1:7" ht="14.25" hidden="1" customHeight="1" x14ac:dyDescent="0.45">
      <c r="A4187" t="str">
        <f>_xlfn.XLOOKUP(B4187,Ingot!$H$12:$H$119,Ingot!$G$12:$G$119,"")</f>
        <v>Wood</v>
      </c>
      <c r="B4187" t="s">
        <v>8380</v>
      </c>
      <c r="C4187" t="s">
        <v>10</v>
      </c>
      <c r="D4187" t="s">
        <v>8421</v>
      </c>
      <c r="E4187" t="s">
        <v>8422</v>
      </c>
      <c r="G4187" s="1">
        <v>2.65</v>
      </c>
    </row>
    <row r="4188" spans="1:7" ht="14.25" hidden="1" customHeight="1" x14ac:dyDescent="0.45">
      <c r="A4188" t="str">
        <f>_xlfn.XLOOKUP(B4188,Ingot!$H$12:$H$119,Ingot!$G$12:$G$119,"")</f>
        <v>Wood</v>
      </c>
      <c r="B4188" t="s">
        <v>8380</v>
      </c>
      <c r="C4188" t="s">
        <v>10</v>
      </c>
      <c r="D4188" t="s">
        <v>8423</v>
      </c>
      <c r="E4188" t="s">
        <v>8424</v>
      </c>
      <c r="G4188" s="1">
        <v>9</v>
      </c>
    </row>
    <row r="4189" spans="1:7" ht="14.25" hidden="1" customHeight="1" x14ac:dyDescent="0.45">
      <c r="A4189" t="str">
        <f>_xlfn.XLOOKUP(B4189,Ingot!$H$12:$H$119,Ingot!$G$12:$G$119,"")</f>
        <v>Wood</v>
      </c>
      <c r="B4189" t="s">
        <v>8380</v>
      </c>
      <c r="C4189" t="s">
        <v>10</v>
      </c>
      <c r="D4189" t="s">
        <v>8425</v>
      </c>
      <c r="E4189" t="s">
        <v>8426</v>
      </c>
      <c r="G4189" s="1">
        <v>10.23</v>
      </c>
    </row>
    <row r="4190" spans="1:7" ht="14.25" hidden="1" customHeight="1" x14ac:dyDescent="0.45">
      <c r="A4190" t="str">
        <f>_xlfn.XLOOKUP(B4190,Ingot!$H$12:$H$119,Ingot!$G$12:$G$119,"")</f>
        <v>Wood</v>
      </c>
      <c r="B4190" t="s">
        <v>8380</v>
      </c>
      <c r="C4190" t="s">
        <v>10</v>
      </c>
      <c r="D4190" t="s">
        <v>8427</v>
      </c>
      <c r="E4190" t="s">
        <v>8428</v>
      </c>
      <c r="G4190" s="1">
        <v>7.7</v>
      </c>
    </row>
    <row r="4191" spans="1:7" ht="14.25" hidden="1" customHeight="1" x14ac:dyDescent="0.45">
      <c r="A4191" t="str">
        <f>_xlfn.XLOOKUP(B4191,Ingot!$H$12:$H$119,Ingot!$G$12:$G$119,"")</f>
        <v>Wood</v>
      </c>
      <c r="B4191" t="s">
        <v>8380</v>
      </c>
      <c r="C4191" t="s">
        <v>10</v>
      </c>
      <c r="D4191" t="s">
        <v>8429</v>
      </c>
      <c r="E4191" t="s">
        <v>8430</v>
      </c>
      <c r="G4191" s="1">
        <v>10.02</v>
      </c>
    </row>
    <row r="4192" spans="1:7" ht="14.25" hidden="1" customHeight="1" x14ac:dyDescent="0.45">
      <c r="A4192" t="str">
        <f>_xlfn.XLOOKUP(B4192,Ingot!$H$12:$H$119,Ingot!$G$12:$G$119,"")</f>
        <v>Wood</v>
      </c>
      <c r="B4192" t="s">
        <v>8380</v>
      </c>
      <c r="C4192" t="s">
        <v>10</v>
      </c>
      <c r="D4192" t="s">
        <v>8431</v>
      </c>
      <c r="E4192" t="s">
        <v>8432</v>
      </c>
      <c r="G4192" s="1">
        <v>11.81</v>
      </c>
    </row>
    <row r="4193" spans="1:7" ht="14.25" hidden="1" customHeight="1" x14ac:dyDescent="0.45">
      <c r="A4193" t="str">
        <f>_xlfn.XLOOKUP(B4193,Ingot!$H$12:$H$119,Ingot!$G$12:$G$119,"")</f>
        <v>Wood</v>
      </c>
      <c r="B4193" t="s">
        <v>8380</v>
      </c>
      <c r="C4193" t="s">
        <v>10</v>
      </c>
      <c r="D4193" t="s">
        <v>8433</v>
      </c>
      <c r="E4193" t="s">
        <v>8434</v>
      </c>
      <c r="G4193" s="1">
        <v>8.44</v>
      </c>
    </row>
    <row r="4194" spans="1:7" ht="14.25" hidden="1" customHeight="1" x14ac:dyDescent="0.45">
      <c r="A4194" t="str">
        <f>_xlfn.XLOOKUP(B4194,Ingot!$H$12:$H$119,Ingot!$G$12:$G$119,"")</f>
        <v>Wood</v>
      </c>
      <c r="B4194" t="s">
        <v>8380</v>
      </c>
      <c r="C4194" t="s">
        <v>10</v>
      </c>
      <c r="D4194" t="s">
        <v>8435</v>
      </c>
      <c r="E4194" t="s">
        <v>8436</v>
      </c>
      <c r="G4194" s="1">
        <v>10.42</v>
      </c>
    </row>
    <row r="4195" spans="1:7" ht="14.25" hidden="1" customHeight="1" x14ac:dyDescent="0.45">
      <c r="A4195" t="str">
        <f>_xlfn.XLOOKUP(B4195,Ingot!$H$12:$H$119,Ingot!$G$12:$G$119,"")</f>
        <v>Wood</v>
      </c>
      <c r="B4195" t="s">
        <v>8380</v>
      </c>
      <c r="C4195" t="s">
        <v>10</v>
      </c>
      <c r="D4195" t="s">
        <v>8437</v>
      </c>
      <c r="E4195" t="s">
        <v>8438</v>
      </c>
    </row>
    <row r="4196" spans="1:7" ht="14.25" hidden="1" customHeight="1" x14ac:dyDescent="0.45">
      <c r="A4196" t="str">
        <f>_xlfn.XLOOKUP(B4196,Ingot!$H$12:$H$119,Ingot!$G$12:$G$119,"")</f>
        <v>Wood</v>
      </c>
      <c r="B4196" t="s">
        <v>8380</v>
      </c>
      <c r="C4196" t="s">
        <v>10</v>
      </c>
      <c r="D4196" t="s">
        <v>8439</v>
      </c>
      <c r="E4196" t="s">
        <v>8440</v>
      </c>
      <c r="G4196" s="1">
        <v>7.96</v>
      </c>
    </row>
    <row r="4197" spans="1:7" ht="14.25" hidden="1" customHeight="1" x14ac:dyDescent="0.45">
      <c r="A4197" t="str">
        <f>_xlfn.XLOOKUP(B4197,Ingot!$H$12:$H$119,Ingot!$G$12:$G$119,"")</f>
        <v>Wood</v>
      </c>
      <c r="B4197" t="s">
        <v>8380</v>
      </c>
      <c r="C4197" t="s">
        <v>10</v>
      </c>
      <c r="D4197" t="s">
        <v>8441</v>
      </c>
      <c r="E4197" t="s">
        <v>8442</v>
      </c>
      <c r="G4197" s="1">
        <v>9.64</v>
      </c>
    </row>
    <row r="4198" spans="1:7" ht="14.25" hidden="1" customHeight="1" x14ac:dyDescent="0.45">
      <c r="A4198" t="str">
        <f>_xlfn.XLOOKUP(B4198,Ingot!$H$12:$H$119,Ingot!$G$12:$G$119,"")</f>
        <v>Wood</v>
      </c>
      <c r="B4198" t="s">
        <v>8380</v>
      </c>
      <c r="C4198" t="s">
        <v>10</v>
      </c>
      <c r="D4198" t="s">
        <v>8443</v>
      </c>
      <c r="E4198" t="s">
        <v>8444</v>
      </c>
      <c r="G4198" s="1">
        <v>7.94</v>
      </c>
    </row>
    <row r="4199" spans="1:7" ht="14.25" hidden="1" customHeight="1" x14ac:dyDescent="0.45">
      <c r="A4199" t="str">
        <f>_xlfn.XLOOKUP(B4199,Ingot!$H$12:$H$119,Ingot!$G$12:$G$119,"")</f>
        <v>Wood</v>
      </c>
      <c r="B4199" t="s">
        <v>8380</v>
      </c>
      <c r="C4199" t="s">
        <v>10</v>
      </c>
      <c r="D4199" t="s">
        <v>8445</v>
      </c>
      <c r="E4199" t="s">
        <v>8446</v>
      </c>
      <c r="G4199" s="1">
        <v>8.66</v>
      </c>
    </row>
    <row r="4200" spans="1:7" ht="14.25" hidden="1" customHeight="1" x14ac:dyDescent="0.45">
      <c r="A4200" t="str">
        <f>_xlfn.XLOOKUP(B4200,Ingot!$H$12:$H$119,Ingot!$G$12:$G$119,"")</f>
        <v>Wood</v>
      </c>
      <c r="B4200" t="s">
        <v>8380</v>
      </c>
      <c r="C4200" t="s">
        <v>10</v>
      </c>
      <c r="D4200" t="s">
        <v>8447</v>
      </c>
      <c r="E4200" t="s">
        <v>8448</v>
      </c>
    </row>
    <row r="4201" spans="1:7" ht="14.25" hidden="1" customHeight="1" x14ac:dyDescent="0.45">
      <c r="A4201" t="str">
        <f>_xlfn.XLOOKUP(B4201,Ingot!$H$12:$H$119,Ingot!$G$12:$G$119,"")</f>
        <v>Wood</v>
      </c>
      <c r="B4201" t="s">
        <v>8380</v>
      </c>
      <c r="C4201" t="s">
        <v>10</v>
      </c>
      <c r="D4201" t="s">
        <v>8449</v>
      </c>
      <c r="E4201" t="s">
        <v>8450</v>
      </c>
      <c r="G4201" s="1">
        <v>2.65</v>
      </c>
    </row>
    <row r="4202" spans="1:7" ht="14.25" hidden="1" customHeight="1" x14ac:dyDescent="0.45">
      <c r="A4202" t="str">
        <f>_xlfn.XLOOKUP(B4202,Ingot!$H$12:$H$119,Ingot!$G$12:$G$119,"")</f>
        <v>Wood</v>
      </c>
      <c r="B4202" t="s">
        <v>8380</v>
      </c>
      <c r="C4202" t="s">
        <v>10</v>
      </c>
      <c r="D4202" t="s">
        <v>8451</v>
      </c>
      <c r="E4202" t="s">
        <v>8452</v>
      </c>
    </row>
    <row r="4203" spans="1:7" ht="14.25" hidden="1" customHeight="1" x14ac:dyDescent="0.45">
      <c r="A4203" t="str">
        <f>_xlfn.XLOOKUP(B4203,Ingot!$H$12:$H$119,Ingot!$G$12:$G$119,"")</f>
        <v>Wood</v>
      </c>
      <c r="B4203" t="s">
        <v>8380</v>
      </c>
      <c r="C4203" t="s">
        <v>10</v>
      </c>
      <c r="D4203" t="s">
        <v>8453</v>
      </c>
      <c r="E4203" t="s">
        <v>8454</v>
      </c>
      <c r="G4203" s="1">
        <v>12.64</v>
      </c>
    </row>
    <row r="4204" spans="1:7" ht="14.25" hidden="1" customHeight="1" x14ac:dyDescent="0.45">
      <c r="A4204" t="str">
        <f>_xlfn.XLOOKUP(B4204,Ingot!$H$12:$H$119,Ingot!$G$12:$G$119,"")</f>
        <v>Wood</v>
      </c>
      <c r="B4204" t="s">
        <v>8380</v>
      </c>
      <c r="C4204" t="s">
        <v>10</v>
      </c>
      <c r="D4204" t="s">
        <v>8455</v>
      </c>
      <c r="E4204" t="s">
        <v>8456</v>
      </c>
      <c r="G4204" s="1">
        <v>22.67</v>
      </c>
    </row>
    <row r="4205" spans="1:7" ht="14.25" hidden="1" customHeight="1" x14ac:dyDescent="0.45">
      <c r="A4205" t="str">
        <f>_xlfn.XLOOKUP(B4205,Ingot!$H$12:$H$119,Ingot!$G$12:$G$119,"")</f>
        <v>Wood</v>
      </c>
      <c r="B4205" t="s">
        <v>8380</v>
      </c>
      <c r="C4205" t="s">
        <v>10</v>
      </c>
      <c r="D4205" t="s">
        <v>8457</v>
      </c>
      <c r="E4205" t="s">
        <v>8458</v>
      </c>
      <c r="G4205" s="1">
        <v>8.3800000000000008</v>
      </c>
    </row>
    <row r="4206" spans="1:7" ht="14.25" hidden="1" customHeight="1" x14ac:dyDescent="0.45">
      <c r="A4206" t="str">
        <f>_xlfn.XLOOKUP(B4206,Ingot!$H$12:$H$119,Ingot!$G$12:$G$119,"")</f>
        <v>Wood</v>
      </c>
      <c r="B4206" t="s">
        <v>8380</v>
      </c>
      <c r="C4206" t="s">
        <v>10</v>
      </c>
      <c r="D4206" t="s">
        <v>8459</v>
      </c>
      <c r="E4206" t="s">
        <v>8460</v>
      </c>
      <c r="G4206" s="1">
        <v>2.2000000000000002</v>
      </c>
    </row>
    <row r="4207" spans="1:7" ht="14.25" hidden="1" customHeight="1" x14ac:dyDescent="0.45">
      <c r="A4207" t="str">
        <f>_xlfn.XLOOKUP(B4207,Ingot!$H$12:$H$119,Ingot!$G$12:$G$119,"")</f>
        <v>Wood</v>
      </c>
      <c r="B4207" t="s">
        <v>8380</v>
      </c>
      <c r="C4207" t="s">
        <v>10</v>
      </c>
      <c r="D4207" t="s">
        <v>8461</v>
      </c>
      <c r="E4207" t="s">
        <v>8462</v>
      </c>
      <c r="G4207" s="1">
        <v>3.09</v>
      </c>
    </row>
    <row r="4208" spans="1:7" ht="14.25" hidden="1" customHeight="1" x14ac:dyDescent="0.45">
      <c r="A4208" t="str">
        <f>_xlfn.XLOOKUP(B4208,Ingot!$H$12:$H$119,Ingot!$G$12:$G$119,"")</f>
        <v>Wood</v>
      </c>
      <c r="B4208" t="s">
        <v>8380</v>
      </c>
      <c r="C4208" t="s">
        <v>10</v>
      </c>
      <c r="D4208" t="s">
        <v>8463</v>
      </c>
      <c r="E4208" t="s">
        <v>8464</v>
      </c>
      <c r="G4208" s="1">
        <v>2.2999999999999998</v>
      </c>
    </row>
    <row r="4209" spans="1:7" ht="14.25" hidden="1" customHeight="1" x14ac:dyDescent="0.45">
      <c r="A4209" t="str">
        <f>_xlfn.XLOOKUP(B4209,Ingot!$H$12:$H$119,Ingot!$G$12:$G$119,"")</f>
        <v>Wood</v>
      </c>
      <c r="B4209" t="s">
        <v>8380</v>
      </c>
      <c r="C4209" t="s">
        <v>10</v>
      </c>
      <c r="D4209" t="s">
        <v>8465</v>
      </c>
      <c r="E4209" t="s">
        <v>8466</v>
      </c>
      <c r="G4209" s="1">
        <v>4.88</v>
      </c>
    </row>
    <row r="4210" spans="1:7" ht="14.25" hidden="1" customHeight="1" x14ac:dyDescent="0.45">
      <c r="A4210" t="str">
        <f>_xlfn.XLOOKUP(B4210,Ingot!$H$12:$H$119,Ingot!$G$12:$G$119,"")</f>
        <v>Wood</v>
      </c>
      <c r="B4210" t="s">
        <v>8380</v>
      </c>
      <c r="C4210" t="s">
        <v>10</v>
      </c>
      <c r="D4210" t="s">
        <v>8467</v>
      </c>
      <c r="E4210" t="s">
        <v>8468</v>
      </c>
      <c r="G4210" s="1">
        <v>8.43</v>
      </c>
    </row>
    <row r="4211" spans="1:7" ht="14.25" hidden="1" customHeight="1" x14ac:dyDescent="0.45">
      <c r="A4211" t="str">
        <f>_xlfn.XLOOKUP(B4211,Ingot!$H$12:$H$119,Ingot!$G$12:$G$119,"")</f>
        <v>Wood</v>
      </c>
      <c r="B4211" t="s">
        <v>8380</v>
      </c>
      <c r="C4211" t="s">
        <v>10</v>
      </c>
      <c r="D4211" t="s">
        <v>8469</v>
      </c>
      <c r="E4211" t="s">
        <v>8470</v>
      </c>
      <c r="G4211" s="1">
        <v>13.07</v>
      </c>
    </row>
    <row r="4212" spans="1:7" ht="14.25" hidden="1" customHeight="1" x14ac:dyDescent="0.45">
      <c r="A4212" t="str">
        <f>_xlfn.XLOOKUP(B4212,Ingot!$H$12:$H$119,Ingot!$G$12:$G$119,"")</f>
        <v>Wood</v>
      </c>
      <c r="B4212" t="s">
        <v>8380</v>
      </c>
      <c r="C4212" t="s">
        <v>10</v>
      </c>
      <c r="D4212" t="s">
        <v>8471</v>
      </c>
      <c r="E4212" t="s">
        <v>8472</v>
      </c>
    </row>
    <row r="4213" spans="1:7" ht="14.25" hidden="1" customHeight="1" x14ac:dyDescent="0.45">
      <c r="A4213" t="str">
        <f>_xlfn.XLOOKUP(B4213,Ingot!$H$12:$H$119,Ingot!$G$12:$G$119,"")</f>
        <v>Wood</v>
      </c>
      <c r="B4213" t="s">
        <v>8380</v>
      </c>
      <c r="C4213" t="s">
        <v>10</v>
      </c>
      <c r="D4213" t="s">
        <v>8473</v>
      </c>
      <c r="E4213" t="s">
        <v>8474</v>
      </c>
    </row>
    <row r="4214" spans="1:7" ht="14.25" hidden="1" customHeight="1" x14ac:dyDescent="0.45">
      <c r="A4214" t="str">
        <f>_xlfn.XLOOKUP(B4214,Ingot!$H$12:$H$119,Ingot!$G$12:$G$119,"")</f>
        <v>Wood</v>
      </c>
      <c r="B4214" t="s">
        <v>8380</v>
      </c>
      <c r="C4214" t="s">
        <v>10</v>
      </c>
      <c r="D4214" t="s">
        <v>8475</v>
      </c>
      <c r="E4214" t="s">
        <v>8476</v>
      </c>
      <c r="G4214" s="1">
        <v>6.8</v>
      </c>
    </row>
    <row r="4215" spans="1:7" ht="14.25" hidden="1" customHeight="1" x14ac:dyDescent="0.45">
      <c r="A4215" t="str">
        <f>_xlfn.XLOOKUP(B4215,Ingot!$H$12:$H$119,Ingot!$G$12:$G$119,"")</f>
        <v>Wood</v>
      </c>
      <c r="B4215" t="s">
        <v>8380</v>
      </c>
      <c r="C4215" t="s">
        <v>10</v>
      </c>
      <c r="D4215" t="s">
        <v>8477</v>
      </c>
      <c r="E4215" t="s">
        <v>8478</v>
      </c>
      <c r="G4215" s="1">
        <v>6.88</v>
      </c>
    </row>
    <row r="4216" spans="1:7" ht="14.25" hidden="1" customHeight="1" x14ac:dyDescent="0.45">
      <c r="A4216" t="str">
        <f>_xlfn.XLOOKUP(B4216,Ingot!$H$12:$H$119,Ingot!$G$12:$G$119,"")</f>
        <v>Wood</v>
      </c>
      <c r="B4216" t="s">
        <v>8380</v>
      </c>
      <c r="C4216" t="s">
        <v>10</v>
      </c>
      <c r="D4216" t="s">
        <v>8479</v>
      </c>
      <c r="E4216" t="s">
        <v>8480</v>
      </c>
      <c r="G4216" s="1">
        <v>5.5</v>
      </c>
    </row>
    <row r="4217" spans="1:7" ht="14.25" hidden="1" customHeight="1" x14ac:dyDescent="0.45">
      <c r="A4217" t="str">
        <f>_xlfn.XLOOKUP(B4217,Ingot!$H$12:$H$119,Ingot!$G$12:$G$119,"")</f>
        <v>Wood</v>
      </c>
      <c r="B4217" t="s">
        <v>8380</v>
      </c>
      <c r="C4217" t="s">
        <v>10</v>
      </c>
      <c r="D4217" t="s">
        <v>8481</v>
      </c>
      <c r="E4217" t="s">
        <v>8482</v>
      </c>
      <c r="G4217" s="1">
        <v>2.4300000000000002</v>
      </c>
    </row>
    <row r="4218" spans="1:7" ht="14.25" hidden="1" customHeight="1" x14ac:dyDescent="0.45">
      <c r="A4218" t="str">
        <f>_xlfn.XLOOKUP(B4218,Ingot!$H$12:$H$119,Ingot!$G$12:$G$119,"")</f>
        <v>Wood</v>
      </c>
      <c r="B4218" t="s">
        <v>8380</v>
      </c>
      <c r="C4218" t="s">
        <v>10</v>
      </c>
      <c r="D4218" t="s">
        <v>8483</v>
      </c>
      <c r="E4218" t="s">
        <v>8484</v>
      </c>
      <c r="G4218" s="1">
        <v>6.96</v>
      </c>
    </row>
    <row r="4219" spans="1:7" ht="14.25" hidden="1" customHeight="1" x14ac:dyDescent="0.45">
      <c r="A4219" t="str">
        <f>_xlfn.XLOOKUP(B4219,Ingot!$H$12:$H$119,Ingot!$G$12:$G$119,"")</f>
        <v>Wood</v>
      </c>
      <c r="B4219" t="s">
        <v>8380</v>
      </c>
      <c r="C4219" t="s">
        <v>10</v>
      </c>
      <c r="D4219" t="s">
        <v>8485</v>
      </c>
      <c r="E4219" t="s">
        <v>8486</v>
      </c>
      <c r="G4219" s="1">
        <v>6.32</v>
      </c>
    </row>
    <row r="4220" spans="1:7" ht="14.25" hidden="1" customHeight="1" x14ac:dyDescent="0.45">
      <c r="A4220" t="str">
        <f>_xlfn.XLOOKUP(B4220,Ingot!$H$12:$H$119,Ingot!$G$12:$G$119,"")</f>
        <v>Wood</v>
      </c>
      <c r="B4220" t="s">
        <v>8380</v>
      </c>
      <c r="C4220" t="s">
        <v>10</v>
      </c>
      <c r="D4220" t="s">
        <v>8487</v>
      </c>
      <c r="E4220" t="s">
        <v>8488</v>
      </c>
      <c r="G4220" s="1">
        <v>6.88</v>
      </c>
    </row>
    <row r="4221" spans="1:7" ht="14.25" hidden="1" customHeight="1" x14ac:dyDescent="0.45">
      <c r="A4221" t="str">
        <f>_xlfn.XLOOKUP(B4221,Ingot!$H$12:$H$119,Ingot!$G$12:$G$119,"")</f>
        <v>Wood</v>
      </c>
      <c r="B4221" t="s">
        <v>8380</v>
      </c>
      <c r="C4221" t="s">
        <v>10</v>
      </c>
      <c r="D4221" t="s">
        <v>8489</v>
      </c>
      <c r="E4221" t="s">
        <v>8490</v>
      </c>
      <c r="G4221" s="1">
        <v>2.44</v>
      </c>
    </row>
    <row r="4222" spans="1:7" ht="14.25" hidden="1" customHeight="1" x14ac:dyDescent="0.45">
      <c r="A4222" t="str">
        <f>_xlfn.XLOOKUP(B4222,Ingot!$H$12:$H$119,Ingot!$G$12:$G$119,"")</f>
        <v>Wood</v>
      </c>
      <c r="B4222" t="s">
        <v>8380</v>
      </c>
      <c r="C4222" t="s">
        <v>10</v>
      </c>
      <c r="D4222" t="s">
        <v>8491</v>
      </c>
      <c r="E4222" t="s">
        <v>8492</v>
      </c>
    </row>
    <row r="4223" spans="1:7" ht="14.25" hidden="1" customHeight="1" x14ac:dyDescent="0.45">
      <c r="A4223" t="str">
        <f>_xlfn.XLOOKUP(B4223,Ingot!$H$12:$H$119,Ingot!$G$12:$G$119,"")</f>
        <v>Wood</v>
      </c>
      <c r="B4223" t="s">
        <v>8380</v>
      </c>
      <c r="C4223" t="s">
        <v>10</v>
      </c>
      <c r="D4223" t="s">
        <v>8493</v>
      </c>
      <c r="E4223" t="s">
        <v>8494</v>
      </c>
    </row>
    <row r="4224" spans="1:7" ht="14.25" hidden="1" customHeight="1" x14ac:dyDescent="0.45">
      <c r="A4224" t="str">
        <f>_xlfn.XLOOKUP(B4224,Ingot!$H$12:$H$119,Ingot!$G$12:$G$119,"")</f>
        <v>Wood</v>
      </c>
      <c r="B4224" t="s">
        <v>8380</v>
      </c>
      <c r="C4224" t="s">
        <v>10</v>
      </c>
      <c r="D4224" t="s">
        <v>8495</v>
      </c>
      <c r="E4224" t="s">
        <v>8496</v>
      </c>
      <c r="G4224" s="1">
        <v>3.11</v>
      </c>
    </row>
    <row r="4225" spans="1:7" ht="14.25" hidden="1" customHeight="1" x14ac:dyDescent="0.45">
      <c r="A4225" t="str">
        <f>_xlfn.XLOOKUP(B4225,Ingot!$H$12:$H$119,Ingot!$G$12:$G$119,"")</f>
        <v>Wood</v>
      </c>
      <c r="B4225" t="s">
        <v>8380</v>
      </c>
      <c r="C4225" t="s">
        <v>10</v>
      </c>
      <c r="D4225" t="s">
        <v>8497</v>
      </c>
      <c r="E4225" t="s">
        <v>8498</v>
      </c>
      <c r="G4225" s="1">
        <v>2.44</v>
      </c>
    </row>
    <row r="4226" spans="1:7" ht="14.25" hidden="1" customHeight="1" x14ac:dyDescent="0.45">
      <c r="A4226" t="str">
        <f>_xlfn.XLOOKUP(B4226,Ingot!$H$12:$H$119,Ingot!$G$12:$G$119,"")</f>
        <v>Wood</v>
      </c>
      <c r="B4226" t="s">
        <v>8380</v>
      </c>
      <c r="C4226" t="s">
        <v>10</v>
      </c>
      <c r="D4226" t="s">
        <v>8499</v>
      </c>
      <c r="E4226" t="s">
        <v>8500</v>
      </c>
      <c r="G4226" s="1">
        <v>8.61</v>
      </c>
    </row>
    <row r="4227" spans="1:7" ht="14.25" hidden="1" customHeight="1" x14ac:dyDescent="0.45">
      <c r="A4227" t="str">
        <f>_xlfn.XLOOKUP(B4227,Ingot!$H$12:$H$119,Ingot!$G$12:$G$119,"")</f>
        <v>Wood</v>
      </c>
      <c r="B4227" t="s">
        <v>8380</v>
      </c>
      <c r="C4227" t="s">
        <v>10</v>
      </c>
      <c r="D4227" t="s">
        <v>8501</v>
      </c>
      <c r="E4227" t="s">
        <v>8502</v>
      </c>
    </row>
    <row r="4228" spans="1:7" ht="14.25" hidden="1" customHeight="1" x14ac:dyDescent="0.45">
      <c r="A4228" t="str">
        <f>_xlfn.XLOOKUP(B4228,Ingot!$H$12:$H$119,Ingot!$G$12:$G$119,"")</f>
        <v>Wood</v>
      </c>
      <c r="B4228" t="s">
        <v>8380</v>
      </c>
      <c r="C4228" t="s">
        <v>10</v>
      </c>
      <c r="D4228" t="s">
        <v>8503</v>
      </c>
      <c r="E4228" t="s">
        <v>8504</v>
      </c>
      <c r="G4228" s="1">
        <v>3.21</v>
      </c>
    </row>
    <row r="4229" spans="1:7" ht="14.25" hidden="1" customHeight="1" x14ac:dyDescent="0.45">
      <c r="A4229" t="str">
        <f>_xlfn.XLOOKUP(B4229,Ingot!$H$12:$H$119,Ingot!$G$12:$G$119,"")</f>
        <v>Wood</v>
      </c>
      <c r="B4229" t="s">
        <v>8380</v>
      </c>
      <c r="C4229" t="s">
        <v>10</v>
      </c>
      <c r="D4229" t="s">
        <v>8505</v>
      </c>
      <c r="E4229" t="s">
        <v>8506</v>
      </c>
      <c r="G4229" s="1">
        <v>2.77</v>
      </c>
    </row>
    <row r="4230" spans="1:7" ht="14.25" hidden="1" customHeight="1" x14ac:dyDescent="0.45">
      <c r="A4230" t="str">
        <f>_xlfn.XLOOKUP(B4230,Ingot!$H$12:$H$119,Ingot!$G$12:$G$119,"")</f>
        <v>Wood</v>
      </c>
      <c r="B4230" t="s">
        <v>8380</v>
      </c>
      <c r="C4230" t="s">
        <v>10</v>
      </c>
      <c r="D4230" t="s">
        <v>8507</v>
      </c>
      <c r="E4230" t="s">
        <v>8508</v>
      </c>
      <c r="G4230" s="1">
        <v>4.8899999999999997</v>
      </c>
    </row>
    <row r="4231" spans="1:7" ht="14.25" hidden="1" customHeight="1" x14ac:dyDescent="0.45">
      <c r="A4231" t="str">
        <f>_xlfn.XLOOKUP(B4231,Ingot!$H$12:$H$119,Ingot!$G$12:$G$119,"")</f>
        <v>Wood</v>
      </c>
      <c r="B4231" t="s">
        <v>8380</v>
      </c>
      <c r="C4231" t="s">
        <v>10</v>
      </c>
      <c r="D4231" t="s">
        <v>8509</v>
      </c>
      <c r="E4231" t="s">
        <v>8510</v>
      </c>
      <c r="G4231" s="1">
        <v>1.76</v>
      </c>
    </row>
    <row r="4232" spans="1:7" ht="14.25" hidden="1" customHeight="1" x14ac:dyDescent="0.45">
      <c r="A4232" t="str">
        <f>_xlfn.XLOOKUP(B4232,Ingot!$H$12:$H$119,Ingot!$G$12:$G$119,"")</f>
        <v>Wood</v>
      </c>
      <c r="B4232" t="s">
        <v>8380</v>
      </c>
      <c r="C4232" t="s">
        <v>10</v>
      </c>
      <c r="D4232" t="s">
        <v>8511</v>
      </c>
      <c r="E4232" t="s">
        <v>8512</v>
      </c>
    </row>
    <row r="4233" spans="1:7" ht="14.25" hidden="1" customHeight="1" x14ac:dyDescent="0.45">
      <c r="A4233" t="str">
        <f>_xlfn.XLOOKUP(B4233,Ingot!$H$12:$H$119,Ingot!$G$12:$G$119,"")</f>
        <v>Wood</v>
      </c>
      <c r="B4233" t="s">
        <v>8380</v>
      </c>
      <c r="C4233" t="s">
        <v>10</v>
      </c>
      <c r="D4233" t="s">
        <v>8513</v>
      </c>
      <c r="E4233" t="s">
        <v>8514</v>
      </c>
      <c r="G4233" s="1">
        <v>8.57</v>
      </c>
    </row>
    <row r="4234" spans="1:7" ht="14.25" hidden="1" customHeight="1" x14ac:dyDescent="0.45">
      <c r="A4234" t="str">
        <f>_xlfn.XLOOKUP(B4234,Ingot!$H$12:$H$119,Ingot!$G$12:$G$119,"")</f>
        <v>Wood</v>
      </c>
      <c r="B4234" t="s">
        <v>8380</v>
      </c>
      <c r="C4234" t="s">
        <v>10</v>
      </c>
      <c r="D4234" t="s">
        <v>8515</v>
      </c>
      <c r="E4234" t="s">
        <v>8516</v>
      </c>
    </row>
    <row r="4235" spans="1:7" ht="14.25" hidden="1" customHeight="1" x14ac:dyDescent="0.45">
      <c r="A4235" t="str">
        <f>_xlfn.XLOOKUP(B4235,Ingot!$H$12:$H$119,Ingot!$G$12:$G$119,"")</f>
        <v>Wood</v>
      </c>
      <c r="B4235" t="s">
        <v>8380</v>
      </c>
      <c r="C4235" t="s">
        <v>10</v>
      </c>
      <c r="D4235" t="s">
        <v>8517</v>
      </c>
      <c r="E4235" t="s">
        <v>8518</v>
      </c>
      <c r="G4235" s="1">
        <v>3.56</v>
      </c>
    </row>
    <row r="4236" spans="1:7" ht="14.25" hidden="1" customHeight="1" x14ac:dyDescent="0.45">
      <c r="A4236" t="str">
        <f>_xlfn.XLOOKUP(B4236,Ingot!$H$12:$H$119,Ingot!$G$12:$G$119,"")</f>
        <v>Wood</v>
      </c>
      <c r="B4236" t="s">
        <v>8380</v>
      </c>
      <c r="C4236" t="s">
        <v>10</v>
      </c>
      <c r="D4236" t="s">
        <v>8519</v>
      </c>
      <c r="E4236" t="s">
        <v>8520</v>
      </c>
      <c r="G4236" s="1">
        <v>8.91</v>
      </c>
    </row>
    <row r="4237" spans="1:7" ht="14.25" hidden="1" customHeight="1" x14ac:dyDescent="0.45">
      <c r="A4237" t="str">
        <f>_xlfn.XLOOKUP(B4237,Ingot!$H$12:$H$119,Ingot!$G$12:$G$119,"")</f>
        <v>Wood</v>
      </c>
      <c r="B4237" t="s">
        <v>8380</v>
      </c>
      <c r="C4237" t="s">
        <v>10</v>
      </c>
      <c r="D4237" t="s">
        <v>8521</v>
      </c>
      <c r="E4237" t="s">
        <v>8522</v>
      </c>
      <c r="G4237" s="1">
        <v>11.02</v>
      </c>
    </row>
    <row r="4238" spans="1:7" ht="14.25" hidden="1" customHeight="1" x14ac:dyDescent="0.45">
      <c r="A4238" t="str">
        <f>_xlfn.XLOOKUP(B4238,Ingot!$H$12:$H$119,Ingot!$G$12:$G$119,"")</f>
        <v>Wood</v>
      </c>
      <c r="B4238" t="s">
        <v>8380</v>
      </c>
      <c r="C4238" t="s">
        <v>10</v>
      </c>
      <c r="D4238" t="s">
        <v>8523</v>
      </c>
      <c r="E4238" t="s">
        <v>8524</v>
      </c>
      <c r="G4238" s="1">
        <v>5.12</v>
      </c>
    </row>
    <row r="4239" spans="1:7" ht="14.25" hidden="1" customHeight="1" x14ac:dyDescent="0.45">
      <c r="A4239" t="str">
        <f>_xlfn.XLOOKUP(B4239,Ingot!$H$12:$H$119,Ingot!$G$12:$G$119,"")</f>
        <v>Wood</v>
      </c>
      <c r="B4239" t="s">
        <v>8380</v>
      </c>
      <c r="C4239" t="s">
        <v>10</v>
      </c>
      <c r="D4239" t="s">
        <v>8525</v>
      </c>
      <c r="E4239" t="s">
        <v>8526</v>
      </c>
      <c r="G4239" s="1">
        <v>4.41</v>
      </c>
    </row>
    <row r="4240" spans="1:7" ht="14.25" hidden="1" customHeight="1" x14ac:dyDescent="0.45">
      <c r="A4240" t="str">
        <f>_xlfn.XLOOKUP(B4240,Ingot!$H$12:$H$119,Ingot!$G$12:$G$119,"")</f>
        <v>Wood</v>
      </c>
      <c r="B4240" t="s">
        <v>8380</v>
      </c>
      <c r="C4240" t="s">
        <v>157</v>
      </c>
      <c r="D4240" t="s">
        <v>8527</v>
      </c>
      <c r="E4240" t="s">
        <v>8528</v>
      </c>
      <c r="G4240" s="1">
        <v>23.2</v>
      </c>
    </row>
    <row r="4241" spans="1:7" ht="14.25" hidden="1" customHeight="1" x14ac:dyDescent="0.45">
      <c r="A4241" t="str">
        <f>_xlfn.XLOOKUP(B4241,Ingot!$H$12:$H$119,Ingot!$G$12:$G$119,"")</f>
        <v>Wood</v>
      </c>
      <c r="B4241" t="s">
        <v>8380</v>
      </c>
      <c r="C4241" t="s">
        <v>157</v>
      </c>
      <c r="D4241" t="s">
        <v>8529</v>
      </c>
      <c r="E4241" t="s">
        <v>8530</v>
      </c>
      <c r="G4241" s="1">
        <v>5</v>
      </c>
    </row>
    <row r="4242" spans="1:7" ht="14.25" hidden="1" customHeight="1" x14ac:dyDescent="0.45">
      <c r="A4242" t="str">
        <f>_xlfn.XLOOKUP(B4242,Ingot!$H$12:$H$119,Ingot!$G$12:$G$119,"")</f>
        <v>Wood</v>
      </c>
      <c r="B4242" t="s">
        <v>8380</v>
      </c>
      <c r="C4242" t="s">
        <v>157</v>
      </c>
      <c r="D4242" t="s">
        <v>8531</v>
      </c>
      <c r="E4242" t="s">
        <v>8532</v>
      </c>
      <c r="G4242" s="1">
        <v>5</v>
      </c>
    </row>
    <row r="4243" spans="1:7" ht="14.25" hidden="1" customHeight="1" x14ac:dyDescent="0.45">
      <c r="A4243" t="str">
        <f>_xlfn.XLOOKUP(B4243,Ingot!$H$12:$H$119,Ingot!$G$12:$G$119,"")</f>
        <v>Wood</v>
      </c>
      <c r="B4243" t="s">
        <v>8380</v>
      </c>
      <c r="C4243" t="s">
        <v>157</v>
      </c>
      <c r="D4243" t="s">
        <v>8533</v>
      </c>
      <c r="E4243" t="s">
        <v>8534</v>
      </c>
      <c r="G4243" s="1">
        <v>5</v>
      </c>
    </row>
    <row r="4244" spans="1:7" ht="14.25" hidden="1" customHeight="1" x14ac:dyDescent="0.45">
      <c r="A4244" t="str">
        <f>_xlfn.XLOOKUP(B4244,Ingot!$H$12:$H$119,Ingot!$G$12:$G$119,"")</f>
        <v>Wood</v>
      </c>
      <c r="B4244" t="s">
        <v>8380</v>
      </c>
      <c r="C4244" t="s">
        <v>157</v>
      </c>
      <c r="D4244" t="s">
        <v>8535</v>
      </c>
      <c r="E4244" t="s">
        <v>8536</v>
      </c>
      <c r="G4244" s="1">
        <v>10</v>
      </c>
    </row>
    <row r="4245" spans="1:7" ht="14.25" hidden="1" customHeight="1" x14ac:dyDescent="0.45">
      <c r="A4245" t="str">
        <f>_xlfn.XLOOKUP(B4245,Ingot!$H$12:$H$119,Ingot!$G$12:$G$119,"")</f>
        <v>Wood</v>
      </c>
      <c r="B4245" t="s">
        <v>8380</v>
      </c>
      <c r="C4245" t="s">
        <v>157</v>
      </c>
      <c r="D4245" t="s">
        <v>8537</v>
      </c>
      <c r="E4245" t="s">
        <v>8538</v>
      </c>
      <c r="G4245" s="1">
        <v>20</v>
      </c>
    </row>
    <row r="4246" spans="1:7" ht="14.25" hidden="1" customHeight="1" x14ac:dyDescent="0.45">
      <c r="A4246" t="str">
        <f>_xlfn.XLOOKUP(B4246,Ingot!$H$12:$H$119,Ingot!$G$12:$G$119,"")</f>
        <v>Wood</v>
      </c>
      <c r="B4246" t="s">
        <v>8380</v>
      </c>
      <c r="C4246" t="s">
        <v>157</v>
      </c>
      <c r="D4246" t="s">
        <v>8539</v>
      </c>
      <c r="E4246" t="s">
        <v>8540</v>
      </c>
      <c r="G4246" s="1">
        <v>5</v>
      </c>
    </row>
    <row r="4247" spans="1:7" ht="14.25" hidden="1" customHeight="1" x14ac:dyDescent="0.45">
      <c r="A4247" t="str">
        <f>_xlfn.XLOOKUP(B4247,Ingot!$H$12:$H$119,Ingot!$G$12:$G$119,"")</f>
        <v>Wood</v>
      </c>
      <c r="B4247" t="s">
        <v>8380</v>
      </c>
      <c r="C4247" t="s">
        <v>157</v>
      </c>
      <c r="D4247" t="s">
        <v>8541</v>
      </c>
      <c r="E4247" t="s">
        <v>8542</v>
      </c>
      <c r="G4247" s="1">
        <v>5</v>
      </c>
    </row>
    <row r="4248" spans="1:7" ht="14.25" hidden="1" customHeight="1" x14ac:dyDescent="0.45">
      <c r="A4248" t="str">
        <f>_xlfn.XLOOKUP(B4248,Ingot!$H$12:$H$119,Ingot!$G$12:$G$119,"")</f>
        <v>Wood</v>
      </c>
      <c r="B4248" t="s">
        <v>8380</v>
      </c>
      <c r="C4248" t="s">
        <v>157</v>
      </c>
      <c r="D4248" t="s">
        <v>8543</v>
      </c>
      <c r="E4248" t="s">
        <v>8544</v>
      </c>
      <c r="G4248" s="1">
        <v>5</v>
      </c>
    </row>
    <row r="4249" spans="1:7" ht="14.25" hidden="1" customHeight="1" x14ac:dyDescent="0.45">
      <c r="A4249" t="str">
        <f>_xlfn.XLOOKUP(B4249,Ingot!$H$12:$H$119,Ingot!$G$12:$G$119,"")</f>
        <v>Wood</v>
      </c>
      <c r="B4249" t="s">
        <v>8380</v>
      </c>
      <c r="C4249" t="s">
        <v>157</v>
      </c>
      <c r="D4249" t="s">
        <v>8545</v>
      </c>
      <c r="E4249" t="s">
        <v>8546</v>
      </c>
      <c r="G4249" s="1">
        <v>10</v>
      </c>
    </row>
    <row r="4250" spans="1:7" ht="14.25" hidden="1" customHeight="1" x14ac:dyDescent="0.45">
      <c r="A4250" t="str">
        <f>_xlfn.XLOOKUP(B4250,Ingot!$H$12:$H$119,Ingot!$G$12:$G$119,"")</f>
        <v>Wood</v>
      </c>
      <c r="B4250" t="s">
        <v>8380</v>
      </c>
      <c r="C4250" t="s">
        <v>157</v>
      </c>
      <c r="D4250" t="s">
        <v>8547</v>
      </c>
      <c r="E4250" t="s">
        <v>8548</v>
      </c>
      <c r="F4250" t="s">
        <v>180</v>
      </c>
      <c r="G4250" s="1">
        <v>19.2</v>
      </c>
    </row>
    <row r="4251" spans="1:7" ht="14.25" hidden="1" customHeight="1" x14ac:dyDescent="0.45">
      <c r="A4251" t="str">
        <f>_xlfn.XLOOKUP(B4251,Ingot!$H$12:$H$119,Ingot!$G$12:$G$119,"")</f>
        <v>Wood</v>
      </c>
      <c r="B4251" t="s">
        <v>8380</v>
      </c>
      <c r="C4251" t="s">
        <v>157</v>
      </c>
      <c r="D4251" t="s">
        <v>8549</v>
      </c>
      <c r="E4251" t="s">
        <v>8550</v>
      </c>
      <c r="F4251" t="s">
        <v>180</v>
      </c>
      <c r="G4251" s="1">
        <v>5</v>
      </c>
    </row>
    <row r="4252" spans="1:7" ht="14.25" hidden="1" customHeight="1" x14ac:dyDescent="0.45">
      <c r="A4252" t="str">
        <f>_xlfn.XLOOKUP(B4252,Ingot!$H$12:$H$119,Ingot!$G$12:$G$119,"")</f>
        <v>Wood</v>
      </c>
      <c r="B4252" t="s">
        <v>8380</v>
      </c>
      <c r="C4252" t="s">
        <v>157</v>
      </c>
      <c r="D4252" t="s">
        <v>8551</v>
      </c>
      <c r="E4252" t="s">
        <v>8552</v>
      </c>
      <c r="F4252" t="s">
        <v>180</v>
      </c>
      <c r="G4252" s="1">
        <v>5</v>
      </c>
    </row>
    <row r="4253" spans="1:7" ht="14.25" hidden="1" customHeight="1" x14ac:dyDescent="0.45">
      <c r="A4253" t="str">
        <f>_xlfn.XLOOKUP(B4253,Ingot!$H$12:$H$119,Ingot!$G$12:$G$119,"")</f>
        <v>Wood</v>
      </c>
      <c r="B4253" t="s">
        <v>8380</v>
      </c>
      <c r="C4253" t="s">
        <v>157</v>
      </c>
      <c r="D4253" t="s">
        <v>8553</v>
      </c>
      <c r="E4253" t="s">
        <v>8554</v>
      </c>
      <c r="F4253" t="s">
        <v>180</v>
      </c>
      <c r="G4253" s="1">
        <v>5</v>
      </c>
    </row>
    <row r="4254" spans="1:7" ht="14.25" hidden="1" customHeight="1" x14ac:dyDescent="0.45">
      <c r="A4254" t="str">
        <f>_xlfn.XLOOKUP(B4254,Ingot!$H$12:$H$119,Ingot!$G$12:$G$119,"")</f>
        <v>Wood</v>
      </c>
      <c r="B4254" t="s">
        <v>8380</v>
      </c>
      <c r="C4254" t="s">
        <v>157</v>
      </c>
      <c r="D4254" t="s">
        <v>8555</v>
      </c>
      <c r="E4254" t="s">
        <v>8556</v>
      </c>
      <c r="F4254" t="s">
        <v>180</v>
      </c>
      <c r="G4254" s="1">
        <v>10</v>
      </c>
    </row>
    <row r="4255" spans="1:7" ht="14.25" hidden="1" customHeight="1" x14ac:dyDescent="0.45">
      <c r="A4255" t="str">
        <f>_xlfn.XLOOKUP(B4255,Ingot!$H$12:$H$119,Ingot!$G$12:$G$119,"")</f>
        <v>Wood</v>
      </c>
      <c r="B4255" t="s">
        <v>8380</v>
      </c>
      <c r="C4255" t="s">
        <v>157</v>
      </c>
      <c r="D4255" t="s">
        <v>8557</v>
      </c>
      <c r="E4255" t="s">
        <v>8558</v>
      </c>
      <c r="G4255" s="1">
        <v>21.2</v>
      </c>
    </row>
    <row r="4256" spans="1:7" ht="14.25" hidden="1" customHeight="1" x14ac:dyDescent="0.45">
      <c r="A4256" t="str">
        <f>_xlfn.XLOOKUP(B4256,Ingot!$H$12:$H$119,Ingot!$G$12:$G$119,"")</f>
        <v>Wood</v>
      </c>
      <c r="B4256" t="s">
        <v>8380</v>
      </c>
      <c r="C4256" t="s">
        <v>157</v>
      </c>
      <c r="D4256" t="s">
        <v>8559</v>
      </c>
      <c r="E4256" t="s">
        <v>8560</v>
      </c>
      <c r="G4256" s="1">
        <v>5</v>
      </c>
    </row>
    <row r="4257" spans="1:7" ht="14.25" hidden="1" customHeight="1" x14ac:dyDescent="0.45">
      <c r="A4257" t="str">
        <f>_xlfn.XLOOKUP(B4257,Ingot!$H$12:$H$119,Ingot!$G$12:$G$119,"")</f>
        <v>Wood</v>
      </c>
      <c r="B4257" t="s">
        <v>8380</v>
      </c>
      <c r="C4257" t="s">
        <v>157</v>
      </c>
      <c r="D4257" t="s">
        <v>8561</v>
      </c>
      <c r="E4257" t="s">
        <v>8562</v>
      </c>
      <c r="G4257" s="1">
        <v>5</v>
      </c>
    </row>
    <row r="4258" spans="1:7" ht="14.25" hidden="1" customHeight="1" x14ac:dyDescent="0.45">
      <c r="A4258" t="str">
        <f>_xlfn.XLOOKUP(B4258,Ingot!$H$12:$H$119,Ingot!$G$12:$G$119,"")</f>
        <v>Wood</v>
      </c>
      <c r="B4258" t="s">
        <v>8380</v>
      </c>
      <c r="C4258" t="s">
        <v>157</v>
      </c>
      <c r="D4258" t="s">
        <v>8563</v>
      </c>
      <c r="E4258" t="s">
        <v>8564</v>
      </c>
      <c r="G4258" s="1">
        <v>5</v>
      </c>
    </row>
    <row r="4259" spans="1:7" ht="14.25" hidden="1" customHeight="1" x14ac:dyDescent="0.45">
      <c r="A4259" t="str">
        <f>_xlfn.XLOOKUP(B4259,Ingot!$H$12:$H$119,Ingot!$G$12:$G$119,"")</f>
        <v>Wood</v>
      </c>
      <c r="B4259" t="s">
        <v>8380</v>
      </c>
      <c r="C4259" t="s">
        <v>157</v>
      </c>
      <c r="D4259" t="s">
        <v>8565</v>
      </c>
      <c r="E4259" t="s">
        <v>8566</v>
      </c>
      <c r="G4259" s="1">
        <v>10</v>
      </c>
    </row>
    <row r="4260" spans="1:7" ht="14.25" hidden="1" customHeight="1" x14ac:dyDescent="0.45">
      <c r="A4260" t="str">
        <f>_xlfn.XLOOKUP(B4260,Ingot!$H$12:$H$119,Ingot!$G$12:$G$119,"")</f>
        <v>Wood</v>
      </c>
      <c r="B4260" t="s">
        <v>8380</v>
      </c>
      <c r="C4260" t="s">
        <v>157</v>
      </c>
      <c r="D4260" t="s">
        <v>8567</v>
      </c>
      <c r="E4260" t="s">
        <v>8568</v>
      </c>
      <c r="G4260" s="1">
        <v>22.2</v>
      </c>
    </row>
    <row r="4261" spans="1:7" ht="14.25" hidden="1" customHeight="1" x14ac:dyDescent="0.45">
      <c r="A4261" t="str">
        <f>_xlfn.XLOOKUP(B4261,Ingot!$H$12:$H$119,Ingot!$G$12:$G$119,"")</f>
        <v>Wood</v>
      </c>
      <c r="B4261" t="s">
        <v>8380</v>
      </c>
      <c r="C4261" t="s">
        <v>157</v>
      </c>
      <c r="D4261" t="s">
        <v>8569</v>
      </c>
      <c r="E4261" t="s">
        <v>8570</v>
      </c>
      <c r="F4261" t="s">
        <v>180</v>
      </c>
      <c r="G4261" s="1">
        <v>5</v>
      </c>
    </row>
    <row r="4262" spans="1:7" ht="14.25" hidden="1" customHeight="1" x14ac:dyDescent="0.45">
      <c r="A4262" t="str">
        <f>_xlfn.XLOOKUP(B4262,Ingot!$H$12:$H$119,Ingot!$G$12:$G$119,"")</f>
        <v>Wood</v>
      </c>
      <c r="B4262" t="s">
        <v>8380</v>
      </c>
      <c r="C4262" t="s">
        <v>157</v>
      </c>
      <c r="D4262" t="s">
        <v>8571</v>
      </c>
      <c r="E4262" t="s">
        <v>8572</v>
      </c>
      <c r="F4262" t="s">
        <v>180</v>
      </c>
      <c r="G4262" s="1">
        <v>5</v>
      </c>
    </row>
    <row r="4263" spans="1:7" ht="14.25" hidden="1" customHeight="1" x14ac:dyDescent="0.45">
      <c r="A4263" t="str">
        <f>_xlfn.XLOOKUP(B4263,Ingot!$H$12:$H$119,Ingot!$G$12:$G$119,"")</f>
        <v>Wood</v>
      </c>
      <c r="B4263" t="s">
        <v>8380</v>
      </c>
      <c r="C4263" t="s">
        <v>157</v>
      </c>
      <c r="D4263" t="s">
        <v>8573</v>
      </c>
      <c r="E4263" t="s">
        <v>8574</v>
      </c>
      <c r="F4263" t="s">
        <v>180</v>
      </c>
      <c r="G4263" s="1">
        <v>5</v>
      </c>
    </row>
    <row r="4264" spans="1:7" ht="14.25" hidden="1" customHeight="1" x14ac:dyDescent="0.45">
      <c r="A4264" t="str">
        <f>_xlfn.XLOOKUP(B4264,Ingot!$H$12:$H$119,Ingot!$G$12:$G$119,"")</f>
        <v>Wood</v>
      </c>
      <c r="B4264" t="s">
        <v>8380</v>
      </c>
      <c r="C4264" t="s">
        <v>157</v>
      </c>
      <c r="D4264" t="s">
        <v>8575</v>
      </c>
      <c r="E4264" t="s">
        <v>8576</v>
      </c>
      <c r="G4264" s="1">
        <v>10</v>
      </c>
    </row>
    <row r="4265" spans="1:7" ht="14.25" hidden="1" customHeight="1" x14ac:dyDescent="0.45">
      <c r="A4265" t="str">
        <f>_xlfn.XLOOKUP(B4265,Ingot!$H$12:$H$119,Ingot!$G$12:$G$119,"")</f>
        <v>Wood</v>
      </c>
      <c r="B4265" t="s">
        <v>8380</v>
      </c>
      <c r="C4265" t="s">
        <v>157</v>
      </c>
      <c r="D4265" t="s">
        <v>8577</v>
      </c>
      <c r="E4265" t="s">
        <v>8578</v>
      </c>
      <c r="G4265" s="1">
        <v>26</v>
      </c>
    </row>
    <row r="4266" spans="1:7" ht="14.25" hidden="1" customHeight="1" x14ac:dyDescent="0.45">
      <c r="A4266" t="str">
        <f>_xlfn.XLOOKUP(B4266,Ingot!$H$12:$H$119,Ingot!$G$12:$G$119,"")</f>
        <v>Wood</v>
      </c>
      <c r="B4266" t="s">
        <v>8380</v>
      </c>
      <c r="C4266" t="s">
        <v>157</v>
      </c>
      <c r="D4266" t="s">
        <v>8579</v>
      </c>
      <c r="E4266" t="s">
        <v>8580</v>
      </c>
      <c r="G4266" s="1">
        <v>5.2</v>
      </c>
    </row>
    <row r="4267" spans="1:7" ht="14.25" hidden="1" customHeight="1" x14ac:dyDescent="0.45">
      <c r="A4267" t="str">
        <f>_xlfn.XLOOKUP(B4267,Ingot!$H$12:$H$119,Ingot!$G$12:$G$119,"")</f>
        <v>Wood</v>
      </c>
      <c r="B4267" t="s">
        <v>8380</v>
      </c>
      <c r="C4267" t="s">
        <v>157</v>
      </c>
      <c r="D4267" t="s">
        <v>8581</v>
      </c>
      <c r="E4267" t="s">
        <v>8582</v>
      </c>
      <c r="G4267" s="1">
        <v>5.2</v>
      </c>
    </row>
    <row r="4268" spans="1:7" ht="14.25" hidden="1" customHeight="1" x14ac:dyDescent="0.45">
      <c r="A4268" t="str">
        <f>_xlfn.XLOOKUP(B4268,Ingot!$H$12:$H$119,Ingot!$G$12:$G$119,"")</f>
        <v>Wood</v>
      </c>
      <c r="B4268" t="s">
        <v>8380</v>
      </c>
      <c r="C4268" t="s">
        <v>157</v>
      </c>
      <c r="D4268" t="s">
        <v>8583</v>
      </c>
      <c r="E4268" t="s">
        <v>8584</v>
      </c>
      <c r="G4268" s="1">
        <v>5</v>
      </c>
    </row>
    <row r="4269" spans="1:7" ht="14.25" hidden="1" customHeight="1" x14ac:dyDescent="0.45">
      <c r="A4269" t="str">
        <f>_xlfn.XLOOKUP(B4269,Ingot!$H$12:$H$119,Ingot!$G$12:$G$119,"")</f>
        <v>Wood</v>
      </c>
      <c r="B4269" t="s">
        <v>8380</v>
      </c>
      <c r="C4269" t="s">
        <v>157</v>
      </c>
      <c r="D4269" t="s">
        <v>8585</v>
      </c>
      <c r="E4269" t="s">
        <v>8586</v>
      </c>
      <c r="G4269" s="1">
        <v>10</v>
      </c>
    </row>
    <row r="4270" spans="1:7" ht="14.25" hidden="1" customHeight="1" x14ac:dyDescent="0.45">
      <c r="A4270" t="str">
        <f>_xlfn.XLOOKUP(B4270,Ingot!$H$12:$H$119,Ingot!$G$12:$G$119,"")</f>
        <v>Wood</v>
      </c>
      <c r="B4270" t="s">
        <v>8380</v>
      </c>
      <c r="C4270" t="s">
        <v>157</v>
      </c>
      <c r="D4270" t="s">
        <v>8587</v>
      </c>
      <c r="E4270" t="s">
        <v>8588</v>
      </c>
      <c r="G4270" s="1">
        <v>24.7</v>
      </c>
    </row>
    <row r="4271" spans="1:7" ht="14.25" hidden="1" customHeight="1" x14ac:dyDescent="0.45">
      <c r="A4271" t="str">
        <f>_xlfn.XLOOKUP(B4271,Ingot!$H$12:$H$119,Ingot!$G$12:$G$119,"")</f>
        <v>Wood</v>
      </c>
      <c r="B4271" t="s">
        <v>8380</v>
      </c>
      <c r="C4271" t="s">
        <v>157</v>
      </c>
      <c r="D4271" t="s">
        <v>8589</v>
      </c>
      <c r="E4271" t="s">
        <v>8590</v>
      </c>
      <c r="G4271" s="1">
        <v>5</v>
      </c>
    </row>
    <row r="4272" spans="1:7" ht="14.25" hidden="1" customHeight="1" x14ac:dyDescent="0.45">
      <c r="A4272" t="str">
        <f>_xlfn.XLOOKUP(B4272,Ingot!$H$12:$H$119,Ingot!$G$12:$G$119,"")</f>
        <v>Wood</v>
      </c>
      <c r="B4272" t="s">
        <v>8380</v>
      </c>
      <c r="C4272" t="s">
        <v>157</v>
      </c>
      <c r="D4272" t="s">
        <v>8591</v>
      </c>
      <c r="E4272" t="s">
        <v>8592</v>
      </c>
      <c r="G4272" s="1">
        <v>5</v>
      </c>
    </row>
    <row r="4273" spans="1:7" ht="14.25" hidden="1" customHeight="1" x14ac:dyDescent="0.45">
      <c r="A4273" t="str">
        <f>_xlfn.XLOOKUP(B4273,Ingot!$H$12:$H$119,Ingot!$G$12:$G$119,"")</f>
        <v>Wood</v>
      </c>
      <c r="B4273" t="s">
        <v>8380</v>
      </c>
      <c r="C4273" t="s">
        <v>157</v>
      </c>
      <c r="D4273" t="s">
        <v>8593</v>
      </c>
      <c r="E4273" t="s">
        <v>8594</v>
      </c>
      <c r="G4273" s="1">
        <v>5</v>
      </c>
    </row>
    <row r="4274" spans="1:7" ht="14.25" hidden="1" customHeight="1" x14ac:dyDescent="0.45">
      <c r="A4274" t="str">
        <f>_xlfn.XLOOKUP(B4274,Ingot!$H$12:$H$119,Ingot!$G$12:$G$119,"")</f>
        <v>Wood</v>
      </c>
      <c r="B4274" t="s">
        <v>8380</v>
      </c>
      <c r="C4274" t="s">
        <v>157</v>
      </c>
      <c r="D4274" t="s">
        <v>8595</v>
      </c>
      <c r="E4274" t="s">
        <v>8596</v>
      </c>
      <c r="G4274" s="1">
        <v>10</v>
      </c>
    </row>
    <row r="4275" spans="1:7" ht="14.25" hidden="1" customHeight="1" x14ac:dyDescent="0.45">
      <c r="A4275" t="str">
        <f>_xlfn.XLOOKUP(B4275,Ingot!$H$12:$H$119,Ingot!$G$12:$G$119,"")</f>
        <v>Wood</v>
      </c>
      <c r="B4275" t="s">
        <v>8380</v>
      </c>
      <c r="C4275" t="s">
        <v>157</v>
      </c>
      <c r="D4275" t="s">
        <v>8597</v>
      </c>
      <c r="E4275" t="s">
        <v>8598</v>
      </c>
      <c r="F4275" t="s">
        <v>180</v>
      </c>
      <c r="G4275" s="1">
        <v>18.399999999999999</v>
      </c>
    </row>
    <row r="4276" spans="1:7" ht="14.25" hidden="1" customHeight="1" x14ac:dyDescent="0.45">
      <c r="A4276" t="str">
        <f>_xlfn.XLOOKUP(B4276,Ingot!$H$12:$H$119,Ingot!$G$12:$G$119,"")</f>
        <v>Wood</v>
      </c>
      <c r="B4276" t="s">
        <v>8380</v>
      </c>
      <c r="C4276" t="s">
        <v>157</v>
      </c>
      <c r="D4276" t="s">
        <v>8599</v>
      </c>
      <c r="E4276" t="s">
        <v>8600</v>
      </c>
      <c r="F4276" t="s">
        <v>180</v>
      </c>
      <c r="G4276" s="1">
        <v>5</v>
      </c>
    </row>
    <row r="4277" spans="1:7" ht="14.25" hidden="1" customHeight="1" x14ac:dyDescent="0.45">
      <c r="A4277" t="str">
        <f>_xlfn.XLOOKUP(B4277,Ingot!$H$12:$H$119,Ingot!$G$12:$G$119,"")</f>
        <v>Wood</v>
      </c>
      <c r="B4277" t="s">
        <v>8380</v>
      </c>
      <c r="C4277" t="s">
        <v>157</v>
      </c>
      <c r="D4277" t="s">
        <v>8601</v>
      </c>
      <c r="E4277" t="s">
        <v>8602</v>
      </c>
      <c r="F4277" t="s">
        <v>180</v>
      </c>
      <c r="G4277" s="1">
        <v>5</v>
      </c>
    </row>
    <row r="4278" spans="1:7" ht="14.25" hidden="1" customHeight="1" x14ac:dyDescent="0.45">
      <c r="A4278" t="str">
        <f>_xlfn.XLOOKUP(B4278,Ingot!$H$12:$H$119,Ingot!$G$12:$G$119,"")</f>
        <v>Wood</v>
      </c>
      <c r="B4278" t="s">
        <v>8380</v>
      </c>
      <c r="C4278" t="s">
        <v>157</v>
      </c>
      <c r="D4278" t="s">
        <v>8603</v>
      </c>
      <c r="E4278" t="s">
        <v>8604</v>
      </c>
      <c r="F4278" t="s">
        <v>180</v>
      </c>
      <c r="G4278" s="1">
        <v>5</v>
      </c>
    </row>
    <row r="4279" spans="1:7" ht="14.25" hidden="1" customHeight="1" x14ac:dyDescent="0.45">
      <c r="A4279" t="str">
        <f>_xlfn.XLOOKUP(B4279,Ingot!$H$12:$H$119,Ingot!$G$12:$G$119,"")</f>
        <v>Wood</v>
      </c>
      <c r="B4279" t="s">
        <v>8380</v>
      </c>
      <c r="C4279" t="s">
        <v>157</v>
      </c>
      <c r="D4279" t="s">
        <v>8605</v>
      </c>
      <c r="E4279" t="s">
        <v>8606</v>
      </c>
      <c r="F4279" t="s">
        <v>180</v>
      </c>
      <c r="G4279" s="1">
        <v>10</v>
      </c>
    </row>
    <row r="4280" spans="1:7" ht="14.25" hidden="1" customHeight="1" x14ac:dyDescent="0.45">
      <c r="A4280" t="str">
        <f>_xlfn.XLOOKUP(B4280,Ingot!$H$12:$H$119,Ingot!$G$12:$G$119,"")</f>
        <v>Wood</v>
      </c>
      <c r="B4280" t="s">
        <v>8380</v>
      </c>
      <c r="C4280" t="s">
        <v>239</v>
      </c>
      <c r="D4280" t="s">
        <v>8607</v>
      </c>
      <c r="E4280" t="s">
        <v>8608</v>
      </c>
      <c r="G4280" s="1">
        <f>(VLOOKUP(B4280,Ingot!H:I,2,FALSE()) * 0.75) * 0.75</f>
        <v>3.375</v>
      </c>
    </row>
    <row r="4281" spans="1:7" ht="14.25" hidden="1" customHeight="1" x14ac:dyDescent="0.45">
      <c r="A4281" t="str">
        <f>_xlfn.XLOOKUP(B4281,Ingot!$H$12:$H$119,Ingot!$G$12:$G$119,"")</f>
        <v>Wood</v>
      </c>
      <c r="B4281" t="s">
        <v>8380</v>
      </c>
      <c r="C4281" t="s">
        <v>239</v>
      </c>
      <c r="D4281" t="s">
        <v>8609</v>
      </c>
      <c r="E4281" t="s">
        <v>8610</v>
      </c>
      <c r="G4281" s="1">
        <f>((VLOOKUP(B4281,Ingot!H:I,2,FALSE()) * 3) - 10.25) * 0.421875</f>
        <v>3.26953125</v>
      </c>
    </row>
    <row r="4282" spans="1:7" ht="14.25" hidden="1" customHeight="1" x14ac:dyDescent="0.45">
      <c r="A4282" t="str">
        <f>_xlfn.XLOOKUP(B4282,Ingot!$H$12:$H$119,Ingot!$G$12:$G$119,"")</f>
        <v>Wood</v>
      </c>
      <c r="B4282" t="s">
        <v>8380</v>
      </c>
      <c r="C4282" t="s">
        <v>239</v>
      </c>
      <c r="D4282" t="s">
        <v>8611</v>
      </c>
      <c r="E4282" t="s">
        <v>8612</v>
      </c>
      <c r="G4282" s="1">
        <f>((VLOOKUP(B4282,Ingot!H:I,2,FALSE()) * 3) - 10.25) * 0.75</f>
        <v>5.8125</v>
      </c>
    </row>
    <row r="4283" spans="1:7" ht="14.25" hidden="1" customHeight="1" x14ac:dyDescent="0.45">
      <c r="A4283" t="str">
        <f>_xlfn.XLOOKUP(B4283,Ingot!$H$12:$H$119,Ingot!$G$12:$G$119,"")</f>
        <v>Wood</v>
      </c>
      <c r="B4283" t="s">
        <v>8380</v>
      </c>
      <c r="C4283" t="s">
        <v>239</v>
      </c>
      <c r="D4283" t="s">
        <v>8613</v>
      </c>
      <c r="E4283" t="s">
        <v>8614</v>
      </c>
      <c r="G4283" s="1">
        <f>((VLOOKUP(B4283,Ingot!H:I,2,FALSE()) * 3) - 10.25) * 0.5625</f>
        <v>4.359375</v>
      </c>
    </row>
    <row r="4284" spans="1:7" ht="14.25" hidden="1" customHeight="1" x14ac:dyDescent="0.45">
      <c r="A4284" t="str">
        <f>_xlfn.XLOOKUP(B4284,Ingot!$H$12:$H$119,Ingot!$G$12:$G$119,"")</f>
        <v>Wood</v>
      </c>
      <c r="B4284" t="s">
        <v>8380</v>
      </c>
      <c r="C4284" t="s">
        <v>239</v>
      </c>
      <c r="D4284" t="s">
        <v>8615</v>
      </c>
      <c r="E4284" t="s">
        <v>8616</v>
      </c>
      <c r="G4284" s="1">
        <f>VLOOKUP(B4284,Ingot!H:I,2,FALSE()) * 0.75</f>
        <v>4.5</v>
      </c>
    </row>
    <row r="4285" spans="1:7" ht="14.25" hidden="1" customHeight="1" x14ac:dyDescent="0.45">
      <c r="A4285" t="str">
        <f>_xlfn.XLOOKUP(B4285,Ingot!$H$12:$H$119,Ingot!$G$12:$G$119,"")</f>
        <v>Wood</v>
      </c>
      <c r="B4285" t="s">
        <v>8380</v>
      </c>
      <c r="C4285" t="s">
        <v>239</v>
      </c>
      <c r="D4285" t="s">
        <v>8617</v>
      </c>
      <c r="E4285" t="s">
        <v>8618</v>
      </c>
      <c r="G4285" s="1">
        <f>(VLOOKUP(B4285,Ingot!H:I,2,FALSE()) * 3) - 10.25</f>
        <v>7.75</v>
      </c>
    </row>
    <row r="4286" spans="1:7" ht="14.25" hidden="1" customHeight="1" x14ac:dyDescent="0.45">
      <c r="A4286" t="str">
        <f>_xlfn.XLOOKUP(B4286,Ingot!$H$12:$H$119,Ingot!$G$12:$G$119,"")</f>
        <v>Wood</v>
      </c>
      <c r="B4286" t="s">
        <v>8619</v>
      </c>
      <c r="C4286" t="s">
        <v>10</v>
      </c>
      <c r="D4286" t="s">
        <v>8620</v>
      </c>
      <c r="E4286" t="s">
        <v>8621</v>
      </c>
      <c r="G4286" s="1">
        <v>0.08</v>
      </c>
    </row>
    <row r="4287" spans="1:7" ht="14.25" hidden="1" customHeight="1" x14ac:dyDescent="0.45">
      <c r="A4287" t="str">
        <f>_xlfn.XLOOKUP(B4287,Ingot!$H$12:$H$119,Ingot!$G$12:$G$119,"")</f>
        <v>Wood</v>
      </c>
      <c r="B4287" t="s">
        <v>8619</v>
      </c>
      <c r="C4287" t="s">
        <v>10</v>
      </c>
      <c r="D4287" t="s">
        <v>8622</v>
      </c>
      <c r="E4287" t="s">
        <v>8623</v>
      </c>
      <c r="G4287" s="1">
        <v>9.9</v>
      </c>
    </row>
    <row r="4288" spans="1:7" ht="14.25" hidden="1" customHeight="1" x14ac:dyDescent="0.45">
      <c r="A4288" t="str">
        <f>_xlfn.XLOOKUP(B4288,Ingot!$H$12:$H$119,Ingot!$G$12:$G$119,"")</f>
        <v>Wood</v>
      </c>
      <c r="B4288" t="s">
        <v>8619</v>
      </c>
      <c r="C4288" t="s">
        <v>10</v>
      </c>
      <c r="D4288" t="s">
        <v>8624</v>
      </c>
      <c r="E4288" t="s">
        <v>8625</v>
      </c>
      <c r="G4288" s="1">
        <v>5.66</v>
      </c>
    </row>
    <row r="4289" spans="1:7" ht="14.25" hidden="1" customHeight="1" x14ac:dyDescent="0.45">
      <c r="A4289" t="str">
        <f>_xlfn.XLOOKUP(B4289,Ingot!$H$12:$H$119,Ingot!$G$12:$G$119,"")</f>
        <v>Wood</v>
      </c>
      <c r="B4289" t="s">
        <v>8619</v>
      </c>
      <c r="C4289" t="s">
        <v>10</v>
      </c>
      <c r="D4289" t="s">
        <v>8626</v>
      </c>
      <c r="E4289" t="s">
        <v>8627</v>
      </c>
      <c r="G4289" s="1">
        <v>3.3</v>
      </c>
    </row>
    <row r="4290" spans="1:7" ht="14.25" hidden="1" customHeight="1" x14ac:dyDescent="0.45">
      <c r="A4290" t="str">
        <f>_xlfn.XLOOKUP(B4290,Ingot!$H$12:$H$119,Ingot!$G$12:$G$119,"")</f>
        <v>Wood</v>
      </c>
      <c r="B4290" t="s">
        <v>8619</v>
      </c>
      <c r="C4290" t="s">
        <v>10</v>
      </c>
      <c r="D4290" t="s">
        <v>8628</v>
      </c>
      <c r="E4290" t="s">
        <v>8629</v>
      </c>
      <c r="G4290" s="1">
        <v>0.66</v>
      </c>
    </row>
    <row r="4291" spans="1:7" ht="14.25" hidden="1" customHeight="1" x14ac:dyDescent="0.45">
      <c r="A4291" t="str">
        <f>_xlfn.XLOOKUP(B4291,Ingot!$H$12:$H$119,Ingot!$G$12:$G$119,"")</f>
        <v>Wood</v>
      </c>
      <c r="B4291" t="s">
        <v>8619</v>
      </c>
      <c r="C4291" t="s">
        <v>10</v>
      </c>
      <c r="D4291" t="s">
        <v>8630</v>
      </c>
      <c r="E4291" t="s">
        <v>8631</v>
      </c>
      <c r="G4291" s="1">
        <v>0.04</v>
      </c>
    </row>
    <row r="4292" spans="1:7" ht="14.25" hidden="1" customHeight="1" x14ac:dyDescent="0.45">
      <c r="A4292" t="str">
        <f>_xlfn.XLOOKUP(B4292,Ingot!$H$12:$H$119,Ingot!$G$12:$G$119,"")</f>
        <v>Wood</v>
      </c>
      <c r="B4292" t="s">
        <v>8619</v>
      </c>
      <c r="C4292" t="s">
        <v>10</v>
      </c>
      <c r="D4292" t="s">
        <v>8632</v>
      </c>
      <c r="E4292" t="s">
        <v>8633</v>
      </c>
      <c r="G4292" s="1">
        <v>0.33</v>
      </c>
    </row>
    <row r="4293" spans="1:7" ht="14.25" hidden="1" customHeight="1" x14ac:dyDescent="0.45">
      <c r="A4293" t="str">
        <f>_xlfn.XLOOKUP(B4293,Ingot!$H$12:$H$119,Ingot!$G$12:$G$119,"")</f>
        <v>Wood</v>
      </c>
      <c r="B4293" t="s">
        <v>8619</v>
      </c>
      <c r="C4293" t="s">
        <v>10</v>
      </c>
      <c r="D4293" t="s">
        <v>8634</v>
      </c>
      <c r="E4293" t="s">
        <v>8635</v>
      </c>
    </row>
    <row r="4294" spans="1:7" ht="14.25" hidden="1" customHeight="1" x14ac:dyDescent="0.45">
      <c r="A4294" t="str">
        <f>_xlfn.XLOOKUP(B4294,Ingot!$H$12:$H$119,Ingot!$G$12:$G$119,"")</f>
        <v>Wood</v>
      </c>
      <c r="B4294" t="s">
        <v>8619</v>
      </c>
      <c r="C4294" t="s">
        <v>10</v>
      </c>
      <c r="D4294" t="s">
        <v>8636</v>
      </c>
      <c r="E4294" t="s">
        <v>8637</v>
      </c>
      <c r="G4294" s="1">
        <v>0.05</v>
      </c>
    </row>
    <row r="4295" spans="1:7" ht="14.25" hidden="1" customHeight="1" x14ac:dyDescent="0.45">
      <c r="A4295" t="str">
        <f>_xlfn.XLOOKUP(B4295,Ingot!$H$12:$H$119,Ingot!$G$12:$G$119,"")</f>
        <v>Wood</v>
      </c>
      <c r="B4295" t="s">
        <v>8619</v>
      </c>
      <c r="C4295" t="s">
        <v>10</v>
      </c>
      <c r="D4295" t="s">
        <v>8638</v>
      </c>
      <c r="E4295" t="s">
        <v>8639</v>
      </c>
      <c r="G4295" s="1">
        <v>0.66</v>
      </c>
    </row>
    <row r="4296" spans="1:7" ht="14.25" hidden="1" customHeight="1" x14ac:dyDescent="0.45">
      <c r="A4296" t="str">
        <f>_xlfn.XLOOKUP(B4296,Ingot!$H$12:$H$119,Ingot!$G$12:$G$119,"")</f>
        <v>Wood</v>
      </c>
      <c r="B4296" t="s">
        <v>8619</v>
      </c>
      <c r="C4296" t="s">
        <v>10</v>
      </c>
      <c r="D4296" t="s">
        <v>8640</v>
      </c>
      <c r="E4296" t="s">
        <v>8641</v>
      </c>
      <c r="G4296" s="1">
        <v>3.96</v>
      </c>
    </row>
    <row r="4297" spans="1:7" ht="14.25" hidden="1" customHeight="1" x14ac:dyDescent="0.45">
      <c r="A4297" t="str">
        <f>_xlfn.XLOOKUP(B4297,Ingot!$H$12:$H$119,Ingot!$G$12:$G$119,"")</f>
        <v>Wood</v>
      </c>
      <c r="B4297" t="s">
        <v>8619</v>
      </c>
      <c r="C4297" t="s">
        <v>10</v>
      </c>
      <c r="D4297" t="s">
        <v>8642</v>
      </c>
      <c r="E4297" t="s">
        <v>8643</v>
      </c>
      <c r="G4297" s="1">
        <v>8.77</v>
      </c>
    </row>
    <row r="4298" spans="1:7" ht="14.25" hidden="1" customHeight="1" x14ac:dyDescent="0.45">
      <c r="A4298" t="str">
        <f>_xlfn.XLOOKUP(B4298,Ingot!$H$12:$H$119,Ingot!$G$12:$G$119,"")</f>
        <v>Wood</v>
      </c>
      <c r="B4298" t="s">
        <v>8619</v>
      </c>
      <c r="C4298" t="s">
        <v>10</v>
      </c>
      <c r="D4298" t="s">
        <v>8644</v>
      </c>
      <c r="E4298" t="s">
        <v>8645</v>
      </c>
      <c r="G4298" s="1">
        <v>3.5</v>
      </c>
    </row>
    <row r="4299" spans="1:7" ht="14.25" hidden="1" customHeight="1" x14ac:dyDescent="0.45">
      <c r="A4299" t="str">
        <f>_xlfn.XLOOKUP(B4299,Ingot!$H$12:$H$119,Ingot!$G$12:$G$119,"")</f>
        <v>Wood</v>
      </c>
      <c r="B4299" t="s">
        <v>8619</v>
      </c>
      <c r="C4299" t="s">
        <v>10</v>
      </c>
      <c r="D4299" t="s">
        <v>8646</v>
      </c>
      <c r="E4299" t="s">
        <v>8647</v>
      </c>
    </row>
    <row r="4300" spans="1:7" ht="14.25" hidden="1" customHeight="1" x14ac:dyDescent="0.45">
      <c r="A4300" t="str">
        <f>_xlfn.XLOOKUP(B4300,Ingot!$H$12:$H$119,Ingot!$G$12:$G$119,"")</f>
        <v>Wood</v>
      </c>
      <c r="B4300" t="s">
        <v>8619</v>
      </c>
      <c r="C4300" t="s">
        <v>10</v>
      </c>
      <c r="D4300" t="s">
        <v>8648</v>
      </c>
      <c r="E4300" t="s">
        <v>8649</v>
      </c>
      <c r="G4300" s="1">
        <v>2.2000000000000002</v>
      </c>
    </row>
    <row r="4301" spans="1:7" ht="14.25" hidden="1" customHeight="1" x14ac:dyDescent="0.45">
      <c r="A4301" t="str">
        <f>_xlfn.XLOOKUP(B4301,Ingot!$H$12:$H$119,Ingot!$G$12:$G$119,"")</f>
        <v>Wood</v>
      </c>
      <c r="B4301" t="s">
        <v>8619</v>
      </c>
      <c r="C4301" t="s">
        <v>10</v>
      </c>
      <c r="D4301" t="s">
        <v>8650</v>
      </c>
      <c r="E4301" t="s">
        <v>8651</v>
      </c>
      <c r="G4301" s="1">
        <v>1.1000000000000001</v>
      </c>
    </row>
    <row r="4302" spans="1:7" ht="14.25" hidden="1" customHeight="1" x14ac:dyDescent="0.45">
      <c r="A4302" t="str">
        <f>_xlfn.XLOOKUP(B4302,Ingot!$H$12:$H$119,Ingot!$G$12:$G$119,"")</f>
        <v>Wood</v>
      </c>
      <c r="B4302" t="s">
        <v>8619</v>
      </c>
      <c r="C4302" t="s">
        <v>10</v>
      </c>
      <c r="D4302" t="s">
        <v>8652</v>
      </c>
      <c r="E4302" t="s">
        <v>8653</v>
      </c>
      <c r="G4302" s="1">
        <v>0.22</v>
      </c>
    </row>
    <row r="4303" spans="1:7" ht="14.25" hidden="1" customHeight="1" x14ac:dyDescent="0.45">
      <c r="A4303" t="str">
        <f>_xlfn.XLOOKUP(B4303,Ingot!$H$12:$H$119,Ingot!$G$12:$G$119,"")</f>
        <v>Wood</v>
      </c>
      <c r="B4303" t="s">
        <v>8619</v>
      </c>
      <c r="C4303" t="s">
        <v>10</v>
      </c>
      <c r="D4303" t="s">
        <v>8654</v>
      </c>
      <c r="E4303" t="s">
        <v>8655</v>
      </c>
      <c r="G4303" s="1">
        <v>8.41</v>
      </c>
    </row>
    <row r="4304" spans="1:7" ht="14.25" hidden="1" customHeight="1" x14ac:dyDescent="0.45">
      <c r="A4304" t="str">
        <f>_xlfn.XLOOKUP(B4304,Ingot!$H$12:$H$119,Ingot!$G$12:$G$119,"")</f>
        <v>Wood</v>
      </c>
      <c r="B4304" t="s">
        <v>8619</v>
      </c>
      <c r="C4304" t="s">
        <v>10</v>
      </c>
      <c r="D4304" t="s">
        <v>8656</v>
      </c>
      <c r="E4304" t="s">
        <v>8657</v>
      </c>
      <c r="G4304" s="1">
        <v>3.64</v>
      </c>
    </row>
    <row r="4305" spans="1:7" ht="14.25" hidden="1" customHeight="1" x14ac:dyDescent="0.45">
      <c r="A4305" t="str">
        <f>_xlfn.XLOOKUP(B4305,Ingot!$H$12:$H$119,Ingot!$G$12:$G$119,"")</f>
        <v>Wood</v>
      </c>
      <c r="B4305" t="s">
        <v>8619</v>
      </c>
      <c r="C4305" t="s">
        <v>10</v>
      </c>
      <c r="D4305" t="s">
        <v>8658</v>
      </c>
      <c r="E4305" t="s">
        <v>8659</v>
      </c>
      <c r="G4305" s="1">
        <v>7.05</v>
      </c>
    </row>
    <row r="4306" spans="1:7" ht="14.25" hidden="1" customHeight="1" x14ac:dyDescent="0.45">
      <c r="A4306" t="str">
        <f>_xlfn.XLOOKUP(B4306,Ingot!$H$12:$H$119,Ingot!$G$12:$G$119,"")</f>
        <v>Wood</v>
      </c>
      <c r="B4306" t="s">
        <v>8619</v>
      </c>
      <c r="C4306" t="s">
        <v>10</v>
      </c>
      <c r="D4306" t="s">
        <v>8660</v>
      </c>
      <c r="E4306" t="s">
        <v>8661</v>
      </c>
      <c r="G4306" s="1">
        <v>2.65</v>
      </c>
    </row>
    <row r="4307" spans="1:7" ht="14.25" hidden="1" customHeight="1" x14ac:dyDescent="0.45">
      <c r="A4307" t="str">
        <f>_xlfn.XLOOKUP(B4307,Ingot!$H$12:$H$119,Ingot!$G$12:$G$119,"")</f>
        <v>Wood</v>
      </c>
      <c r="B4307" t="s">
        <v>8619</v>
      </c>
      <c r="C4307" t="s">
        <v>10</v>
      </c>
      <c r="D4307" t="s">
        <v>8662</v>
      </c>
      <c r="E4307" t="s">
        <v>8663</v>
      </c>
      <c r="G4307" s="1">
        <v>9</v>
      </c>
    </row>
    <row r="4308" spans="1:7" ht="14.25" hidden="1" customHeight="1" x14ac:dyDescent="0.45">
      <c r="A4308" t="str">
        <f>_xlfn.XLOOKUP(B4308,Ingot!$H$12:$H$119,Ingot!$G$12:$G$119,"")</f>
        <v>Wood</v>
      </c>
      <c r="B4308" t="s">
        <v>8619</v>
      </c>
      <c r="C4308" t="s">
        <v>10</v>
      </c>
      <c r="D4308" t="s">
        <v>8664</v>
      </c>
      <c r="E4308" t="s">
        <v>8665</v>
      </c>
      <c r="G4308" s="1">
        <v>10.23</v>
      </c>
    </row>
    <row r="4309" spans="1:7" ht="14.25" hidden="1" customHeight="1" x14ac:dyDescent="0.45">
      <c r="A4309" t="str">
        <f>_xlfn.XLOOKUP(B4309,Ingot!$H$12:$H$119,Ingot!$G$12:$G$119,"")</f>
        <v>Wood</v>
      </c>
      <c r="B4309" t="s">
        <v>8619</v>
      </c>
      <c r="C4309" t="s">
        <v>10</v>
      </c>
      <c r="D4309" t="s">
        <v>8666</v>
      </c>
      <c r="E4309" t="s">
        <v>8667</v>
      </c>
      <c r="G4309" s="1">
        <v>7.7</v>
      </c>
    </row>
    <row r="4310" spans="1:7" ht="14.25" hidden="1" customHeight="1" x14ac:dyDescent="0.45">
      <c r="A4310" t="str">
        <f>_xlfn.XLOOKUP(B4310,Ingot!$H$12:$H$119,Ingot!$G$12:$G$119,"")</f>
        <v>Wood</v>
      </c>
      <c r="B4310" t="s">
        <v>8619</v>
      </c>
      <c r="C4310" t="s">
        <v>10</v>
      </c>
      <c r="D4310" t="s">
        <v>8668</v>
      </c>
      <c r="E4310" t="s">
        <v>8669</v>
      </c>
      <c r="G4310" s="1">
        <v>10.02</v>
      </c>
    </row>
    <row r="4311" spans="1:7" ht="14.25" hidden="1" customHeight="1" x14ac:dyDescent="0.45">
      <c r="A4311" t="str">
        <f>_xlfn.XLOOKUP(B4311,Ingot!$H$12:$H$119,Ingot!$G$12:$G$119,"")</f>
        <v>Wood</v>
      </c>
      <c r="B4311" t="s">
        <v>8619</v>
      </c>
      <c r="C4311" t="s">
        <v>10</v>
      </c>
      <c r="D4311" t="s">
        <v>8670</v>
      </c>
      <c r="E4311" t="s">
        <v>8671</v>
      </c>
      <c r="G4311" s="1">
        <v>11.81</v>
      </c>
    </row>
    <row r="4312" spans="1:7" ht="14.25" hidden="1" customHeight="1" x14ac:dyDescent="0.45">
      <c r="A4312" t="str">
        <f>_xlfn.XLOOKUP(B4312,Ingot!$H$12:$H$119,Ingot!$G$12:$G$119,"")</f>
        <v>Wood</v>
      </c>
      <c r="B4312" t="s">
        <v>8619</v>
      </c>
      <c r="C4312" t="s">
        <v>10</v>
      </c>
      <c r="D4312" t="s">
        <v>8672</v>
      </c>
      <c r="E4312" t="s">
        <v>8673</v>
      </c>
      <c r="G4312" s="1">
        <v>8.44</v>
      </c>
    </row>
    <row r="4313" spans="1:7" ht="14.25" hidden="1" customHeight="1" x14ac:dyDescent="0.45">
      <c r="A4313" t="str">
        <f>_xlfn.XLOOKUP(B4313,Ingot!$H$12:$H$119,Ingot!$G$12:$G$119,"")</f>
        <v>Wood</v>
      </c>
      <c r="B4313" t="s">
        <v>8619</v>
      </c>
      <c r="C4313" t="s">
        <v>10</v>
      </c>
      <c r="D4313" t="s">
        <v>8674</v>
      </c>
      <c r="E4313" t="s">
        <v>8675</v>
      </c>
      <c r="G4313" s="1">
        <v>10.42</v>
      </c>
    </row>
    <row r="4314" spans="1:7" ht="14.25" hidden="1" customHeight="1" x14ac:dyDescent="0.45">
      <c r="A4314" t="str">
        <f>_xlfn.XLOOKUP(B4314,Ingot!$H$12:$H$119,Ingot!$G$12:$G$119,"")</f>
        <v>Wood</v>
      </c>
      <c r="B4314" t="s">
        <v>8619</v>
      </c>
      <c r="C4314" t="s">
        <v>10</v>
      </c>
      <c r="D4314" t="s">
        <v>8676</v>
      </c>
      <c r="E4314" t="s">
        <v>8677</v>
      </c>
    </row>
    <row r="4315" spans="1:7" ht="14.25" hidden="1" customHeight="1" x14ac:dyDescent="0.45">
      <c r="A4315" t="str">
        <f>_xlfn.XLOOKUP(B4315,Ingot!$H$12:$H$119,Ingot!$G$12:$G$119,"")</f>
        <v>Wood</v>
      </c>
      <c r="B4315" t="s">
        <v>8619</v>
      </c>
      <c r="C4315" t="s">
        <v>10</v>
      </c>
      <c r="D4315" t="s">
        <v>8678</v>
      </c>
      <c r="E4315" t="s">
        <v>8679</v>
      </c>
      <c r="G4315" s="1">
        <v>7.96</v>
      </c>
    </row>
    <row r="4316" spans="1:7" ht="14.25" hidden="1" customHeight="1" x14ac:dyDescent="0.45">
      <c r="A4316" t="str">
        <f>_xlfn.XLOOKUP(B4316,Ingot!$H$12:$H$119,Ingot!$G$12:$G$119,"")</f>
        <v>Wood</v>
      </c>
      <c r="B4316" t="s">
        <v>8619</v>
      </c>
      <c r="C4316" t="s">
        <v>10</v>
      </c>
      <c r="D4316" t="s">
        <v>8680</v>
      </c>
      <c r="E4316" t="s">
        <v>8681</v>
      </c>
      <c r="G4316" s="1">
        <v>9.64</v>
      </c>
    </row>
    <row r="4317" spans="1:7" ht="14.25" hidden="1" customHeight="1" x14ac:dyDescent="0.45">
      <c r="A4317" t="str">
        <f>_xlfn.XLOOKUP(B4317,Ingot!$H$12:$H$119,Ingot!$G$12:$G$119,"")</f>
        <v>Wood</v>
      </c>
      <c r="B4317" t="s">
        <v>8619</v>
      </c>
      <c r="C4317" t="s">
        <v>10</v>
      </c>
      <c r="D4317" t="s">
        <v>8682</v>
      </c>
      <c r="E4317" t="s">
        <v>8683</v>
      </c>
      <c r="G4317" s="1">
        <v>7.94</v>
      </c>
    </row>
    <row r="4318" spans="1:7" ht="14.25" hidden="1" customHeight="1" x14ac:dyDescent="0.45">
      <c r="A4318" t="str">
        <f>_xlfn.XLOOKUP(B4318,Ingot!$H$12:$H$119,Ingot!$G$12:$G$119,"")</f>
        <v>Wood</v>
      </c>
      <c r="B4318" t="s">
        <v>8619</v>
      </c>
      <c r="C4318" t="s">
        <v>10</v>
      </c>
      <c r="D4318" t="s">
        <v>8684</v>
      </c>
      <c r="E4318" t="s">
        <v>8685</v>
      </c>
      <c r="G4318" s="1">
        <v>8.66</v>
      </c>
    </row>
    <row r="4319" spans="1:7" ht="14.25" hidden="1" customHeight="1" x14ac:dyDescent="0.45">
      <c r="A4319" t="str">
        <f>_xlfn.XLOOKUP(B4319,Ingot!$H$12:$H$119,Ingot!$G$12:$G$119,"")</f>
        <v>Wood</v>
      </c>
      <c r="B4319" t="s">
        <v>8619</v>
      </c>
      <c r="C4319" t="s">
        <v>10</v>
      </c>
      <c r="D4319" t="s">
        <v>8686</v>
      </c>
      <c r="E4319" t="s">
        <v>8687</v>
      </c>
    </row>
    <row r="4320" spans="1:7" ht="14.25" hidden="1" customHeight="1" x14ac:dyDescent="0.45">
      <c r="A4320" t="str">
        <f>_xlfn.XLOOKUP(B4320,Ingot!$H$12:$H$119,Ingot!$G$12:$G$119,"")</f>
        <v>Wood</v>
      </c>
      <c r="B4320" t="s">
        <v>8619</v>
      </c>
      <c r="C4320" t="s">
        <v>10</v>
      </c>
      <c r="D4320" t="s">
        <v>8688</v>
      </c>
      <c r="E4320" t="s">
        <v>8689</v>
      </c>
      <c r="G4320" s="1">
        <v>2.65</v>
      </c>
    </row>
    <row r="4321" spans="1:7" ht="14.25" hidden="1" customHeight="1" x14ac:dyDescent="0.45">
      <c r="A4321" t="str">
        <f>_xlfn.XLOOKUP(B4321,Ingot!$H$12:$H$119,Ingot!$G$12:$G$119,"")</f>
        <v>Wood</v>
      </c>
      <c r="B4321" t="s">
        <v>8619</v>
      </c>
      <c r="C4321" t="s">
        <v>10</v>
      </c>
      <c r="D4321" t="s">
        <v>8690</v>
      </c>
      <c r="E4321" t="s">
        <v>8691</v>
      </c>
    </row>
    <row r="4322" spans="1:7" ht="14.25" hidden="1" customHeight="1" x14ac:dyDescent="0.45">
      <c r="A4322" t="str">
        <f>_xlfn.XLOOKUP(B4322,Ingot!$H$12:$H$119,Ingot!$G$12:$G$119,"")</f>
        <v>Wood</v>
      </c>
      <c r="B4322" t="s">
        <v>8619</v>
      </c>
      <c r="C4322" t="s">
        <v>10</v>
      </c>
      <c r="D4322" t="s">
        <v>8692</v>
      </c>
      <c r="E4322" t="s">
        <v>8693</v>
      </c>
      <c r="G4322" s="1">
        <v>12.64</v>
      </c>
    </row>
    <row r="4323" spans="1:7" ht="14.25" hidden="1" customHeight="1" x14ac:dyDescent="0.45">
      <c r="A4323" t="str">
        <f>_xlfn.XLOOKUP(B4323,Ingot!$H$12:$H$119,Ingot!$G$12:$G$119,"")</f>
        <v>Wood</v>
      </c>
      <c r="B4323" t="s">
        <v>8619</v>
      </c>
      <c r="C4323" t="s">
        <v>10</v>
      </c>
      <c r="D4323" t="s">
        <v>8694</v>
      </c>
      <c r="E4323" t="s">
        <v>8695</v>
      </c>
      <c r="G4323" s="1">
        <v>22.67</v>
      </c>
    </row>
    <row r="4324" spans="1:7" ht="14.25" hidden="1" customHeight="1" x14ac:dyDescent="0.45">
      <c r="A4324" t="str">
        <f>_xlfn.XLOOKUP(B4324,Ingot!$H$12:$H$119,Ingot!$G$12:$G$119,"")</f>
        <v>Wood</v>
      </c>
      <c r="B4324" t="s">
        <v>8619</v>
      </c>
      <c r="C4324" t="s">
        <v>10</v>
      </c>
      <c r="D4324" t="s">
        <v>8696</v>
      </c>
      <c r="E4324" t="s">
        <v>8697</v>
      </c>
      <c r="G4324" s="1">
        <v>8.3800000000000008</v>
      </c>
    </row>
    <row r="4325" spans="1:7" ht="14.25" hidden="1" customHeight="1" x14ac:dyDescent="0.45">
      <c r="A4325" t="str">
        <f>_xlfn.XLOOKUP(B4325,Ingot!$H$12:$H$119,Ingot!$G$12:$G$119,"")</f>
        <v>Wood</v>
      </c>
      <c r="B4325" t="s">
        <v>8619</v>
      </c>
      <c r="C4325" t="s">
        <v>10</v>
      </c>
      <c r="D4325" t="s">
        <v>8698</v>
      </c>
      <c r="E4325" t="s">
        <v>8699</v>
      </c>
      <c r="G4325" s="1">
        <v>2.2000000000000002</v>
      </c>
    </row>
    <row r="4326" spans="1:7" ht="14.25" hidden="1" customHeight="1" x14ac:dyDescent="0.45">
      <c r="A4326" t="str">
        <f>_xlfn.XLOOKUP(B4326,Ingot!$H$12:$H$119,Ingot!$G$12:$G$119,"")</f>
        <v>Wood</v>
      </c>
      <c r="B4326" t="s">
        <v>8619</v>
      </c>
      <c r="C4326" t="s">
        <v>10</v>
      </c>
      <c r="D4326" t="s">
        <v>8700</v>
      </c>
      <c r="E4326" t="s">
        <v>8701</v>
      </c>
      <c r="G4326" s="1">
        <v>3.09</v>
      </c>
    </row>
    <row r="4327" spans="1:7" ht="14.25" hidden="1" customHeight="1" x14ac:dyDescent="0.45">
      <c r="A4327" t="str">
        <f>_xlfn.XLOOKUP(B4327,Ingot!$H$12:$H$119,Ingot!$G$12:$G$119,"")</f>
        <v>Wood</v>
      </c>
      <c r="B4327" t="s">
        <v>8619</v>
      </c>
      <c r="C4327" t="s">
        <v>10</v>
      </c>
      <c r="D4327" t="s">
        <v>8702</v>
      </c>
      <c r="E4327" t="s">
        <v>8703</v>
      </c>
      <c r="G4327" s="1">
        <v>2.2999999999999998</v>
      </c>
    </row>
    <row r="4328" spans="1:7" ht="14.25" hidden="1" customHeight="1" x14ac:dyDescent="0.45">
      <c r="A4328" t="str">
        <f>_xlfn.XLOOKUP(B4328,Ingot!$H$12:$H$119,Ingot!$G$12:$G$119,"")</f>
        <v>Wood</v>
      </c>
      <c r="B4328" t="s">
        <v>8619</v>
      </c>
      <c r="C4328" t="s">
        <v>10</v>
      </c>
      <c r="D4328" t="s">
        <v>8704</v>
      </c>
      <c r="E4328" t="s">
        <v>8705</v>
      </c>
      <c r="G4328" s="1">
        <v>4.88</v>
      </c>
    </row>
    <row r="4329" spans="1:7" ht="14.25" hidden="1" customHeight="1" x14ac:dyDescent="0.45">
      <c r="A4329" t="str">
        <f>_xlfn.XLOOKUP(B4329,Ingot!$H$12:$H$119,Ingot!$G$12:$G$119,"")</f>
        <v>Wood</v>
      </c>
      <c r="B4329" t="s">
        <v>8619</v>
      </c>
      <c r="C4329" t="s">
        <v>10</v>
      </c>
      <c r="D4329" t="s">
        <v>8706</v>
      </c>
      <c r="E4329" t="s">
        <v>8707</v>
      </c>
      <c r="G4329" s="1">
        <v>8.43</v>
      </c>
    </row>
    <row r="4330" spans="1:7" ht="14.25" hidden="1" customHeight="1" x14ac:dyDescent="0.45">
      <c r="A4330" t="str">
        <f>_xlfn.XLOOKUP(B4330,Ingot!$H$12:$H$119,Ingot!$G$12:$G$119,"")</f>
        <v>Wood</v>
      </c>
      <c r="B4330" t="s">
        <v>8619</v>
      </c>
      <c r="C4330" t="s">
        <v>10</v>
      </c>
      <c r="D4330" t="s">
        <v>8708</v>
      </c>
      <c r="E4330" t="s">
        <v>8709</v>
      </c>
      <c r="G4330" s="1">
        <v>13.07</v>
      </c>
    </row>
    <row r="4331" spans="1:7" ht="14.25" hidden="1" customHeight="1" x14ac:dyDescent="0.45">
      <c r="A4331" t="str">
        <f>_xlfn.XLOOKUP(B4331,Ingot!$H$12:$H$119,Ingot!$G$12:$G$119,"")</f>
        <v>Wood</v>
      </c>
      <c r="B4331" t="s">
        <v>8619</v>
      </c>
      <c r="C4331" t="s">
        <v>10</v>
      </c>
      <c r="D4331" t="s">
        <v>8710</v>
      </c>
      <c r="E4331" t="s">
        <v>8711</v>
      </c>
    </row>
    <row r="4332" spans="1:7" ht="14.25" hidden="1" customHeight="1" x14ac:dyDescent="0.45">
      <c r="A4332" t="str">
        <f>_xlfn.XLOOKUP(B4332,Ingot!$H$12:$H$119,Ingot!$G$12:$G$119,"")</f>
        <v>Wood</v>
      </c>
      <c r="B4332" t="s">
        <v>8619</v>
      </c>
      <c r="C4332" t="s">
        <v>10</v>
      </c>
      <c r="D4332" t="s">
        <v>8712</v>
      </c>
      <c r="E4332" t="s">
        <v>8713</v>
      </c>
    </row>
    <row r="4333" spans="1:7" ht="14.25" hidden="1" customHeight="1" x14ac:dyDescent="0.45">
      <c r="A4333" t="str">
        <f>_xlfn.XLOOKUP(B4333,Ingot!$H$12:$H$119,Ingot!$G$12:$G$119,"")</f>
        <v>Wood</v>
      </c>
      <c r="B4333" t="s">
        <v>8619</v>
      </c>
      <c r="C4333" t="s">
        <v>10</v>
      </c>
      <c r="D4333" t="s">
        <v>8714</v>
      </c>
      <c r="E4333" t="s">
        <v>8715</v>
      </c>
      <c r="G4333" s="1">
        <v>6.8</v>
      </c>
    </row>
    <row r="4334" spans="1:7" ht="14.25" hidden="1" customHeight="1" x14ac:dyDescent="0.45">
      <c r="A4334" t="str">
        <f>_xlfn.XLOOKUP(B4334,Ingot!$H$12:$H$119,Ingot!$G$12:$G$119,"")</f>
        <v>Wood</v>
      </c>
      <c r="B4334" t="s">
        <v>8619</v>
      </c>
      <c r="C4334" t="s">
        <v>10</v>
      </c>
      <c r="D4334" t="s">
        <v>8716</v>
      </c>
      <c r="E4334" t="s">
        <v>8717</v>
      </c>
      <c r="G4334" s="1">
        <v>6.88</v>
      </c>
    </row>
    <row r="4335" spans="1:7" ht="14.25" hidden="1" customHeight="1" x14ac:dyDescent="0.45">
      <c r="A4335" t="str">
        <f>_xlfn.XLOOKUP(B4335,Ingot!$H$12:$H$119,Ingot!$G$12:$G$119,"")</f>
        <v>Wood</v>
      </c>
      <c r="B4335" t="s">
        <v>8619</v>
      </c>
      <c r="C4335" t="s">
        <v>10</v>
      </c>
      <c r="D4335" t="s">
        <v>8718</v>
      </c>
      <c r="E4335" t="s">
        <v>8719</v>
      </c>
      <c r="G4335" s="1">
        <v>5.5</v>
      </c>
    </row>
    <row r="4336" spans="1:7" ht="14.25" hidden="1" customHeight="1" x14ac:dyDescent="0.45">
      <c r="A4336" t="str">
        <f>_xlfn.XLOOKUP(B4336,Ingot!$H$12:$H$119,Ingot!$G$12:$G$119,"")</f>
        <v>Wood</v>
      </c>
      <c r="B4336" t="s">
        <v>8619</v>
      </c>
      <c r="C4336" t="s">
        <v>10</v>
      </c>
      <c r="D4336" t="s">
        <v>8720</v>
      </c>
      <c r="E4336" t="s">
        <v>8721</v>
      </c>
      <c r="G4336" s="1">
        <v>2.4300000000000002</v>
      </c>
    </row>
    <row r="4337" spans="1:7" ht="14.25" hidden="1" customHeight="1" x14ac:dyDescent="0.45">
      <c r="A4337" t="str">
        <f>_xlfn.XLOOKUP(B4337,Ingot!$H$12:$H$119,Ingot!$G$12:$G$119,"")</f>
        <v>Wood</v>
      </c>
      <c r="B4337" t="s">
        <v>8619</v>
      </c>
      <c r="C4337" t="s">
        <v>10</v>
      </c>
      <c r="D4337" t="s">
        <v>8722</v>
      </c>
      <c r="E4337" t="s">
        <v>8723</v>
      </c>
      <c r="G4337" s="1">
        <v>6.96</v>
      </c>
    </row>
    <row r="4338" spans="1:7" ht="14.25" hidden="1" customHeight="1" x14ac:dyDescent="0.45">
      <c r="A4338" t="str">
        <f>_xlfn.XLOOKUP(B4338,Ingot!$H$12:$H$119,Ingot!$G$12:$G$119,"")</f>
        <v>Wood</v>
      </c>
      <c r="B4338" t="s">
        <v>8619</v>
      </c>
      <c r="C4338" t="s">
        <v>10</v>
      </c>
      <c r="D4338" t="s">
        <v>8724</v>
      </c>
      <c r="E4338" t="s">
        <v>8725</v>
      </c>
      <c r="G4338" s="1">
        <v>6.32</v>
      </c>
    </row>
    <row r="4339" spans="1:7" ht="14.25" hidden="1" customHeight="1" x14ac:dyDescent="0.45">
      <c r="A4339" t="str">
        <f>_xlfn.XLOOKUP(B4339,Ingot!$H$12:$H$119,Ingot!$G$12:$G$119,"")</f>
        <v>Wood</v>
      </c>
      <c r="B4339" t="s">
        <v>8619</v>
      </c>
      <c r="C4339" t="s">
        <v>10</v>
      </c>
      <c r="D4339" t="s">
        <v>8726</v>
      </c>
      <c r="E4339" t="s">
        <v>8727</v>
      </c>
      <c r="G4339" s="1">
        <v>6.88</v>
      </c>
    </row>
    <row r="4340" spans="1:7" ht="14.25" hidden="1" customHeight="1" x14ac:dyDescent="0.45">
      <c r="A4340" t="str">
        <f>_xlfn.XLOOKUP(B4340,Ingot!$H$12:$H$119,Ingot!$G$12:$G$119,"")</f>
        <v>Wood</v>
      </c>
      <c r="B4340" t="s">
        <v>8619</v>
      </c>
      <c r="C4340" t="s">
        <v>10</v>
      </c>
      <c r="D4340" t="s">
        <v>8728</v>
      </c>
      <c r="E4340" t="s">
        <v>8729</v>
      </c>
      <c r="G4340" s="1">
        <v>2.44</v>
      </c>
    </row>
    <row r="4341" spans="1:7" ht="14.25" hidden="1" customHeight="1" x14ac:dyDescent="0.45">
      <c r="A4341" t="str">
        <f>_xlfn.XLOOKUP(B4341,Ingot!$H$12:$H$119,Ingot!$G$12:$G$119,"")</f>
        <v>Wood</v>
      </c>
      <c r="B4341" t="s">
        <v>8619</v>
      </c>
      <c r="C4341" t="s">
        <v>10</v>
      </c>
      <c r="D4341" t="s">
        <v>8730</v>
      </c>
      <c r="E4341" t="s">
        <v>8731</v>
      </c>
    </row>
    <row r="4342" spans="1:7" ht="14.25" hidden="1" customHeight="1" x14ac:dyDescent="0.45">
      <c r="A4342" t="str">
        <f>_xlfn.XLOOKUP(B4342,Ingot!$H$12:$H$119,Ingot!$G$12:$G$119,"")</f>
        <v>Wood</v>
      </c>
      <c r="B4342" t="s">
        <v>8619</v>
      </c>
      <c r="C4342" t="s">
        <v>10</v>
      </c>
      <c r="D4342" t="s">
        <v>8732</v>
      </c>
      <c r="E4342" t="s">
        <v>8733</v>
      </c>
    </row>
    <row r="4343" spans="1:7" ht="14.25" hidden="1" customHeight="1" x14ac:dyDescent="0.45">
      <c r="A4343" t="str">
        <f>_xlfn.XLOOKUP(B4343,Ingot!$H$12:$H$119,Ingot!$G$12:$G$119,"")</f>
        <v>Wood</v>
      </c>
      <c r="B4343" t="s">
        <v>8619</v>
      </c>
      <c r="C4343" t="s">
        <v>10</v>
      </c>
      <c r="D4343" t="s">
        <v>8734</v>
      </c>
      <c r="E4343" t="s">
        <v>8735</v>
      </c>
      <c r="G4343" s="1">
        <v>3.11</v>
      </c>
    </row>
    <row r="4344" spans="1:7" ht="14.25" hidden="1" customHeight="1" x14ac:dyDescent="0.45">
      <c r="A4344" t="str">
        <f>_xlfn.XLOOKUP(B4344,Ingot!$H$12:$H$119,Ingot!$G$12:$G$119,"")</f>
        <v>Wood</v>
      </c>
      <c r="B4344" t="s">
        <v>8619</v>
      </c>
      <c r="C4344" t="s">
        <v>10</v>
      </c>
      <c r="D4344" t="s">
        <v>8736</v>
      </c>
      <c r="E4344" t="s">
        <v>8737</v>
      </c>
      <c r="G4344" s="1">
        <v>2.44</v>
      </c>
    </row>
    <row r="4345" spans="1:7" ht="14.25" hidden="1" customHeight="1" x14ac:dyDescent="0.45">
      <c r="A4345" t="str">
        <f>_xlfn.XLOOKUP(B4345,Ingot!$H$12:$H$119,Ingot!$G$12:$G$119,"")</f>
        <v>Wood</v>
      </c>
      <c r="B4345" t="s">
        <v>8619</v>
      </c>
      <c r="C4345" t="s">
        <v>10</v>
      </c>
      <c r="D4345" t="s">
        <v>8738</v>
      </c>
      <c r="E4345" t="s">
        <v>8739</v>
      </c>
      <c r="G4345" s="1">
        <v>8.61</v>
      </c>
    </row>
    <row r="4346" spans="1:7" ht="14.25" hidden="1" customHeight="1" x14ac:dyDescent="0.45">
      <c r="A4346" t="str">
        <f>_xlfn.XLOOKUP(B4346,Ingot!$H$12:$H$119,Ingot!$G$12:$G$119,"")</f>
        <v>Wood</v>
      </c>
      <c r="B4346" t="s">
        <v>8619</v>
      </c>
      <c r="C4346" t="s">
        <v>10</v>
      </c>
      <c r="D4346" t="s">
        <v>8740</v>
      </c>
      <c r="E4346" t="s">
        <v>8741</v>
      </c>
    </row>
    <row r="4347" spans="1:7" ht="14.25" hidden="1" customHeight="1" x14ac:dyDescent="0.45">
      <c r="A4347" t="str">
        <f>_xlfn.XLOOKUP(B4347,Ingot!$H$12:$H$119,Ingot!$G$12:$G$119,"")</f>
        <v>Wood</v>
      </c>
      <c r="B4347" t="s">
        <v>8619</v>
      </c>
      <c r="C4347" t="s">
        <v>10</v>
      </c>
      <c r="D4347" t="s">
        <v>8742</v>
      </c>
      <c r="E4347" t="s">
        <v>8743</v>
      </c>
      <c r="G4347" s="1">
        <v>3.21</v>
      </c>
    </row>
    <row r="4348" spans="1:7" ht="14.25" hidden="1" customHeight="1" x14ac:dyDescent="0.45">
      <c r="A4348" t="str">
        <f>_xlfn.XLOOKUP(B4348,Ingot!$H$12:$H$119,Ingot!$G$12:$G$119,"")</f>
        <v>Wood</v>
      </c>
      <c r="B4348" t="s">
        <v>8619</v>
      </c>
      <c r="C4348" t="s">
        <v>10</v>
      </c>
      <c r="D4348" t="s">
        <v>8744</v>
      </c>
      <c r="E4348" t="s">
        <v>8745</v>
      </c>
      <c r="G4348" s="1">
        <v>2.77</v>
      </c>
    </row>
    <row r="4349" spans="1:7" ht="14.25" hidden="1" customHeight="1" x14ac:dyDescent="0.45">
      <c r="A4349" t="str">
        <f>_xlfn.XLOOKUP(B4349,Ingot!$H$12:$H$119,Ingot!$G$12:$G$119,"")</f>
        <v>Wood</v>
      </c>
      <c r="B4349" t="s">
        <v>8619</v>
      </c>
      <c r="C4349" t="s">
        <v>10</v>
      </c>
      <c r="D4349" t="s">
        <v>8746</v>
      </c>
      <c r="E4349" t="s">
        <v>8747</v>
      </c>
      <c r="G4349" s="1">
        <v>4.8899999999999997</v>
      </c>
    </row>
    <row r="4350" spans="1:7" ht="14.25" hidden="1" customHeight="1" x14ac:dyDescent="0.45">
      <c r="A4350" t="str">
        <f>_xlfn.XLOOKUP(B4350,Ingot!$H$12:$H$119,Ingot!$G$12:$G$119,"")</f>
        <v>Wood</v>
      </c>
      <c r="B4350" t="s">
        <v>8619</v>
      </c>
      <c r="C4350" t="s">
        <v>10</v>
      </c>
      <c r="D4350" t="s">
        <v>8748</v>
      </c>
      <c r="E4350" t="s">
        <v>8749</v>
      </c>
      <c r="G4350" s="1">
        <v>1.76</v>
      </c>
    </row>
    <row r="4351" spans="1:7" ht="14.25" hidden="1" customHeight="1" x14ac:dyDescent="0.45">
      <c r="A4351" t="str">
        <f>_xlfn.XLOOKUP(B4351,Ingot!$H$12:$H$119,Ingot!$G$12:$G$119,"")</f>
        <v>Wood</v>
      </c>
      <c r="B4351" t="s">
        <v>8619</v>
      </c>
      <c r="C4351" t="s">
        <v>10</v>
      </c>
      <c r="D4351" t="s">
        <v>8750</v>
      </c>
      <c r="E4351" t="s">
        <v>8751</v>
      </c>
    </row>
    <row r="4352" spans="1:7" ht="14.25" hidden="1" customHeight="1" x14ac:dyDescent="0.45">
      <c r="A4352" t="str">
        <f>_xlfn.XLOOKUP(B4352,Ingot!$H$12:$H$119,Ingot!$G$12:$G$119,"")</f>
        <v>Wood</v>
      </c>
      <c r="B4352" t="s">
        <v>8619</v>
      </c>
      <c r="C4352" t="s">
        <v>10</v>
      </c>
      <c r="D4352" t="s">
        <v>8752</v>
      </c>
      <c r="E4352" t="s">
        <v>8753</v>
      </c>
      <c r="G4352" s="1">
        <v>8.57</v>
      </c>
    </row>
    <row r="4353" spans="1:7" ht="14.25" hidden="1" customHeight="1" x14ac:dyDescent="0.45">
      <c r="A4353" t="str">
        <f>_xlfn.XLOOKUP(B4353,Ingot!$H$12:$H$119,Ingot!$G$12:$G$119,"")</f>
        <v>Wood</v>
      </c>
      <c r="B4353" t="s">
        <v>8619</v>
      </c>
      <c r="C4353" t="s">
        <v>10</v>
      </c>
      <c r="D4353" t="s">
        <v>8754</v>
      </c>
      <c r="E4353" t="s">
        <v>8755</v>
      </c>
    </row>
    <row r="4354" spans="1:7" ht="14.25" hidden="1" customHeight="1" x14ac:dyDescent="0.45">
      <c r="A4354" t="str">
        <f>_xlfn.XLOOKUP(B4354,Ingot!$H$12:$H$119,Ingot!$G$12:$G$119,"")</f>
        <v>Wood</v>
      </c>
      <c r="B4354" t="s">
        <v>8619</v>
      </c>
      <c r="C4354" t="s">
        <v>10</v>
      </c>
      <c r="D4354" t="s">
        <v>8756</v>
      </c>
      <c r="E4354" t="s">
        <v>8757</v>
      </c>
      <c r="G4354" s="1">
        <v>3.56</v>
      </c>
    </row>
    <row r="4355" spans="1:7" ht="14.25" hidden="1" customHeight="1" x14ac:dyDescent="0.45">
      <c r="A4355" t="str">
        <f>_xlfn.XLOOKUP(B4355,Ingot!$H$12:$H$119,Ingot!$G$12:$G$119,"")</f>
        <v>Wood</v>
      </c>
      <c r="B4355" t="s">
        <v>8619</v>
      </c>
      <c r="C4355" t="s">
        <v>10</v>
      </c>
      <c r="D4355" t="s">
        <v>8758</v>
      </c>
      <c r="E4355" t="s">
        <v>8759</v>
      </c>
      <c r="G4355" s="1">
        <v>8.91</v>
      </c>
    </row>
    <row r="4356" spans="1:7" ht="14.25" hidden="1" customHeight="1" x14ac:dyDescent="0.45">
      <c r="A4356" t="str">
        <f>_xlfn.XLOOKUP(B4356,Ingot!$H$12:$H$119,Ingot!$G$12:$G$119,"")</f>
        <v>Wood</v>
      </c>
      <c r="B4356" t="s">
        <v>8619</v>
      </c>
      <c r="C4356" t="s">
        <v>10</v>
      </c>
      <c r="D4356" t="s">
        <v>8760</v>
      </c>
      <c r="E4356" t="s">
        <v>8761</v>
      </c>
      <c r="G4356" s="1">
        <v>11.02</v>
      </c>
    </row>
    <row r="4357" spans="1:7" ht="14.25" hidden="1" customHeight="1" x14ac:dyDescent="0.45">
      <c r="A4357" t="str">
        <f>_xlfn.XLOOKUP(B4357,Ingot!$H$12:$H$119,Ingot!$G$12:$G$119,"")</f>
        <v>Wood</v>
      </c>
      <c r="B4357" t="s">
        <v>8619</v>
      </c>
      <c r="C4357" t="s">
        <v>10</v>
      </c>
      <c r="D4357" t="s">
        <v>8762</v>
      </c>
      <c r="E4357" t="s">
        <v>8763</v>
      </c>
      <c r="G4357" s="1">
        <v>5.12</v>
      </c>
    </row>
    <row r="4358" spans="1:7" ht="14.25" hidden="1" customHeight="1" x14ac:dyDescent="0.45">
      <c r="A4358" t="str">
        <f>_xlfn.XLOOKUP(B4358,Ingot!$H$12:$H$119,Ingot!$G$12:$G$119,"")</f>
        <v>Wood</v>
      </c>
      <c r="B4358" t="s">
        <v>8619</v>
      </c>
      <c r="C4358" t="s">
        <v>10</v>
      </c>
      <c r="D4358" t="s">
        <v>8764</v>
      </c>
      <c r="E4358" t="s">
        <v>8765</v>
      </c>
      <c r="G4358" s="1">
        <v>4.41</v>
      </c>
    </row>
    <row r="4359" spans="1:7" ht="14.25" hidden="1" customHeight="1" x14ac:dyDescent="0.45">
      <c r="A4359" t="str">
        <f>_xlfn.XLOOKUP(B4359,Ingot!$H$12:$H$119,Ingot!$G$12:$G$119,"")</f>
        <v>Wood</v>
      </c>
      <c r="B4359" t="s">
        <v>8619</v>
      </c>
      <c r="C4359" t="s">
        <v>157</v>
      </c>
      <c r="D4359" t="s">
        <v>8766</v>
      </c>
      <c r="E4359" t="s">
        <v>8767</v>
      </c>
      <c r="G4359" s="1">
        <v>24</v>
      </c>
    </row>
    <row r="4360" spans="1:7" ht="14.25" hidden="1" customHeight="1" x14ac:dyDescent="0.45">
      <c r="A4360" t="str">
        <f>_xlfn.XLOOKUP(B4360,Ingot!$H$12:$H$119,Ingot!$G$12:$G$119,"")</f>
        <v>Wood</v>
      </c>
      <c r="B4360" t="s">
        <v>8619</v>
      </c>
      <c r="C4360" t="s">
        <v>157</v>
      </c>
      <c r="D4360" t="s">
        <v>8768</v>
      </c>
      <c r="E4360" t="s">
        <v>8769</v>
      </c>
      <c r="G4360" s="1">
        <v>5</v>
      </c>
    </row>
    <row r="4361" spans="1:7" ht="14.25" hidden="1" customHeight="1" x14ac:dyDescent="0.45">
      <c r="A4361" t="str">
        <f>_xlfn.XLOOKUP(B4361,Ingot!$H$12:$H$119,Ingot!$G$12:$G$119,"")</f>
        <v>Wood</v>
      </c>
      <c r="B4361" t="s">
        <v>8619</v>
      </c>
      <c r="C4361" t="s">
        <v>157</v>
      </c>
      <c r="D4361" t="s">
        <v>8770</v>
      </c>
      <c r="E4361" t="s">
        <v>8771</v>
      </c>
      <c r="G4361" s="1">
        <v>5</v>
      </c>
    </row>
    <row r="4362" spans="1:7" ht="14.25" hidden="1" customHeight="1" x14ac:dyDescent="0.45">
      <c r="A4362" t="str">
        <f>_xlfn.XLOOKUP(B4362,Ingot!$H$12:$H$119,Ingot!$G$12:$G$119,"")</f>
        <v>Wood</v>
      </c>
      <c r="B4362" t="s">
        <v>8619</v>
      </c>
      <c r="C4362" t="s">
        <v>157</v>
      </c>
      <c r="D4362" t="s">
        <v>8772</v>
      </c>
      <c r="E4362" t="s">
        <v>8773</v>
      </c>
      <c r="G4362" s="1">
        <v>5</v>
      </c>
    </row>
    <row r="4363" spans="1:7" ht="14.25" hidden="1" customHeight="1" x14ac:dyDescent="0.45">
      <c r="A4363" t="str">
        <f>_xlfn.XLOOKUP(B4363,Ingot!$H$12:$H$119,Ingot!$G$12:$G$119,"")</f>
        <v>Wood</v>
      </c>
      <c r="B4363" t="s">
        <v>8619</v>
      </c>
      <c r="C4363" t="s">
        <v>157</v>
      </c>
      <c r="D4363" t="s">
        <v>8774</v>
      </c>
      <c r="E4363" t="s">
        <v>8775</v>
      </c>
      <c r="G4363" s="1">
        <v>10</v>
      </c>
    </row>
    <row r="4364" spans="1:7" ht="14.25" hidden="1" customHeight="1" x14ac:dyDescent="0.45">
      <c r="A4364" t="str">
        <f>_xlfn.XLOOKUP(B4364,Ingot!$H$12:$H$119,Ingot!$G$12:$G$119,"")</f>
        <v>Wood</v>
      </c>
      <c r="B4364" t="s">
        <v>8619</v>
      </c>
      <c r="C4364" t="s">
        <v>157</v>
      </c>
      <c r="D4364" t="s">
        <v>8776</v>
      </c>
      <c r="E4364" t="s">
        <v>8777</v>
      </c>
      <c r="G4364" s="1">
        <v>20.8</v>
      </c>
    </row>
    <row r="4365" spans="1:7" ht="14.25" hidden="1" customHeight="1" x14ac:dyDescent="0.45">
      <c r="A4365" t="str">
        <f>_xlfn.XLOOKUP(B4365,Ingot!$H$12:$H$119,Ingot!$G$12:$G$119,"")</f>
        <v>Wood</v>
      </c>
      <c r="B4365" t="s">
        <v>8619</v>
      </c>
      <c r="C4365" t="s">
        <v>157</v>
      </c>
      <c r="D4365" t="s">
        <v>8778</v>
      </c>
      <c r="E4365" t="s">
        <v>8779</v>
      </c>
      <c r="G4365" s="1">
        <v>5</v>
      </c>
    </row>
    <row r="4366" spans="1:7" ht="14.25" hidden="1" customHeight="1" x14ac:dyDescent="0.45">
      <c r="A4366" t="str">
        <f>_xlfn.XLOOKUP(B4366,Ingot!$H$12:$H$119,Ingot!$G$12:$G$119,"")</f>
        <v>Wood</v>
      </c>
      <c r="B4366" t="s">
        <v>8619</v>
      </c>
      <c r="C4366" t="s">
        <v>157</v>
      </c>
      <c r="D4366" t="s">
        <v>8780</v>
      </c>
      <c r="E4366" t="s">
        <v>8781</v>
      </c>
      <c r="G4366" s="1">
        <v>5</v>
      </c>
    </row>
    <row r="4367" spans="1:7" ht="14.25" hidden="1" customHeight="1" x14ac:dyDescent="0.45">
      <c r="A4367" t="str">
        <f>_xlfn.XLOOKUP(B4367,Ingot!$H$12:$H$119,Ingot!$G$12:$G$119,"")</f>
        <v>Wood</v>
      </c>
      <c r="B4367" t="s">
        <v>8619</v>
      </c>
      <c r="C4367" t="s">
        <v>157</v>
      </c>
      <c r="D4367" t="s">
        <v>8782</v>
      </c>
      <c r="E4367" t="s">
        <v>8783</v>
      </c>
      <c r="G4367" s="1">
        <v>5</v>
      </c>
    </row>
    <row r="4368" spans="1:7" ht="14.25" hidden="1" customHeight="1" x14ac:dyDescent="0.45">
      <c r="A4368" t="str">
        <f>_xlfn.XLOOKUP(B4368,Ingot!$H$12:$H$119,Ingot!$G$12:$G$119,"")</f>
        <v>Wood</v>
      </c>
      <c r="B4368" t="s">
        <v>8619</v>
      </c>
      <c r="C4368" t="s">
        <v>157</v>
      </c>
      <c r="D4368" t="s">
        <v>8784</v>
      </c>
      <c r="E4368" t="s">
        <v>8785</v>
      </c>
      <c r="G4368" s="1">
        <v>10</v>
      </c>
    </row>
    <row r="4369" spans="1:7" ht="14.25" hidden="1" customHeight="1" x14ac:dyDescent="0.45">
      <c r="A4369" t="str">
        <f>_xlfn.XLOOKUP(B4369,Ingot!$H$12:$H$119,Ingot!$G$12:$G$119,"")</f>
        <v>Wood</v>
      </c>
      <c r="B4369" t="s">
        <v>8619</v>
      </c>
      <c r="C4369" t="s">
        <v>157</v>
      </c>
      <c r="D4369" t="s">
        <v>8786</v>
      </c>
      <c r="E4369" t="s">
        <v>8787</v>
      </c>
      <c r="F4369" t="s">
        <v>180</v>
      </c>
      <c r="G4369" s="1">
        <v>20</v>
      </c>
    </row>
    <row r="4370" spans="1:7" ht="14.25" hidden="1" customHeight="1" x14ac:dyDescent="0.45">
      <c r="A4370" t="str">
        <f>_xlfn.XLOOKUP(B4370,Ingot!$H$12:$H$119,Ingot!$G$12:$G$119,"")</f>
        <v>Wood</v>
      </c>
      <c r="B4370" t="s">
        <v>8619</v>
      </c>
      <c r="C4370" t="s">
        <v>157</v>
      </c>
      <c r="D4370" t="s">
        <v>8788</v>
      </c>
      <c r="E4370" t="s">
        <v>8789</v>
      </c>
      <c r="F4370" t="s">
        <v>180</v>
      </c>
      <c r="G4370" s="1">
        <v>5</v>
      </c>
    </row>
    <row r="4371" spans="1:7" ht="14.25" hidden="1" customHeight="1" x14ac:dyDescent="0.45">
      <c r="A4371" t="str">
        <f>_xlfn.XLOOKUP(B4371,Ingot!$H$12:$H$119,Ingot!$G$12:$G$119,"")</f>
        <v>Wood</v>
      </c>
      <c r="B4371" t="s">
        <v>8619</v>
      </c>
      <c r="C4371" t="s">
        <v>157</v>
      </c>
      <c r="D4371" t="s">
        <v>8790</v>
      </c>
      <c r="E4371" t="s">
        <v>8791</v>
      </c>
      <c r="F4371" t="s">
        <v>180</v>
      </c>
      <c r="G4371" s="1">
        <v>5</v>
      </c>
    </row>
    <row r="4372" spans="1:7" ht="14.25" hidden="1" customHeight="1" x14ac:dyDescent="0.45">
      <c r="A4372" t="str">
        <f>_xlfn.XLOOKUP(B4372,Ingot!$H$12:$H$119,Ingot!$G$12:$G$119,"")</f>
        <v>Wood</v>
      </c>
      <c r="B4372" t="s">
        <v>8619</v>
      </c>
      <c r="C4372" t="s">
        <v>157</v>
      </c>
      <c r="D4372" t="s">
        <v>8792</v>
      </c>
      <c r="E4372" t="s">
        <v>8793</v>
      </c>
      <c r="F4372" t="s">
        <v>180</v>
      </c>
      <c r="G4372" s="1">
        <v>5</v>
      </c>
    </row>
    <row r="4373" spans="1:7" ht="14.25" hidden="1" customHeight="1" x14ac:dyDescent="0.45">
      <c r="A4373" t="str">
        <f>_xlfn.XLOOKUP(B4373,Ingot!$H$12:$H$119,Ingot!$G$12:$G$119,"")</f>
        <v>Wood</v>
      </c>
      <c r="B4373" t="s">
        <v>8619</v>
      </c>
      <c r="C4373" t="s">
        <v>157</v>
      </c>
      <c r="D4373" t="s">
        <v>8794</v>
      </c>
      <c r="E4373" t="s">
        <v>8795</v>
      </c>
      <c r="F4373" t="s">
        <v>180</v>
      </c>
      <c r="G4373" s="1">
        <v>10</v>
      </c>
    </row>
    <row r="4374" spans="1:7" ht="14.25" hidden="1" customHeight="1" x14ac:dyDescent="0.45">
      <c r="A4374" t="str">
        <f>_xlfn.XLOOKUP(B4374,Ingot!$H$12:$H$119,Ingot!$G$12:$G$119,"")</f>
        <v>Wood</v>
      </c>
      <c r="B4374" t="s">
        <v>8619</v>
      </c>
      <c r="C4374" t="s">
        <v>157</v>
      </c>
      <c r="D4374" t="s">
        <v>8796</v>
      </c>
      <c r="E4374" t="s">
        <v>8797</v>
      </c>
      <c r="G4374" s="1">
        <v>22</v>
      </c>
    </row>
    <row r="4375" spans="1:7" ht="14.25" hidden="1" customHeight="1" x14ac:dyDescent="0.45">
      <c r="A4375" t="str">
        <f>_xlfn.XLOOKUP(B4375,Ingot!$H$12:$H$119,Ingot!$G$12:$G$119,"")</f>
        <v>Wood</v>
      </c>
      <c r="B4375" t="s">
        <v>8619</v>
      </c>
      <c r="C4375" t="s">
        <v>157</v>
      </c>
      <c r="D4375" t="s">
        <v>8798</v>
      </c>
      <c r="E4375" t="s">
        <v>8799</v>
      </c>
      <c r="G4375" s="1">
        <v>5</v>
      </c>
    </row>
    <row r="4376" spans="1:7" ht="14.25" hidden="1" customHeight="1" x14ac:dyDescent="0.45">
      <c r="A4376" t="str">
        <f>_xlfn.XLOOKUP(B4376,Ingot!$H$12:$H$119,Ingot!$G$12:$G$119,"")</f>
        <v>Wood</v>
      </c>
      <c r="B4376" t="s">
        <v>8619</v>
      </c>
      <c r="C4376" t="s">
        <v>157</v>
      </c>
      <c r="D4376" t="s">
        <v>8800</v>
      </c>
      <c r="E4376" t="s">
        <v>8801</v>
      </c>
      <c r="G4376" s="1">
        <v>5</v>
      </c>
    </row>
    <row r="4377" spans="1:7" ht="14.25" hidden="1" customHeight="1" x14ac:dyDescent="0.45">
      <c r="A4377" t="str">
        <f>_xlfn.XLOOKUP(B4377,Ingot!$H$12:$H$119,Ingot!$G$12:$G$119,"")</f>
        <v>Wood</v>
      </c>
      <c r="B4377" t="s">
        <v>8619</v>
      </c>
      <c r="C4377" t="s">
        <v>157</v>
      </c>
      <c r="D4377" t="s">
        <v>8802</v>
      </c>
      <c r="E4377" t="s">
        <v>8803</v>
      </c>
      <c r="G4377" s="1">
        <v>5</v>
      </c>
    </row>
    <row r="4378" spans="1:7" ht="14.25" hidden="1" customHeight="1" x14ac:dyDescent="0.45">
      <c r="A4378" t="str">
        <f>_xlfn.XLOOKUP(B4378,Ingot!$H$12:$H$119,Ingot!$G$12:$G$119,"")</f>
        <v>Wood</v>
      </c>
      <c r="B4378" t="s">
        <v>8619</v>
      </c>
      <c r="C4378" t="s">
        <v>157</v>
      </c>
      <c r="D4378" t="s">
        <v>8804</v>
      </c>
      <c r="E4378" t="s">
        <v>8805</v>
      </c>
      <c r="G4378" s="1">
        <v>10</v>
      </c>
    </row>
    <row r="4379" spans="1:7" ht="14.25" hidden="1" customHeight="1" x14ac:dyDescent="0.45">
      <c r="A4379" t="str">
        <f>_xlfn.XLOOKUP(B4379,Ingot!$H$12:$H$119,Ingot!$G$12:$G$119,"")</f>
        <v>Wood</v>
      </c>
      <c r="B4379" t="s">
        <v>8619</v>
      </c>
      <c r="C4379" t="s">
        <v>157</v>
      </c>
      <c r="D4379" t="s">
        <v>8806</v>
      </c>
      <c r="E4379" t="s">
        <v>8807</v>
      </c>
      <c r="G4379" s="1">
        <v>23</v>
      </c>
    </row>
    <row r="4380" spans="1:7" ht="14.25" hidden="1" customHeight="1" x14ac:dyDescent="0.45">
      <c r="A4380" t="str">
        <f>_xlfn.XLOOKUP(B4380,Ingot!$H$12:$H$119,Ingot!$G$12:$G$119,"")</f>
        <v>Wood</v>
      </c>
      <c r="B4380" t="s">
        <v>8619</v>
      </c>
      <c r="C4380" t="s">
        <v>157</v>
      </c>
      <c r="D4380" t="s">
        <v>8808</v>
      </c>
      <c r="E4380" t="s">
        <v>8809</v>
      </c>
      <c r="F4380" t="s">
        <v>180</v>
      </c>
      <c r="G4380" s="1">
        <v>5</v>
      </c>
    </row>
    <row r="4381" spans="1:7" ht="14.25" hidden="1" customHeight="1" x14ac:dyDescent="0.45">
      <c r="A4381" t="str">
        <f>_xlfn.XLOOKUP(B4381,Ingot!$H$12:$H$119,Ingot!$G$12:$G$119,"")</f>
        <v>Wood</v>
      </c>
      <c r="B4381" t="s">
        <v>8619</v>
      </c>
      <c r="C4381" t="s">
        <v>157</v>
      </c>
      <c r="D4381" t="s">
        <v>8810</v>
      </c>
      <c r="E4381" t="s">
        <v>8811</v>
      </c>
      <c r="F4381" t="s">
        <v>180</v>
      </c>
      <c r="G4381" s="1">
        <v>5</v>
      </c>
    </row>
    <row r="4382" spans="1:7" ht="14.25" hidden="1" customHeight="1" x14ac:dyDescent="0.45">
      <c r="A4382" t="str">
        <f>_xlfn.XLOOKUP(B4382,Ingot!$H$12:$H$119,Ingot!$G$12:$G$119,"")</f>
        <v>Wood</v>
      </c>
      <c r="B4382" t="s">
        <v>8619</v>
      </c>
      <c r="C4382" t="s">
        <v>157</v>
      </c>
      <c r="D4382" t="s">
        <v>8812</v>
      </c>
      <c r="E4382" t="s">
        <v>8813</v>
      </c>
      <c r="F4382" t="s">
        <v>180</v>
      </c>
      <c r="G4382" s="1">
        <v>5</v>
      </c>
    </row>
    <row r="4383" spans="1:7" ht="14.25" hidden="1" customHeight="1" x14ac:dyDescent="0.45">
      <c r="A4383" t="str">
        <f>_xlfn.XLOOKUP(B4383,Ingot!$H$12:$H$119,Ingot!$G$12:$G$119,"")</f>
        <v>Wood</v>
      </c>
      <c r="B4383" t="s">
        <v>8619</v>
      </c>
      <c r="C4383" t="s">
        <v>157</v>
      </c>
      <c r="D4383" t="s">
        <v>8814</v>
      </c>
      <c r="E4383" t="s">
        <v>8815</v>
      </c>
      <c r="G4383" s="1">
        <v>10</v>
      </c>
    </row>
    <row r="4384" spans="1:7" ht="14.25" hidden="1" customHeight="1" x14ac:dyDescent="0.45">
      <c r="A4384" t="str">
        <f>_xlfn.XLOOKUP(B4384,Ingot!$H$12:$H$119,Ingot!$G$12:$G$119,"")</f>
        <v>Wood</v>
      </c>
      <c r="B4384" t="s">
        <v>8619</v>
      </c>
      <c r="C4384" t="s">
        <v>157</v>
      </c>
      <c r="D4384" t="s">
        <v>8816</v>
      </c>
      <c r="E4384" t="s">
        <v>8817</v>
      </c>
      <c r="G4384" s="1">
        <v>26.8</v>
      </c>
    </row>
    <row r="4385" spans="1:7" ht="14.25" hidden="1" customHeight="1" x14ac:dyDescent="0.45">
      <c r="A4385" t="str">
        <f>_xlfn.XLOOKUP(B4385,Ingot!$H$12:$H$119,Ingot!$G$12:$G$119,"")</f>
        <v>Wood</v>
      </c>
      <c r="B4385" t="s">
        <v>8619</v>
      </c>
      <c r="C4385" t="s">
        <v>157</v>
      </c>
      <c r="D4385" t="s">
        <v>8818</v>
      </c>
      <c r="E4385" t="s">
        <v>8819</v>
      </c>
      <c r="G4385" s="1">
        <v>5.36</v>
      </c>
    </row>
    <row r="4386" spans="1:7" ht="14.25" hidden="1" customHeight="1" x14ac:dyDescent="0.45">
      <c r="A4386" t="str">
        <f>_xlfn.XLOOKUP(B4386,Ingot!$H$12:$H$119,Ingot!$G$12:$G$119,"")</f>
        <v>Wood</v>
      </c>
      <c r="B4386" t="s">
        <v>8619</v>
      </c>
      <c r="C4386" t="s">
        <v>157</v>
      </c>
      <c r="D4386" t="s">
        <v>8820</v>
      </c>
      <c r="E4386" t="s">
        <v>8821</v>
      </c>
      <c r="G4386" s="1">
        <v>5.36</v>
      </c>
    </row>
    <row r="4387" spans="1:7" ht="14.25" hidden="1" customHeight="1" x14ac:dyDescent="0.45">
      <c r="A4387" t="str">
        <f>_xlfn.XLOOKUP(B4387,Ingot!$H$12:$H$119,Ingot!$G$12:$G$119,"")</f>
        <v>Wood</v>
      </c>
      <c r="B4387" t="s">
        <v>8619</v>
      </c>
      <c r="C4387" t="s">
        <v>157</v>
      </c>
      <c r="D4387" t="s">
        <v>8822</v>
      </c>
      <c r="E4387" t="s">
        <v>8823</v>
      </c>
      <c r="G4387" s="1">
        <v>5</v>
      </c>
    </row>
    <row r="4388" spans="1:7" ht="14.25" hidden="1" customHeight="1" x14ac:dyDescent="0.45">
      <c r="A4388" t="str">
        <f>_xlfn.XLOOKUP(B4388,Ingot!$H$12:$H$119,Ingot!$G$12:$G$119,"")</f>
        <v>Wood</v>
      </c>
      <c r="B4388" t="s">
        <v>8619</v>
      </c>
      <c r="C4388" t="s">
        <v>157</v>
      </c>
      <c r="D4388" t="s">
        <v>8824</v>
      </c>
      <c r="E4388" t="s">
        <v>8825</v>
      </c>
      <c r="G4388" s="1">
        <v>10</v>
      </c>
    </row>
    <row r="4389" spans="1:7" ht="14.25" hidden="1" customHeight="1" x14ac:dyDescent="0.45">
      <c r="A4389" t="str">
        <f>_xlfn.XLOOKUP(B4389,Ingot!$H$12:$H$119,Ingot!$G$12:$G$119,"")</f>
        <v>Wood</v>
      </c>
      <c r="B4389" t="s">
        <v>8619</v>
      </c>
      <c r="C4389" t="s">
        <v>157</v>
      </c>
      <c r="D4389" t="s">
        <v>8826</v>
      </c>
      <c r="E4389" t="s">
        <v>8827</v>
      </c>
      <c r="G4389" s="1">
        <v>25.5</v>
      </c>
    </row>
    <row r="4390" spans="1:7" ht="14.25" hidden="1" customHeight="1" x14ac:dyDescent="0.45">
      <c r="A4390" t="str">
        <f>_xlfn.XLOOKUP(B4390,Ingot!$H$12:$H$119,Ingot!$G$12:$G$119,"")</f>
        <v>Wood</v>
      </c>
      <c r="B4390" t="s">
        <v>8619</v>
      </c>
      <c r="C4390" t="s">
        <v>157</v>
      </c>
      <c r="D4390" t="s">
        <v>8828</v>
      </c>
      <c r="E4390" t="s">
        <v>8829</v>
      </c>
      <c r="G4390" s="1">
        <v>5.0999999999999996</v>
      </c>
    </row>
    <row r="4391" spans="1:7" ht="14.25" hidden="1" customHeight="1" x14ac:dyDescent="0.45">
      <c r="A4391" t="str">
        <f>_xlfn.XLOOKUP(B4391,Ingot!$H$12:$H$119,Ingot!$G$12:$G$119,"")</f>
        <v>Wood</v>
      </c>
      <c r="B4391" t="s">
        <v>8619</v>
      </c>
      <c r="C4391" t="s">
        <v>157</v>
      </c>
      <c r="D4391" t="s">
        <v>8830</v>
      </c>
      <c r="E4391" t="s">
        <v>8831</v>
      </c>
      <c r="G4391" s="1">
        <v>5.0999999999999996</v>
      </c>
    </row>
    <row r="4392" spans="1:7" ht="14.25" hidden="1" customHeight="1" x14ac:dyDescent="0.45">
      <c r="A4392" t="str">
        <f>_xlfn.XLOOKUP(B4392,Ingot!$H$12:$H$119,Ingot!$G$12:$G$119,"")</f>
        <v>Wood</v>
      </c>
      <c r="B4392" t="s">
        <v>8619</v>
      </c>
      <c r="C4392" t="s">
        <v>157</v>
      </c>
      <c r="D4392" t="s">
        <v>8832</v>
      </c>
      <c r="E4392" t="s">
        <v>8833</v>
      </c>
      <c r="G4392" s="1">
        <v>5</v>
      </c>
    </row>
    <row r="4393" spans="1:7" ht="14.25" hidden="1" customHeight="1" x14ac:dyDescent="0.45">
      <c r="A4393" t="str">
        <f>_xlfn.XLOOKUP(B4393,Ingot!$H$12:$H$119,Ingot!$G$12:$G$119,"")</f>
        <v>Wood</v>
      </c>
      <c r="B4393" t="s">
        <v>8619</v>
      </c>
      <c r="C4393" t="s">
        <v>157</v>
      </c>
      <c r="D4393" t="s">
        <v>8834</v>
      </c>
      <c r="E4393" t="s">
        <v>8835</v>
      </c>
      <c r="G4393" s="1">
        <v>10</v>
      </c>
    </row>
    <row r="4394" spans="1:7" ht="14.25" hidden="1" customHeight="1" x14ac:dyDescent="0.45">
      <c r="A4394" t="str">
        <f>_xlfn.XLOOKUP(B4394,Ingot!$H$12:$H$119,Ingot!$G$12:$G$119,"")</f>
        <v>Wood</v>
      </c>
      <c r="B4394" t="s">
        <v>8619</v>
      </c>
      <c r="C4394" t="s">
        <v>157</v>
      </c>
      <c r="D4394" t="s">
        <v>8836</v>
      </c>
      <c r="E4394" t="s">
        <v>8837</v>
      </c>
      <c r="F4394" t="s">
        <v>180</v>
      </c>
      <c r="G4394" s="1">
        <v>19.2</v>
      </c>
    </row>
    <row r="4395" spans="1:7" ht="14.25" hidden="1" customHeight="1" x14ac:dyDescent="0.45">
      <c r="A4395" t="str">
        <f>_xlfn.XLOOKUP(B4395,Ingot!$H$12:$H$119,Ingot!$G$12:$G$119,"")</f>
        <v>Wood</v>
      </c>
      <c r="B4395" t="s">
        <v>8619</v>
      </c>
      <c r="C4395" t="s">
        <v>157</v>
      </c>
      <c r="D4395" t="s">
        <v>8838</v>
      </c>
      <c r="E4395" t="s">
        <v>8839</v>
      </c>
      <c r="F4395" t="s">
        <v>180</v>
      </c>
      <c r="G4395" s="1">
        <v>5</v>
      </c>
    </row>
    <row r="4396" spans="1:7" ht="14.25" hidden="1" customHeight="1" x14ac:dyDescent="0.45">
      <c r="A4396" t="str">
        <f>_xlfn.XLOOKUP(B4396,Ingot!$H$12:$H$119,Ingot!$G$12:$G$119,"")</f>
        <v>Wood</v>
      </c>
      <c r="B4396" t="s">
        <v>8619</v>
      </c>
      <c r="C4396" t="s">
        <v>157</v>
      </c>
      <c r="D4396" t="s">
        <v>8840</v>
      </c>
      <c r="E4396" t="s">
        <v>8841</v>
      </c>
      <c r="F4396" t="s">
        <v>180</v>
      </c>
      <c r="G4396" s="1">
        <v>5</v>
      </c>
    </row>
    <row r="4397" spans="1:7" ht="14.25" hidden="1" customHeight="1" x14ac:dyDescent="0.45">
      <c r="A4397" t="str">
        <f>_xlfn.XLOOKUP(B4397,Ingot!$H$12:$H$119,Ingot!$G$12:$G$119,"")</f>
        <v>Wood</v>
      </c>
      <c r="B4397" t="s">
        <v>8619</v>
      </c>
      <c r="C4397" t="s">
        <v>157</v>
      </c>
      <c r="D4397" t="s">
        <v>8842</v>
      </c>
      <c r="E4397" t="s">
        <v>8843</v>
      </c>
      <c r="F4397" t="s">
        <v>180</v>
      </c>
      <c r="G4397" s="1">
        <v>5</v>
      </c>
    </row>
    <row r="4398" spans="1:7" ht="14.25" hidden="1" customHeight="1" x14ac:dyDescent="0.45">
      <c r="A4398" t="str">
        <f>_xlfn.XLOOKUP(B4398,Ingot!$H$12:$H$119,Ingot!$G$12:$G$119,"")</f>
        <v>Wood</v>
      </c>
      <c r="B4398" t="s">
        <v>8619</v>
      </c>
      <c r="C4398" t="s">
        <v>157</v>
      </c>
      <c r="D4398" t="s">
        <v>8844</v>
      </c>
      <c r="E4398" t="s">
        <v>8845</v>
      </c>
      <c r="F4398" t="s">
        <v>180</v>
      </c>
      <c r="G4398" s="1">
        <v>10</v>
      </c>
    </row>
    <row r="4399" spans="1:7" ht="14.25" hidden="1" customHeight="1" x14ac:dyDescent="0.45">
      <c r="A4399" t="str">
        <f>_xlfn.XLOOKUP(B4399,Ingot!$H$12:$H$119,Ingot!$G$12:$G$119,"")</f>
        <v>Wood</v>
      </c>
      <c r="B4399" t="s">
        <v>8619</v>
      </c>
      <c r="C4399" t="s">
        <v>239</v>
      </c>
      <c r="D4399" t="s">
        <v>8846</v>
      </c>
      <c r="E4399" t="s">
        <v>8847</v>
      </c>
      <c r="G4399" s="1">
        <f>(VLOOKUP(B4399,Ingot!H:I,2,FALSE()) * 0.75) * 0.75</f>
        <v>5.0625</v>
      </c>
    </row>
    <row r="4400" spans="1:7" ht="14.25" hidden="1" customHeight="1" x14ac:dyDescent="0.45">
      <c r="A4400" t="str">
        <f>_xlfn.XLOOKUP(B4400,Ingot!$H$12:$H$119,Ingot!$G$12:$G$119,"")</f>
        <v>Wood</v>
      </c>
      <c r="B4400" t="s">
        <v>8619</v>
      </c>
      <c r="C4400" t="s">
        <v>239</v>
      </c>
      <c r="D4400" t="s">
        <v>8848</v>
      </c>
      <c r="E4400" t="s">
        <v>8849</v>
      </c>
      <c r="G4400" s="1">
        <f>((VLOOKUP(B4400,Ingot!H:I,2,FALSE()) * 3) - 10.25) * 0.421875</f>
        <v>7.06640625</v>
      </c>
    </row>
    <row r="4401" spans="1:7" ht="14.25" hidden="1" customHeight="1" x14ac:dyDescent="0.45">
      <c r="A4401" t="str">
        <f>_xlfn.XLOOKUP(B4401,Ingot!$H$12:$H$119,Ingot!$G$12:$G$119,"")</f>
        <v>Wood</v>
      </c>
      <c r="B4401" t="s">
        <v>8619</v>
      </c>
      <c r="C4401" t="s">
        <v>239</v>
      </c>
      <c r="D4401" t="s">
        <v>8850</v>
      </c>
      <c r="E4401" t="s">
        <v>8851</v>
      </c>
      <c r="G4401" s="1">
        <f>((VLOOKUP(B4401,Ingot!H:I,2,FALSE()) * 3) - 10.25) * 0.75</f>
        <v>12.5625</v>
      </c>
    </row>
    <row r="4402" spans="1:7" ht="14.25" hidden="1" customHeight="1" x14ac:dyDescent="0.45">
      <c r="A4402" t="str">
        <f>_xlfn.XLOOKUP(B4402,Ingot!$H$12:$H$119,Ingot!$G$12:$G$119,"")</f>
        <v>Wood</v>
      </c>
      <c r="B4402" t="s">
        <v>8619</v>
      </c>
      <c r="C4402" t="s">
        <v>239</v>
      </c>
      <c r="D4402" t="s">
        <v>8852</v>
      </c>
      <c r="E4402" t="s">
        <v>8853</v>
      </c>
      <c r="G4402" s="1">
        <f>((VLOOKUP(B4402,Ingot!H:I,2,FALSE()) * 3) - 10.25) * 0.5625</f>
        <v>9.421875</v>
      </c>
    </row>
    <row r="4403" spans="1:7" ht="14.25" hidden="1" customHeight="1" x14ac:dyDescent="0.45">
      <c r="A4403" t="str">
        <f>_xlfn.XLOOKUP(B4403,Ingot!$H$12:$H$119,Ingot!$G$12:$G$119,"")</f>
        <v>Wood</v>
      </c>
      <c r="B4403" t="s">
        <v>8619</v>
      </c>
      <c r="C4403" t="s">
        <v>239</v>
      </c>
      <c r="D4403" t="s">
        <v>8854</v>
      </c>
      <c r="E4403" t="s">
        <v>8855</v>
      </c>
      <c r="G4403" s="1">
        <f>VLOOKUP(B4403,Ingot!H:I,2,FALSE()) * 0.75</f>
        <v>6.75</v>
      </c>
    </row>
    <row r="4404" spans="1:7" ht="14.25" hidden="1" customHeight="1" x14ac:dyDescent="0.45">
      <c r="A4404" t="str">
        <f>_xlfn.XLOOKUP(B4404,Ingot!$H$12:$H$119,Ingot!$G$12:$G$119,"")</f>
        <v>Wood</v>
      </c>
      <c r="B4404" t="s">
        <v>8619</v>
      </c>
      <c r="C4404" t="s">
        <v>239</v>
      </c>
      <c r="D4404" t="s">
        <v>8856</v>
      </c>
      <c r="E4404" t="s">
        <v>8857</v>
      </c>
      <c r="G4404" s="1">
        <f>(VLOOKUP(B4404,Ingot!H:I,2,FALSE()) * 3) - 10.25</f>
        <v>16.75</v>
      </c>
    </row>
    <row r="4405" spans="1:7" ht="14.25" hidden="1" customHeight="1" x14ac:dyDescent="0.45">
      <c r="A4405" t="str">
        <f>_xlfn.XLOOKUP(B4405,Ingot!$H$12:$H$119,Ingot!$G$12:$G$119,"")</f>
        <v>Wood</v>
      </c>
      <c r="B4405" t="s">
        <v>8858</v>
      </c>
      <c r="C4405" t="s">
        <v>10</v>
      </c>
      <c r="D4405" t="s">
        <v>8859</v>
      </c>
      <c r="E4405" t="s">
        <v>8860</v>
      </c>
      <c r="G4405" s="1">
        <v>0.08</v>
      </c>
    </row>
    <row r="4406" spans="1:7" ht="14.25" hidden="1" customHeight="1" x14ac:dyDescent="0.45">
      <c r="A4406" t="str">
        <f>_xlfn.XLOOKUP(B4406,Ingot!$H$12:$H$119,Ingot!$G$12:$G$119,"")</f>
        <v>Wood</v>
      </c>
      <c r="B4406" t="s">
        <v>8858</v>
      </c>
      <c r="C4406" t="s">
        <v>10</v>
      </c>
      <c r="D4406" t="s">
        <v>8861</v>
      </c>
      <c r="E4406" t="s">
        <v>8862</v>
      </c>
      <c r="G4406" s="1">
        <v>9.9</v>
      </c>
    </row>
    <row r="4407" spans="1:7" ht="14.25" hidden="1" customHeight="1" x14ac:dyDescent="0.45">
      <c r="A4407" t="str">
        <f>_xlfn.XLOOKUP(B4407,Ingot!$H$12:$H$119,Ingot!$G$12:$G$119,"")</f>
        <v>Wood</v>
      </c>
      <c r="B4407" t="s">
        <v>8858</v>
      </c>
      <c r="C4407" t="s">
        <v>10</v>
      </c>
      <c r="D4407" t="s">
        <v>8863</v>
      </c>
      <c r="E4407" t="s">
        <v>8864</v>
      </c>
      <c r="G4407" s="1">
        <v>5.66</v>
      </c>
    </row>
    <row r="4408" spans="1:7" ht="14.25" hidden="1" customHeight="1" x14ac:dyDescent="0.45">
      <c r="A4408" t="str">
        <f>_xlfn.XLOOKUP(B4408,Ingot!$H$12:$H$119,Ingot!$G$12:$G$119,"")</f>
        <v>Wood</v>
      </c>
      <c r="B4408" t="s">
        <v>8858</v>
      </c>
      <c r="C4408" t="s">
        <v>10</v>
      </c>
      <c r="D4408" t="s">
        <v>8865</v>
      </c>
      <c r="E4408" t="s">
        <v>8866</v>
      </c>
      <c r="G4408" s="1">
        <v>3.3</v>
      </c>
    </row>
    <row r="4409" spans="1:7" ht="14.25" hidden="1" customHeight="1" x14ac:dyDescent="0.45">
      <c r="A4409" t="str">
        <f>_xlfn.XLOOKUP(B4409,Ingot!$H$12:$H$119,Ingot!$G$12:$G$119,"")</f>
        <v>Wood</v>
      </c>
      <c r="B4409" t="s">
        <v>8858</v>
      </c>
      <c r="C4409" t="s">
        <v>10</v>
      </c>
      <c r="D4409" t="s">
        <v>8867</v>
      </c>
      <c r="E4409" t="s">
        <v>8868</v>
      </c>
      <c r="G4409" s="1">
        <v>0.66</v>
      </c>
    </row>
    <row r="4410" spans="1:7" ht="14.25" hidden="1" customHeight="1" x14ac:dyDescent="0.45">
      <c r="A4410" t="str">
        <f>_xlfn.XLOOKUP(B4410,Ingot!$H$12:$H$119,Ingot!$G$12:$G$119,"")</f>
        <v>Wood</v>
      </c>
      <c r="B4410" t="s">
        <v>8858</v>
      </c>
      <c r="C4410" t="s">
        <v>10</v>
      </c>
      <c r="D4410" t="s">
        <v>8869</v>
      </c>
      <c r="E4410" t="s">
        <v>8870</v>
      </c>
      <c r="G4410" s="1">
        <v>0.04</v>
      </c>
    </row>
    <row r="4411" spans="1:7" ht="14.25" hidden="1" customHeight="1" x14ac:dyDescent="0.45">
      <c r="A4411" t="str">
        <f>_xlfn.XLOOKUP(B4411,Ingot!$H$12:$H$119,Ingot!$G$12:$G$119,"")</f>
        <v>Wood</v>
      </c>
      <c r="B4411" t="s">
        <v>8858</v>
      </c>
      <c r="C4411" t="s">
        <v>10</v>
      </c>
      <c r="D4411" t="s">
        <v>8871</v>
      </c>
      <c r="E4411" t="s">
        <v>8872</v>
      </c>
      <c r="G4411" s="1">
        <v>0.33</v>
      </c>
    </row>
    <row r="4412" spans="1:7" ht="14.25" hidden="1" customHeight="1" x14ac:dyDescent="0.45">
      <c r="A4412" t="str">
        <f>_xlfn.XLOOKUP(B4412,Ingot!$H$12:$H$119,Ingot!$G$12:$G$119,"")</f>
        <v>Wood</v>
      </c>
      <c r="B4412" t="s">
        <v>8858</v>
      </c>
      <c r="C4412" t="s">
        <v>10</v>
      </c>
      <c r="D4412" t="s">
        <v>8873</v>
      </c>
      <c r="E4412" t="s">
        <v>8874</v>
      </c>
    </row>
    <row r="4413" spans="1:7" ht="14.25" hidden="1" customHeight="1" x14ac:dyDescent="0.45">
      <c r="A4413" t="str">
        <f>_xlfn.XLOOKUP(B4413,Ingot!$H$12:$H$119,Ingot!$G$12:$G$119,"")</f>
        <v>Wood</v>
      </c>
      <c r="B4413" t="s">
        <v>8858</v>
      </c>
      <c r="C4413" t="s">
        <v>10</v>
      </c>
      <c r="D4413" t="s">
        <v>8875</v>
      </c>
      <c r="E4413" t="s">
        <v>8876</v>
      </c>
      <c r="G4413" s="1">
        <v>0.05</v>
      </c>
    </row>
    <row r="4414" spans="1:7" ht="14.25" hidden="1" customHeight="1" x14ac:dyDescent="0.45">
      <c r="A4414" t="str">
        <f>_xlfn.XLOOKUP(B4414,Ingot!$H$12:$H$119,Ingot!$G$12:$G$119,"")</f>
        <v>Wood</v>
      </c>
      <c r="B4414" t="s">
        <v>8858</v>
      </c>
      <c r="C4414" t="s">
        <v>10</v>
      </c>
      <c r="D4414" t="s">
        <v>8877</v>
      </c>
      <c r="E4414" t="s">
        <v>8878</v>
      </c>
      <c r="G4414" s="1">
        <v>0.66</v>
      </c>
    </row>
    <row r="4415" spans="1:7" ht="14.25" hidden="1" customHeight="1" x14ac:dyDescent="0.45">
      <c r="A4415" t="str">
        <f>_xlfn.XLOOKUP(B4415,Ingot!$H$12:$H$119,Ingot!$G$12:$G$119,"")</f>
        <v>Wood</v>
      </c>
      <c r="B4415" t="s">
        <v>8858</v>
      </c>
      <c r="C4415" t="s">
        <v>10</v>
      </c>
      <c r="D4415" t="s">
        <v>8879</v>
      </c>
      <c r="E4415" t="s">
        <v>8880</v>
      </c>
      <c r="G4415" s="1">
        <v>3.96</v>
      </c>
    </row>
    <row r="4416" spans="1:7" ht="14.25" hidden="1" customHeight="1" x14ac:dyDescent="0.45">
      <c r="A4416" t="str">
        <f>_xlfn.XLOOKUP(B4416,Ingot!$H$12:$H$119,Ingot!$G$12:$G$119,"")</f>
        <v>Wood</v>
      </c>
      <c r="B4416" t="s">
        <v>8858</v>
      </c>
      <c r="C4416" t="s">
        <v>10</v>
      </c>
      <c r="D4416" t="s">
        <v>8881</v>
      </c>
      <c r="E4416" t="s">
        <v>8882</v>
      </c>
      <c r="G4416" s="1">
        <v>8.77</v>
      </c>
    </row>
    <row r="4417" spans="1:7" ht="14.25" hidden="1" customHeight="1" x14ac:dyDescent="0.45">
      <c r="A4417" t="str">
        <f>_xlfn.XLOOKUP(B4417,Ingot!$H$12:$H$119,Ingot!$G$12:$G$119,"")</f>
        <v>Wood</v>
      </c>
      <c r="B4417" t="s">
        <v>8858</v>
      </c>
      <c r="C4417" t="s">
        <v>10</v>
      </c>
      <c r="D4417" t="s">
        <v>8883</v>
      </c>
      <c r="E4417" t="s">
        <v>8884</v>
      </c>
      <c r="G4417" s="1">
        <v>3.5</v>
      </c>
    </row>
    <row r="4418" spans="1:7" ht="14.25" hidden="1" customHeight="1" x14ac:dyDescent="0.45">
      <c r="A4418" t="str">
        <f>_xlfn.XLOOKUP(B4418,Ingot!$H$12:$H$119,Ingot!$G$12:$G$119,"")</f>
        <v>Wood</v>
      </c>
      <c r="B4418" t="s">
        <v>8858</v>
      </c>
      <c r="C4418" t="s">
        <v>10</v>
      </c>
      <c r="D4418" t="s">
        <v>8885</v>
      </c>
      <c r="E4418" t="s">
        <v>8886</v>
      </c>
    </row>
    <row r="4419" spans="1:7" ht="14.25" hidden="1" customHeight="1" x14ac:dyDescent="0.45">
      <c r="A4419" t="str">
        <f>_xlfn.XLOOKUP(B4419,Ingot!$H$12:$H$119,Ingot!$G$12:$G$119,"")</f>
        <v>Wood</v>
      </c>
      <c r="B4419" t="s">
        <v>8858</v>
      </c>
      <c r="C4419" t="s">
        <v>10</v>
      </c>
      <c r="D4419" t="s">
        <v>8887</v>
      </c>
      <c r="E4419" t="s">
        <v>8888</v>
      </c>
      <c r="G4419" s="1">
        <v>2.2000000000000002</v>
      </c>
    </row>
    <row r="4420" spans="1:7" ht="14.25" hidden="1" customHeight="1" x14ac:dyDescent="0.45">
      <c r="A4420" t="str">
        <f>_xlfn.XLOOKUP(B4420,Ingot!$H$12:$H$119,Ingot!$G$12:$G$119,"")</f>
        <v>Wood</v>
      </c>
      <c r="B4420" t="s">
        <v>8858</v>
      </c>
      <c r="C4420" t="s">
        <v>10</v>
      </c>
      <c r="D4420" t="s">
        <v>8889</v>
      </c>
      <c r="E4420" t="s">
        <v>8890</v>
      </c>
      <c r="G4420" s="1">
        <v>1.1000000000000001</v>
      </c>
    </row>
    <row r="4421" spans="1:7" ht="14.25" hidden="1" customHeight="1" x14ac:dyDescent="0.45">
      <c r="A4421" t="str">
        <f>_xlfn.XLOOKUP(B4421,Ingot!$H$12:$H$119,Ingot!$G$12:$G$119,"")</f>
        <v>Wood</v>
      </c>
      <c r="B4421" t="s">
        <v>8858</v>
      </c>
      <c r="C4421" t="s">
        <v>10</v>
      </c>
      <c r="D4421" t="s">
        <v>8891</v>
      </c>
      <c r="E4421" t="s">
        <v>8892</v>
      </c>
      <c r="G4421" s="1">
        <v>0.22</v>
      </c>
    </row>
    <row r="4422" spans="1:7" ht="14.25" hidden="1" customHeight="1" x14ac:dyDescent="0.45">
      <c r="A4422" t="str">
        <f>_xlfn.XLOOKUP(B4422,Ingot!$H$12:$H$119,Ingot!$G$12:$G$119,"")</f>
        <v>Wood</v>
      </c>
      <c r="B4422" t="s">
        <v>8858</v>
      </c>
      <c r="C4422" t="s">
        <v>10</v>
      </c>
      <c r="D4422" t="s">
        <v>8893</v>
      </c>
      <c r="E4422" t="s">
        <v>8894</v>
      </c>
      <c r="G4422" s="1">
        <v>8.41</v>
      </c>
    </row>
    <row r="4423" spans="1:7" ht="14.25" hidden="1" customHeight="1" x14ac:dyDescent="0.45">
      <c r="A4423" t="str">
        <f>_xlfn.XLOOKUP(B4423,Ingot!$H$12:$H$119,Ingot!$G$12:$G$119,"")</f>
        <v>Wood</v>
      </c>
      <c r="B4423" t="s">
        <v>8858</v>
      </c>
      <c r="C4423" t="s">
        <v>10</v>
      </c>
      <c r="D4423" t="s">
        <v>8895</v>
      </c>
      <c r="E4423" t="s">
        <v>8896</v>
      </c>
      <c r="G4423" s="1">
        <v>3.64</v>
      </c>
    </row>
    <row r="4424" spans="1:7" ht="14.25" hidden="1" customHeight="1" x14ac:dyDescent="0.45">
      <c r="A4424" t="str">
        <f>_xlfn.XLOOKUP(B4424,Ingot!$H$12:$H$119,Ingot!$G$12:$G$119,"")</f>
        <v>Wood</v>
      </c>
      <c r="B4424" t="s">
        <v>8858</v>
      </c>
      <c r="C4424" t="s">
        <v>10</v>
      </c>
      <c r="D4424" t="s">
        <v>8897</v>
      </c>
      <c r="E4424" t="s">
        <v>8898</v>
      </c>
      <c r="G4424" s="1">
        <v>7.05</v>
      </c>
    </row>
    <row r="4425" spans="1:7" ht="14.25" hidden="1" customHeight="1" x14ac:dyDescent="0.45">
      <c r="A4425" t="str">
        <f>_xlfn.XLOOKUP(B4425,Ingot!$H$12:$H$119,Ingot!$G$12:$G$119,"")</f>
        <v>Wood</v>
      </c>
      <c r="B4425" t="s">
        <v>8858</v>
      </c>
      <c r="C4425" t="s">
        <v>10</v>
      </c>
      <c r="D4425" t="s">
        <v>8899</v>
      </c>
      <c r="E4425" t="s">
        <v>8900</v>
      </c>
      <c r="G4425" s="1">
        <v>2.65</v>
      </c>
    </row>
    <row r="4426" spans="1:7" ht="14.25" hidden="1" customHeight="1" x14ac:dyDescent="0.45">
      <c r="A4426" t="str">
        <f>_xlfn.XLOOKUP(B4426,Ingot!$H$12:$H$119,Ingot!$G$12:$G$119,"")</f>
        <v>Wood</v>
      </c>
      <c r="B4426" t="s">
        <v>8858</v>
      </c>
      <c r="C4426" t="s">
        <v>10</v>
      </c>
      <c r="D4426" t="s">
        <v>8901</v>
      </c>
      <c r="E4426" t="s">
        <v>8902</v>
      </c>
      <c r="G4426" s="1">
        <v>9</v>
      </c>
    </row>
    <row r="4427" spans="1:7" ht="14.25" hidden="1" customHeight="1" x14ac:dyDescent="0.45">
      <c r="A4427" t="str">
        <f>_xlfn.XLOOKUP(B4427,Ingot!$H$12:$H$119,Ingot!$G$12:$G$119,"")</f>
        <v>Wood</v>
      </c>
      <c r="B4427" t="s">
        <v>8858</v>
      </c>
      <c r="C4427" t="s">
        <v>10</v>
      </c>
      <c r="D4427" t="s">
        <v>8903</v>
      </c>
      <c r="E4427" t="s">
        <v>8904</v>
      </c>
      <c r="G4427" s="1">
        <v>10.23</v>
      </c>
    </row>
    <row r="4428" spans="1:7" ht="14.25" hidden="1" customHeight="1" x14ac:dyDescent="0.45">
      <c r="A4428" t="str">
        <f>_xlfn.XLOOKUP(B4428,Ingot!$H$12:$H$119,Ingot!$G$12:$G$119,"")</f>
        <v>Wood</v>
      </c>
      <c r="B4428" t="s">
        <v>8858</v>
      </c>
      <c r="C4428" t="s">
        <v>10</v>
      </c>
      <c r="D4428" t="s">
        <v>8905</v>
      </c>
      <c r="E4428" t="s">
        <v>8906</v>
      </c>
      <c r="G4428" s="1">
        <v>7.7</v>
      </c>
    </row>
    <row r="4429" spans="1:7" ht="14.25" hidden="1" customHeight="1" x14ac:dyDescent="0.45">
      <c r="A4429" t="str">
        <f>_xlfn.XLOOKUP(B4429,Ingot!$H$12:$H$119,Ingot!$G$12:$G$119,"")</f>
        <v>Wood</v>
      </c>
      <c r="B4429" t="s">
        <v>8858</v>
      </c>
      <c r="C4429" t="s">
        <v>10</v>
      </c>
      <c r="D4429" t="s">
        <v>8907</v>
      </c>
      <c r="E4429" t="s">
        <v>8908</v>
      </c>
      <c r="G4429" s="1">
        <v>10.02</v>
      </c>
    </row>
    <row r="4430" spans="1:7" ht="14.25" hidden="1" customHeight="1" x14ac:dyDescent="0.45">
      <c r="A4430" t="str">
        <f>_xlfn.XLOOKUP(B4430,Ingot!$H$12:$H$119,Ingot!$G$12:$G$119,"")</f>
        <v>Wood</v>
      </c>
      <c r="B4430" t="s">
        <v>8858</v>
      </c>
      <c r="C4430" t="s">
        <v>10</v>
      </c>
      <c r="D4430" t="s">
        <v>8909</v>
      </c>
      <c r="E4430" t="s">
        <v>8910</v>
      </c>
      <c r="G4430" s="1">
        <v>11.81</v>
      </c>
    </row>
    <row r="4431" spans="1:7" ht="14.25" hidden="1" customHeight="1" x14ac:dyDescent="0.45">
      <c r="A4431" t="str">
        <f>_xlfn.XLOOKUP(B4431,Ingot!$H$12:$H$119,Ingot!$G$12:$G$119,"")</f>
        <v>Wood</v>
      </c>
      <c r="B4431" t="s">
        <v>8858</v>
      </c>
      <c r="C4431" t="s">
        <v>10</v>
      </c>
      <c r="D4431" t="s">
        <v>8911</v>
      </c>
      <c r="E4431" t="s">
        <v>8912</v>
      </c>
      <c r="G4431" s="1">
        <v>8.44</v>
      </c>
    </row>
    <row r="4432" spans="1:7" ht="14.25" hidden="1" customHeight="1" x14ac:dyDescent="0.45">
      <c r="A4432" t="str">
        <f>_xlfn.XLOOKUP(B4432,Ingot!$H$12:$H$119,Ingot!$G$12:$G$119,"")</f>
        <v>Wood</v>
      </c>
      <c r="B4432" t="s">
        <v>8858</v>
      </c>
      <c r="C4432" t="s">
        <v>10</v>
      </c>
      <c r="D4432" t="s">
        <v>8913</v>
      </c>
      <c r="E4432" t="s">
        <v>8914</v>
      </c>
      <c r="G4432" s="1">
        <v>10.42</v>
      </c>
    </row>
    <row r="4433" spans="1:7" ht="14.25" hidden="1" customHeight="1" x14ac:dyDescent="0.45">
      <c r="A4433" t="str">
        <f>_xlfn.XLOOKUP(B4433,Ingot!$H$12:$H$119,Ingot!$G$12:$G$119,"")</f>
        <v>Wood</v>
      </c>
      <c r="B4433" t="s">
        <v>8858</v>
      </c>
      <c r="C4433" t="s">
        <v>10</v>
      </c>
      <c r="D4433" t="s">
        <v>8915</v>
      </c>
      <c r="E4433" t="s">
        <v>8916</v>
      </c>
    </row>
    <row r="4434" spans="1:7" ht="14.25" hidden="1" customHeight="1" x14ac:dyDescent="0.45">
      <c r="A4434" t="str">
        <f>_xlfn.XLOOKUP(B4434,Ingot!$H$12:$H$119,Ingot!$G$12:$G$119,"")</f>
        <v>Wood</v>
      </c>
      <c r="B4434" t="s">
        <v>8858</v>
      </c>
      <c r="C4434" t="s">
        <v>10</v>
      </c>
      <c r="D4434" t="s">
        <v>8917</v>
      </c>
      <c r="E4434" t="s">
        <v>8918</v>
      </c>
      <c r="G4434" s="1">
        <v>7.96</v>
      </c>
    </row>
    <row r="4435" spans="1:7" ht="14.25" hidden="1" customHeight="1" x14ac:dyDescent="0.45">
      <c r="A4435" t="str">
        <f>_xlfn.XLOOKUP(B4435,Ingot!$H$12:$H$119,Ingot!$G$12:$G$119,"")</f>
        <v>Wood</v>
      </c>
      <c r="B4435" t="s">
        <v>8858</v>
      </c>
      <c r="C4435" t="s">
        <v>10</v>
      </c>
      <c r="D4435" t="s">
        <v>8919</v>
      </c>
      <c r="E4435" t="s">
        <v>8920</v>
      </c>
      <c r="G4435" s="1">
        <v>9.64</v>
      </c>
    </row>
    <row r="4436" spans="1:7" ht="14.25" hidden="1" customHeight="1" x14ac:dyDescent="0.45">
      <c r="A4436" t="str">
        <f>_xlfn.XLOOKUP(B4436,Ingot!$H$12:$H$119,Ingot!$G$12:$G$119,"")</f>
        <v>Wood</v>
      </c>
      <c r="B4436" t="s">
        <v>8858</v>
      </c>
      <c r="C4436" t="s">
        <v>10</v>
      </c>
      <c r="D4436" t="s">
        <v>8921</v>
      </c>
      <c r="E4436" t="s">
        <v>8922</v>
      </c>
      <c r="G4436" s="1">
        <v>7.94</v>
      </c>
    </row>
    <row r="4437" spans="1:7" ht="14.25" hidden="1" customHeight="1" x14ac:dyDescent="0.45">
      <c r="A4437" t="str">
        <f>_xlfn.XLOOKUP(B4437,Ingot!$H$12:$H$119,Ingot!$G$12:$G$119,"")</f>
        <v>Wood</v>
      </c>
      <c r="B4437" t="s">
        <v>8858</v>
      </c>
      <c r="C4437" t="s">
        <v>10</v>
      </c>
      <c r="D4437" t="s">
        <v>8923</v>
      </c>
      <c r="E4437" t="s">
        <v>8924</v>
      </c>
      <c r="G4437" s="1">
        <v>8.66</v>
      </c>
    </row>
    <row r="4438" spans="1:7" ht="14.25" hidden="1" customHeight="1" x14ac:dyDescent="0.45">
      <c r="A4438" t="str">
        <f>_xlfn.XLOOKUP(B4438,Ingot!$H$12:$H$119,Ingot!$G$12:$G$119,"")</f>
        <v>Wood</v>
      </c>
      <c r="B4438" t="s">
        <v>8858</v>
      </c>
      <c r="C4438" t="s">
        <v>10</v>
      </c>
      <c r="D4438" t="s">
        <v>8925</v>
      </c>
      <c r="E4438" t="s">
        <v>8926</v>
      </c>
    </row>
    <row r="4439" spans="1:7" ht="14.25" hidden="1" customHeight="1" x14ac:dyDescent="0.45">
      <c r="A4439" t="str">
        <f>_xlfn.XLOOKUP(B4439,Ingot!$H$12:$H$119,Ingot!$G$12:$G$119,"")</f>
        <v>Wood</v>
      </c>
      <c r="B4439" t="s">
        <v>8858</v>
      </c>
      <c r="C4439" t="s">
        <v>10</v>
      </c>
      <c r="D4439" t="s">
        <v>8927</v>
      </c>
      <c r="E4439" t="s">
        <v>8928</v>
      </c>
      <c r="G4439" s="1">
        <v>2.65</v>
      </c>
    </row>
    <row r="4440" spans="1:7" ht="14.25" hidden="1" customHeight="1" x14ac:dyDescent="0.45">
      <c r="A4440" t="str">
        <f>_xlfn.XLOOKUP(B4440,Ingot!$H$12:$H$119,Ingot!$G$12:$G$119,"")</f>
        <v>Wood</v>
      </c>
      <c r="B4440" t="s">
        <v>8858</v>
      </c>
      <c r="C4440" t="s">
        <v>10</v>
      </c>
      <c r="D4440" t="s">
        <v>8929</v>
      </c>
      <c r="E4440" t="s">
        <v>8930</v>
      </c>
    </row>
    <row r="4441" spans="1:7" ht="14.25" hidden="1" customHeight="1" x14ac:dyDescent="0.45">
      <c r="A4441" t="str">
        <f>_xlfn.XLOOKUP(B4441,Ingot!$H$12:$H$119,Ingot!$G$12:$G$119,"")</f>
        <v>Wood</v>
      </c>
      <c r="B4441" t="s">
        <v>8858</v>
      </c>
      <c r="C4441" t="s">
        <v>10</v>
      </c>
      <c r="D4441" t="s">
        <v>8931</v>
      </c>
      <c r="E4441" t="s">
        <v>8932</v>
      </c>
      <c r="G4441" s="1">
        <v>12.64</v>
      </c>
    </row>
    <row r="4442" spans="1:7" ht="14.25" hidden="1" customHeight="1" x14ac:dyDescent="0.45">
      <c r="A4442" t="str">
        <f>_xlfn.XLOOKUP(B4442,Ingot!$H$12:$H$119,Ingot!$G$12:$G$119,"")</f>
        <v>Wood</v>
      </c>
      <c r="B4442" t="s">
        <v>8858</v>
      </c>
      <c r="C4442" t="s">
        <v>10</v>
      </c>
      <c r="D4442" t="s">
        <v>8933</v>
      </c>
      <c r="E4442" t="s">
        <v>8934</v>
      </c>
      <c r="G4442" s="1">
        <v>22.67</v>
      </c>
    </row>
    <row r="4443" spans="1:7" ht="14.25" hidden="1" customHeight="1" x14ac:dyDescent="0.45">
      <c r="A4443" t="str">
        <f>_xlfn.XLOOKUP(B4443,Ingot!$H$12:$H$119,Ingot!$G$12:$G$119,"")</f>
        <v>Wood</v>
      </c>
      <c r="B4443" t="s">
        <v>8858</v>
      </c>
      <c r="C4443" t="s">
        <v>10</v>
      </c>
      <c r="D4443" t="s">
        <v>8935</v>
      </c>
      <c r="E4443" t="s">
        <v>8936</v>
      </c>
      <c r="G4443" s="1">
        <v>8.3800000000000008</v>
      </c>
    </row>
    <row r="4444" spans="1:7" ht="14.25" hidden="1" customHeight="1" x14ac:dyDescent="0.45">
      <c r="A4444" t="str">
        <f>_xlfn.XLOOKUP(B4444,Ingot!$H$12:$H$119,Ingot!$G$12:$G$119,"")</f>
        <v>Wood</v>
      </c>
      <c r="B4444" t="s">
        <v>8858</v>
      </c>
      <c r="C4444" t="s">
        <v>10</v>
      </c>
      <c r="D4444" t="s">
        <v>8937</v>
      </c>
      <c r="E4444" t="s">
        <v>8938</v>
      </c>
      <c r="G4444" s="1">
        <v>2.2000000000000002</v>
      </c>
    </row>
    <row r="4445" spans="1:7" ht="14.25" hidden="1" customHeight="1" x14ac:dyDescent="0.45">
      <c r="A4445" t="str">
        <f>_xlfn.XLOOKUP(B4445,Ingot!$H$12:$H$119,Ingot!$G$12:$G$119,"")</f>
        <v>Wood</v>
      </c>
      <c r="B4445" t="s">
        <v>8858</v>
      </c>
      <c r="C4445" t="s">
        <v>10</v>
      </c>
      <c r="D4445" t="s">
        <v>8939</v>
      </c>
      <c r="E4445" t="s">
        <v>8940</v>
      </c>
      <c r="G4445" s="1">
        <v>3.09</v>
      </c>
    </row>
    <row r="4446" spans="1:7" ht="14.25" hidden="1" customHeight="1" x14ac:dyDescent="0.45">
      <c r="A4446" t="str">
        <f>_xlfn.XLOOKUP(B4446,Ingot!$H$12:$H$119,Ingot!$G$12:$G$119,"")</f>
        <v>Wood</v>
      </c>
      <c r="B4446" t="s">
        <v>8858</v>
      </c>
      <c r="C4446" t="s">
        <v>10</v>
      </c>
      <c r="D4446" t="s">
        <v>8941</v>
      </c>
      <c r="E4446" t="s">
        <v>8942</v>
      </c>
      <c r="G4446" s="1">
        <v>2.2999999999999998</v>
      </c>
    </row>
    <row r="4447" spans="1:7" ht="14.25" hidden="1" customHeight="1" x14ac:dyDescent="0.45">
      <c r="A4447" t="str">
        <f>_xlfn.XLOOKUP(B4447,Ingot!$H$12:$H$119,Ingot!$G$12:$G$119,"")</f>
        <v>Wood</v>
      </c>
      <c r="B4447" t="s">
        <v>8858</v>
      </c>
      <c r="C4447" t="s">
        <v>10</v>
      </c>
      <c r="D4447" t="s">
        <v>8943</v>
      </c>
      <c r="E4447" t="s">
        <v>8944</v>
      </c>
      <c r="G4447" s="1">
        <v>4.88</v>
      </c>
    </row>
    <row r="4448" spans="1:7" ht="14.25" hidden="1" customHeight="1" x14ac:dyDescent="0.45">
      <c r="A4448" t="str">
        <f>_xlfn.XLOOKUP(B4448,Ingot!$H$12:$H$119,Ingot!$G$12:$G$119,"")</f>
        <v>Wood</v>
      </c>
      <c r="B4448" t="s">
        <v>8858</v>
      </c>
      <c r="C4448" t="s">
        <v>10</v>
      </c>
      <c r="D4448" t="s">
        <v>8945</v>
      </c>
      <c r="E4448" t="s">
        <v>8946</v>
      </c>
      <c r="G4448" s="1">
        <v>8.43</v>
      </c>
    </row>
    <row r="4449" spans="1:7" ht="14.25" hidden="1" customHeight="1" x14ac:dyDescent="0.45">
      <c r="A4449" t="str">
        <f>_xlfn.XLOOKUP(B4449,Ingot!$H$12:$H$119,Ingot!$G$12:$G$119,"")</f>
        <v>Wood</v>
      </c>
      <c r="B4449" t="s">
        <v>8858</v>
      </c>
      <c r="C4449" t="s">
        <v>10</v>
      </c>
      <c r="D4449" t="s">
        <v>8947</v>
      </c>
      <c r="E4449" t="s">
        <v>8948</v>
      </c>
      <c r="G4449" s="1">
        <v>13.07</v>
      </c>
    </row>
    <row r="4450" spans="1:7" ht="14.25" hidden="1" customHeight="1" x14ac:dyDescent="0.45">
      <c r="A4450" t="str">
        <f>_xlfn.XLOOKUP(B4450,Ingot!$H$12:$H$119,Ingot!$G$12:$G$119,"")</f>
        <v>Wood</v>
      </c>
      <c r="B4450" t="s">
        <v>8858</v>
      </c>
      <c r="C4450" t="s">
        <v>10</v>
      </c>
      <c r="D4450" t="s">
        <v>8949</v>
      </c>
      <c r="E4450" t="s">
        <v>8950</v>
      </c>
    </row>
    <row r="4451" spans="1:7" ht="14.25" hidden="1" customHeight="1" x14ac:dyDescent="0.45">
      <c r="A4451" t="str">
        <f>_xlfn.XLOOKUP(B4451,Ingot!$H$12:$H$119,Ingot!$G$12:$G$119,"")</f>
        <v>Wood</v>
      </c>
      <c r="B4451" t="s">
        <v>8858</v>
      </c>
      <c r="C4451" t="s">
        <v>10</v>
      </c>
      <c r="D4451" t="s">
        <v>8951</v>
      </c>
      <c r="E4451" t="s">
        <v>8952</v>
      </c>
    </row>
    <row r="4452" spans="1:7" ht="14.25" hidden="1" customHeight="1" x14ac:dyDescent="0.45">
      <c r="A4452" t="str">
        <f>_xlfn.XLOOKUP(B4452,Ingot!$H$12:$H$119,Ingot!$G$12:$G$119,"")</f>
        <v>Wood</v>
      </c>
      <c r="B4452" t="s">
        <v>8858</v>
      </c>
      <c r="C4452" t="s">
        <v>10</v>
      </c>
      <c r="D4452" t="s">
        <v>8953</v>
      </c>
      <c r="E4452" t="s">
        <v>8954</v>
      </c>
      <c r="G4452" s="1">
        <v>6.8</v>
      </c>
    </row>
    <row r="4453" spans="1:7" ht="14.25" hidden="1" customHeight="1" x14ac:dyDescent="0.45">
      <c r="A4453" t="str">
        <f>_xlfn.XLOOKUP(B4453,Ingot!$H$12:$H$119,Ingot!$G$12:$G$119,"")</f>
        <v>Wood</v>
      </c>
      <c r="B4453" t="s">
        <v>8858</v>
      </c>
      <c r="C4453" t="s">
        <v>10</v>
      </c>
      <c r="D4453" t="s">
        <v>8955</v>
      </c>
      <c r="E4453" t="s">
        <v>8956</v>
      </c>
      <c r="G4453" s="1">
        <v>6.88</v>
      </c>
    </row>
    <row r="4454" spans="1:7" ht="14.25" hidden="1" customHeight="1" x14ac:dyDescent="0.45">
      <c r="A4454" t="str">
        <f>_xlfn.XLOOKUP(B4454,Ingot!$H$12:$H$119,Ingot!$G$12:$G$119,"")</f>
        <v>Wood</v>
      </c>
      <c r="B4454" t="s">
        <v>8858</v>
      </c>
      <c r="C4454" t="s">
        <v>10</v>
      </c>
      <c r="D4454" t="s">
        <v>8957</v>
      </c>
      <c r="E4454" t="s">
        <v>8958</v>
      </c>
      <c r="G4454" s="1">
        <v>5.5</v>
      </c>
    </row>
    <row r="4455" spans="1:7" ht="14.25" hidden="1" customHeight="1" x14ac:dyDescent="0.45">
      <c r="A4455" t="str">
        <f>_xlfn.XLOOKUP(B4455,Ingot!$H$12:$H$119,Ingot!$G$12:$G$119,"")</f>
        <v>Wood</v>
      </c>
      <c r="B4455" t="s">
        <v>8858</v>
      </c>
      <c r="C4455" t="s">
        <v>10</v>
      </c>
      <c r="D4455" t="s">
        <v>8959</v>
      </c>
      <c r="E4455" t="s">
        <v>8960</v>
      </c>
      <c r="G4455" s="1">
        <v>2.4300000000000002</v>
      </c>
    </row>
    <row r="4456" spans="1:7" ht="14.25" hidden="1" customHeight="1" x14ac:dyDescent="0.45">
      <c r="A4456" t="str">
        <f>_xlfn.XLOOKUP(B4456,Ingot!$H$12:$H$119,Ingot!$G$12:$G$119,"")</f>
        <v>Wood</v>
      </c>
      <c r="B4456" t="s">
        <v>8858</v>
      </c>
      <c r="C4456" t="s">
        <v>10</v>
      </c>
      <c r="D4456" t="s">
        <v>8961</v>
      </c>
      <c r="E4456" t="s">
        <v>8962</v>
      </c>
      <c r="G4456" s="1">
        <v>6.96</v>
      </c>
    </row>
    <row r="4457" spans="1:7" ht="14.25" hidden="1" customHeight="1" x14ac:dyDescent="0.45">
      <c r="A4457" t="str">
        <f>_xlfn.XLOOKUP(B4457,Ingot!$H$12:$H$119,Ingot!$G$12:$G$119,"")</f>
        <v>Wood</v>
      </c>
      <c r="B4457" t="s">
        <v>8858</v>
      </c>
      <c r="C4457" t="s">
        <v>10</v>
      </c>
      <c r="D4457" t="s">
        <v>8963</v>
      </c>
      <c r="E4457" t="s">
        <v>8964</v>
      </c>
      <c r="G4457" s="1">
        <v>6.32</v>
      </c>
    </row>
    <row r="4458" spans="1:7" ht="14.25" hidden="1" customHeight="1" x14ac:dyDescent="0.45">
      <c r="A4458" t="str">
        <f>_xlfn.XLOOKUP(B4458,Ingot!$H$12:$H$119,Ingot!$G$12:$G$119,"")</f>
        <v>Wood</v>
      </c>
      <c r="B4458" t="s">
        <v>8858</v>
      </c>
      <c r="C4458" t="s">
        <v>10</v>
      </c>
      <c r="D4458" t="s">
        <v>8965</v>
      </c>
      <c r="E4458" t="s">
        <v>8966</v>
      </c>
      <c r="G4458" s="1">
        <v>6.88</v>
      </c>
    </row>
    <row r="4459" spans="1:7" ht="14.25" hidden="1" customHeight="1" x14ac:dyDescent="0.45">
      <c r="A4459" t="str">
        <f>_xlfn.XLOOKUP(B4459,Ingot!$H$12:$H$119,Ingot!$G$12:$G$119,"")</f>
        <v>Wood</v>
      </c>
      <c r="B4459" t="s">
        <v>8858</v>
      </c>
      <c r="C4459" t="s">
        <v>10</v>
      </c>
      <c r="D4459" t="s">
        <v>8967</v>
      </c>
      <c r="E4459" t="s">
        <v>8968</v>
      </c>
      <c r="G4459" s="1">
        <v>2.44</v>
      </c>
    </row>
    <row r="4460" spans="1:7" ht="14.25" hidden="1" customHeight="1" x14ac:dyDescent="0.45">
      <c r="A4460" t="str">
        <f>_xlfn.XLOOKUP(B4460,Ingot!$H$12:$H$119,Ingot!$G$12:$G$119,"")</f>
        <v>Wood</v>
      </c>
      <c r="B4460" t="s">
        <v>8858</v>
      </c>
      <c r="C4460" t="s">
        <v>10</v>
      </c>
      <c r="D4460" t="s">
        <v>8969</v>
      </c>
      <c r="E4460" t="s">
        <v>8970</v>
      </c>
    </row>
    <row r="4461" spans="1:7" ht="14.25" hidden="1" customHeight="1" x14ac:dyDescent="0.45">
      <c r="A4461" t="str">
        <f>_xlfn.XLOOKUP(B4461,Ingot!$H$12:$H$119,Ingot!$G$12:$G$119,"")</f>
        <v>Wood</v>
      </c>
      <c r="B4461" t="s">
        <v>8858</v>
      </c>
      <c r="C4461" t="s">
        <v>10</v>
      </c>
      <c r="D4461" t="s">
        <v>8971</v>
      </c>
      <c r="E4461" t="s">
        <v>8972</v>
      </c>
    </row>
    <row r="4462" spans="1:7" ht="14.25" hidden="1" customHeight="1" x14ac:dyDescent="0.45">
      <c r="A4462" t="str">
        <f>_xlfn.XLOOKUP(B4462,Ingot!$H$12:$H$119,Ingot!$G$12:$G$119,"")</f>
        <v>Wood</v>
      </c>
      <c r="B4462" t="s">
        <v>8858</v>
      </c>
      <c r="C4462" t="s">
        <v>10</v>
      </c>
      <c r="D4462" t="s">
        <v>8973</v>
      </c>
      <c r="E4462" t="s">
        <v>8974</v>
      </c>
      <c r="G4462" s="1">
        <v>3.11</v>
      </c>
    </row>
    <row r="4463" spans="1:7" ht="14.25" hidden="1" customHeight="1" x14ac:dyDescent="0.45">
      <c r="A4463" t="str">
        <f>_xlfn.XLOOKUP(B4463,Ingot!$H$12:$H$119,Ingot!$G$12:$G$119,"")</f>
        <v>Wood</v>
      </c>
      <c r="B4463" t="s">
        <v>8858</v>
      </c>
      <c r="C4463" t="s">
        <v>10</v>
      </c>
      <c r="D4463" t="s">
        <v>8975</v>
      </c>
      <c r="E4463" t="s">
        <v>8976</v>
      </c>
      <c r="G4463" s="1">
        <v>2.44</v>
      </c>
    </row>
    <row r="4464" spans="1:7" ht="14.25" hidden="1" customHeight="1" x14ac:dyDescent="0.45">
      <c r="A4464" t="str">
        <f>_xlfn.XLOOKUP(B4464,Ingot!$H$12:$H$119,Ingot!$G$12:$G$119,"")</f>
        <v>Wood</v>
      </c>
      <c r="B4464" t="s">
        <v>8858</v>
      </c>
      <c r="C4464" t="s">
        <v>10</v>
      </c>
      <c r="D4464" t="s">
        <v>8977</v>
      </c>
      <c r="E4464" t="s">
        <v>8978</v>
      </c>
      <c r="G4464" s="1">
        <v>8.61</v>
      </c>
    </row>
    <row r="4465" spans="1:7" ht="14.25" hidden="1" customHeight="1" x14ac:dyDescent="0.45">
      <c r="A4465" t="str">
        <f>_xlfn.XLOOKUP(B4465,Ingot!$H$12:$H$119,Ingot!$G$12:$G$119,"")</f>
        <v>Wood</v>
      </c>
      <c r="B4465" t="s">
        <v>8858</v>
      </c>
      <c r="C4465" t="s">
        <v>10</v>
      </c>
      <c r="D4465" t="s">
        <v>8979</v>
      </c>
      <c r="E4465" t="s">
        <v>8980</v>
      </c>
    </row>
    <row r="4466" spans="1:7" ht="14.25" hidden="1" customHeight="1" x14ac:dyDescent="0.45">
      <c r="A4466" t="str">
        <f>_xlfn.XLOOKUP(B4466,Ingot!$H$12:$H$119,Ingot!$G$12:$G$119,"")</f>
        <v>Wood</v>
      </c>
      <c r="B4466" t="s">
        <v>8858</v>
      </c>
      <c r="C4466" t="s">
        <v>10</v>
      </c>
      <c r="D4466" t="s">
        <v>8981</v>
      </c>
      <c r="E4466" t="s">
        <v>8982</v>
      </c>
      <c r="G4466" s="1">
        <v>3.21</v>
      </c>
    </row>
    <row r="4467" spans="1:7" ht="14.25" hidden="1" customHeight="1" x14ac:dyDescent="0.45">
      <c r="A4467" t="str">
        <f>_xlfn.XLOOKUP(B4467,Ingot!$H$12:$H$119,Ingot!$G$12:$G$119,"")</f>
        <v>Wood</v>
      </c>
      <c r="B4467" t="s">
        <v>8858</v>
      </c>
      <c r="C4467" t="s">
        <v>10</v>
      </c>
      <c r="D4467" t="s">
        <v>8983</v>
      </c>
      <c r="E4467" t="s">
        <v>8984</v>
      </c>
      <c r="G4467" s="1">
        <v>2.77</v>
      </c>
    </row>
    <row r="4468" spans="1:7" ht="14.25" hidden="1" customHeight="1" x14ac:dyDescent="0.45">
      <c r="A4468" t="str">
        <f>_xlfn.XLOOKUP(B4468,Ingot!$H$12:$H$119,Ingot!$G$12:$G$119,"")</f>
        <v>Wood</v>
      </c>
      <c r="B4468" t="s">
        <v>8858</v>
      </c>
      <c r="C4468" t="s">
        <v>10</v>
      </c>
      <c r="D4468" t="s">
        <v>8985</v>
      </c>
      <c r="E4468" t="s">
        <v>8986</v>
      </c>
      <c r="G4468" s="1">
        <v>4.8899999999999997</v>
      </c>
    </row>
    <row r="4469" spans="1:7" ht="14.25" hidden="1" customHeight="1" x14ac:dyDescent="0.45">
      <c r="A4469" t="str">
        <f>_xlfn.XLOOKUP(B4469,Ingot!$H$12:$H$119,Ingot!$G$12:$G$119,"")</f>
        <v>Wood</v>
      </c>
      <c r="B4469" t="s">
        <v>8858</v>
      </c>
      <c r="C4469" t="s">
        <v>10</v>
      </c>
      <c r="D4469" t="s">
        <v>8987</v>
      </c>
      <c r="E4469" t="s">
        <v>8988</v>
      </c>
      <c r="G4469" s="1">
        <v>1.76</v>
      </c>
    </row>
    <row r="4470" spans="1:7" ht="14.25" hidden="1" customHeight="1" x14ac:dyDescent="0.45">
      <c r="A4470" t="str">
        <f>_xlfn.XLOOKUP(B4470,Ingot!$H$12:$H$119,Ingot!$G$12:$G$119,"")</f>
        <v>Wood</v>
      </c>
      <c r="B4470" t="s">
        <v>8858</v>
      </c>
      <c r="C4470" t="s">
        <v>10</v>
      </c>
      <c r="D4470" t="s">
        <v>8989</v>
      </c>
      <c r="E4470" t="s">
        <v>8990</v>
      </c>
    </row>
    <row r="4471" spans="1:7" ht="14.25" hidden="1" customHeight="1" x14ac:dyDescent="0.45">
      <c r="A4471" t="str">
        <f>_xlfn.XLOOKUP(B4471,Ingot!$H$12:$H$119,Ingot!$G$12:$G$119,"")</f>
        <v>Wood</v>
      </c>
      <c r="B4471" t="s">
        <v>8858</v>
      </c>
      <c r="C4471" t="s">
        <v>10</v>
      </c>
      <c r="D4471" t="s">
        <v>8991</v>
      </c>
      <c r="E4471" t="s">
        <v>8992</v>
      </c>
      <c r="G4471" s="1">
        <v>8.57</v>
      </c>
    </row>
    <row r="4472" spans="1:7" ht="14.25" hidden="1" customHeight="1" x14ac:dyDescent="0.45">
      <c r="A4472" t="str">
        <f>_xlfn.XLOOKUP(B4472,Ingot!$H$12:$H$119,Ingot!$G$12:$G$119,"")</f>
        <v>Wood</v>
      </c>
      <c r="B4472" t="s">
        <v>8858</v>
      </c>
      <c r="C4472" t="s">
        <v>10</v>
      </c>
      <c r="D4472" t="s">
        <v>8993</v>
      </c>
      <c r="E4472" t="s">
        <v>8994</v>
      </c>
    </row>
    <row r="4473" spans="1:7" ht="14.25" hidden="1" customHeight="1" x14ac:dyDescent="0.45">
      <c r="A4473" t="str">
        <f>_xlfn.XLOOKUP(B4473,Ingot!$H$12:$H$119,Ingot!$G$12:$G$119,"")</f>
        <v>Wood</v>
      </c>
      <c r="B4473" t="s">
        <v>8858</v>
      </c>
      <c r="C4473" t="s">
        <v>10</v>
      </c>
      <c r="D4473" t="s">
        <v>8995</v>
      </c>
      <c r="E4473" t="s">
        <v>8996</v>
      </c>
      <c r="G4473" s="1">
        <v>3.56</v>
      </c>
    </row>
    <row r="4474" spans="1:7" ht="14.25" hidden="1" customHeight="1" x14ac:dyDescent="0.45">
      <c r="A4474" t="str">
        <f>_xlfn.XLOOKUP(B4474,Ingot!$H$12:$H$119,Ingot!$G$12:$G$119,"")</f>
        <v>Wood</v>
      </c>
      <c r="B4474" t="s">
        <v>8858</v>
      </c>
      <c r="C4474" t="s">
        <v>10</v>
      </c>
      <c r="D4474" t="s">
        <v>8997</v>
      </c>
      <c r="E4474" t="s">
        <v>8998</v>
      </c>
      <c r="G4474" s="1">
        <v>8.91</v>
      </c>
    </row>
    <row r="4475" spans="1:7" ht="14.25" hidden="1" customHeight="1" x14ac:dyDescent="0.45">
      <c r="A4475" t="str">
        <f>_xlfn.XLOOKUP(B4475,Ingot!$H$12:$H$119,Ingot!$G$12:$G$119,"")</f>
        <v>Wood</v>
      </c>
      <c r="B4475" t="s">
        <v>8858</v>
      </c>
      <c r="C4475" t="s">
        <v>10</v>
      </c>
      <c r="D4475" t="s">
        <v>8999</v>
      </c>
      <c r="E4475" t="s">
        <v>9000</v>
      </c>
      <c r="G4475" s="1">
        <v>11.02</v>
      </c>
    </row>
    <row r="4476" spans="1:7" ht="14.25" hidden="1" customHeight="1" x14ac:dyDescent="0.45">
      <c r="A4476" t="str">
        <f>_xlfn.XLOOKUP(B4476,Ingot!$H$12:$H$119,Ingot!$G$12:$G$119,"")</f>
        <v>Wood</v>
      </c>
      <c r="B4476" t="s">
        <v>8858</v>
      </c>
      <c r="C4476" t="s">
        <v>10</v>
      </c>
      <c r="D4476" t="s">
        <v>9001</v>
      </c>
      <c r="E4476" t="s">
        <v>9002</v>
      </c>
      <c r="G4476" s="1">
        <v>5.12</v>
      </c>
    </row>
    <row r="4477" spans="1:7" ht="14.25" hidden="1" customHeight="1" x14ac:dyDescent="0.45">
      <c r="A4477" t="str">
        <f>_xlfn.XLOOKUP(B4477,Ingot!$H$12:$H$119,Ingot!$G$12:$G$119,"")</f>
        <v>Wood</v>
      </c>
      <c r="B4477" t="s">
        <v>8858</v>
      </c>
      <c r="C4477" t="s">
        <v>10</v>
      </c>
      <c r="D4477" t="s">
        <v>9003</v>
      </c>
      <c r="E4477" t="s">
        <v>9004</v>
      </c>
      <c r="G4477" s="1">
        <v>4.41</v>
      </c>
    </row>
    <row r="4478" spans="1:7" ht="14.25" hidden="1" customHeight="1" x14ac:dyDescent="0.45">
      <c r="A4478" t="str">
        <f>_xlfn.XLOOKUP(B4478,Ingot!$H$12:$H$119,Ingot!$G$12:$G$119,"")</f>
        <v>Wood</v>
      </c>
      <c r="B4478" t="s">
        <v>8858</v>
      </c>
      <c r="C4478" t="s">
        <v>157</v>
      </c>
      <c r="D4478" t="s">
        <v>9005</v>
      </c>
      <c r="E4478" t="s">
        <v>9006</v>
      </c>
      <c r="G4478" s="1">
        <v>24</v>
      </c>
    </row>
    <row r="4479" spans="1:7" ht="14.25" hidden="1" customHeight="1" x14ac:dyDescent="0.45">
      <c r="A4479" t="str">
        <f>_xlfn.XLOOKUP(B4479,Ingot!$H$12:$H$119,Ingot!$G$12:$G$119,"")</f>
        <v>Wood</v>
      </c>
      <c r="B4479" t="s">
        <v>8858</v>
      </c>
      <c r="C4479" t="s">
        <v>157</v>
      </c>
      <c r="D4479" t="s">
        <v>9007</v>
      </c>
      <c r="E4479" t="s">
        <v>9008</v>
      </c>
      <c r="G4479" s="1">
        <v>5</v>
      </c>
    </row>
    <row r="4480" spans="1:7" ht="14.25" hidden="1" customHeight="1" x14ac:dyDescent="0.45">
      <c r="A4480" t="str">
        <f>_xlfn.XLOOKUP(B4480,Ingot!$H$12:$H$119,Ingot!$G$12:$G$119,"")</f>
        <v>Wood</v>
      </c>
      <c r="B4480" t="s">
        <v>8858</v>
      </c>
      <c r="C4480" t="s">
        <v>157</v>
      </c>
      <c r="D4480" t="s">
        <v>9009</v>
      </c>
      <c r="E4480" t="s">
        <v>9010</v>
      </c>
      <c r="G4480" s="1">
        <v>5</v>
      </c>
    </row>
    <row r="4481" spans="1:7" ht="14.25" hidden="1" customHeight="1" x14ac:dyDescent="0.45">
      <c r="A4481" t="str">
        <f>_xlfn.XLOOKUP(B4481,Ingot!$H$12:$H$119,Ingot!$G$12:$G$119,"")</f>
        <v>Wood</v>
      </c>
      <c r="B4481" t="s">
        <v>8858</v>
      </c>
      <c r="C4481" t="s">
        <v>157</v>
      </c>
      <c r="D4481" t="s">
        <v>9011</v>
      </c>
      <c r="E4481" t="s">
        <v>9012</v>
      </c>
      <c r="G4481" s="1">
        <v>5</v>
      </c>
    </row>
    <row r="4482" spans="1:7" ht="14.25" hidden="1" customHeight="1" x14ac:dyDescent="0.45">
      <c r="A4482" t="str">
        <f>_xlfn.XLOOKUP(B4482,Ingot!$H$12:$H$119,Ingot!$G$12:$G$119,"")</f>
        <v>Wood</v>
      </c>
      <c r="B4482" t="s">
        <v>8858</v>
      </c>
      <c r="C4482" t="s">
        <v>157</v>
      </c>
      <c r="D4482" t="s">
        <v>9013</v>
      </c>
      <c r="E4482" t="s">
        <v>9014</v>
      </c>
      <c r="G4482" s="1">
        <v>10</v>
      </c>
    </row>
    <row r="4483" spans="1:7" ht="14.25" hidden="1" customHeight="1" x14ac:dyDescent="0.45">
      <c r="A4483" t="str">
        <f>_xlfn.XLOOKUP(B4483,Ingot!$H$12:$H$119,Ingot!$G$12:$G$119,"")</f>
        <v>Wood</v>
      </c>
      <c r="B4483" t="s">
        <v>8858</v>
      </c>
      <c r="C4483" t="s">
        <v>157</v>
      </c>
      <c r="D4483" t="s">
        <v>9015</v>
      </c>
      <c r="E4483" t="s">
        <v>9016</v>
      </c>
      <c r="G4483" s="1">
        <v>20.8</v>
      </c>
    </row>
    <row r="4484" spans="1:7" ht="14.25" hidden="1" customHeight="1" x14ac:dyDescent="0.45">
      <c r="A4484" t="str">
        <f>_xlfn.XLOOKUP(B4484,Ingot!$H$12:$H$119,Ingot!$G$12:$G$119,"")</f>
        <v>Wood</v>
      </c>
      <c r="B4484" t="s">
        <v>8858</v>
      </c>
      <c r="C4484" t="s">
        <v>157</v>
      </c>
      <c r="D4484" t="s">
        <v>9017</v>
      </c>
      <c r="E4484" t="s">
        <v>9018</v>
      </c>
      <c r="G4484" s="1">
        <v>5</v>
      </c>
    </row>
    <row r="4485" spans="1:7" ht="14.25" hidden="1" customHeight="1" x14ac:dyDescent="0.45">
      <c r="A4485" t="str">
        <f>_xlfn.XLOOKUP(B4485,Ingot!$H$12:$H$119,Ingot!$G$12:$G$119,"")</f>
        <v>Wood</v>
      </c>
      <c r="B4485" t="s">
        <v>8858</v>
      </c>
      <c r="C4485" t="s">
        <v>157</v>
      </c>
      <c r="D4485" t="s">
        <v>9019</v>
      </c>
      <c r="E4485" t="s">
        <v>9020</v>
      </c>
      <c r="G4485" s="1">
        <v>5</v>
      </c>
    </row>
    <row r="4486" spans="1:7" ht="14.25" hidden="1" customHeight="1" x14ac:dyDescent="0.45">
      <c r="A4486" t="str">
        <f>_xlfn.XLOOKUP(B4486,Ingot!$H$12:$H$119,Ingot!$G$12:$G$119,"")</f>
        <v>Wood</v>
      </c>
      <c r="B4486" t="s">
        <v>8858</v>
      </c>
      <c r="C4486" t="s">
        <v>157</v>
      </c>
      <c r="D4486" t="s">
        <v>9021</v>
      </c>
      <c r="E4486" t="s">
        <v>9022</v>
      </c>
      <c r="G4486" s="1">
        <v>5</v>
      </c>
    </row>
    <row r="4487" spans="1:7" ht="14.25" hidden="1" customHeight="1" x14ac:dyDescent="0.45">
      <c r="A4487" t="str">
        <f>_xlfn.XLOOKUP(B4487,Ingot!$H$12:$H$119,Ingot!$G$12:$G$119,"")</f>
        <v>Wood</v>
      </c>
      <c r="B4487" t="s">
        <v>8858</v>
      </c>
      <c r="C4487" t="s">
        <v>157</v>
      </c>
      <c r="D4487" t="s">
        <v>9023</v>
      </c>
      <c r="E4487" t="s">
        <v>9024</v>
      </c>
      <c r="G4487" s="1">
        <v>10</v>
      </c>
    </row>
    <row r="4488" spans="1:7" ht="14.25" hidden="1" customHeight="1" x14ac:dyDescent="0.45">
      <c r="A4488" t="str">
        <f>_xlfn.XLOOKUP(B4488,Ingot!$H$12:$H$119,Ingot!$G$12:$G$119,"")</f>
        <v>Wood</v>
      </c>
      <c r="B4488" t="s">
        <v>8858</v>
      </c>
      <c r="C4488" t="s">
        <v>157</v>
      </c>
      <c r="D4488" t="s">
        <v>9025</v>
      </c>
      <c r="E4488" t="s">
        <v>9026</v>
      </c>
      <c r="G4488" s="1">
        <v>20</v>
      </c>
    </row>
    <row r="4489" spans="1:7" ht="14.25" hidden="1" customHeight="1" x14ac:dyDescent="0.45">
      <c r="A4489" t="str">
        <f>_xlfn.XLOOKUP(B4489,Ingot!$H$12:$H$119,Ingot!$G$12:$G$119,"")</f>
        <v>Wood</v>
      </c>
      <c r="B4489" t="s">
        <v>8858</v>
      </c>
      <c r="C4489" t="s">
        <v>157</v>
      </c>
      <c r="D4489" t="s">
        <v>9027</v>
      </c>
      <c r="E4489" t="s">
        <v>9028</v>
      </c>
      <c r="G4489" s="1">
        <v>5</v>
      </c>
    </row>
    <row r="4490" spans="1:7" ht="14.25" hidden="1" customHeight="1" x14ac:dyDescent="0.45">
      <c r="A4490" t="str">
        <f>_xlfn.XLOOKUP(B4490,Ingot!$H$12:$H$119,Ingot!$G$12:$G$119,"")</f>
        <v>Wood</v>
      </c>
      <c r="B4490" t="s">
        <v>8858</v>
      </c>
      <c r="C4490" t="s">
        <v>157</v>
      </c>
      <c r="D4490" t="s">
        <v>9029</v>
      </c>
      <c r="E4490" t="s">
        <v>9030</v>
      </c>
      <c r="G4490" s="1">
        <v>5</v>
      </c>
    </row>
    <row r="4491" spans="1:7" ht="14.25" hidden="1" customHeight="1" x14ac:dyDescent="0.45">
      <c r="A4491" t="str">
        <f>_xlfn.XLOOKUP(B4491,Ingot!$H$12:$H$119,Ingot!$G$12:$G$119,"")</f>
        <v>Wood</v>
      </c>
      <c r="B4491" t="s">
        <v>8858</v>
      </c>
      <c r="C4491" t="s">
        <v>157</v>
      </c>
      <c r="D4491" t="s">
        <v>9031</v>
      </c>
      <c r="E4491" t="s">
        <v>9032</v>
      </c>
      <c r="G4491" s="1">
        <v>5</v>
      </c>
    </row>
    <row r="4492" spans="1:7" ht="14.25" hidden="1" customHeight="1" x14ac:dyDescent="0.45">
      <c r="A4492" t="str">
        <f>_xlfn.XLOOKUP(B4492,Ingot!$H$12:$H$119,Ingot!$G$12:$G$119,"")</f>
        <v>Wood</v>
      </c>
      <c r="B4492" t="s">
        <v>8858</v>
      </c>
      <c r="C4492" t="s">
        <v>157</v>
      </c>
      <c r="D4492" t="s">
        <v>9033</v>
      </c>
      <c r="E4492" t="s">
        <v>9034</v>
      </c>
      <c r="G4492" s="1">
        <v>10</v>
      </c>
    </row>
    <row r="4493" spans="1:7" ht="14.25" hidden="1" customHeight="1" x14ac:dyDescent="0.45">
      <c r="A4493" t="str">
        <f>_xlfn.XLOOKUP(B4493,Ingot!$H$12:$H$119,Ingot!$G$12:$G$119,"")</f>
        <v>Wood</v>
      </c>
      <c r="B4493" t="s">
        <v>8858</v>
      </c>
      <c r="C4493" t="s">
        <v>157</v>
      </c>
      <c r="D4493" t="s">
        <v>9035</v>
      </c>
      <c r="E4493" t="s">
        <v>9036</v>
      </c>
      <c r="G4493" s="1">
        <v>22</v>
      </c>
    </row>
    <row r="4494" spans="1:7" ht="14.25" hidden="1" customHeight="1" x14ac:dyDescent="0.45">
      <c r="A4494" t="str">
        <f>_xlfn.XLOOKUP(B4494,Ingot!$H$12:$H$119,Ingot!$G$12:$G$119,"")</f>
        <v>Wood</v>
      </c>
      <c r="B4494" t="s">
        <v>8858</v>
      </c>
      <c r="C4494" t="s">
        <v>157</v>
      </c>
      <c r="D4494" t="s">
        <v>9037</v>
      </c>
      <c r="E4494" t="s">
        <v>9038</v>
      </c>
      <c r="G4494" s="1">
        <v>5</v>
      </c>
    </row>
    <row r="4495" spans="1:7" ht="14.25" hidden="1" customHeight="1" x14ac:dyDescent="0.45">
      <c r="A4495" t="str">
        <f>_xlfn.XLOOKUP(B4495,Ingot!$H$12:$H$119,Ingot!$G$12:$G$119,"")</f>
        <v>Wood</v>
      </c>
      <c r="B4495" t="s">
        <v>8858</v>
      </c>
      <c r="C4495" t="s">
        <v>157</v>
      </c>
      <c r="D4495" t="s">
        <v>9039</v>
      </c>
      <c r="E4495" t="s">
        <v>9040</v>
      </c>
      <c r="G4495" s="1">
        <v>5</v>
      </c>
    </row>
    <row r="4496" spans="1:7" ht="14.25" hidden="1" customHeight="1" x14ac:dyDescent="0.45">
      <c r="A4496" t="str">
        <f>_xlfn.XLOOKUP(B4496,Ingot!$H$12:$H$119,Ingot!$G$12:$G$119,"")</f>
        <v>Wood</v>
      </c>
      <c r="B4496" t="s">
        <v>8858</v>
      </c>
      <c r="C4496" t="s">
        <v>157</v>
      </c>
      <c r="D4496" t="s">
        <v>9041</v>
      </c>
      <c r="E4496" t="s">
        <v>9042</v>
      </c>
      <c r="G4496" s="1">
        <v>5</v>
      </c>
    </row>
    <row r="4497" spans="1:7" ht="14.25" hidden="1" customHeight="1" x14ac:dyDescent="0.45">
      <c r="A4497" t="str">
        <f>_xlfn.XLOOKUP(B4497,Ingot!$H$12:$H$119,Ingot!$G$12:$G$119,"")</f>
        <v>Wood</v>
      </c>
      <c r="B4497" t="s">
        <v>8858</v>
      </c>
      <c r="C4497" t="s">
        <v>157</v>
      </c>
      <c r="D4497" t="s">
        <v>9043</v>
      </c>
      <c r="E4497" t="s">
        <v>9044</v>
      </c>
      <c r="G4497" s="1">
        <v>10</v>
      </c>
    </row>
    <row r="4498" spans="1:7" ht="14.25" hidden="1" customHeight="1" x14ac:dyDescent="0.45">
      <c r="A4498" t="str">
        <f>_xlfn.XLOOKUP(B4498,Ingot!$H$12:$H$119,Ingot!$G$12:$G$119,"")</f>
        <v>Wood</v>
      </c>
      <c r="B4498" t="s">
        <v>8858</v>
      </c>
      <c r="C4498" t="s">
        <v>157</v>
      </c>
      <c r="D4498" t="s">
        <v>9045</v>
      </c>
      <c r="E4498" t="s">
        <v>9046</v>
      </c>
      <c r="G4498" s="1">
        <v>23</v>
      </c>
    </row>
    <row r="4499" spans="1:7" ht="14.25" hidden="1" customHeight="1" x14ac:dyDescent="0.45">
      <c r="A4499" t="str">
        <f>_xlfn.XLOOKUP(B4499,Ingot!$H$12:$H$119,Ingot!$G$12:$G$119,"")</f>
        <v>Wood</v>
      </c>
      <c r="B4499" t="s">
        <v>8858</v>
      </c>
      <c r="C4499" t="s">
        <v>157</v>
      </c>
      <c r="D4499" t="s">
        <v>9047</v>
      </c>
      <c r="E4499" t="s">
        <v>9048</v>
      </c>
      <c r="G4499" s="1">
        <v>5</v>
      </c>
    </row>
    <row r="4500" spans="1:7" ht="14.25" hidden="1" customHeight="1" x14ac:dyDescent="0.45">
      <c r="A4500" t="str">
        <f>_xlfn.XLOOKUP(B4500,Ingot!$H$12:$H$119,Ingot!$G$12:$G$119,"")</f>
        <v>Wood</v>
      </c>
      <c r="B4500" t="s">
        <v>8858</v>
      </c>
      <c r="C4500" t="s">
        <v>157</v>
      </c>
      <c r="D4500" t="s">
        <v>9049</v>
      </c>
      <c r="E4500" t="s">
        <v>9050</v>
      </c>
      <c r="G4500" s="1">
        <v>5</v>
      </c>
    </row>
    <row r="4501" spans="1:7" ht="14.25" hidden="1" customHeight="1" x14ac:dyDescent="0.45">
      <c r="A4501" t="str">
        <f>_xlfn.XLOOKUP(B4501,Ingot!$H$12:$H$119,Ingot!$G$12:$G$119,"")</f>
        <v>Wood</v>
      </c>
      <c r="B4501" t="s">
        <v>8858</v>
      </c>
      <c r="C4501" t="s">
        <v>157</v>
      </c>
      <c r="D4501" t="s">
        <v>9051</v>
      </c>
      <c r="E4501" t="s">
        <v>9052</v>
      </c>
      <c r="G4501" s="1">
        <v>5</v>
      </c>
    </row>
    <row r="4502" spans="1:7" ht="14.25" hidden="1" customHeight="1" x14ac:dyDescent="0.45">
      <c r="A4502" t="str">
        <f>_xlfn.XLOOKUP(B4502,Ingot!$H$12:$H$119,Ingot!$G$12:$G$119,"")</f>
        <v>Wood</v>
      </c>
      <c r="B4502" t="s">
        <v>8858</v>
      </c>
      <c r="C4502" t="s">
        <v>157</v>
      </c>
      <c r="D4502" t="s">
        <v>9053</v>
      </c>
      <c r="E4502" t="s">
        <v>9054</v>
      </c>
      <c r="G4502" s="1">
        <v>10</v>
      </c>
    </row>
    <row r="4503" spans="1:7" ht="14.25" hidden="1" customHeight="1" x14ac:dyDescent="0.45">
      <c r="A4503" t="str">
        <f>_xlfn.XLOOKUP(B4503,Ingot!$H$12:$H$119,Ingot!$G$12:$G$119,"")</f>
        <v>Wood</v>
      </c>
      <c r="B4503" t="s">
        <v>8858</v>
      </c>
      <c r="C4503" t="s">
        <v>157</v>
      </c>
      <c r="D4503" t="s">
        <v>9055</v>
      </c>
      <c r="E4503" t="s">
        <v>9056</v>
      </c>
      <c r="G4503" s="1">
        <v>26.8</v>
      </c>
    </row>
    <row r="4504" spans="1:7" ht="14.25" hidden="1" customHeight="1" x14ac:dyDescent="0.45">
      <c r="A4504" t="str">
        <f>_xlfn.XLOOKUP(B4504,Ingot!$H$12:$H$119,Ingot!$G$12:$G$119,"")</f>
        <v>Wood</v>
      </c>
      <c r="B4504" t="s">
        <v>8858</v>
      </c>
      <c r="C4504" t="s">
        <v>157</v>
      </c>
      <c r="D4504" t="s">
        <v>9057</v>
      </c>
      <c r="E4504" t="s">
        <v>9058</v>
      </c>
      <c r="G4504" s="1">
        <v>5.36</v>
      </c>
    </row>
    <row r="4505" spans="1:7" ht="14.25" hidden="1" customHeight="1" x14ac:dyDescent="0.45">
      <c r="A4505" t="str">
        <f>_xlfn.XLOOKUP(B4505,Ingot!$H$12:$H$119,Ingot!$G$12:$G$119,"")</f>
        <v>Wood</v>
      </c>
      <c r="B4505" t="s">
        <v>8858</v>
      </c>
      <c r="C4505" t="s">
        <v>157</v>
      </c>
      <c r="D4505" t="s">
        <v>9059</v>
      </c>
      <c r="E4505" t="s">
        <v>9060</v>
      </c>
      <c r="G4505" s="1">
        <v>5.36</v>
      </c>
    </row>
    <row r="4506" spans="1:7" ht="14.25" hidden="1" customHeight="1" x14ac:dyDescent="0.45">
      <c r="A4506" t="str">
        <f>_xlfn.XLOOKUP(B4506,Ingot!$H$12:$H$119,Ingot!$G$12:$G$119,"")</f>
        <v>Wood</v>
      </c>
      <c r="B4506" t="s">
        <v>8858</v>
      </c>
      <c r="C4506" t="s">
        <v>157</v>
      </c>
      <c r="D4506" t="s">
        <v>9061</v>
      </c>
      <c r="E4506" t="s">
        <v>9062</v>
      </c>
      <c r="G4506" s="1">
        <v>5</v>
      </c>
    </row>
    <row r="4507" spans="1:7" ht="14.25" hidden="1" customHeight="1" x14ac:dyDescent="0.45">
      <c r="A4507" t="str">
        <f>_xlfn.XLOOKUP(B4507,Ingot!$H$12:$H$119,Ingot!$G$12:$G$119,"")</f>
        <v>Wood</v>
      </c>
      <c r="B4507" t="s">
        <v>8858</v>
      </c>
      <c r="C4507" t="s">
        <v>157</v>
      </c>
      <c r="D4507" t="s">
        <v>9063</v>
      </c>
      <c r="E4507" t="s">
        <v>9064</v>
      </c>
      <c r="G4507" s="1">
        <v>10</v>
      </c>
    </row>
    <row r="4508" spans="1:7" ht="14.25" hidden="1" customHeight="1" x14ac:dyDescent="0.45">
      <c r="A4508" t="str">
        <f>_xlfn.XLOOKUP(B4508,Ingot!$H$12:$H$119,Ingot!$G$12:$G$119,"")</f>
        <v>Wood</v>
      </c>
      <c r="B4508" t="s">
        <v>8858</v>
      </c>
      <c r="C4508" t="s">
        <v>157</v>
      </c>
      <c r="D4508" t="s">
        <v>9065</v>
      </c>
      <c r="E4508" t="s">
        <v>9066</v>
      </c>
      <c r="G4508" s="1">
        <v>25.5</v>
      </c>
    </row>
    <row r="4509" spans="1:7" ht="14.25" hidden="1" customHeight="1" x14ac:dyDescent="0.45">
      <c r="A4509" t="str">
        <f>_xlfn.XLOOKUP(B4509,Ingot!$H$12:$H$119,Ingot!$G$12:$G$119,"")</f>
        <v>Wood</v>
      </c>
      <c r="B4509" t="s">
        <v>8858</v>
      </c>
      <c r="C4509" t="s">
        <v>157</v>
      </c>
      <c r="D4509" t="s">
        <v>9067</v>
      </c>
      <c r="E4509" t="s">
        <v>9068</v>
      </c>
      <c r="G4509" s="1">
        <v>5.0999999999999996</v>
      </c>
    </row>
    <row r="4510" spans="1:7" ht="14.25" hidden="1" customHeight="1" x14ac:dyDescent="0.45">
      <c r="A4510" t="str">
        <f>_xlfn.XLOOKUP(B4510,Ingot!$H$12:$H$119,Ingot!$G$12:$G$119,"")</f>
        <v>Wood</v>
      </c>
      <c r="B4510" t="s">
        <v>8858</v>
      </c>
      <c r="C4510" t="s">
        <v>157</v>
      </c>
      <c r="D4510" t="s">
        <v>9069</v>
      </c>
      <c r="E4510" t="s">
        <v>9070</v>
      </c>
      <c r="G4510" s="1">
        <v>5.0999999999999996</v>
      </c>
    </row>
    <row r="4511" spans="1:7" ht="14.25" hidden="1" customHeight="1" x14ac:dyDescent="0.45">
      <c r="A4511" t="str">
        <f>_xlfn.XLOOKUP(B4511,Ingot!$H$12:$H$119,Ingot!$G$12:$G$119,"")</f>
        <v>Wood</v>
      </c>
      <c r="B4511" t="s">
        <v>8858</v>
      </c>
      <c r="C4511" t="s">
        <v>157</v>
      </c>
      <c r="D4511" t="s">
        <v>9071</v>
      </c>
      <c r="E4511" t="s">
        <v>9072</v>
      </c>
      <c r="G4511" s="1">
        <v>5</v>
      </c>
    </row>
    <row r="4512" spans="1:7" ht="14.25" hidden="1" customHeight="1" x14ac:dyDescent="0.45">
      <c r="A4512" t="str">
        <f>_xlfn.XLOOKUP(B4512,Ingot!$H$12:$H$119,Ingot!$G$12:$G$119,"")</f>
        <v>Wood</v>
      </c>
      <c r="B4512" t="s">
        <v>8858</v>
      </c>
      <c r="C4512" t="s">
        <v>157</v>
      </c>
      <c r="D4512" t="s">
        <v>9073</v>
      </c>
      <c r="E4512" t="s">
        <v>9074</v>
      </c>
      <c r="G4512" s="1">
        <v>10</v>
      </c>
    </row>
    <row r="4513" spans="1:7" ht="14.25" hidden="1" customHeight="1" x14ac:dyDescent="0.45">
      <c r="A4513" t="str">
        <f>_xlfn.XLOOKUP(B4513,Ingot!$H$12:$H$119,Ingot!$G$12:$G$119,"")</f>
        <v>Wood</v>
      </c>
      <c r="B4513" t="s">
        <v>8858</v>
      </c>
      <c r="C4513" t="s">
        <v>157</v>
      </c>
      <c r="D4513" t="s">
        <v>9075</v>
      </c>
      <c r="E4513" t="s">
        <v>9076</v>
      </c>
      <c r="G4513" s="1">
        <v>19.2</v>
      </c>
    </row>
    <row r="4514" spans="1:7" ht="14.25" hidden="1" customHeight="1" x14ac:dyDescent="0.45">
      <c r="A4514" t="str">
        <f>_xlfn.XLOOKUP(B4514,Ingot!$H$12:$H$119,Ingot!$G$12:$G$119,"")</f>
        <v>Wood</v>
      </c>
      <c r="B4514" t="s">
        <v>8858</v>
      </c>
      <c r="C4514" t="s">
        <v>157</v>
      </c>
      <c r="D4514" t="s">
        <v>9077</v>
      </c>
      <c r="E4514" t="s">
        <v>9078</v>
      </c>
      <c r="G4514" s="1">
        <v>5</v>
      </c>
    </row>
    <row r="4515" spans="1:7" ht="14.25" hidden="1" customHeight="1" x14ac:dyDescent="0.45">
      <c r="A4515" t="str">
        <f>_xlfn.XLOOKUP(B4515,Ingot!$H$12:$H$119,Ingot!$G$12:$G$119,"")</f>
        <v>Wood</v>
      </c>
      <c r="B4515" t="s">
        <v>8858</v>
      </c>
      <c r="C4515" t="s">
        <v>157</v>
      </c>
      <c r="D4515" t="s">
        <v>9079</v>
      </c>
      <c r="E4515" t="s">
        <v>9080</v>
      </c>
      <c r="G4515" s="1">
        <v>5</v>
      </c>
    </row>
    <row r="4516" spans="1:7" ht="14.25" hidden="1" customHeight="1" x14ac:dyDescent="0.45">
      <c r="A4516" t="str">
        <f>_xlfn.XLOOKUP(B4516,Ingot!$H$12:$H$119,Ingot!$G$12:$G$119,"")</f>
        <v>Wood</v>
      </c>
      <c r="B4516" t="s">
        <v>8858</v>
      </c>
      <c r="C4516" t="s">
        <v>157</v>
      </c>
      <c r="D4516" t="s">
        <v>9081</v>
      </c>
      <c r="E4516" t="s">
        <v>9082</v>
      </c>
      <c r="G4516" s="1">
        <v>5</v>
      </c>
    </row>
    <row r="4517" spans="1:7" ht="14.25" hidden="1" customHeight="1" x14ac:dyDescent="0.45">
      <c r="A4517" t="str">
        <f>_xlfn.XLOOKUP(B4517,Ingot!$H$12:$H$119,Ingot!$G$12:$G$119,"")</f>
        <v>Wood</v>
      </c>
      <c r="B4517" t="s">
        <v>8858</v>
      </c>
      <c r="C4517" t="s">
        <v>157</v>
      </c>
      <c r="D4517" t="s">
        <v>9083</v>
      </c>
      <c r="E4517" t="s">
        <v>9084</v>
      </c>
      <c r="G4517" s="1">
        <v>10</v>
      </c>
    </row>
    <row r="4518" spans="1:7" ht="14.25" hidden="1" customHeight="1" x14ac:dyDescent="0.45">
      <c r="A4518" t="str">
        <f>_xlfn.XLOOKUP(B4518,Ingot!$H$12:$H$119,Ingot!$G$12:$G$119,"")</f>
        <v>Wood</v>
      </c>
      <c r="B4518" t="s">
        <v>8858</v>
      </c>
      <c r="C4518" t="s">
        <v>239</v>
      </c>
      <c r="D4518" t="s">
        <v>9085</v>
      </c>
      <c r="E4518" t="s">
        <v>9086</v>
      </c>
    </row>
    <row r="4519" spans="1:7" ht="14.25" hidden="1" customHeight="1" x14ac:dyDescent="0.45">
      <c r="A4519" t="str">
        <f>_xlfn.XLOOKUP(B4519,Ingot!$H$12:$H$119,Ingot!$G$12:$G$119,"")</f>
        <v>Wood</v>
      </c>
      <c r="B4519" t="s">
        <v>8858</v>
      </c>
      <c r="C4519" t="s">
        <v>239</v>
      </c>
      <c r="D4519" t="s">
        <v>9087</v>
      </c>
      <c r="E4519" t="s">
        <v>9088</v>
      </c>
    </row>
    <row r="4520" spans="1:7" ht="14.25" hidden="1" customHeight="1" x14ac:dyDescent="0.45">
      <c r="A4520" t="str">
        <f>_xlfn.XLOOKUP(B4520,Ingot!$H$12:$H$119,Ingot!$G$12:$G$119,"")</f>
        <v>Wood</v>
      </c>
      <c r="B4520" t="s">
        <v>8858</v>
      </c>
      <c r="C4520" t="s">
        <v>239</v>
      </c>
      <c r="D4520" t="s">
        <v>9089</v>
      </c>
      <c r="E4520" t="s">
        <v>9090</v>
      </c>
    </row>
    <row r="4521" spans="1:7" ht="14.25" hidden="1" customHeight="1" x14ac:dyDescent="0.45">
      <c r="A4521" t="str">
        <f>_xlfn.XLOOKUP(B4521,Ingot!$H$12:$H$119,Ingot!$G$12:$G$119,"")</f>
        <v>Wood</v>
      </c>
      <c r="B4521" t="s">
        <v>8858</v>
      </c>
      <c r="C4521" t="s">
        <v>239</v>
      </c>
      <c r="D4521" t="s">
        <v>9091</v>
      </c>
      <c r="E4521" t="s">
        <v>9092</v>
      </c>
    </row>
    <row r="4522" spans="1:7" ht="14.25" hidden="1" customHeight="1" x14ac:dyDescent="0.45">
      <c r="A4522" t="str">
        <f>_xlfn.XLOOKUP(B4522,Ingot!$H$12:$H$119,Ingot!$G$12:$G$119,"")</f>
        <v>Wood</v>
      </c>
      <c r="B4522" t="s">
        <v>8858</v>
      </c>
      <c r="C4522" t="s">
        <v>239</v>
      </c>
      <c r="D4522" t="s">
        <v>9093</v>
      </c>
      <c r="E4522" t="s">
        <v>9094</v>
      </c>
    </row>
    <row r="4523" spans="1:7" ht="14.25" hidden="1" customHeight="1" x14ac:dyDescent="0.45">
      <c r="A4523" t="str">
        <f>_xlfn.XLOOKUP(B4523,Ingot!$H$12:$H$119,Ingot!$G$12:$G$119,"")</f>
        <v>Wood</v>
      </c>
      <c r="B4523" t="s">
        <v>8858</v>
      </c>
      <c r="C4523" t="s">
        <v>239</v>
      </c>
      <c r="D4523" t="s">
        <v>9095</v>
      </c>
      <c r="E4523" t="s">
        <v>9096</v>
      </c>
    </row>
    <row r="4524" spans="1:7" ht="14.25" hidden="1" customHeight="1" x14ac:dyDescent="0.45">
      <c r="A4524" t="str">
        <f>_xlfn.XLOOKUP(B4524,Ingot!$H$12:$H$119,Ingot!$G$12:$G$119,"")</f>
        <v>Wood</v>
      </c>
      <c r="B4524" t="s">
        <v>9097</v>
      </c>
      <c r="C4524" t="s">
        <v>10</v>
      </c>
      <c r="D4524" t="s">
        <v>9098</v>
      </c>
      <c r="E4524" t="s">
        <v>9099</v>
      </c>
      <c r="G4524" s="1">
        <v>0.08</v>
      </c>
    </row>
    <row r="4525" spans="1:7" ht="14.25" hidden="1" customHeight="1" x14ac:dyDescent="0.45">
      <c r="A4525" t="str">
        <f>_xlfn.XLOOKUP(B4525,Ingot!$H$12:$H$119,Ingot!$G$12:$G$119,"")</f>
        <v>Wood</v>
      </c>
      <c r="B4525" t="s">
        <v>9097</v>
      </c>
      <c r="C4525" t="s">
        <v>10</v>
      </c>
      <c r="D4525" t="s">
        <v>9100</v>
      </c>
      <c r="E4525" t="s">
        <v>9101</v>
      </c>
      <c r="G4525" s="1">
        <v>9.9</v>
      </c>
    </row>
    <row r="4526" spans="1:7" ht="14.25" hidden="1" customHeight="1" x14ac:dyDescent="0.45">
      <c r="A4526" t="str">
        <f>_xlfn.XLOOKUP(B4526,Ingot!$H$12:$H$119,Ingot!$G$12:$G$119,"")</f>
        <v>Wood</v>
      </c>
      <c r="B4526" t="s">
        <v>9097</v>
      </c>
      <c r="C4526" t="s">
        <v>10</v>
      </c>
      <c r="D4526" t="s">
        <v>9102</v>
      </c>
      <c r="E4526" t="s">
        <v>9103</v>
      </c>
      <c r="G4526" s="1">
        <v>5.66</v>
      </c>
    </row>
    <row r="4527" spans="1:7" ht="14.25" hidden="1" customHeight="1" x14ac:dyDescent="0.45">
      <c r="A4527" t="str">
        <f>_xlfn.XLOOKUP(B4527,Ingot!$H$12:$H$119,Ingot!$G$12:$G$119,"")</f>
        <v>Wood</v>
      </c>
      <c r="B4527" t="s">
        <v>9097</v>
      </c>
      <c r="C4527" t="s">
        <v>10</v>
      </c>
      <c r="D4527" t="s">
        <v>9104</v>
      </c>
      <c r="E4527" t="s">
        <v>9105</v>
      </c>
      <c r="G4527" s="1">
        <v>3.3</v>
      </c>
    </row>
    <row r="4528" spans="1:7" ht="14.25" hidden="1" customHeight="1" x14ac:dyDescent="0.45">
      <c r="A4528" t="str">
        <f>_xlfn.XLOOKUP(B4528,Ingot!$H$12:$H$119,Ingot!$G$12:$G$119,"")</f>
        <v>Wood</v>
      </c>
      <c r="B4528" t="s">
        <v>9097</v>
      </c>
      <c r="C4528" t="s">
        <v>10</v>
      </c>
      <c r="D4528" t="s">
        <v>9106</v>
      </c>
      <c r="E4528" t="s">
        <v>9107</v>
      </c>
      <c r="G4528" s="1">
        <v>0.66</v>
      </c>
    </row>
    <row r="4529" spans="1:7" ht="14.25" hidden="1" customHeight="1" x14ac:dyDescent="0.45">
      <c r="A4529" t="str">
        <f>_xlfn.XLOOKUP(B4529,Ingot!$H$12:$H$119,Ingot!$G$12:$G$119,"")</f>
        <v>Wood</v>
      </c>
      <c r="B4529" t="s">
        <v>9097</v>
      </c>
      <c r="C4529" t="s">
        <v>10</v>
      </c>
      <c r="D4529" t="s">
        <v>9108</v>
      </c>
      <c r="E4529" t="s">
        <v>9109</v>
      </c>
      <c r="G4529" s="1">
        <v>0.04</v>
      </c>
    </row>
    <row r="4530" spans="1:7" ht="14.25" hidden="1" customHeight="1" x14ac:dyDescent="0.45">
      <c r="A4530" t="str">
        <f>_xlfn.XLOOKUP(B4530,Ingot!$H$12:$H$119,Ingot!$G$12:$G$119,"")</f>
        <v>Wood</v>
      </c>
      <c r="B4530" t="s">
        <v>9097</v>
      </c>
      <c r="C4530" t="s">
        <v>10</v>
      </c>
      <c r="D4530" t="s">
        <v>9110</v>
      </c>
      <c r="E4530" t="s">
        <v>9111</v>
      </c>
      <c r="G4530" s="1">
        <v>0.33</v>
      </c>
    </row>
    <row r="4531" spans="1:7" ht="14.25" hidden="1" customHeight="1" x14ac:dyDescent="0.45">
      <c r="A4531" t="str">
        <f>_xlfn.XLOOKUP(B4531,Ingot!$H$12:$H$119,Ingot!$G$12:$G$119,"")</f>
        <v>Wood</v>
      </c>
      <c r="B4531" t="s">
        <v>9097</v>
      </c>
      <c r="C4531" t="s">
        <v>10</v>
      </c>
      <c r="D4531" t="s">
        <v>9112</v>
      </c>
      <c r="E4531" t="s">
        <v>9113</v>
      </c>
    </row>
    <row r="4532" spans="1:7" ht="14.25" hidden="1" customHeight="1" x14ac:dyDescent="0.45">
      <c r="A4532" t="str">
        <f>_xlfn.XLOOKUP(B4532,Ingot!$H$12:$H$119,Ingot!$G$12:$G$119,"")</f>
        <v>Wood</v>
      </c>
      <c r="B4532" t="s">
        <v>9097</v>
      </c>
      <c r="C4532" t="s">
        <v>10</v>
      </c>
      <c r="D4532" t="s">
        <v>9114</v>
      </c>
      <c r="E4532" t="s">
        <v>9115</v>
      </c>
      <c r="G4532" s="1">
        <v>0.05</v>
      </c>
    </row>
    <row r="4533" spans="1:7" ht="14.25" hidden="1" customHeight="1" x14ac:dyDescent="0.45">
      <c r="A4533" t="str">
        <f>_xlfn.XLOOKUP(B4533,Ingot!$H$12:$H$119,Ingot!$G$12:$G$119,"")</f>
        <v>Wood</v>
      </c>
      <c r="B4533" t="s">
        <v>9097</v>
      </c>
      <c r="C4533" t="s">
        <v>10</v>
      </c>
      <c r="D4533" t="s">
        <v>9116</v>
      </c>
      <c r="E4533" t="s">
        <v>9117</v>
      </c>
      <c r="G4533" s="1">
        <v>0.66</v>
      </c>
    </row>
    <row r="4534" spans="1:7" ht="14.25" hidden="1" customHeight="1" x14ac:dyDescent="0.45">
      <c r="A4534" t="str">
        <f>_xlfn.XLOOKUP(B4534,Ingot!$H$12:$H$119,Ingot!$G$12:$G$119,"")</f>
        <v>Wood</v>
      </c>
      <c r="B4534" t="s">
        <v>9097</v>
      </c>
      <c r="C4534" t="s">
        <v>10</v>
      </c>
      <c r="D4534" t="s">
        <v>9118</v>
      </c>
      <c r="E4534" t="s">
        <v>9119</v>
      </c>
      <c r="G4534" s="1">
        <v>3.96</v>
      </c>
    </row>
    <row r="4535" spans="1:7" ht="14.25" hidden="1" customHeight="1" x14ac:dyDescent="0.45">
      <c r="A4535" t="str">
        <f>_xlfn.XLOOKUP(B4535,Ingot!$H$12:$H$119,Ingot!$G$12:$G$119,"")</f>
        <v>Wood</v>
      </c>
      <c r="B4535" t="s">
        <v>9097</v>
      </c>
      <c r="C4535" t="s">
        <v>10</v>
      </c>
      <c r="D4535" t="s">
        <v>9120</v>
      </c>
      <c r="E4535" t="s">
        <v>9121</v>
      </c>
      <c r="G4535" s="1">
        <v>8.77</v>
      </c>
    </row>
    <row r="4536" spans="1:7" ht="14.25" hidden="1" customHeight="1" x14ac:dyDescent="0.45">
      <c r="A4536" t="str">
        <f>_xlfn.XLOOKUP(B4536,Ingot!$H$12:$H$119,Ingot!$G$12:$G$119,"")</f>
        <v>Wood</v>
      </c>
      <c r="B4536" t="s">
        <v>9097</v>
      </c>
      <c r="C4536" t="s">
        <v>10</v>
      </c>
      <c r="D4536" t="s">
        <v>9122</v>
      </c>
      <c r="E4536" t="s">
        <v>9123</v>
      </c>
      <c r="G4536" s="1">
        <v>3.5</v>
      </c>
    </row>
    <row r="4537" spans="1:7" ht="14.25" hidden="1" customHeight="1" x14ac:dyDescent="0.45">
      <c r="A4537" t="str">
        <f>_xlfn.XLOOKUP(B4537,Ingot!$H$12:$H$119,Ingot!$G$12:$G$119,"")</f>
        <v>Wood</v>
      </c>
      <c r="B4537" t="s">
        <v>9097</v>
      </c>
      <c r="C4537" t="s">
        <v>10</v>
      </c>
      <c r="D4537" t="s">
        <v>9124</v>
      </c>
      <c r="E4537" t="s">
        <v>9125</v>
      </c>
    </row>
    <row r="4538" spans="1:7" ht="14.25" hidden="1" customHeight="1" x14ac:dyDescent="0.45">
      <c r="A4538" t="str">
        <f>_xlfn.XLOOKUP(B4538,Ingot!$H$12:$H$119,Ingot!$G$12:$G$119,"")</f>
        <v>Wood</v>
      </c>
      <c r="B4538" t="s">
        <v>9097</v>
      </c>
      <c r="C4538" t="s">
        <v>10</v>
      </c>
      <c r="D4538" t="s">
        <v>9126</v>
      </c>
      <c r="E4538" t="s">
        <v>9127</v>
      </c>
      <c r="G4538" s="1">
        <v>2.2000000000000002</v>
      </c>
    </row>
    <row r="4539" spans="1:7" ht="14.25" hidden="1" customHeight="1" x14ac:dyDescent="0.45">
      <c r="A4539" t="str">
        <f>_xlfn.XLOOKUP(B4539,Ingot!$H$12:$H$119,Ingot!$G$12:$G$119,"")</f>
        <v>Wood</v>
      </c>
      <c r="B4539" t="s">
        <v>9097</v>
      </c>
      <c r="C4539" t="s">
        <v>10</v>
      </c>
      <c r="D4539" t="s">
        <v>9128</v>
      </c>
      <c r="E4539" t="s">
        <v>9129</v>
      </c>
      <c r="G4539" s="1">
        <v>1.1000000000000001</v>
      </c>
    </row>
    <row r="4540" spans="1:7" ht="14.25" hidden="1" customHeight="1" x14ac:dyDescent="0.45">
      <c r="A4540" t="str">
        <f>_xlfn.XLOOKUP(B4540,Ingot!$H$12:$H$119,Ingot!$G$12:$G$119,"")</f>
        <v>Wood</v>
      </c>
      <c r="B4540" t="s">
        <v>9097</v>
      </c>
      <c r="C4540" t="s">
        <v>10</v>
      </c>
      <c r="D4540" t="s">
        <v>9130</v>
      </c>
      <c r="E4540" t="s">
        <v>9131</v>
      </c>
      <c r="G4540" s="1">
        <v>0.22</v>
      </c>
    </row>
    <row r="4541" spans="1:7" ht="14.25" hidden="1" customHeight="1" x14ac:dyDescent="0.45">
      <c r="A4541" t="str">
        <f>_xlfn.XLOOKUP(B4541,Ingot!$H$12:$H$119,Ingot!$G$12:$G$119,"")</f>
        <v>Wood</v>
      </c>
      <c r="B4541" t="s">
        <v>9097</v>
      </c>
      <c r="C4541" t="s">
        <v>10</v>
      </c>
      <c r="D4541" t="s">
        <v>9132</v>
      </c>
      <c r="E4541" t="s">
        <v>9133</v>
      </c>
      <c r="G4541" s="1">
        <v>8.41</v>
      </c>
    </row>
    <row r="4542" spans="1:7" ht="14.25" hidden="1" customHeight="1" x14ac:dyDescent="0.45">
      <c r="A4542" t="str">
        <f>_xlfn.XLOOKUP(B4542,Ingot!$H$12:$H$119,Ingot!$G$12:$G$119,"")</f>
        <v>Wood</v>
      </c>
      <c r="B4542" t="s">
        <v>9097</v>
      </c>
      <c r="C4542" t="s">
        <v>10</v>
      </c>
      <c r="D4542" t="s">
        <v>9134</v>
      </c>
      <c r="E4542" t="s">
        <v>9135</v>
      </c>
      <c r="G4542" s="1">
        <v>3.64</v>
      </c>
    </row>
    <row r="4543" spans="1:7" ht="14.25" hidden="1" customHeight="1" x14ac:dyDescent="0.45">
      <c r="A4543" t="str">
        <f>_xlfn.XLOOKUP(B4543,Ingot!$H$12:$H$119,Ingot!$G$12:$G$119,"")</f>
        <v>Wood</v>
      </c>
      <c r="B4543" t="s">
        <v>9097</v>
      </c>
      <c r="C4543" t="s">
        <v>10</v>
      </c>
      <c r="D4543" t="s">
        <v>9136</v>
      </c>
      <c r="E4543" t="s">
        <v>9137</v>
      </c>
      <c r="G4543" s="1">
        <v>7.05</v>
      </c>
    </row>
    <row r="4544" spans="1:7" ht="14.25" hidden="1" customHeight="1" x14ac:dyDescent="0.45">
      <c r="A4544" t="str">
        <f>_xlfn.XLOOKUP(B4544,Ingot!$H$12:$H$119,Ingot!$G$12:$G$119,"")</f>
        <v>Wood</v>
      </c>
      <c r="B4544" t="s">
        <v>9097</v>
      </c>
      <c r="C4544" t="s">
        <v>10</v>
      </c>
      <c r="D4544" t="s">
        <v>9138</v>
      </c>
      <c r="E4544" t="s">
        <v>9139</v>
      </c>
      <c r="G4544" s="1">
        <v>2.65</v>
      </c>
    </row>
    <row r="4545" spans="1:7" ht="14.25" hidden="1" customHeight="1" x14ac:dyDescent="0.45">
      <c r="A4545" t="str">
        <f>_xlfn.XLOOKUP(B4545,Ingot!$H$12:$H$119,Ingot!$G$12:$G$119,"")</f>
        <v>Wood</v>
      </c>
      <c r="B4545" t="s">
        <v>9097</v>
      </c>
      <c r="C4545" t="s">
        <v>10</v>
      </c>
      <c r="D4545" t="s">
        <v>9140</v>
      </c>
      <c r="E4545" t="s">
        <v>9141</v>
      </c>
      <c r="G4545" s="1">
        <v>9</v>
      </c>
    </row>
    <row r="4546" spans="1:7" ht="14.25" hidden="1" customHeight="1" x14ac:dyDescent="0.45">
      <c r="A4546" t="str">
        <f>_xlfn.XLOOKUP(B4546,Ingot!$H$12:$H$119,Ingot!$G$12:$G$119,"")</f>
        <v>Wood</v>
      </c>
      <c r="B4546" t="s">
        <v>9097</v>
      </c>
      <c r="C4546" t="s">
        <v>10</v>
      </c>
      <c r="D4546" t="s">
        <v>9142</v>
      </c>
      <c r="E4546" t="s">
        <v>9143</v>
      </c>
      <c r="G4546" s="1">
        <v>10.23</v>
      </c>
    </row>
    <row r="4547" spans="1:7" ht="14.25" hidden="1" customHeight="1" x14ac:dyDescent="0.45">
      <c r="A4547" t="str">
        <f>_xlfn.XLOOKUP(B4547,Ingot!$H$12:$H$119,Ingot!$G$12:$G$119,"")</f>
        <v>Wood</v>
      </c>
      <c r="B4547" t="s">
        <v>9097</v>
      </c>
      <c r="C4547" t="s">
        <v>10</v>
      </c>
      <c r="D4547" t="s">
        <v>9144</v>
      </c>
      <c r="E4547" t="s">
        <v>9145</v>
      </c>
      <c r="G4547" s="1">
        <v>7.7</v>
      </c>
    </row>
    <row r="4548" spans="1:7" ht="14.25" hidden="1" customHeight="1" x14ac:dyDescent="0.45">
      <c r="A4548" t="str">
        <f>_xlfn.XLOOKUP(B4548,Ingot!$H$12:$H$119,Ingot!$G$12:$G$119,"")</f>
        <v>Wood</v>
      </c>
      <c r="B4548" t="s">
        <v>9097</v>
      </c>
      <c r="C4548" t="s">
        <v>10</v>
      </c>
      <c r="D4548" t="s">
        <v>9146</v>
      </c>
      <c r="E4548" t="s">
        <v>9147</v>
      </c>
      <c r="G4548" s="1">
        <v>10.02</v>
      </c>
    </row>
    <row r="4549" spans="1:7" ht="14.25" hidden="1" customHeight="1" x14ac:dyDescent="0.45">
      <c r="A4549" t="str">
        <f>_xlfn.XLOOKUP(B4549,Ingot!$H$12:$H$119,Ingot!$G$12:$G$119,"")</f>
        <v>Wood</v>
      </c>
      <c r="B4549" t="s">
        <v>9097</v>
      </c>
      <c r="C4549" t="s">
        <v>10</v>
      </c>
      <c r="D4549" t="s">
        <v>9148</v>
      </c>
      <c r="E4549" t="s">
        <v>9149</v>
      </c>
      <c r="G4549" s="1">
        <v>11.81</v>
      </c>
    </row>
    <row r="4550" spans="1:7" ht="14.25" hidden="1" customHeight="1" x14ac:dyDescent="0.45">
      <c r="A4550" t="str">
        <f>_xlfn.XLOOKUP(B4550,Ingot!$H$12:$H$119,Ingot!$G$12:$G$119,"")</f>
        <v>Wood</v>
      </c>
      <c r="B4550" t="s">
        <v>9097</v>
      </c>
      <c r="C4550" t="s">
        <v>10</v>
      </c>
      <c r="D4550" t="s">
        <v>9150</v>
      </c>
      <c r="E4550" t="s">
        <v>9151</v>
      </c>
      <c r="G4550" s="1">
        <v>8.44</v>
      </c>
    </row>
    <row r="4551" spans="1:7" ht="14.25" hidden="1" customHeight="1" x14ac:dyDescent="0.45">
      <c r="A4551" t="str">
        <f>_xlfn.XLOOKUP(B4551,Ingot!$H$12:$H$119,Ingot!$G$12:$G$119,"")</f>
        <v>Wood</v>
      </c>
      <c r="B4551" t="s">
        <v>9097</v>
      </c>
      <c r="C4551" t="s">
        <v>10</v>
      </c>
      <c r="D4551" t="s">
        <v>9152</v>
      </c>
      <c r="E4551" t="s">
        <v>9153</v>
      </c>
      <c r="G4551" s="1">
        <v>10.42</v>
      </c>
    </row>
    <row r="4552" spans="1:7" ht="14.25" hidden="1" customHeight="1" x14ac:dyDescent="0.45">
      <c r="A4552" t="str">
        <f>_xlfn.XLOOKUP(B4552,Ingot!$H$12:$H$119,Ingot!$G$12:$G$119,"")</f>
        <v>Wood</v>
      </c>
      <c r="B4552" t="s">
        <v>9097</v>
      </c>
      <c r="C4552" t="s">
        <v>10</v>
      </c>
      <c r="D4552" t="s">
        <v>9154</v>
      </c>
      <c r="E4552" t="s">
        <v>9155</v>
      </c>
    </row>
    <row r="4553" spans="1:7" ht="14.25" hidden="1" customHeight="1" x14ac:dyDescent="0.45">
      <c r="A4553" t="str">
        <f>_xlfn.XLOOKUP(B4553,Ingot!$H$12:$H$119,Ingot!$G$12:$G$119,"")</f>
        <v>Wood</v>
      </c>
      <c r="B4553" t="s">
        <v>9097</v>
      </c>
      <c r="C4553" t="s">
        <v>10</v>
      </c>
      <c r="D4553" t="s">
        <v>9156</v>
      </c>
      <c r="E4553" t="s">
        <v>9157</v>
      </c>
      <c r="G4553" s="1">
        <v>7.96</v>
      </c>
    </row>
    <row r="4554" spans="1:7" ht="14.25" hidden="1" customHeight="1" x14ac:dyDescent="0.45">
      <c r="A4554" t="str">
        <f>_xlfn.XLOOKUP(B4554,Ingot!$H$12:$H$119,Ingot!$G$12:$G$119,"")</f>
        <v>Wood</v>
      </c>
      <c r="B4554" t="s">
        <v>9097</v>
      </c>
      <c r="C4554" t="s">
        <v>10</v>
      </c>
      <c r="D4554" t="s">
        <v>9158</v>
      </c>
      <c r="E4554" t="s">
        <v>9159</v>
      </c>
      <c r="G4554" s="1">
        <v>9.64</v>
      </c>
    </row>
    <row r="4555" spans="1:7" ht="14.25" hidden="1" customHeight="1" x14ac:dyDescent="0.45">
      <c r="A4555" t="str">
        <f>_xlfn.XLOOKUP(B4555,Ingot!$H$12:$H$119,Ingot!$G$12:$G$119,"")</f>
        <v>Wood</v>
      </c>
      <c r="B4555" t="s">
        <v>9097</v>
      </c>
      <c r="C4555" t="s">
        <v>10</v>
      </c>
      <c r="D4555" t="s">
        <v>9160</v>
      </c>
      <c r="E4555" t="s">
        <v>9161</v>
      </c>
      <c r="G4555" s="1">
        <v>7.94</v>
      </c>
    </row>
    <row r="4556" spans="1:7" ht="14.25" hidden="1" customHeight="1" x14ac:dyDescent="0.45">
      <c r="A4556" t="str">
        <f>_xlfn.XLOOKUP(B4556,Ingot!$H$12:$H$119,Ingot!$G$12:$G$119,"")</f>
        <v>Wood</v>
      </c>
      <c r="B4556" t="s">
        <v>9097</v>
      </c>
      <c r="C4556" t="s">
        <v>10</v>
      </c>
      <c r="D4556" t="s">
        <v>9162</v>
      </c>
      <c r="E4556" t="s">
        <v>9163</v>
      </c>
      <c r="G4556" s="1">
        <v>8.66</v>
      </c>
    </row>
    <row r="4557" spans="1:7" ht="14.25" hidden="1" customHeight="1" x14ac:dyDescent="0.45">
      <c r="A4557" t="str">
        <f>_xlfn.XLOOKUP(B4557,Ingot!$H$12:$H$119,Ingot!$G$12:$G$119,"")</f>
        <v>Wood</v>
      </c>
      <c r="B4557" t="s">
        <v>9097</v>
      </c>
      <c r="C4557" t="s">
        <v>10</v>
      </c>
      <c r="D4557" t="s">
        <v>9164</v>
      </c>
      <c r="E4557" t="s">
        <v>9165</v>
      </c>
    </row>
    <row r="4558" spans="1:7" ht="14.25" hidden="1" customHeight="1" x14ac:dyDescent="0.45">
      <c r="A4558" t="str">
        <f>_xlfn.XLOOKUP(B4558,Ingot!$H$12:$H$119,Ingot!$G$12:$G$119,"")</f>
        <v>Wood</v>
      </c>
      <c r="B4558" t="s">
        <v>9097</v>
      </c>
      <c r="C4558" t="s">
        <v>10</v>
      </c>
      <c r="D4558" t="s">
        <v>9166</v>
      </c>
      <c r="E4558" t="s">
        <v>9167</v>
      </c>
      <c r="G4558" s="1">
        <v>2.65</v>
      </c>
    </row>
    <row r="4559" spans="1:7" ht="14.25" hidden="1" customHeight="1" x14ac:dyDescent="0.45">
      <c r="A4559" t="str">
        <f>_xlfn.XLOOKUP(B4559,Ingot!$H$12:$H$119,Ingot!$G$12:$G$119,"")</f>
        <v>Wood</v>
      </c>
      <c r="B4559" t="s">
        <v>9097</v>
      </c>
      <c r="C4559" t="s">
        <v>10</v>
      </c>
      <c r="D4559" t="s">
        <v>9168</v>
      </c>
      <c r="E4559" t="s">
        <v>9169</v>
      </c>
    </row>
    <row r="4560" spans="1:7" ht="14.25" hidden="1" customHeight="1" x14ac:dyDescent="0.45">
      <c r="A4560" t="str">
        <f>_xlfn.XLOOKUP(B4560,Ingot!$H$12:$H$119,Ingot!$G$12:$G$119,"")</f>
        <v>Wood</v>
      </c>
      <c r="B4560" t="s">
        <v>9097</v>
      </c>
      <c r="C4560" t="s">
        <v>10</v>
      </c>
      <c r="D4560" t="s">
        <v>9170</v>
      </c>
      <c r="E4560" t="s">
        <v>9171</v>
      </c>
      <c r="G4560" s="1">
        <v>12.64</v>
      </c>
    </row>
    <row r="4561" spans="1:7" ht="14.25" hidden="1" customHeight="1" x14ac:dyDescent="0.45">
      <c r="A4561" t="str">
        <f>_xlfn.XLOOKUP(B4561,Ingot!$H$12:$H$119,Ingot!$G$12:$G$119,"")</f>
        <v>Wood</v>
      </c>
      <c r="B4561" t="s">
        <v>9097</v>
      </c>
      <c r="C4561" t="s">
        <v>10</v>
      </c>
      <c r="D4561" t="s">
        <v>9172</v>
      </c>
      <c r="E4561" t="s">
        <v>9173</v>
      </c>
      <c r="G4561" s="1">
        <v>22.67</v>
      </c>
    </row>
    <row r="4562" spans="1:7" ht="14.25" hidden="1" customHeight="1" x14ac:dyDescent="0.45">
      <c r="A4562" t="str">
        <f>_xlfn.XLOOKUP(B4562,Ingot!$H$12:$H$119,Ingot!$G$12:$G$119,"")</f>
        <v>Wood</v>
      </c>
      <c r="B4562" t="s">
        <v>9097</v>
      </c>
      <c r="C4562" t="s">
        <v>10</v>
      </c>
      <c r="D4562" t="s">
        <v>9174</v>
      </c>
      <c r="E4562" t="s">
        <v>9175</v>
      </c>
      <c r="G4562" s="1">
        <v>8.3800000000000008</v>
      </c>
    </row>
    <row r="4563" spans="1:7" ht="14.25" hidden="1" customHeight="1" x14ac:dyDescent="0.45">
      <c r="A4563" t="str">
        <f>_xlfn.XLOOKUP(B4563,Ingot!$H$12:$H$119,Ingot!$G$12:$G$119,"")</f>
        <v>Wood</v>
      </c>
      <c r="B4563" t="s">
        <v>9097</v>
      </c>
      <c r="C4563" t="s">
        <v>10</v>
      </c>
      <c r="D4563" t="s">
        <v>9176</v>
      </c>
      <c r="E4563" t="s">
        <v>9177</v>
      </c>
      <c r="G4563" s="1">
        <v>2.2000000000000002</v>
      </c>
    </row>
    <row r="4564" spans="1:7" ht="14.25" hidden="1" customHeight="1" x14ac:dyDescent="0.45">
      <c r="A4564" t="str">
        <f>_xlfn.XLOOKUP(B4564,Ingot!$H$12:$H$119,Ingot!$G$12:$G$119,"")</f>
        <v>Wood</v>
      </c>
      <c r="B4564" t="s">
        <v>9097</v>
      </c>
      <c r="C4564" t="s">
        <v>10</v>
      </c>
      <c r="D4564" t="s">
        <v>9178</v>
      </c>
      <c r="E4564" t="s">
        <v>9179</v>
      </c>
      <c r="G4564" s="1">
        <v>3.09</v>
      </c>
    </row>
    <row r="4565" spans="1:7" ht="14.25" hidden="1" customHeight="1" x14ac:dyDescent="0.45">
      <c r="A4565" t="str">
        <f>_xlfn.XLOOKUP(B4565,Ingot!$H$12:$H$119,Ingot!$G$12:$G$119,"")</f>
        <v>Wood</v>
      </c>
      <c r="B4565" t="s">
        <v>9097</v>
      </c>
      <c r="C4565" t="s">
        <v>10</v>
      </c>
      <c r="D4565" t="s">
        <v>9180</v>
      </c>
      <c r="E4565" t="s">
        <v>9181</v>
      </c>
      <c r="G4565" s="1">
        <v>2.2999999999999998</v>
      </c>
    </row>
    <row r="4566" spans="1:7" ht="14.25" hidden="1" customHeight="1" x14ac:dyDescent="0.45">
      <c r="A4566" t="str">
        <f>_xlfn.XLOOKUP(B4566,Ingot!$H$12:$H$119,Ingot!$G$12:$G$119,"")</f>
        <v>Wood</v>
      </c>
      <c r="B4566" t="s">
        <v>9097</v>
      </c>
      <c r="C4566" t="s">
        <v>10</v>
      </c>
      <c r="D4566" t="s">
        <v>9182</v>
      </c>
      <c r="E4566" t="s">
        <v>9183</v>
      </c>
      <c r="G4566" s="1">
        <v>4.88</v>
      </c>
    </row>
    <row r="4567" spans="1:7" ht="14.25" hidden="1" customHeight="1" x14ac:dyDescent="0.45">
      <c r="A4567" t="str">
        <f>_xlfn.XLOOKUP(B4567,Ingot!$H$12:$H$119,Ingot!$G$12:$G$119,"")</f>
        <v>Wood</v>
      </c>
      <c r="B4567" t="s">
        <v>9097</v>
      </c>
      <c r="C4567" t="s">
        <v>10</v>
      </c>
      <c r="D4567" t="s">
        <v>9184</v>
      </c>
      <c r="E4567" t="s">
        <v>9185</v>
      </c>
      <c r="G4567" s="1">
        <v>8.43</v>
      </c>
    </row>
    <row r="4568" spans="1:7" ht="14.25" hidden="1" customHeight="1" x14ac:dyDescent="0.45">
      <c r="A4568" t="str">
        <f>_xlfn.XLOOKUP(B4568,Ingot!$H$12:$H$119,Ingot!$G$12:$G$119,"")</f>
        <v>Wood</v>
      </c>
      <c r="B4568" t="s">
        <v>9097</v>
      </c>
      <c r="C4568" t="s">
        <v>10</v>
      </c>
      <c r="D4568" t="s">
        <v>9186</v>
      </c>
      <c r="E4568" t="s">
        <v>9187</v>
      </c>
      <c r="G4568" s="1">
        <v>13.07</v>
      </c>
    </row>
    <row r="4569" spans="1:7" ht="14.25" hidden="1" customHeight="1" x14ac:dyDescent="0.45">
      <c r="A4569" t="str">
        <f>_xlfn.XLOOKUP(B4569,Ingot!$H$12:$H$119,Ingot!$G$12:$G$119,"")</f>
        <v>Wood</v>
      </c>
      <c r="B4569" t="s">
        <v>9097</v>
      </c>
      <c r="C4569" t="s">
        <v>10</v>
      </c>
      <c r="D4569" t="s">
        <v>9188</v>
      </c>
      <c r="E4569" t="s">
        <v>9189</v>
      </c>
    </row>
    <row r="4570" spans="1:7" ht="14.25" hidden="1" customHeight="1" x14ac:dyDescent="0.45">
      <c r="A4570" t="str">
        <f>_xlfn.XLOOKUP(B4570,Ingot!$H$12:$H$119,Ingot!$G$12:$G$119,"")</f>
        <v>Wood</v>
      </c>
      <c r="B4570" t="s">
        <v>9097</v>
      </c>
      <c r="C4570" t="s">
        <v>10</v>
      </c>
      <c r="D4570" t="s">
        <v>9190</v>
      </c>
      <c r="E4570" t="s">
        <v>9191</v>
      </c>
    </row>
    <row r="4571" spans="1:7" ht="14.25" hidden="1" customHeight="1" x14ac:dyDescent="0.45">
      <c r="A4571" t="str">
        <f>_xlfn.XLOOKUP(B4571,Ingot!$H$12:$H$119,Ingot!$G$12:$G$119,"")</f>
        <v>Wood</v>
      </c>
      <c r="B4571" t="s">
        <v>9097</v>
      </c>
      <c r="C4571" t="s">
        <v>10</v>
      </c>
      <c r="D4571" t="s">
        <v>9192</v>
      </c>
      <c r="E4571" t="s">
        <v>9193</v>
      </c>
      <c r="G4571" s="1">
        <v>6.8</v>
      </c>
    </row>
    <row r="4572" spans="1:7" ht="14.25" hidden="1" customHeight="1" x14ac:dyDescent="0.45">
      <c r="A4572" t="str">
        <f>_xlfn.XLOOKUP(B4572,Ingot!$H$12:$H$119,Ingot!$G$12:$G$119,"")</f>
        <v>Wood</v>
      </c>
      <c r="B4572" t="s">
        <v>9097</v>
      </c>
      <c r="C4572" t="s">
        <v>10</v>
      </c>
      <c r="D4572" t="s">
        <v>9194</v>
      </c>
      <c r="E4572" t="s">
        <v>9195</v>
      </c>
      <c r="G4572" s="1">
        <v>6.88</v>
      </c>
    </row>
    <row r="4573" spans="1:7" ht="14.25" hidden="1" customHeight="1" x14ac:dyDescent="0.45">
      <c r="A4573" t="str">
        <f>_xlfn.XLOOKUP(B4573,Ingot!$H$12:$H$119,Ingot!$G$12:$G$119,"")</f>
        <v>Wood</v>
      </c>
      <c r="B4573" t="s">
        <v>9097</v>
      </c>
      <c r="C4573" t="s">
        <v>10</v>
      </c>
      <c r="D4573" t="s">
        <v>9196</v>
      </c>
      <c r="E4573" t="s">
        <v>9197</v>
      </c>
      <c r="G4573" s="1">
        <v>5.5</v>
      </c>
    </row>
    <row r="4574" spans="1:7" ht="14.25" hidden="1" customHeight="1" x14ac:dyDescent="0.45">
      <c r="A4574" t="str">
        <f>_xlfn.XLOOKUP(B4574,Ingot!$H$12:$H$119,Ingot!$G$12:$G$119,"")</f>
        <v>Wood</v>
      </c>
      <c r="B4574" t="s">
        <v>9097</v>
      </c>
      <c r="C4574" t="s">
        <v>10</v>
      </c>
      <c r="D4574" t="s">
        <v>9198</v>
      </c>
      <c r="E4574" t="s">
        <v>9199</v>
      </c>
      <c r="G4574" s="1">
        <v>2.4300000000000002</v>
      </c>
    </row>
    <row r="4575" spans="1:7" ht="14.25" hidden="1" customHeight="1" x14ac:dyDescent="0.45">
      <c r="A4575" t="str">
        <f>_xlfn.XLOOKUP(B4575,Ingot!$H$12:$H$119,Ingot!$G$12:$G$119,"")</f>
        <v>Wood</v>
      </c>
      <c r="B4575" t="s">
        <v>9097</v>
      </c>
      <c r="C4575" t="s">
        <v>10</v>
      </c>
      <c r="D4575" t="s">
        <v>9200</v>
      </c>
      <c r="E4575" t="s">
        <v>9201</v>
      </c>
      <c r="G4575" s="1">
        <v>6.96</v>
      </c>
    </row>
    <row r="4576" spans="1:7" ht="14.25" hidden="1" customHeight="1" x14ac:dyDescent="0.45">
      <c r="A4576" t="str">
        <f>_xlfn.XLOOKUP(B4576,Ingot!$H$12:$H$119,Ingot!$G$12:$G$119,"")</f>
        <v>Wood</v>
      </c>
      <c r="B4576" t="s">
        <v>9097</v>
      </c>
      <c r="C4576" t="s">
        <v>10</v>
      </c>
      <c r="D4576" t="s">
        <v>9202</v>
      </c>
      <c r="E4576" t="s">
        <v>9203</v>
      </c>
      <c r="G4576" s="1">
        <v>6.32</v>
      </c>
    </row>
    <row r="4577" spans="1:7" ht="14.25" hidden="1" customHeight="1" x14ac:dyDescent="0.45">
      <c r="A4577" t="str">
        <f>_xlfn.XLOOKUP(B4577,Ingot!$H$12:$H$119,Ingot!$G$12:$G$119,"")</f>
        <v>Wood</v>
      </c>
      <c r="B4577" t="s">
        <v>9097</v>
      </c>
      <c r="C4577" t="s">
        <v>10</v>
      </c>
      <c r="D4577" t="s">
        <v>9204</v>
      </c>
      <c r="E4577" t="s">
        <v>9205</v>
      </c>
      <c r="G4577" s="1">
        <v>6.88</v>
      </c>
    </row>
    <row r="4578" spans="1:7" ht="14.25" hidden="1" customHeight="1" x14ac:dyDescent="0.45">
      <c r="A4578" t="str">
        <f>_xlfn.XLOOKUP(B4578,Ingot!$H$12:$H$119,Ingot!$G$12:$G$119,"")</f>
        <v>Wood</v>
      </c>
      <c r="B4578" t="s">
        <v>9097</v>
      </c>
      <c r="C4578" t="s">
        <v>10</v>
      </c>
      <c r="D4578" t="s">
        <v>9206</v>
      </c>
      <c r="E4578" t="s">
        <v>9207</v>
      </c>
      <c r="G4578" s="1">
        <v>2.44</v>
      </c>
    </row>
    <row r="4579" spans="1:7" ht="14.25" hidden="1" customHeight="1" x14ac:dyDescent="0.45">
      <c r="A4579" t="str">
        <f>_xlfn.XLOOKUP(B4579,Ingot!$H$12:$H$119,Ingot!$G$12:$G$119,"")</f>
        <v>Wood</v>
      </c>
      <c r="B4579" t="s">
        <v>9097</v>
      </c>
      <c r="C4579" t="s">
        <v>10</v>
      </c>
      <c r="D4579" t="s">
        <v>9208</v>
      </c>
      <c r="E4579" t="s">
        <v>9209</v>
      </c>
    </row>
    <row r="4580" spans="1:7" ht="14.25" hidden="1" customHeight="1" x14ac:dyDescent="0.45">
      <c r="A4580" t="str">
        <f>_xlfn.XLOOKUP(B4580,Ingot!$H$12:$H$119,Ingot!$G$12:$G$119,"")</f>
        <v>Wood</v>
      </c>
      <c r="B4580" t="s">
        <v>9097</v>
      </c>
      <c r="C4580" t="s">
        <v>10</v>
      </c>
      <c r="D4580" t="s">
        <v>9210</v>
      </c>
      <c r="E4580" t="s">
        <v>9211</v>
      </c>
    </row>
    <row r="4581" spans="1:7" ht="14.25" hidden="1" customHeight="1" x14ac:dyDescent="0.45">
      <c r="A4581" t="str">
        <f>_xlfn.XLOOKUP(B4581,Ingot!$H$12:$H$119,Ingot!$G$12:$G$119,"")</f>
        <v>Wood</v>
      </c>
      <c r="B4581" t="s">
        <v>9097</v>
      </c>
      <c r="C4581" t="s">
        <v>10</v>
      </c>
      <c r="D4581" t="s">
        <v>9212</v>
      </c>
      <c r="E4581" t="s">
        <v>9213</v>
      </c>
      <c r="G4581" s="1">
        <v>3.11</v>
      </c>
    </row>
    <row r="4582" spans="1:7" ht="14.25" hidden="1" customHeight="1" x14ac:dyDescent="0.45">
      <c r="A4582" t="str">
        <f>_xlfn.XLOOKUP(B4582,Ingot!$H$12:$H$119,Ingot!$G$12:$G$119,"")</f>
        <v>Wood</v>
      </c>
      <c r="B4582" t="s">
        <v>9097</v>
      </c>
      <c r="C4582" t="s">
        <v>10</v>
      </c>
      <c r="D4582" t="s">
        <v>9214</v>
      </c>
      <c r="E4582" t="s">
        <v>9215</v>
      </c>
      <c r="G4582" s="1">
        <v>2.44</v>
      </c>
    </row>
    <row r="4583" spans="1:7" ht="14.25" hidden="1" customHeight="1" x14ac:dyDescent="0.45">
      <c r="A4583" t="str">
        <f>_xlfn.XLOOKUP(B4583,Ingot!$H$12:$H$119,Ingot!$G$12:$G$119,"")</f>
        <v>Wood</v>
      </c>
      <c r="B4583" t="s">
        <v>9097</v>
      </c>
      <c r="C4583" t="s">
        <v>10</v>
      </c>
      <c r="D4583" t="s">
        <v>9216</v>
      </c>
      <c r="E4583" t="s">
        <v>9217</v>
      </c>
      <c r="G4583" s="1">
        <v>8.61</v>
      </c>
    </row>
    <row r="4584" spans="1:7" ht="14.25" hidden="1" customHeight="1" x14ac:dyDescent="0.45">
      <c r="A4584" t="str">
        <f>_xlfn.XLOOKUP(B4584,Ingot!$H$12:$H$119,Ingot!$G$12:$G$119,"")</f>
        <v>Wood</v>
      </c>
      <c r="B4584" t="s">
        <v>9097</v>
      </c>
      <c r="C4584" t="s">
        <v>10</v>
      </c>
      <c r="D4584" t="s">
        <v>9218</v>
      </c>
      <c r="E4584" t="s">
        <v>9219</v>
      </c>
    </row>
    <row r="4585" spans="1:7" ht="14.25" hidden="1" customHeight="1" x14ac:dyDescent="0.45">
      <c r="A4585" t="str">
        <f>_xlfn.XLOOKUP(B4585,Ingot!$H$12:$H$119,Ingot!$G$12:$G$119,"")</f>
        <v>Wood</v>
      </c>
      <c r="B4585" t="s">
        <v>9097</v>
      </c>
      <c r="C4585" t="s">
        <v>10</v>
      </c>
      <c r="D4585" t="s">
        <v>9220</v>
      </c>
      <c r="E4585" t="s">
        <v>9221</v>
      </c>
      <c r="G4585" s="1">
        <v>3.21</v>
      </c>
    </row>
    <row r="4586" spans="1:7" ht="14.25" hidden="1" customHeight="1" x14ac:dyDescent="0.45">
      <c r="A4586" t="str">
        <f>_xlfn.XLOOKUP(B4586,Ingot!$H$12:$H$119,Ingot!$G$12:$G$119,"")</f>
        <v>Wood</v>
      </c>
      <c r="B4586" t="s">
        <v>9097</v>
      </c>
      <c r="C4586" t="s">
        <v>10</v>
      </c>
      <c r="D4586" t="s">
        <v>9222</v>
      </c>
      <c r="E4586" t="s">
        <v>9223</v>
      </c>
      <c r="G4586" s="1">
        <v>2.77</v>
      </c>
    </row>
    <row r="4587" spans="1:7" ht="14.25" hidden="1" customHeight="1" x14ac:dyDescent="0.45">
      <c r="A4587" t="str">
        <f>_xlfn.XLOOKUP(B4587,Ingot!$H$12:$H$119,Ingot!$G$12:$G$119,"")</f>
        <v>Wood</v>
      </c>
      <c r="B4587" t="s">
        <v>9097</v>
      </c>
      <c r="C4587" t="s">
        <v>10</v>
      </c>
      <c r="D4587" t="s">
        <v>9224</v>
      </c>
      <c r="E4587" t="s">
        <v>9225</v>
      </c>
      <c r="G4587" s="1">
        <v>4.8899999999999997</v>
      </c>
    </row>
    <row r="4588" spans="1:7" ht="14.25" hidden="1" customHeight="1" x14ac:dyDescent="0.45">
      <c r="A4588" t="str">
        <f>_xlfn.XLOOKUP(B4588,Ingot!$H$12:$H$119,Ingot!$G$12:$G$119,"")</f>
        <v>Wood</v>
      </c>
      <c r="B4588" t="s">
        <v>9097</v>
      </c>
      <c r="C4588" t="s">
        <v>10</v>
      </c>
      <c r="D4588" t="s">
        <v>9226</v>
      </c>
      <c r="E4588" t="s">
        <v>9227</v>
      </c>
      <c r="G4588" s="1">
        <v>1.76</v>
      </c>
    </row>
    <row r="4589" spans="1:7" ht="14.25" hidden="1" customHeight="1" x14ac:dyDescent="0.45">
      <c r="A4589" t="str">
        <f>_xlfn.XLOOKUP(B4589,Ingot!$H$12:$H$119,Ingot!$G$12:$G$119,"")</f>
        <v>Wood</v>
      </c>
      <c r="B4589" t="s">
        <v>9097</v>
      </c>
      <c r="C4589" t="s">
        <v>10</v>
      </c>
      <c r="D4589" t="s">
        <v>9228</v>
      </c>
      <c r="E4589" t="s">
        <v>9229</v>
      </c>
    </row>
    <row r="4590" spans="1:7" ht="14.25" hidden="1" customHeight="1" x14ac:dyDescent="0.45">
      <c r="A4590" t="str">
        <f>_xlfn.XLOOKUP(B4590,Ingot!$H$12:$H$119,Ingot!$G$12:$G$119,"")</f>
        <v>Wood</v>
      </c>
      <c r="B4590" t="s">
        <v>9097</v>
      </c>
      <c r="C4590" t="s">
        <v>10</v>
      </c>
      <c r="D4590" t="s">
        <v>9230</v>
      </c>
      <c r="E4590" t="s">
        <v>9231</v>
      </c>
      <c r="G4590" s="1">
        <v>8.57</v>
      </c>
    </row>
    <row r="4591" spans="1:7" ht="14.25" hidden="1" customHeight="1" x14ac:dyDescent="0.45">
      <c r="A4591" t="str">
        <f>_xlfn.XLOOKUP(B4591,Ingot!$H$12:$H$119,Ingot!$G$12:$G$119,"")</f>
        <v>Wood</v>
      </c>
      <c r="B4591" t="s">
        <v>9097</v>
      </c>
      <c r="C4591" t="s">
        <v>10</v>
      </c>
      <c r="D4591" t="s">
        <v>9232</v>
      </c>
      <c r="E4591" t="s">
        <v>9233</v>
      </c>
    </row>
    <row r="4592" spans="1:7" ht="14.25" hidden="1" customHeight="1" x14ac:dyDescent="0.45">
      <c r="A4592" t="str">
        <f>_xlfn.XLOOKUP(B4592,Ingot!$H$12:$H$119,Ingot!$G$12:$G$119,"")</f>
        <v>Wood</v>
      </c>
      <c r="B4592" t="s">
        <v>9097</v>
      </c>
      <c r="C4592" t="s">
        <v>10</v>
      </c>
      <c r="D4592" t="s">
        <v>9234</v>
      </c>
      <c r="E4592" t="s">
        <v>9235</v>
      </c>
      <c r="G4592" s="1">
        <v>3.56</v>
      </c>
    </row>
    <row r="4593" spans="1:7" ht="14.25" hidden="1" customHeight="1" x14ac:dyDescent="0.45">
      <c r="A4593" t="str">
        <f>_xlfn.XLOOKUP(B4593,Ingot!$H$12:$H$119,Ingot!$G$12:$G$119,"")</f>
        <v>Wood</v>
      </c>
      <c r="B4593" t="s">
        <v>9097</v>
      </c>
      <c r="C4593" t="s">
        <v>10</v>
      </c>
      <c r="D4593" t="s">
        <v>9236</v>
      </c>
      <c r="E4593" t="s">
        <v>9237</v>
      </c>
      <c r="G4593" s="1">
        <v>8.91</v>
      </c>
    </row>
    <row r="4594" spans="1:7" ht="14.25" hidden="1" customHeight="1" x14ac:dyDescent="0.45">
      <c r="A4594" t="str">
        <f>_xlfn.XLOOKUP(B4594,Ingot!$H$12:$H$119,Ingot!$G$12:$G$119,"")</f>
        <v>Wood</v>
      </c>
      <c r="B4594" t="s">
        <v>9097</v>
      </c>
      <c r="C4594" t="s">
        <v>10</v>
      </c>
      <c r="D4594" t="s">
        <v>9238</v>
      </c>
      <c r="E4594" t="s">
        <v>9239</v>
      </c>
      <c r="G4594" s="1">
        <v>11.02</v>
      </c>
    </row>
    <row r="4595" spans="1:7" ht="14.25" hidden="1" customHeight="1" x14ac:dyDescent="0.45">
      <c r="A4595" t="str">
        <f>_xlfn.XLOOKUP(B4595,Ingot!$H$12:$H$119,Ingot!$G$12:$G$119,"")</f>
        <v>Wood</v>
      </c>
      <c r="B4595" t="s">
        <v>9097</v>
      </c>
      <c r="C4595" t="s">
        <v>10</v>
      </c>
      <c r="D4595" t="s">
        <v>9240</v>
      </c>
      <c r="E4595" t="s">
        <v>9241</v>
      </c>
      <c r="G4595" s="1">
        <v>5.12</v>
      </c>
    </row>
    <row r="4596" spans="1:7" ht="14.25" hidden="1" customHeight="1" x14ac:dyDescent="0.45">
      <c r="A4596" t="str">
        <f>_xlfn.XLOOKUP(B4596,Ingot!$H$12:$H$119,Ingot!$G$12:$G$119,"")</f>
        <v>Wood</v>
      </c>
      <c r="B4596" t="s">
        <v>9097</v>
      </c>
      <c r="C4596" t="s">
        <v>10</v>
      </c>
      <c r="D4596" t="s">
        <v>9242</v>
      </c>
      <c r="E4596" t="s">
        <v>9243</v>
      </c>
      <c r="G4596" s="1">
        <v>4.41</v>
      </c>
    </row>
    <row r="4597" spans="1:7" ht="14.25" hidden="1" customHeight="1" x14ac:dyDescent="0.45">
      <c r="A4597" t="str">
        <f>_xlfn.XLOOKUP(B4597,Ingot!$H$12:$H$119,Ingot!$G$12:$G$119,"")</f>
        <v>Wood</v>
      </c>
      <c r="B4597" t="s">
        <v>9097</v>
      </c>
      <c r="C4597" t="s">
        <v>157</v>
      </c>
      <c r="D4597" t="s">
        <v>9244</v>
      </c>
      <c r="E4597" t="s">
        <v>9245</v>
      </c>
      <c r="G4597" s="1">
        <v>24</v>
      </c>
    </row>
    <row r="4598" spans="1:7" ht="14.25" hidden="1" customHeight="1" x14ac:dyDescent="0.45">
      <c r="A4598" t="str">
        <f>_xlfn.XLOOKUP(B4598,Ingot!$H$12:$H$119,Ingot!$G$12:$G$119,"")</f>
        <v>Wood</v>
      </c>
      <c r="B4598" t="s">
        <v>9097</v>
      </c>
      <c r="C4598" t="s">
        <v>157</v>
      </c>
      <c r="D4598" t="s">
        <v>9246</v>
      </c>
      <c r="E4598" t="s">
        <v>9247</v>
      </c>
      <c r="G4598" s="1">
        <v>5</v>
      </c>
    </row>
    <row r="4599" spans="1:7" ht="14.25" hidden="1" customHeight="1" x14ac:dyDescent="0.45">
      <c r="A4599" t="str">
        <f>_xlfn.XLOOKUP(B4599,Ingot!$H$12:$H$119,Ingot!$G$12:$G$119,"")</f>
        <v>Wood</v>
      </c>
      <c r="B4599" t="s">
        <v>9097</v>
      </c>
      <c r="C4599" t="s">
        <v>157</v>
      </c>
      <c r="D4599" t="s">
        <v>9248</v>
      </c>
      <c r="E4599" t="s">
        <v>9249</v>
      </c>
      <c r="G4599" s="1">
        <v>5</v>
      </c>
    </row>
    <row r="4600" spans="1:7" ht="14.25" hidden="1" customHeight="1" x14ac:dyDescent="0.45">
      <c r="A4600" t="str">
        <f>_xlfn.XLOOKUP(B4600,Ingot!$H$12:$H$119,Ingot!$G$12:$G$119,"")</f>
        <v>Wood</v>
      </c>
      <c r="B4600" t="s">
        <v>9097</v>
      </c>
      <c r="C4600" t="s">
        <v>157</v>
      </c>
      <c r="D4600" t="s">
        <v>9250</v>
      </c>
      <c r="E4600" t="s">
        <v>9251</v>
      </c>
      <c r="G4600" s="1">
        <v>5</v>
      </c>
    </row>
    <row r="4601" spans="1:7" ht="14.25" hidden="1" customHeight="1" x14ac:dyDescent="0.45">
      <c r="A4601" t="str">
        <f>_xlfn.XLOOKUP(B4601,Ingot!$H$12:$H$119,Ingot!$G$12:$G$119,"")</f>
        <v>Wood</v>
      </c>
      <c r="B4601" t="s">
        <v>9097</v>
      </c>
      <c r="C4601" t="s">
        <v>157</v>
      </c>
      <c r="D4601" t="s">
        <v>9252</v>
      </c>
      <c r="E4601" t="s">
        <v>9253</v>
      </c>
      <c r="G4601" s="1">
        <v>10</v>
      </c>
    </row>
    <row r="4602" spans="1:7" ht="14.25" hidden="1" customHeight="1" x14ac:dyDescent="0.45">
      <c r="A4602" t="str">
        <f>_xlfn.XLOOKUP(B4602,Ingot!$H$12:$H$119,Ingot!$G$12:$G$119,"")</f>
        <v>Wood</v>
      </c>
      <c r="B4602" t="s">
        <v>9097</v>
      </c>
      <c r="C4602" t="s">
        <v>157</v>
      </c>
      <c r="D4602" t="s">
        <v>9254</v>
      </c>
      <c r="E4602" t="s">
        <v>9255</v>
      </c>
      <c r="G4602" s="1">
        <v>20.8</v>
      </c>
    </row>
    <row r="4603" spans="1:7" ht="14.25" hidden="1" customHeight="1" x14ac:dyDescent="0.45">
      <c r="A4603" t="str">
        <f>_xlfn.XLOOKUP(B4603,Ingot!$H$12:$H$119,Ingot!$G$12:$G$119,"")</f>
        <v>Wood</v>
      </c>
      <c r="B4603" t="s">
        <v>9097</v>
      </c>
      <c r="C4603" t="s">
        <v>157</v>
      </c>
      <c r="D4603" t="s">
        <v>9256</v>
      </c>
      <c r="E4603" t="s">
        <v>9257</v>
      </c>
      <c r="G4603" s="1">
        <v>5</v>
      </c>
    </row>
    <row r="4604" spans="1:7" ht="14.25" hidden="1" customHeight="1" x14ac:dyDescent="0.45">
      <c r="A4604" t="str">
        <f>_xlfn.XLOOKUP(B4604,Ingot!$H$12:$H$119,Ingot!$G$12:$G$119,"")</f>
        <v>Wood</v>
      </c>
      <c r="B4604" t="s">
        <v>9097</v>
      </c>
      <c r="C4604" t="s">
        <v>157</v>
      </c>
      <c r="D4604" t="s">
        <v>9258</v>
      </c>
      <c r="E4604" t="s">
        <v>9259</v>
      </c>
      <c r="G4604" s="1">
        <v>5</v>
      </c>
    </row>
    <row r="4605" spans="1:7" ht="14.25" hidden="1" customHeight="1" x14ac:dyDescent="0.45">
      <c r="A4605" t="str">
        <f>_xlfn.XLOOKUP(B4605,Ingot!$H$12:$H$119,Ingot!$G$12:$G$119,"")</f>
        <v>Wood</v>
      </c>
      <c r="B4605" t="s">
        <v>9097</v>
      </c>
      <c r="C4605" t="s">
        <v>157</v>
      </c>
      <c r="D4605" t="s">
        <v>9260</v>
      </c>
      <c r="E4605" t="s">
        <v>9261</v>
      </c>
      <c r="G4605" s="1">
        <v>5</v>
      </c>
    </row>
    <row r="4606" spans="1:7" ht="14.25" hidden="1" customHeight="1" x14ac:dyDescent="0.45">
      <c r="A4606" t="str">
        <f>_xlfn.XLOOKUP(B4606,Ingot!$H$12:$H$119,Ingot!$G$12:$G$119,"")</f>
        <v>Wood</v>
      </c>
      <c r="B4606" t="s">
        <v>9097</v>
      </c>
      <c r="C4606" t="s">
        <v>157</v>
      </c>
      <c r="D4606" t="s">
        <v>9262</v>
      </c>
      <c r="E4606" t="s">
        <v>9263</v>
      </c>
      <c r="G4606" s="1">
        <v>10</v>
      </c>
    </row>
    <row r="4607" spans="1:7" ht="14.25" hidden="1" customHeight="1" x14ac:dyDescent="0.45">
      <c r="A4607" t="str">
        <f>_xlfn.XLOOKUP(B4607,Ingot!$H$12:$H$119,Ingot!$G$12:$G$119,"")</f>
        <v>Wood</v>
      </c>
      <c r="B4607" t="s">
        <v>9097</v>
      </c>
      <c r="C4607" t="s">
        <v>157</v>
      </c>
      <c r="D4607" t="s">
        <v>9264</v>
      </c>
      <c r="E4607" t="s">
        <v>9265</v>
      </c>
      <c r="G4607" s="1">
        <v>20</v>
      </c>
    </row>
    <row r="4608" spans="1:7" ht="14.25" hidden="1" customHeight="1" x14ac:dyDescent="0.45">
      <c r="A4608" t="str">
        <f>_xlfn.XLOOKUP(B4608,Ingot!$H$12:$H$119,Ingot!$G$12:$G$119,"")</f>
        <v>Wood</v>
      </c>
      <c r="B4608" t="s">
        <v>9097</v>
      </c>
      <c r="C4608" t="s">
        <v>157</v>
      </c>
      <c r="D4608" t="s">
        <v>9266</v>
      </c>
      <c r="E4608" t="s">
        <v>9267</v>
      </c>
      <c r="G4608" s="1">
        <v>5</v>
      </c>
    </row>
    <row r="4609" spans="1:7" ht="14.25" hidden="1" customHeight="1" x14ac:dyDescent="0.45">
      <c r="A4609" t="str">
        <f>_xlfn.XLOOKUP(B4609,Ingot!$H$12:$H$119,Ingot!$G$12:$G$119,"")</f>
        <v>Wood</v>
      </c>
      <c r="B4609" t="s">
        <v>9097</v>
      </c>
      <c r="C4609" t="s">
        <v>157</v>
      </c>
      <c r="D4609" t="s">
        <v>9268</v>
      </c>
      <c r="E4609" t="s">
        <v>9269</v>
      </c>
      <c r="G4609" s="1">
        <v>5</v>
      </c>
    </row>
    <row r="4610" spans="1:7" ht="14.25" hidden="1" customHeight="1" x14ac:dyDescent="0.45">
      <c r="A4610" t="str">
        <f>_xlfn.XLOOKUP(B4610,Ingot!$H$12:$H$119,Ingot!$G$12:$G$119,"")</f>
        <v>Wood</v>
      </c>
      <c r="B4610" t="s">
        <v>9097</v>
      </c>
      <c r="C4610" t="s">
        <v>157</v>
      </c>
      <c r="D4610" t="s">
        <v>9270</v>
      </c>
      <c r="E4610" t="s">
        <v>9271</v>
      </c>
      <c r="G4610" s="1">
        <v>5</v>
      </c>
    </row>
    <row r="4611" spans="1:7" ht="14.25" hidden="1" customHeight="1" x14ac:dyDescent="0.45">
      <c r="A4611" t="str">
        <f>_xlfn.XLOOKUP(B4611,Ingot!$H$12:$H$119,Ingot!$G$12:$G$119,"")</f>
        <v>Wood</v>
      </c>
      <c r="B4611" t="s">
        <v>9097</v>
      </c>
      <c r="C4611" t="s">
        <v>157</v>
      </c>
      <c r="D4611" t="s">
        <v>9272</v>
      </c>
      <c r="E4611" t="s">
        <v>9273</v>
      </c>
      <c r="G4611" s="1">
        <v>10</v>
      </c>
    </row>
    <row r="4612" spans="1:7" ht="14.25" hidden="1" customHeight="1" x14ac:dyDescent="0.45">
      <c r="A4612" t="str">
        <f>_xlfn.XLOOKUP(B4612,Ingot!$H$12:$H$119,Ingot!$G$12:$G$119,"")</f>
        <v>Wood</v>
      </c>
      <c r="B4612" t="s">
        <v>9097</v>
      </c>
      <c r="C4612" t="s">
        <v>157</v>
      </c>
      <c r="D4612" t="s">
        <v>9274</v>
      </c>
      <c r="E4612" t="s">
        <v>9275</v>
      </c>
      <c r="G4612" s="1">
        <v>22</v>
      </c>
    </row>
    <row r="4613" spans="1:7" ht="14.25" hidden="1" customHeight="1" x14ac:dyDescent="0.45">
      <c r="A4613" t="str">
        <f>_xlfn.XLOOKUP(B4613,Ingot!$H$12:$H$119,Ingot!$G$12:$G$119,"")</f>
        <v>Wood</v>
      </c>
      <c r="B4613" t="s">
        <v>9097</v>
      </c>
      <c r="C4613" t="s">
        <v>157</v>
      </c>
      <c r="D4613" t="s">
        <v>9276</v>
      </c>
      <c r="E4613" t="s">
        <v>9277</v>
      </c>
      <c r="G4613" s="1">
        <v>5</v>
      </c>
    </row>
    <row r="4614" spans="1:7" ht="14.25" hidden="1" customHeight="1" x14ac:dyDescent="0.45">
      <c r="A4614" t="str">
        <f>_xlfn.XLOOKUP(B4614,Ingot!$H$12:$H$119,Ingot!$G$12:$G$119,"")</f>
        <v>Wood</v>
      </c>
      <c r="B4614" t="s">
        <v>9097</v>
      </c>
      <c r="C4614" t="s">
        <v>157</v>
      </c>
      <c r="D4614" t="s">
        <v>9278</v>
      </c>
      <c r="E4614" t="s">
        <v>9279</v>
      </c>
      <c r="G4614" s="1">
        <v>5</v>
      </c>
    </row>
    <row r="4615" spans="1:7" ht="14.25" hidden="1" customHeight="1" x14ac:dyDescent="0.45">
      <c r="A4615" t="str">
        <f>_xlfn.XLOOKUP(B4615,Ingot!$H$12:$H$119,Ingot!$G$12:$G$119,"")</f>
        <v>Wood</v>
      </c>
      <c r="B4615" t="s">
        <v>9097</v>
      </c>
      <c r="C4615" t="s">
        <v>157</v>
      </c>
      <c r="D4615" t="s">
        <v>9280</v>
      </c>
      <c r="E4615" t="s">
        <v>9281</v>
      </c>
      <c r="G4615" s="1">
        <v>5</v>
      </c>
    </row>
    <row r="4616" spans="1:7" ht="14.25" hidden="1" customHeight="1" x14ac:dyDescent="0.45">
      <c r="A4616" t="str">
        <f>_xlfn.XLOOKUP(B4616,Ingot!$H$12:$H$119,Ingot!$G$12:$G$119,"")</f>
        <v>Wood</v>
      </c>
      <c r="B4616" t="s">
        <v>9097</v>
      </c>
      <c r="C4616" t="s">
        <v>157</v>
      </c>
      <c r="D4616" t="s">
        <v>9282</v>
      </c>
      <c r="E4616" t="s">
        <v>9283</v>
      </c>
      <c r="G4616" s="1">
        <v>10</v>
      </c>
    </row>
    <row r="4617" spans="1:7" ht="14.25" hidden="1" customHeight="1" x14ac:dyDescent="0.45">
      <c r="A4617" t="str">
        <f>_xlfn.XLOOKUP(B4617,Ingot!$H$12:$H$119,Ingot!$G$12:$G$119,"")</f>
        <v>Wood</v>
      </c>
      <c r="B4617" t="s">
        <v>9097</v>
      </c>
      <c r="C4617" t="s">
        <v>157</v>
      </c>
      <c r="D4617" t="s">
        <v>9284</v>
      </c>
      <c r="E4617" t="s">
        <v>9285</v>
      </c>
      <c r="G4617" s="1">
        <v>23</v>
      </c>
    </row>
    <row r="4618" spans="1:7" ht="14.25" hidden="1" customHeight="1" x14ac:dyDescent="0.45">
      <c r="A4618" t="str">
        <f>_xlfn.XLOOKUP(B4618,Ingot!$H$12:$H$119,Ingot!$G$12:$G$119,"")</f>
        <v>Wood</v>
      </c>
      <c r="B4618" t="s">
        <v>9097</v>
      </c>
      <c r="C4618" t="s">
        <v>157</v>
      </c>
      <c r="D4618" t="s">
        <v>9286</v>
      </c>
      <c r="E4618" t="s">
        <v>9287</v>
      </c>
      <c r="G4618" s="1">
        <v>5</v>
      </c>
    </row>
    <row r="4619" spans="1:7" ht="14.25" hidden="1" customHeight="1" x14ac:dyDescent="0.45">
      <c r="A4619" t="str">
        <f>_xlfn.XLOOKUP(B4619,Ingot!$H$12:$H$119,Ingot!$G$12:$G$119,"")</f>
        <v>Wood</v>
      </c>
      <c r="B4619" t="s">
        <v>9097</v>
      </c>
      <c r="C4619" t="s">
        <v>157</v>
      </c>
      <c r="D4619" t="s">
        <v>9288</v>
      </c>
      <c r="E4619" t="s">
        <v>9289</v>
      </c>
      <c r="G4619" s="1">
        <v>5</v>
      </c>
    </row>
    <row r="4620" spans="1:7" ht="14.25" hidden="1" customHeight="1" x14ac:dyDescent="0.45">
      <c r="A4620" t="str">
        <f>_xlfn.XLOOKUP(B4620,Ingot!$H$12:$H$119,Ingot!$G$12:$G$119,"")</f>
        <v>Wood</v>
      </c>
      <c r="B4620" t="s">
        <v>9097</v>
      </c>
      <c r="C4620" t="s">
        <v>157</v>
      </c>
      <c r="D4620" t="s">
        <v>9290</v>
      </c>
      <c r="E4620" t="s">
        <v>9291</v>
      </c>
      <c r="G4620" s="1">
        <v>5</v>
      </c>
    </row>
    <row r="4621" spans="1:7" ht="14.25" hidden="1" customHeight="1" x14ac:dyDescent="0.45">
      <c r="A4621" t="str">
        <f>_xlfn.XLOOKUP(B4621,Ingot!$H$12:$H$119,Ingot!$G$12:$G$119,"")</f>
        <v>Wood</v>
      </c>
      <c r="B4621" t="s">
        <v>9097</v>
      </c>
      <c r="C4621" t="s">
        <v>157</v>
      </c>
      <c r="D4621" t="s">
        <v>9292</v>
      </c>
      <c r="E4621" t="s">
        <v>9293</v>
      </c>
      <c r="G4621" s="1">
        <v>10</v>
      </c>
    </row>
    <row r="4622" spans="1:7" ht="14.25" hidden="1" customHeight="1" x14ac:dyDescent="0.45">
      <c r="A4622" t="str">
        <f>_xlfn.XLOOKUP(B4622,Ingot!$H$12:$H$119,Ingot!$G$12:$G$119,"")</f>
        <v>Wood</v>
      </c>
      <c r="B4622" t="s">
        <v>9097</v>
      </c>
      <c r="C4622" t="s">
        <v>157</v>
      </c>
      <c r="D4622" t="s">
        <v>9294</v>
      </c>
      <c r="E4622" t="s">
        <v>9295</v>
      </c>
      <c r="G4622" s="1">
        <v>26.8</v>
      </c>
    </row>
    <row r="4623" spans="1:7" ht="14.25" hidden="1" customHeight="1" x14ac:dyDescent="0.45">
      <c r="A4623" t="str">
        <f>_xlfn.XLOOKUP(B4623,Ingot!$H$12:$H$119,Ingot!$G$12:$G$119,"")</f>
        <v>Wood</v>
      </c>
      <c r="B4623" t="s">
        <v>9097</v>
      </c>
      <c r="C4623" t="s">
        <v>157</v>
      </c>
      <c r="D4623" t="s">
        <v>9296</v>
      </c>
      <c r="E4623" t="s">
        <v>9297</v>
      </c>
      <c r="G4623" s="1">
        <v>5.36</v>
      </c>
    </row>
    <row r="4624" spans="1:7" ht="14.25" hidden="1" customHeight="1" x14ac:dyDescent="0.45">
      <c r="A4624" t="str">
        <f>_xlfn.XLOOKUP(B4624,Ingot!$H$12:$H$119,Ingot!$G$12:$G$119,"")</f>
        <v>Wood</v>
      </c>
      <c r="B4624" t="s">
        <v>9097</v>
      </c>
      <c r="C4624" t="s">
        <v>157</v>
      </c>
      <c r="D4624" t="s">
        <v>9298</v>
      </c>
      <c r="E4624" t="s">
        <v>9299</v>
      </c>
      <c r="G4624" s="1">
        <v>5.36</v>
      </c>
    </row>
    <row r="4625" spans="1:7" ht="14.25" hidden="1" customHeight="1" x14ac:dyDescent="0.45">
      <c r="A4625" t="str">
        <f>_xlfn.XLOOKUP(B4625,Ingot!$H$12:$H$119,Ingot!$G$12:$G$119,"")</f>
        <v>Wood</v>
      </c>
      <c r="B4625" t="s">
        <v>9097</v>
      </c>
      <c r="C4625" t="s">
        <v>157</v>
      </c>
      <c r="D4625" t="s">
        <v>9300</v>
      </c>
      <c r="E4625" t="s">
        <v>9301</v>
      </c>
      <c r="G4625" s="1">
        <v>5</v>
      </c>
    </row>
    <row r="4626" spans="1:7" ht="14.25" hidden="1" customHeight="1" x14ac:dyDescent="0.45">
      <c r="A4626" t="str">
        <f>_xlfn.XLOOKUP(B4626,Ingot!$H$12:$H$119,Ingot!$G$12:$G$119,"")</f>
        <v>Wood</v>
      </c>
      <c r="B4626" t="s">
        <v>9097</v>
      </c>
      <c r="C4626" t="s">
        <v>157</v>
      </c>
      <c r="D4626" t="s">
        <v>9302</v>
      </c>
      <c r="E4626" t="s">
        <v>9303</v>
      </c>
      <c r="G4626" s="1">
        <v>10</v>
      </c>
    </row>
    <row r="4627" spans="1:7" ht="14.25" hidden="1" customHeight="1" x14ac:dyDescent="0.45">
      <c r="A4627" t="str">
        <f>_xlfn.XLOOKUP(B4627,Ingot!$H$12:$H$119,Ingot!$G$12:$G$119,"")</f>
        <v>Wood</v>
      </c>
      <c r="B4627" t="s">
        <v>9097</v>
      </c>
      <c r="C4627" t="s">
        <v>157</v>
      </c>
      <c r="D4627" t="s">
        <v>9304</v>
      </c>
      <c r="E4627" t="s">
        <v>9305</v>
      </c>
      <c r="G4627" s="1">
        <v>25.5</v>
      </c>
    </row>
    <row r="4628" spans="1:7" ht="14.25" hidden="1" customHeight="1" x14ac:dyDescent="0.45">
      <c r="A4628" t="str">
        <f>_xlfn.XLOOKUP(B4628,Ingot!$H$12:$H$119,Ingot!$G$12:$G$119,"")</f>
        <v>Wood</v>
      </c>
      <c r="B4628" t="s">
        <v>9097</v>
      </c>
      <c r="C4628" t="s">
        <v>157</v>
      </c>
      <c r="D4628" t="s">
        <v>9306</v>
      </c>
      <c r="E4628" t="s">
        <v>9307</v>
      </c>
      <c r="G4628" s="1">
        <v>5.0999999999999996</v>
      </c>
    </row>
    <row r="4629" spans="1:7" ht="14.25" hidden="1" customHeight="1" x14ac:dyDescent="0.45">
      <c r="A4629" t="str">
        <f>_xlfn.XLOOKUP(B4629,Ingot!$H$12:$H$119,Ingot!$G$12:$G$119,"")</f>
        <v>Wood</v>
      </c>
      <c r="B4629" t="s">
        <v>9097</v>
      </c>
      <c r="C4629" t="s">
        <v>157</v>
      </c>
      <c r="D4629" t="s">
        <v>9308</v>
      </c>
      <c r="E4629" t="s">
        <v>9309</v>
      </c>
      <c r="G4629" s="1">
        <v>5.0999999999999996</v>
      </c>
    </row>
    <row r="4630" spans="1:7" ht="14.25" hidden="1" customHeight="1" x14ac:dyDescent="0.45">
      <c r="A4630" t="str">
        <f>_xlfn.XLOOKUP(B4630,Ingot!$H$12:$H$119,Ingot!$G$12:$G$119,"")</f>
        <v>Wood</v>
      </c>
      <c r="B4630" t="s">
        <v>9097</v>
      </c>
      <c r="C4630" t="s">
        <v>157</v>
      </c>
      <c r="D4630" t="s">
        <v>9310</v>
      </c>
      <c r="E4630" t="s">
        <v>9311</v>
      </c>
      <c r="G4630" s="1">
        <v>5</v>
      </c>
    </row>
    <row r="4631" spans="1:7" ht="14.25" hidden="1" customHeight="1" x14ac:dyDescent="0.45">
      <c r="A4631" t="str">
        <f>_xlfn.XLOOKUP(B4631,Ingot!$H$12:$H$119,Ingot!$G$12:$G$119,"")</f>
        <v>Wood</v>
      </c>
      <c r="B4631" t="s">
        <v>9097</v>
      </c>
      <c r="C4631" t="s">
        <v>157</v>
      </c>
      <c r="D4631" t="s">
        <v>9312</v>
      </c>
      <c r="E4631" t="s">
        <v>9313</v>
      </c>
      <c r="G4631" s="1">
        <v>10</v>
      </c>
    </row>
    <row r="4632" spans="1:7" ht="14.25" hidden="1" customHeight="1" x14ac:dyDescent="0.45">
      <c r="A4632" t="str">
        <f>_xlfn.XLOOKUP(B4632,Ingot!$H$12:$H$119,Ingot!$G$12:$G$119,"")</f>
        <v>Wood</v>
      </c>
      <c r="B4632" t="s">
        <v>9097</v>
      </c>
      <c r="C4632" t="s">
        <v>157</v>
      </c>
      <c r="D4632" t="s">
        <v>9314</v>
      </c>
      <c r="E4632" t="s">
        <v>9315</v>
      </c>
      <c r="G4632" s="1">
        <v>19.2</v>
      </c>
    </row>
    <row r="4633" spans="1:7" ht="14.25" hidden="1" customHeight="1" x14ac:dyDescent="0.45">
      <c r="A4633" t="str">
        <f>_xlfn.XLOOKUP(B4633,Ingot!$H$12:$H$119,Ingot!$G$12:$G$119,"")</f>
        <v>Wood</v>
      </c>
      <c r="B4633" t="s">
        <v>9097</v>
      </c>
      <c r="C4633" t="s">
        <v>157</v>
      </c>
      <c r="D4633" t="s">
        <v>9316</v>
      </c>
      <c r="E4633" t="s">
        <v>9317</v>
      </c>
      <c r="G4633" s="1">
        <v>5</v>
      </c>
    </row>
    <row r="4634" spans="1:7" ht="14.25" hidden="1" customHeight="1" x14ac:dyDescent="0.45">
      <c r="A4634" t="str">
        <f>_xlfn.XLOOKUP(B4634,Ingot!$H$12:$H$119,Ingot!$G$12:$G$119,"")</f>
        <v>Wood</v>
      </c>
      <c r="B4634" t="s">
        <v>9097</v>
      </c>
      <c r="C4634" t="s">
        <v>157</v>
      </c>
      <c r="D4634" t="s">
        <v>9318</v>
      </c>
      <c r="E4634" t="s">
        <v>9319</v>
      </c>
      <c r="G4634" s="1">
        <v>5</v>
      </c>
    </row>
    <row r="4635" spans="1:7" ht="14.25" hidden="1" customHeight="1" x14ac:dyDescent="0.45">
      <c r="A4635" t="str">
        <f>_xlfn.XLOOKUP(B4635,Ingot!$H$12:$H$119,Ingot!$G$12:$G$119,"")</f>
        <v>Wood</v>
      </c>
      <c r="B4635" t="s">
        <v>9097</v>
      </c>
      <c r="C4635" t="s">
        <v>157</v>
      </c>
      <c r="D4635" t="s">
        <v>9320</v>
      </c>
      <c r="E4635" t="s">
        <v>9321</v>
      </c>
      <c r="G4635" s="1">
        <v>5</v>
      </c>
    </row>
    <row r="4636" spans="1:7" ht="14.25" hidden="1" customHeight="1" x14ac:dyDescent="0.45">
      <c r="A4636" t="str">
        <f>_xlfn.XLOOKUP(B4636,Ingot!$H$12:$H$119,Ingot!$G$12:$G$119,"")</f>
        <v>Wood</v>
      </c>
      <c r="B4636" t="s">
        <v>9097</v>
      </c>
      <c r="C4636" t="s">
        <v>157</v>
      </c>
      <c r="D4636" t="s">
        <v>9322</v>
      </c>
      <c r="E4636" t="s">
        <v>9323</v>
      </c>
      <c r="G4636" s="1">
        <v>10</v>
      </c>
    </row>
    <row r="4637" spans="1:7" ht="14.25" hidden="1" customHeight="1" x14ac:dyDescent="0.45">
      <c r="A4637" t="str">
        <f>_xlfn.XLOOKUP(B4637,Ingot!$H$12:$H$119,Ingot!$G$12:$G$119,"")</f>
        <v>Wood</v>
      </c>
      <c r="B4637" t="s">
        <v>9097</v>
      </c>
      <c r="C4637" t="s">
        <v>239</v>
      </c>
      <c r="D4637" t="s">
        <v>9324</v>
      </c>
      <c r="E4637" t="s">
        <v>9325</v>
      </c>
    </row>
    <row r="4638" spans="1:7" ht="14.25" hidden="1" customHeight="1" x14ac:dyDescent="0.45">
      <c r="A4638" t="str">
        <f>_xlfn.XLOOKUP(B4638,Ingot!$H$12:$H$119,Ingot!$G$12:$G$119,"")</f>
        <v>Wood</v>
      </c>
      <c r="B4638" t="s">
        <v>9097</v>
      </c>
      <c r="C4638" t="s">
        <v>239</v>
      </c>
      <c r="D4638" t="s">
        <v>9326</v>
      </c>
      <c r="E4638" t="s">
        <v>9327</v>
      </c>
    </row>
    <row r="4639" spans="1:7" ht="14.25" hidden="1" customHeight="1" x14ac:dyDescent="0.45">
      <c r="A4639" t="str">
        <f>_xlfn.XLOOKUP(B4639,Ingot!$H$12:$H$119,Ingot!$G$12:$G$119,"")</f>
        <v>Wood</v>
      </c>
      <c r="B4639" t="s">
        <v>9097</v>
      </c>
      <c r="C4639" t="s">
        <v>239</v>
      </c>
      <c r="D4639" t="s">
        <v>9328</v>
      </c>
      <c r="E4639" t="s">
        <v>9329</v>
      </c>
    </row>
    <row r="4640" spans="1:7" ht="14.25" hidden="1" customHeight="1" x14ac:dyDescent="0.45">
      <c r="A4640" t="str">
        <f>_xlfn.XLOOKUP(B4640,Ingot!$H$12:$H$119,Ingot!$G$12:$G$119,"")</f>
        <v>Wood</v>
      </c>
      <c r="B4640" t="s">
        <v>9097</v>
      </c>
      <c r="C4640" t="s">
        <v>239</v>
      </c>
      <c r="D4640" t="s">
        <v>9330</v>
      </c>
      <c r="E4640" t="s">
        <v>9331</v>
      </c>
    </row>
    <row r="4641" spans="1:7" ht="14.25" hidden="1" customHeight="1" x14ac:dyDescent="0.45">
      <c r="A4641" t="str">
        <f>_xlfn.XLOOKUP(B4641,Ingot!$H$12:$H$119,Ingot!$G$12:$G$119,"")</f>
        <v>Wood</v>
      </c>
      <c r="B4641" t="s">
        <v>9097</v>
      </c>
      <c r="C4641" t="s">
        <v>239</v>
      </c>
      <c r="D4641" t="s">
        <v>9332</v>
      </c>
      <c r="E4641" t="s">
        <v>9333</v>
      </c>
    </row>
    <row r="4642" spans="1:7" ht="14.25" hidden="1" customHeight="1" x14ac:dyDescent="0.45">
      <c r="A4642" t="str">
        <f>_xlfn.XLOOKUP(B4642,Ingot!$H$12:$H$119,Ingot!$G$12:$G$119,"")</f>
        <v>Wood</v>
      </c>
      <c r="B4642" t="s">
        <v>9097</v>
      </c>
      <c r="C4642" t="s">
        <v>239</v>
      </c>
      <c r="D4642" t="s">
        <v>9334</v>
      </c>
      <c r="E4642" t="s">
        <v>9335</v>
      </c>
    </row>
    <row r="4643" spans="1:7" ht="14.25" hidden="1" customHeight="1" x14ac:dyDescent="0.45">
      <c r="A4643" t="str">
        <f>_xlfn.XLOOKUP(B4643,Ingot!$H$12:$H$119,Ingot!$G$12:$G$119,"")</f>
        <v>Wood</v>
      </c>
      <c r="B4643" t="s">
        <v>9336</v>
      </c>
      <c r="C4643" t="s">
        <v>10</v>
      </c>
      <c r="D4643" t="s">
        <v>9337</v>
      </c>
      <c r="E4643" t="s">
        <v>9338</v>
      </c>
      <c r="G4643" s="1">
        <v>0.08</v>
      </c>
    </row>
    <row r="4644" spans="1:7" ht="14.25" hidden="1" customHeight="1" x14ac:dyDescent="0.45">
      <c r="A4644" t="str">
        <f>_xlfn.XLOOKUP(B4644,Ingot!$H$12:$H$119,Ingot!$G$12:$G$119,"")</f>
        <v>Wood</v>
      </c>
      <c r="B4644" t="s">
        <v>9336</v>
      </c>
      <c r="C4644" t="s">
        <v>10</v>
      </c>
      <c r="D4644" t="s">
        <v>9339</v>
      </c>
      <c r="E4644" t="s">
        <v>9340</v>
      </c>
      <c r="G4644" s="1">
        <v>9.9</v>
      </c>
    </row>
    <row r="4645" spans="1:7" ht="14.25" hidden="1" customHeight="1" x14ac:dyDescent="0.45">
      <c r="A4645" t="str">
        <f>_xlfn.XLOOKUP(B4645,Ingot!$H$12:$H$119,Ingot!$G$12:$G$119,"")</f>
        <v>Wood</v>
      </c>
      <c r="B4645" t="s">
        <v>9336</v>
      </c>
      <c r="C4645" t="s">
        <v>10</v>
      </c>
      <c r="D4645" t="s">
        <v>9341</v>
      </c>
      <c r="E4645" t="s">
        <v>9342</v>
      </c>
      <c r="G4645" s="1">
        <v>5.66</v>
      </c>
    </row>
    <row r="4646" spans="1:7" ht="14.25" hidden="1" customHeight="1" x14ac:dyDescent="0.45">
      <c r="A4646" t="str">
        <f>_xlfn.XLOOKUP(B4646,Ingot!$H$12:$H$119,Ingot!$G$12:$G$119,"")</f>
        <v>Wood</v>
      </c>
      <c r="B4646" t="s">
        <v>9336</v>
      </c>
      <c r="C4646" t="s">
        <v>10</v>
      </c>
      <c r="D4646" t="s">
        <v>9343</v>
      </c>
      <c r="E4646" t="s">
        <v>9344</v>
      </c>
      <c r="G4646" s="1">
        <v>3.3</v>
      </c>
    </row>
    <row r="4647" spans="1:7" ht="14.25" hidden="1" customHeight="1" x14ac:dyDescent="0.45">
      <c r="A4647" t="str">
        <f>_xlfn.XLOOKUP(B4647,Ingot!$H$12:$H$119,Ingot!$G$12:$G$119,"")</f>
        <v>Wood</v>
      </c>
      <c r="B4647" t="s">
        <v>9336</v>
      </c>
      <c r="C4647" t="s">
        <v>10</v>
      </c>
      <c r="D4647" t="s">
        <v>9345</v>
      </c>
      <c r="E4647" t="s">
        <v>9346</v>
      </c>
      <c r="G4647" s="1">
        <v>0.66</v>
      </c>
    </row>
    <row r="4648" spans="1:7" ht="14.25" hidden="1" customHeight="1" x14ac:dyDescent="0.45">
      <c r="A4648" t="str">
        <f>_xlfn.XLOOKUP(B4648,Ingot!$H$12:$H$119,Ingot!$G$12:$G$119,"")</f>
        <v>Wood</v>
      </c>
      <c r="B4648" t="s">
        <v>9336</v>
      </c>
      <c r="C4648" t="s">
        <v>10</v>
      </c>
      <c r="D4648" t="s">
        <v>9347</v>
      </c>
      <c r="E4648" t="s">
        <v>9348</v>
      </c>
      <c r="G4648" s="1">
        <v>0.04</v>
      </c>
    </row>
    <row r="4649" spans="1:7" ht="14.25" hidden="1" customHeight="1" x14ac:dyDescent="0.45">
      <c r="A4649" t="str">
        <f>_xlfn.XLOOKUP(B4649,Ingot!$H$12:$H$119,Ingot!$G$12:$G$119,"")</f>
        <v>Wood</v>
      </c>
      <c r="B4649" t="s">
        <v>9336</v>
      </c>
      <c r="C4649" t="s">
        <v>10</v>
      </c>
      <c r="D4649" t="s">
        <v>9349</v>
      </c>
      <c r="E4649" t="s">
        <v>9350</v>
      </c>
      <c r="G4649" s="1">
        <v>0.33</v>
      </c>
    </row>
    <row r="4650" spans="1:7" ht="14.25" hidden="1" customHeight="1" x14ac:dyDescent="0.45">
      <c r="A4650" t="str">
        <f>_xlfn.XLOOKUP(B4650,Ingot!$H$12:$H$119,Ingot!$G$12:$G$119,"")</f>
        <v>Wood</v>
      </c>
      <c r="B4650" t="s">
        <v>9336</v>
      </c>
      <c r="C4650" t="s">
        <v>10</v>
      </c>
      <c r="D4650" t="s">
        <v>9351</v>
      </c>
      <c r="E4650" t="s">
        <v>9352</v>
      </c>
    </row>
    <row r="4651" spans="1:7" ht="14.25" hidden="1" customHeight="1" x14ac:dyDescent="0.45">
      <c r="A4651" t="str">
        <f>_xlfn.XLOOKUP(B4651,Ingot!$H$12:$H$119,Ingot!$G$12:$G$119,"")</f>
        <v>Wood</v>
      </c>
      <c r="B4651" t="s">
        <v>9336</v>
      </c>
      <c r="C4651" t="s">
        <v>10</v>
      </c>
      <c r="D4651" t="s">
        <v>9353</v>
      </c>
      <c r="E4651" t="s">
        <v>9354</v>
      </c>
      <c r="G4651" s="1">
        <v>0.05</v>
      </c>
    </row>
    <row r="4652" spans="1:7" ht="14.25" hidden="1" customHeight="1" x14ac:dyDescent="0.45">
      <c r="A4652" t="str">
        <f>_xlfn.XLOOKUP(B4652,Ingot!$H$12:$H$119,Ingot!$G$12:$G$119,"")</f>
        <v>Wood</v>
      </c>
      <c r="B4652" t="s">
        <v>9336</v>
      </c>
      <c r="C4652" t="s">
        <v>10</v>
      </c>
      <c r="D4652" t="s">
        <v>9355</v>
      </c>
      <c r="E4652" t="s">
        <v>9356</v>
      </c>
      <c r="G4652" s="1">
        <v>0.66</v>
      </c>
    </row>
    <row r="4653" spans="1:7" ht="14.25" hidden="1" customHeight="1" x14ac:dyDescent="0.45">
      <c r="A4653" t="str">
        <f>_xlfn.XLOOKUP(B4653,Ingot!$H$12:$H$119,Ingot!$G$12:$G$119,"")</f>
        <v>Wood</v>
      </c>
      <c r="B4653" t="s">
        <v>9336</v>
      </c>
      <c r="C4653" t="s">
        <v>10</v>
      </c>
      <c r="D4653" t="s">
        <v>9357</v>
      </c>
      <c r="E4653" t="s">
        <v>9358</v>
      </c>
      <c r="G4653" s="1">
        <v>3.96</v>
      </c>
    </row>
    <row r="4654" spans="1:7" ht="14.25" hidden="1" customHeight="1" x14ac:dyDescent="0.45">
      <c r="A4654" t="str">
        <f>_xlfn.XLOOKUP(B4654,Ingot!$H$12:$H$119,Ingot!$G$12:$G$119,"")</f>
        <v>Wood</v>
      </c>
      <c r="B4654" t="s">
        <v>9336</v>
      </c>
      <c r="C4654" t="s">
        <v>10</v>
      </c>
      <c r="D4654" t="s">
        <v>9359</v>
      </c>
      <c r="E4654" t="s">
        <v>9360</v>
      </c>
      <c r="G4654" s="1">
        <v>8.77</v>
      </c>
    </row>
    <row r="4655" spans="1:7" ht="14.25" hidden="1" customHeight="1" x14ac:dyDescent="0.45">
      <c r="A4655" t="str">
        <f>_xlfn.XLOOKUP(B4655,Ingot!$H$12:$H$119,Ingot!$G$12:$G$119,"")</f>
        <v>Wood</v>
      </c>
      <c r="B4655" t="s">
        <v>9336</v>
      </c>
      <c r="C4655" t="s">
        <v>10</v>
      </c>
      <c r="D4655" t="s">
        <v>9361</v>
      </c>
      <c r="E4655" t="s">
        <v>9362</v>
      </c>
      <c r="G4655" s="1">
        <v>3.5</v>
      </c>
    </row>
    <row r="4656" spans="1:7" ht="14.25" hidden="1" customHeight="1" x14ac:dyDescent="0.45">
      <c r="A4656" t="str">
        <f>_xlfn.XLOOKUP(B4656,Ingot!$H$12:$H$119,Ingot!$G$12:$G$119,"")</f>
        <v>Wood</v>
      </c>
      <c r="B4656" t="s">
        <v>9336</v>
      </c>
      <c r="C4656" t="s">
        <v>10</v>
      </c>
      <c r="D4656" t="s">
        <v>9363</v>
      </c>
      <c r="E4656" t="s">
        <v>9364</v>
      </c>
    </row>
    <row r="4657" spans="1:7" ht="14.25" hidden="1" customHeight="1" x14ac:dyDescent="0.45">
      <c r="A4657" t="str">
        <f>_xlfn.XLOOKUP(B4657,Ingot!$H$12:$H$119,Ingot!$G$12:$G$119,"")</f>
        <v>Wood</v>
      </c>
      <c r="B4657" t="s">
        <v>9336</v>
      </c>
      <c r="C4657" t="s">
        <v>10</v>
      </c>
      <c r="D4657" t="s">
        <v>9365</v>
      </c>
      <c r="E4657" t="s">
        <v>9366</v>
      </c>
      <c r="G4657" s="1">
        <v>2.2000000000000002</v>
      </c>
    </row>
    <row r="4658" spans="1:7" ht="14.25" hidden="1" customHeight="1" x14ac:dyDescent="0.45">
      <c r="A4658" t="str">
        <f>_xlfn.XLOOKUP(B4658,Ingot!$H$12:$H$119,Ingot!$G$12:$G$119,"")</f>
        <v>Wood</v>
      </c>
      <c r="B4658" t="s">
        <v>9336</v>
      </c>
      <c r="C4658" t="s">
        <v>10</v>
      </c>
      <c r="D4658" t="s">
        <v>9367</v>
      </c>
      <c r="E4658" t="s">
        <v>9368</v>
      </c>
      <c r="G4658" s="1">
        <v>1.1000000000000001</v>
      </c>
    </row>
    <row r="4659" spans="1:7" ht="14.25" hidden="1" customHeight="1" x14ac:dyDescent="0.45">
      <c r="A4659" t="str">
        <f>_xlfn.XLOOKUP(B4659,Ingot!$H$12:$H$119,Ingot!$G$12:$G$119,"")</f>
        <v>Wood</v>
      </c>
      <c r="B4659" t="s">
        <v>9336</v>
      </c>
      <c r="C4659" t="s">
        <v>10</v>
      </c>
      <c r="D4659" t="s">
        <v>9369</v>
      </c>
      <c r="E4659" t="s">
        <v>9370</v>
      </c>
      <c r="G4659" s="1">
        <v>0.22</v>
      </c>
    </row>
    <row r="4660" spans="1:7" ht="14.25" hidden="1" customHeight="1" x14ac:dyDescent="0.45">
      <c r="A4660" t="str">
        <f>_xlfn.XLOOKUP(B4660,Ingot!$H$12:$H$119,Ingot!$G$12:$G$119,"")</f>
        <v>Wood</v>
      </c>
      <c r="B4660" t="s">
        <v>9336</v>
      </c>
      <c r="C4660" t="s">
        <v>10</v>
      </c>
      <c r="D4660" t="s">
        <v>9371</v>
      </c>
      <c r="E4660" t="s">
        <v>9372</v>
      </c>
      <c r="G4660" s="1">
        <v>8.41</v>
      </c>
    </row>
    <row r="4661" spans="1:7" ht="14.25" hidden="1" customHeight="1" x14ac:dyDescent="0.45">
      <c r="A4661" t="str">
        <f>_xlfn.XLOOKUP(B4661,Ingot!$H$12:$H$119,Ingot!$G$12:$G$119,"")</f>
        <v>Wood</v>
      </c>
      <c r="B4661" t="s">
        <v>9336</v>
      </c>
      <c r="C4661" t="s">
        <v>10</v>
      </c>
      <c r="D4661" t="s">
        <v>9373</v>
      </c>
      <c r="E4661" t="s">
        <v>9374</v>
      </c>
      <c r="G4661" s="1">
        <v>3.64</v>
      </c>
    </row>
    <row r="4662" spans="1:7" ht="14.25" hidden="1" customHeight="1" x14ac:dyDescent="0.45">
      <c r="A4662" t="str">
        <f>_xlfn.XLOOKUP(B4662,Ingot!$H$12:$H$119,Ingot!$G$12:$G$119,"")</f>
        <v>Wood</v>
      </c>
      <c r="B4662" t="s">
        <v>9336</v>
      </c>
      <c r="C4662" t="s">
        <v>10</v>
      </c>
      <c r="D4662" t="s">
        <v>9375</v>
      </c>
      <c r="E4662" t="s">
        <v>9376</v>
      </c>
      <c r="G4662" s="1">
        <v>7.05</v>
      </c>
    </row>
    <row r="4663" spans="1:7" ht="14.25" hidden="1" customHeight="1" x14ac:dyDescent="0.45">
      <c r="A4663" t="str">
        <f>_xlfn.XLOOKUP(B4663,Ingot!$H$12:$H$119,Ingot!$G$12:$G$119,"")</f>
        <v>Wood</v>
      </c>
      <c r="B4663" t="s">
        <v>9336</v>
      </c>
      <c r="C4663" t="s">
        <v>10</v>
      </c>
      <c r="D4663" t="s">
        <v>9377</v>
      </c>
      <c r="E4663" t="s">
        <v>9378</v>
      </c>
      <c r="G4663" s="1">
        <v>2.65</v>
      </c>
    </row>
    <row r="4664" spans="1:7" ht="14.25" hidden="1" customHeight="1" x14ac:dyDescent="0.45">
      <c r="A4664" t="str">
        <f>_xlfn.XLOOKUP(B4664,Ingot!$H$12:$H$119,Ingot!$G$12:$G$119,"")</f>
        <v>Wood</v>
      </c>
      <c r="B4664" t="s">
        <v>9336</v>
      </c>
      <c r="C4664" t="s">
        <v>10</v>
      </c>
      <c r="D4664" t="s">
        <v>9379</v>
      </c>
      <c r="E4664" t="s">
        <v>9380</v>
      </c>
      <c r="G4664" s="1">
        <v>9</v>
      </c>
    </row>
    <row r="4665" spans="1:7" ht="14.25" hidden="1" customHeight="1" x14ac:dyDescent="0.45">
      <c r="A4665" t="str">
        <f>_xlfn.XLOOKUP(B4665,Ingot!$H$12:$H$119,Ingot!$G$12:$G$119,"")</f>
        <v>Wood</v>
      </c>
      <c r="B4665" t="s">
        <v>9336</v>
      </c>
      <c r="C4665" t="s">
        <v>10</v>
      </c>
      <c r="D4665" t="s">
        <v>9381</v>
      </c>
      <c r="E4665" t="s">
        <v>9382</v>
      </c>
      <c r="G4665" s="1">
        <v>10.23</v>
      </c>
    </row>
    <row r="4666" spans="1:7" ht="14.25" hidden="1" customHeight="1" x14ac:dyDescent="0.45">
      <c r="A4666" t="str">
        <f>_xlfn.XLOOKUP(B4666,Ingot!$H$12:$H$119,Ingot!$G$12:$G$119,"")</f>
        <v>Wood</v>
      </c>
      <c r="B4666" t="s">
        <v>9336</v>
      </c>
      <c r="C4666" t="s">
        <v>10</v>
      </c>
      <c r="D4666" t="s">
        <v>9383</v>
      </c>
      <c r="E4666" t="s">
        <v>9384</v>
      </c>
      <c r="G4666" s="1">
        <v>7.7</v>
      </c>
    </row>
    <row r="4667" spans="1:7" ht="14.25" hidden="1" customHeight="1" x14ac:dyDescent="0.45">
      <c r="A4667" t="str">
        <f>_xlfn.XLOOKUP(B4667,Ingot!$H$12:$H$119,Ingot!$G$12:$G$119,"")</f>
        <v>Wood</v>
      </c>
      <c r="B4667" t="s">
        <v>9336</v>
      </c>
      <c r="C4667" t="s">
        <v>10</v>
      </c>
      <c r="D4667" t="s">
        <v>9385</v>
      </c>
      <c r="E4667" t="s">
        <v>9386</v>
      </c>
      <c r="G4667" s="1">
        <v>10.02</v>
      </c>
    </row>
    <row r="4668" spans="1:7" ht="14.25" hidden="1" customHeight="1" x14ac:dyDescent="0.45">
      <c r="A4668" t="str">
        <f>_xlfn.XLOOKUP(B4668,Ingot!$H$12:$H$119,Ingot!$G$12:$G$119,"")</f>
        <v>Wood</v>
      </c>
      <c r="B4668" t="s">
        <v>9336</v>
      </c>
      <c r="C4668" t="s">
        <v>10</v>
      </c>
      <c r="D4668" t="s">
        <v>9387</v>
      </c>
      <c r="E4668" t="s">
        <v>9388</v>
      </c>
      <c r="G4668" s="1">
        <v>11.81</v>
      </c>
    </row>
    <row r="4669" spans="1:7" ht="14.25" hidden="1" customHeight="1" x14ac:dyDescent="0.45">
      <c r="A4669" t="str">
        <f>_xlfn.XLOOKUP(B4669,Ingot!$H$12:$H$119,Ingot!$G$12:$G$119,"")</f>
        <v>Wood</v>
      </c>
      <c r="B4669" t="s">
        <v>9336</v>
      </c>
      <c r="C4669" t="s">
        <v>10</v>
      </c>
      <c r="D4669" t="s">
        <v>9389</v>
      </c>
      <c r="E4669" t="s">
        <v>9390</v>
      </c>
      <c r="G4669" s="1">
        <v>8.44</v>
      </c>
    </row>
    <row r="4670" spans="1:7" ht="14.25" hidden="1" customHeight="1" x14ac:dyDescent="0.45">
      <c r="A4670" t="str">
        <f>_xlfn.XLOOKUP(B4670,Ingot!$H$12:$H$119,Ingot!$G$12:$G$119,"")</f>
        <v>Wood</v>
      </c>
      <c r="B4670" t="s">
        <v>9336</v>
      </c>
      <c r="C4670" t="s">
        <v>10</v>
      </c>
      <c r="D4670" t="s">
        <v>9391</v>
      </c>
      <c r="E4670" t="s">
        <v>9392</v>
      </c>
      <c r="G4670" s="1">
        <v>10.42</v>
      </c>
    </row>
    <row r="4671" spans="1:7" ht="14.25" hidden="1" customHeight="1" x14ac:dyDescent="0.45">
      <c r="A4671" t="str">
        <f>_xlfn.XLOOKUP(B4671,Ingot!$H$12:$H$119,Ingot!$G$12:$G$119,"")</f>
        <v>Wood</v>
      </c>
      <c r="B4671" t="s">
        <v>9336</v>
      </c>
      <c r="C4671" t="s">
        <v>10</v>
      </c>
      <c r="D4671" t="s">
        <v>9393</v>
      </c>
      <c r="E4671" t="s">
        <v>9394</v>
      </c>
    </row>
    <row r="4672" spans="1:7" ht="14.25" hidden="1" customHeight="1" x14ac:dyDescent="0.45">
      <c r="A4672" t="str">
        <f>_xlfn.XLOOKUP(B4672,Ingot!$H$12:$H$119,Ingot!$G$12:$G$119,"")</f>
        <v>Wood</v>
      </c>
      <c r="B4672" t="s">
        <v>9336</v>
      </c>
      <c r="C4672" t="s">
        <v>10</v>
      </c>
      <c r="D4672" t="s">
        <v>9395</v>
      </c>
      <c r="E4672" t="s">
        <v>9396</v>
      </c>
      <c r="G4672" s="1">
        <v>7.96</v>
      </c>
    </row>
    <row r="4673" spans="1:7" ht="14.25" hidden="1" customHeight="1" x14ac:dyDescent="0.45">
      <c r="A4673" t="str">
        <f>_xlfn.XLOOKUP(B4673,Ingot!$H$12:$H$119,Ingot!$G$12:$G$119,"")</f>
        <v>Wood</v>
      </c>
      <c r="B4673" t="s">
        <v>9336</v>
      </c>
      <c r="C4673" t="s">
        <v>10</v>
      </c>
      <c r="D4673" t="s">
        <v>9397</v>
      </c>
      <c r="E4673" t="s">
        <v>9398</v>
      </c>
      <c r="G4673" s="1">
        <v>9.64</v>
      </c>
    </row>
    <row r="4674" spans="1:7" ht="14.25" hidden="1" customHeight="1" x14ac:dyDescent="0.45">
      <c r="A4674" t="str">
        <f>_xlfn.XLOOKUP(B4674,Ingot!$H$12:$H$119,Ingot!$G$12:$G$119,"")</f>
        <v>Wood</v>
      </c>
      <c r="B4674" t="s">
        <v>9336</v>
      </c>
      <c r="C4674" t="s">
        <v>10</v>
      </c>
      <c r="D4674" t="s">
        <v>9399</v>
      </c>
      <c r="E4674" t="s">
        <v>9400</v>
      </c>
      <c r="G4674" s="1">
        <v>7.94</v>
      </c>
    </row>
    <row r="4675" spans="1:7" ht="14.25" hidden="1" customHeight="1" x14ac:dyDescent="0.45">
      <c r="A4675" t="str">
        <f>_xlfn.XLOOKUP(B4675,Ingot!$H$12:$H$119,Ingot!$G$12:$G$119,"")</f>
        <v>Wood</v>
      </c>
      <c r="B4675" t="s">
        <v>9336</v>
      </c>
      <c r="C4675" t="s">
        <v>10</v>
      </c>
      <c r="D4675" t="s">
        <v>9401</v>
      </c>
      <c r="E4675" t="s">
        <v>9402</v>
      </c>
      <c r="G4675" s="1">
        <v>8.66</v>
      </c>
    </row>
    <row r="4676" spans="1:7" ht="14.25" hidden="1" customHeight="1" x14ac:dyDescent="0.45">
      <c r="A4676" t="str">
        <f>_xlfn.XLOOKUP(B4676,Ingot!$H$12:$H$119,Ingot!$G$12:$G$119,"")</f>
        <v>Wood</v>
      </c>
      <c r="B4676" t="s">
        <v>9336</v>
      </c>
      <c r="C4676" t="s">
        <v>10</v>
      </c>
      <c r="D4676" t="s">
        <v>9403</v>
      </c>
      <c r="E4676" t="s">
        <v>9404</v>
      </c>
    </row>
    <row r="4677" spans="1:7" ht="14.25" hidden="1" customHeight="1" x14ac:dyDescent="0.45">
      <c r="A4677" t="str">
        <f>_xlfn.XLOOKUP(B4677,Ingot!$H$12:$H$119,Ingot!$G$12:$G$119,"")</f>
        <v>Wood</v>
      </c>
      <c r="B4677" t="s">
        <v>9336</v>
      </c>
      <c r="C4677" t="s">
        <v>10</v>
      </c>
      <c r="D4677" t="s">
        <v>9405</v>
      </c>
      <c r="E4677" t="s">
        <v>9406</v>
      </c>
      <c r="G4677" s="1">
        <v>2.65</v>
      </c>
    </row>
    <row r="4678" spans="1:7" ht="14.25" hidden="1" customHeight="1" x14ac:dyDescent="0.45">
      <c r="A4678" t="str">
        <f>_xlfn.XLOOKUP(B4678,Ingot!$H$12:$H$119,Ingot!$G$12:$G$119,"")</f>
        <v>Wood</v>
      </c>
      <c r="B4678" t="s">
        <v>9336</v>
      </c>
      <c r="C4678" t="s">
        <v>10</v>
      </c>
      <c r="D4678" t="s">
        <v>9407</v>
      </c>
      <c r="E4678" t="s">
        <v>9408</v>
      </c>
    </row>
    <row r="4679" spans="1:7" ht="14.25" hidden="1" customHeight="1" x14ac:dyDescent="0.45">
      <c r="A4679" t="str">
        <f>_xlfn.XLOOKUP(B4679,Ingot!$H$12:$H$119,Ingot!$G$12:$G$119,"")</f>
        <v>Wood</v>
      </c>
      <c r="B4679" t="s">
        <v>9336</v>
      </c>
      <c r="C4679" t="s">
        <v>10</v>
      </c>
      <c r="D4679" t="s">
        <v>9409</v>
      </c>
      <c r="E4679" t="s">
        <v>9410</v>
      </c>
      <c r="G4679" s="1">
        <v>12.64</v>
      </c>
    </row>
    <row r="4680" spans="1:7" ht="14.25" hidden="1" customHeight="1" x14ac:dyDescent="0.45">
      <c r="A4680" t="str">
        <f>_xlfn.XLOOKUP(B4680,Ingot!$H$12:$H$119,Ingot!$G$12:$G$119,"")</f>
        <v>Wood</v>
      </c>
      <c r="B4680" t="s">
        <v>9336</v>
      </c>
      <c r="C4680" t="s">
        <v>10</v>
      </c>
      <c r="D4680" t="s">
        <v>9411</v>
      </c>
      <c r="E4680" t="s">
        <v>9412</v>
      </c>
      <c r="G4680" s="1">
        <v>22.67</v>
      </c>
    </row>
    <row r="4681" spans="1:7" ht="14.25" hidden="1" customHeight="1" x14ac:dyDescent="0.45">
      <c r="A4681" t="str">
        <f>_xlfn.XLOOKUP(B4681,Ingot!$H$12:$H$119,Ingot!$G$12:$G$119,"")</f>
        <v>Wood</v>
      </c>
      <c r="B4681" t="s">
        <v>9336</v>
      </c>
      <c r="C4681" t="s">
        <v>10</v>
      </c>
      <c r="D4681" t="s">
        <v>9413</v>
      </c>
      <c r="E4681" t="s">
        <v>9414</v>
      </c>
      <c r="G4681" s="1">
        <v>8.3800000000000008</v>
      </c>
    </row>
    <row r="4682" spans="1:7" ht="14.25" hidden="1" customHeight="1" x14ac:dyDescent="0.45">
      <c r="A4682" t="str">
        <f>_xlfn.XLOOKUP(B4682,Ingot!$H$12:$H$119,Ingot!$G$12:$G$119,"")</f>
        <v>Wood</v>
      </c>
      <c r="B4682" t="s">
        <v>9336</v>
      </c>
      <c r="C4682" t="s">
        <v>10</v>
      </c>
      <c r="D4682" t="s">
        <v>9415</v>
      </c>
      <c r="E4682" t="s">
        <v>9416</v>
      </c>
      <c r="G4682" s="1">
        <v>2.2000000000000002</v>
      </c>
    </row>
    <row r="4683" spans="1:7" ht="14.25" hidden="1" customHeight="1" x14ac:dyDescent="0.45">
      <c r="A4683" t="str">
        <f>_xlfn.XLOOKUP(B4683,Ingot!$H$12:$H$119,Ingot!$G$12:$G$119,"")</f>
        <v>Wood</v>
      </c>
      <c r="B4683" t="s">
        <v>9336</v>
      </c>
      <c r="C4683" t="s">
        <v>10</v>
      </c>
      <c r="D4683" t="s">
        <v>9417</v>
      </c>
      <c r="E4683" t="s">
        <v>9418</v>
      </c>
      <c r="G4683" s="1">
        <v>3.09</v>
      </c>
    </row>
    <row r="4684" spans="1:7" ht="14.25" hidden="1" customHeight="1" x14ac:dyDescent="0.45">
      <c r="A4684" t="str">
        <f>_xlfn.XLOOKUP(B4684,Ingot!$H$12:$H$119,Ingot!$G$12:$G$119,"")</f>
        <v>Wood</v>
      </c>
      <c r="B4684" t="s">
        <v>9336</v>
      </c>
      <c r="C4684" t="s">
        <v>10</v>
      </c>
      <c r="D4684" t="s">
        <v>9419</v>
      </c>
      <c r="E4684" t="s">
        <v>9420</v>
      </c>
      <c r="G4684" s="1">
        <v>2.2999999999999998</v>
      </c>
    </row>
    <row r="4685" spans="1:7" ht="14.25" hidden="1" customHeight="1" x14ac:dyDescent="0.45">
      <c r="A4685" t="str">
        <f>_xlfn.XLOOKUP(B4685,Ingot!$H$12:$H$119,Ingot!$G$12:$G$119,"")</f>
        <v>Wood</v>
      </c>
      <c r="B4685" t="s">
        <v>9336</v>
      </c>
      <c r="C4685" t="s">
        <v>10</v>
      </c>
      <c r="D4685" t="s">
        <v>9421</v>
      </c>
      <c r="E4685" t="s">
        <v>9422</v>
      </c>
      <c r="G4685" s="1">
        <v>4.88</v>
      </c>
    </row>
    <row r="4686" spans="1:7" ht="14.25" hidden="1" customHeight="1" x14ac:dyDescent="0.45">
      <c r="A4686" t="str">
        <f>_xlfn.XLOOKUP(B4686,Ingot!$H$12:$H$119,Ingot!$G$12:$G$119,"")</f>
        <v>Wood</v>
      </c>
      <c r="B4686" t="s">
        <v>9336</v>
      </c>
      <c r="C4686" t="s">
        <v>10</v>
      </c>
      <c r="D4686" t="s">
        <v>9423</v>
      </c>
      <c r="E4686" t="s">
        <v>9424</v>
      </c>
      <c r="G4686" s="1">
        <v>8.43</v>
      </c>
    </row>
    <row r="4687" spans="1:7" ht="14.25" hidden="1" customHeight="1" x14ac:dyDescent="0.45">
      <c r="A4687" t="str">
        <f>_xlfn.XLOOKUP(B4687,Ingot!$H$12:$H$119,Ingot!$G$12:$G$119,"")</f>
        <v>Wood</v>
      </c>
      <c r="B4687" t="s">
        <v>9336</v>
      </c>
      <c r="C4687" t="s">
        <v>10</v>
      </c>
      <c r="D4687" t="s">
        <v>9425</v>
      </c>
      <c r="E4687" t="s">
        <v>9426</v>
      </c>
      <c r="G4687" s="1">
        <v>13.07</v>
      </c>
    </row>
    <row r="4688" spans="1:7" ht="14.25" hidden="1" customHeight="1" x14ac:dyDescent="0.45">
      <c r="A4688" t="str">
        <f>_xlfn.XLOOKUP(B4688,Ingot!$H$12:$H$119,Ingot!$G$12:$G$119,"")</f>
        <v>Wood</v>
      </c>
      <c r="B4688" t="s">
        <v>9336</v>
      </c>
      <c r="C4688" t="s">
        <v>10</v>
      </c>
      <c r="D4688" t="s">
        <v>9427</v>
      </c>
      <c r="E4688" t="s">
        <v>9428</v>
      </c>
    </row>
    <row r="4689" spans="1:7" ht="14.25" hidden="1" customHeight="1" x14ac:dyDescent="0.45">
      <c r="A4689" t="str">
        <f>_xlfn.XLOOKUP(B4689,Ingot!$H$12:$H$119,Ingot!$G$12:$G$119,"")</f>
        <v>Wood</v>
      </c>
      <c r="B4689" t="s">
        <v>9336</v>
      </c>
      <c r="C4689" t="s">
        <v>10</v>
      </c>
      <c r="D4689" t="s">
        <v>9429</v>
      </c>
      <c r="E4689" t="s">
        <v>9430</v>
      </c>
    </row>
    <row r="4690" spans="1:7" ht="14.25" hidden="1" customHeight="1" x14ac:dyDescent="0.45">
      <c r="A4690" t="str">
        <f>_xlfn.XLOOKUP(B4690,Ingot!$H$12:$H$119,Ingot!$G$12:$G$119,"")</f>
        <v>Wood</v>
      </c>
      <c r="B4690" t="s">
        <v>9336</v>
      </c>
      <c r="C4690" t="s">
        <v>10</v>
      </c>
      <c r="D4690" t="s">
        <v>9431</v>
      </c>
      <c r="E4690" t="s">
        <v>9432</v>
      </c>
      <c r="G4690" s="1">
        <v>6.8</v>
      </c>
    </row>
    <row r="4691" spans="1:7" ht="14.25" hidden="1" customHeight="1" x14ac:dyDescent="0.45">
      <c r="A4691" t="str">
        <f>_xlfn.XLOOKUP(B4691,Ingot!$H$12:$H$119,Ingot!$G$12:$G$119,"")</f>
        <v>Wood</v>
      </c>
      <c r="B4691" t="s">
        <v>9336</v>
      </c>
      <c r="C4691" t="s">
        <v>10</v>
      </c>
      <c r="D4691" t="s">
        <v>9433</v>
      </c>
      <c r="E4691" t="s">
        <v>9434</v>
      </c>
      <c r="G4691" s="1">
        <v>6.88</v>
      </c>
    </row>
    <row r="4692" spans="1:7" ht="14.25" hidden="1" customHeight="1" x14ac:dyDescent="0.45">
      <c r="A4692" t="str">
        <f>_xlfn.XLOOKUP(B4692,Ingot!$H$12:$H$119,Ingot!$G$12:$G$119,"")</f>
        <v>Wood</v>
      </c>
      <c r="B4692" t="s">
        <v>9336</v>
      </c>
      <c r="C4692" t="s">
        <v>10</v>
      </c>
      <c r="D4692" t="s">
        <v>9435</v>
      </c>
      <c r="E4692" t="s">
        <v>9436</v>
      </c>
      <c r="G4692" s="1">
        <v>5.5</v>
      </c>
    </row>
    <row r="4693" spans="1:7" ht="14.25" hidden="1" customHeight="1" x14ac:dyDescent="0.45">
      <c r="A4693" t="str">
        <f>_xlfn.XLOOKUP(B4693,Ingot!$H$12:$H$119,Ingot!$G$12:$G$119,"")</f>
        <v>Wood</v>
      </c>
      <c r="B4693" t="s">
        <v>9336</v>
      </c>
      <c r="C4693" t="s">
        <v>10</v>
      </c>
      <c r="D4693" t="s">
        <v>9437</v>
      </c>
      <c r="E4693" t="s">
        <v>9438</v>
      </c>
      <c r="G4693" s="1">
        <v>2.4300000000000002</v>
      </c>
    </row>
    <row r="4694" spans="1:7" ht="14.25" hidden="1" customHeight="1" x14ac:dyDescent="0.45">
      <c r="A4694" t="str">
        <f>_xlfn.XLOOKUP(B4694,Ingot!$H$12:$H$119,Ingot!$G$12:$G$119,"")</f>
        <v>Wood</v>
      </c>
      <c r="B4694" t="s">
        <v>9336</v>
      </c>
      <c r="C4694" t="s">
        <v>10</v>
      </c>
      <c r="D4694" t="s">
        <v>9439</v>
      </c>
      <c r="E4694" t="s">
        <v>9440</v>
      </c>
      <c r="G4694" s="1">
        <v>6.96</v>
      </c>
    </row>
    <row r="4695" spans="1:7" ht="14.25" hidden="1" customHeight="1" x14ac:dyDescent="0.45">
      <c r="A4695" t="str">
        <f>_xlfn.XLOOKUP(B4695,Ingot!$H$12:$H$119,Ingot!$G$12:$G$119,"")</f>
        <v>Wood</v>
      </c>
      <c r="B4695" t="s">
        <v>9336</v>
      </c>
      <c r="C4695" t="s">
        <v>10</v>
      </c>
      <c r="D4695" t="s">
        <v>9441</v>
      </c>
      <c r="E4695" t="s">
        <v>9442</v>
      </c>
      <c r="G4695" s="1">
        <v>6.32</v>
      </c>
    </row>
    <row r="4696" spans="1:7" ht="14.25" hidden="1" customHeight="1" x14ac:dyDescent="0.45">
      <c r="A4696" t="str">
        <f>_xlfn.XLOOKUP(B4696,Ingot!$H$12:$H$119,Ingot!$G$12:$G$119,"")</f>
        <v>Wood</v>
      </c>
      <c r="B4696" t="s">
        <v>9336</v>
      </c>
      <c r="C4696" t="s">
        <v>10</v>
      </c>
      <c r="D4696" t="s">
        <v>9443</v>
      </c>
      <c r="E4696" t="s">
        <v>9444</v>
      </c>
      <c r="G4696" s="1">
        <v>6.88</v>
      </c>
    </row>
    <row r="4697" spans="1:7" ht="14.25" hidden="1" customHeight="1" x14ac:dyDescent="0.45">
      <c r="A4697" t="str">
        <f>_xlfn.XLOOKUP(B4697,Ingot!$H$12:$H$119,Ingot!$G$12:$G$119,"")</f>
        <v>Wood</v>
      </c>
      <c r="B4697" t="s">
        <v>9336</v>
      </c>
      <c r="C4697" t="s">
        <v>10</v>
      </c>
      <c r="D4697" t="s">
        <v>9445</v>
      </c>
      <c r="E4697" t="s">
        <v>9446</v>
      </c>
      <c r="G4697" s="1">
        <v>2.44</v>
      </c>
    </row>
    <row r="4698" spans="1:7" ht="14.25" hidden="1" customHeight="1" x14ac:dyDescent="0.45">
      <c r="A4698" t="str">
        <f>_xlfn.XLOOKUP(B4698,Ingot!$H$12:$H$119,Ingot!$G$12:$G$119,"")</f>
        <v>Wood</v>
      </c>
      <c r="B4698" t="s">
        <v>9336</v>
      </c>
      <c r="C4698" t="s">
        <v>10</v>
      </c>
      <c r="D4698" t="s">
        <v>9447</v>
      </c>
      <c r="E4698" t="s">
        <v>9448</v>
      </c>
    </row>
    <row r="4699" spans="1:7" ht="14.25" hidden="1" customHeight="1" x14ac:dyDescent="0.45">
      <c r="A4699" t="str">
        <f>_xlfn.XLOOKUP(B4699,Ingot!$H$12:$H$119,Ingot!$G$12:$G$119,"")</f>
        <v>Wood</v>
      </c>
      <c r="B4699" t="s">
        <v>9336</v>
      </c>
      <c r="C4699" t="s">
        <v>10</v>
      </c>
      <c r="D4699" t="s">
        <v>9449</v>
      </c>
      <c r="E4699" t="s">
        <v>9450</v>
      </c>
    </row>
    <row r="4700" spans="1:7" ht="14.25" hidden="1" customHeight="1" x14ac:dyDescent="0.45">
      <c r="A4700" t="str">
        <f>_xlfn.XLOOKUP(B4700,Ingot!$H$12:$H$119,Ingot!$G$12:$G$119,"")</f>
        <v>Wood</v>
      </c>
      <c r="B4700" t="s">
        <v>9336</v>
      </c>
      <c r="C4700" t="s">
        <v>10</v>
      </c>
      <c r="D4700" t="s">
        <v>9451</v>
      </c>
      <c r="E4700" t="s">
        <v>9452</v>
      </c>
      <c r="G4700" s="1">
        <v>3.11</v>
      </c>
    </row>
    <row r="4701" spans="1:7" ht="14.25" hidden="1" customHeight="1" x14ac:dyDescent="0.45">
      <c r="A4701" t="str">
        <f>_xlfn.XLOOKUP(B4701,Ingot!$H$12:$H$119,Ingot!$G$12:$G$119,"")</f>
        <v>Wood</v>
      </c>
      <c r="B4701" t="s">
        <v>9336</v>
      </c>
      <c r="C4701" t="s">
        <v>10</v>
      </c>
      <c r="D4701" t="s">
        <v>9453</v>
      </c>
      <c r="E4701" t="s">
        <v>9454</v>
      </c>
      <c r="G4701" s="1">
        <v>2.44</v>
      </c>
    </row>
    <row r="4702" spans="1:7" ht="14.25" hidden="1" customHeight="1" x14ac:dyDescent="0.45">
      <c r="A4702" t="str">
        <f>_xlfn.XLOOKUP(B4702,Ingot!$H$12:$H$119,Ingot!$G$12:$G$119,"")</f>
        <v>Wood</v>
      </c>
      <c r="B4702" t="s">
        <v>9336</v>
      </c>
      <c r="C4702" t="s">
        <v>10</v>
      </c>
      <c r="D4702" t="s">
        <v>9455</v>
      </c>
      <c r="E4702" t="s">
        <v>9456</v>
      </c>
      <c r="G4702" s="1">
        <v>8.61</v>
      </c>
    </row>
    <row r="4703" spans="1:7" ht="14.25" hidden="1" customHeight="1" x14ac:dyDescent="0.45">
      <c r="A4703" t="str">
        <f>_xlfn.XLOOKUP(B4703,Ingot!$H$12:$H$119,Ingot!$G$12:$G$119,"")</f>
        <v>Wood</v>
      </c>
      <c r="B4703" t="s">
        <v>9336</v>
      </c>
      <c r="C4703" t="s">
        <v>10</v>
      </c>
      <c r="D4703" t="s">
        <v>9457</v>
      </c>
      <c r="E4703" t="s">
        <v>9458</v>
      </c>
    </row>
    <row r="4704" spans="1:7" ht="14.25" hidden="1" customHeight="1" x14ac:dyDescent="0.45">
      <c r="A4704" t="str">
        <f>_xlfn.XLOOKUP(B4704,Ingot!$H$12:$H$119,Ingot!$G$12:$G$119,"")</f>
        <v>Wood</v>
      </c>
      <c r="B4704" t="s">
        <v>9336</v>
      </c>
      <c r="C4704" t="s">
        <v>10</v>
      </c>
      <c r="D4704" t="s">
        <v>9459</v>
      </c>
      <c r="E4704" t="s">
        <v>9460</v>
      </c>
      <c r="G4704" s="1">
        <v>3.21</v>
      </c>
    </row>
    <row r="4705" spans="1:7" ht="14.25" hidden="1" customHeight="1" x14ac:dyDescent="0.45">
      <c r="A4705" t="str">
        <f>_xlfn.XLOOKUP(B4705,Ingot!$H$12:$H$119,Ingot!$G$12:$G$119,"")</f>
        <v>Wood</v>
      </c>
      <c r="B4705" t="s">
        <v>9336</v>
      </c>
      <c r="C4705" t="s">
        <v>10</v>
      </c>
      <c r="D4705" t="s">
        <v>9461</v>
      </c>
      <c r="E4705" t="s">
        <v>9462</v>
      </c>
      <c r="G4705" s="1">
        <v>2.77</v>
      </c>
    </row>
    <row r="4706" spans="1:7" ht="14.25" hidden="1" customHeight="1" x14ac:dyDescent="0.45">
      <c r="A4706" t="str">
        <f>_xlfn.XLOOKUP(B4706,Ingot!$H$12:$H$119,Ingot!$G$12:$G$119,"")</f>
        <v>Wood</v>
      </c>
      <c r="B4706" t="s">
        <v>9336</v>
      </c>
      <c r="C4706" t="s">
        <v>10</v>
      </c>
      <c r="D4706" t="s">
        <v>9463</v>
      </c>
      <c r="E4706" t="s">
        <v>9464</v>
      </c>
      <c r="G4706" s="1">
        <v>4.8899999999999997</v>
      </c>
    </row>
    <row r="4707" spans="1:7" ht="14.25" hidden="1" customHeight="1" x14ac:dyDescent="0.45">
      <c r="A4707" t="str">
        <f>_xlfn.XLOOKUP(B4707,Ingot!$H$12:$H$119,Ingot!$G$12:$G$119,"")</f>
        <v>Wood</v>
      </c>
      <c r="B4707" t="s">
        <v>9336</v>
      </c>
      <c r="C4707" t="s">
        <v>10</v>
      </c>
      <c r="D4707" t="s">
        <v>9465</v>
      </c>
      <c r="E4707" t="s">
        <v>9466</v>
      </c>
      <c r="G4707" s="1">
        <v>1.76</v>
      </c>
    </row>
    <row r="4708" spans="1:7" ht="14.25" hidden="1" customHeight="1" x14ac:dyDescent="0.45">
      <c r="A4708" t="str">
        <f>_xlfn.XLOOKUP(B4708,Ingot!$H$12:$H$119,Ingot!$G$12:$G$119,"")</f>
        <v>Wood</v>
      </c>
      <c r="B4708" t="s">
        <v>9336</v>
      </c>
      <c r="C4708" t="s">
        <v>10</v>
      </c>
      <c r="D4708" t="s">
        <v>9467</v>
      </c>
      <c r="E4708" t="s">
        <v>9468</v>
      </c>
    </row>
    <row r="4709" spans="1:7" ht="14.25" hidden="1" customHeight="1" x14ac:dyDescent="0.45">
      <c r="A4709" t="str">
        <f>_xlfn.XLOOKUP(B4709,Ingot!$H$12:$H$119,Ingot!$G$12:$G$119,"")</f>
        <v>Wood</v>
      </c>
      <c r="B4709" t="s">
        <v>9336</v>
      </c>
      <c r="C4709" t="s">
        <v>10</v>
      </c>
      <c r="D4709" t="s">
        <v>9469</v>
      </c>
      <c r="E4709" t="s">
        <v>9470</v>
      </c>
      <c r="G4709" s="1">
        <v>8.57</v>
      </c>
    </row>
    <row r="4710" spans="1:7" ht="14.25" hidden="1" customHeight="1" x14ac:dyDescent="0.45">
      <c r="A4710" t="str">
        <f>_xlfn.XLOOKUP(B4710,Ingot!$H$12:$H$119,Ingot!$G$12:$G$119,"")</f>
        <v>Wood</v>
      </c>
      <c r="B4710" t="s">
        <v>9336</v>
      </c>
      <c r="C4710" t="s">
        <v>10</v>
      </c>
      <c r="D4710" t="s">
        <v>9471</v>
      </c>
      <c r="E4710" t="s">
        <v>9472</v>
      </c>
    </row>
    <row r="4711" spans="1:7" ht="14.25" hidden="1" customHeight="1" x14ac:dyDescent="0.45">
      <c r="A4711" t="str">
        <f>_xlfn.XLOOKUP(B4711,Ingot!$H$12:$H$119,Ingot!$G$12:$G$119,"")</f>
        <v>Wood</v>
      </c>
      <c r="B4711" t="s">
        <v>9336</v>
      </c>
      <c r="C4711" t="s">
        <v>10</v>
      </c>
      <c r="D4711" t="s">
        <v>9473</v>
      </c>
      <c r="E4711" t="s">
        <v>9474</v>
      </c>
      <c r="G4711" s="1">
        <v>3.56</v>
      </c>
    </row>
    <row r="4712" spans="1:7" ht="14.25" hidden="1" customHeight="1" x14ac:dyDescent="0.45">
      <c r="A4712" t="str">
        <f>_xlfn.XLOOKUP(B4712,Ingot!$H$12:$H$119,Ingot!$G$12:$G$119,"")</f>
        <v>Wood</v>
      </c>
      <c r="B4712" t="s">
        <v>9336</v>
      </c>
      <c r="C4712" t="s">
        <v>10</v>
      </c>
      <c r="D4712" t="s">
        <v>9475</v>
      </c>
      <c r="E4712" t="s">
        <v>9476</v>
      </c>
      <c r="G4712" s="1">
        <v>8.91</v>
      </c>
    </row>
    <row r="4713" spans="1:7" ht="14.25" hidden="1" customHeight="1" x14ac:dyDescent="0.45">
      <c r="A4713" t="str">
        <f>_xlfn.XLOOKUP(B4713,Ingot!$H$12:$H$119,Ingot!$G$12:$G$119,"")</f>
        <v>Wood</v>
      </c>
      <c r="B4713" t="s">
        <v>9336</v>
      </c>
      <c r="C4713" t="s">
        <v>10</v>
      </c>
      <c r="D4713" t="s">
        <v>9477</v>
      </c>
      <c r="E4713" t="s">
        <v>9478</v>
      </c>
      <c r="G4713" s="1">
        <v>11.02</v>
      </c>
    </row>
    <row r="4714" spans="1:7" ht="14.25" hidden="1" customHeight="1" x14ac:dyDescent="0.45">
      <c r="A4714" t="str">
        <f>_xlfn.XLOOKUP(B4714,Ingot!$H$12:$H$119,Ingot!$G$12:$G$119,"")</f>
        <v>Wood</v>
      </c>
      <c r="B4714" t="s">
        <v>9336</v>
      </c>
      <c r="C4714" t="s">
        <v>10</v>
      </c>
      <c r="D4714" t="s">
        <v>9479</v>
      </c>
      <c r="E4714" t="s">
        <v>9480</v>
      </c>
      <c r="G4714" s="1">
        <v>5.12</v>
      </c>
    </row>
    <row r="4715" spans="1:7" ht="14.25" hidden="1" customHeight="1" x14ac:dyDescent="0.45">
      <c r="A4715" t="str">
        <f>_xlfn.XLOOKUP(B4715,Ingot!$H$12:$H$119,Ingot!$G$12:$G$119,"")</f>
        <v>Wood</v>
      </c>
      <c r="B4715" t="s">
        <v>9336</v>
      </c>
      <c r="C4715" t="s">
        <v>10</v>
      </c>
      <c r="D4715" t="s">
        <v>9481</v>
      </c>
      <c r="E4715" t="s">
        <v>9482</v>
      </c>
      <c r="G4715" s="1">
        <v>4.41</v>
      </c>
    </row>
    <row r="4716" spans="1:7" ht="14.25" hidden="1" customHeight="1" x14ac:dyDescent="0.45">
      <c r="A4716" t="str">
        <f>_xlfn.XLOOKUP(B4716,Ingot!$H$12:$H$119,Ingot!$G$12:$G$119,"")</f>
        <v>Wood</v>
      </c>
      <c r="B4716" t="s">
        <v>9336</v>
      </c>
      <c r="C4716" t="s">
        <v>157</v>
      </c>
      <c r="D4716" t="s">
        <v>9483</v>
      </c>
      <c r="E4716" t="s">
        <v>9484</v>
      </c>
      <c r="G4716" s="1">
        <v>24</v>
      </c>
    </row>
    <row r="4717" spans="1:7" ht="14.25" hidden="1" customHeight="1" x14ac:dyDescent="0.45">
      <c r="A4717" t="str">
        <f>_xlfn.XLOOKUP(B4717,Ingot!$H$12:$H$119,Ingot!$G$12:$G$119,"")</f>
        <v>Wood</v>
      </c>
      <c r="B4717" t="s">
        <v>9336</v>
      </c>
      <c r="C4717" t="s">
        <v>157</v>
      </c>
      <c r="D4717" t="s">
        <v>9485</v>
      </c>
      <c r="E4717" t="s">
        <v>9486</v>
      </c>
      <c r="G4717" s="1">
        <v>5</v>
      </c>
    </row>
    <row r="4718" spans="1:7" ht="14.25" hidden="1" customHeight="1" x14ac:dyDescent="0.45">
      <c r="A4718" t="str">
        <f>_xlfn.XLOOKUP(B4718,Ingot!$H$12:$H$119,Ingot!$G$12:$G$119,"")</f>
        <v>Wood</v>
      </c>
      <c r="B4718" t="s">
        <v>9336</v>
      </c>
      <c r="C4718" t="s">
        <v>157</v>
      </c>
      <c r="D4718" t="s">
        <v>9487</v>
      </c>
      <c r="E4718" t="s">
        <v>9488</v>
      </c>
      <c r="G4718" s="1">
        <v>5</v>
      </c>
    </row>
    <row r="4719" spans="1:7" ht="14.25" hidden="1" customHeight="1" x14ac:dyDescent="0.45">
      <c r="A4719" t="str">
        <f>_xlfn.XLOOKUP(B4719,Ingot!$H$12:$H$119,Ingot!$G$12:$G$119,"")</f>
        <v>Wood</v>
      </c>
      <c r="B4719" t="s">
        <v>9336</v>
      </c>
      <c r="C4719" t="s">
        <v>157</v>
      </c>
      <c r="D4719" t="s">
        <v>9489</v>
      </c>
      <c r="E4719" t="s">
        <v>9490</v>
      </c>
      <c r="G4719" s="1">
        <v>5</v>
      </c>
    </row>
    <row r="4720" spans="1:7" ht="14.25" hidden="1" customHeight="1" x14ac:dyDescent="0.45">
      <c r="A4720" t="str">
        <f>_xlfn.XLOOKUP(B4720,Ingot!$H$12:$H$119,Ingot!$G$12:$G$119,"")</f>
        <v>Wood</v>
      </c>
      <c r="B4720" t="s">
        <v>9336</v>
      </c>
      <c r="C4720" t="s">
        <v>157</v>
      </c>
      <c r="D4720" t="s">
        <v>9491</v>
      </c>
      <c r="E4720" t="s">
        <v>9492</v>
      </c>
      <c r="G4720" s="1">
        <v>10</v>
      </c>
    </row>
    <row r="4721" spans="1:7" ht="14.25" hidden="1" customHeight="1" x14ac:dyDescent="0.45">
      <c r="A4721" t="str">
        <f>_xlfn.XLOOKUP(B4721,Ingot!$H$12:$H$119,Ingot!$G$12:$G$119,"")</f>
        <v>Wood</v>
      </c>
      <c r="B4721" t="s">
        <v>9336</v>
      </c>
      <c r="C4721" t="s">
        <v>157</v>
      </c>
      <c r="D4721" t="s">
        <v>9493</v>
      </c>
      <c r="E4721" t="s">
        <v>9494</v>
      </c>
      <c r="G4721" s="1">
        <v>20.8</v>
      </c>
    </row>
    <row r="4722" spans="1:7" ht="14.25" hidden="1" customHeight="1" x14ac:dyDescent="0.45">
      <c r="A4722" t="str">
        <f>_xlfn.XLOOKUP(B4722,Ingot!$H$12:$H$119,Ingot!$G$12:$G$119,"")</f>
        <v>Wood</v>
      </c>
      <c r="B4722" t="s">
        <v>9336</v>
      </c>
      <c r="C4722" t="s">
        <v>157</v>
      </c>
      <c r="D4722" t="s">
        <v>9495</v>
      </c>
      <c r="E4722" t="s">
        <v>9496</v>
      </c>
      <c r="G4722" s="1">
        <v>5</v>
      </c>
    </row>
    <row r="4723" spans="1:7" ht="14.25" hidden="1" customHeight="1" x14ac:dyDescent="0.45">
      <c r="A4723" t="str">
        <f>_xlfn.XLOOKUP(B4723,Ingot!$H$12:$H$119,Ingot!$G$12:$G$119,"")</f>
        <v>Wood</v>
      </c>
      <c r="B4723" t="s">
        <v>9336</v>
      </c>
      <c r="C4723" t="s">
        <v>157</v>
      </c>
      <c r="D4723" t="s">
        <v>9497</v>
      </c>
      <c r="E4723" t="s">
        <v>9498</v>
      </c>
      <c r="G4723" s="1">
        <v>5</v>
      </c>
    </row>
    <row r="4724" spans="1:7" ht="14.25" hidden="1" customHeight="1" x14ac:dyDescent="0.45">
      <c r="A4724" t="str">
        <f>_xlfn.XLOOKUP(B4724,Ingot!$H$12:$H$119,Ingot!$G$12:$G$119,"")</f>
        <v>Wood</v>
      </c>
      <c r="B4724" t="s">
        <v>9336</v>
      </c>
      <c r="C4724" t="s">
        <v>157</v>
      </c>
      <c r="D4724" t="s">
        <v>9499</v>
      </c>
      <c r="E4724" t="s">
        <v>9500</v>
      </c>
      <c r="G4724" s="1">
        <v>5</v>
      </c>
    </row>
    <row r="4725" spans="1:7" ht="14.25" hidden="1" customHeight="1" x14ac:dyDescent="0.45">
      <c r="A4725" t="str">
        <f>_xlfn.XLOOKUP(B4725,Ingot!$H$12:$H$119,Ingot!$G$12:$G$119,"")</f>
        <v>Wood</v>
      </c>
      <c r="B4725" t="s">
        <v>9336</v>
      </c>
      <c r="C4725" t="s">
        <v>157</v>
      </c>
      <c r="D4725" t="s">
        <v>9501</v>
      </c>
      <c r="E4725" t="s">
        <v>9502</v>
      </c>
      <c r="G4725" s="1">
        <v>10</v>
      </c>
    </row>
    <row r="4726" spans="1:7" ht="14.25" hidden="1" customHeight="1" x14ac:dyDescent="0.45">
      <c r="A4726" t="str">
        <f>_xlfn.XLOOKUP(B4726,Ingot!$H$12:$H$119,Ingot!$G$12:$G$119,"")</f>
        <v>Wood</v>
      </c>
      <c r="B4726" t="s">
        <v>9336</v>
      </c>
      <c r="C4726" t="s">
        <v>157</v>
      </c>
      <c r="D4726" t="s">
        <v>9503</v>
      </c>
      <c r="E4726" t="s">
        <v>9504</v>
      </c>
      <c r="G4726" s="1">
        <v>20</v>
      </c>
    </row>
    <row r="4727" spans="1:7" ht="14.25" hidden="1" customHeight="1" x14ac:dyDescent="0.45">
      <c r="A4727" t="str">
        <f>_xlfn.XLOOKUP(B4727,Ingot!$H$12:$H$119,Ingot!$G$12:$G$119,"")</f>
        <v>Wood</v>
      </c>
      <c r="B4727" t="s">
        <v>9336</v>
      </c>
      <c r="C4727" t="s">
        <v>157</v>
      </c>
      <c r="D4727" t="s">
        <v>9505</v>
      </c>
      <c r="E4727" t="s">
        <v>9506</v>
      </c>
      <c r="G4727" s="1">
        <v>5</v>
      </c>
    </row>
    <row r="4728" spans="1:7" ht="14.25" hidden="1" customHeight="1" x14ac:dyDescent="0.45">
      <c r="A4728" t="str">
        <f>_xlfn.XLOOKUP(B4728,Ingot!$H$12:$H$119,Ingot!$G$12:$G$119,"")</f>
        <v>Wood</v>
      </c>
      <c r="B4728" t="s">
        <v>9336</v>
      </c>
      <c r="C4728" t="s">
        <v>157</v>
      </c>
      <c r="D4728" t="s">
        <v>9507</v>
      </c>
      <c r="E4728" t="s">
        <v>9508</v>
      </c>
      <c r="G4728" s="1">
        <v>5</v>
      </c>
    </row>
    <row r="4729" spans="1:7" ht="14.25" hidden="1" customHeight="1" x14ac:dyDescent="0.45">
      <c r="A4729" t="str">
        <f>_xlfn.XLOOKUP(B4729,Ingot!$H$12:$H$119,Ingot!$G$12:$G$119,"")</f>
        <v>Wood</v>
      </c>
      <c r="B4729" t="s">
        <v>9336</v>
      </c>
      <c r="C4729" t="s">
        <v>157</v>
      </c>
      <c r="D4729" t="s">
        <v>9509</v>
      </c>
      <c r="E4729" t="s">
        <v>9510</v>
      </c>
      <c r="G4729" s="1">
        <v>5</v>
      </c>
    </row>
    <row r="4730" spans="1:7" ht="14.25" hidden="1" customHeight="1" x14ac:dyDescent="0.45">
      <c r="A4730" t="str">
        <f>_xlfn.XLOOKUP(B4730,Ingot!$H$12:$H$119,Ingot!$G$12:$G$119,"")</f>
        <v>Wood</v>
      </c>
      <c r="B4730" t="s">
        <v>9336</v>
      </c>
      <c r="C4730" t="s">
        <v>157</v>
      </c>
      <c r="D4730" t="s">
        <v>9511</v>
      </c>
      <c r="E4730" t="s">
        <v>9512</v>
      </c>
      <c r="G4730" s="1">
        <v>10</v>
      </c>
    </row>
    <row r="4731" spans="1:7" ht="14.25" hidden="1" customHeight="1" x14ac:dyDescent="0.45">
      <c r="A4731" t="str">
        <f>_xlfn.XLOOKUP(B4731,Ingot!$H$12:$H$119,Ingot!$G$12:$G$119,"")</f>
        <v>Wood</v>
      </c>
      <c r="B4731" t="s">
        <v>9336</v>
      </c>
      <c r="C4731" t="s">
        <v>157</v>
      </c>
      <c r="D4731" t="s">
        <v>9513</v>
      </c>
      <c r="E4731" t="s">
        <v>9514</v>
      </c>
      <c r="G4731" s="1">
        <v>22</v>
      </c>
    </row>
    <row r="4732" spans="1:7" ht="14.25" hidden="1" customHeight="1" x14ac:dyDescent="0.45">
      <c r="A4732" t="str">
        <f>_xlfn.XLOOKUP(B4732,Ingot!$H$12:$H$119,Ingot!$G$12:$G$119,"")</f>
        <v>Wood</v>
      </c>
      <c r="B4732" t="s">
        <v>9336</v>
      </c>
      <c r="C4732" t="s">
        <v>157</v>
      </c>
      <c r="D4732" t="s">
        <v>9515</v>
      </c>
      <c r="E4732" t="s">
        <v>9516</v>
      </c>
      <c r="G4732" s="1">
        <v>5</v>
      </c>
    </row>
    <row r="4733" spans="1:7" ht="14.25" hidden="1" customHeight="1" x14ac:dyDescent="0.45">
      <c r="A4733" t="str">
        <f>_xlfn.XLOOKUP(B4733,Ingot!$H$12:$H$119,Ingot!$G$12:$G$119,"")</f>
        <v>Wood</v>
      </c>
      <c r="B4733" t="s">
        <v>9336</v>
      </c>
      <c r="C4733" t="s">
        <v>157</v>
      </c>
      <c r="D4733" t="s">
        <v>9517</v>
      </c>
      <c r="E4733" t="s">
        <v>9518</v>
      </c>
      <c r="G4733" s="1">
        <v>5</v>
      </c>
    </row>
    <row r="4734" spans="1:7" ht="14.25" hidden="1" customHeight="1" x14ac:dyDescent="0.45">
      <c r="A4734" t="str">
        <f>_xlfn.XLOOKUP(B4734,Ingot!$H$12:$H$119,Ingot!$G$12:$G$119,"")</f>
        <v>Wood</v>
      </c>
      <c r="B4734" t="s">
        <v>9336</v>
      </c>
      <c r="C4734" t="s">
        <v>157</v>
      </c>
      <c r="D4734" t="s">
        <v>9519</v>
      </c>
      <c r="E4734" t="s">
        <v>9520</v>
      </c>
      <c r="G4734" s="1">
        <v>5</v>
      </c>
    </row>
    <row r="4735" spans="1:7" ht="14.25" hidden="1" customHeight="1" x14ac:dyDescent="0.45">
      <c r="A4735" t="str">
        <f>_xlfn.XLOOKUP(B4735,Ingot!$H$12:$H$119,Ingot!$G$12:$G$119,"")</f>
        <v>Wood</v>
      </c>
      <c r="B4735" t="s">
        <v>9336</v>
      </c>
      <c r="C4735" t="s">
        <v>157</v>
      </c>
      <c r="D4735" t="s">
        <v>9521</v>
      </c>
      <c r="E4735" t="s">
        <v>9522</v>
      </c>
      <c r="G4735" s="1">
        <v>10</v>
      </c>
    </row>
    <row r="4736" spans="1:7" ht="14.25" hidden="1" customHeight="1" x14ac:dyDescent="0.45">
      <c r="A4736" t="str">
        <f>_xlfn.XLOOKUP(B4736,Ingot!$H$12:$H$119,Ingot!$G$12:$G$119,"")</f>
        <v>Wood</v>
      </c>
      <c r="B4736" t="s">
        <v>9336</v>
      </c>
      <c r="C4736" t="s">
        <v>157</v>
      </c>
      <c r="D4736" t="s">
        <v>9523</v>
      </c>
      <c r="E4736" t="s">
        <v>9524</v>
      </c>
      <c r="G4736" s="1">
        <v>23</v>
      </c>
    </row>
    <row r="4737" spans="1:7" ht="14.25" hidden="1" customHeight="1" x14ac:dyDescent="0.45">
      <c r="A4737" t="str">
        <f>_xlfn.XLOOKUP(B4737,Ingot!$H$12:$H$119,Ingot!$G$12:$G$119,"")</f>
        <v>Wood</v>
      </c>
      <c r="B4737" t="s">
        <v>9336</v>
      </c>
      <c r="C4737" t="s">
        <v>157</v>
      </c>
      <c r="D4737" t="s">
        <v>9525</v>
      </c>
      <c r="E4737" t="s">
        <v>9526</v>
      </c>
      <c r="G4737" s="1">
        <v>5</v>
      </c>
    </row>
    <row r="4738" spans="1:7" ht="14.25" hidden="1" customHeight="1" x14ac:dyDescent="0.45">
      <c r="A4738" t="str">
        <f>_xlfn.XLOOKUP(B4738,Ingot!$H$12:$H$119,Ingot!$G$12:$G$119,"")</f>
        <v>Wood</v>
      </c>
      <c r="B4738" t="s">
        <v>9336</v>
      </c>
      <c r="C4738" t="s">
        <v>157</v>
      </c>
      <c r="D4738" t="s">
        <v>9527</v>
      </c>
      <c r="E4738" t="s">
        <v>9528</v>
      </c>
      <c r="G4738" s="1">
        <v>5</v>
      </c>
    </row>
    <row r="4739" spans="1:7" ht="14.25" hidden="1" customHeight="1" x14ac:dyDescent="0.45">
      <c r="A4739" t="str">
        <f>_xlfn.XLOOKUP(B4739,Ingot!$H$12:$H$119,Ingot!$G$12:$G$119,"")</f>
        <v>Wood</v>
      </c>
      <c r="B4739" t="s">
        <v>9336</v>
      </c>
      <c r="C4739" t="s">
        <v>157</v>
      </c>
      <c r="D4739" t="s">
        <v>9529</v>
      </c>
      <c r="E4739" t="s">
        <v>9530</v>
      </c>
      <c r="G4739" s="1">
        <v>5</v>
      </c>
    </row>
    <row r="4740" spans="1:7" ht="14.25" hidden="1" customHeight="1" x14ac:dyDescent="0.45">
      <c r="A4740" t="str">
        <f>_xlfn.XLOOKUP(B4740,Ingot!$H$12:$H$119,Ingot!$G$12:$G$119,"")</f>
        <v>Wood</v>
      </c>
      <c r="B4740" t="s">
        <v>9336</v>
      </c>
      <c r="C4740" t="s">
        <v>157</v>
      </c>
      <c r="D4740" t="s">
        <v>9531</v>
      </c>
      <c r="E4740" t="s">
        <v>9532</v>
      </c>
      <c r="G4740" s="1">
        <v>10</v>
      </c>
    </row>
    <row r="4741" spans="1:7" ht="14.25" hidden="1" customHeight="1" x14ac:dyDescent="0.45">
      <c r="A4741" t="str">
        <f>_xlfn.XLOOKUP(B4741,Ingot!$H$12:$H$119,Ingot!$G$12:$G$119,"")</f>
        <v>Wood</v>
      </c>
      <c r="B4741" t="s">
        <v>9336</v>
      </c>
      <c r="C4741" t="s">
        <v>157</v>
      </c>
      <c r="D4741" t="s">
        <v>9533</v>
      </c>
      <c r="E4741" t="s">
        <v>9534</v>
      </c>
      <c r="G4741" s="1">
        <v>26.8</v>
      </c>
    </row>
    <row r="4742" spans="1:7" ht="14.25" hidden="1" customHeight="1" x14ac:dyDescent="0.45">
      <c r="A4742" t="str">
        <f>_xlfn.XLOOKUP(B4742,Ingot!$H$12:$H$119,Ingot!$G$12:$G$119,"")</f>
        <v>Wood</v>
      </c>
      <c r="B4742" t="s">
        <v>9336</v>
      </c>
      <c r="C4742" t="s">
        <v>157</v>
      </c>
      <c r="D4742" t="s">
        <v>9535</v>
      </c>
      <c r="E4742" t="s">
        <v>9536</v>
      </c>
      <c r="G4742" s="1">
        <v>5.36</v>
      </c>
    </row>
    <row r="4743" spans="1:7" ht="14.25" hidden="1" customHeight="1" x14ac:dyDescent="0.45">
      <c r="A4743" t="str">
        <f>_xlfn.XLOOKUP(B4743,Ingot!$H$12:$H$119,Ingot!$G$12:$G$119,"")</f>
        <v>Wood</v>
      </c>
      <c r="B4743" t="s">
        <v>9336</v>
      </c>
      <c r="C4743" t="s">
        <v>157</v>
      </c>
      <c r="D4743" t="s">
        <v>9537</v>
      </c>
      <c r="E4743" t="s">
        <v>9538</v>
      </c>
      <c r="G4743" s="1">
        <v>5.36</v>
      </c>
    </row>
    <row r="4744" spans="1:7" ht="14.25" hidden="1" customHeight="1" x14ac:dyDescent="0.45">
      <c r="A4744" t="str">
        <f>_xlfn.XLOOKUP(B4744,Ingot!$H$12:$H$119,Ingot!$G$12:$G$119,"")</f>
        <v>Wood</v>
      </c>
      <c r="B4744" t="s">
        <v>9336</v>
      </c>
      <c r="C4744" t="s">
        <v>157</v>
      </c>
      <c r="D4744" t="s">
        <v>9539</v>
      </c>
      <c r="E4744" t="s">
        <v>9540</v>
      </c>
      <c r="G4744" s="1">
        <v>5</v>
      </c>
    </row>
    <row r="4745" spans="1:7" ht="14.25" hidden="1" customHeight="1" x14ac:dyDescent="0.45">
      <c r="A4745" t="str">
        <f>_xlfn.XLOOKUP(B4745,Ingot!$H$12:$H$119,Ingot!$G$12:$G$119,"")</f>
        <v>Wood</v>
      </c>
      <c r="B4745" t="s">
        <v>9336</v>
      </c>
      <c r="C4745" t="s">
        <v>157</v>
      </c>
      <c r="D4745" t="s">
        <v>9541</v>
      </c>
      <c r="E4745" t="s">
        <v>9542</v>
      </c>
      <c r="G4745" s="1">
        <v>10</v>
      </c>
    </row>
    <row r="4746" spans="1:7" ht="14.25" hidden="1" customHeight="1" x14ac:dyDescent="0.45">
      <c r="A4746" t="str">
        <f>_xlfn.XLOOKUP(B4746,Ingot!$H$12:$H$119,Ingot!$G$12:$G$119,"")</f>
        <v>Wood</v>
      </c>
      <c r="B4746" t="s">
        <v>9336</v>
      </c>
      <c r="C4746" t="s">
        <v>157</v>
      </c>
      <c r="D4746" t="s">
        <v>9543</v>
      </c>
      <c r="E4746" t="s">
        <v>9544</v>
      </c>
      <c r="G4746" s="1">
        <v>25.5</v>
      </c>
    </row>
    <row r="4747" spans="1:7" ht="14.25" hidden="1" customHeight="1" x14ac:dyDescent="0.45">
      <c r="A4747" t="str">
        <f>_xlfn.XLOOKUP(B4747,Ingot!$H$12:$H$119,Ingot!$G$12:$G$119,"")</f>
        <v>Wood</v>
      </c>
      <c r="B4747" t="s">
        <v>9336</v>
      </c>
      <c r="C4747" t="s">
        <v>157</v>
      </c>
      <c r="D4747" t="s">
        <v>9545</v>
      </c>
      <c r="E4747" t="s">
        <v>9546</v>
      </c>
      <c r="G4747" s="1">
        <v>5.0999999999999996</v>
      </c>
    </row>
    <row r="4748" spans="1:7" ht="14.25" hidden="1" customHeight="1" x14ac:dyDescent="0.45">
      <c r="A4748" t="str">
        <f>_xlfn.XLOOKUP(B4748,Ingot!$H$12:$H$119,Ingot!$G$12:$G$119,"")</f>
        <v>Wood</v>
      </c>
      <c r="B4748" t="s">
        <v>9336</v>
      </c>
      <c r="C4748" t="s">
        <v>157</v>
      </c>
      <c r="D4748" t="s">
        <v>9547</v>
      </c>
      <c r="E4748" t="s">
        <v>9548</v>
      </c>
      <c r="G4748" s="1">
        <v>5.0999999999999996</v>
      </c>
    </row>
    <row r="4749" spans="1:7" ht="14.25" hidden="1" customHeight="1" x14ac:dyDescent="0.45">
      <c r="A4749" t="str">
        <f>_xlfn.XLOOKUP(B4749,Ingot!$H$12:$H$119,Ingot!$G$12:$G$119,"")</f>
        <v>Wood</v>
      </c>
      <c r="B4749" t="s">
        <v>9336</v>
      </c>
      <c r="C4749" t="s">
        <v>157</v>
      </c>
      <c r="D4749" t="s">
        <v>9549</v>
      </c>
      <c r="E4749" t="s">
        <v>9550</v>
      </c>
      <c r="G4749" s="1">
        <v>5</v>
      </c>
    </row>
    <row r="4750" spans="1:7" ht="14.25" hidden="1" customHeight="1" x14ac:dyDescent="0.45">
      <c r="A4750" t="str">
        <f>_xlfn.XLOOKUP(B4750,Ingot!$H$12:$H$119,Ingot!$G$12:$G$119,"")</f>
        <v>Wood</v>
      </c>
      <c r="B4750" t="s">
        <v>9336</v>
      </c>
      <c r="C4750" t="s">
        <v>157</v>
      </c>
      <c r="D4750" t="s">
        <v>9551</v>
      </c>
      <c r="E4750" t="s">
        <v>9552</v>
      </c>
      <c r="G4750" s="1">
        <v>10</v>
      </c>
    </row>
    <row r="4751" spans="1:7" ht="14.25" hidden="1" customHeight="1" x14ac:dyDescent="0.45">
      <c r="A4751" t="str">
        <f>_xlfn.XLOOKUP(B4751,Ingot!$H$12:$H$119,Ingot!$G$12:$G$119,"")</f>
        <v>Wood</v>
      </c>
      <c r="B4751" t="s">
        <v>9336</v>
      </c>
      <c r="C4751" t="s">
        <v>157</v>
      </c>
      <c r="D4751" t="s">
        <v>9553</v>
      </c>
      <c r="E4751" t="s">
        <v>9554</v>
      </c>
      <c r="G4751" s="1">
        <v>19.2</v>
      </c>
    </row>
    <row r="4752" spans="1:7" ht="14.25" hidden="1" customHeight="1" x14ac:dyDescent="0.45">
      <c r="A4752" t="str">
        <f>_xlfn.XLOOKUP(B4752,Ingot!$H$12:$H$119,Ingot!$G$12:$G$119,"")</f>
        <v>Wood</v>
      </c>
      <c r="B4752" t="s">
        <v>9336</v>
      </c>
      <c r="C4752" t="s">
        <v>157</v>
      </c>
      <c r="D4752" t="s">
        <v>9555</v>
      </c>
      <c r="E4752" t="s">
        <v>9556</v>
      </c>
      <c r="G4752" s="1">
        <v>5</v>
      </c>
    </row>
    <row r="4753" spans="1:7" ht="14.25" hidden="1" customHeight="1" x14ac:dyDescent="0.45">
      <c r="A4753" t="str">
        <f>_xlfn.XLOOKUP(B4753,Ingot!$H$12:$H$119,Ingot!$G$12:$G$119,"")</f>
        <v>Wood</v>
      </c>
      <c r="B4753" t="s">
        <v>9336</v>
      </c>
      <c r="C4753" t="s">
        <v>157</v>
      </c>
      <c r="D4753" t="s">
        <v>9557</v>
      </c>
      <c r="E4753" t="s">
        <v>9558</v>
      </c>
      <c r="G4753" s="1">
        <v>5</v>
      </c>
    </row>
    <row r="4754" spans="1:7" ht="14.25" hidden="1" customHeight="1" x14ac:dyDescent="0.45">
      <c r="A4754" t="str">
        <f>_xlfn.XLOOKUP(B4754,Ingot!$H$12:$H$119,Ingot!$G$12:$G$119,"")</f>
        <v>Wood</v>
      </c>
      <c r="B4754" t="s">
        <v>9336</v>
      </c>
      <c r="C4754" t="s">
        <v>157</v>
      </c>
      <c r="D4754" t="s">
        <v>9559</v>
      </c>
      <c r="E4754" t="s">
        <v>9560</v>
      </c>
      <c r="G4754" s="1">
        <v>5</v>
      </c>
    </row>
    <row r="4755" spans="1:7" ht="14.25" hidden="1" customHeight="1" x14ac:dyDescent="0.45">
      <c r="A4755" t="str">
        <f>_xlfn.XLOOKUP(B4755,Ingot!$H$12:$H$119,Ingot!$G$12:$G$119,"")</f>
        <v>Wood</v>
      </c>
      <c r="B4755" t="s">
        <v>9336</v>
      </c>
      <c r="C4755" t="s">
        <v>157</v>
      </c>
      <c r="D4755" t="s">
        <v>9561</v>
      </c>
      <c r="E4755" t="s">
        <v>9562</v>
      </c>
      <c r="G4755" s="1">
        <v>10</v>
      </c>
    </row>
    <row r="4756" spans="1:7" ht="14.25" hidden="1" customHeight="1" x14ac:dyDescent="0.45">
      <c r="A4756" t="str">
        <f>_xlfn.XLOOKUP(B4756,Ingot!$H$12:$H$119,Ingot!$G$12:$G$119,"")</f>
        <v>Wood</v>
      </c>
      <c r="B4756" t="s">
        <v>9336</v>
      </c>
      <c r="C4756" t="s">
        <v>239</v>
      </c>
      <c r="D4756" t="s">
        <v>9563</v>
      </c>
      <c r="E4756" t="s">
        <v>9564</v>
      </c>
    </row>
    <row r="4757" spans="1:7" ht="14.25" hidden="1" customHeight="1" x14ac:dyDescent="0.45">
      <c r="A4757" t="str">
        <f>_xlfn.XLOOKUP(B4757,Ingot!$H$12:$H$119,Ingot!$G$12:$G$119,"")</f>
        <v>Wood</v>
      </c>
      <c r="B4757" t="s">
        <v>9336</v>
      </c>
      <c r="C4757" t="s">
        <v>239</v>
      </c>
      <c r="D4757" t="s">
        <v>9565</v>
      </c>
      <c r="E4757" t="s">
        <v>9566</v>
      </c>
    </row>
    <row r="4758" spans="1:7" ht="14.25" hidden="1" customHeight="1" x14ac:dyDescent="0.45">
      <c r="A4758" t="str">
        <f>_xlfn.XLOOKUP(B4758,Ingot!$H$12:$H$119,Ingot!$G$12:$G$119,"")</f>
        <v>Wood</v>
      </c>
      <c r="B4758" t="s">
        <v>9336</v>
      </c>
      <c r="C4758" t="s">
        <v>239</v>
      </c>
      <c r="D4758" t="s">
        <v>9567</v>
      </c>
      <c r="E4758" t="s">
        <v>9568</v>
      </c>
    </row>
    <row r="4759" spans="1:7" ht="14.25" hidden="1" customHeight="1" x14ac:dyDescent="0.45">
      <c r="A4759" t="str">
        <f>_xlfn.XLOOKUP(B4759,Ingot!$H$12:$H$119,Ingot!$G$12:$G$119,"")</f>
        <v>Wood</v>
      </c>
      <c r="B4759" t="s">
        <v>9336</v>
      </c>
      <c r="C4759" t="s">
        <v>239</v>
      </c>
      <c r="D4759" t="s">
        <v>9569</v>
      </c>
      <c r="E4759" t="s">
        <v>9570</v>
      </c>
    </row>
    <row r="4760" spans="1:7" ht="14.25" hidden="1" customHeight="1" x14ac:dyDescent="0.45">
      <c r="A4760" t="str">
        <f>_xlfn.XLOOKUP(B4760,Ingot!$H$12:$H$119,Ingot!$G$12:$G$119,"")</f>
        <v>Wood</v>
      </c>
      <c r="B4760" t="s">
        <v>9336</v>
      </c>
      <c r="C4760" t="s">
        <v>239</v>
      </c>
      <c r="D4760" t="s">
        <v>9571</v>
      </c>
      <c r="E4760" t="s">
        <v>9572</v>
      </c>
    </row>
    <row r="4761" spans="1:7" ht="14.25" hidden="1" customHeight="1" x14ac:dyDescent="0.45">
      <c r="A4761" t="str">
        <f>_xlfn.XLOOKUP(B4761,Ingot!$H$12:$H$119,Ingot!$G$12:$G$119,"")</f>
        <v>Wood</v>
      </c>
      <c r="B4761" t="s">
        <v>9336</v>
      </c>
      <c r="C4761" t="s">
        <v>239</v>
      </c>
      <c r="D4761" t="s">
        <v>9573</v>
      </c>
      <c r="E4761" t="s">
        <v>9574</v>
      </c>
    </row>
    <row r="4762" spans="1:7" ht="14.25" hidden="1" customHeight="1" x14ac:dyDescent="0.45">
      <c r="A4762" t="str">
        <f>_xlfn.XLOOKUP(B4762,Ingot!$H$12:$H$119,Ingot!$G$12:$G$119,"")</f>
        <v>Wood</v>
      </c>
      <c r="B4762" t="s">
        <v>9575</v>
      </c>
      <c r="C4762" t="s">
        <v>10</v>
      </c>
      <c r="D4762" t="s">
        <v>9576</v>
      </c>
      <c r="E4762" t="s">
        <v>9577</v>
      </c>
      <c r="G4762" s="1">
        <v>0.08</v>
      </c>
    </row>
    <row r="4763" spans="1:7" ht="14.25" hidden="1" customHeight="1" x14ac:dyDescent="0.45">
      <c r="A4763" t="str">
        <f>_xlfn.XLOOKUP(B4763,Ingot!$H$12:$H$119,Ingot!$G$12:$G$119,"")</f>
        <v>Wood</v>
      </c>
      <c r="B4763" t="s">
        <v>9575</v>
      </c>
      <c r="C4763" t="s">
        <v>10</v>
      </c>
      <c r="D4763" t="s">
        <v>9578</v>
      </c>
      <c r="E4763" t="s">
        <v>9579</v>
      </c>
      <c r="G4763" s="1">
        <v>9.9</v>
      </c>
    </row>
    <row r="4764" spans="1:7" ht="14.25" hidden="1" customHeight="1" x14ac:dyDescent="0.45">
      <c r="A4764" t="str">
        <f>_xlfn.XLOOKUP(B4764,Ingot!$H$12:$H$119,Ingot!$G$12:$G$119,"")</f>
        <v>Wood</v>
      </c>
      <c r="B4764" t="s">
        <v>9575</v>
      </c>
      <c r="C4764" t="s">
        <v>10</v>
      </c>
      <c r="D4764" t="s">
        <v>9580</v>
      </c>
      <c r="E4764" t="s">
        <v>9581</v>
      </c>
      <c r="G4764" s="1">
        <v>5.66</v>
      </c>
    </row>
    <row r="4765" spans="1:7" ht="14.25" hidden="1" customHeight="1" x14ac:dyDescent="0.45">
      <c r="A4765" t="str">
        <f>_xlfn.XLOOKUP(B4765,Ingot!$H$12:$H$119,Ingot!$G$12:$G$119,"")</f>
        <v>Wood</v>
      </c>
      <c r="B4765" t="s">
        <v>9575</v>
      </c>
      <c r="C4765" t="s">
        <v>10</v>
      </c>
      <c r="D4765" t="s">
        <v>9582</v>
      </c>
      <c r="E4765" t="s">
        <v>9583</v>
      </c>
      <c r="G4765" s="1">
        <v>3.3</v>
      </c>
    </row>
    <row r="4766" spans="1:7" ht="14.25" hidden="1" customHeight="1" x14ac:dyDescent="0.45">
      <c r="A4766" t="str">
        <f>_xlfn.XLOOKUP(B4766,Ingot!$H$12:$H$119,Ingot!$G$12:$G$119,"")</f>
        <v>Wood</v>
      </c>
      <c r="B4766" t="s">
        <v>9575</v>
      </c>
      <c r="C4766" t="s">
        <v>10</v>
      </c>
      <c r="D4766" t="s">
        <v>9584</v>
      </c>
      <c r="E4766" t="s">
        <v>9585</v>
      </c>
      <c r="G4766" s="1">
        <v>0.66</v>
      </c>
    </row>
    <row r="4767" spans="1:7" ht="14.25" hidden="1" customHeight="1" x14ac:dyDescent="0.45">
      <c r="A4767" t="str">
        <f>_xlfn.XLOOKUP(B4767,Ingot!$H$12:$H$119,Ingot!$G$12:$G$119,"")</f>
        <v>Wood</v>
      </c>
      <c r="B4767" t="s">
        <v>9575</v>
      </c>
      <c r="C4767" t="s">
        <v>10</v>
      </c>
      <c r="D4767" t="s">
        <v>9586</v>
      </c>
      <c r="E4767" t="s">
        <v>9587</v>
      </c>
      <c r="G4767" s="1">
        <v>0.04</v>
      </c>
    </row>
    <row r="4768" spans="1:7" ht="14.25" hidden="1" customHeight="1" x14ac:dyDescent="0.45">
      <c r="A4768" t="str">
        <f>_xlfn.XLOOKUP(B4768,Ingot!$H$12:$H$119,Ingot!$G$12:$G$119,"")</f>
        <v>Wood</v>
      </c>
      <c r="B4768" t="s">
        <v>9575</v>
      </c>
      <c r="C4768" t="s">
        <v>10</v>
      </c>
      <c r="D4768" t="s">
        <v>9588</v>
      </c>
      <c r="E4768" t="s">
        <v>9589</v>
      </c>
      <c r="G4768" s="1">
        <v>0.33</v>
      </c>
    </row>
    <row r="4769" spans="1:7" ht="14.25" hidden="1" customHeight="1" x14ac:dyDescent="0.45">
      <c r="A4769" t="str">
        <f>_xlfn.XLOOKUP(B4769,Ingot!$H$12:$H$119,Ingot!$G$12:$G$119,"")</f>
        <v>Wood</v>
      </c>
      <c r="B4769" t="s">
        <v>9575</v>
      </c>
      <c r="C4769" t="s">
        <v>10</v>
      </c>
      <c r="D4769" t="s">
        <v>9590</v>
      </c>
      <c r="E4769" t="s">
        <v>9591</v>
      </c>
    </row>
    <row r="4770" spans="1:7" ht="14.25" hidden="1" customHeight="1" x14ac:dyDescent="0.45">
      <c r="A4770" t="str">
        <f>_xlfn.XLOOKUP(B4770,Ingot!$H$12:$H$119,Ingot!$G$12:$G$119,"")</f>
        <v>Wood</v>
      </c>
      <c r="B4770" t="s">
        <v>9575</v>
      </c>
      <c r="C4770" t="s">
        <v>10</v>
      </c>
      <c r="D4770" t="s">
        <v>9592</v>
      </c>
      <c r="E4770" t="s">
        <v>9593</v>
      </c>
      <c r="G4770" s="1">
        <v>0.05</v>
      </c>
    </row>
    <row r="4771" spans="1:7" ht="14.25" hidden="1" customHeight="1" x14ac:dyDescent="0.45">
      <c r="A4771" t="str">
        <f>_xlfn.XLOOKUP(B4771,Ingot!$H$12:$H$119,Ingot!$G$12:$G$119,"")</f>
        <v>Wood</v>
      </c>
      <c r="B4771" t="s">
        <v>9575</v>
      </c>
      <c r="C4771" t="s">
        <v>10</v>
      </c>
      <c r="D4771" t="s">
        <v>9594</v>
      </c>
      <c r="E4771" t="s">
        <v>9595</v>
      </c>
      <c r="G4771" s="1">
        <v>0.66</v>
      </c>
    </row>
    <row r="4772" spans="1:7" ht="14.25" hidden="1" customHeight="1" x14ac:dyDescent="0.45">
      <c r="A4772" t="str">
        <f>_xlfn.XLOOKUP(B4772,Ingot!$H$12:$H$119,Ingot!$G$12:$G$119,"")</f>
        <v>Wood</v>
      </c>
      <c r="B4772" t="s">
        <v>9575</v>
      </c>
      <c r="C4772" t="s">
        <v>10</v>
      </c>
      <c r="D4772" t="s">
        <v>9596</v>
      </c>
      <c r="E4772" t="s">
        <v>9597</v>
      </c>
      <c r="G4772" s="1">
        <v>3.96</v>
      </c>
    </row>
    <row r="4773" spans="1:7" ht="14.25" hidden="1" customHeight="1" x14ac:dyDescent="0.45">
      <c r="A4773" t="str">
        <f>_xlfn.XLOOKUP(B4773,Ingot!$H$12:$H$119,Ingot!$G$12:$G$119,"")</f>
        <v>Wood</v>
      </c>
      <c r="B4773" t="s">
        <v>9575</v>
      </c>
      <c r="C4773" t="s">
        <v>10</v>
      </c>
      <c r="D4773" t="s">
        <v>9598</v>
      </c>
      <c r="E4773" t="s">
        <v>9599</v>
      </c>
      <c r="G4773" s="1">
        <v>8.77</v>
      </c>
    </row>
    <row r="4774" spans="1:7" ht="14.25" hidden="1" customHeight="1" x14ac:dyDescent="0.45">
      <c r="A4774" t="str">
        <f>_xlfn.XLOOKUP(B4774,Ingot!$H$12:$H$119,Ingot!$G$12:$G$119,"")</f>
        <v>Wood</v>
      </c>
      <c r="B4774" t="s">
        <v>9575</v>
      </c>
      <c r="C4774" t="s">
        <v>10</v>
      </c>
      <c r="D4774" t="s">
        <v>9600</v>
      </c>
      <c r="E4774" t="s">
        <v>9601</v>
      </c>
      <c r="G4774" s="1">
        <v>3.5</v>
      </c>
    </row>
    <row r="4775" spans="1:7" ht="14.25" hidden="1" customHeight="1" x14ac:dyDescent="0.45">
      <c r="A4775" t="str">
        <f>_xlfn.XLOOKUP(B4775,Ingot!$H$12:$H$119,Ingot!$G$12:$G$119,"")</f>
        <v>Wood</v>
      </c>
      <c r="B4775" t="s">
        <v>9575</v>
      </c>
      <c r="C4775" t="s">
        <v>10</v>
      </c>
      <c r="D4775" t="s">
        <v>9602</v>
      </c>
      <c r="E4775" t="s">
        <v>9603</v>
      </c>
    </row>
    <row r="4776" spans="1:7" ht="14.25" hidden="1" customHeight="1" x14ac:dyDescent="0.45">
      <c r="A4776" t="str">
        <f>_xlfn.XLOOKUP(B4776,Ingot!$H$12:$H$119,Ingot!$G$12:$G$119,"")</f>
        <v>Wood</v>
      </c>
      <c r="B4776" t="s">
        <v>9575</v>
      </c>
      <c r="C4776" t="s">
        <v>10</v>
      </c>
      <c r="D4776" t="s">
        <v>9604</v>
      </c>
      <c r="E4776" t="s">
        <v>9605</v>
      </c>
      <c r="G4776" s="1">
        <v>2.2000000000000002</v>
      </c>
    </row>
    <row r="4777" spans="1:7" ht="14.25" hidden="1" customHeight="1" x14ac:dyDescent="0.45">
      <c r="A4777" t="str">
        <f>_xlfn.XLOOKUP(B4777,Ingot!$H$12:$H$119,Ingot!$G$12:$G$119,"")</f>
        <v>Wood</v>
      </c>
      <c r="B4777" t="s">
        <v>9575</v>
      </c>
      <c r="C4777" t="s">
        <v>10</v>
      </c>
      <c r="D4777" t="s">
        <v>9606</v>
      </c>
      <c r="E4777" t="s">
        <v>9607</v>
      </c>
      <c r="G4777" s="1">
        <v>1.1000000000000001</v>
      </c>
    </row>
    <row r="4778" spans="1:7" ht="14.25" hidden="1" customHeight="1" x14ac:dyDescent="0.45">
      <c r="A4778" t="str">
        <f>_xlfn.XLOOKUP(B4778,Ingot!$H$12:$H$119,Ingot!$G$12:$G$119,"")</f>
        <v>Wood</v>
      </c>
      <c r="B4778" t="s">
        <v>9575</v>
      </c>
      <c r="C4778" t="s">
        <v>10</v>
      </c>
      <c r="D4778" t="s">
        <v>9608</v>
      </c>
      <c r="E4778" t="s">
        <v>9609</v>
      </c>
      <c r="G4778" s="1">
        <v>0.22</v>
      </c>
    </row>
    <row r="4779" spans="1:7" ht="14.25" hidden="1" customHeight="1" x14ac:dyDescent="0.45">
      <c r="A4779" t="str">
        <f>_xlfn.XLOOKUP(B4779,Ingot!$H$12:$H$119,Ingot!$G$12:$G$119,"")</f>
        <v>Wood</v>
      </c>
      <c r="B4779" t="s">
        <v>9575</v>
      </c>
      <c r="C4779" t="s">
        <v>10</v>
      </c>
      <c r="D4779" t="s">
        <v>9610</v>
      </c>
      <c r="E4779" t="s">
        <v>9611</v>
      </c>
      <c r="G4779" s="1">
        <v>8.41</v>
      </c>
    </row>
    <row r="4780" spans="1:7" ht="14.25" hidden="1" customHeight="1" x14ac:dyDescent="0.45">
      <c r="A4780" t="str">
        <f>_xlfn.XLOOKUP(B4780,Ingot!$H$12:$H$119,Ingot!$G$12:$G$119,"")</f>
        <v>Wood</v>
      </c>
      <c r="B4780" t="s">
        <v>9575</v>
      </c>
      <c r="C4780" t="s">
        <v>10</v>
      </c>
      <c r="D4780" t="s">
        <v>9612</v>
      </c>
      <c r="E4780" t="s">
        <v>9613</v>
      </c>
      <c r="G4780" s="1">
        <v>3.64</v>
      </c>
    </row>
    <row r="4781" spans="1:7" ht="14.25" hidden="1" customHeight="1" x14ac:dyDescent="0.45">
      <c r="A4781" t="str">
        <f>_xlfn.XLOOKUP(B4781,Ingot!$H$12:$H$119,Ingot!$G$12:$G$119,"")</f>
        <v>Wood</v>
      </c>
      <c r="B4781" t="s">
        <v>9575</v>
      </c>
      <c r="C4781" t="s">
        <v>10</v>
      </c>
      <c r="D4781" t="s">
        <v>9614</v>
      </c>
      <c r="E4781" t="s">
        <v>9615</v>
      </c>
      <c r="G4781" s="1">
        <v>7.05</v>
      </c>
    </row>
    <row r="4782" spans="1:7" ht="14.25" hidden="1" customHeight="1" x14ac:dyDescent="0.45">
      <c r="A4782" t="str">
        <f>_xlfn.XLOOKUP(B4782,Ingot!$H$12:$H$119,Ingot!$G$12:$G$119,"")</f>
        <v>Wood</v>
      </c>
      <c r="B4782" t="s">
        <v>9575</v>
      </c>
      <c r="C4782" t="s">
        <v>10</v>
      </c>
      <c r="D4782" t="s">
        <v>9616</v>
      </c>
      <c r="E4782" t="s">
        <v>9617</v>
      </c>
      <c r="G4782" s="1">
        <v>2.65</v>
      </c>
    </row>
    <row r="4783" spans="1:7" ht="14.25" hidden="1" customHeight="1" x14ac:dyDescent="0.45">
      <c r="A4783" t="str">
        <f>_xlfn.XLOOKUP(B4783,Ingot!$H$12:$H$119,Ingot!$G$12:$G$119,"")</f>
        <v>Wood</v>
      </c>
      <c r="B4783" t="s">
        <v>9575</v>
      </c>
      <c r="C4783" t="s">
        <v>10</v>
      </c>
      <c r="D4783" t="s">
        <v>9618</v>
      </c>
      <c r="E4783" t="s">
        <v>9619</v>
      </c>
      <c r="G4783" s="1">
        <v>9</v>
      </c>
    </row>
    <row r="4784" spans="1:7" ht="14.25" hidden="1" customHeight="1" x14ac:dyDescent="0.45">
      <c r="A4784" t="str">
        <f>_xlfn.XLOOKUP(B4784,Ingot!$H$12:$H$119,Ingot!$G$12:$G$119,"")</f>
        <v>Wood</v>
      </c>
      <c r="B4784" t="s">
        <v>9575</v>
      </c>
      <c r="C4784" t="s">
        <v>10</v>
      </c>
      <c r="D4784" t="s">
        <v>9620</v>
      </c>
      <c r="E4784" t="s">
        <v>9621</v>
      </c>
      <c r="G4784" s="1">
        <v>10.23</v>
      </c>
    </row>
    <row r="4785" spans="1:7" ht="14.25" hidden="1" customHeight="1" x14ac:dyDescent="0.45">
      <c r="A4785" t="str">
        <f>_xlfn.XLOOKUP(B4785,Ingot!$H$12:$H$119,Ingot!$G$12:$G$119,"")</f>
        <v>Wood</v>
      </c>
      <c r="B4785" t="s">
        <v>9575</v>
      </c>
      <c r="C4785" t="s">
        <v>10</v>
      </c>
      <c r="D4785" t="s">
        <v>9622</v>
      </c>
      <c r="E4785" t="s">
        <v>9623</v>
      </c>
      <c r="G4785" s="1">
        <v>7.7</v>
      </c>
    </row>
    <row r="4786" spans="1:7" ht="14.25" hidden="1" customHeight="1" x14ac:dyDescent="0.45">
      <c r="A4786" t="str">
        <f>_xlfn.XLOOKUP(B4786,Ingot!$H$12:$H$119,Ingot!$G$12:$G$119,"")</f>
        <v>Wood</v>
      </c>
      <c r="B4786" t="s">
        <v>9575</v>
      </c>
      <c r="C4786" t="s">
        <v>10</v>
      </c>
      <c r="D4786" t="s">
        <v>9624</v>
      </c>
      <c r="E4786" t="s">
        <v>9625</v>
      </c>
      <c r="G4786" s="1">
        <v>10.02</v>
      </c>
    </row>
    <row r="4787" spans="1:7" ht="14.25" hidden="1" customHeight="1" x14ac:dyDescent="0.45">
      <c r="A4787" t="str">
        <f>_xlfn.XLOOKUP(B4787,Ingot!$H$12:$H$119,Ingot!$G$12:$G$119,"")</f>
        <v>Wood</v>
      </c>
      <c r="B4787" t="s">
        <v>9575</v>
      </c>
      <c r="C4787" t="s">
        <v>10</v>
      </c>
      <c r="D4787" t="s">
        <v>9626</v>
      </c>
      <c r="E4787" t="s">
        <v>9627</v>
      </c>
      <c r="G4787" s="1">
        <v>11.81</v>
      </c>
    </row>
    <row r="4788" spans="1:7" ht="14.25" hidden="1" customHeight="1" x14ac:dyDescent="0.45">
      <c r="A4788" t="str">
        <f>_xlfn.XLOOKUP(B4788,Ingot!$H$12:$H$119,Ingot!$G$12:$G$119,"")</f>
        <v>Wood</v>
      </c>
      <c r="B4788" t="s">
        <v>9575</v>
      </c>
      <c r="C4788" t="s">
        <v>10</v>
      </c>
      <c r="D4788" t="s">
        <v>9628</v>
      </c>
      <c r="E4788" t="s">
        <v>9629</v>
      </c>
      <c r="G4788" s="1">
        <v>8.44</v>
      </c>
    </row>
    <row r="4789" spans="1:7" ht="14.25" hidden="1" customHeight="1" x14ac:dyDescent="0.45">
      <c r="A4789" t="str">
        <f>_xlfn.XLOOKUP(B4789,Ingot!$H$12:$H$119,Ingot!$G$12:$G$119,"")</f>
        <v>Wood</v>
      </c>
      <c r="B4789" t="s">
        <v>9575</v>
      </c>
      <c r="C4789" t="s">
        <v>10</v>
      </c>
      <c r="D4789" t="s">
        <v>9630</v>
      </c>
      <c r="E4789" t="s">
        <v>9631</v>
      </c>
      <c r="G4789" s="1">
        <v>10.42</v>
      </c>
    </row>
    <row r="4790" spans="1:7" ht="14.25" hidden="1" customHeight="1" x14ac:dyDescent="0.45">
      <c r="A4790" t="str">
        <f>_xlfn.XLOOKUP(B4790,Ingot!$H$12:$H$119,Ingot!$G$12:$G$119,"")</f>
        <v>Wood</v>
      </c>
      <c r="B4790" t="s">
        <v>9575</v>
      </c>
      <c r="C4790" t="s">
        <v>10</v>
      </c>
      <c r="D4790" t="s">
        <v>9632</v>
      </c>
      <c r="E4790" t="s">
        <v>9633</v>
      </c>
    </row>
    <row r="4791" spans="1:7" ht="14.25" hidden="1" customHeight="1" x14ac:dyDescent="0.45">
      <c r="A4791" t="str">
        <f>_xlfn.XLOOKUP(B4791,Ingot!$H$12:$H$119,Ingot!$G$12:$G$119,"")</f>
        <v>Wood</v>
      </c>
      <c r="B4791" t="s">
        <v>9575</v>
      </c>
      <c r="C4791" t="s">
        <v>10</v>
      </c>
      <c r="D4791" t="s">
        <v>9634</v>
      </c>
      <c r="E4791" t="s">
        <v>9635</v>
      </c>
      <c r="G4791" s="1">
        <v>7.96</v>
      </c>
    </row>
    <row r="4792" spans="1:7" ht="14.25" hidden="1" customHeight="1" x14ac:dyDescent="0.45">
      <c r="A4792" t="str">
        <f>_xlfn.XLOOKUP(B4792,Ingot!$H$12:$H$119,Ingot!$G$12:$G$119,"")</f>
        <v>Wood</v>
      </c>
      <c r="B4792" t="s">
        <v>9575</v>
      </c>
      <c r="C4792" t="s">
        <v>10</v>
      </c>
      <c r="D4792" t="s">
        <v>9636</v>
      </c>
      <c r="E4792" t="s">
        <v>9637</v>
      </c>
      <c r="G4792" s="1">
        <v>9.64</v>
      </c>
    </row>
    <row r="4793" spans="1:7" ht="14.25" hidden="1" customHeight="1" x14ac:dyDescent="0.45">
      <c r="A4793" t="str">
        <f>_xlfn.XLOOKUP(B4793,Ingot!$H$12:$H$119,Ingot!$G$12:$G$119,"")</f>
        <v>Wood</v>
      </c>
      <c r="B4793" t="s">
        <v>9575</v>
      </c>
      <c r="C4793" t="s">
        <v>10</v>
      </c>
      <c r="D4793" t="s">
        <v>9638</v>
      </c>
      <c r="E4793" t="s">
        <v>9639</v>
      </c>
      <c r="G4793" s="1">
        <v>7.94</v>
      </c>
    </row>
    <row r="4794" spans="1:7" ht="14.25" hidden="1" customHeight="1" x14ac:dyDescent="0.45">
      <c r="A4794" t="str">
        <f>_xlfn.XLOOKUP(B4794,Ingot!$H$12:$H$119,Ingot!$G$12:$G$119,"")</f>
        <v>Wood</v>
      </c>
      <c r="B4794" t="s">
        <v>9575</v>
      </c>
      <c r="C4794" t="s">
        <v>10</v>
      </c>
      <c r="D4794" t="s">
        <v>9640</v>
      </c>
      <c r="E4794" t="s">
        <v>9641</v>
      </c>
      <c r="G4794" s="1">
        <v>8.66</v>
      </c>
    </row>
    <row r="4795" spans="1:7" ht="14.25" hidden="1" customHeight="1" x14ac:dyDescent="0.45">
      <c r="A4795" t="str">
        <f>_xlfn.XLOOKUP(B4795,Ingot!$H$12:$H$119,Ingot!$G$12:$G$119,"")</f>
        <v>Wood</v>
      </c>
      <c r="B4795" t="s">
        <v>9575</v>
      </c>
      <c r="C4795" t="s">
        <v>10</v>
      </c>
      <c r="D4795" t="s">
        <v>9642</v>
      </c>
      <c r="E4795" t="s">
        <v>9643</v>
      </c>
    </row>
    <row r="4796" spans="1:7" ht="14.25" hidden="1" customHeight="1" x14ac:dyDescent="0.45">
      <c r="A4796" t="str">
        <f>_xlfn.XLOOKUP(B4796,Ingot!$H$12:$H$119,Ingot!$G$12:$G$119,"")</f>
        <v>Wood</v>
      </c>
      <c r="B4796" t="s">
        <v>9575</v>
      </c>
      <c r="C4796" t="s">
        <v>10</v>
      </c>
      <c r="D4796" t="s">
        <v>9644</v>
      </c>
      <c r="E4796" t="s">
        <v>9645</v>
      </c>
      <c r="G4796" s="1">
        <v>2.65</v>
      </c>
    </row>
    <row r="4797" spans="1:7" ht="14.25" hidden="1" customHeight="1" x14ac:dyDescent="0.45">
      <c r="A4797" t="str">
        <f>_xlfn.XLOOKUP(B4797,Ingot!$H$12:$H$119,Ingot!$G$12:$G$119,"")</f>
        <v>Wood</v>
      </c>
      <c r="B4797" t="s">
        <v>9575</v>
      </c>
      <c r="C4797" t="s">
        <v>10</v>
      </c>
      <c r="D4797" t="s">
        <v>9646</v>
      </c>
      <c r="E4797" t="s">
        <v>9647</v>
      </c>
    </row>
    <row r="4798" spans="1:7" ht="14.25" hidden="1" customHeight="1" x14ac:dyDescent="0.45">
      <c r="A4798" t="str">
        <f>_xlfn.XLOOKUP(B4798,Ingot!$H$12:$H$119,Ingot!$G$12:$G$119,"")</f>
        <v>Wood</v>
      </c>
      <c r="B4798" t="s">
        <v>9575</v>
      </c>
      <c r="C4798" t="s">
        <v>10</v>
      </c>
      <c r="D4798" t="s">
        <v>9648</v>
      </c>
      <c r="E4798" t="s">
        <v>9649</v>
      </c>
      <c r="G4798" s="1">
        <v>12.64</v>
      </c>
    </row>
    <row r="4799" spans="1:7" ht="14.25" hidden="1" customHeight="1" x14ac:dyDescent="0.45">
      <c r="A4799" t="str">
        <f>_xlfn.XLOOKUP(B4799,Ingot!$H$12:$H$119,Ingot!$G$12:$G$119,"")</f>
        <v>Wood</v>
      </c>
      <c r="B4799" t="s">
        <v>9575</v>
      </c>
      <c r="C4799" t="s">
        <v>10</v>
      </c>
      <c r="D4799" t="s">
        <v>9650</v>
      </c>
      <c r="E4799" t="s">
        <v>9651</v>
      </c>
      <c r="G4799" s="1">
        <v>22.67</v>
      </c>
    </row>
    <row r="4800" spans="1:7" ht="14.25" hidden="1" customHeight="1" x14ac:dyDescent="0.45">
      <c r="A4800" t="str">
        <f>_xlfn.XLOOKUP(B4800,Ingot!$H$12:$H$119,Ingot!$G$12:$G$119,"")</f>
        <v>Wood</v>
      </c>
      <c r="B4800" t="s">
        <v>9575</v>
      </c>
      <c r="C4800" t="s">
        <v>10</v>
      </c>
      <c r="D4800" t="s">
        <v>9652</v>
      </c>
      <c r="E4800" t="s">
        <v>9653</v>
      </c>
      <c r="G4800" s="1">
        <v>8.3800000000000008</v>
      </c>
    </row>
    <row r="4801" spans="1:7" ht="14.25" hidden="1" customHeight="1" x14ac:dyDescent="0.45">
      <c r="A4801" t="str">
        <f>_xlfn.XLOOKUP(B4801,Ingot!$H$12:$H$119,Ingot!$G$12:$G$119,"")</f>
        <v>Wood</v>
      </c>
      <c r="B4801" t="s">
        <v>9575</v>
      </c>
      <c r="C4801" t="s">
        <v>10</v>
      </c>
      <c r="D4801" t="s">
        <v>9654</v>
      </c>
      <c r="E4801" t="s">
        <v>9655</v>
      </c>
      <c r="G4801" s="1">
        <v>2.2000000000000002</v>
      </c>
    </row>
    <row r="4802" spans="1:7" ht="14.25" hidden="1" customHeight="1" x14ac:dyDescent="0.45">
      <c r="A4802" t="str">
        <f>_xlfn.XLOOKUP(B4802,Ingot!$H$12:$H$119,Ingot!$G$12:$G$119,"")</f>
        <v>Wood</v>
      </c>
      <c r="B4802" t="s">
        <v>9575</v>
      </c>
      <c r="C4802" t="s">
        <v>10</v>
      </c>
      <c r="D4802" t="s">
        <v>9656</v>
      </c>
      <c r="E4802" t="s">
        <v>9657</v>
      </c>
      <c r="G4802" s="1">
        <v>3.09</v>
      </c>
    </row>
    <row r="4803" spans="1:7" ht="14.25" hidden="1" customHeight="1" x14ac:dyDescent="0.45">
      <c r="A4803" t="str">
        <f>_xlfn.XLOOKUP(B4803,Ingot!$H$12:$H$119,Ingot!$G$12:$G$119,"")</f>
        <v>Wood</v>
      </c>
      <c r="B4803" t="s">
        <v>9575</v>
      </c>
      <c r="C4803" t="s">
        <v>10</v>
      </c>
      <c r="D4803" t="s">
        <v>9658</v>
      </c>
      <c r="E4803" t="s">
        <v>9659</v>
      </c>
      <c r="G4803" s="1">
        <v>2.2999999999999998</v>
      </c>
    </row>
    <row r="4804" spans="1:7" ht="14.25" hidden="1" customHeight="1" x14ac:dyDescent="0.45">
      <c r="A4804" t="str">
        <f>_xlfn.XLOOKUP(B4804,Ingot!$H$12:$H$119,Ingot!$G$12:$G$119,"")</f>
        <v>Wood</v>
      </c>
      <c r="B4804" t="s">
        <v>9575</v>
      </c>
      <c r="C4804" t="s">
        <v>10</v>
      </c>
      <c r="D4804" t="s">
        <v>9660</v>
      </c>
      <c r="E4804" t="s">
        <v>9661</v>
      </c>
      <c r="G4804" s="1">
        <v>4.88</v>
      </c>
    </row>
    <row r="4805" spans="1:7" ht="14.25" hidden="1" customHeight="1" x14ac:dyDescent="0.45">
      <c r="A4805" t="str">
        <f>_xlfn.XLOOKUP(B4805,Ingot!$H$12:$H$119,Ingot!$G$12:$G$119,"")</f>
        <v>Wood</v>
      </c>
      <c r="B4805" t="s">
        <v>9575</v>
      </c>
      <c r="C4805" t="s">
        <v>10</v>
      </c>
      <c r="D4805" t="s">
        <v>9662</v>
      </c>
      <c r="E4805" t="s">
        <v>9663</v>
      </c>
      <c r="G4805" s="1">
        <v>8.43</v>
      </c>
    </row>
    <row r="4806" spans="1:7" ht="14.25" hidden="1" customHeight="1" x14ac:dyDescent="0.45">
      <c r="A4806" t="str">
        <f>_xlfn.XLOOKUP(B4806,Ingot!$H$12:$H$119,Ingot!$G$12:$G$119,"")</f>
        <v>Wood</v>
      </c>
      <c r="B4806" t="s">
        <v>9575</v>
      </c>
      <c r="C4806" t="s">
        <v>10</v>
      </c>
      <c r="D4806" t="s">
        <v>9664</v>
      </c>
      <c r="E4806" t="s">
        <v>9665</v>
      </c>
      <c r="G4806" s="1">
        <v>13.07</v>
      </c>
    </row>
    <row r="4807" spans="1:7" ht="14.25" hidden="1" customHeight="1" x14ac:dyDescent="0.45">
      <c r="A4807" t="str">
        <f>_xlfn.XLOOKUP(B4807,Ingot!$H$12:$H$119,Ingot!$G$12:$G$119,"")</f>
        <v>Wood</v>
      </c>
      <c r="B4807" t="s">
        <v>9575</v>
      </c>
      <c r="C4807" t="s">
        <v>10</v>
      </c>
      <c r="D4807" t="s">
        <v>9666</v>
      </c>
      <c r="E4807" t="s">
        <v>9667</v>
      </c>
    </row>
    <row r="4808" spans="1:7" ht="14.25" hidden="1" customHeight="1" x14ac:dyDescent="0.45">
      <c r="A4808" t="str">
        <f>_xlfn.XLOOKUP(B4808,Ingot!$H$12:$H$119,Ingot!$G$12:$G$119,"")</f>
        <v>Wood</v>
      </c>
      <c r="B4808" t="s">
        <v>9575</v>
      </c>
      <c r="C4808" t="s">
        <v>10</v>
      </c>
      <c r="D4808" t="s">
        <v>9668</v>
      </c>
      <c r="E4808" t="s">
        <v>9669</v>
      </c>
    </row>
    <row r="4809" spans="1:7" ht="14.25" hidden="1" customHeight="1" x14ac:dyDescent="0.45">
      <c r="A4809" t="str">
        <f>_xlfn.XLOOKUP(B4809,Ingot!$H$12:$H$119,Ingot!$G$12:$G$119,"")</f>
        <v>Wood</v>
      </c>
      <c r="B4809" t="s">
        <v>9575</v>
      </c>
      <c r="C4809" t="s">
        <v>10</v>
      </c>
      <c r="D4809" t="s">
        <v>9670</v>
      </c>
      <c r="E4809" t="s">
        <v>9671</v>
      </c>
      <c r="G4809" s="1">
        <v>6.8</v>
      </c>
    </row>
    <row r="4810" spans="1:7" ht="14.25" hidden="1" customHeight="1" x14ac:dyDescent="0.45">
      <c r="A4810" t="str">
        <f>_xlfn.XLOOKUP(B4810,Ingot!$H$12:$H$119,Ingot!$G$12:$G$119,"")</f>
        <v>Wood</v>
      </c>
      <c r="B4810" t="s">
        <v>9575</v>
      </c>
      <c r="C4810" t="s">
        <v>10</v>
      </c>
      <c r="D4810" t="s">
        <v>9672</v>
      </c>
      <c r="E4810" t="s">
        <v>9673</v>
      </c>
      <c r="G4810" s="1">
        <v>6.88</v>
      </c>
    </row>
    <row r="4811" spans="1:7" ht="14.25" hidden="1" customHeight="1" x14ac:dyDescent="0.45">
      <c r="A4811" t="str">
        <f>_xlfn.XLOOKUP(B4811,Ingot!$H$12:$H$119,Ingot!$G$12:$G$119,"")</f>
        <v>Wood</v>
      </c>
      <c r="B4811" t="s">
        <v>9575</v>
      </c>
      <c r="C4811" t="s">
        <v>10</v>
      </c>
      <c r="D4811" t="s">
        <v>9674</v>
      </c>
      <c r="E4811" t="s">
        <v>9675</v>
      </c>
      <c r="G4811" s="1">
        <v>5.5</v>
      </c>
    </row>
    <row r="4812" spans="1:7" ht="14.25" hidden="1" customHeight="1" x14ac:dyDescent="0.45">
      <c r="A4812" t="str">
        <f>_xlfn.XLOOKUP(B4812,Ingot!$H$12:$H$119,Ingot!$G$12:$G$119,"")</f>
        <v>Wood</v>
      </c>
      <c r="B4812" t="s">
        <v>9575</v>
      </c>
      <c r="C4812" t="s">
        <v>10</v>
      </c>
      <c r="D4812" t="s">
        <v>9676</v>
      </c>
      <c r="E4812" t="s">
        <v>9677</v>
      </c>
      <c r="G4812" s="1">
        <v>2.4300000000000002</v>
      </c>
    </row>
    <row r="4813" spans="1:7" ht="14.25" hidden="1" customHeight="1" x14ac:dyDescent="0.45">
      <c r="A4813" t="str">
        <f>_xlfn.XLOOKUP(B4813,Ingot!$H$12:$H$119,Ingot!$G$12:$G$119,"")</f>
        <v>Wood</v>
      </c>
      <c r="B4813" t="s">
        <v>9575</v>
      </c>
      <c r="C4813" t="s">
        <v>10</v>
      </c>
      <c r="D4813" t="s">
        <v>9678</v>
      </c>
      <c r="E4813" t="s">
        <v>9679</v>
      </c>
      <c r="G4813" s="1">
        <v>6.96</v>
      </c>
    </row>
    <row r="4814" spans="1:7" ht="14.25" hidden="1" customHeight="1" x14ac:dyDescent="0.45">
      <c r="A4814" t="str">
        <f>_xlfn.XLOOKUP(B4814,Ingot!$H$12:$H$119,Ingot!$G$12:$G$119,"")</f>
        <v>Wood</v>
      </c>
      <c r="B4814" t="s">
        <v>9575</v>
      </c>
      <c r="C4814" t="s">
        <v>10</v>
      </c>
      <c r="D4814" t="s">
        <v>9680</v>
      </c>
      <c r="E4814" t="s">
        <v>9681</v>
      </c>
      <c r="G4814" s="1">
        <v>6.32</v>
      </c>
    </row>
    <row r="4815" spans="1:7" ht="14.25" hidden="1" customHeight="1" x14ac:dyDescent="0.45">
      <c r="A4815" t="str">
        <f>_xlfn.XLOOKUP(B4815,Ingot!$H$12:$H$119,Ingot!$G$12:$G$119,"")</f>
        <v>Wood</v>
      </c>
      <c r="B4815" t="s">
        <v>9575</v>
      </c>
      <c r="C4815" t="s">
        <v>10</v>
      </c>
      <c r="D4815" t="s">
        <v>9682</v>
      </c>
      <c r="E4815" t="s">
        <v>9683</v>
      </c>
      <c r="G4815" s="1">
        <v>6.88</v>
      </c>
    </row>
    <row r="4816" spans="1:7" ht="14.25" hidden="1" customHeight="1" x14ac:dyDescent="0.45">
      <c r="A4816" t="str">
        <f>_xlfn.XLOOKUP(B4816,Ingot!$H$12:$H$119,Ingot!$G$12:$G$119,"")</f>
        <v>Wood</v>
      </c>
      <c r="B4816" t="s">
        <v>9575</v>
      </c>
      <c r="C4816" t="s">
        <v>10</v>
      </c>
      <c r="D4816" t="s">
        <v>9684</v>
      </c>
      <c r="E4816" t="s">
        <v>9685</v>
      </c>
      <c r="G4816" s="1">
        <v>2.44</v>
      </c>
    </row>
    <row r="4817" spans="1:7" ht="14.25" hidden="1" customHeight="1" x14ac:dyDescent="0.45">
      <c r="A4817" t="str">
        <f>_xlfn.XLOOKUP(B4817,Ingot!$H$12:$H$119,Ingot!$G$12:$G$119,"")</f>
        <v>Wood</v>
      </c>
      <c r="B4817" t="s">
        <v>9575</v>
      </c>
      <c r="C4817" t="s">
        <v>10</v>
      </c>
      <c r="D4817" t="s">
        <v>9686</v>
      </c>
      <c r="E4817" t="s">
        <v>9687</v>
      </c>
    </row>
    <row r="4818" spans="1:7" ht="14.25" hidden="1" customHeight="1" x14ac:dyDescent="0.45">
      <c r="A4818" t="str">
        <f>_xlfn.XLOOKUP(B4818,Ingot!$H$12:$H$119,Ingot!$G$12:$G$119,"")</f>
        <v>Wood</v>
      </c>
      <c r="B4818" t="s">
        <v>9575</v>
      </c>
      <c r="C4818" t="s">
        <v>10</v>
      </c>
      <c r="D4818" t="s">
        <v>9688</v>
      </c>
      <c r="E4818" t="s">
        <v>9689</v>
      </c>
    </row>
    <row r="4819" spans="1:7" ht="14.25" hidden="1" customHeight="1" x14ac:dyDescent="0.45">
      <c r="A4819" t="str">
        <f>_xlfn.XLOOKUP(B4819,Ingot!$H$12:$H$119,Ingot!$G$12:$G$119,"")</f>
        <v>Wood</v>
      </c>
      <c r="B4819" t="s">
        <v>9575</v>
      </c>
      <c r="C4819" t="s">
        <v>10</v>
      </c>
      <c r="D4819" t="s">
        <v>9690</v>
      </c>
      <c r="E4819" t="s">
        <v>9691</v>
      </c>
      <c r="G4819" s="1">
        <v>3.11</v>
      </c>
    </row>
    <row r="4820" spans="1:7" ht="14.25" hidden="1" customHeight="1" x14ac:dyDescent="0.45">
      <c r="A4820" t="str">
        <f>_xlfn.XLOOKUP(B4820,Ingot!$H$12:$H$119,Ingot!$G$12:$G$119,"")</f>
        <v>Wood</v>
      </c>
      <c r="B4820" t="s">
        <v>9575</v>
      </c>
      <c r="C4820" t="s">
        <v>10</v>
      </c>
      <c r="D4820" t="s">
        <v>9692</v>
      </c>
      <c r="E4820" t="s">
        <v>9693</v>
      </c>
      <c r="G4820" s="1">
        <v>2.44</v>
      </c>
    </row>
    <row r="4821" spans="1:7" ht="14.25" hidden="1" customHeight="1" x14ac:dyDescent="0.45">
      <c r="A4821" t="str">
        <f>_xlfn.XLOOKUP(B4821,Ingot!$H$12:$H$119,Ingot!$G$12:$G$119,"")</f>
        <v>Wood</v>
      </c>
      <c r="B4821" t="s">
        <v>9575</v>
      </c>
      <c r="C4821" t="s">
        <v>10</v>
      </c>
      <c r="D4821" t="s">
        <v>9694</v>
      </c>
      <c r="E4821" t="s">
        <v>9695</v>
      </c>
      <c r="G4821" s="1">
        <v>8.61</v>
      </c>
    </row>
    <row r="4822" spans="1:7" ht="14.25" hidden="1" customHeight="1" x14ac:dyDescent="0.45">
      <c r="A4822" t="str">
        <f>_xlfn.XLOOKUP(B4822,Ingot!$H$12:$H$119,Ingot!$G$12:$G$119,"")</f>
        <v>Wood</v>
      </c>
      <c r="B4822" t="s">
        <v>9575</v>
      </c>
      <c r="C4822" t="s">
        <v>10</v>
      </c>
      <c r="D4822" t="s">
        <v>9696</v>
      </c>
      <c r="E4822" t="s">
        <v>9697</v>
      </c>
    </row>
    <row r="4823" spans="1:7" ht="14.25" hidden="1" customHeight="1" x14ac:dyDescent="0.45">
      <c r="A4823" t="str">
        <f>_xlfn.XLOOKUP(B4823,Ingot!$H$12:$H$119,Ingot!$G$12:$G$119,"")</f>
        <v>Wood</v>
      </c>
      <c r="B4823" t="s">
        <v>9575</v>
      </c>
      <c r="C4823" t="s">
        <v>10</v>
      </c>
      <c r="D4823" t="s">
        <v>9698</v>
      </c>
      <c r="E4823" t="s">
        <v>9699</v>
      </c>
      <c r="G4823" s="1">
        <v>3.21</v>
      </c>
    </row>
    <row r="4824" spans="1:7" ht="14.25" hidden="1" customHeight="1" x14ac:dyDescent="0.45">
      <c r="A4824" t="str">
        <f>_xlfn.XLOOKUP(B4824,Ingot!$H$12:$H$119,Ingot!$G$12:$G$119,"")</f>
        <v>Wood</v>
      </c>
      <c r="B4824" t="s">
        <v>9575</v>
      </c>
      <c r="C4824" t="s">
        <v>10</v>
      </c>
      <c r="D4824" t="s">
        <v>9700</v>
      </c>
      <c r="E4824" t="s">
        <v>9701</v>
      </c>
      <c r="G4824" s="1">
        <v>2.77</v>
      </c>
    </row>
    <row r="4825" spans="1:7" ht="14.25" hidden="1" customHeight="1" x14ac:dyDescent="0.45">
      <c r="A4825" t="str">
        <f>_xlfn.XLOOKUP(B4825,Ingot!$H$12:$H$119,Ingot!$G$12:$G$119,"")</f>
        <v>Wood</v>
      </c>
      <c r="B4825" t="s">
        <v>9575</v>
      </c>
      <c r="C4825" t="s">
        <v>10</v>
      </c>
      <c r="D4825" t="s">
        <v>9702</v>
      </c>
      <c r="E4825" t="s">
        <v>9703</v>
      </c>
      <c r="G4825" s="1">
        <v>4.8899999999999997</v>
      </c>
    </row>
    <row r="4826" spans="1:7" ht="14.25" hidden="1" customHeight="1" x14ac:dyDescent="0.45">
      <c r="A4826" t="str">
        <f>_xlfn.XLOOKUP(B4826,Ingot!$H$12:$H$119,Ingot!$G$12:$G$119,"")</f>
        <v>Wood</v>
      </c>
      <c r="B4826" t="s">
        <v>9575</v>
      </c>
      <c r="C4826" t="s">
        <v>10</v>
      </c>
      <c r="D4826" t="s">
        <v>9704</v>
      </c>
      <c r="E4826" t="s">
        <v>9705</v>
      </c>
      <c r="G4826" s="1">
        <v>1.76</v>
      </c>
    </row>
    <row r="4827" spans="1:7" ht="14.25" hidden="1" customHeight="1" x14ac:dyDescent="0.45">
      <c r="A4827" t="str">
        <f>_xlfn.XLOOKUP(B4827,Ingot!$H$12:$H$119,Ingot!$G$12:$G$119,"")</f>
        <v>Wood</v>
      </c>
      <c r="B4827" t="s">
        <v>9575</v>
      </c>
      <c r="C4827" t="s">
        <v>10</v>
      </c>
      <c r="D4827" t="s">
        <v>9706</v>
      </c>
      <c r="E4827" t="s">
        <v>9707</v>
      </c>
    </row>
    <row r="4828" spans="1:7" ht="14.25" hidden="1" customHeight="1" x14ac:dyDescent="0.45">
      <c r="A4828" t="str">
        <f>_xlfn.XLOOKUP(B4828,Ingot!$H$12:$H$119,Ingot!$G$12:$G$119,"")</f>
        <v>Wood</v>
      </c>
      <c r="B4828" t="s">
        <v>9575</v>
      </c>
      <c r="C4828" t="s">
        <v>10</v>
      </c>
      <c r="D4828" t="s">
        <v>9708</v>
      </c>
      <c r="E4828" t="s">
        <v>9709</v>
      </c>
      <c r="G4828" s="1">
        <v>8.57</v>
      </c>
    </row>
    <row r="4829" spans="1:7" ht="14.25" hidden="1" customHeight="1" x14ac:dyDescent="0.45">
      <c r="A4829" t="str">
        <f>_xlfn.XLOOKUP(B4829,Ingot!$H$12:$H$119,Ingot!$G$12:$G$119,"")</f>
        <v>Wood</v>
      </c>
      <c r="B4829" t="s">
        <v>9575</v>
      </c>
      <c r="C4829" t="s">
        <v>10</v>
      </c>
      <c r="D4829" t="s">
        <v>9710</v>
      </c>
      <c r="E4829" t="s">
        <v>9711</v>
      </c>
    </row>
    <row r="4830" spans="1:7" ht="14.25" hidden="1" customHeight="1" x14ac:dyDescent="0.45">
      <c r="A4830" t="str">
        <f>_xlfn.XLOOKUP(B4830,Ingot!$H$12:$H$119,Ingot!$G$12:$G$119,"")</f>
        <v>Wood</v>
      </c>
      <c r="B4830" t="s">
        <v>9575</v>
      </c>
      <c r="C4830" t="s">
        <v>10</v>
      </c>
      <c r="D4830" t="s">
        <v>9712</v>
      </c>
      <c r="E4830" t="s">
        <v>9713</v>
      </c>
      <c r="G4830" s="1">
        <v>3.56</v>
      </c>
    </row>
    <row r="4831" spans="1:7" ht="14.25" hidden="1" customHeight="1" x14ac:dyDescent="0.45">
      <c r="A4831" t="str">
        <f>_xlfn.XLOOKUP(B4831,Ingot!$H$12:$H$119,Ingot!$G$12:$G$119,"")</f>
        <v>Wood</v>
      </c>
      <c r="B4831" t="s">
        <v>9575</v>
      </c>
      <c r="C4831" t="s">
        <v>10</v>
      </c>
      <c r="D4831" t="s">
        <v>9714</v>
      </c>
      <c r="E4831" t="s">
        <v>9715</v>
      </c>
      <c r="G4831" s="1">
        <v>8.91</v>
      </c>
    </row>
    <row r="4832" spans="1:7" ht="14.25" hidden="1" customHeight="1" x14ac:dyDescent="0.45">
      <c r="A4832" t="str">
        <f>_xlfn.XLOOKUP(B4832,Ingot!$H$12:$H$119,Ingot!$G$12:$G$119,"")</f>
        <v>Wood</v>
      </c>
      <c r="B4832" t="s">
        <v>9575</v>
      </c>
      <c r="C4832" t="s">
        <v>10</v>
      </c>
      <c r="D4832" t="s">
        <v>9716</v>
      </c>
      <c r="E4832" t="s">
        <v>9717</v>
      </c>
      <c r="G4832" s="1">
        <v>11.02</v>
      </c>
    </row>
    <row r="4833" spans="1:7" ht="14.25" hidden="1" customHeight="1" x14ac:dyDescent="0.45">
      <c r="A4833" t="str">
        <f>_xlfn.XLOOKUP(B4833,Ingot!$H$12:$H$119,Ingot!$G$12:$G$119,"")</f>
        <v>Wood</v>
      </c>
      <c r="B4833" t="s">
        <v>9575</v>
      </c>
      <c r="C4833" t="s">
        <v>10</v>
      </c>
      <c r="D4833" t="s">
        <v>9718</v>
      </c>
      <c r="E4833" t="s">
        <v>9719</v>
      </c>
      <c r="G4833" s="1">
        <v>5.12</v>
      </c>
    </row>
    <row r="4834" spans="1:7" ht="14.25" hidden="1" customHeight="1" x14ac:dyDescent="0.45">
      <c r="A4834" t="str">
        <f>_xlfn.XLOOKUP(B4834,Ingot!$H$12:$H$119,Ingot!$G$12:$G$119,"")</f>
        <v>Wood</v>
      </c>
      <c r="B4834" t="s">
        <v>9575</v>
      </c>
      <c r="C4834" t="s">
        <v>10</v>
      </c>
      <c r="D4834" t="s">
        <v>9720</v>
      </c>
      <c r="E4834" t="s">
        <v>9721</v>
      </c>
      <c r="G4834" s="1">
        <v>4.41</v>
      </c>
    </row>
    <row r="4835" spans="1:7" ht="14.25" hidden="1" customHeight="1" x14ac:dyDescent="0.45">
      <c r="A4835" t="str">
        <f>_xlfn.XLOOKUP(B4835,Ingot!$H$12:$H$119,Ingot!$G$12:$G$119,"")</f>
        <v>Wood</v>
      </c>
      <c r="B4835" t="s">
        <v>9575</v>
      </c>
      <c r="C4835" t="s">
        <v>157</v>
      </c>
      <c r="D4835" t="s">
        <v>9722</v>
      </c>
      <c r="E4835" t="s">
        <v>9723</v>
      </c>
      <c r="G4835" s="1">
        <v>24</v>
      </c>
    </row>
    <row r="4836" spans="1:7" ht="14.25" hidden="1" customHeight="1" x14ac:dyDescent="0.45">
      <c r="A4836" t="str">
        <f>_xlfn.XLOOKUP(B4836,Ingot!$H$12:$H$119,Ingot!$G$12:$G$119,"")</f>
        <v>Wood</v>
      </c>
      <c r="B4836" t="s">
        <v>9575</v>
      </c>
      <c r="C4836" t="s">
        <v>157</v>
      </c>
      <c r="D4836" t="s">
        <v>9724</v>
      </c>
      <c r="E4836" t="s">
        <v>9725</v>
      </c>
      <c r="G4836" s="1">
        <v>5</v>
      </c>
    </row>
    <row r="4837" spans="1:7" ht="14.25" hidden="1" customHeight="1" x14ac:dyDescent="0.45">
      <c r="A4837" t="str">
        <f>_xlfn.XLOOKUP(B4837,Ingot!$H$12:$H$119,Ingot!$G$12:$G$119,"")</f>
        <v>Wood</v>
      </c>
      <c r="B4837" t="s">
        <v>9575</v>
      </c>
      <c r="C4837" t="s">
        <v>157</v>
      </c>
      <c r="D4837" t="s">
        <v>9726</v>
      </c>
      <c r="E4837" t="s">
        <v>9727</v>
      </c>
      <c r="G4837" s="1">
        <v>5</v>
      </c>
    </row>
    <row r="4838" spans="1:7" ht="14.25" hidden="1" customHeight="1" x14ac:dyDescent="0.45">
      <c r="A4838" t="str">
        <f>_xlfn.XLOOKUP(B4838,Ingot!$H$12:$H$119,Ingot!$G$12:$G$119,"")</f>
        <v>Wood</v>
      </c>
      <c r="B4838" t="s">
        <v>9575</v>
      </c>
      <c r="C4838" t="s">
        <v>157</v>
      </c>
      <c r="D4838" t="s">
        <v>9728</v>
      </c>
      <c r="E4838" t="s">
        <v>9729</v>
      </c>
      <c r="G4838" s="1">
        <v>5</v>
      </c>
    </row>
    <row r="4839" spans="1:7" ht="14.25" hidden="1" customHeight="1" x14ac:dyDescent="0.45">
      <c r="A4839" t="str">
        <f>_xlfn.XLOOKUP(B4839,Ingot!$H$12:$H$119,Ingot!$G$12:$G$119,"")</f>
        <v>Wood</v>
      </c>
      <c r="B4839" t="s">
        <v>9575</v>
      </c>
      <c r="C4839" t="s">
        <v>157</v>
      </c>
      <c r="D4839" t="s">
        <v>9730</v>
      </c>
      <c r="E4839" t="s">
        <v>9731</v>
      </c>
      <c r="G4839" s="1">
        <v>10</v>
      </c>
    </row>
    <row r="4840" spans="1:7" ht="14.25" hidden="1" customHeight="1" x14ac:dyDescent="0.45">
      <c r="A4840" t="str">
        <f>_xlfn.XLOOKUP(B4840,Ingot!$H$12:$H$119,Ingot!$G$12:$G$119,"")</f>
        <v>Wood</v>
      </c>
      <c r="B4840" t="s">
        <v>9575</v>
      </c>
      <c r="C4840" t="s">
        <v>157</v>
      </c>
      <c r="D4840" t="s">
        <v>9732</v>
      </c>
      <c r="E4840" t="s">
        <v>9733</v>
      </c>
      <c r="G4840" s="1">
        <v>20.8</v>
      </c>
    </row>
    <row r="4841" spans="1:7" ht="14.25" hidden="1" customHeight="1" x14ac:dyDescent="0.45">
      <c r="A4841" t="str">
        <f>_xlfn.XLOOKUP(B4841,Ingot!$H$12:$H$119,Ingot!$G$12:$G$119,"")</f>
        <v>Wood</v>
      </c>
      <c r="B4841" t="s">
        <v>9575</v>
      </c>
      <c r="C4841" t="s">
        <v>157</v>
      </c>
      <c r="D4841" t="s">
        <v>9734</v>
      </c>
      <c r="E4841" t="s">
        <v>9735</v>
      </c>
      <c r="G4841" s="1">
        <v>5</v>
      </c>
    </row>
    <row r="4842" spans="1:7" ht="14.25" hidden="1" customHeight="1" x14ac:dyDescent="0.45">
      <c r="A4842" t="str">
        <f>_xlfn.XLOOKUP(B4842,Ingot!$H$12:$H$119,Ingot!$G$12:$G$119,"")</f>
        <v>Wood</v>
      </c>
      <c r="B4842" t="s">
        <v>9575</v>
      </c>
      <c r="C4842" t="s">
        <v>157</v>
      </c>
      <c r="D4842" t="s">
        <v>9736</v>
      </c>
      <c r="E4842" t="s">
        <v>9737</v>
      </c>
      <c r="G4842" s="1">
        <v>5</v>
      </c>
    </row>
    <row r="4843" spans="1:7" ht="14.25" hidden="1" customHeight="1" x14ac:dyDescent="0.45">
      <c r="A4843" t="str">
        <f>_xlfn.XLOOKUP(B4843,Ingot!$H$12:$H$119,Ingot!$G$12:$G$119,"")</f>
        <v>Wood</v>
      </c>
      <c r="B4843" t="s">
        <v>9575</v>
      </c>
      <c r="C4843" t="s">
        <v>157</v>
      </c>
      <c r="D4843" t="s">
        <v>9738</v>
      </c>
      <c r="E4843" t="s">
        <v>9739</v>
      </c>
      <c r="G4843" s="1">
        <v>5</v>
      </c>
    </row>
    <row r="4844" spans="1:7" ht="14.25" hidden="1" customHeight="1" x14ac:dyDescent="0.45">
      <c r="A4844" t="str">
        <f>_xlfn.XLOOKUP(B4844,Ingot!$H$12:$H$119,Ingot!$G$12:$G$119,"")</f>
        <v>Wood</v>
      </c>
      <c r="B4844" t="s">
        <v>9575</v>
      </c>
      <c r="C4844" t="s">
        <v>157</v>
      </c>
      <c r="D4844" t="s">
        <v>9740</v>
      </c>
      <c r="E4844" t="s">
        <v>9741</v>
      </c>
      <c r="G4844" s="1">
        <v>10</v>
      </c>
    </row>
    <row r="4845" spans="1:7" ht="14.25" hidden="1" customHeight="1" x14ac:dyDescent="0.45">
      <c r="A4845" t="str">
        <f>_xlfn.XLOOKUP(B4845,Ingot!$H$12:$H$119,Ingot!$G$12:$G$119,"")</f>
        <v>Wood</v>
      </c>
      <c r="B4845" t="s">
        <v>9575</v>
      </c>
      <c r="C4845" t="s">
        <v>157</v>
      </c>
      <c r="D4845" t="s">
        <v>9742</v>
      </c>
      <c r="E4845" t="s">
        <v>9743</v>
      </c>
      <c r="G4845" s="1">
        <v>20</v>
      </c>
    </row>
    <row r="4846" spans="1:7" ht="14.25" hidden="1" customHeight="1" x14ac:dyDescent="0.45">
      <c r="A4846" t="str">
        <f>_xlfn.XLOOKUP(B4846,Ingot!$H$12:$H$119,Ingot!$G$12:$G$119,"")</f>
        <v>Wood</v>
      </c>
      <c r="B4846" t="s">
        <v>9575</v>
      </c>
      <c r="C4846" t="s">
        <v>157</v>
      </c>
      <c r="D4846" t="s">
        <v>9744</v>
      </c>
      <c r="E4846" t="s">
        <v>9745</v>
      </c>
      <c r="G4846" s="1">
        <v>5</v>
      </c>
    </row>
    <row r="4847" spans="1:7" ht="14.25" hidden="1" customHeight="1" x14ac:dyDescent="0.45">
      <c r="A4847" t="str">
        <f>_xlfn.XLOOKUP(B4847,Ingot!$H$12:$H$119,Ingot!$G$12:$G$119,"")</f>
        <v>Wood</v>
      </c>
      <c r="B4847" t="s">
        <v>9575</v>
      </c>
      <c r="C4847" t="s">
        <v>157</v>
      </c>
      <c r="D4847" t="s">
        <v>9746</v>
      </c>
      <c r="E4847" t="s">
        <v>9747</v>
      </c>
      <c r="G4847" s="1">
        <v>5</v>
      </c>
    </row>
    <row r="4848" spans="1:7" ht="14.25" hidden="1" customHeight="1" x14ac:dyDescent="0.45">
      <c r="A4848" t="str">
        <f>_xlfn.XLOOKUP(B4848,Ingot!$H$12:$H$119,Ingot!$G$12:$G$119,"")</f>
        <v>Wood</v>
      </c>
      <c r="B4848" t="s">
        <v>9575</v>
      </c>
      <c r="C4848" t="s">
        <v>157</v>
      </c>
      <c r="D4848" t="s">
        <v>9748</v>
      </c>
      <c r="E4848" t="s">
        <v>9749</v>
      </c>
      <c r="G4848" s="1">
        <v>5</v>
      </c>
    </row>
    <row r="4849" spans="1:7" ht="14.25" hidden="1" customHeight="1" x14ac:dyDescent="0.45">
      <c r="A4849" t="str">
        <f>_xlfn.XLOOKUP(B4849,Ingot!$H$12:$H$119,Ingot!$G$12:$G$119,"")</f>
        <v>Wood</v>
      </c>
      <c r="B4849" t="s">
        <v>9575</v>
      </c>
      <c r="C4849" t="s">
        <v>157</v>
      </c>
      <c r="D4849" t="s">
        <v>9750</v>
      </c>
      <c r="E4849" t="s">
        <v>9751</v>
      </c>
      <c r="G4849" s="1">
        <v>10</v>
      </c>
    </row>
    <row r="4850" spans="1:7" ht="14.25" hidden="1" customHeight="1" x14ac:dyDescent="0.45">
      <c r="A4850" t="str">
        <f>_xlfn.XLOOKUP(B4850,Ingot!$H$12:$H$119,Ingot!$G$12:$G$119,"")</f>
        <v>Wood</v>
      </c>
      <c r="B4850" t="s">
        <v>9575</v>
      </c>
      <c r="C4850" t="s">
        <v>157</v>
      </c>
      <c r="D4850" t="s">
        <v>9752</v>
      </c>
      <c r="E4850" t="s">
        <v>9753</v>
      </c>
      <c r="G4850" s="1">
        <v>22</v>
      </c>
    </row>
    <row r="4851" spans="1:7" ht="14.25" hidden="1" customHeight="1" x14ac:dyDescent="0.45">
      <c r="A4851" t="str">
        <f>_xlfn.XLOOKUP(B4851,Ingot!$H$12:$H$119,Ingot!$G$12:$G$119,"")</f>
        <v>Wood</v>
      </c>
      <c r="B4851" t="s">
        <v>9575</v>
      </c>
      <c r="C4851" t="s">
        <v>157</v>
      </c>
      <c r="D4851" t="s">
        <v>9754</v>
      </c>
      <c r="E4851" t="s">
        <v>9755</v>
      </c>
      <c r="G4851" s="1">
        <v>5</v>
      </c>
    </row>
    <row r="4852" spans="1:7" ht="14.25" hidden="1" customHeight="1" x14ac:dyDescent="0.45">
      <c r="A4852" t="str">
        <f>_xlfn.XLOOKUP(B4852,Ingot!$H$12:$H$119,Ingot!$G$12:$G$119,"")</f>
        <v>Wood</v>
      </c>
      <c r="B4852" t="s">
        <v>9575</v>
      </c>
      <c r="C4852" t="s">
        <v>157</v>
      </c>
      <c r="D4852" t="s">
        <v>9756</v>
      </c>
      <c r="E4852" t="s">
        <v>9757</v>
      </c>
      <c r="G4852" s="1">
        <v>5</v>
      </c>
    </row>
    <row r="4853" spans="1:7" ht="14.25" hidden="1" customHeight="1" x14ac:dyDescent="0.45">
      <c r="A4853" t="str">
        <f>_xlfn.XLOOKUP(B4853,Ingot!$H$12:$H$119,Ingot!$G$12:$G$119,"")</f>
        <v>Wood</v>
      </c>
      <c r="B4853" t="s">
        <v>9575</v>
      </c>
      <c r="C4853" t="s">
        <v>157</v>
      </c>
      <c r="D4853" t="s">
        <v>9758</v>
      </c>
      <c r="E4853" t="s">
        <v>9759</v>
      </c>
      <c r="G4853" s="1">
        <v>5</v>
      </c>
    </row>
    <row r="4854" spans="1:7" ht="14.25" hidden="1" customHeight="1" x14ac:dyDescent="0.45">
      <c r="A4854" t="str">
        <f>_xlfn.XLOOKUP(B4854,Ingot!$H$12:$H$119,Ingot!$G$12:$G$119,"")</f>
        <v>Wood</v>
      </c>
      <c r="B4854" t="s">
        <v>9575</v>
      </c>
      <c r="C4854" t="s">
        <v>157</v>
      </c>
      <c r="D4854" t="s">
        <v>9760</v>
      </c>
      <c r="E4854" t="s">
        <v>9761</v>
      </c>
      <c r="G4854" s="1">
        <v>10</v>
      </c>
    </row>
    <row r="4855" spans="1:7" ht="14.25" hidden="1" customHeight="1" x14ac:dyDescent="0.45">
      <c r="A4855" t="str">
        <f>_xlfn.XLOOKUP(B4855,Ingot!$H$12:$H$119,Ingot!$G$12:$G$119,"")</f>
        <v>Wood</v>
      </c>
      <c r="B4855" t="s">
        <v>9575</v>
      </c>
      <c r="C4855" t="s">
        <v>157</v>
      </c>
      <c r="D4855" t="s">
        <v>9762</v>
      </c>
      <c r="E4855" t="s">
        <v>9763</v>
      </c>
      <c r="G4855" s="1">
        <v>23</v>
      </c>
    </row>
    <row r="4856" spans="1:7" ht="14.25" hidden="1" customHeight="1" x14ac:dyDescent="0.45">
      <c r="A4856" t="str">
        <f>_xlfn.XLOOKUP(B4856,Ingot!$H$12:$H$119,Ingot!$G$12:$G$119,"")</f>
        <v>Wood</v>
      </c>
      <c r="B4856" t="s">
        <v>9575</v>
      </c>
      <c r="C4856" t="s">
        <v>157</v>
      </c>
      <c r="D4856" t="s">
        <v>9764</v>
      </c>
      <c r="E4856" t="s">
        <v>9765</v>
      </c>
      <c r="G4856" s="1">
        <v>5</v>
      </c>
    </row>
    <row r="4857" spans="1:7" ht="14.25" hidden="1" customHeight="1" x14ac:dyDescent="0.45">
      <c r="A4857" t="str">
        <f>_xlfn.XLOOKUP(B4857,Ingot!$H$12:$H$119,Ingot!$G$12:$G$119,"")</f>
        <v>Wood</v>
      </c>
      <c r="B4857" t="s">
        <v>9575</v>
      </c>
      <c r="C4857" t="s">
        <v>157</v>
      </c>
      <c r="D4857" t="s">
        <v>9766</v>
      </c>
      <c r="E4857" t="s">
        <v>9767</v>
      </c>
      <c r="G4857" s="1">
        <v>5</v>
      </c>
    </row>
    <row r="4858" spans="1:7" ht="14.25" hidden="1" customHeight="1" x14ac:dyDescent="0.45">
      <c r="A4858" t="str">
        <f>_xlfn.XLOOKUP(B4858,Ingot!$H$12:$H$119,Ingot!$G$12:$G$119,"")</f>
        <v>Wood</v>
      </c>
      <c r="B4858" t="s">
        <v>9575</v>
      </c>
      <c r="C4858" t="s">
        <v>157</v>
      </c>
      <c r="D4858" t="s">
        <v>9768</v>
      </c>
      <c r="E4858" t="s">
        <v>9769</v>
      </c>
      <c r="G4858" s="1">
        <v>5</v>
      </c>
    </row>
    <row r="4859" spans="1:7" ht="14.25" hidden="1" customHeight="1" x14ac:dyDescent="0.45">
      <c r="A4859" t="str">
        <f>_xlfn.XLOOKUP(B4859,Ingot!$H$12:$H$119,Ingot!$G$12:$G$119,"")</f>
        <v>Wood</v>
      </c>
      <c r="B4859" t="s">
        <v>9575</v>
      </c>
      <c r="C4859" t="s">
        <v>157</v>
      </c>
      <c r="D4859" t="s">
        <v>9770</v>
      </c>
      <c r="E4859" t="s">
        <v>9771</v>
      </c>
      <c r="G4859" s="1">
        <v>10</v>
      </c>
    </row>
    <row r="4860" spans="1:7" ht="14.25" hidden="1" customHeight="1" x14ac:dyDescent="0.45">
      <c r="A4860" t="str">
        <f>_xlfn.XLOOKUP(B4860,Ingot!$H$12:$H$119,Ingot!$G$12:$G$119,"")</f>
        <v>Wood</v>
      </c>
      <c r="B4860" t="s">
        <v>9575</v>
      </c>
      <c r="C4860" t="s">
        <v>157</v>
      </c>
      <c r="D4860" t="s">
        <v>9772</v>
      </c>
      <c r="E4860" t="s">
        <v>9773</v>
      </c>
      <c r="G4860" s="1">
        <v>26.8</v>
      </c>
    </row>
    <row r="4861" spans="1:7" ht="14.25" hidden="1" customHeight="1" x14ac:dyDescent="0.45">
      <c r="A4861" t="str">
        <f>_xlfn.XLOOKUP(B4861,Ingot!$H$12:$H$119,Ingot!$G$12:$G$119,"")</f>
        <v>Wood</v>
      </c>
      <c r="B4861" t="s">
        <v>9575</v>
      </c>
      <c r="C4861" t="s">
        <v>157</v>
      </c>
      <c r="D4861" t="s">
        <v>9774</v>
      </c>
      <c r="E4861" t="s">
        <v>9775</v>
      </c>
      <c r="G4861" s="1">
        <v>5.36</v>
      </c>
    </row>
    <row r="4862" spans="1:7" ht="14.25" hidden="1" customHeight="1" x14ac:dyDescent="0.45">
      <c r="A4862" t="str">
        <f>_xlfn.XLOOKUP(B4862,Ingot!$H$12:$H$119,Ingot!$G$12:$G$119,"")</f>
        <v>Wood</v>
      </c>
      <c r="B4862" t="s">
        <v>9575</v>
      </c>
      <c r="C4862" t="s">
        <v>157</v>
      </c>
      <c r="D4862" t="s">
        <v>9776</v>
      </c>
      <c r="E4862" t="s">
        <v>9777</v>
      </c>
      <c r="G4862" s="1">
        <v>5.36</v>
      </c>
    </row>
    <row r="4863" spans="1:7" ht="14.25" hidden="1" customHeight="1" x14ac:dyDescent="0.45">
      <c r="A4863" t="str">
        <f>_xlfn.XLOOKUP(B4863,Ingot!$H$12:$H$119,Ingot!$G$12:$G$119,"")</f>
        <v>Wood</v>
      </c>
      <c r="B4863" t="s">
        <v>9575</v>
      </c>
      <c r="C4863" t="s">
        <v>157</v>
      </c>
      <c r="D4863" t="s">
        <v>9778</v>
      </c>
      <c r="E4863" t="s">
        <v>9779</v>
      </c>
      <c r="G4863" s="1">
        <v>5</v>
      </c>
    </row>
    <row r="4864" spans="1:7" ht="14.25" hidden="1" customHeight="1" x14ac:dyDescent="0.45">
      <c r="A4864" t="str">
        <f>_xlfn.XLOOKUP(B4864,Ingot!$H$12:$H$119,Ingot!$G$12:$G$119,"")</f>
        <v>Wood</v>
      </c>
      <c r="B4864" t="s">
        <v>9575</v>
      </c>
      <c r="C4864" t="s">
        <v>157</v>
      </c>
      <c r="D4864" t="s">
        <v>9780</v>
      </c>
      <c r="E4864" t="s">
        <v>9781</v>
      </c>
      <c r="G4864" s="1">
        <v>10</v>
      </c>
    </row>
    <row r="4865" spans="1:7" ht="14.25" hidden="1" customHeight="1" x14ac:dyDescent="0.45">
      <c r="A4865" t="str">
        <f>_xlfn.XLOOKUP(B4865,Ingot!$H$12:$H$119,Ingot!$G$12:$G$119,"")</f>
        <v>Wood</v>
      </c>
      <c r="B4865" t="s">
        <v>9575</v>
      </c>
      <c r="C4865" t="s">
        <v>157</v>
      </c>
      <c r="D4865" t="s">
        <v>9782</v>
      </c>
      <c r="E4865" t="s">
        <v>9783</v>
      </c>
      <c r="G4865" s="1">
        <v>25.5</v>
      </c>
    </row>
    <row r="4866" spans="1:7" ht="14.25" hidden="1" customHeight="1" x14ac:dyDescent="0.45">
      <c r="A4866" t="str">
        <f>_xlfn.XLOOKUP(B4866,Ingot!$H$12:$H$119,Ingot!$G$12:$G$119,"")</f>
        <v>Wood</v>
      </c>
      <c r="B4866" t="s">
        <v>9575</v>
      </c>
      <c r="C4866" t="s">
        <v>157</v>
      </c>
      <c r="D4866" t="s">
        <v>9784</v>
      </c>
      <c r="E4866" t="s">
        <v>9785</v>
      </c>
      <c r="G4866" s="1">
        <v>5.0999999999999996</v>
      </c>
    </row>
    <row r="4867" spans="1:7" ht="14.25" hidden="1" customHeight="1" x14ac:dyDescent="0.45">
      <c r="A4867" t="str">
        <f>_xlfn.XLOOKUP(B4867,Ingot!$H$12:$H$119,Ingot!$G$12:$G$119,"")</f>
        <v>Wood</v>
      </c>
      <c r="B4867" t="s">
        <v>9575</v>
      </c>
      <c r="C4867" t="s">
        <v>157</v>
      </c>
      <c r="D4867" t="s">
        <v>9786</v>
      </c>
      <c r="E4867" t="s">
        <v>9787</v>
      </c>
      <c r="G4867" s="1">
        <v>5.0999999999999996</v>
      </c>
    </row>
    <row r="4868" spans="1:7" ht="14.25" hidden="1" customHeight="1" x14ac:dyDescent="0.45">
      <c r="A4868" t="str">
        <f>_xlfn.XLOOKUP(B4868,Ingot!$H$12:$H$119,Ingot!$G$12:$G$119,"")</f>
        <v>Wood</v>
      </c>
      <c r="B4868" t="s">
        <v>9575</v>
      </c>
      <c r="C4868" t="s">
        <v>157</v>
      </c>
      <c r="D4868" t="s">
        <v>9788</v>
      </c>
      <c r="E4868" t="s">
        <v>9789</v>
      </c>
      <c r="G4868" s="1">
        <v>5</v>
      </c>
    </row>
    <row r="4869" spans="1:7" ht="14.25" hidden="1" customHeight="1" x14ac:dyDescent="0.45">
      <c r="A4869" t="str">
        <f>_xlfn.XLOOKUP(B4869,Ingot!$H$12:$H$119,Ingot!$G$12:$G$119,"")</f>
        <v>Wood</v>
      </c>
      <c r="B4869" t="s">
        <v>9575</v>
      </c>
      <c r="C4869" t="s">
        <v>157</v>
      </c>
      <c r="D4869" t="s">
        <v>9790</v>
      </c>
      <c r="E4869" t="s">
        <v>9791</v>
      </c>
      <c r="G4869" s="1">
        <v>10</v>
      </c>
    </row>
    <row r="4870" spans="1:7" ht="14.25" hidden="1" customHeight="1" x14ac:dyDescent="0.45">
      <c r="A4870" t="str">
        <f>_xlfn.XLOOKUP(B4870,Ingot!$H$12:$H$119,Ingot!$G$12:$G$119,"")</f>
        <v>Wood</v>
      </c>
      <c r="B4870" t="s">
        <v>9575</v>
      </c>
      <c r="C4870" t="s">
        <v>157</v>
      </c>
      <c r="D4870" t="s">
        <v>9792</v>
      </c>
      <c r="E4870" t="s">
        <v>9793</v>
      </c>
      <c r="G4870" s="1">
        <v>19.2</v>
      </c>
    </row>
    <row r="4871" spans="1:7" ht="14.25" hidden="1" customHeight="1" x14ac:dyDescent="0.45">
      <c r="A4871" t="str">
        <f>_xlfn.XLOOKUP(B4871,Ingot!$H$12:$H$119,Ingot!$G$12:$G$119,"")</f>
        <v>Wood</v>
      </c>
      <c r="B4871" t="s">
        <v>9575</v>
      </c>
      <c r="C4871" t="s">
        <v>157</v>
      </c>
      <c r="D4871" t="s">
        <v>9794</v>
      </c>
      <c r="E4871" t="s">
        <v>9795</v>
      </c>
      <c r="G4871" s="1">
        <v>5</v>
      </c>
    </row>
    <row r="4872" spans="1:7" ht="14.25" hidden="1" customHeight="1" x14ac:dyDescent="0.45">
      <c r="A4872" t="str">
        <f>_xlfn.XLOOKUP(B4872,Ingot!$H$12:$H$119,Ingot!$G$12:$G$119,"")</f>
        <v>Wood</v>
      </c>
      <c r="B4872" t="s">
        <v>9575</v>
      </c>
      <c r="C4872" t="s">
        <v>157</v>
      </c>
      <c r="D4872" t="s">
        <v>9796</v>
      </c>
      <c r="E4872" t="s">
        <v>9797</v>
      </c>
      <c r="G4872" s="1">
        <v>5</v>
      </c>
    </row>
    <row r="4873" spans="1:7" ht="14.25" hidden="1" customHeight="1" x14ac:dyDescent="0.45">
      <c r="A4873" t="str">
        <f>_xlfn.XLOOKUP(B4873,Ingot!$H$12:$H$119,Ingot!$G$12:$G$119,"")</f>
        <v>Wood</v>
      </c>
      <c r="B4873" t="s">
        <v>9575</v>
      </c>
      <c r="C4873" t="s">
        <v>157</v>
      </c>
      <c r="D4873" t="s">
        <v>9798</v>
      </c>
      <c r="E4873" t="s">
        <v>9799</v>
      </c>
      <c r="G4873" s="1">
        <v>5</v>
      </c>
    </row>
    <row r="4874" spans="1:7" ht="14.25" hidden="1" customHeight="1" x14ac:dyDescent="0.45">
      <c r="A4874" t="str">
        <f>_xlfn.XLOOKUP(B4874,Ingot!$H$12:$H$119,Ingot!$G$12:$G$119,"")</f>
        <v>Wood</v>
      </c>
      <c r="B4874" t="s">
        <v>9575</v>
      </c>
      <c r="C4874" t="s">
        <v>157</v>
      </c>
      <c r="D4874" t="s">
        <v>9800</v>
      </c>
      <c r="E4874" t="s">
        <v>9801</v>
      </c>
      <c r="G4874" s="1">
        <v>10</v>
      </c>
    </row>
    <row r="4875" spans="1:7" ht="14.25" hidden="1" customHeight="1" x14ac:dyDescent="0.45">
      <c r="A4875" t="str">
        <f>_xlfn.XLOOKUP(B4875,Ingot!$H$12:$H$119,Ingot!$G$12:$G$119,"")</f>
        <v>Wood</v>
      </c>
      <c r="B4875" t="s">
        <v>9575</v>
      </c>
      <c r="C4875" t="s">
        <v>239</v>
      </c>
      <c r="D4875" t="s">
        <v>9802</v>
      </c>
      <c r="E4875" t="s">
        <v>9803</v>
      </c>
    </row>
    <row r="4876" spans="1:7" ht="14.25" hidden="1" customHeight="1" x14ac:dyDescent="0.45">
      <c r="A4876" t="str">
        <f>_xlfn.XLOOKUP(B4876,Ingot!$H$12:$H$119,Ingot!$G$12:$G$119,"")</f>
        <v>Wood</v>
      </c>
      <c r="B4876" t="s">
        <v>9575</v>
      </c>
      <c r="C4876" t="s">
        <v>239</v>
      </c>
      <c r="D4876" t="s">
        <v>9804</v>
      </c>
      <c r="E4876" t="s">
        <v>9805</v>
      </c>
    </row>
    <row r="4877" spans="1:7" ht="14.25" hidden="1" customHeight="1" x14ac:dyDescent="0.45">
      <c r="A4877" t="str">
        <f>_xlfn.XLOOKUP(B4877,Ingot!$H$12:$H$119,Ingot!$G$12:$G$119,"")</f>
        <v>Wood</v>
      </c>
      <c r="B4877" t="s">
        <v>9575</v>
      </c>
      <c r="C4877" t="s">
        <v>239</v>
      </c>
      <c r="D4877" t="s">
        <v>9806</v>
      </c>
      <c r="E4877" t="s">
        <v>9807</v>
      </c>
    </row>
    <row r="4878" spans="1:7" ht="14.25" hidden="1" customHeight="1" x14ac:dyDescent="0.45">
      <c r="A4878" t="str">
        <f>_xlfn.XLOOKUP(B4878,Ingot!$H$12:$H$119,Ingot!$G$12:$G$119,"")</f>
        <v>Wood</v>
      </c>
      <c r="B4878" t="s">
        <v>9575</v>
      </c>
      <c r="C4878" t="s">
        <v>239</v>
      </c>
      <c r="D4878" t="s">
        <v>9808</v>
      </c>
      <c r="E4878" t="s">
        <v>9809</v>
      </c>
    </row>
    <row r="4879" spans="1:7" ht="14.25" hidden="1" customHeight="1" x14ac:dyDescent="0.45">
      <c r="A4879" t="str">
        <f>_xlfn.XLOOKUP(B4879,Ingot!$H$12:$H$119,Ingot!$G$12:$G$119,"")</f>
        <v>Wood</v>
      </c>
      <c r="B4879" t="s">
        <v>9575</v>
      </c>
      <c r="C4879" t="s">
        <v>239</v>
      </c>
      <c r="D4879" t="s">
        <v>9810</v>
      </c>
      <c r="E4879" t="s">
        <v>9811</v>
      </c>
    </row>
    <row r="4880" spans="1:7" ht="14.25" hidden="1" customHeight="1" x14ac:dyDescent="0.45">
      <c r="A4880" t="str">
        <f>_xlfn.XLOOKUP(B4880,Ingot!$H$12:$H$119,Ingot!$G$12:$G$119,"")</f>
        <v>Wood</v>
      </c>
      <c r="B4880" t="s">
        <v>9575</v>
      </c>
      <c r="C4880" t="s">
        <v>239</v>
      </c>
      <c r="D4880" t="s">
        <v>9812</v>
      </c>
      <c r="E4880" t="s">
        <v>9813</v>
      </c>
    </row>
    <row r="4881" spans="1:7" ht="14.25" hidden="1" customHeight="1" x14ac:dyDescent="0.45">
      <c r="A4881" t="str">
        <f>_xlfn.XLOOKUP(B4881,Ingot!$H$12:$H$119,Ingot!$G$12:$G$119,"")</f>
        <v>Wood</v>
      </c>
      <c r="B4881" t="s">
        <v>9814</v>
      </c>
      <c r="C4881" t="s">
        <v>10</v>
      </c>
      <c r="D4881" t="s">
        <v>9815</v>
      </c>
      <c r="E4881" t="s">
        <v>9816</v>
      </c>
      <c r="G4881" s="1">
        <v>0.08</v>
      </c>
    </row>
    <row r="4882" spans="1:7" ht="14.25" hidden="1" customHeight="1" x14ac:dyDescent="0.45">
      <c r="A4882" t="str">
        <f>_xlfn.XLOOKUP(B4882,Ingot!$H$12:$H$119,Ingot!$G$12:$G$119,"")</f>
        <v>Wood</v>
      </c>
      <c r="B4882" t="s">
        <v>9814</v>
      </c>
      <c r="C4882" t="s">
        <v>10</v>
      </c>
      <c r="D4882" t="s">
        <v>9817</v>
      </c>
      <c r="E4882" t="s">
        <v>9818</v>
      </c>
      <c r="G4882" s="1">
        <v>9.9</v>
      </c>
    </row>
    <row r="4883" spans="1:7" ht="14.25" hidden="1" customHeight="1" x14ac:dyDescent="0.45">
      <c r="A4883" t="str">
        <f>_xlfn.XLOOKUP(B4883,Ingot!$H$12:$H$119,Ingot!$G$12:$G$119,"")</f>
        <v>Wood</v>
      </c>
      <c r="B4883" t="s">
        <v>9814</v>
      </c>
      <c r="C4883" t="s">
        <v>10</v>
      </c>
      <c r="D4883" t="s">
        <v>9819</v>
      </c>
      <c r="E4883" t="s">
        <v>9820</v>
      </c>
      <c r="G4883" s="1">
        <v>5.66</v>
      </c>
    </row>
    <row r="4884" spans="1:7" ht="14.25" hidden="1" customHeight="1" x14ac:dyDescent="0.45">
      <c r="A4884" t="str">
        <f>_xlfn.XLOOKUP(B4884,Ingot!$H$12:$H$119,Ingot!$G$12:$G$119,"")</f>
        <v>Wood</v>
      </c>
      <c r="B4884" t="s">
        <v>9814</v>
      </c>
      <c r="C4884" t="s">
        <v>10</v>
      </c>
      <c r="D4884" t="s">
        <v>9821</v>
      </c>
      <c r="E4884" t="s">
        <v>9822</v>
      </c>
      <c r="G4884" s="1">
        <v>3.3</v>
      </c>
    </row>
    <row r="4885" spans="1:7" ht="14.25" hidden="1" customHeight="1" x14ac:dyDescent="0.45">
      <c r="A4885" t="str">
        <f>_xlfn.XLOOKUP(B4885,Ingot!$H$12:$H$119,Ingot!$G$12:$G$119,"")</f>
        <v>Wood</v>
      </c>
      <c r="B4885" t="s">
        <v>9814</v>
      </c>
      <c r="C4885" t="s">
        <v>10</v>
      </c>
      <c r="D4885" t="s">
        <v>9823</v>
      </c>
      <c r="E4885" t="s">
        <v>9824</v>
      </c>
      <c r="G4885" s="1">
        <v>0.66</v>
      </c>
    </row>
    <row r="4886" spans="1:7" ht="14.25" hidden="1" customHeight="1" x14ac:dyDescent="0.45">
      <c r="A4886" t="str">
        <f>_xlfn.XLOOKUP(B4886,Ingot!$H$12:$H$119,Ingot!$G$12:$G$119,"")</f>
        <v>Wood</v>
      </c>
      <c r="B4886" t="s">
        <v>9814</v>
      </c>
      <c r="C4886" t="s">
        <v>10</v>
      </c>
      <c r="D4886" t="s">
        <v>9825</v>
      </c>
      <c r="E4886" t="s">
        <v>9826</v>
      </c>
      <c r="G4886" s="1">
        <v>0.04</v>
      </c>
    </row>
    <row r="4887" spans="1:7" ht="14.25" hidden="1" customHeight="1" x14ac:dyDescent="0.45">
      <c r="A4887" t="str">
        <f>_xlfn.XLOOKUP(B4887,Ingot!$H$12:$H$119,Ingot!$G$12:$G$119,"")</f>
        <v>Wood</v>
      </c>
      <c r="B4887" t="s">
        <v>9814</v>
      </c>
      <c r="C4887" t="s">
        <v>10</v>
      </c>
      <c r="D4887" t="s">
        <v>9827</v>
      </c>
      <c r="E4887" t="s">
        <v>9828</v>
      </c>
      <c r="G4887" s="1">
        <v>0.33</v>
      </c>
    </row>
    <row r="4888" spans="1:7" ht="14.25" hidden="1" customHeight="1" x14ac:dyDescent="0.45">
      <c r="A4888" t="str">
        <f>_xlfn.XLOOKUP(B4888,Ingot!$H$12:$H$119,Ingot!$G$12:$G$119,"")</f>
        <v>Wood</v>
      </c>
      <c r="B4888" t="s">
        <v>9814</v>
      </c>
      <c r="C4888" t="s">
        <v>10</v>
      </c>
      <c r="D4888" t="s">
        <v>9829</v>
      </c>
      <c r="E4888" t="s">
        <v>9830</v>
      </c>
    </row>
    <row r="4889" spans="1:7" ht="14.25" hidden="1" customHeight="1" x14ac:dyDescent="0.45">
      <c r="A4889" t="str">
        <f>_xlfn.XLOOKUP(B4889,Ingot!$H$12:$H$119,Ingot!$G$12:$G$119,"")</f>
        <v>Wood</v>
      </c>
      <c r="B4889" t="s">
        <v>9814</v>
      </c>
      <c r="C4889" t="s">
        <v>10</v>
      </c>
      <c r="D4889" t="s">
        <v>9831</v>
      </c>
      <c r="E4889" t="s">
        <v>9832</v>
      </c>
      <c r="G4889" s="1">
        <v>0.05</v>
      </c>
    </row>
    <row r="4890" spans="1:7" ht="14.25" hidden="1" customHeight="1" x14ac:dyDescent="0.45">
      <c r="A4890" t="str">
        <f>_xlfn.XLOOKUP(B4890,Ingot!$H$12:$H$119,Ingot!$G$12:$G$119,"")</f>
        <v>Wood</v>
      </c>
      <c r="B4890" t="s">
        <v>9814</v>
      </c>
      <c r="C4890" t="s">
        <v>10</v>
      </c>
      <c r="D4890" t="s">
        <v>9833</v>
      </c>
      <c r="E4890" t="s">
        <v>9834</v>
      </c>
      <c r="G4890" s="1">
        <v>0.66</v>
      </c>
    </row>
    <row r="4891" spans="1:7" ht="14.25" hidden="1" customHeight="1" x14ac:dyDescent="0.45">
      <c r="A4891" t="str">
        <f>_xlfn.XLOOKUP(B4891,Ingot!$H$12:$H$119,Ingot!$G$12:$G$119,"")</f>
        <v>Wood</v>
      </c>
      <c r="B4891" t="s">
        <v>9814</v>
      </c>
      <c r="C4891" t="s">
        <v>10</v>
      </c>
      <c r="D4891" t="s">
        <v>9835</v>
      </c>
      <c r="E4891" t="s">
        <v>9836</v>
      </c>
      <c r="G4891" s="1">
        <v>3.96</v>
      </c>
    </row>
    <row r="4892" spans="1:7" ht="14.25" hidden="1" customHeight="1" x14ac:dyDescent="0.45">
      <c r="A4892" t="str">
        <f>_xlfn.XLOOKUP(B4892,Ingot!$H$12:$H$119,Ingot!$G$12:$G$119,"")</f>
        <v>Wood</v>
      </c>
      <c r="B4892" t="s">
        <v>9814</v>
      </c>
      <c r="C4892" t="s">
        <v>10</v>
      </c>
      <c r="D4892" t="s">
        <v>9837</v>
      </c>
      <c r="E4892" t="s">
        <v>9838</v>
      </c>
      <c r="G4892" s="1">
        <v>8.77</v>
      </c>
    </row>
    <row r="4893" spans="1:7" ht="14.25" hidden="1" customHeight="1" x14ac:dyDescent="0.45">
      <c r="A4893" t="str">
        <f>_xlfn.XLOOKUP(B4893,Ingot!$H$12:$H$119,Ingot!$G$12:$G$119,"")</f>
        <v>Wood</v>
      </c>
      <c r="B4893" t="s">
        <v>9814</v>
      </c>
      <c r="C4893" t="s">
        <v>10</v>
      </c>
      <c r="D4893" t="s">
        <v>9839</v>
      </c>
      <c r="E4893" t="s">
        <v>9840</v>
      </c>
      <c r="G4893" s="1">
        <v>3.5</v>
      </c>
    </row>
    <row r="4894" spans="1:7" ht="14.25" hidden="1" customHeight="1" x14ac:dyDescent="0.45">
      <c r="A4894" t="str">
        <f>_xlfn.XLOOKUP(B4894,Ingot!$H$12:$H$119,Ingot!$G$12:$G$119,"")</f>
        <v>Wood</v>
      </c>
      <c r="B4894" t="s">
        <v>9814</v>
      </c>
      <c r="C4894" t="s">
        <v>10</v>
      </c>
      <c r="D4894" t="s">
        <v>9841</v>
      </c>
      <c r="E4894" t="s">
        <v>9842</v>
      </c>
    </row>
    <row r="4895" spans="1:7" ht="14.25" hidden="1" customHeight="1" x14ac:dyDescent="0.45">
      <c r="A4895" t="str">
        <f>_xlfn.XLOOKUP(B4895,Ingot!$H$12:$H$119,Ingot!$G$12:$G$119,"")</f>
        <v>Wood</v>
      </c>
      <c r="B4895" t="s">
        <v>9814</v>
      </c>
      <c r="C4895" t="s">
        <v>10</v>
      </c>
      <c r="D4895" t="s">
        <v>9843</v>
      </c>
      <c r="E4895" t="s">
        <v>9844</v>
      </c>
      <c r="G4895" s="1">
        <v>2.2000000000000002</v>
      </c>
    </row>
    <row r="4896" spans="1:7" ht="14.25" hidden="1" customHeight="1" x14ac:dyDescent="0.45">
      <c r="A4896" t="str">
        <f>_xlfn.XLOOKUP(B4896,Ingot!$H$12:$H$119,Ingot!$G$12:$G$119,"")</f>
        <v>Wood</v>
      </c>
      <c r="B4896" t="s">
        <v>9814</v>
      </c>
      <c r="C4896" t="s">
        <v>10</v>
      </c>
      <c r="D4896" t="s">
        <v>9845</v>
      </c>
      <c r="E4896" t="s">
        <v>9846</v>
      </c>
      <c r="G4896" s="1">
        <v>1.1000000000000001</v>
      </c>
    </row>
    <row r="4897" spans="1:7" ht="14.25" hidden="1" customHeight="1" x14ac:dyDescent="0.45">
      <c r="A4897" t="str">
        <f>_xlfn.XLOOKUP(B4897,Ingot!$H$12:$H$119,Ingot!$G$12:$G$119,"")</f>
        <v>Wood</v>
      </c>
      <c r="B4897" t="s">
        <v>9814</v>
      </c>
      <c r="C4897" t="s">
        <v>10</v>
      </c>
      <c r="D4897" t="s">
        <v>9847</v>
      </c>
      <c r="E4897" t="s">
        <v>9848</v>
      </c>
      <c r="G4897" s="1">
        <v>0.22</v>
      </c>
    </row>
    <row r="4898" spans="1:7" ht="14.25" hidden="1" customHeight="1" x14ac:dyDescent="0.45">
      <c r="A4898" t="str">
        <f>_xlfn.XLOOKUP(B4898,Ingot!$H$12:$H$119,Ingot!$G$12:$G$119,"")</f>
        <v>Wood</v>
      </c>
      <c r="B4898" t="s">
        <v>9814</v>
      </c>
      <c r="C4898" t="s">
        <v>10</v>
      </c>
      <c r="D4898" t="s">
        <v>9849</v>
      </c>
      <c r="E4898" t="s">
        <v>9850</v>
      </c>
      <c r="G4898" s="1">
        <v>8.41</v>
      </c>
    </row>
    <row r="4899" spans="1:7" ht="14.25" hidden="1" customHeight="1" x14ac:dyDescent="0.45">
      <c r="A4899" t="str">
        <f>_xlfn.XLOOKUP(B4899,Ingot!$H$12:$H$119,Ingot!$G$12:$G$119,"")</f>
        <v>Wood</v>
      </c>
      <c r="B4899" t="s">
        <v>9814</v>
      </c>
      <c r="C4899" t="s">
        <v>10</v>
      </c>
      <c r="D4899" t="s">
        <v>9851</v>
      </c>
      <c r="E4899" t="s">
        <v>9852</v>
      </c>
      <c r="G4899" s="1">
        <v>3.64</v>
      </c>
    </row>
    <row r="4900" spans="1:7" ht="14.25" hidden="1" customHeight="1" x14ac:dyDescent="0.45">
      <c r="A4900" t="str">
        <f>_xlfn.XLOOKUP(B4900,Ingot!$H$12:$H$119,Ingot!$G$12:$G$119,"")</f>
        <v>Wood</v>
      </c>
      <c r="B4900" t="s">
        <v>9814</v>
      </c>
      <c r="C4900" t="s">
        <v>10</v>
      </c>
      <c r="D4900" t="s">
        <v>9853</v>
      </c>
      <c r="E4900" t="s">
        <v>9854</v>
      </c>
      <c r="G4900" s="1">
        <v>7.05</v>
      </c>
    </row>
    <row r="4901" spans="1:7" ht="14.25" hidden="1" customHeight="1" x14ac:dyDescent="0.45">
      <c r="A4901" t="str">
        <f>_xlfn.XLOOKUP(B4901,Ingot!$H$12:$H$119,Ingot!$G$12:$G$119,"")</f>
        <v>Wood</v>
      </c>
      <c r="B4901" t="s">
        <v>9814</v>
      </c>
      <c r="C4901" t="s">
        <v>10</v>
      </c>
      <c r="D4901" t="s">
        <v>9855</v>
      </c>
      <c r="E4901" t="s">
        <v>9856</v>
      </c>
      <c r="G4901" s="1">
        <v>2.65</v>
      </c>
    </row>
    <row r="4902" spans="1:7" ht="14.25" hidden="1" customHeight="1" x14ac:dyDescent="0.45">
      <c r="A4902" t="str">
        <f>_xlfn.XLOOKUP(B4902,Ingot!$H$12:$H$119,Ingot!$G$12:$G$119,"")</f>
        <v>Wood</v>
      </c>
      <c r="B4902" t="s">
        <v>9814</v>
      </c>
      <c r="C4902" t="s">
        <v>10</v>
      </c>
      <c r="D4902" t="s">
        <v>9857</v>
      </c>
      <c r="E4902" t="s">
        <v>9858</v>
      </c>
      <c r="G4902" s="1">
        <v>9</v>
      </c>
    </row>
    <row r="4903" spans="1:7" ht="14.25" hidden="1" customHeight="1" x14ac:dyDescent="0.45">
      <c r="A4903" t="str">
        <f>_xlfn.XLOOKUP(B4903,Ingot!$H$12:$H$119,Ingot!$G$12:$G$119,"")</f>
        <v>Wood</v>
      </c>
      <c r="B4903" t="s">
        <v>9814</v>
      </c>
      <c r="C4903" t="s">
        <v>10</v>
      </c>
      <c r="D4903" t="s">
        <v>9859</v>
      </c>
      <c r="E4903" t="s">
        <v>9860</v>
      </c>
      <c r="G4903" s="1">
        <v>10.23</v>
      </c>
    </row>
    <row r="4904" spans="1:7" ht="14.25" hidden="1" customHeight="1" x14ac:dyDescent="0.45">
      <c r="A4904" t="str">
        <f>_xlfn.XLOOKUP(B4904,Ingot!$H$12:$H$119,Ingot!$G$12:$G$119,"")</f>
        <v>Wood</v>
      </c>
      <c r="B4904" t="s">
        <v>9814</v>
      </c>
      <c r="C4904" t="s">
        <v>10</v>
      </c>
      <c r="D4904" t="s">
        <v>9861</v>
      </c>
      <c r="E4904" t="s">
        <v>9862</v>
      </c>
      <c r="G4904" s="1">
        <v>7.7</v>
      </c>
    </row>
    <row r="4905" spans="1:7" ht="14.25" hidden="1" customHeight="1" x14ac:dyDescent="0.45">
      <c r="A4905" t="str">
        <f>_xlfn.XLOOKUP(B4905,Ingot!$H$12:$H$119,Ingot!$G$12:$G$119,"")</f>
        <v>Wood</v>
      </c>
      <c r="B4905" t="s">
        <v>9814</v>
      </c>
      <c r="C4905" t="s">
        <v>10</v>
      </c>
      <c r="D4905" t="s">
        <v>9863</v>
      </c>
      <c r="E4905" t="s">
        <v>9864</v>
      </c>
      <c r="G4905" s="1">
        <v>10.02</v>
      </c>
    </row>
    <row r="4906" spans="1:7" ht="14.25" hidden="1" customHeight="1" x14ac:dyDescent="0.45">
      <c r="A4906" t="str">
        <f>_xlfn.XLOOKUP(B4906,Ingot!$H$12:$H$119,Ingot!$G$12:$G$119,"")</f>
        <v>Wood</v>
      </c>
      <c r="B4906" t="s">
        <v>9814</v>
      </c>
      <c r="C4906" t="s">
        <v>10</v>
      </c>
      <c r="D4906" t="s">
        <v>9865</v>
      </c>
      <c r="E4906" t="s">
        <v>9866</v>
      </c>
      <c r="G4906" s="1">
        <v>11.81</v>
      </c>
    </row>
    <row r="4907" spans="1:7" ht="14.25" hidden="1" customHeight="1" x14ac:dyDescent="0.45">
      <c r="A4907" t="str">
        <f>_xlfn.XLOOKUP(B4907,Ingot!$H$12:$H$119,Ingot!$G$12:$G$119,"")</f>
        <v>Wood</v>
      </c>
      <c r="B4907" t="s">
        <v>9814</v>
      </c>
      <c r="C4907" t="s">
        <v>10</v>
      </c>
      <c r="D4907" t="s">
        <v>9867</v>
      </c>
      <c r="E4907" t="s">
        <v>9868</v>
      </c>
      <c r="G4907" s="1">
        <v>8.44</v>
      </c>
    </row>
    <row r="4908" spans="1:7" ht="14.25" hidden="1" customHeight="1" x14ac:dyDescent="0.45">
      <c r="A4908" t="str">
        <f>_xlfn.XLOOKUP(B4908,Ingot!$H$12:$H$119,Ingot!$G$12:$G$119,"")</f>
        <v>Wood</v>
      </c>
      <c r="B4908" t="s">
        <v>9814</v>
      </c>
      <c r="C4908" t="s">
        <v>10</v>
      </c>
      <c r="D4908" t="s">
        <v>9869</v>
      </c>
      <c r="E4908" t="s">
        <v>9870</v>
      </c>
      <c r="G4908" s="1">
        <v>10.42</v>
      </c>
    </row>
    <row r="4909" spans="1:7" ht="14.25" hidden="1" customHeight="1" x14ac:dyDescent="0.45">
      <c r="A4909" t="str">
        <f>_xlfn.XLOOKUP(B4909,Ingot!$H$12:$H$119,Ingot!$G$12:$G$119,"")</f>
        <v>Wood</v>
      </c>
      <c r="B4909" t="s">
        <v>9814</v>
      </c>
      <c r="C4909" t="s">
        <v>10</v>
      </c>
      <c r="D4909" t="s">
        <v>9871</v>
      </c>
      <c r="E4909" t="s">
        <v>9872</v>
      </c>
    </row>
    <row r="4910" spans="1:7" ht="14.25" hidden="1" customHeight="1" x14ac:dyDescent="0.45">
      <c r="A4910" t="str">
        <f>_xlfn.XLOOKUP(B4910,Ingot!$H$12:$H$119,Ingot!$G$12:$G$119,"")</f>
        <v>Wood</v>
      </c>
      <c r="B4910" t="s">
        <v>9814</v>
      </c>
      <c r="C4910" t="s">
        <v>10</v>
      </c>
      <c r="D4910" t="s">
        <v>9873</v>
      </c>
      <c r="E4910" t="s">
        <v>9874</v>
      </c>
      <c r="G4910" s="1">
        <v>7.96</v>
      </c>
    </row>
    <row r="4911" spans="1:7" ht="14.25" hidden="1" customHeight="1" x14ac:dyDescent="0.45">
      <c r="A4911" t="str">
        <f>_xlfn.XLOOKUP(B4911,Ingot!$H$12:$H$119,Ingot!$G$12:$G$119,"")</f>
        <v>Wood</v>
      </c>
      <c r="B4911" t="s">
        <v>9814</v>
      </c>
      <c r="C4911" t="s">
        <v>10</v>
      </c>
      <c r="D4911" t="s">
        <v>9875</v>
      </c>
      <c r="E4911" t="s">
        <v>9876</v>
      </c>
      <c r="G4911" s="1">
        <v>9.64</v>
      </c>
    </row>
    <row r="4912" spans="1:7" ht="14.25" hidden="1" customHeight="1" x14ac:dyDescent="0.45">
      <c r="A4912" t="str">
        <f>_xlfn.XLOOKUP(B4912,Ingot!$H$12:$H$119,Ingot!$G$12:$G$119,"")</f>
        <v>Wood</v>
      </c>
      <c r="B4912" t="s">
        <v>9814</v>
      </c>
      <c r="C4912" t="s">
        <v>10</v>
      </c>
      <c r="D4912" t="s">
        <v>9877</v>
      </c>
      <c r="E4912" t="s">
        <v>9878</v>
      </c>
      <c r="G4912" s="1">
        <v>7.94</v>
      </c>
    </row>
    <row r="4913" spans="1:7" ht="14.25" hidden="1" customHeight="1" x14ac:dyDescent="0.45">
      <c r="A4913" t="str">
        <f>_xlfn.XLOOKUP(B4913,Ingot!$H$12:$H$119,Ingot!$G$12:$G$119,"")</f>
        <v>Wood</v>
      </c>
      <c r="B4913" t="s">
        <v>9814</v>
      </c>
      <c r="C4913" t="s">
        <v>10</v>
      </c>
      <c r="D4913" t="s">
        <v>9879</v>
      </c>
      <c r="E4913" t="s">
        <v>9880</v>
      </c>
      <c r="G4913" s="1">
        <v>8.66</v>
      </c>
    </row>
    <row r="4914" spans="1:7" ht="14.25" hidden="1" customHeight="1" x14ac:dyDescent="0.45">
      <c r="A4914" t="str">
        <f>_xlfn.XLOOKUP(B4914,Ingot!$H$12:$H$119,Ingot!$G$12:$G$119,"")</f>
        <v>Wood</v>
      </c>
      <c r="B4914" t="s">
        <v>9814</v>
      </c>
      <c r="C4914" t="s">
        <v>10</v>
      </c>
      <c r="D4914" t="s">
        <v>9881</v>
      </c>
      <c r="E4914" t="s">
        <v>9882</v>
      </c>
    </row>
    <row r="4915" spans="1:7" ht="14.25" hidden="1" customHeight="1" x14ac:dyDescent="0.45">
      <c r="A4915" t="str">
        <f>_xlfn.XLOOKUP(B4915,Ingot!$H$12:$H$119,Ingot!$G$12:$G$119,"")</f>
        <v>Wood</v>
      </c>
      <c r="B4915" t="s">
        <v>9814</v>
      </c>
      <c r="C4915" t="s">
        <v>10</v>
      </c>
      <c r="D4915" t="s">
        <v>9883</v>
      </c>
      <c r="E4915" t="s">
        <v>9884</v>
      </c>
      <c r="G4915" s="1">
        <v>2.65</v>
      </c>
    </row>
    <row r="4916" spans="1:7" ht="14.25" hidden="1" customHeight="1" x14ac:dyDescent="0.45">
      <c r="A4916" t="str">
        <f>_xlfn.XLOOKUP(B4916,Ingot!$H$12:$H$119,Ingot!$G$12:$G$119,"")</f>
        <v>Wood</v>
      </c>
      <c r="B4916" t="s">
        <v>9814</v>
      </c>
      <c r="C4916" t="s">
        <v>10</v>
      </c>
      <c r="D4916" t="s">
        <v>9885</v>
      </c>
      <c r="E4916" t="s">
        <v>9886</v>
      </c>
    </row>
    <row r="4917" spans="1:7" ht="14.25" hidden="1" customHeight="1" x14ac:dyDescent="0.45">
      <c r="A4917" t="str">
        <f>_xlfn.XLOOKUP(B4917,Ingot!$H$12:$H$119,Ingot!$G$12:$G$119,"")</f>
        <v>Wood</v>
      </c>
      <c r="B4917" t="s">
        <v>9814</v>
      </c>
      <c r="C4917" t="s">
        <v>10</v>
      </c>
      <c r="D4917" t="s">
        <v>9887</v>
      </c>
      <c r="E4917" t="s">
        <v>9888</v>
      </c>
      <c r="G4917" s="1">
        <v>12.64</v>
      </c>
    </row>
    <row r="4918" spans="1:7" ht="14.25" hidden="1" customHeight="1" x14ac:dyDescent="0.45">
      <c r="A4918" t="str">
        <f>_xlfn.XLOOKUP(B4918,Ingot!$H$12:$H$119,Ingot!$G$12:$G$119,"")</f>
        <v>Wood</v>
      </c>
      <c r="B4918" t="s">
        <v>9814</v>
      </c>
      <c r="C4918" t="s">
        <v>10</v>
      </c>
      <c r="D4918" t="s">
        <v>9889</v>
      </c>
      <c r="E4918" t="s">
        <v>9890</v>
      </c>
      <c r="G4918" s="1">
        <v>22.67</v>
      </c>
    </row>
    <row r="4919" spans="1:7" ht="14.25" hidden="1" customHeight="1" x14ac:dyDescent="0.45">
      <c r="A4919" t="str">
        <f>_xlfn.XLOOKUP(B4919,Ingot!$H$12:$H$119,Ingot!$G$12:$G$119,"")</f>
        <v>Wood</v>
      </c>
      <c r="B4919" t="s">
        <v>9814</v>
      </c>
      <c r="C4919" t="s">
        <v>10</v>
      </c>
      <c r="D4919" t="s">
        <v>9891</v>
      </c>
      <c r="E4919" t="s">
        <v>9892</v>
      </c>
      <c r="G4919" s="1">
        <v>8.3800000000000008</v>
      </c>
    </row>
    <row r="4920" spans="1:7" ht="14.25" hidden="1" customHeight="1" x14ac:dyDescent="0.45">
      <c r="A4920" t="str">
        <f>_xlfn.XLOOKUP(B4920,Ingot!$H$12:$H$119,Ingot!$G$12:$G$119,"")</f>
        <v>Wood</v>
      </c>
      <c r="B4920" t="s">
        <v>9814</v>
      </c>
      <c r="C4920" t="s">
        <v>10</v>
      </c>
      <c r="D4920" t="s">
        <v>9893</v>
      </c>
      <c r="E4920" t="s">
        <v>9894</v>
      </c>
      <c r="G4920" s="1">
        <v>2.2000000000000002</v>
      </c>
    </row>
    <row r="4921" spans="1:7" ht="14.25" hidden="1" customHeight="1" x14ac:dyDescent="0.45">
      <c r="A4921" t="str">
        <f>_xlfn.XLOOKUP(B4921,Ingot!$H$12:$H$119,Ingot!$G$12:$G$119,"")</f>
        <v>Wood</v>
      </c>
      <c r="B4921" t="s">
        <v>9814</v>
      </c>
      <c r="C4921" t="s">
        <v>10</v>
      </c>
      <c r="D4921" t="s">
        <v>9895</v>
      </c>
      <c r="E4921" t="s">
        <v>9896</v>
      </c>
      <c r="G4921" s="1">
        <v>3.09</v>
      </c>
    </row>
    <row r="4922" spans="1:7" ht="14.25" hidden="1" customHeight="1" x14ac:dyDescent="0.45">
      <c r="A4922" t="str">
        <f>_xlfn.XLOOKUP(B4922,Ingot!$H$12:$H$119,Ingot!$G$12:$G$119,"")</f>
        <v>Wood</v>
      </c>
      <c r="B4922" t="s">
        <v>9814</v>
      </c>
      <c r="C4922" t="s">
        <v>10</v>
      </c>
      <c r="D4922" t="s">
        <v>9897</v>
      </c>
      <c r="E4922" t="s">
        <v>9898</v>
      </c>
      <c r="G4922" s="1">
        <v>2.2999999999999998</v>
      </c>
    </row>
    <row r="4923" spans="1:7" ht="14.25" hidden="1" customHeight="1" x14ac:dyDescent="0.45">
      <c r="A4923" t="str">
        <f>_xlfn.XLOOKUP(B4923,Ingot!$H$12:$H$119,Ingot!$G$12:$G$119,"")</f>
        <v>Wood</v>
      </c>
      <c r="B4923" t="s">
        <v>9814</v>
      </c>
      <c r="C4923" t="s">
        <v>10</v>
      </c>
      <c r="D4923" t="s">
        <v>9899</v>
      </c>
      <c r="E4923" t="s">
        <v>9900</v>
      </c>
      <c r="G4923" s="1">
        <v>4.88</v>
      </c>
    </row>
    <row r="4924" spans="1:7" ht="14.25" hidden="1" customHeight="1" x14ac:dyDescent="0.45">
      <c r="A4924" t="str">
        <f>_xlfn.XLOOKUP(B4924,Ingot!$H$12:$H$119,Ingot!$G$12:$G$119,"")</f>
        <v>Wood</v>
      </c>
      <c r="B4924" t="s">
        <v>9814</v>
      </c>
      <c r="C4924" t="s">
        <v>10</v>
      </c>
      <c r="D4924" t="s">
        <v>9901</v>
      </c>
      <c r="E4924" t="s">
        <v>9902</v>
      </c>
      <c r="G4924" s="1">
        <v>8.43</v>
      </c>
    </row>
    <row r="4925" spans="1:7" ht="14.25" hidden="1" customHeight="1" x14ac:dyDescent="0.45">
      <c r="A4925" t="str">
        <f>_xlfn.XLOOKUP(B4925,Ingot!$H$12:$H$119,Ingot!$G$12:$G$119,"")</f>
        <v>Wood</v>
      </c>
      <c r="B4925" t="s">
        <v>9814</v>
      </c>
      <c r="C4925" t="s">
        <v>10</v>
      </c>
      <c r="D4925" t="s">
        <v>9903</v>
      </c>
      <c r="E4925" t="s">
        <v>9904</v>
      </c>
      <c r="G4925" s="1">
        <v>13.07</v>
      </c>
    </row>
    <row r="4926" spans="1:7" ht="14.25" hidden="1" customHeight="1" x14ac:dyDescent="0.45">
      <c r="A4926" t="str">
        <f>_xlfn.XLOOKUP(B4926,Ingot!$H$12:$H$119,Ingot!$G$12:$G$119,"")</f>
        <v>Wood</v>
      </c>
      <c r="B4926" t="s">
        <v>9814</v>
      </c>
      <c r="C4926" t="s">
        <v>10</v>
      </c>
      <c r="D4926" t="s">
        <v>9905</v>
      </c>
      <c r="E4926" t="s">
        <v>9906</v>
      </c>
    </row>
    <row r="4927" spans="1:7" ht="14.25" hidden="1" customHeight="1" x14ac:dyDescent="0.45">
      <c r="A4927" t="str">
        <f>_xlfn.XLOOKUP(B4927,Ingot!$H$12:$H$119,Ingot!$G$12:$G$119,"")</f>
        <v>Wood</v>
      </c>
      <c r="B4927" t="s">
        <v>9814</v>
      </c>
      <c r="C4927" t="s">
        <v>10</v>
      </c>
      <c r="D4927" t="s">
        <v>9907</v>
      </c>
      <c r="E4927" t="s">
        <v>9908</v>
      </c>
    </row>
    <row r="4928" spans="1:7" ht="14.25" hidden="1" customHeight="1" x14ac:dyDescent="0.45">
      <c r="A4928" t="str">
        <f>_xlfn.XLOOKUP(B4928,Ingot!$H$12:$H$119,Ingot!$G$12:$G$119,"")</f>
        <v>Wood</v>
      </c>
      <c r="B4928" t="s">
        <v>9814</v>
      </c>
      <c r="C4928" t="s">
        <v>10</v>
      </c>
      <c r="D4928" t="s">
        <v>9909</v>
      </c>
      <c r="E4928" t="s">
        <v>9910</v>
      </c>
      <c r="G4928" s="1">
        <v>6.8</v>
      </c>
    </row>
    <row r="4929" spans="1:7" ht="14.25" hidden="1" customHeight="1" x14ac:dyDescent="0.45">
      <c r="A4929" t="str">
        <f>_xlfn.XLOOKUP(B4929,Ingot!$H$12:$H$119,Ingot!$G$12:$G$119,"")</f>
        <v>Wood</v>
      </c>
      <c r="B4929" t="s">
        <v>9814</v>
      </c>
      <c r="C4929" t="s">
        <v>10</v>
      </c>
      <c r="D4929" t="s">
        <v>9911</v>
      </c>
      <c r="E4929" t="s">
        <v>9912</v>
      </c>
      <c r="G4929" s="1">
        <v>6.88</v>
      </c>
    </row>
    <row r="4930" spans="1:7" ht="14.25" hidden="1" customHeight="1" x14ac:dyDescent="0.45">
      <c r="A4930" t="str">
        <f>_xlfn.XLOOKUP(B4930,Ingot!$H$12:$H$119,Ingot!$G$12:$G$119,"")</f>
        <v>Wood</v>
      </c>
      <c r="B4930" t="s">
        <v>9814</v>
      </c>
      <c r="C4930" t="s">
        <v>10</v>
      </c>
      <c r="D4930" t="s">
        <v>9913</v>
      </c>
      <c r="E4930" t="s">
        <v>9914</v>
      </c>
      <c r="G4930" s="1">
        <v>5.5</v>
      </c>
    </row>
    <row r="4931" spans="1:7" ht="14.25" hidden="1" customHeight="1" x14ac:dyDescent="0.45">
      <c r="A4931" t="str">
        <f>_xlfn.XLOOKUP(B4931,Ingot!$H$12:$H$119,Ingot!$G$12:$G$119,"")</f>
        <v>Wood</v>
      </c>
      <c r="B4931" t="s">
        <v>9814</v>
      </c>
      <c r="C4931" t="s">
        <v>10</v>
      </c>
      <c r="D4931" t="s">
        <v>9915</v>
      </c>
      <c r="E4931" t="s">
        <v>9916</v>
      </c>
      <c r="G4931" s="1">
        <v>2.4300000000000002</v>
      </c>
    </row>
    <row r="4932" spans="1:7" ht="14.25" hidden="1" customHeight="1" x14ac:dyDescent="0.45">
      <c r="A4932" t="str">
        <f>_xlfn.XLOOKUP(B4932,Ingot!$H$12:$H$119,Ingot!$G$12:$G$119,"")</f>
        <v>Wood</v>
      </c>
      <c r="B4932" t="s">
        <v>9814</v>
      </c>
      <c r="C4932" t="s">
        <v>10</v>
      </c>
      <c r="D4932" t="s">
        <v>9917</v>
      </c>
      <c r="E4932" t="s">
        <v>9918</v>
      </c>
      <c r="G4932" s="1">
        <v>6.96</v>
      </c>
    </row>
    <row r="4933" spans="1:7" ht="14.25" hidden="1" customHeight="1" x14ac:dyDescent="0.45">
      <c r="A4933" t="str">
        <f>_xlfn.XLOOKUP(B4933,Ingot!$H$12:$H$119,Ingot!$G$12:$G$119,"")</f>
        <v>Wood</v>
      </c>
      <c r="B4933" t="s">
        <v>9814</v>
      </c>
      <c r="C4933" t="s">
        <v>10</v>
      </c>
      <c r="D4933" t="s">
        <v>9919</v>
      </c>
      <c r="E4933" t="s">
        <v>9920</v>
      </c>
      <c r="G4933" s="1">
        <v>6.32</v>
      </c>
    </row>
    <row r="4934" spans="1:7" ht="14.25" hidden="1" customHeight="1" x14ac:dyDescent="0.45">
      <c r="A4934" t="str">
        <f>_xlfn.XLOOKUP(B4934,Ingot!$H$12:$H$119,Ingot!$G$12:$G$119,"")</f>
        <v>Wood</v>
      </c>
      <c r="B4934" t="s">
        <v>9814</v>
      </c>
      <c r="C4934" t="s">
        <v>10</v>
      </c>
      <c r="D4934" t="s">
        <v>9921</v>
      </c>
      <c r="E4934" t="s">
        <v>9922</v>
      </c>
      <c r="G4934" s="1">
        <v>6.88</v>
      </c>
    </row>
    <row r="4935" spans="1:7" ht="14.25" hidden="1" customHeight="1" x14ac:dyDescent="0.45">
      <c r="A4935" t="str">
        <f>_xlfn.XLOOKUP(B4935,Ingot!$H$12:$H$119,Ingot!$G$12:$G$119,"")</f>
        <v>Wood</v>
      </c>
      <c r="B4935" t="s">
        <v>9814</v>
      </c>
      <c r="C4935" t="s">
        <v>10</v>
      </c>
      <c r="D4935" t="s">
        <v>9923</v>
      </c>
      <c r="E4935" t="s">
        <v>9924</v>
      </c>
      <c r="G4935" s="1">
        <v>2.44</v>
      </c>
    </row>
    <row r="4936" spans="1:7" ht="14.25" hidden="1" customHeight="1" x14ac:dyDescent="0.45">
      <c r="A4936" t="str">
        <f>_xlfn.XLOOKUP(B4936,Ingot!$H$12:$H$119,Ingot!$G$12:$G$119,"")</f>
        <v>Wood</v>
      </c>
      <c r="B4936" t="s">
        <v>9814</v>
      </c>
      <c r="C4936" t="s">
        <v>10</v>
      </c>
      <c r="D4936" t="s">
        <v>9925</v>
      </c>
      <c r="E4936" t="s">
        <v>9926</v>
      </c>
    </row>
    <row r="4937" spans="1:7" ht="14.25" hidden="1" customHeight="1" x14ac:dyDescent="0.45">
      <c r="A4937" t="str">
        <f>_xlfn.XLOOKUP(B4937,Ingot!$H$12:$H$119,Ingot!$G$12:$G$119,"")</f>
        <v>Wood</v>
      </c>
      <c r="B4937" t="s">
        <v>9814</v>
      </c>
      <c r="C4937" t="s">
        <v>10</v>
      </c>
      <c r="D4937" t="s">
        <v>9927</v>
      </c>
      <c r="E4937" t="s">
        <v>9928</v>
      </c>
    </row>
    <row r="4938" spans="1:7" ht="14.25" hidden="1" customHeight="1" x14ac:dyDescent="0.45">
      <c r="A4938" t="str">
        <f>_xlfn.XLOOKUP(B4938,Ingot!$H$12:$H$119,Ingot!$G$12:$G$119,"")</f>
        <v>Wood</v>
      </c>
      <c r="B4938" t="s">
        <v>9814</v>
      </c>
      <c r="C4938" t="s">
        <v>10</v>
      </c>
      <c r="D4938" t="s">
        <v>9929</v>
      </c>
      <c r="E4938" t="s">
        <v>9930</v>
      </c>
      <c r="G4938" s="1">
        <v>3.11</v>
      </c>
    </row>
    <row r="4939" spans="1:7" ht="14.25" hidden="1" customHeight="1" x14ac:dyDescent="0.45">
      <c r="A4939" t="str">
        <f>_xlfn.XLOOKUP(B4939,Ingot!$H$12:$H$119,Ingot!$G$12:$G$119,"")</f>
        <v>Wood</v>
      </c>
      <c r="B4939" t="s">
        <v>9814</v>
      </c>
      <c r="C4939" t="s">
        <v>10</v>
      </c>
      <c r="D4939" t="s">
        <v>9931</v>
      </c>
      <c r="E4939" t="s">
        <v>9932</v>
      </c>
      <c r="G4939" s="1">
        <v>2.44</v>
      </c>
    </row>
    <row r="4940" spans="1:7" ht="14.25" hidden="1" customHeight="1" x14ac:dyDescent="0.45">
      <c r="A4940" t="str">
        <f>_xlfn.XLOOKUP(B4940,Ingot!$H$12:$H$119,Ingot!$G$12:$G$119,"")</f>
        <v>Wood</v>
      </c>
      <c r="B4940" t="s">
        <v>9814</v>
      </c>
      <c r="C4940" t="s">
        <v>10</v>
      </c>
      <c r="D4940" t="s">
        <v>9933</v>
      </c>
      <c r="E4940" t="s">
        <v>9934</v>
      </c>
      <c r="G4940" s="1">
        <v>8.61</v>
      </c>
    </row>
    <row r="4941" spans="1:7" ht="14.25" hidden="1" customHeight="1" x14ac:dyDescent="0.45">
      <c r="A4941" t="str">
        <f>_xlfn.XLOOKUP(B4941,Ingot!$H$12:$H$119,Ingot!$G$12:$G$119,"")</f>
        <v>Wood</v>
      </c>
      <c r="B4941" t="s">
        <v>9814</v>
      </c>
      <c r="C4941" t="s">
        <v>10</v>
      </c>
      <c r="D4941" t="s">
        <v>9935</v>
      </c>
      <c r="E4941" t="s">
        <v>9936</v>
      </c>
    </row>
    <row r="4942" spans="1:7" ht="14.25" hidden="1" customHeight="1" x14ac:dyDescent="0.45">
      <c r="A4942" t="str">
        <f>_xlfn.XLOOKUP(B4942,Ingot!$H$12:$H$119,Ingot!$G$12:$G$119,"")</f>
        <v>Wood</v>
      </c>
      <c r="B4942" t="s">
        <v>9814</v>
      </c>
      <c r="C4942" t="s">
        <v>10</v>
      </c>
      <c r="D4942" t="s">
        <v>9937</v>
      </c>
      <c r="E4942" t="s">
        <v>9938</v>
      </c>
      <c r="G4942" s="1">
        <v>3.21</v>
      </c>
    </row>
    <row r="4943" spans="1:7" ht="14.25" hidden="1" customHeight="1" x14ac:dyDescent="0.45">
      <c r="A4943" t="str">
        <f>_xlfn.XLOOKUP(B4943,Ingot!$H$12:$H$119,Ingot!$G$12:$G$119,"")</f>
        <v>Wood</v>
      </c>
      <c r="B4943" t="s">
        <v>9814</v>
      </c>
      <c r="C4943" t="s">
        <v>10</v>
      </c>
      <c r="D4943" t="s">
        <v>9939</v>
      </c>
      <c r="E4943" t="s">
        <v>9940</v>
      </c>
      <c r="G4943" s="1">
        <v>2.77</v>
      </c>
    </row>
    <row r="4944" spans="1:7" ht="14.25" hidden="1" customHeight="1" x14ac:dyDescent="0.45">
      <c r="A4944" t="str">
        <f>_xlfn.XLOOKUP(B4944,Ingot!$H$12:$H$119,Ingot!$G$12:$G$119,"")</f>
        <v>Wood</v>
      </c>
      <c r="B4944" t="s">
        <v>9814</v>
      </c>
      <c r="C4944" t="s">
        <v>10</v>
      </c>
      <c r="D4944" t="s">
        <v>9941</v>
      </c>
      <c r="E4944" t="s">
        <v>9942</v>
      </c>
      <c r="G4944" s="1">
        <v>4.8899999999999997</v>
      </c>
    </row>
    <row r="4945" spans="1:7" ht="14.25" hidden="1" customHeight="1" x14ac:dyDescent="0.45">
      <c r="A4945" t="str">
        <f>_xlfn.XLOOKUP(B4945,Ingot!$H$12:$H$119,Ingot!$G$12:$G$119,"")</f>
        <v>Wood</v>
      </c>
      <c r="B4945" t="s">
        <v>9814</v>
      </c>
      <c r="C4945" t="s">
        <v>10</v>
      </c>
      <c r="D4945" t="s">
        <v>9943</v>
      </c>
      <c r="E4945" t="s">
        <v>9944</v>
      </c>
      <c r="G4945" s="1">
        <v>1.76</v>
      </c>
    </row>
    <row r="4946" spans="1:7" ht="14.25" hidden="1" customHeight="1" x14ac:dyDescent="0.45">
      <c r="A4946" t="str">
        <f>_xlfn.XLOOKUP(B4946,Ingot!$H$12:$H$119,Ingot!$G$12:$G$119,"")</f>
        <v>Wood</v>
      </c>
      <c r="B4946" t="s">
        <v>9814</v>
      </c>
      <c r="C4946" t="s">
        <v>10</v>
      </c>
      <c r="D4946" t="s">
        <v>9945</v>
      </c>
      <c r="E4946" t="s">
        <v>9946</v>
      </c>
    </row>
    <row r="4947" spans="1:7" ht="14.25" hidden="1" customHeight="1" x14ac:dyDescent="0.45">
      <c r="A4947" t="str">
        <f>_xlfn.XLOOKUP(B4947,Ingot!$H$12:$H$119,Ingot!$G$12:$G$119,"")</f>
        <v>Wood</v>
      </c>
      <c r="B4947" t="s">
        <v>9814</v>
      </c>
      <c r="C4947" t="s">
        <v>10</v>
      </c>
      <c r="D4947" t="s">
        <v>9947</v>
      </c>
      <c r="E4947" t="s">
        <v>9948</v>
      </c>
      <c r="G4947" s="1">
        <v>8.57</v>
      </c>
    </row>
    <row r="4948" spans="1:7" ht="14.25" hidden="1" customHeight="1" x14ac:dyDescent="0.45">
      <c r="A4948" t="str">
        <f>_xlfn.XLOOKUP(B4948,Ingot!$H$12:$H$119,Ingot!$G$12:$G$119,"")</f>
        <v>Wood</v>
      </c>
      <c r="B4948" t="s">
        <v>9814</v>
      </c>
      <c r="C4948" t="s">
        <v>10</v>
      </c>
      <c r="D4948" t="s">
        <v>9949</v>
      </c>
      <c r="E4948" t="s">
        <v>9950</v>
      </c>
    </row>
    <row r="4949" spans="1:7" ht="14.25" hidden="1" customHeight="1" x14ac:dyDescent="0.45">
      <c r="A4949" t="str">
        <f>_xlfn.XLOOKUP(B4949,Ingot!$H$12:$H$119,Ingot!$G$12:$G$119,"")</f>
        <v>Wood</v>
      </c>
      <c r="B4949" t="s">
        <v>9814</v>
      </c>
      <c r="C4949" t="s">
        <v>10</v>
      </c>
      <c r="D4949" t="s">
        <v>9951</v>
      </c>
      <c r="E4949" t="s">
        <v>9952</v>
      </c>
      <c r="G4949" s="1">
        <v>3.56</v>
      </c>
    </row>
    <row r="4950" spans="1:7" ht="14.25" hidden="1" customHeight="1" x14ac:dyDescent="0.45">
      <c r="A4950" t="str">
        <f>_xlfn.XLOOKUP(B4950,Ingot!$H$12:$H$119,Ingot!$G$12:$G$119,"")</f>
        <v>Wood</v>
      </c>
      <c r="B4950" t="s">
        <v>9814</v>
      </c>
      <c r="C4950" t="s">
        <v>10</v>
      </c>
      <c r="D4950" t="s">
        <v>9953</v>
      </c>
      <c r="E4950" t="s">
        <v>9954</v>
      </c>
      <c r="G4950" s="1">
        <v>8.91</v>
      </c>
    </row>
    <row r="4951" spans="1:7" ht="14.25" hidden="1" customHeight="1" x14ac:dyDescent="0.45">
      <c r="A4951" t="str">
        <f>_xlfn.XLOOKUP(B4951,Ingot!$H$12:$H$119,Ingot!$G$12:$G$119,"")</f>
        <v>Wood</v>
      </c>
      <c r="B4951" t="s">
        <v>9814</v>
      </c>
      <c r="C4951" t="s">
        <v>10</v>
      </c>
      <c r="D4951" t="s">
        <v>9955</v>
      </c>
      <c r="E4951" t="s">
        <v>9956</v>
      </c>
      <c r="G4951" s="1">
        <v>11.02</v>
      </c>
    </row>
    <row r="4952" spans="1:7" ht="14.25" hidden="1" customHeight="1" x14ac:dyDescent="0.45">
      <c r="A4952" t="str">
        <f>_xlfn.XLOOKUP(B4952,Ingot!$H$12:$H$119,Ingot!$G$12:$G$119,"")</f>
        <v>Wood</v>
      </c>
      <c r="B4952" t="s">
        <v>9814</v>
      </c>
      <c r="C4952" t="s">
        <v>10</v>
      </c>
      <c r="D4952" t="s">
        <v>9957</v>
      </c>
      <c r="E4952" t="s">
        <v>9958</v>
      </c>
      <c r="G4952" s="1">
        <v>5.12</v>
      </c>
    </row>
    <row r="4953" spans="1:7" ht="14.25" hidden="1" customHeight="1" x14ac:dyDescent="0.45">
      <c r="A4953" t="str">
        <f>_xlfn.XLOOKUP(B4953,Ingot!$H$12:$H$119,Ingot!$G$12:$G$119,"")</f>
        <v>Wood</v>
      </c>
      <c r="B4953" t="s">
        <v>9814</v>
      </c>
      <c r="C4953" t="s">
        <v>10</v>
      </c>
      <c r="D4953" t="s">
        <v>9959</v>
      </c>
      <c r="E4953" t="s">
        <v>9960</v>
      </c>
      <c r="G4953" s="1">
        <v>4.41</v>
      </c>
    </row>
    <row r="4954" spans="1:7" ht="14.25" hidden="1" customHeight="1" x14ac:dyDescent="0.45">
      <c r="A4954" t="str">
        <f>_xlfn.XLOOKUP(B4954,Ingot!$H$12:$H$119,Ingot!$G$12:$G$119,"")</f>
        <v>Wood</v>
      </c>
      <c r="B4954" t="s">
        <v>9814</v>
      </c>
      <c r="C4954" t="s">
        <v>157</v>
      </c>
      <c r="D4954" t="s">
        <v>9961</v>
      </c>
      <c r="E4954" t="s">
        <v>9962</v>
      </c>
      <c r="G4954" s="1">
        <v>25.2</v>
      </c>
    </row>
    <row r="4955" spans="1:7" ht="14.25" hidden="1" customHeight="1" x14ac:dyDescent="0.45">
      <c r="A4955" t="str">
        <f>_xlfn.XLOOKUP(B4955,Ingot!$H$12:$H$119,Ingot!$G$12:$G$119,"")</f>
        <v>Wood</v>
      </c>
      <c r="B4955" t="s">
        <v>9814</v>
      </c>
      <c r="C4955" t="s">
        <v>157</v>
      </c>
      <c r="D4955" t="s">
        <v>9963</v>
      </c>
      <c r="E4955" t="s">
        <v>9964</v>
      </c>
      <c r="G4955" s="1">
        <v>5.04</v>
      </c>
    </row>
    <row r="4956" spans="1:7" ht="14.25" hidden="1" customHeight="1" x14ac:dyDescent="0.45">
      <c r="A4956" t="str">
        <f>_xlfn.XLOOKUP(B4956,Ingot!$H$12:$H$119,Ingot!$G$12:$G$119,"")</f>
        <v>Wood</v>
      </c>
      <c r="B4956" t="s">
        <v>9814</v>
      </c>
      <c r="C4956" t="s">
        <v>157</v>
      </c>
      <c r="D4956" t="s">
        <v>9965</v>
      </c>
      <c r="E4956" t="s">
        <v>9966</v>
      </c>
      <c r="G4956" s="1">
        <v>5.04</v>
      </c>
    </row>
    <row r="4957" spans="1:7" ht="14.25" hidden="1" customHeight="1" x14ac:dyDescent="0.45">
      <c r="A4957" t="str">
        <f>_xlfn.XLOOKUP(B4957,Ingot!$H$12:$H$119,Ingot!$G$12:$G$119,"")</f>
        <v>Wood</v>
      </c>
      <c r="B4957" t="s">
        <v>9814</v>
      </c>
      <c r="C4957" t="s">
        <v>157</v>
      </c>
      <c r="D4957" t="s">
        <v>9967</v>
      </c>
      <c r="E4957" t="s">
        <v>9968</v>
      </c>
      <c r="G4957" s="1">
        <v>5</v>
      </c>
    </row>
    <row r="4958" spans="1:7" ht="14.25" hidden="1" customHeight="1" x14ac:dyDescent="0.45">
      <c r="A4958" t="str">
        <f>_xlfn.XLOOKUP(B4958,Ingot!$H$12:$H$119,Ingot!$G$12:$G$119,"")</f>
        <v>Wood</v>
      </c>
      <c r="B4958" t="s">
        <v>9814</v>
      </c>
      <c r="C4958" t="s">
        <v>157</v>
      </c>
      <c r="D4958" t="s">
        <v>9969</v>
      </c>
      <c r="E4958" t="s">
        <v>9970</v>
      </c>
      <c r="G4958" s="1">
        <v>10</v>
      </c>
    </row>
    <row r="4959" spans="1:7" ht="14.25" hidden="1" customHeight="1" x14ac:dyDescent="0.45">
      <c r="A4959" t="str">
        <f>_xlfn.XLOOKUP(B4959,Ingot!$H$12:$H$119,Ingot!$G$12:$G$119,"")</f>
        <v>Wood</v>
      </c>
      <c r="B4959" t="s">
        <v>9814</v>
      </c>
      <c r="C4959" t="s">
        <v>157</v>
      </c>
      <c r="D4959" t="s">
        <v>9971</v>
      </c>
      <c r="E4959" t="s">
        <v>9972</v>
      </c>
      <c r="G4959" s="1">
        <v>22</v>
      </c>
    </row>
    <row r="4960" spans="1:7" ht="14.25" hidden="1" customHeight="1" x14ac:dyDescent="0.45">
      <c r="A4960" t="str">
        <f>_xlfn.XLOOKUP(B4960,Ingot!$H$12:$H$119,Ingot!$G$12:$G$119,"")</f>
        <v>Wood</v>
      </c>
      <c r="B4960" t="s">
        <v>9814</v>
      </c>
      <c r="C4960" t="s">
        <v>157</v>
      </c>
      <c r="D4960" t="s">
        <v>9973</v>
      </c>
      <c r="E4960" t="s">
        <v>9974</v>
      </c>
      <c r="G4960" s="1">
        <v>5</v>
      </c>
    </row>
    <row r="4961" spans="1:7" ht="14.25" hidden="1" customHeight="1" x14ac:dyDescent="0.45">
      <c r="A4961" t="str">
        <f>_xlfn.XLOOKUP(B4961,Ingot!$H$12:$H$119,Ingot!$G$12:$G$119,"")</f>
        <v>Wood</v>
      </c>
      <c r="B4961" t="s">
        <v>9814</v>
      </c>
      <c r="C4961" t="s">
        <v>157</v>
      </c>
      <c r="D4961" t="s">
        <v>9975</v>
      </c>
      <c r="E4961" t="s">
        <v>9976</v>
      </c>
      <c r="G4961" s="1">
        <v>5</v>
      </c>
    </row>
    <row r="4962" spans="1:7" ht="14.25" hidden="1" customHeight="1" x14ac:dyDescent="0.45">
      <c r="A4962" t="str">
        <f>_xlfn.XLOOKUP(B4962,Ingot!$H$12:$H$119,Ingot!$G$12:$G$119,"")</f>
        <v>Wood</v>
      </c>
      <c r="B4962" t="s">
        <v>9814</v>
      </c>
      <c r="C4962" t="s">
        <v>157</v>
      </c>
      <c r="D4962" t="s">
        <v>9977</v>
      </c>
      <c r="E4962" t="s">
        <v>9978</v>
      </c>
      <c r="G4962" s="1">
        <v>5</v>
      </c>
    </row>
    <row r="4963" spans="1:7" ht="14.25" hidden="1" customHeight="1" x14ac:dyDescent="0.45">
      <c r="A4963" t="str">
        <f>_xlfn.XLOOKUP(B4963,Ingot!$H$12:$H$119,Ingot!$G$12:$G$119,"")</f>
        <v>Wood</v>
      </c>
      <c r="B4963" t="s">
        <v>9814</v>
      </c>
      <c r="C4963" t="s">
        <v>157</v>
      </c>
      <c r="D4963" t="s">
        <v>9979</v>
      </c>
      <c r="E4963" t="s">
        <v>9980</v>
      </c>
      <c r="G4963" s="1">
        <v>10</v>
      </c>
    </row>
    <row r="4964" spans="1:7" ht="14.25" hidden="1" customHeight="1" x14ac:dyDescent="0.45">
      <c r="A4964" t="str">
        <f>_xlfn.XLOOKUP(B4964,Ingot!$H$12:$H$119,Ingot!$G$12:$G$119,"")</f>
        <v>Wood</v>
      </c>
      <c r="B4964" t="s">
        <v>9814</v>
      </c>
      <c r="C4964" t="s">
        <v>157</v>
      </c>
      <c r="D4964" t="s">
        <v>9981</v>
      </c>
      <c r="E4964" t="s">
        <v>9982</v>
      </c>
      <c r="F4964" t="s">
        <v>180</v>
      </c>
      <c r="G4964" s="1">
        <v>21.2</v>
      </c>
    </row>
    <row r="4965" spans="1:7" ht="14.25" hidden="1" customHeight="1" x14ac:dyDescent="0.45">
      <c r="A4965" t="str">
        <f>_xlfn.XLOOKUP(B4965,Ingot!$H$12:$H$119,Ingot!$G$12:$G$119,"")</f>
        <v>Wood</v>
      </c>
      <c r="B4965" t="s">
        <v>9814</v>
      </c>
      <c r="C4965" t="s">
        <v>157</v>
      </c>
      <c r="D4965" t="s">
        <v>9983</v>
      </c>
      <c r="E4965" t="s">
        <v>9984</v>
      </c>
      <c r="F4965" t="s">
        <v>180</v>
      </c>
      <c r="G4965" s="1">
        <v>5</v>
      </c>
    </row>
    <row r="4966" spans="1:7" ht="14.25" hidden="1" customHeight="1" x14ac:dyDescent="0.45">
      <c r="A4966" t="str">
        <f>_xlfn.XLOOKUP(B4966,Ingot!$H$12:$H$119,Ingot!$G$12:$G$119,"")</f>
        <v>Wood</v>
      </c>
      <c r="B4966" t="s">
        <v>9814</v>
      </c>
      <c r="C4966" t="s">
        <v>157</v>
      </c>
      <c r="D4966" t="s">
        <v>9985</v>
      </c>
      <c r="E4966" t="s">
        <v>9986</v>
      </c>
      <c r="F4966" t="s">
        <v>180</v>
      </c>
      <c r="G4966" s="1">
        <v>5</v>
      </c>
    </row>
    <row r="4967" spans="1:7" ht="14.25" hidden="1" customHeight="1" x14ac:dyDescent="0.45">
      <c r="A4967" t="str">
        <f>_xlfn.XLOOKUP(B4967,Ingot!$H$12:$H$119,Ingot!$G$12:$G$119,"")</f>
        <v>Wood</v>
      </c>
      <c r="B4967" t="s">
        <v>9814</v>
      </c>
      <c r="C4967" t="s">
        <v>157</v>
      </c>
      <c r="D4967" t="s">
        <v>9987</v>
      </c>
      <c r="E4967" t="s">
        <v>9988</v>
      </c>
      <c r="F4967" t="s">
        <v>180</v>
      </c>
      <c r="G4967" s="1">
        <v>5</v>
      </c>
    </row>
    <row r="4968" spans="1:7" ht="14.25" hidden="1" customHeight="1" x14ac:dyDescent="0.45">
      <c r="A4968" t="str">
        <f>_xlfn.XLOOKUP(B4968,Ingot!$H$12:$H$119,Ingot!$G$12:$G$119,"")</f>
        <v>Wood</v>
      </c>
      <c r="B4968" t="s">
        <v>9814</v>
      </c>
      <c r="C4968" t="s">
        <v>157</v>
      </c>
      <c r="D4968" t="s">
        <v>9989</v>
      </c>
      <c r="E4968" t="s">
        <v>9990</v>
      </c>
      <c r="F4968" t="s">
        <v>180</v>
      </c>
      <c r="G4968" s="1">
        <v>10</v>
      </c>
    </row>
    <row r="4969" spans="1:7" ht="14.25" hidden="1" customHeight="1" x14ac:dyDescent="0.45">
      <c r="A4969" t="str">
        <f>_xlfn.XLOOKUP(B4969,Ingot!$H$12:$H$119,Ingot!$G$12:$G$119,"")</f>
        <v>Wood</v>
      </c>
      <c r="B4969" t="s">
        <v>9814</v>
      </c>
      <c r="C4969" t="s">
        <v>157</v>
      </c>
      <c r="D4969" t="s">
        <v>9991</v>
      </c>
      <c r="E4969" t="s">
        <v>9992</v>
      </c>
      <c r="G4969" s="1">
        <v>23.2</v>
      </c>
    </row>
    <row r="4970" spans="1:7" ht="14.25" hidden="1" customHeight="1" x14ac:dyDescent="0.45">
      <c r="A4970" t="str">
        <f>_xlfn.XLOOKUP(B4970,Ingot!$H$12:$H$119,Ingot!$G$12:$G$119,"")</f>
        <v>Wood</v>
      </c>
      <c r="B4970" t="s">
        <v>9814</v>
      </c>
      <c r="C4970" t="s">
        <v>157</v>
      </c>
      <c r="D4970" t="s">
        <v>9993</v>
      </c>
      <c r="E4970" t="s">
        <v>9994</v>
      </c>
      <c r="G4970" s="1">
        <v>5</v>
      </c>
    </row>
    <row r="4971" spans="1:7" ht="14.25" hidden="1" customHeight="1" x14ac:dyDescent="0.45">
      <c r="A4971" t="str">
        <f>_xlfn.XLOOKUP(B4971,Ingot!$H$12:$H$119,Ingot!$G$12:$G$119,"")</f>
        <v>Wood</v>
      </c>
      <c r="B4971" t="s">
        <v>9814</v>
      </c>
      <c r="C4971" t="s">
        <v>157</v>
      </c>
      <c r="D4971" t="s">
        <v>9995</v>
      </c>
      <c r="E4971" t="s">
        <v>9996</v>
      </c>
      <c r="G4971" s="1">
        <v>5</v>
      </c>
    </row>
    <row r="4972" spans="1:7" ht="14.25" hidden="1" customHeight="1" x14ac:dyDescent="0.45">
      <c r="A4972" t="str">
        <f>_xlfn.XLOOKUP(B4972,Ingot!$H$12:$H$119,Ingot!$G$12:$G$119,"")</f>
        <v>Wood</v>
      </c>
      <c r="B4972" t="s">
        <v>9814</v>
      </c>
      <c r="C4972" t="s">
        <v>157</v>
      </c>
      <c r="D4972" t="s">
        <v>9997</v>
      </c>
      <c r="E4972" t="s">
        <v>9998</v>
      </c>
      <c r="G4972" s="1">
        <v>5</v>
      </c>
    </row>
    <row r="4973" spans="1:7" ht="14.25" hidden="1" customHeight="1" x14ac:dyDescent="0.45">
      <c r="A4973" t="str">
        <f>_xlfn.XLOOKUP(B4973,Ingot!$H$12:$H$119,Ingot!$G$12:$G$119,"")</f>
        <v>Wood</v>
      </c>
      <c r="B4973" t="s">
        <v>9814</v>
      </c>
      <c r="C4973" t="s">
        <v>157</v>
      </c>
      <c r="D4973" t="s">
        <v>9999</v>
      </c>
      <c r="E4973" t="s">
        <v>10000</v>
      </c>
      <c r="G4973" s="1">
        <v>10</v>
      </c>
    </row>
    <row r="4974" spans="1:7" ht="14.25" hidden="1" customHeight="1" x14ac:dyDescent="0.45">
      <c r="A4974" t="str">
        <f>_xlfn.XLOOKUP(B4974,Ingot!$H$12:$H$119,Ingot!$G$12:$G$119,"")</f>
        <v>Wood</v>
      </c>
      <c r="B4974" t="s">
        <v>9814</v>
      </c>
      <c r="C4974" t="s">
        <v>157</v>
      </c>
      <c r="D4974" t="s">
        <v>10001</v>
      </c>
      <c r="E4974" t="s">
        <v>10002</v>
      </c>
      <c r="G4974" s="1">
        <v>24.2</v>
      </c>
    </row>
    <row r="4975" spans="1:7" ht="14.25" hidden="1" customHeight="1" x14ac:dyDescent="0.45">
      <c r="A4975" t="str">
        <f>_xlfn.XLOOKUP(B4975,Ingot!$H$12:$H$119,Ingot!$G$12:$G$119,"")</f>
        <v>Wood</v>
      </c>
      <c r="B4975" t="s">
        <v>9814</v>
      </c>
      <c r="C4975" t="s">
        <v>157</v>
      </c>
      <c r="D4975" t="s">
        <v>10003</v>
      </c>
      <c r="E4975" t="s">
        <v>10004</v>
      </c>
      <c r="F4975" t="s">
        <v>180</v>
      </c>
      <c r="G4975" s="1">
        <v>5</v>
      </c>
    </row>
    <row r="4976" spans="1:7" ht="14.25" hidden="1" customHeight="1" x14ac:dyDescent="0.45">
      <c r="A4976" t="str">
        <f>_xlfn.XLOOKUP(B4976,Ingot!$H$12:$H$119,Ingot!$G$12:$G$119,"")</f>
        <v>Wood</v>
      </c>
      <c r="B4976" t="s">
        <v>9814</v>
      </c>
      <c r="C4976" t="s">
        <v>157</v>
      </c>
      <c r="D4976" t="s">
        <v>10005</v>
      </c>
      <c r="E4976" t="s">
        <v>10006</v>
      </c>
      <c r="F4976" t="s">
        <v>180</v>
      </c>
      <c r="G4976" s="1">
        <v>5</v>
      </c>
    </row>
    <row r="4977" spans="1:7" ht="14.25" hidden="1" customHeight="1" x14ac:dyDescent="0.45">
      <c r="A4977" t="str">
        <f>_xlfn.XLOOKUP(B4977,Ingot!$H$12:$H$119,Ingot!$G$12:$G$119,"")</f>
        <v>Wood</v>
      </c>
      <c r="B4977" t="s">
        <v>9814</v>
      </c>
      <c r="C4977" t="s">
        <v>157</v>
      </c>
      <c r="D4977" t="s">
        <v>10007</v>
      </c>
      <c r="E4977" t="s">
        <v>10008</v>
      </c>
      <c r="F4977" t="s">
        <v>180</v>
      </c>
      <c r="G4977" s="1">
        <v>5</v>
      </c>
    </row>
    <row r="4978" spans="1:7" ht="14.25" hidden="1" customHeight="1" x14ac:dyDescent="0.45">
      <c r="A4978" t="str">
        <f>_xlfn.XLOOKUP(B4978,Ingot!$H$12:$H$119,Ingot!$G$12:$G$119,"")</f>
        <v>Wood</v>
      </c>
      <c r="B4978" t="s">
        <v>9814</v>
      </c>
      <c r="C4978" t="s">
        <v>157</v>
      </c>
      <c r="D4978" t="s">
        <v>10009</v>
      </c>
      <c r="E4978" t="s">
        <v>10010</v>
      </c>
      <c r="G4978" s="1">
        <v>10</v>
      </c>
    </row>
    <row r="4979" spans="1:7" ht="14.25" hidden="1" customHeight="1" x14ac:dyDescent="0.45">
      <c r="A4979" t="str">
        <f>_xlfn.XLOOKUP(B4979,Ingot!$H$12:$H$119,Ingot!$G$12:$G$119,"")</f>
        <v>Wood</v>
      </c>
      <c r="B4979" t="s">
        <v>9814</v>
      </c>
      <c r="C4979" t="s">
        <v>157</v>
      </c>
      <c r="D4979" t="s">
        <v>10011</v>
      </c>
      <c r="E4979" t="s">
        <v>10012</v>
      </c>
      <c r="G4979" s="1">
        <v>28</v>
      </c>
    </row>
    <row r="4980" spans="1:7" ht="14.25" hidden="1" customHeight="1" x14ac:dyDescent="0.45">
      <c r="A4980" t="str">
        <f>_xlfn.XLOOKUP(B4980,Ingot!$H$12:$H$119,Ingot!$G$12:$G$119,"")</f>
        <v>Wood</v>
      </c>
      <c r="B4980" t="s">
        <v>9814</v>
      </c>
      <c r="C4980" t="s">
        <v>157</v>
      </c>
      <c r="D4980" t="s">
        <v>10013</v>
      </c>
      <c r="E4980" t="s">
        <v>10014</v>
      </c>
      <c r="G4980" s="1">
        <v>5.6</v>
      </c>
    </row>
    <row r="4981" spans="1:7" ht="14.25" hidden="1" customHeight="1" x14ac:dyDescent="0.45">
      <c r="A4981" t="str">
        <f>_xlfn.XLOOKUP(B4981,Ingot!$H$12:$H$119,Ingot!$G$12:$G$119,"")</f>
        <v>Wood</v>
      </c>
      <c r="B4981" t="s">
        <v>9814</v>
      </c>
      <c r="C4981" t="s">
        <v>157</v>
      </c>
      <c r="D4981" t="s">
        <v>10015</v>
      </c>
      <c r="E4981" t="s">
        <v>10016</v>
      </c>
      <c r="G4981" s="1">
        <v>5.6</v>
      </c>
    </row>
    <row r="4982" spans="1:7" ht="14.25" hidden="1" customHeight="1" x14ac:dyDescent="0.45">
      <c r="A4982" t="str">
        <f>_xlfn.XLOOKUP(B4982,Ingot!$H$12:$H$119,Ingot!$G$12:$G$119,"")</f>
        <v>Wood</v>
      </c>
      <c r="B4982" t="s">
        <v>9814</v>
      </c>
      <c r="C4982" t="s">
        <v>157</v>
      </c>
      <c r="D4982" t="s">
        <v>10017</v>
      </c>
      <c r="E4982" t="s">
        <v>10018</v>
      </c>
      <c r="G4982" s="1">
        <v>5</v>
      </c>
    </row>
    <row r="4983" spans="1:7" ht="14.25" hidden="1" customHeight="1" x14ac:dyDescent="0.45">
      <c r="A4983" t="str">
        <f>_xlfn.XLOOKUP(B4983,Ingot!$H$12:$H$119,Ingot!$G$12:$G$119,"")</f>
        <v>Wood</v>
      </c>
      <c r="B4983" t="s">
        <v>9814</v>
      </c>
      <c r="C4983" t="s">
        <v>157</v>
      </c>
      <c r="D4983" t="s">
        <v>10019</v>
      </c>
      <c r="E4983" t="s">
        <v>10020</v>
      </c>
      <c r="G4983" s="1">
        <v>10</v>
      </c>
    </row>
    <row r="4984" spans="1:7" ht="14.25" hidden="1" customHeight="1" x14ac:dyDescent="0.45">
      <c r="A4984" t="str">
        <f>_xlfn.XLOOKUP(B4984,Ingot!$H$12:$H$119,Ingot!$G$12:$G$119,"")</f>
        <v>Wood</v>
      </c>
      <c r="B4984" t="s">
        <v>9814</v>
      </c>
      <c r="C4984" t="s">
        <v>157</v>
      </c>
      <c r="D4984" t="s">
        <v>10021</v>
      </c>
      <c r="E4984" t="s">
        <v>10022</v>
      </c>
      <c r="G4984" s="1">
        <v>26.7</v>
      </c>
    </row>
    <row r="4985" spans="1:7" ht="14.25" hidden="1" customHeight="1" x14ac:dyDescent="0.45">
      <c r="A4985" t="str">
        <f>_xlfn.XLOOKUP(B4985,Ingot!$H$12:$H$119,Ingot!$G$12:$G$119,"")</f>
        <v>Wood</v>
      </c>
      <c r="B4985" t="s">
        <v>9814</v>
      </c>
      <c r="C4985" t="s">
        <v>157</v>
      </c>
      <c r="D4985" t="s">
        <v>10023</v>
      </c>
      <c r="E4985" t="s">
        <v>10024</v>
      </c>
      <c r="G4985" s="1">
        <v>5.34</v>
      </c>
    </row>
    <row r="4986" spans="1:7" ht="14.25" hidden="1" customHeight="1" x14ac:dyDescent="0.45">
      <c r="A4986" t="str">
        <f>_xlfn.XLOOKUP(B4986,Ingot!$H$12:$H$119,Ingot!$G$12:$G$119,"")</f>
        <v>Wood</v>
      </c>
      <c r="B4986" t="s">
        <v>9814</v>
      </c>
      <c r="C4986" t="s">
        <v>157</v>
      </c>
      <c r="D4986" t="s">
        <v>10025</v>
      </c>
      <c r="E4986" t="s">
        <v>10026</v>
      </c>
      <c r="G4986" s="1">
        <v>5.34</v>
      </c>
    </row>
    <row r="4987" spans="1:7" ht="14.25" hidden="1" customHeight="1" x14ac:dyDescent="0.45">
      <c r="A4987" t="str">
        <f>_xlfn.XLOOKUP(B4987,Ingot!$H$12:$H$119,Ingot!$G$12:$G$119,"")</f>
        <v>Wood</v>
      </c>
      <c r="B4987" t="s">
        <v>9814</v>
      </c>
      <c r="C4987" t="s">
        <v>157</v>
      </c>
      <c r="D4987" t="s">
        <v>10027</v>
      </c>
      <c r="E4987" t="s">
        <v>10028</v>
      </c>
      <c r="G4987" s="1">
        <v>5</v>
      </c>
    </row>
    <row r="4988" spans="1:7" ht="14.25" hidden="1" customHeight="1" x14ac:dyDescent="0.45">
      <c r="A4988" t="str">
        <f>_xlfn.XLOOKUP(B4988,Ingot!$H$12:$H$119,Ingot!$G$12:$G$119,"")</f>
        <v>Wood</v>
      </c>
      <c r="B4988" t="s">
        <v>9814</v>
      </c>
      <c r="C4988" t="s">
        <v>157</v>
      </c>
      <c r="D4988" t="s">
        <v>10029</v>
      </c>
      <c r="E4988" t="s">
        <v>10030</v>
      </c>
      <c r="G4988" s="1">
        <v>10</v>
      </c>
    </row>
    <row r="4989" spans="1:7" ht="14.25" hidden="1" customHeight="1" x14ac:dyDescent="0.45">
      <c r="A4989" t="str">
        <f>_xlfn.XLOOKUP(B4989,Ingot!$H$12:$H$119,Ingot!$G$12:$G$119,"")</f>
        <v>Wood</v>
      </c>
      <c r="B4989" t="s">
        <v>9814</v>
      </c>
      <c r="C4989" t="s">
        <v>157</v>
      </c>
      <c r="D4989" t="s">
        <v>10031</v>
      </c>
      <c r="E4989" t="s">
        <v>10032</v>
      </c>
      <c r="F4989" t="s">
        <v>180</v>
      </c>
      <c r="G4989" s="1">
        <v>20.399999999999999</v>
      </c>
    </row>
    <row r="4990" spans="1:7" ht="14.25" hidden="1" customHeight="1" x14ac:dyDescent="0.45">
      <c r="A4990" t="str">
        <f>_xlfn.XLOOKUP(B4990,Ingot!$H$12:$H$119,Ingot!$G$12:$G$119,"")</f>
        <v>Wood</v>
      </c>
      <c r="B4990" t="s">
        <v>9814</v>
      </c>
      <c r="C4990" t="s">
        <v>157</v>
      </c>
      <c r="D4990" t="s">
        <v>10033</v>
      </c>
      <c r="E4990" t="s">
        <v>10034</v>
      </c>
      <c r="F4990" t="s">
        <v>180</v>
      </c>
      <c r="G4990" s="1">
        <v>5</v>
      </c>
    </row>
    <row r="4991" spans="1:7" ht="14.25" hidden="1" customHeight="1" x14ac:dyDescent="0.45">
      <c r="A4991" t="str">
        <f>_xlfn.XLOOKUP(B4991,Ingot!$H$12:$H$119,Ingot!$G$12:$G$119,"")</f>
        <v>Wood</v>
      </c>
      <c r="B4991" t="s">
        <v>9814</v>
      </c>
      <c r="C4991" t="s">
        <v>157</v>
      </c>
      <c r="D4991" t="s">
        <v>10035</v>
      </c>
      <c r="E4991" t="s">
        <v>10036</v>
      </c>
      <c r="F4991" t="s">
        <v>180</v>
      </c>
      <c r="G4991" s="1">
        <v>5</v>
      </c>
    </row>
    <row r="4992" spans="1:7" ht="14.25" hidden="1" customHeight="1" x14ac:dyDescent="0.45">
      <c r="A4992" t="str">
        <f>_xlfn.XLOOKUP(B4992,Ingot!$H$12:$H$119,Ingot!$G$12:$G$119,"")</f>
        <v>Wood</v>
      </c>
      <c r="B4992" t="s">
        <v>9814</v>
      </c>
      <c r="C4992" t="s">
        <v>157</v>
      </c>
      <c r="D4992" t="s">
        <v>10037</v>
      </c>
      <c r="E4992" t="s">
        <v>10038</v>
      </c>
      <c r="F4992" t="s">
        <v>180</v>
      </c>
      <c r="G4992" s="1">
        <v>5</v>
      </c>
    </row>
    <row r="4993" spans="1:7" ht="14.25" hidden="1" customHeight="1" x14ac:dyDescent="0.45">
      <c r="A4993" t="str">
        <f>_xlfn.XLOOKUP(B4993,Ingot!$H$12:$H$119,Ingot!$G$12:$G$119,"")</f>
        <v>Wood</v>
      </c>
      <c r="B4993" t="s">
        <v>9814</v>
      </c>
      <c r="C4993" t="s">
        <v>157</v>
      </c>
      <c r="D4993" t="s">
        <v>10039</v>
      </c>
      <c r="E4993" t="s">
        <v>10040</v>
      </c>
      <c r="F4993" t="s">
        <v>180</v>
      </c>
      <c r="G4993" s="1">
        <v>10</v>
      </c>
    </row>
    <row r="4994" spans="1:7" ht="14.25" hidden="1" customHeight="1" x14ac:dyDescent="0.45">
      <c r="A4994" t="str">
        <f>_xlfn.XLOOKUP(B4994,Ingot!$H$12:$H$119,Ingot!$G$12:$G$119,"")</f>
        <v>Wood</v>
      </c>
      <c r="B4994" t="s">
        <v>9814</v>
      </c>
      <c r="C4994" t="s">
        <v>239</v>
      </c>
      <c r="D4994" t="s">
        <v>10041</v>
      </c>
      <c r="E4994" t="s">
        <v>10042</v>
      </c>
      <c r="G4994" s="1">
        <f>(VLOOKUP(B4994,Ingot!H:I,2,FALSE()) * 0.75) * 0.75</f>
        <v>7.3125</v>
      </c>
    </row>
    <row r="4995" spans="1:7" ht="14.25" hidden="1" customHeight="1" x14ac:dyDescent="0.45">
      <c r="A4995" t="str">
        <f>_xlfn.XLOOKUP(B4995,Ingot!$H$12:$H$119,Ingot!$G$12:$G$119,"")</f>
        <v>Wood</v>
      </c>
      <c r="B4995" t="s">
        <v>9814</v>
      </c>
      <c r="C4995" t="s">
        <v>239</v>
      </c>
      <c r="D4995" t="s">
        <v>10043</v>
      </c>
      <c r="E4995" t="s">
        <v>10044</v>
      </c>
      <c r="G4995" s="1">
        <f>((VLOOKUP(B4995,Ingot!H:I,2,FALSE()) * 3) - 10.25) * 0.421875</f>
        <v>12.12890625</v>
      </c>
    </row>
    <row r="4996" spans="1:7" ht="14.25" hidden="1" customHeight="1" x14ac:dyDescent="0.45">
      <c r="A4996" t="str">
        <f>_xlfn.XLOOKUP(B4996,Ingot!$H$12:$H$119,Ingot!$G$12:$G$119,"")</f>
        <v>Wood</v>
      </c>
      <c r="B4996" t="s">
        <v>9814</v>
      </c>
      <c r="C4996" t="s">
        <v>239</v>
      </c>
      <c r="D4996" t="s">
        <v>10045</v>
      </c>
      <c r="E4996" t="s">
        <v>10046</v>
      </c>
      <c r="G4996" s="1">
        <f>((VLOOKUP(B4996,Ingot!H:I,2,FALSE()) * 3) - 10.25) * 0.75</f>
        <v>21.5625</v>
      </c>
    </row>
    <row r="4997" spans="1:7" ht="14.25" hidden="1" customHeight="1" x14ac:dyDescent="0.45">
      <c r="A4997" t="str">
        <f>_xlfn.XLOOKUP(B4997,Ingot!$H$12:$H$119,Ingot!$G$12:$G$119,"")</f>
        <v>Wood</v>
      </c>
      <c r="B4997" t="s">
        <v>9814</v>
      </c>
      <c r="C4997" t="s">
        <v>239</v>
      </c>
      <c r="D4997" t="s">
        <v>10047</v>
      </c>
      <c r="E4997" t="s">
        <v>10048</v>
      </c>
      <c r="G4997" s="1">
        <f>((VLOOKUP(B4997,Ingot!H:I,2,FALSE()) * 3) - 10.25) * 0.5625</f>
        <v>16.171875</v>
      </c>
    </row>
    <row r="4998" spans="1:7" ht="14.25" hidden="1" customHeight="1" x14ac:dyDescent="0.45">
      <c r="A4998" t="str">
        <f>_xlfn.XLOOKUP(B4998,Ingot!$H$12:$H$119,Ingot!$G$12:$G$119,"")</f>
        <v>Wood</v>
      </c>
      <c r="B4998" t="s">
        <v>9814</v>
      </c>
      <c r="C4998" t="s">
        <v>239</v>
      </c>
      <c r="D4998" t="s">
        <v>10049</v>
      </c>
      <c r="E4998" t="s">
        <v>10050</v>
      </c>
      <c r="G4998" s="1">
        <f>VLOOKUP(B4998,Ingot!H:I,2,FALSE()) * 0.75</f>
        <v>9.75</v>
      </c>
    </row>
    <row r="4999" spans="1:7" ht="14.25" hidden="1" customHeight="1" x14ac:dyDescent="0.45">
      <c r="A4999" t="str">
        <f>_xlfn.XLOOKUP(B4999,Ingot!$H$12:$H$119,Ingot!$G$12:$G$119,"")</f>
        <v>Wood</v>
      </c>
      <c r="B4999" t="s">
        <v>9814</v>
      </c>
      <c r="C4999" t="s">
        <v>239</v>
      </c>
      <c r="D4999" t="s">
        <v>10051</v>
      </c>
      <c r="E4999" t="s">
        <v>10052</v>
      </c>
      <c r="G4999" s="1">
        <f>(VLOOKUP(B4999,Ingot!H:I,2,FALSE()) * 3) - 10.25</f>
        <v>28.75</v>
      </c>
    </row>
    <row r="5000" spans="1:7" ht="14.25" hidden="1" customHeight="1" x14ac:dyDescent="0.45">
      <c r="A5000" t="str">
        <f>_xlfn.XLOOKUP(B5000,Ingot!$H$12:$H$119,Ingot!$G$12:$G$119,"")</f>
        <v>Wood</v>
      </c>
      <c r="B5000" t="s">
        <v>10053</v>
      </c>
      <c r="C5000" t="s">
        <v>10</v>
      </c>
      <c r="D5000" t="s">
        <v>10054</v>
      </c>
      <c r="E5000" t="s">
        <v>10055</v>
      </c>
      <c r="G5000" s="1">
        <v>0.08</v>
      </c>
    </row>
    <row r="5001" spans="1:7" ht="14.25" hidden="1" customHeight="1" x14ac:dyDescent="0.45">
      <c r="A5001" t="str">
        <f>_xlfn.XLOOKUP(B5001,Ingot!$H$12:$H$119,Ingot!$G$12:$G$119,"")</f>
        <v>Wood</v>
      </c>
      <c r="B5001" t="s">
        <v>10053</v>
      </c>
      <c r="C5001" t="s">
        <v>10</v>
      </c>
      <c r="D5001" t="s">
        <v>10056</v>
      </c>
      <c r="E5001" t="s">
        <v>10057</v>
      </c>
      <c r="G5001" s="1">
        <v>9.9</v>
      </c>
    </row>
    <row r="5002" spans="1:7" ht="14.25" hidden="1" customHeight="1" x14ac:dyDescent="0.45">
      <c r="A5002" t="str">
        <f>_xlfn.XLOOKUP(B5002,Ingot!$H$12:$H$119,Ingot!$G$12:$G$119,"")</f>
        <v>Wood</v>
      </c>
      <c r="B5002" t="s">
        <v>10053</v>
      </c>
      <c r="C5002" t="s">
        <v>10</v>
      </c>
      <c r="D5002" t="s">
        <v>10058</v>
      </c>
      <c r="E5002" t="s">
        <v>10059</v>
      </c>
      <c r="G5002" s="1">
        <v>5.66</v>
      </c>
    </row>
    <row r="5003" spans="1:7" ht="14.25" hidden="1" customHeight="1" x14ac:dyDescent="0.45">
      <c r="A5003" t="str">
        <f>_xlfn.XLOOKUP(B5003,Ingot!$H$12:$H$119,Ingot!$G$12:$G$119,"")</f>
        <v>Wood</v>
      </c>
      <c r="B5003" t="s">
        <v>10053</v>
      </c>
      <c r="C5003" t="s">
        <v>10</v>
      </c>
      <c r="D5003" t="s">
        <v>10060</v>
      </c>
      <c r="E5003" t="s">
        <v>10061</v>
      </c>
      <c r="G5003" s="1">
        <v>3.3</v>
      </c>
    </row>
    <row r="5004" spans="1:7" ht="14.25" hidden="1" customHeight="1" x14ac:dyDescent="0.45">
      <c r="A5004" t="str">
        <f>_xlfn.XLOOKUP(B5004,Ingot!$H$12:$H$119,Ingot!$G$12:$G$119,"")</f>
        <v>Wood</v>
      </c>
      <c r="B5004" t="s">
        <v>10053</v>
      </c>
      <c r="C5004" t="s">
        <v>10</v>
      </c>
      <c r="D5004" t="s">
        <v>10062</v>
      </c>
      <c r="E5004" t="s">
        <v>10063</v>
      </c>
      <c r="G5004" s="1">
        <v>0.66</v>
      </c>
    </row>
    <row r="5005" spans="1:7" ht="14.25" hidden="1" customHeight="1" x14ac:dyDescent="0.45">
      <c r="A5005" t="str">
        <f>_xlfn.XLOOKUP(B5005,Ingot!$H$12:$H$119,Ingot!$G$12:$G$119,"")</f>
        <v>Wood</v>
      </c>
      <c r="B5005" t="s">
        <v>10053</v>
      </c>
      <c r="C5005" t="s">
        <v>10</v>
      </c>
      <c r="D5005" t="s">
        <v>10064</v>
      </c>
      <c r="E5005" t="s">
        <v>10065</v>
      </c>
      <c r="G5005" s="1">
        <v>0.04</v>
      </c>
    </row>
    <row r="5006" spans="1:7" ht="14.25" hidden="1" customHeight="1" x14ac:dyDescent="0.45">
      <c r="A5006" t="str">
        <f>_xlfn.XLOOKUP(B5006,Ingot!$H$12:$H$119,Ingot!$G$12:$G$119,"")</f>
        <v>Wood</v>
      </c>
      <c r="B5006" t="s">
        <v>10053</v>
      </c>
      <c r="C5006" t="s">
        <v>10</v>
      </c>
      <c r="D5006" t="s">
        <v>10066</v>
      </c>
      <c r="E5006" t="s">
        <v>10067</v>
      </c>
      <c r="G5006" s="1">
        <v>0.33</v>
      </c>
    </row>
    <row r="5007" spans="1:7" ht="14.25" hidden="1" customHeight="1" x14ac:dyDescent="0.45">
      <c r="A5007" t="str">
        <f>_xlfn.XLOOKUP(B5007,Ingot!$H$12:$H$119,Ingot!$G$12:$G$119,"")</f>
        <v>Wood</v>
      </c>
      <c r="B5007" t="s">
        <v>10053</v>
      </c>
      <c r="C5007" t="s">
        <v>10</v>
      </c>
      <c r="D5007" t="s">
        <v>10068</v>
      </c>
      <c r="E5007" t="s">
        <v>10069</v>
      </c>
    </row>
    <row r="5008" spans="1:7" ht="14.25" hidden="1" customHeight="1" x14ac:dyDescent="0.45">
      <c r="A5008" t="str">
        <f>_xlfn.XLOOKUP(B5008,Ingot!$H$12:$H$119,Ingot!$G$12:$G$119,"")</f>
        <v>Wood</v>
      </c>
      <c r="B5008" t="s">
        <v>10053</v>
      </c>
      <c r="C5008" t="s">
        <v>10</v>
      </c>
      <c r="D5008" t="s">
        <v>10070</v>
      </c>
      <c r="E5008" t="s">
        <v>10071</v>
      </c>
      <c r="G5008" s="1">
        <v>0.05</v>
      </c>
    </row>
    <row r="5009" spans="1:7" ht="14.25" hidden="1" customHeight="1" x14ac:dyDescent="0.45">
      <c r="A5009" t="str">
        <f>_xlfn.XLOOKUP(B5009,Ingot!$H$12:$H$119,Ingot!$G$12:$G$119,"")</f>
        <v>Wood</v>
      </c>
      <c r="B5009" t="s">
        <v>10053</v>
      </c>
      <c r="C5009" t="s">
        <v>10</v>
      </c>
      <c r="D5009" t="s">
        <v>10072</v>
      </c>
      <c r="E5009" t="s">
        <v>10073</v>
      </c>
      <c r="G5009" s="1">
        <v>0.66</v>
      </c>
    </row>
    <row r="5010" spans="1:7" ht="14.25" hidden="1" customHeight="1" x14ac:dyDescent="0.45">
      <c r="A5010" t="str">
        <f>_xlfn.XLOOKUP(B5010,Ingot!$H$12:$H$119,Ingot!$G$12:$G$119,"")</f>
        <v>Wood</v>
      </c>
      <c r="B5010" t="s">
        <v>10053</v>
      </c>
      <c r="C5010" t="s">
        <v>10</v>
      </c>
      <c r="D5010" t="s">
        <v>10074</v>
      </c>
      <c r="E5010" t="s">
        <v>10075</v>
      </c>
      <c r="G5010" s="1">
        <v>3.96</v>
      </c>
    </row>
    <row r="5011" spans="1:7" ht="14.25" hidden="1" customHeight="1" x14ac:dyDescent="0.45">
      <c r="A5011" t="str">
        <f>_xlfn.XLOOKUP(B5011,Ingot!$H$12:$H$119,Ingot!$G$12:$G$119,"")</f>
        <v>Wood</v>
      </c>
      <c r="B5011" t="s">
        <v>10053</v>
      </c>
      <c r="C5011" t="s">
        <v>10</v>
      </c>
      <c r="D5011" t="s">
        <v>10076</v>
      </c>
      <c r="E5011" t="s">
        <v>10077</v>
      </c>
      <c r="G5011" s="1">
        <v>8.77</v>
      </c>
    </row>
    <row r="5012" spans="1:7" ht="14.25" hidden="1" customHeight="1" x14ac:dyDescent="0.45">
      <c r="A5012" t="str">
        <f>_xlfn.XLOOKUP(B5012,Ingot!$H$12:$H$119,Ingot!$G$12:$G$119,"")</f>
        <v>Wood</v>
      </c>
      <c r="B5012" t="s">
        <v>10053</v>
      </c>
      <c r="C5012" t="s">
        <v>10</v>
      </c>
      <c r="D5012" t="s">
        <v>10078</v>
      </c>
      <c r="E5012" t="s">
        <v>10079</v>
      </c>
      <c r="G5012" s="1">
        <v>3.5</v>
      </c>
    </row>
    <row r="5013" spans="1:7" ht="14.25" hidden="1" customHeight="1" x14ac:dyDescent="0.45">
      <c r="A5013" t="str">
        <f>_xlfn.XLOOKUP(B5013,Ingot!$H$12:$H$119,Ingot!$G$12:$G$119,"")</f>
        <v>Wood</v>
      </c>
      <c r="B5013" t="s">
        <v>10053</v>
      </c>
      <c r="C5013" t="s">
        <v>10</v>
      </c>
      <c r="D5013" t="s">
        <v>10080</v>
      </c>
      <c r="E5013" t="s">
        <v>10081</v>
      </c>
    </row>
    <row r="5014" spans="1:7" ht="14.25" hidden="1" customHeight="1" x14ac:dyDescent="0.45">
      <c r="A5014" t="str">
        <f>_xlfn.XLOOKUP(B5014,Ingot!$H$12:$H$119,Ingot!$G$12:$G$119,"")</f>
        <v>Wood</v>
      </c>
      <c r="B5014" t="s">
        <v>10053</v>
      </c>
      <c r="C5014" t="s">
        <v>10</v>
      </c>
      <c r="D5014" t="s">
        <v>10082</v>
      </c>
      <c r="E5014" t="s">
        <v>10083</v>
      </c>
      <c r="G5014" s="1">
        <v>2.2000000000000002</v>
      </c>
    </row>
    <row r="5015" spans="1:7" ht="14.25" hidden="1" customHeight="1" x14ac:dyDescent="0.45">
      <c r="A5015" t="str">
        <f>_xlfn.XLOOKUP(B5015,Ingot!$H$12:$H$119,Ingot!$G$12:$G$119,"")</f>
        <v>Wood</v>
      </c>
      <c r="B5015" t="s">
        <v>10053</v>
      </c>
      <c r="C5015" t="s">
        <v>10</v>
      </c>
      <c r="D5015" t="s">
        <v>10084</v>
      </c>
      <c r="E5015" t="s">
        <v>10085</v>
      </c>
      <c r="G5015" s="1">
        <v>1.1000000000000001</v>
      </c>
    </row>
    <row r="5016" spans="1:7" ht="14.25" hidden="1" customHeight="1" x14ac:dyDescent="0.45">
      <c r="A5016" t="str">
        <f>_xlfn.XLOOKUP(B5016,Ingot!$H$12:$H$119,Ingot!$G$12:$G$119,"")</f>
        <v>Wood</v>
      </c>
      <c r="B5016" t="s">
        <v>10053</v>
      </c>
      <c r="C5016" t="s">
        <v>10</v>
      </c>
      <c r="D5016" t="s">
        <v>10086</v>
      </c>
      <c r="E5016" t="s">
        <v>10087</v>
      </c>
      <c r="G5016" s="1">
        <v>0.22</v>
      </c>
    </row>
    <row r="5017" spans="1:7" ht="14.25" hidden="1" customHeight="1" x14ac:dyDescent="0.45">
      <c r="A5017" t="str">
        <f>_xlfn.XLOOKUP(B5017,Ingot!$H$12:$H$119,Ingot!$G$12:$G$119,"")</f>
        <v>Wood</v>
      </c>
      <c r="B5017" t="s">
        <v>10053</v>
      </c>
      <c r="C5017" t="s">
        <v>10</v>
      </c>
      <c r="D5017" t="s">
        <v>10088</v>
      </c>
      <c r="E5017" t="s">
        <v>10089</v>
      </c>
      <c r="G5017" s="1">
        <v>8.41</v>
      </c>
    </row>
    <row r="5018" spans="1:7" ht="14.25" hidden="1" customHeight="1" x14ac:dyDescent="0.45">
      <c r="A5018" t="str">
        <f>_xlfn.XLOOKUP(B5018,Ingot!$H$12:$H$119,Ingot!$G$12:$G$119,"")</f>
        <v>Wood</v>
      </c>
      <c r="B5018" t="s">
        <v>10053</v>
      </c>
      <c r="C5018" t="s">
        <v>10</v>
      </c>
      <c r="D5018" t="s">
        <v>10090</v>
      </c>
      <c r="E5018" t="s">
        <v>10091</v>
      </c>
      <c r="G5018" s="1">
        <v>3.64</v>
      </c>
    </row>
    <row r="5019" spans="1:7" ht="14.25" hidden="1" customHeight="1" x14ac:dyDescent="0.45">
      <c r="A5019" t="str">
        <f>_xlfn.XLOOKUP(B5019,Ingot!$H$12:$H$119,Ingot!$G$12:$G$119,"")</f>
        <v>Wood</v>
      </c>
      <c r="B5019" t="s">
        <v>10053</v>
      </c>
      <c r="C5019" t="s">
        <v>10</v>
      </c>
      <c r="D5019" t="s">
        <v>10092</v>
      </c>
      <c r="E5019" t="s">
        <v>10093</v>
      </c>
      <c r="G5019" s="1">
        <v>7.05</v>
      </c>
    </row>
    <row r="5020" spans="1:7" ht="14.25" hidden="1" customHeight="1" x14ac:dyDescent="0.45">
      <c r="A5020" t="str">
        <f>_xlfn.XLOOKUP(B5020,Ingot!$H$12:$H$119,Ingot!$G$12:$G$119,"")</f>
        <v>Wood</v>
      </c>
      <c r="B5020" t="s">
        <v>10053</v>
      </c>
      <c r="C5020" t="s">
        <v>10</v>
      </c>
      <c r="D5020" t="s">
        <v>10094</v>
      </c>
      <c r="E5020" t="s">
        <v>10095</v>
      </c>
      <c r="G5020" s="1">
        <v>2.65</v>
      </c>
    </row>
    <row r="5021" spans="1:7" ht="14.25" hidden="1" customHeight="1" x14ac:dyDescent="0.45">
      <c r="A5021" t="str">
        <f>_xlfn.XLOOKUP(B5021,Ingot!$H$12:$H$119,Ingot!$G$12:$G$119,"")</f>
        <v>Wood</v>
      </c>
      <c r="B5021" t="s">
        <v>10053</v>
      </c>
      <c r="C5021" t="s">
        <v>10</v>
      </c>
      <c r="D5021" t="s">
        <v>10096</v>
      </c>
      <c r="E5021" t="s">
        <v>10097</v>
      </c>
      <c r="G5021" s="1">
        <v>9</v>
      </c>
    </row>
    <row r="5022" spans="1:7" ht="14.25" hidden="1" customHeight="1" x14ac:dyDescent="0.45">
      <c r="A5022" t="str">
        <f>_xlfn.XLOOKUP(B5022,Ingot!$H$12:$H$119,Ingot!$G$12:$G$119,"")</f>
        <v>Wood</v>
      </c>
      <c r="B5022" t="s">
        <v>10053</v>
      </c>
      <c r="C5022" t="s">
        <v>10</v>
      </c>
      <c r="D5022" t="s">
        <v>10098</v>
      </c>
      <c r="E5022" t="s">
        <v>10099</v>
      </c>
      <c r="G5022" s="1">
        <v>10.23</v>
      </c>
    </row>
    <row r="5023" spans="1:7" ht="14.25" hidden="1" customHeight="1" x14ac:dyDescent="0.45">
      <c r="A5023" t="str">
        <f>_xlfn.XLOOKUP(B5023,Ingot!$H$12:$H$119,Ingot!$G$12:$G$119,"")</f>
        <v>Wood</v>
      </c>
      <c r="B5023" t="s">
        <v>10053</v>
      </c>
      <c r="C5023" t="s">
        <v>10</v>
      </c>
      <c r="D5023" t="s">
        <v>10100</v>
      </c>
      <c r="E5023" t="s">
        <v>10101</v>
      </c>
      <c r="G5023" s="1">
        <v>7.7</v>
      </c>
    </row>
    <row r="5024" spans="1:7" ht="14.25" hidden="1" customHeight="1" x14ac:dyDescent="0.45">
      <c r="A5024" t="str">
        <f>_xlfn.XLOOKUP(B5024,Ingot!$H$12:$H$119,Ingot!$G$12:$G$119,"")</f>
        <v>Wood</v>
      </c>
      <c r="B5024" t="s">
        <v>10053</v>
      </c>
      <c r="C5024" t="s">
        <v>10</v>
      </c>
      <c r="D5024" t="s">
        <v>10102</v>
      </c>
      <c r="E5024" t="s">
        <v>10103</v>
      </c>
      <c r="G5024" s="1">
        <v>10.02</v>
      </c>
    </row>
    <row r="5025" spans="1:7" ht="14.25" hidden="1" customHeight="1" x14ac:dyDescent="0.45">
      <c r="A5025" t="str">
        <f>_xlfn.XLOOKUP(B5025,Ingot!$H$12:$H$119,Ingot!$G$12:$G$119,"")</f>
        <v>Wood</v>
      </c>
      <c r="B5025" t="s">
        <v>10053</v>
      </c>
      <c r="C5025" t="s">
        <v>10</v>
      </c>
      <c r="D5025" t="s">
        <v>10104</v>
      </c>
      <c r="E5025" t="s">
        <v>10105</v>
      </c>
      <c r="G5025" s="1">
        <v>11.81</v>
      </c>
    </row>
    <row r="5026" spans="1:7" ht="14.25" hidden="1" customHeight="1" x14ac:dyDescent="0.45">
      <c r="A5026" t="str">
        <f>_xlfn.XLOOKUP(B5026,Ingot!$H$12:$H$119,Ingot!$G$12:$G$119,"")</f>
        <v>Wood</v>
      </c>
      <c r="B5026" t="s">
        <v>10053</v>
      </c>
      <c r="C5026" t="s">
        <v>10</v>
      </c>
      <c r="D5026" t="s">
        <v>10106</v>
      </c>
      <c r="E5026" t="s">
        <v>10107</v>
      </c>
      <c r="G5026" s="1">
        <v>8.44</v>
      </c>
    </row>
    <row r="5027" spans="1:7" ht="14.25" hidden="1" customHeight="1" x14ac:dyDescent="0.45">
      <c r="A5027" t="str">
        <f>_xlfn.XLOOKUP(B5027,Ingot!$H$12:$H$119,Ingot!$G$12:$G$119,"")</f>
        <v>Wood</v>
      </c>
      <c r="B5027" t="s">
        <v>10053</v>
      </c>
      <c r="C5027" t="s">
        <v>10</v>
      </c>
      <c r="D5027" t="s">
        <v>10108</v>
      </c>
      <c r="E5027" t="s">
        <v>10109</v>
      </c>
      <c r="G5027" s="1">
        <v>10.42</v>
      </c>
    </row>
    <row r="5028" spans="1:7" ht="14.25" hidden="1" customHeight="1" x14ac:dyDescent="0.45">
      <c r="A5028" t="str">
        <f>_xlfn.XLOOKUP(B5028,Ingot!$H$12:$H$119,Ingot!$G$12:$G$119,"")</f>
        <v>Wood</v>
      </c>
      <c r="B5028" t="s">
        <v>10053</v>
      </c>
      <c r="C5028" t="s">
        <v>10</v>
      </c>
      <c r="D5028" t="s">
        <v>10110</v>
      </c>
      <c r="E5028" t="s">
        <v>10111</v>
      </c>
    </row>
    <row r="5029" spans="1:7" ht="14.25" hidden="1" customHeight="1" x14ac:dyDescent="0.45">
      <c r="A5029" t="str">
        <f>_xlfn.XLOOKUP(B5029,Ingot!$H$12:$H$119,Ingot!$G$12:$G$119,"")</f>
        <v>Wood</v>
      </c>
      <c r="B5029" t="s">
        <v>10053</v>
      </c>
      <c r="C5029" t="s">
        <v>10</v>
      </c>
      <c r="D5029" t="s">
        <v>10112</v>
      </c>
      <c r="E5029" t="s">
        <v>10113</v>
      </c>
      <c r="G5029" s="1">
        <v>7.96</v>
      </c>
    </row>
    <row r="5030" spans="1:7" ht="14.25" hidden="1" customHeight="1" x14ac:dyDescent="0.45">
      <c r="A5030" t="str">
        <f>_xlfn.XLOOKUP(B5030,Ingot!$H$12:$H$119,Ingot!$G$12:$G$119,"")</f>
        <v>Wood</v>
      </c>
      <c r="B5030" t="s">
        <v>10053</v>
      </c>
      <c r="C5030" t="s">
        <v>10</v>
      </c>
      <c r="D5030" t="s">
        <v>10114</v>
      </c>
      <c r="E5030" t="s">
        <v>10115</v>
      </c>
      <c r="G5030" s="1">
        <v>9.64</v>
      </c>
    </row>
    <row r="5031" spans="1:7" ht="14.25" hidden="1" customHeight="1" x14ac:dyDescent="0.45">
      <c r="A5031" t="str">
        <f>_xlfn.XLOOKUP(B5031,Ingot!$H$12:$H$119,Ingot!$G$12:$G$119,"")</f>
        <v>Wood</v>
      </c>
      <c r="B5031" t="s">
        <v>10053</v>
      </c>
      <c r="C5031" t="s">
        <v>10</v>
      </c>
      <c r="D5031" t="s">
        <v>10116</v>
      </c>
      <c r="E5031" t="s">
        <v>10117</v>
      </c>
      <c r="G5031" s="1">
        <v>7.94</v>
      </c>
    </row>
    <row r="5032" spans="1:7" ht="14.25" hidden="1" customHeight="1" x14ac:dyDescent="0.45">
      <c r="A5032" t="str">
        <f>_xlfn.XLOOKUP(B5032,Ingot!$H$12:$H$119,Ingot!$G$12:$G$119,"")</f>
        <v>Wood</v>
      </c>
      <c r="B5032" t="s">
        <v>10053</v>
      </c>
      <c r="C5032" t="s">
        <v>10</v>
      </c>
      <c r="D5032" t="s">
        <v>10118</v>
      </c>
      <c r="E5032" t="s">
        <v>10119</v>
      </c>
      <c r="G5032" s="1">
        <v>8.66</v>
      </c>
    </row>
    <row r="5033" spans="1:7" ht="14.25" hidden="1" customHeight="1" x14ac:dyDescent="0.45">
      <c r="A5033" t="str">
        <f>_xlfn.XLOOKUP(B5033,Ingot!$H$12:$H$119,Ingot!$G$12:$G$119,"")</f>
        <v>Wood</v>
      </c>
      <c r="B5033" t="s">
        <v>10053</v>
      </c>
      <c r="C5033" t="s">
        <v>10</v>
      </c>
      <c r="D5033" t="s">
        <v>10120</v>
      </c>
      <c r="E5033" t="s">
        <v>10121</v>
      </c>
    </row>
    <row r="5034" spans="1:7" ht="14.25" hidden="1" customHeight="1" x14ac:dyDescent="0.45">
      <c r="A5034" t="str">
        <f>_xlfn.XLOOKUP(B5034,Ingot!$H$12:$H$119,Ingot!$G$12:$G$119,"")</f>
        <v>Wood</v>
      </c>
      <c r="B5034" t="s">
        <v>10053</v>
      </c>
      <c r="C5034" t="s">
        <v>10</v>
      </c>
      <c r="D5034" t="s">
        <v>10122</v>
      </c>
      <c r="E5034" t="s">
        <v>10123</v>
      </c>
      <c r="G5034" s="1">
        <v>2.65</v>
      </c>
    </row>
    <row r="5035" spans="1:7" ht="14.25" hidden="1" customHeight="1" x14ac:dyDescent="0.45">
      <c r="A5035" t="str">
        <f>_xlfn.XLOOKUP(B5035,Ingot!$H$12:$H$119,Ingot!$G$12:$G$119,"")</f>
        <v>Wood</v>
      </c>
      <c r="B5035" t="s">
        <v>10053</v>
      </c>
      <c r="C5035" t="s">
        <v>10</v>
      </c>
      <c r="D5035" t="s">
        <v>10124</v>
      </c>
      <c r="E5035" t="s">
        <v>10125</v>
      </c>
    </row>
    <row r="5036" spans="1:7" ht="14.25" hidden="1" customHeight="1" x14ac:dyDescent="0.45">
      <c r="A5036" t="str">
        <f>_xlfn.XLOOKUP(B5036,Ingot!$H$12:$H$119,Ingot!$G$12:$G$119,"")</f>
        <v>Wood</v>
      </c>
      <c r="B5036" t="s">
        <v>10053</v>
      </c>
      <c r="C5036" t="s">
        <v>10</v>
      </c>
      <c r="D5036" t="s">
        <v>10126</v>
      </c>
      <c r="E5036" t="s">
        <v>10127</v>
      </c>
      <c r="G5036" s="1">
        <v>12.64</v>
      </c>
    </row>
    <row r="5037" spans="1:7" ht="14.25" hidden="1" customHeight="1" x14ac:dyDescent="0.45">
      <c r="A5037" t="str">
        <f>_xlfn.XLOOKUP(B5037,Ingot!$H$12:$H$119,Ingot!$G$12:$G$119,"")</f>
        <v>Wood</v>
      </c>
      <c r="B5037" t="s">
        <v>10053</v>
      </c>
      <c r="C5037" t="s">
        <v>10</v>
      </c>
      <c r="D5037" t="s">
        <v>10128</v>
      </c>
      <c r="E5037" t="s">
        <v>10129</v>
      </c>
      <c r="G5037" s="1">
        <v>22.67</v>
      </c>
    </row>
    <row r="5038" spans="1:7" ht="14.25" hidden="1" customHeight="1" x14ac:dyDescent="0.45">
      <c r="A5038" t="str">
        <f>_xlfn.XLOOKUP(B5038,Ingot!$H$12:$H$119,Ingot!$G$12:$G$119,"")</f>
        <v>Wood</v>
      </c>
      <c r="B5038" t="s">
        <v>10053</v>
      </c>
      <c r="C5038" t="s">
        <v>10</v>
      </c>
      <c r="D5038" t="s">
        <v>10130</v>
      </c>
      <c r="E5038" t="s">
        <v>10131</v>
      </c>
      <c r="G5038" s="1">
        <v>8.3800000000000008</v>
      </c>
    </row>
    <row r="5039" spans="1:7" ht="14.25" hidden="1" customHeight="1" x14ac:dyDescent="0.45">
      <c r="A5039" t="str">
        <f>_xlfn.XLOOKUP(B5039,Ingot!$H$12:$H$119,Ingot!$G$12:$G$119,"")</f>
        <v>Wood</v>
      </c>
      <c r="B5039" t="s">
        <v>10053</v>
      </c>
      <c r="C5039" t="s">
        <v>10</v>
      </c>
      <c r="D5039" t="s">
        <v>10132</v>
      </c>
      <c r="E5039" t="s">
        <v>10133</v>
      </c>
      <c r="G5039" s="1">
        <v>2.2000000000000002</v>
      </c>
    </row>
    <row r="5040" spans="1:7" ht="14.25" hidden="1" customHeight="1" x14ac:dyDescent="0.45">
      <c r="A5040" t="str">
        <f>_xlfn.XLOOKUP(B5040,Ingot!$H$12:$H$119,Ingot!$G$12:$G$119,"")</f>
        <v>Wood</v>
      </c>
      <c r="B5040" t="s">
        <v>10053</v>
      </c>
      <c r="C5040" t="s">
        <v>10</v>
      </c>
      <c r="D5040" t="s">
        <v>10134</v>
      </c>
      <c r="E5040" t="s">
        <v>10135</v>
      </c>
      <c r="G5040" s="1">
        <v>3.09</v>
      </c>
    </row>
    <row r="5041" spans="1:7" ht="14.25" hidden="1" customHeight="1" x14ac:dyDescent="0.45">
      <c r="A5041" t="str">
        <f>_xlfn.XLOOKUP(B5041,Ingot!$H$12:$H$119,Ingot!$G$12:$G$119,"")</f>
        <v>Wood</v>
      </c>
      <c r="B5041" t="s">
        <v>10053</v>
      </c>
      <c r="C5041" t="s">
        <v>10</v>
      </c>
      <c r="D5041" t="s">
        <v>10136</v>
      </c>
      <c r="E5041" t="s">
        <v>10137</v>
      </c>
      <c r="G5041" s="1">
        <v>2.2999999999999998</v>
      </c>
    </row>
    <row r="5042" spans="1:7" ht="14.25" hidden="1" customHeight="1" x14ac:dyDescent="0.45">
      <c r="A5042" t="str">
        <f>_xlfn.XLOOKUP(B5042,Ingot!$H$12:$H$119,Ingot!$G$12:$G$119,"")</f>
        <v>Wood</v>
      </c>
      <c r="B5042" t="s">
        <v>10053</v>
      </c>
      <c r="C5042" t="s">
        <v>10</v>
      </c>
      <c r="D5042" t="s">
        <v>10138</v>
      </c>
      <c r="E5042" t="s">
        <v>10139</v>
      </c>
      <c r="G5042" s="1">
        <v>4.88</v>
      </c>
    </row>
    <row r="5043" spans="1:7" ht="14.25" hidden="1" customHeight="1" x14ac:dyDescent="0.45">
      <c r="A5043" t="str">
        <f>_xlfn.XLOOKUP(B5043,Ingot!$H$12:$H$119,Ingot!$G$12:$G$119,"")</f>
        <v>Wood</v>
      </c>
      <c r="B5043" t="s">
        <v>10053</v>
      </c>
      <c r="C5043" t="s">
        <v>10</v>
      </c>
      <c r="D5043" t="s">
        <v>10140</v>
      </c>
      <c r="E5043" t="s">
        <v>10141</v>
      </c>
      <c r="G5043" s="1">
        <v>8.43</v>
      </c>
    </row>
    <row r="5044" spans="1:7" ht="14.25" hidden="1" customHeight="1" x14ac:dyDescent="0.45">
      <c r="A5044" t="str">
        <f>_xlfn.XLOOKUP(B5044,Ingot!$H$12:$H$119,Ingot!$G$12:$G$119,"")</f>
        <v>Wood</v>
      </c>
      <c r="B5044" t="s">
        <v>10053</v>
      </c>
      <c r="C5044" t="s">
        <v>10</v>
      </c>
      <c r="D5044" t="s">
        <v>10142</v>
      </c>
      <c r="E5044" t="s">
        <v>10143</v>
      </c>
      <c r="G5044" s="1">
        <v>13.07</v>
      </c>
    </row>
    <row r="5045" spans="1:7" ht="14.25" hidden="1" customHeight="1" x14ac:dyDescent="0.45">
      <c r="A5045" t="str">
        <f>_xlfn.XLOOKUP(B5045,Ingot!$H$12:$H$119,Ingot!$G$12:$G$119,"")</f>
        <v>Wood</v>
      </c>
      <c r="B5045" t="s">
        <v>10053</v>
      </c>
      <c r="C5045" t="s">
        <v>10</v>
      </c>
      <c r="D5045" t="s">
        <v>10144</v>
      </c>
      <c r="E5045" t="s">
        <v>10145</v>
      </c>
    </row>
    <row r="5046" spans="1:7" ht="14.25" hidden="1" customHeight="1" x14ac:dyDescent="0.45">
      <c r="A5046" t="str">
        <f>_xlfn.XLOOKUP(B5046,Ingot!$H$12:$H$119,Ingot!$G$12:$G$119,"")</f>
        <v>Wood</v>
      </c>
      <c r="B5046" t="s">
        <v>10053</v>
      </c>
      <c r="C5046" t="s">
        <v>10</v>
      </c>
      <c r="D5046" t="s">
        <v>10146</v>
      </c>
      <c r="E5046" t="s">
        <v>10147</v>
      </c>
    </row>
    <row r="5047" spans="1:7" ht="14.25" hidden="1" customHeight="1" x14ac:dyDescent="0.45">
      <c r="A5047" t="str">
        <f>_xlfn.XLOOKUP(B5047,Ingot!$H$12:$H$119,Ingot!$G$12:$G$119,"")</f>
        <v>Wood</v>
      </c>
      <c r="B5047" t="s">
        <v>10053</v>
      </c>
      <c r="C5047" t="s">
        <v>10</v>
      </c>
      <c r="D5047" t="s">
        <v>10148</v>
      </c>
      <c r="E5047" t="s">
        <v>10149</v>
      </c>
      <c r="G5047" s="1">
        <v>6.8</v>
      </c>
    </row>
    <row r="5048" spans="1:7" ht="14.25" hidden="1" customHeight="1" x14ac:dyDescent="0.45">
      <c r="A5048" t="str">
        <f>_xlfn.XLOOKUP(B5048,Ingot!$H$12:$H$119,Ingot!$G$12:$G$119,"")</f>
        <v>Wood</v>
      </c>
      <c r="B5048" t="s">
        <v>10053</v>
      </c>
      <c r="C5048" t="s">
        <v>10</v>
      </c>
      <c r="D5048" t="s">
        <v>10150</v>
      </c>
      <c r="E5048" t="s">
        <v>10151</v>
      </c>
      <c r="G5048" s="1">
        <v>6.88</v>
      </c>
    </row>
    <row r="5049" spans="1:7" ht="14.25" hidden="1" customHeight="1" x14ac:dyDescent="0.45">
      <c r="A5049" t="str">
        <f>_xlfn.XLOOKUP(B5049,Ingot!$H$12:$H$119,Ingot!$G$12:$G$119,"")</f>
        <v>Wood</v>
      </c>
      <c r="B5049" t="s">
        <v>10053</v>
      </c>
      <c r="C5049" t="s">
        <v>10</v>
      </c>
      <c r="D5049" t="s">
        <v>10152</v>
      </c>
      <c r="E5049" t="s">
        <v>10153</v>
      </c>
      <c r="G5049" s="1">
        <v>5.5</v>
      </c>
    </row>
    <row r="5050" spans="1:7" ht="14.25" hidden="1" customHeight="1" x14ac:dyDescent="0.45">
      <c r="A5050" t="str">
        <f>_xlfn.XLOOKUP(B5050,Ingot!$H$12:$H$119,Ingot!$G$12:$G$119,"")</f>
        <v>Wood</v>
      </c>
      <c r="B5050" t="s">
        <v>10053</v>
      </c>
      <c r="C5050" t="s">
        <v>10</v>
      </c>
      <c r="D5050" t="s">
        <v>10154</v>
      </c>
      <c r="E5050" t="s">
        <v>10155</v>
      </c>
      <c r="G5050" s="1">
        <v>2.4300000000000002</v>
      </c>
    </row>
    <row r="5051" spans="1:7" ht="14.25" hidden="1" customHeight="1" x14ac:dyDescent="0.45">
      <c r="A5051" t="str">
        <f>_xlfn.XLOOKUP(B5051,Ingot!$H$12:$H$119,Ingot!$G$12:$G$119,"")</f>
        <v>Wood</v>
      </c>
      <c r="B5051" t="s">
        <v>10053</v>
      </c>
      <c r="C5051" t="s">
        <v>10</v>
      </c>
      <c r="D5051" t="s">
        <v>10156</v>
      </c>
      <c r="E5051" t="s">
        <v>10157</v>
      </c>
      <c r="G5051" s="1">
        <v>6.96</v>
      </c>
    </row>
    <row r="5052" spans="1:7" ht="14.25" hidden="1" customHeight="1" x14ac:dyDescent="0.45">
      <c r="A5052" t="str">
        <f>_xlfn.XLOOKUP(B5052,Ingot!$H$12:$H$119,Ingot!$G$12:$G$119,"")</f>
        <v>Wood</v>
      </c>
      <c r="B5052" t="s">
        <v>10053</v>
      </c>
      <c r="C5052" t="s">
        <v>10</v>
      </c>
      <c r="D5052" t="s">
        <v>10158</v>
      </c>
      <c r="E5052" t="s">
        <v>10159</v>
      </c>
      <c r="G5052" s="1">
        <v>6.32</v>
      </c>
    </row>
    <row r="5053" spans="1:7" ht="14.25" hidden="1" customHeight="1" x14ac:dyDescent="0.45">
      <c r="A5053" t="str">
        <f>_xlfn.XLOOKUP(B5053,Ingot!$H$12:$H$119,Ingot!$G$12:$G$119,"")</f>
        <v>Wood</v>
      </c>
      <c r="B5053" t="s">
        <v>10053</v>
      </c>
      <c r="C5053" t="s">
        <v>10</v>
      </c>
      <c r="D5053" t="s">
        <v>10160</v>
      </c>
      <c r="E5053" t="s">
        <v>10161</v>
      </c>
      <c r="G5053" s="1">
        <v>6.88</v>
      </c>
    </row>
    <row r="5054" spans="1:7" ht="14.25" hidden="1" customHeight="1" x14ac:dyDescent="0.45">
      <c r="A5054" t="str">
        <f>_xlfn.XLOOKUP(B5054,Ingot!$H$12:$H$119,Ingot!$G$12:$G$119,"")</f>
        <v>Wood</v>
      </c>
      <c r="B5054" t="s">
        <v>10053</v>
      </c>
      <c r="C5054" t="s">
        <v>10</v>
      </c>
      <c r="D5054" t="s">
        <v>10162</v>
      </c>
      <c r="E5054" t="s">
        <v>10163</v>
      </c>
      <c r="G5054" s="1">
        <v>2.44</v>
      </c>
    </row>
    <row r="5055" spans="1:7" ht="14.25" hidden="1" customHeight="1" x14ac:dyDescent="0.45">
      <c r="A5055" t="str">
        <f>_xlfn.XLOOKUP(B5055,Ingot!$H$12:$H$119,Ingot!$G$12:$G$119,"")</f>
        <v>Wood</v>
      </c>
      <c r="B5055" t="s">
        <v>10053</v>
      </c>
      <c r="C5055" t="s">
        <v>10</v>
      </c>
      <c r="D5055" t="s">
        <v>10164</v>
      </c>
      <c r="E5055" t="s">
        <v>10165</v>
      </c>
    </row>
    <row r="5056" spans="1:7" ht="14.25" hidden="1" customHeight="1" x14ac:dyDescent="0.45">
      <c r="A5056" t="str">
        <f>_xlfn.XLOOKUP(B5056,Ingot!$H$12:$H$119,Ingot!$G$12:$G$119,"")</f>
        <v>Wood</v>
      </c>
      <c r="B5056" t="s">
        <v>10053</v>
      </c>
      <c r="C5056" t="s">
        <v>10</v>
      </c>
      <c r="D5056" t="s">
        <v>10166</v>
      </c>
      <c r="E5056" t="s">
        <v>10167</v>
      </c>
    </row>
    <row r="5057" spans="1:7" ht="14.25" hidden="1" customHeight="1" x14ac:dyDescent="0.45">
      <c r="A5057" t="str">
        <f>_xlfn.XLOOKUP(B5057,Ingot!$H$12:$H$119,Ingot!$G$12:$G$119,"")</f>
        <v>Wood</v>
      </c>
      <c r="B5057" t="s">
        <v>10053</v>
      </c>
      <c r="C5057" t="s">
        <v>10</v>
      </c>
      <c r="D5057" t="s">
        <v>10168</v>
      </c>
      <c r="E5057" t="s">
        <v>10169</v>
      </c>
      <c r="G5057" s="1">
        <v>3.11</v>
      </c>
    </row>
    <row r="5058" spans="1:7" ht="14.25" hidden="1" customHeight="1" x14ac:dyDescent="0.45">
      <c r="A5058" t="str">
        <f>_xlfn.XLOOKUP(B5058,Ingot!$H$12:$H$119,Ingot!$G$12:$G$119,"")</f>
        <v>Wood</v>
      </c>
      <c r="B5058" t="s">
        <v>10053</v>
      </c>
      <c r="C5058" t="s">
        <v>10</v>
      </c>
      <c r="D5058" t="s">
        <v>10170</v>
      </c>
      <c r="E5058" t="s">
        <v>10171</v>
      </c>
      <c r="G5058" s="1">
        <v>2.44</v>
      </c>
    </row>
    <row r="5059" spans="1:7" ht="14.25" hidden="1" customHeight="1" x14ac:dyDescent="0.45">
      <c r="A5059" t="str">
        <f>_xlfn.XLOOKUP(B5059,Ingot!$H$12:$H$119,Ingot!$G$12:$G$119,"")</f>
        <v>Wood</v>
      </c>
      <c r="B5059" t="s">
        <v>10053</v>
      </c>
      <c r="C5059" t="s">
        <v>10</v>
      </c>
      <c r="D5059" t="s">
        <v>10172</v>
      </c>
      <c r="E5059" t="s">
        <v>10173</v>
      </c>
      <c r="G5059" s="1">
        <v>8.61</v>
      </c>
    </row>
    <row r="5060" spans="1:7" ht="14.25" hidden="1" customHeight="1" x14ac:dyDescent="0.45">
      <c r="A5060" t="str">
        <f>_xlfn.XLOOKUP(B5060,Ingot!$H$12:$H$119,Ingot!$G$12:$G$119,"")</f>
        <v>Wood</v>
      </c>
      <c r="B5060" t="s">
        <v>10053</v>
      </c>
      <c r="C5060" t="s">
        <v>10</v>
      </c>
      <c r="D5060" t="s">
        <v>10174</v>
      </c>
      <c r="E5060" t="s">
        <v>10175</v>
      </c>
    </row>
    <row r="5061" spans="1:7" ht="14.25" hidden="1" customHeight="1" x14ac:dyDescent="0.45">
      <c r="A5061" t="str">
        <f>_xlfn.XLOOKUP(B5061,Ingot!$H$12:$H$119,Ingot!$G$12:$G$119,"")</f>
        <v>Wood</v>
      </c>
      <c r="B5061" t="s">
        <v>10053</v>
      </c>
      <c r="C5061" t="s">
        <v>10</v>
      </c>
      <c r="D5061" t="s">
        <v>10176</v>
      </c>
      <c r="E5061" t="s">
        <v>10177</v>
      </c>
      <c r="G5061" s="1">
        <v>3.21</v>
      </c>
    </row>
    <row r="5062" spans="1:7" ht="14.25" hidden="1" customHeight="1" x14ac:dyDescent="0.45">
      <c r="A5062" t="str">
        <f>_xlfn.XLOOKUP(B5062,Ingot!$H$12:$H$119,Ingot!$G$12:$G$119,"")</f>
        <v>Wood</v>
      </c>
      <c r="B5062" t="s">
        <v>10053</v>
      </c>
      <c r="C5062" t="s">
        <v>10</v>
      </c>
      <c r="D5062" t="s">
        <v>10178</v>
      </c>
      <c r="E5062" t="s">
        <v>10179</v>
      </c>
      <c r="G5062" s="1">
        <v>2.77</v>
      </c>
    </row>
    <row r="5063" spans="1:7" ht="14.25" hidden="1" customHeight="1" x14ac:dyDescent="0.45">
      <c r="A5063" t="str">
        <f>_xlfn.XLOOKUP(B5063,Ingot!$H$12:$H$119,Ingot!$G$12:$G$119,"")</f>
        <v>Wood</v>
      </c>
      <c r="B5063" t="s">
        <v>10053</v>
      </c>
      <c r="C5063" t="s">
        <v>10</v>
      </c>
      <c r="D5063" t="s">
        <v>10180</v>
      </c>
      <c r="E5063" t="s">
        <v>10181</v>
      </c>
      <c r="G5063" s="1">
        <v>4.8899999999999997</v>
      </c>
    </row>
    <row r="5064" spans="1:7" ht="14.25" hidden="1" customHeight="1" x14ac:dyDescent="0.45">
      <c r="A5064" t="str">
        <f>_xlfn.XLOOKUP(B5064,Ingot!$H$12:$H$119,Ingot!$G$12:$G$119,"")</f>
        <v>Wood</v>
      </c>
      <c r="B5064" t="s">
        <v>10053</v>
      </c>
      <c r="C5064" t="s">
        <v>10</v>
      </c>
      <c r="D5064" t="s">
        <v>10182</v>
      </c>
      <c r="E5064" t="s">
        <v>10183</v>
      </c>
      <c r="G5064" s="1">
        <v>1.76</v>
      </c>
    </row>
    <row r="5065" spans="1:7" ht="14.25" hidden="1" customHeight="1" x14ac:dyDescent="0.45">
      <c r="A5065" t="str">
        <f>_xlfn.XLOOKUP(B5065,Ingot!$H$12:$H$119,Ingot!$G$12:$G$119,"")</f>
        <v>Wood</v>
      </c>
      <c r="B5065" t="s">
        <v>10053</v>
      </c>
      <c r="C5065" t="s">
        <v>10</v>
      </c>
      <c r="D5065" t="s">
        <v>10184</v>
      </c>
      <c r="E5065" t="s">
        <v>10185</v>
      </c>
    </row>
    <row r="5066" spans="1:7" ht="14.25" hidden="1" customHeight="1" x14ac:dyDescent="0.45">
      <c r="A5066" t="str">
        <f>_xlfn.XLOOKUP(B5066,Ingot!$H$12:$H$119,Ingot!$G$12:$G$119,"")</f>
        <v>Wood</v>
      </c>
      <c r="B5066" t="s">
        <v>10053</v>
      </c>
      <c r="C5066" t="s">
        <v>10</v>
      </c>
      <c r="D5066" t="s">
        <v>10186</v>
      </c>
      <c r="E5066" t="s">
        <v>10187</v>
      </c>
      <c r="G5066" s="1">
        <v>8.57</v>
      </c>
    </row>
    <row r="5067" spans="1:7" ht="14.25" hidden="1" customHeight="1" x14ac:dyDescent="0.45">
      <c r="A5067" t="str">
        <f>_xlfn.XLOOKUP(B5067,Ingot!$H$12:$H$119,Ingot!$G$12:$G$119,"")</f>
        <v>Wood</v>
      </c>
      <c r="B5067" t="s">
        <v>10053</v>
      </c>
      <c r="C5067" t="s">
        <v>10</v>
      </c>
      <c r="D5067" t="s">
        <v>10188</v>
      </c>
      <c r="E5067" t="s">
        <v>10189</v>
      </c>
    </row>
    <row r="5068" spans="1:7" ht="14.25" hidden="1" customHeight="1" x14ac:dyDescent="0.45">
      <c r="A5068" t="str">
        <f>_xlfn.XLOOKUP(B5068,Ingot!$H$12:$H$119,Ingot!$G$12:$G$119,"")</f>
        <v>Wood</v>
      </c>
      <c r="B5068" t="s">
        <v>10053</v>
      </c>
      <c r="C5068" t="s">
        <v>10</v>
      </c>
      <c r="D5068" t="s">
        <v>10190</v>
      </c>
      <c r="E5068" t="s">
        <v>10191</v>
      </c>
      <c r="G5068" s="1">
        <v>3.56</v>
      </c>
    </row>
    <row r="5069" spans="1:7" ht="14.25" hidden="1" customHeight="1" x14ac:dyDescent="0.45">
      <c r="A5069" t="str">
        <f>_xlfn.XLOOKUP(B5069,Ingot!$H$12:$H$119,Ingot!$G$12:$G$119,"")</f>
        <v>Wood</v>
      </c>
      <c r="B5069" t="s">
        <v>10053</v>
      </c>
      <c r="C5069" t="s">
        <v>10</v>
      </c>
      <c r="D5069" t="s">
        <v>10192</v>
      </c>
      <c r="E5069" t="s">
        <v>10193</v>
      </c>
      <c r="G5069" s="1">
        <v>8.91</v>
      </c>
    </row>
    <row r="5070" spans="1:7" ht="14.25" hidden="1" customHeight="1" x14ac:dyDescent="0.45">
      <c r="A5070" t="str">
        <f>_xlfn.XLOOKUP(B5070,Ingot!$H$12:$H$119,Ingot!$G$12:$G$119,"")</f>
        <v>Wood</v>
      </c>
      <c r="B5070" t="s">
        <v>10053</v>
      </c>
      <c r="C5070" t="s">
        <v>10</v>
      </c>
      <c r="D5070" t="s">
        <v>10194</v>
      </c>
      <c r="E5070" t="s">
        <v>10195</v>
      </c>
      <c r="G5070" s="1">
        <v>11.02</v>
      </c>
    </row>
    <row r="5071" spans="1:7" ht="14.25" hidden="1" customHeight="1" x14ac:dyDescent="0.45">
      <c r="A5071" t="str">
        <f>_xlfn.XLOOKUP(B5071,Ingot!$H$12:$H$119,Ingot!$G$12:$G$119,"")</f>
        <v>Wood</v>
      </c>
      <c r="B5071" t="s">
        <v>10053</v>
      </c>
      <c r="C5071" t="s">
        <v>10</v>
      </c>
      <c r="D5071" t="s">
        <v>10196</v>
      </c>
      <c r="E5071" t="s">
        <v>10197</v>
      </c>
      <c r="G5071" s="1">
        <v>5.12</v>
      </c>
    </row>
    <row r="5072" spans="1:7" ht="14.25" hidden="1" customHeight="1" x14ac:dyDescent="0.45">
      <c r="A5072" t="str">
        <f>_xlfn.XLOOKUP(B5072,Ingot!$H$12:$H$119,Ingot!$G$12:$G$119,"")</f>
        <v>Wood</v>
      </c>
      <c r="B5072" t="s">
        <v>10053</v>
      </c>
      <c r="C5072" t="s">
        <v>10</v>
      </c>
      <c r="D5072" t="s">
        <v>10198</v>
      </c>
      <c r="E5072" t="s">
        <v>10199</v>
      </c>
      <c r="G5072" s="1">
        <v>4.41</v>
      </c>
    </row>
    <row r="5073" spans="1:7" ht="14.25" hidden="1" customHeight="1" x14ac:dyDescent="0.45">
      <c r="A5073" t="str">
        <f>_xlfn.XLOOKUP(B5073,Ingot!$H$12:$H$119,Ingot!$G$12:$G$119,"")</f>
        <v>Wood</v>
      </c>
      <c r="B5073" t="s">
        <v>10053</v>
      </c>
      <c r="C5073" t="s">
        <v>157</v>
      </c>
      <c r="D5073" t="s">
        <v>10200</v>
      </c>
      <c r="E5073" t="s">
        <v>10201</v>
      </c>
      <c r="G5073" s="1">
        <v>22.8</v>
      </c>
    </row>
    <row r="5074" spans="1:7" ht="14.25" hidden="1" customHeight="1" x14ac:dyDescent="0.45">
      <c r="A5074" t="str">
        <f>_xlfn.XLOOKUP(B5074,Ingot!$H$12:$H$119,Ingot!$G$12:$G$119,"")</f>
        <v>Wood</v>
      </c>
      <c r="B5074" t="s">
        <v>10053</v>
      </c>
      <c r="C5074" t="s">
        <v>157</v>
      </c>
      <c r="D5074" t="s">
        <v>10202</v>
      </c>
      <c r="E5074" t="s">
        <v>10203</v>
      </c>
      <c r="G5074" s="1">
        <v>5</v>
      </c>
    </row>
    <row r="5075" spans="1:7" ht="14.25" hidden="1" customHeight="1" x14ac:dyDescent="0.45">
      <c r="A5075" t="str">
        <f>_xlfn.XLOOKUP(B5075,Ingot!$H$12:$H$119,Ingot!$G$12:$G$119,"")</f>
        <v>Wood</v>
      </c>
      <c r="B5075" t="s">
        <v>10053</v>
      </c>
      <c r="C5075" t="s">
        <v>157</v>
      </c>
      <c r="D5075" t="s">
        <v>10204</v>
      </c>
      <c r="E5075" t="s">
        <v>10205</v>
      </c>
      <c r="G5075" s="1">
        <v>5</v>
      </c>
    </row>
    <row r="5076" spans="1:7" ht="14.25" hidden="1" customHeight="1" x14ac:dyDescent="0.45">
      <c r="A5076" t="str">
        <f>_xlfn.XLOOKUP(B5076,Ingot!$H$12:$H$119,Ingot!$G$12:$G$119,"")</f>
        <v>Wood</v>
      </c>
      <c r="B5076" t="s">
        <v>10053</v>
      </c>
      <c r="C5076" t="s">
        <v>157</v>
      </c>
      <c r="D5076" t="s">
        <v>10206</v>
      </c>
      <c r="E5076" t="s">
        <v>10207</v>
      </c>
      <c r="G5076" s="1">
        <v>5</v>
      </c>
    </row>
    <row r="5077" spans="1:7" ht="14.25" hidden="1" customHeight="1" x14ac:dyDescent="0.45">
      <c r="A5077" t="str">
        <f>_xlfn.XLOOKUP(B5077,Ingot!$H$12:$H$119,Ingot!$G$12:$G$119,"")</f>
        <v>Wood</v>
      </c>
      <c r="B5077" t="s">
        <v>10053</v>
      </c>
      <c r="C5077" t="s">
        <v>157</v>
      </c>
      <c r="D5077" t="s">
        <v>10208</v>
      </c>
      <c r="E5077" t="s">
        <v>10209</v>
      </c>
      <c r="G5077" s="1">
        <v>10</v>
      </c>
    </row>
    <row r="5078" spans="1:7" ht="14.25" hidden="1" customHeight="1" x14ac:dyDescent="0.45">
      <c r="A5078" t="str">
        <f>_xlfn.XLOOKUP(B5078,Ingot!$H$12:$H$119,Ingot!$G$12:$G$119,"")</f>
        <v>Wood</v>
      </c>
      <c r="B5078" t="s">
        <v>10053</v>
      </c>
      <c r="C5078" t="s">
        <v>157</v>
      </c>
      <c r="D5078" t="s">
        <v>10210</v>
      </c>
      <c r="E5078" t="s">
        <v>10211</v>
      </c>
      <c r="G5078" s="1">
        <v>19.600000000000001</v>
      </c>
    </row>
    <row r="5079" spans="1:7" ht="14.25" hidden="1" customHeight="1" x14ac:dyDescent="0.45">
      <c r="A5079" t="str">
        <f>_xlfn.XLOOKUP(B5079,Ingot!$H$12:$H$119,Ingot!$G$12:$G$119,"")</f>
        <v>Wood</v>
      </c>
      <c r="B5079" t="s">
        <v>10053</v>
      </c>
      <c r="C5079" t="s">
        <v>157</v>
      </c>
      <c r="D5079" t="s">
        <v>10212</v>
      </c>
      <c r="E5079" t="s">
        <v>10213</v>
      </c>
      <c r="G5079" s="1">
        <v>5</v>
      </c>
    </row>
    <row r="5080" spans="1:7" ht="14.25" hidden="1" customHeight="1" x14ac:dyDescent="0.45">
      <c r="A5080" t="str">
        <f>_xlfn.XLOOKUP(B5080,Ingot!$H$12:$H$119,Ingot!$G$12:$G$119,"")</f>
        <v>Wood</v>
      </c>
      <c r="B5080" t="s">
        <v>10053</v>
      </c>
      <c r="C5080" t="s">
        <v>157</v>
      </c>
      <c r="D5080" t="s">
        <v>10214</v>
      </c>
      <c r="E5080" t="s">
        <v>10215</v>
      </c>
      <c r="G5080" s="1">
        <v>5</v>
      </c>
    </row>
    <row r="5081" spans="1:7" ht="14.25" hidden="1" customHeight="1" x14ac:dyDescent="0.45">
      <c r="A5081" t="str">
        <f>_xlfn.XLOOKUP(B5081,Ingot!$H$12:$H$119,Ingot!$G$12:$G$119,"")</f>
        <v>Wood</v>
      </c>
      <c r="B5081" t="s">
        <v>10053</v>
      </c>
      <c r="C5081" t="s">
        <v>157</v>
      </c>
      <c r="D5081" t="s">
        <v>10216</v>
      </c>
      <c r="E5081" t="s">
        <v>10217</v>
      </c>
      <c r="G5081" s="1">
        <v>5</v>
      </c>
    </row>
    <row r="5082" spans="1:7" ht="14.25" hidden="1" customHeight="1" x14ac:dyDescent="0.45">
      <c r="A5082" t="str">
        <f>_xlfn.XLOOKUP(B5082,Ingot!$H$12:$H$119,Ingot!$G$12:$G$119,"")</f>
        <v>Wood</v>
      </c>
      <c r="B5082" t="s">
        <v>10053</v>
      </c>
      <c r="C5082" t="s">
        <v>157</v>
      </c>
      <c r="D5082" t="s">
        <v>10218</v>
      </c>
      <c r="E5082" t="s">
        <v>10219</v>
      </c>
      <c r="G5082" s="1">
        <v>10</v>
      </c>
    </row>
    <row r="5083" spans="1:7" ht="14.25" hidden="1" customHeight="1" x14ac:dyDescent="0.45">
      <c r="A5083" t="str">
        <f>_xlfn.XLOOKUP(B5083,Ingot!$H$12:$H$119,Ingot!$G$12:$G$119,"")</f>
        <v>Wood</v>
      </c>
      <c r="B5083" t="s">
        <v>10053</v>
      </c>
      <c r="C5083" t="s">
        <v>157</v>
      </c>
      <c r="D5083" t="s">
        <v>10220</v>
      </c>
      <c r="E5083" t="s">
        <v>10221</v>
      </c>
      <c r="F5083" t="s">
        <v>180</v>
      </c>
      <c r="G5083" s="1">
        <v>18.8</v>
      </c>
    </row>
    <row r="5084" spans="1:7" ht="14.25" hidden="1" customHeight="1" x14ac:dyDescent="0.45">
      <c r="A5084" t="str">
        <f>_xlfn.XLOOKUP(B5084,Ingot!$H$12:$H$119,Ingot!$G$12:$G$119,"")</f>
        <v>Wood</v>
      </c>
      <c r="B5084" t="s">
        <v>10053</v>
      </c>
      <c r="C5084" t="s">
        <v>157</v>
      </c>
      <c r="D5084" t="s">
        <v>10222</v>
      </c>
      <c r="E5084" t="s">
        <v>10223</v>
      </c>
      <c r="F5084" t="s">
        <v>180</v>
      </c>
      <c r="G5084" s="1">
        <v>5</v>
      </c>
    </row>
    <row r="5085" spans="1:7" ht="14.25" hidden="1" customHeight="1" x14ac:dyDescent="0.45">
      <c r="A5085" t="str">
        <f>_xlfn.XLOOKUP(B5085,Ingot!$H$12:$H$119,Ingot!$G$12:$G$119,"")</f>
        <v>Wood</v>
      </c>
      <c r="B5085" t="s">
        <v>10053</v>
      </c>
      <c r="C5085" t="s">
        <v>157</v>
      </c>
      <c r="D5085" t="s">
        <v>10224</v>
      </c>
      <c r="E5085" t="s">
        <v>10225</v>
      </c>
      <c r="F5085" t="s">
        <v>180</v>
      </c>
      <c r="G5085" s="1">
        <v>5</v>
      </c>
    </row>
    <row r="5086" spans="1:7" ht="14.25" hidden="1" customHeight="1" x14ac:dyDescent="0.45">
      <c r="A5086" t="str">
        <f>_xlfn.XLOOKUP(B5086,Ingot!$H$12:$H$119,Ingot!$G$12:$G$119,"")</f>
        <v>Wood</v>
      </c>
      <c r="B5086" t="s">
        <v>10053</v>
      </c>
      <c r="C5086" t="s">
        <v>157</v>
      </c>
      <c r="D5086" t="s">
        <v>10226</v>
      </c>
      <c r="E5086" t="s">
        <v>10227</v>
      </c>
      <c r="F5086" t="s">
        <v>180</v>
      </c>
      <c r="G5086" s="1">
        <v>5</v>
      </c>
    </row>
    <row r="5087" spans="1:7" ht="14.25" hidden="1" customHeight="1" x14ac:dyDescent="0.45">
      <c r="A5087" t="str">
        <f>_xlfn.XLOOKUP(B5087,Ingot!$H$12:$H$119,Ingot!$G$12:$G$119,"")</f>
        <v>Wood</v>
      </c>
      <c r="B5087" t="s">
        <v>10053</v>
      </c>
      <c r="C5087" t="s">
        <v>157</v>
      </c>
      <c r="D5087" t="s">
        <v>10228</v>
      </c>
      <c r="E5087" t="s">
        <v>10229</v>
      </c>
      <c r="F5087" t="s">
        <v>180</v>
      </c>
      <c r="G5087" s="1">
        <v>10</v>
      </c>
    </row>
    <row r="5088" spans="1:7" ht="14.25" hidden="1" customHeight="1" x14ac:dyDescent="0.45">
      <c r="A5088" t="str">
        <f>_xlfn.XLOOKUP(B5088,Ingot!$H$12:$H$119,Ingot!$G$12:$G$119,"")</f>
        <v>Wood</v>
      </c>
      <c r="B5088" t="s">
        <v>10053</v>
      </c>
      <c r="C5088" t="s">
        <v>157</v>
      </c>
      <c r="D5088" t="s">
        <v>10230</v>
      </c>
      <c r="E5088" t="s">
        <v>10231</v>
      </c>
      <c r="G5088" s="1">
        <v>20.8</v>
      </c>
    </row>
    <row r="5089" spans="1:7" ht="14.25" hidden="1" customHeight="1" x14ac:dyDescent="0.45">
      <c r="A5089" t="str">
        <f>_xlfn.XLOOKUP(B5089,Ingot!$H$12:$H$119,Ingot!$G$12:$G$119,"")</f>
        <v>Wood</v>
      </c>
      <c r="B5089" t="s">
        <v>10053</v>
      </c>
      <c r="C5089" t="s">
        <v>157</v>
      </c>
      <c r="D5089" t="s">
        <v>10232</v>
      </c>
      <c r="E5089" t="s">
        <v>10233</v>
      </c>
      <c r="G5089" s="1">
        <v>5</v>
      </c>
    </row>
    <row r="5090" spans="1:7" ht="14.25" hidden="1" customHeight="1" x14ac:dyDescent="0.45">
      <c r="A5090" t="str">
        <f>_xlfn.XLOOKUP(B5090,Ingot!$H$12:$H$119,Ingot!$G$12:$G$119,"")</f>
        <v>Wood</v>
      </c>
      <c r="B5090" t="s">
        <v>10053</v>
      </c>
      <c r="C5090" t="s">
        <v>157</v>
      </c>
      <c r="D5090" t="s">
        <v>10234</v>
      </c>
      <c r="E5090" t="s">
        <v>10235</v>
      </c>
      <c r="G5090" s="1">
        <v>5</v>
      </c>
    </row>
    <row r="5091" spans="1:7" ht="14.25" hidden="1" customHeight="1" x14ac:dyDescent="0.45">
      <c r="A5091" t="str">
        <f>_xlfn.XLOOKUP(B5091,Ingot!$H$12:$H$119,Ingot!$G$12:$G$119,"")</f>
        <v>Wood</v>
      </c>
      <c r="B5091" t="s">
        <v>10053</v>
      </c>
      <c r="C5091" t="s">
        <v>157</v>
      </c>
      <c r="D5091" t="s">
        <v>10236</v>
      </c>
      <c r="E5091" t="s">
        <v>10237</v>
      </c>
      <c r="G5091" s="1">
        <v>5</v>
      </c>
    </row>
    <row r="5092" spans="1:7" ht="14.25" hidden="1" customHeight="1" x14ac:dyDescent="0.45">
      <c r="A5092" t="str">
        <f>_xlfn.XLOOKUP(B5092,Ingot!$H$12:$H$119,Ingot!$G$12:$G$119,"")</f>
        <v>Wood</v>
      </c>
      <c r="B5092" t="s">
        <v>10053</v>
      </c>
      <c r="C5092" t="s">
        <v>157</v>
      </c>
      <c r="D5092" t="s">
        <v>10238</v>
      </c>
      <c r="E5092" t="s">
        <v>10239</v>
      </c>
      <c r="G5092" s="1">
        <v>10</v>
      </c>
    </row>
    <row r="5093" spans="1:7" ht="14.25" hidden="1" customHeight="1" x14ac:dyDescent="0.45">
      <c r="A5093" t="str">
        <f>_xlfn.XLOOKUP(B5093,Ingot!$H$12:$H$119,Ingot!$G$12:$G$119,"")</f>
        <v>Wood</v>
      </c>
      <c r="B5093" t="s">
        <v>10053</v>
      </c>
      <c r="C5093" t="s">
        <v>157</v>
      </c>
      <c r="D5093" t="s">
        <v>10240</v>
      </c>
      <c r="E5093" t="s">
        <v>10241</v>
      </c>
      <c r="G5093" s="1">
        <v>21.8</v>
      </c>
    </row>
    <row r="5094" spans="1:7" ht="14.25" hidden="1" customHeight="1" x14ac:dyDescent="0.45">
      <c r="A5094" t="str">
        <f>_xlfn.XLOOKUP(B5094,Ingot!$H$12:$H$119,Ingot!$G$12:$G$119,"")</f>
        <v>Wood</v>
      </c>
      <c r="B5094" t="s">
        <v>10053</v>
      </c>
      <c r="C5094" t="s">
        <v>157</v>
      </c>
      <c r="D5094" t="s">
        <v>10242</v>
      </c>
      <c r="E5094" t="s">
        <v>10243</v>
      </c>
      <c r="F5094" t="s">
        <v>180</v>
      </c>
      <c r="G5094" s="1">
        <v>5</v>
      </c>
    </row>
    <row r="5095" spans="1:7" ht="14.25" hidden="1" customHeight="1" x14ac:dyDescent="0.45">
      <c r="A5095" t="str">
        <f>_xlfn.XLOOKUP(B5095,Ingot!$H$12:$H$119,Ingot!$G$12:$G$119,"")</f>
        <v>Wood</v>
      </c>
      <c r="B5095" t="s">
        <v>10053</v>
      </c>
      <c r="C5095" t="s">
        <v>157</v>
      </c>
      <c r="D5095" t="s">
        <v>10244</v>
      </c>
      <c r="E5095" t="s">
        <v>10245</v>
      </c>
      <c r="F5095" t="s">
        <v>180</v>
      </c>
      <c r="G5095" s="1">
        <v>5</v>
      </c>
    </row>
    <row r="5096" spans="1:7" ht="14.25" hidden="1" customHeight="1" x14ac:dyDescent="0.45">
      <c r="A5096" t="str">
        <f>_xlfn.XLOOKUP(B5096,Ingot!$H$12:$H$119,Ingot!$G$12:$G$119,"")</f>
        <v>Wood</v>
      </c>
      <c r="B5096" t="s">
        <v>10053</v>
      </c>
      <c r="C5096" t="s">
        <v>157</v>
      </c>
      <c r="D5096" t="s">
        <v>10246</v>
      </c>
      <c r="E5096" t="s">
        <v>10247</v>
      </c>
      <c r="F5096" t="s">
        <v>180</v>
      </c>
      <c r="G5096" s="1">
        <v>5</v>
      </c>
    </row>
    <row r="5097" spans="1:7" ht="14.25" hidden="1" customHeight="1" x14ac:dyDescent="0.45">
      <c r="A5097" t="str">
        <f>_xlfn.XLOOKUP(B5097,Ingot!$H$12:$H$119,Ingot!$G$12:$G$119,"")</f>
        <v>Wood</v>
      </c>
      <c r="B5097" t="s">
        <v>10053</v>
      </c>
      <c r="C5097" t="s">
        <v>157</v>
      </c>
      <c r="D5097" t="s">
        <v>10248</v>
      </c>
      <c r="E5097" t="s">
        <v>10249</v>
      </c>
      <c r="G5097" s="1">
        <v>10</v>
      </c>
    </row>
    <row r="5098" spans="1:7" ht="14.25" hidden="1" customHeight="1" x14ac:dyDescent="0.45">
      <c r="A5098" t="str">
        <f>_xlfn.XLOOKUP(B5098,Ingot!$H$12:$H$119,Ingot!$G$12:$G$119,"")</f>
        <v>Wood</v>
      </c>
      <c r="B5098" t="s">
        <v>10053</v>
      </c>
      <c r="C5098" t="s">
        <v>157</v>
      </c>
      <c r="D5098" t="s">
        <v>10250</v>
      </c>
      <c r="E5098" t="s">
        <v>10251</v>
      </c>
      <c r="G5098" s="1">
        <v>25.6</v>
      </c>
    </row>
    <row r="5099" spans="1:7" ht="14.25" hidden="1" customHeight="1" x14ac:dyDescent="0.45">
      <c r="A5099" t="str">
        <f>_xlfn.XLOOKUP(B5099,Ingot!$H$12:$H$119,Ingot!$G$12:$G$119,"")</f>
        <v>Wood</v>
      </c>
      <c r="B5099" t="s">
        <v>10053</v>
      </c>
      <c r="C5099" t="s">
        <v>157</v>
      </c>
      <c r="D5099" t="s">
        <v>10252</v>
      </c>
      <c r="E5099" t="s">
        <v>10253</v>
      </c>
      <c r="G5099" s="1">
        <v>5.12</v>
      </c>
    </row>
    <row r="5100" spans="1:7" ht="14.25" hidden="1" customHeight="1" x14ac:dyDescent="0.45">
      <c r="A5100" t="str">
        <f>_xlfn.XLOOKUP(B5100,Ingot!$H$12:$H$119,Ingot!$G$12:$G$119,"")</f>
        <v>Wood</v>
      </c>
      <c r="B5100" t="s">
        <v>10053</v>
      </c>
      <c r="C5100" t="s">
        <v>157</v>
      </c>
      <c r="D5100" t="s">
        <v>10254</v>
      </c>
      <c r="E5100" t="s">
        <v>10255</v>
      </c>
      <c r="G5100" s="1">
        <v>5.12</v>
      </c>
    </row>
    <row r="5101" spans="1:7" ht="14.25" hidden="1" customHeight="1" x14ac:dyDescent="0.45">
      <c r="A5101" t="str">
        <f>_xlfn.XLOOKUP(B5101,Ingot!$H$12:$H$119,Ingot!$G$12:$G$119,"")</f>
        <v>Wood</v>
      </c>
      <c r="B5101" t="s">
        <v>10053</v>
      </c>
      <c r="C5101" t="s">
        <v>157</v>
      </c>
      <c r="D5101" t="s">
        <v>10256</v>
      </c>
      <c r="E5101" t="s">
        <v>10257</v>
      </c>
      <c r="G5101" s="1">
        <v>5</v>
      </c>
    </row>
    <row r="5102" spans="1:7" ht="14.25" hidden="1" customHeight="1" x14ac:dyDescent="0.45">
      <c r="A5102" t="str">
        <f>_xlfn.XLOOKUP(B5102,Ingot!$H$12:$H$119,Ingot!$G$12:$G$119,"")</f>
        <v>Wood</v>
      </c>
      <c r="B5102" t="s">
        <v>10053</v>
      </c>
      <c r="C5102" t="s">
        <v>157</v>
      </c>
      <c r="D5102" t="s">
        <v>10258</v>
      </c>
      <c r="E5102" t="s">
        <v>10259</v>
      </c>
      <c r="G5102" s="1">
        <v>10</v>
      </c>
    </row>
    <row r="5103" spans="1:7" ht="14.25" hidden="1" customHeight="1" x14ac:dyDescent="0.45">
      <c r="A5103" t="str">
        <f>_xlfn.XLOOKUP(B5103,Ingot!$H$12:$H$119,Ingot!$G$12:$G$119,"")</f>
        <v>Wood</v>
      </c>
      <c r="B5103" t="s">
        <v>10053</v>
      </c>
      <c r="C5103" t="s">
        <v>157</v>
      </c>
      <c r="D5103" t="s">
        <v>10260</v>
      </c>
      <c r="E5103" t="s">
        <v>10261</v>
      </c>
      <c r="G5103" s="1">
        <v>24.3</v>
      </c>
    </row>
    <row r="5104" spans="1:7" ht="14.25" hidden="1" customHeight="1" x14ac:dyDescent="0.45">
      <c r="A5104" t="str">
        <f>_xlfn.XLOOKUP(B5104,Ingot!$H$12:$H$119,Ingot!$G$12:$G$119,"")</f>
        <v>Wood</v>
      </c>
      <c r="B5104" t="s">
        <v>10053</v>
      </c>
      <c r="C5104" t="s">
        <v>157</v>
      </c>
      <c r="D5104" t="s">
        <v>10262</v>
      </c>
      <c r="E5104" t="s">
        <v>10263</v>
      </c>
      <c r="G5104" s="1">
        <v>5</v>
      </c>
    </row>
    <row r="5105" spans="1:7" ht="14.25" hidden="1" customHeight="1" x14ac:dyDescent="0.45">
      <c r="A5105" t="str">
        <f>_xlfn.XLOOKUP(B5105,Ingot!$H$12:$H$119,Ingot!$G$12:$G$119,"")</f>
        <v>Wood</v>
      </c>
      <c r="B5105" t="s">
        <v>10053</v>
      </c>
      <c r="C5105" t="s">
        <v>157</v>
      </c>
      <c r="D5105" t="s">
        <v>10264</v>
      </c>
      <c r="E5105" t="s">
        <v>10265</v>
      </c>
      <c r="G5105" s="1">
        <v>5</v>
      </c>
    </row>
    <row r="5106" spans="1:7" ht="14.25" hidden="1" customHeight="1" x14ac:dyDescent="0.45">
      <c r="A5106" t="str">
        <f>_xlfn.XLOOKUP(B5106,Ingot!$H$12:$H$119,Ingot!$G$12:$G$119,"")</f>
        <v>Wood</v>
      </c>
      <c r="B5106" t="s">
        <v>10053</v>
      </c>
      <c r="C5106" t="s">
        <v>157</v>
      </c>
      <c r="D5106" t="s">
        <v>10266</v>
      </c>
      <c r="E5106" t="s">
        <v>10267</v>
      </c>
      <c r="G5106" s="1">
        <v>5</v>
      </c>
    </row>
    <row r="5107" spans="1:7" ht="14.25" hidden="1" customHeight="1" x14ac:dyDescent="0.45">
      <c r="A5107" t="str">
        <f>_xlfn.XLOOKUP(B5107,Ingot!$H$12:$H$119,Ingot!$G$12:$G$119,"")</f>
        <v>Wood</v>
      </c>
      <c r="B5107" t="s">
        <v>10053</v>
      </c>
      <c r="C5107" t="s">
        <v>157</v>
      </c>
      <c r="D5107" t="s">
        <v>10268</v>
      </c>
      <c r="E5107" t="s">
        <v>10269</v>
      </c>
      <c r="G5107" s="1">
        <v>10</v>
      </c>
    </row>
    <row r="5108" spans="1:7" ht="14.25" hidden="1" customHeight="1" x14ac:dyDescent="0.45">
      <c r="A5108" t="str">
        <f>_xlfn.XLOOKUP(B5108,Ingot!$H$12:$H$119,Ingot!$G$12:$G$119,"")</f>
        <v>Wood</v>
      </c>
      <c r="B5108" t="s">
        <v>10053</v>
      </c>
      <c r="C5108" t="s">
        <v>157</v>
      </c>
      <c r="D5108" t="s">
        <v>10270</v>
      </c>
      <c r="E5108" t="s">
        <v>10271</v>
      </c>
      <c r="F5108" t="s">
        <v>180</v>
      </c>
      <c r="G5108" s="1">
        <v>18</v>
      </c>
    </row>
    <row r="5109" spans="1:7" ht="14.25" hidden="1" customHeight="1" x14ac:dyDescent="0.45">
      <c r="A5109" t="str">
        <f>_xlfn.XLOOKUP(B5109,Ingot!$H$12:$H$119,Ingot!$G$12:$G$119,"")</f>
        <v>Wood</v>
      </c>
      <c r="B5109" t="s">
        <v>10053</v>
      </c>
      <c r="C5109" t="s">
        <v>157</v>
      </c>
      <c r="D5109" t="s">
        <v>10272</v>
      </c>
      <c r="E5109" t="s">
        <v>10273</v>
      </c>
      <c r="F5109" t="s">
        <v>180</v>
      </c>
      <c r="G5109" s="1">
        <v>5</v>
      </c>
    </row>
    <row r="5110" spans="1:7" ht="14.25" hidden="1" customHeight="1" x14ac:dyDescent="0.45">
      <c r="A5110" t="str">
        <f>_xlfn.XLOOKUP(B5110,Ingot!$H$12:$H$119,Ingot!$G$12:$G$119,"")</f>
        <v>Wood</v>
      </c>
      <c r="B5110" t="s">
        <v>10053</v>
      </c>
      <c r="C5110" t="s">
        <v>157</v>
      </c>
      <c r="D5110" t="s">
        <v>10274</v>
      </c>
      <c r="E5110" t="s">
        <v>10275</v>
      </c>
      <c r="F5110" t="s">
        <v>180</v>
      </c>
      <c r="G5110" s="1">
        <v>5</v>
      </c>
    </row>
    <row r="5111" spans="1:7" ht="14.25" hidden="1" customHeight="1" x14ac:dyDescent="0.45">
      <c r="A5111" t="str">
        <f>_xlfn.XLOOKUP(B5111,Ingot!$H$12:$H$119,Ingot!$G$12:$G$119,"")</f>
        <v>Wood</v>
      </c>
      <c r="B5111" t="s">
        <v>10053</v>
      </c>
      <c r="C5111" t="s">
        <v>157</v>
      </c>
      <c r="D5111" t="s">
        <v>10276</v>
      </c>
      <c r="E5111" t="s">
        <v>10277</v>
      </c>
      <c r="F5111" t="s">
        <v>180</v>
      </c>
      <c r="G5111" s="1">
        <v>5</v>
      </c>
    </row>
    <row r="5112" spans="1:7" ht="14.25" hidden="1" customHeight="1" x14ac:dyDescent="0.45">
      <c r="A5112" t="str">
        <f>_xlfn.XLOOKUP(B5112,Ingot!$H$12:$H$119,Ingot!$G$12:$G$119,"")</f>
        <v>Wood</v>
      </c>
      <c r="B5112" t="s">
        <v>10053</v>
      </c>
      <c r="C5112" t="s">
        <v>157</v>
      </c>
      <c r="D5112" t="s">
        <v>10278</v>
      </c>
      <c r="E5112" t="s">
        <v>10279</v>
      </c>
      <c r="F5112" t="s">
        <v>180</v>
      </c>
      <c r="G5112" s="1">
        <v>10</v>
      </c>
    </row>
    <row r="5113" spans="1:7" ht="14.25" hidden="1" customHeight="1" x14ac:dyDescent="0.45">
      <c r="A5113" t="str">
        <f>_xlfn.XLOOKUP(B5113,Ingot!$H$12:$H$119,Ingot!$G$12:$G$119,"")</f>
        <v>Wood</v>
      </c>
      <c r="B5113" t="s">
        <v>10053</v>
      </c>
      <c r="C5113" t="s">
        <v>239</v>
      </c>
      <c r="D5113" t="s">
        <v>10280</v>
      </c>
      <c r="E5113" t="s">
        <v>10281</v>
      </c>
      <c r="G5113" s="1">
        <f>(VLOOKUP(B5113,Ingot!H:I,2,FALSE()) * 0.75) * 0.75</f>
        <v>2.53125</v>
      </c>
    </row>
    <row r="5114" spans="1:7" ht="14.25" hidden="1" customHeight="1" x14ac:dyDescent="0.45">
      <c r="A5114" t="str">
        <f>_xlfn.XLOOKUP(B5114,Ingot!$H$12:$H$119,Ingot!$G$12:$G$119,"")</f>
        <v>Wood</v>
      </c>
      <c r="B5114" t="s">
        <v>10053</v>
      </c>
      <c r="C5114" t="s">
        <v>239</v>
      </c>
      <c r="D5114" t="s">
        <v>10282</v>
      </c>
      <c r="E5114" t="s">
        <v>10283</v>
      </c>
      <c r="G5114" s="1">
        <f>((VLOOKUP(B5114,Ingot!H:I,2,FALSE()) * 3) - 10.25) * 0.421875</f>
        <v>1.37109375</v>
      </c>
    </row>
    <row r="5115" spans="1:7" ht="14.25" hidden="1" customHeight="1" x14ac:dyDescent="0.45">
      <c r="A5115" t="str">
        <f>_xlfn.XLOOKUP(B5115,Ingot!$H$12:$H$119,Ingot!$G$12:$G$119,"")</f>
        <v>Wood</v>
      </c>
      <c r="B5115" t="s">
        <v>10053</v>
      </c>
      <c r="C5115" t="s">
        <v>239</v>
      </c>
      <c r="D5115" t="s">
        <v>10284</v>
      </c>
      <c r="E5115" t="s">
        <v>10285</v>
      </c>
      <c r="G5115" s="1">
        <f>((VLOOKUP(B5115,Ingot!H:I,2,FALSE()) * 3) - 10.25) * 0.75</f>
        <v>2.4375</v>
      </c>
    </row>
    <row r="5116" spans="1:7" ht="14.25" hidden="1" customHeight="1" x14ac:dyDescent="0.45">
      <c r="A5116" t="str">
        <f>_xlfn.XLOOKUP(B5116,Ingot!$H$12:$H$119,Ingot!$G$12:$G$119,"")</f>
        <v>Wood</v>
      </c>
      <c r="B5116" t="s">
        <v>10053</v>
      </c>
      <c r="C5116" t="s">
        <v>239</v>
      </c>
      <c r="D5116" t="s">
        <v>10286</v>
      </c>
      <c r="E5116" t="s">
        <v>10287</v>
      </c>
      <c r="G5116" s="1">
        <f>((VLOOKUP(B5116,Ingot!H:I,2,FALSE()) * 3) - 10.25) * 0.5625</f>
        <v>1.828125</v>
      </c>
    </row>
    <row r="5117" spans="1:7" ht="14.25" hidden="1" customHeight="1" x14ac:dyDescent="0.45">
      <c r="A5117" t="str">
        <f>_xlfn.XLOOKUP(B5117,Ingot!$H$12:$H$119,Ingot!$G$12:$G$119,"")</f>
        <v>Wood</v>
      </c>
      <c r="B5117" t="s">
        <v>10053</v>
      </c>
      <c r="C5117" t="s">
        <v>239</v>
      </c>
      <c r="D5117" t="s">
        <v>10288</v>
      </c>
      <c r="E5117" t="s">
        <v>10289</v>
      </c>
      <c r="G5117" s="1">
        <f>VLOOKUP(B5117,Ingot!H:I,2,FALSE()) * 0.75</f>
        <v>3.375</v>
      </c>
    </row>
    <row r="5118" spans="1:7" ht="14.25" hidden="1" customHeight="1" x14ac:dyDescent="0.45">
      <c r="A5118" t="str">
        <f>_xlfn.XLOOKUP(B5118,Ingot!$H$12:$H$119,Ingot!$G$12:$G$119,"")</f>
        <v>Wood</v>
      </c>
      <c r="B5118" t="s">
        <v>10053</v>
      </c>
      <c r="C5118" t="s">
        <v>239</v>
      </c>
      <c r="D5118" t="s">
        <v>10290</v>
      </c>
      <c r="E5118" t="s">
        <v>10291</v>
      </c>
      <c r="G5118" s="1">
        <f>(VLOOKUP(B5118,Ingot!H:I,2,FALSE()) * 3) - 10.25</f>
        <v>3.25</v>
      </c>
    </row>
    <row r="5119" spans="1:7" ht="14.25" hidden="1" customHeight="1" x14ac:dyDescent="0.45">
      <c r="A5119" t="str">
        <f>_xlfn.XLOOKUP(B5119,Ingot!$H$12:$H$119,Ingot!$G$12:$G$119,"")</f>
        <v>Wood</v>
      </c>
      <c r="B5119" t="s">
        <v>10292</v>
      </c>
      <c r="C5119" t="s">
        <v>10</v>
      </c>
      <c r="D5119" t="s">
        <v>10293</v>
      </c>
      <c r="E5119" t="s">
        <v>10294</v>
      </c>
      <c r="G5119" s="1">
        <v>0.08</v>
      </c>
    </row>
    <row r="5120" spans="1:7" ht="14.25" hidden="1" customHeight="1" x14ac:dyDescent="0.45">
      <c r="A5120" t="str">
        <f>_xlfn.XLOOKUP(B5120,Ingot!$H$12:$H$119,Ingot!$G$12:$G$119,"")</f>
        <v>Wood</v>
      </c>
      <c r="B5120" t="s">
        <v>10292</v>
      </c>
      <c r="C5120" t="s">
        <v>10</v>
      </c>
      <c r="D5120" t="s">
        <v>10295</v>
      </c>
      <c r="E5120" t="s">
        <v>10296</v>
      </c>
      <c r="G5120" s="1">
        <v>9.9</v>
      </c>
    </row>
    <row r="5121" spans="1:7" ht="14.25" hidden="1" customHeight="1" x14ac:dyDescent="0.45">
      <c r="A5121" t="str">
        <f>_xlfn.XLOOKUP(B5121,Ingot!$H$12:$H$119,Ingot!$G$12:$G$119,"")</f>
        <v>Wood</v>
      </c>
      <c r="B5121" t="s">
        <v>10292</v>
      </c>
      <c r="C5121" t="s">
        <v>10</v>
      </c>
      <c r="D5121" t="s">
        <v>10297</v>
      </c>
      <c r="E5121" t="s">
        <v>10298</v>
      </c>
      <c r="G5121" s="1">
        <v>5.66</v>
      </c>
    </row>
    <row r="5122" spans="1:7" ht="14.25" hidden="1" customHeight="1" x14ac:dyDescent="0.45">
      <c r="A5122" t="str">
        <f>_xlfn.XLOOKUP(B5122,Ingot!$H$12:$H$119,Ingot!$G$12:$G$119,"")</f>
        <v>Wood</v>
      </c>
      <c r="B5122" t="s">
        <v>10292</v>
      </c>
      <c r="C5122" t="s">
        <v>10</v>
      </c>
      <c r="D5122" t="s">
        <v>10299</v>
      </c>
      <c r="E5122" t="s">
        <v>10300</v>
      </c>
      <c r="G5122" s="1">
        <v>3.3</v>
      </c>
    </row>
    <row r="5123" spans="1:7" ht="14.25" hidden="1" customHeight="1" x14ac:dyDescent="0.45">
      <c r="A5123" t="str">
        <f>_xlfn.XLOOKUP(B5123,Ingot!$H$12:$H$119,Ingot!$G$12:$G$119,"")</f>
        <v>Wood</v>
      </c>
      <c r="B5123" t="s">
        <v>10292</v>
      </c>
      <c r="C5123" t="s">
        <v>10</v>
      </c>
      <c r="D5123" t="s">
        <v>10301</v>
      </c>
      <c r="E5123" t="s">
        <v>10302</v>
      </c>
      <c r="G5123" s="1">
        <v>0.66</v>
      </c>
    </row>
    <row r="5124" spans="1:7" ht="14.25" hidden="1" customHeight="1" x14ac:dyDescent="0.45">
      <c r="A5124" t="str">
        <f>_xlfn.XLOOKUP(B5124,Ingot!$H$12:$H$119,Ingot!$G$12:$G$119,"")</f>
        <v>Wood</v>
      </c>
      <c r="B5124" t="s">
        <v>10292</v>
      </c>
      <c r="C5124" t="s">
        <v>10</v>
      </c>
      <c r="D5124" t="s">
        <v>10303</v>
      </c>
      <c r="E5124" t="s">
        <v>10304</v>
      </c>
      <c r="G5124" s="1">
        <v>0.04</v>
      </c>
    </row>
    <row r="5125" spans="1:7" ht="14.25" hidden="1" customHeight="1" x14ac:dyDescent="0.45">
      <c r="A5125" t="str">
        <f>_xlfn.XLOOKUP(B5125,Ingot!$H$12:$H$119,Ingot!$G$12:$G$119,"")</f>
        <v>Wood</v>
      </c>
      <c r="B5125" t="s">
        <v>10292</v>
      </c>
      <c r="C5125" t="s">
        <v>10</v>
      </c>
      <c r="D5125" t="s">
        <v>10305</v>
      </c>
      <c r="E5125" t="s">
        <v>10306</v>
      </c>
      <c r="G5125" s="1">
        <v>0.33</v>
      </c>
    </row>
    <row r="5126" spans="1:7" ht="14.25" hidden="1" customHeight="1" x14ac:dyDescent="0.45">
      <c r="A5126" t="str">
        <f>_xlfn.XLOOKUP(B5126,Ingot!$H$12:$H$119,Ingot!$G$12:$G$119,"")</f>
        <v>Wood</v>
      </c>
      <c r="B5126" t="s">
        <v>10292</v>
      </c>
      <c r="C5126" t="s">
        <v>10</v>
      </c>
      <c r="D5126" t="s">
        <v>10307</v>
      </c>
      <c r="E5126" t="s">
        <v>10308</v>
      </c>
    </row>
    <row r="5127" spans="1:7" ht="14.25" hidden="1" customHeight="1" x14ac:dyDescent="0.45">
      <c r="A5127" t="str">
        <f>_xlfn.XLOOKUP(B5127,Ingot!$H$12:$H$119,Ingot!$G$12:$G$119,"")</f>
        <v>Wood</v>
      </c>
      <c r="B5127" t="s">
        <v>10292</v>
      </c>
      <c r="C5127" t="s">
        <v>10</v>
      </c>
      <c r="D5127" t="s">
        <v>10309</v>
      </c>
      <c r="E5127" t="s">
        <v>10310</v>
      </c>
      <c r="G5127" s="1">
        <v>0.05</v>
      </c>
    </row>
    <row r="5128" spans="1:7" ht="14.25" hidden="1" customHeight="1" x14ac:dyDescent="0.45">
      <c r="A5128" t="str">
        <f>_xlfn.XLOOKUP(B5128,Ingot!$H$12:$H$119,Ingot!$G$12:$G$119,"")</f>
        <v>Wood</v>
      </c>
      <c r="B5128" t="s">
        <v>10292</v>
      </c>
      <c r="C5128" t="s">
        <v>10</v>
      </c>
      <c r="D5128" t="s">
        <v>10311</v>
      </c>
      <c r="E5128" t="s">
        <v>10312</v>
      </c>
      <c r="G5128" s="1">
        <v>0.66</v>
      </c>
    </row>
    <row r="5129" spans="1:7" ht="14.25" hidden="1" customHeight="1" x14ac:dyDescent="0.45">
      <c r="A5129" t="str">
        <f>_xlfn.XLOOKUP(B5129,Ingot!$H$12:$H$119,Ingot!$G$12:$G$119,"")</f>
        <v>Wood</v>
      </c>
      <c r="B5129" t="s">
        <v>10292</v>
      </c>
      <c r="C5129" t="s">
        <v>10</v>
      </c>
      <c r="D5129" t="s">
        <v>10313</v>
      </c>
      <c r="E5129" t="s">
        <v>10314</v>
      </c>
      <c r="G5129" s="1">
        <v>3.96</v>
      </c>
    </row>
    <row r="5130" spans="1:7" ht="14.25" hidden="1" customHeight="1" x14ac:dyDescent="0.45">
      <c r="A5130" t="str">
        <f>_xlfn.XLOOKUP(B5130,Ingot!$H$12:$H$119,Ingot!$G$12:$G$119,"")</f>
        <v>Wood</v>
      </c>
      <c r="B5130" t="s">
        <v>10292</v>
      </c>
      <c r="C5130" t="s">
        <v>10</v>
      </c>
      <c r="D5130" t="s">
        <v>10315</v>
      </c>
      <c r="E5130" t="s">
        <v>10316</v>
      </c>
      <c r="G5130" s="1">
        <v>8.77</v>
      </c>
    </row>
    <row r="5131" spans="1:7" ht="14.25" hidden="1" customHeight="1" x14ac:dyDescent="0.45">
      <c r="A5131" t="str">
        <f>_xlfn.XLOOKUP(B5131,Ingot!$H$12:$H$119,Ingot!$G$12:$G$119,"")</f>
        <v>Wood</v>
      </c>
      <c r="B5131" t="s">
        <v>10292</v>
      </c>
      <c r="C5131" t="s">
        <v>10</v>
      </c>
      <c r="D5131" t="s">
        <v>10317</v>
      </c>
      <c r="E5131" t="s">
        <v>10318</v>
      </c>
      <c r="G5131" s="1">
        <v>3.5</v>
      </c>
    </row>
    <row r="5132" spans="1:7" ht="14.25" hidden="1" customHeight="1" x14ac:dyDescent="0.45">
      <c r="A5132" t="str">
        <f>_xlfn.XLOOKUP(B5132,Ingot!$H$12:$H$119,Ingot!$G$12:$G$119,"")</f>
        <v>Wood</v>
      </c>
      <c r="B5132" t="s">
        <v>10292</v>
      </c>
      <c r="C5132" t="s">
        <v>10</v>
      </c>
      <c r="D5132" t="s">
        <v>10319</v>
      </c>
      <c r="E5132" t="s">
        <v>10320</v>
      </c>
    </row>
    <row r="5133" spans="1:7" ht="14.25" hidden="1" customHeight="1" x14ac:dyDescent="0.45">
      <c r="A5133" t="str">
        <f>_xlfn.XLOOKUP(B5133,Ingot!$H$12:$H$119,Ingot!$G$12:$G$119,"")</f>
        <v>Wood</v>
      </c>
      <c r="B5133" t="s">
        <v>10292</v>
      </c>
      <c r="C5133" t="s">
        <v>10</v>
      </c>
      <c r="D5133" t="s">
        <v>10321</v>
      </c>
      <c r="E5133" t="s">
        <v>10322</v>
      </c>
      <c r="G5133" s="1">
        <v>2.2000000000000002</v>
      </c>
    </row>
    <row r="5134" spans="1:7" ht="14.25" hidden="1" customHeight="1" x14ac:dyDescent="0.45">
      <c r="A5134" t="str">
        <f>_xlfn.XLOOKUP(B5134,Ingot!$H$12:$H$119,Ingot!$G$12:$G$119,"")</f>
        <v>Wood</v>
      </c>
      <c r="B5134" t="s">
        <v>10292</v>
      </c>
      <c r="C5134" t="s">
        <v>10</v>
      </c>
      <c r="D5134" t="s">
        <v>10323</v>
      </c>
      <c r="E5134" t="s">
        <v>10324</v>
      </c>
      <c r="G5134" s="1">
        <v>1.1000000000000001</v>
      </c>
    </row>
    <row r="5135" spans="1:7" ht="14.25" hidden="1" customHeight="1" x14ac:dyDescent="0.45">
      <c r="A5135" t="str">
        <f>_xlfn.XLOOKUP(B5135,Ingot!$H$12:$H$119,Ingot!$G$12:$G$119,"")</f>
        <v>Wood</v>
      </c>
      <c r="B5135" t="s">
        <v>10292</v>
      </c>
      <c r="C5135" t="s">
        <v>10</v>
      </c>
      <c r="D5135" t="s">
        <v>10325</v>
      </c>
      <c r="E5135" t="s">
        <v>10326</v>
      </c>
      <c r="G5135" s="1">
        <v>0.22</v>
      </c>
    </row>
    <row r="5136" spans="1:7" ht="14.25" hidden="1" customHeight="1" x14ac:dyDescent="0.45">
      <c r="A5136" t="str">
        <f>_xlfn.XLOOKUP(B5136,Ingot!$H$12:$H$119,Ingot!$G$12:$G$119,"")</f>
        <v>Wood</v>
      </c>
      <c r="B5136" t="s">
        <v>10292</v>
      </c>
      <c r="C5136" t="s">
        <v>10</v>
      </c>
      <c r="D5136" t="s">
        <v>10327</v>
      </c>
      <c r="E5136" t="s">
        <v>10328</v>
      </c>
      <c r="G5136" s="1">
        <v>8.41</v>
      </c>
    </row>
    <row r="5137" spans="1:7" ht="14.25" hidden="1" customHeight="1" x14ac:dyDescent="0.45">
      <c r="A5137" t="str">
        <f>_xlfn.XLOOKUP(B5137,Ingot!$H$12:$H$119,Ingot!$G$12:$G$119,"")</f>
        <v>Wood</v>
      </c>
      <c r="B5137" t="s">
        <v>10292</v>
      </c>
      <c r="C5137" t="s">
        <v>10</v>
      </c>
      <c r="D5137" t="s">
        <v>10329</v>
      </c>
      <c r="E5137" t="s">
        <v>10330</v>
      </c>
      <c r="G5137" s="1">
        <v>3.64</v>
      </c>
    </row>
    <row r="5138" spans="1:7" ht="14.25" hidden="1" customHeight="1" x14ac:dyDescent="0.45">
      <c r="A5138" t="str">
        <f>_xlfn.XLOOKUP(B5138,Ingot!$H$12:$H$119,Ingot!$G$12:$G$119,"")</f>
        <v>Wood</v>
      </c>
      <c r="B5138" t="s">
        <v>10292</v>
      </c>
      <c r="C5138" t="s">
        <v>10</v>
      </c>
      <c r="D5138" t="s">
        <v>10331</v>
      </c>
      <c r="E5138" t="s">
        <v>10332</v>
      </c>
      <c r="G5138" s="1">
        <v>7.05</v>
      </c>
    </row>
    <row r="5139" spans="1:7" ht="14.25" hidden="1" customHeight="1" x14ac:dyDescent="0.45">
      <c r="A5139" t="str">
        <f>_xlfn.XLOOKUP(B5139,Ingot!$H$12:$H$119,Ingot!$G$12:$G$119,"")</f>
        <v>Wood</v>
      </c>
      <c r="B5139" t="s">
        <v>10292</v>
      </c>
      <c r="C5139" t="s">
        <v>10</v>
      </c>
      <c r="D5139" t="s">
        <v>10333</v>
      </c>
      <c r="E5139" t="s">
        <v>10334</v>
      </c>
      <c r="G5139" s="1">
        <v>2.65</v>
      </c>
    </row>
    <row r="5140" spans="1:7" ht="14.25" hidden="1" customHeight="1" x14ac:dyDescent="0.45">
      <c r="A5140" t="str">
        <f>_xlfn.XLOOKUP(B5140,Ingot!$H$12:$H$119,Ingot!$G$12:$G$119,"")</f>
        <v>Wood</v>
      </c>
      <c r="B5140" t="s">
        <v>10292</v>
      </c>
      <c r="C5140" t="s">
        <v>10</v>
      </c>
      <c r="D5140" t="s">
        <v>10335</v>
      </c>
      <c r="E5140" t="s">
        <v>10336</v>
      </c>
      <c r="G5140" s="1">
        <v>9</v>
      </c>
    </row>
    <row r="5141" spans="1:7" ht="14.25" hidden="1" customHeight="1" x14ac:dyDescent="0.45">
      <c r="A5141" t="str">
        <f>_xlfn.XLOOKUP(B5141,Ingot!$H$12:$H$119,Ingot!$G$12:$G$119,"")</f>
        <v>Wood</v>
      </c>
      <c r="B5141" t="s">
        <v>10292</v>
      </c>
      <c r="C5141" t="s">
        <v>10</v>
      </c>
      <c r="D5141" t="s">
        <v>10337</v>
      </c>
      <c r="E5141" t="s">
        <v>10338</v>
      </c>
      <c r="G5141" s="1">
        <v>10.23</v>
      </c>
    </row>
    <row r="5142" spans="1:7" ht="14.25" hidden="1" customHeight="1" x14ac:dyDescent="0.45">
      <c r="A5142" t="str">
        <f>_xlfn.XLOOKUP(B5142,Ingot!$H$12:$H$119,Ingot!$G$12:$G$119,"")</f>
        <v>Wood</v>
      </c>
      <c r="B5142" t="s">
        <v>10292</v>
      </c>
      <c r="C5142" t="s">
        <v>10</v>
      </c>
      <c r="D5142" t="s">
        <v>10339</v>
      </c>
      <c r="E5142" t="s">
        <v>10340</v>
      </c>
      <c r="G5142" s="1">
        <v>7.7</v>
      </c>
    </row>
    <row r="5143" spans="1:7" ht="14.25" hidden="1" customHeight="1" x14ac:dyDescent="0.45">
      <c r="A5143" t="str">
        <f>_xlfn.XLOOKUP(B5143,Ingot!$H$12:$H$119,Ingot!$G$12:$G$119,"")</f>
        <v>Wood</v>
      </c>
      <c r="B5143" t="s">
        <v>10292</v>
      </c>
      <c r="C5143" t="s">
        <v>10</v>
      </c>
      <c r="D5143" t="s">
        <v>10341</v>
      </c>
      <c r="E5143" t="s">
        <v>10342</v>
      </c>
      <c r="G5143" s="1">
        <v>10.02</v>
      </c>
    </row>
    <row r="5144" spans="1:7" ht="14.25" hidden="1" customHeight="1" x14ac:dyDescent="0.45">
      <c r="A5144" t="str">
        <f>_xlfn.XLOOKUP(B5144,Ingot!$H$12:$H$119,Ingot!$G$12:$G$119,"")</f>
        <v>Wood</v>
      </c>
      <c r="B5144" t="s">
        <v>10292</v>
      </c>
      <c r="C5144" t="s">
        <v>10</v>
      </c>
      <c r="D5144" t="s">
        <v>10343</v>
      </c>
      <c r="E5144" t="s">
        <v>10344</v>
      </c>
      <c r="G5144" s="1">
        <v>11.81</v>
      </c>
    </row>
    <row r="5145" spans="1:7" ht="14.25" hidden="1" customHeight="1" x14ac:dyDescent="0.45">
      <c r="A5145" t="str">
        <f>_xlfn.XLOOKUP(B5145,Ingot!$H$12:$H$119,Ingot!$G$12:$G$119,"")</f>
        <v>Wood</v>
      </c>
      <c r="B5145" t="s">
        <v>10292</v>
      </c>
      <c r="C5145" t="s">
        <v>10</v>
      </c>
      <c r="D5145" t="s">
        <v>10345</v>
      </c>
      <c r="E5145" t="s">
        <v>10346</v>
      </c>
      <c r="G5145" s="1">
        <v>8.44</v>
      </c>
    </row>
    <row r="5146" spans="1:7" ht="14.25" hidden="1" customHeight="1" x14ac:dyDescent="0.45">
      <c r="A5146" t="str">
        <f>_xlfn.XLOOKUP(B5146,Ingot!$H$12:$H$119,Ingot!$G$12:$G$119,"")</f>
        <v>Wood</v>
      </c>
      <c r="B5146" t="s">
        <v>10292</v>
      </c>
      <c r="C5146" t="s">
        <v>10</v>
      </c>
      <c r="D5146" t="s">
        <v>10347</v>
      </c>
      <c r="E5146" t="s">
        <v>10348</v>
      </c>
      <c r="G5146" s="1">
        <v>10.42</v>
      </c>
    </row>
    <row r="5147" spans="1:7" ht="14.25" hidden="1" customHeight="1" x14ac:dyDescent="0.45">
      <c r="A5147" t="str">
        <f>_xlfn.XLOOKUP(B5147,Ingot!$H$12:$H$119,Ingot!$G$12:$G$119,"")</f>
        <v>Wood</v>
      </c>
      <c r="B5147" t="s">
        <v>10292</v>
      </c>
      <c r="C5147" t="s">
        <v>10</v>
      </c>
      <c r="D5147" t="s">
        <v>10349</v>
      </c>
      <c r="E5147" t="s">
        <v>10350</v>
      </c>
    </row>
    <row r="5148" spans="1:7" ht="14.25" hidden="1" customHeight="1" x14ac:dyDescent="0.45">
      <c r="A5148" t="str">
        <f>_xlfn.XLOOKUP(B5148,Ingot!$H$12:$H$119,Ingot!$G$12:$G$119,"")</f>
        <v>Wood</v>
      </c>
      <c r="B5148" t="s">
        <v>10292</v>
      </c>
      <c r="C5148" t="s">
        <v>10</v>
      </c>
      <c r="D5148" t="s">
        <v>10351</v>
      </c>
      <c r="E5148" t="s">
        <v>10352</v>
      </c>
      <c r="G5148" s="1">
        <v>7.96</v>
      </c>
    </row>
    <row r="5149" spans="1:7" ht="14.25" hidden="1" customHeight="1" x14ac:dyDescent="0.45">
      <c r="A5149" t="str">
        <f>_xlfn.XLOOKUP(B5149,Ingot!$H$12:$H$119,Ingot!$G$12:$G$119,"")</f>
        <v>Wood</v>
      </c>
      <c r="B5149" t="s">
        <v>10292</v>
      </c>
      <c r="C5149" t="s">
        <v>10</v>
      </c>
      <c r="D5149" t="s">
        <v>10353</v>
      </c>
      <c r="E5149" t="s">
        <v>10354</v>
      </c>
      <c r="G5149" s="1">
        <v>9.64</v>
      </c>
    </row>
    <row r="5150" spans="1:7" ht="14.25" hidden="1" customHeight="1" x14ac:dyDescent="0.45">
      <c r="A5150" t="str">
        <f>_xlfn.XLOOKUP(B5150,Ingot!$H$12:$H$119,Ingot!$G$12:$G$119,"")</f>
        <v>Wood</v>
      </c>
      <c r="B5150" t="s">
        <v>10292</v>
      </c>
      <c r="C5150" t="s">
        <v>10</v>
      </c>
      <c r="D5150" t="s">
        <v>10355</v>
      </c>
      <c r="E5150" t="s">
        <v>10356</v>
      </c>
      <c r="G5150" s="1">
        <v>7.94</v>
      </c>
    </row>
    <row r="5151" spans="1:7" ht="14.25" hidden="1" customHeight="1" x14ac:dyDescent="0.45">
      <c r="A5151" t="str">
        <f>_xlfn.XLOOKUP(B5151,Ingot!$H$12:$H$119,Ingot!$G$12:$G$119,"")</f>
        <v>Wood</v>
      </c>
      <c r="B5151" t="s">
        <v>10292</v>
      </c>
      <c r="C5151" t="s">
        <v>10</v>
      </c>
      <c r="D5151" t="s">
        <v>10357</v>
      </c>
      <c r="E5151" t="s">
        <v>10358</v>
      </c>
      <c r="G5151" s="1">
        <v>8.66</v>
      </c>
    </row>
    <row r="5152" spans="1:7" ht="14.25" hidden="1" customHeight="1" x14ac:dyDescent="0.45">
      <c r="A5152" t="str">
        <f>_xlfn.XLOOKUP(B5152,Ingot!$H$12:$H$119,Ingot!$G$12:$G$119,"")</f>
        <v>Wood</v>
      </c>
      <c r="B5152" t="s">
        <v>10292</v>
      </c>
      <c r="C5152" t="s">
        <v>10</v>
      </c>
      <c r="D5152" t="s">
        <v>10359</v>
      </c>
      <c r="E5152" t="s">
        <v>10360</v>
      </c>
    </row>
    <row r="5153" spans="1:7" ht="14.25" hidden="1" customHeight="1" x14ac:dyDescent="0.45">
      <c r="A5153" t="str">
        <f>_xlfn.XLOOKUP(B5153,Ingot!$H$12:$H$119,Ingot!$G$12:$G$119,"")</f>
        <v>Wood</v>
      </c>
      <c r="B5153" t="s">
        <v>10292</v>
      </c>
      <c r="C5153" t="s">
        <v>10</v>
      </c>
      <c r="D5153" t="s">
        <v>10361</v>
      </c>
      <c r="E5153" t="s">
        <v>10362</v>
      </c>
      <c r="G5153" s="1">
        <v>2.65</v>
      </c>
    </row>
    <row r="5154" spans="1:7" ht="14.25" hidden="1" customHeight="1" x14ac:dyDescent="0.45">
      <c r="A5154" t="str">
        <f>_xlfn.XLOOKUP(B5154,Ingot!$H$12:$H$119,Ingot!$G$12:$G$119,"")</f>
        <v>Wood</v>
      </c>
      <c r="B5154" t="s">
        <v>10292</v>
      </c>
      <c r="C5154" t="s">
        <v>10</v>
      </c>
      <c r="D5154" t="s">
        <v>10363</v>
      </c>
      <c r="E5154" t="s">
        <v>10364</v>
      </c>
    </row>
    <row r="5155" spans="1:7" ht="14.25" hidden="1" customHeight="1" x14ac:dyDescent="0.45">
      <c r="A5155" t="str">
        <f>_xlfn.XLOOKUP(B5155,Ingot!$H$12:$H$119,Ingot!$G$12:$G$119,"")</f>
        <v>Wood</v>
      </c>
      <c r="B5155" t="s">
        <v>10292</v>
      </c>
      <c r="C5155" t="s">
        <v>10</v>
      </c>
      <c r="D5155" t="s">
        <v>10365</v>
      </c>
      <c r="E5155" t="s">
        <v>10366</v>
      </c>
      <c r="G5155" s="1">
        <v>12.64</v>
      </c>
    </row>
    <row r="5156" spans="1:7" ht="14.25" hidden="1" customHeight="1" x14ac:dyDescent="0.45">
      <c r="A5156" t="str">
        <f>_xlfn.XLOOKUP(B5156,Ingot!$H$12:$H$119,Ingot!$G$12:$G$119,"")</f>
        <v>Wood</v>
      </c>
      <c r="B5156" t="s">
        <v>10292</v>
      </c>
      <c r="C5156" t="s">
        <v>10</v>
      </c>
      <c r="D5156" t="s">
        <v>10367</v>
      </c>
      <c r="E5156" t="s">
        <v>10368</v>
      </c>
      <c r="G5156" s="1">
        <v>22.67</v>
      </c>
    </row>
    <row r="5157" spans="1:7" ht="14.25" hidden="1" customHeight="1" x14ac:dyDescent="0.45">
      <c r="A5157" t="str">
        <f>_xlfn.XLOOKUP(B5157,Ingot!$H$12:$H$119,Ingot!$G$12:$G$119,"")</f>
        <v>Wood</v>
      </c>
      <c r="B5157" t="s">
        <v>10292</v>
      </c>
      <c r="C5157" t="s">
        <v>10</v>
      </c>
      <c r="D5157" t="s">
        <v>10369</v>
      </c>
      <c r="E5157" t="s">
        <v>10370</v>
      </c>
      <c r="G5157" s="1">
        <v>8.3800000000000008</v>
      </c>
    </row>
    <row r="5158" spans="1:7" ht="14.25" hidden="1" customHeight="1" x14ac:dyDescent="0.45">
      <c r="A5158" t="str">
        <f>_xlfn.XLOOKUP(B5158,Ingot!$H$12:$H$119,Ingot!$G$12:$G$119,"")</f>
        <v>Wood</v>
      </c>
      <c r="B5158" t="s">
        <v>10292</v>
      </c>
      <c r="C5158" t="s">
        <v>10</v>
      </c>
      <c r="D5158" t="s">
        <v>10371</v>
      </c>
      <c r="E5158" t="s">
        <v>10372</v>
      </c>
      <c r="G5158" s="1">
        <v>2.2000000000000002</v>
      </c>
    </row>
    <row r="5159" spans="1:7" ht="14.25" hidden="1" customHeight="1" x14ac:dyDescent="0.45">
      <c r="A5159" t="str">
        <f>_xlfn.XLOOKUP(B5159,Ingot!$H$12:$H$119,Ingot!$G$12:$G$119,"")</f>
        <v>Wood</v>
      </c>
      <c r="B5159" t="s">
        <v>10292</v>
      </c>
      <c r="C5159" t="s">
        <v>10</v>
      </c>
      <c r="D5159" t="s">
        <v>10373</v>
      </c>
      <c r="E5159" t="s">
        <v>10374</v>
      </c>
      <c r="G5159" s="1">
        <v>3.09</v>
      </c>
    </row>
    <row r="5160" spans="1:7" ht="14.25" hidden="1" customHeight="1" x14ac:dyDescent="0.45">
      <c r="A5160" t="str">
        <f>_xlfn.XLOOKUP(B5160,Ingot!$H$12:$H$119,Ingot!$G$12:$G$119,"")</f>
        <v>Wood</v>
      </c>
      <c r="B5160" t="s">
        <v>10292</v>
      </c>
      <c r="C5160" t="s">
        <v>10</v>
      </c>
      <c r="D5160" t="s">
        <v>10375</v>
      </c>
      <c r="E5160" t="s">
        <v>10376</v>
      </c>
      <c r="G5160" s="1">
        <v>2.2999999999999998</v>
      </c>
    </row>
    <row r="5161" spans="1:7" ht="14.25" hidden="1" customHeight="1" x14ac:dyDescent="0.45">
      <c r="A5161" t="str">
        <f>_xlfn.XLOOKUP(B5161,Ingot!$H$12:$H$119,Ingot!$G$12:$G$119,"")</f>
        <v>Wood</v>
      </c>
      <c r="B5161" t="s">
        <v>10292</v>
      </c>
      <c r="C5161" t="s">
        <v>10</v>
      </c>
      <c r="D5161" t="s">
        <v>10377</v>
      </c>
      <c r="E5161" t="s">
        <v>10378</v>
      </c>
      <c r="G5161" s="1">
        <v>4.88</v>
      </c>
    </row>
    <row r="5162" spans="1:7" ht="14.25" hidden="1" customHeight="1" x14ac:dyDescent="0.45">
      <c r="A5162" t="str">
        <f>_xlfn.XLOOKUP(B5162,Ingot!$H$12:$H$119,Ingot!$G$12:$G$119,"")</f>
        <v>Wood</v>
      </c>
      <c r="B5162" t="s">
        <v>10292</v>
      </c>
      <c r="C5162" t="s">
        <v>10</v>
      </c>
      <c r="D5162" t="s">
        <v>10379</v>
      </c>
      <c r="E5162" t="s">
        <v>10380</v>
      </c>
      <c r="G5162" s="1">
        <v>8.43</v>
      </c>
    </row>
    <row r="5163" spans="1:7" ht="14.25" hidden="1" customHeight="1" x14ac:dyDescent="0.45">
      <c r="A5163" t="str">
        <f>_xlfn.XLOOKUP(B5163,Ingot!$H$12:$H$119,Ingot!$G$12:$G$119,"")</f>
        <v>Wood</v>
      </c>
      <c r="B5163" t="s">
        <v>10292</v>
      </c>
      <c r="C5163" t="s">
        <v>10</v>
      </c>
      <c r="D5163" t="s">
        <v>10381</v>
      </c>
      <c r="E5163" t="s">
        <v>10382</v>
      </c>
      <c r="G5163" s="1">
        <v>13.07</v>
      </c>
    </row>
    <row r="5164" spans="1:7" ht="14.25" hidden="1" customHeight="1" x14ac:dyDescent="0.45">
      <c r="A5164" t="str">
        <f>_xlfn.XLOOKUP(B5164,Ingot!$H$12:$H$119,Ingot!$G$12:$G$119,"")</f>
        <v>Wood</v>
      </c>
      <c r="B5164" t="s">
        <v>10292</v>
      </c>
      <c r="C5164" t="s">
        <v>10</v>
      </c>
      <c r="D5164" t="s">
        <v>10383</v>
      </c>
      <c r="E5164" t="s">
        <v>10384</v>
      </c>
    </row>
    <row r="5165" spans="1:7" ht="14.25" hidden="1" customHeight="1" x14ac:dyDescent="0.45">
      <c r="A5165" t="str">
        <f>_xlfn.XLOOKUP(B5165,Ingot!$H$12:$H$119,Ingot!$G$12:$G$119,"")</f>
        <v>Wood</v>
      </c>
      <c r="B5165" t="s">
        <v>10292</v>
      </c>
      <c r="C5165" t="s">
        <v>10</v>
      </c>
      <c r="D5165" t="s">
        <v>10385</v>
      </c>
      <c r="E5165" t="s">
        <v>10386</v>
      </c>
    </row>
    <row r="5166" spans="1:7" ht="14.25" hidden="1" customHeight="1" x14ac:dyDescent="0.45">
      <c r="A5166" t="str">
        <f>_xlfn.XLOOKUP(B5166,Ingot!$H$12:$H$119,Ingot!$G$12:$G$119,"")</f>
        <v>Wood</v>
      </c>
      <c r="B5166" t="s">
        <v>10292</v>
      </c>
      <c r="C5166" t="s">
        <v>10</v>
      </c>
      <c r="D5166" t="s">
        <v>10387</v>
      </c>
      <c r="E5166" t="s">
        <v>10388</v>
      </c>
      <c r="G5166" s="1">
        <v>6.8</v>
      </c>
    </row>
    <row r="5167" spans="1:7" ht="14.25" hidden="1" customHeight="1" x14ac:dyDescent="0.45">
      <c r="A5167" t="str">
        <f>_xlfn.XLOOKUP(B5167,Ingot!$H$12:$H$119,Ingot!$G$12:$G$119,"")</f>
        <v>Wood</v>
      </c>
      <c r="B5167" t="s">
        <v>10292</v>
      </c>
      <c r="C5167" t="s">
        <v>10</v>
      </c>
      <c r="D5167" t="s">
        <v>10389</v>
      </c>
      <c r="E5167" t="s">
        <v>10390</v>
      </c>
      <c r="G5167" s="1">
        <v>6.88</v>
      </c>
    </row>
    <row r="5168" spans="1:7" ht="14.25" hidden="1" customHeight="1" x14ac:dyDescent="0.45">
      <c r="A5168" t="str">
        <f>_xlfn.XLOOKUP(B5168,Ingot!$H$12:$H$119,Ingot!$G$12:$G$119,"")</f>
        <v>Wood</v>
      </c>
      <c r="B5168" t="s">
        <v>10292</v>
      </c>
      <c r="C5168" t="s">
        <v>10</v>
      </c>
      <c r="D5168" t="s">
        <v>10391</v>
      </c>
      <c r="E5168" t="s">
        <v>10392</v>
      </c>
      <c r="G5168" s="1">
        <v>5.5</v>
      </c>
    </row>
    <row r="5169" spans="1:7" ht="14.25" hidden="1" customHeight="1" x14ac:dyDescent="0.45">
      <c r="A5169" t="str">
        <f>_xlfn.XLOOKUP(B5169,Ingot!$H$12:$H$119,Ingot!$G$12:$G$119,"")</f>
        <v>Wood</v>
      </c>
      <c r="B5169" t="s">
        <v>10292</v>
      </c>
      <c r="C5169" t="s">
        <v>10</v>
      </c>
      <c r="D5169" t="s">
        <v>10393</v>
      </c>
      <c r="E5169" t="s">
        <v>10394</v>
      </c>
      <c r="G5169" s="1">
        <v>2.4300000000000002</v>
      </c>
    </row>
    <row r="5170" spans="1:7" ht="14.25" hidden="1" customHeight="1" x14ac:dyDescent="0.45">
      <c r="A5170" t="str">
        <f>_xlfn.XLOOKUP(B5170,Ingot!$H$12:$H$119,Ingot!$G$12:$G$119,"")</f>
        <v>Wood</v>
      </c>
      <c r="B5170" t="s">
        <v>10292</v>
      </c>
      <c r="C5170" t="s">
        <v>10</v>
      </c>
      <c r="D5170" t="s">
        <v>10395</v>
      </c>
      <c r="E5170" t="s">
        <v>10396</v>
      </c>
      <c r="G5170" s="1">
        <v>6.96</v>
      </c>
    </row>
    <row r="5171" spans="1:7" ht="14.25" hidden="1" customHeight="1" x14ac:dyDescent="0.45">
      <c r="A5171" t="str">
        <f>_xlfn.XLOOKUP(B5171,Ingot!$H$12:$H$119,Ingot!$G$12:$G$119,"")</f>
        <v>Wood</v>
      </c>
      <c r="B5171" t="s">
        <v>10292</v>
      </c>
      <c r="C5171" t="s">
        <v>10</v>
      </c>
      <c r="D5171" t="s">
        <v>10397</v>
      </c>
      <c r="E5171" t="s">
        <v>10398</v>
      </c>
      <c r="G5171" s="1">
        <v>6.32</v>
      </c>
    </row>
    <row r="5172" spans="1:7" ht="14.25" hidden="1" customHeight="1" x14ac:dyDescent="0.45">
      <c r="A5172" t="str">
        <f>_xlfn.XLOOKUP(B5172,Ingot!$H$12:$H$119,Ingot!$G$12:$G$119,"")</f>
        <v>Wood</v>
      </c>
      <c r="B5172" t="s">
        <v>10292</v>
      </c>
      <c r="C5172" t="s">
        <v>10</v>
      </c>
      <c r="D5172" t="s">
        <v>10399</v>
      </c>
      <c r="E5172" t="s">
        <v>10400</v>
      </c>
      <c r="G5172" s="1">
        <v>6.88</v>
      </c>
    </row>
    <row r="5173" spans="1:7" ht="14.25" hidden="1" customHeight="1" x14ac:dyDescent="0.45">
      <c r="A5173" t="str">
        <f>_xlfn.XLOOKUP(B5173,Ingot!$H$12:$H$119,Ingot!$G$12:$G$119,"")</f>
        <v>Wood</v>
      </c>
      <c r="B5173" t="s">
        <v>10292</v>
      </c>
      <c r="C5173" t="s">
        <v>10</v>
      </c>
      <c r="D5173" t="s">
        <v>10401</v>
      </c>
      <c r="E5173" t="s">
        <v>10402</v>
      </c>
      <c r="G5173" s="1">
        <v>2.44</v>
      </c>
    </row>
    <row r="5174" spans="1:7" ht="14.25" hidden="1" customHeight="1" x14ac:dyDescent="0.45">
      <c r="A5174" t="str">
        <f>_xlfn.XLOOKUP(B5174,Ingot!$H$12:$H$119,Ingot!$G$12:$G$119,"")</f>
        <v>Wood</v>
      </c>
      <c r="B5174" t="s">
        <v>10292</v>
      </c>
      <c r="C5174" t="s">
        <v>10</v>
      </c>
      <c r="D5174" t="s">
        <v>10403</v>
      </c>
      <c r="E5174" t="s">
        <v>10404</v>
      </c>
    </row>
    <row r="5175" spans="1:7" ht="14.25" hidden="1" customHeight="1" x14ac:dyDescent="0.45">
      <c r="A5175" t="str">
        <f>_xlfn.XLOOKUP(B5175,Ingot!$H$12:$H$119,Ingot!$G$12:$G$119,"")</f>
        <v>Wood</v>
      </c>
      <c r="B5175" t="s">
        <v>10292</v>
      </c>
      <c r="C5175" t="s">
        <v>10</v>
      </c>
      <c r="D5175" t="s">
        <v>10405</v>
      </c>
      <c r="E5175" t="s">
        <v>10406</v>
      </c>
    </row>
    <row r="5176" spans="1:7" ht="14.25" hidden="1" customHeight="1" x14ac:dyDescent="0.45">
      <c r="A5176" t="str">
        <f>_xlfn.XLOOKUP(B5176,Ingot!$H$12:$H$119,Ingot!$G$12:$G$119,"")</f>
        <v>Wood</v>
      </c>
      <c r="B5176" t="s">
        <v>10292</v>
      </c>
      <c r="C5176" t="s">
        <v>10</v>
      </c>
      <c r="D5176" t="s">
        <v>10407</v>
      </c>
      <c r="E5176" t="s">
        <v>10408</v>
      </c>
      <c r="G5176" s="1">
        <v>3.11</v>
      </c>
    </row>
    <row r="5177" spans="1:7" ht="14.25" hidden="1" customHeight="1" x14ac:dyDescent="0.45">
      <c r="A5177" t="str">
        <f>_xlfn.XLOOKUP(B5177,Ingot!$H$12:$H$119,Ingot!$G$12:$G$119,"")</f>
        <v>Wood</v>
      </c>
      <c r="B5177" t="s">
        <v>10292</v>
      </c>
      <c r="C5177" t="s">
        <v>10</v>
      </c>
      <c r="D5177" t="s">
        <v>10409</v>
      </c>
      <c r="E5177" t="s">
        <v>10410</v>
      </c>
      <c r="G5177" s="1">
        <v>2.44</v>
      </c>
    </row>
    <row r="5178" spans="1:7" ht="14.25" hidden="1" customHeight="1" x14ac:dyDescent="0.45">
      <c r="A5178" t="str">
        <f>_xlfn.XLOOKUP(B5178,Ingot!$H$12:$H$119,Ingot!$G$12:$G$119,"")</f>
        <v>Wood</v>
      </c>
      <c r="B5178" t="s">
        <v>10292</v>
      </c>
      <c r="C5178" t="s">
        <v>10</v>
      </c>
      <c r="D5178" t="s">
        <v>10411</v>
      </c>
      <c r="E5178" t="s">
        <v>10412</v>
      </c>
      <c r="G5178" s="1">
        <v>8.61</v>
      </c>
    </row>
    <row r="5179" spans="1:7" ht="14.25" hidden="1" customHeight="1" x14ac:dyDescent="0.45">
      <c r="A5179" t="str">
        <f>_xlfn.XLOOKUP(B5179,Ingot!$H$12:$H$119,Ingot!$G$12:$G$119,"")</f>
        <v>Wood</v>
      </c>
      <c r="B5179" t="s">
        <v>10292</v>
      </c>
      <c r="C5179" t="s">
        <v>10</v>
      </c>
      <c r="D5179" t="s">
        <v>10413</v>
      </c>
      <c r="E5179" t="s">
        <v>10414</v>
      </c>
    </row>
    <row r="5180" spans="1:7" ht="14.25" hidden="1" customHeight="1" x14ac:dyDescent="0.45">
      <c r="A5180" t="str">
        <f>_xlfn.XLOOKUP(B5180,Ingot!$H$12:$H$119,Ingot!$G$12:$G$119,"")</f>
        <v>Wood</v>
      </c>
      <c r="B5180" t="s">
        <v>10292</v>
      </c>
      <c r="C5180" t="s">
        <v>10</v>
      </c>
      <c r="D5180" t="s">
        <v>10415</v>
      </c>
      <c r="E5180" t="s">
        <v>10416</v>
      </c>
      <c r="G5180" s="1">
        <v>3.21</v>
      </c>
    </row>
    <row r="5181" spans="1:7" ht="14.25" hidden="1" customHeight="1" x14ac:dyDescent="0.45">
      <c r="A5181" t="str">
        <f>_xlfn.XLOOKUP(B5181,Ingot!$H$12:$H$119,Ingot!$G$12:$G$119,"")</f>
        <v>Wood</v>
      </c>
      <c r="B5181" t="s">
        <v>10292</v>
      </c>
      <c r="C5181" t="s">
        <v>10</v>
      </c>
      <c r="D5181" t="s">
        <v>10417</v>
      </c>
      <c r="E5181" t="s">
        <v>10418</v>
      </c>
      <c r="G5181" s="1">
        <v>2.77</v>
      </c>
    </row>
    <row r="5182" spans="1:7" ht="14.25" hidden="1" customHeight="1" x14ac:dyDescent="0.45">
      <c r="A5182" t="str">
        <f>_xlfn.XLOOKUP(B5182,Ingot!$H$12:$H$119,Ingot!$G$12:$G$119,"")</f>
        <v>Wood</v>
      </c>
      <c r="B5182" t="s">
        <v>10292</v>
      </c>
      <c r="C5182" t="s">
        <v>10</v>
      </c>
      <c r="D5182" t="s">
        <v>10419</v>
      </c>
      <c r="E5182" t="s">
        <v>10420</v>
      </c>
      <c r="G5182" s="1">
        <v>4.8899999999999997</v>
      </c>
    </row>
    <row r="5183" spans="1:7" ht="14.25" hidden="1" customHeight="1" x14ac:dyDescent="0.45">
      <c r="A5183" t="str">
        <f>_xlfn.XLOOKUP(B5183,Ingot!$H$12:$H$119,Ingot!$G$12:$G$119,"")</f>
        <v>Wood</v>
      </c>
      <c r="B5183" t="s">
        <v>10292</v>
      </c>
      <c r="C5183" t="s">
        <v>10</v>
      </c>
      <c r="D5183" t="s">
        <v>10421</v>
      </c>
      <c r="E5183" t="s">
        <v>10422</v>
      </c>
      <c r="G5183" s="1">
        <v>1.76</v>
      </c>
    </row>
    <row r="5184" spans="1:7" ht="14.25" hidden="1" customHeight="1" x14ac:dyDescent="0.45">
      <c r="A5184" t="str">
        <f>_xlfn.XLOOKUP(B5184,Ingot!$H$12:$H$119,Ingot!$G$12:$G$119,"")</f>
        <v>Wood</v>
      </c>
      <c r="B5184" t="s">
        <v>10292</v>
      </c>
      <c r="C5184" t="s">
        <v>10</v>
      </c>
      <c r="D5184" t="s">
        <v>10423</v>
      </c>
      <c r="E5184" t="s">
        <v>10424</v>
      </c>
    </row>
    <row r="5185" spans="1:7" ht="14.25" hidden="1" customHeight="1" x14ac:dyDescent="0.45">
      <c r="A5185" t="str">
        <f>_xlfn.XLOOKUP(B5185,Ingot!$H$12:$H$119,Ingot!$G$12:$G$119,"")</f>
        <v>Wood</v>
      </c>
      <c r="B5185" t="s">
        <v>10292</v>
      </c>
      <c r="C5185" t="s">
        <v>10</v>
      </c>
      <c r="D5185" t="s">
        <v>10425</v>
      </c>
      <c r="E5185" t="s">
        <v>10426</v>
      </c>
      <c r="G5185" s="1">
        <v>8.57</v>
      </c>
    </row>
    <row r="5186" spans="1:7" ht="14.25" hidden="1" customHeight="1" x14ac:dyDescent="0.45">
      <c r="A5186" t="str">
        <f>_xlfn.XLOOKUP(B5186,Ingot!$H$12:$H$119,Ingot!$G$12:$G$119,"")</f>
        <v>Wood</v>
      </c>
      <c r="B5186" t="s">
        <v>10292</v>
      </c>
      <c r="C5186" t="s">
        <v>10</v>
      </c>
      <c r="D5186" t="s">
        <v>10427</v>
      </c>
      <c r="E5186" t="s">
        <v>10428</v>
      </c>
    </row>
    <row r="5187" spans="1:7" ht="14.25" hidden="1" customHeight="1" x14ac:dyDescent="0.45">
      <c r="A5187" t="str">
        <f>_xlfn.XLOOKUP(B5187,Ingot!$H$12:$H$119,Ingot!$G$12:$G$119,"")</f>
        <v>Wood</v>
      </c>
      <c r="B5187" t="s">
        <v>10292</v>
      </c>
      <c r="C5187" t="s">
        <v>10</v>
      </c>
      <c r="D5187" t="s">
        <v>10429</v>
      </c>
      <c r="E5187" t="s">
        <v>10430</v>
      </c>
      <c r="G5187" s="1">
        <v>3.56</v>
      </c>
    </row>
    <row r="5188" spans="1:7" ht="14.25" hidden="1" customHeight="1" x14ac:dyDescent="0.45">
      <c r="A5188" t="str">
        <f>_xlfn.XLOOKUP(B5188,Ingot!$H$12:$H$119,Ingot!$G$12:$G$119,"")</f>
        <v>Wood</v>
      </c>
      <c r="B5188" t="s">
        <v>10292</v>
      </c>
      <c r="C5188" t="s">
        <v>10</v>
      </c>
      <c r="D5188" t="s">
        <v>10431</v>
      </c>
      <c r="E5188" t="s">
        <v>10432</v>
      </c>
      <c r="G5188" s="1">
        <v>8.91</v>
      </c>
    </row>
    <row r="5189" spans="1:7" ht="14.25" hidden="1" customHeight="1" x14ac:dyDescent="0.45">
      <c r="A5189" t="str">
        <f>_xlfn.XLOOKUP(B5189,Ingot!$H$12:$H$119,Ingot!$G$12:$G$119,"")</f>
        <v>Wood</v>
      </c>
      <c r="B5189" t="s">
        <v>10292</v>
      </c>
      <c r="C5189" t="s">
        <v>10</v>
      </c>
      <c r="D5189" t="s">
        <v>10433</v>
      </c>
      <c r="E5189" t="s">
        <v>10434</v>
      </c>
      <c r="G5189" s="1">
        <v>11.02</v>
      </c>
    </row>
    <row r="5190" spans="1:7" ht="14.25" hidden="1" customHeight="1" x14ac:dyDescent="0.45">
      <c r="A5190" t="str">
        <f>_xlfn.XLOOKUP(B5190,Ingot!$H$12:$H$119,Ingot!$G$12:$G$119,"")</f>
        <v>Wood</v>
      </c>
      <c r="B5190" t="s">
        <v>10292</v>
      </c>
      <c r="C5190" t="s">
        <v>10</v>
      </c>
      <c r="D5190" t="s">
        <v>10435</v>
      </c>
      <c r="E5190" t="s">
        <v>10436</v>
      </c>
      <c r="G5190" s="1">
        <v>5.12</v>
      </c>
    </row>
    <row r="5191" spans="1:7" ht="14.25" hidden="1" customHeight="1" x14ac:dyDescent="0.45">
      <c r="A5191" t="str">
        <f>_xlfn.XLOOKUP(B5191,Ingot!$H$12:$H$119,Ingot!$G$12:$G$119,"")</f>
        <v>Wood</v>
      </c>
      <c r="B5191" t="s">
        <v>10292</v>
      </c>
      <c r="C5191" t="s">
        <v>10</v>
      </c>
      <c r="D5191" t="s">
        <v>10437</v>
      </c>
      <c r="E5191" t="s">
        <v>10438</v>
      </c>
      <c r="G5191" s="1">
        <v>4.41</v>
      </c>
    </row>
    <row r="5192" spans="1:7" ht="14.25" hidden="1" customHeight="1" x14ac:dyDescent="0.45">
      <c r="A5192" t="str">
        <f>_xlfn.XLOOKUP(B5192,Ingot!$H$12:$H$119,Ingot!$G$12:$G$119,"")</f>
        <v>Wood</v>
      </c>
      <c r="B5192" t="s">
        <v>10292</v>
      </c>
      <c r="C5192" t="s">
        <v>157</v>
      </c>
      <c r="D5192" t="s">
        <v>10439</v>
      </c>
      <c r="E5192" t="s">
        <v>10440</v>
      </c>
      <c r="G5192" s="1">
        <v>24</v>
      </c>
    </row>
    <row r="5193" spans="1:7" ht="14.25" hidden="1" customHeight="1" x14ac:dyDescent="0.45">
      <c r="A5193" t="str">
        <f>_xlfn.XLOOKUP(B5193,Ingot!$H$12:$H$119,Ingot!$G$12:$G$119,"")</f>
        <v>Wood</v>
      </c>
      <c r="B5193" t="s">
        <v>10292</v>
      </c>
      <c r="C5193" t="s">
        <v>157</v>
      </c>
      <c r="D5193" t="s">
        <v>10441</v>
      </c>
      <c r="E5193" t="s">
        <v>10442</v>
      </c>
      <c r="G5193" s="1">
        <v>5</v>
      </c>
    </row>
    <row r="5194" spans="1:7" ht="14.25" hidden="1" customHeight="1" x14ac:dyDescent="0.45">
      <c r="A5194" t="str">
        <f>_xlfn.XLOOKUP(B5194,Ingot!$H$12:$H$119,Ingot!$G$12:$G$119,"")</f>
        <v>Wood</v>
      </c>
      <c r="B5194" t="s">
        <v>10292</v>
      </c>
      <c r="C5194" t="s">
        <v>157</v>
      </c>
      <c r="D5194" t="s">
        <v>10443</v>
      </c>
      <c r="E5194" t="s">
        <v>10444</v>
      </c>
      <c r="G5194" s="1">
        <v>5</v>
      </c>
    </row>
    <row r="5195" spans="1:7" ht="14.25" hidden="1" customHeight="1" x14ac:dyDescent="0.45">
      <c r="A5195" t="str">
        <f>_xlfn.XLOOKUP(B5195,Ingot!$H$12:$H$119,Ingot!$G$12:$G$119,"")</f>
        <v>Wood</v>
      </c>
      <c r="B5195" t="s">
        <v>10292</v>
      </c>
      <c r="C5195" t="s">
        <v>157</v>
      </c>
      <c r="D5195" t="s">
        <v>10445</v>
      </c>
      <c r="E5195" t="s">
        <v>10446</v>
      </c>
      <c r="G5195" s="1">
        <v>5</v>
      </c>
    </row>
    <row r="5196" spans="1:7" ht="14.25" hidden="1" customHeight="1" x14ac:dyDescent="0.45">
      <c r="A5196" t="str">
        <f>_xlfn.XLOOKUP(B5196,Ingot!$H$12:$H$119,Ingot!$G$12:$G$119,"")</f>
        <v>Wood</v>
      </c>
      <c r="B5196" t="s">
        <v>10292</v>
      </c>
      <c r="C5196" t="s">
        <v>157</v>
      </c>
      <c r="D5196" t="s">
        <v>10447</v>
      </c>
      <c r="E5196" t="s">
        <v>10448</v>
      </c>
      <c r="G5196" s="1">
        <v>10</v>
      </c>
    </row>
    <row r="5197" spans="1:7" ht="14.25" hidden="1" customHeight="1" x14ac:dyDescent="0.45">
      <c r="A5197" t="str">
        <f>_xlfn.XLOOKUP(B5197,Ingot!$H$12:$H$119,Ingot!$G$12:$G$119,"")</f>
        <v>Wood</v>
      </c>
      <c r="B5197" t="s">
        <v>10292</v>
      </c>
      <c r="C5197" t="s">
        <v>157</v>
      </c>
      <c r="D5197" t="s">
        <v>10449</v>
      </c>
      <c r="E5197" t="s">
        <v>10450</v>
      </c>
      <c r="G5197" s="1">
        <v>20.8</v>
      </c>
    </row>
    <row r="5198" spans="1:7" ht="14.25" hidden="1" customHeight="1" x14ac:dyDescent="0.45">
      <c r="A5198" t="str">
        <f>_xlfn.XLOOKUP(B5198,Ingot!$H$12:$H$119,Ingot!$G$12:$G$119,"")</f>
        <v>Wood</v>
      </c>
      <c r="B5198" t="s">
        <v>10292</v>
      </c>
      <c r="C5198" t="s">
        <v>157</v>
      </c>
      <c r="D5198" t="s">
        <v>10451</v>
      </c>
      <c r="E5198" t="s">
        <v>10452</v>
      </c>
      <c r="G5198" s="1">
        <v>5</v>
      </c>
    </row>
    <row r="5199" spans="1:7" ht="14.25" hidden="1" customHeight="1" x14ac:dyDescent="0.45">
      <c r="A5199" t="str">
        <f>_xlfn.XLOOKUP(B5199,Ingot!$H$12:$H$119,Ingot!$G$12:$G$119,"")</f>
        <v>Wood</v>
      </c>
      <c r="B5199" t="s">
        <v>10292</v>
      </c>
      <c r="C5199" t="s">
        <v>157</v>
      </c>
      <c r="D5199" t="s">
        <v>10453</v>
      </c>
      <c r="E5199" t="s">
        <v>10454</v>
      </c>
      <c r="G5199" s="1">
        <v>5</v>
      </c>
    </row>
    <row r="5200" spans="1:7" ht="14.25" hidden="1" customHeight="1" x14ac:dyDescent="0.45">
      <c r="A5200" t="str">
        <f>_xlfn.XLOOKUP(B5200,Ingot!$H$12:$H$119,Ingot!$G$12:$G$119,"")</f>
        <v>Wood</v>
      </c>
      <c r="B5200" t="s">
        <v>10292</v>
      </c>
      <c r="C5200" t="s">
        <v>157</v>
      </c>
      <c r="D5200" t="s">
        <v>10455</v>
      </c>
      <c r="E5200" t="s">
        <v>10456</v>
      </c>
      <c r="G5200" s="1">
        <v>5</v>
      </c>
    </row>
    <row r="5201" spans="1:7" ht="14.25" hidden="1" customHeight="1" x14ac:dyDescent="0.45">
      <c r="A5201" t="str">
        <f>_xlfn.XLOOKUP(B5201,Ingot!$H$12:$H$119,Ingot!$G$12:$G$119,"")</f>
        <v>Wood</v>
      </c>
      <c r="B5201" t="s">
        <v>10292</v>
      </c>
      <c r="C5201" t="s">
        <v>157</v>
      </c>
      <c r="D5201" t="s">
        <v>10457</v>
      </c>
      <c r="E5201" t="s">
        <v>10458</v>
      </c>
      <c r="G5201" s="1">
        <v>10</v>
      </c>
    </row>
    <row r="5202" spans="1:7" ht="14.25" hidden="1" customHeight="1" x14ac:dyDescent="0.45">
      <c r="A5202" t="str">
        <f>_xlfn.XLOOKUP(B5202,Ingot!$H$12:$H$119,Ingot!$G$12:$G$119,"")</f>
        <v>Wood</v>
      </c>
      <c r="B5202" t="s">
        <v>10292</v>
      </c>
      <c r="C5202" t="s">
        <v>157</v>
      </c>
      <c r="D5202" t="s">
        <v>10459</v>
      </c>
      <c r="E5202" t="s">
        <v>10460</v>
      </c>
      <c r="G5202" s="1">
        <v>20</v>
      </c>
    </row>
    <row r="5203" spans="1:7" ht="14.25" hidden="1" customHeight="1" x14ac:dyDescent="0.45">
      <c r="A5203" t="str">
        <f>_xlfn.XLOOKUP(B5203,Ingot!$H$12:$H$119,Ingot!$G$12:$G$119,"")</f>
        <v>Wood</v>
      </c>
      <c r="B5203" t="s">
        <v>10292</v>
      </c>
      <c r="C5203" t="s">
        <v>157</v>
      </c>
      <c r="D5203" t="s">
        <v>10461</v>
      </c>
      <c r="E5203" t="s">
        <v>10462</v>
      </c>
      <c r="G5203" s="1">
        <v>5</v>
      </c>
    </row>
    <row r="5204" spans="1:7" ht="14.25" hidden="1" customHeight="1" x14ac:dyDescent="0.45">
      <c r="A5204" t="str">
        <f>_xlfn.XLOOKUP(B5204,Ingot!$H$12:$H$119,Ingot!$G$12:$G$119,"")</f>
        <v>Wood</v>
      </c>
      <c r="B5204" t="s">
        <v>10292</v>
      </c>
      <c r="C5204" t="s">
        <v>157</v>
      </c>
      <c r="D5204" t="s">
        <v>10463</v>
      </c>
      <c r="E5204" t="s">
        <v>10464</v>
      </c>
      <c r="G5204" s="1">
        <v>5</v>
      </c>
    </row>
    <row r="5205" spans="1:7" ht="14.25" hidden="1" customHeight="1" x14ac:dyDescent="0.45">
      <c r="A5205" t="str">
        <f>_xlfn.XLOOKUP(B5205,Ingot!$H$12:$H$119,Ingot!$G$12:$G$119,"")</f>
        <v>Wood</v>
      </c>
      <c r="B5205" t="s">
        <v>10292</v>
      </c>
      <c r="C5205" t="s">
        <v>157</v>
      </c>
      <c r="D5205" t="s">
        <v>10465</v>
      </c>
      <c r="E5205" t="s">
        <v>10466</v>
      </c>
      <c r="G5205" s="1">
        <v>5</v>
      </c>
    </row>
    <row r="5206" spans="1:7" ht="14.25" hidden="1" customHeight="1" x14ac:dyDescent="0.45">
      <c r="A5206" t="str">
        <f>_xlfn.XLOOKUP(B5206,Ingot!$H$12:$H$119,Ingot!$G$12:$G$119,"")</f>
        <v>Wood</v>
      </c>
      <c r="B5206" t="s">
        <v>10292</v>
      </c>
      <c r="C5206" t="s">
        <v>157</v>
      </c>
      <c r="D5206" t="s">
        <v>10467</v>
      </c>
      <c r="E5206" t="s">
        <v>10468</v>
      </c>
      <c r="G5206" s="1">
        <v>10</v>
      </c>
    </row>
    <row r="5207" spans="1:7" ht="14.25" hidden="1" customHeight="1" x14ac:dyDescent="0.45">
      <c r="A5207" t="str">
        <f>_xlfn.XLOOKUP(B5207,Ingot!$H$12:$H$119,Ingot!$G$12:$G$119,"")</f>
        <v>Wood</v>
      </c>
      <c r="B5207" t="s">
        <v>10292</v>
      </c>
      <c r="C5207" t="s">
        <v>157</v>
      </c>
      <c r="D5207" t="s">
        <v>10469</v>
      </c>
      <c r="E5207" t="s">
        <v>10470</v>
      </c>
      <c r="G5207" s="1">
        <v>22</v>
      </c>
    </row>
    <row r="5208" spans="1:7" ht="14.25" hidden="1" customHeight="1" x14ac:dyDescent="0.45">
      <c r="A5208" t="str">
        <f>_xlfn.XLOOKUP(B5208,Ingot!$H$12:$H$119,Ingot!$G$12:$G$119,"")</f>
        <v>Wood</v>
      </c>
      <c r="B5208" t="s">
        <v>10292</v>
      </c>
      <c r="C5208" t="s">
        <v>157</v>
      </c>
      <c r="D5208" t="s">
        <v>10471</v>
      </c>
      <c r="E5208" t="s">
        <v>10472</v>
      </c>
      <c r="G5208" s="1">
        <v>5</v>
      </c>
    </row>
    <row r="5209" spans="1:7" ht="14.25" hidden="1" customHeight="1" x14ac:dyDescent="0.45">
      <c r="A5209" t="str">
        <f>_xlfn.XLOOKUP(B5209,Ingot!$H$12:$H$119,Ingot!$G$12:$G$119,"")</f>
        <v>Wood</v>
      </c>
      <c r="B5209" t="s">
        <v>10292</v>
      </c>
      <c r="C5209" t="s">
        <v>157</v>
      </c>
      <c r="D5209" t="s">
        <v>10473</v>
      </c>
      <c r="E5209" t="s">
        <v>10474</v>
      </c>
      <c r="G5209" s="1">
        <v>5</v>
      </c>
    </row>
    <row r="5210" spans="1:7" ht="14.25" hidden="1" customHeight="1" x14ac:dyDescent="0.45">
      <c r="A5210" t="str">
        <f>_xlfn.XLOOKUP(B5210,Ingot!$H$12:$H$119,Ingot!$G$12:$G$119,"")</f>
        <v>Wood</v>
      </c>
      <c r="B5210" t="s">
        <v>10292</v>
      </c>
      <c r="C5210" t="s">
        <v>157</v>
      </c>
      <c r="D5210" t="s">
        <v>10475</v>
      </c>
      <c r="E5210" t="s">
        <v>10476</v>
      </c>
      <c r="G5210" s="1">
        <v>5</v>
      </c>
    </row>
    <row r="5211" spans="1:7" ht="14.25" hidden="1" customHeight="1" x14ac:dyDescent="0.45">
      <c r="A5211" t="str">
        <f>_xlfn.XLOOKUP(B5211,Ingot!$H$12:$H$119,Ingot!$G$12:$G$119,"")</f>
        <v>Wood</v>
      </c>
      <c r="B5211" t="s">
        <v>10292</v>
      </c>
      <c r="C5211" t="s">
        <v>157</v>
      </c>
      <c r="D5211" t="s">
        <v>10477</v>
      </c>
      <c r="E5211" t="s">
        <v>10478</v>
      </c>
      <c r="G5211" s="1">
        <v>10</v>
      </c>
    </row>
    <row r="5212" spans="1:7" ht="14.25" hidden="1" customHeight="1" x14ac:dyDescent="0.45">
      <c r="A5212" t="str">
        <f>_xlfn.XLOOKUP(B5212,Ingot!$H$12:$H$119,Ingot!$G$12:$G$119,"")</f>
        <v>Wood</v>
      </c>
      <c r="B5212" t="s">
        <v>10292</v>
      </c>
      <c r="C5212" t="s">
        <v>157</v>
      </c>
      <c r="D5212" t="s">
        <v>10479</v>
      </c>
      <c r="E5212" t="s">
        <v>10480</v>
      </c>
      <c r="G5212" s="1">
        <v>23</v>
      </c>
    </row>
    <row r="5213" spans="1:7" ht="14.25" hidden="1" customHeight="1" x14ac:dyDescent="0.45">
      <c r="A5213" t="str">
        <f>_xlfn.XLOOKUP(B5213,Ingot!$H$12:$H$119,Ingot!$G$12:$G$119,"")</f>
        <v>Wood</v>
      </c>
      <c r="B5213" t="s">
        <v>10292</v>
      </c>
      <c r="C5213" t="s">
        <v>157</v>
      </c>
      <c r="D5213" t="s">
        <v>10481</v>
      </c>
      <c r="E5213" t="s">
        <v>10482</v>
      </c>
      <c r="G5213" s="1">
        <v>5</v>
      </c>
    </row>
    <row r="5214" spans="1:7" ht="14.25" hidden="1" customHeight="1" x14ac:dyDescent="0.45">
      <c r="A5214" t="str">
        <f>_xlfn.XLOOKUP(B5214,Ingot!$H$12:$H$119,Ingot!$G$12:$G$119,"")</f>
        <v>Wood</v>
      </c>
      <c r="B5214" t="s">
        <v>10292</v>
      </c>
      <c r="C5214" t="s">
        <v>157</v>
      </c>
      <c r="D5214" t="s">
        <v>10483</v>
      </c>
      <c r="E5214" t="s">
        <v>10484</v>
      </c>
      <c r="G5214" s="1">
        <v>5</v>
      </c>
    </row>
    <row r="5215" spans="1:7" ht="14.25" hidden="1" customHeight="1" x14ac:dyDescent="0.45">
      <c r="A5215" t="str">
        <f>_xlfn.XLOOKUP(B5215,Ingot!$H$12:$H$119,Ingot!$G$12:$G$119,"")</f>
        <v>Wood</v>
      </c>
      <c r="B5215" t="s">
        <v>10292</v>
      </c>
      <c r="C5215" t="s">
        <v>157</v>
      </c>
      <c r="D5215" t="s">
        <v>10485</v>
      </c>
      <c r="E5215" t="s">
        <v>10486</v>
      </c>
      <c r="G5215" s="1">
        <v>5</v>
      </c>
    </row>
    <row r="5216" spans="1:7" ht="14.25" hidden="1" customHeight="1" x14ac:dyDescent="0.45">
      <c r="A5216" t="str">
        <f>_xlfn.XLOOKUP(B5216,Ingot!$H$12:$H$119,Ingot!$G$12:$G$119,"")</f>
        <v>Wood</v>
      </c>
      <c r="B5216" t="s">
        <v>10292</v>
      </c>
      <c r="C5216" t="s">
        <v>157</v>
      </c>
      <c r="D5216" t="s">
        <v>10487</v>
      </c>
      <c r="E5216" t="s">
        <v>10488</v>
      </c>
      <c r="G5216" s="1">
        <v>10</v>
      </c>
    </row>
    <row r="5217" spans="1:7" ht="14.25" hidden="1" customHeight="1" x14ac:dyDescent="0.45">
      <c r="A5217" t="str">
        <f>_xlfn.XLOOKUP(B5217,Ingot!$H$12:$H$119,Ingot!$G$12:$G$119,"")</f>
        <v>Wood</v>
      </c>
      <c r="B5217" t="s">
        <v>10292</v>
      </c>
      <c r="C5217" t="s">
        <v>157</v>
      </c>
      <c r="D5217" t="s">
        <v>10489</v>
      </c>
      <c r="E5217" t="s">
        <v>10490</v>
      </c>
      <c r="G5217" s="1">
        <v>26.8</v>
      </c>
    </row>
    <row r="5218" spans="1:7" ht="14.25" hidden="1" customHeight="1" x14ac:dyDescent="0.45">
      <c r="A5218" t="str">
        <f>_xlfn.XLOOKUP(B5218,Ingot!$H$12:$H$119,Ingot!$G$12:$G$119,"")</f>
        <v>Wood</v>
      </c>
      <c r="B5218" t="s">
        <v>10292</v>
      </c>
      <c r="C5218" t="s">
        <v>157</v>
      </c>
      <c r="D5218" t="s">
        <v>10491</v>
      </c>
      <c r="E5218" t="s">
        <v>10492</v>
      </c>
      <c r="G5218" s="1">
        <v>5.36</v>
      </c>
    </row>
    <row r="5219" spans="1:7" ht="14.25" hidden="1" customHeight="1" x14ac:dyDescent="0.45">
      <c r="A5219" t="str">
        <f>_xlfn.XLOOKUP(B5219,Ingot!$H$12:$H$119,Ingot!$G$12:$G$119,"")</f>
        <v>Wood</v>
      </c>
      <c r="B5219" t="s">
        <v>10292</v>
      </c>
      <c r="C5219" t="s">
        <v>157</v>
      </c>
      <c r="D5219" t="s">
        <v>10493</v>
      </c>
      <c r="E5219" t="s">
        <v>10494</v>
      </c>
      <c r="G5219" s="1">
        <v>5.36</v>
      </c>
    </row>
    <row r="5220" spans="1:7" ht="14.25" hidden="1" customHeight="1" x14ac:dyDescent="0.45">
      <c r="A5220" t="str">
        <f>_xlfn.XLOOKUP(B5220,Ingot!$H$12:$H$119,Ingot!$G$12:$G$119,"")</f>
        <v>Wood</v>
      </c>
      <c r="B5220" t="s">
        <v>10292</v>
      </c>
      <c r="C5220" t="s">
        <v>157</v>
      </c>
      <c r="D5220" t="s">
        <v>10495</v>
      </c>
      <c r="E5220" t="s">
        <v>10496</v>
      </c>
      <c r="G5220" s="1">
        <v>5</v>
      </c>
    </row>
    <row r="5221" spans="1:7" ht="14.25" hidden="1" customHeight="1" x14ac:dyDescent="0.45">
      <c r="A5221" t="str">
        <f>_xlfn.XLOOKUP(B5221,Ingot!$H$12:$H$119,Ingot!$G$12:$G$119,"")</f>
        <v>Wood</v>
      </c>
      <c r="B5221" t="s">
        <v>10292</v>
      </c>
      <c r="C5221" t="s">
        <v>157</v>
      </c>
      <c r="D5221" t="s">
        <v>10497</v>
      </c>
      <c r="E5221" t="s">
        <v>10498</v>
      </c>
      <c r="G5221" s="1">
        <v>10</v>
      </c>
    </row>
    <row r="5222" spans="1:7" ht="14.25" hidden="1" customHeight="1" x14ac:dyDescent="0.45">
      <c r="A5222" t="str">
        <f>_xlfn.XLOOKUP(B5222,Ingot!$H$12:$H$119,Ingot!$G$12:$G$119,"")</f>
        <v>Wood</v>
      </c>
      <c r="B5222" t="s">
        <v>10292</v>
      </c>
      <c r="C5222" t="s">
        <v>157</v>
      </c>
      <c r="D5222" t="s">
        <v>10499</v>
      </c>
      <c r="E5222" t="s">
        <v>10500</v>
      </c>
      <c r="G5222" s="1">
        <v>25.5</v>
      </c>
    </row>
    <row r="5223" spans="1:7" ht="14.25" hidden="1" customHeight="1" x14ac:dyDescent="0.45">
      <c r="A5223" t="str">
        <f>_xlfn.XLOOKUP(B5223,Ingot!$H$12:$H$119,Ingot!$G$12:$G$119,"")</f>
        <v>Wood</v>
      </c>
      <c r="B5223" t="s">
        <v>10292</v>
      </c>
      <c r="C5223" t="s">
        <v>157</v>
      </c>
      <c r="D5223" t="s">
        <v>10501</v>
      </c>
      <c r="E5223" t="s">
        <v>10502</v>
      </c>
      <c r="G5223" s="1">
        <v>5.0999999999999996</v>
      </c>
    </row>
    <row r="5224" spans="1:7" ht="14.25" hidden="1" customHeight="1" x14ac:dyDescent="0.45">
      <c r="A5224" t="str">
        <f>_xlfn.XLOOKUP(B5224,Ingot!$H$12:$H$119,Ingot!$G$12:$G$119,"")</f>
        <v>Wood</v>
      </c>
      <c r="B5224" t="s">
        <v>10292</v>
      </c>
      <c r="C5224" t="s">
        <v>157</v>
      </c>
      <c r="D5224" t="s">
        <v>10503</v>
      </c>
      <c r="E5224" t="s">
        <v>10504</v>
      </c>
      <c r="G5224" s="1">
        <v>5.0999999999999996</v>
      </c>
    </row>
    <row r="5225" spans="1:7" ht="14.25" hidden="1" customHeight="1" x14ac:dyDescent="0.45">
      <c r="A5225" t="str">
        <f>_xlfn.XLOOKUP(B5225,Ingot!$H$12:$H$119,Ingot!$G$12:$G$119,"")</f>
        <v>Wood</v>
      </c>
      <c r="B5225" t="s">
        <v>10292</v>
      </c>
      <c r="C5225" t="s">
        <v>157</v>
      </c>
      <c r="D5225" t="s">
        <v>10505</v>
      </c>
      <c r="E5225" t="s">
        <v>10506</v>
      </c>
      <c r="G5225" s="1">
        <v>5</v>
      </c>
    </row>
    <row r="5226" spans="1:7" ht="14.25" hidden="1" customHeight="1" x14ac:dyDescent="0.45">
      <c r="A5226" t="str">
        <f>_xlfn.XLOOKUP(B5226,Ingot!$H$12:$H$119,Ingot!$G$12:$G$119,"")</f>
        <v>Wood</v>
      </c>
      <c r="B5226" t="s">
        <v>10292</v>
      </c>
      <c r="C5226" t="s">
        <v>157</v>
      </c>
      <c r="D5226" t="s">
        <v>10507</v>
      </c>
      <c r="E5226" t="s">
        <v>10508</v>
      </c>
      <c r="G5226" s="1">
        <v>10</v>
      </c>
    </row>
    <row r="5227" spans="1:7" ht="14.25" hidden="1" customHeight="1" x14ac:dyDescent="0.45">
      <c r="A5227" t="str">
        <f>_xlfn.XLOOKUP(B5227,Ingot!$H$12:$H$119,Ingot!$G$12:$G$119,"")</f>
        <v>Wood</v>
      </c>
      <c r="B5227" t="s">
        <v>10292</v>
      </c>
      <c r="C5227" t="s">
        <v>157</v>
      </c>
      <c r="D5227" t="s">
        <v>10509</v>
      </c>
      <c r="E5227" t="s">
        <v>10510</v>
      </c>
      <c r="G5227" s="1">
        <v>19.2</v>
      </c>
    </row>
    <row r="5228" spans="1:7" ht="14.25" hidden="1" customHeight="1" x14ac:dyDescent="0.45">
      <c r="A5228" t="str">
        <f>_xlfn.XLOOKUP(B5228,Ingot!$H$12:$H$119,Ingot!$G$12:$G$119,"")</f>
        <v>Wood</v>
      </c>
      <c r="B5228" t="s">
        <v>10292</v>
      </c>
      <c r="C5228" t="s">
        <v>157</v>
      </c>
      <c r="D5228" t="s">
        <v>10511</v>
      </c>
      <c r="E5228" t="s">
        <v>10512</v>
      </c>
      <c r="G5228" s="1">
        <v>5</v>
      </c>
    </row>
    <row r="5229" spans="1:7" ht="14.25" hidden="1" customHeight="1" x14ac:dyDescent="0.45">
      <c r="A5229" t="str">
        <f>_xlfn.XLOOKUP(B5229,Ingot!$H$12:$H$119,Ingot!$G$12:$G$119,"")</f>
        <v>Wood</v>
      </c>
      <c r="B5229" t="s">
        <v>10292</v>
      </c>
      <c r="C5229" t="s">
        <v>157</v>
      </c>
      <c r="D5229" t="s">
        <v>10513</v>
      </c>
      <c r="E5229" t="s">
        <v>10514</v>
      </c>
      <c r="G5229" s="1">
        <v>5</v>
      </c>
    </row>
    <row r="5230" spans="1:7" ht="14.25" hidden="1" customHeight="1" x14ac:dyDescent="0.45">
      <c r="A5230" t="str">
        <f>_xlfn.XLOOKUP(B5230,Ingot!$H$12:$H$119,Ingot!$G$12:$G$119,"")</f>
        <v>Wood</v>
      </c>
      <c r="B5230" t="s">
        <v>10292</v>
      </c>
      <c r="C5230" t="s">
        <v>157</v>
      </c>
      <c r="D5230" t="s">
        <v>10515</v>
      </c>
      <c r="E5230" t="s">
        <v>10516</v>
      </c>
      <c r="G5230" s="1">
        <v>5</v>
      </c>
    </row>
    <row r="5231" spans="1:7" ht="14.25" hidden="1" customHeight="1" x14ac:dyDescent="0.45">
      <c r="A5231" t="str">
        <f>_xlfn.XLOOKUP(B5231,Ingot!$H$12:$H$119,Ingot!$G$12:$G$119,"")</f>
        <v>Wood</v>
      </c>
      <c r="B5231" t="s">
        <v>10292</v>
      </c>
      <c r="C5231" t="s">
        <v>157</v>
      </c>
      <c r="D5231" t="s">
        <v>10517</v>
      </c>
      <c r="E5231" t="s">
        <v>10518</v>
      </c>
      <c r="G5231" s="1">
        <v>10</v>
      </c>
    </row>
    <row r="5232" spans="1:7" ht="14.25" hidden="1" customHeight="1" x14ac:dyDescent="0.45">
      <c r="A5232" t="str">
        <f>_xlfn.XLOOKUP(B5232,Ingot!$H$12:$H$119,Ingot!$G$12:$G$119,"")</f>
        <v>Wood</v>
      </c>
      <c r="B5232" t="s">
        <v>10292</v>
      </c>
      <c r="C5232" t="s">
        <v>239</v>
      </c>
      <c r="D5232" t="s">
        <v>10519</v>
      </c>
      <c r="E5232" t="s">
        <v>10520</v>
      </c>
    </row>
    <row r="5233" spans="1:7" ht="14.25" hidden="1" customHeight="1" x14ac:dyDescent="0.45">
      <c r="A5233" t="str">
        <f>_xlfn.XLOOKUP(B5233,Ingot!$H$12:$H$119,Ingot!$G$12:$G$119,"")</f>
        <v>Wood</v>
      </c>
      <c r="B5233" t="s">
        <v>10292</v>
      </c>
      <c r="C5233" t="s">
        <v>239</v>
      </c>
      <c r="D5233" t="s">
        <v>10521</v>
      </c>
      <c r="E5233" t="s">
        <v>10522</v>
      </c>
    </row>
    <row r="5234" spans="1:7" ht="14.25" hidden="1" customHeight="1" x14ac:dyDescent="0.45">
      <c r="A5234" t="str">
        <f>_xlfn.XLOOKUP(B5234,Ingot!$H$12:$H$119,Ingot!$G$12:$G$119,"")</f>
        <v>Wood</v>
      </c>
      <c r="B5234" t="s">
        <v>10292</v>
      </c>
      <c r="C5234" t="s">
        <v>239</v>
      </c>
      <c r="D5234" t="s">
        <v>10523</v>
      </c>
      <c r="E5234" t="s">
        <v>10524</v>
      </c>
    </row>
    <row r="5235" spans="1:7" ht="14.25" hidden="1" customHeight="1" x14ac:dyDescent="0.45">
      <c r="A5235" t="str">
        <f>_xlfn.XLOOKUP(B5235,Ingot!$H$12:$H$119,Ingot!$G$12:$G$119,"")</f>
        <v>Wood</v>
      </c>
      <c r="B5235" t="s">
        <v>10292</v>
      </c>
      <c r="C5235" t="s">
        <v>239</v>
      </c>
      <c r="D5235" t="s">
        <v>10525</v>
      </c>
      <c r="E5235" t="s">
        <v>10526</v>
      </c>
    </row>
    <row r="5236" spans="1:7" ht="14.25" hidden="1" customHeight="1" x14ac:dyDescent="0.45">
      <c r="A5236" t="str">
        <f>_xlfn.XLOOKUP(B5236,Ingot!$H$12:$H$119,Ingot!$G$12:$G$119,"")</f>
        <v>Wood</v>
      </c>
      <c r="B5236" t="s">
        <v>10292</v>
      </c>
      <c r="C5236" t="s">
        <v>239</v>
      </c>
      <c r="D5236" t="s">
        <v>10527</v>
      </c>
      <c r="E5236" t="s">
        <v>10528</v>
      </c>
    </row>
    <row r="5237" spans="1:7" ht="14.25" hidden="1" customHeight="1" x14ac:dyDescent="0.45">
      <c r="A5237" t="str">
        <f>_xlfn.XLOOKUP(B5237,Ingot!$H$12:$H$119,Ingot!$G$12:$G$119,"")</f>
        <v>Wood</v>
      </c>
      <c r="B5237" t="s">
        <v>10292</v>
      </c>
      <c r="C5237" t="s">
        <v>239</v>
      </c>
      <c r="D5237" t="s">
        <v>10529</v>
      </c>
      <c r="E5237" t="s">
        <v>10530</v>
      </c>
    </row>
    <row r="5238" spans="1:7" ht="14.25" hidden="1" customHeight="1" x14ac:dyDescent="0.45">
      <c r="A5238" t="str">
        <f>_xlfn.XLOOKUP(B5238,Ingot!$H$12:$H$119,Ingot!$G$12:$G$119,"")</f>
        <v>Wood</v>
      </c>
      <c r="B5238" t="s">
        <v>10531</v>
      </c>
      <c r="C5238" t="s">
        <v>10</v>
      </c>
      <c r="D5238" t="s">
        <v>10532</v>
      </c>
      <c r="E5238" t="s">
        <v>10533</v>
      </c>
      <c r="G5238" s="1">
        <v>0.08</v>
      </c>
    </row>
    <row r="5239" spans="1:7" ht="14.25" hidden="1" customHeight="1" x14ac:dyDescent="0.45">
      <c r="A5239" t="str">
        <f>_xlfn.XLOOKUP(B5239,Ingot!$H$12:$H$119,Ingot!$G$12:$G$119,"")</f>
        <v>Wood</v>
      </c>
      <c r="B5239" t="s">
        <v>10531</v>
      </c>
      <c r="C5239" t="s">
        <v>10</v>
      </c>
      <c r="D5239" t="s">
        <v>10534</v>
      </c>
      <c r="E5239" t="s">
        <v>10535</v>
      </c>
      <c r="G5239" s="1">
        <v>9.9</v>
      </c>
    </row>
    <row r="5240" spans="1:7" ht="14.25" hidden="1" customHeight="1" x14ac:dyDescent="0.45">
      <c r="A5240" t="str">
        <f>_xlfn.XLOOKUP(B5240,Ingot!$H$12:$H$119,Ingot!$G$12:$G$119,"")</f>
        <v>Wood</v>
      </c>
      <c r="B5240" t="s">
        <v>10531</v>
      </c>
      <c r="C5240" t="s">
        <v>10</v>
      </c>
      <c r="D5240" t="s">
        <v>10536</v>
      </c>
      <c r="E5240" t="s">
        <v>10537</v>
      </c>
      <c r="G5240" s="1">
        <v>5.66</v>
      </c>
    </row>
    <row r="5241" spans="1:7" ht="14.25" hidden="1" customHeight="1" x14ac:dyDescent="0.45">
      <c r="A5241" t="str">
        <f>_xlfn.XLOOKUP(B5241,Ingot!$H$12:$H$119,Ingot!$G$12:$G$119,"")</f>
        <v>Wood</v>
      </c>
      <c r="B5241" t="s">
        <v>10531</v>
      </c>
      <c r="C5241" t="s">
        <v>10</v>
      </c>
      <c r="D5241" t="s">
        <v>10538</v>
      </c>
      <c r="E5241" t="s">
        <v>10539</v>
      </c>
      <c r="G5241" s="1">
        <v>3.3</v>
      </c>
    </row>
    <row r="5242" spans="1:7" ht="14.25" hidden="1" customHeight="1" x14ac:dyDescent="0.45">
      <c r="A5242" t="str">
        <f>_xlfn.XLOOKUP(B5242,Ingot!$H$12:$H$119,Ingot!$G$12:$G$119,"")</f>
        <v>Wood</v>
      </c>
      <c r="B5242" t="s">
        <v>10531</v>
      </c>
      <c r="C5242" t="s">
        <v>10</v>
      </c>
      <c r="D5242" t="s">
        <v>10540</v>
      </c>
      <c r="E5242" t="s">
        <v>10541</v>
      </c>
      <c r="G5242" s="1">
        <v>0.66</v>
      </c>
    </row>
    <row r="5243" spans="1:7" ht="14.25" hidden="1" customHeight="1" x14ac:dyDescent="0.45">
      <c r="A5243" t="str">
        <f>_xlfn.XLOOKUP(B5243,Ingot!$H$12:$H$119,Ingot!$G$12:$G$119,"")</f>
        <v>Wood</v>
      </c>
      <c r="B5243" t="s">
        <v>10531</v>
      </c>
      <c r="C5243" t="s">
        <v>10</v>
      </c>
      <c r="D5243" t="s">
        <v>10542</v>
      </c>
      <c r="E5243" t="s">
        <v>10543</v>
      </c>
      <c r="G5243" s="1">
        <v>0.04</v>
      </c>
    </row>
    <row r="5244" spans="1:7" ht="14.25" hidden="1" customHeight="1" x14ac:dyDescent="0.45">
      <c r="A5244" t="str">
        <f>_xlfn.XLOOKUP(B5244,Ingot!$H$12:$H$119,Ingot!$G$12:$G$119,"")</f>
        <v>Wood</v>
      </c>
      <c r="B5244" t="s">
        <v>10531</v>
      </c>
      <c r="C5244" t="s">
        <v>10</v>
      </c>
      <c r="D5244" t="s">
        <v>10544</v>
      </c>
      <c r="E5244" t="s">
        <v>10545</v>
      </c>
      <c r="G5244" s="1">
        <v>0.33</v>
      </c>
    </row>
    <row r="5245" spans="1:7" ht="14.25" hidden="1" customHeight="1" x14ac:dyDescent="0.45">
      <c r="A5245" t="str">
        <f>_xlfn.XLOOKUP(B5245,Ingot!$H$12:$H$119,Ingot!$G$12:$G$119,"")</f>
        <v>Wood</v>
      </c>
      <c r="B5245" t="s">
        <v>10531</v>
      </c>
      <c r="C5245" t="s">
        <v>10</v>
      </c>
      <c r="D5245" t="s">
        <v>10546</v>
      </c>
      <c r="E5245" t="s">
        <v>10547</v>
      </c>
    </row>
    <row r="5246" spans="1:7" ht="14.25" hidden="1" customHeight="1" x14ac:dyDescent="0.45">
      <c r="A5246" t="str">
        <f>_xlfn.XLOOKUP(B5246,Ingot!$H$12:$H$119,Ingot!$G$12:$G$119,"")</f>
        <v>Wood</v>
      </c>
      <c r="B5246" t="s">
        <v>10531</v>
      </c>
      <c r="C5246" t="s">
        <v>10</v>
      </c>
      <c r="D5246" t="s">
        <v>10548</v>
      </c>
      <c r="E5246" t="s">
        <v>10549</v>
      </c>
      <c r="G5246" s="1">
        <v>0.05</v>
      </c>
    </row>
    <row r="5247" spans="1:7" ht="14.25" hidden="1" customHeight="1" x14ac:dyDescent="0.45">
      <c r="A5247" t="str">
        <f>_xlfn.XLOOKUP(B5247,Ingot!$H$12:$H$119,Ingot!$G$12:$G$119,"")</f>
        <v>Wood</v>
      </c>
      <c r="B5247" t="s">
        <v>10531</v>
      </c>
      <c r="C5247" t="s">
        <v>10</v>
      </c>
      <c r="D5247" t="s">
        <v>10550</v>
      </c>
      <c r="E5247" t="s">
        <v>10551</v>
      </c>
      <c r="G5247" s="1">
        <v>0.66</v>
      </c>
    </row>
    <row r="5248" spans="1:7" ht="14.25" hidden="1" customHeight="1" x14ac:dyDescent="0.45">
      <c r="A5248" t="str">
        <f>_xlfn.XLOOKUP(B5248,Ingot!$H$12:$H$119,Ingot!$G$12:$G$119,"")</f>
        <v>Wood</v>
      </c>
      <c r="B5248" t="s">
        <v>10531</v>
      </c>
      <c r="C5248" t="s">
        <v>10</v>
      </c>
      <c r="D5248" t="s">
        <v>10552</v>
      </c>
      <c r="E5248" t="s">
        <v>10553</v>
      </c>
      <c r="G5248" s="1">
        <v>3.96</v>
      </c>
    </row>
    <row r="5249" spans="1:7" ht="14.25" hidden="1" customHeight="1" x14ac:dyDescent="0.45">
      <c r="A5249" t="str">
        <f>_xlfn.XLOOKUP(B5249,Ingot!$H$12:$H$119,Ingot!$G$12:$G$119,"")</f>
        <v>Wood</v>
      </c>
      <c r="B5249" t="s">
        <v>10531</v>
      </c>
      <c r="C5249" t="s">
        <v>10</v>
      </c>
      <c r="D5249" t="s">
        <v>10554</v>
      </c>
      <c r="E5249" t="s">
        <v>10555</v>
      </c>
      <c r="G5249" s="1">
        <v>8.77</v>
      </c>
    </row>
    <row r="5250" spans="1:7" ht="14.25" hidden="1" customHeight="1" x14ac:dyDescent="0.45">
      <c r="A5250" t="str">
        <f>_xlfn.XLOOKUP(B5250,Ingot!$H$12:$H$119,Ingot!$G$12:$G$119,"")</f>
        <v>Wood</v>
      </c>
      <c r="B5250" t="s">
        <v>10531</v>
      </c>
      <c r="C5250" t="s">
        <v>10</v>
      </c>
      <c r="D5250" t="s">
        <v>10556</v>
      </c>
      <c r="E5250" t="s">
        <v>10557</v>
      </c>
      <c r="G5250" s="1">
        <v>3.5</v>
      </c>
    </row>
    <row r="5251" spans="1:7" ht="14.25" hidden="1" customHeight="1" x14ac:dyDescent="0.45">
      <c r="A5251" t="str">
        <f>_xlfn.XLOOKUP(B5251,Ingot!$H$12:$H$119,Ingot!$G$12:$G$119,"")</f>
        <v>Wood</v>
      </c>
      <c r="B5251" t="s">
        <v>10531</v>
      </c>
      <c r="C5251" t="s">
        <v>10</v>
      </c>
      <c r="D5251" t="s">
        <v>10558</v>
      </c>
      <c r="E5251" t="s">
        <v>10559</v>
      </c>
    </row>
    <row r="5252" spans="1:7" ht="14.25" hidden="1" customHeight="1" x14ac:dyDescent="0.45">
      <c r="A5252" t="str">
        <f>_xlfn.XLOOKUP(B5252,Ingot!$H$12:$H$119,Ingot!$G$12:$G$119,"")</f>
        <v>Wood</v>
      </c>
      <c r="B5252" t="s">
        <v>10531</v>
      </c>
      <c r="C5252" t="s">
        <v>10</v>
      </c>
      <c r="D5252" t="s">
        <v>10560</v>
      </c>
      <c r="E5252" t="s">
        <v>10561</v>
      </c>
      <c r="G5252" s="1">
        <v>2.2000000000000002</v>
      </c>
    </row>
    <row r="5253" spans="1:7" ht="14.25" hidden="1" customHeight="1" x14ac:dyDescent="0.45">
      <c r="A5253" t="str">
        <f>_xlfn.XLOOKUP(B5253,Ingot!$H$12:$H$119,Ingot!$G$12:$G$119,"")</f>
        <v>Wood</v>
      </c>
      <c r="B5253" t="s">
        <v>10531</v>
      </c>
      <c r="C5253" t="s">
        <v>10</v>
      </c>
      <c r="D5253" t="s">
        <v>10562</v>
      </c>
      <c r="E5253" t="s">
        <v>10563</v>
      </c>
      <c r="G5253" s="1">
        <v>1.1000000000000001</v>
      </c>
    </row>
    <row r="5254" spans="1:7" ht="14.25" hidden="1" customHeight="1" x14ac:dyDescent="0.45">
      <c r="A5254" t="str">
        <f>_xlfn.XLOOKUP(B5254,Ingot!$H$12:$H$119,Ingot!$G$12:$G$119,"")</f>
        <v>Wood</v>
      </c>
      <c r="B5254" t="s">
        <v>10531</v>
      </c>
      <c r="C5254" t="s">
        <v>10</v>
      </c>
      <c r="D5254" t="s">
        <v>10564</v>
      </c>
      <c r="E5254" t="s">
        <v>10565</v>
      </c>
      <c r="G5254" s="1">
        <v>0.22</v>
      </c>
    </row>
    <row r="5255" spans="1:7" ht="14.25" hidden="1" customHeight="1" x14ac:dyDescent="0.45">
      <c r="A5255" t="str">
        <f>_xlfn.XLOOKUP(B5255,Ingot!$H$12:$H$119,Ingot!$G$12:$G$119,"")</f>
        <v>Wood</v>
      </c>
      <c r="B5255" t="s">
        <v>10531</v>
      </c>
      <c r="C5255" t="s">
        <v>10</v>
      </c>
      <c r="D5255" t="s">
        <v>10566</v>
      </c>
      <c r="E5255" t="s">
        <v>10567</v>
      </c>
      <c r="G5255" s="1">
        <v>8.41</v>
      </c>
    </row>
    <row r="5256" spans="1:7" ht="14.25" hidden="1" customHeight="1" x14ac:dyDescent="0.45">
      <c r="A5256" t="str">
        <f>_xlfn.XLOOKUP(B5256,Ingot!$H$12:$H$119,Ingot!$G$12:$G$119,"")</f>
        <v>Wood</v>
      </c>
      <c r="B5256" t="s">
        <v>10531</v>
      </c>
      <c r="C5256" t="s">
        <v>10</v>
      </c>
      <c r="D5256" t="s">
        <v>10568</v>
      </c>
      <c r="E5256" t="s">
        <v>10569</v>
      </c>
      <c r="G5256" s="1">
        <v>3.64</v>
      </c>
    </row>
    <row r="5257" spans="1:7" ht="14.25" hidden="1" customHeight="1" x14ac:dyDescent="0.45">
      <c r="A5257" t="str">
        <f>_xlfn.XLOOKUP(B5257,Ingot!$H$12:$H$119,Ingot!$G$12:$G$119,"")</f>
        <v>Wood</v>
      </c>
      <c r="B5257" t="s">
        <v>10531</v>
      </c>
      <c r="C5257" t="s">
        <v>10</v>
      </c>
      <c r="D5257" t="s">
        <v>10570</v>
      </c>
      <c r="E5257" t="s">
        <v>10571</v>
      </c>
      <c r="G5257" s="1">
        <v>7.05</v>
      </c>
    </row>
    <row r="5258" spans="1:7" ht="14.25" hidden="1" customHeight="1" x14ac:dyDescent="0.45">
      <c r="A5258" t="str">
        <f>_xlfn.XLOOKUP(B5258,Ingot!$H$12:$H$119,Ingot!$G$12:$G$119,"")</f>
        <v>Wood</v>
      </c>
      <c r="B5258" t="s">
        <v>10531</v>
      </c>
      <c r="C5258" t="s">
        <v>10</v>
      </c>
      <c r="D5258" t="s">
        <v>10572</v>
      </c>
      <c r="E5258" t="s">
        <v>10573</v>
      </c>
      <c r="G5258" s="1">
        <v>2.65</v>
      </c>
    </row>
    <row r="5259" spans="1:7" ht="14.25" hidden="1" customHeight="1" x14ac:dyDescent="0.45">
      <c r="A5259" t="str">
        <f>_xlfn.XLOOKUP(B5259,Ingot!$H$12:$H$119,Ingot!$G$12:$G$119,"")</f>
        <v>Wood</v>
      </c>
      <c r="B5259" t="s">
        <v>10531</v>
      </c>
      <c r="C5259" t="s">
        <v>10</v>
      </c>
      <c r="D5259" t="s">
        <v>10574</v>
      </c>
      <c r="E5259" t="s">
        <v>10575</v>
      </c>
      <c r="G5259" s="1">
        <v>9</v>
      </c>
    </row>
    <row r="5260" spans="1:7" ht="14.25" hidden="1" customHeight="1" x14ac:dyDescent="0.45">
      <c r="A5260" t="str">
        <f>_xlfn.XLOOKUP(B5260,Ingot!$H$12:$H$119,Ingot!$G$12:$G$119,"")</f>
        <v>Wood</v>
      </c>
      <c r="B5260" t="s">
        <v>10531</v>
      </c>
      <c r="C5260" t="s">
        <v>10</v>
      </c>
      <c r="D5260" t="s">
        <v>10576</v>
      </c>
      <c r="E5260" t="s">
        <v>10577</v>
      </c>
      <c r="G5260" s="1">
        <v>10.23</v>
      </c>
    </row>
    <row r="5261" spans="1:7" ht="14.25" hidden="1" customHeight="1" x14ac:dyDescent="0.45">
      <c r="A5261" t="str">
        <f>_xlfn.XLOOKUP(B5261,Ingot!$H$12:$H$119,Ingot!$G$12:$G$119,"")</f>
        <v>Wood</v>
      </c>
      <c r="B5261" t="s">
        <v>10531</v>
      </c>
      <c r="C5261" t="s">
        <v>10</v>
      </c>
      <c r="D5261" t="s">
        <v>10578</v>
      </c>
      <c r="E5261" t="s">
        <v>10579</v>
      </c>
      <c r="G5261" s="1">
        <v>7.7</v>
      </c>
    </row>
    <row r="5262" spans="1:7" ht="14.25" hidden="1" customHeight="1" x14ac:dyDescent="0.45">
      <c r="A5262" t="str">
        <f>_xlfn.XLOOKUP(B5262,Ingot!$H$12:$H$119,Ingot!$G$12:$G$119,"")</f>
        <v>Wood</v>
      </c>
      <c r="B5262" t="s">
        <v>10531</v>
      </c>
      <c r="C5262" t="s">
        <v>10</v>
      </c>
      <c r="D5262" t="s">
        <v>10580</v>
      </c>
      <c r="E5262" t="s">
        <v>10581</v>
      </c>
      <c r="G5262" s="1">
        <v>10.02</v>
      </c>
    </row>
    <row r="5263" spans="1:7" ht="14.25" hidden="1" customHeight="1" x14ac:dyDescent="0.45">
      <c r="A5263" t="str">
        <f>_xlfn.XLOOKUP(B5263,Ingot!$H$12:$H$119,Ingot!$G$12:$G$119,"")</f>
        <v>Wood</v>
      </c>
      <c r="B5263" t="s">
        <v>10531</v>
      </c>
      <c r="C5263" t="s">
        <v>10</v>
      </c>
      <c r="D5263" t="s">
        <v>10582</v>
      </c>
      <c r="E5263" t="s">
        <v>10583</v>
      </c>
      <c r="G5263" s="1">
        <v>11.81</v>
      </c>
    </row>
    <row r="5264" spans="1:7" ht="14.25" hidden="1" customHeight="1" x14ac:dyDescent="0.45">
      <c r="A5264" t="str">
        <f>_xlfn.XLOOKUP(B5264,Ingot!$H$12:$H$119,Ingot!$G$12:$G$119,"")</f>
        <v>Wood</v>
      </c>
      <c r="B5264" t="s">
        <v>10531</v>
      </c>
      <c r="C5264" t="s">
        <v>10</v>
      </c>
      <c r="D5264" t="s">
        <v>10584</v>
      </c>
      <c r="E5264" t="s">
        <v>10585</v>
      </c>
      <c r="G5264" s="1">
        <v>8.44</v>
      </c>
    </row>
    <row r="5265" spans="1:7" ht="14.25" hidden="1" customHeight="1" x14ac:dyDescent="0.45">
      <c r="A5265" t="str">
        <f>_xlfn.XLOOKUP(B5265,Ingot!$H$12:$H$119,Ingot!$G$12:$G$119,"")</f>
        <v>Wood</v>
      </c>
      <c r="B5265" t="s">
        <v>10531</v>
      </c>
      <c r="C5265" t="s">
        <v>10</v>
      </c>
      <c r="D5265" t="s">
        <v>10586</v>
      </c>
      <c r="E5265" t="s">
        <v>10587</v>
      </c>
      <c r="G5265" s="1">
        <v>10.42</v>
      </c>
    </row>
    <row r="5266" spans="1:7" ht="14.25" hidden="1" customHeight="1" x14ac:dyDescent="0.45">
      <c r="A5266" t="str">
        <f>_xlfn.XLOOKUP(B5266,Ingot!$H$12:$H$119,Ingot!$G$12:$G$119,"")</f>
        <v>Wood</v>
      </c>
      <c r="B5266" t="s">
        <v>10531</v>
      </c>
      <c r="C5266" t="s">
        <v>10</v>
      </c>
      <c r="D5266" t="s">
        <v>10588</v>
      </c>
      <c r="E5266" t="s">
        <v>10589</v>
      </c>
    </row>
    <row r="5267" spans="1:7" ht="14.25" hidden="1" customHeight="1" x14ac:dyDescent="0.45">
      <c r="A5267" t="str">
        <f>_xlfn.XLOOKUP(B5267,Ingot!$H$12:$H$119,Ingot!$G$12:$G$119,"")</f>
        <v>Wood</v>
      </c>
      <c r="B5267" t="s">
        <v>10531</v>
      </c>
      <c r="C5267" t="s">
        <v>10</v>
      </c>
      <c r="D5267" t="s">
        <v>10590</v>
      </c>
      <c r="E5267" t="s">
        <v>10591</v>
      </c>
      <c r="G5267" s="1">
        <v>7.96</v>
      </c>
    </row>
    <row r="5268" spans="1:7" ht="14.25" hidden="1" customHeight="1" x14ac:dyDescent="0.45">
      <c r="A5268" t="str">
        <f>_xlfn.XLOOKUP(B5268,Ingot!$H$12:$H$119,Ingot!$G$12:$G$119,"")</f>
        <v>Wood</v>
      </c>
      <c r="B5268" t="s">
        <v>10531</v>
      </c>
      <c r="C5268" t="s">
        <v>10</v>
      </c>
      <c r="D5268" t="s">
        <v>10592</v>
      </c>
      <c r="E5268" t="s">
        <v>10593</v>
      </c>
      <c r="G5268" s="1">
        <v>9.64</v>
      </c>
    </row>
    <row r="5269" spans="1:7" ht="14.25" hidden="1" customHeight="1" x14ac:dyDescent="0.45">
      <c r="A5269" t="str">
        <f>_xlfn.XLOOKUP(B5269,Ingot!$H$12:$H$119,Ingot!$G$12:$G$119,"")</f>
        <v>Wood</v>
      </c>
      <c r="B5269" t="s">
        <v>10531</v>
      </c>
      <c r="C5269" t="s">
        <v>10</v>
      </c>
      <c r="D5269" t="s">
        <v>10594</v>
      </c>
      <c r="E5269" t="s">
        <v>10595</v>
      </c>
      <c r="G5269" s="1">
        <v>7.94</v>
      </c>
    </row>
    <row r="5270" spans="1:7" ht="14.25" hidden="1" customHeight="1" x14ac:dyDescent="0.45">
      <c r="A5270" t="str">
        <f>_xlfn.XLOOKUP(B5270,Ingot!$H$12:$H$119,Ingot!$G$12:$G$119,"")</f>
        <v>Wood</v>
      </c>
      <c r="B5270" t="s">
        <v>10531</v>
      </c>
      <c r="C5270" t="s">
        <v>10</v>
      </c>
      <c r="D5270" t="s">
        <v>10596</v>
      </c>
      <c r="E5270" t="s">
        <v>10597</v>
      </c>
      <c r="G5270" s="1">
        <v>8.66</v>
      </c>
    </row>
    <row r="5271" spans="1:7" ht="14.25" hidden="1" customHeight="1" x14ac:dyDescent="0.45">
      <c r="A5271" t="str">
        <f>_xlfn.XLOOKUP(B5271,Ingot!$H$12:$H$119,Ingot!$G$12:$G$119,"")</f>
        <v>Wood</v>
      </c>
      <c r="B5271" t="s">
        <v>10531</v>
      </c>
      <c r="C5271" t="s">
        <v>10</v>
      </c>
      <c r="D5271" t="s">
        <v>10598</v>
      </c>
      <c r="E5271" t="s">
        <v>10599</v>
      </c>
    </row>
    <row r="5272" spans="1:7" ht="14.25" hidden="1" customHeight="1" x14ac:dyDescent="0.45">
      <c r="A5272" t="str">
        <f>_xlfn.XLOOKUP(B5272,Ingot!$H$12:$H$119,Ingot!$G$12:$G$119,"")</f>
        <v>Wood</v>
      </c>
      <c r="B5272" t="s">
        <v>10531</v>
      </c>
      <c r="C5272" t="s">
        <v>10</v>
      </c>
      <c r="D5272" t="s">
        <v>10600</v>
      </c>
      <c r="E5272" t="s">
        <v>10601</v>
      </c>
      <c r="G5272" s="1">
        <v>2.65</v>
      </c>
    </row>
    <row r="5273" spans="1:7" ht="14.25" hidden="1" customHeight="1" x14ac:dyDescent="0.45">
      <c r="A5273" t="str">
        <f>_xlfn.XLOOKUP(B5273,Ingot!$H$12:$H$119,Ingot!$G$12:$G$119,"")</f>
        <v>Wood</v>
      </c>
      <c r="B5273" t="s">
        <v>10531</v>
      </c>
      <c r="C5273" t="s">
        <v>10</v>
      </c>
      <c r="D5273" t="s">
        <v>10602</v>
      </c>
      <c r="E5273" t="s">
        <v>10603</v>
      </c>
    </row>
    <row r="5274" spans="1:7" ht="14.25" hidden="1" customHeight="1" x14ac:dyDescent="0.45">
      <c r="A5274" t="str">
        <f>_xlfn.XLOOKUP(B5274,Ingot!$H$12:$H$119,Ingot!$G$12:$G$119,"")</f>
        <v>Wood</v>
      </c>
      <c r="B5274" t="s">
        <v>10531</v>
      </c>
      <c r="C5274" t="s">
        <v>10</v>
      </c>
      <c r="D5274" t="s">
        <v>10604</v>
      </c>
      <c r="E5274" t="s">
        <v>10605</v>
      </c>
      <c r="G5274" s="1">
        <v>12.64</v>
      </c>
    </row>
    <row r="5275" spans="1:7" ht="14.25" hidden="1" customHeight="1" x14ac:dyDescent="0.45">
      <c r="A5275" t="str">
        <f>_xlfn.XLOOKUP(B5275,Ingot!$H$12:$H$119,Ingot!$G$12:$G$119,"")</f>
        <v>Wood</v>
      </c>
      <c r="B5275" t="s">
        <v>10531</v>
      </c>
      <c r="C5275" t="s">
        <v>10</v>
      </c>
      <c r="D5275" t="s">
        <v>10606</v>
      </c>
      <c r="E5275" t="s">
        <v>10607</v>
      </c>
      <c r="G5275" s="1">
        <v>22.67</v>
      </c>
    </row>
    <row r="5276" spans="1:7" ht="14.25" hidden="1" customHeight="1" x14ac:dyDescent="0.45">
      <c r="A5276" t="str">
        <f>_xlfn.XLOOKUP(B5276,Ingot!$H$12:$H$119,Ingot!$G$12:$G$119,"")</f>
        <v>Wood</v>
      </c>
      <c r="B5276" t="s">
        <v>10531</v>
      </c>
      <c r="C5276" t="s">
        <v>10</v>
      </c>
      <c r="D5276" t="s">
        <v>10608</v>
      </c>
      <c r="E5276" t="s">
        <v>10609</v>
      </c>
      <c r="G5276" s="1">
        <v>8.3800000000000008</v>
      </c>
    </row>
    <row r="5277" spans="1:7" ht="14.25" hidden="1" customHeight="1" x14ac:dyDescent="0.45">
      <c r="A5277" t="str">
        <f>_xlfn.XLOOKUP(B5277,Ingot!$H$12:$H$119,Ingot!$G$12:$G$119,"")</f>
        <v>Wood</v>
      </c>
      <c r="B5277" t="s">
        <v>10531</v>
      </c>
      <c r="C5277" t="s">
        <v>10</v>
      </c>
      <c r="D5277" t="s">
        <v>10610</v>
      </c>
      <c r="E5277" t="s">
        <v>10611</v>
      </c>
      <c r="G5277" s="1">
        <v>2.2000000000000002</v>
      </c>
    </row>
    <row r="5278" spans="1:7" ht="14.25" hidden="1" customHeight="1" x14ac:dyDescent="0.45">
      <c r="A5278" t="str">
        <f>_xlfn.XLOOKUP(B5278,Ingot!$H$12:$H$119,Ingot!$G$12:$G$119,"")</f>
        <v>Wood</v>
      </c>
      <c r="B5278" t="s">
        <v>10531</v>
      </c>
      <c r="C5278" t="s">
        <v>10</v>
      </c>
      <c r="D5278" t="s">
        <v>10612</v>
      </c>
      <c r="E5278" t="s">
        <v>10613</v>
      </c>
      <c r="G5278" s="1">
        <v>3.09</v>
      </c>
    </row>
    <row r="5279" spans="1:7" ht="14.25" hidden="1" customHeight="1" x14ac:dyDescent="0.45">
      <c r="A5279" t="str">
        <f>_xlfn.XLOOKUP(B5279,Ingot!$H$12:$H$119,Ingot!$G$12:$G$119,"")</f>
        <v>Wood</v>
      </c>
      <c r="B5279" t="s">
        <v>10531</v>
      </c>
      <c r="C5279" t="s">
        <v>10</v>
      </c>
      <c r="D5279" t="s">
        <v>10614</v>
      </c>
      <c r="E5279" t="s">
        <v>10615</v>
      </c>
      <c r="G5279" s="1">
        <v>2.2999999999999998</v>
      </c>
    </row>
    <row r="5280" spans="1:7" ht="14.25" hidden="1" customHeight="1" x14ac:dyDescent="0.45">
      <c r="A5280" t="str">
        <f>_xlfn.XLOOKUP(B5280,Ingot!$H$12:$H$119,Ingot!$G$12:$G$119,"")</f>
        <v>Wood</v>
      </c>
      <c r="B5280" t="s">
        <v>10531</v>
      </c>
      <c r="C5280" t="s">
        <v>10</v>
      </c>
      <c r="D5280" t="s">
        <v>10616</v>
      </c>
      <c r="E5280" t="s">
        <v>10617</v>
      </c>
      <c r="G5280" s="1">
        <v>4.88</v>
      </c>
    </row>
    <row r="5281" spans="1:7" ht="14.25" hidden="1" customHeight="1" x14ac:dyDescent="0.45">
      <c r="A5281" t="str">
        <f>_xlfn.XLOOKUP(B5281,Ingot!$H$12:$H$119,Ingot!$G$12:$G$119,"")</f>
        <v>Wood</v>
      </c>
      <c r="B5281" t="s">
        <v>10531</v>
      </c>
      <c r="C5281" t="s">
        <v>10</v>
      </c>
      <c r="D5281" t="s">
        <v>10618</v>
      </c>
      <c r="E5281" t="s">
        <v>10619</v>
      </c>
      <c r="G5281" s="1">
        <v>8.43</v>
      </c>
    </row>
    <row r="5282" spans="1:7" ht="14.25" hidden="1" customHeight="1" x14ac:dyDescent="0.45">
      <c r="A5282" t="str">
        <f>_xlfn.XLOOKUP(B5282,Ingot!$H$12:$H$119,Ingot!$G$12:$G$119,"")</f>
        <v>Wood</v>
      </c>
      <c r="B5282" t="s">
        <v>10531</v>
      </c>
      <c r="C5282" t="s">
        <v>10</v>
      </c>
      <c r="D5282" t="s">
        <v>10620</v>
      </c>
      <c r="E5282" t="s">
        <v>10621</v>
      </c>
      <c r="G5282" s="1">
        <v>13.07</v>
      </c>
    </row>
    <row r="5283" spans="1:7" ht="14.25" hidden="1" customHeight="1" x14ac:dyDescent="0.45">
      <c r="A5283" t="str">
        <f>_xlfn.XLOOKUP(B5283,Ingot!$H$12:$H$119,Ingot!$G$12:$G$119,"")</f>
        <v>Wood</v>
      </c>
      <c r="B5283" t="s">
        <v>10531</v>
      </c>
      <c r="C5283" t="s">
        <v>10</v>
      </c>
      <c r="D5283" t="s">
        <v>10622</v>
      </c>
      <c r="E5283" t="s">
        <v>10623</v>
      </c>
    </row>
    <row r="5284" spans="1:7" ht="14.25" hidden="1" customHeight="1" x14ac:dyDescent="0.45">
      <c r="A5284" t="str">
        <f>_xlfn.XLOOKUP(B5284,Ingot!$H$12:$H$119,Ingot!$G$12:$G$119,"")</f>
        <v>Wood</v>
      </c>
      <c r="B5284" t="s">
        <v>10531</v>
      </c>
      <c r="C5284" t="s">
        <v>10</v>
      </c>
      <c r="D5284" t="s">
        <v>10624</v>
      </c>
      <c r="E5284" t="s">
        <v>10625</v>
      </c>
    </row>
    <row r="5285" spans="1:7" ht="14.25" hidden="1" customHeight="1" x14ac:dyDescent="0.45">
      <c r="A5285" t="str">
        <f>_xlfn.XLOOKUP(B5285,Ingot!$H$12:$H$119,Ingot!$G$12:$G$119,"")</f>
        <v>Wood</v>
      </c>
      <c r="B5285" t="s">
        <v>10531</v>
      </c>
      <c r="C5285" t="s">
        <v>10</v>
      </c>
      <c r="D5285" t="s">
        <v>10626</v>
      </c>
      <c r="E5285" t="s">
        <v>10627</v>
      </c>
      <c r="G5285" s="1">
        <v>6.8</v>
      </c>
    </row>
    <row r="5286" spans="1:7" ht="14.25" hidden="1" customHeight="1" x14ac:dyDescent="0.45">
      <c r="A5286" t="str">
        <f>_xlfn.XLOOKUP(B5286,Ingot!$H$12:$H$119,Ingot!$G$12:$G$119,"")</f>
        <v>Wood</v>
      </c>
      <c r="B5286" t="s">
        <v>10531</v>
      </c>
      <c r="C5286" t="s">
        <v>10</v>
      </c>
      <c r="D5286" t="s">
        <v>10628</v>
      </c>
      <c r="E5286" t="s">
        <v>10629</v>
      </c>
      <c r="G5286" s="1">
        <v>6.88</v>
      </c>
    </row>
    <row r="5287" spans="1:7" ht="14.25" hidden="1" customHeight="1" x14ac:dyDescent="0.45">
      <c r="A5287" t="str">
        <f>_xlfn.XLOOKUP(B5287,Ingot!$H$12:$H$119,Ingot!$G$12:$G$119,"")</f>
        <v>Wood</v>
      </c>
      <c r="B5287" t="s">
        <v>10531</v>
      </c>
      <c r="C5287" t="s">
        <v>10</v>
      </c>
      <c r="D5287" t="s">
        <v>10630</v>
      </c>
      <c r="E5287" t="s">
        <v>10631</v>
      </c>
      <c r="G5287" s="1">
        <v>5.5</v>
      </c>
    </row>
    <row r="5288" spans="1:7" ht="14.25" hidden="1" customHeight="1" x14ac:dyDescent="0.45">
      <c r="A5288" t="str">
        <f>_xlfn.XLOOKUP(B5288,Ingot!$H$12:$H$119,Ingot!$G$12:$G$119,"")</f>
        <v>Wood</v>
      </c>
      <c r="B5288" t="s">
        <v>10531</v>
      </c>
      <c r="C5288" t="s">
        <v>10</v>
      </c>
      <c r="D5288" t="s">
        <v>10632</v>
      </c>
      <c r="E5288" t="s">
        <v>10633</v>
      </c>
      <c r="G5288" s="1">
        <v>2.4300000000000002</v>
      </c>
    </row>
    <row r="5289" spans="1:7" ht="14.25" hidden="1" customHeight="1" x14ac:dyDescent="0.45">
      <c r="A5289" t="str">
        <f>_xlfn.XLOOKUP(B5289,Ingot!$H$12:$H$119,Ingot!$G$12:$G$119,"")</f>
        <v>Wood</v>
      </c>
      <c r="B5289" t="s">
        <v>10531</v>
      </c>
      <c r="C5289" t="s">
        <v>10</v>
      </c>
      <c r="D5289" t="s">
        <v>10634</v>
      </c>
      <c r="E5289" t="s">
        <v>10635</v>
      </c>
      <c r="G5289" s="1">
        <v>6.96</v>
      </c>
    </row>
    <row r="5290" spans="1:7" ht="14.25" hidden="1" customHeight="1" x14ac:dyDescent="0.45">
      <c r="A5290" t="str">
        <f>_xlfn.XLOOKUP(B5290,Ingot!$H$12:$H$119,Ingot!$G$12:$G$119,"")</f>
        <v>Wood</v>
      </c>
      <c r="B5290" t="s">
        <v>10531</v>
      </c>
      <c r="C5290" t="s">
        <v>10</v>
      </c>
      <c r="D5290" t="s">
        <v>10636</v>
      </c>
      <c r="E5290" t="s">
        <v>10637</v>
      </c>
      <c r="G5290" s="1">
        <v>6.32</v>
      </c>
    </row>
    <row r="5291" spans="1:7" ht="14.25" hidden="1" customHeight="1" x14ac:dyDescent="0.45">
      <c r="A5291" t="str">
        <f>_xlfn.XLOOKUP(B5291,Ingot!$H$12:$H$119,Ingot!$G$12:$G$119,"")</f>
        <v>Wood</v>
      </c>
      <c r="B5291" t="s">
        <v>10531</v>
      </c>
      <c r="C5291" t="s">
        <v>10</v>
      </c>
      <c r="D5291" t="s">
        <v>10638</v>
      </c>
      <c r="E5291" t="s">
        <v>10639</v>
      </c>
      <c r="G5291" s="1">
        <v>6.88</v>
      </c>
    </row>
    <row r="5292" spans="1:7" ht="14.25" hidden="1" customHeight="1" x14ac:dyDescent="0.45">
      <c r="A5292" t="str">
        <f>_xlfn.XLOOKUP(B5292,Ingot!$H$12:$H$119,Ingot!$G$12:$G$119,"")</f>
        <v>Wood</v>
      </c>
      <c r="B5292" t="s">
        <v>10531</v>
      </c>
      <c r="C5292" t="s">
        <v>10</v>
      </c>
      <c r="D5292" t="s">
        <v>10640</v>
      </c>
      <c r="E5292" t="s">
        <v>10641</v>
      </c>
      <c r="G5292" s="1">
        <v>2.44</v>
      </c>
    </row>
    <row r="5293" spans="1:7" ht="14.25" hidden="1" customHeight="1" x14ac:dyDescent="0.45">
      <c r="A5293" t="str">
        <f>_xlfn.XLOOKUP(B5293,Ingot!$H$12:$H$119,Ingot!$G$12:$G$119,"")</f>
        <v>Wood</v>
      </c>
      <c r="B5293" t="s">
        <v>10531</v>
      </c>
      <c r="C5293" t="s">
        <v>10</v>
      </c>
      <c r="D5293" t="s">
        <v>10642</v>
      </c>
      <c r="E5293" t="s">
        <v>10643</v>
      </c>
    </row>
    <row r="5294" spans="1:7" ht="14.25" hidden="1" customHeight="1" x14ac:dyDescent="0.45">
      <c r="A5294" t="str">
        <f>_xlfn.XLOOKUP(B5294,Ingot!$H$12:$H$119,Ingot!$G$12:$G$119,"")</f>
        <v>Wood</v>
      </c>
      <c r="B5294" t="s">
        <v>10531</v>
      </c>
      <c r="C5294" t="s">
        <v>10</v>
      </c>
      <c r="D5294" t="s">
        <v>10644</v>
      </c>
      <c r="E5294" t="s">
        <v>10645</v>
      </c>
    </row>
    <row r="5295" spans="1:7" ht="14.25" hidden="1" customHeight="1" x14ac:dyDescent="0.45">
      <c r="A5295" t="str">
        <f>_xlfn.XLOOKUP(B5295,Ingot!$H$12:$H$119,Ingot!$G$12:$G$119,"")</f>
        <v>Wood</v>
      </c>
      <c r="B5295" t="s">
        <v>10531</v>
      </c>
      <c r="C5295" t="s">
        <v>10</v>
      </c>
      <c r="D5295" t="s">
        <v>10646</v>
      </c>
      <c r="E5295" t="s">
        <v>10647</v>
      </c>
      <c r="G5295" s="1">
        <v>3.11</v>
      </c>
    </row>
    <row r="5296" spans="1:7" ht="14.25" hidden="1" customHeight="1" x14ac:dyDescent="0.45">
      <c r="A5296" t="str">
        <f>_xlfn.XLOOKUP(B5296,Ingot!$H$12:$H$119,Ingot!$G$12:$G$119,"")</f>
        <v>Wood</v>
      </c>
      <c r="B5296" t="s">
        <v>10531</v>
      </c>
      <c r="C5296" t="s">
        <v>10</v>
      </c>
      <c r="D5296" t="s">
        <v>10648</v>
      </c>
      <c r="E5296" t="s">
        <v>10649</v>
      </c>
      <c r="G5296" s="1">
        <v>2.44</v>
      </c>
    </row>
    <row r="5297" spans="1:7" ht="14.25" hidden="1" customHeight="1" x14ac:dyDescent="0.45">
      <c r="A5297" t="str">
        <f>_xlfn.XLOOKUP(B5297,Ingot!$H$12:$H$119,Ingot!$G$12:$G$119,"")</f>
        <v>Wood</v>
      </c>
      <c r="B5297" t="s">
        <v>10531</v>
      </c>
      <c r="C5297" t="s">
        <v>10</v>
      </c>
      <c r="D5297" t="s">
        <v>10650</v>
      </c>
      <c r="E5297" t="s">
        <v>10651</v>
      </c>
      <c r="G5297" s="1">
        <v>8.61</v>
      </c>
    </row>
    <row r="5298" spans="1:7" ht="14.25" hidden="1" customHeight="1" x14ac:dyDescent="0.45">
      <c r="A5298" t="str">
        <f>_xlfn.XLOOKUP(B5298,Ingot!$H$12:$H$119,Ingot!$G$12:$G$119,"")</f>
        <v>Wood</v>
      </c>
      <c r="B5298" t="s">
        <v>10531</v>
      </c>
      <c r="C5298" t="s">
        <v>10</v>
      </c>
      <c r="D5298" t="s">
        <v>10652</v>
      </c>
      <c r="E5298" t="s">
        <v>10653</v>
      </c>
    </row>
    <row r="5299" spans="1:7" ht="14.25" hidden="1" customHeight="1" x14ac:dyDescent="0.45">
      <c r="A5299" t="str">
        <f>_xlfn.XLOOKUP(B5299,Ingot!$H$12:$H$119,Ingot!$G$12:$G$119,"")</f>
        <v>Wood</v>
      </c>
      <c r="B5299" t="s">
        <v>10531</v>
      </c>
      <c r="C5299" t="s">
        <v>10</v>
      </c>
      <c r="D5299" t="s">
        <v>10654</v>
      </c>
      <c r="E5299" t="s">
        <v>10655</v>
      </c>
      <c r="G5299" s="1">
        <v>3.21</v>
      </c>
    </row>
    <row r="5300" spans="1:7" ht="14.25" hidden="1" customHeight="1" x14ac:dyDescent="0.45">
      <c r="A5300" t="str">
        <f>_xlfn.XLOOKUP(B5300,Ingot!$H$12:$H$119,Ingot!$G$12:$G$119,"")</f>
        <v>Wood</v>
      </c>
      <c r="B5300" t="s">
        <v>10531</v>
      </c>
      <c r="C5300" t="s">
        <v>10</v>
      </c>
      <c r="D5300" t="s">
        <v>10656</v>
      </c>
      <c r="E5300" t="s">
        <v>10657</v>
      </c>
      <c r="G5300" s="1">
        <v>2.77</v>
      </c>
    </row>
    <row r="5301" spans="1:7" ht="14.25" hidden="1" customHeight="1" x14ac:dyDescent="0.45">
      <c r="A5301" t="str">
        <f>_xlfn.XLOOKUP(B5301,Ingot!$H$12:$H$119,Ingot!$G$12:$G$119,"")</f>
        <v>Wood</v>
      </c>
      <c r="B5301" t="s">
        <v>10531</v>
      </c>
      <c r="C5301" t="s">
        <v>10</v>
      </c>
      <c r="D5301" t="s">
        <v>10658</v>
      </c>
      <c r="E5301" t="s">
        <v>10659</v>
      </c>
      <c r="G5301" s="1">
        <v>4.8899999999999997</v>
      </c>
    </row>
    <row r="5302" spans="1:7" ht="14.25" hidden="1" customHeight="1" x14ac:dyDescent="0.45">
      <c r="A5302" t="str">
        <f>_xlfn.XLOOKUP(B5302,Ingot!$H$12:$H$119,Ingot!$G$12:$G$119,"")</f>
        <v>Wood</v>
      </c>
      <c r="B5302" t="s">
        <v>10531</v>
      </c>
      <c r="C5302" t="s">
        <v>10</v>
      </c>
      <c r="D5302" t="s">
        <v>10660</v>
      </c>
      <c r="E5302" t="s">
        <v>10661</v>
      </c>
      <c r="G5302" s="1">
        <v>1.76</v>
      </c>
    </row>
    <row r="5303" spans="1:7" ht="14.25" hidden="1" customHeight="1" x14ac:dyDescent="0.45">
      <c r="A5303" t="str">
        <f>_xlfn.XLOOKUP(B5303,Ingot!$H$12:$H$119,Ingot!$G$12:$G$119,"")</f>
        <v>Wood</v>
      </c>
      <c r="B5303" t="s">
        <v>10531</v>
      </c>
      <c r="C5303" t="s">
        <v>10</v>
      </c>
      <c r="D5303" t="s">
        <v>10662</v>
      </c>
      <c r="E5303" t="s">
        <v>10663</v>
      </c>
    </row>
    <row r="5304" spans="1:7" ht="14.25" hidden="1" customHeight="1" x14ac:dyDescent="0.45">
      <c r="A5304" t="str">
        <f>_xlfn.XLOOKUP(B5304,Ingot!$H$12:$H$119,Ingot!$G$12:$G$119,"")</f>
        <v>Wood</v>
      </c>
      <c r="B5304" t="s">
        <v>10531</v>
      </c>
      <c r="C5304" t="s">
        <v>10</v>
      </c>
      <c r="D5304" t="s">
        <v>10664</v>
      </c>
      <c r="E5304" t="s">
        <v>10665</v>
      </c>
      <c r="G5304" s="1">
        <v>8.57</v>
      </c>
    </row>
    <row r="5305" spans="1:7" ht="14.25" hidden="1" customHeight="1" x14ac:dyDescent="0.45">
      <c r="A5305" t="str">
        <f>_xlfn.XLOOKUP(B5305,Ingot!$H$12:$H$119,Ingot!$G$12:$G$119,"")</f>
        <v>Wood</v>
      </c>
      <c r="B5305" t="s">
        <v>10531</v>
      </c>
      <c r="C5305" t="s">
        <v>10</v>
      </c>
      <c r="D5305" t="s">
        <v>10666</v>
      </c>
      <c r="E5305" t="s">
        <v>10667</v>
      </c>
    </row>
    <row r="5306" spans="1:7" ht="14.25" hidden="1" customHeight="1" x14ac:dyDescent="0.45">
      <c r="A5306" t="str">
        <f>_xlfn.XLOOKUP(B5306,Ingot!$H$12:$H$119,Ingot!$G$12:$G$119,"")</f>
        <v>Wood</v>
      </c>
      <c r="B5306" t="s">
        <v>10531</v>
      </c>
      <c r="C5306" t="s">
        <v>10</v>
      </c>
      <c r="D5306" t="s">
        <v>10668</v>
      </c>
      <c r="E5306" t="s">
        <v>10669</v>
      </c>
      <c r="G5306" s="1">
        <v>3.56</v>
      </c>
    </row>
    <row r="5307" spans="1:7" ht="14.25" hidden="1" customHeight="1" x14ac:dyDescent="0.45">
      <c r="A5307" t="str">
        <f>_xlfn.XLOOKUP(B5307,Ingot!$H$12:$H$119,Ingot!$G$12:$G$119,"")</f>
        <v>Wood</v>
      </c>
      <c r="B5307" t="s">
        <v>10531</v>
      </c>
      <c r="C5307" t="s">
        <v>10</v>
      </c>
      <c r="D5307" t="s">
        <v>10670</v>
      </c>
      <c r="E5307" t="s">
        <v>10671</v>
      </c>
      <c r="G5307" s="1">
        <v>8.91</v>
      </c>
    </row>
    <row r="5308" spans="1:7" ht="14.25" hidden="1" customHeight="1" x14ac:dyDescent="0.45">
      <c r="A5308" t="str">
        <f>_xlfn.XLOOKUP(B5308,Ingot!$H$12:$H$119,Ingot!$G$12:$G$119,"")</f>
        <v>Wood</v>
      </c>
      <c r="B5308" t="s">
        <v>10531</v>
      </c>
      <c r="C5308" t="s">
        <v>10</v>
      </c>
      <c r="D5308" t="s">
        <v>10672</v>
      </c>
      <c r="E5308" t="s">
        <v>10673</v>
      </c>
      <c r="G5308" s="1">
        <v>11.02</v>
      </c>
    </row>
    <row r="5309" spans="1:7" ht="14.25" hidden="1" customHeight="1" x14ac:dyDescent="0.45">
      <c r="A5309" t="str">
        <f>_xlfn.XLOOKUP(B5309,Ingot!$H$12:$H$119,Ingot!$G$12:$G$119,"")</f>
        <v>Wood</v>
      </c>
      <c r="B5309" t="s">
        <v>10531</v>
      </c>
      <c r="C5309" t="s">
        <v>10</v>
      </c>
      <c r="D5309" t="s">
        <v>10674</v>
      </c>
      <c r="E5309" t="s">
        <v>10675</v>
      </c>
      <c r="G5309" s="1">
        <v>5.12</v>
      </c>
    </row>
    <row r="5310" spans="1:7" ht="14.25" hidden="1" customHeight="1" x14ac:dyDescent="0.45">
      <c r="A5310" t="str">
        <f>_xlfn.XLOOKUP(B5310,Ingot!$H$12:$H$119,Ingot!$G$12:$G$119,"")</f>
        <v>Wood</v>
      </c>
      <c r="B5310" t="s">
        <v>10531</v>
      </c>
      <c r="C5310" t="s">
        <v>10</v>
      </c>
      <c r="D5310" t="s">
        <v>10676</v>
      </c>
      <c r="E5310" t="s">
        <v>10677</v>
      </c>
      <c r="G5310" s="1">
        <v>4.41</v>
      </c>
    </row>
    <row r="5311" spans="1:7" ht="14.25" hidden="1" customHeight="1" x14ac:dyDescent="0.45">
      <c r="A5311" t="str">
        <f>_xlfn.XLOOKUP(B5311,Ingot!$H$12:$H$119,Ingot!$G$12:$G$119,"")</f>
        <v>Wood</v>
      </c>
      <c r="B5311" t="s">
        <v>10531</v>
      </c>
      <c r="C5311" t="s">
        <v>157</v>
      </c>
      <c r="D5311" t="s">
        <v>10678</v>
      </c>
      <c r="E5311" t="s">
        <v>10679</v>
      </c>
      <c r="G5311" s="1">
        <v>24</v>
      </c>
    </row>
    <row r="5312" spans="1:7" ht="14.25" hidden="1" customHeight="1" x14ac:dyDescent="0.45">
      <c r="A5312" t="str">
        <f>_xlfn.XLOOKUP(B5312,Ingot!$H$12:$H$119,Ingot!$G$12:$G$119,"")</f>
        <v>Wood</v>
      </c>
      <c r="B5312" t="s">
        <v>10531</v>
      </c>
      <c r="C5312" t="s">
        <v>157</v>
      </c>
      <c r="D5312" t="s">
        <v>10680</v>
      </c>
      <c r="E5312" t="s">
        <v>10681</v>
      </c>
      <c r="G5312" s="1">
        <v>5</v>
      </c>
    </row>
    <row r="5313" spans="1:7" ht="14.25" hidden="1" customHeight="1" x14ac:dyDescent="0.45">
      <c r="A5313" t="str">
        <f>_xlfn.XLOOKUP(B5313,Ingot!$H$12:$H$119,Ingot!$G$12:$G$119,"")</f>
        <v>Wood</v>
      </c>
      <c r="B5313" t="s">
        <v>10531</v>
      </c>
      <c r="C5313" t="s">
        <v>157</v>
      </c>
      <c r="D5313" t="s">
        <v>10682</v>
      </c>
      <c r="E5313" t="s">
        <v>10683</v>
      </c>
      <c r="G5313" s="1">
        <v>5</v>
      </c>
    </row>
    <row r="5314" spans="1:7" ht="14.25" hidden="1" customHeight="1" x14ac:dyDescent="0.45">
      <c r="A5314" t="str">
        <f>_xlfn.XLOOKUP(B5314,Ingot!$H$12:$H$119,Ingot!$G$12:$G$119,"")</f>
        <v>Wood</v>
      </c>
      <c r="B5314" t="s">
        <v>10531</v>
      </c>
      <c r="C5314" t="s">
        <v>157</v>
      </c>
      <c r="D5314" t="s">
        <v>10684</v>
      </c>
      <c r="E5314" t="s">
        <v>10685</v>
      </c>
      <c r="G5314" s="1">
        <v>5</v>
      </c>
    </row>
    <row r="5315" spans="1:7" ht="14.25" hidden="1" customHeight="1" x14ac:dyDescent="0.45">
      <c r="A5315" t="str">
        <f>_xlfn.XLOOKUP(B5315,Ingot!$H$12:$H$119,Ingot!$G$12:$G$119,"")</f>
        <v>Wood</v>
      </c>
      <c r="B5315" t="s">
        <v>10531</v>
      </c>
      <c r="C5315" t="s">
        <v>157</v>
      </c>
      <c r="D5315" t="s">
        <v>10686</v>
      </c>
      <c r="E5315" t="s">
        <v>10687</v>
      </c>
      <c r="G5315" s="1">
        <v>10</v>
      </c>
    </row>
    <row r="5316" spans="1:7" ht="14.25" hidden="1" customHeight="1" x14ac:dyDescent="0.45">
      <c r="A5316" t="str">
        <f>_xlfn.XLOOKUP(B5316,Ingot!$H$12:$H$119,Ingot!$G$12:$G$119,"")</f>
        <v>Wood</v>
      </c>
      <c r="B5316" t="s">
        <v>10531</v>
      </c>
      <c r="C5316" t="s">
        <v>157</v>
      </c>
      <c r="D5316" t="s">
        <v>10688</v>
      </c>
      <c r="E5316" t="s">
        <v>10689</v>
      </c>
      <c r="G5316" s="1">
        <v>20.8</v>
      </c>
    </row>
    <row r="5317" spans="1:7" ht="14.25" hidden="1" customHeight="1" x14ac:dyDescent="0.45">
      <c r="A5317" t="str">
        <f>_xlfn.XLOOKUP(B5317,Ingot!$H$12:$H$119,Ingot!$G$12:$G$119,"")</f>
        <v>Wood</v>
      </c>
      <c r="B5317" t="s">
        <v>10531</v>
      </c>
      <c r="C5317" t="s">
        <v>157</v>
      </c>
      <c r="D5317" t="s">
        <v>10690</v>
      </c>
      <c r="E5317" t="s">
        <v>10691</v>
      </c>
      <c r="G5317" s="1">
        <v>5</v>
      </c>
    </row>
    <row r="5318" spans="1:7" ht="14.25" hidden="1" customHeight="1" x14ac:dyDescent="0.45">
      <c r="A5318" t="str">
        <f>_xlfn.XLOOKUP(B5318,Ingot!$H$12:$H$119,Ingot!$G$12:$G$119,"")</f>
        <v>Wood</v>
      </c>
      <c r="B5318" t="s">
        <v>10531</v>
      </c>
      <c r="C5318" t="s">
        <v>157</v>
      </c>
      <c r="D5318" t="s">
        <v>10692</v>
      </c>
      <c r="E5318" t="s">
        <v>10693</v>
      </c>
      <c r="G5318" s="1">
        <v>5</v>
      </c>
    </row>
    <row r="5319" spans="1:7" ht="14.25" hidden="1" customHeight="1" x14ac:dyDescent="0.45">
      <c r="A5319" t="str">
        <f>_xlfn.XLOOKUP(B5319,Ingot!$H$12:$H$119,Ingot!$G$12:$G$119,"")</f>
        <v>Wood</v>
      </c>
      <c r="B5319" t="s">
        <v>10531</v>
      </c>
      <c r="C5319" t="s">
        <v>157</v>
      </c>
      <c r="D5319" t="s">
        <v>10694</v>
      </c>
      <c r="E5319" t="s">
        <v>10695</v>
      </c>
      <c r="G5319" s="1">
        <v>5</v>
      </c>
    </row>
    <row r="5320" spans="1:7" ht="14.25" hidden="1" customHeight="1" x14ac:dyDescent="0.45">
      <c r="A5320" t="str">
        <f>_xlfn.XLOOKUP(B5320,Ingot!$H$12:$H$119,Ingot!$G$12:$G$119,"")</f>
        <v>Wood</v>
      </c>
      <c r="B5320" t="s">
        <v>10531</v>
      </c>
      <c r="C5320" t="s">
        <v>157</v>
      </c>
      <c r="D5320" t="s">
        <v>10696</v>
      </c>
      <c r="E5320" t="s">
        <v>10697</v>
      </c>
      <c r="G5320" s="1">
        <v>10</v>
      </c>
    </row>
    <row r="5321" spans="1:7" ht="14.25" hidden="1" customHeight="1" x14ac:dyDescent="0.45">
      <c r="A5321" t="str">
        <f>_xlfn.XLOOKUP(B5321,Ingot!$H$12:$H$119,Ingot!$G$12:$G$119,"")</f>
        <v>Wood</v>
      </c>
      <c r="B5321" t="s">
        <v>10531</v>
      </c>
      <c r="C5321" t="s">
        <v>157</v>
      </c>
      <c r="D5321" t="s">
        <v>10698</v>
      </c>
      <c r="E5321" t="s">
        <v>10699</v>
      </c>
      <c r="G5321" s="1">
        <v>20</v>
      </c>
    </row>
    <row r="5322" spans="1:7" ht="14.25" hidden="1" customHeight="1" x14ac:dyDescent="0.45">
      <c r="A5322" t="str">
        <f>_xlfn.XLOOKUP(B5322,Ingot!$H$12:$H$119,Ingot!$G$12:$G$119,"")</f>
        <v>Wood</v>
      </c>
      <c r="B5322" t="s">
        <v>10531</v>
      </c>
      <c r="C5322" t="s">
        <v>157</v>
      </c>
      <c r="D5322" t="s">
        <v>10700</v>
      </c>
      <c r="E5322" t="s">
        <v>10701</v>
      </c>
      <c r="G5322" s="1">
        <v>5</v>
      </c>
    </row>
    <row r="5323" spans="1:7" ht="14.25" hidden="1" customHeight="1" x14ac:dyDescent="0.45">
      <c r="A5323" t="str">
        <f>_xlfn.XLOOKUP(B5323,Ingot!$H$12:$H$119,Ingot!$G$12:$G$119,"")</f>
        <v>Wood</v>
      </c>
      <c r="B5323" t="s">
        <v>10531</v>
      </c>
      <c r="C5323" t="s">
        <v>157</v>
      </c>
      <c r="D5323" t="s">
        <v>10702</v>
      </c>
      <c r="E5323" t="s">
        <v>10703</v>
      </c>
      <c r="G5323" s="1">
        <v>5</v>
      </c>
    </row>
    <row r="5324" spans="1:7" ht="14.25" hidden="1" customHeight="1" x14ac:dyDescent="0.45">
      <c r="A5324" t="str">
        <f>_xlfn.XLOOKUP(B5324,Ingot!$H$12:$H$119,Ingot!$G$12:$G$119,"")</f>
        <v>Wood</v>
      </c>
      <c r="B5324" t="s">
        <v>10531</v>
      </c>
      <c r="C5324" t="s">
        <v>157</v>
      </c>
      <c r="D5324" t="s">
        <v>10704</v>
      </c>
      <c r="E5324" t="s">
        <v>10705</v>
      </c>
      <c r="G5324" s="1">
        <v>5</v>
      </c>
    </row>
    <row r="5325" spans="1:7" ht="14.25" hidden="1" customHeight="1" x14ac:dyDescent="0.45">
      <c r="A5325" t="str">
        <f>_xlfn.XLOOKUP(B5325,Ingot!$H$12:$H$119,Ingot!$G$12:$G$119,"")</f>
        <v>Wood</v>
      </c>
      <c r="B5325" t="s">
        <v>10531</v>
      </c>
      <c r="C5325" t="s">
        <v>157</v>
      </c>
      <c r="D5325" t="s">
        <v>10706</v>
      </c>
      <c r="E5325" t="s">
        <v>10707</v>
      </c>
      <c r="G5325" s="1">
        <v>10</v>
      </c>
    </row>
    <row r="5326" spans="1:7" ht="14.25" hidden="1" customHeight="1" x14ac:dyDescent="0.45">
      <c r="A5326" t="str">
        <f>_xlfn.XLOOKUP(B5326,Ingot!$H$12:$H$119,Ingot!$G$12:$G$119,"")</f>
        <v>Wood</v>
      </c>
      <c r="B5326" t="s">
        <v>10531</v>
      </c>
      <c r="C5326" t="s">
        <v>157</v>
      </c>
      <c r="D5326" t="s">
        <v>10708</v>
      </c>
      <c r="E5326" t="s">
        <v>10709</v>
      </c>
      <c r="G5326" s="1">
        <v>22</v>
      </c>
    </row>
    <row r="5327" spans="1:7" ht="14.25" hidden="1" customHeight="1" x14ac:dyDescent="0.45">
      <c r="A5327" t="str">
        <f>_xlfn.XLOOKUP(B5327,Ingot!$H$12:$H$119,Ingot!$G$12:$G$119,"")</f>
        <v>Wood</v>
      </c>
      <c r="B5327" t="s">
        <v>10531</v>
      </c>
      <c r="C5327" t="s">
        <v>157</v>
      </c>
      <c r="D5327" t="s">
        <v>10710</v>
      </c>
      <c r="E5327" t="s">
        <v>10711</v>
      </c>
      <c r="G5327" s="1">
        <v>5</v>
      </c>
    </row>
    <row r="5328" spans="1:7" ht="14.25" hidden="1" customHeight="1" x14ac:dyDescent="0.45">
      <c r="A5328" t="str">
        <f>_xlfn.XLOOKUP(B5328,Ingot!$H$12:$H$119,Ingot!$G$12:$G$119,"")</f>
        <v>Wood</v>
      </c>
      <c r="B5328" t="s">
        <v>10531</v>
      </c>
      <c r="C5328" t="s">
        <v>157</v>
      </c>
      <c r="D5328" t="s">
        <v>10712</v>
      </c>
      <c r="E5328" t="s">
        <v>10713</v>
      </c>
      <c r="G5328" s="1">
        <v>5</v>
      </c>
    </row>
    <row r="5329" spans="1:7" ht="14.25" hidden="1" customHeight="1" x14ac:dyDescent="0.45">
      <c r="A5329" t="str">
        <f>_xlfn.XLOOKUP(B5329,Ingot!$H$12:$H$119,Ingot!$G$12:$G$119,"")</f>
        <v>Wood</v>
      </c>
      <c r="B5329" t="s">
        <v>10531</v>
      </c>
      <c r="C5329" t="s">
        <v>157</v>
      </c>
      <c r="D5329" t="s">
        <v>10714</v>
      </c>
      <c r="E5329" t="s">
        <v>10715</v>
      </c>
      <c r="G5329" s="1">
        <v>5</v>
      </c>
    </row>
    <row r="5330" spans="1:7" ht="14.25" hidden="1" customHeight="1" x14ac:dyDescent="0.45">
      <c r="A5330" t="str">
        <f>_xlfn.XLOOKUP(B5330,Ingot!$H$12:$H$119,Ingot!$G$12:$G$119,"")</f>
        <v>Wood</v>
      </c>
      <c r="B5330" t="s">
        <v>10531</v>
      </c>
      <c r="C5330" t="s">
        <v>157</v>
      </c>
      <c r="D5330" t="s">
        <v>10716</v>
      </c>
      <c r="E5330" t="s">
        <v>10717</v>
      </c>
      <c r="G5330" s="1">
        <v>10</v>
      </c>
    </row>
    <row r="5331" spans="1:7" ht="14.25" hidden="1" customHeight="1" x14ac:dyDescent="0.45">
      <c r="A5331" t="str">
        <f>_xlfn.XLOOKUP(B5331,Ingot!$H$12:$H$119,Ingot!$G$12:$G$119,"")</f>
        <v>Wood</v>
      </c>
      <c r="B5331" t="s">
        <v>10531</v>
      </c>
      <c r="C5331" t="s">
        <v>157</v>
      </c>
      <c r="D5331" t="s">
        <v>10718</v>
      </c>
      <c r="E5331" t="s">
        <v>10719</v>
      </c>
      <c r="G5331" s="1">
        <v>23</v>
      </c>
    </row>
    <row r="5332" spans="1:7" ht="14.25" hidden="1" customHeight="1" x14ac:dyDescent="0.45">
      <c r="A5332" t="str">
        <f>_xlfn.XLOOKUP(B5332,Ingot!$H$12:$H$119,Ingot!$G$12:$G$119,"")</f>
        <v>Wood</v>
      </c>
      <c r="B5332" t="s">
        <v>10531</v>
      </c>
      <c r="C5332" t="s">
        <v>157</v>
      </c>
      <c r="D5332" t="s">
        <v>10720</v>
      </c>
      <c r="E5332" t="s">
        <v>10721</v>
      </c>
      <c r="G5332" s="1">
        <v>5</v>
      </c>
    </row>
    <row r="5333" spans="1:7" ht="14.25" hidden="1" customHeight="1" x14ac:dyDescent="0.45">
      <c r="A5333" t="str">
        <f>_xlfn.XLOOKUP(B5333,Ingot!$H$12:$H$119,Ingot!$G$12:$G$119,"")</f>
        <v>Wood</v>
      </c>
      <c r="B5333" t="s">
        <v>10531</v>
      </c>
      <c r="C5333" t="s">
        <v>157</v>
      </c>
      <c r="D5333" t="s">
        <v>10722</v>
      </c>
      <c r="E5333" t="s">
        <v>10723</v>
      </c>
      <c r="G5333" s="1">
        <v>5</v>
      </c>
    </row>
    <row r="5334" spans="1:7" ht="14.25" hidden="1" customHeight="1" x14ac:dyDescent="0.45">
      <c r="A5334" t="str">
        <f>_xlfn.XLOOKUP(B5334,Ingot!$H$12:$H$119,Ingot!$G$12:$G$119,"")</f>
        <v>Wood</v>
      </c>
      <c r="B5334" t="s">
        <v>10531</v>
      </c>
      <c r="C5334" t="s">
        <v>157</v>
      </c>
      <c r="D5334" t="s">
        <v>10724</v>
      </c>
      <c r="E5334" t="s">
        <v>10725</v>
      </c>
      <c r="G5334" s="1">
        <v>5</v>
      </c>
    </row>
    <row r="5335" spans="1:7" ht="14.25" hidden="1" customHeight="1" x14ac:dyDescent="0.45">
      <c r="A5335" t="str">
        <f>_xlfn.XLOOKUP(B5335,Ingot!$H$12:$H$119,Ingot!$G$12:$G$119,"")</f>
        <v>Wood</v>
      </c>
      <c r="B5335" t="s">
        <v>10531</v>
      </c>
      <c r="C5335" t="s">
        <v>157</v>
      </c>
      <c r="D5335" t="s">
        <v>10726</v>
      </c>
      <c r="E5335" t="s">
        <v>10727</v>
      </c>
      <c r="G5335" s="1">
        <v>10</v>
      </c>
    </row>
    <row r="5336" spans="1:7" ht="14.25" hidden="1" customHeight="1" x14ac:dyDescent="0.45">
      <c r="A5336" t="str">
        <f>_xlfn.XLOOKUP(B5336,Ingot!$H$12:$H$119,Ingot!$G$12:$G$119,"")</f>
        <v>Wood</v>
      </c>
      <c r="B5336" t="s">
        <v>10531</v>
      </c>
      <c r="C5336" t="s">
        <v>157</v>
      </c>
      <c r="D5336" t="s">
        <v>10728</v>
      </c>
      <c r="E5336" t="s">
        <v>10729</v>
      </c>
      <c r="G5336" s="1">
        <v>26.8</v>
      </c>
    </row>
    <row r="5337" spans="1:7" ht="14.25" hidden="1" customHeight="1" x14ac:dyDescent="0.45">
      <c r="A5337" t="str">
        <f>_xlfn.XLOOKUP(B5337,Ingot!$H$12:$H$119,Ingot!$G$12:$G$119,"")</f>
        <v>Wood</v>
      </c>
      <c r="B5337" t="s">
        <v>10531</v>
      </c>
      <c r="C5337" t="s">
        <v>157</v>
      </c>
      <c r="D5337" t="s">
        <v>10730</v>
      </c>
      <c r="E5337" t="s">
        <v>10731</v>
      </c>
      <c r="G5337" s="1">
        <v>5.36</v>
      </c>
    </row>
    <row r="5338" spans="1:7" ht="14.25" hidden="1" customHeight="1" x14ac:dyDescent="0.45">
      <c r="A5338" t="str">
        <f>_xlfn.XLOOKUP(B5338,Ingot!$H$12:$H$119,Ingot!$G$12:$G$119,"")</f>
        <v>Wood</v>
      </c>
      <c r="B5338" t="s">
        <v>10531</v>
      </c>
      <c r="C5338" t="s">
        <v>157</v>
      </c>
      <c r="D5338" t="s">
        <v>10732</v>
      </c>
      <c r="E5338" t="s">
        <v>10733</v>
      </c>
      <c r="G5338" s="1">
        <v>5.36</v>
      </c>
    </row>
    <row r="5339" spans="1:7" ht="14.25" hidden="1" customHeight="1" x14ac:dyDescent="0.45">
      <c r="A5339" t="str">
        <f>_xlfn.XLOOKUP(B5339,Ingot!$H$12:$H$119,Ingot!$G$12:$G$119,"")</f>
        <v>Wood</v>
      </c>
      <c r="B5339" t="s">
        <v>10531</v>
      </c>
      <c r="C5339" t="s">
        <v>157</v>
      </c>
      <c r="D5339" t="s">
        <v>10734</v>
      </c>
      <c r="E5339" t="s">
        <v>10735</v>
      </c>
      <c r="G5339" s="1">
        <v>5</v>
      </c>
    </row>
    <row r="5340" spans="1:7" ht="14.25" hidden="1" customHeight="1" x14ac:dyDescent="0.45">
      <c r="A5340" t="str">
        <f>_xlfn.XLOOKUP(B5340,Ingot!$H$12:$H$119,Ingot!$G$12:$G$119,"")</f>
        <v>Wood</v>
      </c>
      <c r="B5340" t="s">
        <v>10531</v>
      </c>
      <c r="C5340" t="s">
        <v>157</v>
      </c>
      <c r="D5340" t="s">
        <v>10736</v>
      </c>
      <c r="E5340" t="s">
        <v>10737</v>
      </c>
      <c r="G5340" s="1">
        <v>10</v>
      </c>
    </row>
    <row r="5341" spans="1:7" ht="14.25" hidden="1" customHeight="1" x14ac:dyDescent="0.45">
      <c r="A5341" t="str">
        <f>_xlfn.XLOOKUP(B5341,Ingot!$H$12:$H$119,Ingot!$G$12:$G$119,"")</f>
        <v>Wood</v>
      </c>
      <c r="B5341" t="s">
        <v>10531</v>
      </c>
      <c r="C5341" t="s">
        <v>157</v>
      </c>
      <c r="D5341" t="s">
        <v>10738</v>
      </c>
      <c r="E5341" t="s">
        <v>10739</v>
      </c>
      <c r="G5341" s="1">
        <v>25.5</v>
      </c>
    </row>
    <row r="5342" spans="1:7" ht="14.25" hidden="1" customHeight="1" x14ac:dyDescent="0.45">
      <c r="A5342" t="str">
        <f>_xlfn.XLOOKUP(B5342,Ingot!$H$12:$H$119,Ingot!$G$12:$G$119,"")</f>
        <v>Wood</v>
      </c>
      <c r="B5342" t="s">
        <v>10531</v>
      </c>
      <c r="C5342" t="s">
        <v>157</v>
      </c>
      <c r="D5342" t="s">
        <v>10740</v>
      </c>
      <c r="E5342" t="s">
        <v>10741</v>
      </c>
      <c r="G5342" s="1">
        <v>5.0999999999999996</v>
      </c>
    </row>
    <row r="5343" spans="1:7" ht="14.25" hidden="1" customHeight="1" x14ac:dyDescent="0.45">
      <c r="A5343" t="str">
        <f>_xlfn.XLOOKUP(B5343,Ingot!$H$12:$H$119,Ingot!$G$12:$G$119,"")</f>
        <v>Wood</v>
      </c>
      <c r="B5343" t="s">
        <v>10531</v>
      </c>
      <c r="C5343" t="s">
        <v>157</v>
      </c>
      <c r="D5343" t="s">
        <v>10742</v>
      </c>
      <c r="E5343" t="s">
        <v>10743</v>
      </c>
      <c r="G5343" s="1">
        <v>5.0999999999999996</v>
      </c>
    </row>
    <row r="5344" spans="1:7" ht="14.25" hidden="1" customHeight="1" x14ac:dyDescent="0.45">
      <c r="A5344" t="str">
        <f>_xlfn.XLOOKUP(B5344,Ingot!$H$12:$H$119,Ingot!$G$12:$G$119,"")</f>
        <v>Wood</v>
      </c>
      <c r="B5344" t="s">
        <v>10531</v>
      </c>
      <c r="C5344" t="s">
        <v>157</v>
      </c>
      <c r="D5344" t="s">
        <v>10744</v>
      </c>
      <c r="E5344" t="s">
        <v>10745</v>
      </c>
      <c r="G5344" s="1">
        <v>5</v>
      </c>
    </row>
    <row r="5345" spans="1:7" ht="14.25" hidden="1" customHeight="1" x14ac:dyDescent="0.45">
      <c r="A5345" t="str">
        <f>_xlfn.XLOOKUP(B5345,Ingot!$H$12:$H$119,Ingot!$G$12:$G$119,"")</f>
        <v>Wood</v>
      </c>
      <c r="B5345" t="s">
        <v>10531</v>
      </c>
      <c r="C5345" t="s">
        <v>157</v>
      </c>
      <c r="D5345" t="s">
        <v>10746</v>
      </c>
      <c r="E5345" t="s">
        <v>10747</v>
      </c>
      <c r="G5345" s="1">
        <v>10</v>
      </c>
    </row>
    <row r="5346" spans="1:7" ht="14.25" hidden="1" customHeight="1" x14ac:dyDescent="0.45">
      <c r="A5346" t="str">
        <f>_xlfn.XLOOKUP(B5346,Ingot!$H$12:$H$119,Ingot!$G$12:$G$119,"")</f>
        <v>Wood</v>
      </c>
      <c r="B5346" t="s">
        <v>10531</v>
      </c>
      <c r="C5346" t="s">
        <v>157</v>
      </c>
      <c r="D5346" t="s">
        <v>10748</v>
      </c>
      <c r="E5346" t="s">
        <v>10749</v>
      </c>
      <c r="G5346" s="1">
        <v>19.2</v>
      </c>
    </row>
    <row r="5347" spans="1:7" ht="14.25" hidden="1" customHeight="1" x14ac:dyDescent="0.45">
      <c r="A5347" t="str">
        <f>_xlfn.XLOOKUP(B5347,Ingot!$H$12:$H$119,Ingot!$G$12:$G$119,"")</f>
        <v>Wood</v>
      </c>
      <c r="B5347" t="s">
        <v>10531</v>
      </c>
      <c r="C5347" t="s">
        <v>157</v>
      </c>
      <c r="D5347" t="s">
        <v>10750</v>
      </c>
      <c r="E5347" t="s">
        <v>10751</v>
      </c>
      <c r="G5347" s="1">
        <v>5</v>
      </c>
    </row>
    <row r="5348" spans="1:7" ht="14.25" hidden="1" customHeight="1" x14ac:dyDescent="0.45">
      <c r="A5348" t="str">
        <f>_xlfn.XLOOKUP(B5348,Ingot!$H$12:$H$119,Ingot!$G$12:$G$119,"")</f>
        <v>Wood</v>
      </c>
      <c r="B5348" t="s">
        <v>10531</v>
      </c>
      <c r="C5348" t="s">
        <v>157</v>
      </c>
      <c r="D5348" t="s">
        <v>10752</v>
      </c>
      <c r="E5348" t="s">
        <v>10753</v>
      </c>
      <c r="G5348" s="1">
        <v>5</v>
      </c>
    </row>
    <row r="5349" spans="1:7" ht="14.25" hidden="1" customHeight="1" x14ac:dyDescent="0.45">
      <c r="A5349" t="str">
        <f>_xlfn.XLOOKUP(B5349,Ingot!$H$12:$H$119,Ingot!$G$12:$G$119,"")</f>
        <v>Wood</v>
      </c>
      <c r="B5349" t="s">
        <v>10531</v>
      </c>
      <c r="C5349" t="s">
        <v>157</v>
      </c>
      <c r="D5349" t="s">
        <v>10754</v>
      </c>
      <c r="E5349" t="s">
        <v>10755</v>
      </c>
      <c r="G5349" s="1">
        <v>5</v>
      </c>
    </row>
    <row r="5350" spans="1:7" ht="14.25" hidden="1" customHeight="1" x14ac:dyDescent="0.45">
      <c r="A5350" t="str">
        <f>_xlfn.XLOOKUP(B5350,Ingot!$H$12:$H$119,Ingot!$G$12:$G$119,"")</f>
        <v>Wood</v>
      </c>
      <c r="B5350" t="s">
        <v>10531</v>
      </c>
      <c r="C5350" t="s">
        <v>157</v>
      </c>
      <c r="D5350" t="s">
        <v>10756</v>
      </c>
      <c r="E5350" t="s">
        <v>10757</v>
      </c>
      <c r="G5350" s="1">
        <v>10</v>
      </c>
    </row>
    <row r="5351" spans="1:7" ht="14.25" hidden="1" customHeight="1" x14ac:dyDescent="0.45">
      <c r="A5351" t="str">
        <f>_xlfn.XLOOKUP(B5351,Ingot!$H$12:$H$119,Ingot!$G$12:$G$119,"")</f>
        <v>Wood</v>
      </c>
      <c r="B5351" t="s">
        <v>10531</v>
      </c>
      <c r="C5351" t="s">
        <v>239</v>
      </c>
      <c r="D5351" t="s">
        <v>10758</v>
      </c>
      <c r="E5351" t="s">
        <v>10759</v>
      </c>
    </row>
    <row r="5352" spans="1:7" ht="14.25" hidden="1" customHeight="1" x14ac:dyDescent="0.45">
      <c r="A5352" t="str">
        <f>_xlfn.XLOOKUP(B5352,Ingot!$H$12:$H$119,Ingot!$G$12:$G$119,"")</f>
        <v>Wood</v>
      </c>
      <c r="B5352" t="s">
        <v>10531</v>
      </c>
      <c r="C5352" t="s">
        <v>239</v>
      </c>
      <c r="D5352" t="s">
        <v>10760</v>
      </c>
      <c r="E5352" t="s">
        <v>10761</v>
      </c>
    </row>
    <row r="5353" spans="1:7" ht="14.25" hidden="1" customHeight="1" x14ac:dyDescent="0.45">
      <c r="A5353" t="str">
        <f>_xlfn.XLOOKUP(B5353,Ingot!$H$12:$H$119,Ingot!$G$12:$G$119,"")</f>
        <v>Wood</v>
      </c>
      <c r="B5353" t="s">
        <v>10531</v>
      </c>
      <c r="C5353" t="s">
        <v>239</v>
      </c>
      <c r="D5353" t="s">
        <v>10762</v>
      </c>
      <c r="E5353" t="s">
        <v>10763</v>
      </c>
    </row>
    <row r="5354" spans="1:7" ht="14.25" hidden="1" customHeight="1" x14ac:dyDescent="0.45">
      <c r="A5354" t="str">
        <f>_xlfn.XLOOKUP(B5354,Ingot!$H$12:$H$119,Ingot!$G$12:$G$119,"")</f>
        <v>Wood</v>
      </c>
      <c r="B5354" t="s">
        <v>10531</v>
      </c>
      <c r="C5354" t="s">
        <v>239</v>
      </c>
      <c r="D5354" t="s">
        <v>10764</v>
      </c>
      <c r="E5354" t="s">
        <v>10765</v>
      </c>
    </row>
    <row r="5355" spans="1:7" ht="14.25" hidden="1" customHeight="1" x14ac:dyDescent="0.45">
      <c r="A5355" t="str">
        <f>_xlfn.XLOOKUP(B5355,Ingot!$H$12:$H$119,Ingot!$G$12:$G$119,"")</f>
        <v>Wood</v>
      </c>
      <c r="B5355" t="s">
        <v>10531</v>
      </c>
      <c r="C5355" t="s">
        <v>239</v>
      </c>
      <c r="D5355" t="s">
        <v>10766</v>
      </c>
      <c r="E5355" t="s">
        <v>10767</v>
      </c>
    </row>
    <row r="5356" spans="1:7" ht="14.25" hidden="1" customHeight="1" x14ac:dyDescent="0.45">
      <c r="A5356" t="str">
        <f>_xlfn.XLOOKUP(B5356,Ingot!$H$12:$H$119,Ingot!$G$12:$G$119,"")</f>
        <v>Wood</v>
      </c>
      <c r="B5356" t="s">
        <v>10531</v>
      </c>
      <c r="C5356" t="s">
        <v>239</v>
      </c>
      <c r="D5356" t="s">
        <v>10768</v>
      </c>
      <c r="E5356" t="s">
        <v>10769</v>
      </c>
    </row>
    <row r="5357" spans="1:7" ht="14.25" hidden="1" customHeight="1" x14ac:dyDescent="0.45">
      <c r="A5357" t="str">
        <f>_xlfn.XLOOKUP(B5357,Ingot!$H$12:$H$119,Ingot!$G$12:$G$119,"")</f>
        <v>Wood</v>
      </c>
      <c r="B5357" t="s">
        <v>10770</v>
      </c>
      <c r="C5357" t="s">
        <v>10</v>
      </c>
      <c r="D5357" t="s">
        <v>10771</v>
      </c>
      <c r="E5357" t="s">
        <v>10772</v>
      </c>
      <c r="G5357" s="1">
        <v>0.08</v>
      </c>
    </row>
    <row r="5358" spans="1:7" ht="14.25" hidden="1" customHeight="1" x14ac:dyDescent="0.45">
      <c r="A5358" t="str">
        <f>_xlfn.XLOOKUP(B5358,Ingot!$H$12:$H$119,Ingot!$G$12:$G$119,"")</f>
        <v>Wood</v>
      </c>
      <c r="B5358" t="s">
        <v>10770</v>
      </c>
      <c r="C5358" t="s">
        <v>10</v>
      </c>
      <c r="D5358" t="s">
        <v>10773</v>
      </c>
      <c r="E5358" t="s">
        <v>10774</v>
      </c>
      <c r="G5358" s="1">
        <v>9.9</v>
      </c>
    </row>
    <row r="5359" spans="1:7" ht="14.25" hidden="1" customHeight="1" x14ac:dyDescent="0.45">
      <c r="A5359" t="str">
        <f>_xlfn.XLOOKUP(B5359,Ingot!$H$12:$H$119,Ingot!$G$12:$G$119,"")</f>
        <v>Wood</v>
      </c>
      <c r="B5359" t="s">
        <v>10770</v>
      </c>
      <c r="C5359" t="s">
        <v>10</v>
      </c>
      <c r="D5359" t="s">
        <v>10775</v>
      </c>
      <c r="E5359" t="s">
        <v>10776</v>
      </c>
      <c r="G5359" s="1">
        <v>5.66</v>
      </c>
    </row>
    <row r="5360" spans="1:7" ht="14.25" hidden="1" customHeight="1" x14ac:dyDescent="0.45">
      <c r="A5360" t="str">
        <f>_xlfn.XLOOKUP(B5360,Ingot!$H$12:$H$119,Ingot!$G$12:$G$119,"")</f>
        <v>Wood</v>
      </c>
      <c r="B5360" t="s">
        <v>10770</v>
      </c>
      <c r="C5360" t="s">
        <v>10</v>
      </c>
      <c r="D5360" t="s">
        <v>10777</v>
      </c>
      <c r="E5360" t="s">
        <v>10778</v>
      </c>
      <c r="G5360" s="1">
        <v>3.3</v>
      </c>
    </row>
    <row r="5361" spans="1:7" ht="14.25" hidden="1" customHeight="1" x14ac:dyDescent="0.45">
      <c r="A5361" t="str">
        <f>_xlfn.XLOOKUP(B5361,Ingot!$H$12:$H$119,Ingot!$G$12:$G$119,"")</f>
        <v>Wood</v>
      </c>
      <c r="B5361" t="s">
        <v>10770</v>
      </c>
      <c r="C5361" t="s">
        <v>10</v>
      </c>
      <c r="D5361" t="s">
        <v>10779</v>
      </c>
      <c r="E5361" t="s">
        <v>10780</v>
      </c>
      <c r="G5361" s="1">
        <v>0.66</v>
      </c>
    </row>
    <row r="5362" spans="1:7" ht="14.25" hidden="1" customHeight="1" x14ac:dyDescent="0.45">
      <c r="A5362" t="str">
        <f>_xlfn.XLOOKUP(B5362,Ingot!$H$12:$H$119,Ingot!$G$12:$G$119,"")</f>
        <v>Wood</v>
      </c>
      <c r="B5362" t="s">
        <v>10770</v>
      </c>
      <c r="C5362" t="s">
        <v>10</v>
      </c>
      <c r="D5362" t="s">
        <v>10781</v>
      </c>
      <c r="E5362" t="s">
        <v>10782</v>
      </c>
      <c r="G5362" s="1">
        <v>0.04</v>
      </c>
    </row>
    <row r="5363" spans="1:7" ht="14.25" hidden="1" customHeight="1" x14ac:dyDescent="0.45">
      <c r="A5363" t="str">
        <f>_xlfn.XLOOKUP(B5363,Ingot!$H$12:$H$119,Ingot!$G$12:$G$119,"")</f>
        <v>Wood</v>
      </c>
      <c r="B5363" t="s">
        <v>10770</v>
      </c>
      <c r="C5363" t="s">
        <v>10</v>
      </c>
      <c r="D5363" t="s">
        <v>10783</v>
      </c>
      <c r="E5363" t="s">
        <v>10784</v>
      </c>
      <c r="G5363" s="1">
        <v>0.33</v>
      </c>
    </row>
    <row r="5364" spans="1:7" ht="14.25" hidden="1" customHeight="1" x14ac:dyDescent="0.45">
      <c r="A5364" t="str">
        <f>_xlfn.XLOOKUP(B5364,Ingot!$H$12:$H$119,Ingot!$G$12:$G$119,"")</f>
        <v>Wood</v>
      </c>
      <c r="B5364" t="s">
        <v>10770</v>
      </c>
      <c r="C5364" t="s">
        <v>10</v>
      </c>
      <c r="D5364" t="s">
        <v>10785</v>
      </c>
      <c r="E5364" t="s">
        <v>10786</v>
      </c>
    </row>
    <row r="5365" spans="1:7" ht="14.25" hidden="1" customHeight="1" x14ac:dyDescent="0.45">
      <c r="A5365" t="str">
        <f>_xlfn.XLOOKUP(B5365,Ingot!$H$12:$H$119,Ingot!$G$12:$G$119,"")</f>
        <v>Wood</v>
      </c>
      <c r="B5365" t="s">
        <v>10770</v>
      </c>
      <c r="C5365" t="s">
        <v>10</v>
      </c>
      <c r="D5365" t="s">
        <v>10787</v>
      </c>
      <c r="E5365" t="s">
        <v>10788</v>
      </c>
      <c r="G5365" s="1">
        <v>0.05</v>
      </c>
    </row>
    <row r="5366" spans="1:7" ht="14.25" hidden="1" customHeight="1" x14ac:dyDescent="0.45">
      <c r="A5366" t="str">
        <f>_xlfn.XLOOKUP(B5366,Ingot!$H$12:$H$119,Ingot!$G$12:$G$119,"")</f>
        <v>Wood</v>
      </c>
      <c r="B5366" t="s">
        <v>10770</v>
      </c>
      <c r="C5366" t="s">
        <v>10</v>
      </c>
      <c r="D5366" t="s">
        <v>10789</v>
      </c>
      <c r="E5366" t="s">
        <v>10790</v>
      </c>
      <c r="G5366" s="1">
        <v>0.66</v>
      </c>
    </row>
    <row r="5367" spans="1:7" ht="14.25" hidden="1" customHeight="1" x14ac:dyDescent="0.45">
      <c r="A5367" t="str">
        <f>_xlfn.XLOOKUP(B5367,Ingot!$H$12:$H$119,Ingot!$G$12:$G$119,"")</f>
        <v>Wood</v>
      </c>
      <c r="B5367" t="s">
        <v>10770</v>
      </c>
      <c r="C5367" t="s">
        <v>10</v>
      </c>
      <c r="D5367" t="s">
        <v>10791</v>
      </c>
      <c r="E5367" t="s">
        <v>10792</v>
      </c>
      <c r="G5367" s="1">
        <v>3.96</v>
      </c>
    </row>
    <row r="5368" spans="1:7" ht="14.25" hidden="1" customHeight="1" x14ac:dyDescent="0.45">
      <c r="A5368" t="str">
        <f>_xlfn.XLOOKUP(B5368,Ingot!$H$12:$H$119,Ingot!$G$12:$G$119,"")</f>
        <v>Wood</v>
      </c>
      <c r="B5368" t="s">
        <v>10770</v>
      </c>
      <c r="C5368" t="s">
        <v>10</v>
      </c>
      <c r="D5368" t="s">
        <v>10793</v>
      </c>
      <c r="E5368" t="s">
        <v>10794</v>
      </c>
      <c r="G5368" s="1">
        <v>8.77</v>
      </c>
    </row>
    <row r="5369" spans="1:7" ht="14.25" hidden="1" customHeight="1" x14ac:dyDescent="0.45">
      <c r="A5369" t="str">
        <f>_xlfn.XLOOKUP(B5369,Ingot!$H$12:$H$119,Ingot!$G$12:$G$119,"")</f>
        <v>Wood</v>
      </c>
      <c r="B5369" t="s">
        <v>10770</v>
      </c>
      <c r="C5369" t="s">
        <v>10</v>
      </c>
      <c r="D5369" t="s">
        <v>10795</v>
      </c>
      <c r="E5369" t="s">
        <v>10796</v>
      </c>
      <c r="G5369" s="1">
        <v>3.5</v>
      </c>
    </row>
    <row r="5370" spans="1:7" ht="14.25" hidden="1" customHeight="1" x14ac:dyDescent="0.45">
      <c r="A5370" t="str">
        <f>_xlfn.XLOOKUP(B5370,Ingot!$H$12:$H$119,Ingot!$G$12:$G$119,"")</f>
        <v>Wood</v>
      </c>
      <c r="B5370" t="s">
        <v>10770</v>
      </c>
      <c r="C5370" t="s">
        <v>10</v>
      </c>
      <c r="D5370" t="s">
        <v>10797</v>
      </c>
      <c r="E5370" t="s">
        <v>10798</v>
      </c>
    </row>
    <row r="5371" spans="1:7" ht="14.25" hidden="1" customHeight="1" x14ac:dyDescent="0.45">
      <c r="A5371" t="str">
        <f>_xlfn.XLOOKUP(B5371,Ingot!$H$12:$H$119,Ingot!$G$12:$G$119,"")</f>
        <v>Wood</v>
      </c>
      <c r="B5371" t="s">
        <v>10770</v>
      </c>
      <c r="C5371" t="s">
        <v>10</v>
      </c>
      <c r="D5371" t="s">
        <v>10799</v>
      </c>
      <c r="E5371" t="s">
        <v>10800</v>
      </c>
      <c r="G5371" s="1">
        <v>2.2000000000000002</v>
      </c>
    </row>
    <row r="5372" spans="1:7" ht="14.25" hidden="1" customHeight="1" x14ac:dyDescent="0.45">
      <c r="A5372" t="str">
        <f>_xlfn.XLOOKUP(B5372,Ingot!$H$12:$H$119,Ingot!$G$12:$G$119,"")</f>
        <v>Wood</v>
      </c>
      <c r="B5372" t="s">
        <v>10770</v>
      </c>
      <c r="C5372" t="s">
        <v>10</v>
      </c>
      <c r="D5372" t="s">
        <v>10801</v>
      </c>
      <c r="E5372" t="s">
        <v>10802</v>
      </c>
      <c r="G5372" s="1">
        <v>1.1000000000000001</v>
      </c>
    </row>
    <row r="5373" spans="1:7" ht="14.25" hidden="1" customHeight="1" x14ac:dyDescent="0.45">
      <c r="A5373" t="str">
        <f>_xlfn.XLOOKUP(B5373,Ingot!$H$12:$H$119,Ingot!$G$12:$G$119,"")</f>
        <v>Wood</v>
      </c>
      <c r="B5373" t="s">
        <v>10770</v>
      </c>
      <c r="C5373" t="s">
        <v>10</v>
      </c>
      <c r="D5373" t="s">
        <v>10803</v>
      </c>
      <c r="E5373" t="s">
        <v>10804</v>
      </c>
      <c r="G5373" s="1">
        <v>0.22</v>
      </c>
    </row>
    <row r="5374" spans="1:7" ht="14.25" hidden="1" customHeight="1" x14ac:dyDescent="0.45">
      <c r="A5374" t="str">
        <f>_xlfn.XLOOKUP(B5374,Ingot!$H$12:$H$119,Ingot!$G$12:$G$119,"")</f>
        <v>Wood</v>
      </c>
      <c r="B5374" t="s">
        <v>10770</v>
      </c>
      <c r="C5374" t="s">
        <v>10</v>
      </c>
      <c r="D5374" t="s">
        <v>10805</v>
      </c>
      <c r="E5374" t="s">
        <v>10806</v>
      </c>
      <c r="G5374" s="1">
        <v>8.41</v>
      </c>
    </row>
    <row r="5375" spans="1:7" ht="14.25" hidden="1" customHeight="1" x14ac:dyDescent="0.45">
      <c r="A5375" t="str">
        <f>_xlfn.XLOOKUP(B5375,Ingot!$H$12:$H$119,Ingot!$G$12:$G$119,"")</f>
        <v>Wood</v>
      </c>
      <c r="B5375" t="s">
        <v>10770</v>
      </c>
      <c r="C5375" t="s">
        <v>10</v>
      </c>
      <c r="D5375" t="s">
        <v>10807</v>
      </c>
      <c r="E5375" t="s">
        <v>10808</v>
      </c>
      <c r="G5375" s="1">
        <v>3.64</v>
      </c>
    </row>
    <row r="5376" spans="1:7" ht="14.25" hidden="1" customHeight="1" x14ac:dyDescent="0.45">
      <c r="A5376" t="str">
        <f>_xlfn.XLOOKUP(B5376,Ingot!$H$12:$H$119,Ingot!$G$12:$G$119,"")</f>
        <v>Wood</v>
      </c>
      <c r="B5376" t="s">
        <v>10770</v>
      </c>
      <c r="C5376" t="s">
        <v>10</v>
      </c>
      <c r="D5376" t="s">
        <v>10809</v>
      </c>
      <c r="E5376" t="s">
        <v>10810</v>
      </c>
      <c r="G5376" s="1">
        <v>7.05</v>
      </c>
    </row>
    <row r="5377" spans="1:7" ht="14.25" hidden="1" customHeight="1" x14ac:dyDescent="0.45">
      <c r="A5377" t="str">
        <f>_xlfn.XLOOKUP(B5377,Ingot!$H$12:$H$119,Ingot!$G$12:$G$119,"")</f>
        <v>Wood</v>
      </c>
      <c r="B5377" t="s">
        <v>10770</v>
      </c>
      <c r="C5377" t="s">
        <v>10</v>
      </c>
      <c r="D5377" t="s">
        <v>10811</v>
      </c>
      <c r="E5377" t="s">
        <v>10812</v>
      </c>
      <c r="G5377" s="1">
        <v>2.65</v>
      </c>
    </row>
    <row r="5378" spans="1:7" ht="14.25" hidden="1" customHeight="1" x14ac:dyDescent="0.45">
      <c r="A5378" t="str">
        <f>_xlfn.XLOOKUP(B5378,Ingot!$H$12:$H$119,Ingot!$G$12:$G$119,"")</f>
        <v>Wood</v>
      </c>
      <c r="B5378" t="s">
        <v>10770</v>
      </c>
      <c r="C5378" t="s">
        <v>10</v>
      </c>
      <c r="D5378" t="s">
        <v>10813</v>
      </c>
      <c r="E5378" t="s">
        <v>10814</v>
      </c>
      <c r="G5378" s="1">
        <v>9</v>
      </c>
    </row>
    <row r="5379" spans="1:7" ht="14.25" hidden="1" customHeight="1" x14ac:dyDescent="0.45">
      <c r="A5379" t="str">
        <f>_xlfn.XLOOKUP(B5379,Ingot!$H$12:$H$119,Ingot!$G$12:$G$119,"")</f>
        <v>Wood</v>
      </c>
      <c r="B5379" t="s">
        <v>10770</v>
      </c>
      <c r="C5379" t="s">
        <v>10</v>
      </c>
      <c r="D5379" t="s">
        <v>10815</v>
      </c>
      <c r="E5379" t="s">
        <v>10816</v>
      </c>
      <c r="G5379" s="1">
        <v>10.23</v>
      </c>
    </row>
    <row r="5380" spans="1:7" ht="14.25" hidden="1" customHeight="1" x14ac:dyDescent="0.45">
      <c r="A5380" t="str">
        <f>_xlfn.XLOOKUP(B5380,Ingot!$H$12:$H$119,Ingot!$G$12:$G$119,"")</f>
        <v>Wood</v>
      </c>
      <c r="B5380" t="s">
        <v>10770</v>
      </c>
      <c r="C5380" t="s">
        <v>10</v>
      </c>
      <c r="D5380" t="s">
        <v>10817</v>
      </c>
      <c r="E5380" t="s">
        <v>10818</v>
      </c>
      <c r="G5380" s="1">
        <v>7.7</v>
      </c>
    </row>
    <row r="5381" spans="1:7" ht="14.25" hidden="1" customHeight="1" x14ac:dyDescent="0.45">
      <c r="A5381" t="str">
        <f>_xlfn.XLOOKUP(B5381,Ingot!$H$12:$H$119,Ingot!$G$12:$G$119,"")</f>
        <v>Wood</v>
      </c>
      <c r="B5381" t="s">
        <v>10770</v>
      </c>
      <c r="C5381" t="s">
        <v>10</v>
      </c>
      <c r="D5381" t="s">
        <v>10819</v>
      </c>
      <c r="E5381" t="s">
        <v>10820</v>
      </c>
      <c r="G5381" s="1">
        <v>10.02</v>
      </c>
    </row>
    <row r="5382" spans="1:7" ht="14.25" hidden="1" customHeight="1" x14ac:dyDescent="0.45">
      <c r="A5382" t="str">
        <f>_xlfn.XLOOKUP(B5382,Ingot!$H$12:$H$119,Ingot!$G$12:$G$119,"")</f>
        <v>Wood</v>
      </c>
      <c r="B5382" t="s">
        <v>10770</v>
      </c>
      <c r="C5382" t="s">
        <v>10</v>
      </c>
      <c r="D5382" t="s">
        <v>10821</v>
      </c>
      <c r="E5382" t="s">
        <v>10822</v>
      </c>
      <c r="G5382" s="1">
        <v>11.81</v>
      </c>
    </row>
    <row r="5383" spans="1:7" ht="14.25" hidden="1" customHeight="1" x14ac:dyDescent="0.45">
      <c r="A5383" t="str">
        <f>_xlfn.XLOOKUP(B5383,Ingot!$H$12:$H$119,Ingot!$G$12:$G$119,"")</f>
        <v>Wood</v>
      </c>
      <c r="B5383" t="s">
        <v>10770</v>
      </c>
      <c r="C5383" t="s">
        <v>10</v>
      </c>
      <c r="D5383" t="s">
        <v>10823</v>
      </c>
      <c r="E5383" t="s">
        <v>10824</v>
      </c>
      <c r="G5383" s="1">
        <v>8.44</v>
      </c>
    </row>
    <row r="5384" spans="1:7" ht="14.25" hidden="1" customHeight="1" x14ac:dyDescent="0.45">
      <c r="A5384" t="str">
        <f>_xlfn.XLOOKUP(B5384,Ingot!$H$12:$H$119,Ingot!$G$12:$G$119,"")</f>
        <v>Wood</v>
      </c>
      <c r="B5384" t="s">
        <v>10770</v>
      </c>
      <c r="C5384" t="s">
        <v>10</v>
      </c>
      <c r="D5384" t="s">
        <v>10825</v>
      </c>
      <c r="E5384" t="s">
        <v>10826</v>
      </c>
      <c r="G5384" s="1">
        <v>10.42</v>
      </c>
    </row>
    <row r="5385" spans="1:7" ht="14.25" hidden="1" customHeight="1" x14ac:dyDescent="0.45">
      <c r="A5385" t="str">
        <f>_xlfn.XLOOKUP(B5385,Ingot!$H$12:$H$119,Ingot!$G$12:$G$119,"")</f>
        <v>Wood</v>
      </c>
      <c r="B5385" t="s">
        <v>10770</v>
      </c>
      <c r="C5385" t="s">
        <v>10</v>
      </c>
      <c r="D5385" t="s">
        <v>10827</v>
      </c>
      <c r="E5385" t="s">
        <v>10828</v>
      </c>
    </row>
    <row r="5386" spans="1:7" ht="14.25" hidden="1" customHeight="1" x14ac:dyDescent="0.45">
      <c r="A5386" t="str">
        <f>_xlfn.XLOOKUP(B5386,Ingot!$H$12:$H$119,Ingot!$G$12:$G$119,"")</f>
        <v>Wood</v>
      </c>
      <c r="B5386" t="s">
        <v>10770</v>
      </c>
      <c r="C5386" t="s">
        <v>10</v>
      </c>
      <c r="D5386" t="s">
        <v>10829</v>
      </c>
      <c r="E5386" t="s">
        <v>10830</v>
      </c>
      <c r="G5386" s="1">
        <v>7.96</v>
      </c>
    </row>
    <row r="5387" spans="1:7" ht="14.25" hidden="1" customHeight="1" x14ac:dyDescent="0.45">
      <c r="A5387" t="str">
        <f>_xlfn.XLOOKUP(B5387,Ingot!$H$12:$H$119,Ingot!$G$12:$G$119,"")</f>
        <v>Wood</v>
      </c>
      <c r="B5387" t="s">
        <v>10770</v>
      </c>
      <c r="C5387" t="s">
        <v>10</v>
      </c>
      <c r="D5387" t="s">
        <v>10831</v>
      </c>
      <c r="E5387" t="s">
        <v>10832</v>
      </c>
      <c r="G5387" s="1">
        <v>9.64</v>
      </c>
    </row>
    <row r="5388" spans="1:7" ht="14.25" hidden="1" customHeight="1" x14ac:dyDescent="0.45">
      <c r="A5388" t="str">
        <f>_xlfn.XLOOKUP(B5388,Ingot!$H$12:$H$119,Ingot!$G$12:$G$119,"")</f>
        <v>Wood</v>
      </c>
      <c r="B5388" t="s">
        <v>10770</v>
      </c>
      <c r="C5388" t="s">
        <v>10</v>
      </c>
      <c r="D5388" t="s">
        <v>10833</v>
      </c>
      <c r="E5388" t="s">
        <v>10834</v>
      </c>
      <c r="G5388" s="1">
        <v>7.94</v>
      </c>
    </row>
    <row r="5389" spans="1:7" ht="14.25" hidden="1" customHeight="1" x14ac:dyDescent="0.45">
      <c r="A5389" t="str">
        <f>_xlfn.XLOOKUP(B5389,Ingot!$H$12:$H$119,Ingot!$G$12:$G$119,"")</f>
        <v>Wood</v>
      </c>
      <c r="B5389" t="s">
        <v>10770</v>
      </c>
      <c r="C5389" t="s">
        <v>10</v>
      </c>
      <c r="D5389" t="s">
        <v>10835</v>
      </c>
      <c r="E5389" t="s">
        <v>10836</v>
      </c>
      <c r="G5389" s="1">
        <v>8.66</v>
      </c>
    </row>
    <row r="5390" spans="1:7" ht="14.25" hidden="1" customHeight="1" x14ac:dyDescent="0.45">
      <c r="A5390" t="str">
        <f>_xlfn.XLOOKUP(B5390,Ingot!$H$12:$H$119,Ingot!$G$12:$G$119,"")</f>
        <v>Wood</v>
      </c>
      <c r="B5390" t="s">
        <v>10770</v>
      </c>
      <c r="C5390" t="s">
        <v>10</v>
      </c>
      <c r="D5390" t="s">
        <v>10837</v>
      </c>
      <c r="E5390" t="s">
        <v>10838</v>
      </c>
    </row>
    <row r="5391" spans="1:7" ht="14.25" hidden="1" customHeight="1" x14ac:dyDescent="0.45">
      <c r="A5391" t="str">
        <f>_xlfn.XLOOKUP(B5391,Ingot!$H$12:$H$119,Ingot!$G$12:$G$119,"")</f>
        <v>Wood</v>
      </c>
      <c r="B5391" t="s">
        <v>10770</v>
      </c>
      <c r="C5391" t="s">
        <v>10</v>
      </c>
      <c r="D5391" t="s">
        <v>10839</v>
      </c>
      <c r="E5391" t="s">
        <v>10840</v>
      </c>
      <c r="G5391" s="1">
        <v>2.65</v>
      </c>
    </row>
    <row r="5392" spans="1:7" ht="14.25" hidden="1" customHeight="1" x14ac:dyDescent="0.45">
      <c r="A5392" t="str">
        <f>_xlfn.XLOOKUP(B5392,Ingot!$H$12:$H$119,Ingot!$G$12:$G$119,"")</f>
        <v>Wood</v>
      </c>
      <c r="B5392" t="s">
        <v>10770</v>
      </c>
      <c r="C5392" t="s">
        <v>10</v>
      </c>
      <c r="D5392" t="s">
        <v>10841</v>
      </c>
      <c r="E5392" t="s">
        <v>10842</v>
      </c>
    </row>
    <row r="5393" spans="1:7" ht="14.25" hidden="1" customHeight="1" x14ac:dyDescent="0.45">
      <c r="A5393" t="str">
        <f>_xlfn.XLOOKUP(B5393,Ingot!$H$12:$H$119,Ingot!$G$12:$G$119,"")</f>
        <v>Wood</v>
      </c>
      <c r="B5393" t="s">
        <v>10770</v>
      </c>
      <c r="C5393" t="s">
        <v>10</v>
      </c>
      <c r="D5393" t="s">
        <v>10843</v>
      </c>
      <c r="E5393" t="s">
        <v>10844</v>
      </c>
      <c r="G5393" s="1">
        <v>12.64</v>
      </c>
    </row>
    <row r="5394" spans="1:7" ht="14.25" hidden="1" customHeight="1" x14ac:dyDescent="0.45">
      <c r="A5394" t="str">
        <f>_xlfn.XLOOKUP(B5394,Ingot!$H$12:$H$119,Ingot!$G$12:$G$119,"")</f>
        <v>Wood</v>
      </c>
      <c r="B5394" t="s">
        <v>10770</v>
      </c>
      <c r="C5394" t="s">
        <v>10</v>
      </c>
      <c r="D5394" t="s">
        <v>10845</v>
      </c>
      <c r="E5394" t="s">
        <v>10846</v>
      </c>
      <c r="G5394" s="1">
        <v>22.67</v>
      </c>
    </row>
    <row r="5395" spans="1:7" ht="14.25" hidden="1" customHeight="1" x14ac:dyDescent="0.45">
      <c r="A5395" t="str">
        <f>_xlfn.XLOOKUP(B5395,Ingot!$H$12:$H$119,Ingot!$G$12:$G$119,"")</f>
        <v>Wood</v>
      </c>
      <c r="B5395" t="s">
        <v>10770</v>
      </c>
      <c r="C5395" t="s">
        <v>10</v>
      </c>
      <c r="D5395" t="s">
        <v>10847</v>
      </c>
      <c r="E5395" t="s">
        <v>10848</v>
      </c>
      <c r="G5395" s="1">
        <v>8.3800000000000008</v>
      </c>
    </row>
    <row r="5396" spans="1:7" ht="14.25" hidden="1" customHeight="1" x14ac:dyDescent="0.45">
      <c r="A5396" t="str">
        <f>_xlfn.XLOOKUP(B5396,Ingot!$H$12:$H$119,Ingot!$G$12:$G$119,"")</f>
        <v>Wood</v>
      </c>
      <c r="B5396" t="s">
        <v>10770</v>
      </c>
      <c r="C5396" t="s">
        <v>10</v>
      </c>
      <c r="D5396" t="s">
        <v>10849</v>
      </c>
      <c r="E5396" t="s">
        <v>10850</v>
      </c>
      <c r="G5396" s="1">
        <v>2.2000000000000002</v>
      </c>
    </row>
    <row r="5397" spans="1:7" ht="14.25" hidden="1" customHeight="1" x14ac:dyDescent="0.45">
      <c r="A5397" t="str">
        <f>_xlfn.XLOOKUP(B5397,Ingot!$H$12:$H$119,Ingot!$G$12:$G$119,"")</f>
        <v>Wood</v>
      </c>
      <c r="B5397" t="s">
        <v>10770</v>
      </c>
      <c r="C5397" t="s">
        <v>10</v>
      </c>
      <c r="D5397" t="s">
        <v>10851</v>
      </c>
      <c r="E5397" t="s">
        <v>10852</v>
      </c>
      <c r="G5397" s="1">
        <v>3.09</v>
      </c>
    </row>
    <row r="5398" spans="1:7" ht="14.25" hidden="1" customHeight="1" x14ac:dyDescent="0.45">
      <c r="A5398" t="str">
        <f>_xlfn.XLOOKUP(B5398,Ingot!$H$12:$H$119,Ingot!$G$12:$G$119,"")</f>
        <v>Wood</v>
      </c>
      <c r="B5398" t="s">
        <v>10770</v>
      </c>
      <c r="C5398" t="s">
        <v>10</v>
      </c>
      <c r="D5398" t="s">
        <v>10853</v>
      </c>
      <c r="E5398" t="s">
        <v>10854</v>
      </c>
      <c r="G5398" s="1">
        <v>2.2999999999999998</v>
      </c>
    </row>
    <row r="5399" spans="1:7" ht="14.25" hidden="1" customHeight="1" x14ac:dyDescent="0.45">
      <c r="A5399" t="str">
        <f>_xlfn.XLOOKUP(B5399,Ingot!$H$12:$H$119,Ingot!$G$12:$G$119,"")</f>
        <v>Wood</v>
      </c>
      <c r="B5399" t="s">
        <v>10770</v>
      </c>
      <c r="C5399" t="s">
        <v>10</v>
      </c>
      <c r="D5399" t="s">
        <v>10855</v>
      </c>
      <c r="E5399" t="s">
        <v>10856</v>
      </c>
      <c r="G5399" s="1">
        <v>4.88</v>
      </c>
    </row>
    <row r="5400" spans="1:7" ht="14.25" hidden="1" customHeight="1" x14ac:dyDescent="0.45">
      <c r="A5400" t="str">
        <f>_xlfn.XLOOKUP(B5400,Ingot!$H$12:$H$119,Ingot!$G$12:$G$119,"")</f>
        <v>Wood</v>
      </c>
      <c r="B5400" t="s">
        <v>10770</v>
      </c>
      <c r="C5400" t="s">
        <v>10</v>
      </c>
      <c r="D5400" t="s">
        <v>10857</v>
      </c>
      <c r="E5400" t="s">
        <v>10858</v>
      </c>
      <c r="G5400" s="1">
        <v>8.43</v>
      </c>
    </row>
    <row r="5401" spans="1:7" ht="14.25" hidden="1" customHeight="1" x14ac:dyDescent="0.45">
      <c r="A5401" t="str">
        <f>_xlfn.XLOOKUP(B5401,Ingot!$H$12:$H$119,Ingot!$G$12:$G$119,"")</f>
        <v>Wood</v>
      </c>
      <c r="B5401" t="s">
        <v>10770</v>
      </c>
      <c r="C5401" t="s">
        <v>10</v>
      </c>
      <c r="D5401" t="s">
        <v>10859</v>
      </c>
      <c r="E5401" t="s">
        <v>10860</v>
      </c>
      <c r="G5401" s="1">
        <v>13.07</v>
      </c>
    </row>
    <row r="5402" spans="1:7" ht="14.25" hidden="1" customHeight="1" x14ac:dyDescent="0.45">
      <c r="A5402" t="str">
        <f>_xlfn.XLOOKUP(B5402,Ingot!$H$12:$H$119,Ingot!$G$12:$G$119,"")</f>
        <v>Wood</v>
      </c>
      <c r="B5402" t="s">
        <v>10770</v>
      </c>
      <c r="C5402" t="s">
        <v>10</v>
      </c>
      <c r="D5402" t="s">
        <v>10861</v>
      </c>
      <c r="E5402" t="s">
        <v>10862</v>
      </c>
    </row>
    <row r="5403" spans="1:7" ht="14.25" hidden="1" customHeight="1" x14ac:dyDescent="0.45">
      <c r="A5403" t="str">
        <f>_xlfn.XLOOKUP(B5403,Ingot!$H$12:$H$119,Ingot!$G$12:$G$119,"")</f>
        <v>Wood</v>
      </c>
      <c r="B5403" t="s">
        <v>10770</v>
      </c>
      <c r="C5403" t="s">
        <v>10</v>
      </c>
      <c r="D5403" t="s">
        <v>10863</v>
      </c>
      <c r="E5403" t="s">
        <v>10864</v>
      </c>
    </row>
    <row r="5404" spans="1:7" ht="14.25" hidden="1" customHeight="1" x14ac:dyDescent="0.45">
      <c r="A5404" t="str">
        <f>_xlfn.XLOOKUP(B5404,Ingot!$H$12:$H$119,Ingot!$G$12:$G$119,"")</f>
        <v>Wood</v>
      </c>
      <c r="B5404" t="s">
        <v>10770</v>
      </c>
      <c r="C5404" t="s">
        <v>10</v>
      </c>
      <c r="D5404" t="s">
        <v>10865</v>
      </c>
      <c r="E5404" t="s">
        <v>10866</v>
      </c>
      <c r="G5404" s="1">
        <v>6.8</v>
      </c>
    </row>
    <row r="5405" spans="1:7" ht="14.25" hidden="1" customHeight="1" x14ac:dyDescent="0.45">
      <c r="A5405" t="str">
        <f>_xlfn.XLOOKUP(B5405,Ingot!$H$12:$H$119,Ingot!$G$12:$G$119,"")</f>
        <v>Wood</v>
      </c>
      <c r="B5405" t="s">
        <v>10770</v>
      </c>
      <c r="C5405" t="s">
        <v>10</v>
      </c>
      <c r="D5405" t="s">
        <v>10867</v>
      </c>
      <c r="E5405" t="s">
        <v>10868</v>
      </c>
      <c r="G5405" s="1">
        <v>6.88</v>
      </c>
    </row>
    <row r="5406" spans="1:7" ht="14.25" hidden="1" customHeight="1" x14ac:dyDescent="0.45">
      <c r="A5406" t="str">
        <f>_xlfn.XLOOKUP(B5406,Ingot!$H$12:$H$119,Ingot!$G$12:$G$119,"")</f>
        <v>Wood</v>
      </c>
      <c r="B5406" t="s">
        <v>10770</v>
      </c>
      <c r="C5406" t="s">
        <v>10</v>
      </c>
      <c r="D5406" t="s">
        <v>10869</v>
      </c>
      <c r="E5406" t="s">
        <v>10870</v>
      </c>
      <c r="G5406" s="1">
        <v>5.5</v>
      </c>
    </row>
    <row r="5407" spans="1:7" ht="14.25" hidden="1" customHeight="1" x14ac:dyDescent="0.45">
      <c r="A5407" t="str">
        <f>_xlfn.XLOOKUP(B5407,Ingot!$H$12:$H$119,Ingot!$G$12:$G$119,"")</f>
        <v>Wood</v>
      </c>
      <c r="B5407" t="s">
        <v>10770</v>
      </c>
      <c r="C5407" t="s">
        <v>10</v>
      </c>
      <c r="D5407" t="s">
        <v>10871</v>
      </c>
      <c r="E5407" t="s">
        <v>10872</v>
      </c>
      <c r="G5407" s="1">
        <v>2.4300000000000002</v>
      </c>
    </row>
    <row r="5408" spans="1:7" ht="14.25" hidden="1" customHeight="1" x14ac:dyDescent="0.45">
      <c r="A5408" t="str">
        <f>_xlfn.XLOOKUP(B5408,Ingot!$H$12:$H$119,Ingot!$G$12:$G$119,"")</f>
        <v>Wood</v>
      </c>
      <c r="B5408" t="s">
        <v>10770</v>
      </c>
      <c r="C5408" t="s">
        <v>10</v>
      </c>
      <c r="D5408" t="s">
        <v>10873</v>
      </c>
      <c r="E5408" t="s">
        <v>10874</v>
      </c>
      <c r="G5408" s="1">
        <v>6.96</v>
      </c>
    </row>
    <row r="5409" spans="1:7" ht="14.25" hidden="1" customHeight="1" x14ac:dyDescent="0.45">
      <c r="A5409" t="str">
        <f>_xlfn.XLOOKUP(B5409,Ingot!$H$12:$H$119,Ingot!$G$12:$G$119,"")</f>
        <v>Wood</v>
      </c>
      <c r="B5409" t="s">
        <v>10770</v>
      </c>
      <c r="C5409" t="s">
        <v>10</v>
      </c>
      <c r="D5409" t="s">
        <v>10875</v>
      </c>
      <c r="E5409" t="s">
        <v>10876</v>
      </c>
      <c r="G5409" s="1">
        <v>6.32</v>
      </c>
    </row>
    <row r="5410" spans="1:7" ht="14.25" hidden="1" customHeight="1" x14ac:dyDescent="0.45">
      <c r="A5410" t="str">
        <f>_xlfn.XLOOKUP(B5410,Ingot!$H$12:$H$119,Ingot!$G$12:$G$119,"")</f>
        <v>Wood</v>
      </c>
      <c r="B5410" t="s">
        <v>10770</v>
      </c>
      <c r="C5410" t="s">
        <v>10</v>
      </c>
      <c r="D5410" t="s">
        <v>10877</v>
      </c>
      <c r="E5410" t="s">
        <v>10878</v>
      </c>
      <c r="G5410" s="1">
        <v>6.88</v>
      </c>
    </row>
    <row r="5411" spans="1:7" ht="14.25" hidden="1" customHeight="1" x14ac:dyDescent="0.45">
      <c r="A5411" t="str">
        <f>_xlfn.XLOOKUP(B5411,Ingot!$H$12:$H$119,Ingot!$G$12:$G$119,"")</f>
        <v>Wood</v>
      </c>
      <c r="B5411" t="s">
        <v>10770</v>
      </c>
      <c r="C5411" t="s">
        <v>10</v>
      </c>
      <c r="D5411" t="s">
        <v>10879</v>
      </c>
      <c r="E5411" t="s">
        <v>10880</v>
      </c>
      <c r="G5411" s="1">
        <v>2.44</v>
      </c>
    </row>
    <row r="5412" spans="1:7" ht="14.25" hidden="1" customHeight="1" x14ac:dyDescent="0.45">
      <c r="A5412" t="str">
        <f>_xlfn.XLOOKUP(B5412,Ingot!$H$12:$H$119,Ingot!$G$12:$G$119,"")</f>
        <v>Wood</v>
      </c>
      <c r="B5412" t="s">
        <v>10770</v>
      </c>
      <c r="C5412" t="s">
        <v>10</v>
      </c>
      <c r="D5412" t="s">
        <v>10881</v>
      </c>
      <c r="E5412" t="s">
        <v>10882</v>
      </c>
    </row>
    <row r="5413" spans="1:7" ht="14.25" hidden="1" customHeight="1" x14ac:dyDescent="0.45">
      <c r="A5413" t="str">
        <f>_xlfn.XLOOKUP(B5413,Ingot!$H$12:$H$119,Ingot!$G$12:$G$119,"")</f>
        <v>Wood</v>
      </c>
      <c r="B5413" t="s">
        <v>10770</v>
      </c>
      <c r="C5413" t="s">
        <v>10</v>
      </c>
      <c r="D5413" t="s">
        <v>10883</v>
      </c>
      <c r="E5413" t="s">
        <v>10884</v>
      </c>
    </row>
    <row r="5414" spans="1:7" ht="14.25" hidden="1" customHeight="1" x14ac:dyDescent="0.45">
      <c r="A5414" t="str">
        <f>_xlfn.XLOOKUP(B5414,Ingot!$H$12:$H$119,Ingot!$G$12:$G$119,"")</f>
        <v>Wood</v>
      </c>
      <c r="B5414" t="s">
        <v>10770</v>
      </c>
      <c r="C5414" t="s">
        <v>10</v>
      </c>
      <c r="D5414" t="s">
        <v>10885</v>
      </c>
      <c r="E5414" t="s">
        <v>10886</v>
      </c>
      <c r="G5414" s="1">
        <v>3.11</v>
      </c>
    </row>
    <row r="5415" spans="1:7" ht="14.25" hidden="1" customHeight="1" x14ac:dyDescent="0.45">
      <c r="A5415" t="str">
        <f>_xlfn.XLOOKUP(B5415,Ingot!$H$12:$H$119,Ingot!$G$12:$G$119,"")</f>
        <v>Wood</v>
      </c>
      <c r="B5415" t="s">
        <v>10770</v>
      </c>
      <c r="C5415" t="s">
        <v>10</v>
      </c>
      <c r="D5415" t="s">
        <v>10887</v>
      </c>
      <c r="E5415" t="s">
        <v>10888</v>
      </c>
      <c r="G5415" s="1">
        <v>2.44</v>
      </c>
    </row>
    <row r="5416" spans="1:7" ht="14.25" hidden="1" customHeight="1" x14ac:dyDescent="0.45">
      <c r="A5416" t="str">
        <f>_xlfn.XLOOKUP(B5416,Ingot!$H$12:$H$119,Ingot!$G$12:$G$119,"")</f>
        <v>Wood</v>
      </c>
      <c r="B5416" t="s">
        <v>10770</v>
      </c>
      <c r="C5416" t="s">
        <v>10</v>
      </c>
      <c r="D5416" t="s">
        <v>10889</v>
      </c>
      <c r="E5416" t="s">
        <v>10890</v>
      </c>
      <c r="G5416" s="1">
        <v>8.61</v>
      </c>
    </row>
    <row r="5417" spans="1:7" ht="14.25" hidden="1" customHeight="1" x14ac:dyDescent="0.45">
      <c r="A5417" t="str">
        <f>_xlfn.XLOOKUP(B5417,Ingot!$H$12:$H$119,Ingot!$G$12:$G$119,"")</f>
        <v>Wood</v>
      </c>
      <c r="B5417" t="s">
        <v>10770</v>
      </c>
      <c r="C5417" t="s">
        <v>10</v>
      </c>
      <c r="D5417" t="s">
        <v>10891</v>
      </c>
      <c r="E5417" t="s">
        <v>10892</v>
      </c>
    </row>
    <row r="5418" spans="1:7" ht="14.25" hidden="1" customHeight="1" x14ac:dyDescent="0.45">
      <c r="A5418" t="str">
        <f>_xlfn.XLOOKUP(B5418,Ingot!$H$12:$H$119,Ingot!$G$12:$G$119,"")</f>
        <v>Wood</v>
      </c>
      <c r="B5418" t="s">
        <v>10770</v>
      </c>
      <c r="C5418" t="s">
        <v>10</v>
      </c>
      <c r="D5418" t="s">
        <v>10893</v>
      </c>
      <c r="E5418" t="s">
        <v>10894</v>
      </c>
      <c r="G5418" s="1">
        <v>3.21</v>
      </c>
    </row>
    <row r="5419" spans="1:7" ht="14.25" hidden="1" customHeight="1" x14ac:dyDescent="0.45">
      <c r="A5419" t="str">
        <f>_xlfn.XLOOKUP(B5419,Ingot!$H$12:$H$119,Ingot!$G$12:$G$119,"")</f>
        <v>Wood</v>
      </c>
      <c r="B5419" t="s">
        <v>10770</v>
      </c>
      <c r="C5419" t="s">
        <v>10</v>
      </c>
      <c r="D5419" t="s">
        <v>10895</v>
      </c>
      <c r="E5419" t="s">
        <v>10896</v>
      </c>
      <c r="G5419" s="1">
        <v>2.77</v>
      </c>
    </row>
    <row r="5420" spans="1:7" ht="14.25" hidden="1" customHeight="1" x14ac:dyDescent="0.45">
      <c r="A5420" t="str">
        <f>_xlfn.XLOOKUP(B5420,Ingot!$H$12:$H$119,Ingot!$G$12:$G$119,"")</f>
        <v>Wood</v>
      </c>
      <c r="B5420" t="s">
        <v>10770</v>
      </c>
      <c r="C5420" t="s">
        <v>10</v>
      </c>
      <c r="D5420" t="s">
        <v>10897</v>
      </c>
      <c r="E5420" t="s">
        <v>10898</v>
      </c>
      <c r="G5420" s="1">
        <v>4.8899999999999997</v>
      </c>
    </row>
    <row r="5421" spans="1:7" ht="14.25" hidden="1" customHeight="1" x14ac:dyDescent="0.45">
      <c r="A5421" t="str">
        <f>_xlfn.XLOOKUP(B5421,Ingot!$H$12:$H$119,Ingot!$G$12:$G$119,"")</f>
        <v>Wood</v>
      </c>
      <c r="B5421" t="s">
        <v>10770</v>
      </c>
      <c r="C5421" t="s">
        <v>10</v>
      </c>
      <c r="D5421" t="s">
        <v>10899</v>
      </c>
      <c r="E5421" t="s">
        <v>10900</v>
      </c>
      <c r="G5421" s="1">
        <v>1.76</v>
      </c>
    </row>
    <row r="5422" spans="1:7" ht="14.25" hidden="1" customHeight="1" x14ac:dyDescent="0.45">
      <c r="A5422" t="str">
        <f>_xlfn.XLOOKUP(B5422,Ingot!$H$12:$H$119,Ingot!$G$12:$G$119,"")</f>
        <v>Wood</v>
      </c>
      <c r="B5422" t="s">
        <v>10770</v>
      </c>
      <c r="C5422" t="s">
        <v>10</v>
      </c>
      <c r="D5422" t="s">
        <v>10901</v>
      </c>
      <c r="E5422" t="s">
        <v>10902</v>
      </c>
    </row>
    <row r="5423" spans="1:7" ht="14.25" hidden="1" customHeight="1" x14ac:dyDescent="0.45">
      <c r="A5423" t="str">
        <f>_xlfn.XLOOKUP(B5423,Ingot!$H$12:$H$119,Ingot!$G$12:$G$119,"")</f>
        <v>Wood</v>
      </c>
      <c r="B5423" t="s">
        <v>10770</v>
      </c>
      <c r="C5423" t="s">
        <v>10</v>
      </c>
      <c r="D5423" t="s">
        <v>10903</v>
      </c>
      <c r="E5423" t="s">
        <v>10904</v>
      </c>
      <c r="G5423" s="1">
        <v>8.57</v>
      </c>
    </row>
    <row r="5424" spans="1:7" ht="14.25" hidden="1" customHeight="1" x14ac:dyDescent="0.45">
      <c r="A5424" t="str">
        <f>_xlfn.XLOOKUP(B5424,Ingot!$H$12:$H$119,Ingot!$G$12:$G$119,"")</f>
        <v>Wood</v>
      </c>
      <c r="B5424" t="s">
        <v>10770</v>
      </c>
      <c r="C5424" t="s">
        <v>10</v>
      </c>
      <c r="D5424" t="s">
        <v>10905</v>
      </c>
      <c r="E5424" t="s">
        <v>10906</v>
      </c>
    </row>
    <row r="5425" spans="1:7" ht="14.25" hidden="1" customHeight="1" x14ac:dyDescent="0.45">
      <c r="A5425" t="str">
        <f>_xlfn.XLOOKUP(B5425,Ingot!$H$12:$H$119,Ingot!$G$12:$G$119,"")</f>
        <v>Wood</v>
      </c>
      <c r="B5425" t="s">
        <v>10770</v>
      </c>
      <c r="C5425" t="s">
        <v>10</v>
      </c>
      <c r="D5425" t="s">
        <v>10907</v>
      </c>
      <c r="E5425" t="s">
        <v>10908</v>
      </c>
      <c r="G5425" s="1">
        <v>3.56</v>
      </c>
    </row>
    <row r="5426" spans="1:7" ht="14.25" hidden="1" customHeight="1" x14ac:dyDescent="0.45">
      <c r="A5426" t="str">
        <f>_xlfn.XLOOKUP(B5426,Ingot!$H$12:$H$119,Ingot!$G$12:$G$119,"")</f>
        <v>Wood</v>
      </c>
      <c r="B5426" t="s">
        <v>10770</v>
      </c>
      <c r="C5426" t="s">
        <v>10</v>
      </c>
      <c r="D5426" t="s">
        <v>10909</v>
      </c>
      <c r="E5426" t="s">
        <v>10910</v>
      </c>
      <c r="G5426" s="1">
        <v>8.91</v>
      </c>
    </row>
    <row r="5427" spans="1:7" ht="14.25" hidden="1" customHeight="1" x14ac:dyDescent="0.45">
      <c r="A5427" t="str">
        <f>_xlfn.XLOOKUP(B5427,Ingot!$H$12:$H$119,Ingot!$G$12:$G$119,"")</f>
        <v>Wood</v>
      </c>
      <c r="B5427" t="s">
        <v>10770</v>
      </c>
      <c r="C5427" t="s">
        <v>10</v>
      </c>
      <c r="D5427" t="s">
        <v>10911</v>
      </c>
      <c r="E5427" t="s">
        <v>10912</v>
      </c>
      <c r="G5427" s="1">
        <v>11.02</v>
      </c>
    </row>
    <row r="5428" spans="1:7" ht="14.25" hidden="1" customHeight="1" x14ac:dyDescent="0.45">
      <c r="A5428" t="str">
        <f>_xlfn.XLOOKUP(B5428,Ingot!$H$12:$H$119,Ingot!$G$12:$G$119,"")</f>
        <v>Wood</v>
      </c>
      <c r="B5428" t="s">
        <v>10770</v>
      </c>
      <c r="C5428" t="s">
        <v>10</v>
      </c>
      <c r="D5428" t="s">
        <v>10913</v>
      </c>
      <c r="E5428" t="s">
        <v>10914</v>
      </c>
      <c r="G5428" s="1">
        <v>5.12</v>
      </c>
    </row>
    <row r="5429" spans="1:7" ht="14.25" hidden="1" customHeight="1" x14ac:dyDescent="0.45">
      <c r="A5429" t="str">
        <f>_xlfn.XLOOKUP(B5429,Ingot!$H$12:$H$119,Ingot!$G$12:$G$119,"")</f>
        <v>Wood</v>
      </c>
      <c r="B5429" t="s">
        <v>10770</v>
      </c>
      <c r="C5429" t="s">
        <v>10</v>
      </c>
      <c r="D5429" t="s">
        <v>10915</v>
      </c>
      <c r="E5429" t="s">
        <v>10916</v>
      </c>
      <c r="G5429" s="1">
        <v>4.41</v>
      </c>
    </row>
    <row r="5430" spans="1:7" ht="14.25" hidden="1" customHeight="1" x14ac:dyDescent="0.45">
      <c r="A5430" t="str">
        <f>_xlfn.XLOOKUP(B5430,Ingot!$H$12:$H$119,Ingot!$G$12:$G$119,"")</f>
        <v>Wood</v>
      </c>
      <c r="B5430" t="s">
        <v>10770</v>
      </c>
      <c r="C5430" t="s">
        <v>157</v>
      </c>
      <c r="D5430" t="s">
        <v>10917</v>
      </c>
      <c r="E5430" t="s">
        <v>10918</v>
      </c>
      <c r="G5430" s="1">
        <v>24</v>
      </c>
    </row>
    <row r="5431" spans="1:7" ht="14.25" hidden="1" customHeight="1" x14ac:dyDescent="0.45">
      <c r="A5431" t="str">
        <f>_xlfn.XLOOKUP(B5431,Ingot!$H$12:$H$119,Ingot!$G$12:$G$119,"")</f>
        <v>Wood</v>
      </c>
      <c r="B5431" t="s">
        <v>10770</v>
      </c>
      <c r="C5431" t="s">
        <v>157</v>
      </c>
      <c r="D5431" t="s">
        <v>10919</v>
      </c>
      <c r="E5431" t="s">
        <v>10920</v>
      </c>
      <c r="G5431" s="1">
        <v>5</v>
      </c>
    </row>
    <row r="5432" spans="1:7" ht="14.25" hidden="1" customHeight="1" x14ac:dyDescent="0.45">
      <c r="A5432" t="str">
        <f>_xlfn.XLOOKUP(B5432,Ingot!$H$12:$H$119,Ingot!$G$12:$G$119,"")</f>
        <v>Wood</v>
      </c>
      <c r="B5432" t="s">
        <v>10770</v>
      </c>
      <c r="C5432" t="s">
        <v>157</v>
      </c>
      <c r="D5432" t="s">
        <v>10921</v>
      </c>
      <c r="E5432" t="s">
        <v>10922</v>
      </c>
      <c r="G5432" s="1">
        <v>5</v>
      </c>
    </row>
    <row r="5433" spans="1:7" ht="14.25" hidden="1" customHeight="1" x14ac:dyDescent="0.45">
      <c r="A5433" t="str">
        <f>_xlfn.XLOOKUP(B5433,Ingot!$H$12:$H$119,Ingot!$G$12:$G$119,"")</f>
        <v>Wood</v>
      </c>
      <c r="B5433" t="s">
        <v>10770</v>
      </c>
      <c r="C5433" t="s">
        <v>157</v>
      </c>
      <c r="D5433" t="s">
        <v>10923</v>
      </c>
      <c r="E5433" t="s">
        <v>10924</v>
      </c>
      <c r="G5433" s="1">
        <v>5</v>
      </c>
    </row>
    <row r="5434" spans="1:7" ht="14.25" hidden="1" customHeight="1" x14ac:dyDescent="0.45">
      <c r="A5434" t="str">
        <f>_xlfn.XLOOKUP(B5434,Ingot!$H$12:$H$119,Ingot!$G$12:$G$119,"")</f>
        <v>Wood</v>
      </c>
      <c r="B5434" t="s">
        <v>10770</v>
      </c>
      <c r="C5434" t="s">
        <v>157</v>
      </c>
      <c r="D5434" t="s">
        <v>10925</v>
      </c>
      <c r="E5434" t="s">
        <v>10926</v>
      </c>
      <c r="G5434" s="1">
        <v>10</v>
      </c>
    </row>
    <row r="5435" spans="1:7" ht="14.25" hidden="1" customHeight="1" x14ac:dyDescent="0.45">
      <c r="A5435" t="str">
        <f>_xlfn.XLOOKUP(B5435,Ingot!$H$12:$H$119,Ingot!$G$12:$G$119,"")</f>
        <v>Wood</v>
      </c>
      <c r="B5435" t="s">
        <v>10770</v>
      </c>
      <c r="C5435" t="s">
        <v>157</v>
      </c>
      <c r="D5435" t="s">
        <v>10927</v>
      </c>
      <c r="E5435" t="s">
        <v>10928</v>
      </c>
      <c r="G5435" s="1">
        <v>20.8</v>
      </c>
    </row>
    <row r="5436" spans="1:7" ht="14.25" hidden="1" customHeight="1" x14ac:dyDescent="0.45">
      <c r="A5436" t="str">
        <f>_xlfn.XLOOKUP(B5436,Ingot!$H$12:$H$119,Ingot!$G$12:$G$119,"")</f>
        <v>Wood</v>
      </c>
      <c r="B5436" t="s">
        <v>10770</v>
      </c>
      <c r="C5436" t="s">
        <v>157</v>
      </c>
      <c r="D5436" t="s">
        <v>10929</v>
      </c>
      <c r="E5436" t="s">
        <v>10930</v>
      </c>
      <c r="G5436" s="1">
        <v>5</v>
      </c>
    </row>
    <row r="5437" spans="1:7" ht="14.25" hidden="1" customHeight="1" x14ac:dyDescent="0.45">
      <c r="A5437" t="str">
        <f>_xlfn.XLOOKUP(B5437,Ingot!$H$12:$H$119,Ingot!$G$12:$G$119,"")</f>
        <v>Wood</v>
      </c>
      <c r="B5437" t="s">
        <v>10770</v>
      </c>
      <c r="C5437" t="s">
        <v>157</v>
      </c>
      <c r="D5437" t="s">
        <v>10931</v>
      </c>
      <c r="E5437" t="s">
        <v>10932</v>
      </c>
      <c r="G5437" s="1">
        <v>5</v>
      </c>
    </row>
    <row r="5438" spans="1:7" ht="14.25" hidden="1" customHeight="1" x14ac:dyDescent="0.45">
      <c r="A5438" t="str">
        <f>_xlfn.XLOOKUP(B5438,Ingot!$H$12:$H$119,Ingot!$G$12:$G$119,"")</f>
        <v>Wood</v>
      </c>
      <c r="B5438" t="s">
        <v>10770</v>
      </c>
      <c r="C5438" t="s">
        <v>157</v>
      </c>
      <c r="D5438" t="s">
        <v>10933</v>
      </c>
      <c r="E5438" t="s">
        <v>10934</v>
      </c>
      <c r="G5438" s="1">
        <v>5</v>
      </c>
    </row>
    <row r="5439" spans="1:7" ht="14.25" hidden="1" customHeight="1" x14ac:dyDescent="0.45">
      <c r="A5439" t="str">
        <f>_xlfn.XLOOKUP(B5439,Ingot!$H$12:$H$119,Ingot!$G$12:$G$119,"")</f>
        <v>Wood</v>
      </c>
      <c r="B5439" t="s">
        <v>10770</v>
      </c>
      <c r="C5439" t="s">
        <v>157</v>
      </c>
      <c r="D5439" t="s">
        <v>10935</v>
      </c>
      <c r="E5439" t="s">
        <v>10936</v>
      </c>
      <c r="G5439" s="1">
        <v>10</v>
      </c>
    </row>
    <row r="5440" spans="1:7" ht="14.25" hidden="1" customHeight="1" x14ac:dyDescent="0.45">
      <c r="A5440" t="str">
        <f>_xlfn.XLOOKUP(B5440,Ingot!$H$12:$H$119,Ingot!$G$12:$G$119,"")</f>
        <v>Wood</v>
      </c>
      <c r="B5440" t="s">
        <v>10770</v>
      </c>
      <c r="C5440" t="s">
        <v>157</v>
      </c>
      <c r="D5440" t="s">
        <v>10937</v>
      </c>
      <c r="E5440" t="s">
        <v>10938</v>
      </c>
      <c r="G5440" s="1">
        <v>20</v>
      </c>
    </row>
    <row r="5441" spans="1:7" ht="14.25" hidden="1" customHeight="1" x14ac:dyDescent="0.45">
      <c r="A5441" t="str">
        <f>_xlfn.XLOOKUP(B5441,Ingot!$H$12:$H$119,Ingot!$G$12:$G$119,"")</f>
        <v>Wood</v>
      </c>
      <c r="B5441" t="s">
        <v>10770</v>
      </c>
      <c r="C5441" t="s">
        <v>157</v>
      </c>
      <c r="D5441" t="s">
        <v>10939</v>
      </c>
      <c r="E5441" t="s">
        <v>10940</v>
      </c>
      <c r="G5441" s="1">
        <v>5</v>
      </c>
    </row>
    <row r="5442" spans="1:7" ht="14.25" hidden="1" customHeight="1" x14ac:dyDescent="0.45">
      <c r="A5442" t="str">
        <f>_xlfn.XLOOKUP(B5442,Ingot!$H$12:$H$119,Ingot!$G$12:$G$119,"")</f>
        <v>Wood</v>
      </c>
      <c r="B5442" t="s">
        <v>10770</v>
      </c>
      <c r="C5442" t="s">
        <v>157</v>
      </c>
      <c r="D5442" t="s">
        <v>10941</v>
      </c>
      <c r="E5442" t="s">
        <v>10942</v>
      </c>
      <c r="G5442" s="1">
        <v>5</v>
      </c>
    </row>
    <row r="5443" spans="1:7" ht="14.25" hidden="1" customHeight="1" x14ac:dyDescent="0.45">
      <c r="A5443" t="str">
        <f>_xlfn.XLOOKUP(B5443,Ingot!$H$12:$H$119,Ingot!$G$12:$G$119,"")</f>
        <v>Wood</v>
      </c>
      <c r="B5443" t="s">
        <v>10770</v>
      </c>
      <c r="C5443" t="s">
        <v>157</v>
      </c>
      <c r="D5443" t="s">
        <v>10943</v>
      </c>
      <c r="E5443" t="s">
        <v>10944</v>
      </c>
      <c r="G5443" s="1">
        <v>5</v>
      </c>
    </row>
    <row r="5444" spans="1:7" ht="14.25" hidden="1" customHeight="1" x14ac:dyDescent="0.45">
      <c r="A5444" t="str">
        <f>_xlfn.XLOOKUP(B5444,Ingot!$H$12:$H$119,Ingot!$G$12:$G$119,"")</f>
        <v>Wood</v>
      </c>
      <c r="B5444" t="s">
        <v>10770</v>
      </c>
      <c r="C5444" t="s">
        <v>157</v>
      </c>
      <c r="D5444" t="s">
        <v>10945</v>
      </c>
      <c r="E5444" t="s">
        <v>10946</v>
      </c>
      <c r="G5444" s="1">
        <v>10</v>
      </c>
    </row>
    <row r="5445" spans="1:7" ht="14.25" hidden="1" customHeight="1" x14ac:dyDescent="0.45">
      <c r="A5445" t="str">
        <f>_xlfn.XLOOKUP(B5445,Ingot!$H$12:$H$119,Ingot!$G$12:$G$119,"")</f>
        <v>Wood</v>
      </c>
      <c r="B5445" t="s">
        <v>10770</v>
      </c>
      <c r="C5445" t="s">
        <v>157</v>
      </c>
      <c r="D5445" t="s">
        <v>10947</v>
      </c>
      <c r="E5445" t="s">
        <v>10948</v>
      </c>
      <c r="G5445" s="1">
        <v>22</v>
      </c>
    </row>
    <row r="5446" spans="1:7" ht="14.25" hidden="1" customHeight="1" x14ac:dyDescent="0.45">
      <c r="A5446" t="str">
        <f>_xlfn.XLOOKUP(B5446,Ingot!$H$12:$H$119,Ingot!$G$12:$G$119,"")</f>
        <v>Wood</v>
      </c>
      <c r="B5446" t="s">
        <v>10770</v>
      </c>
      <c r="C5446" t="s">
        <v>157</v>
      </c>
      <c r="D5446" t="s">
        <v>10949</v>
      </c>
      <c r="E5446" t="s">
        <v>10950</v>
      </c>
      <c r="G5446" s="1">
        <v>5</v>
      </c>
    </row>
    <row r="5447" spans="1:7" ht="14.25" hidden="1" customHeight="1" x14ac:dyDescent="0.45">
      <c r="A5447" t="str">
        <f>_xlfn.XLOOKUP(B5447,Ingot!$H$12:$H$119,Ingot!$G$12:$G$119,"")</f>
        <v>Wood</v>
      </c>
      <c r="B5447" t="s">
        <v>10770</v>
      </c>
      <c r="C5447" t="s">
        <v>157</v>
      </c>
      <c r="D5447" t="s">
        <v>10951</v>
      </c>
      <c r="E5447" t="s">
        <v>10952</v>
      </c>
      <c r="G5447" s="1">
        <v>5</v>
      </c>
    </row>
    <row r="5448" spans="1:7" ht="14.25" hidden="1" customHeight="1" x14ac:dyDescent="0.45">
      <c r="A5448" t="str">
        <f>_xlfn.XLOOKUP(B5448,Ingot!$H$12:$H$119,Ingot!$G$12:$G$119,"")</f>
        <v>Wood</v>
      </c>
      <c r="B5448" t="s">
        <v>10770</v>
      </c>
      <c r="C5448" t="s">
        <v>157</v>
      </c>
      <c r="D5448" t="s">
        <v>10953</v>
      </c>
      <c r="E5448" t="s">
        <v>10954</v>
      </c>
      <c r="G5448" s="1">
        <v>5</v>
      </c>
    </row>
    <row r="5449" spans="1:7" ht="14.25" hidden="1" customHeight="1" x14ac:dyDescent="0.45">
      <c r="A5449" t="str">
        <f>_xlfn.XLOOKUP(B5449,Ingot!$H$12:$H$119,Ingot!$G$12:$G$119,"")</f>
        <v>Wood</v>
      </c>
      <c r="B5449" t="s">
        <v>10770</v>
      </c>
      <c r="C5449" t="s">
        <v>157</v>
      </c>
      <c r="D5449" t="s">
        <v>10955</v>
      </c>
      <c r="E5449" t="s">
        <v>10956</v>
      </c>
      <c r="G5449" s="1">
        <v>10</v>
      </c>
    </row>
    <row r="5450" spans="1:7" ht="14.25" hidden="1" customHeight="1" x14ac:dyDescent="0.45">
      <c r="A5450" t="str">
        <f>_xlfn.XLOOKUP(B5450,Ingot!$H$12:$H$119,Ingot!$G$12:$G$119,"")</f>
        <v>Wood</v>
      </c>
      <c r="B5450" t="s">
        <v>10770</v>
      </c>
      <c r="C5450" t="s">
        <v>157</v>
      </c>
      <c r="D5450" t="s">
        <v>10957</v>
      </c>
      <c r="E5450" t="s">
        <v>10958</v>
      </c>
      <c r="G5450" s="1">
        <v>23</v>
      </c>
    </row>
    <row r="5451" spans="1:7" ht="14.25" hidden="1" customHeight="1" x14ac:dyDescent="0.45">
      <c r="A5451" t="str">
        <f>_xlfn.XLOOKUP(B5451,Ingot!$H$12:$H$119,Ingot!$G$12:$G$119,"")</f>
        <v>Wood</v>
      </c>
      <c r="B5451" t="s">
        <v>10770</v>
      </c>
      <c r="C5451" t="s">
        <v>157</v>
      </c>
      <c r="D5451" t="s">
        <v>10959</v>
      </c>
      <c r="E5451" t="s">
        <v>10960</v>
      </c>
      <c r="G5451" s="1">
        <v>5</v>
      </c>
    </row>
    <row r="5452" spans="1:7" ht="14.25" hidden="1" customHeight="1" x14ac:dyDescent="0.45">
      <c r="A5452" t="str">
        <f>_xlfn.XLOOKUP(B5452,Ingot!$H$12:$H$119,Ingot!$G$12:$G$119,"")</f>
        <v>Wood</v>
      </c>
      <c r="B5452" t="s">
        <v>10770</v>
      </c>
      <c r="C5452" t="s">
        <v>157</v>
      </c>
      <c r="D5452" t="s">
        <v>10961</v>
      </c>
      <c r="E5452" t="s">
        <v>10962</v>
      </c>
      <c r="G5452" s="1">
        <v>5</v>
      </c>
    </row>
    <row r="5453" spans="1:7" ht="14.25" hidden="1" customHeight="1" x14ac:dyDescent="0.45">
      <c r="A5453" t="str">
        <f>_xlfn.XLOOKUP(B5453,Ingot!$H$12:$H$119,Ingot!$G$12:$G$119,"")</f>
        <v>Wood</v>
      </c>
      <c r="B5453" t="s">
        <v>10770</v>
      </c>
      <c r="C5453" t="s">
        <v>157</v>
      </c>
      <c r="D5453" t="s">
        <v>10963</v>
      </c>
      <c r="E5453" t="s">
        <v>10964</v>
      </c>
      <c r="G5453" s="1">
        <v>5</v>
      </c>
    </row>
    <row r="5454" spans="1:7" ht="14.25" hidden="1" customHeight="1" x14ac:dyDescent="0.45">
      <c r="A5454" t="str">
        <f>_xlfn.XLOOKUP(B5454,Ingot!$H$12:$H$119,Ingot!$G$12:$G$119,"")</f>
        <v>Wood</v>
      </c>
      <c r="B5454" t="s">
        <v>10770</v>
      </c>
      <c r="C5454" t="s">
        <v>157</v>
      </c>
      <c r="D5454" t="s">
        <v>10965</v>
      </c>
      <c r="E5454" t="s">
        <v>10966</v>
      </c>
      <c r="G5454" s="1">
        <v>10</v>
      </c>
    </row>
    <row r="5455" spans="1:7" ht="14.25" hidden="1" customHeight="1" x14ac:dyDescent="0.45">
      <c r="A5455" t="str">
        <f>_xlfn.XLOOKUP(B5455,Ingot!$H$12:$H$119,Ingot!$G$12:$G$119,"")</f>
        <v>Wood</v>
      </c>
      <c r="B5455" t="s">
        <v>10770</v>
      </c>
      <c r="C5455" t="s">
        <v>157</v>
      </c>
      <c r="D5455" t="s">
        <v>10967</v>
      </c>
      <c r="E5455" t="s">
        <v>10968</v>
      </c>
      <c r="G5455" s="1">
        <v>26.8</v>
      </c>
    </row>
    <row r="5456" spans="1:7" ht="14.25" hidden="1" customHeight="1" x14ac:dyDescent="0.45">
      <c r="A5456" t="str">
        <f>_xlfn.XLOOKUP(B5456,Ingot!$H$12:$H$119,Ingot!$G$12:$G$119,"")</f>
        <v>Wood</v>
      </c>
      <c r="B5456" t="s">
        <v>10770</v>
      </c>
      <c r="C5456" t="s">
        <v>157</v>
      </c>
      <c r="D5456" t="s">
        <v>10969</v>
      </c>
      <c r="E5456" t="s">
        <v>10970</v>
      </c>
      <c r="G5456" s="1">
        <v>5.36</v>
      </c>
    </row>
    <row r="5457" spans="1:7" ht="14.25" hidden="1" customHeight="1" x14ac:dyDescent="0.45">
      <c r="A5457" t="str">
        <f>_xlfn.XLOOKUP(B5457,Ingot!$H$12:$H$119,Ingot!$G$12:$G$119,"")</f>
        <v>Wood</v>
      </c>
      <c r="B5457" t="s">
        <v>10770</v>
      </c>
      <c r="C5457" t="s">
        <v>157</v>
      </c>
      <c r="D5457" t="s">
        <v>10971</v>
      </c>
      <c r="E5457" t="s">
        <v>10972</v>
      </c>
      <c r="G5457" s="1">
        <v>5.36</v>
      </c>
    </row>
    <row r="5458" spans="1:7" ht="14.25" hidden="1" customHeight="1" x14ac:dyDescent="0.45">
      <c r="A5458" t="str">
        <f>_xlfn.XLOOKUP(B5458,Ingot!$H$12:$H$119,Ingot!$G$12:$G$119,"")</f>
        <v>Wood</v>
      </c>
      <c r="B5458" t="s">
        <v>10770</v>
      </c>
      <c r="C5458" t="s">
        <v>157</v>
      </c>
      <c r="D5458" t="s">
        <v>10973</v>
      </c>
      <c r="E5458" t="s">
        <v>10974</v>
      </c>
      <c r="G5458" s="1">
        <v>5</v>
      </c>
    </row>
    <row r="5459" spans="1:7" ht="14.25" hidden="1" customHeight="1" x14ac:dyDescent="0.45">
      <c r="A5459" t="str">
        <f>_xlfn.XLOOKUP(B5459,Ingot!$H$12:$H$119,Ingot!$G$12:$G$119,"")</f>
        <v>Wood</v>
      </c>
      <c r="B5459" t="s">
        <v>10770</v>
      </c>
      <c r="C5459" t="s">
        <v>157</v>
      </c>
      <c r="D5459" t="s">
        <v>10975</v>
      </c>
      <c r="E5459" t="s">
        <v>10976</v>
      </c>
      <c r="G5459" s="1">
        <v>10</v>
      </c>
    </row>
    <row r="5460" spans="1:7" ht="14.25" hidden="1" customHeight="1" x14ac:dyDescent="0.45">
      <c r="A5460" t="str">
        <f>_xlfn.XLOOKUP(B5460,Ingot!$H$12:$H$119,Ingot!$G$12:$G$119,"")</f>
        <v>Wood</v>
      </c>
      <c r="B5460" t="s">
        <v>10770</v>
      </c>
      <c r="C5460" t="s">
        <v>157</v>
      </c>
      <c r="D5460" t="s">
        <v>10977</v>
      </c>
      <c r="E5460" t="s">
        <v>10978</v>
      </c>
      <c r="G5460" s="1">
        <v>25.5</v>
      </c>
    </row>
    <row r="5461" spans="1:7" ht="14.25" hidden="1" customHeight="1" x14ac:dyDescent="0.45">
      <c r="A5461" t="str">
        <f>_xlfn.XLOOKUP(B5461,Ingot!$H$12:$H$119,Ingot!$G$12:$G$119,"")</f>
        <v>Wood</v>
      </c>
      <c r="B5461" t="s">
        <v>10770</v>
      </c>
      <c r="C5461" t="s">
        <v>157</v>
      </c>
      <c r="D5461" t="s">
        <v>10979</v>
      </c>
      <c r="E5461" t="s">
        <v>10980</v>
      </c>
      <c r="G5461" s="1">
        <v>5.0999999999999996</v>
      </c>
    </row>
    <row r="5462" spans="1:7" ht="14.25" hidden="1" customHeight="1" x14ac:dyDescent="0.45">
      <c r="A5462" t="str">
        <f>_xlfn.XLOOKUP(B5462,Ingot!$H$12:$H$119,Ingot!$G$12:$G$119,"")</f>
        <v>Wood</v>
      </c>
      <c r="B5462" t="s">
        <v>10770</v>
      </c>
      <c r="C5462" t="s">
        <v>157</v>
      </c>
      <c r="D5462" t="s">
        <v>10981</v>
      </c>
      <c r="E5462" t="s">
        <v>10982</v>
      </c>
      <c r="G5462" s="1">
        <v>5.0999999999999996</v>
      </c>
    </row>
    <row r="5463" spans="1:7" ht="14.25" hidden="1" customHeight="1" x14ac:dyDescent="0.45">
      <c r="A5463" t="str">
        <f>_xlfn.XLOOKUP(B5463,Ingot!$H$12:$H$119,Ingot!$G$12:$G$119,"")</f>
        <v>Wood</v>
      </c>
      <c r="B5463" t="s">
        <v>10770</v>
      </c>
      <c r="C5463" t="s">
        <v>157</v>
      </c>
      <c r="D5463" t="s">
        <v>10983</v>
      </c>
      <c r="E5463" t="s">
        <v>10984</v>
      </c>
      <c r="G5463" s="1">
        <v>5</v>
      </c>
    </row>
    <row r="5464" spans="1:7" ht="14.25" hidden="1" customHeight="1" x14ac:dyDescent="0.45">
      <c r="A5464" t="str">
        <f>_xlfn.XLOOKUP(B5464,Ingot!$H$12:$H$119,Ingot!$G$12:$G$119,"")</f>
        <v>Wood</v>
      </c>
      <c r="B5464" t="s">
        <v>10770</v>
      </c>
      <c r="C5464" t="s">
        <v>157</v>
      </c>
      <c r="D5464" t="s">
        <v>10985</v>
      </c>
      <c r="E5464" t="s">
        <v>10986</v>
      </c>
      <c r="G5464" s="1">
        <v>10</v>
      </c>
    </row>
    <row r="5465" spans="1:7" ht="14.25" hidden="1" customHeight="1" x14ac:dyDescent="0.45">
      <c r="A5465" t="str">
        <f>_xlfn.XLOOKUP(B5465,Ingot!$H$12:$H$119,Ingot!$G$12:$G$119,"")</f>
        <v>Wood</v>
      </c>
      <c r="B5465" t="s">
        <v>10770</v>
      </c>
      <c r="C5465" t="s">
        <v>157</v>
      </c>
      <c r="D5465" t="s">
        <v>10987</v>
      </c>
      <c r="E5465" t="s">
        <v>10988</v>
      </c>
      <c r="G5465" s="1">
        <v>19.2</v>
      </c>
    </row>
    <row r="5466" spans="1:7" ht="14.25" hidden="1" customHeight="1" x14ac:dyDescent="0.45">
      <c r="A5466" t="str">
        <f>_xlfn.XLOOKUP(B5466,Ingot!$H$12:$H$119,Ingot!$G$12:$G$119,"")</f>
        <v>Wood</v>
      </c>
      <c r="B5466" t="s">
        <v>10770</v>
      </c>
      <c r="C5466" t="s">
        <v>157</v>
      </c>
      <c r="D5466" t="s">
        <v>10989</v>
      </c>
      <c r="E5466" t="s">
        <v>10990</v>
      </c>
      <c r="G5466" s="1">
        <v>5</v>
      </c>
    </row>
    <row r="5467" spans="1:7" ht="14.25" hidden="1" customHeight="1" x14ac:dyDescent="0.45">
      <c r="A5467" t="str">
        <f>_xlfn.XLOOKUP(B5467,Ingot!$H$12:$H$119,Ingot!$G$12:$G$119,"")</f>
        <v>Wood</v>
      </c>
      <c r="B5467" t="s">
        <v>10770</v>
      </c>
      <c r="C5467" t="s">
        <v>157</v>
      </c>
      <c r="D5467" t="s">
        <v>10991</v>
      </c>
      <c r="E5467" t="s">
        <v>10992</v>
      </c>
      <c r="G5467" s="1">
        <v>5</v>
      </c>
    </row>
    <row r="5468" spans="1:7" ht="14.25" hidden="1" customHeight="1" x14ac:dyDescent="0.45">
      <c r="A5468" t="str">
        <f>_xlfn.XLOOKUP(B5468,Ingot!$H$12:$H$119,Ingot!$G$12:$G$119,"")</f>
        <v>Wood</v>
      </c>
      <c r="B5468" t="s">
        <v>10770</v>
      </c>
      <c r="C5468" t="s">
        <v>157</v>
      </c>
      <c r="D5468" t="s">
        <v>10993</v>
      </c>
      <c r="E5468" t="s">
        <v>10994</v>
      </c>
      <c r="G5468" s="1">
        <v>5</v>
      </c>
    </row>
    <row r="5469" spans="1:7" ht="14.25" hidden="1" customHeight="1" x14ac:dyDescent="0.45">
      <c r="A5469" t="str">
        <f>_xlfn.XLOOKUP(B5469,Ingot!$H$12:$H$119,Ingot!$G$12:$G$119,"")</f>
        <v>Wood</v>
      </c>
      <c r="B5469" t="s">
        <v>10770</v>
      </c>
      <c r="C5469" t="s">
        <v>157</v>
      </c>
      <c r="D5469" t="s">
        <v>10995</v>
      </c>
      <c r="E5469" t="s">
        <v>10996</v>
      </c>
      <c r="G5469" s="1">
        <v>10</v>
      </c>
    </row>
    <row r="5470" spans="1:7" ht="14.25" hidden="1" customHeight="1" x14ac:dyDescent="0.45">
      <c r="A5470" t="str">
        <f>_xlfn.XLOOKUP(B5470,Ingot!$H$12:$H$119,Ingot!$G$12:$G$119,"")</f>
        <v>Wood</v>
      </c>
      <c r="B5470" t="s">
        <v>10770</v>
      </c>
      <c r="C5470" t="s">
        <v>239</v>
      </c>
      <c r="D5470" t="s">
        <v>10997</v>
      </c>
      <c r="E5470" t="s">
        <v>10998</v>
      </c>
    </row>
    <row r="5471" spans="1:7" ht="14.25" hidden="1" customHeight="1" x14ac:dyDescent="0.45">
      <c r="A5471" t="str">
        <f>_xlfn.XLOOKUP(B5471,Ingot!$H$12:$H$119,Ingot!$G$12:$G$119,"")</f>
        <v>Wood</v>
      </c>
      <c r="B5471" t="s">
        <v>10770</v>
      </c>
      <c r="C5471" t="s">
        <v>239</v>
      </c>
      <c r="D5471" t="s">
        <v>10999</v>
      </c>
      <c r="E5471" t="s">
        <v>11000</v>
      </c>
    </row>
    <row r="5472" spans="1:7" ht="14.25" hidden="1" customHeight="1" x14ac:dyDescent="0.45">
      <c r="A5472" t="str">
        <f>_xlfn.XLOOKUP(B5472,Ingot!$H$12:$H$119,Ingot!$G$12:$G$119,"")</f>
        <v>Wood</v>
      </c>
      <c r="B5472" t="s">
        <v>10770</v>
      </c>
      <c r="C5472" t="s">
        <v>239</v>
      </c>
      <c r="D5472" t="s">
        <v>11001</v>
      </c>
      <c r="E5472" t="s">
        <v>11002</v>
      </c>
    </row>
    <row r="5473" spans="1:7" ht="14.25" hidden="1" customHeight="1" x14ac:dyDescent="0.45">
      <c r="A5473" t="str">
        <f>_xlfn.XLOOKUP(B5473,Ingot!$H$12:$H$119,Ingot!$G$12:$G$119,"")</f>
        <v>Wood</v>
      </c>
      <c r="B5473" t="s">
        <v>10770</v>
      </c>
      <c r="C5473" t="s">
        <v>239</v>
      </c>
      <c r="D5473" t="s">
        <v>11003</v>
      </c>
      <c r="E5473" t="s">
        <v>11004</v>
      </c>
    </row>
    <row r="5474" spans="1:7" ht="14.25" hidden="1" customHeight="1" x14ac:dyDescent="0.45">
      <c r="A5474" t="str">
        <f>_xlfn.XLOOKUP(B5474,Ingot!$H$12:$H$119,Ingot!$G$12:$G$119,"")</f>
        <v>Wood</v>
      </c>
      <c r="B5474" t="s">
        <v>10770</v>
      </c>
      <c r="C5474" t="s">
        <v>239</v>
      </c>
      <c r="D5474" t="s">
        <v>11005</v>
      </c>
      <c r="E5474" t="s">
        <v>11006</v>
      </c>
    </row>
    <row r="5475" spans="1:7" ht="14.25" hidden="1" customHeight="1" x14ac:dyDescent="0.45">
      <c r="A5475" t="str">
        <f>_xlfn.XLOOKUP(B5475,Ingot!$H$12:$H$119,Ingot!$G$12:$G$119,"")</f>
        <v>Wood</v>
      </c>
      <c r="B5475" t="s">
        <v>10770</v>
      </c>
      <c r="C5475" t="s">
        <v>239</v>
      </c>
      <c r="D5475" t="s">
        <v>11007</v>
      </c>
      <c r="E5475" t="s">
        <v>11008</v>
      </c>
    </row>
    <row r="5476" spans="1:7" ht="14.25" hidden="1" customHeight="1" x14ac:dyDescent="0.45">
      <c r="A5476" t="str">
        <f>_xlfn.XLOOKUP(B5476,Ingot!$H$12:$H$119,Ingot!$G$12:$G$119,"")</f>
        <v>Wood</v>
      </c>
      <c r="B5476" t="s">
        <v>11009</v>
      </c>
      <c r="C5476" t="s">
        <v>10</v>
      </c>
      <c r="D5476" t="s">
        <v>11010</v>
      </c>
      <c r="E5476" t="s">
        <v>11011</v>
      </c>
      <c r="G5476" s="1">
        <v>0.08</v>
      </c>
    </row>
    <row r="5477" spans="1:7" ht="14.25" hidden="1" customHeight="1" x14ac:dyDescent="0.45">
      <c r="A5477" t="str">
        <f>_xlfn.XLOOKUP(B5477,Ingot!$H$12:$H$119,Ingot!$G$12:$G$119,"")</f>
        <v>Wood</v>
      </c>
      <c r="B5477" t="s">
        <v>11009</v>
      </c>
      <c r="C5477" t="s">
        <v>10</v>
      </c>
      <c r="D5477" t="s">
        <v>11012</v>
      </c>
      <c r="E5477" t="s">
        <v>11013</v>
      </c>
      <c r="G5477" s="1">
        <v>9.9</v>
      </c>
    </row>
    <row r="5478" spans="1:7" ht="14.25" hidden="1" customHeight="1" x14ac:dyDescent="0.45">
      <c r="A5478" t="str">
        <f>_xlfn.XLOOKUP(B5478,Ingot!$H$12:$H$119,Ingot!$G$12:$G$119,"")</f>
        <v>Wood</v>
      </c>
      <c r="B5478" t="s">
        <v>11009</v>
      </c>
      <c r="C5478" t="s">
        <v>10</v>
      </c>
      <c r="D5478" t="s">
        <v>11014</v>
      </c>
      <c r="E5478" t="s">
        <v>11015</v>
      </c>
      <c r="G5478" s="1">
        <v>5.66</v>
      </c>
    </row>
    <row r="5479" spans="1:7" ht="14.25" hidden="1" customHeight="1" x14ac:dyDescent="0.45">
      <c r="A5479" t="str">
        <f>_xlfn.XLOOKUP(B5479,Ingot!$H$12:$H$119,Ingot!$G$12:$G$119,"")</f>
        <v>Wood</v>
      </c>
      <c r="B5479" t="s">
        <v>11009</v>
      </c>
      <c r="C5479" t="s">
        <v>10</v>
      </c>
      <c r="D5479" t="s">
        <v>11016</v>
      </c>
      <c r="E5479" t="s">
        <v>11017</v>
      </c>
      <c r="G5479" s="1">
        <v>3.3</v>
      </c>
    </row>
    <row r="5480" spans="1:7" ht="14.25" hidden="1" customHeight="1" x14ac:dyDescent="0.45">
      <c r="A5480" t="str">
        <f>_xlfn.XLOOKUP(B5480,Ingot!$H$12:$H$119,Ingot!$G$12:$G$119,"")</f>
        <v>Wood</v>
      </c>
      <c r="B5480" t="s">
        <v>11009</v>
      </c>
      <c r="C5480" t="s">
        <v>10</v>
      </c>
      <c r="D5480" t="s">
        <v>11018</v>
      </c>
      <c r="E5480" t="s">
        <v>11019</v>
      </c>
      <c r="G5480" s="1">
        <v>0.66</v>
      </c>
    </row>
    <row r="5481" spans="1:7" ht="14.25" hidden="1" customHeight="1" x14ac:dyDescent="0.45">
      <c r="A5481" t="str">
        <f>_xlfn.XLOOKUP(B5481,Ingot!$H$12:$H$119,Ingot!$G$12:$G$119,"")</f>
        <v>Wood</v>
      </c>
      <c r="B5481" t="s">
        <v>11009</v>
      </c>
      <c r="C5481" t="s">
        <v>10</v>
      </c>
      <c r="D5481" t="s">
        <v>11020</v>
      </c>
      <c r="E5481" t="s">
        <v>11021</v>
      </c>
      <c r="G5481" s="1">
        <v>0.04</v>
      </c>
    </row>
    <row r="5482" spans="1:7" ht="14.25" hidden="1" customHeight="1" x14ac:dyDescent="0.45">
      <c r="A5482" t="str">
        <f>_xlfn.XLOOKUP(B5482,Ingot!$H$12:$H$119,Ingot!$G$12:$G$119,"")</f>
        <v>Wood</v>
      </c>
      <c r="B5482" t="s">
        <v>11009</v>
      </c>
      <c r="C5482" t="s">
        <v>10</v>
      </c>
      <c r="D5482" t="s">
        <v>11022</v>
      </c>
      <c r="E5482" t="s">
        <v>11023</v>
      </c>
      <c r="G5482" s="1">
        <v>0.33</v>
      </c>
    </row>
    <row r="5483" spans="1:7" ht="14.25" hidden="1" customHeight="1" x14ac:dyDescent="0.45">
      <c r="A5483" t="str">
        <f>_xlfn.XLOOKUP(B5483,Ingot!$H$12:$H$119,Ingot!$G$12:$G$119,"")</f>
        <v>Wood</v>
      </c>
      <c r="B5483" t="s">
        <v>11009</v>
      </c>
      <c r="C5483" t="s">
        <v>10</v>
      </c>
      <c r="D5483" t="s">
        <v>11024</v>
      </c>
      <c r="E5483" t="s">
        <v>11025</v>
      </c>
    </row>
    <row r="5484" spans="1:7" ht="14.25" hidden="1" customHeight="1" x14ac:dyDescent="0.45">
      <c r="A5484" t="str">
        <f>_xlfn.XLOOKUP(B5484,Ingot!$H$12:$H$119,Ingot!$G$12:$G$119,"")</f>
        <v>Wood</v>
      </c>
      <c r="B5484" t="s">
        <v>11009</v>
      </c>
      <c r="C5484" t="s">
        <v>10</v>
      </c>
      <c r="D5484" t="s">
        <v>11026</v>
      </c>
      <c r="E5484" t="s">
        <v>11027</v>
      </c>
      <c r="G5484" s="1">
        <v>0.05</v>
      </c>
    </row>
    <row r="5485" spans="1:7" ht="14.25" hidden="1" customHeight="1" x14ac:dyDescent="0.45">
      <c r="A5485" t="str">
        <f>_xlfn.XLOOKUP(B5485,Ingot!$H$12:$H$119,Ingot!$G$12:$G$119,"")</f>
        <v>Wood</v>
      </c>
      <c r="B5485" t="s">
        <v>11009</v>
      </c>
      <c r="C5485" t="s">
        <v>10</v>
      </c>
      <c r="D5485" t="s">
        <v>11028</v>
      </c>
      <c r="E5485" t="s">
        <v>11029</v>
      </c>
      <c r="G5485" s="1">
        <v>0.66</v>
      </c>
    </row>
    <row r="5486" spans="1:7" ht="14.25" hidden="1" customHeight="1" x14ac:dyDescent="0.45">
      <c r="A5486" t="str">
        <f>_xlfn.XLOOKUP(B5486,Ingot!$H$12:$H$119,Ingot!$G$12:$G$119,"")</f>
        <v>Wood</v>
      </c>
      <c r="B5486" t="s">
        <v>11009</v>
      </c>
      <c r="C5486" t="s">
        <v>10</v>
      </c>
      <c r="D5486" t="s">
        <v>11030</v>
      </c>
      <c r="E5486" t="s">
        <v>11031</v>
      </c>
      <c r="G5486" s="1">
        <v>3.96</v>
      </c>
    </row>
    <row r="5487" spans="1:7" ht="14.25" hidden="1" customHeight="1" x14ac:dyDescent="0.45">
      <c r="A5487" t="str">
        <f>_xlfn.XLOOKUP(B5487,Ingot!$H$12:$H$119,Ingot!$G$12:$G$119,"")</f>
        <v>Wood</v>
      </c>
      <c r="B5487" t="s">
        <v>11009</v>
      </c>
      <c r="C5487" t="s">
        <v>10</v>
      </c>
      <c r="D5487" t="s">
        <v>11032</v>
      </c>
      <c r="E5487" t="s">
        <v>11033</v>
      </c>
      <c r="G5487" s="1">
        <v>8.77</v>
      </c>
    </row>
    <row r="5488" spans="1:7" ht="14.25" hidden="1" customHeight="1" x14ac:dyDescent="0.45">
      <c r="A5488" t="str">
        <f>_xlfn.XLOOKUP(B5488,Ingot!$H$12:$H$119,Ingot!$G$12:$G$119,"")</f>
        <v>Wood</v>
      </c>
      <c r="B5488" t="s">
        <v>11009</v>
      </c>
      <c r="C5488" t="s">
        <v>10</v>
      </c>
      <c r="D5488" t="s">
        <v>11034</v>
      </c>
      <c r="E5488" t="s">
        <v>11035</v>
      </c>
      <c r="G5488" s="1">
        <v>3.5</v>
      </c>
    </row>
    <row r="5489" spans="1:7" ht="14.25" hidden="1" customHeight="1" x14ac:dyDescent="0.45">
      <c r="A5489" t="str">
        <f>_xlfn.XLOOKUP(B5489,Ingot!$H$12:$H$119,Ingot!$G$12:$G$119,"")</f>
        <v>Wood</v>
      </c>
      <c r="B5489" t="s">
        <v>11009</v>
      </c>
      <c r="C5489" t="s">
        <v>10</v>
      </c>
      <c r="D5489" t="s">
        <v>11036</v>
      </c>
      <c r="E5489" t="s">
        <v>11037</v>
      </c>
    </row>
    <row r="5490" spans="1:7" ht="14.25" hidden="1" customHeight="1" x14ac:dyDescent="0.45">
      <c r="A5490" t="str">
        <f>_xlfn.XLOOKUP(B5490,Ingot!$H$12:$H$119,Ingot!$G$12:$G$119,"")</f>
        <v>Wood</v>
      </c>
      <c r="B5490" t="s">
        <v>11009</v>
      </c>
      <c r="C5490" t="s">
        <v>10</v>
      </c>
      <c r="D5490" t="s">
        <v>11038</v>
      </c>
      <c r="E5490" t="s">
        <v>11039</v>
      </c>
      <c r="G5490" s="1">
        <v>2.2000000000000002</v>
      </c>
    </row>
    <row r="5491" spans="1:7" ht="14.25" hidden="1" customHeight="1" x14ac:dyDescent="0.45">
      <c r="A5491" t="str">
        <f>_xlfn.XLOOKUP(B5491,Ingot!$H$12:$H$119,Ingot!$G$12:$G$119,"")</f>
        <v>Wood</v>
      </c>
      <c r="B5491" t="s">
        <v>11009</v>
      </c>
      <c r="C5491" t="s">
        <v>10</v>
      </c>
      <c r="D5491" t="s">
        <v>11040</v>
      </c>
      <c r="E5491" t="s">
        <v>11041</v>
      </c>
      <c r="G5491" s="1">
        <v>1.1000000000000001</v>
      </c>
    </row>
    <row r="5492" spans="1:7" ht="14.25" hidden="1" customHeight="1" x14ac:dyDescent="0.45">
      <c r="A5492" t="str">
        <f>_xlfn.XLOOKUP(B5492,Ingot!$H$12:$H$119,Ingot!$G$12:$G$119,"")</f>
        <v>Wood</v>
      </c>
      <c r="B5492" t="s">
        <v>11009</v>
      </c>
      <c r="C5492" t="s">
        <v>10</v>
      </c>
      <c r="D5492" t="s">
        <v>11042</v>
      </c>
      <c r="E5492" t="s">
        <v>11043</v>
      </c>
      <c r="G5492" s="1">
        <v>0.22</v>
      </c>
    </row>
    <row r="5493" spans="1:7" ht="14.25" hidden="1" customHeight="1" x14ac:dyDescent="0.45">
      <c r="A5493" t="str">
        <f>_xlfn.XLOOKUP(B5493,Ingot!$H$12:$H$119,Ingot!$G$12:$G$119,"")</f>
        <v>Wood</v>
      </c>
      <c r="B5493" t="s">
        <v>11009</v>
      </c>
      <c r="C5493" t="s">
        <v>10</v>
      </c>
      <c r="D5493" t="s">
        <v>11044</v>
      </c>
      <c r="E5493" t="s">
        <v>11045</v>
      </c>
      <c r="G5493" s="1">
        <v>8.41</v>
      </c>
    </row>
    <row r="5494" spans="1:7" ht="14.25" hidden="1" customHeight="1" x14ac:dyDescent="0.45">
      <c r="A5494" t="str">
        <f>_xlfn.XLOOKUP(B5494,Ingot!$H$12:$H$119,Ingot!$G$12:$G$119,"")</f>
        <v>Wood</v>
      </c>
      <c r="B5494" t="s">
        <v>11009</v>
      </c>
      <c r="C5494" t="s">
        <v>10</v>
      </c>
      <c r="D5494" t="s">
        <v>11046</v>
      </c>
      <c r="E5494" t="s">
        <v>11047</v>
      </c>
      <c r="G5494" s="1">
        <v>3.64</v>
      </c>
    </row>
    <row r="5495" spans="1:7" ht="14.25" hidden="1" customHeight="1" x14ac:dyDescent="0.45">
      <c r="A5495" t="str">
        <f>_xlfn.XLOOKUP(B5495,Ingot!$H$12:$H$119,Ingot!$G$12:$G$119,"")</f>
        <v>Wood</v>
      </c>
      <c r="B5495" t="s">
        <v>11009</v>
      </c>
      <c r="C5495" t="s">
        <v>10</v>
      </c>
      <c r="D5495" t="s">
        <v>11048</v>
      </c>
      <c r="E5495" t="s">
        <v>11049</v>
      </c>
      <c r="G5495" s="1">
        <v>7.05</v>
      </c>
    </row>
    <row r="5496" spans="1:7" ht="14.25" hidden="1" customHeight="1" x14ac:dyDescent="0.45">
      <c r="A5496" t="str">
        <f>_xlfn.XLOOKUP(B5496,Ingot!$H$12:$H$119,Ingot!$G$12:$G$119,"")</f>
        <v>Wood</v>
      </c>
      <c r="B5496" t="s">
        <v>11009</v>
      </c>
      <c r="C5496" t="s">
        <v>10</v>
      </c>
      <c r="D5496" t="s">
        <v>11050</v>
      </c>
      <c r="E5496" t="s">
        <v>11051</v>
      </c>
      <c r="G5496" s="1">
        <v>2.65</v>
      </c>
    </row>
    <row r="5497" spans="1:7" ht="14.25" hidden="1" customHeight="1" x14ac:dyDescent="0.45">
      <c r="A5497" t="str">
        <f>_xlfn.XLOOKUP(B5497,Ingot!$H$12:$H$119,Ingot!$G$12:$G$119,"")</f>
        <v>Wood</v>
      </c>
      <c r="B5497" t="s">
        <v>11009</v>
      </c>
      <c r="C5497" t="s">
        <v>10</v>
      </c>
      <c r="D5497" t="s">
        <v>11052</v>
      </c>
      <c r="E5497" t="s">
        <v>11053</v>
      </c>
      <c r="G5497" s="1">
        <v>9</v>
      </c>
    </row>
    <row r="5498" spans="1:7" ht="14.25" hidden="1" customHeight="1" x14ac:dyDescent="0.45">
      <c r="A5498" t="str">
        <f>_xlfn.XLOOKUP(B5498,Ingot!$H$12:$H$119,Ingot!$G$12:$G$119,"")</f>
        <v>Wood</v>
      </c>
      <c r="B5498" t="s">
        <v>11009</v>
      </c>
      <c r="C5498" t="s">
        <v>10</v>
      </c>
      <c r="D5498" t="s">
        <v>11054</v>
      </c>
      <c r="E5498" t="s">
        <v>11055</v>
      </c>
      <c r="G5498" s="1">
        <v>10.23</v>
      </c>
    </row>
    <row r="5499" spans="1:7" ht="14.25" hidden="1" customHeight="1" x14ac:dyDescent="0.45">
      <c r="A5499" t="str">
        <f>_xlfn.XLOOKUP(B5499,Ingot!$H$12:$H$119,Ingot!$G$12:$G$119,"")</f>
        <v>Wood</v>
      </c>
      <c r="B5499" t="s">
        <v>11009</v>
      </c>
      <c r="C5499" t="s">
        <v>10</v>
      </c>
      <c r="D5499" t="s">
        <v>11056</v>
      </c>
      <c r="E5499" t="s">
        <v>11057</v>
      </c>
      <c r="G5499" s="1">
        <v>7.7</v>
      </c>
    </row>
    <row r="5500" spans="1:7" ht="14.25" hidden="1" customHeight="1" x14ac:dyDescent="0.45">
      <c r="A5500" t="str">
        <f>_xlfn.XLOOKUP(B5500,Ingot!$H$12:$H$119,Ingot!$G$12:$G$119,"")</f>
        <v>Wood</v>
      </c>
      <c r="B5500" t="s">
        <v>11009</v>
      </c>
      <c r="C5500" t="s">
        <v>10</v>
      </c>
      <c r="D5500" t="s">
        <v>11058</v>
      </c>
      <c r="E5500" t="s">
        <v>11059</v>
      </c>
      <c r="G5500" s="1">
        <v>10.02</v>
      </c>
    </row>
    <row r="5501" spans="1:7" ht="14.25" hidden="1" customHeight="1" x14ac:dyDescent="0.45">
      <c r="A5501" t="str">
        <f>_xlfn.XLOOKUP(B5501,Ingot!$H$12:$H$119,Ingot!$G$12:$G$119,"")</f>
        <v>Wood</v>
      </c>
      <c r="B5501" t="s">
        <v>11009</v>
      </c>
      <c r="C5501" t="s">
        <v>10</v>
      </c>
      <c r="D5501" t="s">
        <v>11060</v>
      </c>
      <c r="E5501" t="s">
        <v>11061</v>
      </c>
      <c r="G5501" s="1">
        <v>11.81</v>
      </c>
    </row>
    <row r="5502" spans="1:7" ht="14.25" hidden="1" customHeight="1" x14ac:dyDescent="0.45">
      <c r="A5502" t="str">
        <f>_xlfn.XLOOKUP(B5502,Ingot!$H$12:$H$119,Ingot!$G$12:$G$119,"")</f>
        <v>Wood</v>
      </c>
      <c r="B5502" t="s">
        <v>11009</v>
      </c>
      <c r="C5502" t="s">
        <v>10</v>
      </c>
      <c r="D5502" t="s">
        <v>11062</v>
      </c>
      <c r="E5502" t="s">
        <v>11063</v>
      </c>
      <c r="G5502" s="1">
        <v>8.44</v>
      </c>
    </row>
    <row r="5503" spans="1:7" ht="14.25" hidden="1" customHeight="1" x14ac:dyDescent="0.45">
      <c r="A5503" t="str">
        <f>_xlfn.XLOOKUP(B5503,Ingot!$H$12:$H$119,Ingot!$G$12:$G$119,"")</f>
        <v>Wood</v>
      </c>
      <c r="B5503" t="s">
        <v>11009</v>
      </c>
      <c r="C5503" t="s">
        <v>10</v>
      </c>
      <c r="D5503" t="s">
        <v>11064</v>
      </c>
      <c r="E5503" t="s">
        <v>11065</v>
      </c>
      <c r="G5503" s="1">
        <v>10.42</v>
      </c>
    </row>
    <row r="5504" spans="1:7" ht="14.25" hidden="1" customHeight="1" x14ac:dyDescent="0.45">
      <c r="A5504" t="str">
        <f>_xlfn.XLOOKUP(B5504,Ingot!$H$12:$H$119,Ingot!$G$12:$G$119,"")</f>
        <v>Wood</v>
      </c>
      <c r="B5504" t="s">
        <v>11009</v>
      </c>
      <c r="C5504" t="s">
        <v>10</v>
      </c>
      <c r="D5504" t="s">
        <v>11066</v>
      </c>
      <c r="E5504" t="s">
        <v>11067</v>
      </c>
    </row>
    <row r="5505" spans="1:7" ht="14.25" hidden="1" customHeight="1" x14ac:dyDescent="0.45">
      <c r="A5505" t="str">
        <f>_xlfn.XLOOKUP(B5505,Ingot!$H$12:$H$119,Ingot!$G$12:$G$119,"")</f>
        <v>Wood</v>
      </c>
      <c r="B5505" t="s">
        <v>11009</v>
      </c>
      <c r="C5505" t="s">
        <v>10</v>
      </c>
      <c r="D5505" t="s">
        <v>11068</v>
      </c>
      <c r="E5505" t="s">
        <v>11069</v>
      </c>
      <c r="G5505" s="1">
        <v>7.96</v>
      </c>
    </row>
    <row r="5506" spans="1:7" ht="14.25" hidden="1" customHeight="1" x14ac:dyDescent="0.45">
      <c r="A5506" t="str">
        <f>_xlfn.XLOOKUP(B5506,Ingot!$H$12:$H$119,Ingot!$G$12:$G$119,"")</f>
        <v>Wood</v>
      </c>
      <c r="B5506" t="s">
        <v>11009</v>
      </c>
      <c r="C5506" t="s">
        <v>10</v>
      </c>
      <c r="D5506" t="s">
        <v>11070</v>
      </c>
      <c r="E5506" t="s">
        <v>11071</v>
      </c>
      <c r="G5506" s="1">
        <v>9.64</v>
      </c>
    </row>
    <row r="5507" spans="1:7" ht="14.25" hidden="1" customHeight="1" x14ac:dyDescent="0.45">
      <c r="A5507" t="str">
        <f>_xlfn.XLOOKUP(B5507,Ingot!$H$12:$H$119,Ingot!$G$12:$G$119,"")</f>
        <v>Wood</v>
      </c>
      <c r="B5507" t="s">
        <v>11009</v>
      </c>
      <c r="C5507" t="s">
        <v>10</v>
      </c>
      <c r="D5507" t="s">
        <v>11072</v>
      </c>
      <c r="E5507" t="s">
        <v>11073</v>
      </c>
      <c r="G5507" s="1">
        <v>7.94</v>
      </c>
    </row>
    <row r="5508" spans="1:7" ht="14.25" hidden="1" customHeight="1" x14ac:dyDescent="0.45">
      <c r="A5508" t="str">
        <f>_xlfn.XLOOKUP(B5508,Ingot!$H$12:$H$119,Ingot!$G$12:$G$119,"")</f>
        <v>Wood</v>
      </c>
      <c r="B5508" t="s">
        <v>11009</v>
      </c>
      <c r="C5508" t="s">
        <v>10</v>
      </c>
      <c r="D5508" t="s">
        <v>11074</v>
      </c>
      <c r="E5508" t="s">
        <v>11075</v>
      </c>
      <c r="G5508" s="1">
        <v>8.66</v>
      </c>
    </row>
    <row r="5509" spans="1:7" ht="14.25" hidden="1" customHeight="1" x14ac:dyDescent="0.45">
      <c r="A5509" t="str">
        <f>_xlfn.XLOOKUP(B5509,Ingot!$H$12:$H$119,Ingot!$G$12:$G$119,"")</f>
        <v>Wood</v>
      </c>
      <c r="B5509" t="s">
        <v>11009</v>
      </c>
      <c r="C5509" t="s">
        <v>10</v>
      </c>
      <c r="D5509" t="s">
        <v>11076</v>
      </c>
      <c r="E5509" t="s">
        <v>11077</v>
      </c>
    </row>
    <row r="5510" spans="1:7" ht="14.25" hidden="1" customHeight="1" x14ac:dyDescent="0.45">
      <c r="A5510" t="str">
        <f>_xlfn.XLOOKUP(B5510,Ingot!$H$12:$H$119,Ingot!$G$12:$G$119,"")</f>
        <v>Wood</v>
      </c>
      <c r="B5510" t="s">
        <v>11009</v>
      </c>
      <c r="C5510" t="s">
        <v>10</v>
      </c>
      <c r="D5510" t="s">
        <v>11078</v>
      </c>
      <c r="E5510" t="s">
        <v>11079</v>
      </c>
      <c r="G5510" s="1">
        <v>2.65</v>
      </c>
    </row>
    <row r="5511" spans="1:7" ht="14.25" hidden="1" customHeight="1" x14ac:dyDescent="0.45">
      <c r="A5511" t="str">
        <f>_xlfn.XLOOKUP(B5511,Ingot!$H$12:$H$119,Ingot!$G$12:$G$119,"")</f>
        <v>Wood</v>
      </c>
      <c r="B5511" t="s">
        <v>11009</v>
      </c>
      <c r="C5511" t="s">
        <v>10</v>
      </c>
      <c r="D5511" t="s">
        <v>11080</v>
      </c>
      <c r="E5511" t="s">
        <v>11081</v>
      </c>
    </row>
    <row r="5512" spans="1:7" ht="14.25" hidden="1" customHeight="1" x14ac:dyDescent="0.45">
      <c r="A5512" t="str">
        <f>_xlfn.XLOOKUP(B5512,Ingot!$H$12:$H$119,Ingot!$G$12:$G$119,"")</f>
        <v>Wood</v>
      </c>
      <c r="B5512" t="s">
        <v>11009</v>
      </c>
      <c r="C5512" t="s">
        <v>10</v>
      </c>
      <c r="D5512" t="s">
        <v>11082</v>
      </c>
      <c r="E5512" t="s">
        <v>11083</v>
      </c>
      <c r="G5512" s="1">
        <v>12.64</v>
      </c>
    </row>
    <row r="5513" spans="1:7" ht="14.25" hidden="1" customHeight="1" x14ac:dyDescent="0.45">
      <c r="A5513" t="str">
        <f>_xlfn.XLOOKUP(B5513,Ingot!$H$12:$H$119,Ingot!$G$12:$G$119,"")</f>
        <v>Wood</v>
      </c>
      <c r="B5513" t="s">
        <v>11009</v>
      </c>
      <c r="C5513" t="s">
        <v>10</v>
      </c>
      <c r="D5513" t="s">
        <v>11084</v>
      </c>
      <c r="E5513" t="s">
        <v>11085</v>
      </c>
      <c r="G5513" s="1">
        <v>22.67</v>
      </c>
    </row>
    <row r="5514" spans="1:7" ht="14.25" hidden="1" customHeight="1" x14ac:dyDescent="0.45">
      <c r="A5514" t="str">
        <f>_xlfn.XLOOKUP(B5514,Ingot!$H$12:$H$119,Ingot!$G$12:$G$119,"")</f>
        <v>Wood</v>
      </c>
      <c r="B5514" t="s">
        <v>11009</v>
      </c>
      <c r="C5514" t="s">
        <v>10</v>
      </c>
      <c r="D5514" t="s">
        <v>11086</v>
      </c>
      <c r="E5514" t="s">
        <v>11087</v>
      </c>
      <c r="G5514" s="1">
        <v>8.3800000000000008</v>
      </c>
    </row>
    <row r="5515" spans="1:7" ht="14.25" hidden="1" customHeight="1" x14ac:dyDescent="0.45">
      <c r="A5515" t="str">
        <f>_xlfn.XLOOKUP(B5515,Ingot!$H$12:$H$119,Ingot!$G$12:$G$119,"")</f>
        <v>Wood</v>
      </c>
      <c r="B5515" t="s">
        <v>11009</v>
      </c>
      <c r="C5515" t="s">
        <v>10</v>
      </c>
      <c r="D5515" t="s">
        <v>11088</v>
      </c>
      <c r="E5515" t="s">
        <v>11089</v>
      </c>
      <c r="G5515" s="1">
        <v>2.2000000000000002</v>
      </c>
    </row>
    <row r="5516" spans="1:7" ht="14.25" hidden="1" customHeight="1" x14ac:dyDescent="0.45">
      <c r="A5516" t="str">
        <f>_xlfn.XLOOKUP(B5516,Ingot!$H$12:$H$119,Ingot!$G$12:$G$119,"")</f>
        <v>Wood</v>
      </c>
      <c r="B5516" t="s">
        <v>11009</v>
      </c>
      <c r="C5516" t="s">
        <v>10</v>
      </c>
      <c r="D5516" t="s">
        <v>11090</v>
      </c>
      <c r="E5516" t="s">
        <v>11091</v>
      </c>
      <c r="G5516" s="1">
        <v>3.09</v>
      </c>
    </row>
    <row r="5517" spans="1:7" ht="14.25" hidden="1" customHeight="1" x14ac:dyDescent="0.45">
      <c r="A5517" t="str">
        <f>_xlfn.XLOOKUP(B5517,Ingot!$H$12:$H$119,Ingot!$G$12:$G$119,"")</f>
        <v>Wood</v>
      </c>
      <c r="B5517" t="s">
        <v>11009</v>
      </c>
      <c r="C5517" t="s">
        <v>10</v>
      </c>
      <c r="D5517" t="s">
        <v>11092</v>
      </c>
      <c r="E5517" t="s">
        <v>11093</v>
      </c>
      <c r="G5517" s="1">
        <v>2.2999999999999998</v>
      </c>
    </row>
    <row r="5518" spans="1:7" ht="14.25" hidden="1" customHeight="1" x14ac:dyDescent="0.45">
      <c r="A5518" t="str">
        <f>_xlfn.XLOOKUP(B5518,Ingot!$H$12:$H$119,Ingot!$G$12:$G$119,"")</f>
        <v>Wood</v>
      </c>
      <c r="B5518" t="s">
        <v>11009</v>
      </c>
      <c r="C5518" t="s">
        <v>10</v>
      </c>
      <c r="D5518" t="s">
        <v>11094</v>
      </c>
      <c r="E5518" t="s">
        <v>11095</v>
      </c>
      <c r="G5518" s="1">
        <v>4.88</v>
      </c>
    </row>
    <row r="5519" spans="1:7" ht="14.25" hidden="1" customHeight="1" x14ac:dyDescent="0.45">
      <c r="A5519" t="str">
        <f>_xlfn.XLOOKUP(B5519,Ingot!$H$12:$H$119,Ingot!$G$12:$G$119,"")</f>
        <v>Wood</v>
      </c>
      <c r="B5519" t="s">
        <v>11009</v>
      </c>
      <c r="C5519" t="s">
        <v>10</v>
      </c>
      <c r="D5519" t="s">
        <v>11096</v>
      </c>
      <c r="E5519" t="s">
        <v>11097</v>
      </c>
      <c r="G5519" s="1">
        <v>8.43</v>
      </c>
    </row>
    <row r="5520" spans="1:7" ht="14.25" hidden="1" customHeight="1" x14ac:dyDescent="0.45">
      <c r="A5520" t="str">
        <f>_xlfn.XLOOKUP(B5520,Ingot!$H$12:$H$119,Ingot!$G$12:$G$119,"")</f>
        <v>Wood</v>
      </c>
      <c r="B5520" t="s">
        <v>11009</v>
      </c>
      <c r="C5520" t="s">
        <v>10</v>
      </c>
      <c r="D5520" t="s">
        <v>11098</v>
      </c>
      <c r="E5520" t="s">
        <v>11099</v>
      </c>
      <c r="G5520" s="1">
        <v>13.07</v>
      </c>
    </row>
    <row r="5521" spans="1:7" ht="14.25" hidden="1" customHeight="1" x14ac:dyDescent="0.45">
      <c r="A5521" t="str">
        <f>_xlfn.XLOOKUP(B5521,Ingot!$H$12:$H$119,Ingot!$G$12:$G$119,"")</f>
        <v>Wood</v>
      </c>
      <c r="B5521" t="s">
        <v>11009</v>
      </c>
      <c r="C5521" t="s">
        <v>10</v>
      </c>
      <c r="D5521" t="s">
        <v>11100</v>
      </c>
      <c r="E5521" t="s">
        <v>11101</v>
      </c>
    </row>
    <row r="5522" spans="1:7" ht="14.25" hidden="1" customHeight="1" x14ac:dyDescent="0.45">
      <c r="A5522" t="str">
        <f>_xlfn.XLOOKUP(B5522,Ingot!$H$12:$H$119,Ingot!$G$12:$G$119,"")</f>
        <v>Wood</v>
      </c>
      <c r="B5522" t="s">
        <v>11009</v>
      </c>
      <c r="C5522" t="s">
        <v>10</v>
      </c>
      <c r="D5522" t="s">
        <v>11102</v>
      </c>
      <c r="E5522" t="s">
        <v>11103</v>
      </c>
    </row>
    <row r="5523" spans="1:7" ht="14.25" hidden="1" customHeight="1" x14ac:dyDescent="0.45">
      <c r="A5523" t="str">
        <f>_xlfn.XLOOKUP(B5523,Ingot!$H$12:$H$119,Ingot!$G$12:$G$119,"")</f>
        <v>Wood</v>
      </c>
      <c r="B5523" t="s">
        <v>11009</v>
      </c>
      <c r="C5523" t="s">
        <v>10</v>
      </c>
      <c r="D5523" t="s">
        <v>11104</v>
      </c>
      <c r="E5523" t="s">
        <v>11105</v>
      </c>
      <c r="G5523" s="1">
        <v>6.8</v>
      </c>
    </row>
    <row r="5524" spans="1:7" ht="14.25" hidden="1" customHeight="1" x14ac:dyDescent="0.45">
      <c r="A5524" t="str">
        <f>_xlfn.XLOOKUP(B5524,Ingot!$H$12:$H$119,Ingot!$G$12:$G$119,"")</f>
        <v>Wood</v>
      </c>
      <c r="B5524" t="s">
        <v>11009</v>
      </c>
      <c r="C5524" t="s">
        <v>10</v>
      </c>
      <c r="D5524" t="s">
        <v>11106</v>
      </c>
      <c r="E5524" t="s">
        <v>11107</v>
      </c>
      <c r="G5524" s="1">
        <v>6.88</v>
      </c>
    </row>
    <row r="5525" spans="1:7" ht="14.25" hidden="1" customHeight="1" x14ac:dyDescent="0.45">
      <c r="A5525" t="str">
        <f>_xlfn.XLOOKUP(B5525,Ingot!$H$12:$H$119,Ingot!$G$12:$G$119,"")</f>
        <v>Wood</v>
      </c>
      <c r="B5525" t="s">
        <v>11009</v>
      </c>
      <c r="C5525" t="s">
        <v>10</v>
      </c>
      <c r="D5525" t="s">
        <v>11108</v>
      </c>
      <c r="E5525" t="s">
        <v>11109</v>
      </c>
      <c r="G5525" s="1">
        <v>5.5</v>
      </c>
    </row>
    <row r="5526" spans="1:7" ht="14.25" hidden="1" customHeight="1" x14ac:dyDescent="0.45">
      <c r="A5526" t="str">
        <f>_xlfn.XLOOKUP(B5526,Ingot!$H$12:$H$119,Ingot!$G$12:$G$119,"")</f>
        <v>Wood</v>
      </c>
      <c r="B5526" t="s">
        <v>11009</v>
      </c>
      <c r="C5526" t="s">
        <v>10</v>
      </c>
      <c r="D5526" t="s">
        <v>11110</v>
      </c>
      <c r="E5526" t="s">
        <v>11111</v>
      </c>
      <c r="G5526" s="1">
        <v>2.4300000000000002</v>
      </c>
    </row>
    <row r="5527" spans="1:7" ht="14.25" hidden="1" customHeight="1" x14ac:dyDescent="0.45">
      <c r="A5527" t="str">
        <f>_xlfn.XLOOKUP(B5527,Ingot!$H$12:$H$119,Ingot!$G$12:$G$119,"")</f>
        <v>Wood</v>
      </c>
      <c r="B5527" t="s">
        <v>11009</v>
      </c>
      <c r="C5527" t="s">
        <v>10</v>
      </c>
      <c r="D5527" t="s">
        <v>11112</v>
      </c>
      <c r="E5527" t="s">
        <v>11113</v>
      </c>
      <c r="G5527" s="1">
        <v>6.96</v>
      </c>
    </row>
    <row r="5528" spans="1:7" ht="14.25" hidden="1" customHeight="1" x14ac:dyDescent="0.45">
      <c r="A5528" t="str">
        <f>_xlfn.XLOOKUP(B5528,Ingot!$H$12:$H$119,Ingot!$G$12:$G$119,"")</f>
        <v>Wood</v>
      </c>
      <c r="B5528" t="s">
        <v>11009</v>
      </c>
      <c r="C5528" t="s">
        <v>10</v>
      </c>
      <c r="D5528" t="s">
        <v>11114</v>
      </c>
      <c r="E5528" t="s">
        <v>11115</v>
      </c>
      <c r="G5528" s="1">
        <v>6.32</v>
      </c>
    </row>
    <row r="5529" spans="1:7" ht="14.25" hidden="1" customHeight="1" x14ac:dyDescent="0.45">
      <c r="A5529" t="str">
        <f>_xlfn.XLOOKUP(B5529,Ingot!$H$12:$H$119,Ingot!$G$12:$G$119,"")</f>
        <v>Wood</v>
      </c>
      <c r="B5529" t="s">
        <v>11009</v>
      </c>
      <c r="C5529" t="s">
        <v>10</v>
      </c>
      <c r="D5529" t="s">
        <v>11116</v>
      </c>
      <c r="E5529" t="s">
        <v>11117</v>
      </c>
      <c r="G5529" s="1">
        <v>6.88</v>
      </c>
    </row>
    <row r="5530" spans="1:7" ht="14.25" hidden="1" customHeight="1" x14ac:dyDescent="0.45">
      <c r="A5530" t="str">
        <f>_xlfn.XLOOKUP(B5530,Ingot!$H$12:$H$119,Ingot!$G$12:$G$119,"")</f>
        <v>Wood</v>
      </c>
      <c r="B5530" t="s">
        <v>11009</v>
      </c>
      <c r="C5530" t="s">
        <v>10</v>
      </c>
      <c r="D5530" t="s">
        <v>11118</v>
      </c>
      <c r="E5530" t="s">
        <v>11119</v>
      </c>
      <c r="G5530" s="1">
        <v>2.44</v>
      </c>
    </row>
    <row r="5531" spans="1:7" ht="14.25" hidden="1" customHeight="1" x14ac:dyDescent="0.45">
      <c r="A5531" t="str">
        <f>_xlfn.XLOOKUP(B5531,Ingot!$H$12:$H$119,Ingot!$G$12:$G$119,"")</f>
        <v>Wood</v>
      </c>
      <c r="B5531" t="s">
        <v>11009</v>
      </c>
      <c r="C5531" t="s">
        <v>10</v>
      </c>
      <c r="D5531" t="s">
        <v>11120</v>
      </c>
      <c r="E5531" t="s">
        <v>11121</v>
      </c>
    </row>
    <row r="5532" spans="1:7" ht="14.25" hidden="1" customHeight="1" x14ac:dyDescent="0.45">
      <c r="A5532" t="str">
        <f>_xlfn.XLOOKUP(B5532,Ingot!$H$12:$H$119,Ingot!$G$12:$G$119,"")</f>
        <v>Wood</v>
      </c>
      <c r="B5532" t="s">
        <v>11009</v>
      </c>
      <c r="C5532" t="s">
        <v>10</v>
      </c>
      <c r="D5532" t="s">
        <v>11122</v>
      </c>
      <c r="E5532" t="s">
        <v>11123</v>
      </c>
    </row>
    <row r="5533" spans="1:7" ht="14.25" hidden="1" customHeight="1" x14ac:dyDescent="0.45">
      <c r="A5533" t="str">
        <f>_xlfn.XLOOKUP(B5533,Ingot!$H$12:$H$119,Ingot!$G$12:$G$119,"")</f>
        <v>Wood</v>
      </c>
      <c r="B5533" t="s">
        <v>11009</v>
      </c>
      <c r="C5533" t="s">
        <v>10</v>
      </c>
      <c r="D5533" t="s">
        <v>11124</v>
      </c>
      <c r="E5533" t="s">
        <v>11125</v>
      </c>
      <c r="G5533" s="1">
        <v>3.11</v>
      </c>
    </row>
    <row r="5534" spans="1:7" ht="14.25" hidden="1" customHeight="1" x14ac:dyDescent="0.45">
      <c r="A5534" t="str">
        <f>_xlfn.XLOOKUP(B5534,Ingot!$H$12:$H$119,Ingot!$G$12:$G$119,"")</f>
        <v>Wood</v>
      </c>
      <c r="B5534" t="s">
        <v>11009</v>
      </c>
      <c r="C5534" t="s">
        <v>10</v>
      </c>
      <c r="D5534" t="s">
        <v>11126</v>
      </c>
      <c r="E5534" t="s">
        <v>11127</v>
      </c>
      <c r="G5534" s="1">
        <v>2.44</v>
      </c>
    </row>
    <row r="5535" spans="1:7" ht="14.25" hidden="1" customHeight="1" x14ac:dyDescent="0.45">
      <c r="A5535" t="str">
        <f>_xlfn.XLOOKUP(B5535,Ingot!$H$12:$H$119,Ingot!$G$12:$G$119,"")</f>
        <v>Wood</v>
      </c>
      <c r="B5535" t="s">
        <v>11009</v>
      </c>
      <c r="C5535" t="s">
        <v>10</v>
      </c>
      <c r="D5535" t="s">
        <v>11128</v>
      </c>
      <c r="E5535" t="s">
        <v>11129</v>
      </c>
      <c r="G5535" s="1">
        <v>8.61</v>
      </c>
    </row>
    <row r="5536" spans="1:7" ht="14.25" hidden="1" customHeight="1" x14ac:dyDescent="0.45">
      <c r="A5536" t="str">
        <f>_xlfn.XLOOKUP(B5536,Ingot!$H$12:$H$119,Ingot!$G$12:$G$119,"")</f>
        <v>Wood</v>
      </c>
      <c r="B5536" t="s">
        <v>11009</v>
      </c>
      <c r="C5536" t="s">
        <v>10</v>
      </c>
      <c r="D5536" t="s">
        <v>11130</v>
      </c>
      <c r="E5536" t="s">
        <v>11131</v>
      </c>
    </row>
    <row r="5537" spans="1:7" ht="14.25" hidden="1" customHeight="1" x14ac:dyDescent="0.45">
      <c r="A5537" t="str">
        <f>_xlfn.XLOOKUP(B5537,Ingot!$H$12:$H$119,Ingot!$G$12:$G$119,"")</f>
        <v>Wood</v>
      </c>
      <c r="B5537" t="s">
        <v>11009</v>
      </c>
      <c r="C5537" t="s">
        <v>10</v>
      </c>
      <c r="D5537" t="s">
        <v>11132</v>
      </c>
      <c r="E5537" t="s">
        <v>11133</v>
      </c>
      <c r="G5537" s="1">
        <v>3.21</v>
      </c>
    </row>
    <row r="5538" spans="1:7" ht="14.25" hidden="1" customHeight="1" x14ac:dyDescent="0.45">
      <c r="A5538" t="str">
        <f>_xlfn.XLOOKUP(B5538,Ingot!$H$12:$H$119,Ingot!$G$12:$G$119,"")</f>
        <v>Wood</v>
      </c>
      <c r="B5538" t="s">
        <v>11009</v>
      </c>
      <c r="C5538" t="s">
        <v>10</v>
      </c>
      <c r="D5538" t="s">
        <v>11134</v>
      </c>
      <c r="E5538" t="s">
        <v>11135</v>
      </c>
      <c r="G5538" s="1">
        <v>2.77</v>
      </c>
    </row>
    <row r="5539" spans="1:7" ht="14.25" hidden="1" customHeight="1" x14ac:dyDescent="0.45">
      <c r="A5539" t="str">
        <f>_xlfn.XLOOKUP(B5539,Ingot!$H$12:$H$119,Ingot!$G$12:$G$119,"")</f>
        <v>Wood</v>
      </c>
      <c r="B5539" t="s">
        <v>11009</v>
      </c>
      <c r="C5539" t="s">
        <v>10</v>
      </c>
      <c r="D5539" t="s">
        <v>11136</v>
      </c>
      <c r="E5539" t="s">
        <v>11137</v>
      </c>
      <c r="G5539" s="1">
        <v>4.8899999999999997</v>
      </c>
    </row>
    <row r="5540" spans="1:7" ht="14.25" hidden="1" customHeight="1" x14ac:dyDescent="0.45">
      <c r="A5540" t="str">
        <f>_xlfn.XLOOKUP(B5540,Ingot!$H$12:$H$119,Ingot!$G$12:$G$119,"")</f>
        <v>Wood</v>
      </c>
      <c r="B5540" t="s">
        <v>11009</v>
      </c>
      <c r="C5540" t="s">
        <v>10</v>
      </c>
      <c r="D5540" t="s">
        <v>11138</v>
      </c>
      <c r="E5540" t="s">
        <v>11139</v>
      </c>
      <c r="G5540" s="1">
        <v>1.76</v>
      </c>
    </row>
    <row r="5541" spans="1:7" ht="14.25" hidden="1" customHeight="1" x14ac:dyDescent="0.45">
      <c r="A5541" t="str">
        <f>_xlfn.XLOOKUP(B5541,Ingot!$H$12:$H$119,Ingot!$G$12:$G$119,"")</f>
        <v>Wood</v>
      </c>
      <c r="B5541" t="s">
        <v>11009</v>
      </c>
      <c r="C5541" t="s">
        <v>10</v>
      </c>
      <c r="D5541" t="s">
        <v>11140</v>
      </c>
      <c r="E5541" t="s">
        <v>11141</v>
      </c>
    </row>
    <row r="5542" spans="1:7" ht="14.25" hidden="1" customHeight="1" x14ac:dyDescent="0.45">
      <c r="A5542" t="str">
        <f>_xlfn.XLOOKUP(B5542,Ingot!$H$12:$H$119,Ingot!$G$12:$G$119,"")</f>
        <v>Wood</v>
      </c>
      <c r="B5542" t="s">
        <v>11009</v>
      </c>
      <c r="C5542" t="s">
        <v>10</v>
      </c>
      <c r="D5542" t="s">
        <v>11142</v>
      </c>
      <c r="E5542" t="s">
        <v>11143</v>
      </c>
      <c r="G5542" s="1">
        <v>8.57</v>
      </c>
    </row>
    <row r="5543" spans="1:7" ht="14.25" hidden="1" customHeight="1" x14ac:dyDescent="0.45">
      <c r="A5543" t="str">
        <f>_xlfn.XLOOKUP(B5543,Ingot!$H$12:$H$119,Ingot!$G$12:$G$119,"")</f>
        <v>Wood</v>
      </c>
      <c r="B5543" t="s">
        <v>11009</v>
      </c>
      <c r="C5543" t="s">
        <v>10</v>
      </c>
      <c r="D5543" t="s">
        <v>11144</v>
      </c>
      <c r="E5543" t="s">
        <v>11145</v>
      </c>
    </row>
    <row r="5544" spans="1:7" ht="14.25" hidden="1" customHeight="1" x14ac:dyDescent="0.45">
      <c r="A5544" t="str">
        <f>_xlfn.XLOOKUP(B5544,Ingot!$H$12:$H$119,Ingot!$G$12:$G$119,"")</f>
        <v>Wood</v>
      </c>
      <c r="B5544" t="s">
        <v>11009</v>
      </c>
      <c r="C5544" t="s">
        <v>10</v>
      </c>
      <c r="D5544" t="s">
        <v>11146</v>
      </c>
      <c r="E5544" t="s">
        <v>11147</v>
      </c>
      <c r="G5544" s="1">
        <v>3.56</v>
      </c>
    </row>
    <row r="5545" spans="1:7" ht="14.25" hidden="1" customHeight="1" x14ac:dyDescent="0.45">
      <c r="A5545" t="str">
        <f>_xlfn.XLOOKUP(B5545,Ingot!$H$12:$H$119,Ingot!$G$12:$G$119,"")</f>
        <v>Wood</v>
      </c>
      <c r="B5545" t="s">
        <v>11009</v>
      </c>
      <c r="C5545" t="s">
        <v>10</v>
      </c>
      <c r="D5545" t="s">
        <v>11148</v>
      </c>
      <c r="E5545" t="s">
        <v>11149</v>
      </c>
      <c r="G5545" s="1">
        <v>8.91</v>
      </c>
    </row>
    <row r="5546" spans="1:7" ht="14.25" hidden="1" customHeight="1" x14ac:dyDescent="0.45">
      <c r="A5546" t="str">
        <f>_xlfn.XLOOKUP(B5546,Ingot!$H$12:$H$119,Ingot!$G$12:$G$119,"")</f>
        <v>Wood</v>
      </c>
      <c r="B5546" t="s">
        <v>11009</v>
      </c>
      <c r="C5546" t="s">
        <v>10</v>
      </c>
      <c r="D5546" t="s">
        <v>11150</v>
      </c>
      <c r="E5546" t="s">
        <v>11151</v>
      </c>
      <c r="G5546" s="1">
        <v>11.02</v>
      </c>
    </row>
    <row r="5547" spans="1:7" ht="14.25" hidden="1" customHeight="1" x14ac:dyDescent="0.45">
      <c r="A5547" t="str">
        <f>_xlfn.XLOOKUP(B5547,Ingot!$H$12:$H$119,Ingot!$G$12:$G$119,"")</f>
        <v>Wood</v>
      </c>
      <c r="B5547" t="s">
        <v>11009</v>
      </c>
      <c r="C5547" t="s">
        <v>10</v>
      </c>
      <c r="D5547" t="s">
        <v>11152</v>
      </c>
      <c r="E5547" t="s">
        <v>11153</v>
      </c>
      <c r="G5547" s="1">
        <v>5.12</v>
      </c>
    </row>
    <row r="5548" spans="1:7" ht="14.25" hidden="1" customHeight="1" x14ac:dyDescent="0.45">
      <c r="A5548" t="str">
        <f>_xlfn.XLOOKUP(B5548,Ingot!$H$12:$H$119,Ingot!$G$12:$G$119,"")</f>
        <v>Wood</v>
      </c>
      <c r="B5548" t="s">
        <v>11009</v>
      </c>
      <c r="C5548" t="s">
        <v>10</v>
      </c>
      <c r="D5548" t="s">
        <v>11154</v>
      </c>
      <c r="E5548" t="s">
        <v>11155</v>
      </c>
      <c r="G5548" s="1">
        <v>4.41</v>
      </c>
    </row>
    <row r="5549" spans="1:7" ht="14.25" hidden="1" customHeight="1" x14ac:dyDescent="0.45">
      <c r="A5549" t="str">
        <f>_xlfn.XLOOKUP(B5549,Ingot!$H$12:$H$119,Ingot!$G$12:$G$119,"")</f>
        <v>Wood</v>
      </c>
      <c r="B5549" t="s">
        <v>11009</v>
      </c>
      <c r="C5549" t="s">
        <v>157</v>
      </c>
      <c r="D5549" t="s">
        <v>11156</v>
      </c>
      <c r="E5549" t="s">
        <v>11157</v>
      </c>
      <c r="G5549" s="1">
        <v>24.3</v>
      </c>
    </row>
    <row r="5550" spans="1:7" ht="14.25" hidden="1" customHeight="1" x14ac:dyDescent="0.45">
      <c r="A5550" t="str">
        <f>_xlfn.XLOOKUP(B5550,Ingot!$H$12:$H$119,Ingot!$G$12:$G$119,"")</f>
        <v>Wood</v>
      </c>
      <c r="B5550" t="s">
        <v>11009</v>
      </c>
      <c r="C5550" t="s">
        <v>157</v>
      </c>
      <c r="D5550" t="s">
        <v>11158</v>
      </c>
      <c r="E5550" t="s">
        <v>11159</v>
      </c>
      <c r="G5550" s="1">
        <v>5</v>
      </c>
    </row>
    <row r="5551" spans="1:7" ht="14.25" hidden="1" customHeight="1" x14ac:dyDescent="0.45">
      <c r="A5551" t="str">
        <f>_xlfn.XLOOKUP(B5551,Ingot!$H$12:$H$119,Ingot!$G$12:$G$119,"")</f>
        <v>Wood</v>
      </c>
      <c r="B5551" t="s">
        <v>11009</v>
      </c>
      <c r="C5551" t="s">
        <v>157</v>
      </c>
      <c r="D5551" t="s">
        <v>11160</v>
      </c>
      <c r="E5551" t="s">
        <v>11161</v>
      </c>
      <c r="G5551" s="1">
        <v>5</v>
      </c>
    </row>
    <row r="5552" spans="1:7" ht="14.25" hidden="1" customHeight="1" x14ac:dyDescent="0.45">
      <c r="A5552" t="str">
        <f>_xlfn.XLOOKUP(B5552,Ingot!$H$12:$H$119,Ingot!$G$12:$G$119,"")</f>
        <v>Wood</v>
      </c>
      <c r="B5552" t="s">
        <v>11009</v>
      </c>
      <c r="C5552" t="s">
        <v>157</v>
      </c>
      <c r="D5552" t="s">
        <v>11162</v>
      </c>
      <c r="E5552" t="s">
        <v>11163</v>
      </c>
      <c r="G5552" s="1">
        <v>5</v>
      </c>
    </row>
    <row r="5553" spans="1:7" ht="14.25" hidden="1" customHeight="1" x14ac:dyDescent="0.45">
      <c r="A5553" t="str">
        <f>_xlfn.XLOOKUP(B5553,Ingot!$H$12:$H$119,Ingot!$G$12:$G$119,"")</f>
        <v>Wood</v>
      </c>
      <c r="B5553" t="s">
        <v>11009</v>
      </c>
      <c r="C5553" t="s">
        <v>157</v>
      </c>
      <c r="D5553" t="s">
        <v>11164</v>
      </c>
      <c r="E5553" t="s">
        <v>11165</v>
      </c>
      <c r="G5553" s="1">
        <v>10</v>
      </c>
    </row>
    <row r="5554" spans="1:7" ht="14.25" hidden="1" customHeight="1" x14ac:dyDescent="0.45">
      <c r="A5554" t="str">
        <f>_xlfn.XLOOKUP(B5554,Ingot!$H$12:$H$119,Ingot!$G$12:$G$119,"")</f>
        <v>Wood</v>
      </c>
      <c r="B5554" t="s">
        <v>11009</v>
      </c>
      <c r="C5554" t="s">
        <v>157</v>
      </c>
      <c r="D5554" t="s">
        <v>11166</v>
      </c>
      <c r="E5554" t="s">
        <v>11167</v>
      </c>
      <c r="G5554" s="1">
        <v>21.1</v>
      </c>
    </row>
    <row r="5555" spans="1:7" ht="14.25" hidden="1" customHeight="1" x14ac:dyDescent="0.45">
      <c r="A5555" t="str">
        <f>_xlfn.XLOOKUP(B5555,Ingot!$H$12:$H$119,Ingot!$G$12:$G$119,"")</f>
        <v>Wood</v>
      </c>
      <c r="B5555" t="s">
        <v>11009</v>
      </c>
      <c r="C5555" t="s">
        <v>157</v>
      </c>
      <c r="D5555" t="s">
        <v>11168</v>
      </c>
      <c r="E5555" t="s">
        <v>11169</v>
      </c>
      <c r="G5555" s="1">
        <v>5</v>
      </c>
    </row>
    <row r="5556" spans="1:7" ht="14.25" hidden="1" customHeight="1" x14ac:dyDescent="0.45">
      <c r="A5556" t="str">
        <f>_xlfn.XLOOKUP(B5556,Ingot!$H$12:$H$119,Ingot!$G$12:$G$119,"")</f>
        <v>Wood</v>
      </c>
      <c r="B5556" t="s">
        <v>11009</v>
      </c>
      <c r="C5556" t="s">
        <v>157</v>
      </c>
      <c r="D5556" t="s">
        <v>11170</v>
      </c>
      <c r="E5556" t="s">
        <v>11171</v>
      </c>
      <c r="G5556" s="1">
        <v>5</v>
      </c>
    </row>
    <row r="5557" spans="1:7" ht="14.25" hidden="1" customHeight="1" x14ac:dyDescent="0.45">
      <c r="A5557" t="str">
        <f>_xlfn.XLOOKUP(B5557,Ingot!$H$12:$H$119,Ingot!$G$12:$G$119,"")</f>
        <v>Wood</v>
      </c>
      <c r="B5557" t="s">
        <v>11009</v>
      </c>
      <c r="C5557" t="s">
        <v>157</v>
      </c>
      <c r="D5557" t="s">
        <v>11172</v>
      </c>
      <c r="E5557" t="s">
        <v>11173</v>
      </c>
      <c r="G5557" s="1">
        <v>5</v>
      </c>
    </row>
    <row r="5558" spans="1:7" ht="14.25" hidden="1" customHeight="1" x14ac:dyDescent="0.45">
      <c r="A5558" t="str">
        <f>_xlfn.XLOOKUP(B5558,Ingot!$H$12:$H$119,Ingot!$G$12:$G$119,"")</f>
        <v>Wood</v>
      </c>
      <c r="B5558" t="s">
        <v>11009</v>
      </c>
      <c r="C5558" t="s">
        <v>157</v>
      </c>
      <c r="D5558" t="s">
        <v>11174</v>
      </c>
      <c r="E5558" t="s">
        <v>11175</v>
      </c>
      <c r="G5558" s="1">
        <v>10</v>
      </c>
    </row>
    <row r="5559" spans="1:7" ht="14.25" hidden="1" customHeight="1" x14ac:dyDescent="0.45">
      <c r="A5559" t="str">
        <f>_xlfn.XLOOKUP(B5559,Ingot!$H$12:$H$119,Ingot!$G$12:$G$119,"")</f>
        <v>Wood</v>
      </c>
      <c r="B5559" t="s">
        <v>11009</v>
      </c>
      <c r="C5559" t="s">
        <v>157</v>
      </c>
      <c r="D5559" t="s">
        <v>11176</v>
      </c>
      <c r="E5559" t="s">
        <v>11177</v>
      </c>
      <c r="F5559" t="s">
        <v>180</v>
      </c>
      <c r="G5559" s="1">
        <v>20.3</v>
      </c>
    </row>
    <row r="5560" spans="1:7" ht="14.25" hidden="1" customHeight="1" x14ac:dyDescent="0.45">
      <c r="A5560" t="str">
        <f>_xlfn.XLOOKUP(B5560,Ingot!$H$12:$H$119,Ingot!$G$12:$G$119,"")</f>
        <v>Wood</v>
      </c>
      <c r="B5560" t="s">
        <v>11009</v>
      </c>
      <c r="C5560" t="s">
        <v>157</v>
      </c>
      <c r="D5560" t="s">
        <v>11178</v>
      </c>
      <c r="E5560" t="s">
        <v>11179</v>
      </c>
      <c r="F5560" t="s">
        <v>180</v>
      </c>
      <c r="G5560" s="1">
        <v>5</v>
      </c>
    </row>
    <row r="5561" spans="1:7" ht="14.25" hidden="1" customHeight="1" x14ac:dyDescent="0.45">
      <c r="A5561" t="str">
        <f>_xlfn.XLOOKUP(B5561,Ingot!$H$12:$H$119,Ingot!$G$12:$G$119,"")</f>
        <v>Wood</v>
      </c>
      <c r="B5561" t="s">
        <v>11009</v>
      </c>
      <c r="C5561" t="s">
        <v>157</v>
      </c>
      <c r="D5561" t="s">
        <v>11180</v>
      </c>
      <c r="E5561" t="s">
        <v>11181</v>
      </c>
      <c r="F5561" t="s">
        <v>180</v>
      </c>
      <c r="G5561" s="1">
        <v>5</v>
      </c>
    </row>
    <row r="5562" spans="1:7" ht="14.25" hidden="1" customHeight="1" x14ac:dyDescent="0.45">
      <c r="A5562" t="str">
        <f>_xlfn.XLOOKUP(B5562,Ingot!$H$12:$H$119,Ingot!$G$12:$G$119,"")</f>
        <v>Wood</v>
      </c>
      <c r="B5562" t="s">
        <v>11009</v>
      </c>
      <c r="C5562" t="s">
        <v>157</v>
      </c>
      <c r="D5562" t="s">
        <v>11182</v>
      </c>
      <c r="E5562" t="s">
        <v>11183</v>
      </c>
      <c r="F5562" t="s">
        <v>180</v>
      </c>
      <c r="G5562" s="1">
        <v>5</v>
      </c>
    </row>
    <row r="5563" spans="1:7" ht="14.25" hidden="1" customHeight="1" x14ac:dyDescent="0.45">
      <c r="A5563" t="str">
        <f>_xlfn.XLOOKUP(B5563,Ingot!$H$12:$H$119,Ingot!$G$12:$G$119,"")</f>
        <v>Wood</v>
      </c>
      <c r="B5563" t="s">
        <v>11009</v>
      </c>
      <c r="C5563" t="s">
        <v>157</v>
      </c>
      <c r="D5563" t="s">
        <v>11184</v>
      </c>
      <c r="E5563" t="s">
        <v>11185</v>
      </c>
      <c r="F5563" t="s">
        <v>180</v>
      </c>
      <c r="G5563" s="1">
        <v>10</v>
      </c>
    </row>
    <row r="5564" spans="1:7" ht="14.25" hidden="1" customHeight="1" x14ac:dyDescent="0.45">
      <c r="A5564" t="str">
        <f>_xlfn.XLOOKUP(B5564,Ingot!$H$12:$H$119,Ingot!$G$12:$G$119,"")</f>
        <v>Wood</v>
      </c>
      <c r="B5564" t="s">
        <v>11009</v>
      </c>
      <c r="C5564" t="s">
        <v>157</v>
      </c>
      <c r="D5564" t="s">
        <v>11186</v>
      </c>
      <c r="E5564" t="s">
        <v>11187</v>
      </c>
      <c r="G5564" s="1">
        <v>22.3</v>
      </c>
    </row>
    <row r="5565" spans="1:7" ht="14.25" hidden="1" customHeight="1" x14ac:dyDescent="0.45">
      <c r="A5565" t="str">
        <f>_xlfn.XLOOKUP(B5565,Ingot!$H$12:$H$119,Ingot!$G$12:$G$119,"")</f>
        <v>Wood</v>
      </c>
      <c r="B5565" t="s">
        <v>11009</v>
      </c>
      <c r="C5565" t="s">
        <v>157</v>
      </c>
      <c r="D5565" t="s">
        <v>11188</v>
      </c>
      <c r="E5565" t="s">
        <v>11189</v>
      </c>
      <c r="G5565" s="1">
        <v>5</v>
      </c>
    </row>
    <row r="5566" spans="1:7" ht="14.25" hidden="1" customHeight="1" x14ac:dyDescent="0.45">
      <c r="A5566" t="str">
        <f>_xlfn.XLOOKUP(B5566,Ingot!$H$12:$H$119,Ingot!$G$12:$G$119,"")</f>
        <v>Wood</v>
      </c>
      <c r="B5566" t="s">
        <v>11009</v>
      </c>
      <c r="C5566" t="s">
        <v>157</v>
      </c>
      <c r="D5566" t="s">
        <v>11190</v>
      </c>
      <c r="E5566" t="s">
        <v>11191</v>
      </c>
      <c r="G5566" s="1">
        <v>5</v>
      </c>
    </row>
    <row r="5567" spans="1:7" ht="14.25" hidden="1" customHeight="1" x14ac:dyDescent="0.45">
      <c r="A5567" t="str">
        <f>_xlfn.XLOOKUP(B5567,Ingot!$H$12:$H$119,Ingot!$G$12:$G$119,"")</f>
        <v>Wood</v>
      </c>
      <c r="B5567" t="s">
        <v>11009</v>
      </c>
      <c r="C5567" t="s">
        <v>157</v>
      </c>
      <c r="D5567" t="s">
        <v>11192</v>
      </c>
      <c r="E5567" t="s">
        <v>11193</v>
      </c>
      <c r="G5567" s="1">
        <v>5</v>
      </c>
    </row>
    <row r="5568" spans="1:7" ht="14.25" hidden="1" customHeight="1" x14ac:dyDescent="0.45">
      <c r="A5568" t="str">
        <f>_xlfn.XLOOKUP(B5568,Ingot!$H$12:$H$119,Ingot!$G$12:$G$119,"")</f>
        <v>Wood</v>
      </c>
      <c r="B5568" t="s">
        <v>11009</v>
      </c>
      <c r="C5568" t="s">
        <v>157</v>
      </c>
      <c r="D5568" t="s">
        <v>11194</v>
      </c>
      <c r="E5568" t="s">
        <v>11195</v>
      </c>
      <c r="G5568" s="1">
        <v>10</v>
      </c>
    </row>
    <row r="5569" spans="1:7" ht="14.25" hidden="1" customHeight="1" x14ac:dyDescent="0.45">
      <c r="A5569" t="str">
        <f>_xlfn.XLOOKUP(B5569,Ingot!$H$12:$H$119,Ingot!$G$12:$G$119,"")</f>
        <v>Wood</v>
      </c>
      <c r="B5569" t="s">
        <v>11009</v>
      </c>
      <c r="C5569" t="s">
        <v>157</v>
      </c>
      <c r="D5569" t="s">
        <v>11196</v>
      </c>
      <c r="E5569" t="s">
        <v>11197</v>
      </c>
      <c r="G5569" s="1">
        <v>23.3</v>
      </c>
    </row>
    <row r="5570" spans="1:7" ht="14.25" hidden="1" customHeight="1" x14ac:dyDescent="0.45">
      <c r="A5570" t="str">
        <f>_xlfn.XLOOKUP(B5570,Ingot!$H$12:$H$119,Ingot!$G$12:$G$119,"")</f>
        <v>Wood</v>
      </c>
      <c r="B5570" t="s">
        <v>11009</v>
      </c>
      <c r="C5570" t="s">
        <v>157</v>
      </c>
      <c r="D5570" t="s">
        <v>11198</v>
      </c>
      <c r="E5570" t="s">
        <v>11199</v>
      </c>
      <c r="F5570" t="s">
        <v>180</v>
      </c>
      <c r="G5570" s="1">
        <v>5</v>
      </c>
    </row>
    <row r="5571" spans="1:7" ht="14.25" hidden="1" customHeight="1" x14ac:dyDescent="0.45">
      <c r="A5571" t="str">
        <f>_xlfn.XLOOKUP(B5571,Ingot!$H$12:$H$119,Ingot!$G$12:$G$119,"")</f>
        <v>Wood</v>
      </c>
      <c r="B5571" t="s">
        <v>11009</v>
      </c>
      <c r="C5571" t="s">
        <v>157</v>
      </c>
      <c r="D5571" t="s">
        <v>11200</v>
      </c>
      <c r="E5571" t="s">
        <v>11201</v>
      </c>
      <c r="F5571" t="s">
        <v>180</v>
      </c>
      <c r="G5571" s="1">
        <v>5</v>
      </c>
    </row>
    <row r="5572" spans="1:7" ht="14.25" hidden="1" customHeight="1" x14ac:dyDescent="0.45">
      <c r="A5572" t="str">
        <f>_xlfn.XLOOKUP(B5572,Ingot!$H$12:$H$119,Ingot!$G$12:$G$119,"")</f>
        <v>Wood</v>
      </c>
      <c r="B5572" t="s">
        <v>11009</v>
      </c>
      <c r="C5572" t="s">
        <v>157</v>
      </c>
      <c r="D5572" t="s">
        <v>11202</v>
      </c>
      <c r="E5572" t="s">
        <v>11203</v>
      </c>
      <c r="F5572" t="s">
        <v>180</v>
      </c>
      <c r="G5572" s="1">
        <v>5</v>
      </c>
    </row>
    <row r="5573" spans="1:7" ht="14.25" hidden="1" customHeight="1" x14ac:dyDescent="0.45">
      <c r="A5573" t="str">
        <f>_xlfn.XLOOKUP(B5573,Ingot!$H$12:$H$119,Ingot!$G$12:$G$119,"")</f>
        <v>Wood</v>
      </c>
      <c r="B5573" t="s">
        <v>11009</v>
      </c>
      <c r="C5573" t="s">
        <v>157</v>
      </c>
      <c r="D5573" t="s">
        <v>11204</v>
      </c>
      <c r="E5573" t="s">
        <v>11205</v>
      </c>
      <c r="G5573" s="1">
        <v>10</v>
      </c>
    </row>
    <row r="5574" spans="1:7" ht="14.25" hidden="1" customHeight="1" x14ac:dyDescent="0.45">
      <c r="A5574" t="str">
        <f>_xlfn.XLOOKUP(B5574,Ingot!$H$12:$H$119,Ingot!$G$12:$G$119,"")</f>
        <v>Wood</v>
      </c>
      <c r="B5574" t="s">
        <v>11009</v>
      </c>
      <c r="C5574" t="s">
        <v>157</v>
      </c>
      <c r="D5574" t="s">
        <v>11206</v>
      </c>
      <c r="E5574" t="s">
        <v>11207</v>
      </c>
      <c r="G5574" s="1">
        <v>27.1</v>
      </c>
    </row>
    <row r="5575" spans="1:7" ht="14.25" hidden="1" customHeight="1" x14ac:dyDescent="0.45">
      <c r="A5575" t="str">
        <f>_xlfn.XLOOKUP(B5575,Ingot!$H$12:$H$119,Ingot!$G$12:$G$119,"")</f>
        <v>Wood</v>
      </c>
      <c r="B5575" t="s">
        <v>11009</v>
      </c>
      <c r="C5575" t="s">
        <v>157</v>
      </c>
      <c r="D5575" t="s">
        <v>11208</v>
      </c>
      <c r="E5575" t="s">
        <v>11209</v>
      </c>
      <c r="G5575" s="1">
        <v>5.42</v>
      </c>
    </row>
    <row r="5576" spans="1:7" ht="14.25" hidden="1" customHeight="1" x14ac:dyDescent="0.45">
      <c r="A5576" t="str">
        <f>_xlfn.XLOOKUP(B5576,Ingot!$H$12:$H$119,Ingot!$G$12:$G$119,"")</f>
        <v>Wood</v>
      </c>
      <c r="B5576" t="s">
        <v>11009</v>
      </c>
      <c r="C5576" t="s">
        <v>157</v>
      </c>
      <c r="D5576" t="s">
        <v>11210</v>
      </c>
      <c r="E5576" t="s">
        <v>11211</v>
      </c>
      <c r="G5576" s="1">
        <v>5.42</v>
      </c>
    </row>
    <row r="5577" spans="1:7" ht="14.25" hidden="1" customHeight="1" x14ac:dyDescent="0.45">
      <c r="A5577" t="str">
        <f>_xlfn.XLOOKUP(B5577,Ingot!$H$12:$H$119,Ingot!$G$12:$G$119,"")</f>
        <v>Wood</v>
      </c>
      <c r="B5577" t="s">
        <v>11009</v>
      </c>
      <c r="C5577" t="s">
        <v>157</v>
      </c>
      <c r="D5577" t="s">
        <v>11212</v>
      </c>
      <c r="E5577" t="s">
        <v>11213</v>
      </c>
      <c r="G5577" s="1">
        <v>5</v>
      </c>
    </row>
    <row r="5578" spans="1:7" ht="14.25" hidden="1" customHeight="1" x14ac:dyDescent="0.45">
      <c r="A5578" t="str">
        <f>_xlfn.XLOOKUP(B5578,Ingot!$H$12:$H$119,Ingot!$G$12:$G$119,"")</f>
        <v>Wood</v>
      </c>
      <c r="B5578" t="s">
        <v>11009</v>
      </c>
      <c r="C5578" t="s">
        <v>157</v>
      </c>
      <c r="D5578" t="s">
        <v>11214</v>
      </c>
      <c r="E5578" t="s">
        <v>11215</v>
      </c>
      <c r="G5578" s="1">
        <v>10</v>
      </c>
    </row>
    <row r="5579" spans="1:7" ht="14.25" hidden="1" customHeight="1" x14ac:dyDescent="0.45">
      <c r="A5579" t="str">
        <f>_xlfn.XLOOKUP(B5579,Ingot!$H$12:$H$119,Ingot!$G$12:$G$119,"")</f>
        <v>Wood</v>
      </c>
      <c r="B5579" t="s">
        <v>11009</v>
      </c>
      <c r="C5579" t="s">
        <v>157</v>
      </c>
      <c r="D5579" t="s">
        <v>11216</v>
      </c>
      <c r="E5579" t="s">
        <v>11217</v>
      </c>
      <c r="G5579" s="1">
        <v>25.8</v>
      </c>
    </row>
    <row r="5580" spans="1:7" ht="14.25" hidden="1" customHeight="1" x14ac:dyDescent="0.45">
      <c r="A5580" t="str">
        <f>_xlfn.XLOOKUP(B5580,Ingot!$H$12:$H$119,Ingot!$G$12:$G$119,"")</f>
        <v>Wood</v>
      </c>
      <c r="B5580" t="s">
        <v>11009</v>
      </c>
      <c r="C5580" t="s">
        <v>157</v>
      </c>
      <c r="D5580" t="s">
        <v>11218</v>
      </c>
      <c r="E5580" t="s">
        <v>11219</v>
      </c>
      <c r="G5580" s="1">
        <v>5.16</v>
      </c>
    </row>
    <row r="5581" spans="1:7" ht="14.25" hidden="1" customHeight="1" x14ac:dyDescent="0.45">
      <c r="A5581" t="str">
        <f>_xlfn.XLOOKUP(B5581,Ingot!$H$12:$H$119,Ingot!$G$12:$G$119,"")</f>
        <v>Wood</v>
      </c>
      <c r="B5581" t="s">
        <v>11009</v>
      </c>
      <c r="C5581" t="s">
        <v>157</v>
      </c>
      <c r="D5581" t="s">
        <v>11220</v>
      </c>
      <c r="E5581" t="s">
        <v>11221</v>
      </c>
      <c r="G5581" s="1">
        <v>5.16</v>
      </c>
    </row>
    <row r="5582" spans="1:7" ht="14.25" hidden="1" customHeight="1" x14ac:dyDescent="0.45">
      <c r="A5582" t="str">
        <f>_xlfn.XLOOKUP(B5582,Ingot!$H$12:$H$119,Ingot!$G$12:$G$119,"")</f>
        <v>Wood</v>
      </c>
      <c r="B5582" t="s">
        <v>11009</v>
      </c>
      <c r="C5582" t="s">
        <v>157</v>
      </c>
      <c r="D5582" t="s">
        <v>11222</v>
      </c>
      <c r="E5582" t="s">
        <v>11223</v>
      </c>
      <c r="G5582" s="1">
        <v>5</v>
      </c>
    </row>
    <row r="5583" spans="1:7" ht="14.25" hidden="1" customHeight="1" x14ac:dyDescent="0.45">
      <c r="A5583" t="str">
        <f>_xlfn.XLOOKUP(B5583,Ingot!$H$12:$H$119,Ingot!$G$12:$G$119,"")</f>
        <v>Wood</v>
      </c>
      <c r="B5583" t="s">
        <v>11009</v>
      </c>
      <c r="C5583" t="s">
        <v>157</v>
      </c>
      <c r="D5583" t="s">
        <v>11224</v>
      </c>
      <c r="E5583" t="s">
        <v>11225</v>
      </c>
      <c r="G5583" s="1">
        <v>10</v>
      </c>
    </row>
    <row r="5584" spans="1:7" ht="14.25" hidden="1" customHeight="1" x14ac:dyDescent="0.45">
      <c r="A5584" t="str">
        <f>_xlfn.XLOOKUP(B5584,Ingot!$H$12:$H$119,Ingot!$G$12:$G$119,"")</f>
        <v>Wood</v>
      </c>
      <c r="B5584" t="s">
        <v>11009</v>
      </c>
      <c r="C5584" t="s">
        <v>157</v>
      </c>
      <c r="D5584" t="s">
        <v>11226</v>
      </c>
      <c r="E5584" t="s">
        <v>11227</v>
      </c>
      <c r="F5584" t="s">
        <v>180</v>
      </c>
      <c r="G5584" s="1">
        <v>19.5</v>
      </c>
    </row>
    <row r="5585" spans="1:7" ht="14.25" hidden="1" customHeight="1" x14ac:dyDescent="0.45">
      <c r="A5585" t="str">
        <f>_xlfn.XLOOKUP(B5585,Ingot!$H$12:$H$119,Ingot!$G$12:$G$119,"")</f>
        <v>Wood</v>
      </c>
      <c r="B5585" t="s">
        <v>11009</v>
      </c>
      <c r="C5585" t="s">
        <v>157</v>
      </c>
      <c r="D5585" t="s">
        <v>11228</v>
      </c>
      <c r="E5585" t="s">
        <v>11229</v>
      </c>
      <c r="F5585" t="s">
        <v>180</v>
      </c>
      <c r="G5585" s="1">
        <v>5</v>
      </c>
    </row>
    <row r="5586" spans="1:7" ht="14.25" hidden="1" customHeight="1" x14ac:dyDescent="0.45">
      <c r="A5586" t="str">
        <f>_xlfn.XLOOKUP(B5586,Ingot!$H$12:$H$119,Ingot!$G$12:$G$119,"")</f>
        <v>Wood</v>
      </c>
      <c r="B5586" t="s">
        <v>11009</v>
      </c>
      <c r="C5586" t="s">
        <v>157</v>
      </c>
      <c r="D5586" t="s">
        <v>11230</v>
      </c>
      <c r="E5586" t="s">
        <v>11231</v>
      </c>
      <c r="F5586" t="s">
        <v>180</v>
      </c>
      <c r="G5586" s="1">
        <v>5</v>
      </c>
    </row>
    <row r="5587" spans="1:7" ht="14.25" hidden="1" customHeight="1" x14ac:dyDescent="0.45">
      <c r="A5587" t="str">
        <f>_xlfn.XLOOKUP(B5587,Ingot!$H$12:$H$119,Ingot!$G$12:$G$119,"")</f>
        <v>Wood</v>
      </c>
      <c r="B5587" t="s">
        <v>11009</v>
      </c>
      <c r="C5587" t="s">
        <v>157</v>
      </c>
      <c r="D5587" t="s">
        <v>11232</v>
      </c>
      <c r="E5587" t="s">
        <v>11233</v>
      </c>
      <c r="F5587" t="s">
        <v>180</v>
      </c>
      <c r="G5587" s="1">
        <v>5</v>
      </c>
    </row>
    <row r="5588" spans="1:7" ht="14.25" hidden="1" customHeight="1" x14ac:dyDescent="0.45">
      <c r="A5588" t="str">
        <f>_xlfn.XLOOKUP(B5588,Ingot!$H$12:$H$119,Ingot!$G$12:$G$119,"")</f>
        <v>Wood</v>
      </c>
      <c r="B5588" t="s">
        <v>11009</v>
      </c>
      <c r="C5588" t="s">
        <v>157</v>
      </c>
      <c r="D5588" t="s">
        <v>11234</v>
      </c>
      <c r="E5588" t="s">
        <v>11235</v>
      </c>
      <c r="F5588" t="s">
        <v>180</v>
      </c>
      <c r="G5588" s="1">
        <v>10</v>
      </c>
    </row>
    <row r="5589" spans="1:7" ht="14.25" hidden="1" customHeight="1" x14ac:dyDescent="0.45">
      <c r="A5589" t="str">
        <f>_xlfn.XLOOKUP(B5589,Ingot!$H$12:$H$119,Ingot!$G$12:$G$119,"")</f>
        <v>Wood</v>
      </c>
      <c r="B5589" t="s">
        <v>11009</v>
      </c>
      <c r="C5589" t="s">
        <v>239</v>
      </c>
      <c r="D5589" t="s">
        <v>11236</v>
      </c>
      <c r="E5589" t="s">
        <v>11237</v>
      </c>
      <c r="G5589" s="1">
        <f>(VLOOKUP(B5589,Ingot!H:I,2,FALSE()) * 0.75) * 0.75</f>
        <v>5.625</v>
      </c>
    </row>
    <row r="5590" spans="1:7" ht="14.25" hidden="1" customHeight="1" x14ac:dyDescent="0.45">
      <c r="A5590" t="str">
        <f>_xlfn.XLOOKUP(B5590,Ingot!$H$12:$H$119,Ingot!$G$12:$G$119,"")</f>
        <v>Wood</v>
      </c>
      <c r="B5590" t="s">
        <v>11009</v>
      </c>
      <c r="C5590" t="s">
        <v>239</v>
      </c>
      <c r="D5590" t="s">
        <v>11238</v>
      </c>
      <c r="E5590" t="s">
        <v>11239</v>
      </c>
      <c r="G5590" s="1">
        <f>((VLOOKUP(B5590,Ingot!H:I,2,FALSE()) * 3) - 10.25) * 0.421875</f>
        <v>8.33203125</v>
      </c>
    </row>
    <row r="5591" spans="1:7" ht="14.25" hidden="1" customHeight="1" x14ac:dyDescent="0.45">
      <c r="A5591" t="str">
        <f>_xlfn.XLOOKUP(B5591,Ingot!$H$12:$H$119,Ingot!$G$12:$G$119,"")</f>
        <v>Wood</v>
      </c>
      <c r="B5591" t="s">
        <v>11009</v>
      </c>
      <c r="C5591" t="s">
        <v>239</v>
      </c>
      <c r="D5591" t="s">
        <v>11240</v>
      </c>
      <c r="E5591" t="s">
        <v>11241</v>
      </c>
      <c r="G5591" s="1">
        <f>((VLOOKUP(B5591,Ingot!H:I,2,FALSE()) * 3) - 10.25) * 0.75</f>
        <v>14.8125</v>
      </c>
    </row>
    <row r="5592" spans="1:7" ht="14.25" hidden="1" customHeight="1" x14ac:dyDescent="0.45">
      <c r="A5592" t="str">
        <f>_xlfn.XLOOKUP(B5592,Ingot!$H$12:$H$119,Ingot!$G$12:$G$119,"")</f>
        <v>Wood</v>
      </c>
      <c r="B5592" t="s">
        <v>11009</v>
      </c>
      <c r="C5592" t="s">
        <v>239</v>
      </c>
      <c r="D5592" t="s">
        <v>11242</v>
      </c>
      <c r="E5592" t="s">
        <v>11243</v>
      </c>
      <c r="G5592" s="1">
        <f>((VLOOKUP(B5592,Ingot!H:I,2,FALSE()) * 3) - 10.25) * 0.5625</f>
        <v>11.109375</v>
      </c>
    </row>
    <row r="5593" spans="1:7" ht="14.25" hidden="1" customHeight="1" x14ac:dyDescent="0.45">
      <c r="A5593" t="str">
        <f>_xlfn.XLOOKUP(B5593,Ingot!$H$12:$H$119,Ingot!$G$12:$G$119,"")</f>
        <v>Wood</v>
      </c>
      <c r="B5593" t="s">
        <v>11009</v>
      </c>
      <c r="C5593" t="s">
        <v>239</v>
      </c>
      <c r="D5593" t="s">
        <v>11244</v>
      </c>
      <c r="E5593" t="s">
        <v>11245</v>
      </c>
      <c r="G5593" s="1">
        <f>VLOOKUP(B5593,Ingot!H:I,2,FALSE()) * 0.75</f>
        <v>7.5</v>
      </c>
    </row>
    <row r="5594" spans="1:7" ht="14.25" hidden="1" customHeight="1" x14ac:dyDescent="0.45">
      <c r="A5594" t="str">
        <f>_xlfn.XLOOKUP(B5594,Ingot!$H$12:$H$119,Ingot!$G$12:$G$119,"")</f>
        <v>Wood</v>
      </c>
      <c r="B5594" t="s">
        <v>11009</v>
      </c>
      <c r="C5594" t="s">
        <v>239</v>
      </c>
      <c r="D5594" t="s">
        <v>11246</v>
      </c>
      <c r="E5594" t="s">
        <v>11247</v>
      </c>
      <c r="G5594" s="1">
        <f>(VLOOKUP(B5594,Ingot!H:I,2,FALSE()) * 3) - 10.25</f>
        <v>19.75</v>
      </c>
    </row>
    <row r="5595" spans="1:7" ht="14.25" hidden="1" customHeight="1" x14ac:dyDescent="0.45">
      <c r="A5595" t="str">
        <f>_xlfn.XLOOKUP(B5595,Ingot!$H$12:$H$119,Ingot!$G$12:$G$119,"")</f>
        <v>Wood</v>
      </c>
      <c r="B5595" t="s">
        <v>11248</v>
      </c>
      <c r="C5595" t="s">
        <v>10</v>
      </c>
      <c r="D5595" t="s">
        <v>11249</v>
      </c>
      <c r="E5595" t="s">
        <v>11250</v>
      </c>
      <c r="G5595" s="1">
        <v>0.08</v>
      </c>
    </row>
    <row r="5596" spans="1:7" ht="14.25" hidden="1" customHeight="1" x14ac:dyDescent="0.45">
      <c r="A5596" t="str">
        <f>_xlfn.XLOOKUP(B5596,Ingot!$H$12:$H$119,Ingot!$G$12:$G$119,"")</f>
        <v>Wood</v>
      </c>
      <c r="B5596" t="s">
        <v>11248</v>
      </c>
      <c r="C5596" t="s">
        <v>10</v>
      </c>
      <c r="D5596" t="s">
        <v>11251</v>
      </c>
      <c r="E5596" t="s">
        <v>11252</v>
      </c>
      <c r="G5596" s="1">
        <v>9.9</v>
      </c>
    </row>
    <row r="5597" spans="1:7" ht="14.25" hidden="1" customHeight="1" x14ac:dyDescent="0.45">
      <c r="A5597" t="str">
        <f>_xlfn.XLOOKUP(B5597,Ingot!$H$12:$H$119,Ingot!$G$12:$G$119,"")</f>
        <v>Wood</v>
      </c>
      <c r="B5597" t="s">
        <v>11248</v>
      </c>
      <c r="C5597" t="s">
        <v>10</v>
      </c>
      <c r="D5597" t="s">
        <v>11253</v>
      </c>
      <c r="E5597" t="s">
        <v>11254</v>
      </c>
      <c r="G5597" s="1">
        <v>5.66</v>
      </c>
    </row>
    <row r="5598" spans="1:7" ht="14.25" hidden="1" customHeight="1" x14ac:dyDescent="0.45">
      <c r="A5598" t="str">
        <f>_xlfn.XLOOKUP(B5598,Ingot!$H$12:$H$119,Ingot!$G$12:$G$119,"")</f>
        <v>Wood</v>
      </c>
      <c r="B5598" t="s">
        <v>11248</v>
      </c>
      <c r="C5598" t="s">
        <v>10</v>
      </c>
      <c r="D5598" t="s">
        <v>11255</v>
      </c>
      <c r="E5598" t="s">
        <v>11256</v>
      </c>
      <c r="G5598" s="1">
        <v>3.3</v>
      </c>
    </row>
    <row r="5599" spans="1:7" ht="14.25" hidden="1" customHeight="1" x14ac:dyDescent="0.45">
      <c r="A5599" t="str">
        <f>_xlfn.XLOOKUP(B5599,Ingot!$H$12:$H$119,Ingot!$G$12:$G$119,"")</f>
        <v>Wood</v>
      </c>
      <c r="B5599" t="s">
        <v>11248</v>
      </c>
      <c r="C5599" t="s">
        <v>10</v>
      </c>
      <c r="D5599" t="s">
        <v>11257</v>
      </c>
      <c r="E5599" t="s">
        <v>11258</v>
      </c>
      <c r="G5599" s="1">
        <v>0.66</v>
      </c>
    </row>
    <row r="5600" spans="1:7" ht="14.25" hidden="1" customHeight="1" x14ac:dyDescent="0.45">
      <c r="A5600" t="str">
        <f>_xlfn.XLOOKUP(B5600,Ingot!$H$12:$H$119,Ingot!$G$12:$G$119,"")</f>
        <v>Wood</v>
      </c>
      <c r="B5600" t="s">
        <v>11248</v>
      </c>
      <c r="C5600" t="s">
        <v>10</v>
      </c>
      <c r="D5600" t="s">
        <v>11259</v>
      </c>
      <c r="E5600" t="s">
        <v>11260</v>
      </c>
      <c r="G5600" s="1">
        <v>0.04</v>
      </c>
    </row>
    <row r="5601" spans="1:7" ht="14.25" hidden="1" customHeight="1" x14ac:dyDescent="0.45">
      <c r="A5601" t="str">
        <f>_xlfn.XLOOKUP(B5601,Ingot!$H$12:$H$119,Ingot!$G$12:$G$119,"")</f>
        <v>Wood</v>
      </c>
      <c r="B5601" t="s">
        <v>11248</v>
      </c>
      <c r="C5601" t="s">
        <v>10</v>
      </c>
      <c r="D5601" t="s">
        <v>11261</v>
      </c>
      <c r="E5601" t="s">
        <v>11262</v>
      </c>
      <c r="G5601" s="1">
        <v>0.33</v>
      </c>
    </row>
    <row r="5602" spans="1:7" ht="14.25" hidden="1" customHeight="1" x14ac:dyDescent="0.45">
      <c r="A5602" t="str">
        <f>_xlfn.XLOOKUP(B5602,Ingot!$H$12:$H$119,Ingot!$G$12:$G$119,"")</f>
        <v>Wood</v>
      </c>
      <c r="B5602" t="s">
        <v>11248</v>
      </c>
      <c r="C5602" t="s">
        <v>10</v>
      </c>
      <c r="D5602" t="s">
        <v>11263</v>
      </c>
      <c r="E5602" t="s">
        <v>11264</v>
      </c>
    </row>
    <row r="5603" spans="1:7" ht="14.25" hidden="1" customHeight="1" x14ac:dyDescent="0.45">
      <c r="A5603" t="str">
        <f>_xlfn.XLOOKUP(B5603,Ingot!$H$12:$H$119,Ingot!$G$12:$G$119,"")</f>
        <v>Wood</v>
      </c>
      <c r="B5603" t="s">
        <v>11248</v>
      </c>
      <c r="C5603" t="s">
        <v>10</v>
      </c>
      <c r="D5603" t="s">
        <v>11265</v>
      </c>
      <c r="E5603" t="s">
        <v>11266</v>
      </c>
      <c r="G5603" s="1">
        <v>0.05</v>
      </c>
    </row>
    <row r="5604" spans="1:7" ht="14.25" hidden="1" customHeight="1" x14ac:dyDescent="0.45">
      <c r="A5604" t="str">
        <f>_xlfn.XLOOKUP(B5604,Ingot!$H$12:$H$119,Ingot!$G$12:$G$119,"")</f>
        <v>Wood</v>
      </c>
      <c r="B5604" t="s">
        <v>11248</v>
      </c>
      <c r="C5604" t="s">
        <v>10</v>
      </c>
      <c r="D5604" t="s">
        <v>11267</v>
      </c>
      <c r="E5604" t="s">
        <v>11268</v>
      </c>
      <c r="G5604" s="1">
        <v>0.66</v>
      </c>
    </row>
    <row r="5605" spans="1:7" ht="14.25" hidden="1" customHeight="1" x14ac:dyDescent="0.45">
      <c r="A5605" t="str">
        <f>_xlfn.XLOOKUP(B5605,Ingot!$H$12:$H$119,Ingot!$G$12:$G$119,"")</f>
        <v>Wood</v>
      </c>
      <c r="B5605" t="s">
        <v>11248</v>
      </c>
      <c r="C5605" t="s">
        <v>10</v>
      </c>
      <c r="D5605" t="s">
        <v>11269</v>
      </c>
      <c r="E5605" t="s">
        <v>11270</v>
      </c>
      <c r="G5605" s="1">
        <v>3.96</v>
      </c>
    </row>
    <row r="5606" spans="1:7" ht="14.25" hidden="1" customHeight="1" x14ac:dyDescent="0.45">
      <c r="A5606" t="str">
        <f>_xlfn.XLOOKUP(B5606,Ingot!$H$12:$H$119,Ingot!$G$12:$G$119,"")</f>
        <v>Wood</v>
      </c>
      <c r="B5606" t="s">
        <v>11248</v>
      </c>
      <c r="C5606" t="s">
        <v>10</v>
      </c>
      <c r="D5606" t="s">
        <v>11271</v>
      </c>
      <c r="E5606" t="s">
        <v>11272</v>
      </c>
      <c r="G5606" s="1">
        <v>8.77</v>
      </c>
    </row>
    <row r="5607" spans="1:7" ht="14.25" hidden="1" customHeight="1" x14ac:dyDescent="0.45">
      <c r="A5607" t="str">
        <f>_xlfn.XLOOKUP(B5607,Ingot!$H$12:$H$119,Ingot!$G$12:$G$119,"")</f>
        <v>Wood</v>
      </c>
      <c r="B5607" t="s">
        <v>11248</v>
      </c>
      <c r="C5607" t="s">
        <v>10</v>
      </c>
      <c r="D5607" t="s">
        <v>11273</v>
      </c>
      <c r="E5607" t="s">
        <v>11274</v>
      </c>
      <c r="G5607" s="1">
        <v>3.5</v>
      </c>
    </row>
    <row r="5608" spans="1:7" ht="14.25" hidden="1" customHeight="1" x14ac:dyDescent="0.45">
      <c r="A5608" t="str">
        <f>_xlfn.XLOOKUP(B5608,Ingot!$H$12:$H$119,Ingot!$G$12:$G$119,"")</f>
        <v>Wood</v>
      </c>
      <c r="B5608" t="s">
        <v>11248</v>
      </c>
      <c r="C5608" t="s">
        <v>10</v>
      </c>
      <c r="D5608" t="s">
        <v>11275</v>
      </c>
      <c r="E5608" t="s">
        <v>11276</v>
      </c>
    </row>
    <row r="5609" spans="1:7" ht="14.25" hidden="1" customHeight="1" x14ac:dyDescent="0.45">
      <c r="A5609" t="str">
        <f>_xlfn.XLOOKUP(B5609,Ingot!$H$12:$H$119,Ingot!$G$12:$G$119,"")</f>
        <v>Wood</v>
      </c>
      <c r="B5609" t="s">
        <v>11248</v>
      </c>
      <c r="C5609" t="s">
        <v>10</v>
      </c>
      <c r="D5609" t="s">
        <v>11277</v>
      </c>
      <c r="E5609" t="s">
        <v>11278</v>
      </c>
      <c r="G5609" s="1">
        <v>2.2000000000000002</v>
      </c>
    </row>
    <row r="5610" spans="1:7" ht="14.25" hidden="1" customHeight="1" x14ac:dyDescent="0.45">
      <c r="A5610" t="str">
        <f>_xlfn.XLOOKUP(B5610,Ingot!$H$12:$H$119,Ingot!$G$12:$G$119,"")</f>
        <v>Wood</v>
      </c>
      <c r="B5610" t="s">
        <v>11248</v>
      </c>
      <c r="C5610" t="s">
        <v>10</v>
      </c>
      <c r="D5610" t="s">
        <v>11279</v>
      </c>
      <c r="E5610" t="s">
        <v>11280</v>
      </c>
      <c r="G5610" s="1">
        <v>1.1000000000000001</v>
      </c>
    </row>
    <row r="5611" spans="1:7" ht="14.25" hidden="1" customHeight="1" x14ac:dyDescent="0.45">
      <c r="A5611" t="str">
        <f>_xlfn.XLOOKUP(B5611,Ingot!$H$12:$H$119,Ingot!$G$12:$G$119,"")</f>
        <v>Wood</v>
      </c>
      <c r="B5611" t="s">
        <v>11248</v>
      </c>
      <c r="C5611" t="s">
        <v>10</v>
      </c>
      <c r="D5611" t="s">
        <v>11281</v>
      </c>
      <c r="E5611" t="s">
        <v>11282</v>
      </c>
      <c r="G5611" s="1">
        <v>0.22</v>
      </c>
    </row>
    <row r="5612" spans="1:7" ht="14.25" hidden="1" customHeight="1" x14ac:dyDescent="0.45">
      <c r="A5612" t="str">
        <f>_xlfn.XLOOKUP(B5612,Ingot!$H$12:$H$119,Ingot!$G$12:$G$119,"")</f>
        <v>Wood</v>
      </c>
      <c r="B5612" t="s">
        <v>11248</v>
      </c>
      <c r="C5612" t="s">
        <v>10</v>
      </c>
      <c r="D5612" t="s">
        <v>11283</v>
      </c>
      <c r="E5612" t="s">
        <v>11284</v>
      </c>
      <c r="G5612" s="1">
        <v>8.41</v>
      </c>
    </row>
    <row r="5613" spans="1:7" ht="14.25" hidden="1" customHeight="1" x14ac:dyDescent="0.45">
      <c r="A5613" t="str">
        <f>_xlfn.XLOOKUP(B5613,Ingot!$H$12:$H$119,Ingot!$G$12:$G$119,"")</f>
        <v>Wood</v>
      </c>
      <c r="B5613" t="s">
        <v>11248</v>
      </c>
      <c r="C5613" t="s">
        <v>10</v>
      </c>
      <c r="D5613" t="s">
        <v>11285</v>
      </c>
      <c r="E5613" t="s">
        <v>11286</v>
      </c>
      <c r="G5613" s="1">
        <v>3.64</v>
      </c>
    </row>
    <row r="5614" spans="1:7" ht="14.25" hidden="1" customHeight="1" x14ac:dyDescent="0.45">
      <c r="A5614" t="str">
        <f>_xlfn.XLOOKUP(B5614,Ingot!$H$12:$H$119,Ingot!$G$12:$G$119,"")</f>
        <v>Wood</v>
      </c>
      <c r="B5614" t="s">
        <v>11248</v>
      </c>
      <c r="C5614" t="s">
        <v>10</v>
      </c>
      <c r="D5614" t="s">
        <v>11287</v>
      </c>
      <c r="E5614" t="s">
        <v>11288</v>
      </c>
      <c r="G5614" s="1">
        <v>7.05</v>
      </c>
    </row>
    <row r="5615" spans="1:7" ht="14.25" hidden="1" customHeight="1" x14ac:dyDescent="0.45">
      <c r="A5615" t="str">
        <f>_xlfn.XLOOKUP(B5615,Ingot!$H$12:$H$119,Ingot!$G$12:$G$119,"")</f>
        <v>Wood</v>
      </c>
      <c r="B5615" t="s">
        <v>11248</v>
      </c>
      <c r="C5615" t="s">
        <v>10</v>
      </c>
      <c r="D5615" t="s">
        <v>11289</v>
      </c>
      <c r="E5615" t="s">
        <v>11290</v>
      </c>
      <c r="G5615" s="1">
        <v>2.65</v>
      </c>
    </row>
    <row r="5616" spans="1:7" ht="14.25" hidden="1" customHeight="1" x14ac:dyDescent="0.45">
      <c r="A5616" t="str">
        <f>_xlfn.XLOOKUP(B5616,Ingot!$H$12:$H$119,Ingot!$G$12:$G$119,"")</f>
        <v>Wood</v>
      </c>
      <c r="B5616" t="s">
        <v>11248</v>
      </c>
      <c r="C5616" t="s">
        <v>10</v>
      </c>
      <c r="D5616" t="s">
        <v>11291</v>
      </c>
      <c r="E5616" t="s">
        <v>11292</v>
      </c>
      <c r="G5616" s="1">
        <v>9</v>
      </c>
    </row>
    <row r="5617" spans="1:7" ht="14.25" hidden="1" customHeight="1" x14ac:dyDescent="0.45">
      <c r="A5617" t="str">
        <f>_xlfn.XLOOKUP(B5617,Ingot!$H$12:$H$119,Ingot!$G$12:$G$119,"")</f>
        <v>Wood</v>
      </c>
      <c r="B5617" t="s">
        <v>11248</v>
      </c>
      <c r="C5617" t="s">
        <v>10</v>
      </c>
      <c r="D5617" t="s">
        <v>11293</v>
      </c>
      <c r="E5617" t="s">
        <v>11294</v>
      </c>
      <c r="G5617" s="1">
        <v>10.23</v>
      </c>
    </row>
    <row r="5618" spans="1:7" ht="14.25" hidden="1" customHeight="1" x14ac:dyDescent="0.45">
      <c r="A5618" t="str">
        <f>_xlfn.XLOOKUP(B5618,Ingot!$H$12:$H$119,Ingot!$G$12:$G$119,"")</f>
        <v>Wood</v>
      </c>
      <c r="B5618" t="s">
        <v>11248</v>
      </c>
      <c r="C5618" t="s">
        <v>10</v>
      </c>
      <c r="D5618" t="s">
        <v>11295</v>
      </c>
      <c r="E5618" t="s">
        <v>11296</v>
      </c>
      <c r="G5618" s="1">
        <v>7.7</v>
      </c>
    </row>
    <row r="5619" spans="1:7" ht="14.25" hidden="1" customHeight="1" x14ac:dyDescent="0.45">
      <c r="A5619" t="str">
        <f>_xlfn.XLOOKUP(B5619,Ingot!$H$12:$H$119,Ingot!$G$12:$G$119,"")</f>
        <v>Wood</v>
      </c>
      <c r="B5619" t="s">
        <v>11248</v>
      </c>
      <c r="C5619" t="s">
        <v>10</v>
      </c>
      <c r="D5619" t="s">
        <v>11297</v>
      </c>
      <c r="E5619" t="s">
        <v>11298</v>
      </c>
      <c r="G5619" s="1">
        <v>10.02</v>
      </c>
    </row>
    <row r="5620" spans="1:7" ht="14.25" hidden="1" customHeight="1" x14ac:dyDescent="0.45">
      <c r="A5620" t="str">
        <f>_xlfn.XLOOKUP(B5620,Ingot!$H$12:$H$119,Ingot!$G$12:$G$119,"")</f>
        <v>Wood</v>
      </c>
      <c r="B5620" t="s">
        <v>11248</v>
      </c>
      <c r="C5620" t="s">
        <v>10</v>
      </c>
      <c r="D5620" t="s">
        <v>11299</v>
      </c>
      <c r="E5620" t="s">
        <v>11300</v>
      </c>
      <c r="G5620" s="1">
        <v>11.81</v>
      </c>
    </row>
    <row r="5621" spans="1:7" ht="14.25" hidden="1" customHeight="1" x14ac:dyDescent="0.45">
      <c r="A5621" t="str">
        <f>_xlfn.XLOOKUP(B5621,Ingot!$H$12:$H$119,Ingot!$G$12:$G$119,"")</f>
        <v>Wood</v>
      </c>
      <c r="B5621" t="s">
        <v>11248</v>
      </c>
      <c r="C5621" t="s">
        <v>10</v>
      </c>
      <c r="D5621" t="s">
        <v>11301</v>
      </c>
      <c r="E5621" t="s">
        <v>11302</v>
      </c>
      <c r="G5621" s="1">
        <v>8.44</v>
      </c>
    </row>
    <row r="5622" spans="1:7" ht="14.25" hidden="1" customHeight="1" x14ac:dyDescent="0.45">
      <c r="A5622" t="str">
        <f>_xlfn.XLOOKUP(B5622,Ingot!$H$12:$H$119,Ingot!$G$12:$G$119,"")</f>
        <v>Wood</v>
      </c>
      <c r="B5622" t="s">
        <v>11248</v>
      </c>
      <c r="C5622" t="s">
        <v>10</v>
      </c>
      <c r="D5622" t="s">
        <v>11303</v>
      </c>
      <c r="E5622" t="s">
        <v>11304</v>
      </c>
      <c r="G5622" s="1">
        <v>10.42</v>
      </c>
    </row>
    <row r="5623" spans="1:7" ht="14.25" hidden="1" customHeight="1" x14ac:dyDescent="0.45">
      <c r="A5623" t="str">
        <f>_xlfn.XLOOKUP(B5623,Ingot!$H$12:$H$119,Ingot!$G$12:$G$119,"")</f>
        <v>Wood</v>
      </c>
      <c r="B5623" t="s">
        <v>11248</v>
      </c>
      <c r="C5623" t="s">
        <v>10</v>
      </c>
      <c r="D5623" t="s">
        <v>11305</v>
      </c>
      <c r="E5623" t="s">
        <v>11306</v>
      </c>
    </row>
    <row r="5624" spans="1:7" ht="14.25" hidden="1" customHeight="1" x14ac:dyDescent="0.45">
      <c r="A5624" t="str">
        <f>_xlfn.XLOOKUP(B5624,Ingot!$H$12:$H$119,Ingot!$G$12:$G$119,"")</f>
        <v>Wood</v>
      </c>
      <c r="B5624" t="s">
        <v>11248</v>
      </c>
      <c r="C5624" t="s">
        <v>10</v>
      </c>
      <c r="D5624" t="s">
        <v>11307</v>
      </c>
      <c r="E5624" t="s">
        <v>11308</v>
      </c>
      <c r="G5624" s="1">
        <v>7.96</v>
      </c>
    </row>
    <row r="5625" spans="1:7" ht="14.25" hidden="1" customHeight="1" x14ac:dyDescent="0.45">
      <c r="A5625" t="str">
        <f>_xlfn.XLOOKUP(B5625,Ingot!$H$12:$H$119,Ingot!$G$12:$G$119,"")</f>
        <v>Wood</v>
      </c>
      <c r="B5625" t="s">
        <v>11248</v>
      </c>
      <c r="C5625" t="s">
        <v>10</v>
      </c>
      <c r="D5625" t="s">
        <v>11309</v>
      </c>
      <c r="E5625" t="s">
        <v>11310</v>
      </c>
      <c r="G5625" s="1">
        <v>9.64</v>
      </c>
    </row>
    <row r="5626" spans="1:7" ht="14.25" hidden="1" customHeight="1" x14ac:dyDescent="0.45">
      <c r="A5626" t="str">
        <f>_xlfn.XLOOKUP(B5626,Ingot!$H$12:$H$119,Ingot!$G$12:$G$119,"")</f>
        <v>Wood</v>
      </c>
      <c r="B5626" t="s">
        <v>11248</v>
      </c>
      <c r="C5626" t="s">
        <v>10</v>
      </c>
      <c r="D5626" t="s">
        <v>11311</v>
      </c>
      <c r="E5626" t="s">
        <v>11312</v>
      </c>
      <c r="G5626" s="1">
        <v>7.94</v>
      </c>
    </row>
    <row r="5627" spans="1:7" ht="14.25" hidden="1" customHeight="1" x14ac:dyDescent="0.45">
      <c r="A5627" t="str">
        <f>_xlfn.XLOOKUP(B5627,Ingot!$H$12:$H$119,Ingot!$G$12:$G$119,"")</f>
        <v>Wood</v>
      </c>
      <c r="B5627" t="s">
        <v>11248</v>
      </c>
      <c r="C5627" t="s">
        <v>10</v>
      </c>
      <c r="D5627" t="s">
        <v>11313</v>
      </c>
      <c r="E5627" t="s">
        <v>11314</v>
      </c>
      <c r="G5627" s="1">
        <v>8.66</v>
      </c>
    </row>
    <row r="5628" spans="1:7" ht="14.25" hidden="1" customHeight="1" x14ac:dyDescent="0.45">
      <c r="A5628" t="str">
        <f>_xlfn.XLOOKUP(B5628,Ingot!$H$12:$H$119,Ingot!$G$12:$G$119,"")</f>
        <v>Wood</v>
      </c>
      <c r="B5628" t="s">
        <v>11248</v>
      </c>
      <c r="C5628" t="s">
        <v>10</v>
      </c>
      <c r="D5628" t="s">
        <v>11315</v>
      </c>
      <c r="E5628" t="s">
        <v>11316</v>
      </c>
    </row>
    <row r="5629" spans="1:7" ht="14.25" hidden="1" customHeight="1" x14ac:dyDescent="0.45">
      <c r="A5629" t="str">
        <f>_xlfn.XLOOKUP(B5629,Ingot!$H$12:$H$119,Ingot!$G$12:$G$119,"")</f>
        <v>Wood</v>
      </c>
      <c r="B5629" t="s">
        <v>11248</v>
      </c>
      <c r="C5629" t="s">
        <v>10</v>
      </c>
      <c r="D5629" t="s">
        <v>11317</v>
      </c>
      <c r="E5629" t="s">
        <v>11318</v>
      </c>
      <c r="G5629" s="1">
        <v>2.65</v>
      </c>
    </row>
    <row r="5630" spans="1:7" ht="14.25" hidden="1" customHeight="1" x14ac:dyDescent="0.45">
      <c r="A5630" t="str">
        <f>_xlfn.XLOOKUP(B5630,Ingot!$H$12:$H$119,Ingot!$G$12:$G$119,"")</f>
        <v>Wood</v>
      </c>
      <c r="B5630" t="s">
        <v>11248</v>
      </c>
      <c r="C5630" t="s">
        <v>10</v>
      </c>
      <c r="D5630" t="s">
        <v>11319</v>
      </c>
      <c r="E5630" t="s">
        <v>11320</v>
      </c>
    </row>
    <row r="5631" spans="1:7" ht="14.25" hidden="1" customHeight="1" x14ac:dyDescent="0.45">
      <c r="A5631" t="str">
        <f>_xlfn.XLOOKUP(B5631,Ingot!$H$12:$H$119,Ingot!$G$12:$G$119,"")</f>
        <v>Wood</v>
      </c>
      <c r="B5631" t="s">
        <v>11248</v>
      </c>
      <c r="C5631" t="s">
        <v>10</v>
      </c>
      <c r="D5631" t="s">
        <v>11321</v>
      </c>
      <c r="E5631" t="s">
        <v>11322</v>
      </c>
      <c r="G5631" s="1">
        <v>12.64</v>
      </c>
    </row>
    <row r="5632" spans="1:7" ht="14.25" hidden="1" customHeight="1" x14ac:dyDescent="0.45">
      <c r="A5632" t="str">
        <f>_xlfn.XLOOKUP(B5632,Ingot!$H$12:$H$119,Ingot!$G$12:$G$119,"")</f>
        <v>Wood</v>
      </c>
      <c r="B5632" t="s">
        <v>11248</v>
      </c>
      <c r="C5632" t="s">
        <v>10</v>
      </c>
      <c r="D5632" t="s">
        <v>11323</v>
      </c>
      <c r="E5632" t="s">
        <v>11324</v>
      </c>
      <c r="G5632" s="1">
        <v>22.67</v>
      </c>
    </row>
    <row r="5633" spans="1:7" ht="14.25" hidden="1" customHeight="1" x14ac:dyDescent="0.45">
      <c r="A5633" t="str">
        <f>_xlfn.XLOOKUP(B5633,Ingot!$H$12:$H$119,Ingot!$G$12:$G$119,"")</f>
        <v>Wood</v>
      </c>
      <c r="B5633" t="s">
        <v>11248</v>
      </c>
      <c r="C5633" t="s">
        <v>10</v>
      </c>
      <c r="D5633" t="s">
        <v>11325</v>
      </c>
      <c r="E5633" t="s">
        <v>11326</v>
      </c>
      <c r="G5633" s="1">
        <v>8.3800000000000008</v>
      </c>
    </row>
    <row r="5634" spans="1:7" ht="14.25" hidden="1" customHeight="1" x14ac:dyDescent="0.45">
      <c r="A5634" t="str">
        <f>_xlfn.XLOOKUP(B5634,Ingot!$H$12:$H$119,Ingot!$G$12:$G$119,"")</f>
        <v>Wood</v>
      </c>
      <c r="B5634" t="s">
        <v>11248</v>
      </c>
      <c r="C5634" t="s">
        <v>10</v>
      </c>
      <c r="D5634" t="s">
        <v>11327</v>
      </c>
      <c r="E5634" t="s">
        <v>11328</v>
      </c>
      <c r="G5634" s="1">
        <v>2.2000000000000002</v>
      </c>
    </row>
    <row r="5635" spans="1:7" ht="14.25" hidden="1" customHeight="1" x14ac:dyDescent="0.45">
      <c r="A5635" t="str">
        <f>_xlfn.XLOOKUP(B5635,Ingot!$H$12:$H$119,Ingot!$G$12:$G$119,"")</f>
        <v>Wood</v>
      </c>
      <c r="B5635" t="s">
        <v>11248</v>
      </c>
      <c r="C5635" t="s">
        <v>10</v>
      </c>
      <c r="D5635" t="s">
        <v>11329</v>
      </c>
      <c r="E5635" t="s">
        <v>11330</v>
      </c>
      <c r="G5635" s="1">
        <v>3.09</v>
      </c>
    </row>
    <row r="5636" spans="1:7" ht="14.25" hidden="1" customHeight="1" x14ac:dyDescent="0.45">
      <c r="A5636" t="str">
        <f>_xlfn.XLOOKUP(B5636,Ingot!$H$12:$H$119,Ingot!$G$12:$G$119,"")</f>
        <v>Wood</v>
      </c>
      <c r="B5636" t="s">
        <v>11248</v>
      </c>
      <c r="C5636" t="s">
        <v>10</v>
      </c>
      <c r="D5636" t="s">
        <v>11331</v>
      </c>
      <c r="E5636" t="s">
        <v>11332</v>
      </c>
      <c r="G5636" s="1">
        <v>2.2999999999999998</v>
      </c>
    </row>
    <row r="5637" spans="1:7" ht="14.25" hidden="1" customHeight="1" x14ac:dyDescent="0.45">
      <c r="A5637" t="str">
        <f>_xlfn.XLOOKUP(B5637,Ingot!$H$12:$H$119,Ingot!$G$12:$G$119,"")</f>
        <v>Wood</v>
      </c>
      <c r="B5637" t="s">
        <v>11248</v>
      </c>
      <c r="C5637" t="s">
        <v>10</v>
      </c>
      <c r="D5637" t="s">
        <v>11333</v>
      </c>
      <c r="E5637" t="s">
        <v>11334</v>
      </c>
      <c r="G5637" s="1">
        <v>4.88</v>
      </c>
    </row>
    <row r="5638" spans="1:7" ht="14.25" hidden="1" customHeight="1" x14ac:dyDescent="0.45">
      <c r="A5638" t="str">
        <f>_xlfn.XLOOKUP(B5638,Ingot!$H$12:$H$119,Ingot!$G$12:$G$119,"")</f>
        <v>Wood</v>
      </c>
      <c r="B5638" t="s">
        <v>11248</v>
      </c>
      <c r="C5638" t="s">
        <v>10</v>
      </c>
      <c r="D5638" t="s">
        <v>11335</v>
      </c>
      <c r="E5638" t="s">
        <v>11336</v>
      </c>
      <c r="G5638" s="1">
        <v>8.43</v>
      </c>
    </row>
    <row r="5639" spans="1:7" ht="14.25" hidden="1" customHeight="1" x14ac:dyDescent="0.45">
      <c r="A5639" t="str">
        <f>_xlfn.XLOOKUP(B5639,Ingot!$H$12:$H$119,Ingot!$G$12:$G$119,"")</f>
        <v>Wood</v>
      </c>
      <c r="B5639" t="s">
        <v>11248</v>
      </c>
      <c r="C5639" t="s">
        <v>10</v>
      </c>
      <c r="D5639" t="s">
        <v>11337</v>
      </c>
      <c r="E5639" t="s">
        <v>11338</v>
      </c>
      <c r="G5639" s="1">
        <v>13.07</v>
      </c>
    </row>
    <row r="5640" spans="1:7" ht="14.25" hidden="1" customHeight="1" x14ac:dyDescent="0.45">
      <c r="A5640" t="str">
        <f>_xlfn.XLOOKUP(B5640,Ingot!$H$12:$H$119,Ingot!$G$12:$G$119,"")</f>
        <v>Wood</v>
      </c>
      <c r="B5640" t="s">
        <v>11248</v>
      </c>
      <c r="C5640" t="s">
        <v>10</v>
      </c>
      <c r="D5640" t="s">
        <v>11339</v>
      </c>
      <c r="E5640" t="s">
        <v>11340</v>
      </c>
    </row>
    <row r="5641" spans="1:7" ht="14.25" hidden="1" customHeight="1" x14ac:dyDescent="0.45">
      <c r="A5641" t="str">
        <f>_xlfn.XLOOKUP(B5641,Ingot!$H$12:$H$119,Ingot!$G$12:$G$119,"")</f>
        <v>Wood</v>
      </c>
      <c r="B5641" t="s">
        <v>11248</v>
      </c>
      <c r="C5641" t="s">
        <v>10</v>
      </c>
      <c r="D5641" t="s">
        <v>11341</v>
      </c>
      <c r="E5641" t="s">
        <v>11342</v>
      </c>
    </row>
    <row r="5642" spans="1:7" ht="14.25" hidden="1" customHeight="1" x14ac:dyDescent="0.45">
      <c r="A5642" t="str">
        <f>_xlfn.XLOOKUP(B5642,Ingot!$H$12:$H$119,Ingot!$G$12:$G$119,"")</f>
        <v>Wood</v>
      </c>
      <c r="B5642" t="s">
        <v>11248</v>
      </c>
      <c r="C5642" t="s">
        <v>10</v>
      </c>
      <c r="D5642" t="s">
        <v>11343</v>
      </c>
      <c r="E5642" t="s">
        <v>11344</v>
      </c>
      <c r="G5642" s="1">
        <v>6.8</v>
      </c>
    </row>
    <row r="5643" spans="1:7" ht="14.25" hidden="1" customHeight="1" x14ac:dyDescent="0.45">
      <c r="A5643" t="str">
        <f>_xlfn.XLOOKUP(B5643,Ingot!$H$12:$H$119,Ingot!$G$12:$G$119,"")</f>
        <v>Wood</v>
      </c>
      <c r="B5643" t="s">
        <v>11248</v>
      </c>
      <c r="C5643" t="s">
        <v>10</v>
      </c>
      <c r="D5643" t="s">
        <v>11345</v>
      </c>
      <c r="E5643" t="s">
        <v>11346</v>
      </c>
      <c r="G5643" s="1">
        <v>6.88</v>
      </c>
    </row>
    <row r="5644" spans="1:7" ht="14.25" hidden="1" customHeight="1" x14ac:dyDescent="0.45">
      <c r="A5644" t="str">
        <f>_xlfn.XLOOKUP(B5644,Ingot!$H$12:$H$119,Ingot!$G$12:$G$119,"")</f>
        <v>Wood</v>
      </c>
      <c r="B5644" t="s">
        <v>11248</v>
      </c>
      <c r="C5644" t="s">
        <v>10</v>
      </c>
      <c r="D5644" t="s">
        <v>11347</v>
      </c>
      <c r="E5644" t="s">
        <v>11348</v>
      </c>
      <c r="G5644" s="1">
        <v>5.5</v>
      </c>
    </row>
    <row r="5645" spans="1:7" ht="14.25" hidden="1" customHeight="1" x14ac:dyDescent="0.45">
      <c r="A5645" t="str">
        <f>_xlfn.XLOOKUP(B5645,Ingot!$H$12:$H$119,Ingot!$G$12:$G$119,"")</f>
        <v>Wood</v>
      </c>
      <c r="B5645" t="s">
        <v>11248</v>
      </c>
      <c r="C5645" t="s">
        <v>10</v>
      </c>
      <c r="D5645" t="s">
        <v>11349</v>
      </c>
      <c r="E5645" t="s">
        <v>11350</v>
      </c>
      <c r="G5645" s="1">
        <v>2.4300000000000002</v>
      </c>
    </row>
    <row r="5646" spans="1:7" ht="14.25" hidden="1" customHeight="1" x14ac:dyDescent="0.45">
      <c r="A5646" t="str">
        <f>_xlfn.XLOOKUP(B5646,Ingot!$H$12:$H$119,Ingot!$G$12:$G$119,"")</f>
        <v>Wood</v>
      </c>
      <c r="B5646" t="s">
        <v>11248</v>
      </c>
      <c r="C5646" t="s">
        <v>10</v>
      </c>
      <c r="D5646" t="s">
        <v>11351</v>
      </c>
      <c r="E5646" t="s">
        <v>11352</v>
      </c>
      <c r="G5646" s="1">
        <v>6.96</v>
      </c>
    </row>
    <row r="5647" spans="1:7" ht="14.25" hidden="1" customHeight="1" x14ac:dyDescent="0.45">
      <c r="A5647" t="str">
        <f>_xlfn.XLOOKUP(B5647,Ingot!$H$12:$H$119,Ingot!$G$12:$G$119,"")</f>
        <v>Wood</v>
      </c>
      <c r="B5647" t="s">
        <v>11248</v>
      </c>
      <c r="C5647" t="s">
        <v>10</v>
      </c>
      <c r="D5647" t="s">
        <v>11353</v>
      </c>
      <c r="E5647" t="s">
        <v>11354</v>
      </c>
      <c r="G5647" s="1">
        <v>6.32</v>
      </c>
    </row>
    <row r="5648" spans="1:7" ht="14.25" hidden="1" customHeight="1" x14ac:dyDescent="0.45">
      <c r="A5648" t="str">
        <f>_xlfn.XLOOKUP(B5648,Ingot!$H$12:$H$119,Ingot!$G$12:$G$119,"")</f>
        <v>Wood</v>
      </c>
      <c r="B5648" t="s">
        <v>11248</v>
      </c>
      <c r="C5648" t="s">
        <v>10</v>
      </c>
      <c r="D5648" t="s">
        <v>11355</v>
      </c>
      <c r="E5648" t="s">
        <v>11356</v>
      </c>
      <c r="G5648" s="1">
        <v>6.88</v>
      </c>
    </row>
    <row r="5649" spans="1:7" ht="14.25" hidden="1" customHeight="1" x14ac:dyDescent="0.45">
      <c r="A5649" t="str">
        <f>_xlfn.XLOOKUP(B5649,Ingot!$H$12:$H$119,Ingot!$G$12:$G$119,"")</f>
        <v>Wood</v>
      </c>
      <c r="B5649" t="s">
        <v>11248</v>
      </c>
      <c r="C5649" t="s">
        <v>10</v>
      </c>
      <c r="D5649" t="s">
        <v>11357</v>
      </c>
      <c r="E5649" t="s">
        <v>11358</v>
      </c>
      <c r="G5649" s="1">
        <v>2.44</v>
      </c>
    </row>
    <row r="5650" spans="1:7" ht="14.25" hidden="1" customHeight="1" x14ac:dyDescent="0.45">
      <c r="A5650" t="str">
        <f>_xlfn.XLOOKUP(B5650,Ingot!$H$12:$H$119,Ingot!$G$12:$G$119,"")</f>
        <v>Wood</v>
      </c>
      <c r="B5650" t="s">
        <v>11248</v>
      </c>
      <c r="C5650" t="s">
        <v>10</v>
      </c>
      <c r="D5650" t="s">
        <v>11359</v>
      </c>
      <c r="E5650" t="s">
        <v>11360</v>
      </c>
    </row>
    <row r="5651" spans="1:7" ht="14.25" hidden="1" customHeight="1" x14ac:dyDescent="0.45">
      <c r="A5651" t="str">
        <f>_xlfn.XLOOKUP(B5651,Ingot!$H$12:$H$119,Ingot!$G$12:$G$119,"")</f>
        <v>Wood</v>
      </c>
      <c r="B5651" t="s">
        <v>11248</v>
      </c>
      <c r="C5651" t="s">
        <v>10</v>
      </c>
      <c r="D5651" t="s">
        <v>11361</v>
      </c>
      <c r="E5651" t="s">
        <v>11362</v>
      </c>
    </row>
    <row r="5652" spans="1:7" ht="14.25" hidden="1" customHeight="1" x14ac:dyDescent="0.45">
      <c r="A5652" t="str">
        <f>_xlfn.XLOOKUP(B5652,Ingot!$H$12:$H$119,Ingot!$G$12:$G$119,"")</f>
        <v>Wood</v>
      </c>
      <c r="B5652" t="s">
        <v>11248</v>
      </c>
      <c r="C5652" t="s">
        <v>10</v>
      </c>
      <c r="D5652" t="s">
        <v>11363</v>
      </c>
      <c r="E5652" t="s">
        <v>11364</v>
      </c>
      <c r="G5652" s="1">
        <v>3.11</v>
      </c>
    </row>
    <row r="5653" spans="1:7" ht="14.25" hidden="1" customHeight="1" x14ac:dyDescent="0.45">
      <c r="A5653" t="str">
        <f>_xlfn.XLOOKUP(B5653,Ingot!$H$12:$H$119,Ingot!$G$12:$G$119,"")</f>
        <v>Wood</v>
      </c>
      <c r="B5653" t="s">
        <v>11248</v>
      </c>
      <c r="C5653" t="s">
        <v>10</v>
      </c>
      <c r="D5653" t="s">
        <v>11365</v>
      </c>
      <c r="E5653" t="s">
        <v>11366</v>
      </c>
      <c r="G5653" s="1">
        <v>2.44</v>
      </c>
    </row>
    <row r="5654" spans="1:7" ht="14.25" hidden="1" customHeight="1" x14ac:dyDescent="0.45">
      <c r="A5654" t="str">
        <f>_xlfn.XLOOKUP(B5654,Ingot!$H$12:$H$119,Ingot!$G$12:$G$119,"")</f>
        <v>Wood</v>
      </c>
      <c r="B5654" t="s">
        <v>11248</v>
      </c>
      <c r="C5654" t="s">
        <v>10</v>
      </c>
      <c r="D5654" t="s">
        <v>11367</v>
      </c>
      <c r="E5654" t="s">
        <v>11368</v>
      </c>
      <c r="G5654" s="1">
        <v>8.61</v>
      </c>
    </row>
    <row r="5655" spans="1:7" ht="14.25" hidden="1" customHeight="1" x14ac:dyDescent="0.45">
      <c r="A5655" t="str">
        <f>_xlfn.XLOOKUP(B5655,Ingot!$H$12:$H$119,Ingot!$G$12:$G$119,"")</f>
        <v>Wood</v>
      </c>
      <c r="B5655" t="s">
        <v>11248</v>
      </c>
      <c r="C5655" t="s">
        <v>10</v>
      </c>
      <c r="D5655" t="s">
        <v>11369</v>
      </c>
      <c r="E5655" t="s">
        <v>11370</v>
      </c>
    </row>
    <row r="5656" spans="1:7" ht="14.25" hidden="1" customHeight="1" x14ac:dyDescent="0.45">
      <c r="A5656" t="str">
        <f>_xlfn.XLOOKUP(B5656,Ingot!$H$12:$H$119,Ingot!$G$12:$G$119,"")</f>
        <v>Wood</v>
      </c>
      <c r="B5656" t="s">
        <v>11248</v>
      </c>
      <c r="C5656" t="s">
        <v>10</v>
      </c>
      <c r="D5656" t="s">
        <v>11371</v>
      </c>
      <c r="E5656" t="s">
        <v>11372</v>
      </c>
      <c r="G5656" s="1">
        <v>3.21</v>
      </c>
    </row>
    <row r="5657" spans="1:7" ht="14.25" hidden="1" customHeight="1" x14ac:dyDescent="0.45">
      <c r="A5657" t="str">
        <f>_xlfn.XLOOKUP(B5657,Ingot!$H$12:$H$119,Ingot!$G$12:$G$119,"")</f>
        <v>Wood</v>
      </c>
      <c r="B5657" t="s">
        <v>11248</v>
      </c>
      <c r="C5657" t="s">
        <v>10</v>
      </c>
      <c r="D5657" t="s">
        <v>11373</v>
      </c>
      <c r="E5657" t="s">
        <v>11374</v>
      </c>
      <c r="G5657" s="1">
        <v>2.77</v>
      </c>
    </row>
    <row r="5658" spans="1:7" ht="14.25" hidden="1" customHeight="1" x14ac:dyDescent="0.45">
      <c r="A5658" t="str">
        <f>_xlfn.XLOOKUP(B5658,Ingot!$H$12:$H$119,Ingot!$G$12:$G$119,"")</f>
        <v>Wood</v>
      </c>
      <c r="B5658" t="s">
        <v>11248</v>
      </c>
      <c r="C5658" t="s">
        <v>10</v>
      </c>
      <c r="D5658" t="s">
        <v>11375</v>
      </c>
      <c r="E5658" t="s">
        <v>11376</v>
      </c>
      <c r="G5658" s="1">
        <v>4.8899999999999997</v>
      </c>
    </row>
    <row r="5659" spans="1:7" ht="14.25" hidden="1" customHeight="1" x14ac:dyDescent="0.45">
      <c r="A5659" t="str">
        <f>_xlfn.XLOOKUP(B5659,Ingot!$H$12:$H$119,Ingot!$G$12:$G$119,"")</f>
        <v>Wood</v>
      </c>
      <c r="B5659" t="s">
        <v>11248</v>
      </c>
      <c r="C5659" t="s">
        <v>10</v>
      </c>
      <c r="D5659" t="s">
        <v>11377</v>
      </c>
      <c r="E5659" t="s">
        <v>11378</v>
      </c>
      <c r="G5659" s="1">
        <v>1.76</v>
      </c>
    </row>
    <row r="5660" spans="1:7" ht="14.25" hidden="1" customHeight="1" x14ac:dyDescent="0.45">
      <c r="A5660" t="str">
        <f>_xlfn.XLOOKUP(B5660,Ingot!$H$12:$H$119,Ingot!$G$12:$G$119,"")</f>
        <v>Wood</v>
      </c>
      <c r="B5660" t="s">
        <v>11248</v>
      </c>
      <c r="C5660" t="s">
        <v>10</v>
      </c>
      <c r="D5660" t="s">
        <v>11379</v>
      </c>
      <c r="E5660" t="s">
        <v>11380</v>
      </c>
    </row>
    <row r="5661" spans="1:7" ht="14.25" hidden="1" customHeight="1" x14ac:dyDescent="0.45">
      <c r="A5661" t="str">
        <f>_xlfn.XLOOKUP(B5661,Ingot!$H$12:$H$119,Ingot!$G$12:$G$119,"")</f>
        <v>Wood</v>
      </c>
      <c r="B5661" t="s">
        <v>11248</v>
      </c>
      <c r="C5661" t="s">
        <v>10</v>
      </c>
      <c r="D5661" t="s">
        <v>11381</v>
      </c>
      <c r="E5661" t="s">
        <v>11382</v>
      </c>
      <c r="G5661" s="1">
        <v>8.57</v>
      </c>
    </row>
    <row r="5662" spans="1:7" ht="14.25" hidden="1" customHeight="1" x14ac:dyDescent="0.45">
      <c r="A5662" t="str">
        <f>_xlfn.XLOOKUP(B5662,Ingot!$H$12:$H$119,Ingot!$G$12:$G$119,"")</f>
        <v>Wood</v>
      </c>
      <c r="B5662" t="s">
        <v>11248</v>
      </c>
      <c r="C5662" t="s">
        <v>10</v>
      </c>
      <c r="D5662" t="s">
        <v>11383</v>
      </c>
      <c r="E5662" t="s">
        <v>11384</v>
      </c>
    </row>
    <row r="5663" spans="1:7" ht="14.25" hidden="1" customHeight="1" x14ac:dyDescent="0.45">
      <c r="A5663" t="str">
        <f>_xlfn.XLOOKUP(B5663,Ingot!$H$12:$H$119,Ingot!$G$12:$G$119,"")</f>
        <v>Wood</v>
      </c>
      <c r="B5663" t="s">
        <v>11248</v>
      </c>
      <c r="C5663" t="s">
        <v>10</v>
      </c>
      <c r="D5663" t="s">
        <v>11385</v>
      </c>
      <c r="E5663" t="s">
        <v>11386</v>
      </c>
      <c r="G5663" s="1">
        <v>3.56</v>
      </c>
    </row>
    <row r="5664" spans="1:7" ht="14.25" hidden="1" customHeight="1" x14ac:dyDescent="0.45">
      <c r="A5664" t="str">
        <f>_xlfn.XLOOKUP(B5664,Ingot!$H$12:$H$119,Ingot!$G$12:$G$119,"")</f>
        <v>Wood</v>
      </c>
      <c r="B5664" t="s">
        <v>11248</v>
      </c>
      <c r="C5664" t="s">
        <v>10</v>
      </c>
      <c r="D5664" t="s">
        <v>11387</v>
      </c>
      <c r="E5664" t="s">
        <v>11388</v>
      </c>
      <c r="G5664" s="1">
        <v>8.91</v>
      </c>
    </row>
    <row r="5665" spans="1:7" ht="14.25" hidden="1" customHeight="1" x14ac:dyDescent="0.45">
      <c r="A5665" t="str">
        <f>_xlfn.XLOOKUP(B5665,Ingot!$H$12:$H$119,Ingot!$G$12:$G$119,"")</f>
        <v>Wood</v>
      </c>
      <c r="B5665" t="s">
        <v>11248</v>
      </c>
      <c r="C5665" t="s">
        <v>10</v>
      </c>
      <c r="D5665" t="s">
        <v>11389</v>
      </c>
      <c r="E5665" t="s">
        <v>11390</v>
      </c>
      <c r="G5665" s="1">
        <v>11.02</v>
      </c>
    </row>
    <row r="5666" spans="1:7" ht="14.25" hidden="1" customHeight="1" x14ac:dyDescent="0.45">
      <c r="A5666" t="str">
        <f>_xlfn.XLOOKUP(B5666,Ingot!$H$12:$H$119,Ingot!$G$12:$G$119,"")</f>
        <v>Wood</v>
      </c>
      <c r="B5666" t="s">
        <v>11248</v>
      </c>
      <c r="C5666" t="s">
        <v>10</v>
      </c>
      <c r="D5666" t="s">
        <v>11391</v>
      </c>
      <c r="E5666" t="s">
        <v>11392</v>
      </c>
      <c r="G5666" s="1">
        <v>5.12</v>
      </c>
    </row>
    <row r="5667" spans="1:7" ht="14.25" hidden="1" customHeight="1" x14ac:dyDescent="0.45">
      <c r="A5667" t="str">
        <f>_xlfn.XLOOKUP(B5667,Ingot!$H$12:$H$119,Ingot!$G$12:$G$119,"")</f>
        <v>Wood</v>
      </c>
      <c r="B5667" t="s">
        <v>11248</v>
      </c>
      <c r="C5667" t="s">
        <v>10</v>
      </c>
      <c r="D5667" t="s">
        <v>11393</v>
      </c>
      <c r="E5667" t="s">
        <v>11394</v>
      </c>
      <c r="G5667" s="1">
        <v>4.41</v>
      </c>
    </row>
    <row r="5668" spans="1:7" ht="14.25" hidden="1" customHeight="1" x14ac:dyDescent="0.45">
      <c r="A5668" t="str">
        <f>_xlfn.XLOOKUP(B5668,Ingot!$H$12:$H$119,Ingot!$G$12:$G$119,"")</f>
        <v>Wood</v>
      </c>
      <c r="B5668" t="s">
        <v>11248</v>
      </c>
      <c r="C5668" t="s">
        <v>157</v>
      </c>
      <c r="D5668" t="s">
        <v>11395</v>
      </c>
      <c r="E5668" t="s">
        <v>11396</v>
      </c>
      <c r="G5668" s="1">
        <v>23.73</v>
      </c>
    </row>
    <row r="5669" spans="1:7" ht="14.25" hidden="1" customHeight="1" x14ac:dyDescent="0.45">
      <c r="A5669" t="str">
        <f>_xlfn.XLOOKUP(B5669,Ingot!$H$12:$H$119,Ingot!$G$12:$G$119,"")</f>
        <v>Wood</v>
      </c>
      <c r="B5669" t="s">
        <v>11248</v>
      </c>
      <c r="C5669" t="s">
        <v>157</v>
      </c>
      <c r="D5669" t="s">
        <v>11397</v>
      </c>
      <c r="E5669" t="s">
        <v>11398</v>
      </c>
      <c r="G5669" s="1">
        <v>5</v>
      </c>
    </row>
    <row r="5670" spans="1:7" ht="14.25" hidden="1" customHeight="1" x14ac:dyDescent="0.45">
      <c r="A5670" t="str">
        <f>_xlfn.XLOOKUP(B5670,Ingot!$H$12:$H$119,Ingot!$G$12:$G$119,"")</f>
        <v>Wood</v>
      </c>
      <c r="B5670" t="s">
        <v>11248</v>
      </c>
      <c r="C5670" t="s">
        <v>157</v>
      </c>
      <c r="D5670" t="s">
        <v>11399</v>
      </c>
      <c r="E5670" t="s">
        <v>11400</v>
      </c>
      <c r="G5670" s="1">
        <v>5</v>
      </c>
    </row>
    <row r="5671" spans="1:7" ht="14.25" hidden="1" customHeight="1" x14ac:dyDescent="0.45">
      <c r="A5671" t="str">
        <f>_xlfn.XLOOKUP(B5671,Ingot!$H$12:$H$119,Ingot!$G$12:$G$119,"")</f>
        <v>Wood</v>
      </c>
      <c r="B5671" t="s">
        <v>11248</v>
      </c>
      <c r="C5671" t="s">
        <v>157</v>
      </c>
      <c r="D5671" t="s">
        <v>11401</v>
      </c>
      <c r="E5671" t="s">
        <v>11402</v>
      </c>
      <c r="G5671" s="1">
        <v>5</v>
      </c>
    </row>
    <row r="5672" spans="1:7" ht="14.25" hidden="1" customHeight="1" x14ac:dyDescent="0.45">
      <c r="A5672" t="str">
        <f>_xlfn.XLOOKUP(B5672,Ingot!$H$12:$H$119,Ingot!$G$12:$G$119,"")</f>
        <v>Wood</v>
      </c>
      <c r="B5672" t="s">
        <v>11248</v>
      </c>
      <c r="C5672" t="s">
        <v>157</v>
      </c>
      <c r="D5672" t="s">
        <v>11403</v>
      </c>
      <c r="E5672" t="s">
        <v>11404</v>
      </c>
      <c r="G5672" s="1">
        <v>10</v>
      </c>
    </row>
    <row r="5673" spans="1:7" ht="14.25" hidden="1" customHeight="1" x14ac:dyDescent="0.45">
      <c r="A5673" t="str">
        <f>_xlfn.XLOOKUP(B5673,Ingot!$H$12:$H$119,Ingot!$G$12:$G$119,"")</f>
        <v>Wood</v>
      </c>
      <c r="B5673" t="s">
        <v>11248</v>
      </c>
      <c r="C5673" t="s">
        <v>157</v>
      </c>
      <c r="D5673" t="s">
        <v>11405</v>
      </c>
      <c r="E5673" t="s">
        <v>11406</v>
      </c>
      <c r="G5673" s="1">
        <v>20.53</v>
      </c>
    </row>
    <row r="5674" spans="1:7" ht="14.25" hidden="1" customHeight="1" x14ac:dyDescent="0.45">
      <c r="A5674" t="str">
        <f>_xlfn.XLOOKUP(B5674,Ingot!$H$12:$H$119,Ingot!$G$12:$G$119,"")</f>
        <v>Wood</v>
      </c>
      <c r="B5674" t="s">
        <v>11248</v>
      </c>
      <c r="C5674" t="s">
        <v>157</v>
      </c>
      <c r="D5674" t="s">
        <v>11407</v>
      </c>
      <c r="E5674" t="s">
        <v>11408</v>
      </c>
      <c r="G5674" s="1">
        <v>5</v>
      </c>
    </row>
    <row r="5675" spans="1:7" ht="14.25" hidden="1" customHeight="1" x14ac:dyDescent="0.45">
      <c r="A5675" t="str">
        <f>_xlfn.XLOOKUP(B5675,Ingot!$H$12:$H$119,Ingot!$G$12:$G$119,"")</f>
        <v>Wood</v>
      </c>
      <c r="B5675" t="s">
        <v>11248</v>
      </c>
      <c r="C5675" t="s">
        <v>157</v>
      </c>
      <c r="D5675" t="s">
        <v>11409</v>
      </c>
      <c r="E5675" t="s">
        <v>11410</v>
      </c>
      <c r="G5675" s="1">
        <v>5</v>
      </c>
    </row>
    <row r="5676" spans="1:7" ht="14.25" hidden="1" customHeight="1" x14ac:dyDescent="0.45">
      <c r="A5676" t="str">
        <f>_xlfn.XLOOKUP(B5676,Ingot!$H$12:$H$119,Ingot!$G$12:$G$119,"")</f>
        <v>Wood</v>
      </c>
      <c r="B5676" t="s">
        <v>11248</v>
      </c>
      <c r="C5676" t="s">
        <v>157</v>
      </c>
      <c r="D5676" t="s">
        <v>11411</v>
      </c>
      <c r="E5676" t="s">
        <v>11412</v>
      </c>
      <c r="G5676" s="1">
        <v>5</v>
      </c>
    </row>
    <row r="5677" spans="1:7" ht="14.25" hidden="1" customHeight="1" x14ac:dyDescent="0.45">
      <c r="A5677" t="str">
        <f>_xlfn.XLOOKUP(B5677,Ingot!$H$12:$H$119,Ingot!$G$12:$G$119,"")</f>
        <v>Wood</v>
      </c>
      <c r="B5677" t="s">
        <v>11248</v>
      </c>
      <c r="C5677" t="s">
        <v>157</v>
      </c>
      <c r="D5677" t="s">
        <v>11413</v>
      </c>
      <c r="E5677" t="s">
        <v>11414</v>
      </c>
      <c r="G5677" s="1">
        <v>10</v>
      </c>
    </row>
    <row r="5678" spans="1:7" ht="14.25" hidden="1" customHeight="1" x14ac:dyDescent="0.45">
      <c r="A5678" t="str">
        <f>_xlfn.XLOOKUP(B5678,Ingot!$H$12:$H$119,Ingot!$G$12:$G$119,"")</f>
        <v>Wood</v>
      </c>
      <c r="B5678" t="s">
        <v>11248</v>
      </c>
      <c r="C5678" t="s">
        <v>157</v>
      </c>
      <c r="D5678" t="s">
        <v>11415</v>
      </c>
      <c r="E5678" t="s">
        <v>11416</v>
      </c>
      <c r="F5678" t="s">
        <v>180</v>
      </c>
      <c r="G5678" s="1">
        <v>19.73</v>
      </c>
    </row>
    <row r="5679" spans="1:7" ht="14.25" hidden="1" customHeight="1" x14ac:dyDescent="0.45">
      <c r="A5679" t="str">
        <f>_xlfn.XLOOKUP(B5679,Ingot!$H$12:$H$119,Ingot!$G$12:$G$119,"")</f>
        <v>Wood</v>
      </c>
      <c r="B5679" t="s">
        <v>11248</v>
      </c>
      <c r="C5679" t="s">
        <v>157</v>
      </c>
      <c r="D5679" t="s">
        <v>11417</v>
      </c>
      <c r="E5679" t="s">
        <v>11418</v>
      </c>
      <c r="F5679" t="s">
        <v>180</v>
      </c>
      <c r="G5679" s="1">
        <v>5</v>
      </c>
    </row>
    <row r="5680" spans="1:7" ht="14.25" hidden="1" customHeight="1" x14ac:dyDescent="0.45">
      <c r="A5680" t="str">
        <f>_xlfn.XLOOKUP(B5680,Ingot!$H$12:$H$119,Ingot!$G$12:$G$119,"")</f>
        <v>Wood</v>
      </c>
      <c r="B5680" t="s">
        <v>11248</v>
      </c>
      <c r="C5680" t="s">
        <v>157</v>
      </c>
      <c r="D5680" t="s">
        <v>11419</v>
      </c>
      <c r="E5680" t="s">
        <v>11420</v>
      </c>
      <c r="F5680" t="s">
        <v>180</v>
      </c>
      <c r="G5680" s="1">
        <v>5</v>
      </c>
    </row>
    <row r="5681" spans="1:7" ht="14.25" hidden="1" customHeight="1" x14ac:dyDescent="0.45">
      <c r="A5681" t="str">
        <f>_xlfn.XLOOKUP(B5681,Ingot!$H$12:$H$119,Ingot!$G$12:$G$119,"")</f>
        <v>Wood</v>
      </c>
      <c r="B5681" t="s">
        <v>11248</v>
      </c>
      <c r="C5681" t="s">
        <v>157</v>
      </c>
      <c r="D5681" t="s">
        <v>11421</v>
      </c>
      <c r="E5681" t="s">
        <v>11422</v>
      </c>
      <c r="F5681" t="s">
        <v>180</v>
      </c>
      <c r="G5681" s="1">
        <v>5</v>
      </c>
    </row>
    <row r="5682" spans="1:7" ht="14.25" hidden="1" customHeight="1" x14ac:dyDescent="0.45">
      <c r="A5682" t="str">
        <f>_xlfn.XLOOKUP(B5682,Ingot!$H$12:$H$119,Ingot!$G$12:$G$119,"")</f>
        <v>Wood</v>
      </c>
      <c r="B5682" t="s">
        <v>11248</v>
      </c>
      <c r="C5682" t="s">
        <v>157</v>
      </c>
      <c r="D5682" t="s">
        <v>11423</v>
      </c>
      <c r="E5682" t="s">
        <v>11424</v>
      </c>
      <c r="F5682" t="s">
        <v>180</v>
      </c>
      <c r="G5682" s="1">
        <v>10</v>
      </c>
    </row>
    <row r="5683" spans="1:7" ht="14.25" hidden="1" customHeight="1" x14ac:dyDescent="0.45">
      <c r="A5683" t="str">
        <f>_xlfn.XLOOKUP(B5683,Ingot!$H$12:$H$119,Ingot!$G$12:$G$119,"")</f>
        <v>Wood</v>
      </c>
      <c r="B5683" t="s">
        <v>11248</v>
      </c>
      <c r="C5683" t="s">
        <v>157</v>
      </c>
      <c r="D5683" t="s">
        <v>11425</v>
      </c>
      <c r="E5683" t="s">
        <v>11426</v>
      </c>
      <c r="G5683" s="1">
        <v>21.73</v>
      </c>
    </row>
    <row r="5684" spans="1:7" ht="14.25" hidden="1" customHeight="1" x14ac:dyDescent="0.45">
      <c r="A5684" t="str">
        <f>_xlfn.XLOOKUP(B5684,Ingot!$H$12:$H$119,Ingot!$G$12:$G$119,"")</f>
        <v>Wood</v>
      </c>
      <c r="B5684" t="s">
        <v>11248</v>
      </c>
      <c r="C5684" t="s">
        <v>157</v>
      </c>
      <c r="D5684" t="s">
        <v>11427</v>
      </c>
      <c r="E5684" t="s">
        <v>11428</v>
      </c>
      <c r="G5684" s="1">
        <v>5</v>
      </c>
    </row>
    <row r="5685" spans="1:7" ht="14.25" hidden="1" customHeight="1" x14ac:dyDescent="0.45">
      <c r="A5685" t="str">
        <f>_xlfn.XLOOKUP(B5685,Ingot!$H$12:$H$119,Ingot!$G$12:$G$119,"")</f>
        <v>Wood</v>
      </c>
      <c r="B5685" t="s">
        <v>11248</v>
      </c>
      <c r="C5685" t="s">
        <v>157</v>
      </c>
      <c r="D5685" t="s">
        <v>11429</v>
      </c>
      <c r="E5685" t="s">
        <v>11430</v>
      </c>
      <c r="G5685" s="1">
        <v>5</v>
      </c>
    </row>
    <row r="5686" spans="1:7" ht="14.25" hidden="1" customHeight="1" x14ac:dyDescent="0.45">
      <c r="A5686" t="str">
        <f>_xlfn.XLOOKUP(B5686,Ingot!$H$12:$H$119,Ingot!$G$12:$G$119,"")</f>
        <v>Wood</v>
      </c>
      <c r="B5686" t="s">
        <v>11248</v>
      </c>
      <c r="C5686" t="s">
        <v>157</v>
      </c>
      <c r="D5686" t="s">
        <v>11431</v>
      </c>
      <c r="E5686" t="s">
        <v>11432</v>
      </c>
      <c r="G5686" s="1">
        <v>5</v>
      </c>
    </row>
    <row r="5687" spans="1:7" ht="14.25" hidden="1" customHeight="1" x14ac:dyDescent="0.45">
      <c r="A5687" t="str">
        <f>_xlfn.XLOOKUP(B5687,Ingot!$H$12:$H$119,Ingot!$G$12:$G$119,"")</f>
        <v>Wood</v>
      </c>
      <c r="B5687" t="s">
        <v>11248</v>
      </c>
      <c r="C5687" t="s">
        <v>157</v>
      </c>
      <c r="D5687" t="s">
        <v>11433</v>
      </c>
      <c r="E5687" t="s">
        <v>11434</v>
      </c>
      <c r="G5687" s="1">
        <v>10</v>
      </c>
    </row>
    <row r="5688" spans="1:7" ht="14.25" hidden="1" customHeight="1" x14ac:dyDescent="0.45">
      <c r="A5688" t="str">
        <f>_xlfn.XLOOKUP(B5688,Ingot!$H$12:$H$119,Ingot!$G$12:$G$119,"")</f>
        <v>Wood</v>
      </c>
      <c r="B5688" t="s">
        <v>11248</v>
      </c>
      <c r="C5688" t="s">
        <v>157</v>
      </c>
      <c r="D5688" t="s">
        <v>11435</v>
      </c>
      <c r="E5688" t="s">
        <v>11436</v>
      </c>
      <c r="G5688" s="1">
        <v>22.73</v>
      </c>
    </row>
    <row r="5689" spans="1:7" ht="14.25" hidden="1" customHeight="1" x14ac:dyDescent="0.45">
      <c r="A5689" t="str">
        <f>_xlfn.XLOOKUP(B5689,Ingot!$H$12:$H$119,Ingot!$G$12:$G$119,"")</f>
        <v>Wood</v>
      </c>
      <c r="B5689" t="s">
        <v>11248</v>
      </c>
      <c r="C5689" t="s">
        <v>157</v>
      </c>
      <c r="D5689" t="s">
        <v>11437</v>
      </c>
      <c r="E5689" t="s">
        <v>11438</v>
      </c>
      <c r="F5689" t="s">
        <v>180</v>
      </c>
      <c r="G5689" s="1">
        <v>5</v>
      </c>
    </row>
    <row r="5690" spans="1:7" ht="14.25" hidden="1" customHeight="1" x14ac:dyDescent="0.45">
      <c r="A5690" t="str">
        <f>_xlfn.XLOOKUP(B5690,Ingot!$H$12:$H$119,Ingot!$G$12:$G$119,"")</f>
        <v>Wood</v>
      </c>
      <c r="B5690" t="s">
        <v>11248</v>
      </c>
      <c r="C5690" t="s">
        <v>157</v>
      </c>
      <c r="D5690" t="s">
        <v>11439</v>
      </c>
      <c r="E5690" t="s">
        <v>11440</v>
      </c>
      <c r="F5690" t="s">
        <v>180</v>
      </c>
      <c r="G5690" s="1">
        <v>5</v>
      </c>
    </row>
    <row r="5691" spans="1:7" ht="14.25" hidden="1" customHeight="1" x14ac:dyDescent="0.45">
      <c r="A5691" t="str">
        <f>_xlfn.XLOOKUP(B5691,Ingot!$H$12:$H$119,Ingot!$G$12:$G$119,"")</f>
        <v>Wood</v>
      </c>
      <c r="B5691" t="s">
        <v>11248</v>
      </c>
      <c r="C5691" t="s">
        <v>157</v>
      </c>
      <c r="D5691" t="s">
        <v>11441</v>
      </c>
      <c r="E5691" t="s">
        <v>11442</v>
      </c>
      <c r="F5691" t="s">
        <v>180</v>
      </c>
      <c r="G5691" s="1">
        <v>5</v>
      </c>
    </row>
    <row r="5692" spans="1:7" ht="14.25" hidden="1" customHeight="1" x14ac:dyDescent="0.45">
      <c r="A5692" t="str">
        <f>_xlfn.XLOOKUP(B5692,Ingot!$H$12:$H$119,Ingot!$G$12:$G$119,"")</f>
        <v>Wood</v>
      </c>
      <c r="B5692" t="s">
        <v>11248</v>
      </c>
      <c r="C5692" t="s">
        <v>157</v>
      </c>
      <c r="D5692" t="s">
        <v>11443</v>
      </c>
      <c r="E5692" t="s">
        <v>11444</v>
      </c>
      <c r="G5692" s="1">
        <v>10</v>
      </c>
    </row>
    <row r="5693" spans="1:7" ht="14.25" hidden="1" customHeight="1" x14ac:dyDescent="0.45">
      <c r="A5693" t="str">
        <f>_xlfn.XLOOKUP(B5693,Ingot!$H$12:$H$119,Ingot!$G$12:$G$119,"")</f>
        <v>Wood</v>
      </c>
      <c r="B5693" t="s">
        <v>11248</v>
      </c>
      <c r="C5693" t="s">
        <v>157</v>
      </c>
      <c r="D5693" t="s">
        <v>11445</v>
      </c>
      <c r="E5693" t="s">
        <v>11446</v>
      </c>
      <c r="G5693" s="1">
        <v>26.53</v>
      </c>
    </row>
    <row r="5694" spans="1:7" ht="14.25" hidden="1" customHeight="1" x14ac:dyDescent="0.45">
      <c r="A5694" t="str">
        <f>_xlfn.XLOOKUP(B5694,Ingot!$H$12:$H$119,Ingot!$G$12:$G$119,"")</f>
        <v>Wood</v>
      </c>
      <c r="B5694" t="s">
        <v>11248</v>
      </c>
      <c r="C5694" t="s">
        <v>157</v>
      </c>
      <c r="D5694" t="s">
        <v>11447</v>
      </c>
      <c r="E5694" t="s">
        <v>11448</v>
      </c>
      <c r="G5694" s="1">
        <v>5.31</v>
      </c>
    </row>
    <row r="5695" spans="1:7" ht="14.25" hidden="1" customHeight="1" x14ac:dyDescent="0.45">
      <c r="A5695" t="str">
        <f>_xlfn.XLOOKUP(B5695,Ingot!$H$12:$H$119,Ingot!$G$12:$G$119,"")</f>
        <v>Wood</v>
      </c>
      <c r="B5695" t="s">
        <v>11248</v>
      </c>
      <c r="C5695" t="s">
        <v>157</v>
      </c>
      <c r="D5695" t="s">
        <v>11449</v>
      </c>
      <c r="E5695" t="s">
        <v>11450</v>
      </c>
      <c r="G5695" s="1">
        <v>5.31</v>
      </c>
    </row>
    <row r="5696" spans="1:7" ht="14.25" hidden="1" customHeight="1" x14ac:dyDescent="0.45">
      <c r="A5696" t="str">
        <f>_xlfn.XLOOKUP(B5696,Ingot!$H$12:$H$119,Ingot!$G$12:$G$119,"")</f>
        <v>Wood</v>
      </c>
      <c r="B5696" t="s">
        <v>11248</v>
      </c>
      <c r="C5696" t="s">
        <v>157</v>
      </c>
      <c r="D5696" t="s">
        <v>11451</v>
      </c>
      <c r="E5696" t="s">
        <v>11452</v>
      </c>
      <c r="G5696" s="1">
        <v>5</v>
      </c>
    </row>
    <row r="5697" spans="1:7" ht="14.25" hidden="1" customHeight="1" x14ac:dyDescent="0.45">
      <c r="A5697" t="str">
        <f>_xlfn.XLOOKUP(B5697,Ingot!$H$12:$H$119,Ingot!$G$12:$G$119,"")</f>
        <v>Wood</v>
      </c>
      <c r="B5697" t="s">
        <v>11248</v>
      </c>
      <c r="C5697" t="s">
        <v>157</v>
      </c>
      <c r="D5697" t="s">
        <v>11453</v>
      </c>
      <c r="E5697" t="s">
        <v>11454</v>
      </c>
      <c r="G5697" s="1">
        <v>10</v>
      </c>
    </row>
    <row r="5698" spans="1:7" ht="14.25" hidden="1" customHeight="1" x14ac:dyDescent="0.45">
      <c r="A5698" t="str">
        <f>_xlfn.XLOOKUP(B5698,Ingot!$H$12:$H$119,Ingot!$G$12:$G$119,"")</f>
        <v>Wood</v>
      </c>
      <c r="B5698" t="s">
        <v>11248</v>
      </c>
      <c r="C5698" t="s">
        <v>157</v>
      </c>
      <c r="D5698" t="s">
        <v>11455</v>
      </c>
      <c r="E5698" t="s">
        <v>11456</v>
      </c>
      <c r="G5698" s="1">
        <v>25.23</v>
      </c>
    </row>
    <row r="5699" spans="1:7" ht="14.25" hidden="1" customHeight="1" x14ac:dyDescent="0.45">
      <c r="A5699" t="str">
        <f>_xlfn.XLOOKUP(B5699,Ingot!$H$12:$H$119,Ingot!$G$12:$G$119,"")</f>
        <v>Wood</v>
      </c>
      <c r="B5699" t="s">
        <v>11248</v>
      </c>
      <c r="C5699" t="s">
        <v>157</v>
      </c>
      <c r="D5699" t="s">
        <v>11457</v>
      </c>
      <c r="E5699" t="s">
        <v>11458</v>
      </c>
      <c r="G5699" s="1">
        <v>5.05</v>
      </c>
    </row>
    <row r="5700" spans="1:7" ht="14.25" hidden="1" customHeight="1" x14ac:dyDescent="0.45">
      <c r="A5700" t="str">
        <f>_xlfn.XLOOKUP(B5700,Ingot!$H$12:$H$119,Ingot!$G$12:$G$119,"")</f>
        <v>Wood</v>
      </c>
      <c r="B5700" t="s">
        <v>11248</v>
      </c>
      <c r="C5700" t="s">
        <v>157</v>
      </c>
      <c r="D5700" t="s">
        <v>11459</v>
      </c>
      <c r="E5700" t="s">
        <v>11460</v>
      </c>
      <c r="G5700" s="1">
        <v>5.05</v>
      </c>
    </row>
    <row r="5701" spans="1:7" ht="14.25" hidden="1" customHeight="1" x14ac:dyDescent="0.45">
      <c r="A5701" t="str">
        <f>_xlfn.XLOOKUP(B5701,Ingot!$H$12:$H$119,Ingot!$G$12:$G$119,"")</f>
        <v>Wood</v>
      </c>
      <c r="B5701" t="s">
        <v>11248</v>
      </c>
      <c r="C5701" t="s">
        <v>157</v>
      </c>
      <c r="D5701" t="s">
        <v>11461</v>
      </c>
      <c r="E5701" t="s">
        <v>11462</v>
      </c>
      <c r="G5701" s="1">
        <v>5</v>
      </c>
    </row>
    <row r="5702" spans="1:7" ht="14.25" hidden="1" customHeight="1" x14ac:dyDescent="0.45">
      <c r="A5702" t="str">
        <f>_xlfn.XLOOKUP(B5702,Ingot!$H$12:$H$119,Ingot!$G$12:$G$119,"")</f>
        <v>Wood</v>
      </c>
      <c r="B5702" t="s">
        <v>11248</v>
      </c>
      <c r="C5702" t="s">
        <v>157</v>
      </c>
      <c r="D5702" t="s">
        <v>11463</v>
      </c>
      <c r="E5702" t="s">
        <v>11464</v>
      </c>
      <c r="G5702" s="1">
        <v>10</v>
      </c>
    </row>
    <row r="5703" spans="1:7" ht="14.25" hidden="1" customHeight="1" x14ac:dyDescent="0.45">
      <c r="A5703" t="str">
        <f>_xlfn.XLOOKUP(B5703,Ingot!$H$12:$H$119,Ingot!$G$12:$G$119,"")</f>
        <v>Wood</v>
      </c>
      <c r="B5703" t="s">
        <v>11248</v>
      </c>
      <c r="C5703" t="s">
        <v>157</v>
      </c>
      <c r="D5703" t="s">
        <v>11465</v>
      </c>
      <c r="E5703" t="s">
        <v>11466</v>
      </c>
      <c r="F5703" t="s">
        <v>180</v>
      </c>
      <c r="G5703" s="1">
        <v>18.93</v>
      </c>
    </row>
    <row r="5704" spans="1:7" ht="14.25" hidden="1" customHeight="1" x14ac:dyDescent="0.45">
      <c r="A5704" t="str">
        <f>_xlfn.XLOOKUP(B5704,Ingot!$H$12:$H$119,Ingot!$G$12:$G$119,"")</f>
        <v>Wood</v>
      </c>
      <c r="B5704" t="s">
        <v>11248</v>
      </c>
      <c r="C5704" t="s">
        <v>157</v>
      </c>
      <c r="D5704" t="s">
        <v>11467</v>
      </c>
      <c r="E5704" t="s">
        <v>11468</v>
      </c>
      <c r="F5704" t="s">
        <v>180</v>
      </c>
      <c r="G5704" s="1">
        <v>5</v>
      </c>
    </row>
    <row r="5705" spans="1:7" ht="14.25" hidden="1" customHeight="1" x14ac:dyDescent="0.45">
      <c r="A5705" t="str">
        <f>_xlfn.XLOOKUP(B5705,Ingot!$H$12:$H$119,Ingot!$G$12:$G$119,"")</f>
        <v>Wood</v>
      </c>
      <c r="B5705" t="s">
        <v>11248</v>
      </c>
      <c r="C5705" t="s">
        <v>157</v>
      </c>
      <c r="D5705" t="s">
        <v>11469</v>
      </c>
      <c r="E5705" t="s">
        <v>11470</v>
      </c>
      <c r="F5705" t="s">
        <v>180</v>
      </c>
      <c r="G5705" s="1">
        <v>5</v>
      </c>
    </row>
    <row r="5706" spans="1:7" ht="14.25" hidden="1" customHeight="1" x14ac:dyDescent="0.45">
      <c r="A5706" t="str">
        <f>_xlfn.XLOOKUP(B5706,Ingot!$H$12:$H$119,Ingot!$G$12:$G$119,"")</f>
        <v>Wood</v>
      </c>
      <c r="B5706" t="s">
        <v>11248</v>
      </c>
      <c r="C5706" t="s">
        <v>157</v>
      </c>
      <c r="D5706" t="s">
        <v>11471</v>
      </c>
      <c r="E5706" t="s">
        <v>11472</v>
      </c>
      <c r="F5706" t="s">
        <v>180</v>
      </c>
      <c r="G5706" s="1">
        <v>5</v>
      </c>
    </row>
    <row r="5707" spans="1:7" ht="14.25" hidden="1" customHeight="1" x14ac:dyDescent="0.45">
      <c r="A5707" t="str">
        <f>_xlfn.XLOOKUP(B5707,Ingot!$H$12:$H$119,Ingot!$G$12:$G$119,"")</f>
        <v>Wood</v>
      </c>
      <c r="B5707" t="s">
        <v>11248</v>
      </c>
      <c r="C5707" t="s">
        <v>157</v>
      </c>
      <c r="D5707" t="s">
        <v>11473</v>
      </c>
      <c r="E5707" t="s">
        <v>11474</v>
      </c>
      <c r="F5707" t="s">
        <v>180</v>
      </c>
      <c r="G5707" s="1">
        <v>10</v>
      </c>
    </row>
    <row r="5708" spans="1:7" ht="14.25" hidden="1" customHeight="1" x14ac:dyDescent="0.45">
      <c r="A5708" t="str">
        <f>_xlfn.XLOOKUP(B5708,Ingot!$H$12:$H$119,Ingot!$G$12:$G$119,"")</f>
        <v>Wood</v>
      </c>
      <c r="B5708" t="s">
        <v>11248</v>
      </c>
      <c r="C5708" t="s">
        <v>239</v>
      </c>
      <c r="D5708" t="s">
        <v>11475</v>
      </c>
      <c r="E5708" t="s">
        <v>11476</v>
      </c>
      <c r="G5708" s="1">
        <f>(VLOOKUP(B5708,Ingot!H:I,2,FALSE()) * 0.75) * 0.75</f>
        <v>4.5</v>
      </c>
    </row>
    <row r="5709" spans="1:7" ht="14.25" hidden="1" customHeight="1" x14ac:dyDescent="0.45">
      <c r="A5709" t="str">
        <f>_xlfn.XLOOKUP(B5709,Ingot!$H$12:$H$119,Ingot!$G$12:$G$119,"")</f>
        <v>Wood</v>
      </c>
      <c r="B5709" t="s">
        <v>11248</v>
      </c>
      <c r="C5709" t="s">
        <v>239</v>
      </c>
      <c r="D5709" t="s">
        <v>11477</v>
      </c>
      <c r="E5709" t="s">
        <v>11478</v>
      </c>
      <c r="G5709" s="1">
        <f>((VLOOKUP(B5709,Ingot!H:I,2,FALSE()) * 3) - 10.25) * 0.421875</f>
        <v>5.80078125</v>
      </c>
    </row>
    <row r="5710" spans="1:7" ht="14.25" hidden="1" customHeight="1" x14ac:dyDescent="0.45">
      <c r="A5710" t="str">
        <f>_xlfn.XLOOKUP(B5710,Ingot!$H$12:$H$119,Ingot!$G$12:$G$119,"")</f>
        <v>Wood</v>
      </c>
      <c r="B5710" t="s">
        <v>11248</v>
      </c>
      <c r="C5710" t="s">
        <v>239</v>
      </c>
      <c r="D5710" t="s">
        <v>11479</v>
      </c>
      <c r="E5710" t="s">
        <v>11480</v>
      </c>
      <c r="G5710" s="1">
        <f>((VLOOKUP(B5710,Ingot!H:I,2,FALSE()) * 3) - 10.25) * 0.75</f>
        <v>10.3125</v>
      </c>
    </row>
    <row r="5711" spans="1:7" ht="14.25" hidden="1" customHeight="1" x14ac:dyDescent="0.45">
      <c r="A5711" t="str">
        <f>_xlfn.XLOOKUP(B5711,Ingot!$H$12:$H$119,Ingot!$G$12:$G$119,"")</f>
        <v>Wood</v>
      </c>
      <c r="B5711" t="s">
        <v>11248</v>
      </c>
      <c r="C5711" t="s">
        <v>239</v>
      </c>
      <c r="D5711" t="s">
        <v>11481</v>
      </c>
      <c r="E5711" t="s">
        <v>11482</v>
      </c>
      <c r="G5711" s="1">
        <f>((VLOOKUP(B5711,Ingot!H:I,2,FALSE()) * 3) - 10.25) * 0.5625</f>
        <v>7.734375</v>
      </c>
    </row>
    <row r="5712" spans="1:7" ht="14.25" hidden="1" customHeight="1" x14ac:dyDescent="0.45">
      <c r="A5712" t="str">
        <f>_xlfn.XLOOKUP(B5712,Ingot!$H$12:$H$119,Ingot!$G$12:$G$119,"")</f>
        <v>Wood</v>
      </c>
      <c r="B5712" t="s">
        <v>11248</v>
      </c>
      <c r="C5712" t="s">
        <v>239</v>
      </c>
      <c r="D5712" t="s">
        <v>11483</v>
      </c>
      <c r="E5712" t="s">
        <v>11484</v>
      </c>
      <c r="G5712" s="1">
        <f>VLOOKUP(B5712,Ingot!H:I,2,FALSE()) * 0.75</f>
        <v>6</v>
      </c>
    </row>
    <row r="5713" spans="1:7" ht="14.25" hidden="1" customHeight="1" x14ac:dyDescent="0.45">
      <c r="A5713" t="str">
        <f>_xlfn.XLOOKUP(B5713,Ingot!$H$12:$H$119,Ingot!$G$12:$G$119,"")</f>
        <v>Wood</v>
      </c>
      <c r="B5713" t="s">
        <v>11248</v>
      </c>
      <c r="C5713" t="s">
        <v>239</v>
      </c>
      <c r="D5713" t="s">
        <v>11485</v>
      </c>
      <c r="E5713" t="s">
        <v>11486</v>
      </c>
      <c r="G5713" s="1">
        <f>(VLOOKUP(B5713,Ingot!H:I,2,FALSE()) * 3) - 10.25</f>
        <v>13.75</v>
      </c>
    </row>
    <row r="5714" spans="1:7" ht="14.25" hidden="1" customHeight="1" x14ac:dyDescent="0.45">
      <c r="A5714" t="str">
        <f>_xlfn.XLOOKUP(B5714,Ingot!$H$12:$H$119,Ingot!$G$12:$G$119,"")</f>
        <v>Wood</v>
      </c>
      <c r="B5714" t="s">
        <v>11487</v>
      </c>
      <c r="C5714" t="s">
        <v>10</v>
      </c>
      <c r="D5714" t="s">
        <v>11488</v>
      </c>
      <c r="E5714" t="s">
        <v>11489</v>
      </c>
      <c r="G5714" s="1">
        <v>0.08</v>
      </c>
    </row>
    <row r="5715" spans="1:7" ht="14.25" hidden="1" customHeight="1" x14ac:dyDescent="0.45">
      <c r="A5715" t="str">
        <f>_xlfn.XLOOKUP(B5715,Ingot!$H$12:$H$119,Ingot!$G$12:$G$119,"")</f>
        <v>Wood</v>
      </c>
      <c r="B5715" t="s">
        <v>11487</v>
      </c>
      <c r="C5715" t="s">
        <v>10</v>
      </c>
      <c r="D5715" t="s">
        <v>11490</v>
      </c>
      <c r="E5715" t="s">
        <v>11491</v>
      </c>
      <c r="G5715" s="1">
        <v>9.9</v>
      </c>
    </row>
    <row r="5716" spans="1:7" ht="14.25" hidden="1" customHeight="1" x14ac:dyDescent="0.45">
      <c r="A5716" t="str">
        <f>_xlfn.XLOOKUP(B5716,Ingot!$H$12:$H$119,Ingot!$G$12:$G$119,"")</f>
        <v>Wood</v>
      </c>
      <c r="B5716" t="s">
        <v>11487</v>
      </c>
      <c r="C5716" t="s">
        <v>10</v>
      </c>
      <c r="D5716" t="s">
        <v>11492</v>
      </c>
      <c r="E5716" t="s">
        <v>11493</v>
      </c>
      <c r="G5716" s="1">
        <v>5.66</v>
      </c>
    </row>
    <row r="5717" spans="1:7" ht="14.25" hidden="1" customHeight="1" x14ac:dyDescent="0.45">
      <c r="A5717" t="str">
        <f>_xlfn.XLOOKUP(B5717,Ingot!$H$12:$H$119,Ingot!$G$12:$G$119,"")</f>
        <v>Wood</v>
      </c>
      <c r="B5717" t="s">
        <v>11487</v>
      </c>
      <c r="C5717" t="s">
        <v>10</v>
      </c>
      <c r="D5717" t="s">
        <v>11494</v>
      </c>
      <c r="E5717" t="s">
        <v>11495</v>
      </c>
      <c r="G5717" s="1">
        <v>3.3</v>
      </c>
    </row>
    <row r="5718" spans="1:7" ht="14.25" hidden="1" customHeight="1" x14ac:dyDescent="0.45">
      <c r="A5718" t="str">
        <f>_xlfn.XLOOKUP(B5718,Ingot!$H$12:$H$119,Ingot!$G$12:$G$119,"")</f>
        <v>Wood</v>
      </c>
      <c r="B5718" t="s">
        <v>11487</v>
      </c>
      <c r="C5718" t="s">
        <v>10</v>
      </c>
      <c r="D5718" t="s">
        <v>11496</v>
      </c>
      <c r="E5718" t="s">
        <v>11497</v>
      </c>
      <c r="G5718" s="1">
        <v>0.66</v>
      </c>
    </row>
    <row r="5719" spans="1:7" ht="14.25" hidden="1" customHeight="1" x14ac:dyDescent="0.45">
      <c r="A5719" t="str">
        <f>_xlfn.XLOOKUP(B5719,Ingot!$H$12:$H$119,Ingot!$G$12:$G$119,"")</f>
        <v>Wood</v>
      </c>
      <c r="B5719" t="s">
        <v>11487</v>
      </c>
      <c r="C5719" t="s">
        <v>10</v>
      </c>
      <c r="D5719" t="s">
        <v>11498</v>
      </c>
      <c r="E5719" t="s">
        <v>11499</v>
      </c>
      <c r="G5719" s="1">
        <v>0.04</v>
      </c>
    </row>
    <row r="5720" spans="1:7" ht="14.25" hidden="1" customHeight="1" x14ac:dyDescent="0.45">
      <c r="A5720" t="str">
        <f>_xlfn.XLOOKUP(B5720,Ingot!$H$12:$H$119,Ingot!$G$12:$G$119,"")</f>
        <v>Wood</v>
      </c>
      <c r="B5720" t="s">
        <v>11487</v>
      </c>
      <c r="C5720" t="s">
        <v>10</v>
      </c>
      <c r="D5720" t="s">
        <v>11500</v>
      </c>
      <c r="E5720" t="s">
        <v>11501</v>
      </c>
      <c r="G5720" s="1">
        <v>0.33</v>
      </c>
    </row>
    <row r="5721" spans="1:7" ht="14.25" hidden="1" customHeight="1" x14ac:dyDescent="0.45">
      <c r="A5721" t="str">
        <f>_xlfn.XLOOKUP(B5721,Ingot!$H$12:$H$119,Ingot!$G$12:$G$119,"")</f>
        <v>Wood</v>
      </c>
      <c r="B5721" t="s">
        <v>11487</v>
      </c>
      <c r="C5721" t="s">
        <v>10</v>
      </c>
      <c r="D5721" t="s">
        <v>11502</v>
      </c>
      <c r="E5721" t="s">
        <v>11503</v>
      </c>
    </row>
    <row r="5722" spans="1:7" ht="14.25" hidden="1" customHeight="1" x14ac:dyDescent="0.45">
      <c r="A5722" t="str">
        <f>_xlfn.XLOOKUP(B5722,Ingot!$H$12:$H$119,Ingot!$G$12:$G$119,"")</f>
        <v>Wood</v>
      </c>
      <c r="B5722" t="s">
        <v>11487</v>
      </c>
      <c r="C5722" t="s">
        <v>10</v>
      </c>
      <c r="D5722" t="s">
        <v>11504</v>
      </c>
      <c r="E5722" t="s">
        <v>11505</v>
      </c>
      <c r="G5722" s="1">
        <v>0.05</v>
      </c>
    </row>
    <row r="5723" spans="1:7" ht="14.25" hidden="1" customHeight="1" x14ac:dyDescent="0.45">
      <c r="A5723" t="str">
        <f>_xlfn.XLOOKUP(B5723,Ingot!$H$12:$H$119,Ingot!$G$12:$G$119,"")</f>
        <v>Wood</v>
      </c>
      <c r="B5723" t="s">
        <v>11487</v>
      </c>
      <c r="C5723" t="s">
        <v>10</v>
      </c>
      <c r="D5723" t="s">
        <v>11506</v>
      </c>
      <c r="E5723" t="s">
        <v>11507</v>
      </c>
      <c r="G5723" s="1">
        <v>0.66</v>
      </c>
    </row>
    <row r="5724" spans="1:7" ht="14.25" hidden="1" customHeight="1" x14ac:dyDescent="0.45">
      <c r="A5724" t="str">
        <f>_xlfn.XLOOKUP(B5724,Ingot!$H$12:$H$119,Ingot!$G$12:$G$119,"")</f>
        <v>Wood</v>
      </c>
      <c r="B5724" t="s">
        <v>11487</v>
      </c>
      <c r="C5724" t="s">
        <v>10</v>
      </c>
      <c r="D5724" t="s">
        <v>11508</v>
      </c>
      <c r="E5724" t="s">
        <v>11509</v>
      </c>
      <c r="G5724" s="1">
        <v>3.96</v>
      </c>
    </row>
    <row r="5725" spans="1:7" ht="14.25" hidden="1" customHeight="1" x14ac:dyDescent="0.45">
      <c r="A5725" t="str">
        <f>_xlfn.XLOOKUP(B5725,Ingot!$H$12:$H$119,Ingot!$G$12:$G$119,"")</f>
        <v>Wood</v>
      </c>
      <c r="B5725" t="s">
        <v>11487</v>
      </c>
      <c r="C5725" t="s">
        <v>10</v>
      </c>
      <c r="D5725" t="s">
        <v>11510</v>
      </c>
      <c r="E5725" t="s">
        <v>11511</v>
      </c>
      <c r="G5725" s="1">
        <v>8.77</v>
      </c>
    </row>
    <row r="5726" spans="1:7" ht="14.25" hidden="1" customHeight="1" x14ac:dyDescent="0.45">
      <c r="A5726" t="str">
        <f>_xlfn.XLOOKUP(B5726,Ingot!$H$12:$H$119,Ingot!$G$12:$G$119,"")</f>
        <v>Wood</v>
      </c>
      <c r="B5726" t="s">
        <v>11487</v>
      </c>
      <c r="C5726" t="s">
        <v>10</v>
      </c>
      <c r="D5726" t="s">
        <v>11512</v>
      </c>
      <c r="E5726" t="s">
        <v>11513</v>
      </c>
      <c r="G5726" s="1">
        <v>3.5</v>
      </c>
    </row>
    <row r="5727" spans="1:7" ht="14.25" hidden="1" customHeight="1" x14ac:dyDescent="0.45">
      <c r="A5727" t="str">
        <f>_xlfn.XLOOKUP(B5727,Ingot!$H$12:$H$119,Ingot!$G$12:$G$119,"")</f>
        <v>Wood</v>
      </c>
      <c r="B5727" t="s">
        <v>11487</v>
      </c>
      <c r="C5727" t="s">
        <v>10</v>
      </c>
      <c r="D5727" t="s">
        <v>11514</v>
      </c>
      <c r="E5727" t="s">
        <v>11515</v>
      </c>
    </row>
    <row r="5728" spans="1:7" ht="14.25" hidden="1" customHeight="1" x14ac:dyDescent="0.45">
      <c r="A5728" t="str">
        <f>_xlfn.XLOOKUP(B5728,Ingot!$H$12:$H$119,Ingot!$G$12:$G$119,"")</f>
        <v>Wood</v>
      </c>
      <c r="B5728" t="s">
        <v>11487</v>
      </c>
      <c r="C5728" t="s">
        <v>10</v>
      </c>
      <c r="D5728" t="s">
        <v>11516</v>
      </c>
      <c r="E5728" t="s">
        <v>11517</v>
      </c>
      <c r="G5728" s="1">
        <v>2.2000000000000002</v>
      </c>
    </row>
    <row r="5729" spans="1:7" ht="14.25" hidden="1" customHeight="1" x14ac:dyDescent="0.45">
      <c r="A5729" t="str">
        <f>_xlfn.XLOOKUP(B5729,Ingot!$H$12:$H$119,Ingot!$G$12:$G$119,"")</f>
        <v>Wood</v>
      </c>
      <c r="B5729" t="s">
        <v>11487</v>
      </c>
      <c r="C5729" t="s">
        <v>10</v>
      </c>
      <c r="D5729" t="s">
        <v>11518</v>
      </c>
      <c r="E5729" t="s">
        <v>11519</v>
      </c>
      <c r="G5729" s="1">
        <v>1.1000000000000001</v>
      </c>
    </row>
    <row r="5730" spans="1:7" ht="14.25" hidden="1" customHeight="1" x14ac:dyDescent="0.45">
      <c r="A5730" t="str">
        <f>_xlfn.XLOOKUP(B5730,Ingot!$H$12:$H$119,Ingot!$G$12:$G$119,"")</f>
        <v>Wood</v>
      </c>
      <c r="B5730" t="s">
        <v>11487</v>
      </c>
      <c r="C5730" t="s">
        <v>10</v>
      </c>
      <c r="D5730" t="s">
        <v>11520</v>
      </c>
      <c r="E5730" t="s">
        <v>11521</v>
      </c>
      <c r="G5730" s="1">
        <v>0.22</v>
      </c>
    </row>
    <row r="5731" spans="1:7" ht="14.25" hidden="1" customHeight="1" x14ac:dyDescent="0.45">
      <c r="A5731" t="str">
        <f>_xlfn.XLOOKUP(B5731,Ingot!$H$12:$H$119,Ingot!$G$12:$G$119,"")</f>
        <v>Wood</v>
      </c>
      <c r="B5731" t="s">
        <v>11487</v>
      </c>
      <c r="C5731" t="s">
        <v>10</v>
      </c>
      <c r="D5731" t="s">
        <v>11522</v>
      </c>
      <c r="E5731" t="s">
        <v>11523</v>
      </c>
      <c r="G5731" s="1">
        <v>8.41</v>
      </c>
    </row>
    <row r="5732" spans="1:7" ht="14.25" hidden="1" customHeight="1" x14ac:dyDescent="0.45">
      <c r="A5732" t="str">
        <f>_xlfn.XLOOKUP(B5732,Ingot!$H$12:$H$119,Ingot!$G$12:$G$119,"")</f>
        <v>Wood</v>
      </c>
      <c r="B5732" t="s">
        <v>11487</v>
      </c>
      <c r="C5732" t="s">
        <v>10</v>
      </c>
      <c r="D5732" t="s">
        <v>11524</v>
      </c>
      <c r="E5732" t="s">
        <v>11525</v>
      </c>
      <c r="G5732" s="1">
        <v>3.64</v>
      </c>
    </row>
    <row r="5733" spans="1:7" ht="14.25" hidden="1" customHeight="1" x14ac:dyDescent="0.45">
      <c r="A5733" t="str">
        <f>_xlfn.XLOOKUP(B5733,Ingot!$H$12:$H$119,Ingot!$G$12:$G$119,"")</f>
        <v>Wood</v>
      </c>
      <c r="B5733" t="s">
        <v>11487</v>
      </c>
      <c r="C5733" t="s">
        <v>10</v>
      </c>
      <c r="D5733" t="s">
        <v>11526</v>
      </c>
      <c r="E5733" t="s">
        <v>11527</v>
      </c>
      <c r="G5733" s="1">
        <v>7.05</v>
      </c>
    </row>
    <row r="5734" spans="1:7" ht="14.25" hidden="1" customHeight="1" x14ac:dyDescent="0.45">
      <c r="A5734" t="str">
        <f>_xlfn.XLOOKUP(B5734,Ingot!$H$12:$H$119,Ingot!$G$12:$G$119,"")</f>
        <v>Wood</v>
      </c>
      <c r="B5734" t="s">
        <v>11487</v>
      </c>
      <c r="C5734" t="s">
        <v>10</v>
      </c>
      <c r="D5734" t="s">
        <v>11528</v>
      </c>
      <c r="E5734" t="s">
        <v>11529</v>
      </c>
      <c r="G5734" s="1">
        <v>2.65</v>
      </c>
    </row>
    <row r="5735" spans="1:7" ht="14.25" hidden="1" customHeight="1" x14ac:dyDescent="0.45">
      <c r="A5735" t="str">
        <f>_xlfn.XLOOKUP(B5735,Ingot!$H$12:$H$119,Ingot!$G$12:$G$119,"")</f>
        <v>Wood</v>
      </c>
      <c r="B5735" t="s">
        <v>11487</v>
      </c>
      <c r="C5735" t="s">
        <v>10</v>
      </c>
      <c r="D5735" t="s">
        <v>11530</v>
      </c>
      <c r="E5735" t="s">
        <v>11531</v>
      </c>
      <c r="G5735" s="1">
        <v>9</v>
      </c>
    </row>
    <row r="5736" spans="1:7" ht="14.25" hidden="1" customHeight="1" x14ac:dyDescent="0.45">
      <c r="A5736" t="str">
        <f>_xlfn.XLOOKUP(B5736,Ingot!$H$12:$H$119,Ingot!$G$12:$G$119,"")</f>
        <v>Wood</v>
      </c>
      <c r="B5736" t="s">
        <v>11487</v>
      </c>
      <c r="C5736" t="s">
        <v>10</v>
      </c>
      <c r="D5736" t="s">
        <v>11532</v>
      </c>
      <c r="E5736" t="s">
        <v>11533</v>
      </c>
      <c r="G5736" s="1">
        <v>10.23</v>
      </c>
    </row>
    <row r="5737" spans="1:7" ht="14.25" hidden="1" customHeight="1" x14ac:dyDescent="0.45">
      <c r="A5737" t="str">
        <f>_xlfn.XLOOKUP(B5737,Ingot!$H$12:$H$119,Ingot!$G$12:$G$119,"")</f>
        <v>Wood</v>
      </c>
      <c r="B5737" t="s">
        <v>11487</v>
      </c>
      <c r="C5737" t="s">
        <v>10</v>
      </c>
      <c r="D5737" t="s">
        <v>11534</v>
      </c>
      <c r="E5737" t="s">
        <v>11535</v>
      </c>
      <c r="G5737" s="1">
        <v>7.7</v>
      </c>
    </row>
    <row r="5738" spans="1:7" ht="14.25" hidden="1" customHeight="1" x14ac:dyDescent="0.45">
      <c r="A5738" t="str">
        <f>_xlfn.XLOOKUP(B5738,Ingot!$H$12:$H$119,Ingot!$G$12:$G$119,"")</f>
        <v>Wood</v>
      </c>
      <c r="B5738" t="s">
        <v>11487</v>
      </c>
      <c r="C5738" t="s">
        <v>10</v>
      </c>
      <c r="D5738" t="s">
        <v>11536</v>
      </c>
      <c r="E5738" t="s">
        <v>11537</v>
      </c>
      <c r="G5738" s="1">
        <v>10.02</v>
      </c>
    </row>
    <row r="5739" spans="1:7" ht="14.25" hidden="1" customHeight="1" x14ac:dyDescent="0.45">
      <c r="A5739" t="str">
        <f>_xlfn.XLOOKUP(B5739,Ingot!$H$12:$H$119,Ingot!$G$12:$G$119,"")</f>
        <v>Wood</v>
      </c>
      <c r="B5739" t="s">
        <v>11487</v>
      </c>
      <c r="C5739" t="s">
        <v>10</v>
      </c>
      <c r="D5739" t="s">
        <v>11538</v>
      </c>
      <c r="E5739" t="s">
        <v>11539</v>
      </c>
      <c r="G5739" s="1">
        <v>11.81</v>
      </c>
    </row>
    <row r="5740" spans="1:7" ht="14.25" hidden="1" customHeight="1" x14ac:dyDescent="0.45">
      <c r="A5740" t="str">
        <f>_xlfn.XLOOKUP(B5740,Ingot!$H$12:$H$119,Ingot!$G$12:$G$119,"")</f>
        <v>Wood</v>
      </c>
      <c r="B5740" t="s">
        <v>11487</v>
      </c>
      <c r="C5740" t="s">
        <v>10</v>
      </c>
      <c r="D5740" t="s">
        <v>11540</v>
      </c>
      <c r="E5740" t="s">
        <v>11541</v>
      </c>
      <c r="G5740" s="1">
        <v>8.44</v>
      </c>
    </row>
    <row r="5741" spans="1:7" ht="14.25" hidden="1" customHeight="1" x14ac:dyDescent="0.45">
      <c r="A5741" t="str">
        <f>_xlfn.XLOOKUP(B5741,Ingot!$H$12:$H$119,Ingot!$G$12:$G$119,"")</f>
        <v>Wood</v>
      </c>
      <c r="B5741" t="s">
        <v>11487</v>
      </c>
      <c r="C5741" t="s">
        <v>10</v>
      </c>
      <c r="D5741" t="s">
        <v>11542</v>
      </c>
      <c r="E5741" t="s">
        <v>11543</v>
      </c>
      <c r="G5741" s="1">
        <v>10.42</v>
      </c>
    </row>
    <row r="5742" spans="1:7" ht="14.25" hidden="1" customHeight="1" x14ac:dyDescent="0.45">
      <c r="A5742" t="str">
        <f>_xlfn.XLOOKUP(B5742,Ingot!$H$12:$H$119,Ingot!$G$12:$G$119,"")</f>
        <v>Wood</v>
      </c>
      <c r="B5742" t="s">
        <v>11487</v>
      </c>
      <c r="C5742" t="s">
        <v>10</v>
      </c>
      <c r="D5742" t="s">
        <v>11544</v>
      </c>
      <c r="E5742" t="s">
        <v>11545</v>
      </c>
    </row>
    <row r="5743" spans="1:7" ht="14.25" hidden="1" customHeight="1" x14ac:dyDescent="0.45">
      <c r="A5743" t="str">
        <f>_xlfn.XLOOKUP(B5743,Ingot!$H$12:$H$119,Ingot!$G$12:$G$119,"")</f>
        <v>Wood</v>
      </c>
      <c r="B5743" t="s">
        <v>11487</v>
      </c>
      <c r="C5743" t="s">
        <v>10</v>
      </c>
      <c r="D5743" t="s">
        <v>11546</v>
      </c>
      <c r="E5743" t="s">
        <v>11547</v>
      </c>
      <c r="G5743" s="1">
        <v>7.96</v>
      </c>
    </row>
    <row r="5744" spans="1:7" ht="14.25" hidden="1" customHeight="1" x14ac:dyDescent="0.45">
      <c r="A5744" t="str">
        <f>_xlfn.XLOOKUP(B5744,Ingot!$H$12:$H$119,Ingot!$G$12:$G$119,"")</f>
        <v>Wood</v>
      </c>
      <c r="B5744" t="s">
        <v>11487</v>
      </c>
      <c r="C5744" t="s">
        <v>10</v>
      </c>
      <c r="D5744" t="s">
        <v>11548</v>
      </c>
      <c r="E5744" t="s">
        <v>11549</v>
      </c>
      <c r="G5744" s="1">
        <v>9.64</v>
      </c>
    </row>
    <row r="5745" spans="1:7" ht="14.25" hidden="1" customHeight="1" x14ac:dyDescent="0.45">
      <c r="A5745" t="str">
        <f>_xlfn.XLOOKUP(B5745,Ingot!$H$12:$H$119,Ingot!$G$12:$G$119,"")</f>
        <v>Wood</v>
      </c>
      <c r="B5745" t="s">
        <v>11487</v>
      </c>
      <c r="C5745" t="s">
        <v>10</v>
      </c>
      <c r="D5745" t="s">
        <v>11550</v>
      </c>
      <c r="E5745" t="s">
        <v>11551</v>
      </c>
      <c r="G5745" s="1">
        <v>7.94</v>
      </c>
    </row>
    <row r="5746" spans="1:7" ht="14.25" hidden="1" customHeight="1" x14ac:dyDescent="0.45">
      <c r="A5746" t="str">
        <f>_xlfn.XLOOKUP(B5746,Ingot!$H$12:$H$119,Ingot!$G$12:$G$119,"")</f>
        <v>Wood</v>
      </c>
      <c r="B5746" t="s">
        <v>11487</v>
      </c>
      <c r="C5746" t="s">
        <v>10</v>
      </c>
      <c r="D5746" t="s">
        <v>11552</v>
      </c>
      <c r="E5746" t="s">
        <v>11553</v>
      </c>
      <c r="G5746" s="1">
        <v>8.66</v>
      </c>
    </row>
    <row r="5747" spans="1:7" ht="14.25" hidden="1" customHeight="1" x14ac:dyDescent="0.45">
      <c r="A5747" t="str">
        <f>_xlfn.XLOOKUP(B5747,Ingot!$H$12:$H$119,Ingot!$G$12:$G$119,"")</f>
        <v>Wood</v>
      </c>
      <c r="B5747" t="s">
        <v>11487</v>
      </c>
      <c r="C5747" t="s">
        <v>10</v>
      </c>
      <c r="D5747" t="s">
        <v>11554</v>
      </c>
      <c r="E5747" t="s">
        <v>11555</v>
      </c>
    </row>
    <row r="5748" spans="1:7" ht="14.25" hidden="1" customHeight="1" x14ac:dyDescent="0.45">
      <c r="A5748" t="str">
        <f>_xlfn.XLOOKUP(B5748,Ingot!$H$12:$H$119,Ingot!$G$12:$G$119,"")</f>
        <v>Wood</v>
      </c>
      <c r="B5748" t="s">
        <v>11487</v>
      </c>
      <c r="C5748" t="s">
        <v>10</v>
      </c>
      <c r="D5748" t="s">
        <v>11556</v>
      </c>
      <c r="E5748" t="s">
        <v>11557</v>
      </c>
      <c r="G5748" s="1">
        <v>2.65</v>
      </c>
    </row>
    <row r="5749" spans="1:7" ht="14.25" hidden="1" customHeight="1" x14ac:dyDescent="0.45">
      <c r="A5749" t="str">
        <f>_xlfn.XLOOKUP(B5749,Ingot!$H$12:$H$119,Ingot!$G$12:$G$119,"")</f>
        <v>Wood</v>
      </c>
      <c r="B5749" t="s">
        <v>11487</v>
      </c>
      <c r="C5749" t="s">
        <v>10</v>
      </c>
      <c r="D5749" t="s">
        <v>11558</v>
      </c>
      <c r="E5749" t="s">
        <v>11559</v>
      </c>
    </row>
    <row r="5750" spans="1:7" ht="14.25" hidden="1" customHeight="1" x14ac:dyDescent="0.45">
      <c r="A5750" t="str">
        <f>_xlfn.XLOOKUP(B5750,Ingot!$H$12:$H$119,Ingot!$G$12:$G$119,"")</f>
        <v>Wood</v>
      </c>
      <c r="B5750" t="s">
        <v>11487</v>
      </c>
      <c r="C5750" t="s">
        <v>10</v>
      </c>
      <c r="D5750" t="s">
        <v>11560</v>
      </c>
      <c r="E5750" t="s">
        <v>11561</v>
      </c>
      <c r="G5750" s="1">
        <v>12.64</v>
      </c>
    </row>
    <row r="5751" spans="1:7" ht="14.25" hidden="1" customHeight="1" x14ac:dyDescent="0.45">
      <c r="A5751" t="str">
        <f>_xlfn.XLOOKUP(B5751,Ingot!$H$12:$H$119,Ingot!$G$12:$G$119,"")</f>
        <v>Wood</v>
      </c>
      <c r="B5751" t="s">
        <v>11487</v>
      </c>
      <c r="C5751" t="s">
        <v>10</v>
      </c>
      <c r="D5751" t="s">
        <v>11562</v>
      </c>
      <c r="E5751" t="s">
        <v>11563</v>
      </c>
      <c r="G5751" s="1">
        <v>22.67</v>
      </c>
    </row>
    <row r="5752" spans="1:7" ht="14.25" hidden="1" customHeight="1" x14ac:dyDescent="0.45">
      <c r="A5752" t="str">
        <f>_xlfn.XLOOKUP(B5752,Ingot!$H$12:$H$119,Ingot!$G$12:$G$119,"")</f>
        <v>Wood</v>
      </c>
      <c r="B5752" t="s">
        <v>11487</v>
      </c>
      <c r="C5752" t="s">
        <v>10</v>
      </c>
      <c r="D5752" t="s">
        <v>11564</v>
      </c>
      <c r="E5752" t="s">
        <v>11565</v>
      </c>
      <c r="G5752" s="1">
        <v>8.3800000000000008</v>
      </c>
    </row>
    <row r="5753" spans="1:7" ht="14.25" hidden="1" customHeight="1" x14ac:dyDescent="0.45">
      <c r="A5753" t="str">
        <f>_xlfn.XLOOKUP(B5753,Ingot!$H$12:$H$119,Ingot!$G$12:$G$119,"")</f>
        <v>Wood</v>
      </c>
      <c r="B5753" t="s">
        <v>11487</v>
      </c>
      <c r="C5753" t="s">
        <v>10</v>
      </c>
      <c r="D5753" t="s">
        <v>11566</v>
      </c>
      <c r="E5753" t="s">
        <v>11567</v>
      </c>
      <c r="G5753" s="1">
        <v>2.2000000000000002</v>
      </c>
    </row>
    <row r="5754" spans="1:7" ht="14.25" hidden="1" customHeight="1" x14ac:dyDescent="0.45">
      <c r="A5754" t="str">
        <f>_xlfn.XLOOKUP(B5754,Ingot!$H$12:$H$119,Ingot!$G$12:$G$119,"")</f>
        <v>Wood</v>
      </c>
      <c r="B5754" t="s">
        <v>11487</v>
      </c>
      <c r="C5754" t="s">
        <v>10</v>
      </c>
      <c r="D5754" t="s">
        <v>11568</v>
      </c>
      <c r="E5754" t="s">
        <v>11569</v>
      </c>
      <c r="G5754" s="1">
        <v>3.09</v>
      </c>
    </row>
    <row r="5755" spans="1:7" ht="14.25" hidden="1" customHeight="1" x14ac:dyDescent="0.45">
      <c r="A5755" t="str">
        <f>_xlfn.XLOOKUP(B5755,Ingot!$H$12:$H$119,Ingot!$G$12:$G$119,"")</f>
        <v>Wood</v>
      </c>
      <c r="B5755" t="s">
        <v>11487</v>
      </c>
      <c r="C5755" t="s">
        <v>10</v>
      </c>
      <c r="D5755" t="s">
        <v>11570</v>
      </c>
      <c r="E5755" t="s">
        <v>11571</v>
      </c>
      <c r="G5755" s="1">
        <v>2.2999999999999998</v>
      </c>
    </row>
    <row r="5756" spans="1:7" ht="14.25" hidden="1" customHeight="1" x14ac:dyDescent="0.45">
      <c r="A5756" t="str">
        <f>_xlfn.XLOOKUP(B5756,Ingot!$H$12:$H$119,Ingot!$G$12:$G$119,"")</f>
        <v>Wood</v>
      </c>
      <c r="B5756" t="s">
        <v>11487</v>
      </c>
      <c r="C5756" t="s">
        <v>10</v>
      </c>
      <c r="D5756" t="s">
        <v>11572</v>
      </c>
      <c r="E5756" t="s">
        <v>11573</v>
      </c>
      <c r="G5756" s="1">
        <v>4.88</v>
      </c>
    </row>
    <row r="5757" spans="1:7" ht="14.25" hidden="1" customHeight="1" x14ac:dyDescent="0.45">
      <c r="A5757" t="str">
        <f>_xlfn.XLOOKUP(B5757,Ingot!$H$12:$H$119,Ingot!$G$12:$G$119,"")</f>
        <v>Wood</v>
      </c>
      <c r="B5757" t="s">
        <v>11487</v>
      </c>
      <c r="C5757" t="s">
        <v>10</v>
      </c>
      <c r="D5757" t="s">
        <v>11574</v>
      </c>
      <c r="E5757" t="s">
        <v>11575</v>
      </c>
      <c r="G5757" s="1">
        <v>8.43</v>
      </c>
    </row>
    <row r="5758" spans="1:7" ht="14.25" hidden="1" customHeight="1" x14ac:dyDescent="0.45">
      <c r="A5758" t="str">
        <f>_xlfn.XLOOKUP(B5758,Ingot!$H$12:$H$119,Ingot!$G$12:$G$119,"")</f>
        <v>Wood</v>
      </c>
      <c r="B5758" t="s">
        <v>11487</v>
      </c>
      <c r="C5758" t="s">
        <v>10</v>
      </c>
      <c r="D5758" t="s">
        <v>11576</v>
      </c>
      <c r="E5758" t="s">
        <v>11577</v>
      </c>
      <c r="G5758" s="1">
        <v>13.07</v>
      </c>
    </row>
    <row r="5759" spans="1:7" ht="14.25" hidden="1" customHeight="1" x14ac:dyDescent="0.45">
      <c r="A5759" t="str">
        <f>_xlfn.XLOOKUP(B5759,Ingot!$H$12:$H$119,Ingot!$G$12:$G$119,"")</f>
        <v>Wood</v>
      </c>
      <c r="B5759" t="s">
        <v>11487</v>
      </c>
      <c r="C5759" t="s">
        <v>10</v>
      </c>
      <c r="D5759" t="s">
        <v>11578</v>
      </c>
      <c r="E5759" t="s">
        <v>11579</v>
      </c>
    </row>
    <row r="5760" spans="1:7" ht="14.25" hidden="1" customHeight="1" x14ac:dyDescent="0.45">
      <c r="A5760" t="str">
        <f>_xlfn.XLOOKUP(B5760,Ingot!$H$12:$H$119,Ingot!$G$12:$G$119,"")</f>
        <v>Wood</v>
      </c>
      <c r="B5760" t="s">
        <v>11487</v>
      </c>
      <c r="C5760" t="s">
        <v>10</v>
      </c>
      <c r="D5760" t="s">
        <v>11580</v>
      </c>
      <c r="E5760" t="s">
        <v>11581</v>
      </c>
    </row>
    <row r="5761" spans="1:7" ht="14.25" hidden="1" customHeight="1" x14ac:dyDescent="0.45">
      <c r="A5761" t="str">
        <f>_xlfn.XLOOKUP(B5761,Ingot!$H$12:$H$119,Ingot!$G$12:$G$119,"")</f>
        <v>Wood</v>
      </c>
      <c r="B5761" t="s">
        <v>11487</v>
      </c>
      <c r="C5761" t="s">
        <v>10</v>
      </c>
      <c r="D5761" t="s">
        <v>11582</v>
      </c>
      <c r="E5761" t="s">
        <v>11583</v>
      </c>
      <c r="G5761" s="1">
        <v>6.8</v>
      </c>
    </row>
    <row r="5762" spans="1:7" ht="14.25" hidden="1" customHeight="1" x14ac:dyDescent="0.45">
      <c r="A5762" t="str">
        <f>_xlfn.XLOOKUP(B5762,Ingot!$H$12:$H$119,Ingot!$G$12:$G$119,"")</f>
        <v>Wood</v>
      </c>
      <c r="B5762" t="s">
        <v>11487</v>
      </c>
      <c r="C5762" t="s">
        <v>10</v>
      </c>
      <c r="D5762" t="s">
        <v>11584</v>
      </c>
      <c r="E5762" t="s">
        <v>11585</v>
      </c>
      <c r="G5762" s="1">
        <v>6.88</v>
      </c>
    </row>
    <row r="5763" spans="1:7" ht="14.25" hidden="1" customHeight="1" x14ac:dyDescent="0.45">
      <c r="A5763" t="str">
        <f>_xlfn.XLOOKUP(B5763,Ingot!$H$12:$H$119,Ingot!$G$12:$G$119,"")</f>
        <v>Wood</v>
      </c>
      <c r="B5763" t="s">
        <v>11487</v>
      </c>
      <c r="C5763" t="s">
        <v>10</v>
      </c>
      <c r="D5763" t="s">
        <v>11586</v>
      </c>
      <c r="E5763" t="s">
        <v>11587</v>
      </c>
      <c r="G5763" s="1">
        <v>5.5</v>
      </c>
    </row>
    <row r="5764" spans="1:7" ht="14.25" hidden="1" customHeight="1" x14ac:dyDescent="0.45">
      <c r="A5764" t="str">
        <f>_xlfn.XLOOKUP(B5764,Ingot!$H$12:$H$119,Ingot!$G$12:$G$119,"")</f>
        <v>Wood</v>
      </c>
      <c r="B5764" t="s">
        <v>11487</v>
      </c>
      <c r="C5764" t="s">
        <v>10</v>
      </c>
      <c r="D5764" t="s">
        <v>11588</v>
      </c>
      <c r="E5764" t="s">
        <v>11589</v>
      </c>
      <c r="G5764" s="1">
        <v>2.4300000000000002</v>
      </c>
    </row>
    <row r="5765" spans="1:7" ht="14.25" hidden="1" customHeight="1" x14ac:dyDescent="0.45">
      <c r="A5765" t="str">
        <f>_xlfn.XLOOKUP(B5765,Ingot!$H$12:$H$119,Ingot!$G$12:$G$119,"")</f>
        <v>Wood</v>
      </c>
      <c r="B5765" t="s">
        <v>11487</v>
      </c>
      <c r="C5765" t="s">
        <v>10</v>
      </c>
      <c r="D5765" t="s">
        <v>11590</v>
      </c>
      <c r="E5765" t="s">
        <v>11591</v>
      </c>
      <c r="G5765" s="1">
        <v>6.96</v>
      </c>
    </row>
    <row r="5766" spans="1:7" ht="14.25" hidden="1" customHeight="1" x14ac:dyDescent="0.45">
      <c r="A5766" t="str">
        <f>_xlfn.XLOOKUP(B5766,Ingot!$H$12:$H$119,Ingot!$G$12:$G$119,"")</f>
        <v>Wood</v>
      </c>
      <c r="B5766" t="s">
        <v>11487</v>
      </c>
      <c r="C5766" t="s">
        <v>10</v>
      </c>
      <c r="D5766" t="s">
        <v>11592</v>
      </c>
      <c r="E5766" t="s">
        <v>11593</v>
      </c>
      <c r="G5766" s="1">
        <v>6.32</v>
      </c>
    </row>
    <row r="5767" spans="1:7" ht="14.25" hidden="1" customHeight="1" x14ac:dyDescent="0.45">
      <c r="A5767" t="str">
        <f>_xlfn.XLOOKUP(B5767,Ingot!$H$12:$H$119,Ingot!$G$12:$G$119,"")</f>
        <v>Wood</v>
      </c>
      <c r="B5767" t="s">
        <v>11487</v>
      </c>
      <c r="C5767" t="s">
        <v>10</v>
      </c>
      <c r="D5767" t="s">
        <v>11594</v>
      </c>
      <c r="E5767" t="s">
        <v>11595</v>
      </c>
      <c r="G5767" s="1">
        <v>6.88</v>
      </c>
    </row>
    <row r="5768" spans="1:7" ht="14.25" hidden="1" customHeight="1" x14ac:dyDescent="0.45">
      <c r="A5768" t="str">
        <f>_xlfn.XLOOKUP(B5768,Ingot!$H$12:$H$119,Ingot!$G$12:$G$119,"")</f>
        <v>Wood</v>
      </c>
      <c r="B5768" t="s">
        <v>11487</v>
      </c>
      <c r="C5768" t="s">
        <v>10</v>
      </c>
      <c r="D5768" t="s">
        <v>11596</v>
      </c>
      <c r="E5768" t="s">
        <v>11597</v>
      </c>
      <c r="G5768" s="1">
        <v>2.44</v>
      </c>
    </row>
    <row r="5769" spans="1:7" ht="14.25" hidden="1" customHeight="1" x14ac:dyDescent="0.45">
      <c r="A5769" t="str">
        <f>_xlfn.XLOOKUP(B5769,Ingot!$H$12:$H$119,Ingot!$G$12:$G$119,"")</f>
        <v>Wood</v>
      </c>
      <c r="B5769" t="s">
        <v>11487</v>
      </c>
      <c r="C5769" t="s">
        <v>10</v>
      </c>
      <c r="D5769" t="s">
        <v>11598</v>
      </c>
      <c r="E5769" t="s">
        <v>11599</v>
      </c>
    </row>
    <row r="5770" spans="1:7" ht="14.25" hidden="1" customHeight="1" x14ac:dyDescent="0.45">
      <c r="A5770" t="str">
        <f>_xlfn.XLOOKUP(B5770,Ingot!$H$12:$H$119,Ingot!$G$12:$G$119,"")</f>
        <v>Wood</v>
      </c>
      <c r="B5770" t="s">
        <v>11487</v>
      </c>
      <c r="C5770" t="s">
        <v>10</v>
      </c>
      <c r="D5770" t="s">
        <v>11600</v>
      </c>
      <c r="E5770" t="s">
        <v>11601</v>
      </c>
    </row>
    <row r="5771" spans="1:7" ht="14.25" hidden="1" customHeight="1" x14ac:dyDescent="0.45">
      <c r="A5771" t="str">
        <f>_xlfn.XLOOKUP(B5771,Ingot!$H$12:$H$119,Ingot!$G$12:$G$119,"")</f>
        <v>Wood</v>
      </c>
      <c r="B5771" t="s">
        <v>11487</v>
      </c>
      <c r="C5771" t="s">
        <v>10</v>
      </c>
      <c r="D5771" t="s">
        <v>11602</v>
      </c>
      <c r="E5771" t="s">
        <v>11603</v>
      </c>
      <c r="G5771" s="1">
        <v>3.11</v>
      </c>
    </row>
    <row r="5772" spans="1:7" ht="14.25" hidden="1" customHeight="1" x14ac:dyDescent="0.45">
      <c r="A5772" t="str">
        <f>_xlfn.XLOOKUP(B5772,Ingot!$H$12:$H$119,Ingot!$G$12:$G$119,"")</f>
        <v>Wood</v>
      </c>
      <c r="B5772" t="s">
        <v>11487</v>
      </c>
      <c r="C5772" t="s">
        <v>10</v>
      </c>
      <c r="D5772" t="s">
        <v>11604</v>
      </c>
      <c r="E5772" t="s">
        <v>11605</v>
      </c>
      <c r="G5772" s="1">
        <v>2.44</v>
      </c>
    </row>
    <row r="5773" spans="1:7" ht="14.25" hidden="1" customHeight="1" x14ac:dyDescent="0.45">
      <c r="A5773" t="str">
        <f>_xlfn.XLOOKUP(B5773,Ingot!$H$12:$H$119,Ingot!$G$12:$G$119,"")</f>
        <v>Wood</v>
      </c>
      <c r="B5773" t="s">
        <v>11487</v>
      </c>
      <c r="C5773" t="s">
        <v>10</v>
      </c>
      <c r="D5773" t="s">
        <v>11606</v>
      </c>
      <c r="E5773" t="s">
        <v>11607</v>
      </c>
      <c r="G5773" s="1">
        <v>8.61</v>
      </c>
    </row>
    <row r="5774" spans="1:7" ht="14.25" hidden="1" customHeight="1" x14ac:dyDescent="0.45">
      <c r="A5774" t="str">
        <f>_xlfn.XLOOKUP(B5774,Ingot!$H$12:$H$119,Ingot!$G$12:$G$119,"")</f>
        <v>Wood</v>
      </c>
      <c r="B5774" t="s">
        <v>11487</v>
      </c>
      <c r="C5774" t="s">
        <v>10</v>
      </c>
      <c r="D5774" t="s">
        <v>11608</v>
      </c>
      <c r="E5774" t="s">
        <v>11609</v>
      </c>
    </row>
    <row r="5775" spans="1:7" ht="14.25" hidden="1" customHeight="1" x14ac:dyDescent="0.45">
      <c r="A5775" t="str">
        <f>_xlfn.XLOOKUP(B5775,Ingot!$H$12:$H$119,Ingot!$G$12:$G$119,"")</f>
        <v>Wood</v>
      </c>
      <c r="B5775" t="s">
        <v>11487</v>
      </c>
      <c r="C5775" t="s">
        <v>10</v>
      </c>
      <c r="D5775" t="s">
        <v>11610</v>
      </c>
      <c r="E5775" t="s">
        <v>11611</v>
      </c>
      <c r="G5775" s="1">
        <v>3.21</v>
      </c>
    </row>
    <row r="5776" spans="1:7" ht="14.25" hidden="1" customHeight="1" x14ac:dyDescent="0.45">
      <c r="A5776" t="str">
        <f>_xlfn.XLOOKUP(B5776,Ingot!$H$12:$H$119,Ingot!$G$12:$G$119,"")</f>
        <v>Wood</v>
      </c>
      <c r="B5776" t="s">
        <v>11487</v>
      </c>
      <c r="C5776" t="s">
        <v>10</v>
      </c>
      <c r="D5776" t="s">
        <v>11612</v>
      </c>
      <c r="E5776" t="s">
        <v>11613</v>
      </c>
      <c r="G5776" s="1">
        <v>2.77</v>
      </c>
    </row>
    <row r="5777" spans="1:7" ht="14.25" hidden="1" customHeight="1" x14ac:dyDescent="0.45">
      <c r="A5777" t="str">
        <f>_xlfn.XLOOKUP(B5777,Ingot!$H$12:$H$119,Ingot!$G$12:$G$119,"")</f>
        <v>Wood</v>
      </c>
      <c r="B5777" t="s">
        <v>11487</v>
      </c>
      <c r="C5777" t="s">
        <v>10</v>
      </c>
      <c r="D5777" t="s">
        <v>11614</v>
      </c>
      <c r="E5777" t="s">
        <v>11615</v>
      </c>
      <c r="G5777" s="1">
        <v>4.8899999999999997</v>
      </c>
    </row>
    <row r="5778" spans="1:7" ht="14.25" hidden="1" customHeight="1" x14ac:dyDescent="0.45">
      <c r="A5778" t="str">
        <f>_xlfn.XLOOKUP(B5778,Ingot!$H$12:$H$119,Ingot!$G$12:$G$119,"")</f>
        <v>Wood</v>
      </c>
      <c r="B5778" t="s">
        <v>11487</v>
      </c>
      <c r="C5778" t="s">
        <v>10</v>
      </c>
      <c r="D5778" t="s">
        <v>11616</v>
      </c>
      <c r="E5778" t="s">
        <v>11617</v>
      </c>
      <c r="G5778" s="1">
        <v>1.76</v>
      </c>
    </row>
    <row r="5779" spans="1:7" ht="14.25" hidden="1" customHeight="1" x14ac:dyDescent="0.45">
      <c r="A5779" t="str">
        <f>_xlfn.XLOOKUP(B5779,Ingot!$H$12:$H$119,Ingot!$G$12:$G$119,"")</f>
        <v>Wood</v>
      </c>
      <c r="B5779" t="s">
        <v>11487</v>
      </c>
      <c r="C5779" t="s">
        <v>10</v>
      </c>
      <c r="D5779" t="s">
        <v>11618</v>
      </c>
      <c r="E5779" t="s">
        <v>11619</v>
      </c>
    </row>
    <row r="5780" spans="1:7" ht="14.25" hidden="1" customHeight="1" x14ac:dyDescent="0.45">
      <c r="A5780" t="str">
        <f>_xlfn.XLOOKUP(B5780,Ingot!$H$12:$H$119,Ingot!$G$12:$G$119,"")</f>
        <v>Wood</v>
      </c>
      <c r="B5780" t="s">
        <v>11487</v>
      </c>
      <c r="C5780" t="s">
        <v>10</v>
      </c>
      <c r="D5780" t="s">
        <v>11620</v>
      </c>
      <c r="E5780" t="s">
        <v>11621</v>
      </c>
      <c r="G5780" s="1">
        <v>8.57</v>
      </c>
    </row>
    <row r="5781" spans="1:7" ht="14.25" hidden="1" customHeight="1" x14ac:dyDescent="0.45">
      <c r="A5781" t="str">
        <f>_xlfn.XLOOKUP(B5781,Ingot!$H$12:$H$119,Ingot!$G$12:$G$119,"")</f>
        <v>Wood</v>
      </c>
      <c r="B5781" t="s">
        <v>11487</v>
      </c>
      <c r="C5781" t="s">
        <v>10</v>
      </c>
      <c r="D5781" t="s">
        <v>11622</v>
      </c>
      <c r="E5781" t="s">
        <v>11623</v>
      </c>
    </row>
    <row r="5782" spans="1:7" ht="14.25" hidden="1" customHeight="1" x14ac:dyDescent="0.45">
      <c r="A5782" t="str">
        <f>_xlfn.XLOOKUP(B5782,Ingot!$H$12:$H$119,Ingot!$G$12:$G$119,"")</f>
        <v>Wood</v>
      </c>
      <c r="B5782" t="s">
        <v>11487</v>
      </c>
      <c r="C5782" t="s">
        <v>10</v>
      </c>
      <c r="D5782" t="s">
        <v>11624</v>
      </c>
      <c r="E5782" t="s">
        <v>11625</v>
      </c>
      <c r="G5782" s="1">
        <v>3.56</v>
      </c>
    </row>
    <row r="5783" spans="1:7" ht="14.25" hidden="1" customHeight="1" x14ac:dyDescent="0.45">
      <c r="A5783" t="str">
        <f>_xlfn.XLOOKUP(B5783,Ingot!$H$12:$H$119,Ingot!$G$12:$G$119,"")</f>
        <v>Wood</v>
      </c>
      <c r="B5783" t="s">
        <v>11487</v>
      </c>
      <c r="C5783" t="s">
        <v>10</v>
      </c>
      <c r="D5783" t="s">
        <v>11626</v>
      </c>
      <c r="E5783" t="s">
        <v>11627</v>
      </c>
      <c r="G5783" s="1">
        <v>8.91</v>
      </c>
    </row>
    <row r="5784" spans="1:7" ht="14.25" hidden="1" customHeight="1" x14ac:dyDescent="0.45">
      <c r="A5784" t="str">
        <f>_xlfn.XLOOKUP(B5784,Ingot!$H$12:$H$119,Ingot!$G$12:$G$119,"")</f>
        <v>Wood</v>
      </c>
      <c r="B5784" t="s">
        <v>11487</v>
      </c>
      <c r="C5784" t="s">
        <v>10</v>
      </c>
      <c r="D5784" t="s">
        <v>11628</v>
      </c>
      <c r="E5784" t="s">
        <v>11629</v>
      </c>
      <c r="G5784" s="1">
        <v>11.02</v>
      </c>
    </row>
    <row r="5785" spans="1:7" ht="14.25" hidden="1" customHeight="1" x14ac:dyDescent="0.45">
      <c r="A5785" t="str">
        <f>_xlfn.XLOOKUP(B5785,Ingot!$H$12:$H$119,Ingot!$G$12:$G$119,"")</f>
        <v>Wood</v>
      </c>
      <c r="B5785" t="s">
        <v>11487</v>
      </c>
      <c r="C5785" t="s">
        <v>10</v>
      </c>
      <c r="D5785" t="s">
        <v>11630</v>
      </c>
      <c r="E5785" t="s">
        <v>11631</v>
      </c>
      <c r="G5785" s="1">
        <v>5.12</v>
      </c>
    </row>
    <row r="5786" spans="1:7" ht="14.25" hidden="1" customHeight="1" x14ac:dyDescent="0.45">
      <c r="A5786" t="str">
        <f>_xlfn.XLOOKUP(B5786,Ingot!$H$12:$H$119,Ingot!$G$12:$G$119,"")</f>
        <v>Wood</v>
      </c>
      <c r="B5786" t="s">
        <v>11487</v>
      </c>
      <c r="C5786" t="s">
        <v>10</v>
      </c>
      <c r="D5786" t="s">
        <v>11632</v>
      </c>
      <c r="E5786" t="s">
        <v>11633</v>
      </c>
      <c r="G5786" s="1">
        <v>4.41</v>
      </c>
    </row>
    <row r="5787" spans="1:7" ht="14.25" hidden="1" customHeight="1" x14ac:dyDescent="0.45">
      <c r="A5787" t="str">
        <f>_xlfn.XLOOKUP(B5787,Ingot!$H$12:$H$119,Ingot!$G$12:$G$119,"")</f>
        <v>Wood</v>
      </c>
      <c r="B5787" t="s">
        <v>11487</v>
      </c>
      <c r="C5787" t="s">
        <v>157</v>
      </c>
      <c r="D5787" t="s">
        <v>11634</v>
      </c>
      <c r="E5787" t="s">
        <v>11635</v>
      </c>
      <c r="G5787" s="1">
        <v>24</v>
      </c>
    </row>
    <row r="5788" spans="1:7" ht="14.25" hidden="1" customHeight="1" x14ac:dyDescent="0.45">
      <c r="A5788" t="str">
        <f>_xlfn.XLOOKUP(B5788,Ingot!$H$12:$H$119,Ingot!$G$12:$G$119,"")</f>
        <v>Wood</v>
      </c>
      <c r="B5788" t="s">
        <v>11487</v>
      </c>
      <c r="C5788" t="s">
        <v>157</v>
      </c>
      <c r="D5788" t="s">
        <v>11636</v>
      </c>
      <c r="E5788" t="s">
        <v>11637</v>
      </c>
      <c r="G5788" s="1">
        <v>5</v>
      </c>
    </row>
    <row r="5789" spans="1:7" ht="14.25" hidden="1" customHeight="1" x14ac:dyDescent="0.45">
      <c r="A5789" t="str">
        <f>_xlfn.XLOOKUP(B5789,Ingot!$H$12:$H$119,Ingot!$G$12:$G$119,"")</f>
        <v>Wood</v>
      </c>
      <c r="B5789" t="s">
        <v>11487</v>
      </c>
      <c r="C5789" t="s">
        <v>157</v>
      </c>
      <c r="D5789" t="s">
        <v>11638</v>
      </c>
      <c r="E5789" t="s">
        <v>11639</v>
      </c>
      <c r="G5789" s="1">
        <v>5</v>
      </c>
    </row>
    <row r="5790" spans="1:7" ht="14.25" hidden="1" customHeight="1" x14ac:dyDescent="0.45">
      <c r="A5790" t="str">
        <f>_xlfn.XLOOKUP(B5790,Ingot!$H$12:$H$119,Ingot!$G$12:$G$119,"")</f>
        <v>Wood</v>
      </c>
      <c r="B5790" t="s">
        <v>11487</v>
      </c>
      <c r="C5790" t="s">
        <v>157</v>
      </c>
      <c r="D5790" t="s">
        <v>11640</v>
      </c>
      <c r="E5790" t="s">
        <v>11641</v>
      </c>
      <c r="G5790" s="1">
        <v>5</v>
      </c>
    </row>
    <row r="5791" spans="1:7" ht="14.25" hidden="1" customHeight="1" x14ac:dyDescent="0.45">
      <c r="A5791" t="str">
        <f>_xlfn.XLOOKUP(B5791,Ingot!$H$12:$H$119,Ingot!$G$12:$G$119,"")</f>
        <v>Wood</v>
      </c>
      <c r="B5791" t="s">
        <v>11487</v>
      </c>
      <c r="C5791" t="s">
        <v>157</v>
      </c>
      <c r="D5791" t="s">
        <v>11642</v>
      </c>
      <c r="E5791" t="s">
        <v>11643</v>
      </c>
      <c r="G5791" s="1">
        <v>10</v>
      </c>
    </row>
    <row r="5792" spans="1:7" ht="14.25" hidden="1" customHeight="1" x14ac:dyDescent="0.45">
      <c r="A5792" t="str">
        <f>_xlfn.XLOOKUP(B5792,Ingot!$H$12:$H$119,Ingot!$G$12:$G$119,"")</f>
        <v>Wood</v>
      </c>
      <c r="B5792" t="s">
        <v>11487</v>
      </c>
      <c r="C5792" t="s">
        <v>157</v>
      </c>
      <c r="D5792" t="s">
        <v>11644</v>
      </c>
      <c r="E5792" t="s">
        <v>11645</v>
      </c>
      <c r="G5792" s="1">
        <v>20.8</v>
      </c>
    </row>
    <row r="5793" spans="1:7" ht="14.25" hidden="1" customHeight="1" x14ac:dyDescent="0.45">
      <c r="A5793" t="str">
        <f>_xlfn.XLOOKUP(B5793,Ingot!$H$12:$H$119,Ingot!$G$12:$G$119,"")</f>
        <v>Wood</v>
      </c>
      <c r="B5793" t="s">
        <v>11487</v>
      </c>
      <c r="C5793" t="s">
        <v>157</v>
      </c>
      <c r="D5793" t="s">
        <v>11646</v>
      </c>
      <c r="E5793" t="s">
        <v>11647</v>
      </c>
      <c r="G5793" s="1">
        <v>5</v>
      </c>
    </row>
    <row r="5794" spans="1:7" ht="14.25" hidden="1" customHeight="1" x14ac:dyDescent="0.45">
      <c r="A5794" t="str">
        <f>_xlfn.XLOOKUP(B5794,Ingot!$H$12:$H$119,Ingot!$G$12:$G$119,"")</f>
        <v>Wood</v>
      </c>
      <c r="B5794" t="s">
        <v>11487</v>
      </c>
      <c r="C5794" t="s">
        <v>157</v>
      </c>
      <c r="D5794" t="s">
        <v>11648</v>
      </c>
      <c r="E5794" t="s">
        <v>11649</v>
      </c>
      <c r="G5794" s="1">
        <v>5</v>
      </c>
    </row>
    <row r="5795" spans="1:7" ht="14.25" hidden="1" customHeight="1" x14ac:dyDescent="0.45">
      <c r="A5795" t="str">
        <f>_xlfn.XLOOKUP(B5795,Ingot!$H$12:$H$119,Ingot!$G$12:$G$119,"")</f>
        <v>Wood</v>
      </c>
      <c r="B5795" t="s">
        <v>11487</v>
      </c>
      <c r="C5795" t="s">
        <v>157</v>
      </c>
      <c r="D5795" t="s">
        <v>11650</v>
      </c>
      <c r="E5795" t="s">
        <v>11651</v>
      </c>
      <c r="G5795" s="1">
        <v>5</v>
      </c>
    </row>
    <row r="5796" spans="1:7" ht="14.25" hidden="1" customHeight="1" x14ac:dyDescent="0.45">
      <c r="A5796" t="str">
        <f>_xlfn.XLOOKUP(B5796,Ingot!$H$12:$H$119,Ingot!$G$12:$G$119,"")</f>
        <v>Wood</v>
      </c>
      <c r="B5796" t="s">
        <v>11487</v>
      </c>
      <c r="C5796" t="s">
        <v>157</v>
      </c>
      <c r="D5796" t="s">
        <v>11652</v>
      </c>
      <c r="E5796" t="s">
        <v>11653</v>
      </c>
      <c r="G5796" s="1">
        <v>10</v>
      </c>
    </row>
    <row r="5797" spans="1:7" ht="14.25" hidden="1" customHeight="1" x14ac:dyDescent="0.45">
      <c r="A5797" t="str">
        <f>_xlfn.XLOOKUP(B5797,Ingot!$H$12:$H$119,Ingot!$G$12:$G$119,"")</f>
        <v>Wood</v>
      </c>
      <c r="B5797" t="s">
        <v>11487</v>
      </c>
      <c r="C5797" t="s">
        <v>157</v>
      </c>
      <c r="D5797" t="s">
        <v>11654</v>
      </c>
      <c r="E5797" t="s">
        <v>11655</v>
      </c>
      <c r="G5797" s="1">
        <v>20</v>
      </c>
    </row>
    <row r="5798" spans="1:7" ht="14.25" hidden="1" customHeight="1" x14ac:dyDescent="0.45">
      <c r="A5798" t="str">
        <f>_xlfn.XLOOKUP(B5798,Ingot!$H$12:$H$119,Ingot!$G$12:$G$119,"")</f>
        <v>Wood</v>
      </c>
      <c r="B5798" t="s">
        <v>11487</v>
      </c>
      <c r="C5798" t="s">
        <v>157</v>
      </c>
      <c r="D5798" t="s">
        <v>11656</v>
      </c>
      <c r="E5798" t="s">
        <v>11657</v>
      </c>
      <c r="G5798" s="1">
        <v>5</v>
      </c>
    </row>
    <row r="5799" spans="1:7" ht="14.25" hidden="1" customHeight="1" x14ac:dyDescent="0.45">
      <c r="A5799" t="str">
        <f>_xlfn.XLOOKUP(B5799,Ingot!$H$12:$H$119,Ingot!$G$12:$G$119,"")</f>
        <v>Wood</v>
      </c>
      <c r="B5799" t="s">
        <v>11487</v>
      </c>
      <c r="C5799" t="s">
        <v>157</v>
      </c>
      <c r="D5799" t="s">
        <v>11658</v>
      </c>
      <c r="E5799" t="s">
        <v>11659</v>
      </c>
      <c r="G5799" s="1">
        <v>5</v>
      </c>
    </row>
    <row r="5800" spans="1:7" ht="14.25" hidden="1" customHeight="1" x14ac:dyDescent="0.45">
      <c r="A5800" t="str">
        <f>_xlfn.XLOOKUP(B5800,Ingot!$H$12:$H$119,Ingot!$G$12:$G$119,"")</f>
        <v>Wood</v>
      </c>
      <c r="B5800" t="s">
        <v>11487</v>
      </c>
      <c r="C5800" t="s">
        <v>157</v>
      </c>
      <c r="D5800" t="s">
        <v>11660</v>
      </c>
      <c r="E5800" t="s">
        <v>11661</v>
      </c>
      <c r="G5800" s="1">
        <v>5</v>
      </c>
    </row>
    <row r="5801" spans="1:7" ht="14.25" hidden="1" customHeight="1" x14ac:dyDescent="0.45">
      <c r="A5801" t="str">
        <f>_xlfn.XLOOKUP(B5801,Ingot!$H$12:$H$119,Ingot!$G$12:$G$119,"")</f>
        <v>Wood</v>
      </c>
      <c r="B5801" t="s">
        <v>11487</v>
      </c>
      <c r="C5801" t="s">
        <v>157</v>
      </c>
      <c r="D5801" t="s">
        <v>11662</v>
      </c>
      <c r="E5801" t="s">
        <v>11663</v>
      </c>
      <c r="G5801" s="1">
        <v>10</v>
      </c>
    </row>
    <row r="5802" spans="1:7" ht="14.25" hidden="1" customHeight="1" x14ac:dyDescent="0.45">
      <c r="A5802" t="str">
        <f>_xlfn.XLOOKUP(B5802,Ingot!$H$12:$H$119,Ingot!$G$12:$G$119,"")</f>
        <v>Wood</v>
      </c>
      <c r="B5802" t="s">
        <v>11487</v>
      </c>
      <c r="C5802" t="s">
        <v>157</v>
      </c>
      <c r="D5802" t="s">
        <v>11664</v>
      </c>
      <c r="E5802" t="s">
        <v>11665</v>
      </c>
      <c r="G5802" s="1">
        <v>22</v>
      </c>
    </row>
    <row r="5803" spans="1:7" ht="14.25" hidden="1" customHeight="1" x14ac:dyDescent="0.45">
      <c r="A5803" t="str">
        <f>_xlfn.XLOOKUP(B5803,Ingot!$H$12:$H$119,Ingot!$G$12:$G$119,"")</f>
        <v>Wood</v>
      </c>
      <c r="B5803" t="s">
        <v>11487</v>
      </c>
      <c r="C5803" t="s">
        <v>157</v>
      </c>
      <c r="D5803" t="s">
        <v>11666</v>
      </c>
      <c r="E5803" t="s">
        <v>11667</v>
      </c>
      <c r="G5803" s="1">
        <v>5</v>
      </c>
    </row>
    <row r="5804" spans="1:7" ht="14.25" hidden="1" customHeight="1" x14ac:dyDescent="0.45">
      <c r="A5804" t="str">
        <f>_xlfn.XLOOKUP(B5804,Ingot!$H$12:$H$119,Ingot!$G$12:$G$119,"")</f>
        <v>Wood</v>
      </c>
      <c r="B5804" t="s">
        <v>11487</v>
      </c>
      <c r="C5804" t="s">
        <v>157</v>
      </c>
      <c r="D5804" t="s">
        <v>11668</v>
      </c>
      <c r="E5804" t="s">
        <v>11669</v>
      </c>
      <c r="G5804" s="1">
        <v>5</v>
      </c>
    </row>
    <row r="5805" spans="1:7" ht="14.25" hidden="1" customHeight="1" x14ac:dyDescent="0.45">
      <c r="A5805" t="str">
        <f>_xlfn.XLOOKUP(B5805,Ingot!$H$12:$H$119,Ingot!$G$12:$G$119,"")</f>
        <v>Wood</v>
      </c>
      <c r="B5805" t="s">
        <v>11487</v>
      </c>
      <c r="C5805" t="s">
        <v>157</v>
      </c>
      <c r="D5805" t="s">
        <v>11670</v>
      </c>
      <c r="E5805" t="s">
        <v>11671</v>
      </c>
      <c r="G5805" s="1">
        <v>5</v>
      </c>
    </row>
    <row r="5806" spans="1:7" ht="14.25" hidden="1" customHeight="1" x14ac:dyDescent="0.45">
      <c r="A5806" t="str">
        <f>_xlfn.XLOOKUP(B5806,Ingot!$H$12:$H$119,Ingot!$G$12:$G$119,"")</f>
        <v>Wood</v>
      </c>
      <c r="B5806" t="s">
        <v>11487</v>
      </c>
      <c r="C5806" t="s">
        <v>157</v>
      </c>
      <c r="D5806" t="s">
        <v>11672</v>
      </c>
      <c r="E5806" t="s">
        <v>11673</v>
      </c>
      <c r="G5806" s="1">
        <v>10</v>
      </c>
    </row>
    <row r="5807" spans="1:7" ht="14.25" hidden="1" customHeight="1" x14ac:dyDescent="0.45">
      <c r="A5807" t="str">
        <f>_xlfn.XLOOKUP(B5807,Ingot!$H$12:$H$119,Ingot!$G$12:$G$119,"")</f>
        <v>Wood</v>
      </c>
      <c r="B5807" t="s">
        <v>11487</v>
      </c>
      <c r="C5807" t="s">
        <v>157</v>
      </c>
      <c r="D5807" t="s">
        <v>11674</v>
      </c>
      <c r="E5807" t="s">
        <v>11675</v>
      </c>
      <c r="G5807" s="1">
        <v>23</v>
      </c>
    </row>
    <row r="5808" spans="1:7" ht="14.25" hidden="1" customHeight="1" x14ac:dyDescent="0.45">
      <c r="A5808" t="str">
        <f>_xlfn.XLOOKUP(B5808,Ingot!$H$12:$H$119,Ingot!$G$12:$G$119,"")</f>
        <v>Wood</v>
      </c>
      <c r="B5808" t="s">
        <v>11487</v>
      </c>
      <c r="C5808" t="s">
        <v>157</v>
      </c>
      <c r="D5808" t="s">
        <v>11676</v>
      </c>
      <c r="E5808" t="s">
        <v>11677</v>
      </c>
      <c r="G5808" s="1">
        <v>5</v>
      </c>
    </row>
    <row r="5809" spans="1:7" ht="14.25" hidden="1" customHeight="1" x14ac:dyDescent="0.45">
      <c r="A5809" t="str">
        <f>_xlfn.XLOOKUP(B5809,Ingot!$H$12:$H$119,Ingot!$G$12:$G$119,"")</f>
        <v>Wood</v>
      </c>
      <c r="B5809" t="s">
        <v>11487</v>
      </c>
      <c r="C5809" t="s">
        <v>157</v>
      </c>
      <c r="D5809" t="s">
        <v>11678</v>
      </c>
      <c r="E5809" t="s">
        <v>11679</v>
      </c>
      <c r="G5809" s="1">
        <v>5</v>
      </c>
    </row>
    <row r="5810" spans="1:7" ht="14.25" hidden="1" customHeight="1" x14ac:dyDescent="0.45">
      <c r="A5810" t="str">
        <f>_xlfn.XLOOKUP(B5810,Ingot!$H$12:$H$119,Ingot!$G$12:$G$119,"")</f>
        <v>Wood</v>
      </c>
      <c r="B5810" t="s">
        <v>11487</v>
      </c>
      <c r="C5810" t="s">
        <v>157</v>
      </c>
      <c r="D5810" t="s">
        <v>11680</v>
      </c>
      <c r="E5810" t="s">
        <v>11681</v>
      </c>
      <c r="G5810" s="1">
        <v>5</v>
      </c>
    </row>
    <row r="5811" spans="1:7" ht="14.25" hidden="1" customHeight="1" x14ac:dyDescent="0.45">
      <c r="A5811" t="str">
        <f>_xlfn.XLOOKUP(B5811,Ingot!$H$12:$H$119,Ingot!$G$12:$G$119,"")</f>
        <v>Wood</v>
      </c>
      <c r="B5811" t="s">
        <v>11487</v>
      </c>
      <c r="C5811" t="s">
        <v>157</v>
      </c>
      <c r="D5811" t="s">
        <v>11682</v>
      </c>
      <c r="E5811" t="s">
        <v>11683</v>
      </c>
      <c r="G5811" s="1">
        <v>10</v>
      </c>
    </row>
    <row r="5812" spans="1:7" ht="14.25" hidden="1" customHeight="1" x14ac:dyDescent="0.45">
      <c r="A5812" t="str">
        <f>_xlfn.XLOOKUP(B5812,Ingot!$H$12:$H$119,Ingot!$G$12:$G$119,"")</f>
        <v>Wood</v>
      </c>
      <c r="B5812" t="s">
        <v>11487</v>
      </c>
      <c r="C5812" t="s">
        <v>157</v>
      </c>
      <c r="D5812" t="s">
        <v>11684</v>
      </c>
      <c r="E5812" t="s">
        <v>11685</v>
      </c>
      <c r="G5812" s="1">
        <v>26.8</v>
      </c>
    </row>
    <row r="5813" spans="1:7" ht="14.25" hidden="1" customHeight="1" x14ac:dyDescent="0.45">
      <c r="A5813" t="str">
        <f>_xlfn.XLOOKUP(B5813,Ingot!$H$12:$H$119,Ingot!$G$12:$G$119,"")</f>
        <v>Wood</v>
      </c>
      <c r="B5813" t="s">
        <v>11487</v>
      </c>
      <c r="C5813" t="s">
        <v>157</v>
      </c>
      <c r="D5813" t="s">
        <v>11686</v>
      </c>
      <c r="E5813" t="s">
        <v>11687</v>
      </c>
      <c r="G5813" s="1">
        <v>5.36</v>
      </c>
    </row>
    <row r="5814" spans="1:7" ht="14.25" hidden="1" customHeight="1" x14ac:dyDescent="0.45">
      <c r="A5814" t="str">
        <f>_xlfn.XLOOKUP(B5814,Ingot!$H$12:$H$119,Ingot!$G$12:$G$119,"")</f>
        <v>Wood</v>
      </c>
      <c r="B5814" t="s">
        <v>11487</v>
      </c>
      <c r="C5814" t="s">
        <v>157</v>
      </c>
      <c r="D5814" t="s">
        <v>11688</v>
      </c>
      <c r="E5814" t="s">
        <v>11689</v>
      </c>
      <c r="G5814" s="1">
        <v>5.36</v>
      </c>
    </row>
    <row r="5815" spans="1:7" ht="14.25" hidden="1" customHeight="1" x14ac:dyDescent="0.45">
      <c r="A5815" t="str">
        <f>_xlfn.XLOOKUP(B5815,Ingot!$H$12:$H$119,Ingot!$G$12:$G$119,"")</f>
        <v>Wood</v>
      </c>
      <c r="B5815" t="s">
        <v>11487</v>
      </c>
      <c r="C5815" t="s">
        <v>157</v>
      </c>
      <c r="D5815" t="s">
        <v>11690</v>
      </c>
      <c r="E5815" t="s">
        <v>11691</v>
      </c>
      <c r="G5815" s="1">
        <v>5</v>
      </c>
    </row>
    <row r="5816" spans="1:7" ht="14.25" hidden="1" customHeight="1" x14ac:dyDescent="0.45">
      <c r="A5816" t="str">
        <f>_xlfn.XLOOKUP(B5816,Ingot!$H$12:$H$119,Ingot!$G$12:$G$119,"")</f>
        <v>Wood</v>
      </c>
      <c r="B5816" t="s">
        <v>11487</v>
      </c>
      <c r="C5816" t="s">
        <v>157</v>
      </c>
      <c r="D5816" t="s">
        <v>11692</v>
      </c>
      <c r="E5816" t="s">
        <v>11693</v>
      </c>
      <c r="G5816" s="1">
        <v>10</v>
      </c>
    </row>
    <row r="5817" spans="1:7" ht="14.25" hidden="1" customHeight="1" x14ac:dyDescent="0.45">
      <c r="A5817" t="str">
        <f>_xlfn.XLOOKUP(B5817,Ingot!$H$12:$H$119,Ingot!$G$12:$G$119,"")</f>
        <v>Wood</v>
      </c>
      <c r="B5817" t="s">
        <v>11487</v>
      </c>
      <c r="C5817" t="s">
        <v>157</v>
      </c>
      <c r="D5817" t="s">
        <v>11694</v>
      </c>
      <c r="E5817" t="s">
        <v>11695</v>
      </c>
      <c r="G5817" s="1">
        <v>25.5</v>
      </c>
    </row>
    <row r="5818" spans="1:7" ht="14.25" hidden="1" customHeight="1" x14ac:dyDescent="0.45">
      <c r="A5818" t="str">
        <f>_xlfn.XLOOKUP(B5818,Ingot!$H$12:$H$119,Ingot!$G$12:$G$119,"")</f>
        <v>Wood</v>
      </c>
      <c r="B5818" t="s">
        <v>11487</v>
      </c>
      <c r="C5818" t="s">
        <v>157</v>
      </c>
      <c r="D5818" t="s">
        <v>11696</v>
      </c>
      <c r="E5818" t="s">
        <v>11697</v>
      </c>
      <c r="G5818" s="1">
        <v>5.0999999999999996</v>
      </c>
    </row>
    <row r="5819" spans="1:7" ht="14.25" hidden="1" customHeight="1" x14ac:dyDescent="0.45">
      <c r="A5819" t="str">
        <f>_xlfn.XLOOKUP(B5819,Ingot!$H$12:$H$119,Ingot!$G$12:$G$119,"")</f>
        <v>Wood</v>
      </c>
      <c r="B5819" t="s">
        <v>11487</v>
      </c>
      <c r="C5819" t="s">
        <v>157</v>
      </c>
      <c r="D5819" t="s">
        <v>11698</v>
      </c>
      <c r="E5819" t="s">
        <v>11699</v>
      </c>
      <c r="G5819" s="1">
        <v>5.0999999999999996</v>
      </c>
    </row>
    <row r="5820" spans="1:7" ht="14.25" hidden="1" customHeight="1" x14ac:dyDescent="0.45">
      <c r="A5820" t="str">
        <f>_xlfn.XLOOKUP(B5820,Ingot!$H$12:$H$119,Ingot!$G$12:$G$119,"")</f>
        <v>Wood</v>
      </c>
      <c r="B5820" t="s">
        <v>11487</v>
      </c>
      <c r="C5820" t="s">
        <v>157</v>
      </c>
      <c r="D5820" t="s">
        <v>11700</v>
      </c>
      <c r="E5820" t="s">
        <v>11701</v>
      </c>
      <c r="G5820" s="1">
        <v>5</v>
      </c>
    </row>
    <row r="5821" spans="1:7" ht="14.25" hidden="1" customHeight="1" x14ac:dyDescent="0.45">
      <c r="A5821" t="str">
        <f>_xlfn.XLOOKUP(B5821,Ingot!$H$12:$H$119,Ingot!$G$12:$G$119,"")</f>
        <v>Wood</v>
      </c>
      <c r="B5821" t="s">
        <v>11487</v>
      </c>
      <c r="C5821" t="s">
        <v>157</v>
      </c>
      <c r="D5821" t="s">
        <v>11702</v>
      </c>
      <c r="E5821" t="s">
        <v>11703</v>
      </c>
      <c r="G5821" s="1">
        <v>10</v>
      </c>
    </row>
    <row r="5822" spans="1:7" ht="14.25" hidden="1" customHeight="1" x14ac:dyDescent="0.45">
      <c r="A5822" t="str">
        <f>_xlfn.XLOOKUP(B5822,Ingot!$H$12:$H$119,Ingot!$G$12:$G$119,"")</f>
        <v>Wood</v>
      </c>
      <c r="B5822" t="s">
        <v>11487</v>
      </c>
      <c r="C5822" t="s">
        <v>157</v>
      </c>
      <c r="D5822" t="s">
        <v>11704</v>
      </c>
      <c r="E5822" t="s">
        <v>11705</v>
      </c>
      <c r="G5822" s="1">
        <v>19.2</v>
      </c>
    </row>
    <row r="5823" spans="1:7" ht="14.25" hidden="1" customHeight="1" x14ac:dyDescent="0.45">
      <c r="A5823" t="str">
        <f>_xlfn.XLOOKUP(B5823,Ingot!$H$12:$H$119,Ingot!$G$12:$G$119,"")</f>
        <v>Wood</v>
      </c>
      <c r="B5823" t="s">
        <v>11487</v>
      </c>
      <c r="C5823" t="s">
        <v>157</v>
      </c>
      <c r="D5823" t="s">
        <v>11706</v>
      </c>
      <c r="E5823" t="s">
        <v>11707</v>
      </c>
      <c r="G5823" s="1">
        <v>5</v>
      </c>
    </row>
    <row r="5824" spans="1:7" ht="14.25" hidden="1" customHeight="1" x14ac:dyDescent="0.45">
      <c r="A5824" t="str">
        <f>_xlfn.XLOOKUP(B5824,Ingot!$H$12:$H$119,Ingot!$G$12:$G$119,"")</f>
        <v>Wood</v>
      </c>
      <c r="B5824" t="s">
        <v>11487</v>
      </c>
      <c r="C5824" t="s">
        <v>157</v>
      </c>
      <c r="D5824" t="s">
        <v>11708</v>
      </c>
      <c r="E5824" t="s">
        <v>11709</v>
      </c>
      <c r="G5824" s="1">
        <v>5</v>
      </c>
    </row>
    <row r="5825" spans="1:7" ht="14.25" hidden="1" customHeight="1" x14ac:dyDescent="0.45">
      <c r="A5825" t="str">
        <f>_xlfn.XLOOKUP(B5825,Ingot!$H$12:$H$119,Ingot!$G$12:$G$119,"")</f>
        <v>Wood</v>
      </c>
      <c r="B5825" t="s">
        <v>11487</v>
      </c>
      <c r="C5825" t="s">
        <v>157</v>
      </c>
      <c r="D5825" t="s">
        <v>11710</v>
      </c>
      <c r="E5825" t="s">
        <v>11711</v>
      </c>
      <c r="G5825" s="1">
        <v>5</v>
      </c>
    </row>
    <row r="5826" spans="1:7" ht="14.25" hidden="1" customHeight="1" x14ac:dyDescent="0.45">
      <c r="A5826" t="str">
        <f>_xlfn.XLOOKUP(B5826,Ingot!$H$12:$H$119,Ingot!$G$12:$G$119,"")</f>
        <v>Wood</v>
      </c>
      <c r="B5826" t="s">
        <v>11487</v>
      </c>
      <c r="C5826" t="s">
        <v>157</v>
      </c>
      <c r="D5826" t="s">
        <v>11712</v>
      </c>
      <c r="E5826" t="s">
        <v>11713</v>
      </c>
      <c r="G5826" s="1">
        <v>10</v>
      </c>
    </row>
    <row r="5827" spans="1:7" ht="14.25" hidden="1" customHeight="1" x14ac:dyDescent="0.45">
      <c r="A5827" t="str">
        <f>_xlfn.XLOOKUP(B5827,Ingot!$H$12:$H$119,Ingot!$G$12:$G$119,"")</f>
        <v>Wood</v>
      </c>
      <c r="B5827" t="s">
        <v>11487</v>
      </c>
      <c r="C5827" t="s">
        <v>239</v>
      </c>
      <c r="D5827" t="s">
        <v>11714</v>
      </c>
      <c r="E5827" t="s">
        <v>11715</v>
      </c>
    </row>
    <row r="5828" spans="1:7" ht="14.25" hidden="1" customHeight="1" x14ac:dyDescent="0.45">
      <c r="A5828" t="str">
        <f>_xlfn.XLOOKUP(B5828,Ingot!$H$12:$H$119,Ingot!$G$12:$G$119,"")</f>
        <v>Wood</v>
      </c>
      <c r="B5828" t="s">
        <v>11487</v>
      </c>
      <c r="C5828" t="s">
        <v>239</v>
      </c>
      <c r="D5828" t="s">
        <v>11716</v>
      </c>
      <c r="E5828" t="s">
        <v>11717</v>
      </c>
    </row>
    <row r="5829" spans="1:7" ht="14.25" hidden="1" customHeight="1" x14ac:dyDescent="0.45">
      <c r="A5829" t="str">
        <f>_xlfn.XLOOKUP(B5829,Ingot!$H$12:$H$119,Ingot!$G$12:$G$119,"")</f>
        <v>Wood</v>
      </c>
      <c r="B5829" t="s">
        <v>11487</v>
      </c>
      <c r="C5829" t="s">
        <v>239</v>
      </c>
      <c r="D5829" t="s">
        <v>11718</v>
      </c>
      <c r="E5829" t="s">
        <v>11719</v>
      </c>
    </row>
    <row r="5830" spans="1:7" ht="14.25" hidden="1" customHeight="1" x14ac:dyDescent="0.45">
      <c r="A5830" t="str">
        <f>_xlfn.XLOOKUP(B5830,Ingot!$H$12:$H$119,Ingot!$G$12:$G$119,"")</f>
        <v>Wood</v>
      </c>
      <c r="B5830" t="s">
        <v>11487</v>
      </c>
      <c r="C5830" t="s">
        <v>239</v>
      </c>
      <c r="D5830" t="s">
        <v>11720</v>
      </c>
      <c r="E5830" t="s">
        <v>11721</v>
      </c>
    </row>
    <row r="5831" spans="1:7" ht="14.25" hidden="1" customHeight="1" x14ac:dyDescent="0.45">
      <c r="A5831" t="str">
        <f>_xlfn.XLOOKUP(B5831,Ingot!$H$12:$H$119,Ingot!$G$12:$G$119,"")</f>
        <v>Wood</v>
      </c>
      <c r="B5831" t="s">
        <v>11487</v>
      </c>
      <c r="C5831" t="s">
        <v>239</v>
      </c>
      <c r="D5831" t="s">
        <v>11722</v>
      </c>
      <c r="E5831" t="s">
        <v>11723</v>
      </c>
    </row>
    <row r="5832" spans="1:7" ht="14.25" hidden="1" customHeight="1" x14ac:dyDescent="0.45">
      <c r="A5832" t="str">
        <f>_xlfn.XLOOKUP(B5832,Ingot!$H$12:$H$119,Ingot!$G$12:$G$119,"")</f>
        <v>Wood</v>
      </c>
      <c r="B5832" t="s">
        <v>11487</v>
      </c>
      <c r="C5832" t="s">
        <v>239</v>
      </c>
      <c r="D5832" t="s">
        <v>11724</v>
      </c>
      <c r="E5832" t="s">
        <v>11725</v>
      </c>
    </row>
    <row r="5833" spans="1:7" ht="14.25" hidden="1" customHeight="1" x14ac:dyDescent="0.45">
      <c r="A5833" t="str">
        <f>_xlfn.XLOOKUP(B5833,Ingot!$H$12:$H$119,Ingot!$G$12:$G$119,"")</f>
        <v>Stone</v>
      </c>
      <c r="B5833" t="s">
        <v>11726</v>
      </c>
      <c r="C5833" t="s">
        <v>10</v>
      </c>
      <c r="D5833" t="s">
        <v>11727</v>
      </c>
      <c r="E5833" t="s">
        <v>11728</v>
      </c>
      <c r="G5833" s="1">
        <v>0.08</v>
      </c>
    </row>
    <row r="5834" spans="1:7" ht="14.25" hidden="1" customHeight="1" x14ac:dyDescent="0.45">
      <c r="A5834" t="str">
        <f>_xlfn.XLOOKUP(B5834,Ingot!$H$12:$H$119,Ingot!$G$12:$G$119,"")</f>
        <v>Stone</v>
      </c>
      <c r="B5834" t="s">
        <v>11726</v>
      </c>
      <c r="C5834" t="s">
        <v>10</v>
      </c>
      <c r="D5834" t="s">
        <v>11729</v>
      </c>
      <c r="E5834" t="s">
        <v>11730</v>
      </c>
      <c r="G5834" s="1">
        <v>9.9</v>
      </c>
    </row>
    <row r="5835" spans="1:7" ht="14.25" hidden="1" customHeight="1" x14ac:dyDescent="0.45">
      <c r="A5835" t="str">
        <f>_xlfn.XLOOKUP(B5835,Ingot!$H$12:$H$119,Ingot!$G$12:$G$119,"")</f>
        <v>Stone</v>
      </c>
      <c r="B5835" t="s">
        <v>11726</v>
      </c>
      <c r="C5835" t="s">
        <v>10</v>
      </c>
      <c r="D5835" t="s">
        <v>11731</v>
      </c>
      <c r="E5835" t="s">
        <v>11732</v>
      </c>
      <c r="G5835" s="1">
        <v>5.66</v>
      </c>
    </row>
    <row r="5836" spans="1:7" ht="14.25" hidden="1" customHeight="1" x14ac:dyDescent="0.45">
      <c r="A5836" t="str">
        <f>_xlfn.XLOOKUP(B5836,Ingot!$H$12:$H$119,Ingot!$G$12:$G$119,"")</f>
        <v>Stone</v>
      </c>
      <c r="B5836" t="s">
        <v>11726</v>
      </c>
      <c r="C5836" t="s">
        <v>10</v>
      </c>
      <c r="D5836" t="s">
        <v>11733</v>
      </c>
      <c r="E5836" t="s">
        <v>11734</v>
      </c>
      <c r="G5836" s="1">
        <v>3.3</v>
      </c>
    </row>
    <row r="5837" spans="1:7" ht="14.25" hidden="1" customHeight="1" x14ac:dyDescent="0.45">
      <c r="A5837" t="str">
        <f>_xlfn.XLOOKUP(B5837,Ingot!$H$12:$H$119,Ingot!$G$12:$G$119,"")</f>
        <v>Stone</v>
      </c>
      <c r="B5837" t="s">
        <v>11726</v>
      </c>
      <c r="C5837" t="s">
        <v>10</v>
      </c>
      <c r="D5837" t="s">
        <v>11735</v>
      </c>
      <c r="E5837" t="s">
        <v>11736</v>
      </c>
      <c r="G5837" s="1">
        <v>0.66</v>
      </c>
    </row>
    <row r="5838" spans="1:7" ht="14.25" hidden="1" customHeight="1" x14ac:dyDescent="0.45">
      <c r="A5838" t="str">
        <f>_xlfn.XLOOKUP(B5838,Ingot!$H$12:$H$119,Ingot!$G$12:$G$119,"")</f>
        <v>Stone</v>
      </c>
      <c r="B5838" t="s">
        <v>11726</v>
      </c>
      <c r="C5838" t="s">
        <v>10</v>
      </c>
      <c r="D5838" t="s">
        <v>11737</v>
      </c>
      <c r="E5838" t="s">
        <v>11738</v>
      </c>
      <c r="G5838" s="1">
        <v>0.04</v>
      </c>
    </row>
    <row r="5839" spans="1:7" ht="14.25" hidden="1" customHeight="1" x14ac:dyDescent="0.45">
      <c r="A5839" t="str">
        <f>_xlfn.XLOOKUP(B5839,Ingot!$H$12:$H$119,Ingot!$G$12:$G$119,"")</f>
        <v>Stone</v>
      </c>
      <c r="B5839" t="s">
        <v>11726</v>
      </c>
      <c r="C5839" t="s">
        <v>10</v>
      </c>
      <c r="D5839" t="s">
        <v>11739</v>
      </c>
      <c r="E5839" t="s">
        <v>11740</v>
      </c>
      <c r="G5839" s="1">
        <v>0.33</v>
      </c>
    </row>
    <row r="5840" spans="1:7" ht="14.25" hidden="1" customHeight="1" x14ac:dyDescent="0.45">
      <c r="A5840" t="str">
        <f>_xlfn.XLOOKUP(B5840,Ingot!$H$12:$H$119,Ingot!$G$12:$G$119,"")</f>
        <v>Stone</v>
      </c>
      <c r="B5840" t="s">
        <v>11726</v>
      </c>
      <c r="C5840" t="s">
        <v>10</v>
      </c>
      <c r="D5840" t="s">
        <v>11741</v>
      </c>
      <c r="E5840" t="s">
        <v>11742</v>
      </c>
    </row>
    <row r="5841" spans="1:7" ht="14.25" hidden="1" customHeight="1" x14ac:dyDescent="0.45">
      <c r="A5841" t="str">
        <f>_xlfn.XLOOKUP(B5841,Ingot!$H$12:$H$119,Ingot!$G$12:$G$119,"")</f>
        <v>Stone</v>
      </c>
      <c r="B5841" t="s">
        <v>11726</v>
      </c>
      <c r="C5841" t="s">
        <v>10</v>
      </c>
      <c r="D5841" t="s">
        <v>11743</v>
      </c>
      <c r="E5841" t="s">
        <v>11744</v>
      </c>
      <c r="G5841" s="1">
        <v>0.05</v>
      </c>
    </row>
    <row r="5842" spans="1:7" ht="14.25" hidden="1" customHeight="1" x14ac:dyDescent="0.45">
      <c r="A5842" t="str">
        <f>_xlfn.XLOOKUP(B5842,Ingot!$H$12:$H$119,Ingot!$G$12:$G$119,"")</f>
        <v>Stone</v>
      </c>
      <c r="B5842" t="s">
        <v>11726</v>
      </c>
      <c r="C5842" t="s">
        <v>10</v>
      </c>
      <c r="D5842" t="s">
        <v>11745</v>
      </c>
      <c r="E5842" t="s">
        <v>11746</v>
      </c>
      <c r="G5842" s="1">
        <v>0.66</v>
      </c>
    </row>
    <row r="5843" spans="1:7" ht="14.25" hidden="1" customHeight="1" x14ac:dyDescent="0.45">
      <c r="A5843" t="str">
        <f>_xlfn.XLOOKUP(B5843,Ingot!$H$12:$H$119,Ingot!$G$12:$G$119,"")</f>
        <v>Stone</v>
      </c>
      <c r="B5843" t="s">
        <v>11726</v>
      </c>
      <c r="C5843" t="s">
        <v>10</v>
      </c>
      <c r="D5843" t="s">
        <v>11747</v>
      </c>
      <c r="E5843" t="s">
        <v>11748</v>
      </c>
      <c r="G5843" s="1">
        <v>3.96</v>
      </c>
    </row>
    <row r="5844" spans="1:7" ht="14.25" hidden="1" customHeight="1" x14ac:dyDescent="0.45">
      <c r="A5844" t="str">
        <f>_xlfn.XLOOKUP(B5844,Ingot!$H$12:$H$119,Ingot!$G$12:$G$119,"")</f>
        <v>Stone</v>
      </c>
      <c r="B5844" t="s">
        <v>11726</v>
      </c>
      <c r="C5844" t="s">
        <v>10</v>
      </c>
      <c r="D5844" t="s">
        <v>11749</v>
      </c>
      <c r="E5844" t="s">
        <v>11750</v>
      </c>
      <c r="G5844" s="1">
        <v>8.77</v>
      </c>
    </row>
    <row r="5845" spans="1:7" ht="14.25" hidden="1" customHeight="1" x14ac:dyDescent="0.45">
      <c r="A5845" t="str">
        <f>_xlfn.XLOOKUP(B5845,Ingot!$H$12:$H$119,Ingot!$G$12:$G$119,"")</f>
        <v>Stone</v>
      </c>
      <c r="B5845" t="s">
        <v>11726</v>
      </c>
      <c r="C5845" t="s">
        <v>10</v>
      </c>
      <c r="D5845" t="s">
        <v>11751</v>
      </c>
      <c r="E5845" t="s">
        <v>11752</v>
      </c>
      <c r="G5845" s="1">
        <v>3.5</v>
      </c>
    </row>
    <row r="5846" spans="1:7" ht="14.25" hidden="1" customHeight="1" x14ac:dyDescent="0.45">
      <c r="A5846" t="str">
        <f>_xlfn.XLOOKUP(B5846,Ingot!$H$12:$H$119,Ingot!$G$12:$G$119,"")</f>
        <v>Stone</v>
      </c>
      <c r="B5846" t="s">
        <v>11726</v>
      </c>
      <c r="C5846" t="s">
        <v>10</v>
      </c>
      <c r="D5846" t="s">
        <v>11753</v>
      </c>
      <c r="E5846" t="s">
        <v>11754</v>
      </c>
    </row>
    <row r="5847" spans="1:7" ht="14.25" hidden="1" customHeight="1" x14ac:dyDescent="0.45">
      <c r="A5847" t="str">
        <f>_xlfn.XLOOKUP(B5847,Ingot!$H$12:$H$119,Ingot!$G$12:$G$119,"")</f>
        <v>Stone</v>
      </c>
      <c r="B5847" t="s">
        <v>11726</v>
      </c>
      <c r="C5847" t="s">
        <v>10</v>
      </c>
      <c r="D5847" t="s">
        <v>11755</v>
      </c>
      <c r="E5847" t="s">
        <v>11756</v>
      </c>
      <c r="G5847" s="1">
        <v>2.2000000000000002</v>
      </c>
    </row>
    <row r="5848" spans="1:7" ht="14.25" hidden="1" customHeight="1" x14ac:dyDescent="0.45">
      <c r="A5848" t="str">
        <f>_xlfn.XLOOKUP(B5848,Ingot!$H$12:$H$119,Ingot!$G$12:$G$119,"")</f>
        <v>Stone</v>
      </c>
      <c r="B5848" t="s">
        <v>11726</v>
      </c>
      <c r="C5848" t="s">
        <v>10</v>
      </c>
      <c r="D5848" t="s">
        <v>11757</v>
      </c>
      <c r="E5848" t="s">
        <v>11758</v>
      </c>
      <c r="G5848" s="1">
        <v>1.1000000000000001</v>
      </c>
    </row>
    <row r="5849" spans="1:7" ht="14.25" hidden="1" customHeight="1" x14ac:dyDescent="0.45">
      <c r="A5849" t="str">
        <f>_xlfn.XLOOKUP(B5849,Ingot!$H$12:$H$119,Ingot!$G$12:$G$119,"")</f>
        <v>Stone</v>
      </c>
      <c r="B5849" t="s">
        <v>11726</v>
      </c>
      <c r="C5849" t="s">
        <v>10</v>
      </c>
      <c r="D5849" t="s">
        <v>11759</v>
      </c>
      <c r="E5849" t="s">
        <v>11760</v>
      </c>
      <c r="G5849" s="1">
        <v>0.22</v>
      </c>
    </row>
    <row r="5850" spans="1:7" ht="14.25" hidden="1" customHeight="1" x14ac:dyDescent="0.45">
      <c r="A5850" t="str">
        <f>_xlfn.XLOOKUP(B5850,Ingot!$H$12:$H$119,Ingot!$G$12:$G$119,"")</f>
        <v>Stone</v>
      </c>
      <c r="B5850" t="s">
        <v>11726</v>
      </c>
      <c r="C5850" t="s">
        <v>10</v>
      </c>
      <c r="D5850" t="s">
        <v>11761</v>
      </c>
      <c r="E5850" t="s">
        <v>11762</v>
      </c>
      <c r="G5850" s="1">
        <v>8.41</v>
      </c>
    </row>
    <row r="5851" spans="1:7" ht="14.25" hidden="1" customHeight="1" x14ac:dyDescent="0.45">
      <c r="A5851" t="str">
        <f>_xlfn.XLOOKUP(B5851,Ingot!$H$12:$H$119,Ingot!$G$12:$G$119,"")</f>
        <v>Stone</v>
      </c>
      <c r="B5851" t="s">
        <v>11726</v>
      </c>
      <c r="C5851" t="s">
        <v>10</v>
      </c>
      <c r="D5851" t="s">
        <v>11763</v>
      </c>
      <c r="E5851" t="s">
        <v>11764</v>
      </c>
      <c r="G5851" s="1">
        <v>3.64</v>
      </c>
    </row>
    <row r="5852" spans="1:7" ht="14.25" hidden="1" customHeight="1" x14ac:dyDescent="0.45">
      <c r="A5852" t="str">
        <f>_xlfn.XLOOKUP(B5852,Ingot!$H$12:$H$119,Ingot!$G$12:$G$119,"")</f>
        <v>Stone</v>
      </c>
      <c r="B5852" t="s">
        <v>11726</v>
      </c>
      <c r="C5852" t="s">
        <v>10</v>
      </c>
      <c r="D5852" t="s">
        <v>11765</v>
      </c>
      <c r="E5852" t="s">
        <v>11766</v>
      </c>
      <c r="G5852" s="1">
        <v>7.05</v>
      </c>
    </row>
    <row r="5853" spans="1:7" ht="14.25" hidden="1" customHeight="1" x14ac:dyDescent="0.45">
      <c r="A5853" t="str">
        <f>_xlfn.XLOOKUP(B5853,Ingot!$H$12:$H$119,Ingot!$G$12:$G$119,"")</f>
        <v>Stone</v>
      </c>
      <c r="B5853" t="s">
        <v>11726</v>
      </c>
      <c r="C5853" t="s">
        <v>10</v>
      </c>
      <c r="D5853" t="s">
        <v>11767</v>
      </c>
      <c r="E5853" t="s">
        <v>11768</v>
      </c>
      <c r="G5853" s="1">
        <v>2.65</v>
      </c>
    </row>
    <row r="5854" spans="1:7" ht="14.25" hidden="1" customHeight="1" x14ac:dyDescent="0.45">
      <c r="A5854" t="str">
        <f>_xlfn.XLOOKUP(B5854,Ingot!$H$12:$H$119,Ingot!$G$12:$G$119,"")</f>
        <v>Stone</v>
      </c>
      <c r="B5854" t="s">
        <v>11726</v>
      </c>
      <c r="C5854" t="s">
        <v>10</v>
      </c>
      <c r="D5854" t="s">
        <v>11769</v>
      </c>
      <c r="E5854" t="s">
        <v>11770</v>
      </c>
      <c r="G5854" s="1">
        <v>9</v>
      </c>
    </row>
    <row r="5855" spans="1:7" ht="14.25" hidden="1" customHeight="1" x14ac:dyDescent="0.45">
      <c r="A5855" t="str">
        <f>_xlfn.XLOOKUP(B5855,Ingot!$H$12:$H$119,Ingot!$G$12:$G$119,"")</f>
        <v>Stone</v>
      </c>
      <c r="B5855" t="s">
        <v>11726</v>
      </c>
      <c r="C5855" t="s">
        <v>10</v>
      </c>
      <c r="D5855" t="s">
        <v>11771</v>
      </c>
      <c r="E5855" t="s">
        <v>11772</v>
      </c>
      <c r="G5855" s="1">
        <v>10.23</v>
      </c>
    </row>
    <row r="5856" spans="1:7" ht="14.25" hidden="1" customHeight="1" x14ac:dyDescent="0.45">
      <c r="A5856" t="str">
        <f>_xlfn.XLOOKUP(B5856,Ingot!$H$12:$H$119,Ingot!$G$12:$G$119,"")</f>
        <v>Stone</v>
      </c>
      <c r="B5856" t="s">
        <v>11726</v>
      </c>
      <c r="C5856" t="s">
        <v>10</v>
      </c>
      <c r="D5856" t="s">
        <v>11773</v>
      </c>
      <c r="E5856" t="s">
        <v>11774</v>
      </c>
      <c r="G5856" s="1">
        <v>7.7</v>
      </c>
    </row>
    <row r="5857" spans="1:7" ht="14.25" hidden="1" customHeight="1" x14ac:dyDescent="0.45">
      <c r="A5857" t="str">
        <f>_xlfn.XLOOKUP(B5857,Ingot!$H$12:$H$119,Ingot!$G$12:$G$119,"")</f>
        <v>Stone</v>
      </c>
      <c r="B5857" t="s">
        <v>11726</v>
      </c>
      <c r="C5857" t="s">
        <v>10</v>
      </c>
      <c r="D5857" t="s">
        <v>11775</v>
      </c>
      <c r="E5857" t="s">
        <v>11776</v>
      </c>
      <c r="G5857" s="1">
        <v>10.02</v>
      </c>
    </row>
    <row r="5858" spans="1:7" ht="14.25" hidden="1" customHeight="1" x14ac:dyDescent="0.45">
      <c r="A5858" t="str">
        <f>_xlfn.XLOOKUP(B5858,Ingot!$H$12:$H$119,Ingot!$G$12:$G$119,"")</f>
        <v>Stone</v>
      </c>
      <c r="B5858" t="s">
        <v>11726</v>
      </c>
      <c r="C5858" t="s">
        <v>10</v>
      </c>
      <c r="D5858" t="s">
        <v>11777</v>
      </c>
      <c r="E5858" t="s">
        <v>11778</v>
      </c>
      <c r="G5858" s="1">
        <v>11.81</v>
      </c>
    </row>
    <row r="5859" spans="1:7" ht="14.25" hidden="1" customHeight="1" x14ac:dyDescent="0.45">
      <c r="A5859" t="str">
        <f>_xlfn.XLOOKUP(B5859,Ingot!$H$12:$H$119,Ingot!$G$12:$G$119,"")</f>
        <v>Stone</v>
      </c>
      <c r="B5859" t="s">
        <v>11726</v>
      </c>
      <c r="C5859" t="s">
        <v>10</v>
      </c>
      <c r="D5859" t="s">
        <v>11779</v>
      </c>
      <c r="E5859" t="s">
        <v>11780</v>
      </c>
      <c r="G5859" s="1">
        <v>8.44</v>
      </c>
    </row>
    <row r="5860" spans="1:7" ht="14.25" hidden="1" customHeight="1" x14ac:dyDescent="0.45">
      <c r="A5860" t="str">
        <f>_xlfn.XLOOKUP(B5860,Ingot!$H$12:$H$119,Ingot!$G$12:$G$119,"")</f>
        <v>Stone</v>
      </c>
      <c r="B5860" t="s">
        <v>11726</v>
      </c>
      <c r="C5860" t="s">
        <v>10</v>
      </c>
      <c r="D5860" t="s">
        <v>11781</v>
      </c>
      <c r="E5860" t="s">
        <v>11782</v>
      </c>
      <c r="G5860" s="1">
        <v>10.42</v>
      </c>
    </row>
    <row r="5861" spans="1:7" ht="14.25" hidden="1" customHeight="1" x14ac:dyDescent="0.45">
      <c r="A5861" t="str">
        <f>_xlfn.XLOOKUP(B5861,Ingot!$H$12:$H$119,Ingot!$G$12:$G$119,"")</f>
        <v>Stone</v>
      </c>
      <c r="B5861" t="s">
        <v>11726</v>
      </c>
      <c r="C5861" t="s">
        <v>10</v>
      </c>
      <c r="D5861" t="s">
        <v>11783</v>
      </c>
      <c r="E5861" t="s">
        <v>11784</v>
      </c>
    </row>
    <row r="5862" spans="1:7" ht="14.25" hidden="1" customHeight="1" x14ac:dyDescent="0.45">
      <c r="A5862" t="str">
        <f>_xlfn.XLOOKUP(B5862,Ingot!$H$12:$H$119,Ingot!$G$12:$G$119,"")</f>
        <v>Stone</v>
      </c>
      <c r="B5862" t="s">
        <v>11726</v>
      </c>
      <c r="C5862" t="s">
        <v>10</v>
      </c>
      <c r="D5862" t="s">
        <v>11785</v>
      </c>
      <c r="E5862" t="s">
        <v>11786</v>
      </c>
      <c r="G5862" s="1">
        <v>7.96</v>
      </c>
    </row>
    <row r="5863" spans="1:7" ht="14.25" hidden="1" customHeight="1" x14ac:dyDescent="0.45">
      <c r="A5863" t="str">
        <f>_xlfn.XLOOKUP(B5863,Ingot!$H$12:$H$119,Ingot!$G$12:$G$119,"")</f>
        <v>Stone</v>
      </c>
      <c r="B5863" t="s">
        <v>11726</v>
      </c>
      <c r="C5863" t="s">
        <v>10</v>
      </c>
      <c r="D5863" t="s">
        <v>11787</v>
      </c>
      <c r="E5863" t="s">
        <v>11788</v>
      </c>
      <c r="G5863" s="1">
        <v>9.64</v>
      </c>
    </row>
    <row r="5864" spans="1:7" ht="14.25" hidden="1" customHeight="1" x14ac:dyDescent="0.45">
      <c r="A5864" t="str">
        <f>_xlfn.XLOOKUP(B5864,Ingot!$H$12:$H$119,Ingot!$G$12:$G$119,"")</f>
        <v>Stone</v>
      </c>
      <c r="B5864" t="s">
        <v>11726</v>
      </c>
      <c r="C5864" t="s">
        <v>10</v>
      </c>
      <c r="D5864" t="s">
        <v>11789</v>
      </c>
      <c r="E5864" t="s">
        <v>11790</v>
      </c>
      <c r="G5864" s="1">
        <v>7.94</v>
      </c>
    </row>
    <row r="5865" spans="1:7" ht="14.25" hidden="1" customHeight="1" x14ac:dyDescent="0.45">
      <c r="A5865" t="str">
        <f>_xlfn.XLOOKUP(B5865,Ingot!$H$12:$H$119,Ingot!$G$12:$G$119,"")</f>
        <v>Stone</v>
      </c>
      <c r="B5865" t="s">
        <v>11726</v>
      </c>
      <c r="C5865" t="s">
        <v>10</v>
      </c>
      <c r="D5865" t="s">
        <v>11791</v>
      </c>
      <c r="E5865" t="s">
        <v>11792</v>
      </c>
      <c r="G5865" s="1">
        <v>8.66</v>
      </c>
    </row>
    <row r="5866" spans="1:7" ht="14.25" hidden="1" customHeight="1" x14ac:dyDescent="0.45">
      <c r="A5866" t="str">
        <f>_xlfn.XLOOKUP(B5866,Ingot!$H$12:$H$119,Ingot!$G$12:$G$119,"")</f>
        <v>Stone</v>
      </c>
      <c r="B5866" t="s">
        <v>11726</v>
      </c>
      <c r="C5866" t="s">
        <v>10</v>
      </c>
      <c r="D5866" t="s">
        <v>11793</v>
      </c>
      <c r="E5866" t="s">
        <v>11794</v>
      </c>
    </row>
    <row r="5867" spans="1:7" ht="14.25" hidden="1" customHeight="1" x14ac:dyDescent="0.45">
      <c r="A5867" t="str">
        <f>_xlfn.XLOOKUP(B5867,Ingot!$H$12:$H$119,Ingot!$G$12:$G$119,"")</f>
        <v>Stone</v>
      </c>
      <c r="B5867" t="s">
        <v>11726</v>
      </c>
      <c r="C5867" t="s">
        <v>10</v>
      </c>
      <c r="D5867" t="s">
        <v>11795</v>
      </c>
      <c r="E5867" t="s">
        <v>11796</v>
      </c>
      <c r="G5867" s="1">
        <v>2.65</v>
      </c>
    </row>
    <row r="5868" spans="1:7" ht="14.25" hidden="1" customHeight="1" x14ac:dyDescent="0.45">
      <c r="A5868" t="str">
        <f>_xlfn.XLOOKUP(B5868,Ingot!$H$12:$H$119,Ingot!$G$12:$G$119,"")</f>
        <v>Stone</v>
      </c>
      <c r="B5868" t="s">
        <v>11726</v>
      </c>
      <c r="C5868" t="s">
        <v>10</v>
      </c>
      <c r="D5868" t="s">
        <v>11797</v>
      </c>
      <c r="E5868" t="s">
        <v>11798</v>
      </c>
    </row>
    <row r="5869" spans="1:7" ht="14.25" hidden="1" customHeight="1" x14ac:dyDescent="0.45">
      <c r="A5869" t="str">
        <f>_xlfn.XLOOKUP(B5869,Ingot!$H$12:$H$119,Ingot!$G$12:$G$119,"")</f>
        <v>Stone</v>
      </c>
      <c r="B5869" t="s">
        <v>11726</v>
      </c>
      <c r="C5869" t="s">
        <v>10</v>
      </c>
      <c r="D5869" t="s">
        <v>11799</v>
      </c>
      <c r="E5869" t="s">
        <v>11800</v>
      </c>
      <c r="G5869" s="1">
        <v>12.64</v>
      </c>
    </row>
    <row r="5870" spans="1:7" ht="14.25" hidden="1" customHeight="1" x14ac:dyDescent="0.45">
      <c r="A5870" t="str">
        <f>_xlfn.XLOOKUP(B5870,Ingot!$H$12:$H$119,Ingot!$G$12:$G$119,"")</f>
        <v>Stone</v>
      </c>
      <c r="B5870" t="s">
        <v>11726</v>
      </c>
      <c r="C5870" t="s">
        <v>10</v>
      </c>
      <c r="D5870" t="s">
        <v>11801</v>
      </c>
      <c r="E5870" t="s">
        <v>11802</v>
      </c>
      <c r="G5870" s="1">
        <v>22.67</v>
      </c>
    </row>
    <row r="5871" spans="1:7" ht="14.25" hidden="1" customHeight="1" x14ac:dyDescent="0.45">
      <c r="A5871" t="str">
        <f>_xlfn.XLOOKUP(B5871,Ingot!$H$12:$H$119,Ingot!$G$12:$G$119,"")</f>
        <v>Stone</v>
      </c>
      <c r="B5871" t="s">
        <v>11726</v>
      </c>
      <c r="C5871" t="s">
        <v>10</v>
      </c>
      <c r="D5871" t="s">
        <v>11803</v>
      </c>
      <c r="E5871" t="s">
        <v>11804</v>
      </c>
      <c r="G5871" s="1">
        <v>8.3800000000000008</v>
      </c>
    </row>
    <row r="5872" spans="1:7" ht="14.25" hidden="1" customHeight="1" x14ac:dyDescent="0.45">
      <c r="A5872" t="str">
        <f>_xlfn.XLOOKUP(B5872,Ingot!$H$12:$H$119,Ingot!$G$12:$G$119,"")</f>
        <v>Stone</v>
      </c>
      <c r="B5872" t="s">
        <v>11726</v>
      </c>
      <c r="C5872" t="s">
        <v>10</v>
      </c>
      <c r="D5872" t="s">
        <v>11805</v>
      </c>
      <c r="E5872" t="s">
        <v>11806</v>
      </c>
      <c r="G5872" s="1">
        <v>2.2000000000000002</v>
      </c>
    </row>
    <row r="5873" spans="1:7" ht="14.25" hidden="1" customHeight="1" x14ac:dyDescent="0.45">
      <c r="A5873" t="str">
        <f>_xlfn.XLOOKUP(B5873,Ingot!$H$12:$H$119,Ingot!$G$12:$G$119,"")</f>
        <v>Stone</v>
      </c>
      <c r="B5873" t="s">
        <v>11726</v>
      </c>
      <c r="C5873" t="s">
        <v>10</v>
      </c>
      <c r="D5873" t="s">
        <v>11807</v>
      </c>
      <c r="E5873" t="s">
        <v>11808</v>
      </c>
      <c r="G5873" s="1">
        <v>3.09</v>
      </c>
    </row>
    <row r="5874" spans="1:7" ht="14.25" hidden="1" customHeight="1" x14ac:dyDescent="0.45">
      <c r="A5874" t="str">
        <f>_xlfn.XLOOKUP(B5874,Ingot!$H$12:$H$119,Ingot!$G$12:$G$119,"")</f>
        <v>Stone</v>
      </c>
      <c r="B5874" t="s">
        <v>11726</v>
      </c>
      <c r="C5874" t="s">
        <v>10</v>
      </c>
      <c r="D5874" t="s">
        <v>11809</v>
      </c>
      <c r="E5874" t="s">
        <v>11810</v>
      </c>
      <c r="G5874" s="1">
        <v>2.2999999999999998</v>
      </c>
    </row>
    <row r="5875" spans="1:7" ht="14.25" hidden="1" customHeight="1" x14ac:dyDescent="0.45">
      <c r="A5875" t="str">
        <f>_xlfn.XLOOKUP(B5875,Ingot!$H$12:$H$119,Ingot!$G$12:$G$119,"")</f>
        <v>Stone</v>
      </c>
      <c r="B5875" t="s">
        <v>11726</v>
      </c>
      <c r="C5875" t="s">
        <v>10</v>
      </c>
      <c r="D5875" t="s">
        <v>11811</v>
      </c>
      <c r="E5875" t="s">
        <v>11812</v>
      </c>
      <c r="G5875" s="1">
        <v>4.88</v>
      </c>
    </row>
    <row r="5876" spans="1:7" ht="14.25" hidden="1" customHeight="1" x14ac:dyDescent="0.45">
      <c r="A5876" t="str">
        <f>_xlfn.XLOOKUP(B5876,Ingot!$H$12:$H$119,Ingot!$G$12:$G$119,"")</f>
        <v>Stone</v>
      </c>
      <c r="B5876" t="s">
        <v>11726</v>
      </c>
      <c r="C5876" t="s">
        <v>10</v>
      </c>
      <c r="D5876" t="s">
        <v>11813</v>
      </c>
      <c r="E5876" t="s">
        <v>11814</v>
      </c>
      <c r="G5876" s="1">
        <v>8.43</v>
      </c>
    </row>
    <row r="5877" spans="1:7" ht="14.25" hidden="1" customHeight="1" x14ac:dyDescent="0.45">
      <c r="A5877" t="str">
        <f>_xlfn.XLOOKUP(B5877,Ingot!$H$12:$H$119,Ingot!$G$12:$G$119,"")</f>
        <v>Stone</v>
      </c>
      <c r="B5877" t="s">
        <v>11726</v>
      </c>
      <c r="C5877" t="s">
        <v>10</v>
      </c>
      <c r="D5877" t="s">
        <v>11815</v>
      </c>
      <c r="E5877" t="s">
        <v>11816</v>
      </c>
      <c r="G5877" s="1">
        <v>13.07</v>
      </c>
    </row>
    <row r="5878" spans="1:7" ht="14.25" hidden="1" customHeight="1" x14ac:dyDescent="0.45">
      <c r="A5878" t="str">
        <f>_xlfn.XLOOKUP(B5878,Ingot!$H$12:$H$119,Ingot!$G$12:$G$119,"")</f>
        <v>Stone</v>
      </c>
      <c r="B5878" t="s">
        <v>11726</v>
      </c>
      <c r="C5878" t="s">
        <v>10</v>
      </c>
      <c r="D5878" t="s">
        <v>11817</v>
      </c>
      <c r="E5878" t="s">
        <v>11818</v>
      </c>
    </row>
    <row r="5879" spans="1:7" ht="14.25" hidden="1" customHeight="1" x14ac:dyDescent="0.45">
      <c r="A5879" t="str">
        <f>_xlfn.XLOOKUP(B5879,Ingot!$H$12:$H$119,Ingot!$G$12:$G$119,"")</f>
        <v>Stone</v>
      </c>
      <c r="B5879" t="s">
        <v>11726</v>
      </c>
      <c r="C5879" t="s">
        <v>10</v>
      </c>
      <c r="D5879" t="s">
        <v>11819</v>
      </c>
      <c r="E5879" t="s">
        <v>11820</v>
      </c>
    </row>
    <row r="5880" spans="1:7" ht="14.25" hidden="1" customHeight="1" x14ac:dyDescent="0.45">
      <c r="A5880" t="str">
        <f>_xlfn.XLOOKUP(B5880,Ingot!$H$12:$H$119,Ingot!$G$12:$G$119,"")</f>
        <v>Stone</v>
      </c>
      <c r="B5880" t="s">
        <v>11726</v>
      </c>
      <c r="C5880" t="s">
        <v>10</v>
      </c>
      <c r="D5880" t="s">
        <v>11821</v>
      </c>
      <c r="E5880" t="s">
        <v>11822</v>
      </c>
      <c r="G5880" s="1">
        <v>6.8</v>
      </c>
    </row>
    <row r="5881" spans="1:7" ht="14.25" hidden="1" customHeight="1" x14ac:dyDescent="0.45">
      <c r="A5881" t="str">
        <f>_xlfn.XLOOKUP(B5881,Ingot!$H$12:$H$119,Ingot!$G$12:$G$119,"")</f>
        <v>Stone</v>
      </c>
      <c r="B5881" t="s">
        <v>11726</v>
      </c>
      <c r="C5881" t="s">
        <v>10</v>
      </c>
      <c r="D5881" t="s">
        <v>11823</v>
      </c>
      <c r="E5881" t="s">
        <v>11824</v>
      </c>
      <c r="G5881" s="1">
        <v>6.88</v>
      </c>
    </row>
    <row r="5882" spans="1:7" ht="14.25" hidden="1" customHeight="1" x14ac:dyDescent="0.45">
      <c r="A5882" t="str">
        <f>_xlfn.XLOOKUP(B5882,Ingot!$H$12:$H$119,Ingot!$G$12:$G$119,"")</f>
        <v>Stone</v>
      </c>
      <c r="B5882" t="s">
        <v>11726</v>
      </c>
      <c r="C5882" t="s">
        <v>10</v>
      </c>
      <c r="D5882" t="s">
        <v>11825</v>
      </c>
      <c r="E5882" t="s">
        <v>11826</v>
      </c>
      <c r="G5882" s="1">
        <v>5.5</v>
      </c>
    </row>
    <row r="5883" spans="1:7" ht="14.25" hidden="1" customHeight="1" x14ac:dyDescent="0.45">
      <c r="A5883" t="str">
        <f>_xlfn.XLOOKUP(B5883,Ingot!$H$12:$H$119,Ingot!$G$12:$G$119,"")</f>
        <v>Stone</v>
      </c>
      <c r="B5883" t="s">
        <v>11726</v>
      </c>
      <c r="C5883" t="s">
        <v>10</v>
      </c>
      <c r="D5883" t="s">
        <v>11827</v>
      </c>
      <c r="E5883" t="s">
        <v>11828</v>
      </c>
      <c r="G5883" s="1">
        <v>2.4300000000000002</v>
      </c>
    </row>
    <row r="5884" spans="1:7" ht="14.25" hidden="1" customHeight="1" x14ac:dyDescent="0.45">
      <c r="A5884" t="str">
        <f>_xlfn.XLOOKUP(B5884,Ingot!$H$12:$H$119,Ingot!$G$12:$G$119,"")</f>
        <v>Stone</v>
      </c>
      <c r="B5884" t="s">
        <v>11726</v>
      </c>
      <c r="C5884" t="s">
        <v>10</v>
      </c>
      <c r="D5884" t="s">
        <v>11829</v>
      </c>
      <c r="E5884" t="s">
        <v>11830</v>
      </c>
      <c r="G5884" s="1">
        <v>6.96</v>
      </c>
    </row>
    <row r="5885" spans="1:7" ht="14.25" hidden="1" customHeight="1" x14ac:dyDescent="0.45">
      <c r="A5885" t="str">
        <f>_xlfn.XLOOKUP(B5885,Ingot!$H$12:$H$119,Ingot!$G$12:$G$119,"")</f>
        <v>Stone</v>
      </c>
      <c r="B5885" t="s">
        <v>11726</v>
      </c>
      <c r="C5885" t="s">
        <v>10</v>
      </c>
      <c r="D5885" t="s">
        <v>11831</v>
      </c>
      <c r="E5885" t="s">
        <v>11832</v>
      </c>
      <c r="G5885" s="1">
        <v>6.32</v>
      </c>
    </row>
    <row r="5886" spans="1:7" ht="14.25" hidden="1" customHeight="1" x14ac:dyDescent="0.45">
      <c r="A5886" t="str">
        <f>_xlfn.XLOOKUP(B5886,Ingot!$H$12:$H$119,Ingot!$G$12:$G$119,"")</f>
        <v>Stone</v>
      </c>
      <c r="B5886" t="s">
        <v>11726</v>
      </c>
      <c r="C5886" t="s">
        <v>10</v>
      </c>
      <c r="D5886" t="s">
        <v>11833</v>
      </c>
      <c r="E5886" t="s">
        <v>11834</v>
      </c>
      <c r="G5886" s="1">
        <v>6.88</v>
      </c>
    </row>
    <row r="5887" spans="1:7" ht="14.25" hidden="1" customHeight="1" x14ac:dyDescent="0.45">
      <c r="A5887" t="str">
        <f>_xlfn.XLOOKUP(B5887,Ingot!$H$12:$H$119,Ingot!$G$12:$G$119,"")</f>
        <v>Stone</v>
      </c>
      <c r="B5887" t="s">
        <v>11726</v>
      </c>
      <c r="C5887" t="s">
        <v>10</v>
      </c>
      <c r="D5887" t="s">
        <v>11835</v>
      </c>
      <c r="E5887" t="s">
        <v>11836</v>
      </c>
      <c r="G5887" s="1">
        <v>2.44</v>
      </c>
    </row>
    <row r="5888" spans="1:7" ht="14.25" hidden="1" customHeight="1" x14ac:dyDescent="0.45">
      <c r="A5888" t="str">
        <f>_xlfn.XLOOKUP(B5888,Ingot!$H$12:$H$119,Ingot!$G$12:$G$119,"")</f>
        <v>Stone</v>
      </c>
      <c r="B5888" t="s">
        <v>11726</v>
      </c>
      <c r="C5888" t="s">
        <v>10</v>
      </c>
      <c r="D5888" t="s">
        <v>11837</v>
      </c>
      <c r="E5888" t="s">
        <v>11838</v>
      </c>
    </row>
    <row r="5889" spans="1:7" ht="14.25" hidden="1" customHeight="1" x14ac:dyDescent="0.45">
      <c r="A5889" t="str">
        <f>_xlfn.XLOOKUP(B5889,Ingot!$H$12:$H$119,Ingot!$G$12:$G$119,"")</f>
        <v>Stone</v>
      </c>
      <c r="B5889" t="s">
        <v>11726</v>
      </c>
      <c r="C5889" t="s">
        <v>10</v>
      </c>
      <c r="D5889" t="s">
        <v>11839</v>
      </c>
      <c r="E5889" t="s">
        <v>11840</v>
      </c>
    </row>
    <row r="5890" spans="1:7" ht="14.25" hidden="1" customHeight="1" x14ac:dyDescent="0.45">
      <c r="A5890" t="str">
        <f>_xlfn.XLOOKUP(B5890,Ingot!$H$12:$H$119,Ingot!$G$12:$G$119,"")</f>
        <v>Stone</v>
      </c>
      <c r="B5890" t="s">
        <v>11726</v>
      </c>
      <c r="C5890" t="s">
        <v>10</v>
      </c>
      <c r="D5890" t="s">
        <v>11841</v>
      </c>
      <c r="E5890" t="s">
        <v>11842</v>
      </c>
      <c r="G5890" s="1">
        <v>3.11</v>
      </c>
    </row>
    <row r="5891" spans="1:7" ht="14.25" hidden="1" customHeight="1" x14ac:dyDescent="0.45">
      <c r="A5891" t="str">
        <f>_xlfn.XLOOKUP(B5891,Ingot!$H$12:$H$119,Ingot!$G$12:$G$119,"")</f>
        <v>Stone</v>
      </c>
      <c r="B5891" t="s">
        <v>11726</v>
      </c>
      <c r="C5891" t="s">
        <v>10</v>
      </c>
      <c r="D5891" t="s">
        <v>11843</v>
      </c>
      <c r="E5891" t="s">
        <v>11844</v>
      </c>
      <c r="G5891" s="1">
        <v>2.44</v>
      </c>
    </row>
    <row r="5892" spans="1:7" ht="14.25" hidden="1" customHeight="1" x14ac:dyDescent="0.45">
      <c r="A5892" t="str">
        <f>_xlfn.XLOOKUP(B5892,Ingot!$H$12:$H$119,Ingot!$G$12:$G$119,"")</f>
        <v>Stone</v>
      </c>
      <c r="B5892" t="s">
        <v>11726</v>
      </c>
      <c r="C5892" t="s">
        <v>10</v>
      </c>
      <c r="D5892" t="s">
        <v>11845</v>
      </c>
      <c r="E5892" t="s">
        <v>11846</v>
      </c>
      <c r="G5892" s="1">
        <v>8.61</v>
      </c>
    </row>
    <row r="5893" spans="1:7" ht="14.25" hidden="1" customHeight="1" x14ac:dyDescent="0.45">
      <c r="A5893" t="str">
        <f>_xlfn.XLOOKUP(B5893,Ingot!$H$12:$H$119,Ingot!$G$12:$G$119,"")</f>
        <v>Stone</v>
      </c>
      <c r="B5893" t="s">
        <v>11726</v>
      </c>
      <c r="C5893" t="s">
        <v>10</v>
      </c>
      <c r="D5893" t="s">
        <v>11847</v>
      </c>
      <c r="E5893" t="s">
        <v>11848</v>
      </c>
    </row>
    <row r="5894" spans="1:7" ht="14.25" hidden="1" customHeight="1" x14ac:dyDescent="0.45">
      <c r="A5894" t="str">
        <f>_xlfn.XLOOKUP(B5894,Ingot!$H$12:$H$119,Ingot!$G$12:$G$119,"")</f>
        <v>Stone</v>
      </c>
      <c r="B5894" t="s">
        <v>11726</v>
      </c>
      <c r="C5894" t="s">
        <v>10</v>
      </c>
      <c r="D5894" t="s">
        <v>11849</v>
      </c>
      <c r="E5894" t="s">
        <v>11850</v>
      </c>
      <c r="G5894" s="1">
        <v>3.21</v>
      </c>
    </row>
    <row r="5895" spans="1:7" ht="14.25" hidden="1" customHeight="1" x14ac:dyDescent="0.45">
      <c r="A5895" t="str">
        <f>_xlfn.XLOOKUP(B5895,Ingot!$H$12:$H$119,Ingot!$G$12:$G$119,"")</f>
        <v>Stone</v>
      </c>
      <c r="B5895" t="s">
        <v>11726</v>
      </c>
      <c r="C5895" t="s">
        <v>10</v>
      </c>
      <c r="D5895" t="s">
        <v>11851</v>
      </c>
      <c r="E5895" t="s">
        <v>11852</v>
      </c>
      <c r="G5895" s="1">
        <v>2.77</v>
      </c>
    </row>
    <row r="5896" spans="1:7" ht="14.25" hidden="1" customHeight="1" x14ac:dyDescent="0.45">
      <c r="A5896" t="str">
        <f>_xlfn.XLOOKUP(B5896,Ingot!$H$12:$H$119,Ingot!$G$12:$G$119,"")</f>
        <v>Stone</v>
      </c>
      <c r="B5896" t="s">
        <v>11726</v>
      </c>
      <c r="C5896" t="s">
        <v>10</v>
      </c>
      <c r="D5896" t="s">
        <v>11853</v>
      </c>
      <c r="E5896" t="s">
        <v>11854</v>
      </c>
      <c r="G5896" s="1">
        <v>4.8899999999999997</v>
      </c>
    </row>
    <row r="5897" spans="1:7" ht="14.25" hidden="1" customHeight="1" x14ac:dyDescent="0.45">
      <c r="A5897" t="str">
        <f>_xlfn.XLOOKUP(B5897,Ingot!$H$12:$H$119,Ingot!$G$12:$G$119,"")</f>
        <v>Stone</v>
      </c>
      <c r="B5897" t="s">
        <v>11726</v>
      </c>
      <c r="C5897" t="s">
        <v>10</v>
      </c>
      <c r="D5897" t="s">
        <v>11855</v>
      </c>
      <c r="E5897" t="s">
        <v>11856</v>
      </c>
      <c r="G5897" s="1">
        <v>1.76</v>
      </c>
    </row>
    <row r="5898" spans="1:7" ht="14.25" hidden="1" customHeight="1" x14ac:dyDescent="0.45">
      <c r="A5898" t="str">
        <f>_xlfn.XLOOKUP(B5898,Ingot!$H$12:$H$119,Ingot!$G$12:$G$119,"")</f>
        <v>Stone</v>
      </c>
      <c r="B5898" t="s">
        <v>11726</v>
      </c>
      <c r="C5898" t="s">
        <v>10</v>
      </c>
      <c r="D5898" t="s">
        <v>11857</v>
      </c>
      <c r="E5898" t="s">
        <v>11858</v>
      </c>
    </row>
    <row r="5899" spans="1:7" ht="14.25" hidden="1" customHeight="1" x14ac:dyDescent="0.45">
      <c r="A5899" t="str">
        <f>_xlfn.XLOOKUP(B5899,Ingot!$H$12:$H$119,Ingot!$G$12:$G$119,"")</f>
        <v>Stone</v>
      </c>
      <c r="B5899" t="s">
        <v>11726</v>
      </c>
      <c r="C5899" t="s">
        <v>10</v>
      </c>
      <c r="D5899" t="s">
        <v>11859</v>
      </c>
      <c r="E5899" t="s">
        <v>11860</v>
      </c>
      <c r="G5899" s="1">
        <v>8.57</v>
      </c>
    </row>
    <row r="5900" spans="1:7" ht="14.25" hidden="1" customHeight="1" x14ac:dyDescent="0.45">
      <c r="A5900" t="str">
        <f>_xlfn.XLOOKUP(B5900,Ingot!$H$12:$H$119,Ingot!$G$12:$G$119,"")</f>
        <v>Stone</v>
      </c>
      <c r="B5900" t="s">
        <v>11726</v>
      </c>
      <c r="C5900" t="s">
        <v>10</v>
      </c>
      <c r="D5900" t="s">
        <v>11861</v>
      </c>
      <c r="E5900" t="s">
        <v>11862</v>
      </c>
    </row>
    <row r="5901" spans="1:7" ht="14.25" hidden="1" customHeight="1" x14ac:dyDescent="0.45">
      <c r="A5901" t="str">
        <f>_xlfn.XLOOKUP(B5901,Ingot!$H$12:$H$119,Ingot!$G$12:$G$119,"")</f>
        <v>Stone</v>
      </c>
      <c r="B5901" t="s">
        <v>11726</v>
      </c>
      <c r="C5901" t="s">
        <v>10</v>
      </c>
      <c r="D5901" t="s">
        <v>11863</v>
      </c>
      <c r="E5901" t="s">
        <v>11864</v>
      </c>
      <c r="G5901" s="1">
        <v>3.56</v>
      </c>
    </row>
    <row r="5902" spans="1:7" ht="14.25" hidden="1" customHeight="1" x14ac:dyDescent="0.45">
      <c r="A5902" t="str">
        <f>_xlfn.XLOOKUP(B5902,Ingot!$H$12:$H$119,Ingot!$G$12:$G$119,"")</f>
        <v>Stone</v>
      </c>
      <c r="B5902" t="s">
        <v>11726</v>
      </c>
      <c r="C5902" t="s">
        <v>10</v>
      </c>
      <c r="D5902" t="s">
        <v>11865</v>
      </c>
      <c r="E5902" t="s">
        <v>11866</v>
      </c>
      <c r="G5902" s="1">
        <v>8.91</v>
      </c>
    </row>
    <row r="5903" spans="1:7" ht="14.25" hidden="1" customHeight="1" x14ac:dyDescent="0.45">
      <c r="A5903" t="str">
        <f>_xlfn.XLOOKUP(B5903,Ingot!$H$12:$H$119,Ingot!$G$12:$G$119,"")</f>
        <v>Stone</v>
      </c>
      <c r="B5903" t="s">
        <v>11726</v>
      </c>
      <c r="C5903" t="s">
        <v>10</v>
      </c>
      <c r="D5903" t="s">
        <v>11867</v>
      </c>
      <c r="E5903" t="s">
        <v>11868</v>
      </c>
      <c r="G5903" s="1">
        <v>11.02</v>
      </c>
    </row>
    <row r="5904" spans="1:7" ht="14.25" hidden="1" customHeight="1" x14ac:dyDescent="0.45">
      <c r="A5904" t="str">
        <f>_xlfn.XLOOKUP(B5904,Ingot!$H$12:$H$119,Ingot!$G$12:$G$119,"")</f>
        <v>Stone</v>
      </c>
      <c r="B5904" t="s">
        <v>11726</v>
      </c>
      <c r="C5904" t="s">
        <v>10</v>
      </c>
      <c r="D5904" t="s">
        <v>11869</v>
      </c>
      <c r="E5904" t="s">
        <v>11870</v>
      </c>
      <c r="G5904" s="1">
        <v>5.12</v>
      </c>
    </row>
    <row r="5905" spans="1:7" ht="14.25" hidden="1" customHeight="1" x14ac:dyDescent="0.45">
      <c r="A5905" t="str">
        <f>_xlfn.XLOOKUP(B5905,Ingot!$H$12:$H$119,Ingot!$G$12:$G$119,"")</f>
        <v>Stone</v>
      </c>
      <c r="B5905" t="s">
        <v>11726</v>
      </c>
      <c r="C5905" t="s">
        <v>10</v>
      </c>
      <c r="D5905" t="s">
        <v>11871</v>
      </c>
      <c r="E5905" t="s">
        <v>11872</v>
      </c>
      <c r="G5905" s="1">
        <v>4.41</v>
      </c>
    </row>
    <row r="5906" spans="1:7" ht="14.25" hidden="1" customHeight="1" x14ac:dyDescent="0.45">
      <c r="A5906" t="str">
        <f>_xlfn.XLOOKUP(B5906,Ingot!$H$12:$H$119,Ingot!$G$12:$G$119,"")</f>
        <v>Stone</v>
      </c>
      <c r="B5906" t="s">
        <v>11726</v>
      </c>
      <c r="C5906" t="s">
        <v>157</v>
      </c>
      <c r="D5906" t="s">
        <v>11873</v>
      </c>
      <c r="E5906" t="s">
        <v>11874</v>
      </c>
      <c r="G5906" s="1">
        <v>45.5</v>
      </c>
    </row>
    <row r="5907" spans="1:7" ht="14.25" hidden="1" customHeight="1" x14ac:dyDescent="0.45">
      <c r="A5907" t="str">
        <f>_xlfn.XLOOKUP(B5907,Ingot!$H$12:$H$119,Ingot!$G$12:$G$119,"")</f>
        <v>Stone</v>
      </c>
      <c r="B5907" t="s">
        <v>11726</v>
      </c>
      <c r="C5907" t="s">
        <v>157</v>
      </c>
      <c r="D5907" t="s">
        <v>11875</v>
      </c>
      <c r="E5907" t="s">
        <v>11876</v>
      </c>
      <c r="G5907" s="1">
        <v>9.1</v>
      </c>
    </row>
    <row r="5908" spans="1:7" ht="14.25" hidden="1" customHeight="1" x14ac:dyDescent="0.45">
      <c r="A5908" t="str">
        <f>_xlfn.XLOOKUP(B5908,Ingot!$H$12:$H$119,Ingot!$G$12:$G$119,"")</f>
        <v>Stone</v>
      </c>
      <c r="B5908" t="s">
        <v>11726</v>
      </c>
      <c r="C5908" t="s">
        <v>157</v>
      </c>
      <c r="D5908" t="s">
        <v>11877</v>
      </c>
      <c r="E5908" t="s">
        <v>11878</v>
      </c>
      <c r="G5908" s="1">
        <v>9.1</v>
      </c>
    </row>
    <row r="5909" spans="1:7" ht="14.25" hidden="1" customHeight="1" x14ac:dyDescent="0.45">
      <c r="A5909" t="str">
        <f>_xlfn.XLOOKUP(B5909,Ingot!$H$12:$H$119,Ingot!$G$12:$G$119,"")</f>
        <v>Stone</v>
      </c>
      <c r="B5909" t="s">
        <v>11726</v>
      </c>
      <c r="C5909" t="s">
        <v>157</v>
      </c>
      <c r="D5909" t="s">
        <v>11879</v>
      </c>
      <c r="E5909" t="s">
        <v>11880</v>
      </c>
      <c r="G5909" s="1">
        <v>5.92</v>
      </c>
    </row>
    <row r="5910" spans="1:7" ht="14.25" hidden="1" customHeight="1" x14ac:dyDescent="0.45">
      <c r="A5910" t="str">
        <f>_xlfn.XLOOKUP(B5910,Ingot!$H$12:$H$119,Ingot!$G$12:$G$119,"")</f>
        <v>Stone</v>
      </c>
      <c r="B5910" t="s">
        <v>11726</v>
      </c>
      <c r="C5910" t="s">
        <v>157</v>
      </c>
      <c r="D5910" t="s">
        <v>11881</v>
      </c>
      <c r="E5910" t="s">
        <v>11882</v>
      </c>
      <c r="G5910" s="1">
        <v>11.83</v>
      </c>
    </row>
    <row r="5911" spans="1:7" ht="14.25" hidden="1" customHeight="1" x14ac:dyDescent="0.45">
      <c r="A5911" t="str">
        <f>_xlfn.XLOOKUP(B5911,Ingot!$H$12:$H$119,Ingot!$G$12:$G$119,"")</f>
        <v>Stone</v>
      </c>
      <c r="B5911" t="s">
        <v>11726</v>
      </c>
      <c r="C5911" t="s">
        <v>157</v>
      </c>
      <c r="D5911" t="s">
        <v>11883</v>
      </c>
      <c r="E5911" t="s">
        <v>11884</v>
      </c>
      <c r="G5911" s="1">
        <v>41.5</v>
      </c>
    </row>
    <row r="5912" spans="1:7" ht="14.25" hidden="1" customHeight="1" x14ac:dyDescent="0.45">
      <c r="A5912" t="str">
        <f>_xlfn.XLOOKUP(B5912,Ingot!$H$12:$H$119,Ingot!$G$12:$G$119,"")</f>
        <v>Stone</v>
      </c>
      <c r="B5912" t="s">
        <v>11726</v>
      </c>
      <c r="C5912" t="s">
        <v>157</v>
      </c>
      <c r="D5912" t="s">
        <v>11885</v>
      </c>
      <c r="E5912" t="s">
        <v>11886</v>
      </c>
      <c r="G5912" s="1">
        <v>8.3000000000000007</v>
      </c>
    </row>
    <row r="5913" spans="1:7" ht="14.25" hidden="1" customHeight="1" x14ac:dyDescent="0.45">
      <c r="A5913" t="str">
        <f>_xlfn.XLOOKUP(B5913,Ingot!$H$12:$H$119,Ingot!$G$12:$G$119,"")</f>
        <v>Stone</v>
      </c>
      <c r="B5913" t="s">
        <v>11726</v>
      </c>
      <c r="C5913" t="s">
        <v>157</v>
      </c>
      <c r="D5913" t="s">
        <v>11887</v>
      </c>
      <c r="E5913" t="s">
        <v>11888</v>
      </c>
      <c r="G5913" s="1">
        <v>8.3000000000000007</v>
      </c>
    </row>
    <row r="5914" spans="1:7" ht="14.25" hidden="1" customHeight="1" x14ac:dyDescent="0.45">
      <c r="A5914" t="str">
        <f>_xlfn.XLOOKUP(B5914,Ingot!$H$12:$H$119,Ingot!$G$12:$G$119,"")</f>
        <v>Stone</v>
      </c>
      <c r="B5914" t="s">
        <v>11726</v>
      </c>
      <c r="C5914" t="s">
        <v>157</v>
      </c>
      <c r="D5914" t="s">
        <v>11889</v>
      </c>
      <c r="E5914" t="s">
        <v>11890</v>
      </c>
      <c r="G5914" s="1">
        <v>5.4</v>
      </c>
    </row>
    <row r="5915" spans="1:7" ht="14.25" hidden="1" customHeight="1" x14ac:dyDescent="0.45">
      <c r="A5915" t="str">
        <f>_xlfn.XLOOKUP(B5915,Ingot!$H$12:$H$119,Ingot!$G$12:$G$119,"")</f>
        <v>Stone</v>
      </c>
      <c r="B5915" t="s">
        <v>11726</v>
      </c>
      <c r="C5915" t="s">
        <v>157</v>
      </c>
      <c r="D5915" t="s">
        <v>11891</v>
      </c>
      <c r="E5915" t="s">
        <v>11892</v>
      </c>
      <c r="G5915" s="1">
        <v>10.79</v>
      </c>
    </row>
    <row r="5916" spans="1:7" ht="14.25" hidden="1" customHeight="1" x14ac:dyDescent="0.45">
      <c r="A5916" t="str">
        <f>_xlfn.XLOOKUP(B5916,Ingot!$H$12:$H$119,Ingot!$G$12:$G$119,"")</f>
        <v>Stone</v>
      </c>
      <c r="B5916" t="s">
        <v>11726</v>
      </c>
      <c r="C5916" t="s">
        <v>157</v>
      </c>
      <c r="D5916" t="s">
        <v>11893</v>
      </c>
      <c r="E5916" t="s">
        <v>11894</v>
      </c>
      <c r="G5916" s="1">
        <v>40.5</v>
      </c>
    </row>
    <row r="5917" spans="1:7" ht="14.25" hidden="1" customHeight="1" x14ac:dyDescent="0.45">
      <c r="A5917" t="str">
        <f>_xlfn.XLOOKUP(B5917,Ingot!$H$12:$H$119,Ingot!$G$12:$G$119,"")</f>
        <v>Stone</v>
      </c>
      <c r="B5917" t="s">
        <v>11726</v>
      </c>
      <c r="C5917" t="s">
        <v>157</v>
      </c>
      <c r="D5917" t="s">
        <v>11895</v>
      </c>
      <c r="E5917" t="s">
        <v>11896</v>
      </c>
      <c r="G5917" s="1">
        <v>8.1</v>
      </c>
    </row>
    <row r="5918" spans="1:7" ht="14.25" hidden="1" customHeight="1" x14ac:dyDescent="0.45">
      <c r="A5918" t="str">
        <f>_xlfn.XLOOKUP(B5918,Ingot!$H$12:$H$119,Ingot!$G$12:$G$119,"")</f>
        <v>Stone</v>
      </c>
      <c r="B5918" t="s">
        <v>11726</v>
      </c>
      <c r="C5918" t="s">
        <v>157</v>
      </c>
      <c r="D5918" t="s">
        <v>11897</v>
      </c>
      <c r="E5918" t="s">
        <v>11898</v>
      </c>
      <c r="G5918" s="1">
        <v>8.1</v>
      </c>
    </row>
    <row r="5919" spans="1:7" ht="14.25" hidden="1" customHeight="1" x14ac:dyDescent="0.45">
      <c r="A5919" t="str">
        <f>_xlfn.XLOOKUP(B5919,Ingot!$H$12:$H$119,Ingot!$G$12:$G$119,"")</f>
        <v>Stone</v>
      </c>
      <c r="B5919" t="s">
        <v>11726</v>
      </c>
      <c r="C5919" t="s">
        <v>157</v>
      </c>
      <c r="D5919" t="s">
        <v>11899</v>
      </c>
      <c r="E5919" t="s">
        <v>11900</v>
      </c>
      <c r="G5919" s="1">
        <v>5.27</v>
      </c>
    </row>
    <row r="5920" spans="1:7" ht="14.25" hidden="1" customHeight="1" x14ac:dyDescent="0.45">
      <c r="A5920" t="str">
        <f>_xlfn.XLOOKUP(B5920,Ingot!$H$12:$H$119,Ingot!$G$12:$G$119,"")</f>
        <v>Stone</v>
      </c>
      <c r="B5920" t="s">
        <v>11726</v>
      </c>
      <c r="C5920" t="s">
        <v>157</v>
      </c>
      <c r="D5920" t="s">
        <v>11901</v>
      </c>
      <c r="E5920" t="s">
        <v>11902</v>
      </c>
      <c r="G5920" s="1">
        <v>10.53</v>
      </c>
    </row>
    <row r="5921" spans="1:7" ht="14.25" hidden="1" customHeight="1" x14ac:dyDescent="0.45">
      <c r="A5921" t="str">
        <f>_xlfn.XLOOKUP(B5921,Ingot!$H$12:$H$119,Ingot!$G$12:$G$119,"")</f>
        <v>Stone</v>
      </c>
      <c r="B5921" t="s">
        <v>11726</v>
      </c>
      <c r="C5921" t="s">
        <v>157</v>
      </c>
      <c r="D5921" t="s">
        <v>11903</v>
      </c>
      <c r="E5921" t="s">
        <v>11904</v>
      </c>
      <c r="G5921" s="1">
        <v>42.5</v>
      </c>
    </row>
    <row r="5922" spans="1:7" ht="14.25" hidden="1" customHeight="1" x14ac:dyDescent="0.45">
      <c r="A5922" t="str">
        <f>_xlfn.XLOOKUP(B5922,Ingot!$H$12:$H$119,Ingot!$G$12:$G$119,"")</f>
        <v>Stone</v>
      </c>
      <c r="B5922" t="s">
        <v>11726</v>
      </c>
      <c r="C5922" t="s">
        <v>157</v>
      </c>
      <c r="D5922" t="s">
        <v>11905</v>
      </c>
      <c r="E5922" t="s">
        <v>11906</v>
      </c>
      <c r="G5922" s="1">
        <v>8.5</v>
      </c>
    </row>
    <row r="5923" spans="1:7" ht="14.25" hidden="1" customHeight="1" x14ac:dyDescent="0.45">
      <c r="A5923" t="str">
        <f>_xlfn.XLOOKUP(B5923,Ingot!$H$12:$H$119,Ingot!$G$12:$G$119,"")</f>
        <v>Stone</v>
      </c>
      <c r="B5923" t="s">
        <v>11726</v>
      </c>
      <c r="C5923" t="s">
        <v>157</v>
      </c>
      <c r="D5923" t="s">
        <v>11907</v>
      </c>
      <c r="E5923" t="s">
        <v>11908</v>
      </c>
      <c r="G5923" s="1">
        <v>8.5</v>
      </c>
    </row>
    <row r="5924" spans="1:7" ht="14.25" hidden="1" customHeight="1" x14ac:dyDescent="0.45">
      <c r="A5924" t="str">
        <f>_xlfn.XLOOKUP(B5924,Ingot!$H$12:$H$119,Ingot!$G$12:$G$119,"")</f>
        <v>Stone</v>
      </c>
      <c r="B5924" t="s">
        <v>11726</v>
      </c>
      <c r="C5924" t="s">
        <v>157</v>
      </c>
      <c r="D5924" t="s">
        <v>11909</v>
      </c>
      <c r="E5924" t="s">
        <v>11910</v>
      </c>
      <c r="G5924" s="1">
        <v>5.53</v>
      </c>
    </row>
    <row r="5925" spans="1:7" ht="14.25" hidden="1" customHeight="1" x14ac:dyDescent="0.45">
      <c r="A5925" t="str">
        <f>_xlfn.XLOOKUP(B5925,Ingot!$H$12:$H$119,Ingot!$G$12:$G$119,"")</f>
        <v>Stone</v>
      </c>
      <c r="B5925" t="s">
        <v>11726</v>
      </c>
      <c r="C5925" t="s">
        <v>157</v>
      </c>
      <c r="D5925" t="s">
        <v>11911</v>
      </c>
      <c r="E5925" t="s">
        <v>11912</v>
      </c>
      <c r="G5925" s="1">
        <v>11.05</v>
      </c>
    </row>
    <row r="5926" spans="1:7" ht="14.25" hidden="1" customHeight="1" x14ac:dyDescent="0.45">
      <c r="A5926" t="str">
        <f>_xlfn.XLOOKUP(B5926,Ingot!$H$12:$H$119,Ingot!$G$12:$G$119,"")</f>
        <v>Stone</v>
      </c>
      <c r="B5926" t="s">
        <v>11726</v>
      </c>
      <c r="C5926" t="s">
        <v>157</v>
      </c>
      <c r="D5926" t="s">
        <v>11913</v>
      </c>
      <c r="E5926" t="s">
        <v>11914</v>
      </c>
      <c r="G5926" s="1">
        <v>44</v>
      </c>
    </row>
    <row r="5927" spans="1:7" ht="14.25" hidden="1" customHeight="1" x14ac:dyDescent="0.45">
      <c r="A5927" t="str">
        <f>_xlfn.XLOOKUP(B5927,Ingot!$H$12:$H$119,Ingot!$G$12:$G$119,"")</f>
        <v>Stone</v>
      </c>
      <c r="B5927" t="s">
        <v>11726</v>
      </c>
      <c r="C5927" t="s">
        <v>157</v>
      </c>
      <c r="D5927" t="s">
        <v>11915</v>
      </c>
      <c r="E5927" t="s">
        <v>11916</v>
      </c>
      <c r="G5927" s="1">
        <v>8.8000000000000007</v>
      </c>
    </row>
    <row r="5928" spans="1:7" ht="14.25" hidden="1" customHeight="1" x14ac:dyDescent="0.45">
      <c r="A5928" t="str">
        <f>_xlfn.XLOOKUP(B5928,Ingot!$H$12:$H$119,Ingot!$G$12:$G$119,"")</f>
        <v>Stone</v>
      </c>
      <c r="B5928" t="s">
        <v>11726</v>
      </c>
      <c r="C5928" t="s">
        <v>157</v>
      </c>
      <c r="D5928" t="s">
        <v>11917</v>
      </c>
      <c r="E5928" t="s">
        <v>11918</v>
      </c>
      <c r="G5928" s="1">
        <v>8.8000000000000007</v>
      </c>
    </row>
    <row r="5929" spans="1:7" ht="14.25" hidden="1" customHeight="1" x14ac:dyDescent="0.45">
      <c r="A5929" t="str">
        <f>_xlfn.XLOOKUP(B5929,Ingot!$H$12:$H$119,Ingot!$G$12:$G$119,"")</f>
        <v>Stone</v>
      </c>
      <c r="B5929" t="s">
        <v>11726</v>
      </c>
      <c r="C5929" t="s">
        <v>157</v>
      </c>
      <c r="D5929" t="s">
        <v>11919</v>
      </c>
      <c r="E5929" t="s">
        <v>11920</v>
      </c>
      <c r="G5929" s="1">
        <v>5.72</v>
      </c>
    </row>
    <row r="5930" spans="1:7" ht="14.25" hidden="1" customHeight="1" x14ac:dyDescent="0.45">
      <c r="A5930" t="str">
        <f>_xlfn.XLOOKUP(B5930,Ingot!$H$12:$H$119,Ingot!$G$12:$G$119,"")</f>
        <v>Stone</v>
      </c>
      <c r="B5930" t="s">
        <v>11726</v>
      </c>
      <c r="C5930" t="s">
        <v>157</v>
      </c>
      <c r="D5930" t="s">
        <v>11921</v>
      </c>
      <c r="E5930" t="s">
        <v>11922</v>
      </c>
      <c r="G5930" s="1">
        <v>11.44</v>
      </c>
    </row>
    <row r="5931" spans="1:7" ht="14.25" hidden="1" customHeight="1" x14ac:dyDescent="0.45">
      <c r="A5931" t="str">
        <f>_xlfn.XLOOKUP(B5931,Ingot!$H$12:$H$119,Ingot!$G$12:$G$119,"")</f>
        <v>Stone</v>
      </c>
      <c r="B5931" t="s">
        <v>11726</v>
      </c>
      <c r="C5931" t="s">
        <v>157</v>
      </c>
      <c r="D5931" t="s">
        <v>11923</v>
      </c>
      <c r="E5931" t="s">
        <v>11924</v>
      </c>
      <c r="G5931" s="1">
        <v>48.5</v>
      </c>
    </row>
    <row r="5932" spans="1:7" ht="14.25" hidden="1" customHeight="1" x14ac:dyDescent="0.45">
      <c r="A5932" t="str">
        <f>_xlfn.XLOOKUP(B5932,Ingot!$H$12:$H$119,Ingot!$G$12:$G$119,"")</f>
        <v>Stone</v>
      </c>
      <c r="B5932" t="s">
        <v>11726</v>
      </c>
      <c r="C5932" t="s">
        <v>157</v>
      </c>
      <c r="D5932" t="s">
        <v>11925</v>
      </c>
      <c r="E5932" t="s">
        <v>11926</v>
      </c>
      <c r="G5932" s="1">
        <v>9.6999999999999993</v>
      </c>
    </row>
    <row r="5933" spans="1:7" ht="14.25" hidden="1" customHeight="1" x14ac:dyDescent="0.45">
      <c r="A5933" t="str">
        <f>_xlfn.XLOOKUP(B5933,Ingot!$H$12:$H$119,Ingot!$G$12:$G$119,"")</f>
        <v>Stone</v>
      </c>
      <c r="B5933" t="s">
        <v>11726</v>
      </c>
      <c r="C5933" t="s">
        <v>157</v>
      </c>
      <c r="D5933" t="s">
        <v>11927</v>
      </c>
      <c r="E5933" t="s">
        <v>11928</v>
      </c>
      <c r="G5933" s="1">
        <v>9.6999999999999993</v>
      </c>
    </row>
    <row r="5934" spans="1:7" ht="14.25" hidden="1" customHeight="1" x14ac:dyDescent="0.45">
      <c r="A5934" t="str">
        <f>_xlfn.XLOOKUP(B5934,Ingot!$H$12:$H$119,Ingot!$G$12:$G$119,"")</f>
        <v>Stone</v>
      </c>
      <c r="B5934" t="s">
        <v>11726</v>
      </c>
      <c r="C5934" t="s">
        <v>157</v>
      </c>
      <c r="D5934" t="s">
        <v>11929</v>
      </c>
      <c r="E5934" t="s">
        <v>11930</v>
      </c>
      <c r="G5934" s="1">
        <v>6.31</v>
      </c>
    </row>
    <row r="5935" spans="1:7" ht="14.25" hidden="1" customHeight="1" x14ac:dyDescent="0.45">
      <c r="A5935" t="str">
        <f>_xlfn.XLOOKUP(B5935,Ingot!$H$12:$H$119,Ingot!$G$12:$G$119,"")</f>
        <v>Stone</v>
      </c>
      <c r="B5935" t="s">
        <v>11726</v>
      </c>
      <c r="C5935" t="s">
        <v>157</v>
      </c>
      <c r="D5935" t="s">
        <v>11931</v>
      </c>
      <c r="E5935" t="s">
        <v>11932</v>
      </c>
      <c r="G5935" s="1">
        <v>12.61</v>
      </c>
    </row>
    <row r="5936" spans="1:7" ht="14.25" hidden="1" customHeight="1" x14ac:dyDescent="0.45">
      <c r="A5936" t="str">
        <f>_xlfn.XLOOKUP(B5936,Ingot!$H$12:$H$119,Ingot!$G$12:$G$119,"")</f>
        <v>Stone</v>
      </c>
      <c r="B5936" t="s">
        <v>11726</v>
      </c>
      <c r="C5936" t="s">
        <v>157</v>
      </c>
      <c r="D5936" t="s">
        <v>11933</v>
      </c>
      <c r="E5936" t="s">
        <v>11934</v>
      </c>
      <c r="G5936" s="1">
        <v>47</v>
      </c>
    </row>
    <row r="5937" spans="1:7" ht="14.25" hidden="1" customHeight="1" x14ac:dyDescent="0.45">
      <c r="A5937" t="str">
        <f>_xlfn.XLOOKUP(B5937,Ingot!$H$12:$H$119,Ingot!$G$12:$G$119,"")</f>
        <v>Stone</v>
      </c>
      <c r="B5937" t="s">
        <v>11726</v>
      </c>
      <c r="C5937" t="s">
        <v>157</v>
      </c>
      <c r="D5937" t="s">
        <v>11935</v>
      </c>
      <c r="E5937" t="s">
        <v>11936</v>
      </c>
      <c r="G5937" s="1">
        <v>9.4</v>
      </c>
    </row>
    <row r="5938" spans="1:7" ht="14.25" hidden="1" customHeight="1" x14ac:dyDescent="0.45">
      <c r="A5938" t="str">
        <f>_xlfn.XLOOKUP(B5938,Ingot!$H$12:$H$119,Ingot!$G$12:$G$119,"")</f>
        <v>Stone</v>
      </c>
      <c r="B5938" t="s">
        <v>11726</v>
      </c>
      <c r="C5938" t="s">
        <v>157</v>
      </c>
      <c r="D5938" t="s">
        <v>11937</v>
      </c>
      <c r="E5938" t="s">
        <v>11938</v>
      </c>
      <c r="G5938" s="1">
        <v>9.4</v>
      </c>
    </row>
    <row r="5939" spans="1:7" ht="14.25" hidden="1" customHeight="1" x14ac:dyDescent="0.45">
      <c r="A5939" t="str">
        <f>_xlfn.XLOOKUP(B5939,Ingot!$H$12:$H$119,Ingot!$G$12:$G$119,"")</f>
        <v>Stone</v>
      </c>
      <c r="B5939" t="s">
        <v>11726</v>
      </c>
      <c r="C5939" t="s">
        <v>157</v>
      </c>
      <c r="D5939" t="s">
        <v>11939</v>
      </c>
      <c r="E5939" t="s">
        <v>11940</v>
      </c>
      <c r="G5939" s="1">
        <v>6.11</v>
      </c>
    </row>
    <row r="5940" spans="1:7" ht="14.25" hidden="1" customHeight="1" x14ac:dyDescent="0.45">
      <c r="A5940" t="str">
        <f>_xlfn.XLOOKUP(B5940,Ingot!$H$12:$H$119,Ingot!$G$12:$G$119,"")</f>
        <v>Stone</v>
      </c>
      <c r="B5940" t="s">
        <v>11726</v>
      </c>
      <c r="C5940" t="s">
        <v>157</v>
      </c>
      <c r="D5940" t="s">
        <v>11941</v>
      </c>
      <c r="E5940" t="s">
        <v>11942</v>
      </c>
      <c r="G5940" s="1">
        <v>12.22</v>
      </c>
    </row>
    <row r="5941" spans="1:7" ht="14.25" hidden="1" customHeight="1" x14ac:dyDescent="0.45">
      <c r="A5941" t="str">
        <f>_xlfn.XLOOKUP(B5941,Ingot!$H$12:$H$119,Ingot!$G$12:$G$119,"")</f>
        <v>Stone</v>
      </c>
      <c r="B5941" t="s">
        <v>11726</v>
      </c>
      <c r="C5941" t="s">
        <v>157</v>
      </c>
      <c r="D5941" t="s">
        <v>11943</v>
      </c>
      <c r="E5941" t="s">
        <v>11944</v>
      </c>
      <c r="G5941" s="1">
        <v>39.5</v>
      </c>
    </row>
    <row r="5942" spans="1:7" ht="14.25" hidden="1" customHeight="1" x14ac:dyDescent="0.45">
      <c r="A5942" t="str">
        <f>_xlfn.XLOOKUP(B5942,Ingot!$H$12:$H$119,Ingot!$G$12:$G$119,"")</f>
        <v>Stone</v>
      </c>
      <c r="B5942" t="s">
        <v>11726</v>
      </c>
      <c r="C5942" t="s">
        <v>157</v>
      </c>
      <c r="D5942" t="s">
        <v>11945</v>
      </c>
      <c r="E5942" t="s">
        <v>11946</v>
      </c>
      <c r="G5942" s="1">
        <v>7.9</v>
      </c>
    </row>
    <row r="5943" spans="1:7" ht="14.25" hidden="1" customHeight="1" x14ac:dyDescent="0.45">
      <c r="A5943" t="str">
        <f>_xlfn.XLOOKUP(B5943,Ingot!$H$12:$H$119,Ingot!$G$12:$G$119,"")</f>
        <v>Stone</v>
      </c>
      <c r="B5943" t="s">
        <v>11726</v>
      </c>
      <c r="C5943" t="s">
        <v>157</v>
      </c>
      <c r="D5943" t="s">
        <v>11947</v>
      </c>
      <c r="E5943" t="s">
        <v>11948</v>
      </c>
      <c r="G5943" s="1">
        <v>7.9</v>
      </c>
    </row>
    <row r="5944" spans="1:7" ht="14.25" hidden="1" customHeight="1" x14ac:dyDescent="0.45">
      <c r="A5944" t="str">
        <f>_xlfn.XLOOKUP(B5944,Ingot!$H$12:$H$119,Ingot!$G$12:$G$119,"")</f>
        <v>Stone</v>
      </c>
      <c r="B5944" t="s">
        <v>11726</v>
      </c>
      <c r="C5944" t="s">
        <v>157</v>
      </c>
      <c r="D5944" t="s">
        <v>11949</v>
      </c>
      <c r="E5944" t="s">
        <v>11950</v>
      </c>
      <c r="G5944" s="1">
        <v>5.14</v>
      </c>
    </row>
    <row r="5945" spans="1:7" ht="14.25" hidden="1" customHeight="1" x14ac:dyDescent="0.45">
      <c r="A5945" t="str">
        <f>_xlfn.XLOOKUP(B5945,Ingot!$H$12:$H$119,Ingot!$G$12:$G$119,"")</f>
        <v>Stone</v>
      </c>
      <c r="B5945" t="s">
        <v>11726</v>
      </c>
      <c r="C5945" t="s">
        <v>157</v>
      </c>
      <c r="D5945" t="s">
        <v>11951</v>
      </c>
      <c r="E5945" t="s">
        <v>11952</v>
      </c>
      <c r="G5945" s="1">
        <v>10.27</v>
      </c>
    </row>
    <row r="5946" spans="1:7" ht="14.25" hidden="1" customHeight="1" x14ac:dyDescent="0.45">
      <c r="A5946" t="str">
        <f>_xlfn.XLOOKUP(B5946,Ingot!$H$12:$H$119,Ingot!$G$12:$G$119,"")</f>
        <v>Stone</v>
      </c>
      <c r="B5946" t="s">
        <v>11726</v>
      </c>
      <c r="C5946" t="s">
        <v>239</v>
      </c>
      <c r="D5946" t="s">
        <v>11953</v>
      </c>
      <c r="E5946" t="s">
        <v>11954</v>
      </c>
    </row>
    <row r="5947" spans="1:7" ht="14.25" hidden="1" customHeight="1" x14ac:dyDescent="0.45">
      <c r="A5947" t="str">
        <f>_xlfn.XLOOKUP(B5947,Ingot!$H$12:$H$119,Ingot!$G$12:$G$119,"")</f>
        <v>Stone</v>
      </c>
      <c r="B5947" t="s">
        <v>11726</v>
      </c>
      <c r="C5947" t="s">
        <v>239</v>
      </c>
      <c r="D5947" t="s">
        <v>11955</v>
      </c>
      <c r="E5947" t="s">
        <v>11956</v>
      </c>
    </row>
    <row r="5948" spans="1:7" ht="14.25" hidden="1" customHeight="1" x14ac:dyDescent="0.45">
      <c r="A5948" t="str">
        <f>_xlfn.XLOOKUP(B5948,Ingot!$H$12:$H$119,Ingot!$G$12:$G$119,"")</f>
        <v>Stone</v>
      </c>
      <c r="B5948" t="s">
        <v>11726</v>
      </c>
      <c r="C5948" t="s">
        <v>239</v>
      </c>
      <c r="D5948" t="s">
        <v>11957</v>
      </c>
      <c r="E5948" t="s">
        <v>11958</v>
      </c>
    </row>
    <row r="5949" spans="1:7" ht="14.25" hidden="1" customHeight="1" x14ac:dyDescent="0.45">
      <c r="A5949" t="str">
        <f>_xlfn.XLOOKUP(B5949,Ingot!$H$12:$H$119,Ingot!$G$12:$G$119,"")</f>
        <v>Stone</v>
      </c>
      <c r="B5949" t="s">
        <v>11726</v>
      </c>
      <c r="C5949" t="s">
        <v>239</v>
      </c>
      <c r="D5949" t="s">
        <v>11959</v>
      </c>
      <c r="E5949" t="s">
        <v>11960</v>
      </c>
    </row>
    <row r="5950" spans="1:7" ht="14.25" hidden="1" customHeight="1" x14ac:dyDescent="0.45">
      <c r="A5950" t="str">
        <f>_xlfn.XLOOKUP(B5950,Ingot!$H$12:$H$119,Ingot!$G$12:$G$119,"")</f>
        <v>Stone</v>
      </c>
      <c r="B5950" t="s">
        <v>11726</v>
      </c>
      <c r="C5950" t="s">
        <v>239</v>
      </c>
      <c r="D5950" t="s">
        <v>11961</v>
      </c>
      <c r="E5950" t="s">
        <v>11962</v>
      </c>
    </row>
    <row r="5951" spans="1:7" ht="14.25" hidden="1" customHeight="1" x14ac:dyDescent="0.45">
      <c r="A5951" t="str">
        <f>_xlfn.XLOOKUP(B5951,Ingot!$H$12:$H$119,Ingot!$G$12:$G$119,"")</f>
        <v>Stone</v>
      </c>
      <c r="B5951" t="s">
        <v>11726</v>
      </c>
      <c r="C5951" t="s">
        <v>239</v>
      </c>
      <c r="D5951" t="s">
        <v>11963</v>
      </c>
      <c r="E5951" t="s">
        <v>11964</v>
      </c>
    </row>
    <row r="5952" spans="1:7" ht="14.25" hidden="1" customHeight="1" x14ac:dyDescent="0.45">
      <c r="A5952" t="str">
        <f>_xlfn.XLOOKUP(B5952,Ingot!$H$12:$H$119,Ingot!$G$12:$G$119,"")</f>
        <v>Stone</v>
      </c>
      <c r="B5952" t="s">
        <v>11965</v>
      </c>
      <c r="C5952" t="s">
        <v>10</v>
      </c>
      <c r="D5952" t="s">
        <v>11966</v>
      </c>
      <c r="E5952" t="s">
        <v>11967</v>
      </c>
      <c r="G5952" s="1">
        <v>0.08</v>
      </c>
    </row>
    <row r="5953" spans="1:7" ht="14.25" hidden="1" customHeight="1" x14ac:dyDescent="0.45">
      <c r="A5953" t="str">
        <f>_xlfn.XLOOKUP(B5953,Ingot!$H$12:$H$119,Ingot!$G$12:$G$119,"")</f>
        <v>Stone</v>
      </c>
      <c r="B5953" t="s">
        <v>11965</v>
      </c>
      <c r="C5953" t="s">
        <v>10</v>
      </c>
      <c r="D5953" t="s">
        <v>11968</v>
      </c>
      <c r="E5953" t="s">
        <v>11969</v>
      </c>
      <c r="G5953" s="1">
        <v>9.9</v>
      </c>
    </row>
    <row r="5954" spans="1:7" ht="14.25" hidden="1" customHeight="1" x14ac:dyDescent="0.45">
      <c r="A5954" t="str">
        <f>_xlfn.XLOOKUP(B5954,Ingot!$H$12:$H$119,Ingot!$G$12:$G$119,"")</f>
        <v>Stone</v>
      </c>
      <c r="B5954" t="s">
        <v>11965</v>
      </c>
      <c r="C5954" t="s">
        <v>10</v>
      </c>
      <c r="D5954" t="s">
        <v>11970</v>
      </c>
      <c r="E5954" t="s">
        <v>11971</v>
      </c>
      <c r="G5954" s="1">
        <v>5.66</v>
      </c>
    </row>
    <row r="5955" spans="1:7" ht="14.25" hidden="1" customHeight="1" x14ac:dyDescent="0.45">
      <c r="A5955" t="str">
        <f>_xlfn.XLOOKUP(B5955,Ingot!$H$12:$H$119,Ingot!$G$12:$G$119,"")</f>
        <v>Stone</v>
      </c>
      <c r="B5955" t="s">
        <v>11965</v>
      </c>
      <c r="C5955" t="s">
        <v>10</v>
      </c>
      <c r="D5955" t="s">
        <v>11972</v>
      </c>
      <c r="E5955" t="s">
        <v>11973</v>
      </c>
      <c r="G5955" s="1">
        <v>3.3</v>
      </c>
    </row>
    <row r="5956" spans="1:7" ht="14.25" hidden="1" customHeight="1" x14ac:dyDescent="0.45">
      <c r="A5956" t="str">
        <f>_xlfn.XLOOKUP(B5956,Ingot!$H$12:$H$119,Ingot!$G$12:$G$119,"")</f>
        <v>Stone</v>
      </c>
      <c r="B5956" t="s">
        <v>11965</v>
      </c>
      <c r="C5956" t="s">
        <v>10</v>
      </c>
      <c r="D5956" t="s">
        <v>11974</v>
      </c>
      <c r="E5956" t="s">
        <v>11975</v>
      </c>
      <c r="G5956" s="1">
        <v>0.66</v>
      </c>
    </row>
    <row r="5957" spans="1:7" ht="14.25" hidden="1" customHeight="1" x14ac:dyDescent="0.45">
      <c r="A5957" t="str">
        <f>_xlfn.XLOOKUP(B5957,Ingot!$H$12:$H$119,Ingot!$G$12:$G$119,"")</f>
        <v>Stone</v>
      </c>
      <c r="B5957" t="s">
        <v>11965</v>
      </c>
      <c r="C5957" t="s">
        <v>10</v>
      </c>
      <c r="D5957" t="s">
        <v>11976</v>
      </c>
      <c r="E5957" t="s">
        <v>11977</v>
      </c>
      <c r="G5957" s="1">
        <v>0.04</v>
      </c>
    </row>
    <row r="5958" spans="1:7" ht="14.25" hidden="1" customHeight="1" x14ac:dyDescent="0.45">
      <c r="A5958" t="str">
        <f>_xlfn.XLOOKUP(B5958,Ingot!$H$12:$H$119,Ingot!$G$12:$G$119,"")</f>
        <v>Stone</v>
      </c>
      <c r="B5958" t="s">
        <v>11965</v>
      </c>
      <c r="C5958" t="s">
        <v>10</v>
      </c>
      <c r="D5958" t="s">
        <v>11978</v>
      </c>
      <c r="E5958" t="s">
        <v>11979</v>
      </c>
      <c r="G5958" s="1">
        <v>0.33</v>
      </c>
    </row>
    <row r="5959" spans="1:7" ht="14.25" hidden="1" customHeight="1" x14ac:dyDescent="0.45">
      <c r="A5959" t="str">
        <f>_xlfn.XLOOKUP(B5959,Ingot!$H$12:$H$119,Ingot!$G$12:$G$119,"")</f>
        <v>Stone</v>
      </c>
      <c r="B5959" t="s">
        <v>11965</v>
      </c>
      <c r="C5959" t="s">
        <v>10</v>
      </c>
      <c r="D5959" t="s">
        <v>11980</v>
      </c>
      <c r="E5959" t="s">
        <v>11981</v>
      </c>
    </row>
    <row r="5960" spans="1:7" ht="14.25" hidden="1" customHeight="1" x14ac:dyDescent="0.45">
      <c r="A5960" t="str">
        <f>_xlfn.XLOOKUP(B5960,Ingot!$H$12:$H$119,Ingot!$G$12:$G$119,"")</f>
        <v>Stone</v>
      </c>
      <c r="B5960" t="s">
        <v>11965</v>
      </c>
      <c r="C5960" t="s">
        <v>10</v>
      </c>
      <c r="D5960" t="s">
        <v>11982</v>
      </c>
      <c r="E5960" t="s">
        <v>11983</v>
      </c>
      <c r="G5960" s="1">
        <v>0.05</v>
      </c>
    </row>
    <row r="5961" spans="1:7" ht="14.25" hidden="1" customHeight="1" x14ac:dyDescent="0.45">
      <c r="A5961" t="str">
        <f>_xlfn.XLOOKUP(B5961,Ingot!$H$12:$H$119,Ingot!$G$12:$G$119,"")</f>
        <v>Stone</v>
      </c>
      <c r="B5961" t="s">
        <v>11965</v>
      </c>
      <c r="C5961" t="s">
        <v>10</v>
      </c>
      <c r="D5961" t="s">
        <v>11984</v>
      </c>
      <c r="E5961" t="s">
        <v>11985</v>
      </c>
      <c r="G5961" s="1">
        <v>0.66</v>
      </c>
    </row>
    <row r="5962" spans="1:7" ht="14.25" hidden="1" customHeight="1" x14ac:dyDescent="0.45">
      <c r="A5962" t="str">
        <f>_xlfn.XLOOKUP(B5962,Ingot!$H$12:$H$119,Ingot!$G$12:$G$119,"")</f>
        <v>Stone</v>
      </c>
      <c r="B5962" t="s">
        <v>11965</v>
      </c>
      <c r="C5962" t="s">
        <v>10</v>
      </c>
      <c r="D5962" t="s">
        <v>11986</v>
      </c>
      <c r="E5962" t="s">
        <v>11987</v>
      </c>
      <c r="G5962" s="1">
        <v>3.96</v>
      </c>
    </row>
    <row r="5963" spans="1:7" ht="14.25" hidden="1" customHeight="1" x14ac:dyDescent="0.45">
      <c r="A5963" t="str">
        <f>_xlfn.XLOOKUP(B5963,Ingot!$H$12:$H$119,Ingot!$G$12:$G$119,"")</f>
        <v>Stone</v>
      </c>
      <c r="B5963" t="s">
        <v>11965</v>
      </c>
      <c r="C5963" t="s">
        <v>10</v>
      </c>
      <c r="D5963" t="s">
        <v>11988</v>
      </c>
      <c r="E5963" t="s">
        <v>11989</v>
      </c>
      <c r="G5963" s="1">
        <v>8.77</v>
      </c>
    </row>
    <row r="5964" spans="1:7" ht="14.25" hidden="1" customHeight="1" x14ac:dyDescent="0.45">
      <c r="A5964" t="str">
        <f>_xlfn.XLOOKUP(B5964,Ingot!$H$12:$H$119,Ingot!$G$12:$G$119,"")</f>
        <v>Stone</v>
      </c>
      <c r="B5964" t="s">
        <v>11965</v>
      </c>
      <c r="C5964" t="s">
        <v>10</v>
      </c>
      <c r="D5964" t="s">
        <v>11990</v>
      </c>
      <c r="E5964" t="s">
        <v>11991</v>
      </c>
      <c r="G5964" s="1">
        <v>3.5</v>
      </c>
    </row>
    <row r="5965" spans="1:7" ht="14.25" hidden="1" customHeight="1" x14ac:dyDescent="0.45">
      <c r="A5965" t="str">
        <f>_xlfn.XLOOKUP(B5965,Ingot!$H$12:$H$119,Ingot!$G$12:$G$119,"")</f>
        <v>Stone</v>
      </c>
      <c r="B5965" t="s">
        <v>11965</v>
      </c>
      <c r="C5965" t="s">
        <v>10</v>
      </c>
      <c r="D5965" t="s">
        <v>11992</v>
      </c>
      <c r="E5965" t="s">
        <v>11993</v>
      </c>
    </row>
    <row r="5966" spans="1:7" ht="14.25" hidden="1" customHeight="1" x14ac:dyDescent="0.45">
      <c r="A5966" t="str">
        <f>_xlfn.XLOOKUP(B5966,Ingot!$H$12:$H$119,Ingot!$G$12:$G$119,"")</f>
        <v>Stone</v>
      </c>
      <c r="B5966" t="s">
        <v>11965</v>
      </c>
      <c r="C5966" t="s">
        <v>10</v>
      </c>
      <c r="D5966" t="s">
        <v>11994</v>
      </c>
      <c r="E5966" t="s">
        <v>11995</v>
      </c>
      <c r="G5966" s="1">
        <v>2.2000000000000002</v>
      </c>
    </row>
    <row r="5967" spans="1:7" ht="14.25" hidden="1" customHeight="1" x14ac:dyDescent="0.45">
      <c r="A5967" t="str">
        <f>_xlfn.XLOOKUP(B5967,Ingot!$H$12:$H$119,Ingot!$G$12:$G$119,"")</f>
        <v>Stone</v>
      </c>
      <c r="B5967" t="s">
        <v>11965</v>
      </c>
      <c r="C5967" t="s">
        <v>10</v>
      </c>
      <c r="D5967" t="s">
        <v>11996</v>
      </c>
      <c r="E5967" t="s">
        <v>11997</v>
      </c>
      <c r="G5967" s="1">
        <v>1.1000000000000001</v>
      </c>
    </row>
    <row r="5968" spans="1:7" ht="14.25" hidden="1" customHeight="1" x14ac:dyDescent="0.45">
      <c r="A5968" t="str">
        <f>_xlfn.XLOOKUP(B5968,Ingot!$H$12:$H$119,Ingot!$G$12:$G$119,"")</f>
        <v>Stone</v>
      </c>
      <c r="B5968" t="s">
        <v>11965</v>
      </c>
      <c r="C5968" t="s">
        <v>10</v>
      </c>
      <c r="D5968" t="s">
        <v>11998</v>
      </c>
      <c r="E5968" t="s">
        <v>11999</v>
      </c>
      <c r="G5968" s="1">
        <v>0.22</v>
      </c>
    </row>
    <row r="5969" spans="1:7" ht="14.25" hidden="1" customHeight="1" x14ac:dyDescent="0.45">
      <c r="A5969" t="str">
        <f>_xlfn.XLOOKUP(B5969,Ingot!$H$12:$H$119,Ingot!$G$12:$G$119,"")</f>
        <v>Stone</v>
      </c>
      <c r="B5969" t="s">
        <v>11965</v>
      </c>
      <c r="C5969" t="s">
        <v>10</v>
      </c>
      <c r="D5969" t="s">
        <v>12000</v>
      </c>
      <c r="E5969" t="s">
        <v>12001</v>
      </c>
      <c r="G5969" s="1">
        <v>8.41</v>
      </c>
    </row>
    <row r="5970" spans="1:7" ht="14.25" hidden="1" customHeight="1" x14ac:dyDescent="0.45">
      <c r="A5970" t="str">
        <f>_xlfn.XLOOKUP(B5970,Ingot!$H$12:$H$119,Ingot!$G$12:$G$119,"")</f>
        <v>Stone</v>
      </c>
      <c r="B5970" t="s">
        <v>11965</v>
      </c>
      <c r="C5970" t="s">
        <v>10</v>
      </c>
      <c r="D5970" t="s">
        <v>12002</v>
      </c>
      <c r="E5970" t="s">
        <v>12003</v>
      </c>
      <c r="G5970" s="1">
        <v>3.64</v>
      </c>
    </row>
    <row r="5971" spans="1:7" ht="14.25" hidden="1" customHeight="1" x14ac:dyDescent="0.45">
      <c r="A5971" t="str">
        <f>_xlfn.XLOOKUP(B5971,Ingot!$H$12:$H$119,Ingot!$G$12:$G$119,"")</f>
        <v>Stone</v>
      </c>
      <c r="B5971" t="s">
        <v>11965</v>
      </c>
      <c r="C5971" t="s">
        <v>10</v>
      </c>
      <c r="D5971" t="s">
        <v>12004</v>
      </c>
      <c r="E5971" t="s">
        <v>12005</v>
      </c>
      <c r="G5971" s="1">
        <v>7.05</v>
      </c>
    </row>
    <row r="5972" spans="1:7" ht="14.25" hidden="1" customHeight="1" x14ac:dyDescent="0.45">
      <c r="A5972" t="str">
        <f>_xlfn.XLOOKUP(B5972,Ingot!$H$12:$H$119,Ingot!$G$12:$G$119,"")</f>
        <v>Stone</v>
      </c>
      <c r="B5972" t="s">
        <v>11965</v>
      </c>
      <c r="C5972" t="s">
        <v>10</v>
      </c>
      <c r="D5972" t="s">
        <v>12006</v>
      </c>
      <c r="E5972" t="s">
        <v>12007</v>
      </c>
      <c r="G5972" s="1">
        <v>2.65</v>
      </c>
    </row>
    <row r="5973" spans="1:7" ht="14.25" hidden="1" customHeight="1" x14ac:dyDescent="0.45">
      <c r="A5973" t="str">
        <f>_xlfn.XLOOKUP(B5973,Ingot!$H$12:$H$119,Ingot!$G$12:$G$119,"")</f>
        <v>Stone</v>
      </c>
      <c r="B5973" t="s">
        <v>11965</v>
      </c>
      <c r="C5973" t="s">
        <v>10</v>
      </c>
      <c r="D5973" t="s">
        <v>12008</v>
      </c>
      <c r="E5973" t="s">
        <v>12009</v>
      </c>
      <c r="G5973" s="1">
        <v>9</v>
      </c>
    </row>
    <row r="5974" spans="1:7" ht="14.25" hidden="1" customHeight="1" x14ac:dyDescent="0.45">
      <c r="A5974" t="str">
        <f>_xlfn.XLOOKUP(B5974,Ingot!$H$12:$H$119,Ingot!$G$12:$G$119,"")</f>
        <v>Stone</v>
      </c>
      <c r="B5974" t="s">
        <v>11965</v>
      </c>
      <c r="C5974" t="s">
        <v>10</v>
      </c>
      <c r="D5974" t="s">
        <v>12010</v>
      </c>
      <c r="E5974" t="s">
        <v>12011</v>
      </c>
      <c r="G5974" s="1">
        <v>10.23</v>
      </c>
    </row>
    <row r="5975" spans="1:7" ht="14.25" hidden="1" customHeight="1" x14ac:dyDescent="0.45">
      <c r="A5975" t="str">
        <f>_xlfn.XLOOKUP(B5975,Ingot!$H$12:$H$119,Ingot!$G$12:$G$119,"")</f>
        <v>Stone</v>
      </c>
      <c r="B5975" t="s">
        <v>11965</v>
      </c>
      <c r="C5975" t="s">
        <v>10</v>
      </c>
      <c r="D5975" t="s">
        <v>12012</v>
      </c>
      <c r="E5975" t="s">
        <v>12013</v>
      </c>
      <c r="G5975" s="1">
        <v>7.7</v>
      </c>
    </row>
    <row r="5976" spans="1:7" ht="14.25" hidden="1" customHeight="1" x14ac:dyDescent="0.45">
      <c r="A5976" t="str">
        <f>_xlfn.XLOOKUP(B5976,Ingot!$H$12:$H$119,Ingot!$G$12:$G$119,"")</f>
        <v>Stone</v>
      </c>
      <c r="B5976" t="s">
        <v>11965</v>
      </c>
      <c r="C5976" t="s">
        <v>10</v>
      </c>
      <c r="D5976" t="s">
        <v>12014</v>
      </c>
      <c r="E5976" t="s">
        <v>12015</v>
      </c>
      <c r="G5976" s="1">
        <v>10.02</v>
      </c>
    </row>
    <row r="5977" spans="1:7" ht="14.25" hidden="1" customHeight="1" x14ac:dyDescent="0.45">
      <c r="A5977" t="str">
        <f>_xlfn.XLOOKUP(B5977,Ingot!$H$12:$H$119,Ingot!$G$12:$G$119,"")</f>
        <v>Stone</v>
      </c>
      <c r="B5977" t="s">
        <v>11965</v>
      </c>
      <c r="C5977" t="s">
        <v>10</v>
      </c>
      <c r="D5977" t="s">
        <v>12016</v>
      </c>
      <c r="E5977" t="s">
        <v>12017</v>
      </c>
      <c r="G5977" s="1">
        <v>11.81</v>
      </c>
    </row>
    <row r="5978" spans="1:7" ht="14.25" hidden="1" customHeight="1" x14ac:dyDescent="0.45">
      <c r="A5978" t="str">
        <f>_xlfn.XLOOKUP(B5978,Ingot!$H$12:$H$119,Ingot!$G$12:$G$119,"")</f>
        <v>Stone</v>
      </c>
      <c r="B5978" t="s">
        <v>11965</v>
      </c>
      <c r="C5978" t="s">
        <v>10</v>
      </c>
      <c r="D5978" t="s">
        <v>12018</v>
      </c>
      <c r="E5978" t="s">
        <v>12019</v>
      </c>
      <c r="G5978" s="1">
        <v>8.44</v>
      </c>
    </row>
    <row r="5979" spans="1:7" ht="14.25" hidden="1" customHeight="1" x14ac:dyDescent="0.45">
      <c r="A5979" t="str">
        <f>_xlfn.XLOOKUP(B5979,Ingot!$H$12:$H$119,Ingot!$G$12:$G$119,"")</f>
        <v>Stone</v>
      </c>
      <c r="B5979" t="s">
        <v>11965</v>
      </c>
      <c r="C5979" t="s">
        <v>10</v>
      </c>
      <c r="D5979" t="s">
        <v>12020</v>
      </c>
      <c r="E5979" t="s">
        <v>12021</v>
      </c>
      <c r="G5979" s="1">
        <v>10.42</v>
      </c>
    </row>
    <row r="5980" spans="1:7" ht="14.25" hidden="1" customHeight="1" x14ac:dyDescent="0.45">
      <c r="A5980" t="str">
        <f>_xlfn.XLOOKUP(B5980,Ingot!$H$12:$H$119,Ingot!$G$12:$G$119,"")</f>
        <v>Stone</v>
      </c>
      <c r="B5980" t="s">
        <v>11965</v>
      </c>
      <c r="C5980" t="s">
        <v>10</v>
      </c>
      <c r="D5980" t="s">
        <v>12022</v>
      </c>
      <c r="E5980" t="s">
        <v>12023</v>
      </c>
    </row>
    <row r="5981" spans="1:7" ht="14.25" hidden="1" customHeight="1" x14ac:dyDescent="0.45">
      <c r="A5981" t="str">
        <f>_xlfn.XLOOKUP(B5981,Ingot!$H$12:$H$119,Ingot!$G$12:$G$119,"")</f>
        <v>Stone</v>
      </c>
      <c r="B5981" t="s">
        <v>11965</v>
      </c>
      <c r="C5981" t="s">
        <v>10</v>
      </c>
      <c r="D5981" t="s">
        <v>12024</v>
      </c>
      <c r="E5981" t="s">
        <v>12025</v>
      </c>
      <c r="G5981" s="1">
        <v>7.96</v>
      </c>
    </row>
    <row r="5982" spans="1:7" ht="14.25" hidden="1" customHeight="1" x14ac:dyDescent="0.45">
      <c r="A5982" t="str">
        <f>_xlfn.XLOOKUP(B5982,Ingot!$H$12:$H$119,Ingot!$G$12:$G$119,"")</f>
        <v>Stone</v>
      </c>
      <c r="B5982" t="s">
        <v>11965</v>
      </c>
      <c r="C5982" t="s">
        <v>10</v>
      </c>
      <c r="D5982" t="s">
        <v>12026</v>
      </c>
      <c r="E5982" t="s">
        <v>12027</v>
      </c>
      <c r="G5982" s="1">
        <v>9.64</v>
      </c>
    </row>
    <row r="5983" spans="1:7" ht="14.25" hidden="1" customHeight="1" x14ac:dyDescent="0.45">
      <c r="A5983" t="str">
        <f>_xlfn.XLOOKUP(B5983,Ingot!$H$12:$H$119,Ingot!$G$12:$G$119,"")</f>
        <v>Stone</v>
      </c>
      <c r="B5983" t="s">
        <v>11965</v>
      </c>
      <c r="C5983" t="s">
        <v>10</v>
      </c>
      <c r="D5983" t="s">
        <v>12028</v>
      </c>
      <c r="E5983" t="s">
        <v>12029</v>
      </c>
      <c r="G5983" s="1">
        <v>7.94</v>
      </c>
    </row>
    <row r="5984" spans="1:7" ht="14.25" hidden="1" customHeight="1" x14ac:dyDescent="0.45">
      <c r="A5984" t="str">
        <f>_xlfn.XLOOKUP(B5984,Ingot!$H$12:$H$119,Ingot!$G$12:$G$119,"")</f>
        <v>Stone</v>
      </c>
      <c r="B5984" t="s">
        <v>11965</v>
      </c>
      <c r="C5984" t="s">
        <v>10</v>
      </c>
      <c r="D5984" t="s">
        <v>12030</v>
      </c>
      <c r="E5984" t="s">
        <v>12031</v>
      </c>
      <c r="G5984" s="1">
        <v>8.66</v>
      </c>
    </row>
    <row r="5985" spans="1:7" ht="14.25" hidden="1" customHeight="1" x14ac:dyDescent="0.45">
      <c r="A5985" t="str">
        <f>_xlfn.XLOOKUP(B5985,Ingot!$H$12:$H$119,Ingot!$G$12:$G$119,"")</f>
        <v>Stone</v>
      </c>
      <c r="B5985" t="s">
        <v>11965</v>
      </c>
      <c r="C5985" t="s">
        <v>10</v>
      </c>
      <c r="D5985" t="s">
        <v>12032</v>
      </c>
      <c r="E5985" t="s">
        <v>12033</v>
      </c>
    </row>
    <row r="5986" spans="1:7" ht="14.25" hidden="1" customHeight="1" x14ac:dyDescent="0.45">
      <c r="A5986" t="str">
        <f>_xlfn.XLOOKUP(B5986,Ingot!$H$12:$H$119,Ingot!$G$12:$G$119,"")</f>
        <v>Stone</v>
      </c>
      <c r="B5986" t="s">
        <v>11965</v>
      </c>
      <c r="C5986" t="s">
        <v>10</v>
      </c>
      <c r="D5986" t="s">
        <v>12034</v>
      </c>
      <c r="E5986" t="s">
        <v>12035</v>
      </c>
      <c r="G5986" s="1">
        <v>2.65</v>
      </c>
    </row>
    <row r="5987" spans="1:7" ht="14.25" hidden="1" customHeight="1" x14ac:dyDescent="0.45">
      <c r="A5987" t="str">
        <f>_xlfn.XLOOKUP(B5987,Ingot!$H$12:$H$119,Ingot!$G$12:$G$119,"")</f>
        <v>Stone</v>
      </c>
      <c r="B5987" t="s">
        <v>11965</v>
      </c>
      <c r="C5987" t="s">
        <v>10</v>
      </c>
      <c r="D5987" t="s">
        <v>12036</v>
      </c>
      <c r="E5987" t="s">
        <v>12037</v>
      </c>
    </row>
    <row r="5988" spans="1:7" ht="14.25" hidden="1" customHeight="1" x14ac:dyDescent="0.45">
      <c r="A5988" t="str">
        <f>_xlfn.XLOOKUP(B5988,Ingot!$H$12:$H$119,Ingot!$G$12:$G$119,"")</f>
        <v>Stone</v>
      </c>
      <c r="B5988" t="s">
        <v>11965</v>
      </c>
      <c r="C5988" t="s">
        <v>10</v>
      </c>
      <c r="D5988" t="s">
        <v>12038</v>
      </c>
      <c r="E5988" t="s">
        <v>12039</v>
      </c>
      <c r="G5988" s="1">
        <v>12.64</v>
      </c>
    </row>
    <row r="5989" spans="1:7" ht="14.25" hidden="1" customHeight="1" x14ac:dyDescent="0.45">
      <c r="A5989" t="str">
        <f>_xlfn.XLOOKUP(B5989,Ingot!$H$12:$H$119,Ingot!$G$12:$G$119,"")</f>
        <v>Stone</v>
      </c>
      <c r="B5989" t="s">
        <v>11965</v>
      </c>
      <c r="C5989" t="s">
        <v>10</v>
      </c>
      <c r="D5989" t="s">
        <v>12040</v>
      </c>
      <c r="E5989" t="s">
        <v>12041</v>
      </c>
      <c r="G5989" s="1">
        <v>22.67</v>
      </c>
    </row>
    <row r="5990" spans="1:7" ht="14.25" hidden="1" customHeight="1" x14ac:dyDescent="0.45">
      <c r="A5990" t="str">
        <f>_xlfn.XLOOKUP(B5990,Ingot!$H$12:$H$119,Ingot!$G$12:$G$119,"")</f>
        <v>Stone</v>
      </c>
      <c r="B5990" t="s">
        <v>11965</v>
      </c>
      <c r="C5990" t="s">
        <v>10</v>
      </c>
      <c r="D5990" t="s">
        <v>12042</v>
      </c>
      <c r="E5990" t="s">
        <v>12043</v>
      </c>
      <c r="G5990" s="1">
        <v>8.3800000000000008</v>
      </c>
    </row>
    <row r="5991" spans="1:7" ht="14.25" hidden="1" customHeight="1" x14ac:dyDescent="0.45">
      <c r="A5991" t="str">
        <f>_xlfn.XLOOKUP(B5991,Ingot!$H$12:$H$119,Ingot!$G$12:$G$119,"")</f>
        <v>Stone</v>
      </c>
      <c r="B5991" t="s">
        <v>11965</v>
      </c>
      <c r="C5991" t="s">
        <v>10</v>
      </c>
      <c r="D5991" t="s">
        <v>12044</v>
      </c>
      <c r="E5991" t="s">
        <v>12045</v>
      </c>
      <c r="G5991" s="1">
        <v>2.2000000000000002</v>
      </c>
    </row>
    <row r="5992" spans="1:7" ht="14.25" hidden="1" customHeight="1" x14ac:dyDescent="0.45">
      <c r="A5992" t="str">
        <f>_xlfn.XLOOKUP(B5992,Ingot!$H$12:$H$119,Ingot!$G$12:$G$119,"")</f>
        <v>Stone</v>
      </c>
      <c r="B5992" t="s">
        <v>11965</v>
      </c>
      <c r="C5992" t="s">
        <v>10</v>
      </c>
      <c r="D5992" t="s">
        <v>12046</v>
      </c>
      <c r="E5992" t="s">
        <v>12047</v>
      </c>
      <c r="G5992" s="1">
        <v>3.09</v>
      </c>
    </row>
    <row r="5993" spans="1:7" ht="14.25" hidden="1" customHeight="1" x14ac:dyDescent="0.45">
      <c r="A5993" t="str">
        <f>_xlfn.XLOOKUP(B5993,Ingot!$H$12:$H$119,Ingot!$G$12:$G$119,"")</f>
        <v>Stone</v>
      </c>
      <c r="B5993" t="s">
        <v>11965</v>
      </c>
      <c r="C5993" t="s">
        <v>10</v>
      </c>
      <c r="D5993" t="s">
        <v>12048</v>
      </c>
      <c r="E5993" t="s">
        <v>12049</v>
      </c>
      <c r="G5993" s="1">
        <v>2.2999999999999998</v>
      </c>
    </row>
    <row r="5994" spans="1:7" ht="14.25" hidden="1" customHeight="1" x14ac:dyDescent="0.45">
      <c r="A5994" t="str">
        <f>_xlfn.XLOOKUP(B5994,Ingot!$H$12:$H$119,Ingot!$G$12:$G$119,"")</f>
        <v>Stone</v>
      </c>
      <c r="B5994" t="s">
        <v>11965</v>
      </c>
      <c r="C5994" t="s">
        <v>10</v>
      </c>
      <c r="D5994" t="s">
        <v>12050</v>
      </c>
      <c r="E5994" t="s">
        <v>12051</v>
      </c>
      <c r="G5994" s="1">
        <v>4.88</v>
      </c>
    </row>
    <row r="5995" spans="1:7" ht="14.25" hidden="1" customHeight="1" x14ac:dyDescent="0.45">
      <c r="A5995" t="str">
        <f>_xlfn.XLOOKUP(B5995,Ingot!$H$12:$H$119,Ingot!$G$12:$G$119,"")</f>
        <v>Stone</v>
      </c>
      <c r="B5995" t="s">
        <v>11965</v>
      </c>
      <c r="C5995" t="s">
        <v>10</v>
      </c>
      <c r="D5995" t="s">
        <v>12052</v>
      </c>
      <c r="E5995" t="s">
        <v>12053</v>
      </c>
      <c r="G5995" s="1">
        <v>8.43</v>
      </c>
    </row>
    <row r="5996" spans="1:7" ht="14.25" hidden="1" customHeight="1" x14ac:dyDescent="0.45">
      <c r="A5996" t="str">
        <f>_xlfn.XLOOKUP(B5996,Ingot!$H$12:$H$119,Ingot!$G$12:$G$119,"")</f>
        <v>Stone</v>
      </c>
      <c r="B5996" t="s">
        <v>11965</v>
      </c>
      <c r="C5996" t="s">
        <v>10</v>
      </c>
      <c r="D5996" t="s">
        <v>12054</v>
      </c>
      <c r="E5996" t="s">
        <v>12055</v>
      </c>
      <c r="G5996" s="1">
        <v>13.07</v>
      </c>
    </row>
    <row r="5997" spans="1:7" ht="14.25" hidden="1" customHeight="1" x14ac:dyDescent="0.45">
      <c r="A5997" t="str">
        <f>_xlfn.XLOOKUP(B5997,Ingot!$H$12:$H$119,Ingot!$G$12:$G$119,"")</f>
        <v>Stone</v>
      </c>
      <c r="B5997" t="s">
        <v>11965</v>
      </c>
      <c r="C5997" t="s">
        <v>10</v>
      </c>
      <c r="D5997" t="s">
        <v>12056</v>
      </c>
      <c r="E5997" t="s">
        <v>12057</v>
      </c>
    </row>
    <row r="5998" spans="1:7" ht="14.25" hidden="1" customHeight="1" x14ac:dyDescent="0.45">
      <c r="A5998" t="str">
        <f>_xlfn.XLOOKUP(B5998,Ingot!$H$12:$H$119,Ingot!$G$12:$G$119,"")</f>
        <v>Stone</v>
      </c>
      <c r="B5998" t="s">
        <v>11965</v>
      </c>
      <c r="C5998" t="s">
        <v>10</v>
      </c>
      <c r="D5998" t="s">
        <v>12058</v>
      </c>
      <c r="E5998" t="s">
        <v>12059</v>
      </c>
    </row>
    <row r="5999" spans="1:7" ht="14.25" hidden="1" customHeight="1" x14ac:dyDescent="0.45">
      <c r="A5999" t="str">
        <f>_xlfn.XLOOKUP(B5999,Ingot!$H$12:$H$119,Ingot!$G$12:$G$119,"")</f>
        <v>Stone</v>
      </c>
      <c r="B5999" t="s">
        <v>11965</v>
      </c>
      <c r="C5999" t="s">
        <v>10</v>
      </c>
      <c r="D5999" t="s">
        <v>12060</v>
      </c>
      <c r="E5999" t="s">
        <v>12061</v>
      </c>
      <c r="G5999" s="1">
        <v>6.8</v>
      </c>
    </row>
    <row r="6000" spans="1:7" ht="14.25" hidden="1" customHeight="1" x14ac:dyDescent="0.45">
      <c r="A6000" t="str">
        <f>_xlfn.XLOOKUP(B6000,Ingot!$H$12:$H$119,Ingot!$G$12:$G$119,"")</f>
        <v>Stone</v>
      </c>
      <c r="B6000" t="s">
        <v>11965</v>
      </c>
      <c r="C6000" t="s">
        <v>10</v>
      </c>
      <c r="D6000" t="s">
        <v>12062</v>
      </c>
      <c r="E6000" t="s">
        <v>12063</v>
      </c>
      <c r="G6000" s="1">
        <v>6.88</v>
      </c>
    </row>
    <row r="6001" spans="1:7" ht="14.25" hidden="1" customHeight="1" x14ac:dyDescent="0.45">
      <c r="A6001" t="str">
        <f>_xlfn.XLOOKUP(B6001,Ingot!$H$12:$H$119,Ingot!$G$12:$G$119,"")</f>
        <v>Stone</v>
      </c>
      <c r="B6001" t="s">
        <v>11965</v>
      </c>
      <c r="C6001" t="s">
        <v>10</v>
      </c>
      <c r="D6001" t="s">
        <v>12064</v>
      </c>
      <c r="E6001" t="s">
        <v>12065</v>
      </c>
      <c r="G6001" s="1">
        <v>5.5</v>
      </c>
    </row>
    <row r="6002" spans="1:7" ht="14.25" hidden="1" customHeight="1" x14ac:dyDescent="0.45">
      <c r="A6002" t="str">
        <f>_xlfn.XLOOKUP(B6002,Ingot!$H$12:$H$119,Ingot!$G$12:$G$119,"")</f>
        <v>Stone</v>
      </c>
      <c r="B6002" t="s">
        <v>11965</v>
      </c>
      <c r="C6002" t="s">
        <v>10</v>
      </c>
      <c r="D6002" t="s">
        <v>12066</v>
      </c>
      <c r="E6002" t="s">
        <v>12067</v>
      </c>
      <c r="G6002" s="1">
        <v>2.4300000000000002</v>
      </c>
    </row>
    <row r="6003" spans="1:7" ht="14.25" hidden="1" customHeight="1" x14ac:dyDescent="0.45">
      <c r="A6003" t="str">
        <f>_xlfn.XLOOKUP(B6003,Ingot!$H$12:$H$119,Ingot!$G$12:$G$119,"")</f>
        <v>Stone</v>
      </c>
      <c r="B6003" t="s">
        <v>11965</v>
      </c>
      <c r="C6003" t="s">
        <v>10</v>
      </c>
      <c r="D6003" t="s">
        <v>12068</v>
      </c>
      <c r="E6003" t="s">
        <v>12069</v>
      </c>
      <c r="G6003" s="1">
        <v>6.96</v>
      </c>
    </row>
    <row r="6004" spans="1:7" ht="14.25" hidden="1" customHeight="1" x14ac:dyDescent="0.45">
      <c r="A6004" t="str">
        <f>_xlfn.XLOOKUP(B6004,Ingot!$H$12:$H$119,Ingot!$G$12:$G$119,"")</f>
        <v>Stone</v>
      </c>
      <c r="B6004" t="s">
        <v>11965</v>
      </c>
      <c r="C6004" t="s">
        <v>10</v>
      </c>
      <c r="D6004" t="s">
        <v>12070</v>
      </c>
      <c r="E6004" t="s">
        <v>12071</v>
      </c>
      <c r="G6004" s="1">
        <v>6.32</v>
      </c>
    </row>
    <row r="6005" spans="1:7" ht="14.25" hidden="1" customHeight="1" x14ac:dyDescent="0.45">
      <c r="A6005" t="str">
        <f>_xlfn.XLOOKUP(B6005,Ingot!$H$12:$H$119,Ingot!$G$12:$G$119,"")</f>
        <v>Stone</v>
      </c>
      <c r="B6005" t="s">
        <v>11965</v>
      </c>
      <c r="C6005" t="s">
        <v>10</v>
      </c>
      <c r="D6005" t="s">
        <v>12072</v>
      </c>
      <c r="E6005" t="s">
        <v>12073</v>
      </c>
      <c r="G6005" s="1">
        <v>6.88</v>
      </c>
    </row>
    <row r="6006" spans="1:7" ht="14.25" hidden="1" customHeight="1" x14ac:dyDescent="0.45">
      <c r="A6006" t="str">
        <f>_xlfn.XLOOKUP(B6006,Ingot!$H$12:$H$119,Ingot!$G$12:$G$119,"")</f>
        <v>Stone</v>
      </c>
      <c r="B6006" t="s">
        <v>11965</v>
      </c>
      <c r="C6006" t="s">
        <v>10</v>
      </c>
      <c r="D6006" t="s">
        <v>12074</v>
      </c>
      <c r="E6006" t="s">
        <v>12075</v>
      </c>
      <c r="G6006" s="1">
        <v>2.44</v>
      </c>
    </row>
    <row r="6007" spans="1:7" ht="14.25" hidden="1" customHeight="1" x14ac:dyDescent="0.45">
      <c r="A6007" t="str">
        <f>_xlfn.XLOOKUP(B6007,Ingot!$H$12:$H$119,Ingot!$G$12:$G$119,"")</f>
        <v>Stone</v>
      </c>
      <c r="B6007" t="s">
        <v>11965</v>
      </c>
      <c r="C6007" t="s">
        <v>10</v>
      </c>
      <c r="D6007" t="s">
        <v>12076</v>
      </c>
      <c r="E6007" t="s">
        <v>12077</v>
      </c>
    </row>
    <row r="6008" spans="1:7" ht="14.25" hidden="1" customHeight="1" x14ac:dyDescent="0.45">
      <c r="A6008" t="str">
        <f>_xlfn.XLOOKUP(B6008,Ingot!$H$12:$H$119,Ingot!$G$12:$G$119,"")</f>
        <v>Stone</v>
      </c>
      <c r="B6008" t="s">
        <v>11965</v>
      </c>
      <c r="C6008" t="s">
        <v>10</v>
      </c>
      <c r="D6008" t="s">
        <v>12078</v>
      </c>
      <c r="E6008" t="s">
        <v>12079</v>
      </c>
    </row>
    <row r="6009" spans="1:7" ht="14.25" hidden="1" customHeight="1" x14ac:dyDescent="0.45">
      <c r="A6009" t="str">
        <f>_xlfn.XLOOKUP(B6009,Ingot!$H$12:$H$119,Ingot!$G$12:$G$119,"")</f>
        <v>Stone</v>
      </c>
      <c r="B6009" t="s">
        <v>11965</v>
      </c>
      <c r="C6009" t="s">
        <v>10</v>
      </c>
      <c r="D6009" t="s">
        <v>12080</v>
      </c>
      <c r="E6009" t="s">
        <v>12081</v>
      </c>
      <c r="G6009" s="1">
        <v>3.11</v>
      </c>
    </row>
    <row r="6010" spans="1:7" ht="14.25" hidden="1" customHeight="1" x14ac:dyDescent="0.45">
      <c r="A6010" t="str">
        <f>_xlfn.XLOOKUP(B6010,Ingot!$H$12:$H$119,Ingot!$G$12:$G$119,"")</f>
        <v>Stone</v>
      </c>
      <c r="B6010" t="s">
        <v>11965</v>
      </c>
      <c r="C6010" t="s">
        <v>10</v>
      </c>
      <c r="D6010" t="s">
        <v>12082</v>
      </c>
      <c r="E6010" t="s">
        <v>12083</v>
      </c>
      <c r="G6010" s="1">
        <v>2.44</v>
      </c>
    </row>
    <row r="6011" spans="1:7" ht="14.25" hidden="1" customHeight="1" x14ac:dyDescent="0.45">
      <c r="A6011" t="str">
        <f>_xlfn.XLOOKUP(B6011,Ingot!$H$12:$H$119,Ingot!$G$12:$G$119,"")</f>
        <v>Stone</v>
      </c>
      <c r="B6011" t="s">
        <v>11965</v>
      </c>
      <c r="C6011" t="s">
        <v>10</v>
      </c>
      <c r="D6011" t="s">
        <v>12084</v>
      </c>
      <c r="E6011" t="s">
        <v>12085</v>
      </c>
      <c r="G6011" s="1">
        <v>8.61</v>
      </c>
    </row>
    <row r="6012" spans="1:7" ht="14.25" hidden="1" customHeight="1" x14ac:dyDescent="0.45">
      <c r="A6012" t="str">
        <f>_xlfn.XLOOKUP(B6012,Ingot!$H$12:$H$119,Ingot!$G$12:$G$119,"")</f>
        <v>Stone</v>
      </c>
      <c r="B6012" t="s">
        <v>11965</v>
      </c>
      <c r="C6012" t="s">
        <v>10</v>
      </c>
      <c r="D6012" t="s">
        <v>12086</v>
      </c>
      <c r="E6012" t="s">
        <v>12087</v>
      </c>
    </row>
    <row r="6013" spans="1:7" ht="14.25" hidden="1" customHeight="1" x14ac:dyDescent="0.45">
      <c r="A6013" t="str">
        <f>_xlfn.XLOOKUP(B6013,Ingot!$H$12:$H$119,Ingot!$G$12:$G$119,"")</f>
        <v>Stone</v>
      </c>
      <c r="B6013" t="s">
        <v>11965</v>
      </c>
      <c r="C6013" t="s">
        <v>10</v>
      </c>
      <c r="D6013" t="s">
        <v>12088</v>
      </c>
      <c r="E6013" t="s">
        <v>12089</v>
      </c>
      <c r="G6013" s="1">
        <v>3.21</v>
      </c>
    </row>
    <row r="6014" spans="1:7" ht="14.25" hidden="1" customHeight="1" x14ac:dyDescent="0.45">
      <c r="A6014" t="str">
        <f>_xlfn.XLOOKUP(B6014,Ingot!$H$12:$H$119,Ingot!$G$12:$G$119,"")</f>
        <v>Stone</v>
      </c>
      <c r="B6014" t="s">
        <v>11965</v>
      </c>
      <c r="C6014" t="s">
        <v>10</v>
      </c>
      <c r="D6014" t="s">
        <v>12090</v>
      </c>
      <c r="E6014" t="s">
        <v>12091</v>
      </c>
      <c r="G6014" s="1">
        <v>2.77</v>
      </c>
    </row>
    <row r="6015" spans="1:7" ht="14.25" hidden="1" customHeight="1" x14ac:dyDescent="0.45">
      <c r="A6015" t="str">
        <f>_xlfn.XLOOKUP(B6015,Ingot!$H$12:$H$119,Ingot!$G$12:$G$119,"")</f>
        <v>Stone</v>
      </c>
      <c r="B6015" t="s">
        <v>11965</v>
      </c>
      <c r="C6015" t="s">
        <v>10</v>
      </c>
      <c r="D6015" t="s">
        <v>12092</v>
      </c>
      <c r="E6015" t="s">
        <v>12093</v>
      </c>
      <c r="G6015" s="1">
        <v>4.8899999999999997</v>
      </c>
    </row>
    <row r="6016" spans="1:7" ht="14.25" hidden="1" customHeight="1" x14ac:dyDescent="0.45">
      <c r="A6016" t="str">
        <f>_xlfn.XLOOKUP(B6016,Ingot!$H$12:$H$119,Ingot!$G$12:$G$119,"")</f>
        <v>Stone</v>
      </c>
      <c r="B6016" t="s">
        <v>11965</v>
      </c>
      <c r="C6016" t="s">
        <v>10</v>
      </c>
      <c r="D6016" t="s">
        <v>12094</v>
      </c>
      <c r="E6016" t="s">
        <v>12095</v>
      </c>
      <c r="G6016" s="1">
        <v>1.76</v>
      </c>
    </row>
    <row r="6017" spans="1:7" ht="14.25" hidden="1" customHeight="1" x14ac:dyDescent="0.45">
      <c r="A6017" t="str">
        <f>_xlfn.XLOOKUP(B6017,Ingot!$H$12:$H$119,Ingot!$G$12:$G$119,"")</f>
        <v>Stone</v>
      </c>
      <c r="B6017" t="s">
        <v>11965</v>
      </c>
      <c r="C6017" t="s">
        <v>10</v>
      </c>
      <c r="D6017" t="s">
        <v>12096</v>
      </c>
      <c r="E6017" t="s">
        <v>12097</v>
      </c>
    </row>
    <row r="6018" spans="1:7" ht="14.25" hidden="1" customHeight="1" x14ac:dyDescent="0.45">
      <c r="A6018" t="str">
        <f>_xlfn.XLOOKUP(B6018,Ingot!$H$12:$H$119,Ingot!$G$12:$G$119,"")</f>
        <v>Stone</v>
      </c>
      <c r="B6018" t="s">
        <v>11965</v>
      </c>
      <c r="C6018" t="s">
        <v>10</v>
      </c>
      <c r="D6018" t="s">
        <v>12098</v>
      </c>
      <c r="E6018" t="s">
        <v>12099</v>
      </c>
      <c r="G6018" s="1">
        <v>8.57</v>
      </c>
    </row>
    <row r="6019" spans="1:7" ht="14.25" hidden="1" customHeight="1" x14ac:dyDescent="0.45">
      <c r="A6019" t="str">
        <f>_xlfn.XLOOKUP(B6019,Ingot!$H$12:$H$119,Ingot!$G$12:$G$119,"")</f>
        <v>Stone</v>
      </c>
      <c r="B6019" t="s">
        <v>11965</v>
      </c>
      <c r="C6019" t="s">
        <v>10</v>
      </c>
      <c r="D6019" t="s">
        <v>12100</v>
      </c>
      <c r="E6019" t="s">
        <v>12101</v>
      </c>
    </row>
    <row r="6020" spans="1:7" ht="14.25" hidden="1" customHeight="1" x14ac:dyDescent="0.45">
      <c r="A6020" t="str">
        <f>_xlfn.XLOOKUP(B6020,Ingot!$H$12:$H$119,Ingot!$G$12:$G$119,"")</f>
        <v>Stone</v>
      </c>
      <c r="B6020" t="s">
        <v>11965</v>
      </c>
      <c r="C6020" t="s">
        <v>10</v>
      </c>
      <c r="D6020" t="s">
        <v>12102</v>
      </c>
      <c r="E6020" t="s">
        <v>12103</v>
      </c>
      <c r="G6020" s="1">
        <v>3.56</v>
      </c>
    </row>
    <row r="6021" spans="1:7" ht="14.25" hidden="1" customHeight="1" x14ac:dyDescent="0.45">
      <c r="A6021" t="str">
        <f>_xlfn.XLOOKUP(B6021,Ingot!$H$12:$H$119,Ingot!$G$12:$G$119,"")</f>
        <v>Stone</v>
      </c>
      <c r="B6021" t="s">
        <v>11965</v>
      </c>
      <c r="C6021" t="s">
        <v>10</v>
      </c>
      <c r="D6021" t="s">
        <v>12104</v>
      </c>
      <c r="E6021" t="s">
        <v>12105</v>
      </c>
      <c r="G6021" s="1">
        <v>8.91</v>
      </c>
    </row>
    <row r="6022" spans="1:7" ht="14.25" hidden="1" customHeight="1" x14ac:dyDescent="0.45">
      <c r="A6022" t="str">
        <f>_xlfn.XLOOKUP(B6022,Ingot!$H$12:$H$119,Ingot!$G$12:$G$119,"")</f>
        <v>Stone</v>
      </c>
      <c r="B6022" t="s">
        <v>11965</v>
      </c>
      <c r="C6022" t="s">
        <v>10</v>
      </c>
      <c r="D6022" t="s">
        <v>12106</v>
      </c>
      <c r="E6022" t="s">
        <v>12107</v>
      </c>
      <c r="G6022" s="1">
        <v>11.02</v>
      </c>
    </row>
    <row r="6023" spans="1:7" ht="14.25" hidden="1" customHeight="1" x14ac:dyDescent="0.45">
      <c r="A6023" t="str">
        <f>_xlfn.XLOOKUP(B6023,Ingot!$H$12:$H$119,Ingot!$G$12:$G$119,"")</f>
        <v>Stone</v>
      </c>
      <c r="B6023" t="s">
        <v>11965</v>
      </c>
      <c r="C6023" t="s">
        <v>10</v>
      </c>
      <c r="D6023" t="s">
        <v>12108</v>
      </c>
      <c r="E6023" t="s">
        <v>12109</v>
      </c>
      <c r="G6023" s="1">
        <v>5.12</v>
      </c>
    </row>
    <row r="6024" spans="1:7" ht="14.25" hidden="1" customHeight="1" x14ac:dyDescent="0.45">
      <c r="A6024" t="str">
        <f>_xlfn.XLOOKUP(B6024,Ingot!$H$12:$H$119,Ingot!$G$12:$G$119,"")</f>
        <v>Stone</v>
      </c>
      <c r="B6024" t="s">
        <v>11965</v>
      </c>
      <c r="C6024" t="s">
        <v>10</v>
      </c>
      <c r="D6024" t="s">
        <v>12110</v>
      </c>
      <c r="E6024" t="s">
        <v>12111</v>
      </c>
      <c r="G6024" s="1">
        <v>4.41</v>
      </c>
    </row>
    <row r="6025" spans="1:7" ht="14.25" hidden="1" customHeight="1" x14ac:dyDescent="0.45">
      <c r="A6025" t="str">
        <f>_xlfn.XLOOKUP(B6025,Ingot!$H$12:$H$119,Ingot!$G$12:$G$119,"")</f>
        <v>Stone</v>
      </c>
      <c r="B6025" t="s">
        <v>11965</v>
      </c>
      <c r="C6025" t="s">
        <v>157</v>
      </c>
      <c r="D6025" t="s">
        <v>12112</v>
      </c>
      <c r="E6025" t="s">
        <v>12113</v>
      </c>
      <c r="G6025" s="1">
        <v>45</v>
      </c>
    </row>
    <row r="6026" spans="1:7" ht="14.25" hidden="1" customHeight="1" x14ac:dyDescent="0.45">
      <c r="A6026" t="str">
        <f>_xlfn.XLOOKUP(B6026,Ingot!$H$12:$H$119,Ingot!$G$12:$G$119,"")</f>
        <v>Stone</v>
      </c>
      <c r="B6026" t="s">
        <v>11965</v>
      </c>
      <c r="C6026" t="s">
        <v>157</v>
      </c>
      <c r="D6026" t="s">
        <v>12114</v>
      </c>
      <c r="E6026" t="s">
        <v>12115</v>
      </c>
      <c r="G6026" s="1">
        <v>9</v>
      </c>
    </row>
    <row r="6027" spans="1:7" ht="14.25" hidden="1" customHeight="1" x14ac:dyDescent="0.45">
      <c r="A6027" t="str">
        <f>_xlfn.XLOOKUP(B6027,Ingot!$H$12:$H$119,Ingot!$G$12:$G$119,"")</f>
        <v>Stone</v>
      </c>
      <c r="B6027" t="s">
        <v>11965</v>
      </c>
      <c r="C6027" t="s">
        <v>157</v>
      </c>
      <c r="D6027" t="s">
        <v>12116</v>
      </c>
      <c r="E6027" t="s">
        <v>12117</v>
      </c>
      <c r="G6027" s="1">
        <v>9</v>
      </c>
    </row>
    <row r="6028" spans="1:7" ht="14.25" hidden="1" customHeight="1" x14ac:dyDescent="0.45">
      <c r="A6028" t="str">
        <f>_xlfn.XLOOKUP(B6028,Ingot!$H$12:$H$119,Ingot!$G$12:$G$119,"")</f>
        <v>Stone</v>
      </c>
      <c r="B6028" t="s">
        <v>11965</v>
      </c>
      <c r="C6028" t="s">
        <v>157</v>
      </c>
      <c r="D6028" t="s">
        <v>12118</v>
      </c>
      <c r="E6028" t="s">
        <v>12119</v>
      </c>
      <c r="G6028" s="1">
        <v>5.85</v>
      </c>
    </row>
    <row r="6029" spans="1:7" ht="14.25" hidden="1" customHeight="1" x14ac:dyDescent="0.45">
      <c r="A6029" t="str">
        <f>_xlfn.XLOOKUP(B6029,Ingot!$H$12:$H$119,Ingot!$G$12:$G$119,"")</f>
        <v>Stone</v>
      </c>
      <c r="B6029" t="s">
        <v>11965</v>
      </c>
      <c r="C6029" t="s">
        <v>157</v>
      </c>
      <c r="D6029" t="s">
        <v>12120</v>
      </c>
      <c r="E6029" t="s">
        <v>12121</v>
      </c>
      <c r="G6029" s="1">
        <v>11.7</v>
      </c>
    </row>
    <row r="6030" spans="1:7" ht="14.25" hidden="1" customHeight="1" x14ac:dyDescent="0.45">
      <c r="A6030" t="str">
        <f>_xlfn.XLOOKUP(B6030,Ingot!$H$12:$H$119,Ingot!$G$12:$G$119,"")</f>
        <v>Stone</v>
      </c>
      <c r="B6030" t="s">
        <v>11965</v>
      </c>
      <c r="C6030" t="s">
        <v>157</v>
      </c>
      <c r="D6030" t="s">
        <v>12122</v>
      </c>
      <c r="E6030" t="s">
        <v>12123</v>
      </c>
      <c r="G6030" s="1">
        <v>41</v>
      </c>
    </row>
    <row r="6031" spans="1:7" ht="14.25" hidden="1" customHeight="1" x14ac:dyDescent="0.45">
      <c r="A6031" t="str">
        <f>_xlfn.XLOOKUP(B6031,Ingot!$H$12:$H$119,Ingot!$G$12:$G$119,"")</f>
        <v>Stone</v>
      </c>
      <c r="B6031" t="s">
        <v>11965</v>
      </c>
      <c r="C6031" t="s">
        <v>157</v>
      </c>
      <c r="D6031" t="s">
        <v>12124</v>
      </c>
      <c r="E6031" t="s">
        <v>12125</v>
      </c>
      <c r="G6031" s="1">
        <v>8.1999999999999993</v>
      </c>
    </row>
    <row r="6032" spans="1:7" ht="14.25" hidden="1" customHeight="1" x14ac:dyDescent="0.45">
      <c r="A6032" t="str">
        <f>_xlfn.XLOOKUP(B6032,Ingot!$H$12:$H$119,Ingot!$G$12:$G$119,"")</f>
        <v>Stone</v>
      </c>
      <c r="B6032" t="s">
        <v>11965</v>
      </c>
      <c r="C6032" t="s">
        <v>157</v>
      </c>
      <c r="D6032" t="s">
        <v>12126</v>
      </c>
      <c r="E6032" t="s">
        <v>12127</v>
      </c>
      <c r="G6032" s="1">
        <v>8.1999999999999993</v>
      </c>
    </row>
    <row r="6033" spans="1:7" ht="14.25" hidden="1" customHeight="1" x14ac:dyDescent="0.45">
      <c r="A6033" t="str">
        <f>_xlfn.XLOOKUP(B6033,Ingot!$H$12:$H$119,Ingot!$G$12:$G$119,"")</f>
        <v>Stone</v>
      </c>
      <c r="B6033" t="s">
        <v>11965</v>
      </c>
      <c r="C6033" t="s">
        <v>157</v>
      </c>
      <c r="D6033" t="s">
        <v>12128</v>
      </c>
      <c r="E6033" t="s">
        <v>12129</v>
      </c>
      <c r="G6033" s="1">
        <v>5.33</v>
      </c>
    </row>
    <row r="6034" spans="1:7" ht="14.25" hidden="1" customHeight="1" x14ac:dyDescent="0.45">
      <c r="A6034" t="str">
        <f>_xlfn.XLOOKUP(B6034,Ingot!$H$12:$H$119,Ingot!$G$12:$G$119,"")</f>
        <v>Stone</v>
      </c>
      <c r="B6034" t="s">
        <v>11965</v>
      </c>
      <c r="C6034" t="s">
        <v>157</v>
      </c>
      <c r="D6034" t="s">
        <v>12130</v>
      </c>
      <c r="E6034" t="s">
        <v>12131</v>
      </c>
      <c r="G6034" s="1">
        <v>10.66</v>
      </c>
    </row>
    <row r="6035" spans="1:7" ht="14.25" hidden="1" customHeight="1" x14ac:dyDescent="0.45">
      <c r="A6035" t="str">
        <f>_xlfn.XLOOKUP(B6035,Ingot!$H$12:$H$119,Ingot!$G$12:$G$119,"")</f>
        <v>Stone</v>
      </c>
      <c r="B6035" t="s">
        <v>11965</v>
      </c>
      <c r="C6035" t="s">
        <v>157</v>
      </c>
      <c r="D6035" t="s">
        <v>12132</v>
      </c>
      <c r="E6035" t="s">
        <v>12133</v>
      </c>
      <c r="F6035" t="s">
        <v>180</v>
      </c>
      <c r="G6035" s="1">
        <v>40</v>
      </c>
    </row>
    <row r="6036" spans="1:7" ht="14.25" hidden="1" customHeight="1" x14ac:dyDescent="0.45">
      <c r="A6036" t="str">
        <f>_xlfn.XLOOKUP(B6036,Ingot!$H$12:$H$119,Ingot!$G$12:$G$119,"")</f>
        <v>Stone</v>
      </c>
      <c r="B6036" t="s">
        <v>11965</v>
      </c>
      <c r="C6036" t="s">
        <v>157</v>
      </c>
      <c r="D6036" t="s">
        <v>12134</v>
      </c>
      <c r="E6036" t="s">
        <v>12135</v>
      </c>
      <c r="F6036" t="s">
        <v>180</v>
      </c>
      <c r="G6036" s="1">
        <v>8</v>
      </c>
    </row>
    <row r="6037" spans="1:7" ht="14.25" hidden="1" customHeight="1" x14ac:dyDescent="0.45">
      <c r="A6037" t="str">
        <f>_xlfn.XLOOKUP(B6037,Ingot!$H$12:$H$119,Ingot!$G$12:$G$119,"")</f>
        <v>Stone</v>
      </c>
      <c r="B6037" t="s">
        <v>11965</v>
      </c>
      <c r="C6037" t="s">
        <v>157</v>
      </c>
      <c r="D6037" t="s">
        <v>12136</v>
      </c>
      <c r="E6037" t="s">
        <v>12137</v>
      </c>
      <c r="F6037" t="s">
        <v>180</v>
      </c>
      <c r="G6037" s="1">
        <v>8</v>
      </c>
    </row>
    <row r="6038" spans="1:7" ht="14.25" hidden="1" customHeight="1" x14ac:dyDescent="0.45">
      <c r="A6038" t="str">
        <f>_xlfn.XLOOKUP(B6038,Ingot!$H$12:$H$119,Ingot!$G$12:$G$119,"")</f>
        <v>Stone</v>
      </c>
      <c r="B6038" t="s">
        <v>11965</v>
      </c>
      <c r="C6038" t="s">
        <v>157</v>
      </c>
      <c r="D6038" t="s">
        <v>12138</v>
      </c>
      <c r="E6038" t="s">
        <v>12139</v>
      </c>
      <c r="F6038" t="s">
        <v>180</v>
      </c>
      <c r="G6038" s="1">
        <v>5.2</v>
      </c>
    </row>
    <row r="6039" spans="1:7" ht="14.25" hidden="1" customHeight="1" x14ac:dyDescent="0.45">
      <c r="A6039" t="str">
        <f>_xlfn.XLOOKUP(B6039,Ingot!$H$12:$H$119,Ingot!$G$12:$G$119,"")</f>
        <v>Stone</v>
      </c>
      <c r="B6039" t="s">
        <v>11965</v>
      </c>
      <c r="C6039" t="s">
        <v>157</v>
      </c>
      <c r="D6039" t="s">
        <v>12140</v>
      </c>
      <c r="E6039" t="s">
        <v>12141</v>
      </c>
      <c r="F6039" t="s">
        <v>180</v>
      </c>
      <c r="G6039" s="1">
        <v>10.4</v>
      </c>
    </row>
    <row r="6040" spans="1:7" ht="14.25" hidden="1" customHeight="1" x14ac:dyDescent="0.45">
      <c r="A6040" t="str">
        <f>_xlfn.XLOOKUP(B6040,Ingot!$H$12:$H$119,Ingot!$G$12:$G$119,"")</f>
        <v>Stone</v>
      </c>
      <c r="B6040" t="s">
        <v>11965</v>
      </c>
      <c r="C6040" t="s">
        <v>157</v>
      </c>
      <c r="D6040" t="s">
        <v>12142</v>
      </c>
      <c r="E6040" t="s">
        <v>12143</v>
      </c>
      <c r="G6040" s="1">
        <v>42</v>
      </c>
    </row>
    <row r="6041" spans="1:7" ht="14.25" hidden="1" customHeight="1" x14ac:dyDescent="0.45">
      <c r="A6041" t="str">
        <f>_xlfn.XLOOKUP(B6041,Ingot!$H$12:$H$119,Ingot!$G$12:$G$119,"")</f>
        <v>Stone</v>
      </c>
      <c r="B6041" t="s">
        <v>11965</v>
      </c>
      <c r="C6041" t="s">
        <v>157</v>
      </c>
      <c r="D6041" t="s">
        <v>12144</v>
      </c>
      <c r="E6041" t="s">
        <v>12145</v>
      </c>
      <c r="G6041" s="1">
        <v>8.4</v>
      </c>
    </row>
    <row r="6042" spans="1:7" ht="14.25" hidden="1" customHeight="1" x14ac:dyDescent="0.45">
      <c r="A6042" t="str">
        <f>_xlfn.XLOOKUP(B6042,Ingot!$H$12:$H$119,Ingot!$G$12:$G$119,"")</f>
        <v>Stone</v>
      </c>
      <c r="B6042" t="s">
        <v>11965</v>
      </c>
      <c r="C6042" t="s">
        <v>157</v>
      </c>
      <c r="D6042" t="s">
        <v>12146</v>
      </c>
      <c r="E6042" t="s">
        <v>12147</v>
      </c>
      <c r="G6042" s="1">
        <v>8.4</v>
      </c>
    </row>
    <row r="6043" spans="1:7" ht="14.25" hidden="1" customHeight="1" x14ac:dyDescent="0.45">
      <c r="A6043" t="str">
        <f>_xlfn.XLOOKUP(B6043,Ingot!$H$12:$H$119,Ingot!$G$12:$G$119,"")</f>
        <v>Stone</v>
      </c>
      <c r="B6043" t="s">
        <v>11965</v>
      </c>
      <c r="C6043" t="s">
        <v>157</v>
      </c>
      <c r="D6043" t="s">
        <v>12148</v>
      </c>
      <c r="E6043" t="s">
        <v>12149</v>
      </c>
      <c r="G6043" s="1">
        <v>5.46</v>
      </c>
    </row>
    <row r="6044" spans="1:7" ht="14.25" hidden="1" customHeight="1" x14ac:dyDescent="0.45">
      <c r="A6044" t="str">
        <f>_xlfn.XLOOKUP(B6044,Ingot!$H$12:$H$119,Ingot!$G$12:$G$119,"")</f>
        <v>Stone</v>
      </c>
      <c r="B6044" t="s">
        <v>11965</v>
      </c>
      <c r="C6044" t="s">
        <v>157</v>
      </c>
      <c r="D6044" t="s">
        <v>12150</v>
      </c>
      <c r="E6044" t="s">
        <v>12151</v>
      </c>
      <c r="G6044" s="1">
        <v>10.92</v>
      </c>
    </row>
    <row r="6045" spans="1:7" ht="14.25" hidden="1" customHeight="1" x14ac:dyDescent="0.45">
      <c r="A6045" t="str">
        <f>_xlfn.XLOOKUP(B6045,Ingot!$H$12:$H$119,Ingot!$G$12:$G$119,"")</f>
        <v>Stone</v>
      </c>
      <c r="B6045" t="s">
        <v>11965</v>
      </c>
      <c r="C6045" t="s">
        <v>157</v>
      </c>
      <c r="D6045" t="s">
        <v>12152</v>
      </c>
      <c r="E6045" t="s">
        <v>12153</v>
      </c>
      <c r="G6045" s="1">
        <v>43.5</v>
      </c>
    </row>
    <row r="6046" spans="1:7" ht="14.25" hidden="1" customHeight="1" x14ac:dyDescent="0.45">
      <c r="A6046" t="str">
        <f>_xlfn.XLOOKUP(B6046,Ingot!$H$12:$H$119,Ingot!$G$12:$G$119,"")</f>
        <v>Stone</v>
      </c>
      <c r="B6046" t="s">
        <v>11965</v>
      </c>
      <c r="C6046" t="s">
        <v>157</v>
      </c>
      <c r="D6046" t="s">
        <v>12154</v>
      </c>
      <c r="E6046" t="s">
        <v>12155</v>
      </c>
      <c r="F6046" t="s">
        <v>180</v>
      </c>
      <c r="G6046" s="1">
        <v>8.6999999999999993</v>
      </c>
    </row>
    <row r="6047" spans="1:7" ht="14.25" hidden="1" customHeight="1" x14ac:dyDescent="0.45">
      <c r="A6047" t="str">
        <f>_xlfn.XLOOKUP(B6047,Ingot!$H$12:$H$119,Ingot!$G$12:$G$119,"")</f>
        <v>Stone</v>
      </c>
      <c r="B6047" t="s">
        <v>11965</v>
      </c>
      <c r="C6047" t="s">
        <v>157</v>
      </c>
      <c r="D6047" t="s">
        <v>12156</v>
      </c>
      <c r="E6047" t="s">
        <v>12157</v>
      </c>
      <c r="F6047" t="s">
        <v>180</v>
      </c>
      <c r="G6047" s="1">
        <v>8.6999999999999993</v>
      </c>
    </row>
    <row r="6048" spans="1:7" ht="14.25" hidden="1" customHeight="1" x14ac:dyDescent="0.45">
      <c r="A6048" t="str">
        <f>_xlfn.XLOOKUP(B6048,Ingot!$H$12:$H$119,Ingot!$G$12:$G$119,"")</f>
        <v>Stone</v>
      </c>
      <c r="B6048" t="s">
        <v>11965</v>
      </c>
      <c r="C6048" t="s">
        <v>157</v>
      </c>
      <c r="D6048" t="s">
        <v>12158</v>
      </c>
      <c r="E6048" t="s">
        <v>12159</v>
      </c>
      <c r="F6048" t="s">
        <v>180</v>
      </c>
      <c r="G6048" s="1">
        <v>5.66</v>
      </c>
    </row>
    <row r="6049" spans="1:7" ht="14.25" hidden="1" customHeight="1" x14ac:dyDescent="0.45">
      <c r="A6049" t="str">
        <f>_xlfn.XLOOKUP(B6049,Ingot!$H$12:$H$119,Ingot!$G$12:$G$119,"")</f>
        <v>Stone</v>
      </c>
      <c r="B6049" t="s">
        <v>11965</v>
      </c>
      <c r="C6049" t="s">
        <v>157</v>
      </c>
      <c r="D6049" t="s">
        <v>12160</v>
      </c>
      <c r="E6049" t="s">
        <v>12161</v>
      </c>
      <c r="G6049" s="1">
        <v>11.31</v>
      </c>
    </row>
    <row r="6050" spans="1:7" ht="14.25" hidden="1" customHeight="1" x14ac:dyDescent="0.45">
      <c r="A6050" t="str">
        <f>_xlfn.XLOOKUP(B6050,Ingot!$H$12:$H$119,Ingot!$G$12:$G$119,"")</f>
        <v>Stone</v>
      </c>
      <c r="B6050" t="s">
        <v>11965</v>
      </c>
      <c r="C6050" t="s">
        <v>157</v>
      </c>
      <c r="D6050" t="s">
        <v>12162</v>
      </c>
      <c r="E6050" t="s">
        <v>12163</v>
      </c>
      <c r="G6050" s="1">
        <v>48</v>
      </c>
    </row>
    <row r="6051" spans="1:7" ht="14.25" hidden="1" customHeight="1" x14ac:dyDescent="0.45">
      <c r="A6051" t="str">
        <f>_xlfn.XLOOKUP(B6051,Ingot!$H$12:$H$119,Ingot!$G$12:$G$119,"")</f>
        <v>Stone</v>
      </c>
      <c r="B6051" t="s">
        <v>11965</v>
      </c>
      <c r="C6051" t="s">
        <v>157</v>
      </c>
      <c r="D6051" t="s">
        <v>12164</v>
      </c>
      <c r="E6051" t="s">
        <v>12165</v>
      </c>
      <c r="G6051" s="1">
        <v>9.6</v>
      </c>
    </row>
    <row r="6052" spans="1:7" ht="14.25" hidden="1" customHeight="1" x14ac:dyDescent="0.45">
      <c r="A6052" t="str">
        <f>_xlfn.XLOOKUP(B6052,Ingot!$H$12:$H$119,Ingot!$G$12:$G$119,"")</f>
        <v>Stone</v>
      </c>
      <c r="B6052" t="s">
        <v>11965</v>
      </c>
      <c r="C6052" t="s">
        <v>157</v>
      </c>
      <c r="D6052" t="s">
        <v>12166</v>
      </c>
      <c r="E6052" t="s">
        <v>12167</v>
      </c>
      <c r="G6052" s="1">
        <v>9.6</v>
      </c>
    </row>
    <row r="6053" spans="1:7" ht="14.25" hidden="1" customHeight="1" x14ac:dyDescent="0.45">
      <c r="A6053" t="str">
        <f>_xlfn.XLOOKUP(B6053,Ingot!$H$12:$H$119,Ingot!$G$12:$G$119,"")</f>
        <v>Stone</v>
      </c>
      <c r="B6053" t="s">
        <v>11965</v>
      </c>
      <c r="C6053" t="s">
        <v>157</v>
      </c>
      <c r="D6053" t="s">
        <v>12168</v>
      </c>
      <c r="E6053" t="s">
        <v>12169</v>
      </c>
      <c r="G6053" s="1">
        <v>6.24</v>
      </c>
    </row>
    <row r="6054" spans="1:7" ht="14.25" hidden="1" customHeight="1" x14ac:dyDescent="0.45">
      <c r="A6054" t="str">
        <f>_xlfn.XLOOKUP(B6054,Ingot!$H$12:$H$119,Ingot!$G$12:$G$119,"")</f>
        <v>Stone</v>
      </c>
      <c r="B6054" t="s">
        <v>11965</v>
      </c>
      <c r="C6054" t="s">
        <v>157</v>
      </c>
      <c r="D6054" t="s">
        <v>12170</v>
      </c>
      <c r="E6054" t="s">
        <v>12171</v>
      </c>
      <c r="G6054" s="1">
        <v>12.48</v>
      </c>
    </row>
    <row r="6055" spans="1:7" ht="14.25" hidden="1" customHeight="1" x14ac:dyDescent="0.45">
      <c r="A6055" t="str">
        <f>_xlfn.XLOOKUP(B6055,Ingot!$H$12:$H$119,Ingot!$G$12:$G$119,"")</f>
        <v>Stone</v>
      </c>
      <c r="B6055" t="s">
        <v>11965</v>
      </c>
      <c r="C6055" t="s">
        <v>157</v>
      </c>
      <c r="D6055" t="s">
        <v>12172</v>
      </c>
      <c r="E6055" t="s">
        <v>12173</v>
      </c>
      <c r="G6055" s="1">
        <v>46.5</v>
      </c>
    </row>
    <row r="6056" spans="1:7" ht="14.25" hidden="1" customHeight="1" x14ac:dyDescent="0.45">
      <c r="A6056" t="str">
        <f>_xlfn.XLOOKUP(B6056,Ingot!$H$12:$H$119,Ingot!$G$12:$G$119,"")</f>
        <v>Stone</v>
      </c>
      <c r="B6056" t="s">
        <v>11965</v>
      </c>
      <c r="C6056" t="s">
        <v>157</v>
      </c>
      <c r="D6056" t="s">
        <v>12174</v>
      </c>
      <c r="E6056" t="s">
        <v>12175</v>
      </c>
      <c r="G6056" s="1">
        <v>9.3000000000000007</v>
      </c>
    </row>
    <row r="6057" spans="1:7" ht="14.25" hidden="1" customHeight="1" x14ac:dyDescent="0.45">
      <c r="A6057" t="str">
        <f>_xlfn.XLOOKUP(B6057,Ingot!$H$12:$H$119,Ingot!$G$12:$G$119,"")</f>
        <v>Stone</v>
      </c>
      <c r="B6057" t="s">
        <v>11965</v>
      </c>
      <c r="C6057" t="s">
        <v>157</v>
      </c>
      <c r="D6057" t="s">
        <v>12176</v>
      </c>
      <c r="E6057" t="s">
        <v>12177</v>
      </c>
      <c r="G6057" s="1">
        <v>9.3000000000000007</v>
      </c>
    </row>
    <row r="6058" spans="1:7" ht="14.25" hidden="1" customHeight="1" x14ac:dyDescent="0.45">
      <c r="A6058" t="str">
        <f>_xlfn.XLOOKUP(B6058,Ingot!$H$12:$H$119,Ingot!$G$12:$G$119,"")</f>
        <v>Stone</v>
      </c>
      <c r="B6058" t="s">
        <v>11965</v>
      </c>
      <c r="C6058" t="s">
        <v>157</v>
      </c>
      <c r="D6058" t="s">
        <v>12178</v>
      </c>
      <c r="E6058" t="s">
        <v>12179</v>
      </c>
      <c r="G6058" s="1">
        <v>6.05</v>
      </c>
    </row>
    <row r="6059" spans="1:7" ht="14.25" hidden="1" customHeight="1" x14ac:dyDescent="0.45">
      <c r="A6059" t="str">
        <f>_xlfn.XLOOKUP(B6059,Ingot!$H$12:$H$119,Ingot!$G$12:$G$119,"")</f>
        <v>Stone</v>
      </c>
      <c r="B6059" t="s">
        <v>11965</v>
      </c>
      <c r="C6059" t="s">
        <v>157</v>
      </c>
      <c r="D6059" t="s">
        <v>12180</v>
      </c>
      <c r="E6059" t="s">
        <v>12181</v>
      </c>
      <c r="G6059" s="1">
        <v>12.09</v>
      </c>
    </row>
    <row r="6060" spans="1:7" ht="14.25" hidden="1" customHeight="1" x14ac:dyDescent="0.45">
      <c r="A6060" t="str">
        <f>_xlfn.XLOOKUP(B6060,Ingot!$H$12:$H$119,Ingot!$G$12:$G$119,"")</f>
        <v>Stone</v>
      </c>
      <c r="B6060" t="s">
        <v>11965</v>
      </c>
      <c r="C6060" t="s">
        <v>157</v>
      </c>
      <c r="D6060" t="s">
        <v>12182</v>
      </c>
      <c r="E6060" t="s">
        <v>12183</v>
      </c>
      <c r="F6060" t="s">
        <v>180</v>
      </c>
      <c r="G6060" s="1">
        <v>39</v>
      </c>
    </row>
    <row r="6061" spans="1:7" ht="14.25" hidden="1" customHeight="1" x14ac:dyDescent="0.45">
      <c r="A6061" t="str">
        <f>_xlfn.XLOOKUP(B6061,Ingot!$H$12:$H$119,Ingot!$G$12:$G$119,"")</f>
        <v>Stone</v>
      </c>
      <c r="B6061" t="s">
        <v>11965</v>
      </c>
      <c r="C6061" t="s">
        <v>157</v>
      </c>
      <c r="D6061" t="s">
        <v>12184</v>
      </c>
      <c r="E6061" t="s">
        <v>12185</v>
      </c>
      <c r="F6061" t="s">
        <v>180</v>
      </c>
      <c r="G6061" s="1">
        <v>7.8</v>
      </c>
    </row>
    <row r="6062" spans="1:7" ht="14.25" hidden="1" customHeight="1" x14ac:dyDescent="0.45">
      <c r="A6062" t="str">
        <f>_xlfn.XLOOKUP(B6062,Ingot!$H$12:$H$119,Ingot!$G$12:$G$119,"")</f>
        <v>Stone</v>
      </c>
      <c r="B6062" t="s">
        <v>11965</v>
      </c>
      <c r="C6062" t="s">
        <v>157</v>
      </c>
      <c r="D6062" t="s">
        <v>12186</v>
      </c>
      <c r="E6062" t="s">
        <v>12187</v>
      </c>
      <c r="F6062" t="s">
        <v>180</v>
      </c>
      <c r="G6062" s="1">
        <v>7.8</v>
      </c>
    </row>
    <row r="6063" spans="1:7" ht="14.25" hidden="1" customHeight="1" x14ac:dyDescent="0.45">
      <c r="A6063" t="str">
        <f>_xlfn.XLOOKUP(B6063,Ingot!$H$12:$H$119,Ingot!$G$12:$G$119,"")</f>
        <v>Stone</v>
      </c>
      <c r="B6063" t="s">
        <v>11965</v>
      </c>
      <c r="C6063" t="s">
        <v>157</v>
      </c>
      <c r="D6063" t="s">
        <v>12188</v>
      </c>
      <c r="E6063" t="s">
        <v>12189</v>
      </c>
      <c r="F6063" t="s">
        <v>180</v>
      </c>
      <c r="G6063" s="1">
        <v>5.07</v>
      </c>
    </row>
    <row r="6064" spans="1:7" ht="14.25" hidden="1" customHeight="1" x14ac:dyDescent="0.45">
      <c r="A6064" t="str">
        <f>_xlfn.XLOOKUP(B6064,Ingot!$H$12:$H$119,Ingot!$G$12:$G$119,"")</f>
        <v>Stone</v>
      </c>
      <c r="B6064" t="s">
        <v>11965</v>
      </c>
      <c r="C6064" t="s">
        <v>157</v>
      </c>
      <c r="D6064" t="s">
        <v>12190</v>
      </c>
      <c r="E6064" t="s">
        <v>12191</v>
      </c>
      <c r="F6064" t="s">
        <v>180</v>
      </c>
      <c r="G6064" s="1">
        <v>10.14</v>
      </c>
    </row>
    <row r="6065" spans="1:7" ht="14.25" hidden="1" customHeight="1" x14ac:dyDescent="0.45">
      <c r="A6065" t="str">
        <f>_xlfn.XLOOKUP(B6065,Ingot!$H$12:$H$119,Ingot!$G$12:$G$119,"")</f>
        <v>Stone</v>
      </c>
      <c r="B6065" t="s">
        <v>11965</v>
      </c>
      <c r="C6065" t="s">
        <v>239</v>
      </c>
      <c r="D6065" t="s">
        <v>12192</v>
      </c>
      <c r="E6065" t="s">
        <v>12193</v>
      </c>
      <c r="G6065" s="1">
        <f>(VLOOKUP(B6065,Ingot!H:I,2,FALSE()) * 0.75) * 0.75</f>
        <v>7.3125</v>
      </c>
    </row>
    <row r="6066" spans="1:7" ht="14.25" hidden="1" customHeight="1" x14ac:dyDescent="0.45">
      <c r="A6066" t="str">
        <f>_xlfn.XLOOKUP(B6066,Ingot!$H$12:$H$119,Ingot!$G$12:$G$119,"")</f>
        <v>Stone</v>
      </c>
      <c r="B6066" t="s">
        <v>11965</v>
      </c>
      <c r="C6066" t="s">
        <v>239</v>
      </c>
      <c r="D6066" t="s">
        <v>12194</v>
      </c>
      <c r="E6066" t="s">
        <v>12195</v>
      </c>
      <c r="G6066" s="1">
        <f>((VLOOKUP(B6066,Ingot!H:I,2,FALSE()) * 3) - 10.25) * 0.421875</f>
        <v>12.12890625</v>
      </c>
    </row>
    <row r="6067" spans="1:7" ht="14.25" hidden="1" customHeight="1" x14ac:dyDescent="0.45">
      <c r="A6067" t="str">
        <f>_xlfn.XLOOKUP(B6067,Ingot!$H$12:$H$119,Ingot!$G$12:$G$119,"")</f>
        <v>Stone</v>
      </c>
      <c r="B6067" t="s">
        <v>11965</v>
      </c>
      <c r="C6067" t="s">
        <v>239</v>
      </c>
      <c r="D6067" t="s">
        <v>12196</v>
      </c>
      <c r="E6067" t="s">
        <v>12197</v>
      </c>
      <c r="G6067" s="1">
        <f>((VLOOKUP(B6067,Ingot!H:I,2,FALSE()) * 3) - 10.25) * 0.75</f>
        <v>21.5625</v>
      </c>
    </row>
    <row r="6068" spans="1:7" ht="14.25" hidden="1" customHeight="1" x14ac:dyDescent="0.45">
      <c r="A6068" t="str">
        <f>_xlfn.XLOOKUP(B6068,Ingot!$H$12:$H$119,Ingot!$G$12:$G$119,"")</f>
        <v>Stone</v>
      </c>
      <c r="B6068" t="s">
        <v>11965</v>
      </c>
      <c r="C6068" t="s">
        <v>239</v>
      </c>
      <c r="D6068" t="s">
        <v>12198</v>
      </c>
      <c r="E6068" t="s">
        <v>12199</v>
      </c>
      <c r="G6068" s="1">
        <f>((VLOOKUP(B6068,Ingot!H:I,2,FALSE()) * 3) - 10.25) * 0.5625</f>
        <v>16.171875</v>
      </c>
    </row>
    <row r="6069" spans="1:7" ht="14.25" hidden="1" customHeight="1" x14ac:dyDescent="0.45">
      <c r="A6069" t="str">
        <f>_xlfn.XLOOKUP(B6069,Ingot!$H$12:$H$119,Ingot!$G$12:$G$119,"")</f>
        <v>Stone</v>
      </c>
      <c r="B6069" t="s">
        <v>11965</v>
      </c>
      <c r="C6069" t="s">
        <v>239</v>
      </c>
      <c r="D6069" t="s">
        <v>12200</v>
      </c>
      <c r="E6069" t="s">
        <v>12201</v>
      </c>
      <c r="G6069" s="1">
        <f>VLOOKUP(B6069,Ingot!H:I,2,FALSE()) * 0.75</f>
        <v>9.75</v>
      </c>
    </row>
    <row r="6070" spans="1:7" ht="14.25" hidden="1" customHeight="1" x14ac:dyDescent="0.45">
      <c r="A6070" t="str">
        <f>_xlfn.XLOOKUP(B6070,Ingot!$H$12:$H$119,Ingot!$G$12:$G$119,"")</f>
        <v>Stone</v>
      </c>
      <c r="B6070" t="s">
        <v>11965</v>
      </c>
      <c r="C6070" t="s">
        <v>239</v>
      </c>
      <c r="D6070" t="s">
        <v>12202</v>
      </c>
      <c r="E6070" t="s">
        <v>12203</v>
      </c>
      <c r="G6070" s="1">
        <f>(VLOOKUP(B6070,Ingot!H:I,2,FALSE()) * 3) - 10.25</f>
        <v>28.75</v>
      </c>
    </row>
    <row r="6071" spans="1:7" ht="14.25" hidden="1" customHeight="1" x14ac:dyDescent="0.45">
      <c r="A6071" t="str">
        <f>_xlfn.XLOOKUP(B6071,Ingot!$H$12:$H$119,Ingot!$G$12:$G$119,"")</f>
        <v>Stone</v>
      </c>
      <c r="B6071" t="s">
        <v>12204</v>
      </c>
      <c r="C6071" t="s">
        <v>10</v>
      </c>
      <c r="D6071" t="s">
        <v>12205</v>
      </c>
      <c r="E6071" t="s">
        <v>12206</v>
      </c>
      <c r="G6071" s="1">
        <v>0.08</v>
      </c>
    </row>
    <row r="6072" spans="1:7" ht="14.25" hidden="1" customHeight="1" x14ac:dyDescent="0.45">
      <c r="A6072" t="str">
        <f>_xlfn.XLOOKUP(B6072,Ingot!$H$12:$H$119,Ingot!$G$12:$G$119,"")</f>
        <v>Stone</v>
      </c>
      <c r="B6072" t="s">
        <v>12204</v>
      </c>
      <c r="C6072" t="s">
        <v>10</v>
      </c>
      <c r="D6072" t="s">
        <v>12207</v>
      </c>
      <c r="E6072" t="s">
        <v>12208</v>
      </c>
      <c r="G6072" s="1">
        <v>9.9</v>
      </c>
    </row>
    <row r="6073" spans="1:7" ht="14.25" hidden="1" customHeight="1" x14ac:dyDescent="0.45">
      <c r="A6073" t="str">
        <f>_xlfn.XLOOKUP(B6073,Ingot!$H$12:$H$119,Ingot!$G$12:$G$119,"")</f>
        <v>Stone</v>
      </c>
      <c r="B6073" t="s">
        <v>12204</v>
      </c>
      <c r="C6073" t="s">
        <v>10</v>
      </c>
      <c r="D6073" t="s">
        <v>12209</v>
      </c>
      <c r="E6073" t="s">
        <v>12210</v>
      </c>
      <c r="G6073" s="1">
        <v>5.66</v>
      </c>
    </row>
    <row r="6074" spans="1:7" ht="14.25" hidden="1" customHeight="1" x14ac:dyDescent="0.45">
      <c r="A6074" t="str">
        <f>_xlfn.XLOOKUP(B6074,Ingot!$H$12:$H$119,Ingot!$G$12:$G$119,"")</f>
        <v>Stone</v>
      </c>
      <c r="B6074" t="s">
        <v>12204</v>
      </c>
      <c r="C6074" t="s">
        <v>10</v>
      </c>
      <c r="D6074" t="s">
        <v>12211</v>
      </c>
      <c r="E6074" t="s">
        <v>12212</v>
      </c>
      <c r="G6074" s="1">
        <v>3.3</v>
      </c>
    </row>
    <row r="6075" spans="1:7" ht="14.25" hidden="1" customHeight="1" x14ac:dyDescent="0.45">
      <c r="A6075" t="str">
        <f>_xlfn.XLOOKUP(B6075,Ingot!$H$12:$H$119,Ingot!$G$12:$G$119,"")</f>
        <v>Stone</v>
      </c>
      <c r="B6075" t="s">
        <v>12204</v>
      </c>
      <c r="C6075" t="s">
        <v>10</v>
      </c>
      <c r="D6075" t="s">
        <v>12213</v>
      </c>
      <c r="E6075" t="s">
        <v>12214</v>
      </c>
      <c r="G6075" s="1">
        <v>0.66</v>
      </c>
    </row>
    <row r="6076" spans="1:7" ht="14.25" hidden="1" customHeight="1" x14ac:dyDescent="0.45">
      <c r="A6076" t="str">
        <f>_xlfn.XLOOKUP(B6076,Ingot!$H$12:$H$119,Ingot!$G$12:$G$119,"")</f>
        <v>Stone</v>
      </c>
      <c r="B6076" t="s">
        <v>12204</v>
      </c>
      <c r="C6076" t="s">
        <v>10</v>
      </c>
      <c r="D6076" t="s">
        <v>12215</v>
      </c>
      <c r="E6076" t="s">
        <v>12216</v>
      </c>
      <c r="G6076" s="1">
        <v>0.04</v>
      </c>
    </row>
    <row r="6077" spans="1:7" ht="14.25" hidden="1" customHeight="1" x14ac:dyDescent="0.45">
      <c r="A6077" t="str">
        <f>_xlfn.XLOOKUP(B6077,Ingot!$H$12:$H$119,Ingot!$G$12:$G$119,"")</f>
        <v>Stone</v>
      </c>
      <c r="B6077" t="s">
        <v>12204</v>
      </c>
      <c r="C6077" t="s">
        <v>10</v>
      </c>
      <c r="D6077" t="s">
        <v>12217</v>
      </c>
      <c r="E6077" t="s">
        <v>12218</v>
      </c>
      <c r="G6077" s="1">
        <v>0.33</v>
      </c>
    </row>
    <row r="6078" spans="1:7" ht="14.25" hidden="1" customHeight="1" x14ac:dyDescent="0.45">
      <c r="A6078" t="str">
        <f>_xlfn.XLOOKUP(B6078,Ingot!$H$12:$H$119,Ingot!$G$12:$G$119,"")</f>
        <v>Stone</v>
      </c>
      <c r="B6078" t="s">
        <v>12204</v>
      </c>
      <c r="C6078" t="s">
        <v>10</v>
      </c>
      <c r="D6078" t="s">
        <v>12219</v>
      </c>
      <c r="E6078" t="s">
        <v>12220</v>
      </c>
    </row>
    <row r="6079" spans="1:7" ht="14.25" hidden="1" customHeight="1" x14ac:dyDescent="0.45">
      <c r="A6079" t="str">
        <f>_xlfn.XLOOKUP(B6079,Ingot!$H$12:$H$119,Ingot!$G$12:$G$119,"")</f>
        <v>Stone</v>
      </c>
      <c r="B6079" t="s">
        <v>12204</v>
      </c>
      <c r="C6079" t="s">
        <v>10</v>
      </c>
      <c r="D6079" t="s">
        <v>12221</v>
      </c>
      <c r="E6079" t="s">
        <v>12222</v>
      </c>
      <c r="G6079" s="1">
        <v>0.05</v>
      </c>
    </row>
    <row r="6080" spans="1:7" ht="14.25" hidden="1" customHeight="1" x14ac:dyDescent="0.45">
      <c r="A6080" t="str">
        <f>_xlfn.XLOOKUP(B6080,Ingot!$H$12:$H$119,Ingot!$G$12:$G$119,"")</f>
        <v>Stone</v>
      </c>
      <c r="B6080" t="s">
        <v>12204</v>
      </c>
      <c r="C6080" t="s">
        <v>10</v>
      </c>
      <c r="D6080" t="s">
        <v>12223</v>
      </c>
      <c r="E6080" t="s">
        <v>12224</v>
      </c>
      <c r="G6080" s="1">
        <v>0.66</v>
      </c>
    </row>
    <row r="6081" spans="1:7" ht="14.25" hidden="1" customHeight="1" x14ac:dyDescent="0.45">
      <c r="A6081" t="str">
        <f>_xlfn.XLOOKUP(B6081,Ingot!$H$12:$H$119,Ingot!$G$12:$G$119,"")</f>
        <v>Stone</v>
      </c>
      <c r="B6081" t="s">
        <v>12204</v>
      </c>
      <c r="C6081" t="s">
        <v>10</v>
      </c>
      <c r="D6081" t="s">
        <v>12225</v>
      </c>
      <c r="E6081" t="s">
        <v>12226</v>
      </c>
      <c r="G6081" s="1">
        <v>3.96</v>
      </c>
    </row>
    <row r="6082" spans="1:7" ht="14.25" hidden="1" customHeight="1" x14ac:dyDescent="0.45">
      <c r="A6082" t="str">
        <f>_xlfn.XLOOKUP(B6082,Ingot!$H$12:$H$119,Ingot!$G$12:$G$119,"")</f>
        <v>Stone</v>
      </c>
      <c r="B6082" t="s">
        <v>12204</v>
      </c>
      <c r="C6082" t="s">
        <v>10</v>
      </c>
      <c r="D6082" t="s">
        <v>12227</v>
      </c>
      <c r="E6082" t="s">
        <v>12228</v>
      </c>
      <c r="G6082" s="1">
        <v>8.77</v>
      </c>
    </row>
    <row r="6083" spans="1:7" ht="14.25" hidden="1" customHeight="1" x14ac:dyDescent="0.45">
      <c r="A6083" t="str">
        <f>_xlfn.XLOOKUP(B6083,Ingot!$H$12:$H$119,Ingot!$G$12:$G$119,"")</f>
        <v>Stone</v>
      </c>
      <c r="B6083" t="s">
        <v>12204</v>
      </c>
      <c r="C6083" t="s">
        <v>10</v>
      </c>
      <c r="D6083" t="s">
        <v>12229</v>
      </c>
      <c r="E6083" t="s">
        <v>12230</v>
      </c>
      <c r="G6083" s="1">
        <v>3.5</v>
      </c>
    </row>
    <row r="6084" spans="1:7" ht="14.25" hidden="1" customHeight="1" x14ac:dyDescent="0.45">
      <c r="A6084" t="str">
        <f>_xlfn.XLOOKUP(B6084,Ingot!$H$12:$H$119,Ingot!$G$12:$G$119,"")</f>
        <v>Stone</v>
      </c>
      <c r="B6084" t="s">
        <v>12204</v>
      </c>
      <c r="C6084" t="s">
        <v>10</v>
      </c>
      <c r="D6084" t="s">
        <v>12231</v>
      </c>
      <c r="E6084" t="s">
        <v>12232</v>
      </c>
    </row>
    <row r="6085" spans="1:7" ht="14.25" hidden="1" customHeight="1" x14ac:dyDescent="0.45">
      <c r="A6085" t="str">
        <f>_xlfn.XLOOKUP(B6085,Ingot!$H$12:$H$119,Ingot!$G$12:$G$119,"")</f>
        <v>Stone</v>
      </c>
      <c r="B6085" t="s">
        <v>12204</v>
      </c>
      <c r="C6085" t="s">
        <v>10</v>
      </c>
      <c r="D6085" t="s">
        <v>12233</v>
      </c>
      <c r="E6085" t="s">
        <v>12234</v>
      </c>
      <c r="G6085" s="1">
        <v>2.2000000000000002</v>
      </c>
    </row>
    <row r="6086" spans="1:7" ht="14.25" hidden="1" customHeight="1" x14ac:dyDescent="0.45">
      <c r="A6086" t="str">
        <f>_xlfn.XLOOKUP(B6086,Ingot!$H$12:$H$119,Ingot!$G$12:$G$119,"")</f>
        <v>Stone</v>
      </c>
      <c r="B6086" t="s">
        <v>12204</v>
      </c>
      <c r="C6086" t="s">
        <v>10</v>
      </c>
      <c r="D6086" t="s">
        <v>12235</v>
      </c>
      <c r="E6086" t="s">
        <v>12236</v>
      </c>
      <c r="G6086" s="1">
        <v>1.1000000000000001</v>
      </c>
    </row>
    <row r="6087" spans="1:7" ht="14.25" hidden="1" customHeight="1" x14ac:dyDescent="0.45">
      <c r="A6087" t="str">
        <f>_xlfn.XLOOKUP(B6087,Ingot!$H$12:$H$119,Ingot!$G$12:$G$119,"")</f>
        <v>Stone</v>
      </c>
      <c r="B6087" t="s">
        <v>12204</v>
      </c>
      <c r="C6087" t="s">
        <v>10</v>
      </c>
      <c r="D6087" t="s">
        <v>12237</v>
      </c>
      <c r="E6087" t="s">
        <v>12238</v>
      </c>
      <c r="G6087" s="1">
        <v>0.22</v>
      </c>
    </row>
    <row r="6088" spans="1:7" ht="14.25" hidden="1" customHeight="1" x14ac:dyDescent="0.45">
      <c r="A6088" t="str">
        <f>_xlfn.XLOOKUP(B6088,Ingot!$H$12:$H$119,Ingot!$G$12:$G$119,"")</f>
        <v>Stone</v>
      </c>
      <c r="B6088" t="s">
        <v>12204</v>
      </c>
      <c r="C6088" t="s">
        <v>10</v>
      </c>
      <c r="D6088" t="s">
        <v>12239</v>
      </c>
      <c r="E6088" t="s">
        <v>12240</v>
      </c>
      <c r="G6088" s="1">
        <v>8.41</v>
      </c>
    </row>
    <row r="6089" spans="1:7" ht="14.25" hidden="1" customHeight="1" x14ac:dyDescent="0.45">
      <c r="A6089" t="str">
        <f>_xlfn.XLOOKUP(B6089,Ingot!$H$12:$H$119,Ingot!$G$12:$G$119,"")</f>
        <v>Stone</v>
      </c>
      <c r="B6089" t="s">
        <v>12204</v>
      </c>
      <c r="C6089" t="s">
        <v>10</v>
      </c>
      <c r="D6089" t="s">
        <v>12241</v>
      </c>
      <c r="E6089" t="s">
        <v>12242</v>
      </c>
      <c r="G6089" s="1">
        <v>3.64</v>
      </c>
    </row>
    <row r="6090" spans="1:7" ht="14.25" hidden="1" customHeight="1" x14ac:dyDescent="0.45">
      <c r="A6090" t="str">
        <f>_xlfn.XLOOKUP(B6090,Ingot!$H$12:$H$119,Ingot!$G$12:$G$119,"")</f>
        <v>Stone</v>
      </c>
      <c r="B6090" t="s">
        <v>12204</v>
      </c>
      <c r="C6090" t="s">
        <v>10</v>
      </c>
      <c r="D6090" t="s">
        <v>12243</v>
      </c>
      <c r="E6090" t="s">
        <v>12244</v>
      </c>
      <c r="G6090" s="1">
        <v>7.05</v>
      </c>
    </row>
    <row r="6091" spans="1:7" ht="14.25" hidden="1" customHeight="1" x14ac:dyDescent="0.45">
      <c r="A6091" t="str">
        <f>_xlfn.XLOOKUP(B6091,Ingot!$H$12:$H$119,Ingot!$G$12:$G$119,"")</f>
        <v>Stone</v>
      </c>
      <c r="B6091" t="s">
        <v>12204</v>
      </c>
      <c r="C6091" t="s">
        <v>10</v>
      </c>
      <c r="D6091" t="s">
        <v>12245</v>
      </c>
      <c r="E6091" t="s">
        <v>12246</v>
      </c>
      <c r="G6091" s="1">
        <v>2.65</v>
      </c>
    </row>
    <row r="6092" spans="1:7" ht="14.25" hidden="1" customHeight="1" x14ac:dyDescent="0.45">
      <c r="A6092" t="str">
        <f>_xlfn.XLOOKUP(B6092,Ingot!$H$12:$H$119,Ingot!$G$12:$G$119,"")</f>
        <v>Stone</v>
      </c>
      <c r="B6092" t="s">
        <v>12204</v>
      </c>
      <c r="C6092" t="s">
        <v>10</v>
      </c>
      <c r="D6092" t="s">
        <v>12247</v>
      </c>
      <c r="E6092" t="s">
        <v>12248</v>
      </c>
      <c r="G6092" s="1">
        <v>9</v>
      </c>
    </row>
    <row r="6093" spans="1:7" ht="14.25" hidden="1" customHeight="1" x14ac:dyDescent="0.45">
      <c r="A6093" t="str">
        <f>_xlfn.XLOOKUP(B6093,Ingot!$H$12:$H$119,Ingot!$G$12:$G$119,"")</f>
        <v>Stone</v>
      </c>
      <c r="B6093" t="s">
        <v>12204</v>
      </c>
      <c r="C6093" t="s">
        <v>10</v>
      </c>
      <c r="D6093" t="s">
        <v>12249</v>
      </c>
      <c r="E6093" t="s">
        <v>12250</v>
      </c>
      <c r="G6093" s="1">
        <v>10.23</v>
      </c>
    </row>
    <row r="6094" spans="1:7" ht="14.25" hidden="1" customHeight="1" x14ac:dyDescent="0.45">
      <c r="A6094" t="str">
        <f>_xlfn.XLOOKUP(B6094,Ingot!$H$12:$H$119,Ingot!$G$12:$G$119,"")</f>
        <v>Stone</v>
      </c>
      <c r="B6094" t="s">
        <v>12204</v>
      </c>
      <c r="C6094" t="s">
        <v>10</v>
      </c>
      <c r="D6094" t="s">
        <v>12251</v>
      </c>
      <c r="E6094" t="s">
        <v>12252</v>
      </c>
      <c r="G6094" s="1">
        <v>7.7</v>
      </c>
    </row>
    <row r="6095" spans="1:7" ht="14.25" hidden="1" customHeight="1" x14ac:dyDescent="0.45">
      <c r="A6095" t="str">
        <f>_xlfn.XLOOKUP(B6095,Ingot!$H$12:$H$119,Ingot!$G$12:$G$119,"")</f>
        <v>Stone</v>
      </c>
      <c r="B6095" t="s">
        <v>12204</v>
      </c>
      <c r="C6095" t="s">
        <v>10</v>
      </c>
      <c r="D6095" t="s">
        <v>12253</v>
      </c>
      <c r="E6095" t="s">
        <v>12254</v>
      </c>
      <c r="G6095" s="1">
        <v>10.02</v>
      </c>
    </row>
    <row r="6096" spans="1:7" ht="14.25" hidden="1" customHeight="1" x14ac:dyDescent="0.45">
      <c r="A6096" t="str">
        <f>_xlfn.XLOOKUP(B6096,Ingot!$H$12:$H$119,Ingot!$G$12:$G$119,"")</f>
        <v>Stone</v>
      </c>
      <c r="B6096" t="s">
        <v>12204</v>
      </c>
      <c r="C6096" t="s">
        <v>10</v>
      </c>
      <c r="D6096" t="s">
        <v>12255</v>
      </c>
      <c r="E6096" t="s">
        <v>12256</v>
      </c>
      <c r="G6096" s="1">
        <v>11.81</v>
      </c>
    </row>
    <row r="6097" spans="1:7" ht="14.25" hidden="1" customHeight="1" x14ac:dyDescent="0.45">
      <c r="A6097" t="str">
        <f>_xlfn.XLOOKUP(B6097,Ingot!$H$12:$H$119,Ingot!$G$12:$G$119,"")</f>
        <v>Stone</v>
      </c>
      <c r="B6097" t="s">
        <v>12204</v>
      </c>
      <c r="C6097" t="s">
        <v>10</v>
      </c>
      <c r="D6097" t="s">
        <v>12257</v>
      </c>
      <c r="E6097" t="s">
        <v>12258</v>
      </c>
      <c r="G6097" s="1">
        <v>8.44</v>
      </c>
    </row>
    <row r="6098" spans="1:7" ht="14.25" hidden="1" customHeight="1" x14ac:dyDescent="0.45">
      <c r="A6098" t="str">
        <f>_xlfn.XLOOKUP(B6098,Ingot!$H$12:$H$119,Ingot!$G$12:$G$119,"")</f>
        <v>Stone</v>
      </c>
      <c r="B6098" t="s">
        <v>12204</v>
      </c>
      <c r="C6098" t="s">
        <v>10</v>
      </c>
      <c r="D6098" t="s">
        <v>12259</v>
      </c>
      <c r="E6098" t="s">
        <v>12260</v>
      </c>
      <c r="G6098" s="1">
        <v>10.42</v>
      </c>
    </row>
    <row r="6099" spans="1:7" ht="14.25" hidden="1" customHeight="1" x14ac:dyDescent="0.45">
      <c r="A6099" t="str">
        <f>_xlfn.XLOOKUP(B6099,Ingot!$H$12:$H$119,Ingot!$G$12:$G$119,"")</f>
        <v>Stone</v>
      </c>
      <c r="B6099" t="s">
        <v>12204</v>
      </c>
      <c r="C6099" t="s">
        <v>10</v>
      </c>
      <c r="D6099" t="s">
        <v>12261</v>
      </c>
      <c r="E6099" t="s">
        <v>12262</v>
      </c>
    </row>
    <row r="6100" spans="1:7" ht="14.25" hidden="1" customHeight="1" x14ac:dyDescent="0.45">
      <c r="A6100" t="str">
        <f>_xlfn.XLOOKUP(B6100,Ingot!$H$12:$H$119,Ingot!$G$12:$G$119,"")</f>
        <v>Stone</v>
      </c>
      <c r="B6100" t="s">
        <v>12204</v>
      </c>
      <c r="C6100" t="s">
        <v>10</v>
      </c>
      <c r="D6100" t="s">
        <v>12263</v>
      </c>
      <c r="E6100" t="s">
        <v>12264</v>
      </c>
      <c r="G6100" s="1">
        <v>7.96</v>
      </c>
    </row>
    <row r="6101" spans="1:7" ht="14.25" hidden="1" customHeight="1" x14ac:dyDescent="0.45">
      <c r="A6101" t="str">
        <f>_xlfn.XLOOKUP(B6101,Ingot!$H$12:$H$119,Ingot!$G$12:$G$119,"")</f>
        <v>Stone</v>
      </c>
      <c r="B6101" t="s">
        <v>12204</v>
      </c>
      <c r="C6101" t="s">
        <v>10</v>
      </c>
      <c r="D6101" t="s">
        <v>12265</v>
      </c>
      <c r="E6101" t="s">
        <v>12266</v>
      </c>
      <c r="G6101" s="1">
        <v>9.64</v>
      </c>
    </row>
    <row r="6102" spans="1:7" ht="14.25" hidden="1" customHeight="1" x14ac:dyDescent="0.45">
      <c r="A6102" t="str">
        <f>_xlfn.XLOOKUP(B6102,Ingot!$H$12:$H$119,Ingot!$G$12:$G$119,"")</f>
        <v>Stone</v>
      </c>
      <c r="B6102" t="s">
        <v>12204</v>
      </c>
      <c r="C6102" t="s">
        <v>10</v>
      </c>
      <c r="D6102" t="s">
        <v>12267</v>
      </c>
      <c r="E6102" t="s">
        <v>12268</v>
      </c>
      <c r="G6102" s="1">
        <v>7.94</v>
      </c>
    </row>
    <row r="6103" spans="1:7" ht="14.25" hidden="1" customHeight="1" x14ac:dyDescent="0.45">
      <c r="A6103" t="str">
        <f>_xlfn.XLOOKUP(B6103,Ingot!$H$12:$H$119,Ingot!$G$12:$G$119,"")</f>
        <v>Stone</v>
      </c>
      <c r="B6103" t="s">
        <v>12204</v>
      </c>
      <c r="C6103" t="s">
        <v>10</v>
      </c>
      <c r="D6103" t="s">
        <v>12269</v>
      </c>
      <c r="E6103" t="s">
        <v>12270</v>
      </c>
      <c r="G6103" s="1">
        <v>8.66</v>
      </c>
    </row>
    <row r="6104" spans="1:7" ht="14.25" hidden="1" customHeight="1" x14ac:dyDescent="0.45">
      <c r="A6104" t="str">
        <f>_xlfn.XLOOKUP(B6104,Ingot!$H$12:$H$119,Ingot!$G$12:$G$119,"")</f>
        <v>Stone</v>
      </c>
      <c r="B6104" t="s">
        <v>12204</v>
      </c>
      <c r="C6104" t="s">
        <v>10</v>
      </c>
      <c r="D6104" t="s">
        <v>12271</v>
      </c>
      <c r="E6104" t="s">
        <v>12272</v>
      </c>
    </row>
    <row r="6105" spans="1:7" ht="14.25" hidden="1" customHeight="1" x14ac:dyDescent="0.45">
      <c r="A6105" t="str">
        <f>_xlfn.XLOOKUP(B6105,Ingot!$H$12:$H$119,Ingot!$G$12:$G$119,"")</f>
        <v>Stone</v>
      </c>
      <c r="B6105" t="s">
        <v>12204</v>
      </c>
      <c r="C6105" t="s">
        <v>10</v>
      </c>
      <c r="D6105" t="s">
        <v>12273</v>
      </c>
      <c r="E6105" t="s">
        <v>12274</v>
      </c>
      <c r="G6105" s="1">
        <v>2.65</v>
      </c>
    </row>
    <row r="6106" spans="1:7" ht="14.25" hidden="1" customHeight="1" x14ac:dyDescent="0.45">
      <c r="A6106" t="str">
        <f>_xlfn.XLOOKUP(B6106,Ingot!$H$12:$H$119,Ingot!$G$12:$G$119,"")</f>
        <v>Stone</v>
      </c>
      <c r="B6106" t="s">
        <v>12204</v>
      </c>
      <c r="C6106" t="s">
        <v>10</v>
      </c>
      <c r="D6106" t="s">
        <v>12275</v>
      </c>
      <c r="E6106" t="s">
        <v>12276</v>
      </c>
    </row>
    <row r="6107" spans="1:7" ht="14.25" hidden="1" customHeight="1" x14ac:dyDescent="0.45">
      <c r="A6107" t="str">
        <f>_xlfn.XLOOKUP(B6107,Ingot!$H$12:$H$119,Ingot!$G$12:$G$119,"")</f>
        <v>Stone</v>
      </c>
      <c r="B6107" t="s">
        <v>12204</v>
      </c>
      <c r="C6107" t="s">
        <v>10</v>
      </c>
      <c r="D6107" t="s">
        <v>12277</v>
      </c>
      <c r="E6107" t="s">
        <v>12278</v>
      </c>
      <c r="G6107" s="1">
        <v>12.64</v>
      </c>
    </row>
    <row r="6108" spans="1:7" ht="14.25" hidden="1" customHeight="1" x14ac:dyDescent="0.45">
      <c r="A6108" t="str">
        <f>_xlfn.XLOOKUP(B6108,Ingot!$H$12:$H$119,Ingot!$G$12:$G$119,"")</f>
        <v>Stone</v>
      </c>
      <c r="B6108" t="s">
        <v>12204</v>
      </c>
      <c r="C6108" t="s">
        <v>10</v>
      </c>
      <c r="D6108" t="s">
        <v>12279</v>
      </c>
      <c r="E6108" t="s">
        <v>12280</v>
      </c>
      <c r="G6108" s="1">
        <v>22.67</v>
      </c>
    </row>
    <row r="6109" spans="1:7" ht="14.25" hidden="1" customHeight="1" x14ac:dyDescent="0.45">
      <c r="A6109" t="str">
        <f>_xlfn.XLOOKUP(B6109,Ingot!$H$12:$H$119,Ingot!$G$12:$G$119,"")</f>
        <v>Stone</v>
      </c>
      <c r="B6109" t="s">
        <v>12204</v>
      </c>
      <c r="C6109" t="s">
        <v>10</v>
      </c>
      <c r="D6109" t="s">
        <v>12281</v>
      </c>
      <c r="E6109" t="s">
        <v>12282</v>
      </c>
      <c r="G6109" s="1">
        <v>8.3800000000000008</v>
      </c>
    </row>
    <row r="6110" spans="1:7" ht="14.25" hidden="1" customHeight="1" x14ac:dyDescent="0.45">
      <c r="A6110" t="str">
        <f>_xlfn.XLOOKUP(B6110,Ingot!$H$12:$H$119,Ingot!$G$12:$G$119,"")</f>
        <v>Stone</v>
      </c>
      <c r="B6110" t="s">
        <v>12204</v>
      </c>
      <c r="C6110" t="s">
        <v>10</v>
      </c>
      <c r="D6110" t="s">
        <v>12283</v>
      </c>
      <c r="E6110" t="s">
        <v>12284</v>
      </c>
      <c r="G6110" s="1">
        <v>2.2000000000000002</v>
      </c>
    </row>
    <row r="6111" spans="1:7" ht="14.25" hidden="1" customHeight="1" x14ac:dyDescent="0.45">
      <c r="A6111" t="str">
        <f>_xlfn.XLOOKUP(B6111,Ingot!$H$12:$H$119,Ingot!$G$12:$G$119,"")</f>
        <v>Stone</v>
      </c>
      <c r="B6111" t="s">
        <v>12204</v>
      </c>
      <c r="C6111" t="s">
        <v>10</v>
      </c>
      <c r="D6111" t="s">
        <v>12285</v>
      </c>
      <c r="E6111" t="s">
        <v>12286</v>
      </c>
      <c r="G6111" s="1">
        <v>3.09</v>
      </c>
    </row>
    <row r="6112" spans="1:7" ht="14.25" hidden="1" customHeight="1" x14ac:dyDescent="0.45">
      <c r="A6112" t="str">
        <f>_xlfn.XLOOKUP(B6112,Ingot!$H$12:$H$119,Ingot!$G$12:$G$119,"")</f>
        <v>Stone</v>
      </c>
      <c r="B6112" t="s">
        <v>12204</v>
      </c>
      <c r="C6112" t="s">
        <v>10</v>
      </c>
      <c r="D6112" t="s">
        <v>12287</v>
      </c>
      <c r="E6112" t="s">
        <v>12288</v>
      </c>
      <c r="G6112" s="1">
        <v>2.2999999999999998</v>
      </c>
    </row>
    <row r="6113" spans="1:7" ht="14.25" hidden="1" customHeight="1" x14ac:dyDescent="0.45">
      <c r="A6113" t="str">
        <f>_xlfn.XLOOKUP(B6113,Ingot!$H$12:$H$119,Ingot!$G$12:$G$119,"")</f>
        <v>Stone</v>
      </c>
      <c r="B6113" t="s">
        <v>12204</v>
      </c>
      <c r="C6113" t="s">
        <v>10</v>
      </c>
      <c r="D6113" t="s">
        <v>12289</v>
      </c>
      <c r="E6113" t="s">
        <v>12290</v>
      </c>
      <c r="G6113" s="1">
        <v>4.88</v>
      </c>
    </row>
    <row r="6114" spans="1:7" ht="14.25" hidden="1" customHeight="1" x14ac:dyDescent="0.45">
      <c r="A6114" t="str">
        <f>_xlfn.XLOOKUP(B6114,Ingot!$H$12:$H$119,Ingot!$G$12:$G$119,"")</f>
        <v>Stone</v>
      </c>
      <c r="B6114" t="s">
        <v>12204</v>
      </c>
      <c r="C6114" t="s">
        <v>10</v>
      </c>
      <c r="D6114" t="s">
        <v>12291</v>
      </c>
      <c r="E6114" t="s">
        <v>12292</v>
      </c>
      <c r="G6114" s="1">
        <v>8.43</v>
      </c>
    </row>
    <row r="6115" spans="1:7" ht="14.25" hidden="1" customHeight="1" x14ac:dyDescent="0.45">
      <c r="A6115" t="str">
        <f>_xlfn.XLOOKUP(B6115,Ingot!$H$12:$H$119,Ingot!$G$12:$G$119,"")</f>
        <v>Stone</v>
      </c>
      <c r="B6115" t="s">
        <v>12204</v>
      </c>
      <c r="C6115" t="s">
        <v>10</v>
      </c>
      <c r="D6115" t="s">
        <v>12293</v>
      </c>
      <c r="E6115" t="s">
        <v>12294</v>
      </c>
      <c r="G6115" s="1">
        <v>13.07</v>
      </c>
    </row>
    <row r="6116" spans="1:7" ht="14.25" hidden="1" customHeight="1" x14ac:dyDescent="0.45">
      <c r="A6116" t="str">
        <f>_xlfn.XLOOKUP(B6116,Ingot!$H$12:$H$119,Ingot!$G$12:$G$119,"")</f>
        <v>Stone</v>
      </c>
      <c r="B6116" t="s">
        <v>12204</v>
      </c>
      <c r="C6116" t="s">
        <v>10</v>
      </c>
      <c r="D6116" t="s">
        <v>12295</v>
      </c>
      <c r="E6116" t="s">
        <v>12296</v>
      </c>
    </row>
    <row r="6117" spans="1:7" ht="14.25" hidden="1" customHeight="1" x14ac:dyDescent="0.45">
      <c r="A6117" t="str">
        <f>_xlfn.XLOOKUP(B6117,Ingot!$H$12:$H$119,Ingot!$G$12:$G$119,"")</f>
        <v>Stone</v>
      </c>
      <c r="B6117" t="s">
        <v>12204</v>
      </c>
      <c r="C6117" t="s">
        <v>10</v>
      </c>
      <c r="D6117" t="s">
        <v>12297</v>
      </c>
      <c r="E6117" t="s">
        <v>12298</v>
      </c>
    </row>
    <row r="6118" spans="1:7" ht="14.25" hidden="1" customHeight="1" x14ac:dyDescent="0.45">
      <c r="A6118" t="str">
        <f>_xlfn.XLOOKUP(B6118,Ingot!$H$12:$H$119,Ingot!$G$12:$G$119,"")</f>
        <v>Stone</v>
      </c>
      <c r="B6118" t="s">
        <v>12204</v>
      </c>
      <c r="C6118" t="s">
        <v>10</v>
      </c>
      <c r="D6118" t="s">
        <v>12299</v>
      </c>
      <c r="E6118" t="s">
        <v>12300</v>
      </c>
      <c r="G6118" s="1">
        <v>6.8</v>
      </c>
    </row>
    <row r="6119" spans="1:7" ht="14.25" hidden="1" customHeight="1" x14ac:dyDescent="0.45">
      <c r="A6119" t="str">
        <f>_xlfn.XLOOKUP(B6119,Ingot!$H$12:$H$119,Ingot!$G$12:$G$119,"")</f>
        <v>Stone</v>
      </c>
      <c r="B6119" t="s">
        <v>12204</v>
      </c>
      <c r="C6119" t="s">
        <v>10</v>
      </c>
      <c r="D6119" t="s">
        <v>12301</v>
      </c>
      <c r="E6119" t="s">
        <v>12302</v>
      </c>
      <c r="G6119" s="1">
        <v>6.88</v>
      </c>
    </row>
    <row r="6120" spans="1:7" ht="14.25" hidden="1" customHeight="1" x14ac:dyDescent="0.45">
      <c r="A6120" t="str">
        <f>_xlfn.XLOOKUP(B6120,Ingot!$H$12:$H$119,Ingot!$G$12:$G$119,"")</f>
        <v>Stone</v>
      </c>
      <c r="B6120" t="s">
        <v>12204</v>
      </c>
      <c r="C6120" t="s">
        <v>10</v>
      </c>
      <c r="D6120" t="s">
        <v>12303</v>
      </c>
      <c r="E6120" t="s">
        <v>12304</v>
      </c>
      <c r="G6120" s="1">
        <v>5.5</v>
      </c>
    </row>
    <row r="6121" spans="1:7" ht="14.25" hidden="1" customHeight="1" x14ac:dyDescent="0.45">
      <c r="A6121" t="str">
        <f>_xlfn.XLOOKUP(B6121,Ingot!$H$12:$H$119,Ingot!$G$12:$G$119,"")</f>
        <v>Stone</v>
      </c>
      <c r="B6121" t="s">
        <v>12204</v>
      </c>
      <c r="C6121" t="s">
        <v>10</v>
      </c>
      <c r="D6121" t="s">
        <v>12305</v>
      </c>
      <c r="E6121" t="s">
        <v>12306</v>
      </c>
      <c r="G6121" s="1">
        <v>2.4300000000000002</v>
      </c>
    </row>
    <row r="6122" spans="1:7" ht="14.25" hidden="1" customHeight="1" x14ac:dyDescent="0.45">
      <c r="A6122" t="str">
        <f>_xlfn.XLOOKUP(B6122,Ingot!$H$12:$H$119,Ingot!$G$12:$G$119,"")</f>
        <v>Stone</v>
      </c>
      <c r="B6122" t="s">
        <v>12204</v>
      </c>
      <c r="C6122" t="s">
        <v>10</v>
      </c>
      <c r="D6122" t="s">
        <v>12307</v>
      </c>
      <c r="E6122" t="s">
        <v>12308</v>
      </c>
      <c r="G6122" s="1">
        <v>6.96</v>
      </c>
    </row>
    <row r="6123" spans="1:7" ht="14.25" hidden="1" customHeight="1" x14ac:dyDescent="0.45">
      <c r="A6123" t="str">
        <f>_xlfn.XLOOKUP(B6123,Ingot!$H$12:$H$119,Ingot!$G$12:$G$119,"")</f>
        <v>Stone</v>
      </c>
      <c r="B6123" t="s">
        <v>12204</v>
      </c>
      <c r="C6123" t="s">
        <v>10</v>
      </c>
      <c r="D6123" t="s">
        <v>12309</v>
      </c>
      <c r="E6123" t="s">
        <v>12310</v>
      </c>
      <c r="G6123" s="1">
        <v>6.32</v>
      </c>
    </row>
    <row r="6124" spans="1:7" ht="14.25" hidden="1" customHeight="1" x14ac:dyDescent="0.45">
      <c r="A6124" t="str">
        <f>_xlfn.XLOOKUP(B6124,Ingot!$H$12:$H$119,Ingot!$G$12:$G$119,"")</f>
        <v>Stone</v>
      </c>
      <c r="B6124" t="s">
        <v>12204</v>
      </c>
      <c r="C6124" t="s">
        <v>10</v>
      </c>
      <c r="D6124" t="s">
        <v>12311</v>
      </c>
      <c r="E6124" t="s">
        <v>12312</v>
      </c>
      <c r="G6124" s="1">
        <v>6.88</v>
      </c>
    </row>
    <row r="6125" spans="1:7" ht="14.25" hidden="1" customHeight="1" x14ac:dyDescent="0.45">
      <c r="A6125" t="str">
        <f>_xlfn.XLOOKUP(B6125,Ingot!$H$12:$H$119,Ingot!$G$12:$G$119,"")</f>
        <v>Stone</v>
      </c>
      <c r="B6125" t="s">
        <v>12204</v>
      </c>
      <c r="C6125" t="s">
        <v>10</v>
      </c>
      <c r="D6125" t="s">
        <v>12313</v>
      </c>
      <c r="E6125" t="s">
        <v>12314</v>
      </c>
      <c r="G6125" s="1">
        <v>2.44</v>
      </c>
    </row>
    <row r="6126" spans="1:7" ht="14.25" hidden="1" customHeight="1" x14ac:dyDescent="0.45">
      <c r="A6126" t="str">
        <f>_xlfn.XLOOKUP(B6126,Ingot!$H$12:$H$119,Ingot!$G$12:$G$119,"")</f>
        <v>Stone</v>
      </c>
      <c r="B6126" t="s">
        <v>12204</v>
      </c>
      <c r="C6126" t="s">
        <v>10</v>
      </c>
      <c r="D6126" t="s">
        <v>12315</v>
      </c>
      <c r="E6126" t="s">
        <v>12316</v>
      </c>
    </row>
    <row r="6127" spans="1:7" ht="14.25" hidden="1" customHeight="1" x14ac:dyDescent="0.45">
      <c r="A6127" t="str">
        <f>_xlfn.XLOOKUP(B6127,Ingot!$H$12:$H$119,Ingot!$G$12:$G$119,"")</f>
        <v>Stone</v>
      </c>
      <c r="B6127" t="s">
        <v>12204</v>
      </c>
      <c r="C6127" t="s">
        <v>10</v>
      </c>
      <c r="D6127" t="s">
        <v>12317</v>
      </c>
      <c r="E6127" t="s">
        <v>12318</v>
      </c>
    </row>
    <row r="6128" spans="1:7" ht="14.25" hidden="1" customHeight="1" x14ac:dyDescent="0.45">
      <c r="A6128" t="str">
        <f>_xlfn.XLOOKUP(B6128,Ingot!$H$12:$H$119,Ingot!$G$12:$G$119,"")</f>
        <v>Stone</v>
      </c>
      <c r="B6128" t="s">
        <v>12204</v>
      </c>
      <c r="C6128" t="s">
        <v>10</v>
      </c>
      <c r="D6128" t="s">
        <v>12319</v>
      </c>
      <c r="E6128" t="s">
        <v>12320</v>
      </c>
      <c r="G6128" s="1">
        <v>3.11</v>
      </c>
    </row>
    <row r="6129" spans="1:7" ht="14.25" hidden="1" customHeight="1" x14ac:dyDescent="0.45">
      <c r="A6129" t="str">
        <f>_xlfn.XLOOKUP(B6129,Ingot!$H$12:$H$119,Ingot!$G$12:$G$119,"")</f>
        <v>Stone</v>
      </c>
      <c r="B6129" t="s">
        <v>12204</v>
      </c>
      <c r="C6129" t="s">
        <v>10</v>
      </c>
      <c r="D6129" t="s">
        <v>12321</v>
      </c>
      <c r="E6129" t="s">
        <v>12322</v>
      </c>
      <c r="G6129" s="1">
        <v>2.44</v>
      </c>
    </row>
    <row r="6130" spans="1:7" ht="14.25" hidden="1" customHeight="1" x14ac:dyDescent="0.45">
      <c r="A6130" t="str">
        <f>_xlfn.XLOOKUP(B6130,Ingot!$H$12:$H$119,Ingot!$G$12:$G$119,"")</f>
        <v>Stone</v>
      </c>
      <c r="B6130" t="s">
        <v>12204</v>
      </c>
      <c r="C6130" t="s">
        <v>10</v>
      </c>
      <c r="D6130" t="s">
        <v>12323</v>
      </c>
      <c r="E6130" t="s">
        <v>12324</v>
      </c>
      <c r="G6130" s="1">
        <v>8.61</v>
      </c>
    </row>
    <row r="6131" spans="1:7" ht="14.25" hidden="1" customHeight="1" x14ac:dyDescent="0.45">
      <c r="A6131" t="str">
        <f>_xlfn.XLOOKUP(B6131,Ingot!$H$12:$H$119,Ingot!$G$12:$G$119,"")</f>
        <v>Stone</v>
      </c>
      <c r="B6131" t="s">
        <v>12204</v>
      </c>
      <c r="C6131" t="s">
        <v>10</v>
      </c>
      <c r="D6131" t="s">
        <v>12325</v>
      </c>
      <c r="E6131" t="s">
        <v>12326</v>
      </c>
    </row>
    <row r="6132" spans="1:7" ht="14.25" hidden="1" customHeight="1" x14ac:dyDescent="0.45">
      <c r="A6132" t="str">
        <f>_xlfn.XLOOKUP(B6132,Ingot!$H$12:$H$119,Ingot!$G$12:$G$119,"")</f>
        <v>Stone</v>
      </c>
      <c r="B6132" t="s">
        <v>12204</v>
      </c>
      <c r="C6132" t="s">
        <v>10</v>
      </c>
      <c r="D6132" t="s">
        <v>12327</v>
      </c>
      <c r="E6132" t="s">
        <v>12328</v>
      </c>
      <c r="G6132" s="1">
        <v>3.21</v>
      </c>
    </row>
    <row r="6133" spans="1:7" ht="14.25" hidden="1" customHeight="1" x14ac:dyDescent="0.45">
      <c r="A6133" t="str">
        <f>_xlfn.XLOOKUP(B6133,Ingot!$H$12:$H$119,Ingot!$G$12:$G$119,"")</f>
        <v>Stone</v>
      </c>
      <c r="B6133" t="s">
        <v>12204</v>
      </c>
      <c r="C6133" t="s">
        <v>10</v>
      </c>
      <c r="D6133" t="s">
        <v>12329</v>
      </c>
      <c r="E6133" t="s">
        <v>12330</v>
      </c>
      <c r="G6133" s="1">
        <v>2.77</v>
      </c>
    </row>
    <row r="6134" spans="1:7" ht="14.25" hidden="1" customHeight="1" x14ac:dyDescent="0.45">
      <c r="A6134" t="str">
        <f>_xlfn.XLOOKUP(B6134,Ingot!$H$12:$H$119,Ingot!$G$12:$G$119,"")</f>
        <v>Stone</v>
      </c>
      <c r="B6134" t="s">
        <v>12204</v>
      </c>
      <c r="C6134" t="s">
        <v>10</v>
      </c>
      <c r="D6134" t="s">
        <v>12331</v>
      </c>
      <c r="E6134" t="s">
        <v>12332</v>
      </c>
      <c r="G6134" s="1">
        <v>4.8899999999999997</v>
      </c>
    </row>
    <row r="6135" spans="1:7" ht="14.25" hidden="1" customHeight="1" x14ac:dyDescent="0.45">
      <c r="A6135" t="str">
        <f>_xlfn.XLOOKUP(B6135,Ingot!$H$12:$H$119,Ingot!$G$12:$G$119,"")</f>
        <v>Stone</v>
      </c>
      <c r="B6135" t="s">
        <v>12204</v>
      </c>
      <c r="C6135" t="s">
        <v>10</v>
      </c>
      <c r="D6135" t="s">
        <v>12333</v>
      </c>
      <c r="E6135" t="s">
        <v>12334</v>
      </c>
      <c r="G6135" s="1">
        <v>1.76</v>
      </c>
    </row>
    <row r="6136" spans="1:7" ht="14.25" hidden="1" customHeight="1" x14ac:dyDescent="0.45">
      <c r="A6136" t="str">
        <f>_xlfn.XLOOKUP(B6136,Ingot!$H$12:$H$119,Ingot!$G$12:$G$119,"")</f>
        <v>Stone</v>
      </c>
      <c r="B6136" t="s">
        <v>12204</v>
      </c>
      <c r="C6136" t="s">
        <v>10</v>
      </c>
      <c r="D6136" t="s">
        <v>12335</v>
      </c>
      <c r="E6136" t="s">
        <v>12336</v>
      </c>
    </row>
    <row r="6137" spans="1:7" ht="14.25" hidden="1" customHeight="1" x14ac:dyDescent="0.45">
      <c r="A6137" t="str">
        <f>_xlfn.XLOOKUP(B6137,Ingot!$H$12:$H$119,Ingot!$G$12:$G$119,"")</f>
        <v>Stone</v>
      </c>
      <c r="B6137" t="s">
        <v>12204</v>
      </c>
      <c r="C6137" t="s">
        <v>10</v>
      </c>
      <c r="D6137" t="s">
        <v>12337</v>
      </c>
      <c r="E6137" t="s">
        <v>12338</v>
      </c>
      <c r="G6137" s="1">
        <v>8.57</v>
      </c>
    </row>
    <row r="6138" spans="1:7" ht="14.25" hidden="1" customHeight="1" x14ac:dyDescent="0.45">
      <c r="A6138" t="str">
        <f>_xlfn.XLOOKUP(B6138,Ingot!$H$12:$H$119,Ingot!$G$12:$G$119,"")</f>
        <v>Stone</v>
      </c>
      <c r="B6138" t="s">
        <v>12204</v>
      </c>
      <c r="C6138" t="s">
        <v>10</v>
      </c>
      <c r="D6138" t="s">
        <v>12339</v>
      </c>
      <c r="E6138" t="s">
        <v>12340</v>
      </c>
    </row>
    <row r="6139" spans="1:7" ht="14.25" hidden="1" customHeight="1" x14ac:dyDescent="0.45">
      <c r="A6139" t="str">
        <f>_xlfn.XLOOKUP(B6139,Ingot!$H$12:$H$119,Ingot!$G$12:$G$119,"")</f>
        <v>Stone</v>
      </c>
      <c r="B6139" t="s">
        <v>12204</v>
      </c>
      <c r="C6139" t="s">
        <v>10</v>
      </c>
      <c r="D6139" t="s">
        <v>12341</v>
      </c>
      <c r="E6139" t="s">
        <v>12342</v>
      </c>
      <c r="G6139" s="1">
        <v>3.56</v>
      </c>
    </row>
    <row r="6140" spans="1:7" ht="14.25" hidden="1" customHeight="1" x14ac:dyDescent="0.45">
      <c r="A6140" t="str">
        <f>_xlfn.XLOOKUP(B6140,Ingot!$H$12:$H$119,Ingot!$G$12:$G$119,"")</f>
        <v>Stone</v>
      </c>
      <c r="B6140" t="s">
        <v>12204</v>
      </c>
      <c r="C6140" t="s">
        <v>10</v>
      </c>
      <c r="D6140" t="s">
        <v>12343</v>
      </c>
      <c r="E6140" t="s">
        <v>12344</v>
      </c>
      <c r="G6140" s="1">
        <v>8.91</v>
      </c>
    </row>
    <row r="6141" spans="1:7" ht="14.25" hidden="1" customHeight="1" x14ac:dyDescent="0.45">
      <c r="A6141" t="str">
        <f>_xlfn.XLOOKUP(B6141,Ingot!$H$12:$H$119,Ingot!$G$12:$G$119,"")</f>
        <v>Stone</v>
      </c>
      <c r="B6141" t="s">
        <v>12204</v>
      </c>
      <c r="C6141" t="s">
        <v>10</v>
      </c>
      <c r="D6141" t="s">
        <v>12345</v>
      </c>
      <c r="E6141" t="s">
        <v>12346</v>
      </c>
      <c r="G6141" s="1">
        <v>11.02</v>
      </c>
    </row>
    <row r="6142" spans="1:7" ht="14.25" hidden="1" customHeight="1" x14ac:dyDescent="0.45">
      <c r="A6142" t="str">
        <f>_xlfn.XLOOKUP(B6142,Ingot!$H$12:$H$119,Ingot!$G$12:$G$119,"")</f>
        <v>Stone</v>
      </c>
      <c r="B6142" t="s">
        <v>12204</v>
      </c>
      <c r="C6142" t="s">
        <v>10</v>
      </c>
      <c r="D6142" t="s">
        <v>12347</v>
      </c>
      <c r="E6142" t="s">
        <v>12348</v>
      </c>
      <c r="G6142" s="1">
        <v>5.12</v>
      </c>
    </row>
    <row r="6143" spans="1:7" ht="14.25" hidden="1" customHeight="1" x14ac:dyDescent="0.45">
      <c r="A6143" t="str">
        <f>_xlfn.XLOOKUP(B6143,Ingot!$H$12:$H$119,Ingot!$G$12:$G$119,"")</f>
        <v>Stone</v>
      </c>
      <c r="B6143" t="s">
        <v>12204</v>
      </c>
      <c r="C6143" t="s">
        <v>10</v>
      </c>
      <c r="D6143" t="s">
        <v>12349</v>
      </c>
      <c r="E6143" t="s">
        <v>12350</v>
      </c>
      <c r="G6143" s="1">
        <v>4.41</v>
      </c>
    </row>
    <row r="6144" spans="1:7" ht="14.25" hidden="1" customHeight="1" x14ac:dyDescent="0.45">
      <c r="A6144" t="str">
        <f>_xlfn.XLOOKUP(B6144,Ingot!$H$12:$H$119,Ingot!$G$12:$G$119,"")</f>
        <v>Stone</v>
      </c>
      <c r="B6144" t="s">
        <v>12204</v>
      </c>
      <c r="C6144" t="s">
        <v>157</v>
      </c>
      <c r="D6144" t="s">
        <v>12351</v>
      </c>
      <c r="E6144" t="s">
        <v>12352</v>
      </c>
      <c r="G6144" s="1">
        <v>45.5</v>
      </c>
    </row>
    <row r="6145" spans="1:7" ht="14.25" hidden="1" customHeight="1" x14ac:dyDescent="0.45">
      <c r="A6145" t="str">
        <f>_xlfn.XLOOKUP(B6145,Ingot!$H$12:$H$119,Ingot!$G$12:$G$119,"")</f>
        <v>Stone</v>
      </c>
      <c r="B6145" t="s">
        <v>12204</v>
      </c>
      <c r="C6145" t="s">
        <v>157</v>
      </c>
      <c r="D6145" t="s">
        <v>12353</v>
      </c>
      <c r="E6145" t="s">
        <v>12354</v>
      </c>
      <c r="G6145" s="1">
        <v>9.1</v>
      </c>
    </row>
    <row r="6146" spans="1:7" ht="14.25" hidden="1" customHeight="1" x14ac:dyDescent="0.45">
      <c r="A6146" t="str">
        <f>_xlfn.XLOOKUP(B6146,Ingot!$H$12:$H$119,Ingot!$G$12:$G$119,"")</f>
        <v>Stone</v>
      </c>
      <c r="B6146" t="s">
        <v>12204</v>
      </c>
      <c r="C6146" t="s">
        <v>157</v>
      </c>
      <c r="D6146" t="s">
        <v>12355</v>
      </c>
      <c r="E6146" t="s">
        <v>12356</v>
      </c>
      <c r="G6146" s="1">
        <v>9.1</v>
      </c>
    </row>
    <row r="6147" spans="1:7" ht="14.25" hidden="1" customHeight="1" x14ac:dyDescent="0.45">
      <c r="A6147" t="str">
        <f>_xlfn.XLOOKUP(B6147,Ingot!$H$12:$H$119,Ingot!$G$12:$G$119,"")</f>
        <v>Stone</v>
      </c>
      <c r="B6147" t="s">
        <v>12204</v>
      </c>
      <c r="C6147" t="s">
        <v>157</v>
      </c>
      <c r="D6147" t="s">
        <v>12357</v>
      </c>
      <c r="E6147" t="s">
        <v>12358</v>
      </c>
      <c r="G6147" s="1">
        <v>5.92</v>
      </c>
    </row>
    <row r="6148" spans="1:7" ht="14.25" hidden="1" customHeight="1" x14ac:dyDescent="0.45">
      <c r="A6148" t="str">
        <f>_xlfn.XLOOKUP(B6148,Ingot!$H$12:$H$119,Ingot!$G$12:$G$119,"")</f>
        <v>Stone</v>
      </c>
      <c r="B6148" t="s">
        <v>12204</v>
      </c>
      <c r="C6148" t="s">
        <v>157</v>
      </c>
      <c r="D6148" t="s">
        <v>12359</v>
      </c>
      <c r="E6148" t="s">
        <v>12360</v>
      </c>
      <c r="G6148" s="1">
        <v>11.83</v>
      </c>
    </row>
    <row r="6149" spans="1:7" ht="14.25" hidden="1" customHeight="1" x14ac:dyDescent="0.45">
      <c r="A6149" t="str">
        <f>_xlfn.XLOOKUP(B6149,Ingot!$H$12:$H$119,Ingot!$G$12:$G$119,"")</f>
        <v>Stone</v>
      </c>
      <c r="B6149" t="s">
        <v>12204</v>
      </c>
      <c r="C6149" t="s">
        <v>157</v>
      </c>
      <c r="D6149" t="s">
        <v>12361</v>
      </c>
      <c r="E6149" t="s">
        <v>12362</v>
      </c>
      <c r="G6149" s="1">
        <v>41.5</v>
      </c>
    </row>
    <row r="6150" spans="1:7" ht="14.25" hidden="1" customHeight="1" x14ac:dyDescent="0.45">
      <c r="A6150" t="str">
        <f>_xlfn.XLOOKUP(B6150,Ingot!$H$12:$H$119,Ingot!$G$12:$G$119,"")</f>
        <v>Stone</v>
      </c>
      <c r="B6150" t="s">
        <v>12204</v>
      </c>
      <c r="C6150" t="s">
        <v>157</v>
      </c>
      <c r="D6150" t="s">
        <v>12363</v>
      </c>
      <c r="E6150" t="s">
        <v>12364</v>
      </c>
      <c r="G6150" s="1">
        <v>8.3000000000000007</v>
      </c>
    </row>
    <row r="6151" spans="1:7" ht="14.25" hidden="1" customHeight="1" x14ac:dyDescent="0.45">
      <c r="A6151" t="str">
        <f>_xlfn.XLOOKUP(B6151,Ingot!$H$12:$H$119,Ingot!$G$12:$G$119,"")</f>
        <v>Stone</v>
      </c>
      <c r="B6151" t="s">
        <v>12204</v>
      </c>
      <c r="C6151" t="s">
        <v>157</v>
      </c>
      <c r="D6151" t="s">
        <v>12365</v>
      </c>
      <c r="E6151" t="s">
        <v>12366</v>
      </c>
      <c r="G6151" s="1">
        <v>8.3000000000000007</v>
      </c>
    </row>
    <row r="6152" spans="1:7" ht="14.25" hidden="1" customHeight="1" x14ac:dyDescent="0.45">
      <c r="A6152" t="str">
        <f>_xlfn.XLOOKUP(B6152,Ingot!$H$12:$H$119,Ingot!$G$12:$G$119,"")</f>
        <v>Stone</v>
      </c>
      <c r="B6152" t="s">
        <v>12204</v>
      </c>
      <c r="C6152" t="s">
        <v>157</v>
      </c>
      <c r="D6152" t="s">
        <v>12367</v>
      </c>
      <c r="E6152" t="s">
        <v>12368</v>
      </c>
      <c r="G6152" s="1">
        <v>5.4</v>
      </c>
    </row>
    <row r="6153" spans="1:7" ht="14.25" hidden="1" customHeight="1" x14ac:dyDescent="0.45">
      <c r="A6153" t="str">
        <f>_xlfn.XLOOKUP(B6153,Ingot!$H$12:$H$119,Ingot!$G$12:$G$119,"")</f>
        <v>Stone</v>
      </c>
      <c r="B6153" t="s">
        <v>12204</v>
      </c>
      <c r="C6153" t="s">
        <v>157</v>
      </c>
      <c r="D6153" t="s">
        <v>12369</v>
      </c>
      <c r="E6153" t="s">
        <v>12370</v>
      </c>
      <c r="G6153" s="1">
        <v>10.79</v>
      </c>
    </row>
    <row r="6154" spans="1:7" ht="14.25" hidden="1" customHeight="1" x14ac:dyDescent="0.45">
      <c r="A6154" t="str">
        <f>_xlfn.XLOOKUP(B6154,Ingot!$H$12:$H$119,Ingot!$G$12:$G$119,"")</f>
        <v>Stone</v>
      </c>
      <c r="B6154" t="s">
        <v>12204</v>
      </c>
      <c r="C6154" t="s">
        <v>157</v>
      </c>
      <c r="D6154" t="s">
        <v>12371</v>
      </c>
      <c r="E6154" t="s">
        <v>12372</v>
      </c>
      <c r="G6154" s="1">
        <v>40.5</v>
      </c>
    </row>
    <row r="6155" spans="1:7" ht="14.25" hidden="1" customHeight="1" x14ac:dyDescent="0.45">
      <c r="A6155" t="str">
        <f>_xlfn.XLOOKUP(B6155,Ingot!$H$12:$H$119,Ingot!$G$12:$G$119,"")</f>
        <v>Stone</v>
      </c>
      <c r="B6155" t="s">
        <v>12204</v>
      </c>
      <c r="C6155" t="s">
        <v>157</v>
      </c>
      <c r="D6155" t="s">
        <v>12373</v>
      </c>
      <c r="E6155" t="s">
        <v>12374</v>
      </c>
      <c r="G6155" s="1">
        <v>8.1</v>
      </c>
    </row>
    <row r="6156" spans="1:7" ht="14.25" hidden="1" customHeight="1" x14ac:dyDescent="0.45">
      <c r="A6156" t="str">
        <f>_xlfn.XLOOKUP(B6156,Ingot!$H$12:$H$119,Ingot!$G$12:$G$119,"")</f>
        <v>Stone</v>
      </c>
      <c r="B6156" t="s">
        <v>12204</v>
      </c>
      <c r="C6156" t="s">
        <v>157</v>
      </c>
      <c r="D6156" t="s">
        <v>12375</v>
      </c>
      <c r="E6156" t="s">
        <v>12376</v>
      </c>
      <c r="G6156" s="1">
        <v>8.1</v>
      </c>
    </row>
    <row r="6157" spans="1:7" ht="14.25" hidden="1" customHeight="1" x14ac:dyDescent="0.45">
      <c r="A6157" t="str">
        <f>_xlfn.XLOOKUP(B6157,Ingot!$H$12:$H$119,Ingot!$G$12:$G$119,"")</f>
        <v>Stone</v>
      </c>
      <c r="B6157" t="s">
        <v>12204</v>
      </c>
      <c r="C6157" t="s">
        <v>157</v>
      </c>
      <c r="D6157" t="s">
        <v>12377</v>
      </c>
      <c r="E6157" t="s">
        <v>12378</v>
      </c>
      <c r="G6157" s="1">
        <v>5.27</v>
      </c>
    </row>
    <row r="6158" spans="1:7" ht="14.25" hidden="1" customHeight="1" x14ac:dyDescent="0.45">
      <c r="A6158" t="str">
        <f>_xlfn.XLOOKUP(B6158,Ingot!$H$12:$H$119,Ingot!$G$12:$G$119,"")</f>
        <v>Stone</v>
      </c>
      <c r="B6158" t="s">
        <v>12204</v>
      </c>
      <c r="C6158" t="s">
        <v>157</v>
      </c>
      <c r="D6158" t="s">
        <v>12379</v>
      </c>
      <c r="E6158" t="s">
        <v>12380</v>
      </c>
      <c r="G6158" s="1">
        <v>10.53</v>
      </c>
    </row>
    <row r="6159" spans="1:7" ht="14.25" hidden="1" customHeight="1" x14ac:dyDescent="0.45">
      <c r="A6159" t="str">
        <f>_xlfn.XLOOKUP(B6159,Ingot!$H$12:$H$119,Ingot!$G$12:$G$119,"")</f>
        <v>Stone</v>
      </c>
      <c r="B6159" t="s">
        <v>12204</v>
      </c>
      <c r="C6159" t="s">
        <v>157</v>
      </c>
      <c r="D6159" t="s">
        <v>12381</v>
      </c>
      <c r="E6159" t="s">
        <v>12382</v>
      </c>
      <c r="G6159" s="1">
        <v>42.5</v>
      </c>
    </row>
    <row r="6160" spans="1:7" ht="14.25" hidden="1" customHeight="1" x14ac:dyDescent="0.45">
      <c r="A6160" t="str">
        <f>_xlfn.XLOOKUP(B6160,Ingot!$H$12:$H$119,Ingot!$G$12:$G$119,"")</f>
        <v>Stone</v>
      </c>
      <c r="B6160" t="s">
        <v>12204</v>
      </c>
      <c r="C6160" t="s">
        <v>157</v>
      </c>
      <c r="D6160" t="s">
        <v>12383</v>
      </c>
      <c r="E6160" t="s">
        <v>12384</v>
      </c>
      <c r="G6160" s="1">
        <v>8.5</v>
      </c>
    </row>
    <row r="6161" spans="1:7" ht="14.25" hidden="1" customHeight="1" x14ac:dyDescent="0.45">
      <c r="A6161" t="str">
        <f>_xlfn.XLOOKUP(B6161,Ingot!$H$12:$H$119,Ingot!$G$12:$G$119,"")</f>
        <v>Stone</v>
      </c>
      <c r="B6161" t="s">
        <v>12204</v>
      </c>
      <c r="C6161" t="s">
        <v>157</v>
      </c>
      <c r="D6161" t="s">
        <v>12385</v>
      </c>
      <c r="E6161" t="s">
        <v>12386</v>
      </c>
      <c r="G6161" s="1">
        <v>8.5</v>
      </c>
    </row>
    <row r="6162" spans="1:7" ht="14.25" hidden="1" customHeight="1" x14ac:dyDescent="0.45">
      <c r="A6162" t="str">
        <f>_xlfn.XLOOKUP(B6162,Ingot!$H$12:$H$119,Ingot!$G$12:$G$119,"")</f>
        <v>Stone</v>
      </c>
      <c r="B6162" t="s">
        <v>12204</v>
      </c>
      <c r="C6162" t="s">
        <v>157</v>
      </c>
      <c r="D6162" t="s">
        <v>12387</v>
      </c>
      <c r="E6162" t="s">
        <v>12388</v>
      </c>
      <c r="G6162" s="1">
        <v>5.53</v>
      </c>
    </row>
    <row r="6163" spans="1:7" ht="14.25" hidden="1" customHeight="1" x14ac:dyDescent="0.45">
      <c r="A6163" t="str">
        <f>_xlfn.XLOOKUP(B6163,Ingot!$H$12:$H$119,Ingot!$G$12:$G$119,"")</f>
        <v>Stone</v>
      </c>
      <c r="B6163" t="s">
        <v>12204</v>
      </c>
      <c r="C6163" t="s">
        <v>157</v>
      </c>
      <c r="D6163" t="s">
        <v>12389</v>
      </c>
      <c r="E6163" t="s">
        <v>12390</v>
      </c>
      <c r="G6163" s="1">
        <v>11.05</v>
      </c>
    </row>
    <row r="6164" spans="1:7" ht="14.25" hidden="1" customHeight="1" x14ac:dyDescent="0.45">
      <c r="A6164" t="str">
        <f>_xlfn.XLOOKUP(B6164,Ingot!$H$12:$H$119,Ingot!$G$12:$G$119,"")</f>
        <v>Stone</v>
      </c>
      <c r="B6164" t="s">
        <v>12204</v>
      </c>
      <c r="C6164" t="s">
        <v>157</v>
      </c>
      <c r="D6164" t="s">
        <v>12391</v>
      </c>
      <c r="E6164" t="s">
        <v>12392</v>
      </c>
      <c r="G6164" s="1">
        <v>44</v>
      </c>
    </row>
    <row r="6165" spans="1:7" ht="14.25" hidden="1" customHeight="1" x14ac:dyDescent="0.45">
      <c r="A6165" t="str">
        <f>_xlfn.XLOOKUP(B6165,Ingot!$H$12:$H$119,Ingot!$G$12:$G$119,"")</f>
        <v>Stone</v>
      </c>
      <c r="B6165" t="s">
        <v>12204</v>
      </c>
      <c r="C6165" t="s">
        <v>157</v>
      </c>
      <c r="D6165" t="s">
        <v>12393</v>
      </c>
      <c r="E6165" t="s">
        <v>12394</v>
      </c>
      <c r="G6165" s="1">
        <v>8.8000000000000007</v>
      </c>
    </row>
    <row r="6166" spans="1:7" ht="14.25" hidden="1" customHeight="1" x14ac:dyDescent="0.45">
      <c r="A6166" t="str">
        <f>_xlfn.XLOOKUP(B6166,Ingot!$H$12:$H$119,Ingot!$G$12:$G$119,"")</f>
        <v>Stone</v>
      </c>
      <c r="B6166" t="s">
        <v>12204</v>
      </c>
      <c r="C6166" t="s">
        <v>157</v>
      </c>
      <c r="D6166" t="s">
        <v>12395</v>
      </c>
      <c r="E6166" t="s">
        <v>12396</v>
      </c>
      <c r="G6166" s="1">
        <v>8.8000000000000007</v>
      </c>
    </row>
    <row r="6167" spans="1:7" ht="14.25" hidden="1" customHeight="1" x14ac:dyDescent="0.45">
      <c r="A6167" t="str">
        <f>_xlfn.XLOOKUP(B6167,Ingot!$H$12:$H$119,Ingot!$G$12:$G$119,"")</f>
        <v>Stone</v>
      </c>
      <c r="B6167" t="s">
        <v>12204</v>
      </c>
      <c r="C6167" t="s">
        <v>157</v>
      </c>
      <c r="D6167" t="s">
        <v>12397</v>
      </c>
      <c r="E6167" t="s">
        <v>12398</v>
      </c>
      <c r="G6167" s="1">
        <v>5.72</v>
      </c>
    </row>
    <row r="6168" spans="1:7" ht="14.25" hidden="1" customHeight="1" x14ac:dyDescent="0.45">
      <c r="A6168" t="str">
        <f>_xlfn.XLOOKUP(B6168,Ingot!$H$12:$H$119,Ingot!$G$12:$G$119,"")</f>
        <v>Stone</v>
      </c>
      <c r="B6168" t="s">
        <v>12204</v>
      </c>
      <c r="C6168" t="s">
        <v>157</v>
      </c>
      <c r="D6168" t="s">
        <v>12399</v>
      </c>
      <c r="E6168" t="s">
        <v>12400</v>
      </c>
      <c r="G6168" s="1">
        <v>11.44</v>
      </c>
    </row>
    <row r="6169" spans="1:7" ht="14.25" hidden="1" customHeight="1" x14ac:dyDescent="0.45">
      <c r="A6169" t="str">
        <f>_xlfn.XLOOKUP(B6169,Ingot!$H$12:$H$119,Ingot!$G$12:$G$119,"")</f>
        <v>Stone</v>
      </c>
      <c r="B6169" t="s">
        <v>12204</v>
      </c>
      <c r="C6169" t="s">
        <v>157</v>
      </c>
      <c r="D6169" t="s">
        <v>12401</v>
      </c>
      <c r="E6169" t="s">
        <v>12402</v>
      </c>
      <c r="G6169" s="1">
        <v>48.5</v>
      </c>
    </row>
    <row r="6170" spans="1:7" ht="14.25" hidden="1" customHeight="1" x14ac:dyDescent="0.45">
      <c r="A6170" t="str">
        <f>_xlfn.XLOOKUP(B6170,Ingot!$H$12:$H$119,Ingot!$G$12:$G$119,"")</f>
        <v>Stone</v>
      </c>
      <c r="B6170" t="s">
        <v>12204</v>
      </c>
      <c r="C6170" t="s">
        <v>157</v>
      </c>
      <c r="D6170" t="s">
        <v>12403</v>
      </c>
      <c r="E6170" t="s">
        <v>12404</v>
      </c>
      <c r="G6170" s="1">
        <v>9.6999999999999993</v>
      </c>
    </row>
    <row r="6171" spans="1:7" ht="14.25" hidden="1" customHeight="1" x14ac:dyDescent="0.45">
      <c r="A6171" t="str">
        <f>_xlfn.XLOOKUP(B6171,Ingot!$H$12:$H$119,Ingot!$G$12:$G$119,"")</f>
        <v>Stone</v>
      </c>
      <c r="B6171" t="s">
        <v>12204</v>
      </c>
      <c r="C6171" t="s">
        <v>157</v>
      </c>
      <c r="D6171" t="s">
        <v>12405</v>
      </c>
      <c r="E6171" t="s">
        <v>12406</v>
      </c>
      <c r="G6171" s="1">
        <v>9.6999999999999993</v>
      </c>
    </row>
    <row r="6172" spans="1:7" ht="14.25" hidden="1" customHeight="1" x14ac:dyDescent="0.45">
      <c r="A6172" t="str">
        <f>_xlfn.XLOOKUP(B6172,Ingot!$H$12:$H$119,Ingot!$G$12:$G$119,"")</f>
        <v>Stone</v>
      </c>
      <c r="B6172" t="s">
        <v>12204</v>
      </c>
      <c r="C6172" t="s">
        <v>157</v>
      </c>
      <c r="D6172" t="s">
        <v>12407</v>
      </c>
      <c r="E6172" t="s">
        <v>12408</v>
      </c>
      <c r="G6172" s="1">
        <v>6.31</v>
      </c>
    </row>
    <row r="6173" spans="1:7" ht="14.25" hidden="1" customHeight="1" x14ac:dyDescent="0.45">
      <c r="A6173" t="str">
        <f>_xlfn.XLOOKUP(B6173,Ingot!$H$12:$H$119,Ingot!$G$12:$G$119,"")</f>
        <v>Stone</v>
      </c>
      <c r="B6173" t="s">
        <v>12204</v>
      </c>
      <c r="C6173" t="s">
        <v>157</v>
      </c>
      <c r="D6173" t="s">
        <v>12409</v>
      </c>
      <c r="E6173" t="s">
        <v>12410</v>
      </c>
      <c r="G6173" s="1">
        <v>12.61</v>
      </c>
    </row>
    <row r="6174" spans="1:7" ht="14.25" hidden="1" customHeight="1" x14ac:dyDescent="0.45">
      <c r="A6174" t="str">
        <f>_xlfn.XLOOKUP(B6174,Ingot!$H$12:$H$119,Ingot!$G$12:$G$119,"")</f>
        <v>Stone</v>
      </c>
      <c r="B6174" t="s">
        <v>12204</v>
      </c>
      <c r="C6174" t="s">
        <v>157</v>
      </c>
      <c r="D6174" t="s">
        <v>12411</v>
      </c>
      <c r="E6174" t="s">
        <v>12412</v>
      </c>
      <c r="G6174" s="1">
        <v>47</v>
      </c>
    </row>
    <row r="6175" spans="1:7" ht="14.25" hidden="1" customHeight="1" x14ac:dyDescent="0.45">
      <c r="A6175" t="str">
        <f>_xlfn.XLOOKUP(B6175,Ingot!$H$12:$H$119,Ingot!$G$12:$G$119,"")</f>
        <v>Stone</v>
      </c>
      <c r="B6175" t="s">
        <v>12204</v>
      </c>
      <c r="C6175" t="s">
        <v>157</v>
      </c>
      <c r="D6175" t="s">
        <v>12413</v>
      </c>
      <c r="E6175" t="s">
        <v>12414</v>
      </c>
      <c r="G6175" s="1">
        <v>9.4</v>
      </c>
    </row>
    <row r="6176" spans="1:7" ht="14.25" hidden="1" customHeight="1" x14ac:dyDescent="0.45">
      <c r="A6176" t="str">
        <f>_xlfn.XLOOKUP(B6176,Ingot!$H$12:$H$119,Ingot!$G$12:$G$119,"")</f>
        <v>Stone</v>
      </c>
      <c r="B6176" t="s">
        <v>12204</v>
      </c>
      <c r="C6176" t="s">
        <v>157</v>
      </c>
      <c r="D6176" t="s">
        <v>12415</v>
      </c>
      <c r="E6176" t="s">
        <v>12416</v>
      </c>
      <c r="G6176" s="1">
        <v>9.4</v>
      </c>
    </row>
    <row r="6177" spans="1:7" ht="14.25" hidden="1" customHeight="1" x14ac:dyDescent="0.45">
      <c r="A6177" t="str">
        <f>_xlfn.XLOOKUP(B6177,Ingot!$H$12:$H$119,Ingot!$G$12:$G$119,"")</f>
        <v>Stone</v>
      </c>
      <c r="B6177" t="s">
        <v>12204</v>
      </c>
      <c r="C6177" t="s">
        <v>157</v>
      </c>
      <c r="D6177" t="s">
        <v>12417</v>
      </c>
      <c r="E6177" t="s">
        <v>12418</v>
      </c>
      <c r="G6177" s="1">
        <v>6.11</v>
      </c>
    </row>
    <row r="6178" spans="1:7" ht="14.25" hidden="1" customHeight="1" x14ac:dyDescent="0.45">
      <c r="A6178" t="str">
        <f>_xlfn.XLOOKUP(B6178,Ingot!$H$12:$H$119,Ingot!$G$12:$G$119,"")</f>
        <v>Stone</v>
      </c>
      <c r="B6178" t="s">
        <v>12204</v>
      </c>
      <c r="C6178" t="s">
        <v>157</v>
      </c>
      <c r="D6178" t="s">
        <v>12419</v>
      </c>
      <c r="E6178" t="s">
        <v>12420</v>
      </c>
      <c r="G6178" s="1">
        <v>12.22</v>
      </c>
    </row>
    <row r="6179" spans="1:7" ht="14.25" hidden="1" customHeight="1" x14ac:dyDescent="0.45">
      <c r="A6179" t="str">
        <f>_xlfn.XLOOKUP(B6179,Ingot!$H$12:$H$119,Ingot!$G$12:$G$119,"")</f>
        <v>Stone</v>
      </c>
      <c r="B6179" t="s">
        <v>12204</v>
      </c>
      <c r="C6179" t="s">
        <v>157</v>
      </c>
      <c r="D6179" t="s">
        <v>12421</v>
      </c>
      <c r="E6179" t="s">
        <v>12422</v>
      </c>
      <c r="G6179" s="1">
        <v>39.5</v>
      </c>
    </row>
    <row r="6180" spans="1:7" ht="14.25" hidden="1" customHeight="1" x14ac:dyDescent="0.45">
      <c r="A6180" t="str">
        <f>_xlfn.XLOOKUP(B6180,Ingot!$H$12:$H$119,Ingot!$G$12:$G$119,"")</f>
        <v>Stone</v>
      </c>
      <c r="B6180" t="s">
        <v>12204</v>
      </c>
      <c r="C6180" t="s">
        <v>157</v>
      </c>
      <c r="D6180" t="s">
        <v>12423</v>
      </c>
      <c r="E6180" t="s">
        <v>12424</v>
      </c>
      <c r="G6180" s="1">
        <v>7.9</v>
      </c>
    </row>
    <row r="6181" spans="1:7" ht="14.25" hidden="1" customHeight="1" x14ac:dyDescent="0.45">
      <c r="A6181" t="str">
        <f>_xlfn.XLOOKUP(B6181,Ingot!$H$12:$H$119,Ingot!$G$12:$G$119,"")</f>
        <v>Stone</v>
      </c>
      <c r="B6181" t="s">
        <v>12204</v>
      </c>
      <c r="C6181" t="s">
        <v>157</v>
      </c>
      <c r="D6181" t="s">
        <v>12425</v>
      </c>
      <c r="E6181" t="s">
        <v>12426</v>
      </c>
      <c r="G6181" s="1">
        <v>7.9</v>
      </c>
    </row>
    <row r="6182" spans="1:7" ht="14.25" hidden="1" customHeight="1" x14ac:dyDescent="0.45">
      <c r="A6182" t="str">
        <f>_xlfn.XLOOKUP(B6182,Ingot!$H$12:$H$119,Ingot!$G$12:$G$119,"")</f>
        <v>Stone</v>
      </c>
      <c r="B6182" t="s">
        <v>12204</v>
      </c>
      <c r="C6182" t="s">
        <v>157</v>
      </c>
      <c r="D6182" t="s">
        <v>12427</v>
      </c>
      <c r="E6182" t="s">
        <v>12428</v>
      </c>
      <c r="G6182" s="1">
        <v>5.14</v>
      </c>
    </row>
    <row r="6183" spans="1:7" ht="14.25" hidden="1" customHeight="1" x14ac:dyDescent="0.45">
      <c r="A6183" t="str">
        <f>_xlfn.XLOOKUP(B6183,Ingot!$H$12:$H$119,Ingot!$G$12:$G$119,"")</f>
        <v>Stone</v>
      </c>
      <c r="B6183" t="s">
        <v>12204</v>
      </c>
      <c r="C6183" t="s">
        <v>157</v>
      </c>
      <c r="D6183" t="s">
        <v>12429</v>
      </c>
      <c r="E6183" t="s">
        <v>12430</v>
      </c>
      <c r="G6183" s="1">
        <v>10.27</v>
      </c>
    </row>
    <row r="6184" spans="1:7" ht="14.25" hidden="1" customHeight="1" x14ac:dyDescent="0.45">
      <c r="A6184" t="str">
        <f>_xlfn.XLOOKUP(B6184,Ingot!$H$12:$H$119,Ingot!$G$12:$G$119,"")</f>
        <v>Stone</v>
      </c>
      <c r="B6184" t="s">
        <v>12204</v>
      </c>
      <c r="C6184" t="s">
        <v>239</v>
      </c>
      <c r="D6184" t="s">
        <v>12431</v>
      </c>
      <c r="E6184" t="s">
        <v>12432</v>
      </c>
    </row>
    <row r="6185" spans="1:7" ht="14.25" hidden="1" customHeight="1" x14ac:dyDescent="0.45">
      <c r="A6185" t="str">
        <f>_xlfn.XLOOKUP(B6185,Ingot!$H$12:$H$119,Ingot!$G$12:$G$119,"")</f>
        <v>Stone</v>
      </c>
      <c r="B6185" t="s">
        <v>12204</v>
      </c>
      <c r="C6185" t="s">
        <v>239</v>
      </c>
      <c r="D6185" t="s">
        <v>12433</v>
      </c>
      <c r="E6185" t="s">
        <v>12434</v>
      </c>
    </row>
    <row r="6186" spans="1:7" ht="14.25" hidden="1" customHeight="1" x14ac:dyDescent="0.45">
      <c r="A6186" t="str">
        <f>_xlfn.XLOOKUP(B6186,Ingot!$H$12:$H$119,Ingot!$G$12:$G$119,"")</f>
        <v>Stone</v>
      </c>
      <c r="B6186" t="s">
        <v>12204</v>
      </c>
      <c r="C6186" t="s">
        <v>239</v>
      </c>
      <c r="D6186" t="s">
        <v>12435</v>
      </c>
      <c r="E6186" t="s">
        <v>12436</v>
      </c>
    </row>
    <row r="6187" spans="1:7" ht="14.25" hidden="1" customHeight="1" x14ac:dyDescent="0.45">
      <c r="A6187" t="str">
        <f>_xlfn.XLOOKUP(B6187,Ingot!$H$12:$H$119,Ingot!$G$12:$G$119,"")</f>
        <v>Stone</v>
      </c>
      <c r="B6187" t="s">
        <v>12204</v>
      </c>
      <c r="C6187" t="s">
        <v>239</v>
      </c>
      <c r="D6187" t="s">
        <v>12437</v>
      </c>
      <c r="E6187" t="s">
        <v>12438</v>
      </c>
    </row>
    <row r="6188" spans="1:7" ht="14.25" hidden="1" customHeight="1" x14ac:dyDescent="0.45">
      <c r="A6188" t="str">
        <f>_xlfn.XLOOKUP(B6188,Ingot!$H$12:$H$119,Ingot!$G$12:$G$119,"")</f>
        <v>Stone</v>
      </c>
      <c r="B6188" t="s">
        <v>12204</v>
      </c>
      <c r="C6188" t="s">
        <v>239</v>
      </c>
      <c r="D6188" t="s">
        <v>12439</v>
      </c>
      <c r="E6188" t="s">
        <v>12440</v>
      </c>
    </row>
    <row r="6189" spans="1:7" ht="14.25" hidden="1" customHeight="1" x14ac:dyDescent="0.45">
      <c r="A6189" t="str">
        <f>_xlfn.XLOOKUP(B6189,Ingot!$H$12:$H$119,Ingot!$G$12:$G$119,"")</f>
        <v>Stone</v>
      </c>
      <c r="B6189" t="s">
        <v>12204</v>
      </c>
      <c r="C6189" t="s">
        <v>239</v>
      </c>
      <c r="D6189" t="s">
        <v>12441</v>
      </c>
      <c r="E6189" t="s">
        <v>12442</v>
      </c>
    </row>
    <row r="6190" spans="1:7" ht="14.25" hidden="1" customHeight="1" x14ac:dyDescent="0.45">
      <c r="A6190" t="str">
        <f>_xlfn.XLOOKUP(B6190,Ingot!$H$12:$H$119,Ingot!$G$12:$G$119,"")</f>
        <v>Stone</v>
      </c>
      <c r="B6190" t="s">
        <v>12443</v>
      </c>
      <c r="C6190" t="s">
        <v>10</v>
      </c>
      <c r="D6190" t="s">
        <v>12444</v>
      </c>
      <c r="E6190" t="s">
        <v>12445</v>
      </c>
      <c r="G6190" s="1">
        <v>0.08</v>
      </c>
    </row>
    <row r="6191" spans="1:7" ht="14.25" hidden="1" customHeight="1" x14ac:dyDescent="0.45">
      <c r="A6191" t="str">
        <f>_xlfn.XLOOKUP(B6191,Ingot!$H$12:$H$119,Ingot!$G$12:$G$119,"")</f>
        <v>Stone</v>
      </c>
      <c r="B6191" t="s">
        <v>12443</v>
      </c>
      <c r="C6191" t="s">
        <v>10</v>
      </c>
      <c r="D6191" t="s">
        <v>12446</v>
      </c>
      <c r="E6191" t="s">
        <v>12447</v>
      </c>
      <c r="G6191" s="1">
        <v>9.9</v>
      </c>
    </row>
    <row r="6192" spans="1:7" ht="14.25" hidden="1" customHeight="1" x14ac:dyDescent="0.45">
      <c r="A6192" t="str">
        <f>_xlfn.XLOOKUP(B6192,Ingot!$H$12:$H$119,Ingot!$G$12:$G$119,"")</f>
        <v>Stone</v>
      </c>
      <c r="B6192" t="s">
        <v>12443</v>
      </c>
      <c r="C6192" t="s">
        <v>10</v>
      </c>
      <c r="D6192" t="s">
        <v>12448</v>
      </c>
      <c r="E6192" t="s">
        <v>12449</v>
      </c>
      <c r="G6192" s="1">
        <v>5.66</v>
      </c>
    </row>
    <row r="6193" spans="1:7" ht="14.25" hidden="1" customHeight="1" x14ac:dyDescent="0.45">
      <c r="A6193" t="str">
        <f>_xlfn.XLOOKUP(B6193,Ingot!$H$12:$H$119,Ingot!$G$12:$G$119,"")</f>
        <v>Stone</v>
      </c>
      <c r="B6193" t="s">
        <v>12443</v>
      </c>
      <c r="C6193" t="s">
        <v>10</v>
      </c>
      <c r="D6193" t="s">
        <v>12450</v>
      </c>
      <c r="E6193" t="s">
        <v>12451</v>
      </c>
      <c r="G6193" s="1">
        <v>3.3</v>
      </c>
    </row>
    <row r="6194" spans="1:7" ht="14.25" hidden="1" customHeight="1" x14ac:dyDescent="0.45">
      <c r="A6194" t="str">
        <f>_xlfn.XLOOKUP(B6194,Ingot!$H$12:$H$119,Ingot!$G$12:$G$119,"")</f>
        <v>Stone</v>
      </c>
      <c r="B6194" t="s">
        <v>12443</v>
      </c>
      <c r="C6194" t="s">
        <v>10</v>
      </c>
      <c r="D6194" t="s">
        <v>12452</v>
      </c>
      <c r="E6194" t="s">
        <v>12453</v>
      </c>
      <c r="G6194" s="1">
        <v>0.66</v>
      </c>
    </row>
    <row r="6195" spans="1:7" ht="14.25" hidden="1" customHeight="1" x14ac:dyDescent="0.45">
      <c r="A6195" t="str">
        <f>_xlfn.XLOOKUP(B6195,Ingot!$H$12:$H$119,Ingot!$G$12:$G$119,"")</f>
        <v>Stone</v>
      </c>
      <c r="B6195" t="s">
        <v>12443</v>
      </c>
      <c r="C6195" t="s">
        <v>10</v>
      </c>
      <c r="D6195" t="s">
        <v>12454</v>
      </c>
      <c r="E6195" t="s">
        <v>12455</v>
      </c>
      <c r="G6195" s="1">
        <v>0.04</v>
      </c>
    </row>
    <row r="6196" spans="1:7" ht="14.25" hidden="1" customHeight="1" x14ac:dyDescent="0.45">
      <c r="A6196" t="str">
        <f>_xlfn.XLOOKUP(B6196,Ingot!$H$12:$H$119,Ingot!$G$12:$G$119,"")</f>
        <v>Stone</v>
      </c>
      <c r="B6196" t="s">
        <v>12443</v>
      </c>
      <c r="C6196" t="s">
        <v>10</v>
      </c>
      <c r="D6196" t="s">
        <v>12456</v>
      </c>
      <c r="E6196" t="s">
        <v>12457</v>
      </c>
      <c r="G6196" s="1">
        <v>0.33</v>
      </c>
    </row>
    <row r="6197" spans="1:7" ht="14.25" hidden="1" customHeight="1" x14ac:dyDescent="0.45">
      <c r="A6197" t="str">
        <f>_xlfn.XLOOKUP(B6197,Ingot!$H$12:$H$119,Ingot!$G$12:$G$119,"")</f>
        <v>Stone</v>
      </c>
      <c r="B6197" t="s">
        <v>12443</v>
      </c>
      <c r="C6197" t="s">
        <v>10</v>
      </c>
      <c r="D6197" t="s">
        <v>12458</v>
      </c>
      <c r="E6197" t="s">
        <v>12459</v>
      </c>
    </row>
    <row r="6198" spans="1:7" ht="14.25" hidden="1" customHeight="1" x14ac:dyDescent="0.45">
      <c r="A6198" t="str">
        <f>_xlfn.XLOOKUP(B6198,Ingot!$H$12:$H$119,Ingot!$G$12:$G$119,"")</f>
        <v>Stone</v>
      </c>
      <c r="B6198" t="s">
        <v>12443</v>
      </c>
      <c r="C6198" t="s">
        <v>10</v>
      </c>
      <c r="D6198" t="s">
        <v>12460</v>
      </c>
      <c r="E6198" t="s">
        <v>12461</v>
      </c>
      <c r="G6198" s="1">
        <v>0.05</v>
      </c>
    </row>
    <row r="6199" spans="1:7" ht="14.25" hidden="1" customHeight="1" x14ac:dyDescent="0.45">
      <c r="A6199" t="str">
        <f>_xlfn.XLOOKUP(B6199,Ingot!$H$12:$H$119,Ingot!$G$12:$G$119,"")</f>
        <v>Stone</v>
      </c>
      <c r="B6199" t="s">
        <v>12443</v>
      </c>
      <c r="C6199" t="s">
        <v>10</v>
      </c>
      <c r="D6199" t="s">
        <v>12462</v>
      </c>
      <c r="E6199" t="s">
        <v>12463</v>
      </c>
      <c r="G6199" s="1">
        <v>0.66</v>
      </c>
    </row>
    <row r="6200" spans="1:7" ht="14.25" hidden="1" customHeight="1" x14ac:dyDescent="0.45">
      <c r="A6200" t="str">
        <f>_xlfn.XLOOKUP(B6200,Ingot!$H$12:$H$119,Ingot!$G$12:$G$119,"")</f>
        <v>Stone</v>
      </c>
      <c r="B6200" t="s">
        <v>12443</v>
      </c>
      <c r="C6200" t="s">
        <v>10</v>
      </c>
      <c r="D6200" t="s">
        <v>12464</v>
      </c>
      <c r="E6200" t="s">
        <v>12465</v>
      </c>
      <c r="G6200" s="1">
        <v>3.96</v>
      </c>
    </row>
    <row r="6201" spans="1:7" ht="14.25" hidden="1" customHeight="1" x14ac:dyDescent="0.45">
      <c r="A6201" t="str">
        <f>_xlfn.XLOOKUP(B6201,Ingot!$H$12:$H$119,Ingot!$G$12:$G$119,"")</f>
        <v>Stone</v>
      </c>
      <c r="B6201" t="s">
        <v>12443</v>
      </c>
      <c r="C6201" t="s">
        <v>10</v>
      </c>
      <c r="D6201" t="s">
        <v>12466</v>
      </c>
      <c r="E6201" t="s">
        <v>12467</v>
      </c>
      <c r="G6201" s="1">
        <v>8.77</v>
      </c>
    </row>
    <row r="6202" spans="1:7" ht="14.25" hidden="1" customHeight="1" x14ac:dyDescent="0.45">
      <c r="A6202" t="str">
        <f>_xlfn.XLOOKUP(B6202,Ingot!$H$12:$H$119,Ingot!$G$12:$G$119,"")</f>
        <v>Stone</v>
      </c>
      <c r="B6202" t="s">
        <v>12443</v>
      </c>
      <c r="C6202" t="s">
        <v>10</v>
      </c>
      <c r="D6202" t="s">
        <v>12468</v>
      </c>
      <c r="E6202" t="s">
        <v>12469</v>
      </c>
      <c r="G6202" s="1">
        <v>3.5</v>
      </c>
    </row>
    <row r="6203" spans="1:7" ht="14.25" hidden="1" customHeight="1" x14ac:dyDescent="0.45">
      <c r="A6203" t="str">
        <f>_xlfn.XLOOKUP(B6203,Ingot!$H$12:$H$119,Ingot!$G$12:$G$119,"")</f>
        <v>Stone</v>
      </c>
      <c r="B6203" t="s">
        <v>12443</v>
      </c>
      <c r="C6203" t="s">
        <v>10</v>
      </c>
      <c r="D6203" t="s">
        <v>12470</v>
      </c>
      <c r="E6203" t="s">
        <v>12471</v>
      </c>
    </row>
    <row r="6204" spans="1:7" ht="14.25" hidden="1" customHeight="1" x14ac:dyDescent="0.45">
      <c r="A6204" t="str">
        <f>_xlfn.XLOOKUP(B6204,Ingot!$H$12:$H$119,Ingot!$G$12:$G$119,"")</f>
        <v>Stone</v>
      </c>
      <c r="B6204" t="s">
        <v>12443</v>
      </c>
      <c r="C6204" t="s">
        <v>10</v>
      </c>
      <c r="D6204" t="s">
        <v>12472</v>
      </c>
      <c r="E6204" t="s">
        <v>12473</v>
      </c>
      <c r="G6204" s="1">
        <v>2.2000000000000002</v>
      </c>
    </row>
    <row r="6205" spans="1:7" ht="14.25" hidden="1" customHeight="1" x14ac:dyDescent="0.45">
      <c r="A6205" t="str">
        <f>_xlfn.XLOOKUP(B6205,Ingot!$H$12:$H$119,Ingot!$G$12:$G$119,"")</f>
        <v>Stone</v>
      </c>
      <c r="B6205" t="s">
        <v>12443</v>
      </c>
      <c r="C6205" t="s">
        <v>10</v>
      </c>
      <c r="D6205" t="s">
        <v>12474</v>
      </c>
      <c r="E6205" t="s">
        <v>12475</v>
      </c>
      <c r="G6205" s="1">
        <v>1.1000000000000001</v>
      </c>
    </row>
    <row r="6206" spans="1:7" ht="14.25" hidden="1" customHeight="1" x14ac:dyDescent="0.45">
      <c r="A6206" t="str">
        <f>_xlfn.XLOOKUP(B6206,Ingot!$H$12:$H$119,Ingot!$G$12:$G$119,"")</f>
        <v>Stone</v>
      </c>
      <c r="B6206" t="s">
        <v>12443</v>
      </c>
      <c r="C6206" t="s">
        <v>10</v>
      </c>
      <c r="D6206" t="s">
        <v>12476</v>
      </c>
      <c r="E6206" t="s">
        <v>12477</v>
      </c>
      <c r="G6206" s="1">
        <v>0.22</v>
      </c>
    </row>
    <row r="6207" spans="1:7" ht="14.25" hidden="1" customHeight="1" x14ac:dyDescent="0.45">
      <c r="A6207" t="str">
        <f>_xlfn.XLOOKUP(B6207,Ingot!$H$12:$H$119,Ingot!$G$12:$G$119,"")</f>
        <v>Stone</v>
      </c>
      <c r="B6207" t="s">
        <v>12443</v>
      </c>
      <c r="C6207" t="s">
        <v>10</v>
      </c>
      <c r="D6207" t="s">
        <v>12478</v>
      </c>
      <c r="E6207" t="s">
        <v>12479</v>
      </c>
      <c r="G6207" s="1">
        <v>8.41</v>
      </c>
    </row>
    <row r="6208" spans="1:7" ht="14.25" hidden="1" customHeight="1" x14ac:dyDescent="0.45">
      <c r="A6208" t="str">
        <f>_xlfn.XLOOKUP(B6208,Ingot!$H$12:$H$119,Ingot!$G$12:$G$119,"")</f>
        <v>Stone</v>
      </c>
      <c r="B6208" t="s">
        <v>12443</v>
      </c>
      <c r="C6208" t="s">
        <v>10</v>
      </c>
      <c r="D6208" t="s">
        <v>12480</v>
      </c>
      <c r="E6208" t="s">
        <v>12481</v>
      </c>
      <c r="G6208" s="1">
        <v>3.64</v>
      </c>
    </row>
    <row r="6209" spans="1:7" ht="14.25" hidden="1" customHeight="1" x14ac:dyDescent="0.45">
      <c r="A6209" t="str">
        <f>_xlfn.XLOOKUP(B6209,Ingot!$H$12:$H$119,Ingot!$G$12:$G$119,"")</f>
        <v>Stone</v>
      </c>
      <c r="B6209" t="s">
        <v>12443</v>
      </c>
      <c r="C6209" t="s">
        <v>10</v>
      </c>
      <c r="D6209" t="s">
        <v>12482</v>
      </c>
      <c r="E6209" t="s">
        <v>12483</v>
      </c>
      <c r="G6209" s="1">
        <v>7.05</v>
      </c>
    </row>
    <row r="6210" spans="1:7" ht="14.25" hidden="1" customHeight="1" x14ac:dyDescent="0.45">
      <c r="A6210" t="str">
        <f>_xlfn.XLOOKUP(B6210,Ingot!$H$12:$H$119,Ingot!$G$12:$G$119,"")</f>
        <v>Stone</v>
      </c>
      <c r="B6210" t="s">
        <v>12443</v>
      </c>
      <c r="C6210" t="s">
        <v>10</v>
      </c>
      <c r="D6210" t="s">
        <v>12484</v>
      </c>
      <c r="E6210" t="s">
        <v>12485</v>
      </c>
      <c r="G6210" s="1">
        <v>2.65</v>
      </c>
    </row>
    <row r="6211" spans="1:7" ht="14.25" hidden="1" customHeight="1" x14ac:dyDescent="0.45">
      <c r="A6211" t="str">
        <f>_xlfn.XLOOKUP(B6211,Ingot!$H$12:$H$119,Ingot!$G$12:$G$119,"")</f>
        <v>Stone</v>
      </c>
      <c r="B6211" t="s">
        <v>12443</v>
      </c>
      <c r="C6211" t="s">
        <v>10</v>
      </c>
      <c r="D6211" t="s">
        <v>12486</v>
      </c>
      <c r="E6211" t="s">
        <v>12487</v>
      </c>
      <c r="G6211" s="1">
        <v>9</v>
      </c>
    </row>
    <row r="6212" spans="1:7" ht="14.25" hidden="1" customHeight="1" x14ac:dyDescent="0.45">
      <c r="A6212" t="str">
        <f>_xlfn.XLOOKUP(B6212,Ingot!$H$12:$H$119,Ingot!$G$12:$G$119,"")</f>
        <v>Stone</v>
      </c>
      <c r="B6212" t="s">
        <v>12443</v>
      </c>
      <c r="C6212" t="s">
        <v>10</v>
      </c>
      <c r="D6212" t="s">
        <v>12488</v>
      </c>
      <c r="E6212" t="s">
        <v>12489</v>
      </c>
      <c r="G6212" s="1">
        <v>10.23</v>
      </c>
    </row>
    <row r="6213" spans="1:7" ht="14.25" hidden="1" customHeight="1" x14ac:dyDescent="0.45">
      <c r="A6213" t="str">
        <f>_xlfn.XLOOKUP(B6213,Ingot!$H$12:$H$119,Ingot!$G$12:$G$119,"")</f>
        <v>Stone</v>
      </c>
      <c r="B6213" t="s">
        <v>12443</v>
      </c>
      <c r="C6213" t="s">
        <v>10</v>
      </c>
      <c r="D6213" t="s">
        <v>12490</v>
      </c>
      <c r="E6213" t="s">
        <v>12491</v>
      </c>
      <c r="G6213" s="1">
        <v>7.7</v>
      </c>
    </row>
    <row r="6214" spans="1:7" ht="14.25" hidden="1" customHeight="1" x14ac:dyDescent="0.45">
      <c r="A6214" t="str">
        <f>_xlfn.XLOOKUP(B6214,Ingot!$H$12:$H$119,Ingot!$G$12:$G$119,"")</f>
        <v>Stone</v>
      </c>
      <c r="B6214" t="s">
        <v>12443</v>
      </c>
      <c r="C6214" t="s">
        <v>10</v>
      </c>
      <c r="D6214" t="s">
        <v>12492</v>
      </c>
      <c r="E6214" t="s">
        <v>12493</v>
      </c>
      <c r="G6214" s="1">
        <v>10.02</v>
      </c>
    </row>
    <row r="6215" spans="1:7" ht="14.25" hidden="1" customHeight="1" x14ac:dyDescent="0.45">
      <c r="A6215" t="str">
        <f>_xlfn.XLOOKUP(B6215,Ingot!$H$12:$H$119,Ingot!$G$12:$G$119,"")</f>
        <v>Stone</v>
      </c>
      <c r="B6215" t="s">
        <v>12443</v>
      </c>
      <c r="C6215" t="s">
        <v>10</v>
      </c>
      <c r="D6215" t="s">
        <v>12494</v>
      </c>
      <c r="E6215" t="s">
        <v>12495</v>
      </c>
      <c r="G6215" s="1">
        <v>11.81</v>
      </c>
    </row>
    <row r="6216" spans="1:7" ht="14.25" hidden="1" customHeight="1" x14ac:dyDescent="0.45">
      <c r="A6216" t="str">
        <f>_xlfn.XLOOKUP(B6216,Ingot!$H$12:$H$119,Ingot!$G$12:$G$119,"")</f>
        <v>Stone</v>
      </c>
      <c r="B6216" t="s">
        <v>12443</v>
      </c>
      <c r="C6216" t="s">
        <v>10</v>
      </c>
      <c r="D6216" t="s">
        <v>12496</v>
      </c>
      <c r="E6216" t="s">
        <v>12497</v>
      </c>
      <c r="G6216" s="1">
        <v>8.44</v>
      </c>
    </row>
    <row r="6217" spans="1:7" ht="14.25" hidden="1" customHeight="1" x14ac:dyDescent="0.45">
      <c r="A6217" t="str">
        <f>_xlfn.XLOOKUP(B6217,Ingot!$H$12:$H$119,Ingot!$G$12:$G$119,"")</f>
        <v>Stone</v>
      </c>
      <c r="B6217" t="s">
        <v>12443</v>
      </c>
      <c r="C6217" t="s">
        <v>10</v>
      </c>
      <c r="D6217" t="s">
        <v>12498</v>
      </c>
      <c r="E6217" t="s">
        <v>12499</v>
      </c>
      <c r="G6217" s="1">
        <v>10.42</v>
      </c>
    </row>
    <row r="6218" spans="1:7" ht="14.25" hidden="1" customHeight="1" x14ac:dyDescent="0.45">
      <c r="A6218" t="str">
        <f>_xlfn.XLOOKUP(B6218,Ingot!$H$12:$H$119,Ingot!$G$12:$G$119,"")</f>
        <v>Stone</v>
      </c>
      <c r="B6218" t="s">
        <v>12443</v>
      </c>
      <c r="C6218" t="s">
        <v>10</v>
      </c>
      <c r="D6218" t="s">
        <v>12500</v>
      </c>
      <c r="E6218" t="s">
        <v>12501</v>
      </c>
    </row>
    <row r="6219" spans="1:7" ht="14.25" hidden="1" customHeight="1" x14ac:dyDescent="0.45">
      <c r="A6219" t="str">
        <f>_xlfn.XLOOKUP(B6219,Ingot!$H$12:$H$119,Ingot!$G$12:$G$119,"")</f>
        <v>Stone</v>
      </c>
      <c r="B6219" t="s">
        <v>12443</v>
      </c>
      <c r="C6219" t="s">
        <v>10</v>
      </c>
      <c r="D6219" t="s">
        <v>12502</v>
      </c>
      <c r="E6219" t="s">
        <v>12503</v>
      </c>
      <c r="G6219" s="1">
        <v>7.96</v>
      </c>
    </row>
    <row r="6220" spans="1:7" ht="14.25" hidden="1" customHeight="1" x14ac:dyDescent="0.45">
      <c r="A6220" t="str">
        <f>_xlfn.XLOOKUP(B6220,Ingot!$H$12:$H$119,Ingot!$G$12:$G$119,"")</f>
        <v>Stone</v>
      </c>
      <c r="B6220" t="s">
        <v>12443</v>
      </c>
      <c r="C6220" t="s">
        <v>10</v>
      </c>
      <c r="D6220" t="s">
        <v>12504</v>
      </c>
      <c r="E6220" t="s">
        <v>12505</v>
      </c>
      <c r="G6220" s="1">
        <v>9.64</v>
      </c>
    </row>
    <row r="6221" spans="1:7" ht="14.25" hidden="1" customHeight="1" x14ac:dyDescent="0.45">
      <c r="A6221" t="str">
        <f>_xlfn.XLOOKUP(B6221,Ingot!$H$12:$H$119,Ingot!$G$12:$G$119,"")</f>
        <v>Stone</v>
      </c>
      <c r="B6221" t="s">
        <v>12443</v>
      </c>
      <c r="C6221" t="s">
        <v>10</v>
      </c>
      <c r="D6221" t="s">
        <v>12506</v>
      </c>
      <c r="E6221" t="s">
        <v>12507</v>
      </c>
      <c r="G6221" s="1">
        <v>7.94</v>
      </c>
    </row>
    <row r="6222" spans="1:7" ht="14.25" hidden="1" customHeight="1" x14ac:dyDescent="0.45">
      <c r="A6222" t="str">
        <f>_xlfn.XLOOKUP(B6222,Ingot!$H$12:$H$119,Ingot!$G$12:$G$119,"")</f>
        <v>Stone</v>
      </c>
      <c r="B6222" t="s">
        <v>12443</v>
      </c>
      <c r="C6222" t="s">
        <v>10</v>
      </c>
      <c r="D6222" t="s">
        <v>12508</v>
      </c>
      <c r="E6222" t="s">
        <v>12509</v>
      </c>
      <c r="G6222" s="1">
        <v>8.66</v>
      </c>
    </row>
    <row r="6223" spans="1:7" ht="14.25" hidden="1" customHeight="1" x14ac:dyDescent="0.45">
      <c r="A6223" t="str">
        <f>_xlfn.XLOOKUP(B6223,Ingot!$H$12:$H$119,Ingot!$G$12:$G$119,"")</f>
        <v>Stone</v>
      </c>
      <c r="B6223" t="s">
        <v>12443</v>
      </c>
      <c r="C6223" t="s">
        <v>10</v>
      </c>
      <c r="D6223" t="s">
        <v>12510</v>
      </c>
      <c r="E6223" t="s">
        <v>12511</v>
      </c>
    </row>
    <row r="6224" spans="1:7" ht="14.25" hidden="1" customHeight="1" x14ac:dyDescent="0.45">
      <c r="A6224" t="str">
        <f>_xlfn.XLOOKUP(B6224,Ingot!$H$12:$H$119,Ingot!$G$12:$G$119,"")</f>
        <v>Stone</v>
      </c>
      <c r="B6224" t="s">
        <v>12443</v>
      </c>
      <c r="C6224" t="s">
        <v>10</v>
      </c>
      <c r="D6224" t="s">
        <v>12512</v>
      </c>
      <c r="E6224" t="s">
        <v>12513</v>
      </c>
      <c r="G6224" s="1">
        <v>2.65</v>
      </c>
    </row>
    <row r="6225" spans="1:7" ht="14.25" hidden="1" customHeight="1" x14ac:dyDescent="0.45">
      <c r="A6225" t="str">
        <f>_xlfn.XLOOKUP(B6225,Ingot!$H$12:$H$119,Ingot!$G$12:$G$119,"")</f>
        <v>Stone</v>
      </c>
      <c r="B6225" t="s">
        <v>12443</v>
      </c>
      <c r="C6225" t="s">
        <v>10</v>
      </c>
      <c r="D6225" t="s">
        <v>12514</v>
      </c>
      <c r="E6225" t="s">
        <v>12515</v>
      </c>
    </row>
    <row r="6226" spans="1:7" ht="14.25" hidden="1" customHeight="1" x14ac:dyDescent="0.45">
      <c r="A6226" t="str">
        <f>_xlfn.XLOOKUP(B6226,Ingot!$H$12:$H$119,Ingot!$G$12:$G$119,"")</f>
        <v>Stone</v>
      </c>
      <c r="B6226" t="s">
        <v>12443</v>
      </c>
      <c r="C6226" t="s">
        <v>10</v>
      </c>
      <c r="D6226" t="s">
        <v>12516</v>
      </c>
      <c r="E6226" t="s">
        <v>12517</v>
      </c>
      <c r="G6226" s="1">
        <v>12.64</v>
      </c>
    </row>
    <row r="6227" spans="1:7" ht="14.25" hidden="1" customHeight="1" x14ac:dyDescent="0.45">
      <c r="A6227" t="str">
        <f>_xlfn.XLOOKUP(B6227,Ingot!$H$12:$H$119,Ingot!$G$12:$G$119,"")</f>
        <v>Stone</v>
      </c>
      <c r="B6227" t="s">
        <v>12443</v>
      </c>
      <c r="C6227" t="s">
        <v>10</v>
      </c>
      <c r="D6227" t="s">
        <v>12518</v>
      </c>
      <c r="E6227" t="s">
        <v>12519</v>
      </c>
      <c r="G6227" s="1">
        <v>22.67</v>
      </c>
    </row>
    <row r="6228" spans="1:7" ht="14.25" hidden="1" customHeight="1" x14ac:dyDescent="0.45">
      <c r="A6228" t="str">
        <f>_xlfn.XLOOKUP(B6228,Ingot!$H$12:$H$119,Ingot!$G$12:$G$119,"")</f>
        <v>Stone</v>
      </c>
      <c r="B6228" t="s">
        <v>12443</v>
      </c>
      <c r="C6228" t="s">
        <v>10</v>
      </c>
      <c r="D6228" t="s">
        <v>12520</v>
      </c>
      <c r="E6228" t="s">
        <v>12521</v>
      </c>
      <c r="G6228" s="1">
        <v>8.3800000000000008</v>
      </c>
    </row>
    <row r="6229" spans="1:7" ht="14.25" hidden="1" customHeight="1" x14ac:dyDescent="0.45">
      <c r="A6229" t="str">
        <f>_xlfn.XLOOKUP(B6229,Ingot!$H$12:$H$119,Ingot!$G$12:$G$119,"")</f>
        <v>Stone</v>
      </c>
      <c r="B6229" t="s">
        <v>12443</v>
      </c>
      <c r="C6229" t="s">
        <v>10</v>
      </c>
      <c r="D6229" t="s">
        <v>12522</v>
      </c>
      <c r="E6229" t="s">
        <v>12523</v>
      </c>
      <c r="G6229" s="1">
        <v>2.2000000000000002</v>
      </c>
    </row>
    <row r="6230" spans="1:7" ht="14.25" hidden="1" customHeight="1" x14ac:dyDescent="0.45">
      <c r="A6230" t="str">
        <f>_xlfn.XLOOKUP(B6230,Ingot!$H$12:$H$119,Ingot!$G$12:$G$119,"")</f>
        <v>Stone</v>
      </c>
      <c r="B6230" t="s">
        <v>12443</v>
      </c>
      <c r="C6230" t="s">
        <v>10</v>
      </c>
      <c r="D6230" t="s">
        <v>12524</v>
      </c>
      <c r="E6230" t="s">
        <v>12525</v>
      </c>
      <c r="G6230" s="1">
        <v>3.09</v>
      </c>
    </row>
    <row r="6231" spans="1:7" ht="14.25" hidden="1" customHeight="1" x14ac:dyDescent="0.45">
      <c r="A6231" t="str">
        <f>_xlfn.XLOOKUP(B6231,Ingot!$H$12:$H$119,Ingot!$G$12:$G$119,"")</f>
        <v>Stone</v>
      </c>
      <c r="B6231" t="s">
        <v>12443</v>
      </c>
      <c r="C6231" t="s">
        <v>10</v>
      </c>
      <c r="D6231" t="s">
        <v>12526</v>
      </c>
      <c r="E6231" t="s">
        <v>12527</v>
      </c>
      <c r="G6231" s="1">
        <v>2.2999999999999998</v>
      </c>
    </row>
    <row r="6232" spans="1:7" ht="14.25" hidden="1" customHeight="1" x14ac:dyDescent="0.45">
      <c r="A6232" t="str">
        <f>_xlfn.XLOOKUP(B6232,Ingot!$H$12:$H$119,Ingot!$G$12:$G$119,"")</f>
        <v>Stone</v>
      </c>
      <c r="B6232" t="s">
        <v>12443</v>
      </c>
      <c r="C6232" t="s">
        <v>10</v>
      </c>
      <c r="D6232" t="s">
        <v>12528</v>
      </c>
      <c r="E6232" t="s">
        <v>12529</v>
      </c>
      <c r="G6232" s="1">
        <v>4.88</v>
      </c>
    </row>
    <row r="6233" spans="1:7" ht="14.25" hidden="1" customHeight="1" x14ac:dyDescent="0.45">
      <c r="A6233" t="str">
        <f>_xlfn.XLOOKUP(B6233,Ingot!$H$12:$H$119,Ingot!$G$12:$G$119,"")</f>
        <v>Stone</v>
      </c>
      <c r="B6233" t="s">
        <v>12443</v>
      </c>
      <c r="C6233" t="s">
        <v>10</v>
      </c>
      <c r="D6233" t="s">
        <v>12530</v>
      </c>
      <c r="E6233" t="s">
        <v>12531</v>
      </c>
      <c r="G6233" s="1">
        <v>8.43</v>
      </c>
    </row>
    <row r="6234" spans="1:7" ht="14.25" hidden="1" customHeight="1" x14ac:dyDescent="0.45">
      <c r="A6234" t="str">
        <f>_xlfn.XLOOKUP(B6234,Ingot!$H$12:$H$119,Ingot!$G$12:$G$119,"")</f>
        <v>Stone</v>
      </c>
      <c r="B6234" t="s">
        <v>12443</v>
      </c>
      <c r="C6234" t="s">
        <v>10</v>
      </c>
      <c r="D6234" t="s">
        <v>12532</v>
      </c>
      <c r="E6234" t="s">
        <v>12533</v>
      </c>
      <c r="G6234" s="1">
        <v>13.07</v>
      </c>
    </row>
    <row r="6235" spans="1:7" ht="14.25" hidden="1" customHeight="1" x14ac:dyDescent="0.45">
      <c r="A6235" t="str">
        <f>_xlfn.XLOOKUP(B6235,Ingot!$H$12:$H$119,Ingot!$G$12:$G$119,"")</f>
        <v>Stone</v>
      </c>
      <c r="B6235" t="s">
        <v>12443</v>
      </c>
      <c r="C6235" t="s">
        <v>10</v>
      </c>
      <c r="D6235" t="s">
        <v>12534</v>
      </c>
      <c r="E6235" t="s">
        <v>12535</v>
      </c>
    </row>
    <row r="6236" spans="1:7" ht="14.25" hidden="1" customHeight="1" x14ac:dyDescent="0.45">
      <c r="A6236" t="str">
        <f>_xlfn.XLOOKUP(B6236,Ingot!$H$12:$H$119,Ingot!$G$12:$G$119,"")</f>
        <v>Stone</v>
      </c>
      <c r="B6236" t="s">
        <v>12443</v>
      </c>
      <c r="C6236" t="s">
        <v>10</v>
      </c>
      <c r="D6236" t="s">
        <v>12536</v>
      </c>
      <c r="E6236" t="s">
        <v>12537</v>
      </c>
    </row>
    <row r="6237" spans="1:7" ht="14.25" hidden="1" customHeight="1" x14ac:dyDescent="0.45">
      <c r="A6237" t="str">
        <f>_xlfn.XLOOKUP(B6237,Ingot!$H$12:$H$119,Ingot!$G$12:$G$119,"")</f>
        <v>Stone</v>
      </c>
      <c r="B6237" t="s">
        <v>12443</v>
      </c>
      <c r="C6237" t="s">
        <v>10</v>
      </c>
      <c r="D6237" t="s">
        <v>12538</v>
      </c>
      <c r="E6237" t="s">
        <v>12539</v>
      </c>
      <c r="G6237" s="1">
        <v>6.8</v>
      </c>
    </row>
    <row r="6238" spans="1:7" ht="14.25" hidden="1" customHeight="1" x14ac:dyDescent="0.45">
      <c r="A6238" t="str">
        <f>_xlfn.XLOOKUP(B6238,Ingot!$H$12:$H$119,Ingot!$G$12:$G$119,"")</f>
        <v>Stone</v>
      </c>
      <c r="B6238" t="s">
        <v>12443</v>
      </c>
      <c r="C6238" t="s">
        <v>10</v>
      </c>
      <c r="D6238" t="s">
        <v>12540</v>
      </c>
      <c r="E6238" t="s">
        <v>12541</v>
      </c>
      <c r="G6238" s="1">
        <v>6.88</v>
      </c>
    </row>
    <row r="6239" spans="1:7" ht="14.25" hidden="1" customHeight="1" x14ac:dyDescent="0.45">
      <c r="A6239" t="str">
        <f>_xlfn.XLOOKUP(B6239,Ingot!$H$12:$H$119,Ingot!$G$12:$G$119,"")</f>
        <v>Stone</v>
      </c>
      <c r="B6239" t="s">
        <v>12443</v>
      </c>
      <c r="C6239" t="s">
        <v>10</v>
      </c>
      <c r="D6239" t="s">
        <v>12542</v>
      </c>
      <c r="E6239" t="s">
        <v>12543</v>
      </c>
      <c r="G6239" s="1">
        <v>5.5</v>
      </c>
    </row>
    <row r="6240" spans="1:7" ht="14.25" hidden="1" customHeight="1" x14ac:dyDescent="0.45">
      <c r="A6240" t="str">
        <f>_xlfn.XLOOKUP(B6240,Ingot!$H$12:$H$119,Ingot!$G$12:$G$119,"")</f>
        <v>Stone</v>
      </c>
      <c r="B6240" t="s">
        <v>12443</v>
      </c>
      <c r="C6240" t="s">
        <v>10</v>
      </c>
      <c r="D6240" t="s">
        <v>12544</v>
      </c>
      <c r="E6240" t="s">
        <v>12545</v>
      </c>
      <c r="G6240" s="1">
        <v>2.4300000000000002</v>
      </c>
    </row>
    <row r="6241" spans="1:7" ht="14.25" hidden="1" customHeight="1" x14ac:dyDescent="0.45">
      <c r="A6241" t="str">
        <f>_xlfn.XLOOKUP(B6241,Ingot!$H$12:$H$119,Ingot!$G$12:$G$119,"")</f>
        <v>Stone</v>
      </c>
      <c r="B6241" t="s">
        <v>12443</v>
      </c>
      <c r="C6241" t="s">
        <v>10</v>
      </c>
      <c r="D6241" t="s">
        <v>12546</v>
      </c>
      <c r="E6241" t="s">
        <v>12547</v>
      </c>
      <c r="G6241" s="1">
        <v>6.96</v>
      </c>
    </row>
    <row r="6242" spans="1:7" ht="14.25" hidden="1" customHeight="1" x14ac:dyDescent="0.45">
      <c r="A6242" t="str">
        <f>_xlfn.XLOOKUP(B6242,Ingot!$H$12:$H$119,Ingot!$G$12:$G$119,"")</f>
        <v>Stone</v>
      </c>
      <c r="B6242" t="s">
        <v>12443</v>
      </c>
      <c r="C6242" t="s">
        <v>10</v>
      </c>
      <c r="D6242" t="s">
        <v>12548</v>
      </c>
      <c r="E6242" t="s">
        <v>12549</v>
      </c>
      <c r="G6242" s="1">
        <v>6.32</v>
      </c>
    </row>
    <row r="6243" spans="1:7" ht="14.25" hidden="1" customHeight="1" x14ac:dyDescent="0.45">
      <c r="A6243" t="str">
        <f>_xlfn.XLOOKUP(B6243,Ingot!$H$12:$H$119,Ingot!$G$12:$G$119,"")</f>
        <v>Stone</v>
      </c>
      <c r="B6243" t="s">
        <v>12443</v>
      </c>
      <c r="C6243" t="s">
        <v>10</v>
      </c>
      <c r="D6243" t="s">
        <v>12550</v>
      </c>
      <c r="E6243" t="s">
        <v>12551</v>
      </c>
      <c r="G6243" s="1">
        <v>6.88</v>
      </c>
    </row>
    <row r="6244" spans="1:7" ht="14.25" hidden="1" customHeight="1" x14ac:dyDescent="0.45">
      <c r="A6244" t="str">
        <f>_xlfn.XLOOKUP(B6244,Ingot!$H$12:$H$119,Ingot!$G$12:$G$119,"")</f>
        <v>Stone</v>
      </c>
      <c r="B6244" t="s">
        <v>12443</v>
      </c>
      <c r="C6244" t="s">
        <v>10</v>
      </c>
      <c r="D6244" t="s">
        <v>12552</v>
      </c>
      <c r="E6244" t="s">
        <v>12553</v>
      </c>
      <c r="G6244" s="1">
        <v>2.44</v>
      </c>
    </row>
    <row r="6245" spans="1:7" ht="14.25" hidden="1" customHeight="1" x14ac:dyDescent="0.45">
      <c r="A6245" t="str">
        <f>_xlfn.XLOOKUP(B6245,Ingot!$H$12:$H$119,Ingot!$G$12:$G$119,"")</f>
        <v>Stone</v>
      </c>
      <c r="B6245" t="s">
        <v>12443</v>
      </c>
      <c r="C6245" t="s">
        <v>10</v>
      </c>
      <c r="D6245" t="s">
        <v>12554</v>
      </c>
      <c r="E6245" t="s">
        <v>12555</v>
      </c>
    </row>
    <row r="6246" spans="1:7" ht="14.25" hidden="1" customHeight="1" x14ac:dyDescent="0.45">
      <c r="A6246" t="str">
        <f>_xlfn.XLOOKUP(B6246,Ingot!$H$12:$H$119,Ingot!$G$12:$G$119,"")</f>
        <v>Stone</v>
      </c>
      <c r="B6246" t="s">
        <v>12443</v>
      </c>
      <c r="C6246" t="s">
        <v>10</v>
      </c>
      <c r="D6246" t="s">
        <v>12556</v>
      </c>
      <c r="E6246" t="s">
        <v>12557</v>
      </c>
    </row>
    <row r="6247" spans="1:7" ht="14.25" hidden="1" customHeight="1" x14ac:dyDescent="0.45">
      <c r="A6247" t="str">
        <f>_xlfn.XLOOKUP(B6247,Ingot!$H$12:$H$119,Ingot!$G$12:$G$119,"")</f>
        <v>Stone</v>
      </c>
      <c r="B6247" t="s">
        <v>12443</v>
      </c>
      <c r="C6247" t="s">
        <v>10</v>
      </c>
      <c r="D6247" t="s">
        <v>12558</v>
      </c>
      <c r="E6247" t="s">
        <v>12559</v>
      </c>
      <c r="G6247" s="1">
        <v>3.11</v>
      </c>
    </row>
    <row r="6248" spans="1:7" ht="14.25" hidden="1" customHeight="1" x14ac:dyDescent="0.45">
      <c r="A6248" t="str">
        <f>_xlfn.XLOOKUP(B6248,Ingot!$H$12:$H$119,Ingot!$G$12:$G$119,"")</f>
        <v>Stone</v>
      </c>
      <c r="B6248" t="s">
        <v>12443</v>
      </c>
      <c r="C6248" t="s">
        <v>10</v>
      </c>
      <c r="D6248" t="s">
        <v>12560</v>
      </c>
      <c r="E6248" t="s">
        <v>12561</v>
      </c>
      <c r="G6248" s="1">
        <v>2.44</v>
      </c>
    </row>
    <row r="6249" spans="1:7" ht="14.25" hidden="1" customHeight="1" x14ac:dyDescent="0.45">
      <c r="A6249" t="str">
        <f>_xlfn.XLOOKUP(B6249,Ingot!$H$12:$H$119,Ingot!$G$12:$G$119,"")</f>
        <v>Stone</v>
      </c>
      <c r="B6249" t="s">
        <v>12443</v>
      </c>
      <c r="C6249" t="s">
        <v>10</v>
      </c>
      <c r="D6249" t="s">
        <v>12562</v>
      </c>
      <c r="E6249" t="s">
        <v>12563</v>
      </c>
      <c r="G6249" s="1">
        <v>8.61</v>
      </c>
    </row>
    <row r="6250" spans="1:7" ht="14.25" hidden="1" customHeight="1" x14ac:dyDescent="0.45">
      <c r="A6250" t="str">
        <f>_xlfn.XLOOKUP(B6250,Ingot!$H$12:$H$119,Ingot!$G$12:$G$119,"")</f>
        <v>Stone</v>
      </c>
      <c r="B6250" t="s">
        <v>12443</v>
      </c>
      <c r="C6250" t="s">
        <v>10</v>
      </c>
      <c r="D6250" t="s">
        <v>12564</v>
      </c>
      <c r="E6250" t="s">
        <v>12565</v>
      </c>
    </row>
    <row r="6251" spans="1:7" ht="14.25" hidden="1" customHeight="1" x14ac:dyDescent="0.45">
      <c r="A6251" t="str">
        <f>_xlfn.XLOOKUP(B6251,Ingot!$H$12:$H$119,Ingot!$G$12:$G$119,"")</f>
        <v>Stone</v>
      </c>
      <c r="B6251" t="s">
        <v>12443</v>
      </c>
      <c r="C6251" t="s">
        <v>10</v>
      </c>
      <c r="D6251" t="s">
        <v>12566</v>
      </c>
      <c r="E6251" t="s">
        <v>12567</v>
      </c>
      <c r="G6251" s="1">
        <v>3.21</v>
      </c>
    </row>
    <row r="6252" spans="1:7" ht="14.25" hidden="1" customHeight="1" x14ac:dyDescent="0.45">
      <c r="A6252" t="str">
        <f>_xlfn.XLOOKUP(B6252,Ingot!$H$12:$H$119,Ingot!$G$12:$G$119,"")</f>
        <v>Stone</v>
      </c>
      <c r="B6252" t="s">
        <v>12443</v>
      </c>
      <c r="C6252" t="s">
        <v>10</v>
      </c>
      <c r="D6252" t="s">
        <v>12568</v>
      </c>
      <c r="E6252" t="s">
        <v>12569</v>
      </c>
      <c r="G6252" s="1">
        <v>2.77</v>
      </c>
    </row>
    <row r="6253" spans="1:7" ht="14.25" hidden="1" customHeight="1" x14ac:dyDescent="0.45">
      <c r="A6253" t="str">
        <f>_xlfn.XLOOKUP(B6253,Ingot!$H$12:$H$119,Ingot!$G$12:$G$119,"")</f>
        <v>Stone</v>
      </c>
      <c r="B6253" t="s">
        <v>12443</v>
      </c>
      <c r="C6253" t="s">
        <v>10</v>
      </c>
      <c r="D6253" t="s">
        <v>12570</v>
      </c>
      <c r="E6253" t="s">
        <v>12571</v>
      </c>
      <c r="G6253" s="1">
        <v>4.8899999999999997</v>
      </c>
    </row>
    <row r="6254" spans="1:7" ht="14.25" hidden="1" customHeight="1" x14ac:dyDescent="0.45">
      <c r="A6254" t="str">
        <f>_xlfn.XLOOKUP(B6254,Ingot!$H$12:$H$119,Ingot!$G$12:$G$119,"")</f>
        <v>Stone</v>
      </c>
      <c r="B6254" t="s">
        <v>12443</v>
      </c>
      <c r="C6254" t="s">
        <v>10</v>
      </c>
      <c r="D6254" t="s">
        <v>12572</v>
      </c>
      <c r="E6254" t="s">
        <v>12573</v>
      </c>
      <c r="G6254" s="1">
        <v>1.76</v>
      </c>
    </row>
    <row r="6255" spans="1:7" ht="14.25" hidden="1" customHeight="1" x14ac:dyDescent="0.45">
      <c r="A6255" t="str">
        <f>_xlfn.XLOOKUP(B6255,Ingot!$H$12:$H$119,Ingot!$G$12:$G$119,"")</f>
        <v>Stone</v>
      </c>
      <c r="B6255" t="s">
        <v>12443</v>
      </c>
      <c r="C6255" t="s">
        <v>10</v>
      </c>
      <c r="D6255" t="s">
        <v>12574</v>
      </c>
      <c r="E6255" t="s">
        <v>12575</v>
      </c>
    </row>
    <row r="6256" spans="1:7" ht="14.25" hidden="1" customHeight="1" x14ac:dyDescent="0.45">
      <c r="A6256" t="str">
        <f>_xlfn.XLOOKUP(B6256,Ingot!$H$12:$H$119,Ingot!$G$12:$G$119,"")</f>
        <v>Stone</v>
      </c>
      <c r="B6256" t="s">
        <v>12443</v>
      </c>
      <c r="C6256" t="s">
        <v>10</v>
      </c>
      <c r="D6256" t="s">
        <v>12576</v>
      </c>
      <c r="E6256" t="s">
        <v>12577</v>
      </c>
      <c r="G6256" s="1">
        <v>8.57</v>
      </c>
    </row>
    <row r="6257" spans="1:7" ht="14.25" hidden="1" customHeight="1" x14ac:dyDescent="0.45">
      <c r="A6257" t="str">
        <f>_xlfn.XLOOKUP(B6257,Ingot!$H$12:$H$119,Ingot!$G$12:$G$119,"")</f>
        <v>Stone</v>
      </c>
      <c r="B6257" t="s">
        <v>12443</v>
      </c>
      <c r="C6257" t="s">
        <v>10</v>
      </c>
      <c r="D6257" t="s">
        <v>12578</v>
      </c>
      <c r="E6257" t="s">
        <v>12579</v>
      </c>
    </row>
    <row r="6258" spans="1:7" ht="14.25" hidden="1" customHeight="1" x14ac:dyDescent="0.45">
      <c r="A6258" t="str">
        <f>_xlfn.XLOOKUP(B6258,Ingot!$H$12:$H$119,Ingot!$G$12:$G$119,"")</f>
        <v>Stone</v>
      </c>
      <c r="B6258" t="s">
        <v>12443</v>
      </c>
      <c r="C6258" t="s">
        <v>10</v>
      </c>
      <c r="D6258" t="s">
        <v>12580</v>
      </c>
      <c r="E6258" t="s">
        <v>12581</v>
      </c>
      <c r="G6258" s="1">
        <v>3.56</v>
      </c>
    </row>
    <row r="6259" spans="1:7" ht="14.25" hidden="1" customHeight="1" x14ac:dyDescent="0.45">
      <c r="A6259" t="str">
        <f>_xlfn.XLOOKUP(B6259,Ingot!$H$12:$H$119,Ingot!$G$12:$G$119,"")</f>
        <v>Stone</v>
      </c>
      <c r="B6259" t="s">
        <v>12443</v>
      </c>
      <c r="C6259" t="s">
        <v>10</v>
      </c>
      <c r="D6259" t="s">
        <v>12582</v>
      </c>
      <c r="E6259" t="s">
        <v>12583</v>
      </c>
      <c r="G6259" s="1">
        <v>8.91</v>
      </c>
    </row>
    <row r="6260" spans="1:7" ht="14.25" hidden="1" customHeight="1" x14ac:dyDescent="0.45">
      <c r="A6260" t="str">
        <f>_xlfn.XLOOKUP(B6260,Ingot!$H$12:$H$119,Ingot!$G$12:$G$119,"")</f>
        <v>Stone</v>
      </c>
      <c r="B6260" t="s">
        <v>12443</v>
      </c>
      <c r="C6260" t="s">
        <v>10</v>
      </c>
      <c r="D6260" t="s">
        <v>12584</v>
      </c>
      <c r="E6260" t="s">
        <v>12585</v>
      </c>
      <c r="G6260" s="1">
        <v>11.02</v>
      </c>
    </row>
    <row r="6261" spans="1:7" ht="14.25" hidden="1" customHeight="1" x14ac:dyDescent="0.45">
      <c r="A6261" t="str">
        <f>_xlfn.XLOOKUP(B6261,Ingot!$H$12:$H$119,Ingot!$G$12:$G$119,"")</f>
        <v>Stone</v>
      </c>
      <c r="B6261" t="s">
        <v>12443</v>
      </c>
      <c r="C6261" t="s">
        <v>10</v>
      </c>
      <c r="D6261" t="s">
        <v>12586</v>
      </c>
      <c r="E6261" t="s">
        <v>12587</v>
      </c>
      <c r="G6261" s="1">
        <v>5.12</v>
      </c>
    </row>
    <row r="6262" spans="1:7" ht="14.25" hidden="1" customHeight="1" x14ac:dyDescent="0.45">
      <c r="A6262" t="str">
        <f>_xlfn.XLOOKUP(B6262,Ingot!$H$12:$H$119,Ingot!$G$12:$G$119,"")</f>
        <v>Stone</v>
      </c>
      <c r="B6262" t="s">
        <v>12443</v>
      </c>
      <c r="C6262" t="s">
        <v>10</v>
      </c>
      <c r="D6262" t="s">
        <v>12588</v>
      </c>
      <c r="E6262" t="s">
        <v>12589</v>
      </c>
      <c r="G6262" s="1">
        <v>4.41</v>
      </c>
    </row>
    <row r="6263" spans="1:7" ht="14.25" hidden="1" customHeight="1" x14ac:dyDescent="0.45">
      <c r="A6263" t="str">
        <f>_xlfn.XLOOKUP(B6263,Ingot!$H$12:$H$119,Ingot!$G$12:$G$119,"")</f>
        <v>Stone</v>
      </c>
      <c r="B6263" t="s">
        <v>12443</v>
      </c>
      <c r="C6263" t="s">
        <v>157</v>
      </c>
      <c r="D6263" t="s">
        <v>12590</v>
      </c>
      <c r="E6263" t="s">
        <v>12591</v>
      </c>
      <c r="G6263" s="1">
        <v>45.4</v>
      </c>
    </row>
    <row r="6264" spans="1:7" ht="14.25" hidden="1" customHeight="1" x14ac:dyDescent="0.45">
      <c r="A6264" t="str">
        <f>_xlfn.XLOOKUP(B6264,Ingot!$H$12:$H$119,Ingot!$G$12:$G$119,"")</f>
        <v>Stone</v>
      </c>
      <c r="B6264" t="s">
        <v>12443</v>
      </c>
      <c r="C6264" t="s">
        <v>157</v>
      </c>
      <c r="D6264" t="s">
        <v>12592</v>
      </c>
      <c r="E6264" t="s">
        <v>12593</v>
      </c>
      <c r="G6264" s="1">
        <v>9.08</v>
      </c>
    </row>
    <row r="6265" spans="1:7" ht="14.25" hidden="1" customHeight="1" x14ac:dyDescent="0.45">
      <c r="A6265" t="str">
        <f>_xlfn.XLOOKUP(B6265,Ingot!$H$12:$H$119,Ingot!$G$12:$G$119,"")</f>
        <v>Stone</v>
      </c>
      <c r="B6265" t="s">
        <v>12443</v>
      </c>
      <c r="C6265" t="s">
        <v>157</v>
      </c>
      <c r="D6265" t="s">
        <v>12594</v>
      </c>
      <c r="E6265" t="s">
        <v>12595</v>
      </c>
      <c r="G6265" s="1">
        <v>9.08</v>
      </c>
    </row>
    <row r="6266" spans="1:7" ht="14.25" hidden="1" customHeight="1" x14ac:dyDescent="0.45">
      <c r="A6266" t="str">
        <f>_xlfn.XLOOKUP(B6266,Ingot!$H$12:$H$119,Ingot!$G$12:$G$119,"")</f>
        <v>Stone</v>
      </c>
      <c r="B6266" t="s">
        <v>12443</v>
      </c>
      <c r="C6266" t="s">
        <v>157</v>
      </c>
      <c r="D6266" t="s">
        <v>12596</v>
      </c>
      <c r="E6266" t="s">
        <v>12597</v>
      </c>
      <c r="G6266" s="1">
        <v>5.9</v>
      </c>
    </row>
    <row r="6267" spans="1:7" ht="14.25" hidden="1" customHeight="1" x14ac:dyDescent="0.45">
      <c r="A6267" t="str">
        <f>_xlfn.XLOOKUP(B6267,Ingot!$H$12:$H$119,Ingot!$G$12:$G$119,"")</f>
        <v>Stone</v>
      </c>
      <c r="B6267" t="s">
        <v>12443</v>
      </c>
      <c r="C6267" t="s">
        <v>157</v>
      </c>
      <c r="D6267" t="s">
        <v>12598</v>
      </c>
      <c r="E6267" t="s">
        <v>12599</v>
      </c>
      <c r="G6267" s="1">
        <v>11.8</v>
      </c>
    </row>
    <row r="6268" spans="1:7" ht="14.25" hidden="1" customHeight="1" x14ac:dyDescent="0.45">
      <c r="A6268" t="str">
        <f>_xlfn.XLOOKUP(B6268,Ingot!$H$12:$H$119,Ingot!$G$12:$G$119,"")</f>
        <v>Stone</v>
      </c>
      <c r="B6268" t="s">
        <v>12443</v>
      </c>
      <c r="C6268" t="s">
        <v>157</v>
      </c>
      <c r="D6268" t="s">
        <v>12600</v>
      </c>
      <c r="E6268" t="s">
        <v>12601</v>
      </c>
      <c r="G6268" s="1">
        <v>41.4</v>
      </c>
    </row>
    <row r="6269" spans="1:7" ht="14.25" hidden="1" customHeight="1" x14ac:dyDescent="0.45">
      <c r="A6269" t="str">
        <f>_xlfn.XLOOKUP(B6269,Ingot!$H$12:$H$119,Ingot!$G$12:$G$119,"")</f>
        <v>Stone</v>
      </c>
      <c r="B6269" t="s">
        <v>12443</v>
      </c>
      <c r="C6269" t="s">
        <v>157</v>
      </c>
      <c r="D6269" t="s">
        <v>12602</v>
      </c>
      <c r="E6269" t="s">
        <v>12603</v>
      </c>
      <c r="G6269" s="1">
        <v>8.2799999999999994</v>
      </c>
    </row>
    <row r="6270" spans="1:7" ht="14.25" hidden="1" customHeight="1" x14ac:dyDescent="0.45">
      <c r="A6270" t="str">
        <f>_xlfn.XLOOKUP(B6270,Ingot!$H$12:$H$119,Ingot!$G$12:$G$119,"")</f>
        <v>Stone</v>
      </c>
      <c r="B6270" t="s">
        <v>12443</v>
      </c>
      <c r="C6270" t="s">
        <v>157</v>
      </c>
      <c r="D6270" t="s">
        <v>12604</v>
      </c>
      <c r="E6270" t="s">
        <v>12605</v>
      </c>
      <c r="G6270" s="1">
        <v>8.2799999999999994</v>
      </c>
    </row>
    <row r="6271" spans="1:7" ht="14.25" hidden="1" customHeight="1" x14ac:dyDescent="0.45">
      <c r="A6271" t="str">
        <f>_xlfn.XLOOKUP(B6271,Ingot!$H$12:$H$119,Ingot!$G$12:$G$119,"")</f>
        <v>Stone</v>
      </c>
      <c r="B6271" t="s">
        <v>12443</v>
      </c>
      <c r="C6271" t="s">
        <v>157</v>
      </c>
      <c r="D6271" t="s">
        <v>12606</v>
      </c>
      <c r="E6271" t="s">
        <v>12607</v>
      </c>
      <c r="G6271" s="1">
        <v>5.38</v>
      </c>
    </row>
    <row r="6272" spans="1:7" ht="14.25" hidden="1" customHeight="1" x14ac:dyDescent="0.45">
      <c r="A6272" t="str">
        <f>_xlfn.XLOOKUP(B6272,Ingot!$H$12:$H$119,Ingot!$G$12:$G$119,"")</f>
        <v>Stone</v>
      </c>
      <c r="B6272" t="s">
        <v>12443</v>
      </c>
      <c r="C6272" t="s">
        <v>157</v>
      </c>
      <c r="D6272" t="s">
        <v>12608</v>
      </c>
      <c r="E6272" t="s">
        <v>12609</v>
      </c>
      <c r="G6272" s="1">
        <v>10.76</v>
      </c>
    </row>
    <row r="6273" spans="1:7" ht="14.25" hidden="1" customHeight="1" x14ac:dyDescent="0.45">
      <c r="A6273" t="str">
        <f>_xlfn.XLOOKUP(B6273,Ingot!$H$12:$H$119,Ingot!$G$12:$G$119,"")</f>
        <v>Stone</v>
      </c>
      <c r="B6273" t="s">
        <v>12443</v>
      </c>
      <c r="C6273" t="s">
        <v>157</v>
      </c>
      <c r="D6273" t="s">
        <v>12610</v>
      </c>
      <c r="E6273" t="s">
        <v>12611</v>
      </c>
      <c r="F6273" t="s">
        <v>180</v>
      </c>
      <c r="G6273" s="1">
        <v>40.4</v>
      </c>
    </row>
    <row r="6274" spans="1:7" ht="14.25" hidden="1" customHeight="1" x14ac:dyDescent="0.45">
      <c r="A6274" t="str">
        <f>_xlfn.XLOOKUP(B6274,Ingot!$H$12:$H$119,Ingot!$G$12:$G$119,"")</f>
        <v>Stone</v>
      </c>
      <c r="B6274" t="s">
        <v>12443</v>
      </c>
      <c r="C6274" t="s">
        <v>157</v>
      </c>
      <c r="D6274" t="s">
        <v>12612</v>
      </c>
      <c r="E6274" t="s">
        <v>12613</v>
      </c>
      <c r="F6274" t="s">
        <v>180</v>
      </c>
      <c r="G6274" s="1">
        <v>8.08</v>
      </c>
    </row>
    <row r="6275" spans="1:7" ht="14.25" hidden="1" customHeight="1" x14ac:dyDescent="0.45">
      <c r="A6275" t="str">
        <f>_xlfn.XLOOKUP(B6275,Ingot!$H$12:$H$119,Ingot!$G$12:$G$119,"")</f>
        <v>Stone</v>
      </c>
      <c r="B6275" t="s">
        <v>12443</v>
      </c>
      <c r="C6275" t="s">
        <v>157</v>
      </c>
      <c r="D6275" t="s">
        <v>12614</v>
      </c>
      <c r="E6275" t="s">
        <v>12615</v>
      </c>
      <c r="F6275" t="s">
        <v>180</v>
      </c>
      <c r="G6275" s="1">
        <v>8.08</v>
      </c>
    </row>
    <row r="6276" spans="1:7" ht="14.25" hidden="1" customHeight="1" x14ac:dyDescent="0.45">
      <c r="A6276" t="str">
        <f>_xlfn.XLOOKUP(B6276,Ingot!$H$12:$H$119,Ingot!$G$12:$G$119,"")</f>
        <v>Stone</v>
      </c>
      <c r="B6276" t="s">
        <v>12443</v>
      </c>
      <c r="C6276" t="s">
        <v>157</v>
      </c>
      <c r="D6276" t="s">
        <v>12616</v>
      </c>
      <c r="E6276" t="s">
        <v>12617</v>
      </c>
      <c r="F6276" t="s">
        <v>180</v>
      </c>
      <c r="G6276" s="1">
        <v>5.25</v>
      </c>
    </row>
    <row r="6277" spans="1:7" ht="14.25" hidden="1" customHeight="1" x14ac:dyDescent="0.45">
      <c r="A6277" t="str">
        <f>_xlfn.XLOOKUP(B6277,Ingot!$H$12:$H$119,Ingot!$G$12:$G$119,"")</f>
        <v>Stone</v>
      </c>
      <c r="B6277" t="s">
        <v>12443</v>
      </c>
      <c r="C6277" t="s">
        <v>157</v>
      </c>
      <c r="D6277" t="s">
        <v>12618</v>
      </c>
      <c r="E6277" t="s">
        <v>12619</v>
      </c>
      <c r="F6277" t="s">
        <v>180</v>
      </c>
      <c r="G6277" s="1">
        <v>10.5</v>
      </c>
    </row>
    <row r="6278" spans="1:7" ht="14.25" hidden="1" customHeight="1" x14ac:dyDescent="0.45">
      <c r="A6278" t="str">
        <f>_xlfn.XLOOKUP(B6278,Ingot!$H$12:$H$119,Ingot!$G$12:$G$119,"")</f>
        <v>Stone</v>
      </c>
      <c r="B6278" t="s">
        <v>12443</v>
      </c>
      <c r="C6278" t="s">
        <v>157</v>
      </c>
      <c r="D6278" t="s">
        <v>12620</v>
      </c>
      <c r="E6278" t="s">
        <v>12621</v>
      </c>
      <c r="G6278" s="1">
        <v>42.4</v>
      </c>
    </row>
    <row r="6279" spans="1:7" ht="14.25" hidden="1" customHeight="1" x14ac:dyDescent="0.45">
      <c r="A6279" t="str">
        <f>_xlfn.XLOOKUP(B6279,Ingot!$H$12:$H$119,Ingot!$G$12:$G$119,"")</f>
        <v>Stone</v>
      </c>
      <c r="B6279" t="s">
        <v>12443</v>
      </c>
      <c r="C6279" t="s">
        <v>157</v>
      </c>
      <c r="D6279" t="s">
        <v>12622</v>
      </c>
      <c r="E6279" t="s">
        <v>12623</v>
      </c>
      <c r="G6279" s="1">
        <v>8.48</v>
      </c>
    </row>
    <row r="6280" spans="1:7" ht="14.25" hidden="1" customHeight="1" x14ac:dyDescent="0.45">
      <c r="A6280" t="str">
        <f>_xlfn.XLOOKUP(B6280,Ingot!$H$12:$H$119,Ingot!$G$12:$G$119,"")</f>
        <v>Stone</v>
      </c>
      <c r="B6280" t="s">
        <v>12443</v>
      </c>
      <c r="C6280" t="s">
        <v>157</v>
      </c>
      <c r="D6280" t="s">
        <v>12624</v>
      </c>
      <c r="E6280" t="s">
        <v>12625</v>
      </c>
      <c r="G6280" s="1">
        <v>8.48</v>
      </c>
    </row>
    <row r="6281" spans="1:7" ht="14.25" hidden="1" customHeight="1" x14ac:dyDescent="0.45">
      <c r="A6281" t="str">
        <f>_xlfn.XLOOKUP(B6281,Ingot!$H$12:$H$119,Ingot!$G$12:$G$119,"")</f>
        <v>Stone</v>
      </c>
      <c r="B6281" t="s">
        <v>12443</v>
      </c>
      <c r="C6281" t="s">
        <v>157</v>
      </c>
      <c r="D6281" t="s">
        <v>12626</v>
      </c>
      <c r="E6281" t="s">
        <v>12627</v>
      </c>
      <c r="G6281" s="1">
        <v>5.51</v>
      </c>
    </row>
    <row r="6282" spans="1:7" ht="14.25" hidden="1" customHeight="1" x14ac:dyDescent="0.45">
      <c r="A6282" t="str">
        <f>_xlfn.XLOOKUP(B6282,Ingot!$H$12:$H$119,Ingot!$G$12:$G$119,"")</f>
        <v>Stone</v>
      </c>
      <c r="B6282" t="s">
        <v>12443</v>
      </c>
      <c r="C6282" t="s">
        <v>157</v>
      </c>
      <c r="D6282" t="s">
        <v>12628</v>
      </c>
      <c r="E6282" t="s">
        <v>12629</v>
      </c>
      <c r="G6282" s="1">
        <v>11.02</v>
      </c>
    </row>
    <row r="6283" spans="1:7" ht="14.25" hidden="1" customHeight="1" x14ac:dyDescent="0.45">
      <c r="A6283" t="str">
        <f>_xlfn.XLOOKUP(B6283,Ingot!$H$12:$H$119,Ingot!$G$12:$G$119,"")</f>
        <v>Stone</v>
      </c>
      <c r="B6283" t="s">
        <v>12443</v>
      </c>
      <c r="C6283" t="s">
        <v>157</v>
      </c>
      <c r="D6283" t="s">
        <v>12630</v>
      </c>
      <c r="E6283" t="s">
        <v>12631</v>
      </c>
      <c r="G6283" s="1">
        <v>43.9</v>
      </c>
    </row>
    <row r="6284" spans="1:7" ht="14.25" hidden="1" customHeight="1" x14ac:dyDescent="0.45">
      <c r="A6284" t="str">
        <f>_xlfn.XLOOKUP(B6284,Ingot!$H$12:$H$119,Ingot!$G$12:$G$119,"")</f>
        <v>Stone</v>
      </c>
      <c r="B6284" t="s">
        <v>12443</v>
      </c>
      <c r="C6284" t="s">
        <v>157</v>
      </c>
      <c r="D6284" t="s">
        <v>12632</v>
      </c>
      <c r="E6284" t="s">
        <v>12633</v>
      </c>
      <c r="F6284" t="s">
        <v>180</v>
      </c>
      <c r="G6284" s="1">
        <v>8.7799999999999994</v>
      </c>
    </row>
    <row r="6285" spans="1:7" ht="14.25" hidden="1" customHeight="1" x14ac:dyDescent="0.45">
      <c r="A6285" t="str">
        <f>_xlfn.XLOOKUP(B6285,Ingot!$H$12:$H$119,Ingot!$G$12:$G$119,"")</f>
        <v>Stone</v>
      </c>
      <c r="B6285" t="s">
        <v>12443</v>
      </c>
      <c r="C6285" t="s">
        <v>157</v>
      </c>
      <c r="D6285" t="s">
        <v>12634</v>
      </c>
      <c r="E6285" t="s">
        <v>12635</v>
      </c>
      <c r="F6285" t="s">
        <v>180</v>
      </c>
      <c r="G6285" s="1">
        <v>8.7799999999999994</v>
      </c>
    </row>
    <row r="6286" spans="1:7" ht="14.25" hidden="1" customHeight="1" x14ac:dyDescent="0.45">
      <c r="A6286" t="str">
        <f>_xlfn.XLOOKUP(B6286,Ingot!$H$12:$H$119,Ingot!$G$12:$G$119,"")</f>
        <v>Stone</v>
      </c>
      <c r="B6286" t="s">
        <v>12443</v>
      </c>
      <c r="C6286" t="s">
        <v>157</v>
      </c>
      <c r="D6286" t="s">
        <v>12636</v>
      </c>
      <c r="E6286" t="s">
        <v>12637</v>
      </c>
      <c r="F6286" t="s">
        <v>180</v>
      </c>
      <c r="G6286" s="1">
        <v>5.71</v>
      </c>
    </row>
    <row r="6287" spans="1:7" ht="14.25" hidden="1" customHeight="1" x14ac:dyDescent="0.45">
      <c r="A6287" t="str">
        <f>_xlfn.XLOOKUP(B6287,Ingot!$H$12:$H$119,Ingot!$G$12:$G$119,"")</f>
        <v>Stone</v>
      </c>
      <c r="B6287" t="s">
        <v>12443</v>
      </c>
      <c r="C6287" t="s">
        <v>157</v>
      </c>
      <c r="D6287" t="s">
        <v>12638</v>
      </c>
      <c r="E6287" t="s">
        <v>12639</v>
      </c>
      <c r="G6287" s="1">
        <v>11.41</v>
      </c>
    </row>
    <row r="6288" spans="1:7" ht="14.25" hidden="1" customHeight="1" x14ac:dyDescent="0.45">
      <c r="A6288" t="str">
        <f>_xlfn.XLOOKUP(B6288,Ingot!$H$12:$H$119,Ingot!$G$12:$G$119,"")</f>
        <v>Stone</v>
      </c>
      <c r="B6288" t="s">
        <v>12443</v>
      </c>
      <c r="C6288" t="s">
        <v>157</v>
      </c>
      <c r="D6288" t="s">
        <v>12640</v>
      </c>
      <c r="E6288" t="s">
        <v>12641</v>
      </c>
      <c r="G6288" s="1">
        <v>48.4</v>
      </c>
    </row>
    <row r="6289" spans="1:7" ht="14.25" hidden="1" customHeight="1" x14ac:dyDescent="0.45">
      <c r="A6289" t="str">
        <f>_xlfn.XLOOKUP(B6289,Ingot!$H$12:$H$119,Ingot!$G$12:$G$119,"")</f>
        <v>Stone</v>
      </c>
      <c r="B6289" t="s">
        <v>12443</v>
      </c>
      <c r="C6289" t="s">
        <v>157</v>
      </c>
      <c r="D6289" t="s">
        <v>12642</v>
      </c>
      <c r="E6289" t="s">
        <v>12643</v>
      </c>
      <c r="G6289" s="1">
        <v>9.68</v>
      </c>
    </row>
    <row r="6290" spans="1:7" ht="14.25" hidden="1" customHeight="1" x14ac:dyDescent="0.45">
      <c r="A6290" t="str">
        <f>_xlfn.XLOOKUP(B6290,Ingot!$H$12:$H$119,Ingot!$G$12:$G$119,"")</f>
        <v>Stone</v>
      </c>
      <c r="B6290" t="s">
        <v>12443</v>
      </c>
      <c r="C6290" t="s">
        <v>157</v>
      </c>
      <c r="D6290" t="s">
        <v>12644</v>
      </c>
      <c r="E6290" t="s">
        <v>12645</v>
      </c>
      <c r="G6290" s="1">
        <v>9.68</v>
      </c>
    </row>
    <row r="6291" spans="1:7" ht="14.25" hidden="1" customHeight="1" x14ac:dyDescent="0.45">
      <c r="A6291" t="str">
        <f>_xlfn.XLOOKUP(B6291,Ingot!$H$12:$H$119,Ingot!$G$12:$G$119,"")</f>
        <v>Stone</v>
      </c>
      <c r="B6291" t="s">
        <v>12443</v>
      </c>
      <c r="C6291" t="s">
        <v>157</v>
      </c>
      <c r="D6291" t="s">
        <v>12646</v>
      </c>
      <c r="E6291" t="s">
        <v>12647</v>
      </c>
      <c r="G6291" s="1">
        <v>6.29</v>
      </c>
    </row>
    <row r="6292" spans="1:7" ht="14.25" hidden="1" customHeight="1" x14ac:dyDescent="0.45">
      <c r="A6292" t="str">
        <f>_xlfn.XLOOKUP(B6292,Ingot!$H$12:$H$119,Ingot!$G$12:$G$119,"")</f>
        <v>Stone</v>
      </c>
      <c r="B6292" t="s">
        <v>12443</v>
      </c>
      <c r="C6292" t="s">
        <v>157</v>
      </c>
      <c r="D6292" t="s">
        <v>12648</v>
      </c>
      <c r="E6292" t="s">
        <v>12649</v>
      </c>
      <c r="G6292" s="1">
        <v>12.58</v>
      </c>
    </row>
    <row r="6293" spans="1:7" ht="14.25" hidden="1" customHeight="1" x14ac:dyDescent="0.45">
      <c r="A6293" t="str">
        <f>_xlfn.XLOOKUP(B6293,Ingot!$H$12:$H$119,Ingot!$G$12:$G$119,"")</f>
        <v>Stone</v>
      </c>
      <c r="B6293" t="s">
        <v>12443</v>
      </c>
      <c r="C6293" t="s">
        <v>157</v>
      </c>
      <c r="D6293" t="s">
        <v>12650</v>
      </c>
      <c r="E6293" t="s">
        <v>12651</v>
      </c>
      <c r="G6293" s="1">
        <v>46.9</v>
      </c>
    </row>
    <row r="6294" spans="1:7" ht="14.25" hidden="1" customHeight="1" x14ac:dyDescent="0.45">
      <c r="A6294" t="str">
        <f>_xlfn.XLOOKUP(B6294,Ingot!$H$12:$H$119,Ingot!$G$12:$G$119,"")</f>
        <v>Stone</v>
      </c>
      <c r="B6294" t="s">
        <v>12443</v>
      </c>
      <c r="C6294" t="s">
        <v>157</v>
      </c>
      <c r="D6294" t="s">
        <v>12652</v>
      </c>
      <c r="E6294" t="s">
        <v>12653</v>
      </c>
      <c r="G6294" s="1">
        <v>9.3800000000000008</v>
      </c>
    </row>
    <row r="6295" spans="1:7" ht="14.25" hidden="1" customHeight="1" x14ac:dyDescent="0.45">
      <c r="A6295" t="str">
        <f>_xlfn.XLOOKUP(B6295,Ingot!$H$12:$H$119,Ingot!$G$12:$G$119,"")</f>
        <v>Stone</v>
      </c>
      <c r="B6295" t="s">
        <v>12443</v>
      </c>
      <c r="C6295" t="s">
        <v>157</v>
      </c>
      <c r="D6295" t="s">
        <v>12654</v>
      </c>
      <c r="E6295" t="s">
        <v>12655</v>
      </c>
      <c r="G6295" s="1">
        <v>9.3800000000000008</v>
      </c>
    </row>
    <row r="6296" spans="1:7" ht="14.25" hidden="1" customHeight="1" x14ac:dyDescent="0.45">
      <c r="A6296" t="str">
        <f>_xlfn.XLOOKUP(B6296,Ingot!$H$12:$H$119,Ingot!$G$12:$G$119,"")</f>
        <v>Stone</v>
      </c>
      <c r="B6296" t="s">
        <v>12443</v>
      </c>
      <c r="C6296" t="s">
        <v>157</v>
      </c>
      <c r="D6296" t="s">
        <v>12656</v>
      </c>
      <c r="E6296" t="s">
        <v>12657</v>
      </c>
      <c r="G6296" s="1">
        <v>6.1</v>
      </c>
    </row>
    <row r="6297" spans="1:7" ht="14.25" hidden="1" customHeight="1" x14ac:dyDescent="0.45">
      <c r="A6297" t="str">
        <f>_xlfn.XLOOKUP(B6297,Ingot!$H$12:$H$119,Ingot!$G$12:$G$119,"")</f>
        <v>Stone</v>
      </c>
      <c r="B6297" t="s">
        <v>12443</v>
      </c>
      <c r="C6297" t="s">
        <v>157</v>
      </c>
      <c r="D6297" t="s">
        <v>12658</v>
      </c>
      <c r="E6297" t="s">
        <v>12659</v>
      </c>
      <c r="G6297" s="1">
        <v>12.19</v>
      </c>
    </row>
    <row r="6298" spans="1:7" ht="14.25" hidden="1" customHeight="1" x14ac:dyDescent="0.45">
      <c r="A6298" t="str">
        <f>_xlfn.XLOOKUP(B6298,Ingot!$H$12:$H$119,Ingot!$G$12:$G$119,"")</f>
        <v>Stone</v>
      </c>
      <c r="B6298" t="s">
        <v>12443</v>
      </c>
      <c r="C6298" t="s">
        <v>157</v>
      </c>
      <c r="D6298" t="s">
        <v>12660</v>
      </c>
      <c r="E6298" t="s">
        <v>12661</v>
      </c>
      <c r="F6298" t="s">
        <v>180</v>
      </c>
      <c r="G6298" s="1">
        <v>39.4</v>
      </c>
    </row>
    <row r="6299" spans="1:7" ht="14.25" hidden="1" customHeight="1" x14ac:dyDescent="0.45">
      <c r="A6299" t="str">
        <f>_xlfn.XLOOKUP(B6299,Ingot!$H$12:$H$119,Ingot!$G$12:$G$119,"")</f>
        <v>Stone</v>
      </c>
      <c r="B6299" t="s">
        <v>12443</v>
      </c>
      <c r="C6299" t="s">
        <v>157</v>
      </c>
      <c r="D6299" t="s">
        <v>12662</v>
      </c>
      <c r="E6299" t="s">
        <v>12663</v>
      </c>
      <c r="F6299" t="s">
        <v>180</v>
      </c>
      <c r="G6299" s="1">
        <v>7.88</v>
      </c>
    </row>
    <row r="6300" spans="1:7" ht="14.25" hidden="1" customHeight="1" x14ac:dyDescent="0.45">
      <c r="A6300" t="str">
        <f>_xlfn.XLOOKUP(B6300,Ingot!$H$12:$H$119,Ingot!$G$12:$G$119,"")</f>
        <v>Stone</v>
      </c>
      <c r="B6300" t="s">
        <v>12443</v>
      </c>
      <c r="C6300" t="s">
        <v>157</v>
      </c>
      <c r="D6300" t="s">
        <v>12664</v>
      </c>
      <c r="E6300" t="s">
        <v>12665</v>
      </c>
      <c r="F6300" t="s">
        <v>180</v>
      </c>
      <c r="G6300" s="1">
        <v>7.88</v>
      </c>
    </row>
    <row r="6301" spans="1:7" ht="14.25" hidden="1" customHeight="1" x14ac:dyDescent="0.45">
      <c r="A6301" t="str">
        <f>_xlfn.XLOOKUP(B6301,Ingot!$H$12:$H$119,Ingot!$G$12:$G$119,"")</f>
        <v>Stone</v>
      </c>
      <c r="B6301" t="s">
        <v>12443</v>
      </c>
      <c r="C6301" t="s">
        <v>157</v>
      </c>
      <c r="D6301" t="s">
        <v>12666</v>
      </c>
      <c r="E6301" t="s">
        <v>12667</v>
      </c>
      <c r="F6301" t="s">
        <v>180</v>
      </c>
      <c r="G6301" s="1">
        <v>5.12</v>
      </c>
    </row>
    <row r="6302" spans="1:7" ht="14.25" hidden="1" customHeight="1" x14ac:dyDescent="0.45">
      <c r="A6302" t="str">
        <f>_xlfn.XLOOKUP(B6302,Ingot!$H$12:$H$119,Ingot!$G$12:$G$119,"")</f>
        <v>Stone</v>
      </c>
      <c r="B6302" t="s">
        <v>12443</v>
      </c>
      <c r="C6302" t="s">
        <v>157</v>
      </c>
      <c r="D6302" t="s">
        <v>12668</v>
      </c>
      <c r="E6302" t="s">
        <v>12669</v>
      </c>
      <c r="F6302" t="s">
        <v>180</v>
      </c>
      <c r="G6302" s="1">
        <v>10.24</v>
      </c>
    </row>
    <row r="6303" spans="1:7" ht="14.25" hidden="1" customHeight="1" x14ac:dyDescent="0.45">
      <c r="A6303" t="str">
        <f>_xlfn.XLOOKUP(B6303,Ingot!$H$12:$H$119,Ingot!$G$12:$G$119,"")</f>
        <v>Stone</v>
      </c>
      <c r="B6303" t="s">
        <v>12443</v>
      </c>
      <c r="C6303" t="s">
        <v>239</v>
      </c>
      <c r="D6303" t="s">
        <v>12670</v>
      </c>
      <c r="E6303" t="s">
        <v>12671</v>
      </c>
      <c r="G6303" s="1">
        <f>(VLOOKUP(B6303,Ingot!H:I,2,FALSE()) * 0.75) * 0.75</f>
        <v>8.4375</v>
      </c>
    </row>
    <row r="6304" spans="1:7" ht="14.25" hidden="1" customHeight="1" x14ac:dyDescent="0.45">
      <c r="A6304" t="str">
        <f>_xlfn.XLOOKUP(B6304,Ingot!$H$12:$H$119,Ingot!$G$12:$G$119,"")</f>
        <v>Stone</v>
      </c>
      <c r="B6304" t="s">
        <v>12443</v>
      </c>
      <c r="C6304" t="s">
        <v>239</v>
      </c>
      <c r="D6304" t="s">
        <v>12672</v>
      </c>
      <c r="E6304" t="s">
        <v>12673</v>
      </c>
      <c r="G6304" s="1">
        <f>((VLOOKUP(B6304,Ingot!H:I,2,FALSE()) * 3) - 10.25) * 0.421875</f>
        <v>14.66015625</v>
      </c>
    </row>
    <row r="6305" spans="1:7" ht="14.25" hidden="1" customHeight="1" x14ac:dyDescent="0.45">
      <c r="A6305" t="str">
        <f>_xlfn.XLOOKUP(B6305,Ingot!$H$12:$H$119,Ingot!$G$12:$G$119,"")</f>
        <v>Stone</v>
      </c>
      <c r="B6305" t="s">
        <v>12443</v>
      </c>
      <c r="C6305" t="s">
        <v>239</v>
      </c>
      <c r="D6305" t="s">
        <v>12674</v>
      </c>
      <c r="E6305" t="s">
        <v>12675</v>
      </c>
      <c r="G6305" s="1">
        <f>((VLOOKUP(B6305,Ingot!H:I,2,FALSE()) * 3) - 10.25) * 0.75</f>
        <v>26.0625</v>
      </c>
    </row>
    <row r="6306" spans="1:7" ht="14.25" hidden="1" customHeight="1" x14ac:dyDescent="0.45">
      <c r="A6306" t="str">
        <f>_xlfn.XLOOKUP(B6306,Ingot!$H$12:$H$119,Ingot!$G$12:$G$119,"")</f>
        <v>Stone</v>
      </c>
      <c r="B6306" t="s">
        <v>12443</v>
      </c>
      <c r="C6306" t="s">
        <v>239</v>
      </c>
      <c r="D6306" t="s">
        <v>12676</v>
      </c>
      <c r="E6306" t="s">
        <v>12677</v>
      </c>
      <c r="G6306" s="1">
        <f>((VLOOKUP(B6306,Ingot!H:I,2,FALSE()) * 3) - 10.25) * 0.5625</f>
        <v>19.546875</v>
      </c>
    </row>
    <row r="6307" spans="1:7" ht="14.25" hidden="1" customHeight="1" x14ac:dyDescent="0.45">
      <c r="A6307" t="str">
        <f>_xlfn.XLOOKUP(B6307,Ingot!$H$12:$H$119,Ingot!$G$12:$G$119,"")</f>
        <v>Stone</v>
      </c>
      <c r="B6307" t="s">
        <v>12443</v>
      </c>
      <c r="C6307" t="s">
        <v>239</v>
      </c>
      <c r="D6307" t="s">
        <v>12678</v>
      </c>
      <c r="E6307" t="s">
        <v>12679</v>
      </c>
      <c r="G6307" s="1">
        <f>VLOOKUP(B6307,Ingot!H:I,2,FALSE()) * 0.75</f>
        <v>11.25</v>
      </c>
    </row>
    <row r="6308" spans="1:7" ht="14.25" hidden="1" customHeight="1" x14ac:dyDescent="0.45">
      <c r="A6308" t="str">
        <f>_xlfn.XLOOKUP(B6308,Ingot!$H$12:$H$119,Ingot!$G$12:$G$119,"")</f>
        <v>Stone</v>
      </c>
      <c r="B6308" t="s">
        <v>12443</v>
      </c>
      <c r="C6308" t="s">
        <v>239</v>
      </c>
      <c r="D6308" t="s">
        <v>12680</v>
      </c>
      <c r="E6308" t="s">
        <v>12681</v>
      </c>
      <c r="G6308" s="1">
        <f>(VLOOKUP(B6308,Ingot!H:I,2,FALSE()) * 3) - 10.25</f>
        <v>34.75</v>
      </c>
    </row>
    <row r="6309" spans="1:7" ht="14.25" hidden="1" customHeight="1" x14ac:dyDescent="0.45">
      <c r="A6309" t="str">
        <f>_xlfn.XLOOKUP(B6309,Ingot!$H$12:$H$119,Ingot!$G$12:$G$119,"")</f>
        <v>Stone</v>
      </c>
      <c r="B6309" t="s">
        <v>12682</v>
      </c>
      <c r="C6309" t="s">
        <v>10</v>
      </c>
      <c r="D6309" t="s">
        <v>12683</v>
      </c>
      <c r="E6309" t="s">
        <v>12684</v>
      </c>
      <c r="G6309" s="1">
        <v>0.08</v>
      </c>
    </row>
    <row r="6310" spans="1:7" ht="14.25" hidden="1" customHeight="1" x14ac:dyDescent="0.45">
      <c r="A6310" t="str">
        <f>_xlfn.XLOOKUP(B6310,Ingot!$H$12:$H$119,Ingot!$G$12:$G$119,"")</f>
        <v>Stone</v>
      </c>
      <c r="B6310" t="s">
        <v>12682</v>
      </c>
      <c r="C6310" t="s">
        <v>10</v>
      </c>
      <c r="D6310" t="s">
        <v>12685</v>
      </c>
      <c r="E6310" t="s">
        <v>12686</v>
      </c>
      <c r="G6310" s="1">
        <v>9.9</v>
      </c>
    </row>
    <row r="6311" spans="1:7" ht="14.25" hidden="1" customHeight="1" x14ac:dyDescent="0.45">
      <c r="A6311" t="str">
        <f>_xlfn.XLOOKUP(B6311,Ingot!$H$12:$H$119,Ingot!$G$12:$G$119,"")</f>
        <v>Stone</v>
      </c>
      <c r="B6311" t="s">
        <v>12682</v>
      </c>
      <c r="C6311" t="s">
        <v>10</v>
      </c>
      <c r="D6311" t="s">
        <v>12687</v>
      </c>
      <c r="E6311" t="s">
        <v>12688</v>
      </c>
      <c r="G6311" s="1">
        <v>5.66</v>
      </c>
    </row>
    <row r="6312" spans="1:7" ht="14.25" hidden="1" customHeight="1" x14ac:dyDescent="0.45">
      <c r="A6312" t="str">
        <f>_xlfn.XLOOKUP(B6312,Ingot!$H$12:$H$119,Ingot!$G$12:$G$119,"")</f>
        <v>Stone</v>
      </c>
      <c r="B6312" t="s">
        <v>12682</v>
      </c>
      <c r="C6312" t="s">
        <v>10</v>
      </c>
      <c r="D6312" t="s">
        <v>12689</v>
      </c>
      <c r="E6312" t="s">
        <v>12690</v>
      </c>
      <c r="G6312" s="1">
        <v>3.3</v>
      </c>
    </row>
    <row r="6313" spans="1:7" ht="14.25" hidden="1" customHeight="1" x14ac:dyDescent="0.45">
      <c r="A6313" t="str">
        <f>_xlfn.XLOOKUP(B6313,Ingot!$H$12:$H$119,Ingot!$G$12:$G$119,"")</f>
        <v>Stone</v>
      </c>
      <c r="B6313" t="s">
        <v>12682</v>
      </c>
      <c r="C6313" t="s">
        <v>10</v>
      </c>
      <c r="D6313" t="s">
        <v>12691</v>
      </c>
      <c r="E6313" t="s">
        <v>12692</v>
      </c>
      <c r="G6313" s="1">
        <v>0.66</v>
      </c>
    </row>
    <row r="6314" spans="1:7" ht="14.25" hidden="1" customHeight="1" x14ac:dyDescent="0.45">
      <c r="A6314" t="str">
        <f>_xlfn.XLOOKUP(B6314,Ingot!$H$12:$H$119,Ingot!$G$12:$G$119,"")</f>
        <v>Stone</v>
      </c>
      <c r="B6314" t="s">
        <v>12682</v>
      </c>
      <c r="C6314" t="s">
        <v>10</v>
      </c>
      <c r="D6314" t="s">
        <v>12693</v>
      </c>
      <c r="E6314" t="s">
        <v>12694</v>
      </c>
      <c r="G6314" s="1">
        <v>0.04</v>
      </c>
    </row>
    <row r="6315" spans="1:7" ht="14.25" hidden="1" customHeight="1" x14ac:dyDescent="0.45">
      <c r="A6315" t="str">
        <f>_xlfn.XLOOKUP(B6315,Ingot!$H$12:$H$119,Ingot!$G$12:$G$119,"")</f>
        <v>Stone</v>
      </c>
      <c r="B6315" t="s">
        <v>12682</v>
      </c>
      <c r="C6315" t="s">
        <v>10</v>
      </c>
      <c r="D6315" t="s">
        <v>12695</v>
      </c>
      <c r="E6315" t="s">
        <v>12696</v>
      </c>
      <c r="G6315" s="1">
        <v>0.33</v>
      </c>
    </row>
    <row r="6316" spans="1:7" ht="14.25" hidden="1" customHeight="1" x14ac:dyDescent="0.45">
      <c r="A6316" t="str">
        <f>_xlfn.XLOOKUP(B6316,Ingot!$H$12:$H$119,Ingot!$G$12:$G$119,"")</f>
        <v>Stone</v>
      </c>
      <c r="B6316" t="s">
        <v>12682</v>
      </c>
      <c r="C6316" t="s">
        <v>10</v>
      </c>
      <c r="D6316" t="s">
        <v>12697</v>
      </c>
      <c r="E6316" t="s">
        <v>12698</v>
      </c>
    </row>
    <row r="6317" spans="1:7" ht="14.25" hidden="1" customHeight="1" x14ac:dyDescent="0.45">
      <c r="A6317" t="str">
        <f>_xlfn.XLOOKUP(B6317,Ingot!$H$12:$H$119,Ingot!$G$12:$G$119,"")</f>
        <v>Stone</v>
      </c>
      <c r="B6317" t="s">
        <v>12682</v>
      </c>
      <c r="C6317" t="s">
        <v>10</v>
      </c>
      <c r="D6317" t="s">
        <v>12699</v>
      </c>
      <c r="E6317" t="s">
        <v>12700</v>
      </c>
      <c r="G6317" s="1">
        <v>0.05</v>
      </c>
    </row>
    <row r="6318" spans="1:7" ht="14.25" hidden="1" customHeight="1" x14ac:dyDescent="0.45">
      <c r="A6318" t="str">
        <f>_xlfn.XLOOKUP(B6318,Ingot!$H$12:$H$119,Ingot!$G$12:$G$119,"")</f>
        <v>Stone</v>
      </c>
      <c r="B6318" t="s">
        <v>12682</v>
      </c>
      <c r="C6318" t="s">
        <v>10</v>
      </c>
      <c r="D6318" t="s">
        <v>12701</v>
      </c>
      <c r="E6318" t="s">
        <v>12702</v>
      </c>
      <c r="G6318" s="1">
        <v>0.66</v>
      </c>
    </row>
    <row r="6319" spans="1:7" ht="14.25" hidden="1" customHeight="1" x14ac:dyDescent="0.45">
      <c r="A6319" t="str">
        <f>_xlfn.XLOOKUP(B6319,Ingot!$H$12:$H$119,Ingot!$G$12:$G$119,"")</f>
        <v>Stone</v>
      </c>
      <c r="B6319" t="s">
        <v>12682</v>
      </c>
      <c r="C6319" t="s">
        <v>10</v>
      </c>
      <c r="D6319" t="s">
        <v>12703</v>
      </c>
      <c r="E6319" t="s">
        <v>12704</v>
      </c>
      <c r="G6319" s="1">
        <v>3.96</v>
      </c>
    </row>
    <row r="6320" spans="1:7" ht="14.25" hidden="1" customHeight="1" x14ac:dyDescent="0.45">
      <c r="A6320" t="str">
        <f>_xlfn.XLOOKUP(B6320,Ingot!$H$12:$H$119,Ingot!$G$12:$G$119,"")</f>
        <v>Stone</v>
      </c>
      <c r="B6320" t="s">
        <v>12682</v>
      </c>
      <c r="C6320" t="s">
        <v>10</v>
      </c>
      <c r="D6320" t="s">
        <v>12705</v>
      </c>
      <c r="E6320" t="s">
        <v>12706</v>
      </c>
      <c r="G6320" s="1">
        <v>8.77</v>
      </c>
    </row>
    <row r="6321" spans="1:7" ht="14.25" hidden="1" customHeight="1" x14ac:dyDescent="0.45">
      <c r="A6321" t="str">
        <f>_xlfn.XLOOKUP(B6321,Ingot!$H$12:$H$119,Ingot!$G$12:$G$119,"")</f>
        <v>Stone</v>
      </c>
      <c r="B6321" t="s">
        <v>12682</v>
      </c>
      <c r="C6321" t="s">
        <v>10</v>
      </c>
      <c r="D6321" t="s">
        <v>12707</v>
      </c>
      <c r="E6321" t="s">
        <v>12708</v>
      </c>
      <c r="G6321" s="1">
        <v>3.5</v>
      </c>
    </row>
    <row r="6322" spans="1:7" ht="14.25" hidden="1" customHeight="1" x14ac:dyDescent="0.45">
      <c r="A6322" t="str">
        <f>_xlfn.XLOOKUP(B6322,Ingot!$H$12:$H$119,Ingot!$G$12:$G$119,"")</f>
        <v>Stone</v>
      </c>
      <c r="B6322" t="s">
        <v>12682</v>
      </c>
      <c r="C6322" t="s">
        <v>10</v>
      </c>
      <c r="D6322" t="s">
        <v>12709</v>
      </c>
      <c r="E6322" t="s">
        <v>12710</v>
      </c>
    </row>
    <row r="6323" spans="1:7" ht="14.25" hidden="1" customHeight="1" x14ac:dyDescent="0.45">
      <c r="A6323" t="str">
        <f>_xlfn.XLOOKUP(B6323,Ingot!$H$12:$H$119,Ingot!$G$12:$G$119,"")</f>
        <v>Stone</v>
      </c>
      <c r="B6323" t="s">
        <v>12682</v>
      </c>
      <c r="C6323" t="s">
        <v>10</v>
      </c>
      <c r="D6323" t="s">
        <v>12711</v>
      </c>
      <c r="E6323" t="s">
        <v>12712</v>
      </c>
      <c r="G6323" s="1">
        <v>2.2000000000000002</v>
      </c>
    </row>
    <row r="6324" spans="1:7" ht="14.25" hidden="1" customHeight="1" x14ac:dyDescent="0.45">
      <c r="A6324" t="str">
        <f>_xlfn.XLOOKUP(B6324,Ingot!$H$12:$H$119,Ingot!$G$12:$G$119,"")</f>
        <v>Stone</v>
      </c>
      <c r="B6324" t="s">
        <v>12682</v>
      </c>
      <c r="C6324" t="s">
        <v>10</v>
      </c>
      <c r="D6324" t="s">
        <v>12713</v>
      </c>
      <c r="E6324" t="s">
        <v>12714</v>
      </c>
      <c r="G6324" s="1">
        <v>1.1000000000000001</v>
      </c>
    </row>
    <row r="6325" spans="1:7" ht="14.25" hidden="1" customHeight="1" x14ac:dyDescent="0.45">
      <c r="A6325" t="str">
        <f>_xlfn.XLOOKUP(B6325,Ingot!$H$12:$H$119,Ingot!$G$12:$G$119,"")</f>
        <v>Stone</v>
      </c>
      <c r="B6325" t="s">
        <v>12682</v>
      </c>
      <c r="C6325" t="s">
        <v>10</v>
      </c>
      <c r="D6325" t="s">
        <v>12715</v>
      </c>
      <c r="E6325" t="s">
        <v>12716</v>
      </c>
      <c r="G6325" s="1">
        <v>0.22</v>
      </c>
    </row>
    <row r="6326" spans="1:7" ht="14.25" hidden="1" customHeight="1" x14ac:dyDescent="0.45">
      <c r="A6326" t="str">
        <f>_xlfn.XLOOKUP(B6326,Ingot!$H$12:$H$119,Ingot!$G$12:$G$119,"")</f>
        <v>Stone</v>
      </c>
      <c r="B6326" t="s">
        <v>12682</v>
      </c>
      <c r="C6326" t="s">
        <v>10</v>
      </c>
      <c r="D6326" t="s">
        <v>12717</v>
      </c>
      <c r="E6326" t="s">
        <v>12718</v>
      </c>
      <c r="G6326" s="1">
        <v>8.41</v>
      </c>
    </row>
    <row r="6327" spans="1:7" ht="14.25" hidden="1" customHeight="1" x14ac:dyDescent="0.45">
      <c r="A6327" t="str">
        <f>_xlfn.XLOOKUP(B6327,Ingot!$H$12:$H$119,Ingot!$G$12:$G$119,"")</f>
        <v>Stone</v>
      </c>
      <c r="B6327" t="s">
        <v>12682</v>
      </c>
      <c r="C6327" t="s">
        <v>10</v>
      </c>
      <c r="D6327" t="s">
        <v>12719</v>
      </c>
      <c r="E6327" t="s">
        <v>12720</v>
      </c>
      <c r="G6327" s="1">
        <v>3.64</v>
      </c>
    </row>
    <row r="6328" spans="1:7" ht="14.25" hidden="1" customHeight="1" x14ac:dyDescent="0.45">
      <c r="A6328" t="str">
        <f>_xlfn.XLOOKUP(B6328,Ingot!$H$12:$H$119,Ingot!$G$12:$G$119,"")</f>
        <v>Stone</v>
      </c>
      <c r="B6328" t="s">
        <v>12682</v>
      </c>
      <c r="C6328" t="s">
        <v>10</v>
      </c>
      <c r="D6328" t="s">
        <v>12721</v>
      </c>
      <c r="E6328" t="s">
        <v>12722</v>
      </c>
      <c r="G6328" s="1">
        <v>7.05</v>
      </c>
    </row>
    <row r="6329" spans="1:7" ht="14.25" hidden="1" customHeight="1" x14ac:dyDescent="0.45">
      <c r="A6329" t="str">
        <f>_xlfn.XLOOKUP(B6329,Ingot!$H$12:$H$119,Ingot!$G$12:$G$119,"")</f>
        <v>Stone</v>
      </c>
      <c r="B6329" t="s">
        <v>12682</v>
      </c>
      <c r="C6329" t="s">
        <v>10</v>
      </c>
      <c r="D6329" t="s">
        <v>12723</v>
      </c>
      <c r="E6329" t="s">
        <v>12724</v>
      </c>
      <c r="G6329" s="1">
        <v>2.65</v>
      </c>
    </row>
    <row r="6330" spans="1:7" ht="14.25" hidden="1" customHeight="1" x14ac:dyDescent="0.45">
      <c r="A6330" t="str">
        <f>_xlfn.XLOOKUP(B6330,Ingot!$H$12:$H$119,Ingot!$G$12:$G$119,"")</f>
        <v>Stone</v>
      </c>
      <c r="B6330" t="s">
        <v>12682</v>
      </c>
      <c r="C6330" t="s">
        <v>10</v>
      </c>
      <c r="D6330" t="s">
        <v>12725</v>
      </c>
      <c r="E6330" t="s">
        <v>12726</v>
      </c>
      <c r="G6330" s="1">
        <v>9</v>
      </c>
    </row>
    <row r="6331" spans="1:7" ht="14.25" hidden="1" customHeight="1" x14ac:dyDescent="0.45">
      <c r="A6331" t="str">
        <f>_xlfn.XLOOKUP(B6331,Ingot!$H$12:$H$119,Ingot!$G$12:$G$119,"")</f>
        <v>Stone</v>
      </c>
      <c r="B6331" t="s">
        <v>12682</v>
      </c>
      <c r="C6331" t="s">
        <v>10</v>
      </c>
      <c r="D6331" t="s">
        <v>12727</v>
      </c>
      <c r="E6331" t="s">
        <v>12728</v>
      </c>
      <c r="G6331" s="1">
        <v>10.23</v>
      </c>
    </row>
    <row r="6332" spans="1:7" ht="14.25" hidden="1" customHeight="1" x14ac:dyDescent="0.45">
      <c r="A6332" t="str">
        <f>_xlfn.XLOOKUP(B6332,Ingot!$H$12:$H$119,Ingot!$G$12:$G$119,"")</f>
        <v>Stone</v>
      </c>
      <c r="B6332" t="s">
        <v>12682</v>
      </c>
      <c r="C6332" t="s">
        <v>10</v>
      </c>
      <c r="D6332" t="s">
        <v>12729</v>
      </c>
      <c r="E6332" t="s">
        <v>12730</v>
      </c>
      <c r="G6332" s="1">
        <v>7.7</v>
      </c>
    </row>
    <row r="6333" spans="1:7" ht="14.25" hidden="1" customHeight="1" x14ac:dyDescent="0.45">
      <c r="A6333" t="str">
        <f>_xlfn.XLOOKUP(B6333,Ingot!$H$12:$H$119,Ingot!$G$12:$G$119,"")</f>
        <v>Stone</v>
      </c>
      <c r="B6333" t="s">
        <v>12682</v>
      </c>
      <c r="C6333" t="s">
        <v>10</v>
      </c>
      <c r="D6333" t="s">
        <v>12731</v>
      </c>
      <c r="E6333" t="s">
        <v>12732</v>
      </c>
      <c r="G6333" s="1">
        <v>10.02</v>
      </c>
    </row>
    <row r="6334" spans="1:7" ht="14.25" hidden="1" customHeight="1" x14ac:dyDescent="0.45">
      <c r="A6334" t="str">
        <f>_xlfn.XLOOKUP(B6334,Ingot!$H$12:$H$119,Ingot!$G$12:$G$119,"")</f>
        <v>Stone</v>
      </c>
      <c r="B6334" t="s">
        <v>12682</v>
      </c>
      <c r="C6334" t="s">
        <v>10</v>
      </c>
      <c r="D6334" t="s">
        <v>12733</v>
      </c>
      <c r="E6334" t="s">
        <v>12734</v>
      </c>
      <c r="G6334" s="1">
        <v>11.81</v>
      </c>
    </row>
    <row r="6335" spans="1:7" ht="14.25" hidden="1" customHeight="1" x14ac:dyDescent="0.45">
      <c r="A6335" t="str">
        <f>_xlfn.XLOOKUP(B6335,Ingot!$H$12:$H$119,Ingot!$G$12:$G$119,"")</f>
        <v>Stone</v>
      </c>
      <c r="B6335" t="s">
        <v>12682</v>
      </c>
      <c r="C6335" t="s">
        <v>10</v>
      </c>
      <c r="D6335" t="s">
        <v>12735</v>
      </c>
      <c r="E6335" t="s">
        <v>12736</v>
      </c>
      <c r="G6335" s="1">
        <v>8.44</v>
      </c>
    </row>
    <row r="6336" spans="1:7" ht="14.25" hidden="1" customHeight="1" x14ac:dyDescent="0.45">
      <c r="A6336" t="str">
        <f>_xlfn.XLOOKUP(B6336,Ingot!$H$12:$H$119,Ingot!$G$12:$G$119,"")</f>
        <v>Stone</v>
      </c>
      <c r="B6336" t="s">
        <v>12682</v>
      </c>
      <c r="C6336" t="s">
        <v>10</v>
      </c>
      <c r="D6336" t="s">
        <v>12737</v>
      </c>
      <c r="E6336" t="s">
        <v>12738</v>
      </c>
      <c r="G6336" s="1">
        <v>10.42</v>
      </c>
    </row>
    <row r="6337" spans="1:7" ht="14.25" hidden="1" customHeight="1" x14ac:dyDescent="0.45">
      <c r="A6337" t="str">
        <f>_xlfn.XLOOKUP(B6337,Ingot!$H$12:$H$119,Ingot!$G$12:$G$119,"")</f>
        <v>Stone</v>
      </c>
      <c r="B6337" t="s">
        <v>12682</v>
      </c>
      <c r="C6337" t="s">
        <v>10</v>
      </c>
      <c r="D6337" t="s">
        <v>12739</v>
      </c>
      <c r="E6337" t="s">
        <v>12740</v>
      </c>
    </row>
    <row r="6338" spans="1:7" ht="14.25" hidden="1" customHeight="1" x14ac:dyDescent="0.45">
      <c r="A6338" t="str">
        <f>_xlfn.XLOOKUP(B6338,Ingot!$H$12:$H$119,Ingot!$G$12:$G$119,"")</f>
        <v>Stone</v>
      </c>
      <c r="B6338" t="s">
        <v>12682</v>
      </c>
      <c r="C6338" t="s">
        <v>10</v>
      </c>
      <c r="D6338" t="s">
        <v>12741</v>
      </c>
      <c r="E6338" t="s">
        <v>12742</v>
      </c>
      <c r="G6338" s="1">
        <v>7.96</v>
      </c>
    </row>
    <row r="6339" spans="1:7" ht="14.25" hidden="1" customHeight="1" x14ac:dyDescent="0.45">
      <c r="A6339" t="str">
        <f>_xlfn.XLOOKUP(B6339,Ingot!$H$12:$H$119,Ingot!$G$12:$G$119,"")</f>
        <v>Stone</v>
      </c>
      <c r="B6339" t="s">
        <v>12682</v>
      </c>
      <c r="C6339" t="s">
        <v>10</v>
      </c>
      <c r="D6339" t="s">
        <v>12743</v>
      </c>
      <c r="E6339" t="s">
        <v>12744</v>
      </c>
      <c r="G6339" s="1">
        <v>9.64</v>
      </c>
    </row>
    <row r="6340" spans="1:7" ht="14.25" hidden="1" customHeight="1" x14ac:dyDescent="0.45">
      <c r="A6340" t="str">
        <f>_xlfn.XLOOKUP(B6340,Ingot!$H$12:$H$119,Ingot!$G$12:$G$119,"")</f>
        <v>Stone</v>
      </c>
      <c r="B6340" t="s">
        <v>12682</v>
      </c>
      <c r="C6340" t="s">
        <v>10</v>
      </c>
      <c r="D6340" t="s">
        <v>12745</v>
      </c>
      <c r="E6340" t="s">
        <v>12746</v>
      </c>
      <c r="G6340" s="1">
        <v>7.94</v>
      </c>
    </row>
    <row r="6341" spans="1:7" ht="14.25" hidden="1" customHeight="1" x14ac:dyDescent="0.45">
      <c r="A6341" t="str">
        <f>_xlfn.XLOOKUP(B6341,Ingot!$H$12:$H$119,Ingot!$G$12:$G$119,"")</f>
        <v>Stone</v>
      </c>
      <c r="B6341" t="s">
        <v>12682</v>
      </c>
      <c r="C6341" t="s">
        <v>10</v>
      </c>
      <c r="D6341" t="s">
        <v>12747</v>
      </c>
      <c r="E6341" t="s">
        <v>12748</v>
      </c>
      <c r="G6341" s="1">
        <v>8.66</v>
      </c>
    </row>
    <row r="6342" spans="1:7" ht="14.25" hidden="1" customHeight="1" x14ac:dyDescent="0.45">
      <c r="A6342" t="str">
        <f>_xlfn.XLOOKUP(B6342,Ingot!$H$12:$H$119,Ingot!$G$12:$G$119,"")</f>
        <v>Stone</v>
      </c>
      <c r="B6342" t="s">
        <v>12682</v>
      </c>
      <c r="C6342" t="s">
        <v>10</v>
      </c>
      <c r="D6342" t="s">
        <v>12749</v>
      </c>
      <c r="E6342" t="s">
        <v>12750</v>
      </c>
    </row>
    <row r="6343" spans="1:7" ht="14.25" hidden="1" customHeight="1" x14ac:dyDescent="0.45">
      <c r="A6343" t="str">
        <f>_xlfn.XLOOKUP(B6343,Ingot!$H$12:$H$119,Ingot!$G$12:$G$119,"")</f>
        <v>Stone</v>
      </c>
      <c r="B6343" t="s">
        <v>12682</v>
      </c>
      <c r="C6343" t="s">
        <v>10</v>
      </c>
      <c r="D6343" t="s">
        <v>12751</v>
      </c>
      <c r="E6343" t="s">
        <v>12752</v>
      </c>
      <c r="G6343" s="1">
        <v>2.65</v>
      </c>
    </row>
    <row r="6344" spans="1:7" ht="14.25" hidden="1" customHeight="1" x14ac:dyDescent="0.45">
      <c r="A6344" t="str">
        <f>_xlfn.XLOOKUP(B6344,Ingot!$H$12:$H$119,Ingot!$G$12:$G$119,"")</f>
        <v>Stone</v>
      </c>
      <c r="B6344" t="s">
        <v>12682</v>
      </c>
      <c r="C6344" t="s">
        <v>10</v>
      </c>
      <c r="D6344" t="s">
        <v>12753</v>
      </c>
      <c r="E6344" t="s">
        <v>12754</v>
      </c>
    </row>
    <row r="6345" spans="1:7" ht="14.25" hidden="1" customHeight="1" x14ac:dyDescent="0.45">
      <c r="A6345" t="str">
        <f>_xlfn.XLOOKUP(B6345,Ingot!$H$12:$H$119,Ingot!$G$12:$G$119,"")</f>
        <v>Stone</v>
      </c>
      <c r="B6345" t="s">
        <v>12682</v>
      </c>
      <c r="C6345" t="s">
        <v>10</v>
      </c>
      <c r="D6345" t="s">
        <v>12755</v>
      </c>
      <c r="E6345" t="s">
        <v>12756</v>
      </c>
      <c r="G6345" s="1">
        <v>12.64</v>
      </c>
    </row>
    <row r="6346" spans="1:7" ht="14.25" hidden="1" customHeight="1" x14ac:dyDescent="0.45">
      <c r="A6346" t="str">
        <f>_xlfn.XLOOKUP(B6346,Ingot!$H$12:$H$119,Ingot!$G$12:$G$119,"")</f>
        <v>Stone</v>
      </c>
      <c r="B6346" t="s">
        <v>12682</v>
      </c>
      <c r="C6346" t="s">
        <v>10</v>
      </c>
      <c r="D6346" t="s">
        <v>12757</v>
      </c>
      <c r="E6346" t="s">
        <v>12758</v>
      </c>
      <c r="G6346" s="1">
        <v>22.67</v>
      </c>
    </row>
    <row r="6347" spans="1:7" ht="14.25" hidden="1" customHeight="1" x14ac:dyDescent="0.45">
      <c r="A6347" t="str">
        <f>_xlfn.XLOOKUP(B6347,Ingot!$H$12:$H$119,Ingot!$G$12:$G$119,"")</f>
        <v>Stone</v>
      </c>
      <c r="B6347" t="s">
        <v>12682</v>
      </c>
      <c r="C6347" t="s">
        <v>10</v>
      </c>
      <c r="D6347" t="s">
        <v>12759</v>
      </c>
      <c r="E6347" t="s">
        <v>12760</v>
      </c>
      <c r="G6347" s="1">
        <v>8.3800000000000008</v>
      </c>
    </row>
    <row r="6348" spans="1:7" ht="14.25" hidden="1" customHeight="1" x14ac:dyDescent="0.45">
      <c r="A6348" t="str">
        <f>_xlfn.XLOOKUP(B6348,Ingot!$H$12:$H$119,Ingot!$G$12:$G$119,"")</f>
        <v>Stone</v>
      </c>
      <c r="B6348" t="s">
        <v>12682</v>
      </c>
      <c r="C6348" t="s">
        <v>10</v>
      </c>
      <c r="D6348" t="s">
        <v>12761</v>
      </c>
      <c r="E6348" t="s">
        <v>12762</v>
      </c>
      <c r="G6348" s="1">
        <v>2.2000000000000002</v>
      </c>
    </row>
    <row r="6349" spans="1:7" ht="14.25" hidden="1" customHeight="1" x14ac:dyDescent="0.45">
      <c r="A6349" t="str">
        <f>_xlfn.XLOOKUP(B6349,Ingot!$H$12:$H$119,Ingot!$G$12:$G$119,"")</f>
        <v>Stone</v>
      </c>
      <c r="B6349" t="s">
        <v>12682</v>
      </c>
      <c r="C6349" t="s">
        <v>10</v>
      </c>
      <c r="D6349" t="s">
        <v>12763</v>
      </c>
      <c r="E6349" t="s">
        <v>12764</v>
      </c>
      <c r="G6349" s="1">
        <v>3.09</v>
      </c>
    </row>
    <row r="6350" spans="1:7" ht="14.25" hidden="1" customHeight="1" x14ac:dyDescent="0.45">
      <c r="A6350" t="str">
        <f>_xlfn.XLOOKUP(B6350,Ingot!$H$12:$H$119,Ingot!$G$12:$G$119,"")</f>
        <v>Stone</v>
      </c>
      <c r="B6350" t="s">
        <v>12682</v>
      </c>
      <c r="C6350" t="s">
        <v>10</v>
      </c>
      <c r="D6350" t="s">
        <v>12765</v>
      </c>
      <c r="E6350" t="s">
        <v>12766</v>
      </c>
      <c r="G6350" s="1">
        <v>2.2999999999999998</v>
      </c>
    </row>
    <row r="6351" spans="1:7" ht="14.25" hidden="1" customHeight="1" x14ac:dyDescent="0.45">
      <c r="A6351" t="str">
        <f>_xlfn.XLOOKUP(B6351,Ingot!$H$12:$H$119,Ingot!$G$12:$G$119,"")</f>
        <v>Stone</v>
      </c>
      <c r="B6351" t="s">
        <v>12682</v>
      </c>
      <c r="C6351" t="s">
        <v>10</v>
      </c>
      <c r="D6351" t="s">
        <v>12767</v>
      </c>
      <c r="E6351" t="s">
        <v>12768</v>
      </c>
      <c r="G6351" s="1">
        <v>4.88</v>
      </c>
    </row>
    <row r="6352" spans="1:7" ht="14.25" hidden="1" customHeight="1" x14ac:dyDescent="0.45">
      <c r="A6352" t="str">
        <f>_xlfn.XLOOKUP(B6352,Ingot!$H$12:$H$119,Ingot!$G$12:$G$119,"")</f>
        <v>Stone</v>
      </c>
      <c r="B6352" t="s">
        <v>12682</v>
      </c>
      <c r="C6352" t="s">
        <v>10</v>
      </c>
      <c r="D6352" t="s">
        <v>12769</v>
      </c>
      <c r="E6352" t="s">
        <v>12770</v>
      </c>
      <c r="G6352" s="1">
        <v>8.43</v>
      </c>
    </row>
    <row r="6353" spans="1:7" ht="14.25" hidden="1" customHeight="1" x14ac:dyDescent="0.45">
      <c r="A6353" t="str">
        <f>_xlfn.XLOOKUP(B6353,Ingot!$H$12:$H$119,Ingot!$G$12:$G$119,"")</f>
        <v>Stone</v>
      </c>
      <c r="B6353" t="s">
        <v>12682</v>
      </c>
      <c r="C6353" t="s">
        <v>10</v>
      </c>
      <c r="D6353" t="s">
        <v>12771</v>
      </c>
      <c r="E6353" t="s">
        <v>12772</v>
      </c>
      <c r="G6353" s="1">
        <v>13.07</v>
      </c>
    </row>
    <row r="6354" spans="1:7" ht="14.25" hidden="1" customHeight="1" x14ac:dyDescent="0.45">
      <c r="A6354" t="str">
        <f>_xlfn.XLOOKUP(B6354,Ingot!$H$12:$H$119,Ingot!$G$12:$G$119,"")</f>
        <v>Stone</v>
      </c>
      <c r="B6354" t="s">
        <v>12682</v>
      </c>
      <c r="C6354" t="s">
        <v>10</v>
      </c>
      <c r="D6354" t="s">
        <v>12773</v>
      </c>
      <c r="E6354" t="s">
        <v>12774</v>
      </c>
    </row>
    <row r="6355" spans="1:7" ht="14.25" hidden="1" customHeight="1" x14ac:dyDescent="0.45">
      <c r="A6355" t="str">
        <f>_xlfn.XLOOKUP(B6355,Ingot!$H$12:$H$119,Ingot!$G$12:$G$119,"")</f>
        <v>Stone</v>
      </c>
      <c r="B6355" t="s">
        <v>12682</v>
      </c>
      <c r="C6355" t="s">
        <v>10</v>
      </c>
      <c r="D6355" t="s">
        <v>12775</v>
      </c>
      <c r="E6355" t="s">
        <v>12776</v>
      </c>
    </row>
    <row r="6356" spans="1:7" ht="14.25" hidden="1" customHeight="1" x14ac:dyDescent="0.45">
      <c r="A6356" t="str">
        <f>_xlfn.XLOOKUP(B6356,Ingot!$H$12:$H$119,Ingot!$G$12:$G$119,"")</f>
        <v>Stone</v>
      </c>
      <c r="B6356" t="s">
        <v>12682</v>
      </c>
      <c r="C6356" t="s">
        <v>10</v>
      </c>
      <c r="D6356" t="s">
        <v>12777</v>
      </c>
      <c r="E6356" t="s">
        <v>12778</v>
      </c>
      <c r="G6356" s="1">
        <v>6.8</v>
      </c>
    </row>
    <row r="6357" spans="1:7" ht="14.25" hidden="1" customHeight="1" x14ac:dyDescent="0.45">
      <c r="A6357" t="str">
        <f>_xlfn.XLOOKUP(B6357,Ingot!$H$12:$H$119,Ingot!$G$12:$G$119,"")</f>
        <v>Stone</v>
      </c>
      <c r="B6357" t="s">
        <v>12682</v>
      </c>
      <c r="C6357" t="s">
        <v>10</v>
      </c>
      <c r="D6357" t="s">
        <v>12779</v>
      </c>
      <c r="E6357" t="s">
        <v>12780</v>
      </c>
      <c r="G6357" s="1">
        <v>6.88</v>
      </c>
    </row>
    <row r="6358" spans="1:7" ht="14.25" hidden="1" customHeight="1" x14ac:dyDescent="0.45">
      <c r="A6358" t="str">
        <f>_xlfn.XLOOKUP(B6358,Ingot!$H$12:$H$119,Ingot!$G$12:$G$119,"")</f>
        <v>Stone</v>
      </c>
      <c r="B6358" t="s">
        <v>12682</v>
      </c>
      <c r="C6358" t="s">
        <v>10</v>
      </c>
      <c r="D6358" t="s">
        <v>12781</v>
      </c>
      <c r="E6358" t="s">
        <v>12782</v>
      </c>
      <c r="G6358" s="1">
        <v>5.5</v>
      </c>
    </row>
    <row r="6359" spans="1:7" ht="14.25" hidden="1" customHeight="1" x14ac:dyDescent="0.45">
      <c r="A6359" t="str">
        <f>_xlfn.XLOOKUP(B6359,Ingot!$H$12:$H$119,Ingot!$G$12:$G$119,"")</f>
        <v>Stone</v>
      </c>
      <c r="B6359" t="s">
        <v>12682</v>
      </c>
      <c r="C6359" t="s">
        <v>10</v>
      </c>
      <c r="D6359" t="s">
        <v>12783</v>
      </c>
      <c r="E6359" t="s">
        <v>12784</v>
      </c>
      <c r="G6359" s="1">
        <v>2.4300000000000002</v>
      </c>
    </row>
    <row r="6360" spans="1:7" ht="14.25" hidden="1" customHeight="1" x14ac:dyDescent="0.45">
      <c r="A6360" t="str">
        <f>_xlfn.XLOOKUP(B6360,Ingot!$H$12:$H$119,Ingot!$G$12:$G$119,"")</f>
        <v>Stone</v>
      </c>
      <c r="B6360" t="s">
        <v>12682</v>
      </c>
      <c r="C6360" t="s">
        <v>10</v>
      </c>
      <c r="D6360" t="s">
        <v>12785</v>
      </c>
      <c r="E6360" t="s">
        <v>12786</v>
      </c>
      <c r="G6360" s="1">
        <v>6.96</v>
      </c>
    </row>
    <row r="6361" spans="1:7" ht="14.25" hidden="1" customHeight="1" x14ac:dyDescent="0.45">
      <c r="A6361" t="str">
        <f>_xlfn.XLOOKUP(B6361,Ingot!$H$12:$H$119,Ingot!$G$12:$G$119,"")</f>
        <v>Stone</v>
      </c>
      <c r="B6361" t="s">
        <v>12682</v>
      </c>
      <c r="C6361" t="s">
        <v>10</v>
      </c>
      <c r="D6361" t="s">
        <v>12787</v>
      </c>
      <c r="E6361" t="s">
        <v>12788</v>
      </c>
      <c r="G6361" s="1">
        <v>6.32</v>
      </c>
    </row>
    <row r="6362" spans="1:7" ht="14.25" hidden="1" customHeight="1" x14ac:dyDescent="0.45">
      <c r="A6362" t="str">
        <f>_xlfn.XLOOKUP(B6362,Ingot!$H$12:$H$119,Ingot!$G$12:$G$119,"")</f>
        <v>Stone</v>
      </c>
      <c r="B6362" t="s">
        <v>12682</v>
      </c>
      <c r="C6362" t="s">
        <v>10</v>
      </c>
      <c r="D6362" t="s">
        <v>12789</v>
      </c>
      <c r="E6362" t="s">
        <v>12790</v>
      </c>
      <c r="G6362" s="1">
        <v>6.88</v>
      </c>
    </row>
    <row r="6363" spans="1:7" ht="14.25" hidden="1" customHeight="1" x14ac:dyDescent="0.45">
      <c r="A6363" t="str">
        <f>_xlfn.XLOOKUP(B6363,Ingot!$H$12:$H$119,Ingot!$G$12:$G$119,"")</f>
        <v>Stone</v>
      </c>
      <c r="B6363" t="s">
        <v>12682</v>
      </c>
      <c r="C6363" t="s">
        <v>10</v>
      </c>
      <c r="D6363" t="s">
        <v>12791</v>
      </c>
      <c r="E6363" t="s">
        <v>12792</v>
      </c>
      <c r="G6363" s="1">
        <v>2.44</v>
      </c>
    </row>
    <row r="6364" spans="1:7" ht="14.25" hidden="1" customHeight="1" x14ac:dyDescent="0.45">
      <c r="A6364" t="str">
        <f>_xlfn.XLOOKUP(B6364,Ingot!$H$12:$H$119,Ingot!$G$12:$G$119,"")</f>
        <v>Stone</v>
      </c>
      <c r="B6364" t="s">
        <v>12682</v>
      </c>
      <c r="C6364" t="s">
        <v>10</v>
      </c>
      <c r="D6364" t="s">
        <v>12793</v>
      </c>
      <c r="E6364" t="s">
        <v>12794</v>
      </c>
    </row>
    <row r="6365" spans="1:7" ht="14.25" hidden="1" customHeight="1" x14ac:dyDescent="0.45">
      <c r="A6365" t="str">
        <f>_xlfn.XLOOKUP(B6365,Ingot!$H$12:$H$119,Ingot!$G$12:$G$119,"")</f>
        <v>Stone</v>
      </c>
      <c r="B6365" t="s">
        <v>12682</v>
      </c>
      <c r="C6365" t="s">
        <v>10</v>
      </c>
      <c r="D6365" t="s">
        <v>12795</v>
      </c>
      <c r="E6365" t="s">
        <v>12796</v>
      </c>
    </row>
    <row r="6366" spans="1:7" ht="14.25" hidden="1" customHeight="1" x14ac:dyDescent="0.45">
      <c r="A6366" t="str">
        <f>_xlfn.XLOOKUP(B6366,Ingot!$H$12:$H$119,Ingot!$G$12:$G$119,"")</f>
        <v>Stone</v>
      </c>
      <c r="B6366" t="s">
        <v>12682</v>
      </c>
      <c r="C6366" t="s">
        <v>10</v>
      </c>
      <c r="D6366" t="s">
        <v>12797</v>
      </c>
      <c r="E6366" t="s">
        <v>12798</v>
      </c>
      <c r="G6366" s="1">
        <v>3.11</v>
      </c>
    </row>
    <row r="6367" spans="1:7" ht="14.25" hidden="1" customHeight="1" x14ac:dyDescent="0.45">
      <c r="A6367" t="str">
        <f>_xlfn.XLOOKUP(B6367,Ingot!$H$12:$H$119,Ingot!$G$12:$G$119,"")</f>
        <v>Stone</v>
      </c>
      <c r="B6367" t="s">
        <v>12682</v>
      </c>
      <c r="C6367" t="s">
        <v>10</v>
      </c>
      <c r="D6367" t="s">
        <v>12799</v>
      </c>
      <c r="E6367" t="s">
        <v>12800</v>
      </c>
      <c r="G6367" s="1">
        <v>2.44</v>
      </c>
    </row>
    <row r="6368" spans="1:7" ht="14.25" hidden="1" customHeight="1" x14ac:dyDescent="0.45">
      <c r="A6368" t="str">
        <f>_xlfn.XLOOKUP(B6368,Ingot!$H$12:$H$119,Ingot!$G$12:$G$119,"")</f>
        <v>Stone</v>
      </c>
      <c r="B6368" t="s">
        <v>12682</v>
      </c>
      <c r="C6368" t="s">
        <v>10</v>
      </c>
      <c r="D6368" t="s">
        <v>12801</v>
      </c>
      <c r="E6368" t="s">
        <v>12802</v>
      </c>
      <c r="G6368" s="1">
        <v>8.61</v>
      </c>
    </row>
    <row r="6369" spans="1:7" ht="14.25" hidden="1" customHeight="1" x14ac:dyDescent="0.45">
      <c r="A6369" t="str">
        <f>_xlfn.XLOOKUP(B6369,Ingot!$H$12:$H$119,Ingot!$G$12:$G$119,"")</f>
        <v>Stone</v>
      </c>
      <c r="B6369" t="s">
        <v>12682</v>
      </c>
      <c r="C6369" t="s">
        <v>10</v>
      </c>
      <c r="D6369" t="s">
        <v>12803</v>
      </c>
      <c r="E6369" t="s">
        <v>12804</v>
      </c>
    </row>
    <row r="6370" spans="1:7" ht="14.25" hidden="1" customHeight="1" x14ac:dyDescent="0.45">
      <c r="A6370" t="str">
        <f>_xlfn.XLOOKUP(B6370,Ingot!$H$12:$H$119,Ingot!$G$12:$G$119,"")</f>
        <v>Stone</v>
      </c>
      <c r="B6370" t="s">
        <v>12682</v>
      </c>
      <c r="C6370" t="s">
        <v>10</v>
      </c>
      <c r="D6370" t="s">
        <v>12805</v>
      </c>
      <c r="E6370" t="s">
        <v>12806</v>
      </c>
      <c r="G6370" s="1">
        <v>3.21</v>
      </c>
    </row>
    <row r="6371" spans="1:7" ht="14.25" hidden="1" customHeight="1" x14ac:dyDescent="0.45">
      <c r="A6371" t="str">
        <f>_xlfn.XLOOKUP(B6371,Ingot!$H$12:$H$119,Ingot!$G$12:$G$119,"")</f>
        <v>Stone</v>
      </c>
      <c r="B6371" t="s">
        <v>12682</v>
      </c>
      <c r="C6371" t="s">
        <v>10</v>
      </c>
      <c r="D6371" t="s">
        <v>12807</v>
      </c>
      <c r="E6371" t="s">
        <v>12808</v>
      </c>
      <c r="G6371" s="1">
        <v>2.77</v>
      </c>
    </row>
    <row r="6372" spans="1:7" ht="14.25" hidden="1" customHeight="1" x14ac:dyDescent="0.45">
      <c r="A6372" t="str">
        <f>_xlfn.XLOOKUP(B6372,Ingot!$H$12:$H$119,Ingot!$G$12:$G$119,"")</f>
        <v>Stone</v>
      </c>
      <c r="B6372" t="s">
        <v>12682</v>
      </c>
      <c r="C6372" t="s">
        <v>10</v>
      </c>
      <c r="D6372" t="s">
        <v>12809</v>
      </c>
      <c r="E6372" t="s">
        <v>12810</v>
      </c>
      <c r="G6372" s="1">
        <v>4.8899999999999997</v>
      </c>
    </row>
    <row r="6373" spans="1:7" ht="14.25" hidden="1" customHeight="1" x14ac:dyDescent="0.45">
      <c r="A6373" t="str">
        <f>_xlfn.XLOOKUP(B6373,Ingot!$H$12:$H$119,Ingot!$G$12:$G$119,"")</f>
        <v>Stone</v>
      </c>
      <c r="B6373" t="s">
        <v>12682</v>
      </c>
      <c r="C6373" t="s">
        <v>10</v>
      </c>
      <c r="D6373" t="s">
        <v>12811</v>
      </c>
      <c r="E6373" t="s">
        <v>12812</v>
      </c>
      <c r="G6373" s="1">
        <v>1.76</v>
      </c>
    </row>
    <row r="6374" spans="1:7" ht="14.25" hidden="1" customHeight="1" x14ac:dyDescent="0.45">
      <c r="A6374" t="str">
        <f>_xlfn.XLOOKUP(B6374,Ingot!$H$12:$H$119,Ingot!$G$12:$G$119,"")</f>
        <v>Stone</v>
      </c>
      <c r="B6374" t="s">
        <v>12682</v>
      </c>
      <c r="C6374" t="s">
        <v>10</v>
      </c>
      <c r="D6374" t="s">
        <v>12813</v>
      </c>
      <c r="E6374" t="s">
        <v>12814</v>
      </c>
    </row>
    <row r="6375" spans="1:7" ht="14.25" hidden="1" customHeight="1" x14ac:dyDescent="0.45">
      <c r="A6375" t="str">
        <f>_xlfn.XLOOKUP(B6375,Ingot!$H$12:$H$119,Ingot!$G$12:$G$119,"")</f>
        <v>Stone</v>
      </c>
      <c r="B6375" t="s">
        <v>12682</v>
      </c>
      <c r="C6375" t="s">
        <v>10</v>
      </c>
      <c r="D6375" t="s">
        <v>12815</v>
      </c>
      <c r="E6375" t="s">
        <v>12816</v>
      </c>
      <c r="G6375" s="1">
        <v>8.57</v>
      </c>
    </row>
    <row r="6376" spans="1:7" ht="14.25" hidden="1" customHeight="1" x14ac:dyDescent="0.45">
      <c r="A6376" t="str">
        <f>_xlfn.XLOOKUP(B6376,Ingot!$H$12:$H$119,Ingot!$G$12:$G$119,"")</f>
        <v>Stone</v>
      </c>
      <c r="B6376" t="s">
        <v>12682</v>
      </c>
      <c r="C6376" t="s">
        <v>10</v>
      </c>
      <c r="D6376" t="s">
        <v>12817</v>
      </c>
      <c r="E6376" t="s">
        <v>12818</v>
      </c>
    </row>
    <row r="6377" spans="1:7" ht="14.25" hidden="1" customHeight="1" x14ac:dyDescent="0.45">
      <c r="A6377" t="str">
        <f>_xlfn.XLOOKUP(B6377,Ingot!$H$12:$H$119,Ingot!$G$12:$G$119,"")</f>
        <v>Stone</v>
      </c>
      <c r="B6377" t="s">
        <v>12682</v>
      </c>
      <c r="C6377" t="s">
        <v>10</v>
      </c>
      <c r="D6377" t="s">
        <v>12819</v>
      </c>
      <c r="E6377" t="s">
        <v>12820</v>
      </c>
      <c r="G6377" s="1">
        <v>3.56</v>
      </c>
    </row>
    <row r="6378" spans="1:7" ht="14.25" hidden="1" customHeight="1" x14ac:dyDescent="0.45">
      <c r="A6378" t="str">
        <f>_xlfn.XLOOKUP(B6378,Ingot!$H$12:$H$119,Ingot!$G$12:$G$119,"")</f>
        <v>Stone</v>
      </c>
      <c r="B6378" t="s">
        <v>12682</v>
      </c>
      <c r="C6378" t="s">
        <v>10</v>
      </c>
      <c r="D6378" t="s">
        <v>12821</v>
      </c>
      <c r="E6378" t="s">
        <v>12822</v>
      </c>
      <c r="G6378" s="1">
        <v>8.91</v>
      </c>
    </row>
    <row r="6379" spans="1:7" ht="14.25" hidden="1" customHeight="1" x14ac:dyDescent="0.45">
      <c r="A6379" t="str">
        <f>_xlfn.XLOOKUP(B6379,Ingot!$H$12:$H$119,Ingot!$G$12:$G$119,"")</f>
        <v>Stone</v>
      </c>
      <c r="B6379" t="s">
        <v>12682</v>
      </c>
      <c r="C6379" t="s">
        <v>10</v>
      </c>
      <c r="D6379" t="s">
        <v>12823</v>
      </c>
      <c r="E6379" t="s">
        <v>12824</v>
      </c>
      <c r="G6379" s="1">
        <v>11.02</v>
      </c>
    </row>
    <row r="6380" spans="1:7" ht="14.25" hidden="1" customHeight="1" x14ac:dyDescent="0.45">
      <c r="A6380" t="str">
        <f>_xlfn.XLOOKUP(B6380,Ingot!$H$12:$H$119,Ingot!$G$12:$G$119,"")</f>
        <v>Stone</v>
      </c>
      <c r="B6380" t="s">
        <v>12682</v>
      </c>
      <c r="C6380" t="s">
        <v>10</v>
      </c>
      <c r="D6380" t="s">
        <v>12825</v>
      </c>
      <c r="E6380" t="s">
        <v>12826</v>
      </c>
      <c r="G6380" s="1">
        <v>5.12</v>
      </c>
    </row>
    <row r="6381" spans="1:7" ht="14.25" hidden="1" customHeight="1" x14ac:dyDescent="0.45">
      <c r="A6381" t="str">
        <f>_xlfn.XLOOKUP(B6381,Ingot!$H$12:$H$119,Ingot!$G$12:$G$119,"")</f>
        <v>Stone</v>
      </c>
      <c r="B6381" t="s">
        <v>12682</v>
      </c>
      <c r="C6381" t="s">
        <v>10</v>
      </c>
      <c r="D6381" t="s">
        <v>12827</v>
      </c>
      <c r="E6381" t="s">
        <v>12828</v>
      </c>
      <c r="G6381" s="1">
        <v>4.41</v>
      </c>
    </row>
    <row r="6382" spans="1:7" ht="14.25" hidden="1" customHeight="1" x14ac:dyDescent="0.45">
      <c r="A6382" t="str">
        <f>_xlfn.XLOOKUP(B6382,Ingot!$H$12:$H$119,Ingot!$G$12:$G$119,"")</f>
        <v>Stone</v>
      </c>
      <c r="B6382" t="s">
        <v>12682</v>
      </c>
      <c r="C6382" t="s">
        <v>157</v>
      </c>
      <c r="D6382" t="s">
        <v>12829</v>
      </c>
      <c r="E6382" t="s">
        <v>12830</v>
      </c>
      <c r="G6382" s="1">
        <v>45.69</v>
      </c>
    </row>
    <row r="6383" spans="1:7" ht="14.25" hidden="1" customHeight="1" x14ac:dyDescent="0.45">
      <c r="A6383" t="str">
        <f>_xlfn.XLOOKUP(B6383,Ingot!$H$12:$H$119,Ingot!$G$12:$G$119,"")</f>
        <v>Stone</v>
      </c>
      <c r="B6383" t="s">
        <v>12682</v>
      </c>
      <c r="C6383" t="s">
        <v>157</v>
      </c>
      <c r="D6383" t="s">
        <v>12831</v>
      </c>
      <c r="E6383" t="s">
        <v>12832</v>
      </c>
      <c r="G6383" s="1">
        <v>9.14</v>
      </c>
    </row>
    <row r="6384" spans="1:7" ht="14.25" hidden="1" customHeight="1" x14ac:dyDescent="0.45">
      <c r="A6384" t="str">
        <f>_xlfn.XLOOKUP(B6384,Ingot!$H$12:$H$119,Ingot!$G$12:$G$119,"")</f>
        <v>Stone</v>
      </c>
      <c r="B6384" t="s">
        <v>12682</v>
      </c>
      <c r="C6384" t="s">
        <v>157</v>
      </c>
      <c r="D6384" t="s">
        <v>12833</v>
      </c>
      <c r="E6384" t="s">
        <v>12834</v>
      </c>
      <c r="G6384" s="1">
        <v>9.14</v>
      </c>
    </row>
    <row r="6385" spans="1:7" ht="14.25" hidden="1" customHeight="1" x14ac:dyDescent="0.45">
      <c r="A6385" t="str">
        <f>_xlfn.XLOOKUP(B6385,Ingot!$H$12:$H$119,Ingot!$G$12:$G$119,"")</f>
        <v>Stone</v>
      </c>
      <c r="B6385" t="s">
        <v>12682</v>
      </c>
      <c r="C6385" t="s">
        <v>157</v>
      </c>
      <c r="D6385" t="s">
        <v>12835</v>
      </c>
      <c r="E6385" t="s">
        <v>12836</v>
      </c>
      <c r="G6385" s="1">
        <v>5.94</v>
      </c>
    </row>
    <row r="6386" spans="1:7" ht="14.25" hidden="1" customHeight="1" x14ac:dyDescent="0.45">
      <c r="A6386" t="str">
        <f>_xlfn.XLOOKUP(B6386,Ingot!$H$12:$H$119,Ingot!$G$12:$G$119,"")</f>
        <v>Stone</v>
      </c>
      <c r="B6386" t="s">
        <v>12682</v>
      </c>
      <c r="C6386" t="s">
        <v>157</v>
      </c>
      <c r="D6386" t="s">
        <v>12837</v>
      </c>
      <c r="E6386" t="s">
        <v>12838</v>
      </c>
      <c r="G6386" s="1">
        <v>11.88</v>
      </c>
    </row>
    <row r="6387" spans="1:7" ht="14.25" hidden="1" customHeight="1" x14ac:dyDescent="0.45">
      <c r="A6387" t="str">
        <f>_xlfn.XLOOKUP(B6387,Ingot!$H$12:$H$119,Ingot!$G$12:$G$119,"")</f>
        <v>Stone</v>
      </c>
      <c r="B6387" t="s">
        <v>12682</v>
      </c>
      <c r="C6387" t="s">
        <v>157</v>
      </c>
      <c r="D6387" t="s">
        <v>12839</v>
      </c>
      <c r="E6387" t="s">
        <v>12840</v>
      </c>
      <c r="G6387" s="1">
        <v>41.69</v>
      </c>
    </row>
    <row r="6388" spans="1:7" ht="14.25" hidden="1" customHeight="1" x14ac:dyDescent="0.45">
      <c r="A6388" t="str">
        <f>_xlfn.XLOOKUP(B6388,Ingot!$H$12:$H$119,Ingot!$G$12:$G$119,"")</f>
        <v>Stone</v>
      </c>
      <c r="B6388" t="s">
        <v>12682</v>
      </c>
      <c r="C6388" t="s">
        <v>157</v>
      </c>
      <c r="D6388" t="s">
        <v>12841</v>
      </c>
      <c r="E6388" t="s">
        <v>12842</v>
      </c>
      <c r="G6388" s="1">
        <v>8.34</v>
      </c>
    </row>
    <row r="6389" spans="1:7" ht="14.25" hidden="1" customHeight="1" x14ac:dyDescent="0.45">
      <c r="A6389" t="str">
        <f>_xlfn.XLOOKUP(B6389,Ingot!$H$12:$H$119,Ingot!$G$12:$G$119,"")</f>
        <v>Stone</v>
      </c>
      <c r="B6389" t="s">
        <v>12682</v>
      </c>
      <c r="C6389" t="s">
        <v>157</v>
      </c>
      <c r="D6389" t="s">
        <v>12843</v>
      </c>
      <c r="E6389" t="s">
        <v>12844</v>
      </c>
      <c r="G6389" s="1">
        <v>8.34</v>
      </c>
    </row>
    <row r="6390" spans="1:7" ht="14.25" hidden="1" customHeight="1" x14ac:dyDescent="0.45">
      <c r="A6390" t="str">
        <f>_xlfn.XLOOKUP(B6390,Ingot!$H$12:$H$119,Ingot!$G$12:$G$119,"")</f>
        <v>Stone</v>
      </c>
      <c r="B6390" t="s">
        <v>12682</v>
      </c>
      <c r="C6390" t="s">
        <v>157</v>
      </c>
      <c r="D6390" t="s">
        <v>12845</v>
      </c>
      <c r="E6390" t="s">
        <v>12846</v>
      </c>
      <c r="G6390" s="1">
        <v>5.42</v>
      </c>
    </row>
    <row r="6391" spans="1:7" ht="14.25" hidden="1" customHeight="1" x14ac:dyDescent="0.45">
      <c r="A6391" t="str">
        <f>_xlfn.XLOOKUP(B6391,Ingot!$H$12:$H$119,Ingot!$G$12:$G$119,"")</f>
        <v>Stone</v>
      </c>
      <c r="B6391" t="s">
        <v>12682</v>
      </c>
      <c r="C6391" t="s">
        <v>157</v>
      </c>
      <c r="D6391" t="s">
        <v>12847</v>
      </c>
      <c r="E6391" t="s">
        <v>12848</v>
      </c>
      <c r="G6391" s="1">
        <v>10.84</v>
      </c>
    </row>
    <row r="6392" spans="1:7" ht="14.25" hidden="1" customHeight="1" x14ac:dyDescent="0.45">
      <c r="A6392" t="str">
        <f>_xlfn.XLOOKUP(B6392,Ingot!$H$12:$H$119,Ingot!$G$12:$G$119,"")</f>
        <v>Stone</v>
      </c>
      <c r="B6392" t="s">
        <v>12682</v>
      </c>
      <c r="C6392" t="s">
        <v>157</v>
      </c>
      <c r="D6392" t="s">
        <v>12849</v>
      </c>
      <c r="E6392" t="s">
        <v>12850</v>
      </c>
      <c r="F6392" t="s">
        <v>180</v>
      </c>
      <c r="G6392" s="1">
        <v>40.69</v>
      </c>
    </row>
    <row r="6393" spans="1:7" ht="14.25" hidden="1" customHeight="1" x14ac:dyDescent="0.45">
      <c r="A6393" t="str">
        <f>_xlfn.XLOOKUP(B6393,Ingot!$H$12:$H$119,Ingot!$G$12:$G$119,"")</f>
        <v>Stone</v>
      </c>
      <c r="B6393" t="s">
        <v>12682</v>
      </c>
      <c r="C6393" t="s">
        <v>157</v>
      </c>
      <c r="D6393" t="s">
        <v>12851</v>
      </c>
      <c r="E6393" t="s">
        <v>12852</v>
      </c>
      <c r="F6393" t="s">
        <v>180</v>
      </c>
      <c r="G6393" s="1">
        <v>8.14</v>
      </c>
    </row>
    <row r="6394" spans="1:7" ht="14.25" hidden="1" customHeight="1" x14ac:dyDescent="0.45">
      <c r="A6394" t="str">
        <f>_xlfn.XLOOKUP(B6394,Ingot!$H$12:$H$119,Ingot!$G$12:$G$119,"")</f>
        <v>Stone</v>
      </c>
      <c r="B6394" t="s">
        <v>12682</v>
      </c>
      <c r="C6394" t="s">
        <v>157</v>
      </c>
      <c r="D6394" t="s">
        <v>12853</v>
      </c>
      <c r="E6394" t="s">
        <v>12854</v>
      </c>
      <c r="F6394" t="s">
        <v>180</v>
      </c>
      <c r="G6394" s="1">
        <v>8.14</v>
      </c>
    </row>
    <row r="6395" spans="1:7" ht="14.25" hidden="1" customHeight="1" x14ac:dyDescent="0.45">
      <c r="A6395" t="str">
        <f>_xlfn.XLOOKUP(B6395,Ingot!$H$12:$H$119,Ingot!$G$12:$G$119,"")</f>
        <v>Stone</v>
      </c>
      <c r="B6395" t="s">
        <v>12682</v>
      </c>
      <c r="C6395" t="s">
        <v>157</v>
      </c>
      <c r="D6395" t="s">
        <v>12855</v>
      </c>
      <c r="E6395" t="s">
        <v>12856</v>
      </c>
      <c r="F6395" t="s">
        <v>180</v>
      </c>
      <c r="G6395" s="1">
        <v>5.29</v>
      </c>
    </row>
    <row r="6396" spans="1:7" ht="14.25" hidden="1" customHeight="1" x14ac:dyDescent="0.45">
      <c r="A6396" t="str">
        <f>_xlfn.XLOOKUP(B6396,Ingot!$H$12:$H$119,Ingot!$G$12:$G$119,"")</f>
        <v>Stone</v>
      </c>
      <c r="B6396" t="s">
        <v>12682</v>
      </c>
      <c r="C6396" t="s">
        <v>157</v>
      </c>
      <c r="D6396" t="s">
        <v>12857</v>
      </c>
      <c r="E6396" t="s">
        <v>12858</v>
      </c>
      <c r="F6396" t="s">
        <v>180</v>
      </c>
      <c r="G6396" s="1">
        <v>10.58</v>
      </c>
    </row>
    <row r="6397" spans="1:7" ht="14.25" hidden="1" customHeight="1" x14ac:dyDescent="0.45">
      <c r="A6397" t="str">
        <f>_xlfn.XLOOKUP(B6397,Ingot!$H$12:$H$119,Ingot!$G$12:$G$119,"")</f>
        <v>Stone</v>
      </c>
      <c r="B6397" t="s">
        <v>12682</v>
      </c>
      <c r="C6397" t="s">
        <v>157</v>
      </c>
      <c r="D6397" t="s">
        <v>12859</v>
      </c>
      <c r="E6397" t="s">
        <v>12860</v>
      </c>
      <c r="G6397" s="1">
        <v>42.69</v>
      </c>
    </row>
    <row r="6398" spans="1:7" ht="14.25" hidden="1" customHeight="1" x14ac:dyDescent="0.45">
      <c r="A6398" t="str">
        <f>_xlfn.XLOOKUP(B6398,Ingot!$H$12:$H$119,Ingot!$G$12:$G$119,"")</f>
        <v>Stone</v>
      </c>
      <c r="B6398" t="s">
        <v>12682</v>
      </c>
      <c r="C6398" t="s">
        <v>157</v>
      </c>
      <c r="D6398" t="s">
        <v>12861</v>
      </c>
      <c r="E6398" t="s">
        <v>12862</v>
      </c>
      <c r="G6398" s="1">
        <v>8.5399999999999991</v>
      </c>
    </row>
    <row r="6399" spans="1:7" ht="14.25" hidden="1" customHeight="1" x14ac:dyDescent="0.45">
      <c r="A6399" t="str">
        <f>_xlfn.XLOOKUP(B6399,Ingot!$H$12:$H$119,Ingot!$G$12:$G$119,"")</f>
        <v>Stone</v>
      </c>
      <c r="B6399" t="s">
        <v>12682</v>
      </c>
      <c r="C6399" t="s">
        <v>157</v>
      </c>
      <c r="D6399" t="s">
        <v>12863</v>
      </c>
      <c r="E6399" t="s">
        <v>12864</v>
      </c>
      <c r="G6399" s="1">
        <v>8.5399999999999991</v>
      </c>
    </row>
    <row r="6400" spans="1:7" ht="14.25" hidden="1" customHeight="1" x14ac:dyDescent="0.45">
      <c r="A6400" t="str">
        <f>_xlfn.XLOOKUP(B6400,Ingot!$H$12:$H$119,Ingot!$G$12:$G$119,"")</f>
        <v>Stone</v>
      </c>
      <c r="B6400" t="s">
        <v>12682</v>
      </c>
      <c r="C6400" t="s">
        <v>157</v>
      </c>
      <c r="D6400" t="s">
        <v>12865</v>
      </c>
      <c r="E6400" t="s">
        <v>12866</v>
      </c>
      <c r="G6400" s="1">
        <v>5.55</v>
      </c>
    </row>
    <row r="6401" spans="1:7" ht="14.25" hidden="1" customHeight="1" x14ac:dyDescent="0.45">
      <c r="A6401" t="str">
        <f>_xlfn.XLOOKUP(B6401,Ingot!$H$12:$H$119,Ingot!$G$12:$G$119,"")</f>
        <v>Stone</v>
      </c>
      <c r="B6401" t="s">
        <v>12682</v>
      </c>
      <c r="C6401" t="s">
        <v>157</v>
      </c>
      <c r="D6401" t="s">
        <v>12867</v>
      </c>
      <c r="E6401" t="s">
        <v>12868</v>
      </c>
      <c r="G6401" s="1">
        <v>11.1</v>
      </c>
    </row>
    <row r="6402" spans="1:7" ht="14.25" hidden="1" customHeight="1" x14ac:dyDescent="0.45">
      <c r="A6402" t="str">
        <f>_xlfn.XLOOKUP(B6402,Ingot!$H$12:$H$119,Ingot!$G$12:$G$119,"")</f>
        <v>Stone</v>
      </c>
      <c r="B6402" t="s">
        <v>12682</v>
      </c>
      <c r="C6402" t="s">
        <v>157</v>
      </c>
      <c r="D6402" t="s">
        <v>12869</v>
      </c>
      <c r="E6402" t="s">
        <v>12870</v>
      </c>
      <c r="G6402" s="1">
        <v>44.19</v>
      </c>
    </row>
    <row r="6403" spans="1:7" ht="14.25" hidden="1" customHeight="1" x14ac:dyDescent="0.45">
      <c r="A6403" t="str">
        <f>_xlfn.XLOOKUP(B6403,Ingot!$H$12:$H$119,Ingot!$G$12:$G$119,"")</f>
        <v>Stone</v>
      </c>
      <c r="B6403" t="s">
        <v>12682</v>
      </c>
      <c r="C6403" t="s">
        <v>157</v>
      </c>
      <c r="D6403" t="s">
        <v>12871</v>
      </c>
      <c r="E6403" t="s">
        <v>12872</v>
      </c>
      <c r="F6403" t="s">
        <v>180</v>
      </c>
      <c r="G6403" s="1">
        <v>8.84</v>
      </c>
    </row>
    <row r="6404" spans="1:7" ht="14.25" hidden="1" customHeight="1" x14ac:dyDescent="0.45">
      <c r="A6404" t="str">
        <f>_xlfn.XLOOKUP(B6404,Ingot!$H$12:$H$119,Ingot!$G$12:$G$119,"")</f>
        <v>Stone</v>
      </c>
      <c r="B6404" t="s">
        <v>12682</v>
      </c>
      <c r="C6404" t="s">
        <v>157</v>
      </c>
      <c r="D6404" t="s">
        <v>12873</v>
      </c>
      <c r="E6404" t="s">
        <v>12874</v>
      </c>
      <c r="F6404" t="s">
        <v>180</v>
      </c>
      <c r="G6404" s="1">
        <v>8.84</v>
      </c>
    </row>
    <row r="6405" spans="1:7" ht="14.25" hidden="1" customHeight="1" x14ac:dyDescent="0.45">
      <c r="A6405" t="str">
        <f>_xlfn.XLOOKUP(B6405,Ingot!$H$12:$H$119,Ingot!$G$12:$G$119,"")</f>
        <v>Stone</v>
      </c>
      <c r="B6405" t="s">
        <v>12682</v>
      </c>
      <c r="C6405" t="s">
        <v>157</v>
      </c>
      <c r="D6405" t="s">
        <v>12875</v>
      </c>
      <c r="E6405" t="s">
        <v>12876</v>
      </c>
      <c r="F6405" t="s">
        <v>180</v>
      </c>
      <c r="G6405" s="1">
        <v>5.74</v>
      </c>
    </row>
    <row r="6406" spans="1:7" ht="14.25" hidden="1" customHeight="1" x14ac:dyDescent="0.45">
      <c r="A6406" t="str">
        <f>_xlfn.XLOOKUP(B6406,Ingot!$H$12:$H$119,Ingot!$G$12:$G$119,"")</f>
        <v>Stone</v>
      </c>
      <c r="B6406" t="s">
        <v>12682</v>
      </c>
      <c r="C6406" t="s">
        <v>157</v>
      </c>
      <c r="D6406" t="s">
        <v>12877</v>
      </c>
      <c r="E6406" t="s">
        <v>12878</v>
      </c>
      <c r="G6406" s="1">
        <v>11.49</v>
      </c>
    </row>
    <row r="6407" spans="1:7" ht="14.25" hidden="1" customHeight="1" x14ac:dyDescent="0.45">
      <c r="A6407" t="str">
        <f>_xlfn.XLOOKUP(B6407,Ingot!$H$12:$H$119,Ingot!$G$12:$G$119,"")</f>
        <v>Stone</v>
      </c>
      <c r="B6407" t="s">
        <v>12682</v>
      </c>
      <c r="C6407" t="s">
        <v>157</v>
      </c>
      <c r="D6407" t="s">
        <v>12879</v>
      </c>
      <c r="E6407" t="s">
        <v>12880</v>
      </c>
      <c r="G6407" s="1">
        <v>48.69</v>
      </c>
    </row>
    <row r="6408" spans="1:7" ht="14.25" hidden="1" customHeight="1" x14ac:dyDescent="0.45">
      <c r="A6408" t="str">
        <f>_xlfn.XLOOKUP(B6408,Ingot!$H$12:$H$119,Ingot!$G$12:$G$119,"")</f>
        <v>Stone</v>
      </c>
      <c r="B6408" t="s">
        <v>12682</v>
      </c>
      <c r="C6408" t="s">
        <v>157</v>
      </c>
      <c r="D6408" t="s">
        <v>12881</v>
      </c>
      <c r="E6408" t="s">
        <v>12882</v>
      </c>
      <c r="G6408" s="1">
        <v>9.74</v>
      </c>
    </row>
    <row r="6409" spans="1:7" ht="14.25" hidden="1" customHeight="1" x14ac:dyDescent="0.45">
      <c r="A6409" t="str">
        <f>_xlfn.XLOOKUP(B6409,Ingot!$H$12:$H$119,Ingot!$G$12:$G$119,"")</f>
        <v>Stone</v>
      </c>
      <c r="B6409" t="s">
        <v>12682</v>
      </c>
      <c r="C6409" t="s">
        <v>157</v>
      </c>
      <c r="D6409" t="s">
        <v>12883</v>
      </c>
      <c r="E6409" t="s">
        <v>12884</v>
      </c>
      <c r="G6409" s="1">
        <v>9.74</v>
      </c>
    </row>
    <row r="6410" spans="1:7" ht="14.25" hidden="1" customHeight="1" x14ac:dyDescent="0.45">
      <c r="A6410" t="str">
        <f>_xlfn.XLOOKUP(B6410,Ingot!$H$12:$H$119,Ingot!$G$12:$G$119,"")</f>
        <v>Stone</v>
      </c>
      <c r="B6410" t="s">
        <v>12682</v>
      </c>
      <c r="C6410" t="s">
        <v>157</v>
      </c>
      <c r="D6410" t="s">
        <v>12885</v>
      </c>
      <c r="E6410" t="s">
        <v>12886</v>
      </c>
      <c r="G6410" s="1">
        <v>6.33</v>
      </c>
    </row>
    <row r="6411" spans="1:7" ht="14.25" hidden="1" customHeight="1" x14ac:dyDescent="0.45">
      <c r="A6411" t="str">
        <f>_xlfn.XLOOKUP(B6411,Ingot!$H$12:$H$119,Ingot!$G$12:$G$119,"")</f>
        <v>Stone</v>
      </c>
      <c r="B6411" t="s">
        <v>12682</v>
      </c>
      <c r="C6411" t="s">
        <v>157</v>
      </c>
      <c r="D6411" t="s">
        <v>12887</v>
      </c>
      <c r="E6411" t="s">
        <v>12888</v>
      </c>
      <c r="G6411" s="1">
        <v>12.66</v>
      </c>
    </row>
    <row r="6412" spans="1:7" ht="14.25" hidden="1" customHeight="1" x14ac:dyDescent="0.45">
      <c r="A6412" t="str">
        <f>_xlfn.XLOOKUP(B6412,Ingot!$H$12:$H$119,Ingot!$G$12:$G$119,"")</f>
        <v>Stone</v>
      </c>
      <c r="B6412" t="s">
        <v>12682</v>
      </c>
      <c r="C6412" t="s">
        <v>157</v>
      </c>
      <c r="D6412" t="s">
        <v>12889</v>
      </c>
      <c r="E6412" t="s">
        <v>12890</v>
      </c>
      <c r="G6412" s="1">
        <v>47.19</v>
      </c>
    </row>
    <row r="6413" spans="1:7" ht="14.25" hidden="1" customHeight="1" x14ac:dyDescent="0.45">
      <c r="A6413" t="str">
        <f>_xlfn.XLOOKUP(B6413,Ingot!$H$12:$H$119,Ingot!$G$12:$G$119,"")</f>
        <v>Stone</v>
      </c>
      <c r="B6413" t="s">
        <v>12682</v>
      </c>
      <c r="C6413" t="s">
        <v>157</v>
      </c>
      <c r="D6413" t="s">
        <v>12891</v>
      </c>
      <c r="E6413" t="s">
        <v>12892</v>
      </c>
      <c r="G6413" s="1">
        <v>9.44</v>
      </c>
    </row>
    <row r="6414" spans="1:7" ht="14.25" hidden="1" customHeight="1" x14ac:dyDescent="0.45">
      <c r="A6414" t="str">
        <f>_xlfn.XLOOKUP(B6414,Ingot!$H$12:$H$119,Ingot!$G$12:$G$119,"")</f>
        <v>Stone</v>
      </c>
      <c r="B6414" t="s">
        <v>12682</v>
      </c>
      <c r="C6414" t="s">
        <v>157</v>
      </c>
      <c r="D6414" t="s">
        <v>12893</v>
      </c>
      <c r="E6414" t="s">
        <v>12894</v>
      </c>
      <c r="G6414" s="1">
        <v>9.44</v>
      </c>
    </row>
    <row r="6415" spans="1:7" ht="14.25" hidden="1" customHeight="1" x14ac:dyDescent="0.45">
      <c r="A6415" t="str">
        <f>_xlfn.XLOOKUP(B6415,Ingot!$H$12:$H$119,Ingot!$G$12:$G$119,"")</f>
        <v>Stone</v>
      </c>
      <c r="B6415" t="s">
        <v>12682</v>
      </c>
      <c r="C6415" t="s">
        <v>157</v>
      </c>
      <c r="D6415" t="s">
        <v>12895</v>
      </c>
      <c r="E6415" t="s">
        <v>12896</v>
      </c>
      <c r="G6415" s="1">
        <v>6.13</v>
      </c>
    </row>
    <row r="6416" spans="1:7" ht="14.25" hidden="1" customHeight="1" x14ac:dyDescent="0.45">
      <c r="A6416" t="str">
        <f>_xlfn.XLOOKUP(B6416,Ingot!$H$12:$H$119,Ingot!$G$12:$G$119,"")</f>
        <v>Stone</v>
      </c>
      <c r="B6416" t="s">
        <v>12682</v>
      </c>
      <c r="C6416" t="s">
        <v>157</v>
      </c>
      <c r="D6416" t="s">
        <v>12897</v>
      </c>
      <c r="E6416" t="s">
        <v>12898</v>
      </c>
      <c r="G6416" s="1">
        <v>12.27</v>
      </c>
    </row>
    <row r="6417" spans="1:7" ht="14.25" hidden="1" customHeight="1" x14ac:dyDescent="0.45">
      <c r="A6417" t="str">
        <f>_xlfn.XLOOKUP(B6417,Ingot!$H$12:$H$119,Ingot!$G$12:$G$119,"")</f>
        <v>Stone</v>
      </c>
      <c r="B6417" t="s">
        <v>12682</v>
      </c>
      <c r="C6417" t="s">
        <v>157</v>
      </c>
      <c r="D6417" t="s">
        <v>12899</v>
      </c>
      <c r="E6417" t="s">
        <v>12900</v>
      </c>
      <c r="F6417" t="s">
        <v>180</v>
      </c>
      <c r="G6417" s="1">
        <v>39.69</v>
      </c>
    </row>
    <row r="6418" spans="1:7" ht="14.25" hidden="1" customHeight="1" x14ac:dyDescent="0.45">
      <c r="A6418" t="str">
        <f>_xlfn.XLOOKUP(B6418,Ingot!$H$12:$H$119,Ingot!$G$12:$G$119,"")</f>
        <v>Stone</v>
      </c>
      <c r="B6418" t="s">
        <v>12682</v>
      </c>
      <c r="C6418" t="s">
        <v>157</v>
      </c>
      <c r="D6418" t="s">
        <v>12901</v>
      </c>
      <c r="E6418" t="s">
        <v>12902</v>
      </c>
      <c r="F6418" t="s">
        <v>180</v>
      </c>
      <c r="G6418" s="1">
        <v>7.94</v>
      </c>
    </row>
    <row r="6419" spans="1:7" ht="14.25" hidden="1" customHeight="1" x14ac:dyDescent="0.45">
      <c r="A6419" t="str">
        <f>_xlfn.XLOOKUP(B6419,Ingot!$H$12:$H$119,Ingot!$G$12:$G$119,"")</f>
        <v>Stone</v>
      </c>
      <c r="B6419" t="s">
        <v>12682</v>
      </c>
      <c r="C6419" t="s">
        <v>157</v>
      </c>
      <c r="D6419" t="s">
        <v>12903</v>
      </c>
      <c r="E6419" t="s">
        <v>12904</v>
      </c>
      <c r="F6419" t="s">
        <v>180</v>
      </c>
      <c r="G6419" s="1">
        <v>7.94</v>
      </c>
    </row>
    <row r="6420" spans="1:7" ht="14.25" hidden="1" customHeight="1" x14ac:dyDescent="0.45">
      <c r="A6420" t="str">
        <f>_xlfn.XLOOKUP(B6420,Ingot!$H$12:$H$119,Ingot!$G$12:$G$119,"")</f>
        <v>Stone</v>
      </c>
      <c r="B6420" t="s">
        <v>12682</v>
      </c>
      <c r="C6420" t="s">
        <v>157</v>
      </c>
      <c r="D6420" t="s">
        <v>12905</v>
      </c>
      <c r="E6420" t="s">
        <v>12906</v>
      </c>
      <c r="F6420" t="s">
        <v>180</v>
      </c>
      <c r="G6420" s="1">
        <v>5.16</v>
      </c>
    </row>
    <row r="6421" spans="1:7" ht="14.25" hidden="1" customHeight="1" x14ac:dyDescent="0.45">
      <c r="A6421" t="str">
        <f>_xlfn.XLOOKUP(B6421,Ingot!$H$12:$H$119,Ingot!$G$12:$G$119,"")</f>
        <v>Stone</v>
      </c>
      <c r="B6421" t="s">
        <v>12682</v>
      </c>
      <c r="C6421" t="s">
        <v>157</v>
      </c>
      <c r="D6421" t="s">
        <v>12907</v>
      </c>
      <c r="E6421" t="s">
        <v>12908</v>
      </c>
      <c r="F6421" t="s">
        <v>180</v>
      </c>
      <c r="G6421" s="1">
        <v>10.32</v>
      </c>
    </row>
    <row r="6422" spans="1:7" ht="14.25" hidden="1" customHeight="1" x14ac:dyDescent="0.45">
      <c r="A6422" t="str">
        <f>_xlfn.XLOOKUP(B6422,Ingot!$H$12:$H$119,Ingot!$G$12:$G$119,"")</f>
        <v>Stone</v>
      </c>
      <c r="B6422" t="s">
        <v>12682</v>
      </c>
      <c r="C6422" t="s">
        <v>239</v>
      </c>
      <c r="D6422" t="s">
        <v>12909</v>
      </c>
      <c r="E6422" t="s">
        <v>12910</v>
      </c>
      <c r="G6422" s="1">
        <f>(VLOOKUP(B6422,Ingot!H:I,2,FALSE()) * 0.75) * 0.75</f>
        <v>9</v>
      </c>
    </row>
    <row r="6423" spans="1:7" ht="14.25" hidden="1" customHeight="1" x14ac:dyDescent="0.45">
      <c r="A6423" t="str">
        <f>_xlfn.XLOOKUP(B6423,Ingot!$H$12:$H$119,Ingot!$G$12:$G$119,"")</f>
        <v>Stone</v>
      </c>
      <c r="B6423" t="s">
        <v>12682</v>
      </c>
      <c r="C6423" t="s">
        <v>239</v>
      </c>
      <c r="D6423" t="s">
        <v>12911</v>
      </c>
      <c r="E6423" t="s">
        <v>12912</v>
      </c>
      <c r="G6423" s="1">
        <f>((VLOOKUP(B6423,Ingot!H:I,2,FALSE()) * 3) - 10.25) * 0.421875</f>
        <v>15.92578125</v>
      </c>
    </row>
    <row r="6424" spans="1:7" ht="14.25" hidden="1" customHeight="1" x14ac:dyDescent="0.45">
      <c r="A6424" t="str">
        <f>_xlfn.XLOOKUP(B6424,Ingot!$H$12:$H$119,Ingot!$G$12:$G$119,"")</f>
        <v>Stone</v>
      </c>
      <c r="B6424" t="s">
        <v>12682</v>
      </c>
      <c r="C6424" t="s">
        <v>239</v>
      </c>
      <c r="D6424" t="s">
        <v>12913</v>
      </c>
      <c r="E6424" t="s">
        <v>12914</v>
      </c>
      <c r="G6424" s="1">
        <f>((VLOOKUP(B6424,Ingot!H:I,2,FALSE()) * 3) - 10.25) * 0.75</f>
        <v>28.3125</v>
      </c>
    </row>
    <row r="6425" spans="1:7" ht="14.25" hidden="1" customHeight="1" x14ac:dyDescent="0.45">
      <c r="A6425" t="str">
        <f>_xlfn.XLOOKUP(B6425,Ingot!$H$12:$H$119,Ingot!$G$12:$G$119,"")</f>
        <v>Stone</v>
      </c>
      <c r="B6425" t="s">
        <v>12682</v>
      </c>
      <c r="C6425" t="s">
        <v>239</v>
      </c>
      <c r="D6425" t="s">
        <v>12915</v>
      </c>
      <c r="E6425" t="s">
        <v>12916</v>
      </c>
      <c r="G6425" s="1">
        <f>((VLOOKUP(B6425,Ingot!H:I,2,FALSE()) * 3) - 10.25) * 0.5625</f>
        <v>21.234375</v>
      </c>
    </row>
    <row r="6426" spans="1:7" ht="14.25" hidden="1" customHeight="1" x14ac:dyDescent="0.45">
      <c r="A6426" t="str">
        <f>_xlfn.XLOOKUP(B6426,Ingot!$H$12:$H$119,Ingot!$G$12:$G$119,"")</f>
        <v>Stone</v>
      </c>
      <c r="B6426" t="s">
        <v>12682</v>
      </c>
      <c r="C6426" t="s">
        <v>239</v>
      </c>
      <c r="D6426" t="s">
        <v>12917</v>
      </c>
      <c r="E6426" t="s">
        <v>12918</v>
      </c>
      <c r="G6426" s="1">
        <f>VLOOKUP(B6426,Ingot!H:I,2,FALSE()) * 0.75</f>
        <v>12</v>
      </c>
    </row>
    <row r="6427" spans="1:7" ht="14.25" hidden="1" customHeight="1" x14ac:dyDescent="0.45">
      <c r="A6427" t="str">
        <f>_xlfn.XLOOKUP(B6427,Ingot!$H$12:$H$119,Ingot!$G$12:$G$119,"")</f>
        <v>Stone</v>
      </c>
      <c r="B6427" t="s">
        <v>12682</v>
      </c>
      <c r="C6427" t="s">
        <v>239</v>
      </c>
      <c r="D6427" t="s">
        <v>12919</v>
      </c>
      <c r="E6427" t="s">
        <v>12920</v>
      </c>
      <c r="G6427" s="1">
        <f>(VLOOKUP(B6427,Ingot!H:I,2,FALSE()) * 3) - 10.25</f>
        <v>37.75</v>
      </c>
    </row>
    <row r="6428" spans="1:7" ht="14.25" hidden="1" customHeight="1" x14ac:dyDescent="0.45">
      <c r="A6428" t="str">
        <f>_xlfn.XLOOKUP(B6428,Ingot!$H$12:$H$119,Ingot!$G$12:$G$119,"")</f>
        <v>Stone</v>
      </c>
      <c r="B6428" t="s">
        <v>12921</v>
      </c>
      <c r="C6428" t="s">
        <v>10</v>
      </c>
      <c r="D6428" t="s">
        <v>12922</v>
      </c>
      <c r="E6428" t="s">
        <v>12923</v>
      </c>
      <c r="G6428" s="1">
        <v>0.08</v>
      </c>
    </row>
    <row r="6429" spans="1:7" ht="14.25" hidden="1" customHeight="1" x14ac:dyDescent="0.45">
      <c r="A6429" t="str">
        <f>_xlfn.XLOOKUP(B6429,Ingot!$H$12:$H$119,Ingot!$G$12:$G$119,"")</f>
        <v>Stone</v>
      </c>
      <c r="B6429" t="s">
        <v>12921</v>
      </c>
      <c r="C6429" t="s">
        <v>10</v>
      </c>
      <c r="D6429" t="s">
        <v>12924</v>
      </c>
      <c r="E6429" t="s">
        <v>12925</v>
      </c>
      <c r="G6429" s="1">
        <v>9.9</v>
      </c>
    </row>
    <row r="6430" spans="1:7" ht="14.25" hidden="1" customHeight="1" x14ac:dyDescent="0.45">
      <c r="A6430" t="str">
        <f>_xlfn.XLOOKUP(B6430,Ingot!$H$12:$H$119,Ingot!$G$12:$G$119,"")</f>
        <v>Stone</v>
      </c>
      <c r="B6430" t="s">
        <v>12921</v>
      </c>
      <c r="C6430" t="s">
        <v>10</v>
      </c>
      <c r="D6430" t="s">
        <v>12926</v>
      </c>
      <c r="E6430" t="s">
        <v>12927</v>
      </c>
      <c r="G6430" s="1">
        <v>5.66</v>
      </c>
    </row>
    <row r="6431" spans="1:7" ht="14.25" hidden="1" customHeight="1" x14ac:dyDescent="0.45">
      <c r="A6431" t="str">
        <f>_xlfn.XLOOKUP(B6431,Ingot!$H$12:$H$119,Ingot!$G$12:$G$119,"")</f>
        <v>Stone</v>
      </c>
      <c r="B6431" t="s">
        <v>12921</v>
      </c>
      <c r="C6431" t="s">
        <v>10</v>
      </c>
      <c r="D6431" t="s">
        <v>12928</v>
      </c>
      <c r="E6431" t="s">
        <v>12929</v>
      </c>
      <c r="G6431" s="1">
        <v>3.3</v>
      </c>
    </row>
    <row r="6432" spans="1:7" ht="14.25" hidden="1" customHeight="1" x14ac:dyDescent="0.45">
      <c r="A6432" t="str">
        <f>_xlfn.XLOOKUP(B6432,Ingot!$H$12:$H$119,Ingot!$G$12:$G$119,"")</f>
        <v>Stone</v>
      </c>
      <c r="B6432" t="s">
        <v>12921</v>
      </c>
      <c r="C6432" t="s">
        <v>10</v>
      </c>
      <c r="D6432" t="s">
        <v>12930</v>
      </c>
      <c r="E6432" t="s">
        <v>12931</v>
      </c>
      <c r="G6432" s="1">
        <v>0.66</v>
      </c>
    </row>
    <row r="6433" spans="1:7" ht="14.25" hidden="1" customHeight="1" x14ac:dyDescent="0.45">
      <c r="A6433" t="str">
        <f>_xlfn.XLOOKUP(B6433,Ingot!$H$12:$H$119,Ingot!$G$12:$G$119,"")</f>
        <v>Stone</v>
      </c>
      <c r="B6433" t="s">
        <v>12921</v>
      </c>
      <c r="C6433" t="s">
        <v>10</v>
      </c>
      <c r="D6433" t="s">
        <v>12932</v>
      </c>
      <c r="E6433" t="s">
        <v>12933</v>
      </c>
      <c r="G6433" s="1">
        <v>0.04</v>
      </c>
    </row>
    <row r="6434" spans="1:7" ht="14.25" hidden="1" customHeight="1" x14ac:dyDescent="0.45">
      <c r="A6434" t="str">
        <f>_xlfn.XLOOKUP(B6434,Ingot!$H$12:$H$119,Ingot!$G$12:$G$119,"")</f>
        <v>Stone</v>
      </c>
      <c r="B6434" t="s">
        <v>12921</v>
      </c>
      <c r="C6434" t="s">
        <v>10</v>
      </c>
      <c r="D6434" t="s">
        <v>12934</v>
      </c>
      <c r="E6434" t="s">
        <v>12935</v>
      </c>
      <c r="G6434" s="1">
        <v>0.33</v>
      </c>
    </row>
    <row r="6435" spans="1:7" ht="14.25" hidden="1" customHeight="1" x14ac:dyDescent="0.45">
      <c r="A6435" t="str">
        <f>_xlfn.XLOOKUP(B6435,Ingot!$H$12:$H$119,Ingot!$G$12:$G$119,"")</f>
        <v>Stone</v>
      </c>
      <c r="B6435" t="s">
        <v>12921</v>
      </c>
      <c r="C6435" t="s">
        <v>10</v>
      </c>
      <c r="D6435" t="s">
        <v>12936</v>
      </c>
      <c r="E6435" t="s">
        <v>12937</v>
      </c>
    </row>
    <row r="6436" spans="1:7" ht="14.25" hidden="1" customHeight="1" x14ac:dyDescent="0.45">
      <c r="A6436" t="str">
        <f>_xlfn.XLOOKUP(B6436,Ingot!$H$12:$H$119,Ingot!$G$12:$G$119,"")</f>
        <v>Stone</v>
      </c>
      <c r="B6436" t="s">
        <v>12921</v>
      </c>
      <c r="C6436" t="s">
        <v>10</v>
      </c>
      <c r="D6436" t="s">
        <v>12938</v>
      </c>
      <c r="E6436" t="s">
        <v>12939</v>
      </c>
      <c r="G6436" s="1">
        <v>0.05</v>
      </c>
    </row>
    <row r="6437" spans="1:7" ht="14.25" hidden="1" customHeight="1" x14ac:dyDescent="0.45">
      <c r="A6437" t="str">
        <f>_xlfn.XLOOKUP(B6437,Ingot!$H$12:$H$119,Ingot!$G$12:$G$119,"")</f>
        <v>Stone</v>
      </c>
      <c r="B6437" t="s">
        <v>12921</v>
      </c>
      <c r="C6437" t="s">
        <v>10</v>
      </c>
      <c r="D6437" t="s">
        <v>12940</v>
      </c>
      <c r="E6437" t="s">
        <v>12941</v>
      </c>
      <c r="G6437" s="1">
        <v>0.66</v>
      </c>
    </row>
    <row r="6438" spans="1:7" ht="14.25" hidden="1" customHeight="1" x14ac:dyDescent="0.45">
      <c r="A6438" t="str">
        <f>_xlfn.XLOOKUP(B6438,Ingot!$H$12:$H$119,Ingot!$G$12:$G$119,"")</f>
        <v>Stone</v>
      </c>
      <c r="B6438" t="s">
        <v>12921</v>
      </c>
      <c r="C6438" t="s">
        <v>10</v>
      </c>
      <c r="D6438" t="s">
        <v>12942</v>
      </c>
      <c r="E6438" t="s">
        <v>12943</v>
      </c>
      <c r="G6438" s="1">
        <v>3.96</v>
      </c>
    </row>
    <row r="6439" spans="1:7" ht="14.25" hidden="1" customHeight="1" x14ac:dyDescent="0.45">
      <c r="A6439" t="str">
        <f>_xlfn.XLOOKUP(B6439,Ingot!$H$12:$H$119,Ingot!$G$12:$G$119,"")</f>
        <v>Stone</v>
      </c>
      <c r="B6439" t="s">
        <v>12921</v>
      </c>
      <c r="C6439" t="s">
        <v>10</v>
      </c>
      <c r="D6439" t="s">
        <v>12944</v>
      </c>
      <c r="E6439" t="s">
        <v>12945</v>
      </c>
      <c r="G6439" s="1">
        <v>8.77</v>
      </c>
    </row>
    <row r="6440" spans="1:7" ht="14.25" hidden="1" customHeight="1" x14ac:dyDescent="0.45">
      <c r="A6440" t="str">
        <f>_xlfn.XLOOKUP(B6440,Ingot!$H$12:$H$119,Ingot!$G$12:$G$119,"")</f>
        <v>Stone</v>
      </c>
      <c r="B6440" t="s">
        <v>12921</v>
      </c>
      <c r="C6440" t="s">
        <v>10</v>
      </c>
      <c r="D6440" t="s">
        <v>12946</v>
      </c>
      <c r="E6440" t="s">
        <v>12947</v>
      </c>
      <c r="G6440" s="1">
        <v>3.5</v>
      </c>
    </row>
    <row r="6441" spans="1:7" ht="14.25" hidden="1" customHeight="1" x14ac:dyDescent="0.45">
      <c r="A6441" t="str">
        <f>_xlfn.XLOOKUP(B6441,Ingot!$H$12:$H$119,Ingot!$G$12:$G$119,"")</f>
        <v>Stone</v>
      </c>
      <c r="B6441" t="s">
        <v>12921</v>
      </c>
      <c r="C6441" t="s">
        <v>10</v>
      </c>
      <c r="D6441" t="s">
        <v>12948</v>
      </c>
      <c r="E6441" t="s">
        <v>12949</v>
      </c>
    </row>
    <row r="6442" spans="1:7" ht="14.25" hidden="1" customHeight="1" x14ac:dyDescent="0.45">
      <c r="A6442" t="str">
        <f>_xlfn.XLOOKUP(B6442,Ingot!$H$12:$H$119,Ingot!$G$12:$G$119,"")</f>
        <v>Stone</v>
      </c>
      <c r="B6442" t="s">
        <v>12921</v>
      </c>
      <c r="C6442" t="s">
        <v>10</v>
      </c>
      <c r="D6442" t="s">
        <v>12950</v>
      </c>
      <c r="E6442" t="s">
        <v>12951</v>
      </c>
      <c r="G6442" s="1">
        <v>2.2000000000000002</v>
      </c>
    </row>
    <row r="6443" spans="1:7" ht="14.25" hidden="1" customHeight="1" x14ac:dyDescent="0.45">
      <c r="A6443" t="str">
        <f>_xlfn.XLOOKUP(B6443,Ingot!$H$12:$H$119,Ingot!$G$12:$G$119,"")</f>
        <v>Stone</v>
      </c>
      <c r="B6443" t="s">
        <v>12921</v>
      </c>
      <c r="C6443" t="s">
        <v>10</v>
      </c>
      <c r="D6443" t="s">
        <v>12952</v>
      </c>
      <c r="E6443" t="s">
        <v>12953</v>
      </c>
      <c r="G6443" s="1">
        <v>1.1000000000000001</v>
      </c>
    </row>
    <row r="6444" spans="1:7" ht="14.25" hidden="1" customHeight="1" x14ac:dyDescent="0.45">
      <c r="A6444" t="str">
        <f>_xlfn.XLOOKUP(B6444,Ingot!$H$12:$H$119,Ingot!$G$12:$G$119,"")</f>
        <v>Stone</v>
      </c>
      <c r="B6444" t="s">
        <v>12921</v>
      </c>
      <c r="C6444" t="s">
        <v>10</v>
      </c>
      <c r="D6444" t="s">
        <v>12954</v>
      </c>
      <c r="E6444" t="s">
        <v>12955</v>
      </c>
      <c r="G6444" s="1">
        <v>0.22</v>
      </c>
    </row>
    <row r="6445" spans="1:7" ht="14.25" hidden="1" customHeight="1" x14ac:dyDescent="0.45">
      <c r="A6445" t="str">
        <f>_xlfn.XLOOKUP(B6445,Ingot!$H$12:$H$119,Ingot!$G$12:$G$119,"")</f>
        <v>Stone</v>
      </c>
      <c r="B6445" t="s">
        <v>12921</v>
      </c>
      <c r="C6445" t="s">
        <v>10</v>
      </c>
      <c r="D6445" t="s">
        <v>12956</v>
      </c>
      <c r="E6445" t="s">
        <v>12957</v>
      </c>
      <c r="G6445" s="1">
        <v>8.41</v>
      </c>
    </row>
    <row r="6446" spans="1:7" ht="14.25" hidden="1" customHeight="1" x14ac:dyDescent="0.45">
      <c r="A6446" t="str">
        <f>_xlfn.XLOOKUP(B6446,Ingot!$H$12:$H$119,Ingot!$G$12:$G$119,"")</f>
        <v>Stone</v>
      </c>
      <c r="B6446" t="s">
        <v>12921</v>
      </c>
      <c r="C6446" t="s">
        <v>10</v>
      </c>
      <c r="D6446" t="s">
        <v>12958</v>
      </c>
      <c r="E6446" t="s">
        <v>12959</v>
      </c>
      <c r="G6446" s="1">
        <v>3.64</v>
      </c>
    </row>
    <row r="6447" spans="1:7" ht="14.25" hidden="1" customHeight="1" x14ac:dyDescent="0.45">
      <c r="A6447" t="str">
        <f>_xlfn.XLOOKUP(B6447,Ingot!$H$12:$H$119,Ingot!$G$12:$G$119,"")</f>
        <v>Stone</v>
      </c>
      <c r="B6447" t="s">
        <v>12921</v>
      </c>
      <c r="C6447" t="s">
        <v>10</v>
      </c>
      <c r="D6447" t="s">
        <v>12960</v>
      </c>
      <c r="E6447" t="s">
        <v>12961</v>
      </c>
      <c r="G6447" s="1">
        <v>7.05</v>
      </c>
    </row>
    <row r="6448" spans="1:7" ht="14.25" hidden="1" customHeight="1" x14ac:dyDescent="0.45">
      <c r="A6448" t="str">
        <f>_xlfn.XLOOKUP(B6448,Ingot!$H$12:$H$119,Ingot!$G$12:$G$119,"")</f>
        <v>Stone</v>
      </c>
      <c r="B6448" t="s">
        <v>12921</v>
      </c>
      <c r="C6448" t="s">
        <v>10</v>
      </c>
      <c r="D6448" t="s">
        <v>12962</v>
      </c>
      <c r="E6448" t="s">
        <v>12963</v>
      </c>
      <c r="G6448" s="1">
        <v>2.65</v>
      </c>
    </row>
    <row r="6449" spans="1:7" ht="14.25" hidden="1" customHeight="1" x14ac:dyDescent="0.45">
      <c r="A6449" t="str">
        <f>_xlfn.XLOOKUP(B6449,Ingot!$H$12:$H$119,Ingot!$G$12:$G$119,"")</f>
        <v>Stone</v>
      </c>
      <c r="B6449" t="s">
        <v>12921</v>
      </c>
      <c r="C6449" t="s">
        <v>10</v>
      </c>
      <c r="D6449" t="s">
        <v>12964</v>
      </c>
      <c r="E6449" t="s">
        <v>12965</v>
      </c>
      <c r="G6449" s="1">
        <v>9</v>
      </c>
    </row>
    <row r="6450" spans="1:7" ht="14.25" hidden="1" customHeight="1" x14ac:dyDescent="0.45">
      <c r="A6450" t="str">
        <f>_xlfn.XLOOKUP(B6450,Ingot!$H$12:$H$119,Ingot!$G$12:$G$119,"")</f>
        <v>Stone</v>
      </c>
      <c r="B6450" t="s">
        <v>12921</v>
      </c>
      <c r="C6450" t="s">
        <v>10</v>
      </c>
      <c r="D6450" t="s">
        <v>12966</v>
      </c>
      <c r="E6450" t="s">
        <v>12967</v>
      </c>
      <c r="G6450" s="1">
        <v>10.23</v>
      </c>
    </row>
    <row r="6451" spans="1:7" ht="14.25" hidden="1" customHeight="1" x14ac:dyDescent="0.45">
      <c r="A6451" t="str">
        <f>_xlfn.XLOOKUP(B6451,Ingot!$H$12:$H$119,Ingot!$G$12:$G$119,"")</f>
        <v>Stone</v>
      </c>
      <c r="B6451" t="s">
        <v>12921</v>
      </c>
      <c r="C6451" t="s">
        <v>10</v>
      </c>
      <c r="D6451" t="s">
        <v>12968</v>
      </c>
      <c r="E6451" t="s">
        <v>12969</v>
      </c>
      <c r="G6451" s="1">
        <v>7.7</v>
      </c>
    </row>
    <row r="6452" spans="1:7" ht="14.25" hidden="1" customHeight="1" x14ac:dyDescent="0.45">
      <c r="A6452" t="str">
        <f>_xlfn.XLOOKUP(B6452,Ingot!$H$12:$H$119,Ingot!$G$12:$G$119,"")</f>
        <v>Stone</v>
      </c>
      <c r="B6452" t="s">
        <v>12921</v>
      </c>
      <c r="C6452" t="s">
        <v>10</v>
      </c>
      <c r="D6452" t="s">
        <v>12970</v>
      </c>
      <c r="E6452" t="s">
        <v>12971</v>
      </c>
      <c r="G6452" s="1">
        <v>10.02</v>
      </c>
    </row>
    <row r="6453" spans="1:7" ht="14.25" hidden="1" customHeight="1" x14ac:dyDescent="0.45">
      <c r="A6453" t="str">
        <f>_xlfn.XLOOKUP(B6453,Ingot!$H$12:$H$119,Ingot!$G$12:$G$119,"")</f>
        <v>Stone</v>
      </c>
      <c r="B6453" t="s">
        <v>12921</v>
      </c>
      <c r="C6453" t="s">
        <v>10</v>
      </c>
      <c r="D6453" t="s">
        <v>12972</v>
      </c>
      <c r="E6453" t="s">
        <v>12973</v>
      </c>
      <c r="G6453" s="1">
        <v>11.81</v>
      </c>
    </row>
    <row r="6454" spans="1:7" ht="14.25" hidden="1" customHeight="1" x14ac:dyDescent="0.45">
      <c r="A6454" t="str">
        <f>_xlfn.XLOOKUP(B6454,Ingot!$H$12:$H$119,Ingot!$G$12:$G$119,"")</f>
        <v>Stone</v>
      </c>
      <c r="B6454" t="s">
        <v>12921</v>
      </c>
      <c r="C6454" t="s">
        <v>10</v>
      </c>
      <c r="D6454" t="s">
        <v>12974</v>
      </c>
      <c r="E6454" t="s">
        <v>12975</v>
      </c>
      <c r="G6454" s="1">
        <v>8.44</v>
      </c>
    </row>
    <row r="6455" spans="1:7" ht="14.25" hidden="1" customHeight="1" x14ac:dyDescent="0.45">
      <c r="A6455" t="str">
        <f>_xlfn.XLOOKUP(B6455,Ingot!$H$12:$H$119,Ingot!$G$12:$G$119,"")</f>
        <v>Stone</v>
      </c>
      <c r="B6455" t="s">
        <v>12921</v>
      </c>
      <c r="C6455" t="s">
        <v>10</v>
      </c>
      <c r="D6455" t="s">
        <v>12976</v>
      </c>
      <c r="E6455" t="s">
        <v>12977</v>
      </c>
      <c r="G6455" s="1">
        <v>10.42</v>
      </c>
    </row>
    <row r="6456" spans="1:7" ht="14.25" hidden="1" customHeight="1" x14ac:dyDescent="0.45">
      <c r="A6456" t="str">
        <f>_xlfn.XLOOKUP(B6456,Ingot!$H$12:$H$119,Ingot!$G$12:$G$119,"")</f>
        <v>Stone</v>
      </c>
      <c r="B6456" t="s">
        <v>12921</v>
      </c>
      <c r="C6456" t="s">
        <v>10</v>
      </c>
      <c r="D6456" t="s">
        <v>12978</v>
      </c>
      <c r="E6456" t="s">
        <v>12979</v>
      </c>
    </row>
    <row r="6457" spans="1:7" ht="14.25" hidden="1" customHeight="1" x14ac:dyDescent="0.45">
      <c r="A6457" t="str">
        <f>_xlfn.XLOOKUP(B6457,Ingot!$H$12:$H$119,Ingot!$G$12:$G$119,"")</f>
        <v>Stone</v>
      </c>
      <c r="B6457" t="s">
        <v>12921</v>
      </c>
      <c r="C6457" t="s">
        <v>10</v>
      </c>
      <c r="D6457" t="s">
        <v>12980</v>
      </c>
      <c r="E6457" t="s">
        <v>12981</v>
      </c>
      <c r="G6457" s="1">
        <v>7.96</v>
      </c>
    </row>
    <row r="6458" spans="1:7" ht="14.25" hidden="1" customHeight="1" x14ac:dyDescent="0.45">
      <c r="A6458" t="str">
        <f>_xlfn.XLOOKUP(B6458,Ingot!$H$12:$H$119,Ingot!$G$12:$G$119,"")</f>
        <v>Stone</v>
      </c>
      <c r="B6458" t="s">
        <v>12921</v>
      </c>
      <c r="C6458" t="s">
        <v>10</v>
      </c>
      <c r="D6458" t="s">
        <v>12982</v>
      </c>
      <c r="E6458" t="s">
        <v>12983</v>
      </c>
      <c r="G6458" s="1">
        <v>9.64</v>
      </c>
    </row>
    <row r="6459" spans="1:7" ht="14.25" hidden="1" customHeight="1" x14ac:dyDescent="0.45">
      <c r="A6459" t="str">
        <f>_xlfn.XLOOKUP(B6459,Ingot!$H$12:$H$119,Ingot!$G$12:$G$119,"")</f>
        <v>Stone</v>
      </c>
      <c r="B6459" t="s">
        <v>12921</v>
      </c>
      <c r="C6459" t="s">
        <v>10</v>
      </c>
      <c r="D6459" t="s">
        <v>12984</v>
      </c>
      <c r="E6459" t="s">
        <v>12985</v>
      </c>
      <c r="G6459" s="1">
        <v>7.94</v>
      </c>
    </row>
    <row r="6460" spans="1:7" ht="14.25" hidden="1" customHeight="1" x14ac:dyDescent="0.45">
      <c r="A6460" t="str">
        <f>_xlfn.XLOOKUP(B6460,Ingot!$H$12:$H$119,Ingot!$G$12:$G$119,"")</f>
        <v>Stone</v>
      </c>
      <c r="B6460" t="s">
        <v>12921</v>
      </c>
      <c r="C6460" t="s">
        <v>10</v>
      </c>
      <c r="D6460" t="s">
        <v>12986</v>
      </c>
      <c r="E6460" t="s">
        <v>12987</v>
      </c>
      <c r="G6460" s="1">
        <v>8.66</v>
      </c>
    </row>
    <row r="6461" spans="1:7" ht="14.25" hidden="1" customHeight="1" x14ac:dyDescent="0.45">
      <c r="A6461" t="str">
        <f>_xlfn.XLOOKUP(B6461,Ingot!$H$12:$H$119,Ingot!$G$12:$G$119,"")</f>
        <v>Stone</v>
      </c>
      <c r="B6461" t="s">
        <v>12921</v>
      </c>
      <c r="C6461" t="s">
        <v>10</v>
      </c>
      <c r="D6461" t="s">
        <v>12988</v>
      </c>
      <c r="E6461" t="s">
        <v>12989</v>
      </c>
    </row>
    <row r="6462" spans="1:7" ht="14.25" hidden="1" customHeight="1" x14ac:dyDescent="0.45">
      <c r="A6462" t="str">
        <f>_xlfn.XLOOKUP(B6462,Ingot!$H$12:$H$119,Ingot!$G$12:$G$119,"")</f>
        <v>Stone</v>
      </c>
      <c r="B6462" t="s">
        <v>12921</v>
      </c>
      <c r="C6462" t="s">
        <v>10</v>
      </c>
      <c r="D6462" t="s">
        <v>12990</v>
      </c>
      <c r="E6462" t="s">
        <v>12991</v>
      </c>
      <c r="G6462" s="1">
        <v>2.65</v>
      </c>
    </row>
    <row r="6463" spans="1:7" ht="14.25" hidden="1" customHeight="1" x14ac:dyDescent="0.45">
      <c r="A6463" t="str">
        <f>_xlfn.XLOOKUP(B6463,Ingot!$H$12:$H$119,Ingot!$G$12:$G$119,"")</f>
        <v>Stone</v>
      </c>
      <c r="B6463" t="s">
        <v>12921</v>
      </c>
      <c r="C6463" t="s">
        <v>10</v>
      </c>
      <c r="D6463" t="s">
        <v>12992</v>
      </c>
      <c r="E6463" t="s">
        <v>12993</v>
      </c>
    </row>
    <row r="6464" spans="1:7" ht="14.25" hidden="1" customHeight="1" x14ac:dyDescent="0.45">
      <c r="A6464" t="str">
        <f>_xlfn.XLOOKUP(B6464,Ingot!$H$12:$H$119,Ingot!$G$12:$G$119,"")</f>
        <v>Stone</v>
      </c>
      <c r="B6464" t="s">
        <v>12921</v>
      </c>
      <c r="C6464" t="s">
        <v>10</v>
      </c>
      <c r="D6464" t="s">
        <v>12994</v>
      </c>
      <c r="E6464" t="s">
        <v>12995</v>
      </c>
      <c r="G6464" s="1">
        <v>12.64</v>
      </c>
    </row>
    <row r="6465" spans="1:7" ht="14.25" hidden="1" customHeight="1" x14ac:dyDescent="0.45">
      <c r="A6465" t="str">
        <f>_xlfn.XLOOKUP(B6465,Ingot!$H$12:$H$119,Ingot!$G$12:$G$119,"")</f>
        <v>Stone</v>
      </c>
      <c r="B6465" t="s">
        <v>12921</v>
      </c>
      <c r="C6465" t="s">
        <v>10</v>
      </c>
      <c r="D6465" t="s">
        <v>12996</v>
      </c>
      <c r="E6465" t="s">
        <v>12997</v>
      </c>
      <c r="G6465" s="1">
        <v>22.67</v>
      </c>
    </row>
    <row r="6466" spans="1:7" ht="14.25" hidden="1" customHeight="1" x14ac:dyDescent="0.45">
      <c r="A6466" t="str">
        <f>_xlfn.XLOOKUP(B6466,Ingot!$H$12:$H$119,Ingot!$G$12:$G$119,"")</f>
        <v>Stone</v>
      </c>
      <c r="B6466" t="s">
        <v>12921</v>
      </c>
      <c r="C6466" t="s">
        <v>10</v>
      </c>
      <c r="D6466" t="s">
        <v>12998</v>
      </c>
      <c r="E6466" t="s">
        <v>12999</v>
      </c>
      <c r="G6466" s="1">
        <v>8.3800000000000008</v>
      </c>
    </row>
    <row r="6467" spans="1:7" ht="14.25" hidden="1" customHeight="1" x14ac:dyDescent="0.45">
      <c r="A6467" t="str">
        <f>_xlfn.XLOOKUP(B6467,Ingot!$H$12:$H$119,Ingot!$G$12:$G$119,"")</f>
        <v>Stone</v>
      </c>
      <c r="B6467" t="s">
        <v>12921</v>
      </c>
      <c r="C6467" t="s">
        <v>10</v>
      </c>
      <c r="D6467" t="s">
        <v>13000</v>
      </c>
      <c r="E6467" t="s">
        <v>13001</v>
      </c>
      <c r="G6467" s="1">
        <v>2.2000000000000002</v>
      </c>
    </row>
    <row r="6468" spans="1:7" ht="14.25" hidden="1" customHeight="1" x14ac:dyDescent="0.45">
      <c r="A6468" t="str">
        <f>_xlfn.XLOOKUP(B6468,Ingot!$H$12:$H$119,Ingot!$G$12:$G$119,"")</f>
        <v>Stone</v>
      </c>
      <c r="B6468" t="s">
        <v>12921</v>
      </c>
      <c r="C6468" t="s">
        <v>10</v>
      </c>
      <c r="D6468" t="s">
        <v>13002</v>
      </c>
      <c r="E6468" t="s">
        <v>13003</v>
      </c>
      <c r="G6468" s="1">
        <v>3.09</v>
      </c>
    </row>
    <row r="6469" spans="1:7" ht="14.25" hidden="1" customHeight="1" x14ac:dyDescent="0.45">
      <c r="A6469" t="str">
        <f>_xlfn.XLOOKUP(B6469,Ingot!$H$12:$H$119,Ingot!$G$12:$G$119,"")</f>
        <v>Stone</v>
      </c>
      <c r="B6469" t="s">
        <v>12921</v>
      </c>
      <c r="C6469" t="s">
        <v>10</v>
      </c>
      <c r="D6469" t="s">
        <v>13004</v>
      </c>
      <c r="E6469" t="s">
        <v>13005</v>
      </c>
      <c r="G6469" s="1">
        <v>2.2999999999999998</v>
      </c>
    </row>
    <row r="6470" spans="1:7" ht="14.25" hidden="1" customHeight="1" x14ac:dyDescent="0.45">
      <c r="A6470" t="str">
        <f>_xlfn.XLOOKUP(B6470,Ingot!$H$12:$H$119,Ingot!$G$12:$G$119,"")</f>
        <v>Stone</v>
      </c>
      <c r="B6470" t="s">
        <v>12921</v>
      </c>
      <c r="C6470" t="s">
        <v>10</v>
      </c>
      <c r="D6470" t="s">
        <v>13006</v>
      </c>
      <c r="E6470" t="s">
        <v>13007</v>
      </c>
      <c r="G6470" s="1">
        <v>4.88</v>
      </c>
    </row>
    <row r="6471" spans="1:7" ht="14.25" hidden="1" customHeight="1" x14ac:dyDescent="0.45">
      <c r="A6471" t="str">
        <f>_xlfn.XLOOKUP(B6471,Ingot!$H$12:$H$119,Ingot!$G$12:$G$119,"")</f>
        <v>Stone</v>
      </c>
      <c r="B6471" t="s">
        <v>12921</v>
      </c>
      <c r="C6471" t="s">
        <v>10</v>
      </c>
      <c r="D6471" t="s">
        <v>13008</v>
      </c>
      <c r="E6471" t="s">
        <v>13009</v>
      </c>
      <c r="G6471" s="1">
        <v>8.43</v>
      </c>
    </row>
    <row r="6472" spans="1:7" ht="14.25" hidden="1" customHeight="1" x14ac:dyDescent="0.45">
      <c r="A6472" t="str">
        <f>_xlfn.XLOOKUP(B6472,Ingot!$H$12:$H$119,Ingot!$G$12:$G$119,"")</f>
        <v>Stone</v>
      </c>
      <c r="B6472" t="s">
        <v>12921</v>
      </c>
      <c r="C6472" t="s">
        <v>10</v>
      </c>
      <c r="D6472" t="s">
        <v>13010</v>
      </c>
      <c r="E6472" t="s">
        <v>13011</v>
      </c>
      <c r="G6472" s="1">
        <v>13.07</v>
      </c>
    </row>
    <row r="6473" spans="1:7" ht="14.25" hidden="1" customHeight="1" x14ac:dyDescent="0.45">
      <c r="A6473" t="str">
        <f>_xlfn.XLOOKUP(B6473,Ingot!$H$12:$H$119,Ingot!$G$12:$G$119,"")</f>
        <v>Stone</v>
      </c>
      <c r="B6473" t="s">
        <v>12921</v>
      </c>
      <c r="C6473" t="s">
        <v>10</v>
      </c>
      <c r="D6473" t="s">
        <v>13012</v>
      </c>
      <c r="E6473" t="s">
        <v>13013</v>
      </c>
    </row>
    <row r="6474" spans="1:7" ht="14.25" hidden="1" customHeight="1" x14ac:dyDescent="0.45">
      <c r="A6474" t="str">
        <f>_xlfn.XLOOKUP(B6474,Ingot!$H$12:$H$119,Ingot!$G$12:$G$119,"")</f>
        <v>Stone</v>
      </c>
      <c r="B6474" t="s">
        <v>12921</v>
      </c>
      <c r="C6474" t="s">
        <v>10</v>
      </c>
      <c r="D6474" t="s">
        <v>13014</v>
      </c>
      <c r="E6474" t="s">
        <v>13015</v>
      </c>
    </row>
    <row r="6475" spans="1:7" ht="14.25" hidden="1" customHeight="1" x14ac:dyDescent="0.45">
      <c r="A6475" t="str">
        <f>_xlfn.XLOOKUP(B6475,Ingot!$H$12:$H$119,Ingot!$G$12:$G$119,"")</f>
        <v>Stone</v>
      </c>
      <c r="B6475" t="s">
        <v>12921</v>
      </c>
      <c r="C6475" t="s">
        <v>10</v>
      </c>
      <c r="D6475" t="s">
        <v>13016</v>
      </c>
      <c r="E6475" t="s">
        <v>13017</v>
      </c>
      <c r="G6475" s="1">
        <v>6.8</v>
      </c>
    </row>
    <row r="6476" spans="1:7" ht="14.25" hidden="1" customHeight="1" x14ac:dyDescent="0.45">
      <c r="A6476" t="str">
        <f>_xlfn.XLOOKUP(B6476,Ingot!$H$12:$H$119,Ingot!$G$12:$G$119,"")</f>
        <v>Stone</v>
      </c>
      <c r="B6476" t="s">
        <v>12921</v>
      </c>
      <c r="C6476" t="s">
        <v>10</v>
      </c>
      <c r="D6476" t="s">
        <v>13018</v>
      </c>
      <c r="E6476" t="s">
        <v>13019</v>
      </c>
      <c r="G6476" s="1">
        <v>6.88</v>
      </c>
    </row>
    <row r="6477" spans="1:7" ht="14.25" hidden="1" customHeight="1" x14ac:dyDescent="0.45">
      <c r="A6477" t="str">
        <f>_xlfn.XLOOKUP(B6477,Ingot!$H$12:$H$119,Ingot!$G$12:$G$119,"")</f>
        <v>Stone</v>
      </c>
      <c r="B6477" t="s">
        <v>12921</v>
      </c>
      <c r="C6477" t="s">
        <v>10</v>
      </c>
      <c r="D6477" t="s">
        <v>13020</v>
      </c>
      <c r="E6477" t="s">
        <v>13021</v>
      </c>
      <c r="G6477" s="1">
        <v>5.5</v>
      </c>
    </row>
    <row r="6478" spans="1:7" ht="14.25" hidden="1" customHeight="1" x14ac:dyDescent="0.45">
      <c r="A6478" t="str">
        <f>_xlfn.XLOOKUP(B6478,Ingot!$H$12:$H$119,Ingot!$G$12:$G$119,"")</f>
        <v>Stone</v>
      </c>
      <c r="B6478" t="s">
        <v>12921</v>
      </c>
      <c r="C6478" t="s">
        <v>10</v>
      </c>
      <c r="D6478" t="s">
        <v>13022</v>
      </c>
      <c r="E6478" t="s">
        <v>13023</v>
      </c>
      <c r="G6478" s="1">
        <v>2.4300000000000002</v>
      </c>
    </row>
    <row r="6479" spans="1:7" ht="14.25" hidden="1" customHeight="1" x14ac:dyDescent="0.45">
      <c r="A6479" t="str">
        <f>_xlfn.XLOOKUP(B6479,Ingot!$H$12:$H$119,Ingot!$G$12:$G$119,"")</f>
        <v>Stone</v>
      </c>
      <c r="B6479" t="s">
        <v>12921</v>
      </c>
      <c r="C6479" t="s">
        <v>10</v>
      </c>
      <c r="D6479" t="s">
        <v>13024</v>
      </c>
      <c r="E6479" t="s">
        <v>13025</v>
      </c>
      <c r="G6479" s="1">
        <v>6.96</v>
      </c>
    </row>
    <row r="6480" spans="1:7" ht="14.25" hidden="1" customHeight="1" x14ac:dyDescent="0.45">
      <c r="A6480" t="str">
        <f>_xlfn.XLOOKUP(B6480,Ingot!$H$12:$H$119,Ingot!$G$12:$G$119,"")</f>
        <v>Stone</v>
      </c>
      <c r="B6480" t="s">
        <v>12921</v>
      </c>
      <c r="C6480" t="s">
        <v>10</v>
      </c>
      <c r="D6480" t="s">
        <v>13026</v>
      </c>
      <c r="E6480" t="s">
        <v>13027</v>
      </c>
      <c r="G6480" s="1">
        <v>6.32</v>
      </c>
    </row>
    <row r="6481" spans="1:7" ht="14.25" hidden="1" customHeight="1" x14ac:dyDescent="0.45">
      <c r="A6481" t="str">
        <f>_xlfn.XLOOKUP(B6481,Ingot!$H$12:$H$119,Ingot!$G$12:$G$119,"")</f>
        <v>Stone</v>
      </c>
      <c r="B6481" t="s">
        <v>12921</v>
      </c>
      <c r="C6481" t="s">
        <v>10</v>
      </c>
      <c r="D6481" t="s">
        <v>13028</v>
      </c>
      <c r="E6481" t="s">
        <v>13029</v>
      </c>
      <c r="G6481" s="1">
        <v>6.88</v>
      </c>
    </row>
    <row r="6482" spans="1:7" ht="14.25" hidden="1" customHeight="1" x14ac:dyDescent="0.45">
      <c r="A6482" t="str">
        <f>_xlfn.XLOOKUP(B6482,Ingot!$H$12:$H$119,Ingot!$G$12:$G$119,"")</f>
        <v>Stone</v>
      </c>
      <c r="B6482" t="s">
        <v>12921</v>
      </c>
      <c r="C6482" t="s">
        <v>10</v>
      </c>
      <c r="D6482" t="s">
        <v>13030</v>
      </c>
      <c r="E6482" t="s">
        <v>13031</v>
      </c>
      <c r="G6482" s="1">
        <v>2.44</v>
      </c>
    </row>
    <row r="6483" spans="1:7" ht="14.25" hidden="1" customHeight="1" x14ac:dyDescent="0.45">
      <c r="A6483" t="str">
        <f>_xlfn.XLOOKUP(B6483,Ingot!$H$12:$H$119,Ingot!$G$12:$G$119,"")</f>
        <v>Stone</v>
      </c>
      <c r="B6483" t="s">
        <v>12921</v>
      </c>
      <c r="C6483" t="s">
        <v>10</v>
      </c>
      <c r="D6483" t="s">
        <v>13032</v>
      </c>
      <c r="E6483" t="s">
        <v>13033</v>
      </c>
    </row>
    <row r="6484" spans="1:7" ht="14.25" hidden="1" customHeight="1" x14ac:dyDescent="0.45">
      <c r="A6484" t="str">
        <f>_xlfn.XLOOKUP(B6484,Ingot!$H$12:$H$119,Ingot!$G$12:$G$119,"")</f>
        <v>Stone</v>
      </c>
      <c r="B6484" t="s">
        <v>12921</v>
      </c>
      <c r="C6484" t="s">
        <v>10</v>
      </c>
      <c r="D6484" t="s">
        <v>13034</v>
      </c>
      <c r="E6484" t="s">
        <v>13035</v>
      </c>
    </row>
    <row r="6485" spans="1:7" ht="14.25" hidden="1" customHeight="1" x14ac:dyDescent="0.45">
      <c r="A6485" t="str">
        <f>_xlfn.XLOOKUP(B6485,Ingot!$H$12:$H$119,Ingot!$G$12:$G$119,"")</f>
        <v>Stone</v>
      </c>
      <c r="B6485" t="s">
        <v>12921</v>
      </c>
      <c r="C6485" t="s">
        <v>10</v>
      </c>
      <c r="D6485" t="s">
        <v>13036</v>
      </c>
      <c r="E6485" t="s">
        <v>13037</v>
      </c>
      <c r="G6485" s="1">
        <v>3.11</v>
      </c>
    </row>
    <row r="6486" spans="1:7" ht="14.25" hidden="1" customHeight="1" x14ac:dyDescent="0.45">
      <c r="A6486" t="str">
        <f>_xlfn.XLOOKUP(B6486,Ingot!$H$12:$H$119,Ingot!$G$12:$G$119,"")</f>
        <v>Stone</v>
      </c>
      <c r="B6486" t="s">
        <v>12921</v>
      </c>
      <c r="C6486" t="s">
        <v>10</v>
      </c>
      <c r="D6486" t="s">
        <v>13038</v>
      </c>
      <c r="E6486" t="s">
        <v>13039</v>
      </c>
      <c r="G6486" s="1">
        <v>2.44</v>
      </c>
    </row>
    <row r="6487" spans="1:7" ht="14.25" hidden="1" customHeight="1" x14ac:dyDescent="0.45">
      <c r="A6487" t="str">
        <f>_xlfn.XLOOKUP(B6487,Ingot!$H$12:$H$119,Ingot!$G$12:$G$119,"")</f>
        <v>Stone</v>
      </c>
      <c r="B6487" t="s">
        <v>12921</v>
      </c>
      <c r="C6487" t="s">
        <v>10</v>
      </c>
      <c r="D6487" t="s">
        <v>13040</v>
      </c>
      <c r="E6487" t="s">
        <v>13041</v>
      </c>
      <c r="G6487" s="1">
        <v>8.61</v>
      </c>
    </row>
    <row r="6488" spans="1:7" ht="14.25" hidden="1" customHeight="1" x14ac:dyDescent="0.45">
      <c r="A6488" t="str">
        <f>_xlfn.XLOOKUP(B6488,Ingot!$H$12:$H$119,Ingot!$G$12:$G$119,"")</f>
        <v>Stone</v>
      </c>
      <c r="B6488" t="s">
        <v>12921</v>
      </c>
      <c r="C6488" t="s">
        <v>10</v>
      </c>
      <c r="D6488" t="s">
        <v>13042</v>
      </c>
      <c r="E6488" t="s">
        <v>13043</v>
      </c>
    </row>
    <row r="6489" spans="1:7" ht="14.25" hidden="1" customHeight="1" x14ac:dyDescent="0.45">
      <c r="A6489" t="str">
        <f>_xlfn.XLOOKUP(B6489,Ingot!$H$12:$H$119,Ingot!$G$12:$G$119,"")</f>
        <v>Stone</v>
      </c>
      <c r="B6489" t="s">
        <v>12921</v>
      </c>
      <c r="C6489" t="s">
        <v>10</v>
      </c>
      <c r="D6489" t="s">
        <v>13044</v>
      </c>
      <c r="E6489" t="s">
        <v>13045</v>
      </c>
      <c r="G6489" s="1">
        <v>3.21</v>
      </c>
    </row>
    <row r="6490" spans="1:7" ht="14.25" hidden="1" customHeight="1" x14ac:dyDescent="0.45">
      <c r="A6490" t="str">
        <f>_xlfn.XLOOKUP(B6490,Ingot!$H$12:$H$119,Ingot!$G$12:$G$119,"")</f>
        <v>Stone</v>
      </c>
      <c r="B6490" t="s">
        <v>12921</v>
      </c>
      <c r="C6490" t="s">
        <v>10</v>
      </c>
      <c r="D6490" t="s">
        <v>13046</v>
      </c>
      <c r="E6490" t="s">
        <v>13047</v>
      </c>
      <c r="G6490" s="1">
        <v>2.77</v>
      </c>
    </row>
    <row r="6491" spans="1:7" ht="14.25" hidden="1" customHeight="1" x14ac:dyDescent="0.45">
      <c r="A6491" t="str">
        <f>_xlfn.XLOOKUP(B6491,Ingot!$H$12:$H$119,Ingot!$G$12:$G$119,"")</f>
        <v>Stone</v>
      </c>
      <c r="B6491" t="s">
        <v>12921</v>
      </c>
      <c r="C6491" t="s">
        <v>10</v>
      </c>
      <c r="D6491" t="s">
        <v>13048</v>
      </c>
      <c r="E6491" t="s">
        <v>13049</v>
      </c>
      <c r="G6491" s="1">
        <v>4.8899999999999997</v>
      </c>
    </row>
    <row r="6492" spans="1:7" ht="14.25" hidden="1" customHeight="1" x14ac:dyDescent="0.45">
      <c r="A6492" t="str">
        <f>_xlfn.XLOOKUP(B6492,Ingot!$H$12:$H$119,Ingot!$G$12:$G$119,"")</f>
        <v>Stone</v>
      </c>
      <c r="B6492" t="s">
        <v>12921</v>
      </c>
      <c r="C6492" t="s">
        <v>10</v>
      </c>
      <c r="D6492" t="s">
        <v>13050</v>
      </c>
      <c r="E6492" t="s">
        <v>13051</v>
      </c>
      <c r="G6492" s="1">
        <v>1.76</v>
      </c>
    </row>
    <row r="6493" spans="1:7" ht="14.25" hidden="1" customHeight="1" x14ac:dyDescent="0.45">
      <c r="A6493" t="str">
        <f>_xlfn.XLOOKUP(B6493,Ingot!$H$12:$H$119,Ingot!$G$12:$G$119,"")</f>
        <v>Stone</v>
      </c>
      <c r="B6493" t="s">
        <v>12921</v>
      </c>
      <c r="C6493" t="s">
        <v>10</v>
      </c>
      <c r="D6493" t="s">
        <v>13052</v>
      </c>
      <c r="E6493" t="s">
        <v>13053</v>
      </c>
    </row>
    <row r="6494" spans="1:7" ht="14.25" hidden="1" customHeight="1" x14ac:dyDescent="0.45">
      <c r="A6494" t="str">
        <f>_xlfn.XLOOKUP(B6494,Ingot!$H$12:$H$119,Ingot!$G$12:$G$119,"")</f>
        <v>Stone</v>
      </c>
      <c r="B6494" t="s">
        <v>12921</v>
      </c>
      <c r="C6494" t="s">
        <v>10</v>
      </c>
      <c r="D6494" t="s">
        <v>13054</v>
      </c>
      <c r="E6494" t="s">
        <v>13055</v>
      </c>
      <c r="G6494" s="1">
        <v>8.57</v>
      </c>
    </row>
    <row r="6495" spans="1:7" ht="14.25" hidden="1" customHeight="1" x14ac:dyDescent="0.45">
      <c r="A6495" t="str">
        <f>_xlfn.XLOOKUP(B6495,Ingot!$H$12:$H$119,Ingot!$G$12:$G$119,"")</f>
        <v>Stone</v>
      </c>
      <c r="B6495" t="s">
        <v>12921</v>
      </c>
      <c r="C6495" t="s">
        <v>10</v>
      </c>
      <c r="D6495" t="s">
        <v>13056</v>
      </c>
      <c r="E6495" t="s">
        <v>13057</v>
      </c>
    </row>
    <row r="6496" spans="1:7" ht="14.25" hidden="1" customHeight="1" x14ac:dyDescent="0.45">
      <c r="A6496" t="str">
        <f>_xlfn.XLOOKUP(B6496,Ingot!$H$12:$H$119,Ingot!$G$12:$G$119,"")</f>
        <v>Stone</v>
      </c>
      <c r="B6496" t="s">
        <v>12921</v>
      </c>
      <c r="C6496" t="s">
        <v>10</v>
      </c>
      <c r="D6496" t="s">
        <v>13058</v>
      </c>
      <c r="E6496" t="s">
        <v>13059</v>
      </c>
      <c r="G6496" s="1">
        <v>3.56</v>
      </c>
    </row>
    <row r="6497" spans="1:7" ht="14.25" hidden="1" customHeight="1" x14ac:dyDescent="0.45">
      <c r="A6497" t="str">
        <f>_xlfn.XLOOKUP(B6497,Ingot!$H$12:$H$119,Ingot!$G$12:$G$119,"")</f>
        <v>Stone</v>
      </c>
      <c r="B6497" t="s">
        <v>12921</v>
      </c>
      <c r="C6497" t="s">
        <v>10</v>
      </c>
      <c r="D6497" t="s">
        <v>13060</v>
      </c>
      <c r="E6497" t="s">
        <v>13061</v>
      </c>
      <c r="G6497" s="1">
        <v>8.91</v>
      </c>
    </row>
    <row r="6498" spans="1:7" ht="14.25" hidden="1" customHeight="1" x14ac:dyDescent="0.45">
      <c r="A6498" t="str">
        <f>_xlfn.XLOOKUP(B6498,Ingot!$H$12:$H$119,Ingot!$G$12:$G$119,"")</f>
        <v>Stone</v>
      </c>
      <c r="B6498" t="s">
        <v>12921</v>
      </c>
      <c r="C6498" t="s">
        <v>10</v>
      </c>
      <c r="D6498" t="s">
        <v>13062</v>
      </c>
      <c r="E6498" t="s">
        <v>13063</v>
      </c>
      <c r="G6498" s="1">
        <v>11.02</v>
      </c>
    </row>
    <row r="6499" spans="1:7" ht="14.25" hidden="1" customHeight="1" x14ac:dyDescent="0.45">
      <c r="A6499" t="str">
        <f>_xlfn.XLOOKUP(B6499,Ingot!$H$12:$H$119,Ingot!$G$12:$G$119,"")</f>
        <v>Stone</v>
      </c>
      <c r="B6499" t="s">
        <v>12921</v>
      </c>
      <c r="C6499" t="s">
        <v>10</v>
      </c>
      <c r="D6499" t="s">
        <v>13064</v>
      </c>
      <c r="E6499" t="s">
        <v>13065</v>
      </c>
      <c r="G6499" s="1">
        <v>5.12</v>
      </c>
    </row>
    <row r="6500" spans="1:7" ht="14.25" hidden="1" customHeight="1" x14ac:dyDescent="0.45">
      <c r="A6500" t="str">
        <f>_xlfn.XLOOKUP(B6500,Ingot!$H$12:$H$119,Ingot!$G$12:$G$119,"")</f>
        <v>Stone</v>
      </c>
      <c r="B6500" t="s">
        <v>12921</v>
      </c>
      <c r="C6500" t="s">
        <v>10</v>
      </c>
      <c r="D6500" t="s">
        <v>13066</v>
      </c>
      <c r="E6500" t="s">
        <v>13067</v>
      </c>
      <c r="G6500" s="1">
        <v>4.41</v>
      </c>
    </row>
    <row r="6501" spans="1:7" ht="14.25" hidden="1" customHeight="1" x14ac:dyDescent="0.45">
      <c r="A6501" t="str">
        <f>_xlfn.XLOOKUP(B6501,Ingot!$H$12:$H$119,Ingot!$G$12:$G$119,"")</f>
        <v>Stone</v>
      </c>
      <c r="B6501" t="s">
        <v>12921</v>
      </c>
      <c r="C6501" t="s">
        <v>157</v>
      </c>
      <c r="D6501" t="s">
        <v>13068</v>
      </c>
      <c r="E6501" t="s">
        <v>13069</v>
      </c>
      <c r="G6501" s="1">
        <v>45.5</v>
      </c>
    </row>
    <row r="6502" spans="1:7" ht="14.25" hidden="1" customHeight="1" x14ac:dyDescent="0.45">
      <c r="A6502" t="str">
        <f>_xlfn.XLOOKUP(B6502,Ingot!$H$12:$H$119,Ingot!$G$12:$G$119,"")</f>
        <v>Stone</v>
      </c>
      <c r="B6502" t="s">
        <v>12921</v>
      </c>
      <c r="C6502" t="s">
        <v>157</v>
      </c>
      <c r="D6502" t="s">
        <v>13070</v>
      </c>
      <c r="E6502" t="s">
        <v>13071</v>
      </c>
      <c r="G6502" s="1">
        <v>9.1</v>
      </c>
    </row>
    <row r="6503" spans="1:7" ht="14.25" hidden="1" customHeight="1" x14ac:dyDescent="0.45">
      <c r="A6503" t="str">
        <f>_xlfn.XLOOKUP(B6503,Ingot!$H$12:$H$119,Ingot!$G$12:$G$119,"")</f>
        <v>Stone</v>
      </c>
      <c r="B6503" t="s">
        <v>12921</v>
      </c>
      <c r="C6503" t="s">
        <v>157</v>
      </c>
      <c r="D6503" t="s">
        <v>13072</v>
      </c>
      <c r="E6503" t="s">
        <v>13073</v>
      </c>
      <c r="G6503" s="1">
        <v>9.1</v>
      </c>
    </row>
    <row r="6504" spans="1:7" ht="14.25" hidden="1" customHeight="1" x14ac:dyDescent="0.45">
      <c r="A6504" t="str">
        <f>_xlfn.XLOOKUP(B6504,Ingot!$H$12:$H$119,Ingot!$G$12:$G$119,"")</f>
        <v>Stone</v>
      </c>
      <c r="B6504" t="s">
        <v>12921</v>
      </c>
      <c r="C6504" t="s">
        <v>157</v>
      </c>
      <c r="D6504" t="s">
        <v>13074</v>
      </c>
      <c r="E6504" t="s">
        <v>13075</v>
      </c>
      <c r="G6504" s="1">
        <v>5.92</v>
      </c>
    </row>
    <row r="6505" spans="1:7" ht="14.25" hidden="1" customHeight="1" x14ac:dyDescent="0.45">
      <c r="A6505" t="str">
        <f>_xlfn.XLOOKUP(B6505,Ingot!$H$12:$H$119,Ingot!$G$12:$G$119,"")</f>
        <v>Stone</v>
      </c>
      <c r="B6505" t="s">
        <v>12921</v>
      </c>
      <c r="C6505" t="s">
        <v>157</v>
      </c>
      <c r="D6505" t="s">
        <v>13076</v>
      </c>
      <c r="E6505" t="s">
        <v>13077</v>
      </c>
      <c r="G6505" s="1">
        <v>11.83</v>
      </c>
    </row>
    <row r="6506" spans="1:7" ht="14.25" hidden="1" customHeight="1" x14ac:dyDescent="0.45">
      <c r="A6506" t="str">
        <f>_xlfn.XLOOKUP(B6506,Ingot!$H$12:$H$119,Ingot!$G$12:$G$119,"")</f>
        <v>Stone</v>
      </c>
      <c r="B6506" t="s">
        <v>12921</v>
      </c>
      <c r="C6506" t="s">
        <v>157</v>
      </c>
      <c r="D6506" t="s">
        <v>13078</v>
      </c>
      <c r="E6506" t="s">
        <v>13079</v>
      </c>
      <c r="G6506" s="1">
        <v>41.5</v>
      </c>
    </row>
    <row r="6507" spans="1:7" ht="14.25" hidden="1" customHeight="1" x14ac:dyDescent="0.45">
      <c r="A6507" t="str">
        <f>_xlfn.XLOOKUP(B6507,Ingot!$H$12:$H$119,Ingot!$G$12:$G$119,"")</f>
        <v>Stone</v>
      </c>
      <c r="B6507" t="s">
        <v>12921</v>
      </c>
      <c r="C6507" t="s">
        <v>157</v>
      </c>
      <c r="D6507" t="s">
        <v>13080</v>
      </c>
      <c r="E6507" t="s">
        <v>13081</v>
      </c>
      <c r="G6507" s="1">
        <v>8.3000000000000007</v>
      </c>
    </row>
    <row r="6508" spans="1:7" ht="14.25" hidden="1" customHeight="1" x14ac:dyDescent="0.45">
      <c r="A6508" t="str">
        <f>_xlfn.XLOOKUP(B6508,Ingot!$H$12:$H$119,Ingot!$G$12:$G$119,"")</f>
        <v>Stone</v>
      </c>
      <c r="B6508" t="s">
        <v>12921</v>
      </c>
      <c r="C6508" t="s">
        <v>157</v>
      </c>
      <c r="D6508" t="s">
        <v>13082</v>
      </c>
      <c r="E6508" t="s">
        <v>13083</v>
      </c>
      <c r="G6508" s="1">
        <v>8.3000000000000007</v>
      </c>
    </row>
    <row r="6509" spans="1:7" ht="14.25" hidden="1" customHeight="1" x14ac:dyDescent="0.45">
      <c r="A6509" t="str">
        <f>_xlfn.XLOOKUP(B6509,Ingot!$H$12:$H$119,Ingot!$G$12:$G$119,"")</f>
        <v>Stone</v>
      </c>
      <c r="B6509" t="s">
        <v>12921</v>
      </c>
      <c r="C6509" t="s">
        <v>157</v>
      </c>
      <c r="D6509" t="s">
        <v>13084</v>
      </c>
      <c r="E6509" t="s">
        <v>13085</v>
      </c>
      <c r="G6509" s="1">
        <v>5.4</v>
      </c>
    </row>
    <row r="6510" spans="1:7" ht="14.25" hidden="1" customHeight="1" x14ac:dyDescent="0.45">
      <c r="A6510" t="str">
        <f>_xlfn.XLOOKUP(B6510,Ingot!$H$12:$H$119,Ingot!$G$12:$G$119,"")</f>
        <v>Stone</v>
      </c>
      <c r="B6510" t="s">
        <v>12921</v>
      </c>
      <c r="C6510" t="s">
        <v>157</v>
      </c>
      <c r="D6510" t="s">
        <v>13086</v>
      </c>
      <c r="E6510" t="s">
        <v>13087</v>
      </c>
      <c r="G6510" s="1">
        <v>10.79</v>
      </c>
    </row>
    <row r="6511" spans="1:7" ht="14.25" hidden="1" customHeight="1" x14ac:dyDescent="0.45">
      <c r="A6511" t="str">
        <f>_xlfn.XLOOKUP(B6511,Ingot!$H$12:$H$119,Ingot!$G$12:$G$119,"")</f>
        <v>Stone</v>
      </c>
      <c r="B6511" t="s">
        <v>12921</v>
      </c>
      <c r="C6511" t="s">
        <v>157</v>
      </c>
      <c r="D6511" t="s">
        <v>13088</v>
      </c>
      <c r="E6511" t="s">
        <v>13089</v>
      </c>
      <c r="G6511" s="1">
        <v>40.5</v>
      </c>
    </row>
    <row r="6512" spans="1:7" ht="14.25" hidden="1" customHeight="1" x14ac:dyDescent="0.45">
      <c r="A6512" t="str">
        <f>_xlfn.XLOOKUP(B6512,Ingot!$H$12:$H$119,Ingot!$G$12:$G$119,"")</f>
        <v>Stone</v>
      </c>
      <c r="B6512" t="s">
        <v>12921</v>
      </c>
      <c r="C6512" t="s">
        <v>157</v>
      </c>
      <c r="D6512" t="s">
        <v>13090</v>
      </c>
      <c r="E6512" t="s">
        <v>13091</v>
      </c>
      <c r="G6512" s="1">
        <v>8.1</v>
      </c>
    </row>
    <row r="6513" spans="1:7" ht="14.25" hidden="1" customHeight="1" x14ac:dyDescent="0.45">
      <c r="A6513" t="str">
        <f>_xlfn.XLOOKUP(B6513,Ingot!$H$12:$H$119,Ingot!$G$12:$G$119,"")</f>
        <v>Stone</v>
      </c>
      <c r="B6513" t="s">
        <v>12921</v>
      </c>
      <c r="C6513" t="s">
        <v>157</v>
      </c>
      <c r="D6513" t="s">
        <v>13092</v>
      </c>
      <c r="E6513" t="s">
        <v>13093</v>
      </c>
      <c r="G6513" s="1">
        <v>8.1</v>
      </c>
    </row>
    <row r="6514" spans="1:7" ht="14.25" hidden="1" customHeight="1" x14ac:dyDescent="0.45">
      <c r="A6514" t="str">
        <f>_xlfn.XLOOKUP(B6514,Ingot!$H$12:$H$119,Ingot!$G$12:$G$119,"")</f>
        <v>Stone</v>
      </c>
      <c r="B6514" t="s">
        <v>12921</v>
      </c>
      <c r="C6514" t="s">
        <v>157</v>
      </c>
      <c r="D6514" t="s">
        <v>13094</v>
      </c>
      <c r="E6514" t="s">
        <v>13095</v>
      </c>
      <c r="G6514" s="1">
        <v>5.27</v>
      </c>
    </row>
    <row r="6515" spans="1:7" ht="14.25" hidden="1" customHeight="1" x14ac:dyDescent="0.45">
      <c r="A6515" t="str">
        <f>_xlfn.XLOOKUP(B6515,Ingot!$H$12:$H$119,Ingot!$G$12:$G$119,"")</f>
        <v>Stone</v>
      </c>
      <c r="B6515" t="s">
        <v>12921</v>
      </c>
      <c r="C6515" t="s">
        <v>157</v>
      </c>
      <c r="D6515" t="s">
        <v>13096</v>
      </c>
      <c r="E6515" t="s">
        <v>13097</v>
      </c>
      <c r="G6515" s="1">
        <v>10.53</v>
      </c>
    </row>
    <row r="6516" spans="1:7" ht="14.25" hidden="1" customHeight="1" x14ac:dyDescent="0.45">
      <c r="A6516" t="str">
        <f>_xlfn.XLOOKUP(B6516,Ingot!$H$12:$H$119,Ingot!$G$12:$G$119,"")</f>
        <v>Stone</v>
      </c>
      <c r="B6516" t="s">
        <v>12921</v>
      </c>
      <c r="C6516" t="s">
        <v>157</v>
      </c>
      <c r="D6516" t="s">
        <v>13098</v>
      </c>
      <c r="E6516" t="s">
        <v>13099</v>
      </c>
      <c r="G6516" s="1">
        <v>42.5</v>
      </c>
    </row>
    <row r="6517" spans="1:7" ht="14.25" hidden="1" customHeight="1" x14ac:dyDescent="0.45">
      <c r="A6517" t="str">
        <f>_xlfn.XLOOKUP(B6517,Ingot!$H$12:$H$119,Ingot!$G$12:$G$119,"")</f>
        <v>Stone</v>
      </c>
      <c r="B6517" t="s">
        <v>12921</v>
      </c>
      <c r="C6517" t="s">
        <v>157</v>
      </c>
      <c r="D6517" t="s">
        <v>13100</v>
      </c>
      <c r="E6517" t="s">
        <v>13101</v>
      </c>
      <c r="G6517" s="1">
        <v>8.5</v>
      </c>
    </row>
    <row r="6518" spans="1:7" ht="14.25" hidden="1" customHeight="1" x14ac:dyDescent="0.45">
      <c r="A6518" t="str">
        <f>_xlfn.XLOOKUP(B6518,Ingot!$H$12:$H$119,Ingot!$G$12:$G$119,"")</f>
        <v>Stone</v>
      </c>
      <c r="B6518" t="s">
        <v>12921</v>
      </c>
      <c r="C6518" t="s">
        <v>157</v>
      </c>
      <c r="D6518" t="s">
        <v>13102</v>
      </c>
      <c r="E6518" t="s">
        <v>13103</v>
      </c>
      <c r="G6518" s="1">
        <v>8.5</v>
      </c>
    </row>
    <row r="6519" spans="1:7" ht="14.25" hidden="1" customHeight="1" x14ac:dyDescent="0.45">
      <c r="A6519" t="str">
        <f>_xlfn.XLOOKUP(B6519,Ingot!$H$12:$H$119,Ingot!$G$12:$G$119,"")</f>
        <v>Stone</v>
      </c>
      <c r="B6519" t="s">
        <v>12921</v>
      </c>
      <c r="C6519" t="s">
        <v>157</v>
      </c>
      <c r="D6519" t="s">
        <v>13104</v>
      </c>
      <c r="E6519" t="s">
        <v>13105</v>
      </c>
      <c r="G6519" s="1">
        <v>5.53</v>
      </c>
    </row>
    <row r="6520" spans="1:7" ht="14.25" hidden="1" customHeight="1" x14ac:dyDescent="0.45">
      <c r="A6520" t="str">
        <f>_xlfn.XLOOKUP(B6520,Ingot!$H$12:$H$119,Ingot!$G$12:$G$119,"")</f>
        <v>Stone</v>
      </c>
      <c r="B6520" t="s">
        <v>12921</v>
      </c>
      <c r="C6520" t="s">
        <v>157</v>
      </c>
      <c r="D6520" t="s">
        <v>13106</v>
      </c>
      <c r="E6520" t="s">
        <v>13107</v>
      </c>
      <c r="G6520" s="1">
        <v>11.05</v>
      </c>
    </row>
    <row r="6521" spans="1:7" ht="14.25" hidden="1" customHeight="1" x14ac:dyDescent="0.45">
      <c r="A6521" t="str">
        <f>_xlfn.XLOOKUP(B6521,Ingot!$H$12:$H$119,Ingot!$G$12:$G$119,"")</f>
        <v>Stone</v>
      </c>
      <c r="B6521" t="s">
        <v>12921</v>
      </c>
      <c r="C6521" t="s">
        <v>157</v>
      </c>
      <c r="D6521" t="s">
        <v>13108</v>
      </c>
      <c r="E6521" t="s">
        <v>13109</v>
      </c>
      <c r="G6521" s="1">
        <v>44</v>
      </c>
    </row>
    <row r="6522" spans="1:7" ht="14.25" hidden="1" customHeight="1" x14ac:dyDescent="0.45">
      <c r="A6522" t="str">
        <f>_xlfn.XLOOKUP(B6522,Ingot!$H$12:$H$119,Ingot!$G$12:$G$119,"")</f>
        <v>Stone</v>
      </c>
      <c r="B6522" t="s">
        <v>12921</v>
      </c>
      <c r="C6522" t="s">
        <v>157</v>
      </c>
      <c r="D6522" t="s">
        <v>13110</v>
      </c>
      <c r="E6522" t="s">
        <v>13111</v>
      </c>
      <c r="G6522" s="1">
        <v>8.8000000000000007</v>
      </c>
    </row>
    <row r="6523" spans="1:7" ht="14.25" hidden="1" customHeight="1" x14ac:dyDescent="0.45">
      <c r="A6523" t="str">
        <f>_xlfn.XLOOKUP(B6523,Ingot!$H$12:$H$119,Ingot!$G$12:$G$119,"")</f>
        <v>Stone</v>
      </c>
      <c r="B6523" t="s">
        <v>12921</v>
      </c>
      <c r="C6523" t="s">
        <v>157</v>
      </c>
      <c r="D6523" t="s">
        <v>13112</v>
      </c>
      <c r="E6523" t="s">
        <v>13113</v>
      </c>
      <c r="G6523" s="1">
        <v>8.8000000000000007</v>
      </c>
    </row>
    <row r="6524" spans="1:7" ht="14.25" hidden="1" customHeight="1" x14ac:dyDescent="0.45">
      <c r="A6524" t="str">
        <f>_xlfn.XLOOKUP(B6524,Ingot!$H$12:$H$119,Ingot!$G$12:$G$119,"")</f>
        <v>Stone</v>
      </c>
      <c r="B6524" t="s">
        <v>12921</v>
      </c>
      <c r="C6524" t="s">
        <v>157</v>
      </c>
      <c r="D6524" t="s">
        <v>13114</v>
      </c>
      <c r="E6524" t="s">
        <v>13115</v>
      </c>
      <c r="G6524" s="1">
        <v>5.72</v>
      </c>
    </row>
    <row r="6525" spans="1:7" ht="14.25" hidden="1" customHeight="1" x14ac:dyDescent="0.45">
      <c r="A6525" t="str">
        <f>_xlfn.XLOOKUP(B6525,Ingot!$H$12:$H$119,Ingot!$G$12:$G$119,"")</f>
        <v>Stone</v>
      </c>
      <c r="B6525" t="s">
        <v>12921</v>
      </c>
      <c r="C6525" t="s">
        <v>157</v>
      </c>
      <c r="D6525" t="s">
        <v>13116</v>
      </c>
      <c r="E6525" t="s">
        <v>13117</v>
      </c>
      <c r="G6525" s="1">
        <v>11.44</v>
      </c>
    </row>
    <row r="6526" spans="1:7" ht="14.25" hidden="1" customHeight="1" x14ac:dyDescent="0.45">
      <c r="A6526" t="str">
        <f>_xlfn.XLOOKUP(B6526,Ingot!$H$12:$H$119,Ingot!$G$12:$G$119,"")</f>
        <v>Stone</v>
      </c>
      <c r="B6526" t="s">
        <v>12921</v>
      </c>
      <c r="C6526" t="s">
        <v>157</v>
      </c>
      <c r="D6526" t="s">
        <v>13118</v>
      </c>
      <c r="E6526" t="s">
        <v>13119</v>
      </c>
      <c r="G6526" s="1">
        <v>48.5</v>
      </c>
    </row>
    <row r="6527" spans="1:7" ht="14.25" hidden="1" customHeight="1" x14ac:dyDescent="0.45">
      <c r="A6527" t="str">
        <f>_xlfn.XLOOKUP(B6527,Ingot!$H$12:$H$119,Ingot!$G$12:$G$119,"")</f>
        <v>Stone</v>
      </c>
      <c r="B6527" t="s">
        <v>12921</v>
      </c>
      <c r="C6527" t="s">
        <v>157</v>
      </c>
      <c r="D6527" t="s">
        <v>13120</v>
      </c>
      <c r="E6527" t="s">
        <v>13121</v>
      </c>
      <c r="G6527" s="1">
        <v>9.6999999999999993</v>
      </c>
    </row>
    <row r="6528" spans="1:7" ht="14.25" hidden="1" customHeight="1" x14ac:dyDescent="0.45">
      <c r="A6528" t="str">
        <f>_xlfn.XLOOKUP(B6528,Ingot!$H$12:$H$119,Ingot!$G$12:$G$119,"")</f>
        <v>Stone</v>
      </c>
      <c r="B6528" t="s">
        <v>12921</v>
      </c>
      <c r="C6528" t="s">
        <v>157</v>
      </c>
      <c r="D6528" t="s">
        <v>13122</v>
      </c>
      <c r="E6528" t="s">
        <v>13123</v>
      </c>
      <c r="G6528" s="1">
        <v>9.6999999999999993</v>
      </c>
    </row>
    <row r="6529" spans="1:7" ht="14.25" hidden="1" customHeight="1" x14ac:dyDescent="0.45">
      <c r="A6529" t="str">
        <f>_xlfn.XLOOKUP(B6529,Ingot!$H$12:$H$119,Ingot!$G$12:$G$119,"")</f>
        <v>Stone</v>
      </c>
      <c r="B6529" t="s">
        <v>12921</v>
      </c>
      <c r="C6529" t="s">
        <v>157</v>
      </c>
      <c r="D6529" t="s">
        <v>13124</v>
      </c>
      <c r="E6529" t="s">
        <v>13125</v>
      </c>
      <c r="G6529" s="1">
        <v>6.31</v>
      </c>
    </row>
    <row r="6530" spans="1:7" ht="14.25" hidden="1" customHeight="1" x14ac:dyDescent="0.45">
      <c r="A6530" t="str">
        <f>_xlfn.XLOOKUP(B6530,Ingot!$H$12:$H$119,Ingot!$G$12:$G$119,"")</f>
        <v>Stone</v>
      </c>
      <c r="B6530" t="s">
        <v>12921</v>
      </c>
      <c r="C6530" t="s">
        <v>157</v>
      </c>
      <c r="D6530" t="s">
        <v>13126</v>
      </c>
      <c r="E6530" t="s">
        <v>13127</v>
      </c>
      <c r="G6530" s="1">
        <v>12.61</v>
      </c>
    </row>
    <row r="6531" spans="1:7" ht="14.25" hidden="1" customHeight="1" x14ac:dyDescent="0.45">
      <c r="A6531" t="str">
        <f>_xlfn.XLOOKUP(B6531,Ingot!$H$12:$H$119,Ingot!$G$12:$G$119,"")</f>
        <v>Stone</v>
      </c>
      <c r="B6531" t="s">
        <v>12921</v>
      </c>
      <c r="C6531" t="s">
        <v>157</v>
      </c>
      <c r="D6531" t="s">
        <v>13128</v>
      </c>
      <c r="E6531" t="s">
        <v>13129</v>
      </c>
      <c r="G6531" s="1">
        <v>47</v>
      </c>
    </row>
    <row r="6532" spans="1:7" ht="14.25" hidden="1" customHeight="1" x14ac:dyDescent="0.45">
      <c r="A6532" t="str">
        <f>_xlfn.XLOOKUP(B6532,Ingot!$H$12:$H$119,Ingot!$G$12:$G$119,"")</f>
        <v>Stone</v>
      </c>
      <c r="B6532" t="s">
        <v>12921</v>
      </c>
      <c r="C6532" t="s">
        <v>157</v>
      </c>
      <c r="D6532" t="s">
        <v>13130</v>
      </c>
      <c r="E6532" t="s">
        <v>13131</v>
      </c>
      <c r="G6532" s="1">
        <v>9.4</v>
      </c>
    </row>
    <row r="6533" spans="1:7" ht="14.25" hidden="1" customHeight="1" x14ac:dyDescent="0.45">
      <c r="A6533" t="str">
        <f>_xlfn.XLOOKUP(B6533,Ingot!$H$12:$H$119,Ingot!$G$12:$G$119,"")</f>
        <v>Stone</v>
      </c>
      <c r="B6533" t="s">
        <v>12921</v>
      </c>
      <c r="C6533" t="s">
        <v>157</v>
      </c>
      <c r="D6533" t="s">
        <v>13132</v>
      </c>
      <c r="E6533" t="s">
        <v>13133</v>
      </c>
      <c r="G6533" s="1">
        <v>9.4</v>
      </c>
    </row>
    <row r="6534" spans="1:7" ht="14.25" hidden="1" customHeight="1" x14ac:dyDescent="0.45">
      <c r="A6534" t="str">
        <f>_xlfn.XLOOKUP(B6534,Ingot!$H$12:$H$119,Ingot!$G$12:$G$119,"")</f>
        <v>Stone</v>
      </c>
      <c r="B6534" t="s">
        <v>12921</v>
      </c>
      <c r="C6534" t="s">
        <v>157</v>
      </c>
      <c r="D6534" t="s">
        <v>13134</v>
      </c>
      <c r="E6534" t="s">
        <v>13135</v>
      </c>
      <c r="G6534" s="1">
        <v>6.11</v>
      </c>
    </row>
    <row r="6535" spans="1:7" ht="14.25" hidden="1" customHeight="1" x14ac:dyDescent="0.45">
      <c r="A6535" t="str">
        <f>_xlfn.XLOOKUP(B6535,Ingot!$H$12:$H$119,Ingot!$G$12:$G$119,"")</f>
        <v>Stone</v>
      </c>
      <c r="B6535" t="s">
        <v>12921</v>
      </c>
      <c r="C6535" t="s">
        <v>157</v>
      </c>
      <c r="D6535" t="s">
        <v>13136</v>
      </c>
      <c r="E6535" t="s">
        <v>13137</v>
      </c>
      <c r="G6535" s="1">
        <v>12.22</v>
      </c>
    </row>
    <row r="6536" spans="1:7" ht="14.25" hidden="1" customHeight="1" x14ac:dyDescent="0.45">
      <c r="A6536" t="str">
        <f>_xlfn.XLOOKUP(B6536,Ingot!$H$12:$H$119,Ingot!$G$12:$G$119,"")</f>
        <v>Stone</v>
      </c>
      <c r="B6536" t="s">
        <v>12921</v>
      </c>
      <c r="C6536" t="s">
        <v>157</v>
      </c>
      <c r="D6536" t="s">
        <v>13138</v>
      </c>
      <c r="E6536" t="s">
        <v>13139</v>
      </c>
      <c r="G6536" s="1">
        <v>39.5</v>
      </c>
    </row>
    <row r="6537" spans="1:7" ht="14.25" hidden="1" customHeight="1" x14ac:dyDescent="0.45">
      <c r="A6537" t="str">
        <f>_xlfn.XLOOKUP(B6537,Ingot!$H$12:$H$119,Ingot!$G$12:$G$119,"")</f>
        <v>Stone</v>
      </c>
      <c r="B6537" t="s">
        <v>12921</v>
      </c>
      <c r="C6537" t="s">
        <v>157</v>
      </c>
      <c r="D6537" t="s">
        <v>13140</v>
      </c>
      <c r="E6537" t="s">
        <v>13141</v>
      </c>
      <c r="G6537" s="1">
        <v>7.9</v>
      </c>
    </row>
    <row r="6538" spans="1:7" ht="14.25" hidden="1" customHeight="1" x14ac:dyDescent="0.45">
      <c r="A6538" t="str">
        <f>_xlfn.XLOOKUP(B6538,Ingot!$H$12:$H$119,Ingot!$G$12:$G$119,"")</f>
        <v>Stone</v>
      </c>
      <c r="B6538" t="s">
        <v>12921</v>
      </c>
      <c r="C6538" t="s">
        <v>157</v>
      </c>
      <c r="D6538" t="s">
        <v>13142</v>
      </c>
      <c r="E6538" t="s">
        <v>13143</v>
      </c>
      <c r="G6538" s="1">
        <v>7.9</v>
      </c>
    </row>
    <row r="6539" spans="1:7" ht="14.25" hidden="1" customHeight="1" x14ac:dyDescent="0.45">
      <c r="A6539" t="str">
        <f>_xlfn.XLOOKUP(B6539,Ingot!$H$12:$H$119,Ingot!$G$12:$G$119,"")</f>
        <v>Stone</v>
      </c>
      <c r="B6539" t="s">
        <v>12921</v>
      </c>
      <c r="C6539" t="s">
        <v>157</v>
      </c>
      <c r="D6539" t="s">
        <v>13144</v>
      </c>
      <c r="E6539" t="s">
        <v>13145</v>
      </c>
      <c r="G6539" s="1">
        <v>5.14</v>
      </c>
    </row>
    <row r="6540" spans="1:7" ht="14.25" hidden="1" customHeight="1" x14ac:dyDescent="0.45">
      <c r="A6540" t="str">
        <f>_xlfn.XLOOKUP(B6540,Ingot!$H$12:$H$119,Ingot!$G$12:$G$119,"")</f>
        <v>Stone</v>
      </c>
      <c r="B6540" t="s">
        <v>12921</v>
      </c>
      <c r="C6540" t="s">
        <v>157</v>
      </c>
      <c r="D6540" t="s">
        <v>13146</v>
      </c>
      <c r="E6540" t="s">
        <v>13147</v>
      </c>
      <c r="G6540" s="1">
        <v>10.27</v>
      </c>
    </row>
    <row r="6541" spans="1:7" ht="14.25" hidden="1" customHeight="1" x14ac:dyDescent="0.45">
      <c r="A6541" t="str">
        <f>_xlfn.XLOOKUP(B6541,Ingot!$H$12:$H$119,Ingot!$G$12:$G$119,"")</f>
        <v>Stone</v>
      </c>
      <c r="B6541" t="s">
        <v>12921</v>
      </c>
      <c r="C6541" t="s">
        <v>239</v>
      </c>
      <c r="D6541" t="s">
        <v>13148</v>
      </c>
      <c r="E6541" t="s">
        <v>13149</v>
      </c>
    </row>
    <row r="6542" spans="1:7" ht="14.25" hidden="1" customHeight="1" x14ac:dyDescent="0.45">
      <c r="A6542" t="str">
        <f>_xlfn.XLOOKUP(B6542,Ingot!$H$12:$H$119,Ingot!$G$12:$G$119,"")</f>
        <v>Stone</v>
      </c>
      <c r="B6542" t="s">
        <v>12921</v>
      </c>
      <c r="C6542" t="s">
        <v>239</v>
      </c>
      <c r="D6542" t="s">
        <v>13150</v>
      </c>
      <c r="E6542" t="s">
        <v>13151</v>
      </c>
    </row>
    <row r="6543" spans="1:7" ht="14.25" hidden="1" customHeight="1" x14ac:dyDescent="0.45">
      <c r="A6543" t="str">
        <f>_xlfn.XLOOKUP(B6543,Ingot!$H$12:$H$119,Ingot!$G$12:$G$119,"")</f>
        <v>Stone</v>
      </c>
      <c r="B6543" t="s">
        <v>12921</v>
      </c>
      <c r="C6543" t="s">
        <v>239</v>
      </c>
      <c r="D6543" t="s">
        <v>13152</v>
      </c>
      <c r="E6543" t="s">
        <v>13153</v>
      </c>
    </row>
    <row r="6544" spans="1:7" ht="14.25" hidden="1" customHeight="1" x14ac:dyDescent="0.45">
      <c r="A6544" t="str">
        <f>_xlfn.XLOOKUP(B6544,Ingot!$H$12:$H$119,Ingot!$G$12:$G$119,"")</f>
        <v>Stone</v>
      </c>
      <c r="B6544" t="s">
        <v>12921</v>
      </c>
      <c r="C6544" t="s">
        <v>239</v>
      </c>
      <c r="D6544" t="s">
        <v>13154</v>
      </c>
      <c r="E6544" t="s">
        <v>13155</v>
      </c>
    </row>
    <row r="6545" spans="1:7" ht="14.25" hidden="1" customHeight="1" x14ac:dyDescent="0.45">
      <c r="A6545" t="str">
        <f>_xlfn.XLOOKUP(B6545,Ingot!$H$12:$H$119,Ingot!$G$12:$G$119,"")</f>
        <v>Stone</v>
      </c>
      <c r="B6545" t="s">
        <v>12921</v>
      </c>
      <c r="C6545" t="s">
        <v>239</v>
      </c>
      <c r="D6545" t="s">
        <v>13156</v>
      </c>
      <c r="E6545" t="s">
        <v>13157</v>
      </c>
    </row>
    <row r="6546" spans="1:7" ht="14.25" hidden="1" customHeight="1" x14ac:dyDescent="0.45">
      <c r="A6546" t="str">
        <f>_xlfn.XLOOKUP(B6546,Ingot!$H$12:$H$119,Ingot!$G$12:$G$119,"")</f>
        <v>Stone</v>
      </c>
      <c r="B6546" t="s">
        <v>12921</v>
      </c>
      <c r="C6546" t="s">
        <v>239</v>
      </c>
      <c r="D6546" t="s">
        <v>13158</v>
      </c>
      <c r="E6546" t="s">
        <v>13159</v>
      </c>
    </row>
    <row r="6547" spans="1:7" ht="14.25" hidden="1" customHeight="1" x14ac:dyDescent="0.45">
      <c r="A6547" t="str">
        <f>_xlfn.XLOOKUP(B6547,Ingot!$H$12:$H$119,Ingot!$G$12:$G$119,"")</f>
        <v>Stone</v>
      </c>
      <c r="B6547" t="s">
        <v>13160</v>
      </c>
      <c r="C6547" t="s">
        <v>10</v>
      </c>
      <c r="D6547" t="s">
        <v>13161</v>
      </c>
      <c r="E6547" t="s">
        <v>13162</v>
      </c>
      <c r="G6547" s="1">
        <v>0.08</v>
      </c>
    </row>
    <row r="6548" spans="1:7" ht="14.25" hidden="1" customHeight="1" x14ac:dyDescent="0.45">
      <c r="A6548" t="str">
        <f>_xlfn.XLOOKUP(B6548,Ingot!$H$12:$H$119,Ingot!$G$12:$G$119,"")</f>
        <v>Stone</v>
      </c>
      <c r="B6548" t="s">
        <v>13160</v>
      </c>
      <c r="C6548" t="s">
        <v>10</v>
      </c>
      <c r="D6548" t="s">
        <v>13163</v>
      </c>
      <c r="E6548" t="s">
        <v>13164</v>
      </c>
      <c r="G6548" s="1">
        <v>9.9</v>
      </c>
    </row>
    <row r="6549" spans="1:7" ht="14.25" hidden="1" customHeight="1" x14ac:dyDescent="0.45">
      <c r="A6549" t="str">
        <f>_xlfn.XLOOKUP(B6549,Ingot!$H$12:$H$119,Ingot!$G$12:$G$119,"")</f>
        <v>Stone</v>
      </c>
      <c r="B6549" t="s">
        <v>13160</v>
      </c>
      <c r="C6549" t="s">
        <v>10</v>
      </c>
      <c r="D6549" t="s">
        <v>13165</v>
      </c>
      <c r="E6549" t="s">
        <v>13166</v>
      </c>
      <c r="G6549" s="1">
        <v>5.66</v>
      </c>
    </row>
    <row r="6550" spans="1:7" ht="14.25" hidden="1" customHeight="1" x14ac:dyDescent="0.45">
      <c r="A6550" t="str">
        <f>_xlfn.XLOOKUP(B6550,Ingot!$H$12:$H$119,Ingot!$G$12:$G$119,"")</f>
        <v>Stone</v>
      </c>
      <c r="B6550" t="s">
        <v>13160</v>
      </c>
      <c r="C6550" t="s">
        <v>10</v>
      </c>
      <c r="D6550" t="s">
        <v>13167</v>
      </c>
      <c r="E6550" t="s">
        <v>13168</v>
      </c>
      <c r="G6550" s="1">
        <v>3.3</v>
      </c>
    </row>
    <row r="6551" spans="1:7" ht="14.25" hidden="1" customHeight="1" x14ac:dyDescent="0.45">
      <c r="A6551" t="str">
        <f>_xlfn.XLOOKUP(B6551,Ingot!$H$12:$H$119,Ingot!$G$12:$G$119,"")</f>
        <v>Stone</v>
      </c>
      <c r="B6551" t="s">
        <v>13160</v>
      </c>
      <c r="C6551" t="s">
        <v>10</v>
      </c>
      <c r="D6551" t="s">
        <v>13169</v>
      </c>
      <c r="E6551" t="s">
        <v>13170</v>
      </c>
      <c r="G6551" s="1">
        <v>0.66</v>
      </c>
    </row>
    <row r="6552" spans="1:7" ht="14.25" hidden="1" customHeight="1" x14ac:dyDescent="0.45">
      <c r="A6552" t="str">
        <f>_xlfn.XLOOKUP(B6552,Ingot!$H$12:$H$119,Ingot!$G$12:$G$119,"")</f>
        <v>Stone</v>
      </c>
      <c r="B6552" t="s">
        <v>13160</v>
      </c>
      <c r="C6552" t="s">
        <v>10</v>
      </c>
      <c r="D6552" t="s">
        <v>13171</v>
      </c>
      <c r="E6552" t="s">
        <v>13172</v>
      </c>
      <c r="G6552" s="1">
        <v>0.04</v>
      </c>
    </row>
    <row r="6553" spans="1:7" ht="14.25" hidden="1" customHeight="1" x14ac:dyDescent="0.45">
      <c r="A6553" t="str">
        <f>_xlfn.XLOOKUP(B6553,Ingot!$H$12:$H$119,Ingot!$G$12:$G$119,"")</f>
        <v>Stone</v>
      </c>
      <c r="B6553" t="s">
        <v>13160</v>
      </c>
      <c r="C6553" t="s">
        <v>10</v>
      </c>
      <c r="D6553" t="s">
        <v>13173</v>
      </c>
      <c r="E6553" t="s">
        <v>13174</v>
      </c>
      <c r="G6553" s="1">
        <v>0.33</v>
      </c>
    </row>
    <row r="6554" spans="1:7" ht="14.25" hidden="1" customHeight="1" x14ac:dyDescent="0.45">
      <c r="A6554" t="str">
        <f>_xlfn.XLOOKUP(B6554,Ingot!$H$12:$H$119,Ingot!$G$12:$G$119,"")</f>
        <v>Stone</v>
      </c>
      <c r="B6554" t="s">
        <v>13160</v>
      </c>
      <c r="C6554" t="s">
        <v>10</v>
      </c>
      <c r="D6554" t="s">
        <v>13175</v>
      </c>
      <c r="E6554" t="s">
        <v>13176</v>
      </c>
    </row>
    <row r="6555" spans="1:7" ht="14.25" hidden="1" customHeight="1" x14ac:dyDescent="0.45">
      <c r="A6555" t="str">
        <f>_xlfn.XLOOKUP(B6555,Ingot!$H$12:$H$119,Ingot!$G$12:$G$119,"")</f>
        <v>Stone</v>
      </c>
      <c r="B6555" t="s">
        <v>13160</v>
      </c>
      <c r="C6555" t="s">
        <v>10</v>
      </c>
      <c r="D6555" t="s">
        <v>13177</v>
      </c>
      <c r="E6555" t="s">
        <v>13178</v>
      </c>
      <c r="G6555" s="1">
        <v>0.05</v>
      </c>
    </row>
    <row r="6556" spans="1:7" ht="14.25" hidden="1" customHeight="1" x14ac:dyDescent="0.45">
      <c r="A6556" t="str">
        <f>_xlfn.XLOOKUP(B6556,Ingot!$H$12:$H$119,Ingot!$G$12:$G$119,"")</f>
        <v>Stone</v>
      </c>
      <c r="B6556" t="s">
        <v>13160</v>
      </c>
      <c r="C6556" t="s">
        <v>10</v>
      </c>
      <c r="D6556" t="s">
        <v>13179</v>
      </c>
      <c r="E6556" t="s">
        <v>13180</v>
      </c>
      <c r="G6556" s="1">
        <v>0.66</v>
      </c>
    </row>
    <row r="6557" spans="1:7" ht="14.25" hidden="1" customHeight="1" x14ac:dyDescent="0.45">
      <c r="A6557" t="str">
        <f>_xlfn.XLOOKUP(B6557,Ingot!$H$12:$H$119,Ingot!$G$12:$G$119,"")</f>
        <v>Stone</v>
      </c>
      <c r="B6557" t="s">
        <v>13160</v>
      </c>
      <c r="C6557" t="s">
        <v>10</v>
      </c>
      <c r="D6557" t="s">
        <v>13181</v>
      </c>
      <c r="E6557" t="s">
        <v>13182</v>
      </c>
      <c r="G6557" s="1">
        <v>3.96</v>
      </c>
    </row>
    <row r="6558" spans="1:7" ht="14.25" hidden="1" customHeight="1" x14ac:dyDescent="0.45">
      <c r="A6558" t="str">
        <f>_xlfn.XLOOKUP(B6558,Ingot!$H$12:$H$119,Ingot!$G$12:$G$119,"")</f>
        <v>Stone</v>
      </c>
      <c r="B6558" t="s">
        <v>13160</v>
      </c>
      <c r="C6558" t="s">
        <v>10</v>
      </c>
      <c r="D6558" t="s">
        <v>13183</v>
      </c>
      <c r="E6558" t="s">
        <v>13184</v>
      </c>
      <c r="G6558" s="1">
        <v>8.77</v>
      </c>
    </row>
    <row r="6559" spans="1:7" ht="14.25" hidden="1" customHeight="1" x14ac:dyDescent="0.45">
      <c r="A6559" t="str">
        <f>_xlfn.XLOOKUP(B6559,Ingot!$H$12:$H$119,Ingot!$G$12:$G$119,"")</f>
        <v>Stone</v>
      </c>
      <c r="B6559" t="s">
        <v>13160</v>
      </c>
      <c r="C6559" t="s">
        <v>10</v>
      </c>
      <c r="D6559" t="s">
        <v>13185</v>
      </c>
      <c r="E6559" t="s">
        <v>13186</v>
      </c>
      <c r="G6559" s="1">
        <v>3.5</v>
      </c>
    </row>
    <row r="6560" spans="1:7" ht="14.25" hidden="1" customHeight="1" x14ac:dyDescent="0.45">
      <c r="A6560" t="str">
        <f>_xlfn.XLOOKUP(B6560,Ingot!$H$12:$H$119,Ingot!$G$12:$G$119,"")</f>
        <v>Stone</v>
      </c>
      <c r="B6560" t="s">
        <v>13160</v>
      </c>
      <c r="C6560" t="s">
        <v>10</v>
      </c>
      <c r="D6560" t="s">
        <v>13187</v>
      </c>
      <c r="E6560" t="s">
        <v>13188</v>
      </c>
    </row>
    <row r="6561" spans="1:7" ht="14.25" hidden="1" customHeight="1" x14ac:dyDescent="0.45">
      <c r="A6561" t="str">
        <f>_xlfn.XLOOKUP(B6561,Ingot!$H$12:$H$119,Ingot!$G$12:$G$119,"")</f>
        <v>Stone</v>
      </c>
      <c r="B6561" t="s">
        <v>13160</v>
      </c>
      <c r="C6561" t="s">
        <v>10</v>
      </c>
      <c r="D6561" t="s">
        <v>13189</v>
      </c>
      <c r="E6561" t="s">
        <v>13190</v>
      </c>
      <c r="G6561" s="1">
        <v>2.2000000000000002</v>
      </c>
    </row>
    <row r="6562" spans="1:7" ht="14.25" hidden="1" customHeight="1" x14ac:dyDescent="0.45">
      <c r="A6562" t="str">
        <f>_xlfn.XLOOKUP(B6562,Ingot!$H$12:$H$119,Ingot!$G$12:$G$119,"")</f>
        <v>Stone</v>
      </c>
      <c r="B6562" t="s">
        <v>13160</v>
      </c>
      <c r="C6562" t="s">
        <v>10</v>
      </c>
      <c r="D6562" t="s">
        <v>13191</v>
      </c>
      <c r="E6562" t="s">
        <v>13192</v>
      </c>
      <c r="G6562" s="1">
        <v>1.1000000000000001</v>
      </c>
    </row>
    <row r="6563" spans="1:7" ht="14.25" hidden="1" customHeight="1" x14ac:dyDescent="0.45">
      <c r="A6563" t="str">
        <f>_xlfn.XLOOKUP(B6563,Ingot!$H$12:$H$119,Ingot!$G$12:$G$119,"")</f>
        <v>Stone</v>
      </c>
      <c r="B6563" t="s">
        <v>13160</v>
      </c>
      <c r="C6563" t="s">
        <v>10</v>
      </c>
      <c r="D6563" t="s">
        <v>13193</v>
      </c>
      <c r="E6563" t="s">
        <v>13194</v>
      </c>
      <c r="G6563" s="1">
        <v>0.22</v>
      </c>
    </row>
    <row r="6564" spans="1:7" ht="14.25" hidden="1" customHeight="1" x14ac:dyDescent="0.45">
      <c r="A6564" t="str">
        <f>_xlfn.XLOOKUP(B6564,Ingot!$H$12:$H$119,Ingot!$G$12:$G$119,"")</f>
        <v>Stone</v>
      </c>
      <c r="B6564" t="s">
        <v>13160</v>
      </c>
      <c r="C6564" t="s">
        <v>10</v>
      </c>
      <c r="D6564" t="s">
        <v>13195</v>
      </c>
      <c r="E6564" t="s">
        <v>13196</v>
      </c>
      <c r="G6564" s="1">
        <v>8.41</v>
      </c>
    </row>
    <row r="6565" spans="1:7" ht="14.25" hidden="1" customHeight="1" x14ac:dyDescent="0.45">
      <c r="A6565" t="str">
        <f>_xlfn.XLOOKUP(B6565,Ingot!$H$12:$H$119,Ingot!$G$12:$G$119,"")</f>
        <v>Stone</v>
      </c>
      <c r="B6565" t="s">
        <v>13160</v>
      </c>
      <c r="C6565" t="s">
        <v>10</v>
      </c>
      <c r="D6565" t="s">
        <v>13197</v>
      </c>
      <c r="E6565" t="s">
        <v>13198</v>
      </c>
      <c r="G6565" s="1">
        <v>3.64</v>
      </c>
    </row>
    <row r="6566" spans="1:7" ht="14.25" hidden="1" customHeight="1" x14ac:dyDescent="0.45">
      <c r="A6566" t="str">
        <f>_xlfn.XLOOKUP(B6566,Ingot!$H$12:$H$119,Ingot!$G$12:$G$119,"")</f>
        <v>Stone</v>
      </c>
      <c r="B6566" t="s">
        <v>13160</v>
      </c>
      <c r="C6566" t="s">
        <v>10</v>
      </c>
      <c r="D6566" t="s">
        <v>13199</v>
      </c>
      <c r="E6566" t="s">
        <v>13200</v>
      </c>
      <c r="G6566" s="1">
        <v>7.05</v>
      </c>
    </row>
    <row r="6567" spans="1:7" ht="14.25" hidden="1" customHeight="1" x14ac:dyDescent="0.45">
      <c r="A6567" t="str">
        <f>_xlfn.XLOOKUP(B6567,Ingot!$H$12:$H$119,Ingot!$G$12:$G$119,"")</f>
        <v>Stone</v>
      </c>
      <c r="B6567" t="s">
        <v>13160</v>
      </c>
      <c r="C6567" t="s">
        <v>10</v>
      </c>
      <c r="D6567" t="s">
        <v>13201</v>
      </c>
      <c r="E6567" t="s">
        <v>13202</v>
      </c>
      <c r="G6567" s="1">
        <v>2.65</v>
      </c>
    </row>
    <row r="6568" spans="1:7" ht="14.25" hidden="1" customHeight="1" x14ac:dyDescent="0.45">
      <c r="A6568" t="str">
        <f>_xlfn.XLOOKUP(B6568,Ingot!$H$12:$H$119,Ingot!$G$12:$G$119,"")</f>
        <v>Stone</v>
      </c>
      <c r="B6568" t="s">
        <v>13160</v>
      </c>
      <c r="C6568" t="s">
        <v>10</v>
      </c>
      <c r="D6568" t="s">
        <v>13203</v>
      </c>
      <c r="E6568" t="s">
        <v>13204</v>
      </c>
      <c r="G6568" s="1">
        <v>9</v>
      </c>
    </row>
    <row r="6569" spans="1:7" ht="14.25" hidden="1" customHeight="1" x14ac:dyDescent="0.45">
      <c r="A6569" t="str">
        <f>_xlfn.XLOOKUP(B6569,Ingot!$H$12:$H$119,Ingot!$G$12:$G$119,"")</f>
        <v>Stone</v>
      </c>
      <c r="B6569" t="s">
        <v>13160</v>
      </c>
      <c r="C6569" t="s">
        <v>10</v>
      </c>
      <c r="D6569" t="s">
        <v>13205</v>
      </c>
      <c r="E6569" t="s">
        <v>13206</v>
      </c>
      <c r="G6569" s="1">
        <v>10.23</v>
      </c>
    </row>
    <row r="6570" spans="1:7" ht="14.25" hidden="1" customHeight="1" x14ac:dyDescent="0.45">
      <c r="A6570" t="str">
        <f>_xlfn.XLOOKUP(B6570,Ingot!$H$12:$H$119,Ingot!$G$12:$G$119,"")</f>
        <v>Stone</v>
      </c>
      <c r="B6570" t="s">
        <v>13160</v>
      </c>
      <c r="C6570" t="s">
        <v>10</v>
      </c>
      <c r="D6570" t="s">
        <v>13207</v>
      </c>
      <c r="E6570" t="s">
        <v>13208</v>
      </c>
      <c r="G6570" s="1">
        <v>7.7</v>
      </c>
    </row>
    <row r="6571" spans="1:7" ht="14.25" hidden="1" customHeight="1" x14ac:dyDescent="0.45">
      <c r="A6571" t="str">
        <f>_xlfn.XLOOKUP(B6571,Ingot!$H$12:$H$119,Ingot!$G$12:$G$119,"")</f>
        <v>Stone</v>
      </c>
      <c r="B6571" t="s">
        <v>13160</v>
      </c>
      <c r="C6571" t="s">
        <v>10</v>
      </c>
      <c r="D6571" t="s">
        <v>13209</v>
      </c>
      <c r="E6571" t="s">
        <v>13210</v>
      </c>
      <c r="G6571" s="1">
        <v>10.02</v>
      </c>
    </row>
    <row r="6572" spans="1:7" ht="14.25" hidden="1" customHeight="1" x14ac:dyDescent="0.45">
      <c r="A6572" t="str">
        <f>_xlfn.XLOOKUP(B6572,Ingot!$H$12:$H$119,Ingot!$G$12:$G$119,"")</f>
        <v>Stone</v>
      </c>
      <c r="B6572" t="s">
        <v>13160</v>
      </c>
      <c r="C6572" t="s">
        <v>10</v>
      </c>
      <c r="D6572" t="s">
        <v>13211</v>
      </c>
      <c r="E6572" t="s">
        <v>13212</v>
      </c>
      <c r="G6572" s="1">
        <v>11.81</v>
      </c>
    </row>
    <row r="6573" spans="1:7" ht="14.25" hidden="1" customHeight="1" x14ac:dyDescent="0.45">
      <c r="A6573" t="str">
        <f>_xlfn.XLOOKUP(B6573,Ingot!$H$12:$H$119,Ingot!$G$12:$G$119,"")</f>
        <v>Stone</v>
      </c>
      <c r="B6573" t="s">
        <v>13160</v>
      </c>
      <c r="C6573" t="s">
        <v>10</v>
      </c>
      <c r="D6573" t="s">
        <v>13213</v>
      </c>
      <c r="E6573" t="s">
        <v>13214</v>
      </c>
      <c r="G6573" s="1">
        <v>8.44</v>
      </c>
    </row>
    <row r="6574" spans="1:7" ht="14.25" hidden="1" customHeight="1" x14ac:dyDescent="0.45">
      <c r="A6574" t="str">
        <f>_xlfn.XLOOKUP(B6574,Ingot!$H$12:$H$119,Ingot!$G$12:$G$119,"")</f>
        <v>Stone</v>
      </c>
      <c r="B6574" t="s">
        <v>13160</v>
      </c>
      <c r="C6574" t="s">
        <v>10</v>
      </c>
      <c r="D6574" t="s">
        <v>13215</v>
      </c>
      <c r="E6574" t="s">
        <v>13216</v>
      </c>
      <c r="G6574" s="1">
        <v>10.42</v>
      </c>
    </row>
    <row r="6575" spans="1:7" ht="14.25" hidden="1" customHeight="1" x14ac:dyDescent="0.45">
      <c r="A6575" t="str">
        <f>_xlfn.XLOOKUP(B6575,Ingot!$H$12:$H$119,Ingot!$G$12:$G$119,"")</f>
        <v>Stone</v>
      </c>
      <c r="B6575" t="s">
        <v>13160</v>
      </c>
      <c r="C6575" t="s">
        <v>10</v>
      </c>
      <c r="D6575" t="s">
        <v>13217</v>
      </c>
      <c r="E6575" t="s">
        <v>13218</v>
      </c>
    </row>
    <row r="6576" spans="1:7" ht="14.25" hidden="1" customHeight="1" x14ac:dyDescent="0.45">
      <c r="A6576" t="str">
        <f>_xlfn.XLOOKUP(B6576,Ingot!$H$12:$H$119,Ingot!$G$12:$G$119,"")</f>
        <v>Stone</v>
      </c>
      <c r="B6576" t="s">
        <v>13160</v>
      </c>
      <c r="C6576" t="s">
        <v>10</v>
      </c>
      <c r="D6576" t="s">
        <v>13219</v>
      </c>
      <c r="E6576" t="s">
        <v>13220</v>
      </c>
      <c r="G6576" s="1">
        <v>7.96</v>
      </c>
    </row>
    <row r="6577" spans="1:7" ht="14.25" hidden="1" customHeight="1" x14ac:dyDescent="0.45">
      <c r="A6577" t="str">
        <f>_xlfn.XLOOKUP(B6577,Ingot!$H$12:$H$119,Ingot!$G$12:$G$119,"")</f>
        <v>Stone</v>
      </c>
      <c r="B6577" t="s">
        <v>13160</v>
      </c>
      <c r="C6577" t="s">
        <v>10</v>
      </c>
      <c r="D6577" t="s">
        <v>13221</v>
      </c>
      <c r="E6577" t="s">
        <v>13222</v>
      </c>
      <c r="G6577" s="1">
        <v>9.64</v>
      </c>
    </row>
    <row r="6578" spans="1:7" ht="14.25" hidden="1" customHeight="1" x14ac:dyDescent="0.45">
      <c r="A6578" t="str">
        <f>_xlfn.XLOOKUP(B6578,Ingot!$H$12:$H$119,Ingot!$G$12:$G$119,"")</f>
        <v>Stone</v>
      </c>
      <c r="B6578" t="s">
        <v>13160</v>
      </c>
      <c r="C6578" t="s">
        <v>10</v>
      </c>
      <c r="D6578" t="s">
        <v>13223</v>
      </c>
      <c r="E6578" t="s">
        <v>13224</v>
      </c>
      <c r="G6578" s="1">
        <v>7.94</v>
      </c>
    </row>
    <row r="6579" spans="1:7" ht="14.25" hidden="1" customHeight="1" x14ac:dyDescent="0.45">
      <c r="A6579" t="str">
        <f>_xlfn.XLOOKUP(B6579,Ingot!$H$12:$H$119,Ingot!$G$12:$G$119,"")</f>
        <v>Stone</v>
      </c>
      <c r="B6579" t="s">
        <v>13160</v>
      </c>
      <c r="C6579" t="s">
        <v>10</v>
      </c>
      <c r="D6579" t="s">
        <v>13225</v>
      </c>
      <c r="E6579" t="s">
        <v>13226</v>
      </c>
      <c r="G6579" s="1">
        <v>8.66</v>
      </c>
    </row>
    <row r="6580" spans="1:7" ht="14.25" hidden="1" customHeight="1" x14ac:dyDescent="0.45">
      <c r="A6580" t="str">
        <f>_xlfn.XLOOKUP(B6580,Ingot!$H$12:$H$119,Ingot!$G$12:$G$119,"")</f>
        <v>Stone</v>
      </c>
      <c r="B6580" t="s">
        <v>13160</v>
      </c>
      <c r="C6580" t="s">
        <v>10</v>
      </c>
      <c r="D6580" t="s">
        <v>13227</v>
      </c>
      <c r="E6580" t="s">
        <v>13228</v>
      </c>
    </row>
    <row r="6581" spans="1:7" ht="14.25" hidden="1" customHeight="1" x14ac:dyDescent="0.45">
      <c r="A6581" t="str">
        <f>_xlfn.XLOOKUP(B6581,Ingot!$H$12:$H$119,Ingot!$G$12:$G$119,"")</f>
        <v>Stone</v>
      </c>
      <c r="B6581" t="s">
        <v>13160</v>
      </c>
      <c r="C6581" t="s">
        <v>10</v>
      </c>
      <c r="D6581" t="s">
        <v>13229</v>
      </c>
      <c r="E6581" t="s">
        <v>13230</v>
      </c>
      <c r="G6581" s="1">
        <v>2.65</v>
      </c>
    </row>
    <row r="6582" spans="1:7" ht="14.25" hidden="1" customHeight="1" x14ac:dyDescent="0.45">
      <c r="A6582" t="str">
        <f>_xlfn.XLOOKUP(B6582,Ingot!$H$12:$H$119,Ingot!$G$12:$G$119,"")</f>
        <v>Stone</v>
      </c>
      <c r="B6582" t="s">
        <v>13160</v>
      </c>
      <c r="C6582" t="s">
        <v>10</v>
      </c>
      <c r="D6582" t="s">
        <v>13231</v>
      </c>
      <c r="E6582" t="s">
        <v>13232</v>
      </c>
    </row>
    <row r="6583" spans="1:7" ht="14.25" hidden="1" customHeight="1" x14ac:dyDescent="0.45">
      <c r="A6583" t="str">
        <f>_xlfn.XLOOKUP(B6583,Ingot!$H$12:$H$119,Ingot!$G$12:$G$119,"")</f>
        <v>Stone</v>
      </c>
      <c r="B6583" t="s">
        <v>13160</v>
      </c>
      <c r="C6583" t="s">
        <v>10</v>
      </c>
      <c r="D6583" t="s">
        <v>13233</v>
      </c>
      <c r="E6583" t="s">
        <v>13234</v>
      </c>
      <c r="G6583" s="1">
        <v>12.64</v>
      </c>
    </row>
    <row r="6584" spans="1:7" ht="14.25" hidden="1" customHeight="1" x14ac:dyDescent="0.45">
      <c r="A6584" t="str">
        <f>_xlfn.XLOOKUP(B6584,Ingot!$H$12:$H$119,Ingot!$G$12:$G$119,"")</f>
        <v>Stone</v>
      </c>
      <c r="B6584" t="s">
        <v>13160</v>
      </c>
      <c r="C6584" t="s">
        <v>10</v>
      </c>
      <c r="D6584" t="s">
        <v>13235</v>
      </c>
      <c r="E6584" t="s">
        <v>13236</v>
      </c>
      <c r="G6584" s="1">
        <v>22.67</v>
      </c>
    </row>
    <row r="6585" spans="1:7" ht="14.25" hidden="1" customHeight="1" x14ac:dyDescent="0.45">
      <c r="A6585" t="str">
        <f>_xlfn.XLOOKUP(B6585,Ingot!$H$12:$H$119,Ingot!$G$12:$G$119,"")</f>
        <v>Stone</v>
      </c>
      <c r="B6585" t="s">
        <v>13160</v>
      </c>
      <c r="C6585" t="s">
        <v>10</v>
      </c>
      <c r="D6585" t="s">
        <v>13237</v>
      </c>
      <c r="E6585" t="s">
        <v>13238</v>
      </c>
      <c r="G6585" s="1">
        <v>8.3800000000000008</v>
      </c>
    </row>
    <row r="6586" spans="1:7" ht="14.25" hidden="1" customHeight="1" x14ac:dyDescent="0.45">
      <c r="A6586" t="str">
        <f>_xlfn.XLOOKUP(B6586,Ingot!$H$12:$H$119,Ingot!$G$12:$G$119,"")</f>
        <v>Stone</v>
      </c>
      <c r="B6586" t="s">
        <v>13160</v>
      </c>
      <c r="C6586" t="s">
        <v>10</v>
      </c>
      <c r="D6586" t="s">
        <v>13239</v>
      </c>
      <c r="E6586" t="s">
        <v>13240</v>
      </c>
      <c r="G6586" s="1">
        <v>2.2000000000000002</v>
      </c>
    </row>
    <row r="6587" spans="1:7" ht="14.25" hidden="1" customHeight="1" x14ac:dyDescent="0.45">
      <c r="A6587" t="str">
        <f>_xlfn.XLOOKUP(B6587,Ingot!$H$12:$H$119,Ingot!$G$12:$G$119,"")</f>
        <v>Stone</v>
      </c>
      <c r="B6587" t="s">
        <v>13160</v>
      </c>
      <c r="C6587" t="s">
        <v>10</v>
      </c>
      <c r="D6587" t="s">
        <v>13241</v>
      </c>
      <c r="E6587" t="s">
        <v>13242</v>
      </c>
      <c r="G6587" s="1">
        <v>3.09</v>
      </c>
    </row>
    <row r="6588" spans="1:7" ht="14.25" hidden="1" customHeight="1" x14ac:dyDescent="0.45">
      <c r="A6588" t="str">
        <f>_xlfn.XLOOKUP(B6588,Ingot!$H$12:$H$119,Ingot!$G$12:$G$119,"")</f>
        <v>Stone</v>
      </c>
      <c r="B6588" t="s">
        <v>13160</v>
      </c>
      <c r="C6588" t="s">
        <v>10</v>
      </c>
      <c r="D6588" t="s">
        <v>13243</v>
      </c>
      <c r="E6588" t="s">
        <v>13244</v>
      </c>
      <c r="G6588" s="1">
        <v>2.2999999999999998</v>
      </c>
    </row>
    <row r="6589" spans="1:7" ht="14.25" hidden="1" customHeight="1" x14ac:dyDescent="0.45">
      <c r="A6589" t="str">
        <f>_xlfn.XLOOKUP(B6589,Ingot!$H$12:$H$119,Ingot!$G$12:$G$119,"")</f>
        <v>Stone</v>
      </c>
      <c r="B6589" t="s">
        <v>13160</v>
      </c>
      <c r="C6589" t="s">
        <v>10</v>
      </c>
      <c r="D6589" t="s">
        <v>13245</v>
      </c>
      <c r="E6589" t="s">
        <v>13246</v>
      </c>
      <c r="G6589" s="1">
        <v>4.88</v>
      </c>
    </row>
    <row r="6590" spans="1:7" ht="14.25" hidden="1" customHeight="1" x14ac:dyDescent="0.45">
      <c r="A6590" t="str">
        <f>_xlfn.XLOOKUP(B6590,Ingot!$H$12:$H$119,Ingot!$G$12:$G$119,"")</f>
        <v>Stone</v>
      </c>
      <c r="B6590" t="s">
        <v>13160</v>
      </c>
      <c r="C6590" t="s">
        <v>10</v>
      </c>
      <c r="D6590" t="s">
        <v>13247</v>
      </c>
      <c r="E6590" t="s">
        <v>13248</v>
      </c>
      <c r="G6590" s="1">
        <v>8.43</v>
      </c>
    </row>
    <row r="6591" spans="1:7" ht="14.25" hidden="1" customHeight="1" x14ac:dyDescent="0.45">
      <c r="A6591" t="str">
        <f>_xlfn.XLOOKUP(B6591,Ingot!$H$12:$H$119,Ingot!$G$12:$G$119,"")</f>
        <v>Stone</v>
      </c>
      <c r="B6591" t="s">
        <v>13160</v>
      </c>
      <c r="C6591" t="s">
        <v>10</v>
      </c>
      <c r="D6591" t="s">
        <v>13249</v>
      </c>
      <c r="E6591" t="s">
        <v>13250</v>
      </c>
      <c r="G6591" s="1">
        <v>13.07</v>
      </c>
    </row>
    <row r="6592" spans="1:7" ht="14.25" hidden="1" customHeight="1" x14ac:dyDescent="0.45">
      <c r="A6592" t="str">
        <f>_xlfn.XLOOKUP(B6592,Ingot!$H$12:$H$119,Ingot!$G$12:$G$119,"")</f>
        <v>Stone</v>
      </c>
      <c r="B6592" t="s">
        <v>13160</v>
      </c>
      <c r="C6592" t="s">
        <v>10</v>
      </c>
      <c r="D6592" t="s">
        <v>13251</v>
      </c>
      <c r="E6592" t="s">
        <v>13252</v>
      </c>
    </row>
    <row r="6593" spans="1:7" ht="14.25" hidden="1" customHeight="1" x14ac:dyDescent="0.45">
      <c r="A6593" t="str">
        <f>_xlfn.XLOOKUP(B6593,Ingot!$H$12:$H$119,Ingot!$G$12:$G$119,"")</f>
        <v>Stone</v>
      </c>
      <c r="B6593" t="s">
        <v>13160</v>
      </c>
      <c r="C6593" t="s">
        <v>10</v>
      </c>
      <c r="D6593" t="s">
        <v>13253</v>
      </c>
      <c r="E6593" t="s">
        <v>13254</v>
      </c>
    </row>
    <row r="6594" spans="1:7" ht="14.25" hidden="1" customHeight="1" x14ac:dyDescent="0.45">
      <c r="A6594" t="str">
        <f>_xlfn.XLOOKUP(B6594,Ingot!$H$12:$H$119,Ingot!$G$12:$G$119,"")</f>
        <v>Stone</v>
      </c>
      <c r="B6594" t="s">
        <v>13160</v>
      </c>
      <c r="C6594" t="s">
        <v>10</v>
      </c>
      <c r="D6594" t="s">
        <v>13255</v>
      </c>
      <c r="E6594" t="s">
        <v>13256</v>
      </c>
      <c r="G6594" s="1">
        <v>6.8</v>
      </c>
    </row>
    <row r="6595" spans="1:7" ht="14.25" hidden="1" customHeight="1" x14ac:dyDescent="0.45">
      <c r="A6595" t="str">
        <f>_xlfn.XLOOKUP(B6595,Ingot!$H$12:$H$119,Ingot!$G$12:$G$119,"")</f>
        <v>Stone</v>
      </c>
      <c r="B6595" t="s">
        <v>13160</v>
      </c>
      <c r="C6595" t="s">
        <v>10</v>
      </c>
      <c r="D6595" t="s">
        <v>13257</v>
      </c>
      <c r="E6595" t="s">
        <v>13258</v>
      </c>
      <c r="G6595" s="1">
        <v>6.88</v>
      </c>
    </row>
    <row r="6596" spans="1:7" ht="14.25" hidden="1" customHeight="1" x14ac:dyDescent="0.45">
      <c r="A6596" t="str">
        <f>_xlfn.XLOOKUP(B6596,Ingot!$H$12:$H$119,Ingot!$G$12:$G$119,"")</f>
        <v>Stone</v>
      </c>
      <c r="B6596" t="s">
        <v>13160</v>
      </c>
      <c r="C6596" t="s">
        <v>10</v>
      </c>
      <c r="D6596" t="s">
        <v>13259</v>
      </c>
      <c r="E6596" t="s">
        <v>13260</v>
      </c>
      <c r="G6596" s="1">
        <v>5.5</v>
      </c>
    </row>
    <row r="6597" spans="1:7" ht="14.25" hidden="1" customHeight="1" x14ac:dyDescent="0.45">
      <c r="A6597" t="str">
        <f>_xlfn.XLOOKUP(B6597,Ingot!$H$12:$H$119,Ingot!$G$12:$G$119,"")</f>
        <v>Stone</v>
      </c>
      <c r="B6597" t="s">
        <v>13160</v>
      </c>
      <c r="C6597" t="s">
        <v>10</v>
      </c>
      <c r="D6597" t="s">
        <v>13261</v>
      </c>
      <c r="E6597" t="s">
        <v>13262</v>
      </c>
      <c r="G6597" s="1">
        <v>2.4300000000000002</v>
      </c>
    </row>
    <row r="6598" spans="1:7" ht="14.25" hidden="1" customHeight="1" x14ac:dyDescent="0.45">
      <c r="A6598" t="str">
        <f>_xlfn.XLOOKUP(B6598,Ingot!$H$12:$H$119,Ingot!$G$12:$G$119,"")</f>
        <v>Stone</v>
      </c>
      <c r="B6598" t="s">
        <v>13160</v>
      </c>
      <c r="C6598" t="s">
        <v>10</v>
      </c>
      <c r="D6598" t="s">
        <v>13263</v>
      </c>
      <c r="E6598" t="s">
        <v>13264</v>
      </c>
      <c r="G6598" s="1">
        <v>6.96</v>
      </c>
    </row>
    <row r="6599" spans="1:7" ht="14.25" hidden="1" customHeight="1" x14ac:dyDescent="0.45">
      <c r="A6599" t="str">
        <f>_xlfn.XLOOKUP(B6599,Ingot!$H$12:$H$119,Ingot!$G$12:$G$119,"")</f>
        <v>Stone</v>
      </c>
      <c r="B6599" t="s">
        <v>13160</v>
      </c>
      <c r="C6599" t="s">
        <v>10</v>
      </c>
      <c r="D6599" t="s">
        <v>13265</v>
      </c>
      <c r="E6599" t="s">
        <v>13266</v>
      </c>
      <c r="G6599" s="1">
        <v>6.32</v>
      </c>
    </row>
    <row r="6600" spans="1:7" ht="14.25" hidden="1" customHeight="1" x14ac:dyDescent="0.45">
      <c r="A6600" t="str">
        <f>_xlfn.XLOOKUP(B6600,Ingot!$H$12:$H$119,Ingot!$G$12:$G$119,"")</f>
        <v>Stone</v>
      </c>
      <c r="B6600" t="s">
        <v>13160</v>
      </c>
      <c r="C6600" t="s">
        <v>10</v>
      </c>
      <c r="D6600" t="s">
        <v>13267</v>
      </c>
      <c r="E6600" t="s">
        <v>13268</v>
      </c>
      <c r="G6600" s="1">
        <v>6.88</v>
      </c>
    </row>
    <row r="6601" spans="1:7" ht="14.25" hidden="1" customHeight="1" x14ac:dyDescent="0.45">
      <c r="A6601" t="str">
        <f>_xlfn.XLOOKUP(B6601,Ingot!$H$12:$H$119,Ingot!$G$12:$G$119,"")</f>
        <v>Stone</v>
      </c>
      <c r="B6601" t="s">
        <v>13160</v>
      </c>
      <c r="C6601" t="s">
        <v>10</v>
      </c>
      <c r="D6601" t="s">
        <v>13269</v>
      </c>
      <c r="E6601" t="s">
        <v>13270</v>
      </c>
      <c r="G6601" s="1">
        <v>2.44</v>
      </c>
    </row>
    <row r="6602" spans="1:7" ht="14.25" hidden="1" customHeight="1" x14ac:dyDescent="0.45">
      <c r="A6602" t="str">
        <f>_xlfn.XLOOKUP(B6602,Ingot!$H$12:$H$119,Ingot!$G$12:$G$119,"")</f>
        <v>Stone</v>
      </c>
      <c r="B6602" t="s">
        <v>13160</v>
      </c>
      <c r="C6602" t="s">
        <v>10</v>
      </c>
      <c r="D6602" t="s">
        <v>13271</v>
      </c>
      <c r="E6602" t="s">
        <v>13272</v>
      </c>
    </row>
    <row r="6603" spans="1:7" ht="14.25" hidden="1" customHeight="1" x14ac:dyDescent="0.45">
      <c r="A6603" t="str">
        <f>_xlfn.XLOOKUP(B6603,Ingot!$H$12:$H$119,Ingot!$G$12:$G$119,"")</f>
        <v>Stone</v>
      </c>
      <c r="B6603" t="s">
        <v>13160</v>
      </c>
      <c r="C6603" t="s">
        <v>10</v>
      </c>
      <c r="D6603" t="s">
        <v>13273</v>
      </c>
      <c r="E6603" t="s">
        <v>13274</v>
      </c>
    </row>
    <row r="6604" spans="1:7" ht="14.25" hidden="1" customHeight="1" x14ac:dyDescent="0.45">
      <c r="A6604" t="str">
        <f>_xlfn.XLOOKUP(B6604,Ingot!$H$12:$H$119,Ingot!$G$12:$G$119,"")</f>
        <v>Stone</v>
      </c>
      <c r="B6604" t="s">
        <v>13160</v>
      </c>
      <c r="C6604" t="s">
        <v>10</v>
      </c>
      <c r="D6604" t="s">
        <v>13275</v>
      </c>
      <c r="E6604" t="s">
        <v>13276</v>
      </c>
      <c r="G6604" s="1">
        <v>3.11</v>
      </c>
    </row>
    <row r="6605" spans="1:7" ht="14.25" hidden="1" customHeight="1" x14ac:dyDescent="0.45">
      <c r="A6605" t="str">
        <f>_xlfn.XLOOKUP(B6605,Ingot!$H$12:$H$119,Ingot!$G$12:$G$119,"")</f>
        <v>Stone</v>
      </c>
      <c r="B6605" t="s">
        <v>13160</v>
      </c>
      <c r="C6605" t="s">
        <v>10</v>
      </c>
      <c r="D6605" t="s">
        <v>13277</v>
      </c>
      <c r="E6605" t="s">
        <v>13278</v>
      </c>
      <c r="G6605" s="1">
        <v>2.44</v>
      </c>
    </row>
    <row r="6606" spans="1:7" ht="14.25" hidden="1" customHeight="1" x14ac:dyDescent="0.45">
      <c r="A6606" t="str">
        <f>_xlfn.XLOOKUP(B6606,Ingot!$H$12:$H$119,Ingot!$G$12:$G$119,"")</f>
        <v>Stone</v>
      </c>
      <c r="B6606" t="s">
        <v>13160</v>
      </c>
      <c r="C6606" t="s">
        <v>10</v>
      </c>
      <c r="D6606" t="s">
        <v>13279</v>
      </c>
      <c r="E6606" t="s">
        <v>13280</v>
      </c>
      <c r="G6606" s="1">
        <v>8.61</v>
      </c>
    </row>
    <row r="6607" spans="1:7" ht="14.25" hidden="1" customHeight="1" x14ac:dyDescent="0.45">
      <c r="A6607" t="str">
        <f>_xlfn.XLOOKUP(B6607,Ingot!$H$12:$H$119,Ingot!$G$12:$G$119,"")</f>
        <v>Stone</v>
      </c>
      <c r="B6607" t="s">
        <v>13160</v>
      </c>
      <c r="C6607" t="s">
        <v>10</v>
      </c>
      <c r="D6607" t="s">
        <v>13281</v>
      </c>
      <c r="E6607" t="s">
        <v>13282</v>
      </c>
    </row>
    <row r="6608" spans="1:7" ht="14.25" hidden="1" customHeight="1" x14ac:dyDescent="0.45">
      <c r="A6608" t="str">
        <f>_xlfn.XLOOKUP(B6608,Ingot!$H$12:$H$119,Ingot!$G$12:$G$119,"")</f>
        <v>Stone</v>
      </c>
      <c r="B6608" t="s">
        <v>13160</v>
      </c>
      <c r="C6608" t="s">
        <v>10</v>
      </c>
      <c r="D6608" t="s">
        <v>13283</v>
      </c>
      <c r="E6608" t="s">
        <v>13284</v>
      </c>
      <c r="G6608" s="1">
        <v>3.21</v>
      </c>
    </row>
    <row r="6609" spans="1:7" ht="14.25" hidden="1" customHeight="1" x14ac:dyDescent="0.45">
      <c r="A6609" t="str">
        <f>_xlfn.XLOOKUP(B6609,Ingot!$H$12:$H$119,Ingot!$G$12:$G$119,"")</f>
        <v>Stone</v>
      </c>
      <c r="B6609" t="s">
        <v>13160</v>
      </c>
      <c r="C6609" t="s">
        <v>10</v>
      </c>
      <c r="D6609" t="s">
        <v>13285</v>
      </c>
      <c r="E6609" t="s">
        <v>13286</v>
      </c>
      <c r="G6609" s="1">
        <v>2.77</v>
      </c>
    </row>
    <row r="6610" spans="1:7" ht="14.25" hidden="1" customHeight="1" x14ac:dyDescent="0.45">
      <c r="A6610" t="str">
        <f>_xlfn.XLOOKUP(B6610,Ingot!$H$12:$H$119,Ingot!$G$12:$G$119,"")</f>
        <v>Stone</v>
      </c>
      <c r="B6610" t="s">
        <v>13160</v>
      </c>
      <c r="C6610" t="s">
        <v>10</v>
      </c>
      <c r="D6610" t="s">
        <v>13287</v>
      </c>
      <c r="E6610" t="s">
        <v>13288</v>
      </c>
      <c r="G6610" s="1">
        <v>4.8899999999999997</v>
      </c>
    </row>
    <row r="6611" spans="1:7" ht="14.25" hidden="1" customHeight="1" x14ac:dyDescent="0.45">
      <c r="A6611" t="str">
        <f>_xlfn.XLOOKUP(B6611,Ingot!$H$12:$H$119,Ingot!$G$12:$G$119,"")</f>
        <v>Stone</v>
      </c>
      <c r="B6611" t="s">
        <v>13160</v>
      </c>
      <c r="C6611" t="s">
        <v>10</v>
      </c>
      <c r="D6611" t="s">
        <v>13289</v>
      </c>
      <c r="E6611" t="s">
        <v>13290</v>
      </c>
      <c r="G6611" s="1">
        <v>1.76</v>
      </c>
    </row>
    <row r="6612" spans="1:7" ht="14.25" hidden="1" customHeight="1" x14ac:dyDescent="0.45">
      <c r="A6612" t="str">
        <f>_xlfn.XLOOKUP(B6612,Ingot!$H$12:$H$119,Ingot!$G$12:$G$119,"")</f>
        <v>Stone</v>
      </c>
      <c r="B6612" t="s">
        <v>13160</v>
      </c>
      <c r="C6612" t="s">
        <v>10</v>
      </c>
      <c r="D6612" t="s">
        <v>13291</v>
      </c>
      <c r="E6612" t="s">
        <v>13292</v>
      </c>
    </row>
    <row r="6613" spans="1:7" ht="14.25" hidden="1" customHeight="1" x14ac:dyDescent="0.45">
      <c r="A6613" t="str">
        <f>_xlfn.XLOOKUP(B6613,Ingot!$H$12:$H$119,Ingot!$G$12:$G$119,"")</f>
        <v>Stone</v>
      </c>
      <c r="B6613" t="s">
        <v>13160</v>
      </c>
      <c r="C6613" t="s">
        <v>10</v>
      </c>
      <c r="D6613" t="s">
        <v>13293</v>
      </c>
      <c r="E6613" t="s">
        <v>13294</v>
      </c>
      <c r="G6613" s="1">
        <v>8.57</v>
      </c>
    </row>
    <row r="6614" spans="1:7" ht="14.25" hidden="1" customHeight="1" x14ac:dyDescent="0.45">
      <c r="A6614" t="str">
        <f>_xlfn.XLOOKUP(B6614,Ingot!$H$12:$H$119,Ingot!$G$12:$G$119,"")</f>
        <v>Stone</v>
      </c>
      <c r="B6614" t="s">
        <v>13160</v>
      </c>
      <c r="C6614" t="s">
        <v>10</v>
      </c>
      <c r="D6614" t="s">
        <v>13295</v>
      </c>
      <c r="E6614" t="s">
        <v>13296</v>
      </c>
    </row>
    <row r="6615" spans="1:7" ht="14.25" hidden="1" customHeight="1" x14ac:dyDescent="0.45">
      <c r="A6615" t="str">
        <f>_xlfn.XLOOKUP(B6615,Ingot!$H$12:$H$119,Ingot!$G$12:$G$119,"")</f>
        <v>Stone</v>
      </c>
      <c r="B6615" t="s">
        <v>13160</v>
      </c>
      <c r="C6615" t="s">
        <v>10</v>
      </c>
      <c r="D6615" t="s">
        <v>13297</v>
      </c>
      <c r="E6615" t="s">
        <v>13298</v>
      </c>
      <c r="G6615" s="1">
        <v>3.56</v>
      </c>
    </row>
    <row r="6616" spans="1:7" ht="14.25" hidden="1" customHeight="1" x14ac:dyDescent="0.45">
      <c r="A6616" t="str">
        <f>_xlfn.XLOOKUP(B6616,Ingot!$H$12:$H$119,Ingot!$G$12:$G$119,"")</f>
        <v>Stone</v>
      </c>
      <c r="B6616" t="s">
        <v>13160</v>
      </c>
      <c r="C6616" t="s">
        <v>10</v>
      </c>
      <c r="D6616" t="s">
        <v>13299</v>
      </c>
      <c r="E6616" t="s">
        <v>13300</v>
      </c>
      <c r="G6616" s="1">
        <v>8.91</v>
      </c>
    </row>
    <row r="6617" spans="1:7" ht="14.25" hidden="1" customHeight="1" x14ac:dyDescent="0.45">
      <c r="A6617" t="str">
        <f>_xlfn.XLOOKUP(B6617,Ingot!$H$12:$H$119,Ingot!$G$12:$G$119,"")</f>
        <v>Stone</v>
      </c>
      <c r="B6617" t="s">
        <v>13160</v>
      </c>
      <c r="C6617" t="s">
        <v>10</v>
      </c>
      <c r="D6617" t="s">
        <v>13301</v>
      </c>
      <c r="E6617" t="s">
        <v>13302</v>
      </c>
      <c r="G6617" s="1">
        <v>11.02</v>
      </c>
    </row>
    <row r="6618" spans="1:7" ht="14.25" hidden="1" customHeight="1" x14ac:dyDescent="0.45">
      <c r="A6618" t="str">
        <f>_xlfn.XLOOKUP(B6618,Ingot!$H$12:$H$119,Ingot!$G$12:$G$119,"")</f>
        <v>Stone</v>
      </c>
      <c r="B6618" t="s">
        <v>13160</v>
      </c>
      <c r="C6618" t="s">
        <v>10</v>
      </c>
      <c r="D6618" t="s">
        <v>13303</v>
      </c>
      <c r="E6618" t="s">
        <v>13304</v>
      </c>
      <c r="G6618" s="1">
        <v>5.12</v>
      </c>
    </row>
    <row r="6619" spans="1:7" ht="14.25" hidden="1" customHeight="1" x14ac:dyDescent="0.45">
      <c r="A6619" t="str">
        <f>_xlfn.XLOOKUP(B6619,Ingot!$H$12:$H$119,Ingot!$G$12:$G$119,"")</f>
        <v>Stone</v>
      </c>
      <c r="B6619" t="s">
        <v>13160</v>
      </c>
      <c r="C6619" t="s">
        <v>10</v>
      </c>
      <c r="D6619" t="s">
        <v>13305</v>
      </c>
      <c r="E6619" t="s">
        <v>13306</v>
      </c>
      <c r="G6619" s="1">
        <v>4.41</v>
      </c>
    </row>
    <row r="6620" spans="1:7" ht="14.25" hidden="1" customHeight="1" x14ac:dyDescent="0.45">
      <c r="A6620" t="str">
        <f>_xlfn.XLOOKUP(B6620,Ingot!$H$12:$H$119,Ingot!$G$12:$G$119,"")</f>
        <v>Stone</v>
      </c>
      <c r="B6620" t="s">
        <v>13160</v>
      </c>
      <c r="C6620" t="s">
        <v>157</v>
      </c>
      <c r="D6620" t="s">
        <v>13307</v>
      </c>
      <c r="E6620" t="s">
        <v>13308</v>
      </c>
      <c r="G6620" s="1">
        <v>47</v>
      </c>
    </row>
    <row r="6621" spans="1:7" ht="14.25" hidden="1" customHeight="1" x14ac:dyDescent="0.45">
      <c r="A6621" t="str">
        <f>_xlfn.XLOOKUP(B6621,Ingot!$H$12:$H$119,Ingot!$G$12:$G$119,"")</f>
        <v>Stone</v>
      </c>
      <c r="B6621" t="s">
        <v>13160</v>
      </c>
      <c r="C6621" t="s">
        <v>157</v>
      </c>
      <c r="D6621" t="s">
        <v>13309</v>
      </c>
      <c r="E6621" t="s">
        <v>13310</v>
      </c>
      <c r="G6621" s="1">
        <v>9.4</v>
      </c>
    </row>
    <row r="6622" spans="1:7" ht="14.25" hidden="1" customHeight="1" x14ac:dyDescent="0.45">
      <c r="A6622" t="str">
        <f>_xlfn.XLOOKUP(B6622,Ingot!$H$12:$H$119,Ingot!$G$12:$G$119,"")</f>
        <v>Stone</v>
      </c>
      <c r="B6622" t="s">
        <v>13160</v>
      </c>
      <c r="C6622" t="s">
        <v>157</v>
      </c>
      <c r="D6622" t="s">
        <v>13311</v>
      </c>
      <c r="E6622" t="s">
        <v>13312</v>
      </c>
      <c r="G6622" s="1">
        <v>9.4</v>
      </c>
    </row>
    <row r="6623" spans="1:7" ht="14.25" hidden="1" customHeight="1" x14ac:dyDescent="0.45">
      <c r="A6623" t="str">
        <f>_xlfn.XLOOKUP(B6623,Ingot!$H$12:$H$119,Ingot!$G$12:$G$119,"")</f>
        <v>Stone</v>
      </c>
      <c r="B6623" t="s">
        <v>13160</v>
      </c>
      <c r="C6623" t="s">
        <v>157</v>
      </c>
      <c r="D6623" t="s">
        <v>13313</v>
      </c>
      <c r="E6623" t="s">
        <v>13314</v>
      </c>
      <c r="G6623" s="1">
        <v>6.11</v>
      </c>
    </row>
    <row r="6624" spans="1:7" ht="14.25" hidden="1" customHeight="1" x14ac:dyDescent="0.45">
      <c r="A6624" t="str">
        <f>_xlfn.XLOOKUP(B6624,Ingot!$H$12:$H$119,Ingot!$G$12:$G$119,"")</f>
        <v>Stone</v>
      </c>
      <c r="B6624" t="s">
        <v>13160</v>
      </c>
      <c r="C6624" t="s">
        <v>157</v>
      </c>
      <c r="D6624" t="s">
        <v>13315</v>
      </c>
      <c r="E6624" t="s">
        <v>13316</v>
      </c>
      <c r="G6624" s="1">
        <v>12.22</v>
      </c>
    </row>
    <row r="6625" spans="1:7" ht="14.25" hidden="1" customHeight="1" x14ac:dyDescent="0.45">
      <c r="A6625" t="str">
        <f>_xlfn.XLOOKUP(B6625,Ingot!$H$12:$H$119,Ingot!$G$12:$G$119,"")</f>
        <v>Stone</v>
      </c>
      <c r="B6625" t="s">
        <v>13160</v>
      </c>
      <c r="C6625" t="s">
        <v>157</v>
      </c>
      <c r="D6625" t="s">
        <v>13317</v>
      </c>
      <c r="E6625" t="s">
        <v>13318</v>
      </c>
      <c r="G6625" s="1">
        <v>43</v>
      </c>
    </row>
    <row r="6626" spans="1:7" ht="14.25" hidden="1" customHeight="1" x14ac:dyDescent="0.45">
      <c r="A6626" t="str">
        <f>_xlfn.XLOOKUP(B6626,Ingot!$H$12:$H$119,Ingot!$G$12:$G$119,"")</f>
        <v>Stone</v>
      </c>
      <c r="B6626" t="s">
        <v>13160</v>
      </c>
      <c r="C6626" t="s">
        <v>157</v>
      </c>
      <c r="D6626" t="s">
        <v>13319</v>
      </c>
      <c r="E6626" t="s">
        <v>13320</v>
      </c>
      <c r="G6626" s="1">
        <v>8.6</v>
      </c>
    </row>
    <row r="6627" spans="1:7" ht="14.25" hidden="1" customHeight="1" x14ac:dyDescent="0.45">
      <c r="A6627" t="str">
        <f>_xlfn.XLOOKUP(B6627,Ingot!$H$12:$H$119,Ingot!$G$12:$G$119,"")</f>
        <v>Stone</v>
      </c>
      <c r="B6627" t="s">
        <v>13160</v>
      </c>
      <c r="C6627" t="s">
        <v>157</v>
      </c>
      <c r="D6627" t="s">
        <v>13321</v>
      </c>
      <c r="E6627" t="s">
        <v>13322</v>
      </c>
      <c r="G6627" s="1">
        <v>8.6</v>
      </c>
    </row>
    <row r="6628" spans="1:7" ht="14.25" hidden="1" customHeight="1" x14ac:dyDescent="0.45">
      <c r="A6628" t="str">
        <f>_xlfn.XLOOKUP(B6628,Ingot!$H$12:$H$119,Ingot!$G$12:$G$119,"")</f>
        <v>Stone</v>
      </c>
      <c r="B6628" t="s">
        <v>13160</v>
      </c>
      <c r="C6628" t="s">
        <v>157</v>
      </c>
      <c r="D6628" t="s">
        <v>13323</v>
      </c>
      <c r="E6628" t="s">
        <v>13324</v>
      </c>
      <c r="G6628" s="1">
        <v>5.59</v>
      </c>
    </row>
    <row r="6629" spans="1:7" ht="14.25" hidden="1" customHeight="1" x14ac:dyDescent="0.45">
      <c r="A6629" t="str">
        <f>_xlfn.XLOOKUP(B6629,Ingot!$H$12:$H$119,Ingot!$G$12:$G$119,"")</f>
        <v>Stone</v>
      </c>
      <c r="B6629" t="s">
        <v>13160</v>
      </c>
      <c r="C6629" t="s">
        <v>157</v>
      </c>
      <c r="D6629" t="s">
        <v>13325</v>
      </c>
      <c r="E6629" t="s">
        <v>13326</v>
      </c>
      <c r="G6629" s="1">
        <v>11.18</v>
      </c>
    </row>
    <row r="6630" spans="1:7" ht="14.25" hidden="1" customHeight="1" x14ac:dyDescent="0.45">
      <c r="A6630" t="str">
        <f>_xlfn.XLOOKUP(B6630,Ingot!$H$12:$H$119,Ingot!$G$12:$G$119,"")</f>
        <v>Stone</v>
      </c>
      <c r="B6630" t="s">
        <v>13160</v>
      </c>
      <c r="C6630" t="s">
        <v>157</v>
      </c>
      <c r="D6630" t="s">
        <v>13327</v>
      </c>
      <c r="E6630" t="s">
        <v>13328</v>
      </c>
      <c r="F6630" t="s">
        <v>180</v>
      </c>
      <c r="G6630" s="1">
        <v>42</v>
      </c>
    </row>
    <row r="6631" spans="1:7" ht="14.25" hidden="1" customHeight="1" x14ac:dyDescent="0.45">
      <c r="A6631" t="str">
        <f>_xlfn.XLOOKUP(B6631,Ingot!$H$12:$H$119,Ingot!$G$12:$G$119,"")</f>
        <v>Stone</v>
      </c>
      <c r="B6631" t="s">
        <v>13160</v>
      </c>
      <c r="C6631" t="s">
        <v>157</v>
      </c>
      <c r="D6631" t="s">
        <v>13329</v>
      </c>
      <c r="E6631" t="s">
        <v>13330</v>
      </c>
      <c r="F6631" t="s">
        <v>180</v>
      </c>
      <c r="G6631" s="1">
        <v>8.4</v>
      </c>
    </row>
    <row r="6632" spans="1:7" ht="14.25" hidden="1" customHeight="1" x14ac:dyDescent="0.45">
      <c r="A6632" t="str">
        <f>_xlfn.XLOOKUP(B6632,Ingot!$H$12:$H$119,Ingot!$G$12:$G$119,"")</f>
        <v>Stone</v>
      </c>
      <c r="B6632" t="s">
        <v>13160</v>
      </c>
      <c r="C6632" t="s">
        <v>157</v>
      </c>
      <c r="D6632" t="s">
        <v>13331</v>
      </c>
      <c r="E6632" t="s">
        <v>13332</v>
      </c>
      <c r="F6632" t="s">
        <v>180</v>
      </c>
      <c r="G6632" s="1">
        <v>8.4</v>
      </c>
    </row>
    <row r="6633" spans="1:7" ht="14.25" hidden="1" customHeight="1" x14ac:dyDescent="0.45">
      <c r="A6633" t="str">
        <f>_xlfn.XLOOKUP(B6633,Ingot!$H$12:$H$119,Ingot!$G$12:$G$119,"")</f>
        <v>Stone</v>
      </c>
      <c r="B6633" t="s">
        <v>13160</v>
      </c>
      <c r="C6633" t="s">
        <v>157</v>
      </c>
      <c r="D6633" t="s">
        <v>13333</v>
      </c>
      <c r="E6633" t="s">
        <v>13334</v>
      </c>
      <c r="F6633" t="s">
        <v>180</v>
      </c>
      <c r="G6633" s="1">
        <v>5.46</v>
      </c>
    </row>
    <row r="6634" spans="1:7" ht="14.25" hidden="1" customHeight="1" x14ac:dyDescent="0.45">
      <c r="A6634" t="str">
        <f>_xlfn.XLOOKUP(B6634,Ingot!$H$12:$H$119,Ingot!$G$12:$G$119,"")</f>
        <v>Stone</v>
      </c>
      <c r="B6634" t="s">
        <v>13160</v>
      </c>
      <c r="C6634" t="s">
        <v>157</v>
      </c>
      <c r="D6634" t="s">
        <v>13335</v>
      </c>
      <c r="E6634" t="s">
        <v>13336</v>
      </c>
      <c r="F6634" t="s">
        <v>180</v>
      </c>
      <c r="G6634" s="1">
        <v>10.92</v>
      </c>
    </row>
    <row r="6635" spans="1:7" ht="14.25" hidden="1" customHeight="1" x14ac:dyDescent="0.45">
      <c r="A6635" t="str">
        <f>_xlfn.XLOOKUP(B6635,Ingot!$H$12:$H$119,Ingot!$G$12:$G$119,"")</f>
        <v>Stone</v>
      </c>
      <c r="B6635" t="s">
        <v>13160</v>
      </c>
      <c r="C6635" t="s">
        <v>157</v>
      </c>
      <c r="D6635" t="s">
        <v>13337</v>
      </c>
      <c r="E6635" t="s">
        <v>13338</v>
      </c>
      <c r="G6635" s="1">
        <v>44</v>
      </c>
    </row>
    <row r="6636" spans="1:7" ht="14.25" hidden="1" customHeight="1" x14ac:dyDescent="0.45">
      <c r="A6636" t="str">
        <f>_xlfn.XLOOKUP(B6636,Ingot!$H$12:$H$119,Ingot!$G$12:$G$119,"")</f>
        <v>Stone</v>
      </c>
      <c r="B6636" t="s">
        <v>13160</v>
      </c>
      <c r="C6636" t="s">
        <v>157</v>
      </c>
      <c r="D6636" t="s">
        <v>13339</v>
      </c>
      <c r="E6636" t="s">
        <v>13340</v>
      </c>
      <c r="G6636" s="1">
        <v>8.8000000000000007</v>
      </c>
    </row>
    <row r="6637" spans="1:7" ht="14.25" hidden="1" customHeight="1" x14ac:dyDescent="0.45">
      <c r="A6637" t="str">
        <f>_xlfn.XLOOKUP(B6637,Ingot!$H$12:$H$119,Ingot!$G$12:$G$119,"")</f>
        <v>Stone</v>
      </c>
      <c r="B6637" t="s">
        <v>13160</v>
      </c>
      <c r="C6637" t="s">
        <v>157</v>
      </c>
      <c r="D6637" t="s">
        <v>13341</v>
      </c>
      <c r="E6637" t="s">
        <v>13342</v>
      </c>
      <c r="G6637" s="1">
        <v>8.8000000000000007</v>
      </c>
    </row>
    <row r="6638" spans="1:7" ht="14.25" hidden="1" customHeight="1" x14ac:dyDescent="0.45">
      <c r="A6638" t="str">
        <f>_xlfn.XLOOKUP(B6638,Ingot!$H$12:$H$119,Ingot!$G$12:$G$119,"")</f>
        <v>Stone</v>
      </c>
      <c r="B6638" t="s">
        <v>13160</v>
      </c>
      <c r="C6638" t="s">
        <v>157</v>
      </c>
      <c r="D6638" t="s">
        <v>13343</v>
      </c>
      <c r="E6638" t="s">
        <v>13344</v>
      </c>
      <c r="G6638" s="1">
        <v>5.72</v>
      </c>
    </row>
    <row r="6639" spans="1:7" ht="14.25" hidden="1" customHeight="1" x14ac:dyDescent="0.45">
      <c r="A6639" t="str">
        <f>_xlfn.XLOOKUP(B6639,Ingot!$H$12:$H$119,Ingot!$G$12:$G$119,"")</f>
        <v>Stone</v>
      </c>
      <c r="B6639" t="s">
        <v>13160</v>
      </c>
      <c r="C6639" t="s">
        <v>157</v>
      </c>
      <c r="D6639" t="s">
        <v>13345</v>
      </c>
      <c r="E6639" t="s">
        <v>13346</v>
      </c>
      <c r="G6639" s="1">
        <v>11.44</v>
      </c>
    </row>
    <row r="6640" spans="1:7" ht="14.25" hidden="1" customHeight="1" x14ac:dyDescent="0.45">
      <c r="A6640" t="str">
        <f>_xlfn.XLOOKUP(B6640,Ingot!$H$12:$H$119,Ingot!$G$12:$G$119,"")</f>
        <v>Stone</v>
      </c>
      <c r="B6640" t="s">
        <v>13160</v>
      </c>
      <c r="C6640" t="s">
        <v>157</v>
      </c>
      <c r="D6640" t="s">
        <v>13347</v>
      </c>
      <c r="E6640" t="s">
        <v>13348</v>
      </c>
      <c r="G6640" s="1">
        <v>45.5</v>
      </c>
    </row>
    <row r="6641" spans="1:7" ht="14.25" hidden="1" customHeight="1" x14ac:dyDescent="0.45">
      <c r="A6641" t="str">
        <f>_xlfn.XLOOKUP(B6641,Ingot!$H$12:$H$119,Ingot!$G$12:$G$119,"")</f>
        <v>Stone</v>
      </c>
      <c r="B6641" t="s">
        <v>13160</v>
      </c>
      <c r="C6641" t="s">
        <v>157</v>
      </c>
      <c r="D6641" t="s">
        <v>13349</v>
      </c>
      <c r="E6641" t="s">
        <v>13350</v>
      </c>
      <c r="F6641" t="s">
        <v>180</v>
      </c>
      <c r="G6641" s="1">
        <v>9.1</v>
      </c>
    </row>
    <row r="6642" spans="1:7" ht="14.25" hidden="1" customHeight="1" x14ac:dyDescent="0.45">
      <c r="A6642" t="str">
        <f>_xlfn.XLOOKUP(B6642,Ingot!$H$12:$H$119,Ingot!$G$12:$G$119,"")</f>
        <v>Stone</v>
      </c>
      <c r="B6642" t="s">
        <v>13160</v>
      </c>
      <c r="C6642" t="s">
        <v>157</v>
      </c>
      <c r="D6642" t="s">
        <v>13351</v>
      </c>
      <c r="E6642" t="s">
        <v>13352</v>
      </c>
      <c r="F6642" t="s">
        <v>180</v>
      </c>
      <c r="G6642" s="1">
        <v>9.1</v>
      </c>
    </row>
    <row r="6643" spans="1:7" ht="14.25" hidden="1" customHeight="1" x14ac:dyDescent="0.45">
      <c r="A6643" t="str">
        <f>_xlfn.XLOOKUP(B6643,Ingot!$H$12:$H$119,Ingot!$G$12:$G$119,"")</f>
        <v>Stone</v>
      </c>
      <c r="B6643" t="s">
        <v>13160</v>
      </c>
      <c r="C6643" t="s">
        <v>157</v>
      </c>
      <c r="D6643" t="s">
        <v>13353</v>
      </c>
      <c r="E6643" t="s">
        <v>13354</v>
      </c>
      <c r="F6643" t="s">
        <v>180</v>
      </c>
      <c r="G6643" s="1">
        <v>5.92</v>
      </c>
    </row>
    <row r="6644" spans="1:7" ht="14.25" hidden="1" customHeight="1" x14ac:dyDescent="0.45">
      <c r="A6644" t="str">
        <f>_xlfn.XLOOKUP(B6644,Ingot!$H$12:$H$119,Ingot!$G$12:$G$119,"")</f>
        <v>Stone</v>
      </c>
      <c r="B6644" t="s">
        <v>13160</v>
      </c>
      <c r="C6644" t="s">
        <v>157</v>
      </c>
      <c r="D6644" t="s">
        <v>13355</v>
      </c>
      <c r="E6644" t="s">
        <v>13356</v>
      </c>
      <c r="G6644" s="1">
        <v>11.83</v>
      </c>
    </row>
    <row r="6645" spans="1:7" ht="14.25" hidden="1" customHeight="1" x14ac:dyDescent="0.45">
      <c r="A6645" t="str">
        <f>_xlfn.XLOOKUP(B6645,Ingot!$H$12:$H$119,Ingot!$G$12:$G$119,"")</f>
        <v>Stone</v>
      </c>
      <c r="B6645" t="s">
        <v>13160</v>
      </c>
      <c r="C6645" t="s">
        <v>157</v>
      </c>
      <c r="D6645" t="s">
        <v>13357</v>
      </c>
      <c r="E6645" t="s">
        <v>13358</v>
      </c>
      <c r="G6645" s="1">
        <v>50</v>
      </c>
    </row>
    <row r="6646" spans="1:7" ht="14.25" hidden="1" customHeight="1" x14ac:dyDescent="0.45">
      <c r="A6646" t="str">
        <f>_xlfn.XLOOKUP(B6646,Ingot!$H$12:$H$119,Ingot!$G$12:$G$119,"")</f>
        <v>Stone</v>
      </c>
      <c r="B6646" t="s">
        <v>13160</v>
      </c>
      <c r="C6646" t="s">
        <v>157</v>
      </c>
      <c r="D6646" t="s">
        <v>13359</v>
      </c>
      <c r="E6646" t="s">
        <v>13360</v>
      </c>
      <c r="G6646" s="1">
        <v>10</v>
      </c>
    </row>
    <row r="6647" spans="1:7" ht="14.25" hidden="1" customHeight="1" x14ac:dyDescent="0.45">
      <c r="A6647" t="str">
        <f>_xlfn.XLOOKUP(B6647,Ingot!$H$12:$H$119,Ingot!$G$12:$G$119,"")</f>
        <v>Stone</v>
      </c>
      <c r="B6647" t="s">
        <v>13160</v>
      </c>
      <c r="C6647" t="s">
        <v>157</v>
      </c>
      <c r="D6647" t="s">
        <v>13361</v>
      </c>
      <c r="E6647" t="s">
        <v>13362</v>
      </c>
      <c r="G6647" s="1">
        <v>10</v>
      </c>
    </row>
    <row r="6648" spans="1:7" ht="14.25" hidden="1" customHeight="1" x14ac:dyDescent="0.45">
      <c r="A6648" t="str">
        <f>_xlfn.XLOOKUP(B6648,Ingot!$H$12:$H$119,Ingot!$G$12:$G$119,"")</f>
        <v>Stone</v>
      </c>
      <c r="B6648" t="s">
        <v>13160</v>
      </c>
      <c r="C6648" t="s">
        <v>157</v>
      </c>
      <c r="D6648" t="s">
        <v>13363</v>
      </c>
      <c r="E6648" t="s">
        <v>13364</v>
      </c>
      <c r="G6648" s="1">
        <v>6.5</v>
      </c>
    </row>
    <row r="6649" spans="1:7" ht="14.25" hidden="1" customHeight="1" x14ac:dyDescent="0.45">
      <c r="A6649" t="str">
        <f>_xlfn.XLOOKUP(B6649,Ingot!$H$12:$H$119,Ingot!$G$12:$G$119,"")</f>
        <v>Stone</v>
      </c>
      <c r="B6649" t="s">
        <v>13160</v>
      </c>
      <c r="C6649" t="s">
        <v>157</v>
      </c>
      <c r="D6649" t="s">
        <v>13365</v>
      </c>
      <c r="E6649" t="s">
        <v>13366</v>
      </c>
      <c r="G6649" s="1">
        <v>13</v>
      </c>
    </row>
    <row r="6650" spans="1:7" ht="14.25" hidden="1" customHeight="1" x14ac:dyDescent="0.45">
      <c r="A6650" t="str">
        <f>_xlfn.XLOOKUP(B6650,Ingot!$H$12:$H$119,Ingot!$G$12:$G$119,"")</f>
        <v>Stone</v>
      </c>
      <c r="B6650" t="s">
        <v>13160</v>
      </c>
      <c r="C6650" t="s">
        <v>157</v>
      </c>
      <c r="D6650" t="s">
        <v>13367</v>
      </c>
      <c r="E6650" t="s">
        <v>13368</v>
      </c>
      <c r="G6650" s="1">
        <v>48.5</v>
      </c>
    </row>
    <row r="6651" spans="1:7" ht="14.25" hidden="1" customHeight="1" x14ac:dyDescent="0.45">
      <c r="A6651" t="str">
        <f>_xlfn.XLOOKUP(B6651,Ingot!$H$12:$H$119,Ingot!$G$12:$G$119,"")</f>
        <v>Stone</v>
      </c>
      <c r="B6651" t="s">
        <v>13160</v>
      </c>
      <c r="C6651" t="s">
        <v>157</v>
      </c>
      <c r="D6651" t="s">
        <v>13369</v>
      </c>
      <c r="E6651" t="s">
        <v>13370</v>
      </c>
      <c r="G6651" s="1">
        <v>9.6999999999999993</v>
      </c>
    </row>
    <row r="6652" spans="1:7" ht="14.25" hidden="1" customHeight="1" x14ac:dyDescent="0.45">
      <c r="A6652" t="str">
        <f>_xlfn.XLOOKUP(B6652,Ingot!$H$12:$H$119,Ingot!$G$12:$G$119,"")</f>
        <v>Stone</v>
      </c>
      <c r="B6652" t="s">
        <v>13160</v>
      </c>
      <c r="C6652" t="s">
        <v>157</v>
      </c>
      <c r="D6652" t="s">
        <v>13371</v>
      </c>
      <c r="E6652" t="s">
        <v>13372</v>
      </c>
      <c r="G6652" s="1">
        <v>9.6999999999999993</v>
      </c>
    </row>
    <row r="6653" spans="1:7" ht="14.25" hidden="1" customHeight="1" x14ac:dyDescent="0.45">
      <c r="A6653" t="str">
        <f>_xlfn.XLOOKUP(B6653,Ingot!$H$12:$H$119,Ingot!$G$12:$G$119,"")</f>
        <v>Stone</v>
      </c>
      <c r="B6653" t="s">
        <v>13160</v>
      </c>
      <c r="C6653" t="s">
        <v>157</v>
      </c>
      <c r="D6653" t="s">
        <v>13373</v>
      </c>
      <c r="E6653" t="s">
        <v>13374</v>
      </c>
      <c r="G6653" s="1">
        <v>6.31</v>
      </c>
    </row>
    <row r="6654" spans="1:7" ht="14.25" hidden="1" customHeight="1" x14ac:dyDescent="0.45">
      <c r="A6654" t="str">
        <f>_xlfn.XLOOKUP(B6654,Ingot!$H$12:$H$119,Ingot!$G$12:$G$119,"")</f>
        <v>Stone</v>
      </c>
      <c r="B6654" t="s">
        <v>13160</v>
      </c>
      <c r="C6654" t="s">
        <v>157</v>
      </c>
      <c r="D6654" t="s">
        <v>13375</v>
      </c>
      <c r="E6654" t="s">
        <v>13376</v>
      </c>
      <c r="G6654" s="1">
        <v>12.61</v>
      </c>
    </row>
    <row r="6655" spans="1:7" ht="14.25" hidden="1" customHeight="1" x14ac:dyDescent="0.45">
      <c r="A6655" t="str">
        <f>_xlfn.XLOOKUP(B6655,Ingot!$H$12:$H$119,Ingot!$G$12:$G$119,"")</f>
        <v>Stone</v>
      </c>
      <c r="B6655" t="s">
        <v>13160</v>
      </c>
      <c r="C6655" t="s">
        <v>157</v>
      </c>
      <c r="D6655" t="s">
        <v>13377</v>
      </c>
      <c r="E6655" t="s">
        <v>13378</v>
      </c>
      <c r="F6655" t="s">
        <v>180</v>
      </c>
      <c r="G6655" s="1">
        <v>41</v>
      </c>
    </row>
    <row r="6656" spans="1:7" ht="14.25" hidden="1" customHeight="1" x14ac:dyDescent="0.45">
      <c r="A6656" t="str">
        <f>_xlfn.XLOOKUP(B6656,Ingot!$H$12:$H$119,Ingot!$G$12:$G$119,"")</f>
        <v>Stone</v>
      </c>
      <c r="B6656" t="s">
        <v>13160</v>
      </c>
      <c r="C6656" t="s">
        <v>157</v>
      </c>
      <c r="D6656" t="s">
        <v>13379</v>
      </c>
      <c r="E6656" t="s">
        <v>13380</v>
      </c>
      <c r="F6656" t="s">
        <v>180</v>
      </c>
      <c r="G6656" s="1">
        <v>8.1999999999999993</v>
      </c>
    </row>
    <row r="6657" spans="1:7" ht="14.25" hidden="1" customHeight="1" x14ac:dyDescent="0.45">
      <c r="A6657" t="str">
        <f>_xlfn.XLOOKUP(B6657,Ingot!$H$12:$H$119,Ingot!$G$12:$G$119,"")</f>
        <v>Stone</v>
      </c>
      <c r="B6657" t="s">
        <v>13160</v>
      </c>
      <c r="C6657" t="s">
        <v>157</v>
      </c>
      <c r="D6657" t="s">
        <v>13381</v>
      </c>
      <c r="E6657" t="s">
        <v>13382</v>
      </c>
      <c r="F6657" t="s">
        <v>180</v>
      </c>
      <c r="G6657" s="1">
        <v>8.1999999999999993</v>
      </c>
    </row>
    <row r="6658" spans="1:7" ht="14.25" hidden="1" customHeight="1" x14ac:dyDescent="0.45">
      <c r="A6658" t="str">
        <f>_xlfn.XLOOKUP(B6658,Ingot!$H$12:$H$119,Ingot!$G$12:$G$119,"")</f>
        <v>Stone</v>
      </c>
      <c r="B6658" t="s">
        <v>13160</v>
      </c>
      <c r="C6658" t="s">
        <v>157</v>
      </c>
      <c r="D6658" t="s">
        <v>13383</v>
      </c>
      <c r="E6658" t="s">
        <v>13384</v>
      </c>
      <c r="F6658" t="s">
        <v>180</v>
      </c>
      <c r="G6658" s="1">
        <v>5.33</v>
      </c>
    </row>
    <row r="6659" spans="1:7" ht="14.25" hidden="1" customHeight="1" x14ac:dyDescent="0.45">
      <c r="A6659" t="str">
        <f>_xlfn.XLOOKUP(B6659,Ingot!$H$12:$H$119,Ingot!$G$12:$G$119,"")</f>
        <v>Stone</v>
      </c>
      <c r="B6659" t="s">
        <v>13160</v>
      </c>
      <c r="C6659" t="s">
        <v>157</v>
      </c>
      <c r="D6659" t="s">
        <v>13385</v>
      </c>
      <c r="E6659" t="s">
        <v>13386</v>
      </c>
      <c r="F6659" t="s">
        <v>180</v>
      </c>
      <c r="G6659" s="1">
        <v>10.66</v>
      </c>
    </row>
    <row r="6660" spans="1:7" ht="14.25" hidden="1" customHeight="1" x14ac:dyDescent="0.45">
      <c r="A6660" t="str">
        <f>_xlfn.XLOOKUP(B6660,Ingot!$H$12:$H$119,Ingot!$G$12:$G$119,"")</f>
        <v>Stone</v>
      </c>
      <c r="B6660" t="s">
        <v>13160</v>
      </c>
      <c r="C6660" t="s">
        <v>239</v>
      </c>
      <c r="D6660" t="s">
        <v>13387</v>
      </c>
      <c r="E6660" t="s">
        <v>13388</v>
      </c>
      <c r="G6660" s="1">
        <f>(VLOOKUP(B6660,Ingot!H:I,2,FALSE()) * 0.75) * 0.75</f>
        <v>10.96875</v>
      </c>
    </row>
    <row r="6661" spans="1:7" ht="14.25" hidden="1" customHeight="1" x14ac:dyDescent="0.45">
      <c r="A6661" t="str">
        <f>_xlfn.XLOOKUP(B6661,Ingot!$H$12:$H$119,Ingot!$G$12:$G$119,"")</f>
        <v>Stone</v>
      </c>
      <c r="B6661" t="s">
        <v>13160</v>
      </c>
      <c r="C6661" t="s">
        <v>239</v>
      </c>
      <c r="D6661" t="s">
        <v>13389</v>
      </c>
      <c r="E6661" t="s">
        <v>13390</v>
      </c>
      <c r="G6661" s="1">
        <f>((VLOOKUP(B6661,Ingot!H:I,2,FALSE()) * 3) - 10.25) * 0.421875</f>
        <v>20.35546875</v>
      </c>
    </row>
    <row r="6662" spans="1:7" ht="14.25" hidden="1" customHeight="1" x14ac:dyDescent="0.45">
      <c r="A6662" t="str">
        <f>_xlfn.XLOOKUP(B6662,Ingot!$H$12:$H$119,Ingot!$G$12:$G$119,"")</f>
        <v>Stone</v>
      </c>
      <c r="B6662" t="s">
        <v>13160</v>
      </c>
      <c r="C6662" t="s">
        <v>239</v>
      </c>
      <c r="D6662" t="s">
        <v>13391</v>
      </c>
      <c r="E6662" t="s">
        <v>13392</v>
      </c>
      <c r="G6662" s="1">
        <f>((VLOOKUP(B6662,Ingot!H:I,2,FALSE()) * 3) - 10.25) * 0.75</f>
        <v>36.1875</v>
      </c>
    </row>
    <row r="6663" spans="1:7" ht="14.25" hidden="1" customHeight="1" x14ac:dyDescent="0.45">
      <c r="A6663" t="str">
        <f>_xlfn.XLOOKUP(B6663,Ingot!$H$12:$H$119,Ingot!$G$12:$G$119,"")</f>
        <v>Stone</v>
      </c>
      <c r="B6663" t="s">
        <v>13160</v>
      </c>
      <c r="C6663" t="s">
        <v>239</v>
      </c>
      <c r="D6663" t="s">
        <v>13393</v>
      </c>
      <c r="E6663" t="s">
        <v>13394</v>
      </c>
      <c r="G6663" s="1">
        <f>((VLOOKUP(B6663,Ingot!H:I,2,FALSE()) * 3) - 10.25) * 0.5625</f>
        <v>27.140625</v>
      </c>
    </row>
    <row r="6664" spans="1:7" ht="14.25" hidden="1" customHeight="1" x14ac:dyDescent="0.45">
      <c r="A6664" t="str">
        <f>_xlfn.XLOOKUP(B6664,Ingot!$H$12:$H$119,Ingot!$G$12:$G$119,"")</f>
        <v>Stone</v>
      </c>
      <c r="B6664" t="s">
        <v>13160</v>
      </c>
      <c r="C6664" t="s">
        <v>239</v>
      </c>
      <c r="D6664" t="s">
        <v>13395</v>
      </c>
      <c r="E6664" t="s">
        <v>13396</v>
      </c>
      <c r="G6664" s="1">
        <f>VLOOKUP(B6664,Ingot!H:I,2,FALSE()) * 0.75</f>
        <v>14.625</v>
      </c>
    </row>
    <row r="6665" spans="1:7" ht="14.25" hidden="1" customHeight="1" x14ac:dyDescent="0.45">
      <c r="A6665" t="str">
        <f>_xlfn.XLOOKUP(B6665,Ingot!$H$12:$H$119,Ingot!$G$12:$G$119,"")</f>
        <v>Stone</v>
      </c>
      <c r="B6665" t="s">
        <v>13160</v>
      </c>
      <c r="C6665" t="s">
        <v>239</v>
      </c>
      <c r="D6665" t="s">
        <v>13397</v>
      </c>
      <c r="E6665" t="s">
        <v>13398</v>
      </c>
      <c r="G6665" s="1">
        <f>(VLOOKUP(B6665,Ingot!H:I,2,FALSE()) * 3) - 10.25</f>
        <v>48.25</v>
      </c>
    </row>
    <row r="6666" spans="1:7" ht="14.25" hidden="1" customHeight="1" x14ac:dyDescent="0.45">
      <c r="A6666" t="str">
        <f>_xlfn.XLOOKUP(B6666,Ingot!$H$12:$H$119,Ingot!$G$12:$G$119,"")</f>
        <v>Stone</v>
      </c>
      <c r="B6666" t="s">
        <v>13399</v>
      </c>
      <c r="C6666" t="s">
        <v>10</v>
      </c>
      <c r="D6666" t="s">
        <v>13400</v>
      </c>
      <c r="E6666" t="s">
        <v>13401</v>
      </c>
      <c r="G6666" s="1">
        <v>0.08</v>
      </c>
    </row>
    <row r="6667" spans="1:7" ht="14.25" hidden="1" customHeight="1" x14ac:dyDescent="0.45">
      <c r="A6667" t="str">
        <f>_xlfn.XLOOKUP(B6667,Ingot!$H$12:$H$119,Ingot!$G$12:$G$119,"")</f>
        <v>Stone</v>
      </c>
      <c r="B6667" t="s">
        <v>13399</v>
      </c>
      <c r="C6667" t="s">
        <v>10</v>
      </c>
      <c r="D6667" t="s">
        <v>13402</v>
      </c>
      <c r="E6667" t="s">
        <v>13403</v>
      </c>
      <c r="G6667" s="1">
        <v>9.9</v>
      </c>
    </row>
    <row r="6668" spans="1:7" ht="14.25" hidden="1" customHeight="1" x14ac:dyDescent="0.45">
      <c r="A6668" t="str">
        <f>_xlfn.XLOOKUP(B6668,Ingot!$H$12:$H$119,Ingot!$G$12:$G$119,"")</f>
        <v>Stone</v>
      </c>
      <c r="B6668" t="s">
        <v>13399</v>
      </c>
      <c r="C6668" t="s">
        <v>10</v>
      </c>
      <c r="D6668" t="s">
        <v>13404</v>
      </c>
      <c r="E6668" t="s">
        <v>13405</v>
      </c>
      <c r="G6668" s="1">
        <v>5.66</v>
      </c>
    </row>
    <row r="6669" spans="1:7" ht="14.25" hidden="1" customHeight="1" x14ac:dyDescent="0.45">
      <c r="A6669" t="str">
        <f>_xlfn.XLOOKUP(B6669,Ingot!$H$12:$H$119,Ingot!$G$12:$G$119,"")</f>
        <v>Stone</v>
      </c>
      <c r="B6669" t="s">
        <v>13399</v>
      </c>
      <c r="C6669" t="s">
        <v>10</v>
      </c>
      <c r="D6669" t="s">
        <v>13406</v>
      </c>
      <c r="E6669" t="s">
        <v>13407</v>
      </c>
      <c r="G6669" s="1">
        <v>3.3</v>
      </c>
    </row>
    <row r="6670" spans="1:7" ht="14.25" hidden="1" customHeight="1" x14ac:dyDescent="0.45">
      <c r="A6670" t="str">
        <f>_xlfn.XLOOKUP(B6670,Ingot!$H$12:$H$119,Ingot!$G$12:$G$119,"")</f>
        <v>Stone</v>
      </c>
      <c r="B6670" t="s">
        <v>13399</v>
      </c>
      <c r="C6670" t="s">
        <v>10</v>
      </c>
      <c r="D6670" t="s">
        <v>13408</v>
      </c>
      <c r="E6670" t="s">
        <v>13409</v>
      </c>
      <c r="G6670" s="1">
        <v>0.66</v>
      </c>
    </row>
    <row r="6671" spans="1:7" ht="14.25" hidden="1" customHeight="1" x14ac:dyDescent="0.45">
      <c r="A6671" t="str">
        <f>_xlfn.XLOOKUP(B6671,Ingot!$H$12:$H$119,Ingot!$G$12:$G$119,"")</f>
        <v>Stone</v>
      </c>
      <c r="B6671" t="s">
        <v>13399</v>
      </c>
      <c r="C6671" t="s">
        <v>10</v>
      </c>
      <c r="D6671" t="s">
        <v>13410</v>
      </c>
      <c r="E6671" t="s">
        <v>13411</v>
      </c>
      <c r="G6671" s="1">
        <v>0.04</v>
      </c>
    </row>
    <row r="6672" spans="1:7" ht="14.25" hidden="1" customHeight="1" x14ac:dyDescent="0.45">
      <c r="A6672" t="str">
        <f>_xlfn.XLOOKUP(B6672,Ingot!$H$12:$H$119,Ingot!$G$12:$G$119,"")</f>
        <v>Stone</v>
      </c>
      <c r="B6672" t="s">
        <v>13399</v>
      </c>
      <c r="C6672" t="s">
        <v>10</v>
      </c>
      <c r="D6672" t="s">
        <v>13412</v>
      </c>
      <c r="E6672" t="s">
        <v>13413</v>
      </c>
      <c r="G6672" s="1">
        <v>0.33</v>
      </c>
    </row>
    <row r="6673" spans="1:7" ht="14.25" hidden="1" customHeight="1" x14ac:dyDescent="0.45">
      <c r="A6673" t="str">
        <f>_xlfn.XLOOKUP(B6673,Ingot!$H$12:$H$119,Ingot!$G$12:$G$119,"")</f>
        <v>Stone</v>
      </c>
      <c r="B6673" t="s">
        <v>13399</v>
      </c>
      <c r="C6673" t="s">
        <v>10</v>
      </c>
      <c r="D6673" t="s">
        <v>13414</v>
      </c>
      <c r="E6673" t="s">
        <v>13415</v>
      </c>
    </row>
    <row r="6674" spans="1:7" ht="14.25" hidden="1" customHeight="1" x14ac:dyDescent="0.45">
      <c r="A6674" t="str">
        <f>_xlfn.XLOOKUP(B6674,Ingot!$H$12:$H$119,Ingot!$G$12:$G$119,"")</f>
        <v>Stone</v>
      </c>
      <c r="B6674" t="s">
        <v>13399</v>
      </c>
      <c r="C6674" t="s">
        <v>10</v>
      </c>
      <c r="D6674" t="s">
        <v>13416</v>
      </c>
      <c r="E6674" t="s">
        <v>13417</v>
      </c>
      <c r="G6674" s="1">
        <v>0.05</v>
      </c>
    </row>
    <row r="6675" spans="1:7" ht="14.25" hidden="1" customHeight="1" x14ac:dyDescent="0.45">
      <c r="A6675" t="str">
        <f>_xlfn.XLOOKUP(B6675,Ingot!$H$12:$H$119,Ingot!$G$12:$G$119,"")</f>
        <v>Stone</v>
      </c>
      <c r="B6675" t="s">
        <v>13399</v>
      </c>
      <c r="C6675" t="s">
        <v>10</v>
      </c>
      <c r="D6675" t="s">
        <v>13418</v>
      </c>
      <c r="E6675" t="s">
        <v>13419</v>
      </c>
      <c r="G6675" s="1">
        <v>0.66</v>
      </c>
    </row>
    <row r="6676" spans="1:7" ht="14.25" hidden="1" customHeight="1" x14ac:dyDescent="0.45">
      <c r="A6676" t="str">
        <f>_xlfn.XLOOKUP(B6676,Ingot!$H$12:$H$119,Ingot!$G$12:$G$119,"")</f>
        <v>Stone</v>
      </c>
      <c r="B6676" t="s">
        <v>13399</v>
      </c>
      <c r="C6676" t="s">
        <v>10</v>
      </c>
      <c r="D6676" t="s">
        <v>13420</v>
      </c>
      <c r="E6676" t="s">
        <v>13421</v>
      </c>
      <c r="G6676" s="1">
        <v>3.96</v>
      </c>
    </row>
    <row r="6677" spans="1:7" ht="14.25" hidden="1" customHeight="1" x14ac:dyDescent="0.45">
      <c r="A6677" t="str">
        <f>_xlfn.XLOOKUP(B6677,Ingot!$H$12:$H$119,Ingot!$G$12:$G$119,"")</f>
        <v>Stone</v>
      </c>
      <c r="B6677" t="s">
        <v>13399</v>
      </c>
      <c r="C6677" t="s">
        <v>10</v>
      </c>
      <c r="D6677" t="s">
        <v>13422</v>
      </c>
      <c r="E6677" t="s">
        <v>13423</v>
      </c>
      <c r="G6677" s="1">
        <v>8.77</v>
      </c>
    </row>
    <row r="6678" spans="1:7" ht="14.25" hidden="1" customHeight="1" x14ac:dyDescent="0.45">
      <c r="A6678" t="str">
        <f>_xlfn.XLOOKUP(B6678,Ingot!$H$12:$H$119,Ingot!$G$12:$G$119,"")</f>
        <v>Stone</v>
      </c>
      <c r="B6678" t="s">
        <v>13399</v>
      </c>
      <c r="C6678" t="s">
        <v>10</v>
      </c>
      <c r="D6678" t="s">
        <v>13424</v>
      </c>
      <c r="E6678" t="s">
        <v>13425</v>
      </c>
      <c r="G6678" s="1">
        <v>3.5</v>
      </c>
    </row>
    <row r="6679" spans="1:7" ht="14.25" hidden="1" customHeight="1" x14ac:dyDescent="0.45">
      <c r="A6679" t="str">
        <f>_xlfn.XLOOKUP(B6679,Ingot!$H$12:$H$119,Ingot!$G$12:$G$119,"")</f>
        <v>Stone</v>
      </c>
      <c r="B6679" t="s">
        <v>13399</v>
      </c>
      <c r="C6679" t="s">
        <v>10</v>
      </c>
      <c r="D6679" t="s">
        <v>13426</v>
      </c>
      <c r="E6679" t="s">
        <v>13427</v>
      </c>
    </row>
    <row r="6680" spans="1:7" ht="14.25" hidden="1" customHeight="1" x14ac:dyDescent="0.45">
      <c r="A6680" t="str">
        <f>_xlfn.XLOOKUP(B6680,Ingot!$H$12:$H$119,Ingot!$G$12:$G$119,"")</f>
        <v>Stone</v>
      </c>
      <c r="B6680" t="s">
        <v>13399</v>
      </c>
      <c r="C6680" t="s">
        <v>10</v>
      </c>
      <c r="D6680" t="s">
        <v>13428</v>
      </c>
      <c r="E6680" t="s">
        <v>13429</v>
      </c>
      <c r="G6680" s="1">
        <v>2.2000000000000002</v>
      </c>
    </row>
    <row r="6681" spans="1:7" ht="14.25" hidden="1" customHeight="1" x14ac:dyDescent="0.45">
      <c r="A6681" t="str">
        <f>_xlfn.XLOOKUP(B6681,Ingot!$H$12:$H$119,Ingot!$G$12:$G$119,"")</f>
        <v>Stone</v>
      </c>
      <c r="B6681" t="s">
        <v>13399</v>
      </c>
      <c r="C6681" t="s">
        <v>10</v>
      </c>
      <c r="D6681" t="s">
        <v>13430</v>
      </c>
      <c r="E6681" t="s">
        <v>13431</v>
      </c>
      <c r="G6681" s="1">
        <v>1.1000000000000001</v>
      </c>
    </row>
    <row r="6682" spans="1:7" ht="14.25" hidden="1" customHeight="1" x14ac:dyDescent="0.45">
      <c r="A6682" t="str">
        <f>_xlfn.XLOOKUP(B6682,Ingot!$H$12:$H$119,Ingot!$G$12:$G$119,"")</f>
        <v>Stone</v>
      </c>
      <c r="B6682" t="s">
        <v>13399</v>
      </c>
      <c r="C6682" t="s">
        <v>10</v>
      </c>
      <c r="D6682" t="s">
        <v>13432</v>
      </c>
      <c r="E6682" t="s">
        <v>13433</v>
      </c>
      <c r="G6682" s="1">
        <v>0.22</v>
      </c>
    </row>
    <row r="6683" spans="1:7" ht="14.25" hidden="1" customHeight="1" x14ac:dyDescent="0.45">
      <c r="A6683" t="str">
        <f>_xlfn.XLOOKUP(B6683,Ingot!$H$12:$H$119,Ingot!$G$12:$G$119,"")</f>
        <v>Stone</v>
      </c>
      <c r="B6683" t="s">
        <v>13399</v>
      </c>
      <c r="C6683" t="s">
        <v>10</v>
      </c>
      <c r="D6683" t="s">
        <v>13434</v>
      </c>
      <c r="E6683" t="s">
        <v>13435</v>
      </c>
      <c r="G6683" s="1">
        <v>8.41</v>
      </c>
    </row>
    <row r="6684" spans="1:7" ht="14.25" hidden="1" customHeight="1" x14ac:dyDescent="0.45">
      <c r="A6684" t="str">
        <f>_xlfn.XLOOKUP(B6684,Ingot!$H$12:$H$119,Ingot!$G$12:$G$119,"")</f>
        <v>Stone</v>
      </c>
      <c r="B6684" t="s">
        <v>13399</v>
      </c>
      <c r="C6684" t="s">
        <v>10</v>
      </c>
      <c r="D6684" t="s">
        <v>13436</v>
      </c>
      <c r="E6684" t="s">
        <v>13437</v>
      </c>
      <c r="G6684" s="1">
        <v>3.64</v>
      </c>
    </row>
    <row r="6685" spans="1:7" ht="14.25" hidden="1" customHeight="1" x14ac:dyDescent="0.45">
      <c r="A6685" t="str">
        <f>_xlfn.XLOOKUP(B6685,Ingot!$H$12:$H$119,Ingot!$G$12:$G$119,"")</f>
        <v>Stone</v>
      </c>
      <c r="B6685" t="s">
        <v>13399</v>
      </c>
      <c r="C6685" t="s">
        <v>10</v>
      </c>
      <c r="D6685" t="s">
        <v>13438</v>
      </c>
      <c r="E6685" t="s">
        <v>13439</v>
      </c>
      <c r="G6685" s="1">
        <v>7.05</v>
      </c>
    </row>
    <row r="6686" spans="1:7" ht="14.25" hidden="1" customHeight="1" x14ac:dyDescent="0.45">
      <c r="A6686" t="str">
        <f>_xlfn.XLOOKUP(B6686,Ingot!$H$12:$H$119,Ingot!$G$12:$G$119,"")</f>
        <v>Stone</v>
      </c>
      <c r="B6686" t="s">
        <v>13399</v>
      </c>
      <c r="C6686" t="s">
        <v>10</v>
      </c>
      <c r="D6686" t="s">
        <v>13440</v>
      </c>
      <c r="E6686" t="s">
        <v>13441</v>
      </c>
      <c r="G6686" s="1">
        <v>2.65</v>
      </c>
    </row>
    <row r="6687" spans="1:7" ht="14.25" hidden="1" customHeight="1" x14ac:dyDescent="0.45">
      <c r="A6687" t="str">
        <f>_xlfn.XLOOKUP(B6687,Ingot!$H$12:$H$119,Ingot!$G$12:$G$119,"")</f>
        <v>Stone</v>
      </c>
      <c r="B6687" t="s">
        <v>13399</v>
      </c>
      <c r="C6687" t="s">
        <v>10</v>
      </c>
      <c r="D6687" t="s">
        <v>13442</v>
      </c>
      <c r="E6687" t="s">
        <v>13443</v>
      </c>
      <c r="G6687" s="1">
        <v>9</v>
      </c>
    </row>
    <row r="6688" spans="1:7" ht="14.25" hidden="1" customHeight="1" x14ac:dyDescent="0.45">
      <c r="A6688" t="str">
        <f>_xlfn.XLOOKUP(B6688,Ingot!$H$12:$H$119,Ingot!$G$12:$G$119,"")</f>
        <v>Stone</v>
      </c>
      <c r="B6688" t="s">
        <v>13399</v>
      </c>
      <c r="C6688" t="s">
        <v>10</v>
      </c>
      <c r="D6688" t="s">
        <v>13444</v>
      </c>
      <c r="E6688" t="s">
        <v>13445</v>
      </c>
      <c r="G6688" s="1">
        <v>10.23</v>
      </c>
    </row>
    <row r="6689" spans="1:7" ht="14.25" hidden="1" customHeight="1" x14ac:dyDescent="0.45">
      <c r="A6689" t="str">
        <f>_xlfn.XLOOKUP(B6689,Ingot!$H$12:$H$119,Ingot!$G$12:$G$119,"")</f>
        <v>Stone</v>
      </c>
      <c r="B6689" t="s">
        <v>13399</v>
      </c>
      <c r="C6689" t="s">
        <v>10</v>
      </c>
      <c r="D6689" t="s">
        <v>13446</v>
      </c>
      <c r="E6689" t="s">
        <v>13447</v>
      </c>
      <c r="G6689" s="1">
        <v>7.7</v>
      </c>
    </row>
    <row r="6690" spans="1:7" ht="14.25" hidden="1" customHeight="1" x14ac:dyDescent="0.45">
      <c r="A6690" t="str">
        <f>_xlfn.XLOOKUP(B6690,Ingot!$H$12:$H$119,Ingot!$G$12:$G$119,"")</f>
        <v>Stone</v>
      </c>
      <c r="B6690" t="s">
        <v>13399</v>
      </c>
      <c r="C6690" t="s">
        <v>10</v>
      </c>
      <c r="D6690" t="s">
        <v>13448</v>
      </c>
      <c r="E6690" t="s">
        <v>13449</v>
      </c>
      <c r="G6690" s="1">
        <v>10.02</v>
      </c>
    </row>
    <row r="6691" spans="1:7" ht="14.25" hidden="1" customHeight="1" x14ac:dyDescent="0.45">
      <c r="A6691" t="str">
        <f>_xlfn.XLOOKUP(B6691,Ingot!$H$12:$H$119,Ingot!$G$12:$G$119,"")</f>
        <v>Stone</v>
      </c>
      <c r="B6691" t="s">
        <v>13399</v>
      </c>
      <c r="C6691" t="s">
        <v>10</v>
      </c>
      <c r="D6691" t="s">
        <v>13450</v>
      </c>
      <c r="E6691" t="s">
        <v>13451</v>
      </c>
      <c r="G6691" s="1">
        <v>11.81</v>
      </c>
    </row>
    <row r="6692" spans="1:7" ht="14.25" hidden="1" customHeight="1" x14ac:dyDescent="0.45">
      <c r="A6692" t="str">
        <f>_xlfn.XLOOKUP(B6692,Ingot!$H$12:$H$119,Ingot!$G$12:$G$119,"")</f>
        <v>Stone</v>
      </c>
      <c r="B6692" t="s">
        <v>13399</v>
      </c>
      <c r="C6692" t="s">
        <v>10</v>
      </c>
      <c r="D6692" t="s">
        <v>13452</v>
      </c>
      <c r="E6692" t="s">
        <v>13453</v>
      </c>
      <c r="G6692" s="1">
        <v>8.44</v>
      </c>
    </row>
    <row r="6693" spans="1:7" ht="14.25" hidden="1" customHeight="1" x14ac:dyDescent="0.45">
      <c r="A6693" t="str">
        <f>_xlfn.XLOOKUP(B6693,Ingot!$H$12:$H$119,Ingot!$G$12:$G$119,"")</f>
        <v>Stone</v>
      </c>
      <c r="B6693" t="s">
        <v>13399</v>
      </c>
      <c r="C6693" t="s">
        <v>10</v>
      </c>
      <c r="D6693" t="s">
        <v>13454</v>
      </c>
      <c r="E6693" t="s">
        <v>13455</v>
      </c>
      <c r="G6693" s="1">
        <v>10.42</v>
      </c>
    </row>
    <row r="6694" spans="1:7" ht="14.25" hidden="1" customHeight="1" x14ac:dyDescent="0.45">
      <c r="A6694" t="str">
        <f>_xlfn.XLOOKUP(B6694,Ingot!$H$12:$H$119,Ingot!$G$12:$G$119,"")</f>
        <v>Stone</v>
      </c>
      <c r="B6694" t="s">
        <v>13399</v>
      </c>
      <c r="C6694" t="s">
        <v>10</v>
      </c>
      <c r="D6694" t="s">
        <v>13456</v>
      </c>
      <c r="E6694" t="s">
        <v>13457</v>
      </c>
    </row>
    <row r="6695" spans="1:7" ht="14.25" hidden="1" customHeight="1" x14ac:dyDescent="0.45">
      <c r="A6695" t="str">
        <f>_xlfn.XLOOKUP(B6695,Ingot!$H$12:$H$119,Ingot!$G$12:$G$119,"")</f>
        <v>Stone</v>
      </c>
      <c r="B6695" t="s">
        <v>13399</v>
      </c>
      <c r="C6695" t="s">
        <v>10</v>
      </c>
      <c r="D6695" t="s">
        <v>13458</v>
      </c>
      <c r="E6695" t="s">
        <v>13459</v>
      </c>
      <c r="G6695" s="1">
        <v>7.96</v>
      </c>
    </row>
    <row r="6696" spans="1:7" ht="14.25" hidden="1" customHeight="1" x14ac:dyDescent="0.45">
      <c r="A6696" t="str">
        <f>_xlfn.XLOOKUP(B6696,Ingot!$H$12:$H$119,Ingot!$G$12:$G$119,"")</f>
        <v>Stone</v>
      </c>
      <c r="B6696" t="s">
        <v>13399</v>
      </c>
      <c r="C6696" t="s">
        <v>10</v>
      </c>
      <c r="D6696" t="s">
        <v>13460</v>
      </c>
      <c r="E6696" t="s">
        <v>13461</v>
      </c>
      <c r="G6696" s="1">
        <v>9.64</v>
      </c>
    </row>
    <row r="6697" spans="1:7" ht="14.25" hidden="1" customHeight="1" x14ac:dyDescent="0.45">
      <c r="A6697" t="str">
        <f>_xlfn.XLOOKUP(B6697,Ingot!$H$12:$H$119,Ingot!$G$12:$G$119,"")</f>
        <v>Stone</v>
      </c>
      <c r="B6697" t="s">
        <v>13399</v>
      </c>
      <c r="C6697" t="s">
        <v>10</v>
      </c>
      <c r="D6697" t="s">
        <v>13462</v>
      </c>
      <c r="E6697" t="s">
        <v>13463</v>
      </c>
      <c r="G6697" s="1">
        <v>7.94</v>
      </c>
    </row>
    <row r="6698" spans="1:7" ht="14.25" hidden="1" customHeight="1" x14ac:dyDescent="0.45">
      <c r="A6698" t="str">
        <f>_xlfn.XLOOKUP(B6698,Ingot!$H$12:$H$119,Ingot!$G$12:$G$119,"")</f>
        <v>Stone</v>
      </c>
      <c r="B6698" t="s">
        <v>13399</v>
      </c>
      <c r="C6698" t="s">
        <v>10</v>
      </c>
      <c r="D6698" t="s">
        <v>13464</v>
      </c>
      <c r="E6698" t="s">
        <v>13465</v>
      </c>
      <c r="G6698" s="1">
        <v>8.66</v>
      </c>
    </row>
    <row r="6699" spans="1:7" ht="14.25" hidden="1" customHeight="1" x14ac:dyDescent="0.45">
      <c r="A6699" t="str">
        <f>_xlfn.XLOOKUP(B6699,Ingot!$H$12:$H$119,Ingot!$G$12:$G$119,"")</f>
        <v>Stone</v>
      </c>
      <c r="B6699" t="s">
        <v>13399</v>
      </c>
      <c r="C6699" t="s">
        <v>10</v>
      </c>
      <c r="D6699" t="s">
        <v>13466</v>
      </c>
      <c r="E6699" t="s">
        <v>13467</v>
      </c>
    </row>
    <row r="6700" spans="1:7" ht="14.25" hidden="1" customHeight="1" x14ac:dyDescent="0.45">
      <c r="A6700" t="str">
        <f>_xlfn.XLOOKUP(B6700,Ingot!$H$12:$H$119,Ingot!$G$12:$G$119,"")</f>
        <v>Stone</v>
      </c>
      <c r="B6700" t="s">
        <v>13399</v>
      </c>
      <c r="C6700" t="s">
        <v>10</v>
      </c>
      <c r="D6700" t="s">
        <v>13468</v>
      </c>
      <c r="E6700" t="s">
        <v>13469</v>
      </c>
      <c r="G6700" s="1">
        <v>2.65</v>
      </c>
    </row>
    <row r="6701" spans="1:7" ht="14.25" hidden="1" customHeight="1" x14ac:dyDescent="0.45">
      <c r="A6701" t="str">
        <f>_xlfn.XLOOKUP(B6701,Ingot!$H$12:$H$119,Ingot!$G$12:$G$119,"")</f>
        <v>Stone</v>
      </c>
      <c r="B6701" t="s">
        <v>13399</v>
      </c>
      <c r="C6701" t="s">
        <v>10</v>
      </c>
      <c r="D6701" t="s">
        <v>13470</v>
      </c>
      <c r="E6701" t="s">
        <v>13471</v>
      </c>
    </row>
    <row r="6702" spans="1:7" ht="14.25" hidden="1" customHeight="1" x14ac:dyDescent="0.45">
      <c r="A6702" t="str">
        <f>_xlfn.XLOOKUP(B6702,Ingot!$H$12:$H$119,Ingot!$G$12:$G$119,"")</f>
        <v>Stone</v>
      </c>
      <c r="B6702" t="s">
        <v>13399</v>
      </c>
      <c r="C6702" t="s">
        <v>10</v>
      </c>
      <c r="D6702" t="s">
        <v>13472</v>
      </c>
      <c r="E6702" t="s">
        <v>13473</v>
      </c>
      <c r="G6702" s="1">
        <v>12.64</v>
      </c>
    </row>
    <row r="6703" spans="1:7" ht="14.25" hidden="1" customHeight="1" x14ac:dyDescent="0.45">
      <c r="A6703" t="str">
        <f>_xlfn.XLOOKUP(B6703,Ingot!$H$12:$H$119,Ingot!$G$12:$G$119,"")</f>
        <v>Stone</v>
      </c>
      <c r="B6703" t="s">
        <v>13399</v>
      </c>
      <c r="C6703" t="s">
        <v>10</v>
      </c>
      <c r="D6703" t="s">
        <v>13474</v>
      </c>
      <c r="E6703" t="s">
        <v>13475</v>
      </c>
      <c r="G6703" s="1">
        <v>22.67</v>
      </c>
    </row>
    <row r="6704" spans="1:7" ht="14.25" hidden="1" customHeight="1" x14ac:dyDescent="0.45">
      <c r="A6704" t="str">
        <f>_xlfn.XLOOKUP(B6704,Ingot!$H$12:$H$119,Ingot!$G$12:$G$119,"")</f>
        <v>Stone</v>
      </c>
      <c r="B6704" t="s">
        <v>13399</v>
      </c>
      <c r="C6704" t="s">
        <v>10</v>
      </c>
      <c r="D6704" t="s">
        <v>13476</v>
      </c>
      <c r="E6704" t="s">
        <v>13477</v>
      </c>
      <c r="G6704" s="1">
        <v>8.3800000000000008</v>
      </c>
    </row>
    <row r="6705" spans="1:7" ht="14.25" hidden="1" customHeight="1" x14ac:dyDescent="0.45">
      <c r="A6705" t="str">
        <f>_xlfn.XLOOKUP(B6705,Ingot!$H$12:$H$119,Ingot!$G$12:$G$119,"")</f>
        <v>Stone</v>
      </c>
      <c r="B6705" t="s">
        <v>13399</v>
      </c>
      <c r="C6705" t="s">
        <v>10</v>
      </c>
      <c r="D6705" t="s">
        <v>13478</v>
      </c>
      <c r="E6705" t="s">
        <v>13479</v>
      </c>
      <c r="G6705" s="1">
        <v>2.2000000000000002</v>
      </c>
    </row>
    <row r="6706" spans="1:7" ht="14.25" hidden="1" customHeight="1" x14ac:dyDescent="0.45">
      <c r="A6706" t="str">
        <f>_xlfn.XLOOKUP(B6706,Ingot!$H$12:$H$119,Ingot!$G$12:$G$119,"")</f>
        <v>Stone</v>
      </c>
      <c r="B6706" t="s">
        <v>13399</v>
      </c>
      <c r="C6706" t="s">
        <v>10</v>
      </c>
      <c r="D6706" t="s">
        <v>13480</v>
      </c>
      <c r="E6706" t="s">
        <v>13481</v>
      </c>
      <c r="G6706" s="1">
        <v>3.09</v>
      </c>
    </row>
    <row r="6707" spans="1:7" ht="14.25" hidden="1" customHeight="1" x14ac:dyDescent="0.45">
      <c r="A6707" t="str">
        <f>_xlfn.XLOOKUP(B6707,Ingot!$H$12:$H$119,Ingot!$G$12:$G$119,"")</f>
        <v>Stone</v>
      </c>
      <c r="B6707" t="s">
        <v>13399</v>
      </c>
      <c r="C6707" t="s">
        <v>10</v>
      </c>
      <c r="D6707" t="s">
        <v>13482</v>
      </c>
      <c r="E6707" t="s">
        <v>13483</v>
      </c>
      <c r="G6707" s="1">
        <v>2.2999999999999998</v>
      </c>
    </row>
    <row r="6708" spans="1:7" ht="14.25" hidden="1" customHeight="1" x14ac:dyDescent="0.45">
      <c r="A6708" t="str">
        <f>_xlfn.XLOOKUP(B6708,Ingot!$H$12:$H$119,Ingot!$G$12:$G$119,"")</f>
        <v>Stone</v>
      </c>
      <c r="B6708" t="s">
        <v>13399</v>
      </c>
      <c r="C6708" t="s">
        <v>10</v>
      </c>
      <c r="D6708" t="s">
        <v>13484</v>
      </c>
      <c r="E6708" t="s">
        <v>13485</v>
      </c>
      <c r="G6708" s="1">
        <v>4.88</v>
      </c>
    </row>
    <row r="6709" spans="1:7" ht="14.25" hidden="1" customHeight="1" x14ac:dyDescent="0.45">
      <c r="A6709" t="str">
        <f>_xlfn.XLOOKUP(B6709,Ingot!$H$12:$H$119,Ingot!$G$12:$G$119,"")</f>
        <v>Stone</v>
      </c>
      <c r="B6709" t="s">
        <v>13399</v>
      </c>
      <c r="C6709" t="s">
        <v>10</v>
      </c>
      <c r="D6709" t="s">
        <v>13486</v>
      </c>
      <c r="E6709" t="s">
        <v>13487</v>
      </c>
      <c r="G6709" s="1">
        <v>8.43</v>
      </c>
    </row>
    <row r="6710" spans="1:7" ht="14.25" hidden="1" customHeight="1" x14ac:dyDescent="0.45">
      <c r="A6710" t="str">
        <f>_xlfn.XLOOKUP(B6710,Ingot!$H$12:$H$119,Ingot!$G$12:$G$119,"")</f>
        <v>Stone</v>
      </c>
      <c r="B6710" t="s">
        <v>13399</v>
      </c>
      <c r="C6710" t="s">
        <v>10</v>
      </c>
      <c r="D6710" t="s">
        <v>13488</v>
      </c>
      <c r="E6710" t="s">
        <v>13489</v>
      </c>
      <c r="G6710" s="1">
        <v>13.07</v>
      </c>
    </row>
    <row r="6711" spans="1:7" ht="14.25" hidden="1" customHeight="1" x14ac:dyDescent="0.45">
      <c r="A6711" t="str">
        <f>_xlfn.XLOOKUP(B6711,Ingot!$H$12:$H$119,Ingot!$G$12:$G$119,"")</f>
        <v>Stone</v>
      </c>
      <c r="B6711" t="s">
        <v>13399</v>
      </c>
      <c r="C6711" t="s">
        <v>10</v>
      </c>
      <c r="D6711" t="s">
        <v>13490</v>
      </c>
      <c r="E6711" t="s">
        <v>13491</v>
      </c>
    </row>
    <row r="6712" spans="1:7" ht="14.25" hidden="1" customHeight="1" x14ac:dyDescent="0.45">
      <c r="A6712" t="str">
        <f>_xlfn.XLOOKUP(B6712,Ingot!$H$12:$H$119,Ingot!$G$12:$G$119,"")</f>
        <v>Stone</v>
      </c>
      <c r="B6712" t="s">
        <v>13399</v>
      </c>
      <c r="C6712" t="s">
        <v>10</v>
      </c>
      <c r="D6712" t="s">
        <v>13492</v>
      </c>
      <c r="E6712" t="s">
        <v>13493</v>
      </c>
    </row>
    <row r="6713" spans="1:7" ht="14.25" hidden="1" customHeight="1" x14ac:dyDescent="0.45">
      <c r="A6713" t="str">
        <f>_xlfn.XLOOKUP(B6713,Ingot!$H$12:$H$119,Ingot!$G$12:$G$119,"")</f>
        <v>Stone</v>
      </c>
      <c r="B6713" t="s">
        <v>13399</v>
      </c>
      <c r="C6713" t="s">
        <v>10</v>
      </c>
      <c r="D6713" t="s">
        <v>13494</v>
      </c>
      <c r="E6713" t="s">
        <v>13495</v>
      </c>
      <c r="G6713" s="1">
        <v>6.8</v>
      </c>
    </row>
    <row r="6714" spans="1:7" ht="14.25" hidden="1" customHeight="1" x14ac:dyDescent="0.45">
      <c r="A6714" t="str">
        <f>_xlfn.XLOOKUP(B6714,Ingot!$H$12:$H$119,Ingot!$G$12:$G$119,"")</f>
        <v>Stone</v>
      </c>
      <c r="B6714" t="s">
        <v>13399</v>
      </c>
      <c r="C6714" t="s">
        <v>10</v>
      </c>
      <c r="D6714" t="s">
        <v>13496</v>
      </c>
      <c r="E6714" t="s">
        <v>13497</v>
      </c>
      <c r="G6714" s="1">
        <v>6.88</v>
      </c>
    </row>
    <row r="6715" spans="1:7" ht="14.25" hidden="1" customHeight="1" x14ac:dyDescent="0.45">
      <c r="A6715" t="str">
        <f>_xlfn.XLOOKUP(B6715,Ingot!$H$12:$H$119,Ingot!$G$12:$G$119,"")</f>
        <v>Stone</v>
      </c>
      <c r="B6715" t="s">
        <v>13399</v>
      </c>
      <c r="C6715" t="s">
        <v>10</v>
      </c>
      <c r="D6715" t="s">
        <v>13498</v>
      </c>
      <c r="E6715" t="s">
        <v>13499</v>
      </c>
      <c r="G6715" s="1">
        <v>5.5</v>
      </c>
    </row>
    <row r="6716" spans="1:7" ht="14.25" hidden="1" customHeight="1" x14ac:dyDescent="0.45">
      <c r="A6716" t="str">
        <f>_xlfn.XLOOKUP(B6716,Ingot!$H$12:$H$119,Ingot!$G$12:$G$119,"")</f>
        <v>Stone</v>
      </c>
      <c r="B6716" t="s">
        <v>13399</v>
      </c>
      <c r="C6716" t="s">
        <v>10</v>
      </c>
      <c r="D6716" t="s">
        <v>13500</v>
      </c>
      <c r="E6716" t="s">
        <v>13501</v>
      </c>
      <c r="G6716" s="1">
        <v>2.4300000000000002</v>
      </c>
    </row>
    <row r="6717" spans="1:7" ht="14.25" hidden="1" customHeight="1" x14ac:dyDescent="0.45">
      <c r="A6717" t="str">
        <f>_xlfn.XLOOKUP(B6717,Ingot!$H$12:$H$119,Ingot!$G$12:$G$119,"")</f>
        <v>Stone</v>
      </c>
      <c r="B6717" t="s">
        <v>13399</v>
      </c>
      <c r="C6717" t="s">
        <v>10</v>
      </c>
      <c r="D6717" t="s">
        <v>13502</v>
      </c>
      <c r="E6717" t="s">
        <v>13503</v>
      </c>
      <c r="G6717" s="1">
        <v>6.96</v>
      </c>
    </row>
    <row r="6718" spans="1:7" ht="14.25" hidden="1" customHeight="1" x14ac:dyDescent="0.45">
      <c r="A6718" t="str">
        <f>_xlfn.XLOOKUP(B6718,Ingot!$H$12:$H$119,Ingot!$G$12:$G$119,"")</f>
        <v>Stone</v>
      </c>
      <c r="B6718" t="s">
        <v>13399</v>
      </c>
      <c r="C6718" t="s">
        <v>10</v>
      </c>
      <c r="D6718" t="s">
        <v>13504</v>
      </c>
      <c r="E6718" t="s">
        <v>13505</v>
      </c>
      <c r="G6718" s="1">
        <v>6.32</v>
      </c>
    </row>
    <row r="6719" spans="1:7" ht="14.25" hidden="1" customHeight="1" x14ac:dyDescent="0.45">
      <c r="A6719" t="str">
        <f>_xlfn.XLOOKUP(B6719,Ingot!$H$12:$H$119,Ingot!$G$12:$G$119,"")</f>
        <v>Stone</v>
      </c>
      <c r="B6719" t="s">
        <v>13399</v>
      </c>
      <c r="C6719" t="s">
        <v>10</v>
      </c>
      <c r="D6719" t="s">
        <v>13506</v>
      </c>
      <c r="E6719" t="s">
        <v>13507</v>
      </c>
      <c r="G6719" s="1">
        <v>6.88</v>
      </c>
    </row>
    <row r="6720" spans="1:7" ht="14.25" hidden="1" customHeight="1" x14ac:dyDescent="0.45">
      <c r="A6720" t="str">
        <f>_xlfn.XLOOKUP(B6720,Ingot!$H$12:$H$119,Ingot!$G$12:$G$119,"")</f>
        <v>Stone</v>
      </c>
      <c r="B6720" t="s">
        <v>13399</v>
      </c>
      <c r="C6720" t="s">
        <v>10</v>
      </c>
      <c r="D6720" t="s">
        <v>13508</v>
      </c>
      <c r="E6720" t="s">
        <v>13509</v>
      </c>
      <c r="G6720" s="1">
        <v>2.44</v>
      </c>
    </row>
    <row r="6721" spans="1:7" ht="14.25" hidden="1" customHeight="1" x14ac:dyDescent="0.45">
      <c r="A6721" t="str">
        <f>_xlfn.XLOOKUP(B6721,Ingot!$H$12:$H$119,Ingot!$G$12:$G$119,"")</f>
        <v>Stone</v>
      </c>
      <c r="B6721" t="s">
        <v>13399</v>
      </c>
      <c r="C6721" t="s">
        <v>10</v>
      </c>
      <c r="D6721" t="s">
        <v>13510</v>
      </c>
      <c r="E6721" t="s">
        <v>13511</v>
      </c>
    </row>
    <row r="6722" spans="1:7" ht="14.25" hidden="1" customHeight="1" x14ac:dyDescent="0.45">
      <c r="A6722" t="str">
        <f>_xlfn.XLOOKUP(B6722,Ingot!$H$12:$H$119,Ingot!$G$12:$G$119,"")</f>
        <v>Stone</v>
      </c>
      <c r="B6722" t="s">
        <v>13399</v>
      </c>
      <c r="C6722" t="s">
        <v>10</v>
      </c>
      <c r="D6722" t="s">
        <v>13512</v>
      </c>
      <c r="E6722" t="s">
        <v>13513</v>
      </c>
    </row>
    <row r="6723" spans="1:7" ht="14.25" hidden="1" customHeight="1" x14ac:dyDescent="0.45">
      <c r="A6723" t="str">
        <f>_xlfn.XLOOKUP(B6723,Ingot!$H$12:$H$119,Ingot!$G$12:$G$119,"")</f>
        <v>Stone</v>
      </c>
      <c r="B6723" t="s">
        <v>13399</v>
      </c>
      <c r="C6723" t="s">
        <v>10</v>
      </c>
      <c r="D6723" t="s">
        <v>13514</v>
      </c>
      <c r="E6723" t="s">
        <v>13515</v>
      </c>
      <c r="G6723" s="1">
        <v>3.11</v>
      </c>
    </row>
    <row r="6724" spans="1:7" ht="14.25" hidden="1" customHeight="1" x14ac:dyDescent="0.45">
      <c r="A6724" t="str">
        <f>_xlfn.XLOOKUP(B6724,Ingot!$H$12:$H$119,Ingot!$G$12:$G$119,"")</f>
        <v>Stone</v>
      </c>
      <c r="B6724" t="s">
        <v>13399</v>
      </c>
      <c r="C6724" t="s">
        <v>10</v>
      </c>
      <c r="D6724" t="s">
        <v>13516</v>
      </c>
      <c r="E6724" t="s">
        <v>13517</v>
      </c>
      <c r="G6724" s="1">
        <v>2.44</v>
      </c>
    </row>
    <row r="6725" spans="1:7" ht="14.25" hidden="1" customHeight="1" x14ac:dyDescent="0.45">
      <c r="A6725" t="str">
        <f>_xlfn.XLOOKUP(B6725,Ingot!$H$12:$H$119,Ingot!$G$12:$G$119,"")</f>
        <v>Stone</v>
      </c>
      <c r="B6725" t="s">
        <v>13399</v>
      </c>
      <c r="C6725" t="s">
        <v>10</v>
      </c>
      <c r="D6725" t="s">
        <v>13518</v>
      </c>
      <c r="E6725" t="s">
        <v>13519</v>
      </c>
      <c r="G6725" s="1">
        <v>8.61</v>
      </c>
    </row>
    <row r="6726" spans="1:7" ht="14.25" hidden="1" customHeight="1" x14ac:dyDescent="0.45">
      <c r="A6726" t="str">
        <f>_xlfn.XLOOKUP(B6726,Ingot!$H$12:$H$119,Ingot!$G$12:$G$119,"")</f>
        <v>Stone</v>
      </c>
      <c r="B6726" t="s">
        <v>13399</v>
      </c>
      <c r="C6726" t="s">
        <v>10</v>
      </c>
      <c r="D6726" t="s">
        <v>13520</v>
      </c>
      <c r="E6726" t="s">
        <v>13521</v>
      </c>
    </row>
    <row r="6727" spans="1:7" ht="14.25" hidden="1" customHeight="1" x14ac:dyDescent="0.45">
      <c r="A6727" t="str">
        <f>_xlfn.XLOOKUP(B6727,Ingot!$H$12:$H$119,Ingot!$G$12:$G$119,"")</f>
        <v>Stone</v>
      </c>
      <c r="B6727" t="s">
        <v>13399</v>
      </c>
      <c r="C6727" t="s">
        <v>10</v>
      </c>
      <c r="D6727" t="s">
        <v>13522</v>
      </c>
      <c r="E6727" t="s">
        <v>13523</v>
      </c>
      <c r="G6727" s="1">
        <v>3.21</v>
      </c>
    </row>
    <row r="6728" spans="1:7" ht="14.25" hidden="1" customHeight="1" x14ac:dyDescent="0.45">
      <c r="A6728" t="str">
        <f>_xlfn.XLOOKUP(B6728,Ingot!$H$12:$H$119,Ingot!$G$12:$G$119,"")</f>
        <v>Stone</v>
      </c>
      <c r="B6728" t="s">
        <v>13399</v>
      </c>
      <c r="C6728" t="s">
        <v>10</v>
      </c>
      <c r="D6728" t="s">
        <v>13524</v>
      </c>
      <c r="E6728" t="s">
        <v>13525</v>
      </c>
      <c r="G6728" s="1">
        <v>2.77</v>
      </c>
    </row>
    <row r="6729" spans="1:7" ht="14.25" hidden="1" customHeight="1" x14ac:dyDescent="0.45">
      <c r="A6729" t="str">
        <f>_xlfn.XLOOKUP(B6729,Ingot!$H$12:$H$119,Ingot!$G$12:$G$119,"")</f>
        <v>Stone</v>
      </c>
      <c r="B6729" t="s">
        <v>13399</v>
      </c>
      <c r="C6729" t="s">
        <v>10</v>
      </c>
      <c r="D6729" t="s">
        <v>13526</v>
      </c>
      <c r="E6729" t="s">
        <v>13527</v>
      </c>
      <c r="G6729" s="1">
        <v>4.8899999999999997</v>
      </c>
    </row>
    <row r="6730" spans="1:7" ht="14.25" hidden="1" customHeight="1" x14ac:dyDescent="0.45">
      <c r="A6730" t="str">
        <f>_xlfn.XLOOKUP(B6730,Ingot!$H$12:$H$119,Ingot!$G$12:$G$119,"")</f>
        <v>Stone</v>
      </c>
      <c r="B6730" t="s">
        <v>13399</v>
      </c>
      <c r="C6730" t="s">
        <v>10</v>
      </c>
      <c r="D6730" t="s">
        <v>13528</v>
      </c>
      <c r="E6730" t="s">
        <v>13529</v>
      </c>
      <c r="G6730" s="1">
        <v>1.76</v>
      </c>
    </row>
    <row r="6731" spans="1:7" ht="14.25" hidden="1" customHeight="1" x14ac:dyDescent="0.45">
      <c r="A6731" t="str">
        <f>_xlfn.XLOOKUP(B6731,Ingot!$H$12:$H$119,Ingot!$G$12:$G$119,"")</f>
        <v>Stone</v>
      </c>
      <c r="B6731" t="s">
        <v>13399</v>
      </c>
      <c r="C6731" t="s">
        <v>10</v>
      </c>
      <c r="D6731" t="s">
        <v>13530</v>
      </c>
      <c r="E6731" t="s">
        <v>13531</v>
      </c>
    </row>
    <row r="6732" spans="1:7" ht="14.25" hidden="1" customHeight="1" x14ac:dyDescent="0.45">
      <c r="A6732" t="str">
        <f>_xlfn.XLOOKUP(B6732,Ingot!$H$12:$H$119,Ingot!$G$12:$G$119,"")</f>
        <v>Stone</v>
      </c>
      <c r="B6732" t="s">
        <v>13399</v>
      </c>
      <c r="C6732" t="s">
        <v>10</v>
      </c>
      <c r="D6732" t="s">
        <v>13532</v>
      </c>
      <c r="E6732" t="s">
        <v>13533</v>
      </c>
      <c r="G6732" s="1">
        <v>8.57</v>
      </c>
    </row>
    <row r="6733" spans="1:7" ht="14.25" hidden="1" customHeight="1" x14ac:dyDescent="0.45">
      <c r="A6733" t="str">
        <f>_xlfn.XLOOKUP(B6733,Ingot!$H$12:$H$119,Ingot!$G$12:$G$119,"")</f>
        <v>Stone</v>
      </c>
      <c r="B6733" t="s">
        <v>13399</v>
      </c>
      <c r="C6733" t="s">
        <v>10</v>
      </c>
      <c r="D6733" t="s">
        <v>13534</v>
      </c>
      <c r="E6733" t="s">
        <v>13535</v>
      </c>
    </row>
    <row r="6734" spans="1:7" ht="14.25" hidden="1" customHeight="1" x14ac:dyDescent="0.45">
      <c r="A6734" t="str">
        <f>_xlfn.XLOOKUP(B6734,Ingot!$H$12:$H$119,Ingot!$G$12:$G$119,"")</f>
        <v>Stone</v>
      </c>
      <c r="B6734" t="s">
        <v>13399</v>
      </c>
      <c r="C6734" t="s">
        <v>10</v>
      </c>
      <c r="D6734" t="s">
        <v>13536</v>
      </c>
      <c r="E6734" t="s">
        <v>13537</v>
      </c>
      <c r="G6734" s="1">
        <v>3.56</v>
      </c>
    </row>
    <row r="6735" spans="1:7" ht="14.25" hidden="1" customHeight="1" x14ac:dyDescent="0.45">
      <c r="A6735" t="str">
        <f>_xlfn.XLOOKUP(B6735,Ingot!$H$12:$H$119,Ingot!$G$12:$G$119,"")</f>
        <v>Stone</v>
      </c>
      <c r="B6735" t="s">
        <v>13399</v>
      </c>
      <c r="C6735" t="s">
        <v>10</v>
      </c>
      <c r="D6735" t="s">
        <v>13538</v>
      </c>
      <c r="E6735" t="s">
        <v>13539</v>
      </c>
      <c r="G6735" s="1">
        <v>8.91</v>
      </c>
    </row>
    <row r="6736" spans="1:7" ht="14.25" hidden="1" customHeight="1" x14ac:dyDescent="0.45">
      <c r="A6736" t="str">
        <f>_xlfn.XLOOKUP(B6736,Ingot!$H$12:$H$119,Ingot!$G$12:$G$119,"")</f>
        <v>Stone</v>
      </c>
      <c r="B6736" t="s">
        <v>13399</v>
      </c>
      <c r="C6736" t="s">
        <v>10</v>
      </c>
      <c r="D6736" t="s">
        <v>13540</v>
      </c>
      <c r="E6736" t="s">
        <v>13541</v>
      </c>
      <c r="G6736" s="1">
        <v>11.02</v>
      </c>
    </row>
    <row r="6737" spans="1:7" ht="14.25" hidden="1" customHeight="1" x14ac:dyDescent="0.45">
      <c r="A6737" t="str">
        <f>_xlfn.XLOOKUP(B6737,Ingot!$H$12:$H$119,Ingot!$G$12:$G$119,"")</f>
        <v>Stone</v>
      </c>
      <c r="B6737" t="s">
        <v>13399</v>
      </c>
      <c r="C6737" t="s">
        <v>10</v>
      </c>
      <c r="D6737" t="s">
        <v>13542</v>
      </c>
      <c r="E6737" t="s">
        <v>13543</v>
      </c>
      <c r="G6737" s="1">
        <v>5.12</v>
      </c>
    </row>
    <row r="6738" spans="1:7" ht="14.25" hidden="1" customHeight="1" x14ac:dyDescent="0.45">
      <c r="A6738" t="str">
        <f>_xlfn.XLOOKUP(B6738,Ingot!$H$12:$H$119,Ingot!$G$12:$G$119,"")</f>
        <v>Stone</v>
      </c>
      <c r="B6738" t="s">
        <v>13399</v>
      </c>
      <c r="C6738" t="s">
        <v>10</v>
      </c>
      <c r="D6738" t="s">
        <v>13544</v>
      </c>
      <c r="E6738" t="s">
        <v>13545</v>
      </c>
      <c r="G6738" s="1">
        <v>4.41</v>
      </c>
    </row>
    <row r="6739" spans="1:7" ht="14.25" hidden="1" customHeight="1" x14ac:dyDescent="0.45">
      <c r="A6739" t="str">
        <f>_xlfn.XLOOKUP(B6739,Ingot!$H$12:$H$119,Ingot!$G$12:$G$119,"")</f>
        <v>Stone</v>
      </c>
      <c r="B6739" t="s">
        <v>13399</v>
      </c>
      <c r="C6739" t="s">
        <v>157</v>
      </c>
      <c r="D6739" t="s">
        <v>13546</v>
      </c>
      <c r="E6739" t="s">
        <v>13547</v>
      </c>
      <c r="G6739" s="1">
        <v>45.4</v>
      </c>
    </row>
    <row r="6740" spans="1:7" ht="14.25" hidden="1" customHeight="1" x14ac:dyDescent="0.45">
      <c r="A6740" t="str">
        <f>_xlfn.XLOOKUP(B6740,Ingot!$H$12:$H$119,Ingot!$G$12:$G$119,"")</f>
        <v>Stone</v>
      </c>
      <c r="B6740" t="s">
        <v>13399</v>
      </c>
      <c r="C6740" t="s">
        <v>157</v>
      </c>
      <c r="D6740" t="s">
        <v>13548</v>
      </c>
      <c r="E6740" t="s">
        <v>13549</v>
      </c>
      <c r="G6740" s="1">
        <v>9.08</v>
      </c>
    </row>
    <row r="6741" spans="1:7" ht="14.25" hidden="1" customHeight="1" x14ac:dyDescent="0.45">
      <c r="A6741" t="str">
        <f>_xlfn.XLOOKUP(B6741,Ingot!$H$12:$H$119,Ingot!$G$12:$G$119,"")</f>
        <v>Stone</v>
      </c>
      <c r="B6741" t="s">
        <v>13399</v>
      </c>
      <c r="C6741" t="s">
        <v>157</v>
      </c>
      <c r="D6741" t="s">
        <v>13550</v>
      </c>
      <c r="E6741" t="s">
        <v>13551</v>
      </c>
      <c r="G6741" s="1">
        <v>9.08</v>
      </c>
    </row>
    <row r="6742" spans="1:7" ht="14.25" hidden="1" customHeight="1" x14ac:dyDescent="0.45">
      <c r="A6742" t="str">
        <f>_xlfn.XLOOKUP(B6742,Ingot!$H$12:$H$119,Ingot!$G$12:$G$119,"")</f>
        <v>Stone</v>
      </c>
      <c r="B6742" t="s">
        <v>13399</v>
      </c>
      <c r="C6742" t="s">
        <v>157</v>
      </c>
      <c r="D6742" t="s">
        <v>13552</v>
      </c>
      <c r="E6742" t="s">
        <v>13553</v>
      </c>
      <c r="G6742" s="1">
        <v>5.9</v>
      </c>
    </row>
    <row r="6743" spans="1:7" ht="14.25" hidden="1" customHeight="1" x14ac:dyDescent="0.45">
      <c r="A6743" t="str">
        <f>_xlfn.XLOOKUP(B6743,Ingot!$H$12:$H$119,Ingot!$G$12:$G$119,"")</f>
        <v>Stone</v>
      </c>
      <c r="B6743" t="s">
        <v>13399</v>
      </c>
      <c r="C6743" t="s">
        <v>157</v>
      </c>
      <c r="D6743" t="s">
        <v>13554</v>
      </c>
      <c r="E6743" t="s">
        <v>13555</v>
      </c>
      <c r="G6743" s="1">
        <v>11.8</v>
      </c>
    </row>
    <row r="6744" spans="1:7" ht="14.25" hidden="1" customHeight="1" x14ac:dyDescent="0.45">
      <c r="A6744" t="str">
        <f>_xlfn.XLOOKUP(B6744,Ingot!$H$12:$H$119,Ingot!$G$12:$G$119,"")</f>
        <v>Stone</v>
      </c>
      <c r="B6744" t="s">
        <v>13399</v>
      </c>
      <c r="C6744" t="s">
        <v>157</v>
      </c>
      <c r="D6744" t="s">
        <v>13556</v>
      </c>
      <c r="E6744" t="s">
        <v>13557</v>
      </c>
      <c r="G6744" s="1">
        <v>41.4</v>
      </c>
    </row>
    <row r="6745" spans="1:7" ht="14.25" hidden="1" customHeight="1" x14ac:dyDescent="0.45">
      <c r="A6745" t="str">
        <f>_xlfn.XLOOKUP(B6745,Ingot!$H$12:$H$119,Ingot!$G$12:$G$119,"")</f>
        <v>Stone</v>
      </c>
      <c r="B6745" t="s">
        <v>13399</v>
      </c>
      <c r="C6745" t="s">
        <v>157</v>
      </c>
      <c r="D6745" t="s">
        <v>13558</v>
      </c>
      <c r="E6745" t="s">
        <v>13559</v>
      </c>
      <c r="G6745" s="1">
        <v>8.2799999999999994</v>
      </c>
    </row>
    <row r="6746" spans="1:7" ht="14.25" hidden="1" customHeight="1" x14ac:dyDescent="0.45">
      <c r="A6746" t="str">
        <f>_xlfn.XLOOKUP(B6746,Ingot!$H$12:$H$119,Ingot!$G$12:$G$119,"")</f>
        <v>Stone</v>
      </c>
      <c r="B6746" t="s">
        <v>13399</v>
      </c>
      <c r="C6746" t="s">
        <v>157</v>
      </c>
      <c r="D6746" t="s">
        <v>13560</v>
      </c>
      <c r="E6746" t="s">
        <v>13561</v>
      </c>
      <c r="G6746" s="1">
        <v>8.2799999999999994</v>
      </c>
    </row>
    <row r="6747" spans="1:7" ht="14.25" hidden="1" customHeight="1" x14ac:dyDescent="0.45">
      <c r="A6747" t="str">
        <f>_xlfn.XLOOKUP(B6747,Ingot!$H$12:$H$119,Ingot!$G$12:$G$119,"")</f>
        <v>Stone</v>
      </c>
      <c r="B6747" t="s">
        <v>13399</v>
      </c>
      <c r="C6747" t="s">
        <v>157</v>
      </c>
      <c r="D6747" t="s">
        <v>13562</v>
      </c>
      <c r="E6747" t="s">
        <v>13563</v>
      </c>
      <c r="G6747" s="1">
        <v>5.38</v>
      </c>
    </row>
    <row r="6748" spans="1:7" ht="14.25" hidden="1" customHeight="1" x14ac:dyDescent="0.45">
      <c r="A6748" t="str">
        <f>_xlfn.XLOOKUP(B6748,Ingot!$H$12:$H$119,Ingot!$G$12:$G$119,"")</f>
        <v>Stone</v>
      </c>
      <c r="B6748" t="s">
        <v>13399</v>
      </c>
      <c r="C6748" t="s">
        <v>157</v>
      </c>
      <c r="D6748" t="s">
        <v>13564</v>
      </c>
      <c r="E6748" t="s">
        <v>13565</v>
      </c>
      <c r="G6748" s="1">
        <v>10.76</v>
      </c>
    </row>
    <row r="6749" spans="1:7" ht="14.25" hidden="1" customHeight="1" x14ac:dyDescent="0.45">
      <c r="A6749" t="str">
        <f>_xlfn.XLOOKUP(B6749,Ingot!$H$12:$H$119,Ingot!$G$12:$G$119,"")</f>
        <v>Stone</v>
      </c>
      <c r="B6749" t="s">
        <v>13399</v>
      </c>
      <c r="C6749" t="s">
        <v>157</v>
      </c>
      <c r="D6749" t="s">
        <v>13566</v>
      </c>
      <c r="E6749" t="s">
        <v>13567</v>
      </c>
      <c r="F6749" t="s">
        <v>180</v>
      </c>
      <c r="G6749" s="1">
        <v>40.4</v>
      </c>
    </row>
    <row r="6750" spans="1:7" ht="14.25" hidden="1" customHeight="1" x14ac:dyDescent="0.45">
      <c r="A6750" t="str">
        <f>_xlfn.XLOOKUP(B6750,Ingot!$H$12:$H$119,Ingot!$G$12:$G$119,"")</f>
        <v>Stone</v>
      </c>
      <c r="B6750" t="s">
        <v>13399</v>
      </c>
      <c r="C6750" t="s">
        <v>157</v>
      </c>
      <c r="D6750" t="s">
        <v>13568</v>
      </c>
      <c r="E6750" t="s">
        <v>13569</v>
      </c>
      <c r="F6750" t="s">
        <v>180</v>
      </c>
      <c r="G6750" s="1">
        <v>8.08</v>
      </c>
    </row>
    <row r="6751" spans="1:7" ht="14.25" hidden="1" customHeight="1" x14ac:dyDescent="0.45">
      <c r="A6751" t="str">
        <f>_xlfn.XLOOKUP(B6751,Ingot!$H$12:$H$119,Ingot!$G$12:$G$119,"")</f>
        <v>Stone</v>
      </c>
      <c r="B6751" t="s">
        <v>13399</v>
      </c>
      <c r="C6751" t="s">
        <v>157</v>
      </c>
      <c r="D6751" t="s">
        <v>13570</v>
      </c>
      <c r="E6751" t="s">
        <v>13571</v>
      </c>
      <c r="F6751" t="s">
        <v>180</v>
      </c>
      <c r="G6751" s="1">
        <v>8.08</v>
      </c>
    </row>
    <row r="6752" spans="1:7" ht="14.25" hidden="1" customHeight="1" x14ac:dyDescent="0.45">
      <c r="A6752" t="str">
        <f>_xlfn.XLOOKUP(B6752,Ingot!$H$12:$H$119,Ingot!$G$12:$G$119,"")</f>
        <v>Stone</v>
      </c>
      <c r="B6752" t="s">
        <v>13399</v>
      </c>
      <c r="C6752" t="s">
        <v>157</v>
      </c>
      <c r="D6752" t="s">
        <v>13572</v>
      </c>
      <c r="E6752" t="s">
        <v>13573</v>
      </c>
      <c r="F6752" t="s">
        <v>180</v>
      </c>
      <c r="G6752" s="1">
        <v>5.25</v>
      </c>
    </row>
    <row r="6753" spans="1:7" ht="14.25" hidden="1" customHeight="1" x14ac:dyDescent="0.45">
      <c r="A6753" t="str">
        <f>_xlfn.XLOOKUP(B6753,Ingot!$H$12:$H$119,Ingot!$G$12:$G$119,"")</f>
        <v>Stone</v>
      </c>
      <c r="B6753" t="s">
        <v>13399</v>
      </c>
      <c r="C6753" t="s">
        <v>157</v>
      </c>
      <c r="D6753" t="s">
        <v>13574</v>
      </c>
      <c r="E6753" t="s">
        <v>13575</v>
      </c>
      <c r="F6753" t="s">
        <v>180</v>
      </c>
      <c r="G6753" s="1">
        <v>10.5</v>
      </c>
    </row>
    <row r="6754" spans="1:7" ht="14.25" hidden="1" customHeight="1" x14ac:dyDescent="0.45">
      <c r="A6754" t="str">
        <f>_xlfn.XLOOKUP(B6754,Ingot!$H$12:$H$119,Ingot!$G$12:$G$119,"")</f>
        <v>Stone</v>
      </c>
      <c r="B6754" t="s">
        <v>13399</v>
      </c>
      <c r="C6754" t="s">
        <v>157</v>
      </c>
      <c r="D6754" t="s">
        <v>13576</v>
      </c>
      <c r="E6754" t="s">
        <v>13577</v>
      </c>
      <c r="G6754" s="1">
        <v>42.4</v>
      </c>
    </row>
    <row r="6755" spans="1:7" ht="14.25" hidden="1" customHeight="1" x14ac:dyDescent="0.45">
      <c r="A6755" t="str">
        <f>_xlfn.XLOOKUP(B6755,Ingot!$H$12:$H$119,Ingot!$G$12:$G$119,"")</f>
        <v>Stone</v>
      </c>
      <c r="B6755" t="s">
        <v>13399</v>
      </c>
      <c r="C6755" t="s">
        <v>157</v>
      </c>
      <c r="D6755" t="s">
        <v>13578</v>
      </c>
      <c r="E6755" t="s">
        <v>13579</v>
      </c>
      <c r="G6755" s="1">
        <v>8.48</v>
      </c>
    </row>
    <row r="6756" spans="1:7" ht="14.25" hidden="1" customHeight="1" x14ac:dyDescent="0.45">
      <c r="A6756" t="str">
        <f>_xlfn.XLOOKUP(B6756,Ingot!$H$12:$H$119,Ingot!$G$12:$G$119,"")</f>
        <v>Stone</v>
      </c>
      <c r="B6756" t="s">
        <v>13399</v>
      </c>
      <c r="C6756" t="s">
        <v>157</v>
      </c>
      <c r="D6756" t="s">
        <v>13580</v>
      </c>
      <c r="E6756" t="s">
        <v>13581</v>
      </c>
      <c r="G6756" s="1">
        <v>8.48</v>
      </c>
    </row>
    <row r="6757" spans="1:7" ht="14.25" hidden="1" customHeight="1" x14ac:dyDescent="0.45">
      <c r="A6757" t="str">
        <f>_xlfn.XLOOKUP(B6757,Ingot!$H$12:$H$119,Ingot!$G$12:$G$119,"")</f>
        <v>Stone</v>
      </c>
      <c r="B6757" t="s">
        <v>13399</v>
      </c>
      <c r="C6757" t="s">
        <v>157</v>
      </c>
      <c r="D6757" t="s">
        <v>13582</v>
      </c>
      <c r="E6757" t="s">
        <v>13583</v>
      </c>
      <c r="G6757" s="1">
        <v>5.51</v>
      </c>
    </row>
    <row r="6758" spans="1:7" ht="14.25" hidden="1" customHeight="1" x14ac:dyDescent="0.45">
      <c r="A6758" t="str">
        <f>_xlfn.XLOOKUP(B6758,Ingot!$H$12:$H$119,Ingot!$G$12:$G$119,"")</f>
        <v>Stone</v>
      </c>
      <c r="B6758" t="s">
        <v>13399</v>
      </c>
      <c r="C6758" t="s">
        <v>157</v>
      </c>
      <c r="D6758" t="s">
        <v>13584</v>
      </c>
      <c r="E6758" t="s">
        <v>13585</v>
      </c>
      <c r="G6758" s="1">
        <v>11.02</v>
      </c>
    </row>
    <row r="6759" spans="1:7" ht="14.25" hidden="1" customHeight="1" x14ac:dyDescent="0.45">
      <c r="A6759" t="str">
        <f>_xlfn.XLOOKUP(B6759,Ingot!$H$12:$H$119,Ingot!$G$12:$G$119,"")</f>
        <v>Stone</v>
      </c>
      <c r="B6759" t="s">
        <v>13399</v>
      </c>
      <c r="C6759" t="s">
        <v>157</v>
      </c>
      <c r="D6759" t="s">
        <v>13586</v>
      </c>
      <c r="E6759" t="s">
        <v>13587</v>
      </c>
      <c r="G6759" s="1">
        <v>43.9</v>
      </c>
    </row>
    <row r="6760" spans="1:7" ht="14.25" hidden="1" customHeight="1" x14ac:dyDescent="0.45">
      <c r="A6760" t="str">
        <f>_xlfn.XLOOKUP(B6760,Ingot!$H$12:$H$119,Ingot!$G$12:$G$119,"")</f>
        <v>Stone</v>
      </c>
      <c r="B6760" t="s">
        <v>13399</v>
      </c>
      <c r="C6760" t="s">
        <v>157</v>
      </c>
      <c r="D6760" t="s">
        <v>13588</v>
      </c>
      <c r="E6760" t="s">
        <v>13589</v>
      </c>
      <c r="F6760" t="s">
        <v>180</v>
      </c>
      <c r="G6760" s="1">
        <v>8.7799999999999994</v>
      </c>
    </row>
    <row r="6761" spans="1:7" ht="14.25" hidden="1" customHeight="1" x14ac:dyDescent="0.45">
      <c r="A6761" t="str">
        <f>_xlfn.XLOOKUP(B6761,Ingot!$H$12:$H$119,Ingot!$G$12:$G$119,"")</f>
        <v>Stone</v>
      </c>
      <c r="B6761" t="s">
        <v>13399</v>
      </c>
      <c r="C6761" t="s">
        <v>157</v>
      </c>
      <c r="D6761" t="s">
        <v>13590</v>
      </c>
      <c r="E6761" t="s">
        <v>13591</v>
      </c>
      <c r="F6761" t="s">
        <v>180</v>
      </c>
      <c r="G6761" s="1">
        <v>8.7799999999999994</v>
      </c>
    </row>
    <row r="6762" spans="1:7" ht="14.25" hidden="1" customHeight="1" x14ac:dyDescent="0.45">
      <c r="A6762" t="str">
        <f>_xlfn.XLOOKUP(B6762,Ingot!$H$12:$H$119,Ingot!$G$12:$G$119,"")</f>
        <v>Stone</v>
      </c>
      <c r="B6762" t="s">
        <v>13399</v>
      </c>
      <c r="C6762" t="s">
        <v>157</v>
      </c>
      <c r="D6762" t="s">
        <v>13592</v>
      </c>
      <c r="E6762" t="s">
        <v>13593</v>
      </c>
      <c r="F6762" t="s">
        <v>180</v>
      </c>
      <c r="G6762" s="1">
        <v>5.71</v>
      </c>
    </row>
    <row r="6763" spans="1:7" ht="14.25" hidden="1" customHeight="1" x14ac:dyDescent="0.45">
      <c r="A6763" t="str">
        <f>_xlfn.XLOOKUP(B6763,Ingot!$H$12:$H$119,Ingot!$G$12:$G$119,"")</f>
        <v>Stone</v>
      </c>
      <c r="B6763" t="s">
        <v>13399</v>
      </c>
      <c r="C6763" t="s">
        <v>157</v>
      </c>
      <c r="D6763" t="s">
        <v>13594</v>
      </c>
      <c r="E6763" t="s">
        <v>13595</v>
      </c>
      <c r="G6763" s="1">
        <v>11.41</v>
      </c>
    </row>
    <row r="6764" spans="1:7" ht="14.25" hidden="1" customHeight="1" x14ac:dyDescent="0.45">
      <c r="A6764" t="str">
        <f>_xlfn.XLOOKUP(B6764,Ingot!$H$12:$H$119,Ingot!$G$12:$G$119,"")</f>
        <v>Stone</v>
      </c>
      <c r="B6764" t="s">
        <v>13399</v>
      </c>
      <c r="C6764" t="s">
        <v>157</v>
      </c>
      <c r="D6764" t="s">
        <v>13596</v>
      </c>
      <c r="E6764" t="s">
        <v>13597</v>
      </c>
      <c r="G6764" s="1">
        <v>48.4</v>
      </c>
    </row>
    <row r="6765" spans="1:7" ht="14.25" hidden="1" customHeight="1" x14ac:dyDescent="0.45">
      <c r="A6765" t="str">
        <f>_xlfn.XLOOKUP(B6765,Ingot!$H$12:$H$119,Ingot!$G$12:$G$119,"")</f>
        <v>Stone</v>
      </c>
      <c r="B6765" t="s">
        <v>13399</v>
      </c>
      <c r="C6765" t="s">
        <v>157</v>
      </c>
      <c r="D6765" t="s">
        <v>13598</v>
      </c>
      <c r="E6765" t="s">
        <v>13599</v>
      </c>
      <c r="G6765" s="1">
        <v>9.68</v>
      </c>
    </row>
    <row r="6766" spans="1:7" ht="14.25" hidden="1" customHeight="1" x14ac:dyDescent="0.45">
      <c r="A6766" t="str">
        <f>_xlfn.XLOOKUP(B6766,Ingot!$H$12:$H$119,Ingot!$G$12:$G$119,"")</f>
        <v>Stone</v>
      </c>
      <c r="B6766" t="s">
        <v>13399</v>
      </c>
      <c r="C6766" t="s">
        <v>157</v>
      </c>
      <c r="D6766" t="s">
        <v>13600</v>
      </c>
      <c r="E6766" t="s">
        <v>13601</v>
      </c>
      <c r="G6766" s="1">
        <v>9.68</v>
      </c>
    </row>
    <row r="6767" spans="1:7" ht="14.25" hidden="1" customHeight="1" x14ac:dyDescent="0.45">
      <c r="A6767" t="str">
        <f>_xlfn.XLOOKUP(B6767,Ingot!$H$12:$H$119,Ingot!$G$12:$G$119,"")</f>
        <v>Stone</v>
      </c>
      <c r="B6767" t="s">
        <v>13399</v>
      </c>
      <c r="C6767" t="s">
        <v>157</v>
      </c>
      <c r="D6767" t="s">
        <v>13602</v>
      </c>
      <c r="E6767" t="s">
        <v>13603</v>
      </c>
      <c r="G6767" s="1">
        <v>6.29</v>
      </c>
    </row>
    <row r="6768" spans="1:7" ht="14.25" hidden="1" customHeight="1" x14ac:dyDescent="0.45">
      <c r="A6768" t="str">
        <f>_xlfn.XLOOKUP(B6768,Ingot!$H$12:$H$119,Ingot!$G$12:$G$119,"")</f>
        <v>Stone</v>
      </c>
      <c r="B6768" t="s">
        <v>13399</v>
      </c>
      <c r="C6768" t="s">
        <v>157</v>
      </c>
      <c r="D6768" t="s">
        <v>13604</v>
      </c>
      <c r="E6768" t="s">
        <v>13605</v>
      </c>
      <c r="G6768" s="1">
        <v>12.58</v>
      </c>
    </row>
    <row r="6769" spans="1:7" ht="14.25" hidden="1" customHeight="1" x14ac:dyDescent="0.45">
      <c r="A6769" t="str">
        <f>_xlfn.XLOOKUP(B6769,Ingot!$H$12:$H$119,Ingot!$G$12:$G$119,"")</f>
        <v>Stone</v>
      </c>
      <c r="B6769" t="s">
        <v>13399</v>
      </c>
      <c r="C6769" t="s">
        <v>157</v>
      </c>
      <c r="D6769" t="s">
        <v>13606</v>
      </c>
      <c r="E6769" t="s">
        <v>13607</v>
      </c>
      <c r="G6769" s="1">
        <v>46.9</v>
      </c>
    </row>
    <row r="6770" spans="1:7" ht="14.25" hidden="1" customHeight="1" x14ac:dyDescent="0.45">
      <c r="A6770" t="str">
        <f>_xlfn.XLOOKUP(B6770,Ingot!$H$12:$H$119,Ingot!$G$12:$G$119,"")</f>
        <v>Stone</v>
      </c>
      <c r="B6770" t="s">
        <v>13399</v>
      </c>
      <c r="C6770" t="s">
        <v>157</v>
      </c>
      <c r="D6770" t="s">
        <v>13608</v>
      </c>
      <c r="E6770" t="s">
        <v>13609</v>
      </c>
      <c r="G6770" s="1">
        <v>9.3800000000000008</v>
      </c>
    </row>
    <row r="6771" spans="1:7" ht="14.25" hidden="1" customHeight="1" x14ac:dyDescent="0.45">
      <c r="A6771" t="str">
        <f>_xlfn.XLOOKUP(B6771,Ingot!$H$12:$H$119,Ingot!$G$12:$G$119,"")</f>
        <v>Stone</v>
      </c>
      <c r="B6771" t="s">
        <v>13399</v>
      </c>
      <c r="C6771" t="s">
        <v>157</v>
      </c>
      <c r="D6771" t="s">
        <v>13610</v>
      </c>
      <c r="E6771" t="s">
        <v>13611</v>
      </c>
      <c r="G6771" s="1">
        <v>9.3800000000000008</v>
      </c>
    </row>
    <row r="6772" spans="1:7" ht="14.25" hidden="1" customHeight="1" x14ac:dyDescent="0.45">
      <c r="A6772" t="str">
        <f>_xlfn.XLOOKUP(B6772,Ingot!$H$12:$H$119,Ingot!$G$12:$G$119,"")</f>
        <v>Stone</v>
      </c>
      <c r="B6772" t="s">
        <v>13399</v>
      </c>
      <c r="C6772" t="s">
        <v>157</v>
      </c>
      <c r="D6772" t="s">
        <v>13612</v>
      </c>
      <c r="E6772" t="s">
        <v>13613</v>
      </c>
      <c r="G6772" s="1">
        <v>6.1</v>
      </c>
    </row>
    <row r="6773" spans="1:7" ht="14.25" hidden="1" customHeight="1" x14ac:dyDescent="0.45">
      <c r="A6773" t="str">
        <f>_xlfn.XLOOKUP(B6773,Ingot!$H$12:$H$119,Ingot!$G$12:$G$119,"")</f>
        <v>Stone</v>
      </c>
      <c r="B6773" t="s">
        <v>13399</v>
      </c>
      <c r="C6773" t="s">
        <v>157</v>
      </c>
      <c r="D6773" t="s">
        <v>13614</v>
      </c>
      <c r="E6773" t="s">
        <v>13615</v>
      </c>
      <c r="G6773" s="1">
        <v>12.19</v>
      </c>
    </row>
    <row r="6774" spans="1:7" ht="14.25" hidden="1" customHeight="1" x14ac:dyDescent="0.45">
      <c r="A6774" t="str">
        <f>_xlfn.XLOOKUP(B6774,Ingot!$H$12:$H$119,Ingot!$G$12:$G$119,"")</f>
        <v>Stone</v>
      </c>
      <c r="B6774" t="s">
        <v>13399</v>
      </c>
      <c r="C6774" t="s">
        <v>157</v>
      </c>
      <c r="D6774" t="s">
        <v>13616</v>
      </c>
      <c r="E6774" t="s">
        <v>13617</v>
      </c>
      <c r="F6774" t="s">
        <v>180</v>
      </c>
      <c r="G6774" s="1">
        <v>39.4</v>
      </c>
    </row>
    <row r="6775" spans="1:7" ht="14.25" hidden="1" customHeight="1" x14ac:dyDescent="0.45">
      <c r="A6775" t="str">
        <f>_xlfn.XLOOKUP(B6775,Ingot!$H$12:$H$119,Ingot!$G$12:$G$119,"")</f>
        <v>Stone</v>
      </c>
      <c r="B6775" t="s">
        <v>13399</v>
      </c>
      <c r="C6775" t="s">
        <v>157</v>
      </c>
      <c r="D6775" t="s">
        <v>13618</v>
      </c>
      <c r="E6775" t="s">
        <v>13619</v>
      </c>
      <c r="F6775" t="s">
        <v>180</v>
      </c>
      <c r="G6775" s="1">
        <v>7.88</v>
      </c>
    </row>
    <row r="6776" spans="1:7" ht="14.25" hidden="1" customHeight="1" x14ac:dyDescent="0.45">
      <c r="A6776" t="str">
        <f>_xlfn.XLOOKUP(B6776,Ingot!$H$12:$H$119,Ingot!$G$12:$G$119,"")</f>
        <v>Stone</v>
      </c>
      <c r="B6776" t="s">
        <v>13399</v>
      </c>
      <c r="C6776" t="s">
        <v>157</v>
      </c>
      <c r="D6776" t="s">
        <v>13620</v>
      </c>
      <c r="E6776" t="s">
        <v>13621</v>
      </c>
      <c r="F6776" t="s">
        <v>180</v>
      </c>
      <c r="G6776" s="1">
        <v>7.88</v>
      </c>
    </row>
    <row r="6777" spans="1:7" ht="14.25" hidden="1" customHeight="1" x14ac:dyDescent="0.45">
      <c r="A6777" t="str">
        <f>_xlfn.XLOOKUP(B6777,Ingot!$H$12:$H$119,Ingot!$G$12:$G$119,"")</f>
        <v>Stone</v>
      </c>
      <c r="B6777" t="s">
        <v>13399</v>
      </c>
      <c r="C6777" t="s">
        <v>157</v>
      </c>
      <c r="D6777" t="s">
        <v>13622</v>
      </c>
      <c r="E6777" t="s">
        <v>13623</v>
      </c>
      <c r="F6777" t="s">
        <v>180</v>
      </c>
      <c r="G6777" s="1">
        <v>5.12</v>
      </c>
    </row>
    <row r="6778" spans="1:7" ht="14.25" hidden="1" customHeight="1" x14ac:dyDescent="0.45">
      <c r="A6778" t="str">
        <f>_xlfn.XLOOKUP(B6778,Ingot!$H$12:$H$119,Ingot!$G$12:$G$119,"")</f>
        <v>Stone</v>
      </c>
      <c r="B6778" t="s">
        <v>13399</v>
      </c>
      <c r="C6778" t="s">
        <v>157</v>
      </c>
      <c r="D6778" t="s">
        <v>13624</v>
      </c>
      <c r="E6778" t="s">
        <v>13625</v>
      </c>
      <c r="F6778" t="s">
        <v>180</v>
      </c>
      <c r="G6778" s="1">
        <v>10.24</v>
      </c>
    </row>
    <row r="6779" spans="1:7" ht="14.25" hidden="1" customHeight="1" x14ac:dyDescent="0.45">
      <c r="A6779" t="str">
        <f>_xlfn.XLOOKUP(B6779,Ingot!$H$12:$H$119,Ingot!$G$12:$G$119,"")</f>
        <v>Stone</v>
      </c>
      <c r="B6779" t="s">
        <v>13399</v>
      </c>
      <c r="C6779" t="s">
        <v>239</v>
      </c>
      <c r="D6779" t="s">
        <v>13626</v>
      </c>
      <c r="E6779" t="s">
        <v>13627</v>
      </c>
      <c r="G6779" s="1">
        <f>(VLOOKUP(B6779,Ingot!H:I,2,FALSE()) * 0.75) * 0.75</f>
        <v>8.4375</v>
      </c>
    </row>
    <row r="6780" spans="1:7" ht="14.25" hidden="1" customHeight="1" x14ac:dyDescent="0.45">
      <c r="A6780" t="str">
        <f>_xlfn.XLOOKUP(B6780,Ingot!$H$12:$H$119,Ingot!$G$12:$G$119,"")</f>
        <v>Stone</v>
      </c>
      <c r="B6780" t="s">
        <v>13399</v>
      </c>
      <c r="C6780" t="s">
        <v>239</v>
      </c>
      <c r="D6780" t="s">
        <v>13628</v>
      </c>
      <c r="E6780" t="s">
        <v>13629</v>
      </c>
      <c r="G6780" s="1">
        <f>((VLOOKUP(B6780,Ingot!H:I,2,FALSE()) * 3) - 10.25) * 0.421875</f>
        <v>14.66015625</v>
      </c>
    </row>
    <row r="6781" spans="1:7" ht="14.25" hidden="1" customHeight="1" x14ac:dyDescent="0.45">
      <c r="A6781" t="str">
        <f>_xlfn.XLOOKUP(B6781,Ingot!$H$12:$H$119,Ingot!$G$12:$G$119,"")</f>
        <v>Stone</v>
      </c>
      <c r="B6781" t="s">
        <v>13399</v>
      </c>
      <c r="C6781" t="s">
        <v>239</v>
      </c>
      <c r="D6781" t="s">
        <v>13630</v>
      </c>
      <c r="E6781" t="s">
        <v>13631</v>
      </c>
      <c r="G6781" s="1">
        <f>((VLOOKUP(B6781,Ingot!H:I,2,FALSE()) * 3) - 10.25) * 0.75</f>
        <v>26.0625</v>
      </c>
    </row>
    <row r="6782" spans="1:7" ht="14.25" hidden="1" customHeight="1" x14ac:dyDescent="0.45">
      <c r="A6782" t="str">
        <f>_xlfn.XLOOKUP(B6782,Ingot!$H$12:$H$119,Ingot!$G$12:$G$119,"")</f>
        <v>Stone</v>
      </c>
      <c r="B6782" t="s">
        <v>13399</v>
      </c>
      <c r="C6782" t="s">
        <v>239</v>
      </c>
      <c r="D6782" t="s">
        <v>13632</v>
      </c>
      <c r="E6782" t="s">
        <v>13633</v>
      </c>
      <c r="G6782" s="1">
        <f>((VLOOKUP(B6782,Ingot!H:I,2,FALSE()) * 3) - 10.25) * 0.5625</f>
        <v>19.546875</v>
      </c>
    </row>
    <row r="6783" spans="1:7" ht="14.25" hidden="1" customHeight="1" x14ac:dyDescent="0.45">
      <c r="A6783" t="str">
        <f>_xlfn.XLOOKUP(B6783,Ingot!$H$12:$H$119,Ingot!$G$12:$G$119,"")</f>
        <v>Stone</v>
      </c>
      <c r="B6783" t="s">
        <v>13399</v>
      </c>
      <c r="C6783" t="s">
        <v>239</v>
      </c>
      <c r="D6783" t="s">
        <v>13634</v>
      </c>
      <c r="E6783" t="s">
        <v>13635</v>
      </c>
      <c r="G6783" s="1">
        <f>VLOOKUP(B6783,Ingot!H:I,2,FALSE()) * 0.75</f>
        <v>11.25</v>
      </c>
    </row>
    <row r="6784" spans="1:7" ht="14.25" hidden="1" customHeight="1" x14ac:dyDescent="0.45">
      <c r="A6784" t="str">
        <f>_xlfn.XLOOKUP(B6784,Ingot!$H$12:$H$119,Ingot!$G$12:$G$119,"")</f>
        <v>Stone</v>
      </c>
      <c r="B6784" t="s">
        <v>13399</v>
      </c>
      <c r="C6784" t="s">
        <v>239</v>
      </c>
      <c r="D6784" t="s">
        <v>13636</v>
      </c>
      <c r="E6784" t="s">
        <v>13637</v>
      </c>
      <c r="G6784" s="1">
        <f>(VLOOKUP(B6784,Ingot!H:I,2,FALSE()) * 3) - 10.25</f>
        <v>34.75</v>
      </c>
    </row>
    <row r="6785" spans="1:7" ht="14.25" hidden="1" customHeight="1" x14ac:dyDescent="0.45">
      <c r="A6785" t="str">
        <f>_xlfn.XLOOKUP(B6785,Ingot!$H$12:$H$119,Ingot!$G$12:$G$119,"")</f>
        <v>Stone</v>
      </c>
      <c r="B6785" t="s">
        <v>13638</v>
      </c>
      <c r="C6785" t="s">
        <v>10</v>
      </c>
      <c r="D6785" t="s">
        <v>13639</v>
      </c>
      <c r="E6785" t="s">
        <v>13640</v>
      </c>
      <c r="G6785" s="1">
        <v>0.08</v>
      </c>
    </row>
    <row r="6786" spans="1:7" ht="14.25" hidden="1" customHeight="1" x14ac:dyDescent="0.45">
      <c r="A6786" t="str">
        <f>_xlfn.XLOOKUP(B6786,Ingot!$H$12:$H$119,Ingot!$G$12:$G$119,"")</f>
        <v>Stone</v>
      </c>
      <c r="B6786" t="s">
        <v>13638</v>
      </c>
      <c r="C6786" t="s">
        <v>10</v>
      </c>
      <c r="D6786" t="s">
        <v>13641</v>
      </c>
      <c r="E6786" t="s">
        <v>13642</v>
      </c>
      <c r="G6786" s="1">
        <v>9.9</v>
      </c>
    </row>
    <row r="6787" spans="1:7" ht="14.25" hidden="1" customHeight="1" x14ac:dyDescent="0.45">
      <c r="A6787" t="str">
        <f>_xlfn.XLOOKUP(B6787,Ingot!$H$12:$H$119,Ingot!$G$12:$G$119,"")</f>
        <v>Stone</v>
      </c>
      <c r="B6787" t="s">
        <v>13638</v>
      </c>
      <c r="C6787" t="s">
        <v>10</v>
      </c>
      <c r="D6787" t="s">
        <v>13643</v>
      </c>
      <c r="E6787" t="s">
        <v>13644</v>
      </c>
      <c r="G6787" s="1">
        <v>5.66</v>
      </c>
    </row>
    <row r="6788" spans="1:7" ht="14.25" hidden="1" customHeight="1" x14ac:dyDescent="0.45">
      <c r="A6788" t="str">
        <f>_xlfn.XLOOKUP(B6788,Ingot!$H$12:$H$119,Ingot!$G$12:$G$119,"")</f>
        <v>Stone</v>
      </c>
      <c r="B6788" t="s">
        <v>13638</v>
      </c>
      <c r="C6788" t="s">
        <v>10</v>
      </c>
      <c r="D6788" t="s">
        <v>13645</v>
      </c>
      <c r="E6788" t="s">
        <v>13646</v>
      </c>
      <c r="G6788" s="1">
        <v>3.3</v>
      </c>
    </row>
    <row r="6789" spans="1:7" ht="14.25" hidden="1" customHeight="1" x14ac:dyDescent="0.45">
      <c r="A6789" t="str">
        <f>_xlfn.XLOOKUP(B6789,Ingot!$H$12:$H$119,Ingot!$G$12:$G$119,"")</f>
        <v>Stone</v>
      </c>
      <c r="B6789" t="s">
        <v>13638</v>
      </c>
      <c r="C6789" t="s">
        <v>10</v>
      </c>
      <c r="D6789" t="s">
        <v>13647</v>
      </c>
      <c r="E6789" t="s">
        <v>13648</v>
      </c>
      <c r="G6789" s="1">
        <v>0.66</v>
      </c>
    </row>
    <row r="6790" spans="1:7" ht="14.25" hidden="1" customHeight="1" x14ac:dyDescent="0.45">
      <c r="A6790" t="str">
        <f>_xlfn.XLOOKUP(B6790,Ingot!$H$12:$H$119,Ingot!$G$12:$G$119,"")</f>
        <v>Stone</v>
      </c>
      <c r="B6790" t="s">
        <v>13638</v>
      </c>
      <c r="C6790" t="s">
        <v>10</v>
      </c>
      <c r="D6790" t="s">
        <v>13649</v>
      </c>
      <c r="E6790" t="s">
        <v>13650</v>
      </c>
      <c r="G6790" s="1">
        <v>0.04</v>
      </c>
    </row>
    <row r="6791" spans="1:7" ht="14.25" hidden="1" customHeight="1" x14ac:dyDescent="0.45">
      <c r="A6791" t="str">
        <f>_xlfn.XLOOKUP(B6791,Ingot!$H$12:$H$119,Ingot!$G$12:$G$119,"")</f>
        <v>Stone</v>
      </c>
      <c r="B6791" t="s">
        <v>13638</v>
      </c>
      <c r="C6791" t="s">
        <v>10</v>
      </c>
      <c r="D6791" t="s">
        <v>13651</v>
      </c>
      <c r="E6791" t="s">
        <v>13652</v>
      </c>
      <c r="G6791" s="1">
        <v>0.33</v>
      </c>
    </row>
    <row r="6792" spans="1:7" ht="14.25" hidden="1" customHeight="1" x14ac:dyDescent="0.45">
      <c r="A6792" t="str">
        <f>_xlfn.XLOOKUP(B6792,Ingot!$H$12:$H$119,Ingot!$G$12:$G$119,"")</f>
        <v>Stone</v>
      </c>
      <c r="B6792" t="s">
        <v>13638</v>
      </c>
      <c r="C6792" t="s">
        <v>10</v>
      </c>
      <c r="D6792" t="s">
        <v>13653</v>
      </c>
      <c r="E6792" t="s">
        <v>13654</v>
      </c>
    </row>
    <row r="6793" spans="1:7" ht="14.25" hidden="1" customHeight="1" x14ac:dyDescent="0.45">
      <c r="A6793" t="str">
        <f>_xlfn.XLOOKUP(B6793,Ingot!$H$12:$H$119,Ingot!$G$12:$G$119,"")</f>
        <v>Stone</v>
      </c>
      <c r="B6793" t="s">
        <v>13638</v>
      </c>
      <c r="C6793" t="s">
        <v>10</v>
      </c>
      <c r="D6793" t="s">
        <v>13655</v>
      </c>
      <c r="E6793" t="s">
        <v>13656</v>
      </c>
      <c r="G6793" s="1">
        <v>0.05</v>
      </c>
    </row>
    <row r="6794" spans="1:7" ht="14.25" hidden="1" customHeight="1" x14ac:dyDescent="0.45">
      <c r="A6794" t="str">
        <f>_xlfn.XLOOKUP(B6794,Ingot!$H$12:$H$119,Ingot!$G$12:$G$119,"")</f>
        <v>Stone</v>
      </c>
      <c r="B6794" t="s">
        <v>13638</v>
      </c>
      <c r="C6794" t="s">
        <v>10</v>
      </c>
      <c r="D6794" t="s">
        <v>13657</v>
      </c>
      <c r="E6794" t="s">
        <v>13658</v>
      </c>
      <c r="G6794" s="1">
        <v>0.66</v>
      </c>
    </row>
    <row r="6795" spans="1:7" ht="14.25" hidden="1" customHeight="1" x14ac:dyDescent="0.45">
      <c r="A6795" t="str">
        <f>_xlfn.XLOOKUP(B6795,Ingot!$H$12:$H$119,Ingot!$G$12:$G$119,"")</f>
        <v>Stone</v>
      </c>
      <c r="B6795" t="s">
        <v>13638</v>
      </c>
      <c r="C6795" t="s">
        <v>10</v>
      </c>
      <c r="D6795" t="s">
        <v>13659</v>
      </c>
      <c r="E6795" t="s">
        <v>13660</v>
      </c>
      <c r="G6795" s="1">
        <v>3.96</v>
      </c>
    </row>
    <row r="6796" spans="1:7" ht="14.25" hidden="1" customHeight="1" x14ac:dyDescent="0.45">
      <c r="A6796" t="str">
        <f>_xlfn.XLOOKUP(B6796,Ingot!$H$12:$H$119,Ingot!$G$12:$G$119,"")</f>
        <v>Stone</v>
      </c>
      <c r="B6796" t="s">
        <v>13638</v>
      </c>
      <c r="C6796" t="s">
        <v>10</v>
      </c>
      <c r="D6796" t="s">
        <v>13661</v>
      </c>
      <c r="E6796" t="s">
        <v>13662</v>
      </c>
      <c r="G6796" s="1">
        <v>8.77</v>
      </c>
    </row>
    <row r="6797" spans="1:7" ht="14.25" hidden="1" customHeight="1" x14ac:dyDescent="0.45">
      <c r="A6797" t="str">
        <f>_xlfn.XLOOKUP(B6797,Ingot!$H$12:$H$119,Ingot!$G$12:$G$119,"")</f>
        <v>Stone</v>
      </c>
      <c r="B6797" t="s">
        <v>13638</v>
      </c>
      <c r="C6797" t="s">
        <v>10</v>
      </c>
      <c r="D6797" t="s">
        <v>13663</v>
      </c>
      <c r="E6797" t="s">
        <v>13664</v>
      </c>
      <c r="G6797" s="1">
        <v>3.5</v>
      </c>
    </row>
    <row r="6798" spans="1:7" ht="14.25" hidden="1" customHeight="1" x14ac:dyDescent="0.45">
      <c r="A6798" t="str">
        <f>_xlfn.XLOOKUP(B6798,Ingot!$H$12:$H$119,Ingot!$G$12:$G$119,"")</f>
        <v>Stone</v>
      </c>
      <c r="B6798" t="s">
        <v>13638</v>
      </c>
      <c r="C6798" t="s">
        <v>10</v>
      </c>
      <c r="D6798" t="s">
        <v>13665</v>
      </c>
      <c r="E6798" t="s">
        <v>13666</v>
      </c>
    </row>
    <row r="6799" spans="1:7" ht="14.25" hidden="1" customHeight="1" x14ac:dyDescent="0.45">
      <c r="A6799" t="str">
        <f>_xlfn.XLOOKUP(B6799,Ingot!$H$12:$H$119,Ingot!$G$12:$G$119,"")</f>
        <v>Stone</v>
      </c>
      <c r="B6799" t="s">
        <v>13638</v>
      </c>
      <c r="C6799" t="s">
        <v>10</v>
      </c>
      <c r="D6799" t="s">
        <v>13667</v>
      </c>
      <c r="E6799" t="s">
        <v>13668</v>
      </c>
      <c r="G6799" s="1">
        <v>2.2000000000000002</v>
      </c>
    </row>
    <row r="6800" spans="1:7" ht="14.25" hidden="1" customHeight="1" x14ac:dyDescent="0.45">
      <c r="A6800" t="str">
        <f>_xlfn.XLOOKUP(B6800,Ingot!$H$12:$H$119,Ingot!$G$12:$G$119,"")</f>
        <v>Stone</v>
      </c>
      <c r="B6800" t="s">
        <v>13638</v>
      </c>
      <c r="C6800" t="s">
        <v>10</v>
      </c>
      <c r="D6800" t="s">
        <v>13669</v>
      </c>
      <c r="E6800" t="s">
        <v>13670</v>
      </c>
      <c r="G6800" s="1">
        <v>1.1000000000000001</v>
      </c>
    </row>
    <row r="6801" spans="1:7" ht="14.25" hidden="1" customHeight="1" x14ac:dyDescent="0.45">
      <c r="A6801" t="str">
        <f>_xlfn.XLOOKUP(B6801,Ingot!$H$12:$H$119,Ingot!$G$12:$G$119,"")</f>
        <v>Stone</v>
      </c>
      <c r="B6801" t="s">
        <v>13638</v>
      </c>
      <c r="C6801" t="s">
        <v>10</v>
      </c>
      <c r="D6801" t="s">
        <v>13671</v>
      </c>
      <c r="E6801" t="s">
        <v>13672</v>
      </c>
      <c r="G6801" s="1">
        <v>0.22</v>
      </c>
    </row>
    <row r="6802" spans="1:7" ht="14.25" hidden="1" customHeight="1" x14ac:dyDescent="0.45">
      <c r="A6802" t="str">
        <f>_xlfn.XLOOKUP(B6802,Ingot!$H$12:$H$119,Ingot!$G$12:$G$119,"")</f>
        <v>Stone</v>
      </c>
      <c r="B6802" t="s">
        <v>13638</v>
      </c>
      <c r="C6802" t="s">
        <v>10</v>
      </c>
      <c r="D6802" t="s">
        <v>13673</v>
      </c>
      <c r="E6802" t="s">
        <v>13674</v>
      </c>
      <c r="G6802" s="1">
        <v>8.41</v>
      </c>
    </row>
    <row r="6803" spans="1:7" ht="14.25" hidden="1" customHeight="1" x14ac:dyDescent="0.45">
      <c r="A6803" t="str">
        <f>_xlfn.XLOOKUP(B6803,Ingot!$H$12:$H$119,Ingot!$G$12:$G$119,"")</f>
        <v>Stone</v>
      </c>
      <c r="B6803" t="s">
        <v>13638</v>
      </c>
      <c r="C6803" t="s">
        <v>10</v>
      </c>
      <c r="D6803" t="s">
        <v>13675</v>
      </c>
      <c r="E6803" t="s">
        <v>13676</v>
      </c>
      <c r="G6803" s="1">
        <v>3.64</v>
      </c>
    </row>
    <row r="6804" spans="1:7" ht="14.25" hidden="1" customHeight="1" x14ac:dyDescent="0.45">
      <c r="A6804" t="str">
        <f>_xlfn.XLOOKUP(B6804,Ingot!$H$12:$H$119,Ingot!$G$12:$G$119,"")</f>
        <v>Stone</v>
      </c>
      <c r="B6804" t="s">
        <v>13638</v>
      </c>
      <c r="C6804" t="s">
        <v>10</v>
      </c>
      <c r="D6804" t="s">
        <v>13677</v>
      </c>
      <c r="E6804" t="s">
        <v>13678</v>
      </c>
      <c r="G6804" s="1">
        <v>7.05</v>
      </c>
    </row>
    <row r="6805" spans="1:7" ht="14.25" hidden="1" customHeight="1" x14ac:dyDescent="0.45">
      <c r="A6805" t="str">
        <f>_xlfn.XLOOKUP(B6805,Ingot!$H$12:$H$119,Ingot!$G$12:$G$119,"")</f>
        <v>Stone</v>
      </c>
      <c r="B6805" t="s">
        <v>13638</v>
      </c>
      <c r="C6805" t="s">
        <v>10</v>
      </c>
      <c r="D6805" t="s">
        <v>13679</v>
      </c>
      <c r="E6805" t="s">
        <v>13680</v>
      </c>
      <c r="G6805" s="1">
        <v>2.65</v>
      </c>
    </row>
    <row r="6806" spans="1:7" ht="14.25" hidden="1" customHeight="1" x14ac:dyDescent="0.45">
      <c r="A6806" t="str">
        <f>_xlfn.XLOOKUP(B6806,Ingot!$H$12:$H$119,Ingot!$G$12:$G$119,"")</f>
        <v>Stone</v>
      </c>
      <c r="B6806" t="s">
        <v>13638</v>
      </c>
      <c r="C6806" t="s">
        <v>10</v>
      </c>
      <c r="D6806" t="s">
        <v>13681</v>
      </c>
      <c r="E6806" t="s">
        <v>13682</v>
      </c>
      <c r="G6806" s="1">
        <v>9</v>
      </c>
    </row>
    <row r="6807" spans="1:7" ht="14.25" hidden="1" customHeight="1" x14ac:dyDescent="0.45">
      <c r="A6807" t="str">
        <f>_xlfn.XLOOKUP(B6807,Ingot!$H$12:$H$119,Ingot!$G$12:$G$119,"")</f>
        <v>Stone</v>
      </c>
      <c r="B6807" t="s">
        <v>13638</v>
      </c>
      <c r="C6807" t="s">
        <v>10</v>
      </c>
      <c r="D6807" t="s">
        <v>13683</v>
      </c>
      <c r="E6807" t="s">
        <v>13684</v>
      </c>
      <c r="G6807" s="1">
        <v>10.23</v>
      </c>
    </row>
    <row r="6808" spans="1:7" ht="14.25" hidden="1" customHeight="1" x14ac:dyDescent="0.45">
      <c r="A6808" t="str">
        <f>_xlfn.XLOOKUP(B6808,Ingot!$H$12:$H$119,Ingot!$G$12:$G$119,"")</f>
        <v>Stone</v>
      </c>
      <c r="B6808" t="s">
        <v>13638</v>
      </c>
      <c r="C6808" t="s">
        <v>10</v>
      </c>
      <c r="D6808" t="s">
        <v>13685</v>
      </c>
      <c r="E6808" t="s">
        <v>13686</v>
      </c>
      <c r="G6808" s="1">
        <v>7.7</v>
      </c>
    </row>
    <row r="6809" spans="1:7" ht="14.25" hidden="1" customHeight="1" x14ac:dyDescent="0.45">
      <c r="A6809" t="str">
        <f>_xlfn.XLOOKUP(B6809,Ingot!$H$12:$H$119,Ingot!$G$12:$G$119,"")</f>
        <v>Stone</v>
      </c>
      <c r="B6809" t="s">
        <v>13638</v>
      </c>
      <c r="C6809" t="s">
        <v>10</v>
      </c>
      <c r="D6809" t="s">
        <v>13687</v>
      </c>
      <c r="E6809" t="s">
        <v>13688</v>
      </c>
      <c r="G6809" s="1">
        <v>10.02</v>
      </c>
    </row>
    <row r="6810" spans="1:7" ht="14.25" hidden="1" customHeight="1" x14ac:dyDescent="0.45">
      <c r="A6810" t="str">
        <f>_xlfn.XLOOKUP(B6810,Ingot!$H$12:$H$119,Ingot!$G$12:$G$119,"")</f>
        <v>Stone</v>
      </c>
      <c r="B6810" t="s">
        <v>13638</v>
      </c>
      <c r="C6810" t="s">
        <v>10</v>
      </c>
      <c r="D6810" t="s">
        <v>13689</v>
      </c>
      <c r="E6810" t="s">
        <v>13690</v>
      </c>
      <c r="G6810" s="1">
        <v>11.81</v>
      </c>
    </row>
    <row r="6811" spans="1:7" ht="14.25" hidden="1" customHeight="1" x14ac:dyDescent="0.45">
      <c r="A6811" t="str">
        <f>_xlfn.XLOOKUP(B6811,Ingot!$H$12:$H$119,Ingot!$G$12:$G$119,"")</f>
        <v>Stone</v>
      </c>
      <c r="B6811" t="s">
        <v>13638</v>
      </c>
      <c r="C6811" t="s">
        <v>10</v>
      </c>
      <c r="D6811" t="s">
        <v>13691</v>
      </c>
      <c r="E6811" t="s">
        <v>13692</v>
      </c>
      <c r="G6811" s="1">
        <v>8.44</v>
      </c>
    </row>
    <row r="6812" spans="1:7" ht="14.25" hidden="1" customHeight="1" x14ac:dyDescent="0.45">
      <c r="A6812" t="str">
        <f>_xlfn.XLOOKUP(B6812,Ingot!$H$12:$H$119,Ingot!$G$12:$G$119,"")</f>
        <v>Stone</v>
      </c>
      <c r="B6812" t="s">
        <v>13638</v>
      </c>
      <c r="C6812" t="s">
        <v>10</v>
      </c>
      <c r="D6812" t="s">
        <v>13693</v>
      </c>
      <c r="E6812" t="s">
        <v>13694</v>
      </c>
      <c r="G6812" s="1">
        <v>10.42</v>
      </c>
    </row>
    <row r="6813" spans="1:7" ht="14.25" hidden="1" customHeight="1" x14ac:dyDescent="0.45">
      <c r="A6813" t="str">
        <f>_xlfn.XLOOKUP(B6813,Ingot!$H$12:$H$119,Ingot!$G$12:$G$119,"")</f>
        <v>Stone</v>
      </c>
      <c r="B6813" t="s">
        <v>13638</v>
      </c>
      <c r="C6813" t="s">
        <v>10</v>
      </c>
      <c r="D6813" t="s">
        <v>13695</v>
      </c>
      <c r="E6813" t="s">
        <v>13696</v>
      </c>
    </row>
    <row r="6814" spans="1:7" ht="14.25" hidden="1" customHeight="1" x14ac:dyDescent="0.45">
      <c r="A6814" t="str">
        <f>_xlfn.XLOOKUP(B6814,Ingot!$H$12:$H$119,Ingot!$G$12:$G$119,"")</f>
        <v>Stone</v>
      </c>
      <c r="B6814" t="s">
        <v>13638</v>
      </c>
      <c r="C6814" t="s">
        <v>10</v>
      </c>
      <c r="D6814" t="s">
        <v>13697</v>
      </c>
      <c r="E6814" t="s">
        <v>13698</v>
      </c>
      <c r="G6814" s="1">
        <v>7.96</v>
      </c>
    </row>
    <row r="6815" spans="1:7" ht="14.25" hidden="1" customHeight="1" x14ac:dyDescent="0.45">
      <c r="A6815" t="str">
        <f>_xlfn.XLOOKUP(B6815,Ingot!$H$12:$H$119,Ingot!$G$12:$G$119,"")</f>
        <v>Stone</v>
      </c>
      <c r="B6815" t="s">
        <v>13638</v>
      </c>
      <c r="C6815" t="s">
        <v>10</v>
      </c>
      <c r="D6815" t="s">
        <v>13699</v>
      </c>
      <c r="E6815" t="s">
        <v>13700</v>
      </c>
      <c r="G6815" s="1">
        <v>9.64</v>
      </c>
    </row>
    <row r="6816" spans="1:7" ht="14.25" hidden="1" customHeight="1" x14ac:dyDescent="0.45">
      <c r="A6816" t="str">
        <f>_xlfn.XLOOKUP(B6816,Ingot!$H$12:$H$119,Ingot!$G$12:$G$119,"")</f>
        <v>Stone</v>
      </c>
      <c r="B6816" t="s">
        <v>13638</v>
      </c>
      <c r="C6816" t="s">
        <v>10</v>
      </c>
      <c r="D6816" t="s">
        <v>13701</v>
      </c>
      <c r="E6816" t="s">
        <v>13702</v>
      </c>
      <c r="G6816" s="1">
        <v>7.94</v>
      </c>
    </row>
    <row r="6817" spans="1:7" ht="14.25" hidden="1" customHeight="1" x14ac:dyDescent="0.45">
      <c r="A6817" t="str">
        <f>_xlfn.XLOOKUP(B6817,Ingot!$H$12:$H$119,Ingot!$G$12:$G$119,"")</f>
        <v>Stone</v>
      </c>
      <c r="B6817" t="s">
        <v>13638</v>
      </c>
      <c r="C6817" t="s">
        <v>10</v>
      </c>
      <c r="D6817" t="s">
        <v>13703</v>
      </c>
      <c r="E6817" t="s">
        <v>13704</v>
      </c>
      <c r="G6817" s="1">
        <v>8.66</v>
      </c>
    </row>
    <row r="6818" spans="1:7" ht="14.25" hidden="1" customHeight="1" x14ac:dyDescent="0.45">
      <c r="A6818" t="str">
        <f>_xlfn.XLOOKUP(B6818,Ingot!$H$12:$H$119,Ingot!$G$12:$G$119,"")</f>
        <v>Stone</v>
      </c>
      <c r="B6818" t="s">
        <v>13638</v>
      </c>
      <c r="C6818" t="s">
        <v>10</v>
      </c>
      <c r="D6818" t="s">
        <v>13705</v>
      </c>
      <c r="E6818" t="s">
        <v>13706</v>
      </c>
    </row>
    <row r="6819" spans="1:7" ht="14.25" hidden="1" customHeight="1" x14ac:dyDescent="0.45">
      <c r="A6819" t="str">
        <f>_xlfn.XLOOKUP(B6819,Ingot!$H$12:$H$119,Ingot!$G$12:$G$119,"")</f>
        <v>Stone</v>
      </c>
      <c r="B6819" t="s">
        <v>13638</v>
      </c>
      <c r="C6819" t="s">
        <v>10</v>
      </c>
      <c r="D6819" t="s">
        <v>13707</v>
      </c>
      <c r="E6819" t="s">
        <v>13708</v>
      </c>
      <c r="G6819" s="1">
        <v>2.65</v>
      </c>
    </row>
    <row r="6820" spans="1:7" ht="14.25" hidden="1" customHeight="1" x14ac:dyDescent="0.45">
      <c r="A6820" t="str">
        <f>_xlfn.XLOOKUP(B6820,Ingot!$H$12:$H$119,Ingot!$G$12:$G$119,"")</f>
        <v>Stone</v>
      </c>
      <c r="B6820" t="s">
        <v>13638</v>
      </c>
      <c r="C6820" t="s">
        <v>10</v>
      </c>
      <c r="D6820" t="s">
        <v>13709</v>
      </c>
      <c r="E6820" t="s">
        <v>13710</v>
      </c>
    </row>
    <row r="6821" spans="1:7" ht="14.25" hidden="1" customHeight="1" x14ac:dyDescent="0.45">
      <c r="A6821" t="str">
        <f>_xlfn.XLOOKUP(B6821,Ingot!$H$12:$H$119,Ingot!$G$12:$G$119,"")</f>
        <v>Stone</v>
      </c>
      <c r="B6821" t="s">
        <v>13638</v>
      </c>
      <c r="C6821" t="s">
        <v>10</v>
      </c>
      <c r="D6821" t="s">
        <v>13711</v>
      </c>
      <c r="E6821" t="s">
        <v>13712</v>
      </c>
      <c r="G6821" s="1">
        <v>12.64</v>
      </c>
    </row>
    <row r="6822" spans="1:7" ht="14.25" hidden="1" customHeight="1" x14ac:dyDescent="0.45">
      <c r="A6822" t="str">
        <f>_xlfn.XLOOKUP(B6822,Ingot!$H$12:$H$119,Ingot!$G$12:$G$119,"")</f>
        <v>Stone</v>
      </c>
      <c r="B6822" t="s">
        <v>13638</v>
      </c>
      <c r="C6822" t="s">
        <v>10</v>
      </c>
      <c r="D6822" t="s">
        <v>13713</v>
      </c>
      <c r="E6822" t="s">
        <v>13714</v>
      </c>
      <c r="G6822" s="1">
        <v>22.67</v>
      </c>
    </row>
    <row r="6823" spans="1:7" ht="14.25" hidden="1" customHeight="1" x14ac:dyDescent="0.45">
      <c r="A6823" t="str">
        <f>_xlfn.XLOOKUP(B6823,Ingot!$H$12:$H$119,Ingot!$G$12:$G$119,"")</f>
        <v>Stone</v>
      </c>
      <c r="B6823" t="s">
        <v>13638</v>
      </c>
      <c r="C6823" t="s">
        <v>10</v>
      </c>
      <c r="D6823" t="s">
        <v>13715</v>
      </c>
      <c r="E6823" t="s">
        <v>13716</v>
      </c>
      <c r="G6823" s="1">
        <v>8.3800000000000008</v>
      </c>
    </row>
    <row r="6824" spans="1:7" ht="14.25" hidden="1" customHeight="1" x14ac:dyDescent="0.45">
      <c r="A6824" t="str">
        <f>_xlfn.XLOOKUP(B6824,Ingot!$H$12:$H$119,Ingot!$G$12:$G$119,"")</f>
        <v>Stone</v>
      </c>
      <c r="B6824" t="s">
        <v>13638</v>
      </c>
      <c r="C6824" t="s">
        <v>10</v>
      </c>
      <c r="D6824" t="s">
        <v>13717</v>
      </c>
      <c r="E6824" t="s">
        <v>13718</v>
      </c>
      <c r="G6824" s="1">
        <v>2.2000000000000002</v>
      </c>
    </row>
    <row r="6825" spans="1:7" ht="14.25" hidden="1" customHeight="1" x14ac:dyDescent="0.45">
      <c r="A6825" t="str">
        <f>_xlfn.XLOOKUP(B6825,Ingot!$H$12:$H$119,Ingot!$G$12:$G$119,"")</f>
        <v>Stone</v>
      </c>
      <c r="B6825" t="s">
        <v>13638</v>
      </c>
      <c r="C6825" t="s">
        <v>10</v>
      </c>
      <c r="D6825" t="s">
        <v>13719</v>
      </c>
      <c r="E6825" t="s">
        <v>13720</v>
      </c>
      <c r="G6825" s="1">
        <v>3.09</v>
      </c>
    </row>
    <row r="6826" spans="1:7" ht="14.25" hidden="1" customHeight="1" x14ac:dyDescent="0.45">
      <c r="A6826" t="str">
        <f>_xlfn.XLOOKUP(B6826,Ingot!$H$12:$H$119,Ingot!$G$12:$G$119,"")</f>
        <v>Stone</v>
      </c>
      <c r="B6826" t="s">
        <v>13638</v>
      </c>
      <c r="C6826" t="s">
        <v>10</v>
      </c>
      <c r="D6826" t="s">
        <v>13721</v>
      </c>
      <c r="E6826" t="s">
        <v>13722</v>
      </c>
      <c r="G6826" s="1">
        <v>2.2999999999999998</v>
      </c>
    </row>
    <row r="6827" spans="1:7" ht="14.25" hidden="1" customHeight="1" x14ac:dyDescent="0.45">
      <c r="A6827" t="str">
        <f>_xlfn.XLOOKUP(B6827,Ingot!$H$12:$H$119,Ingot!$G$12:$G$119,"")</f>
        <v>Stone</v>
      </c>
      <c r="B6827" t="s">
        <v>13638</v>
      </c>
      <c r="C6827" t="s">
        <v>10</v>
      </c>
      <c r="D6827" t="s">
        <v>13723</v>
      </c>
      <c r="E6827" t="s">
        <v>13724</v>
      </c>
      <c r="G6827" s="1">
        <v>4.88</v>
      </c>
    </row>
    <row r="6828" spans="1:7" ht="14.25" hidden="1" customHeight="1" x14ac:dyDescent="0.45">
      <c r="A6828" t="str">
        <f>_xlfn.XLOOKUP(B6828,Ingot!$H$12:$H$119,Ingot!$G$12:$G$119,"")</f>
        <v>Stone</v>
      </c>
      <c r="B6828" t="s">
        <v>13638</v>
      </c>
      <c r="C6828" t="s">
        <v>10</v>
      </c>
      <c r="D6828" t="s">
        <v>13725</v>
      </c>
      <c r="E6828" t="s">
        <v>13726</v>
      </c>
      <c r="G6828" s="1">
        <v>8.43</v>
      </c>
    </row>
    <row r="6829" spans="1:7" ht="14.25" hidden="1" customHeight="1" x14ac:dyDescent="0.45">
      <c r="A6829" t="str">
        <f>_xlfn.XLOOKUP(B6829,Ingot!$H$12:$H$119,Ingot!$G$12:$G$119,"")</f>
        <v>Stone</v>
      </c>
      <c r="B6829" t="s">
        <v>13638</v>
      </c>
      <c r="C6829" t="s">
        <v>10</v>
      </c>
      <c r="D6829" t="s">
        <v>13727</v>
      </c>
      <c r="E6829" t="s">
        <v>13728</v>
      </c>
      <c r="G6829" s="1">
        <v>13.07</v>
      </c>
    </row>
    <row r="6830" spans="1:7" ht="14.25" hidden="1" customHeight="1" x14ac:dyDescent="0.45">
      <c r="A6830" t="str">
        <f>_xlfn.XLOOKUP(B6830,Ingot!$H$12:$H$119,Ingot!$G$12:$G$119,"")</f>
        <v>Stone</v>
      </c>
      <c r="B6830" t="s">
        <v>13638</v>
      </c>
      <c r="C6830" t="s">
        <v>10</v>
      </c>
      <c r="D6830" t="s">
        <v>13729</v>
      </c>
      <c r="E6830" t="s">
        <v>13730</v>
      </c>
    </row>
    <row r="6831" spans="1:7" ht="14.25" hidden="1" customHeight="1" x14ac:dyDescent="0.45">
      <c r="A6831" t="str">
        <f>_xlfn.XLOOKUP(B6831,Ingot!$H$12:$H$119,Ingot!$G$12:$G$119,"")</f>
        <v>Stone</v>
      </c>
      <c r="B6831" t="s">
        <v>13638</v>
      </c>
      <c r="C6831" t="s">
        <v>10</v>
      </c>
      <c r="D6831" t="s">
        <v>13731</v>
      </c>
      <c r="E6831" t="s">
        <v>13732</v>
      </c>
    </row>
    <row r="6832" spans="1:7" ht="14.25" hidden="1" customHeight="1" x14ac:dyDescent="0.45">
      <c r="A6832" t="str">
        <f>_xlfn.XLOOKUP(B6832,Ingot!$H$12:$H$119,Ingot!$G$12:$G$119,"")</f>
        <v>Stone</v>
      </c>
      <c r="B6832" t="s">
        <v>13638</v>
      </c>
      <c r="C6832" t="s">
        <v>10</v>
      </c>
      <c r="D6832" t="s">
        <v>13733</v>
      </c>
      <c r="E6832" t="s">
        <v>13734</v>
      </c>
      <c r="G6832" s="1">
        <v>6.8</v>
      </c>
    </row>
    <row r="6833" spans="1:7" ht="14.25" hidden="1" customHeight="1" x14ac:dyDescent="0.45">
      <c r="A6833" t="str">
        <f>_xlfn.XLOOKUP(B6833,Ingot!$H$12:$H$119,Ingot!$G$12:$G$119,"")</f>
        <v>Stone</v>
      </c>
      <c r="B6833" t="s">
        <v>13638</v>
      </c>
      <c r="C6833" t="s">
        <v>10</v>
      </c>
      <c r="D6833" t="s">
        <v>13735</v>
      </c>
      <c r="E6833" t="s">
        <v>13736</v>
      </c>
      <c r="G6833" s="1">
        <v>6.88</v>
      </c>
    </row>
    <row r="6834" spans="1:7" ht="14.25" hidden="1" customHeight="1" x14ac:dyDescent="0.45">
      <c r="A6834" t="str">
        <f>_xlfn.XLOOKUP(B6834,Ingot!$H$12:$H$119,Ingot!$G$12:$G$119,"")</f>
        <v>Stone</v>
      </c>
      <c r="B6834" t="s">
        <v>13638</v>
      </c>
      <c r="C6834" t="s">
        <v>10</v>
      </c>
      <c r="D6834" t="s">
        <v>13737</v>
      </c>
      <c r="E6834" t="s">
        <v>13738</v>
      </c>
      <c r="G6834" s="1">
        <v>5.5</v>
      </c>
    </row>
    <row r="6835" spans="1:7" ht="14.25" hidden="1" customHeight="1" x14ac:dyDescent="0.45">
      <c r="A6835" t="str">
        <f>_xlfn.XLOOKUP(B6835,Ingot!$H$12:$H$119,Ingot!$G$12:$G$119,"")</f>
        <v>Stone</v>
      </c>
      <c r="B6835" t="s">
        <v>13638</v>
      </c>
      <c r="C6835" t="s">
        <v>10</v>
      </c>
      <c r="D6835" t="s">
        <v>13739</v>
      </c>
      <c r="E6835" t="s">
        <v>13740</v>
      </c>
      <c r="G6835" s="1">
        <v>2.4300000000000002</v>
      </c>
    </row>
    <row r="6836" spans="1:7" ht="14.25" hidden="1" customHeight="1" x14ac:dyDescent="0.45">
      <c r="A6836" t="str">
        <f>_xlfn.XLOOKUP(B6836,Ingot!$H$12:$H$119,Ingot!$G$12:$G$119,"")</f>
        <v>Stone</v>
      </c>
      <c r="B6836" t="s">
        <v>13638</v>
      </c>
      <c r="C6836" t="s">
        <v>10</v>
      </c>
      <c r="D6836" t="s">
        <v>13741</v>
      </c>
      <c r="E6836" t="s">
        <v>13742</v>
      </c>
      <c r="G6836" s="1">
        <v>6.96</v>
      </c>
    </row>
    <row r="6837" spans="1:7" ht="14.25" hidden="1" customHeight="1" x14ac:dyDescent="0.45">
      <c r="A6837" t="str">
        <f>_xlfn.XLOOKUP(B6837,Ingot!$H$12:$H$119,Ingot!$G$12:$G$119,"")</f>
        <v>Stone</v>
      </c>
      <c r="B6837" t="s">
        <v>13638</v>
      </c>
      <c r="C6837" t="s">
        <v>10</v>
      </c>
      <c r="D6837" t="s">
        <v>13743</v>
      </c>
      <c r="E6837" t="s">
        <v>13744</v>
      </c>
      <c r="G6837" s="1">
        <v>6.32</v>
      </c>
    </row>
    <row r="6838" spans="1:7" ht="14.25" hidden="1" customHeight="1" x14ac:dyDescent="0.45">
      <c r="A6838" t="str">
        <f>_xlfn.XLOOKUP(B6838,Ingot!$H$12:$H$119,Ingot!$G$12:$G$119,"")</f>
        <v>Stone</v>
      </c>
      <c r="B6838" t="s">
        <v>13638</v>
      </c>
      <c r="C6838" t="s">
        <v>10</v>
      </c>
      <c r="D6838" t="s">
        <v>13745</v>
      </c>
      <c r="E6838" t="s">
        <v>13746</v>
      </c>
      <c r="G6838" s="1">
        <v>6.88</v>
      </c>
    </row>
    <row r="6839" spans="1:7" ht="14.25" hidden="1" customHeight="1" x14ac:dyDescent="0.45">
      <c r="A6839" t="str">
        <f>_xlfn.XLOOKUP(B6839,Ingot!$H$12:$H$119,Ingot!$G$12:$G$119,"")</f>
        <v>Stone</v>
      </c>
      <c r="B6839" t="s">
        <v>13638</v>
      </c>
      <c r="C6839" t="s">
        <v>10</v>
      </c>
      <c r="D6839" t="s">
        <v>13747</v>
      </c>
      <c r="E6839" t="s">
        <v>13748</v>
      </c>
      <c r="G6839" s="1">
        <v>2.44</v>
      </c>
    </row>
    <row r="6840" spans="1:7" ht="14.25" hidden="1" customHeight="1" x14ac:dyDescent="0.45">
      <c r="A6840" t="str">
        <f>_xlfn.XLOOKUP(B6840,Ingot!$H$12:$H$119,Ingot!$G$12:$G$119,"")</f>
        <v>Stone</v>
      </c>
      <c r="B6840" t="s">
        <v>13638</v>
      </c>
      <c r="C6840" t="s">
        <v>10</v>
      </c>
      <c r="D6840" t="s">
        <v>13749</v>
      </c>
      <c r="E6840" t="s">
        <v>13750</v>
      </c>
    </row>
    <row r="6841" spans="1:7" ht="14.25" hidden="1" customHeight="1" x14ac:dyDescent="0.45">
      <c r="A6841" t="str">
        <f>_xlfn.XLOOKUP(B6841,Ingot!$H$12:$H$119,Ingot!$G$12:$G$119,"")</f>
        <v>Stone</v>
      </c>
      <c r="B6841" t="s">
        <v>13638</v>
      </c>
      <c r="C6841" t="s">
        <v>10</v>
      </c>
      <c r="D6841" t="s">
        <v>13751</v>
      </c>
      <c r="E6841" t="s">
        <v>13752</v>
      </c>
    </row>
    <row r="6842" spans="1:7" ht="14.25" hidden="1" customHeight="1" x14ac:dyDescent="0.45">
      <c r="A6842" t="str">
        <f>_xlfn.XLOOKUP(B6842,Ingot!$H$12:$H$119,Ingot!$G$12:$G$119,"")</f>
        <v>Stone</v>
      </c>
      <c r="B6842" t="s">
        <v>13638</v>
      </c>
      <c r="C6842" t="s">
        <v>10</v>
      </c>
      <c r="D6842" t="s">
        <v>13753</v>
      </c>
      <c r="E6842" t="s">
        <v>13754</v>
      </c>
      <c r="G6842" s="1">
        <v>3.11</v>
      </c>
    </row>
    <row r="6843" spans="1:7" ht="14.25" hidden="1" customHeight="1" x14ac:dyDescent="0.45">
      <c r="A6843" t="str">
        <f>_xlfn.XLOOKUP(B6843,Ingot!$H$12:$H$119,Ingot!$G$12:$G$119,"")</f>
        <v>Stone</v>
      </c>
      <c r="B6843" t="s">
        <v>13638</v>
      </c>
      <c r="C6843" t="s">
        <v>10</v>
      </c>
      <c r="D6843" t="s">
        <v>13755</v>
      </c>
      <c r="E6843" t="s">
        <v>13756</v>
      </c>
      <c r="G6843" s="1">
        <v>2.44</v>
      </c>
    </row>
    <row r="6844" spans="1:7" ht="14.25" hidden="1" customHeight="1" x14ac:dyDescent="0.45">
      <c r="A6844" t="str">
        <f>_xlfn.XLOOKUP(B6844,Ingot!$H$12:$H$119,Ingot!$G$12:$G$119,"")</f>
        <v>Stone</v>
      </c>
      <c r="B6844" t="s">
        <v>13638</v>
      </c>
      <c r="C6844" t="s">
        <v>10</v>
      </c>
      <c r="D6844" t="s">
        <v>13757</v>
      </c>
      <c r="E6844" t="s">
        <v>13758</v>
      </c>
      <c r="G6844" s="1">
        <v>8.61</v>
      </c>
    </row>
    <row r="6845" spans="1:7" ht="14.25" hidden="1" customHeight="1" x14ac:dyDescent="0.45">
      <c r="A6845" t="str">
        <f>_xlfn.XLOOKUP(B6845,Ingot!$H$12:$H$119,Ingot!$G$12:$G$119,"")</f>
        <v>Stone</v>
      </c>
      <c r="B6845" t="s">
        <v>13638</v>
      </c>
      <c r="C6845" t="s">
        <v>10</v>
      </c>
      <c r="D6845" t="s">
        <v>13759</v>
      </c>
      <c r="E6845" t="s">
        <v>13760</v>
      </c>
    </row>
    <row r="6846" spans="1:7" ht="14.25" hidden="1" customHeight="1" x14ac:dyDescent="0.45">
      <c r="A6846" t="str">
        <f>_xlfn.XLOOKUP(B6846,Ingot!$H$12:$H$119,Ingot!$G$12:$G$119,"")</f>
        <v>Stone</v>
      </c>
      <c r="B6846" t="s">
        <v>13638</v>
      </c>
      <c r="C6846" t="s">
        <v>10</v>
      </c>
      <c r="D6846" t="s">
        <v>13761</v>
      </c>
      <c r="E6846" t="s">
        <v>13762</v>
      </c>
      <c r="G6846" s="1">
        <v>3.21</v>
      </c>
    </row>
    <row r="6847" spans="1:7" ht="14.25" hidden="1" customHeight="1" x14ac:dyDescent="0.45">
      <c r="A6847" t="str">
        <f>_xlfn.XLOOKUP(B6847,Ingot!$H$12:$H$119,Ingot!$G$12:$G$119,"")</f>
        <v>Stone</v>
      </c>
      <c r="B6847" t="s">
        <v>13638</v>
      </c>
      <c r="C6847" t="s">
        <v>10</v>
      </c>
      <c r="D6847" t="s">
        <v>13763</v>
      </c>
      <c r="E6847" t="s">
        <v>13764</v>
      </c>
      <c r="G6847" s="1">
        <v>2.77</v>
      </c>
    </row>
    <row r="6848" spans="1:7" ht="14.25" hidden="1" customHeight="1" x14ac:dyDescent="0.45">
      <c r="A6848" t="str">
        <f>_xlfn.XLOOKUP(B6848,Ingot!$H$12:$H$119,Ingot!$G$12:$G$119,"")</f>
        <v>Stone</v>
      </c>
      <c r="B6848" t="s">
        <v>13638</v>
      </c>
      <c r="C6848" t="s">
        <v>10</v>
      </c>
      <c r="D6848" t="s">
        <v>13765</v>
      </c>
      <c r="E6848" t="s">
        <v>13766</v>
      </c>
      <c r="G6848" s="1">
        <v>4.8899999999999997</v>
      </c>
    </row>
    <row r="6849" spans="1:7" ht="14.25" hidden="1" customHeight="1" x14ac:dyDescent="0.45">
      <c r="A6849" t="str">
        <f>_xlfn.XLOOKUP(B6849,Ingot!$H$12:$H$119,Ingot!$G$12:$G$119,"")</f>
        <v>Stone</v>
      </c>
      <c r="B6849" t="s">
        <v>13638</v>
      </c>
      <c r="C6849" t="s">
        <v>10</v>
      </c>
      <c r="D6849" t="s">
        <v>13767</v>
      </c>
      <c r="E6849" t="s">
        <v>13768</v>
      </c>
      <c r="G6849" s="1">
        <v>1.76</v>
      </c>
    </row>
    <row r="6850" spans="1:7" ht="14.25" hidden="1" customHeight="1" x14ac:dyDescent="0.45">
      <c r="A6850" t="str">
        <f>_xlfn.XLOOKUP(B6850,Ingot!$H$12:$H$119,Ingot!$G$12:$G$119,"")</f>
        <v>Stone</v>
      </c>
      <c r="B6850" t="s">
        <v>13638</v>
      </c>
      <c r="C6850" t="s">
        <v>10</v>
      </c>
      <c r="D6850" t="s">
        <v>13769</v>
      </c>
      <c r="E6850" t="s">
        <v>13770</v>
      </c>
    </row>
    <row r="6851" spans="1:7" ht="14.25" hidden="1" customHeight="1" x14ac:dyDescent="0.45">
      <c r="A6851" t="str">
        <f>_xlfn.XLOOKUP(B6851,Ingot!$H$12:$H$119,Ingot!$G$12:$G$119,"")</f>
        <v>Stone</v>
      </c>
      <c r="B6851" t="s">
        <v>13638</v>
      </c>
      <c r="C6851" t="s">
        <v>10</v>
      </c>
      <c r="D6851" t="s">
        <v>13771</v>
      </c>
      <c r="E6851" t="s">
        <v>13772</v>
      </c>
      <c r="G6851" s="1">
        <v>8.57</v>
      </c>
    </row>
    <row r="6852" spans="1:7" ht="14.25" hidden="1" customHeight="1" x14ac:dyDescent="0.45">
      <c r="A6852" t="str">
        <f>_xlfn.XLOOKUP(B6852,Ingot!$H$12:$H$119,Ingot!$G$12:$G$119,"")</f>
        <v>Stone</v>
      </c>
      <c r="B6852" t="s">
        <v>13638</v>
      </c>
      <c r="C6852" t="s">
        <v>10</v>
      </c>
      <c r="D6852" t="s">
        <v>13773</v>
      </c>
      <c r="E6852" t="s">
        <v>13774</v>
      </c>
    </row>
    <row r="6853" spans="1:7" ht="14.25" hidden="1" customHeight="1" x14ac:dyDescent="0.45">
      <c r="A6853" t="str">
        <f>_xlfn.XLOOKUP(B6853,Ingot!$H$12:$H$119,Ingot!$G$12:$G$119,"")</f>
        <v>Stone</v>
      </c>
      <c r="B6853" t="s">
        <v>13638</v>
      </c>
      <c r="C6853" t="s">
        <v>10</v>
      </c>
      <c r="D6853" t="s">
        <v>13775</v>
      </c>
      <c r="E6853" t="s">
        <v>13776</v>
      </c>
      <c r="G6853" s="1">
        <v>3.56</v>
      </c>
    </row>
    <row r="6854" spans="1:7" ht="14.25" hidden="1" customHeight="1" x14ac:dyDescent="0.45">
      <c r="A6854" t="str">
        <f>_xlfn.XLOOKUP(B6854,Ingot!$H$12:$H$119,Ingot!$G$12:$G$119,"")</f>
        <v>Stone</v>
      </c>
      <c r="B6854" t="s">
        <v>13638</v>
      </c>
      <c r="C6854" t="s">
        <v>10</v>
      </c>
      <c r="D6854" t="s">
        <v>13777</v>
      </c>
      <c r="E6854" t="s">
        <v>13778</v>
      </c>
      <c r="G6854" s="1">
        <v>8.91</v>
      </c>
    </row>
    <row r="6855" spans="1:7" ht="14.25" hidden="1" customHeight="1" x14ac:dyDescent="0.45">
      <c r="A6855" t="str">
        <f>_xlfn.XLOOKUP(B6855,Ingot!$H$12:$H$119,Ingot!$G$12:$G$119,"")</f>
        <v>Stone</v>
      </c>
      <c r="B6855" t="s">
        <v>13638</v>
      </c>
      <c r="C6855" t="s">
        <v>10</v>
      </c>
      <c r="D6855" t="s">
        <v>13779</v>
      </c>
      <c r="E6855" t="s">
        <v>13780</v>
      </c>
      <c r="G6855" s="1">
        <v>11.02</v>
      </c>
    </row>
    <row r="6856" spans="1:7" ht="14.25" hidden="1" customHeight="1" x14ac:dyDescent="0.45">
      <c r="A6856" t="str">
        <f>_xlfn.XLOOKUP(B6856,Ingot!$H$12:$H$119,Ingot!$G$12:$G$119,"")</f>
        <v>Stone</v>
      </c>
      <c r="B6856" t="s">
        <v>13638</v>
      </c>
      <c r="C6856" t="s">
        <v>10</v>
      </c>
      <c r="D6856" t="s">
        <v>13781</v>
      </c>
      <c r="E6856" t="s">
        <v>13782</v>
      </c>
      <c r="G6856" s="1">
        <v>5.12</v>
      </c>
    </row>
    <row r="6857" spans="1:7" ht="14.25" hidden="1" customHeight="1" x14ac:dyDescent="0.45">
      <c r="A6857" t="str">
        <f>_xlfn.XLOOKUP(B6857,Ingot!$H$12:$H$119,Ingot!$G$12:$G$119,"")</f>
        <v>Stone</v>
      </c>
      <c r="B6857" t="s">
        <v>13638</v>
      </c>
      <c r="C6857" t="s">
        <v>10</v>
      </c>
      <c r="D6857" t="s">
        <v>13783</v>
      </c>
      <c r="E6857" t="s">
        <v>13784</v>
      </c>
      <c r="G6857" s="1">
        <v>4.41</v>
      </c>
    </row>
    <row r="6858" spans="1:7" ht="14.25" hidden="1" customHeight="1" x14ac:dyDescent="0.45">
      <c r="A6858" t="str">
        <f>_xlfn.XLOOKUP(B6858,Ingot!$H$12:$H$119,Ingot!$G$12:$G$119,"")</f>
        <v>Stone</v>
      </c>
      <c r="B6858" t="s">
        <v>13638</v>
      </c>
      <c r="C6858" t="s">
        <v>157</v>
      </c>
      <c r="D6858" t="s">
        <v>13785</v>
      </c>
      <c r="E6858" t="s">
        <v>13786</v>
      </c>
      <c r="G6858" s="1">
        <v>46.25</v>
      </c>
    </row>
    <row r="6859" spans="1:7" ht="14.25" hidden="1" customHeight="1" x14ac:dyDescent="0.45">
      <c r="A6859" t="str">
        <f>_xlfn.XLOOKUP(B6859,Ingot!$H$12:$H$119,Ingot!$G$12:$G$119,"")</f>
        <v>Stone</v>
      </c>
      <c r="B6859" t="s">
        <v>13638</v>
      </c>
      <c r="C6859" t="s">
        <v>157</v>
      </c>
      <c r="D6859" t="s">
        <v>13787</v>
      </c>
      <c r="E6859" t="s">
        <v>13788</v>
      </c>
      <c r="G6859" s="1">
        <v>9.25</v>
      </c>
    </row>
    <row r="6860" spans="1:7" ht="14.25" hidden="1" customHeight="1" x14ac:dyDescent="0.45">
      <c r="A6860" t="str">
        <f>_xlfn.XLOOKUP(B6860,Ingot!$H$12:$H$119,Ingot!$G$12:$G$119,"")</f>
        <v>Stone</v>
      </c>
      <c r="B6860" t="s">
        <v>13638</v>
      </c>
      <c r="C6860" t="s">
        <v>157</v>
      </c>
      <c r="D6860" t="s">
        <v>13789</v>
      </c>
      <c r="E6860" t="s">
        <v>13790</v>
      </c>
      <c r="G6860" s="1">
        <v>9.25</v>
      </c>
    </row>
    <row r="6861" spans="1:7" ht="14.25" hidden="1" customHeight="1" x14ac:dyDescent="0.45">
      <c r="A6861" t="str">
        <f>_xlfn.XLOOKUP(B6861,Ingot!$H$12:$H$119,Ingot!$G$12:$G$119,"")</f>
        <v>Stone</v>
      </c>
      <c r="B6861" t="s">
        <v>13638</v>
      </c>
      <c r="C6861" t="s">
        <v>157</v>
      </c>
      <c r="D6861" t="s">
        <v>13791</v>
      </c>
      <c r="E6861" t="s">
        <v>13792</v>
      </c>
      <c r="G6861" s="1">
        <v>6.01</v>
      </c>
    </row>
    <row r="6862" spans="1:7" ht="14.25" hidden="1" customHeight="1" x14ac:dyDescent="0.45">
      <c r="A6862" t="str">
        <f>_xlfn.XLOOKUP(B6862,Ingot!$H$12:$H$119,Ingot!$G$12:$G$119,"")</f>
        <v>Stone</v>
      </c>
      <c r="B6862" t="s">
        <v>13638</v>
      </c>
      <c r="C6862" t="s">
        <v>157</v>
      </c>
      <c r="D6862" t="s">
        <v>13793</v>
      </c>
      <c r="E6862" t="s">
        <v>13794</v>
      </c>
      <c r="G6862" s="1">
        <v>12.03</v>
      </c>
    </row>
    <row r="6863" spans="1:7" ht="14.25" hidden="1" customHeight="1" x14ac:dyDescent="0.45">
      <c r="A6863" t="str">
        <f>_xlfn.XLOOKUP(B6863,Ingot!$H$12:$H$119,Ingot!$G$12:$G$119,"")</f>
        <v>Stone</v>
      </c>
      <c r="B6863" t="s">
        <v>13638</v>
      </c>
      <c r="C6863" t="s">
        <v>157</v>
      </c>
      <c r="D6863" t="s">
        <v>13795</v>
      </c>
      <c r="E6863" t="s">
        <v>13796</v>
      </c>
      <c r="G6863" s="1">
        <v>42.25</v>
      </c>
    </row>
    <row r="6864" spans="1:7" ht="14.25" hidden="1" customHeight="1" x14ac:dyDescent="0.45">
      <c r="A6864" t="str">
        <f>_xlfn.XLOOKUP(B6864,Ingot!$H$12:$H$119,Ingot!$G$12:$G$119,"")</f>
        <v>Stone</v>
      </c>
      <c r="B6864" t="s">
        <v>13638</v>
      </c>
      <c r="C6864" t="s">
        <v>157</v>
      </c>
      <c r="D6864" t="s">
        <v>13797</v>
      </c>
      <c r="E6864" t="s">
        <v>13798</v>
      </c>
      <c r="G6864" s="1">
        <v>8.4499999999999993</v>
      </c>
    </row>
    <row r="6865" spans="1:7" ht="14.25" hidden="1" customHeight="1" x14ac:dyDescent="0.45">
      <c r="A6865" t="str">
        <f>_xlfn.XLOOKUP(B6865,Ingot!$H$12:$H$119,Ingot!$G$12:$G$119,"")</f>
        <v>Stone</v>
      </c>
      <c r="B6865" t="s">
        <v>13638</v>
      </c>
      <c r="C6865" t="s">
        <v>157</v>
      </c>
      <c r="D6865" t="s">
        <v>13799</v>
      </c>
      <c r="E6865" t="s">
        <v>13800</v>
      </c>
      <c r="G6865" s="1">
        <v>8.4499999999999993</v>
      </c>
    </row>
    <row r="6866" spans="1:7" ht="14.25" hidden="1" customHeight="1" x14ac:dyDescent="0.45">
      <c r="A6866" t="str">
        <f>_xlfn.XLOOKUP(B6866,Ingot!$H$12:$H$119,Ingot!$G$12:$G$119,"")</f>
        <v>Stone</v>
      </c>
      <c r="B6866" t="s">
        <v>13638</v>
      </c>
      <c r="C6866" t="s">
        <v>157</v>
      </c>
      <c r="D6866" t="s">
        <v>13801</v>
      </c>
      <c r="E6866" t="s">
        <v>13802</v>
      </c>
      <c r="G6866" s="1">
        <v>5.49</v>
      </c>
    </row>
    <row r="6867" spans="1:7" ht="14.25" hidden="1" customHeight="1" x14ac:dyDescent="0.45">
      <c r="A6867" t="str">
        <f>_xlfn.XLOOKUP(B6867,Ingot!$H$12:$H$119,Ingot!$G$12:$G$119,"")</f>
        <v>Stone</v>
      </c>
      <c r="B6867" t="s">
        <v>13638</v>
      </c>
      <c r="C6867" t="s">
        <v>157</v>
      </c>
      <c r="D6867" t="s">
        <v>13803</v>
      </c>
      <c r="E6867" t="s">
        <v>13804</v>
      </c>
      <c r="G6867" s="1">
        <v>10.99</v>
      </c>
    </row>
    <row r="6868" spans="1:7" ht="14.25" hidden="1" customHeight="1" x14ac:dyDescent="0.45">
      <c r="A6868" t="str">
        <f>_xlfn.XLOOKUP(B6868,Ingot!$H$12:$H$119,Ingot!$G$12:$G$119,"")</f>
        <v>Stone</v>
      </c>
      <c r="B6868" t="s">
        <v>13638</v>
      </c>
      <c r="C6868" t="s">
        <v>157</v>
      </c>
      <c r="D6868" t="s">
        <v>13805</v>
      </c>
      <c r="E6868" t="s">
        <v>13806</v>
      </c>
      <c r="F6868" t="s">
        <v>180</v>
      </c>
      <c r="G6868" s="1">
        <v>41.25</v>
      </c>
    </row>
    <row r="6869" spans="1:7" ht="14.25" hidden="1" customHeight="1" x14ac:dyDescent="0.45">
      <c r="A6869" t="str">
        <f>_xlfn.XLOOKUP(B6869,Ingot!$H$12:$H$119,Ingot!$G$12:$G$119,"")</f>
        <v>Stone</v>
      </c>
      <c r="B6869" t="s">
        <v>13638</v>
      </c>
      <c r="C6869" t="s">
        <v>157</v>
      </c>
      <c r="D6869" t="s">
        <v>13807</v>
      </c>
      <c r="E6869" t="s">
        <v>13808</v>
      </c>
      <c r="F6869" t="s">
        <v>180</v>
      </c>
      <c r="G6869" s="1">
        <v>8.25</v>
      </c>
    </row>
    <row r="6870" spans="1:7" ht="14.25" hidden="1" customHeight="1" x14ac:dyDescent="0.45">
      <c r="A6870" t="str">
        <f>_xlfn.XLOOKUP(B6870,Ingot!$H$12:$H$119,Ingot!$G$12:$G$119,"")</f>
        <v>Stone</v>
      </c>
      <c r="B6870" t="s">
        <v>13638</v>
      </c>
      <c r="C6870" t="s">
        <v>157</v>
      </c>
      <c r="D6870" t="s">
        <v>13809</v>
      </c>
      <c r="E6870" t="s">
        <v>13810</v>
      </c>
      <c r="F6870" t="s">
        <v>180</v>
      </c>
      <c r="G6870" s="1">
        <v>8.25</v>
      </c>
    </row>
    <row r="6871" spans="1:7" ht="14.25" hidden="1" customHeight="1" x14ac:dyDescent="0.45">
      <c r="A6871" t="str">
        <f>_xlfn.XLOOKUP(B6871,Ingot!$H$12:$H$119,Ingot!$G$12:$G$119,"")</f>
        <v>Stone</v>
      </c>
      <c r="B6871" t="s">
        <v>13638</v>
      </c>
      <c r="C6871" t="s">
        <v>157</v>
      </c>
      <c r="D6871" t="s">
        <v>13811</v>
      </c>
      <c r="E6871" t="s">
        <v>13812</v>
      </c>
      <c r="F6871" t="s">
        <v>180</v>
      </c>
      <c r="G6871" s="1">
        <v>5.36</v>
      </c>
    </row>
    <row r="6872" spans="1:7" ht="14.25" hidden="1" customHeight="1" x14ac:dyDescent="0.45">
      <c r="A6872" t="str">
        <f>_xlfn.XLOOKUP(B6872,Ingot!$H$12:$H$119,Ingot!$G$12:$G$119,"")</f>
        <v>Stone</v>
      </c>
      <c r="B6872" t="s">
        <v>13638</v>
      </c>
      <c r="C6872" t="s">
        <v>157</v>
      </c>
      <c r="D6872" t="s">
        <v>13813</v>
      </c>
      <c r="E6872" t="s">
        <v>13814</v>
      </c>
      <c r="F6872" t="s">
        <v>180</v>
      </c>
      <c r="G6872" s="1">
        <v>10.73</v>
      </c>
    </row>
    <row r="6873" spans="1:7" ht="14.25" hidden="1" customHeight="1" x14ac:dyDescent="0.45">
      <c r="A6873" t="str">
        <f>_xlfn.XLOOKUP(B6873,Ingot!$H$12:$H$119,Ingot!$G$12:$G$119,"")</f>
        <v>Stone</v>
      </c>
      <c r="B6873" t="s">
        <v>13638</v>
      </c>
      <c r="C6873" t="s">
        <v>157</v>
      </c>
      <c r="D6873" t="s">
        <v>13815</v>
      </c>
      <c r="E6873" t="s">
        <v>13816</v>
      </c>
      <c r="G6873" s="1">
        <v>43.25</v>
      </c>
    </row>
    <row r="6874" spans="1:7" ht="14.25" hidden="1" customHeight="1" x14ac:dyDescent="0.45">
      <c r="A6874" t="str">
        <f>_xlfn.XLOOKUP(B6874,Ingot!$H$12:$H$119,Ingot!$G$12:$G$119,"")</f>
        <v>Stone</v>
      </c>
      <c r="B6874" t="s">
        <v>13638</v>
      </c>
      <c r="C6874" t="s">
        <v>157</v>
      </c>
      <c r="D6874" t="s">
        <v>13817</v>
      </c>
      <c r="E6874" t="s">
        <v>13818</v>
      </c>
      <c r="G6874" s="1">
        <v>8.65</v>
      </c>
    </row>
    <row r="6875" spans="1:7" ht="14.25" hidden="1" customHeight="1" x14ac:dyDescent="0.45">
      <c r="A6875" t="str">
        <f>_xlfn.XLOOKUP(B6875,Ingot!$H$12:$H$119,Ingot!$G$12:$G$119,"")</f>
        <v>Stone</v>
      </c>
      <c r="B6875" t="s">
        <v>13638</v>
      </c>
      <c r="C6875" t="s">
        <v>157</v>
      </c>
      <c r="D6875" t="s">
        <v>13819</v>
      </c>
      <c r="E6875" t="s">
        <v>13820</v>
      </c>
      <c r="G6875" s="1">
        <v>8.65</v>
      </c>
    </row>
    <row r="6876" spans="1:7" ht="14.25" hidden="1" customHeight="1" x14ac:dyDescent="0.45">
      <c r="A6876" t="str">
        <f>_xlfn.XLOOKUP(B6876,Ingot!$H$12:$H$119,Ingot!$G$12:$G$119,"")</f>
        <v>Stone</v>
      </c>
      <c r="B6876" t="s">
        <v>13638</v>
      </c>
      <c r="C6876" t="s">
        <v>157</v>
      </c>
      <c r="D6876" t="s">
        <v>13821</v>
      </c>
      <c r="E6876" t="s">
        <v>13822</v>
      </c>
      <c r="G6876" s="1">
        <v>5.62</v>
      </c>
    </row>
    <row r="6877" spans="1:7" ht="14.25" hidden="1" customHeight="1" x14ac:dyDescent="0.45">
      <c r="A6877" t="str">
        <f>_xlfn.XLOOKUP(B6877,Ingot!$H$12:$H$119,Ingot!$G$12:$G$119,"")</f>
        <v>Stone</v>
      </c>
      <c r="B6877" t="s">
        <v>13638</v>
      </c>
      <c r="C6877" t="s">
        <v>157</v>
      </c>
      <c r="D6877" t="s">
        <v>13823</v>
      </c>
      <c r="E6877" t="s">
        <v>13824</v>
      </c>
      <c r="G6877" s="1">
        <v>11.25</v>
      </c>
    </row>
    <row r="6878" spans="1:7" ht="14.25" hidden="1" customHeight="1" x14ac:dyDescent="0.45">
      <c r="A6878" t="str">
        <f>_xlfn.XLOOKUP(B6878,Ingot!$H$12:$H$119,Ingot!$G$12:$G$119,"")</f>
        <v>Stone</v>
      </c>
      <c r="B6878" t="s">
        <v>13638</v>
      </c>
      <c r="C6878" t="s">
        <v>157</v>
      </c>
      <c r="D6878" t="s">
        <v>13825</v>
      </c>
      <c r="E6878" t="s">
        <v>13826</v>
      </c>
      <c r="G6878" s="1">
        <v>44.75</v>
      </c>
    </row>
    <row r="6879" spans="1:7" ht="14.25" hidden="1" customHeight="1" x14ac:dyDescent="0.45">
      <c r="A6879" t="str">
        <f>_xlfn.XLOOKUP(B6879,Ingot!$H$12:$H$119,Ingot!$G$12:$G$119,"")</f>
        <v>Stone</v>
      </c>
      <c r="B6879" t="s">
        <v>13638</v>
      </c>
      <c r="C6879" t="s">
        <v>157</v>
      </c>
      <c r="D6879" t="s">
        <v>13827</v>
      </c>
      <c r="E6879" t="s">
        <v>13828</v>
      </c>
      <c r="F6879" t="s">
        <v>180</v>
      </c>
      <c r="G6879" s="1">
        <v>8.9499999999999993</v>
      </c>
    </row>
    <row r="6880" spans="1:7" ht="14.25" hidden="1" customHeight="1" x14ac:dyDescent="0.45">
      <c r="A6880" t="str">
        <f>_xlfn.XLOOKUP(B6880,Ingot!$H$12:$H$119,Ingot!$G$12:$G$119,"")</f>
        <v>Stone</v>
      </c>
      <c r="B6880" t="s">
        <v>13638</v>
      </c>
      <c r="C6880" t="s">
        <v>157</v>
      </c>
      <c r="D6880" t="s">
        <v>13829</v>
      </c>
      <c r="E6880" t="s">
        <v>13830</v>
      </c>
      <c r="F6880" t="s">
        <v>180</v>
      </c>
      <c r="G6880" s="1">
        <v>8.9499999999999993</v>
      </c>
    </row>
    <row r="6881" spans="1:7" ht="14.25" hidden="1" customHeight="1" x14ac:dyDescent="0.45">
      <c r="A6881" t="str">
        <f>_xlfn.XLOOKUP(B6881,Ingot!$H$12:$H$119,Ingot!$G$12:$G$119,"")</f>
        <v>Stone</v>
      </c>
      <c r="B6881" t="s">
        <v>13638</v>
      </c>
      <c r="C6881" t="s">
        <v>157</v>
      </c>
      <c r="D6881" t="s">
        <v>13831</v>
      </c>
      <c r="E6881" t="s">
        <v>13832</v>
      </c>
      <c r="F6881" t="s">
        <v>180</v>
      </c>
      <c r="G6881" s="1">
        <v>5.82</v>
      </c>
    </row>
    <row r="6882" spans="1:7" ht="14.25" hidden="1" customHeight="1" x14ac:dyDescent="0.45">
      <c r="A6882" t="str">
        <f>_xlfn.XLOOKUP(B6882,Ingot!$H$12:$H$119,Ingot!$G$12:$G$119,"")</f>
        <v>Stone</v>
      </c>
      <c r="B6882" t="s">
        <v>13638</v>
      </c>
      <c r="C6882" t="s">
        <v>157</v>
      </c>
      <c r="D6882" t="s">
        <v>13833</v>
      </c>
      <c r="E6882" t="s">
        <v>13834</v>
      </c>
      <c r="G6882" s="1">
        <v>11.64</v>
      </c>
    </row>
    <row r="6883" spans="1:7" ht="14.25" hidden="1" customHeight="1" x14ac:dyDescent="0.45">
      <c r="A6883" t="str">
        <f>_xlfn.XLOOKUP(B6883,Ingot!$H$12:$H$119,Ingot!$G$12:$G$119,"")</f>
        <v>Stone</v>
      </c>
      <c r="B6883" t="s">
        <v>13638</v>
      </c>
      <c r="C6883" t="s">
        <v>157</v>
      </c>
      <c r="D6883" t="s">
        <v>13835</v>
      </c>
      <c r="E6883" t="s">
        <v>13836</v>
      </c>
      <c r="G6883" s="1">
        <v>49.25</v>
      </c>
    </row>
    <row r="6884" spans="1:7" ht="14.25" hidden="1" customHeight="1" x14ac:dyDescent="0.45">
      <c r="A6884" t="str">
        <f>_xlfn.XLOOKUP(B6884,Ingot!$H$12:$H$119,Ingot!$G$12:$G$119,"")</f>
        <v>Stone</v>
      </c>
      <c r="B6884" t="s">
        <v>13638</v>
      </c>
      <c r="C6884" t="s">
        <v>157</v>
      </c>
      <c r="D6884" t="s">
        <v>13837</v>
      </c>
      <c r="E6884" t="s">
        <v>13838</v>
      </c>
      <c r="G6884" s="1">
        <v>9.85</v>
      </c>
    </row>
    <row r="6885" spans="1:7" ht="14.25" hidden="1" customHeight="1" x14ac:dyDescent="0.45">
      <c r="A6885" t="str">
        <f>_xlfn.XLOOKUP(B6885,Ingot!$H$12:$H$119,Ingot!$G$12:$G$119,"")</f>
        <v>Stone</v>
      </c>
      <c r="B6885" t="s">
        <v>13638</v>
      </c>
      <c r="C6885" t="s">
        <v>157</v>
      </c>
      <c r="D6885" t="s">
        <v>13839</v>
      </c>
      <c r="E6885" t="s">
        <v>13840</v>
      </c>
      <c r="G6885" s="1">
        <v>9.85</v>
      </c>
    </row>
    <row r="6886" spans="1:7" ht="14.25" hidden="1" customHeight="1" x14ac:dyDescent="0.45">
      <c r="A6886" t="str">
        <f>_xlfn.XLOOKUP(B6886,Ingot!$H$12:$H$119,Ingot!$G$12:$G$119,"")</f>
        <v>Stone</v>
      </c>
      <c r="B6886" t="s">
        <v>13638</v>
      </c>
      <c r="C6886" t="s">
        <v>157</v>
      </c>
      <c r="D6886" t="s">
        <v>13841</v>
      </c>
      <c r="E6886" t="s">
        <v>13842</v>
      </c>
      <c r="G6886" s="1">
        <v>6.4</v>
      </c>
    </row>
    <row r="6887" spans="1:7" ht="14.25" hidden="1" customHeight="1" x14ac:dyDescent="0.45">
      <c r="A6887" t="str">
        <f>_xlfn.XLOOKUP(B6887,Ingot!$H$12:$H$119,Ingot!$G$12:$G$119,"")</f>
        <v>Stone</v>
      </c>
      <c r="B6887" t="s">
        <v>13638</v>
      </c>
      <c r="C6887" t="s">
        <v>157</v>
      </c>
      <c r="D6887" t="s">
        <v>13843</v>
      </c>
      <c r="E6887" t="s">
        <v>13844</v>
      </c>
      <c r="G6887" s="1">
        <v>12.81</v>
      </c>
    </row>
    <row r="6888" spans="1:7" ht="14.25" hidden="1" customHeight="1" x14ac:dyDescent="0.45">
      <c r="A6888" t="str">
        <f>_xlfn.XLOOKUP(B6888,Ingot!$H$12:$H$119,Ingot!$G$12:$G$119,"")</f>
        <v>Stone</v>
      </c>
      <c r="B6888" t="s">
        <v>13638</v>
      </c>
      <c r="C6888" t="s">
        <v>157</v>
      </c>
      <c r="D6888" t="s">
        <v>13845</v>
      </c>
      <c r="E6888" t="s">
        <v>13846</v>
      </c>
      <c r="G6888" s="1">
        <v>47.75</v>
      </c>
    </row>
    <row r="6889" spans="1:7" ht="14.25" hidden="1" customHeight="1" x14ac:dyDescent="0.45">
      <c r="A6889" t="str">
        <f>_xlfn.XLOOKUP(B6889,Ingot!$H$12:$H$119,Ingot!$G$12:$G$119,"")</f>
        <v>Stone</v>
      </c>
      <c r="B6889" t="s">
        <v>13638</v>
      </c>
      <c r="C6889" t="s">
        <v>157</v>
      </c>
      <c r="D6889" t="s">
        <v>13847</v>
      </c>
      <c r="E6889" t="s">
        <v>13848</v>
      </c>
      <c r="G6889" s="1">
        <v>9.5500000000000007</v>
      </c>
    </row>
    <row r="6890" spans="1:7" ht="14.25" hidden="1" customHeight="1" x14ac:dyDescent="0.45">
      <c r="A6890" t="str">
        <f>_xlfn.XLOOKUP(B6890,Ingot!$H$12:$H$119,Ingot!$G$12:$G$119,"")</f>
        <v>Stone</v>
      </c>
      <c r="B6890" t="s">
        <v>13638</v>
      </c>
      <c r="C6890" t="s">
        <v>157</v>
      </c>
      <c r="D6890" t="s">
        <v>13849</v>
      </c>
      <c r="E6890" t="s">
        <v>13850</v>
      </c>
      <c r="G6890" s="1">
        <v>9.5500000000000007</v>
      </c>
    </row>
    <row r="6891" spans="1:7" ht="14.25" hidden="1" customHeight="1" x14ac:dyDescent="0.45">
      <c r="A6891" t="str">
        <f>_xlfn.XLOOKUP(B6891,Ingot!$H$12:$H$119,Ingot!$G$12:$G$119,"")</f>
        <v>Stone</v>
      </c>
      <c r="B6891" t="s">
        <v>13638</v>
      </c>
      <c r="C6891" t="s">
        <v>157</v>
      </c>
      <c r="D6891" t="s">
        <v>13851</v>
      </c>
      <c r="E6891" t="s">
        <v>13852</v>
      </c>
      <c r="G6891" s="1">
        <v>6.21</v>
      </c>
    </row>
    <row r="6892" spans="1:7" ht="14.25" hidden="1" customHeight="1" x14ac:dyDescent="0.45">
      <c r="A6892" t="str">
        <f>_xlfn.XLOOKUP(B6892,Ingot!$H$12:$H$119,Ingot!$G$12:$G$119,"")</f>
        <v>Stone</v>
      </c>
      <c r="B6892" t="s">
        <v>13638</v>
      </c>
      <c r="C6892" t="s">
        <v>157</v>
      </c>
      <c r="D6892" t="s">
        <v>13853</v>
      </c>
      <c r="E6892" t="s">
        <v>13854</v>
      </c>
      <c r="G6892" s="1">
        <v>12.42</v>
      </c>
    </row>
    <row r="6893" spans="1:7" ht="14.25" hidden="1" customHeight="1" x14ac:dyDescent="0.45">
      <c r="A6893" t="str">
        <f>_xlfn.XLOOKUP(B6893,Ingot!$H$12:$H$119,Ingot!$G$12:$G$119,"")</f>
        <v>Stone</v>
      </c>
      <c r="B6893" t="s">
        <v>13638</v>
      </c>
      <c r="C6893" t="s">
        <v>157</v>
      </c>
      <c r="D6893" t="s">
        <v>13855</v>
      </c>
      <c r="E6893" t="s">
        <v>13856</v>
      </c>
      <c r="F6893" t="s">
        <v>180</v>
      </c>
      <c r="G6893" s="1">
        <v>40.25</v>
      </c>
    </row>
    <row r="6894" spans="1:7" ht="14.25" hidden="1" customHeight="1" x14ac:dyDescent="0.45">
      <c r="A6894" t="str">
        <f>_xlfn.XLOOKUP(B6894,Ingot!$H$12:$H$119,Ingot!$G$12:$G$119,"")</f>
        <v>Stone</v>
      </c>
      <c r="B6894" t="s">
        <v>13638</v>
      </c>
      <c r="C6894" t="s">
        <v>157</v>
      </c>
      <c r="D6894" t="s">
        <v>13857</v>
      </c>
      <c r="E6894" t="s">
        <v>13858</v>
      </c>
      <c r="F6894" t="s">
        <v>180</v>
      </c>
      <c r="G6894" s="1">
        <v>8.0500000000000007</v>
      </c>
    </row>
    <row r="6895" spans="1:7" ht="14.25" hidden="1" customHeight="1" x14ac:dyDescent="0.45">
      <c r="A6895" t="str">
        <f>_xlfn.XLOOKUP(B6895,Ingot!$H$12:$H$119,Ingot!$G$12:$G$119,"")</f>
        <v>Stone</v>
      </c>
      <c r="B6895" t="s">
        <v>13638</v>
      </c>
      <c r="C6895" t="s">
        <v>157</v>
      </c>
      <c r="D6895" t="s">
        <v>13859</v>
      </c>
      <c r="E6895" t="s">
        <v>13860</v>
      </c>
      <c r="F6895" t="s">
        <v>180</v>
      </c>
      <c r="G6895" s="1">
        <v>8.0500000000000007</v>
      </c>
    </row>
    <row r="6896" spans="1:7" ht="14.25" hidden="1" customHeight="1" x14ac:dyDescent="0.45">
      <c r="A6896" t="str">
        <f>_xlfn.XLOOKUP(B6896,Ingot!$H$12:$H$119,Ingot!$G$12:$G$119,"")</f>
        <v>Stone</v>
      </c>
      <c r="B6896" t="s">
        <v>13638</v>
      </c>
      <c r="C6896" t="s">
        <v>157</v>
      </c>
      <c r="D6896" t="s">
        <v>13861</v>
      </c>
      <c r="E6896" t="s">
        <v>13862</v>
      </c>
      <c r="F6896" t="s">
        <v>180</v>
      </c>
      <c r="G6896" s="1">
        <v>5.23</v>
      </c>
    </row>
    <row r="6897" spans="1:7" ht="14.25" hidden="1" customHeight="1" x14ac:dyDescent="0.45">
      <c r="A6897" t="str">
        <f>_xlfn.XLOOKUP(B6897,Ingot!$H$12:$H$119,Ingot!$G$12:$G$119,"")</f>
        <v>Stone</v>
      </c>
      <c r="B6897" t="s">
        <v>13638</v>
      </c>
      <c r="C6897" t="s">
        <v>157</v>
      </c>
      <c r="D6897" t="s">
        <v>13863</v>
      </c>
      <c r="E6897" t="s">
        <v>13864</v>
      </c>
      <c r="F6897" t="s">
        <v>180</v>
      </c>
      <c r="G6897" s="1">
        <v>10.47</v>
      </c>
    </row>
    <row r="6898" spans="1:7" ht="14.25" hidden="1" customHeight="1" x14ac:dyDescent="0.45">
      <c r="A6898" t="str">
        <f>_xlfn.XLOOKUP(B6898,Ingot!$H$12:$H$119,Ingot!$G$12:$G$119,"")</f>
        <v>Stone</v>
      </c>
      <c r="B6898" t="s">
        <v>13638</v>
      </c>
      <c r="C6898" t="s">
        <v>239</v>
      </c>
      <c r="D6898" t="s">
        <v>13865</v>
      </c>
      <c r="E6898" t="s">
        <v>13866</v>
      </c>
      <c r="G6898" s="1">
        <f>(VLOOKUP(B6898,Ingot!H:I,2,FALSE()) * 0.75) * 0.75</f>
        <v>9.84375</v>
      </c>
    </row>
    <row r="6899" spans="1:7" ht="14.25" hidden="1" customHeight="1" x14ac:dyDescent="0.45">
      <c r="A6899" t="str">
        <f>_xlfn.XLOOKUP(B6899,Ingot!$H$12:$H$119,Ingot!$G$12:$G$119,"")</f>
        <v>Stone</v>
      </c>
      <c r="B6899" t="s">
        <v>13638</v>
      </c>
      <c r="C6899" t="s">
        <v>239</v>
      </c>
      <c r="D6899" t="s">
        <v>13867</v>
      </c>
      <c r="E6899" t="s">
        <v>13868</v>
      </c>
      <c r="G6899" s="1">
        <f>((VLOOKUP(B6899,Ingot!H:I,2,FALSE()) * 3) - 10.25) * 0.421875</f>
        <v>17.82421875</v>
      </c>
    </row>
    <row r="6900" spans="1:7" ht="14.25" hidden="1" customHeight="1" x14ac:dyDescent="0.45">
      <c r="A6900" t="str">
        <f>_xlfn.XLOOKUP(B6900,Ingot!$H$12:$H$119,Ingot!$G$12:$G$119,"")</f>
        <v>Stone</v>
      </c>
      <c r="B6900" t="s">
        <v>13638</v>
      </c>
      <c r="C6900" t="s">
        <v>239</v>
      </c>
      <c r="D6900" t="s">
        <v>13869</v>
      </c>
      <c r="E6900" t="s">
        <v>13870</v>
      </c>
      <c r="G6900" s="1">
        <f>((VLOOKUP(B6900,Ingot!H:I,2,FALSE()) * 3) - 10.25) * 0.75</f>
        <v>31.6875</v>
      </c>
    </row>
    <row r="6901" spans="1:7" ht="14.25" hidden="1" customHeight="1" x14ac:dyDescent="0.45">
      <c r="A6901" t="str">
        <f>_xlfn.XLOOKUP(B6901,Ingot!$H$12:$H$119,Ingot!$G$12:$G$119,"")</f>
        <v>Stone</v>
      </c>
      <c r="B6901" t="s">
        <v>13638</v>
      </c>
      <c r="C6901" t="s">
        <v>239</v>
      </c>
      <c r="D6901" t="s">
        <v>13871</v>
      </c>
      <c r="E6901" t="s">
        <v>13872</v>
      </c>
      <c r="G6901" s="1">
        <f>((VLOOKUP(B6901,Ingot!H:I,2,FALSE()) * 3) - 10.25) * 0.5625</f>
        <v>23.765625</v>
      </c>
    </row>
    <row r="6902" spans="1:7" ht="14.25" hidden="1" customHeight="1" x14ac:dyDescent="0.45">
      <c r="A6902" t="str">
        <f>_xlfn.XLOOKUP(B6902,Ingot!$H$12:$H$119,Ingot!$G$12:$G$119,"")</f>
        <v>Stone</v>
      </c>
      <c r="B6902" t="s">
        <v>13638</v>
      </c>
      <c r="C6902" t="s">
        <v>239</v>
      </c>
      <c r="D6902" t="s">
        <v>13873</v>
      </c>
      <c r="E6902" t="s">
        <v>13874</v>
      </c>
      <c r="G6902" s="1">
        <f>VLOOKUP(B6902,Ingot!H:I,2,FALSE()) * 0.75</f>
        <v>13.125</v>
      </c>
    </row>
    <row r="6903" spans="1:7" ht="14.25" hidden="1" customHeight="1" x14ac:dyDescent="0.45">
      <c r="A6903" t="str">
        <f>_xlfn.XLOOKUP(B6903,Ingot!$H$12:$H$119,Ingot!$G$12:$G$119,"")</f>
        <v>Stone</v>
      </c>
      <c r="B6903" t="s">
        <v>13638</v>
      </c>
      <c r="C6903" t="s">
        <v>239</v>
      </c>
      <c r="D6903" t="s">
        <v>13875</v>
      </c>
      <c r="E6903" t="s">
        <v>13876</v>
      </c>
      <c r="G6903" s="1">
        <f>(VLOOKUP(B6903,Ingot!H:I,2,FALSE()) * 3) - 10.25</f>
        <v>42.25</v>
      </c>
    </row>
    <row r="6904" spans="1:7" ht="14.25" hidden="1" customHeight="1" x14ac:dyDescent="0.45">
      <c r="A6904" t="str">
        <f>_xlfn.XLOOKUP(B6904,Ingot!$H$12:$H$119,Ingot!$G$12:$G$119,"")</f>
        <v>Stone</v>
      </c>
      <c r="B6904" t="s">
        <v>13877</v>
      </c>
      <c r="C6904" t="s">
        <v>10</v>
      </c>
      <c r="D6904" t="s">
        <v>13878</v>
      </c>
      <c r="E6904" t="s">
        <v>13879</v>
      </c>
      <c r="G6904" s="1">
        <v>0.08</v>
      </c>
    </row>
    <row r="6905" spans="1:7" ht="14.25" hidden="1" customHeight="1" x14ac:dyDescent="0.45">
      <c r="A6905" t="str">
        <f>_xlfn.XLOOKUP(B6905,Ingot!$H$12:$H$119,Ingot!$G$12:$G$119,"")</f>
        <v>Stone</v>
      </c>
      <c r="B6905" t="s">
        <v>13877</v>
      </c>
      <c r="C6905" t="s">
        <v>10</v>
      </c>
      <c r="D6905" t="s">
        <v>13880</v>
      </c>
      <c r="E6905" t="s">
        <v>13881</v>
      </c>
      <c r="G6905" s="1">
        <v>9.9</v>
      </c>
    </row>
    <row r="6906" spans="1:7" ht="14.25" hidden="1" customHeight="1" x14ac:dyDescent="0.45">
      <c r="A6906" t="str">
        <f>_xlfn.XLOOKUP(B6906,Ingot!$H$12:$H$119,Ingot!$G$12:$G$119,"")</f>
        <v>Stone</v>
      </c>
      <c r="B6906" t="s">
        <v>13877</v>
      </c>
      <c r="C6906" t="s">
        <v>10</v>
      </c>
      <c r="D6906" t="s">
        <v>13882</v>
      </c>
      <c r="E6906" t="s">
        <v>13883</v>
      </c>
      <c r="G6906" s="1">
        <v>5.66</v>
      </c>
    </row>
    <row r="6907" spans="1:7" ht="14.25" hidden="1" customHeight="1" x14ac:dyDescent="0.45">
      <c r="A6907" t="str">
        <f>_xlfn.XLOOKUP(B6907,Ingot!$H$12:$H$119,Ingot!$G$12:$G$119,"")</f>
        <v>Stone</v>
      </c>
      <c r="B6907" t="s">
        <v>13877</v>
      </c>
      <c r="C6907" t="s">
        <v>10</v>
      </c>
      <c r="D6907" t="s">
        <v>13884</v>
      </c>
      <c r="E6907" t="s">
        <v>13885</v>
      </c>
      <c r="G6907" s="1">
        <v>3.3</v>
      </c>
    </row>
    <row r="6908" spans="1:7" ht="14.25" hidden="1" customHeight="1" x14ac:dyDescent="0.45">
      <c r="A6908" t="str">
        <f>_xlfn.XLOOKUP(B6908,Ingot!$H$12:$H$119,Ingot!$G$12:$G$119,"")</f>
        <v>Stone</v>
      </c>
      <c r="B6908" t="s">
        <v>13877</v>
      </c>
      <c r="C6908" t="s">
        <v>10</v>
      </c>
      <c r="D6908" t="s">
        <v>13886</v>
      </c>
      <c r="E6908" t="s">
        <v>13887</v>
      </c>
      <c r="G6908" s="1">
        <v>0.66</v>
      </c>
    </row>
    <row r="6909" spans="1:7" ht="14.25" hidden="1" customHeight="1" x14ac:dyDescent="0.45">
      <c r="A6909" t="str">
        <f>_xlfn.XLOOKUP(B6909,Ingot!$H$12:$H$119,Ingot!$G$12:$G$119,"")</f>
        <v>Stone</v>
      </c>
      <c r="B6909" t="s">
        <v>13877</v>
      </c>
      <c r="C6909" t="s">
        <v>10</v>
      </c>
      <c r="D6909" t="s">
        <v>13888</v>
      </c>
      <c r="E6909" t="s">
        <v>13889</v>
      </c>
      <c r="G6909" s="1">
        <v>0.04</v>
      </c>
    </row>
    <row r="6910" spans="1:7" ht="14.25" hidden="1" customHeight="1" x14ac:dyDescent="0.45">
      <c r="A6910" t="str">
        <f>_xlfn.XLOOKUP(B6910,Ingot!$H$12:$H$119,Ingot!$G$12:$G$119,"")</f>
        <v>Stone</v>
      </c>
      <c r="B6910" t="s">
        <v>13877</v>
      </c>
      <c r="C6910" t="s">
        <v>10</v>
      </c>
      <c r="D6910" t="s">
        <v>13890</v>
      </c>
      <c r="E6910" t="s">
        <v>13891</v>
      </c>
      <c r="G6910" s="1">
        <v>0.33</v>
      </c>
    </row>
    <row r="6911" spans="1:7" ht="14.25" hidden="1" customHeight="1" x14ac:dyDescent="0.45">
      <c r="A6911" t="str">
        <f>_xlfn.XLOOKUP(B6911,Ingot!$H$12:$H$119,Ingot!$G$12:$G$119,"")</f>
        <v>Stone</v>
      </c>
      <c r="B6911" t="s">
        <v>13877</v>
      </c>
      <c r="C6911" t="s">
        <v>10</v>
      </c>
      <c r="D6911" t="s">
        <v>13892</v>
      </c>
      <c r="E6911" t="s">
        <v>13893</v>
      </c>
    </row>
    <row r="6912" spans="1:7" ht="14.25" hidden="1" customHeight="1" x14ac:dyDescent="0.45">
      <c r="A6912" t="str">
        <f>_xlfn.XLOOKUP(B6912,Ingot!$H$12:$H$119,Ingot!$G$12:$G$119,"")</f>
        <v>Stone</v>
      </c>
      <c r="B6912" t="s">
        <v>13877</v>
      </c>
      <c r="C6912" t="s">
        <v>10</v>
      </c>
      <c r="D6912" t="s">
        <v>13894</v>
      </c>
      <c r="E6912" t="s">
        <v>13895</v>
      </c>
      <c r="G6912" s="1">
        <v>0.05</v>
      </c>
    </row>
    <row r="6913" spans="1:7" ht="14.25" hidden="1" customHeight="1" x14ac:dyDescent="0.45">
      <c r="A6913" t="str">
        <f>_xlfn.XLOOKUP(B6913,Ingot!$H$12:$H$119,Ingot!$G$12:$G$119,"")</f>
        <v>Stone</v>
      </c>
      <c r="B6913" t="s">
        <v>13877</v>
      </c>
      <c r="C6913" t="s">
        <v>10</v>
      </c>
      <c r="D6913" t="s">
        <v>13896</v>
      </c>
      <c r="E6913" t="s">
        <v>13897</v>
      </c>
      <c r="G6913" s="1">
        <v>0.66</v>
      </c>
    </row>
    <row r="6914" spans="1:7" ht="14.25" hidden="1" customHeight="1" x14ac:dyDescent="0.45">
      <c r="A6914" t="str">
        <f>_xlfn.XLOOKUP(B6914,Ingot!$H$12:$H$119,Ingot!$G$12:$G$119,"")</f>
        <v>Stone</v>
      </c>
      <c r="B6914" t="s">
        <v>13877</v>
      </c>
      <c r="C6914" t="s">
        <v>10</v>
      </c>
      <c r="D6914" t="s">
        <v>13898</v>
      </c>
      <c r="E6914" t="s">
        <v>13899</v>
      </c>
      <c r="G6914" s="1">
        <v>3.96</v>
      </c>
    </row>
    <row r="6915" spans="1:7" ht="14.25" hidden="1" customHeight="1" x14ac:dyDescent="0.45">
      <c r="A6915" t="str">
        <f>_xlfn.XLOOKUP(B6915,Ingot!$H$12:$H$119,Ingot!$G$12:$G$119,"")</f>
        <v>Stone</v>
      </c>
      <c r="B6915" t="s">
        <v>13877</v>
      </c>
      <c r="C6915" t="s">
        <v>10</v>
      </c>
      <c r="D6915" t="s">
        <v>13900</v>
      </c>
      <c r="E6915" t="s">
        <v>13901</v>
      </c>
      <c r="G6915" s="1">
        <v>8.77</v>
      </c>
    </row>
    <row r="6916" spans="1:7" ht="14.25" hidden="1" customHeight="1" x14ac:dyDescent="0.45">
      <c r="A6916" t="str">
        <f>_xlfn.XLOOKUP(B6916,Ingot!$H$12:$H$119,Ingot!$G$12:$G$119,"")</f>
        <v>Stone</v>
      </c>
      <c r="B6916" t="s">
        <v>13877</v>
      </c>
      <c r="C6916" t="s">
        <v>10</v>
      </c>
      <c r="D6916" t="s">
        <v>13902</v>
      </c>
      <c r="E6916" t="s">
        <v>13903</v>
      </c>
      <c r="G6916" s="1">
        <v>3.5</v>
      </c>
    </row>
    <row r="6917" spans="1:7" ht="14.25" hidden="1" customHeight="1" x14ac:dyDescent="0.45">
      <c r="A6917" t="str">
        <f>_xlfn.XLOOKUP(B6917,Ingot!$H$12:$H$119,Ingot!$G$12:$G$119,"")</f>
        <v>Stone</v>
      </c>
      <c r="B6917" t="s">
        <v>13877</v>
      </c>
      <c r="C6917" t="s">
        <v>10</v>
      </c>
      <c r="D6917" t="s">
        <v>13904</v>
      </c>
      <c r="E6917" t="s">
        <v>13905</v>
      </c>
    </row>
    <row r="6918" spans="1:7" ht="14.25" hidden="1" customHeight="1" x14ac:dyDescent="0.45">
      <c r="A6918" t="str">
        <f>_xlfn.XLOOKUP(B6918,Ingot!$H$12:$H$119,Ingot!$G$12:$G$119,"")</f>
        <v>Stone</v>
      </c>
      <c r="B6918" t="s">
        <v>13877</v>
      </c>
      <c r="C6918" t="s">
        <v>10</v>
      </c>
      <c r="D6918" t="s">
        <v>13906</v>
      </c>
      <c r="E6918" t="s">
        <v>13907</v>
      </c>
      <c r="G6918" s="1">
        <v>2.2000000000000002</v>
      </c>
    </row>
    <row r="6919" spans="1:7" ht="14.25" hidden="1" customHeight="1" x14ac:dyDescent="0.45">
      <c r="A6919" t="str">
        <f>_xlfn.XLOOKUP(B6919,Ingot!$H$12:$H$119,Ingot!$G$12:$G$119,"")</f>
        <v>Stone</v>
      </c>
      <c r="B6919" t="s">
        <v>13877</v>
      </c>
      <c r="C6919" t="s">
        <v>10</v>
      </c>
      <c r="D6919" t="s">
        <v>13908</v>
      </c>
      <c r="E6919" t="s">
        <v>13909</v>
      </c>
      <c r="G6919" s="1">
        <v>1.1000000000000001</v>
      </c>
    </row>
    <row r="6920" spans="1:7" ht="14.25" hidden="1" customHeight="1" x14ac:dyDescent="0.45">
      <c r="A6920" t="str">
        <f>_xlfn.XLOOKUP(B6920,Ingot!$H$12:$H$119,Ingot!$G$12:$G$119,"")</f>
        <v>Stone</v>
      </c>
      <c r="B6920" t="s">
        <v>13877</v>
      </c>
      <c r="C6920" t="s">
        <v>10</v>
      </c>
      <c r="D6920" t="s">
        <v>13910</v>
      </c>
      <c r="E6920" t="s">
        <v>13911</v>
      </c>
      <c r="G6920" s="1">
        <v>0.22</v>
      </c>
    </row>
    <row r="6921" spans="1:7" ht="14.25" hidden="1" customHeight="1" x14ac:dyDescent="0.45">
      <c r="A6921" t="str">
        <f>_xlfn.XLOOKUP(B6921,Ingot!$H$12:$H$119,Ingot!$G$12:$G$119,"")</f>
        <v>Stone</v>
      </c>
      <c r="B6921" t="s">
        <v>13877</v>
      </c>
      <c r="C6921" t="s">
        <v>10</v>
      </c>
      <c r="D6921" t="s">
        <v>13912</v>
      </c>
      <c r="E6921" t="s">
        <v>13913</v>
      </c>
      <c r="G6921" s="1">
        <v>8.41</v>
      </c>
    </row>
    <row r="6922" spans="1:7" ht="14.25" hidden="1" customHeight="1" x14ac:dyDescent="0.45">
      <c r="A6922" t="str">
        <f>_xlfn.XLOOKUP(B6922,Ingot!$H$12:$H$119,Ingot!$G$12:$G$119,"")</f>
        <v>Stone</v>
      </c>
      <c r="B6922" t="s">
        <v>13877</v>
      </c>
      <c r="C6922" t="s">
        <v>10</v>
      </c>
      <c r="D6922" t="s">
        <v>13914</v>
      </c>
      <c r="E6922" t="s">
        <v>13915</v>
      </c>
      <c r="G6922" s="1">
        <v>3.64</v>
      </c>
    </row>
    <row r="6923" spans="1:7" ht="14.25" hidden="1" customHeight="1" x14ac:dyDescent="0.45">
      <c r="A6923" t="str">
        <f>_xlfn.XLOOKUP(B6923,Ingot!$H$12:$H$119,Ingot!$G$12:$G$119,"")</f>
        <v>Stone</v>
      </c>
      <c r="B6923" t="s">
        <v>13877</v>
      </c>
      <c r="C6923" t="s">
        <v>10</v>
      </c>
      <c r="D6923" t="s">
        <v>13916</v>
      </c>
      <c r="E6923" t="s">
        <v>13917</v>
      </c>
      <c r="G6923" s="1">
        <v>7.05</v>
      </c>
    </row>
    <row r="6924" spans="1:7" ht="14.25" hidden="1" customHeight="1" x14ac:dyDescent="0.45">
      <c r="A6924" t="str">
        <f>_xlfn.XLOOKUP(B6924,Ingot!$H$12:$H$119,Ingot!$G$12:$G$119,"")</f>
        <v>Stone</v>
      </c>
      <c r="B6924" t="s">
        <v>13877</v>
      </c>
      <c r="C6924" t="s">
        <v>10</v>
      </c>
      <c r="D6924" t="s">
        <v>13918</v>
      </c>
      <c r="E6924" t="s">
        <v>13919</v>
      </c>
      <c r="G6924" s="1">
        <v>2.65</v>
      </c>
    </row>
    <row r="6925" spans="1:7" ht="14.25" hidden="1" customHeight="1" x14ac:dyDescent="0.45">
      <c r="A6925" t="str">
        <f>_xlfn.XLOOKUP(B6925,Ingot!$H$12:$H$119,Ingot!$G$12:$G$119,"")</f>
        <v>Stone</v>
      </c>
      <c r="B6925" t="s">
        <v>13877</v>
      </c>
      <c r="C6925" t="s">
        <v>10</v>
      </c>
      <c r="D6925" t="s">
        <v>13920</v>
      </c>
      <c r="E6925" t="s">
        <v>13921</v>
      </c>
      <c r="G6925" s="1">
        <v>9</v>
      </c>
    </row>
    <row r="6926" spans="1:7" ht="14.25" hidden="1" customHeight="1" x14ac:dyDescent="0.45">
      <c r="A6926" t="str">
        <f>_xlfn.XLOOKUP(B6926,Ingot!$H$12:$H$119,Ingot!$G$12:$G$119,"")</f>
        <v>Stone</v>
      </c>
      <c r="B6926" t="s">
        <v>13877</v>
      </c>
      <c r="C6926" t="s">
        <v>10</v>
      </c>
      <c r="D6926" t="s">
        <v>13922</v>
      </c>
      <c r="E6926" t="s">
        <v>13923</v>
      </c>
      <c r="G6926" s="1">
        <v>10.23</v>
      </c>
    </row>
    <row r="6927" spans="1:7" ht="14.25" hidden="1" customHeight="1" x14ac:dyDescent="0.45">
      <c r="A6927" t="str">
        <f>_xlfn.XLOOKUP(B6927,Ingot!$H$12:$H$119,Ingot!$G$12:$G$119,"")</f>
        <v>Stone</v>
      </c>
      <c r="B6927" t="s">
        <v>13877</v>
      </c>
      <c r="C6927" t="s">
        <v>10</v>
      </c>
      <c r="D6927" t="s">
        <v>13924</v>
      </c>
      <c r="E6927" t="s">
        <v>13925</v>
      </c>
      <c r="G6927" s="1">
        <v>7.7</v>
      </c>
    </row>
    <row r="6928" spans="1:7" ht="14.25" hidden="1" customHeight="1" x14ac:dyDescent="0.45">
      <c r="A6928" t="str">
        <f>_xlfn.XLOOKUP(B6928,Ingot!$H$12:$H$119,Ingot!$G$12:$G$119,"")</f>
        <v>Stone</v>
      </c>
      <c r="B6928" t="s">
        <v>13877</v>
      </c>
      <c r="C6928" t="s">
        <v>10</v>
      </c>
      <c r="D6928" t="s">
        <v>13926</v>
      </c>
      <c r="E6928" t="s">
        <v>13927</v>
      </c>
      <c r="G6928" s="1">
        <v>10.02</v>
      </c>
    </row>
    <row r="6929" spans="1:7" ht="14.25" hidden="1" customHeight="1" x14ac:dyDescent="0.45">
      <c r="A6929" t="str">
        <f>_xlfn.XLOOKUP(B6929,Ingot!$H$12:$H$119,Ingot!$G$12:$G$119,"")</f>
        <v>Stone</v>
      </c>
      <c r="B6929" t="s">
        <v>13877</v>
      </c>
      <c r="C6929" t="s">
        <v>10</v>
      </c>
      <c r="D6929" t="s">
        <v>13928</v>
      </c>
      <c r="E6929" t="s">
        <v>13929</v>
      </c>
      <c r="G6929" s="1">
        <v>11.81</v>
      </c>
    </row>
    <row r="6930" spans="1:7" ht="14.25" hidden="1" customHeight="1" x14ac:dyDescent="0.45">
      <c r="A6930" t="str">
        <f>_xlfn.XLOOKUP(B6930,Ingot!$H$12:$H$119,Ingot!$G$12:$G$119,"")</f>
        <v>Stone</v>
      </c>
      <c r="B6930" t="s">
        <v>13877</v>
      </c>
      <c r="C6930" t="s">
        <v>10</v>
      </c>
      <c r="D6930" t="s">
        <v>13930</v>
      </c>
      <c r="E6930" t="s">
        <v>13931</v>
      </c>
      <c r="G6930" s="1">
        <v>8.44</v>
      </c>
    </row>
    <row r="6931" spans="1:7" ht="14.25" hidden="1" customHeight="1" x14ac:dyDescent="0.45">
      <c r="A6931" t="str">
        <f>_xlfn.XLOOKUP(B6931,Ingot!$H$12:$H$119,Ingot!$G$12:$G$119,"")</f>
        <v>Stone</v>
      </c>
      <c r="B6931" t="s">
        <v>13877</v>
      </c>
      <c r="C6931" t="s">
        <v>10</v>
      </c>
      <c r="D6931" t="s">
        <v>13932</v>
      </c>
      <c r="E6931" t="s">
        <v>13933</v>
      </c>
      <c r="G6931" s="1">
        <v>10.42</v>
      </c>
    </row>
    <row r="6932" spans="1:7" ht="14.25" hidden="1" customHeight="1" x14ac:dyDescent="0.45">
      <c r="A6932" t="str">
        <f>_xlfn.XLOOKUP(B6932,Ingot!$H$12:$H$119,Ingot!$G$12:$G$119,"")</f>
        <v>Stone</v>
      </c>
      <c r="B6932" t="s">
        <v>13877</v>
      </c>
      <c r="C6932" t="s">
        <v>10</v>
      </c>
      <c r="D6932" t="s">
        <v>13934</v>
      </c>
      <c r="E6932" t="s">
        <v>13935</v>
      </c>
    </row>
    <row r="6933" spans="1:7" ht="14.25" hidden="1" customHeight="1" x14ac:dyDescent="0.45">
      <c r="A6933" t="str">
        <f>_xlfn.XLOOKUP(B6933,Ingot!$H$12:$H$119,Ingot!$G$12:$G$119,"")</f>
        <v>Stone</v>
      </c>
      <c r="B6933" t="s">
        <v>13877</v>
      </c>
      <c r="C6933" t="s">
        <v>10</v>
      </c>
      <c r="D6933" t="s">
        <v>13936</v>
      </c>
      <c r="E6933" t="s">
        <v>13937</v>
      </c>
      <c r="G6933" s="1">
        <v>7.96</v>
      </c>
    </row>
    <row r="6934" spans="1:7" ht="14.25" hidden="1" customHeight="1" x14ac:dyDescent="0.45">
      <c r="A6934" t="str">
        <f>_xlfn.XLOOKUP(B6934,Ingot!$H$12:$H$119,Ingot!$G$12:$G$119,"")</f>
        <v>Stone</v>
      </c>
      <c r="B6934" t="s">
        <v>13877</v>
      </c>
      <c r="C6934" t="s">
        <v>10</v>
      </c>
      <c r="D6934" t="s">
        <v>13938</v>
      </c>
      <c r="E6934" t="s">
        <v>13939</v>
      </c>
      <c r="G6934" s="1">
        <v>9.64</v>
      </c>
    </row>
    <row r="6935" spans="1:7" ht="14.25" hidden="1" customHeight="1" x14ac:dyDescent="0.45">
      <c r="A6935" t="str">
        <f>_xlfn.XLOOKUP(B6935,Ingot!$H$12:$H$119,Ingot!$G$12:$G$119,"")</f>
        <v>Stone</v>
      </c>
      <c r="B6935" t="s">
        <v>13877</v>
      </c>
      <c r="C6935" t="s">
        <v>10</v>
      </c>
      <c r="D6935" t="s">
        <v>13940</v>
      </c>
      <c r="E6935" t="s">
        <v>13941</v>
      </c>
      <c r="G6935" s="1">
        <v>7.94</v>
      </c>
    </row>
    <row r="6936" spans="1:7" ht="14.25" hidden="1" customHeight="1" x14ac:dyDescent="0.45">
      <c r="A6936" t="str">
        <f>_xlfn.XLOOKUP(B6936,Ingot!$H$12:$H$119,Ingot!$G$12:$G$119,"")</f>
        <v>Stone</v>
      </c>
      <c r="B6936" t="s">
        <v>13877</v>
      </c>
      <c r="C6936" t="s">
        <v>10</v>
      </c>
      <c r="D6936" t="s">
        <v>13942</v>
      </c>
      <c r="E6936" t="s">
        <v>13943</v>
      </c>
      <c r="G6936" s="1">
        <v>8.66</v>
      </c>
    </row>
    <row r="6937" spans="1:7" ht="14.25" hidden="1" customHeight="1" x14ac:dyDescent="0.45">
      <c r="A6937" t="str">
        <f>_xlfn.XLOOKUP(B6937,Ingot!$H$12:$H$119,Ingot!$G$12:$G$119,"")</f>
        <v>Stone</v>
      </c>
      <c r="B6937" t="s">
        <v>13877</v>
      </c>
      <c r="C6937" t="s">
        <v>10</v>
      </c>
      <c r="D6937" t="s">
        <v>13944</v>
      </c>
      <c r="E6937" t="s">
        <v>13945</v>
      </c>
    </row>
    <row r="6938" spans="1:7" ht="14.25" hidden="1" customHeight="1" x14ac:dyDescent="0.45">
      <c r="A6938" t="str">
        <f>_xlfn.XLOOKUP(B6938,Ingot!$H$12:$H$119,Ingot!$G$12:$G$119,"")</f>
        <v>Stone</v>
      </c>
      <c r="B6938" t="s">
        <v>13877</v>
      </c>
      <c r="C6938" t="s">
        <v>10</v>
      </c>
      <c r="D6938" t="s">
        <v>13946</v>
      </c>
      <c r="E6938" t="s">
        <v>13947</v>
      </c>
      <c r="G6938" s="1">
        <v>2.65</v>
      </c>
    </row>
    <row r="6939" spans="1:7" ht="14.25" hidden="1" customHeight="1" x14ac:dyDescent="0.45">
      <c r="A6939" t="str">
        <f>_xlfn.XLOOKUP(B6939,Ingot!$H$12:$H$119,Ingot!$G$12:$G$119,"")</f>
        <v>Stone</v>
      </c>
      <c r="B6939" t="s">
        <v>13877</v>
      </c>
      <c r="C6939" t="s">
        <v>10</v>
      </c>
      <c r="D6939" t="s">
        <v>13948</v>
      </c>
      <c r="E6939" t="s">
        <v>13949</v>
      </c>
    </row>
    <row r="6940" spans="1:7" ht="14.25" hidden="1" customHeight="1" x14ac:dyDescent="0.45">
      <c r="A6940" t="str">
        <f>_xlfn.XLOOKUP(B6940,Ingot!$H$12:$H$119,Ingot!$G$12:$G$119,"")</f>
        <v>Stone</v>
      </c>
      <c r="B6940" t="s">
        <v>13877</v>
      </c>
      <c r="C6940" t="s">
        <v>10</v>
      </c>
      <c r="D6940" t="s">
        <v>13950</v>
      </c>
      <c r="E6940" t="s">
        <v>13951</v>
      </c>
      <c r="G6940" s="1">
        <v>12.64</v>
      </c>
    </row>
    <row r="6941" spans="1:7" ht="14.25" hidden="1" customHeight="1" x14ac:dyDescent="0.45">
      <c r="A6941" t="str">
        <f>_xlfn.XLOOKUP(B6941,Ingot!$H$12:$H$119,Ingot!$G$12:$G$119,"")</f>
        <v>Stone</v>
      </c>
      <c r="B6941" t="s">
        <v>13877</v>
      </c>
      <c r="C6941" t="s">
        <v>10</v>
      </c>
      <c r="D6941" t="s">
        <v>13952</v>
      </c>
      <c r="E6941" t="s">
        <v>13953</v>
      </c>
      <c r="G6941" s="1">
        <v>22.67</v>
      </c>
    </row>
    <row r="6942" spans="1:7" ht="14.25" hidden="1" customHeight="1" x14ac:dyDescent="0.45">
      <c r="A6942" t="str">
        <f>_xlfn.XLOOKUP(B6942,Ingot!$H$12:$H$119,Ingot!$G$12:$G$119,"")</f>
        <v>Stone</v>
      </c>
      <c r="B6942" t="s">
        <v>13877</v>
      </c>
      <c r="C6942" t="s">
        <v>10</v>
      </c>
      <c r="D6942" t="s">
        <v>13954</v>
      </c>
      <c r="E6942" t="s">
        <v>13955</v>
      </c>
      <c r="G6942" s="1">
        <v>8.3800000000000008</v>
      </c>
    </row>
    <row r="6943" spans="1:7" ht="14.25" hidden="1" customHeight="1" x14ac:dyDescent="0.45">
      <c r="A6943" t="str">
        <f>_xlfn.XLOOKUP(B6943,Ingot!$H$12:$H$119,Ingot!$G$12:$G$119,"")</f>
        <v>Stone</v>
      </c>
      <c r="B6943" t="s">
        <v>13877</v>
      </c>
      <c r="C6943" t="s">
        <v>10</v>
      </c>
      <c r="D6943" t="s">
        <v>13956</v>
      </c>
      <c r="E6943" t="s">
        <v>13957</v>
      </c>
      <c r="G6943" s="1">
        <v>2.2000000000000002</v>
      </c>
    </row>
    <row r="6944" spans="1:7" ht="14.25" hidden="1" customHeight="1" x14ac:dyDescent="0.45">
      <c r="A6944" t="str">
        <f>_xlfn.XLOOKUP(B6944,Ingot!$H$12:$H$119,Ingot!$G$12:$G$119,"")</f>
        <v>Stone</v>
      </c>
      <c r="B6944" t="s">
        <v>13877</v>
      </c>
      <c r="C6944" t="s">
        <v>10</v>
      </c>
      <c r="D6944" t="s">
        <v>13958</v>
      </c>
      <c r="E6944" t="s">
        <v>13959</v>
      </c>
      <c r="G6944" s="1">
        <v>3.09</v>
      </c>
    </row>
    <row r="6945" spans="1:7" ht="14.25" hidden="1" customHeight="1" x14ac:dyDescent="0.45">
      <c r="A6945" t="str">
        <f>_xlfn.XLOOKUP(B6945,Ingot!$H$12:$H$119,Ingot!$G$12:$G$119,"")</f>
        <v>Stone</v>
      </c>
      <c r="B6945" t="s">
        <v>13877</v>
      </c>
      <c r="C6945" t="s">
        <v>10</v>
      </c>
      <c r="D6945" t="s">
        <v>13960</v>
      </c>
      <c r="E6945" t="s">
        <v>13961</v>
      </c>
      <c r="G6945" s="1">
        <v>2.2999999999999998</v>
      </c>
    </row>
    <row r="6946" spans="1:7" ht="14.25" hidden="1" customHeight="1" x14ac:dyDescent="0.45">
      <c r="A6946" t="str">
        <f>_xlfn.XLOOKUP(B6946,Ingot!$H$12:$H$119,Ingot!$G$12:$G$119,"")</f>
        <v>Stone</v>
      </c>
      <c r="B6946" t="s">
        <v>13877</v>
      </c>
      <c r="C6946" t="s">
        <v>10</v>
      </c>
      <c r="D6946" t="s">
        <v>13962</v>
      </c>
      <c r="E6946" t="s">
        <v>13963</v>
      </c>
      <c r="G6946" s="1">
        <v>4.88</v>
      </c>
    </row>
    <row r="6947" spans="1:7" ht="14.25" hidden="1" customHeight="1" x14ac:dyDescent="0.45">
      <c r="A6947" t="str">
        <f>_xlfn.XLOOKUP(B6947,Ingot!$H$12:$H$119,Ingot!$G$12:$G$119,"")</f>
        <v>Stone</v>
      </c>
      <c r="B6947" t="s">
        <v>13877</v>
      </c>
      <c r="C6947" t="s">
        <v>10</v>
      </c>
      <c r="D6947" t="s">
        <v>13964</v>
      </c>
      <c r="E6947" t="s">
        <v>13965</v>
      </c>
      <c r="G6947" s="1">
        <v>8.43</v>
      </c>
    </row>
    <row r="6948" spans="1:7" ht="14.25" hidden="1" customHeight="1" x14ac:dyDescent="0.45">
      <c r="A6948" t="str">
        <f>_xlfn.XLOOKUP(B6948,Ingot!$H$12:$H$119,Ingot!$G$12:$G$119,"")</f>
        <v>Stone</v>
      </c>
      <c r="B6948" t="s">
        <v>13877</v>
      </c>
      <c r="C6948" t="s">
        <v>10</v>
      </c>
      <c r="D6948" t="s">
        <v>13966</v>
      </c>
      <c r="E6948" t="s">
        <v>13967</v>
      </c>
      <c r="G6948" s="1">
        <v>13.07</v>
      </c>
    </row>
    <row r="6949" spans="1:7" ht="14.25" hidden="1" customHeight="1" x14ac:dyDescent="0.45">
      <c r="A6949" t="str">
        <f>_xlfn.XLOOKUP(B6949,Ingot!$H$12:$H$119,Ingot!$G$12:$G$119,"")</f>
        <v>Stone</v>
      </c>
      <c r="B6949" t="s">
        <v>13877</v>
      </c>
      <c r="C6949" t="s">
        <v>10</v>
      </c>
      <c r="D6949" t="s">
        <v>13968</v>
      </c>
      <c r="E6949" t="s">
        <v>13969</v>
      </c>
    </row>
    <row r="6950" spans="1:7" ht="14.25" hidden="1" customHeight="1" x14ac:dyDescent="0.45">
      <c r="A6950" t="str">
        <f>_xlfn.XLOOKUP(B6950,Ingot!$H$12:$H$119,Ingot!$G$12:$G$119,"")</f>
        <v>Stone</v>
      </c>
      <c r="B6950" t="s">
        <v>13877</v>
      </c>
      <c r="C6950" t="s">
        <v>10</v>
      </c>
      <c r="D6950" t="s">
        <v>13970</v>
      </c>
      <c r="E6950" t="s">
        <v>13971</v>
      </c>
    </row>
    <row r="6951" spans="1:7" ht="14.25" hidden="1" customHeight="1" x14ac:dyDescent="0.45">
      <c r="A6951" t="str">
        <f>_xlfn.XLOOKUP(B6951,Ingot!$H$12:$H$119,Ingot!$G$12:$G$119,"")</f>
        <v>Stone</v>
      </c>
      <c r="B6951" t="s">
        <v>13877</v>
      </c>
      <c r="C6951" t="s">
        <v>10</v>
      </c>
      <c r="D6951" t="s">
        <v>13972</v>
      </c>
      <c r="E6951" t="s">
        <v>13973</v>
      </c>
      <c r="G6951" s="1">
        <v>6.8</v>
      </c>
    </row>
    <row r="6952" spans="1:7" ht="14.25" hidden="1" customHeight="1" x14ac:dyDescent="0.45">
      <c r="A6952" t="str">
        <f>_xlfn.XLOOKUP(B6952,Ingot!$H$12:$H$119,Ingot!$G$12:$G$119,"")</f>
        <v>Stone</v>
      </c>
      <c r="B6952" t="s">
        <v>13877</v>
      </c>
      <c r="C6952" t="s">
        <v>10</v>
      </c>
      <c r="D6952" t="s">
        <v>13974</v>
      </c>
      <c r="E6952" t="s">
        <v>13975</v>
      </c>
      <c r="G6952" s="1">
        <v>6.88</v>
      </c>
    </row>
    <row r="6953" spans="1:7" ht="14.25" hidden="1" customHeight="1" x14ac:dyDescent="0.45">
      <c r="A6953" t="str">
        <f>_xlfn.XLOOKUP(B6953,Ingot!$H$12:$H$119,Ingot!$G$12:$G$119,"")</f>
        <v>Stone</v>
      </c>
      <c r="B6953" t="s">
        <v>13877</v>
      </c>
      <c r="C6953" t="s">
        <v>10</v>
      </c>
      <c r="D6953" t="s">
        <v>13976</v>
      </c>
      <c r="E6953" t="s">
        <v>13977</v>
      </c>
      <c r="G6953" s="1">
        <v>5.5</v>
      </c>
    </row>
    <row r="6954" spans="1:7" ht="14.25" hidden="1" customHeight="1" x14ac:dyDescent="0.45">
      <c r="A6954" t="str">
        <f>_xlfn.XLOOKUP(B6954,Ingot!$H$12:$H$119,Ingot!$G$12:$G$119,"")</f>
        <v>Stone</v>
      </c>
      <c r="B6954" t="s">
        <v>13877</v>
      </c>
      <c r="C6954" t="s">
        <v>10</v>
      </c>
      <c r="D6954" t="s">
        <v>13978</v>
      </c>
      <c r="E6954" t="s">
        <v>13979</v>
      </c>
      <c r="G6954" s="1">
        <v>2.4300000000000002</v>
      </c>
    </row>
    <row r="6955" spans="1:7" ht="14.25" hidden="1" customHeight="1" x14ac:dyDescent="0.45">
      <c r="A6955" t="str">
        <f>_xlfn.XLOOKUP(B6955,Ingot!$H$12:$H$119,Ingot!$G$12:$G$119,"")</f>
        <v>Stone</v>
      </c>
      <c r="B6955" t="s">
        <v>13877</v>
      </c>
      <c r="C6955" t="s">
        <v>10</v>
      </c>
      <c r="D6955" t="s">
        <v>13980</v>
      </c>
      <c r="E6955" t="s">
        <v>13981</v>
      </c>
      <c r="G6955" s="1">
        <v>6.96</v>
      </c>
    </row>
    <row r="6956" spans="1:7" ht="14.25" hidden="1" customHeight="1" x14ac:dyDescent="0.45">
      <c r="A6956" t="str">
        <f>_xlfn.XLOOKUP(B6956,Ingot!$H$12:$H$119,Ingot!$G$12:$G$119,"")</f>
        <v>Stone</v>
      </c>
      <c r="B6956" t="s">
        <v>13877</v>
      </c>
      <c r="C6956" t="s">
        <v>10</v>
      </c>
      <c r="D6956" t="s">
        <v>13982</v>
      </c>
      <c r="E6956" t="s">
        <v>13983</v>
      </c>
      <c r="G6956" s="1">
        <v>6.32</v>
      </c>
    </row>
    <row r="6957" spans="1:7" ht="14.25" hidden="1" customHeight="1" x14ac:dyDescent="0.45">
      <c r="A6957" t="str">
        <f>_xlfn.XLOOKUP(B6957,Ingot!$H$12:$H$119,Ingot!$G$12:$G$119,"")</f>
        <v>Stone</v>
      </c>
      <c r="B6957" t="s">
        <v>13877</v>
      </c>
      <c r="C6957" t="s">
        <v>10</v>
      </c>
      <c r="D6957" t="s">
        <v>13984</v>
      </c>
      <c r="E6957" t="s">
        <v>13985</v>
      </c>
      <c r="G6957" s="1">
        <v>6.88</v>
      </c>
    </row>
    <row r="6958" spans="1:7" ht="14.25" hidden="1" customHeight="1" x14ac:dyDescent="0.45">
      <c r="A6958" t="str">
        <f>_xlfn.XLOOKUP(B6958,Ingot!$H$12:$H$119,Ingot!$G$12:$G$119,"")</f>
        <v>Stone</v>
      </c>
      <c r="B6958" t="s">
        <v>13877</v>
      </c>
      <c r="C6958" t="s">
        <v>10</v>
      </c>
      <c r="D6958" t="s">
        <v>13986</v>
      </c>
      <c r="E6958" t="s">
        <v>13987</v>
      </c>
      <c r="G6958" s="1">
        <v>2.44</v>
      </c>
    </row>
    <row r="6959" spans="1:7" ht="14.25" hidden="1" customHeight="1" x14ac:dyDescent="0.45">
      <c r="A6959" t="str">
        <f>_xlfn.XLOOKUP(B6959,Ingot!$H$12:$H$119,Ingot!$G$12:$G$119,"")</f>
        <v>Stone</v>
      </c>
      <c r="B6959" t="s">
        <v>13877</v>
      </c>
      <c r="C6959" t="s">
        <v>10</v>
      </c>
      <c r="D6959" t="s">
        <v>13988</v>
      </c>
      <c r="E6959" t="s">
        <v>13989</v>
      </c>
    </row>
    <row r="6960" spans="1:7" ht="14.25" hidden="1" customHeight="1" x14ac:dyDescent="0.45">
      <c r="A6960" t="str">
        <f>_xlfn.XLOOKUP(B6960,Ingot!$H$12:$H$119,Ingot!$G$12:$G$119,"")</f>
        <v>Stone</v>
      </c>
      <c r="B6960" t="s">
        <v>13877</v>
      </c>
      <c r="C6960" t="s">
        <v>10</v>
      </c>
      <c r="D6960" t="s">
        <v>13990</v>
      </c>
      <c r="E6960" t="s">
        <v>13991</v>
      </c>
    </row>
    <row r="6961" spans="1:7" ht="14.25" hidden="1" customHeight="1" x14ac:dyDescent="0.45">
      <c r="A6961" t="str">
        <f>_xlfn.XLOOKUP(B6961,Ingot!$H$12:$H$119,Ingot!$G$12:$G$119,"")</f>
        <v>Stone</v>
      </c>
      <c r="B6961" t="s">
        <v>13877</v>
      </c>
      <c r="C6961" t="s">
        <v>10</v>
      </c>
      <c r="D6961" t="s">
        <v>13992</v>
      </c>
      <c r="E6961" t="s">
        <v>13993</v>
      </c>
      <c r="G6961" s="1">
        <v>3.11</v>
      </c>
    </row>
    <row r="6962" spans="1:7" ht="14.25" hidden="1" customHeight="1" x14ac:dyDescent="0.45">
      <c r="A6962" t="str">
        <f>_xlfn.XLOOKUP(B6962,Ingot!$H$12:$H$119,Ingot!$G$12:$G$119,"")</f>
        <v>Stone</v>
      </c>
      <c r="B6962" t="s">
        <v>13877</v>
      </c>
      <c r="C6962" t="s">
        <v>10</v>
      </c>
      <c r="D6962" t="s">
        <v>13994</v>
      </c>
      <c r="E6962" t="s">
        <v>13995</v>
      </c>
      <c r="G6962" s="1">
        <v>2.44</v>
      </c>
    </row>
    <row r="6963" spans="1:7" ht="14.25" hidden="1" customHeight="1" x14ac:dyDescent="0.45">
      <c r="A6963" t="str">
        <f>_xlfn.XLOOKUP(B6963,Ingot!$H$12:$H$119,Ingot!$G$12:$G$119,"")</f>
        <v>Stone</v>
      </c>
      <c r="B6963" t="s">
        <v>13877</v>
      </c>
      <c r="C6963" t="s">
        <v>10</v>
      </c>
      <c r="D6963" t="s">
        <v>13996</v>
      </c>
      <c r="E6963" t="s">
        <v>13997</v>
      </c>
      <c r="G6963" s="1">
        <v>8.61</v>
      </c>
    </row>
    <row r="6964" spans="1:7" ht="14.25" hidden="1" customHeight="1" x14ac:dyDescent="0.45">
      <c r="A6964" t="str">
        <f>_xlfn.XLOOKUP(B6964,Ingot!$H$12:$H$119,Ingot!$G$12:$G$119,"")</f>
        <v>Stone</v>
      </c>
      <c r="B6964" t="s">
        <v>13877</v>
      </c>
      <c r="C6964" t="s">
        <v>10</v>
      </c>
      <c r="D6964" t="s">
        <v>13998</v>
      </c>
      <c r="E6964" t="s">
        <v>13999</v>
      </c>
    </row>
    <row r="6965" spans="1:7" ht="14.25" hidden="1" customHeight="1" x14ac:dyDescent="0.45">
      <c r="A6965" t="str">
        <f>_xlfn.XLOOKUP(B6965,Ingot!$H$12:$H$119,Ingot!$G$12:$G$119,"")</f>
        <v>Stone</v>
      </c>
      <c r="B6965" t="s">
        <v>13877</v>
      </c>
      <c r="C6965" t="s">
        <v>10</v>
      </c>
      <c r="D6965" t="s">
        <v>14000</v>
      </c>
      <c r="E6965" t="s">
        <v>14001</v>
      </c>
      <c r="G6965" s="1">
        <v>3.21</v>
      </c>
    </row>
    <row r="6966" spans="1:7" ht="14.25" hidden="1" customHeight="1" x14ac:dyDescent="0.45">
      <c r="A6966" t="str">
        <f>_xlfn.XLOOKUP(B6966,Ingot!$H$12:$H$119,Ingot!$G$12:$G$119,"")</f>
        <v>Stone</v>
      </c>
      <c r="B6966" t="s">
        <v>13877</v>
      </c>
      <c r="C6966" t="s">
        <v>10</v>
      </c>
      <c r="D6966" t="s">
        <v>14002</v>
      </c>
      <c r="E6966" t="s">
        <v>14003</v>
      </c>
      <c r="G6966" s="1">
        <v>2.77</v>
      </c>
    </row>
    <row r="6967" spans="1:7" ht="14.25" hidden="1" customHeight="1" x14ac:dyDescent="0.45">
      <c r="A6967" t="str">
        <f>_xlfn.XLOOKUP(B6967,Ingot!$H$12:$H$119,Ingot!$G$12:$G$119,"")</f>
        <v>Stone</v>
      </c>
      <c r="B6967" t="s">
        <v>13877</v>
      </c>
      <c r="C6967" t="s">
        <v>10</v>
      </c>
      <c r="D6967" t="s">
        <v>14004</v>
      </c>
      <c r="E6967" t="s">
        <v>14005</v>
      </c>
      <c r="G6967" s="1">
        <v>4.8899999999999997</v>
      </c>
    </row>
    <row r="6968" spans="1:7" ht="14.25" hidden="1" customHeight="1" x14ac:dyDescent="0.45">
      <c r="A6968" t="str">
        <f>_xlfn.XLOOKUP(B6968,Ingot!$H$12:$H$119,Ingot!$G$12:$G$119,"")</f>
        <v>Stone</v>
      </c>
      <c r="B6968" t="s">
        <v>13877</v>
      </c>
      <c r="C6968" t="s">
        <v>10</v>
      </c>
      <c r="D6968" t="s">
        <v>14006</v>
      </c>
      <c r="E6968" t="s">
        <v>14007</v>
      </c>
      <c r="G6968" s="1">
        <v>1.76</v>
      </c>
    </row>
    <row r="6969" spans="1:7" ht="14.25" hidden="1" customHeight="1" x14ac:dyDescent="0.45">
      <c r="A6969" t="str">
        <f>_xlfn.XLOOKUP(B6969,Ingot!$H$12:$H$119,Ingot!$G$12:$G$119,"")</f>
        <v>Stone</v>
      </c>
      <c r="B6969" t="s">
        <v>13877</v>
      </c>
      <c r="C6969" t="s">
        <v>10</v>
      </c>
      <c r="D6969" t="s">
        <v>14008</v>
      </c>
      <c r="E6969" t="s">
        <v>14009</v>
      </c>
    </row>
    <row r="6970" spans="1:7" ht="14.25" hidden="1" customHeight="1" x14ac:dyDescent="0.45">
      <c r="A6970" t="str">
        <f>_xlfn.XLOOKUP(B6970,Ingot!$H$12:$H$119,Ingot!$G$12:$G$119,"")</f>
        <v>Stone</v>
      </c>
      <c r="B6970" t="s">
        <v>13877</v>
      </c>
      <c r="C6970" t="s">
        <v>10</v>
      </c>
      <c r="D6970" t="s">
        <v>14010</v>
      </c>
      <c r="E6970" t="s">
        <v>14011</v>
      </c>
      <c r="G6970" s="1">
        <v>8.57</v>
      </c>
    </row>
    <row r="6971" spans="1:7" ht="14.25" hidden="1" customHeight="1" x14ac:dyDescent="0.45">
      <c r="A6971" t="str">
        <f>_xlfn.XLOOKUP(B6971,Ingot!$H$12:$H$119,Ingot!$G$12:$G$119,"")</f>
        <v>Stone</v>
      </c>
      <c r="B6971" t="s">
        <v>13877</v>
      </c>
      <c r="C6971" t="s">
        <v>10</v>
      </c>
      <c r="D6971" t="s">
        <v>14012</v>
      </c>
      <c r="E6971" t="s">
        <v>14013</v>
      </c>
    </row>
    <row r="6972" spans="1:7" ht="14.25" hidden="1" customHeight="1" x14ac:dyDescent="0.45">
      <c r="A6972" t="str">
        <f>_xlfn.XLOOKUP(B6972,Ingot!$H$12:$H$119,Ingot!$G$12:$G$119,"")</f>
        <v>Stone</v>
      </c>
      <c r="B6972" t="s">
        <v>13877</v>
      </c>
      <c r="C6972" t="s">
        <v>10</v>
      </c>
      <c r="D6972" t="s">
        <v>14014</v>
      </c>
      <c r="E6972" t="s">
        <v>14015</v>
      </c>
      <c r="G6972" s="1">
        <v>3.56</v>
      </c>
    </row>
    <row r="6973" spans="1:7" ht="14.25" hidden="1" customHeight="1" x14ac:dyDescent="0.45">
      <c r="A6973" t="str">
        <f>_xlfn.XLOOKUP(B6973,Ingot!$H$12:$H$119,Ingot!$G$12:$G$119,"")</f>
        <v>Stone</v>
      </c>
      <c r="B6973" t="s">
        <v>13877</v>
      </c>
      <c r="C6973" t="s">
        <v>10</v>
      </c>
      <c r="D6973" t="s">
        <v>14016</v>
      </c>
      <c r="E6973" t="s">
        <v>14017</v>
      </c>
      <c r="G6973" s="1">
        <v>8.91</v>
      </c>
    </row>
    <row r="6974" spans="1:7" ht="14.25" hidden="1" customHeight="1" x14ac:dyDescent="0.45">
      <c r="A6974" t="str">
        <f>_xlfn.XLOOKUP(B6974,Ingot!$H$12:$H$119,Ingot!$G$12:$G$119,"")</f>
        <v>Stone</v>
      </c>
      <c r="B6974" t="s">
        <v>13877</v>
      </c>
      <c r="C6974" t="s">
        <v>10</v>
      </c>
      <c r="D6974" t="s">
        <v>14018</v>
      </c>
      <c r="E6974" t="s">
        <v>14019</v>
      </c>
      <c r="G6974" s="1">
        <v>11.02</v>
      </c>
    </row>
    <row r="6975" spans="1:7" ht="14.25" hidden="1" customHeight="1" x14ac:dyDescent="0.45">
      <c r="A6975" t="str">
        <f>_xlfn.XLOOKUP(B6975,Ingot!$H$12:$H$119,Ingot!$G$12:$G$119,"")</f>
        <v>Stone</v>
      </c>
      <c r="B6975" t="s">
        <v>13877</v>
      </c>
      <c r="C6975" t="s">
        <v>10</v>
      </c>
      <c r="D6975" t="s">
        <v>14020</v>
      </c>
      <c r="E6975" t="s">
        <v>14021</v>
      </c>
      <c r="G6975" s="1">
        <v>5.12</v>
      </c>
    </row>
    <row r="6976" spans="1:7" ht="14.25" hidden="1" customHeight="1" x14ac:dyDescent="0.45">
      <c r="A6976" t="str">
        <f>_xlfn.XLOOKUP(B6976,Ingot!$H$12:$H$119,Ingot!$G$12:$G$119,"")</f>
        <v>Stone</v>
      </c>
      <c r="B6976" t="s">
        <v>13877</v>
      </c>
      <c r="C6976" t="s">
        <v>10</v>
      </c>
      <c r="D6976" t="s">
        <v>14022</v>
      </c>
      <c r="E6976" t="s">
        <v>14023</v>
      </c>
      <c r="G6976" s="1">
        <v>4.41</v>
      </c>
    </row>
    <row r="6977" spans="1:7" ht="14.25" hidden="1" customHeight="1" x14ac:dyDescent="0.45">
      <c r="A6977" t="str">
        <f>_xlfn.XLOOKUP(B6977,Ingot!$H$12:$H$119,Ingot!$G$12:$G$119,"")</f>
        <v>Stone</v>
      </c>
      <c r="B6977" t="s">
        <v>13877</v>
      </c>
      <c r="C6977" t="s">
        <v>157</v>
      </c>
      <c r="D6977" t="s">
        <v>14024</v>
      </c>
      <c r="E6977" t="s">
        <v>14025</v>
      </c>
      <c r="G6977" s="1">
        <v>46.81</v>
      </c>
    </row>
    <row r="6978" spans="1:7" ht="14.25" hidden="1" customHeight="1" x14ac:dyDescent="0.45">
      <c r="A6978" t="str">
        <f>_xlfn.XLOOKUP(B6978,Ingot!$H$12:$H$119,Ingot!$G$12:$G$119,"")</f>
        <v>Stone</v>
      </c>
      <c r="B6978" t="s">
        <v>13877</v>
      </c>
      <c r="C6978" t="s">
        <v>157</v>
      </c>
      <c r="D6978" t="s">
        <v>14026</v>
      </c>
      <c r="E6978" t="s">
        <v>14027</v>
      </c>
      <c r="G6978" s="1">
        <v>9.36</v>
      </c>
    </row>
    <row r="6979" spans="1:7" ht="14.25" hidden="1" customHeight="1" x14ac:dyDescent="0.45">
      <c r="A6979" t="str">
        <f>_xlfn.XLOOKUP(B6979,Ingot!$H$12:$H$119,Ingot!$G$12:$G$119,"")</f>
        <v>Stone</v>
      </c>
      <c r="B6979" t="s">
        <v>13877</v>
      </c>
      <c r="C6979" t="s">
        <v>157</v>
      </c>
      <c r="D6979" t="s">
        <v>14028</v>
      </c>
      <c r="E6979" t="s">
        <v>14029</v>
      </c>
      <c r="G6979" s="1">
        <v>9.36</v>
      </c>
    </row>
    <row r="6980" spans="1:7" ht="14.25" hidden="1" customHeight="1" x14ac:dyDescent="0.45">
      <c r="A6980" t="str">
        <f>_xlfn.XLOOKUP(B6980,Ingot!$H$12:$H$119,Ingot!$G$12:$G$119,"")</f>
        <v>Stone</v>
      </c>
      <c r="B6980" t="s">
        <v>13877</v>
      </c>
      <c r="C6980" t="s">
        <v>157</v>
      </c>
      <c r="D6980" t="s">
        <v>14030</v>
      </c>
      <c r="E6980" t="s">
        <v>14031</v>
      </c>
      <c r="G6980" s="1">
        <v>6.09</v>
      </c>
    </row>
    <row r="6981" spans="1:7" ht="14.25" hidden="1" customHeight="1" x14ac:dyDescent="0.45">
      <c r="A6981" t="str">
        <f>_xlfn.XLOOKUP(B6981,Ingot!$H$12:$H$119,Ingot!$G$12:$G$119,"")</f>
        <v>Stone</v>
      </c>
      <c r="B6981" t="s">
        <v>13877</v>
      </c>
      <c r="C6981" t="s">
        <v>157</v>
      </c>
      <c r="D6981" t="s">
        <v>14032</v>
      </c>
      <c r="E6981" t="s">
        <v>14033</v>
      </c>
      <c r="G6981" s="1">
        <v>12.17</v>
      </c>
    </row>
    <row r="6982" spans="1:7" ht="14.25" hidden="1" customHeight="1" x14ac:dyDescent="0.45">
      <c r="A6982" t="str">
        <f>_xlfn.XLOOKUP(B6982,Ingot!$H$12:$H$119,Ingot!$G$12:$G$119,"")</f>
        <v>Stone</v>
      </c>
      <c r="B6982" t="s">
        <v>13877</v>
      </c>
      <c r="C6982" t="s">
        <v>157</v>
      </c>
      <c r="D6982" t="s">
        <v>14034</v>
      </c>
      <c r="E6982" t="s">
        <v>14035</v>
      </c>
      <c r="G6982" s="1">
        <v>42.81</v>
      </c>
    </row>
    <row r="6983" spans="1:7" ht="14.25" hidden="1" customHeight="1" x14ac:dyDescent="0.45">
      <c r="A6983" t="str">
        <f>_xlfn.XLOOKUP(B6983,Ingot!$H$12:$H$119,Ingot!$G$12:$G$119,"")</f>
        <v>Stone</v>
      </c>
      <c r="B6983" t="s">
        <v>13877</v>
      </c>
      <c r="C6983" t="s">
        <v>157</v>
      </c>
      <c r="D6983" t="s">
        <v>14036</v>
      </c>
      <c r="E6983" t="s">
        <v>14037</v>
      </c>
      <c r="G6983" s="1">
        <v>8.56</v>
      </c>
    </row>
    <row r="6984" spans="1:7" ht="14.25" hidden="1" customHeight="1" x14ac:dyDescent="0.45">
      <c r="A6984" t="str">
        <f>_xlfn.XLOOKUP(B6984,Ingot!$H$12:$H$119,Ingot!$G$12:$G$119,"")</f>
        <v>Stone</v>
      </c>
      <c r="B6984" t="s">
        <v>13877</v>
      </c>
      <c r="C6984" t="s">
        <v>157</v>
      </c>
      <c r="D6984" t="s">
        <v>14038</v>
      </c>
      <c r="E6984" t="s">
        <v>14039</v>
      </c>
      <c r="G6984" s="1">
        <v>8.56</v>
      </c>
    </row>
    <row r="6985" spans="1:7" ht="14.25" hidden="1" customHeight="1" x14ac:dyDescent="0.45">
      <c r="A6985" t="str">
        <f>_xlfn.XLOOKUP(B6985,Ingot!$H$12:$H$119,Ingot!$G$12:$G$119,"")</f>
        <v>Stone</v>
      </c>
      <c r="B6985" t="s">
        <v>13877</v>
      </c>
      <c r="C6985" t="s">
        <v>157</v>
      </c>
      <c r="D6985" t="s">
        <v>14040</v>
      </c>
      <c r="E6985" t="s">
        <v>14041</v>
      </c>
      <c r="G6985" s="1">
        <v>5.57</v>
      </c>
    </row>
    <row r="6986" spans="1:7" ht="14.25" hidden="1" customHeight="1" x14ac:dyDescent="0.45">
      <c r="A6986" t="str">
        <f>_xlfn.XLOOKUP(B6986,Ingot!$H$12:$H$119,Ingot!$G$12:$G$119,"")</f>
        <v>Stone</v>
      </c>
      <c r="B6986" t="s">
        <v>13877</v>
      </c>
      <c r="C6986" t="s">
        <v>157</v>
      </c>
      <c r="D6986" t="s">
        <v>14042</v>
      </c>
      <c r="E6986" t="s">
        <v>14043</v>
      </c>
      <c r="G6986" s="1">
        <v>11.13</v>
      </c>
    </row>
    <row r="6987" spans="1:7" ht="14.25" hidden="1" customHeight="1" x14ac:dyDescent="0.45">
      <c r="A6987" t="str">
        <f>_xlfn.XLOOKUP(B6987,Ingot!$H$12:$H$119,Ingot!$G$12:$G$119,"")</f>
        <v>Stone</v>
      </c>
      <c r="B6987" t="s">
        <v>13877</v>
      </c>
      <c r="C6987" t="s">
        <v>157</v>
      </c>
      <c r="D6987" t="s">
        <v>14044</v>
      </c>
      <c r="E6987" t="s">
        <v>14045</v>
      </c>
      <c r="F6987" t="s">
        <v>180</v>
      </c>
      <c r="G6987" s="1">
        <v>41.81</v>
      </c>
    </row>
    <row r="6988" spans="1:7" ht="14.25" hidden="1" customHeight="1" x14ac:dyDescent="0.45">
      <c r="A6988" t="str">
        <f>_xlfn.XLOOKUP(B6988,Ingot!$H$12:$H$119,Ingot!$G$12:$G$119,"")</f>
        <v>Stone</v>
      </c>
      <c r="B6988" t="s">
        <v>13877</v>
      </c>
      <c r="C6988" t="s">
        <v>157</v>
      </c>
      <c r="D6988" t="s">
        <v>14046</v>
      </c>
      <c r="E6988" t="s">
        <v>14047</v>
      </c>
      <c r="F6988" t="s">
        <v>180</v>
      </c>
      <c r="G6988" s="1">
        <v>8.36</v>
      </c>
    </row>
    <row r="6989" spans="1:7" ht="14.25" hidden="1" customHeight="1" x14ac:dyDescent="0.45">
      <c r="A6989" t="str">
        <f>_xlfn.XLOOKUP(B6989,Ingot!$H$12:$H$119,Ingot!$G$12:$G$119,"")</f>
        <v>Stone</v>
      </c>
      <c r="B6989" t="s">
        <v>13877</v>
      </c>
      <c r="C6989" t="s">
        <v>157</v>
      </c>
      <c r="D6989" t="s">
        <v>14048</v>
      </c>
      <c r="E6989" t="s">
        <v>14049</v>
      </c>
      <c r="F6989" t="s">
        <v>180</v>
      </c>
      <c r="G6989" s="1">
        <v>8.36</v>
      </c>
    </row>
    <row r="6990" spans="1:7" ht="14.25" hidden="1" customHeight="1" x14ac:dyDescent="0.45">
      <c r="A6990" t="str">
        <f>_xlfn.XLOOKUP(B6990,Ingot!$H$12:$H$119,Ingot!$G$12:$G$119,"")</f>
        <v>Stone</v>
      </c>
      <c r="B6990" t="s">
        <v>13877</v>
      </c>
      <c r="C6990" t="s">
        <v>157</v>
      </c>
      <c r="D6990" t="s">
        <v>14050</v>
      </c>
      <c r="E6990" t="s">
        <v>14051</v>
      </c>
      <c r="F6990" t="s">
        <v>180</v>
      </c>
      <c r="G6990" s="1">
        <v>5.44</v>
      </c>
    </row>
    <row r="6991" spans="1:7" ht="14.25" hidden="1" customHeight="1" x14ac:dyDescent="0.45">
      <c r="A6991" t="str">
        <f>_xlfn.XLOOKUP(B6991,Ingot!$H$12:$H$119,Ingot!$G$12:$G$119,"")</f>
        <v>Stone</v>
      </c>
      <c r="B6991" t="s">
        <v>13877</v>
      </c>
      <c r="C6991" t="s">
        <v>157</v>
      </c>
      <c r="D6991" t="s">
        <v>14052</v>
      </c>
      <c r="E6991" t="s">
        <v>14053</v>
      </c>
      <c r="F6991" t="s">
        <v>180</v>
      </c>
      <c r="G6991" s="1">
        <v>10.87</v>
      </c>
    </row>
    <row r="6992" spans="1:7" ht="14.25" hidden="1" customHeight="1" x14ac:dyDescent="0.45">
      <c r="A6992" t="str">
        <f>_xlfn.XLOOKUP(B6992,Ingot!$H$12:$H$119,Ingot!$G$12:$G$119,"")</f>
        <v>Stone</v>
      </c>
      <c r="B6992" t="s">
        <v>13877</v>
      </c>
      <c r="C6992" t="s">
        <v>157</v>
      </c>
      <c r="D6992" t="s">
        <v>14054</v>
      </c>
      <c r="E6992" t="s">
        <v>14055</v>
      </c>
      <c r="G6992" s="1">
        <v>43.81</v>
      </c>
    </row>
    <row r="6993" spans="1:7" ht="14.25" hidden="1" customHeight="1" x14ac:dyDescent="0.45">
      <c r="A6993" t="str">
        <f>_xlfn.XLOOKUP(B6993,Ingot!$H$12:$H$119,Ingot!$G$12:$G$119,"")</f>
        <v>Stone</v>
      </c>
      <c r="B6993" t="s">
        <v>13877</v>
      </c>
      <c r="C6993" t="s">
        <v>157</v>
      </c>
      <c r="D6993" t="s">
        <v>14056</v>
      </c>
      <c r="E6993" t="s">
        <v>14057</v>
      </c>
      <c r="G6993" s="1">
        <v>8.76</v>
      </c>
    </row>
    <row r="6994" spans="1:7" ht="14.25" hidden="1" customHeight="1" x14ac:dyDescent="0.45">
      <c r="A6994" t="str">
        <f>_xlfn.XLOOKUP(B6994,Ingot!$H$12:$H$119,Ingot!$G$12:$G$119,"")</f>
        <v>Stone</v>
      </c>
      <c r="B6994" t="s">
        <v>13877</v>
      </c>
      <c r="C6994" t="s">
        <v>157</v>
      </c>
      <c r="D6994" t="s">
        <v>14058</v>
      </c>
      <c r="E6994" t="s">
        <v>14059</v>
      </c>
      <c r="G6994" s="1">
        <v>8.76</v>
      </c>
    </row>
    <row r="6995" spans="1:7" ht="14.25" hidden="1" customHeight="1" x14ac:dyDescent="0.45">
      <c r="A6995" t="str">
        <f>_xlfn.XLOOKUP(B6995,Ingot!$H$12:$H$119,Ingot!$G$12:$G$119,"")</f>
        <v>Stone</v>
      </c>
      <c r="B6995" t="s">
        <v>13877</v>
      </c>
      <c r="C6995" t="s">
        <v>157</v>
      </c>
      <c r="D6995" t="s">
        <v>14060</v>
      </c>
      <c r="E6995" t="s">
        <v>14061</v>
      </c>
      <c r="G6995" s="1">
        <v>5.7</v>
      </c>
    </row>
    <row r="6996" spans="1:7" ht="14.25" hidden="1" customHeight="1" x14ac:dyDescent="0.45">
      <c r="A6996" t="str">
        <f>_xlfn.XLOOKUP(B6996,Ingot!$H$12:$H$119,Ingot!$G$12:$G$119,"")</f>
        <v>Stone</v>
      </c>
      <c r="B6996" t="s">
        <v>13877</v>
      </c>
      <c r="C6996" t="s">
        <v>157</v>
      </c>
      <c r="D6996" t="s">
        <v>14062</v>
      </c>
      <c r="E6996" t="s">
        <v>14063</v>
      </c>
      <c r="G6996" s="1">
        <v>11.39</v>
      </c>
    </row>
    <row r="6997" spans="1:7" ht="14.25" hidden="1" customHeight="1" x14ac:dyDescent="0.45">
      <c r="A6997" t="str">
        <f>_xlfn.XLOOKUP(B6997,Ingot!$H$12:$H$119,Ingot!$G$12:$G$119,"")</f>
        <v>Stone</v>
      </c>
      <c r="B6997" t="s">
        <v>13877</v>
      </c>
      <c r="C6997" t="s">
        <v>157</v>
      </c>
      <c r="D6997" t="s">
        <v>14064</v>
      </c>
      <c r="E6997" t="s">
        <v>14065</v>
      </c>
      <c r="G6997" s="1">
        <v>45.31</v>
      </c>
    </row>
    <row r="6998" spans="1:7" ht="14.25" hidden="1" customHeight="1" x14ac:dyDescent="0.45">
      <c r="A6998" t="str">
        <f>_xlfn.XLOOKUP(B6998,Ingot!$H$12:$H$119,Ingot!$G$12:$G$119,"")</f>
        <v>Stone</v>
      </c>
      <c r="B6998" t="s">
        <v>13877</v>
      </c>
      <c r="C6998" t="s">
        <v>157</v>
      </c>
      <c r="D6998" t="s">
        <v>14066</v>
      </c>
      <c r="E6998" t="s">
        <v>14067</v>
      </c>
      <c r="F6998" t="s">
        <v>180</v>
      </c>
      <c r="G6998" s="1">
        <v>9.06</v>
      </c>
    </row>
    <row r="6999" spans="1:7" ht="14.25" hidden="1" customHeight="1" x14ac:dyDescent="0.45">
      <c r="A6999" t="str">
        <f>_xlfn.XLOOKUP(B6999,Ingot!$H$12:$H$119,Ingot!$G$12:$G$119,"")</f>
        <v>Stone</v>
      </c>
      <c r="B6999" t="s">
        <v>13877</v>
      </c>
      <c r="C6999" t="s">
        <v>157</v>
      </c>
      <c r="D6999" t="s">
        <v>14068</v>
      </c>
      <c r="E6999" t="s">
        <v>14069</v>
      </c>
      <c r="F6999" t="s">
        <v>180</v>
      </c>
      <c r="G6999" s="1">
        <v>9.06</v>
      </c>
    </row>
    <row r="7000" spans="1:7" ht="14.25" hidden="1" customHeight="1" x14ac:dyDescent="0.45">
      <c r="A7000" t="str">
        <f>_xlfn.XLOOKUP(B7000,Ingot!$H$12:$H$119,Ingot!$G$12:$G$119,"")</f>
        <v>Stone</v>
      </c>
      <c r="B7000" t="s">
        <v>13877</v>
      </c>
      <c r="C7000" t="s">
        <v>157</v>
      </c>
      <c r="D7000" t="s">
        <v>14070</v>
      </c>
      <c r="E7000" t="s">
        <v>14071</v>
      </c>
      <c r="F7000" t="s">
        <v>180</v>
      </c>
      <c r="G7000" s="1">
        <v>5.89</v>
      </c>
    </row>
    <row r="7001" spans="1:7" ht="14.25" hidden="1" customHeight="1" x14ac:dyDescent="0.45">
      <c r="A7001" t="str">
        <f>_xlfn.XLOOKUP(B7001,Ingot!$H$12:$H$119,Ingot!$G$12:$G$119,"")</f>
        <v>Stone</v>
      </c>
      <c r="B7001" t="s">
        <v>13877</v>
      </c>
      <c r="C7001" t="s">
        <v>157</v>
      </c>
      <c r="D7001" t="s">
        <v>14072</v>
      </c>
      <c r="E7001" t="s">
        <v>14073</v>
      </c>
      <c r="G7001" s="1">
        <v>11.78</v>
      </c>
    </row>
    <row r="7002" spans="1:7" ht="14.25" hidden="1" customHeight="1" x14ac:dyDescent="0.45">
      <c r="A7002" t="str">
        <f>_xlfn.XLOOKUP(B7002,Ingot!$H$12:$H$119,Ingot!$G$12:$G$119,"")</f>
        <v>Stone</v>
      </c>
      <c r="B7002" t="s">
        <v>13877</v>
      </c>
      <c r="C7002" t="s">
        <v>157</v>
      </c>
      <c r="D7002" t="s">
        <v>14074</v>
      </c>
      <c r="E7002" t="s">
        <v>14075</v>
      </c>
      <c r="G7002" s="1">
        <v>49.81</v>
      </c>
    </row>
    <row r="7003" spans="1:7" ht="14.25" hidden="1" customHeight="1" x14ac:dyDescent="0.45">
      <c r="A7003" t="str">
        <f>_xlfn.XLOOKUP(B7003,Ingot!$H$12:$H$119,Ingot!$G$12:$G$119,"")</f>
        <v>Stone</v>
      </c>
      <c r="B7003" t="s">
        <v>13877</v>
      </c>
      <c r="C7003" t="s">
        <v>157</v>
      </c>
      <c r="D7003" t="s">
        <v>14076</v>
      </c>
      <c r="E7003" t="s">
        <v>14077</v>
      </c>
      <c r="G7003" s="1">
        <v>9.9600000000000009</v>
      </c>
    </row>
    <row r="7004" spans="1:7" ht="14.25" hidden="1" customHeight="1" x14ac:dyDescent="0.45">
      <c r="A7004" t="str">
        <f>_xlfn.XLOOKUP(B7004,Ingot!$H$12:$H$119,Ingot!$G$12:$G$119,"")</f>
        <v>Stone</v>
      </c>
      <c r="B7004" t="s">
        <v>13877</v>
      </c>
      <c r="C7004" t="s">
        <v>157</v>
      </c>
      <c r="D7004" t="s">
        <v>14078</v>
      </c>
      <c r="E7004" t="s">
        <v>14079</v>
      </c>
      <c r="G7004" s="1">
        <v>9.9600000000000009</v>
      </c>
    </row>
    <row r="7005" spans="1:7" ht="14.25" hidden="1" customHeight="1" x14ac:dyDescent="0.45">
      <c r="A7005" t="str">
        <f>_xlfn.XLOOKUP(B7005,Ingot!$H$12:$H$119,Ingot!$G$12:$G$119,"")</f>
        <v>Stone</v>
      </c>
      <c r="B7005" t="s">
        <v>13877</v>
      </c>
      <c r="C7005" t="s">
        <v>157</v>
      </c>
      <c r="D7005" t="s">
        <v>14080</v>
      </c>
      <c r="E7005" t="s">
        <v>14081</v>
      </c>
      <c r="G7005" s="1">
        <v>6.48</v>
      </c>
    </row>
    <row r="7006" spans="1:7" ht="14.25" hidden="1" customHeight="1" x14ac:dyDescent="0.45">
      <c r="A7006" t="str">
        <f>_xlfn.XLOOKUP(B7006,Ingot!$H$12:$H$119,Ingot!$G$12:$G$119,"")</f>
        <v>Stone</v>
      </c>
      <c r="B7006" t="s">
        <v>13877</v>
      </c>
      <c r="C7006" t="s">
        <v>157</v>
      </c>
      <c r="D7006" t="s">
        <v>14082</v>
      </c>
      <c r="E7006" t="s">
        <v>14083</v>
      </c>
      <c r="G7006" s="1">
        <v>12.95</v>
      </c>
    </row>
    <row r="7007" spans="1:7" ht="14.25" hidden="1" customHeight="1" x14ac:dyDescent="0.45">
      <c r="A7007" t="str">
        <f>_xlfn.XLOOKUP(B7007,Ingot!$H$12:$H$119,Ingot!$G$12:$G$119,"")</f>
        <v>Stone</v>
      </c>
      <c r="B7007" t="s">
        <v>13877</v>
      </c>
      <c r="C7007" t="s">
        <v>157</v>
      </c>
      <c r="D7007" t="s">
        <v>14084</v>
      </c>
      <c r="E7007" t="s">
        <v>14085</v>
      </c>
      <c r="G7007" s="1">
        <v>48.31</v>
      </c>
    </row>
    <row r="7008" spans="1:7" ht="14.25" hidden="1" customHeight="1" x14ac:dyDescent="0.45">
      <c r="A7008" t="str">
        <f>_xlfn.XLOOKUP(B7008,Ingot!$H$12:$H$119,Ingot!$G$12:$G$119,"")</f>
        <v>Stone</v>
      </c>
      <c r="B7008" t="s">
        <v>13877</v>
      </c>
      <c r="C7008" t="s">
        <v>157</v>
      </c>
      <c r="D7008" t="s">
        <v>14086</v>
      </c>
      <c r="E7008" t="s">
        <v>14087</v>
      </c>
      <c r="G7008" s="1">
        <v>9.66</v>
      </c>
    </row>
    <row r="7009" spans="1:7" ht="14.25" hidden="1" customHeight="1" x14ac:dyDescent="0.45">
      <c r="A7009" t="str">
        <f>_xlfn.XLOOKUP(B7009,Ingot!$H$12:$H$119,Ingot!$G$12:$G$119,"")</f>
        <v>Stone</v>
      </c>
      <c r="B7009" t="s">
        <v>13877</v>
      </c>
      <c r="C7009" t="s">
        <v>157</v>
      </c>
      <c r="D7009" t="s">
        <v>14088</v>
      </c>
      <c r="E7009" t="s">
        <v>14089</v>
      </c>
      <c r="G7009" s="1">
        <v>9.66</v>
      </c>
    </row>
    <row r="7010" spans="1:7" ht="14.25" hidden="1" customHeight="1" x14ac:dyDescent="0.45">
      <c r="A7010" t="str">
        <f>_xlfn.XLOOKUP(B7010,Ingot!$H$12:$H$119,Ingot!$G$12:$G$119,"")</f>
        <v>Stone</v>
      </c>
      <c r="B7010" t="s">
        <v>13877</v>
      </c>
      <c r="C7010" t="s">
        <v>157</v>
      </c>
      <c r="D7010" t="s">
        <v>14090</v>
      </c>
      <c r="E7010" t="s">
        <v>14091</v>
      </c>
      <c r="G7010" s="1">
        <v>6.28</v>
      </c>
    </row>
    <row r="7011" spans="1:7" ht="14.25" hidden="1" customHeight="1" x14ac:dyDescent="0.45">
      <c r="A7011" t="str">
        <f>_xlfn.XLOOKUP(B7011,Ingot!$H$12:$H$119,Ingot!$G$12:$G$119,"")</f>
        <v>Stone</v>
      </c>
      <c r="B7011" t="s">
        <v>13877</v>
      </c>
      <c r="C7011" t="s">
        <v>157</v>
      </c>
      <c r="D7011" t="s">
        <v>14092</v>
      </c>
      <c r="E7011" t="s">
        <v>14093</v>
      </c>
      <c r="G7011" s="1">
        <v>12.56</v>
      </c>
    </row>
    <row r="7012" spans="1:7" ht="14.25" hidden="1" customHeight="1" x14ac:dyDescent="0.45">
      <c r="A7012" t="str">
        <f>_xlfn.XLOOKUP(B7012,Ingot!$H$12:$H$119,Ingot!$G$12:$G$119,"")</f>
        <v>Stone</v>
      </c>
      <c r="B7012" t="s">
        <v>13877</v>
      </c>
      <c r="C7012" t="s">
        <v>157</v>
      </c>
      <c r="D7012" t="s">
        <v>14094</v>
      </c>
      <c r="E7012" t="s">
        <v>14095</v>
      </c>
      <c r="F7012" t="s">
        <v>180</v>
      </c>
      <c r="G7012" s="1">
        <v>40.81</v>
      </c>
    </row>
    <row r="7013" spans="1:7" ht="14.25" hidden="1" customHeight="1" x14ac:dyDescent="0.45">
      <c r="A7013" t="str">
        <f>_xlfn.XLOOKUP(B7013,Ingot!$H$12:$H$119,Ingot!$G$12:$G$119,"")</f>
        <v>Stone</v>
      </c>
      <c r="B7013" t="s">
        <v>13877</v>
      </c>
      <c r="C7013" t="s">
        <v>157</v>
      </c>
      <c r="D7013" t="s">
        <v>14096</v>
      </c>
      <c r="E7013" t="s">
        <v>14097</v>
      </c>
      <c r="F7013" t="s">
        <v>180</v>
      </c>
      <c r="G7013" s="1">
        <v>8.16</v>
      </c>
    </row>
    <row r="7014" spans="1:7" ht="14.25" hidden="1" customHeight="1" x14ac:dyDescent="0.45">
      <c r="A7014" t="str">
        <f>_xlfn.XLOOKUP(B7014,Ingot!$H$12:$H$119,Ingot!$G$12:$G$119,"")</f>
        <v>Stone</v>
      </c>
      <c r="B7014" t="s">
        <v>13877</v>
      </c>
      <c r="C7014" t="s">
        <v>157</v>
      </c>
      <c r="D7014" t="s">
        <v>14098</v>
      </c>
      <c r="E7014" t="s">
        <v>14099</v>
      </c>
      <c r="F7014" t="s">
        <v>180</v>
      </c>
      <c r="G7014" s="1">
        <v>8.16</v>
      </c>
    </row>
    <row r="7015" spans="1:7" ht="14.25" hidden="1" customHeight="1" x14ac:dyDescent="0.45">
      <c r="A7015" t="str">
        <f>_xlfn.XLOOKUP(B7015,Ingot!$H$12:$H$119,Ingot!$G$12:$G$119,"")</f>
        <v>Stone</v>
      </c>
      <c r="B7015" t="s">
        <v>13877</v>
      </c>
      <c r="C7015" t="s">
        <v>157</v>
      </c>
      <c r="D7015" t="s">
        <v>14100</v>
      </c>
      <c r="E7015" t="s">
        <v>14101</v>
      </c>
      <c r="F7015" t="s">
        <v>180</v>
      </c>
      <c r="G7015" s="1">
        <v>5.31</v>
      </c>
    </row>
    <row r="7016" spans="1:7" ht="14.25" hidden="1" customHeight="1" x14ac:dyDescent="0.45">
      <c r="A7016" t="str">
        <f>_xlfn.XLOOKUP(B7016,Ingot!$H$12:$H$119,Ingot!$G$12:$G$119,"")</f>
        <v>Stone</v>
      </c>
      <c r="B7016" t="s">
        <v>13877</v>
      </c>
      <c r="C7016" t="s">
        <v>157</v>
      </c>
      <c r="D7016" t="s">
        <v>14102</v>
      </c>
      <c r="E7016" t="s">
        <v>14103</v>
      </c>
      <c r="F7016" t="s">
        <v>180</v>
      </c>
      <c r="G7016" s="1">
        <v>10.61</v>
      </c>
    </row>
    <row r="7017" spans="1:7" ht="14.25" hidden="1" customHeight="1" x14ac:dyDescent="0.45">
      <c r="A7017" t="str">
        <f>_xlfn.XLOOKUP(B7017,Ingot!$H$12:$H$119,Ingot!$G$12:$G$119,"")</f>
        <v>Stone</v>
      </c>
      <c r="B7017" t="s">
        <v>13877</v>
      </c>
      <c r="C7017" t="s">
        <v>239</v>
      </c>
      <c r="D7017" t="s">
        <v>14104</v>
      </c>
      <c r="E7017" t="s">
        <v>14105</v>
      </c>
      <c r="G7017" s="1">
        <f>(VLOOKUP(B7017,Ingot!H:I,2,FALSE()) * 0.75) * 0.75</f>
        <v>10.6875</v>
      </c>
    </row>
    <row r="7018" spans="1:7" ht="14.25" hidden="1" customHeight="1" x14ac:dyDescent="0.45">
      <c r="A7018" t="str">
        <f>_xlfn.XLOOKUP(B7018,Ingot!$H$12:$H$119,Ingot!$G$12:$G$119,"")</f>
        <v>Stone</v>
      </c>
      <c r="B7018" t="s">
        <v>13877</v>
      </c>
      <c r="C7018" t="s">
        <v>239</v>
      </c>
      <c r="D7018" t="s">
        <v>14106</v>
      </c>
      <c r="E7018" t="s">
        <v>14107</v>
      </c>
      <c r="G7018" s="1">
        <f>((VLOOKUP(B7018,Ingot!H:I,2,FALSE()) * 3) - 10.25) * 0.421875</f>
        <v>19.72265625</v>
      </c>
    </row>
    <row r="7019" spans="1:7" ht="14.25" hidden="1" customHeight="1" x14ac:dyDescent="0.45">
      <c r="A7019" t="str">
        <f>_xlfn.XLOOKUP(B7019,Ingot!$H$12:$H$119,Ingot!$G$12:$G$119,"")</f>
        <v>Stone</v>
      </c>
      <c r="B7019" t="s">
        <v>13877</v>
      </c>
      <c r="C7019" t="s">
        <v>239</v>
      </c>
      <c r="D7019" t="s">
        <v>14108</v>
      </c>
      <c r="E7019" t="s">
        <v>14109</v>
      </c>
      <c r="G7019" s="1">
        <f>((VLOOKUP(B7019,Ingot!H:I,2,FALSE()) * 3) - 10.25) * 0.75</f>
        <v>35.0625</v>
      </c>
    </row>
    <row r="7020" spans="1:7" ht="14.25" hidden="1" customHeight="1" x14ac:dyDescent="0.45">
      <c r="A7020" t="str">
        <f>_xlfn.XLOOKUP(B7020,Ingot!$H$12:$H$119,Ingot!$G$12:$G$119,"")</f>
        <v>Stone</v>
      </c>
      <c r="B7020" t="s">
        <v>13877</v>
      </c>
      <c r="C7020" t="s">
        <v>239</v>
      </c>
      <c r="D7020" t="s">
        <v>14110</v>
      </c>
      <c r="E7020" t="s">
        <v>14111</v>
      </c>
      <c r="G7020" s="1">
        <f>((VLOOKUP(B7020,Ingot!H:I,2,FALSE()) * 3) - 10.25) * 0.5625</f>
        <v>26.296875</v>
      </c>
    </row>
    <row r="7021" spans="1:7" ht="14.25" hidden="1" customHeight="1" x14ac:dyDescent="0.45">
      <c r="A7021" t="str">
        <f>_xlfn.XLOOKUP(B7021,Ingot!$H$12:$H$119,Ingot!$G$12:$G$119,"")</f>
        <v>Stone</v>
      </c>
      <c r="B7021" t="s">
        <v>13877</v>
      </c>
      <c r="C7021" t="s">
        <v>239</v>
      </c>
      <c r="D7021" t="s">
        <v>14112</v>
      </c>
      <c r="E7021" t="s">
        <v>14113</v>
      </c>
      <c r="G7021" s="1">
        <f>VLOOKUP(B7021,Ingot!H:I,2,FALSE()) * 0.75</f>
        <v>14.25</v>
      </c>
    </row>
    <row r="7022" spans="1:7" ht="14.25" hidden="1" customHeight="1" x14ac:dyDescent="0.45">
      <c r="A7022" t="str">
        <f>_xlfn.XLOOKUP(B7022,Ingot!$H$12:$H$119,Ingot!$G$12:$G$119,"")</f>
        <v>Stone</v>
      </c>
      <c r="B7022" t="s">
        <v>13877</v>
      </c>
      <c r="C7022" t="s">
        <v>239</v>
      </c>
      <c r="D7022" t="s">
        <v>14114</v>
      </c>
      <c r="E7022" t="s">
        <v>14115</v>
      </c>
      <c r="G7022" s="1">
        <f>(VLOOKUP(B7022,Ingot!H:I,2,FALSE()) * 3) - 10.25</f>
        <v>46.75</v>
      </c>
    </row>
    <row r="7023" spans="1:7" ht="14.25" hidden="1" customHeight="1" x14ac:dyDescent="0.45">
      <c r="A7023" t="str">
        <f>_xlfn.XLOOKUP(B7023,Ingot!$H$12:$H$119,Ingot!$G$12:$G$119,"")</f>
        <v>Stone</v>
      </c>
      <c r="B7023" t="s">
        <v>14116</v>
      </c>
      <c r="C7023" t="s">
        <v>10</v>
      </c>
      <c r="D7023" t="s">
        <v>14117</v>
      </c>
      <c r="E7023" t="s">
        <v>14118</v>
      </c>
      <c r="G7023" s="1">
        <v>0.08</v>
      </c>
    </row>
    <row r="7024" spans="1:7" ht="14.25" hidden="1" customHeight="1" x14ac:dyDescent="0.45">
      <c r="A7024" t="str">
        <f>_xlfn.XLOOKUP(B7024,Ingot!$H$12:$H$119,Ingot!$G$12:$G$119,"")</f>
        <v>Stone</v>
      </c>
      <c r="B7024" t="s">
        <v>14116</v>
      </c>
      <c r="C7024" t="s">
        <v>10</v>
      </c>
      <c r="D7024" t="s">
        <v>14119</v>
      </c>
      <c r="E7024" t="s">
        <v>14120</v>
      </c>
      <c r="G7024" s="1">
        <v>9.9</v>
      </c>
    </row>
    <row r="7025" spans="1:7" ht="14.25" hidden="1" customHeight="1" x14ac:dyDescent="0.45">
      <c r="A7025" t="str">
        <f>_xlfn.XLOOKUP(B7025,Ingot!$H$12:$H$119,Ingot!$G$12:$G$119,"")</f>
        <v>Stone</v>
      </c>
      <c r="B7025" t="s">
        <v>14116</v>
      </c>
      <c r="C7025" t="s">
        <v>10</v>
      </c>
      <c r="D7025" t="s">
        <v>14121</v>
      </c>
      <c r="E7025" t="s">
        <v>14122</v>
      </c>
      <c r="G7025" s="1">
        <v>5.66</v>
      </c>
    </row>
    <row r="7026" spans="1:7" ht="14.25" hidden="1" customHeight="1" x14ac:dyDescent="0.45">
      <c r="A7026" t="str">
        <f>_xlfn.XLOOKUP(B7026,Ingot!$H$12:$H$119,Ingot!$G$12:$G$119,"")</f>
        <v>Stone</v>
      </c>
      <c r="B7026" t="s">
        <v>14116</v>
      </c>
      <c r="C7026" t="s">
        <v>10</v>
      </c>
      <c r="D7026" t="s">
        <v>14123</v>
      </c>
      <c r="E7026" t="s">
        <v>14124</v>
      </c>
      <c r="G7026" s="1">
        <v>3.3</v>
      </c>
    </row>
    <row r="7027" spans="1:7" ht="14.25" hidden="1" customHeight="1" x14ac:dyDescent="0.45">
      <c r="A7027" t="str">
        <f>_xlfn.XLOOKUP(B7027,Ingot!$H$12:$H$119,Ingot!$G$12:$G$119,"")</f>
        <v>Stone</v>
      </c>
      <c r="B7027" t="s">
        <v>14116</v>
      </c>
      <c r="C7027" t="s">
        <v>10</v>
      </c>
      <c r="D7027" t="s">
        <v>14125</v>
      </c>
      <c r="E7027" t="s">
        <v>14126</v>
      </c>
      <c r="G7027" s="1">
        <v>0.66</v>
      </c>
    </row>
    <row r="7028" spans="1:7" ht="14.25" hidden="1" customHeight="1" x14ac:dyDescent="0.45">
      <c r="A7028" t="str">
        <f>_xlfn.XLOOKUP(B7028,Ingot!$H$12:$H$119,Ingot!$G$12:$G$119,"")</f>
        <v>Stone</v>
      </c>
      <c r="B7028" t="s">
        <v>14116</v>
      </c>
      <c r="C7028" t="s">
        <v>10</v>
      </c>
      <c r="D7028" t="s">
        <v>14127</v>
      </c>
      <c r="E7028" t="s">
        <v>14128</v>
      </c>
      <c r="G7028" s="1">
        <v>0.04</v>
      </c>
    </row>
    <row r="7029" spans="1:7" ht="14.25" hidden="1" customHeight="1" x14ac:dyDescent="0.45">
      <c r="A7029" t="str">
        <f>_xlfn.XLOOKUP(B7029,Ingot!$H$12:$H$119,Ingot!$G$12:$G$119,"")</f>
        <v>Stone</v>
      </c>
      <c r="B7029" t="s">
        <v>14116</v>
      </c>
      <c r="C7029" t="s">
        <v>10</v>
      </c>
      <c r="D7029" t="s">
        <v>14129</v>
      </c>
      <c r="E7029" t="s">
        <v>14130</v>
      </c>
      <c r="G7029" s="1">
        <v>0.33</v>
      </c>
    </row>
    <row r="7030" spans="1:7" ht="14.25" hidden="1" customHeight="1" x14ac:dyDescent="0.45">
      <c r="A7030" t="str">
        <f>_xlfn.XLOOKUP(B7030,Ingot!$H$12:$H$119,Ingot!$G$12:$G$119,"")</f>
        <v>Stone</v>
      </c>
      <c r="B7030" t="s">
        <v>14116</v>
      </c>
      <c r="C7030" t="s">
        <v>10</v>
      </c>
      <c r="D7030" t="s">
        <v>14131</v>
      </c>
      <c r="E7030" t="s">
        <v>14132</v>
      </c>
    </row>
    <row r="7031" spans="1:7" ht="14.25" hidden="1" customHeight="1" x14ac:dyDescent="0.45">
      <c r="A7031" t="str">
        <f>_xlfn.XLOOKUP(B7031,Ingot!$H$12:$H$119,Ingot!$G$12:$G$119,"")</f>
        <v>Stone</v>
      </c>
      <c r="B7031" t="s">
        <v>14116</v>
      </c>
      <c r="C7031" t="s">
        <v>10</v>
      </c>
      <c r="D7031" t="s">
        <v>14133</v>
      </c>
      <c r="E7031" t="s">
        <v>14134</v>
      </c>
      <c r="G7031" s="1">
        <v>0.05</v>
      </c>
    </row>
    <row r="7032" spans="1:7" ht="14.25" hidden="1" customHeight="1" x14ac:dyDescent="0.45">
      <c r="A7032" t="str">
        <f>_xlfn.XLOOKUP(B7032,Ingot!$H$12:$H$119,Ingot!$G$12:$G$119,"")</f>
        <v>Stone</v>
      </c>
      <c r="B7032" t="s">
        <v>14116</v>
      </c>
      <c r="C7032" t="s">
        <v>10</v>
      </c>
      <c r="D7032" t="s">
        <v>14135</v>
      </c>
      <c r="E7032" t="s">
        <v>14136</v>
      </c>
      <c r="G7032" s="1">
        <v>0.66</v>
      </c>
    </row>
    <row r="7033" spans="1:7" ht="14.25" hidden="1" customHeight="1" x14ac:dyDescent="0.45">
      <c r="A7033" t="str">
        <f>_xlfn.XLOOKUP(B7033,Ingot!$H$12:$H$119,Ingot!$G$12:$G$119,"")</f>
        <v>Stone</v>
      </c>
      <c r="B7033" t="s">
        <v>14116</v>
      </c>
      <c r="C7033" t="s">
        <v>10</v>
      </c>
      <c r="D7033" t="s">
        <v>14137</v>
      </c>
      <c r="E7033" t="s">
        <v>14138</v>
      </c>
      <c r="G7033" s="1">
        <v>3.96</v>
      </c>
    </row>
    <row r="7034" spans="1:7" ht="14.25" hidden="1" customHeight="1" x14ac:dyDescent="0.45">
      <c r="A7034" t="str">
        <f>_xlfn.XLOOKUP(B7034,Ingot!$H$12:$H$119,Ingot!$G$12:$G$119,"")</f>
        <v>Stone</v>
      </c>
      <c r="B7034" t="s">
        <v>14116</v>
      </c>
      <c r="C7034" t="s">
        <v>10</v>
      </c>
      <c r="D7034" t="s">
        <v>14139</v>
      </c>
      <c r="E7034" t="s">
        <v>14140</v>
      </c>
      <c r="G7034" s="1">
        <v>8.77</v>
      </c>
    </row>
    <row r="7035" spans="1:7" ht="14.25" hidden="1" customHeight="1" x14ac:dyDescent="0.45">
      <c r="A7035" t="str">
        <f>_xlfn.XLOOKUP(B7035,Ingot!$H$12:$H$119,Ingot!$G$12:$G$119,"")</f>
        <v>Stone</v>
      </c>
      <c r="B7035" t="s">
        <v>14116</v>
      </c>
      <c r="C7035" t="s">
        <v>10</v>
      </c>
      <c r="D7035" t="s">
        <v>14141</v>
      </c>
      <c r="E7035" t="s">
        <v>14142</v>
      </c>
      <c r="G7035" s="1">
        <v>3.5</v>
      </c>
    </row>
    <row r="7036" spans="1:7" ht="14.25" hidden="1" customHeight="1" x14ac:dyDescent="0.45">
      <c r="A7036" t="str">
        <f>_xlfn.XLOOKUP(B7036,Ingot!$H$12:$H$119,Ingot!$G$12:$G$119,"")</f>
        <v>Stone</v>
      </c>
      <c r="B7036" t="s">
        <v>14116</v>
      </c>
      <c r="C7036" t="s">
        <v>10</v>
      </c>
      <c r="D7036" t="s">
        <v>14143</v>
      </c>
      <c r="E7036" t="s">
        <v>14144</v>
      </c>
    </row>
    <row r="7037" spans="1:7" ht="14.25" hidden="1" customHeight="1" x14ac:dyDescent="0.45">
      <c r="A7037" t="str">
        <f>_xlfn.XLOOKUP(B7037,Ingot!$H$12:$H$119,Ingot!$G$12:$G$119,"")</f>
        <v>Stone</v>
      </c>
      <c r="B7037" t="s">
        <v>14116</v>
      </c>
      <c r="C7037" t="s">
        <v>10</v>
      </c>
      <c r="D7037" t="s">
        <v>14145</v>
      </c>
      <c r="E7037" t="s">
        <v>14146</v>
      </c>
      <c r="G7037" s="1">
        <v>2.2000000000000002</v>
      </c>
    </row>
    <row r="7038" spans="1:7" ht="14.25" hidden="1" customHeight="1" x14ac:dyDescent="0.45">
      <c r="A7038" t="str">
        <f>_xlfn.XLOOKUP(B7038,Ingot!$H$12:$H$119,Ingot!$G$12:$G$119,"")</f>
        <v>Stone</v>
      </c>
      <c r="B7038" t="s">
        <v>14116</v>
      </c>
      <c r="C7038" t="s">
        <v>10</v>
      </c>
      <c r="D7038" t="s">
        <v>14147</v>
      </c>
      <c r="E7038" t="s">
        <v>14148</v>
      </c>
      <c r="G7038" s="1">
        <v>1.1000000000000001</v>
      </c>
    </row>
    <row r="7039" spans="1:7" ht="14.25" hidden="1" customHeight="1" x14ac:dyDescent="0.45">
      <c r="A7039" t="str">
        <f>_xlfn.XLOOKUP(B7039,Ingot!$H$12:$H$119,Ingot!$G$12:$G$119,"")</f>
        <v>Stone</v>
      </c>
      <c r="B7039" t="s">
        <v>14116</v>
      </c>
      <c r="C7039" t="s">
        <v>10</v>
      </c>
      <c r="D7039" t="s">
        <v>14149</v>
      </c>
      <c r="E7039" t="s">
        <v>14150</v>
      </c>
      <c r="G7039" s="1">
        <v>0.22</v>
      </c>
    </row>
    <row r="7040" spans="1:7" ht="14.25" hidden="1" customHeight="1" x14ac:dyDescent="0.45">
      <c r="A7040" t="str">
        <f>_xlfn.XLOOKUP(B7040,Ingot!$H$12:$H$119,Ingot!$G$12:$G$119,"")</f>
        <v>Stone</v>
      </c>
      <c r="B7040" t="s">
        <v>14116</v>
      </c>
      <c r="C7040" t="s">
        <v>10</v>
      </c>
      <c r="D7040" t="s">
        <v>14151</v>
      </c>
      <c r="E7040" t="s">
        <v>14152</v>
      </c>
      <c r="G7040" s="1">
        <v>8.41</v>
      </c>
    </row>
    <row r="7041" spans="1:7" ht="14.25" hidden="1" customHeight="1" x14ac:dyDescent="0.45">
      <c r="A7041" t="str">
        <f>_xlfn.XLOOKUP(B7041,Ingot!$H$12:$H$119,Ingot!$G$12:$G$119,"")</f>
        <v>Stone</v>
      </c>
      <c r="B7041" t="s">
        <v>14116</v>
      </c>
      <c r="C7041" t="s">
        <v>10</v>
      </c>
      <c r="D7041" t="s">
        <v>14153</v>
      </c>
      <c r="E7041" t="s">
        <v>14154</v>
      </c>
      <c r="G7041" s="1">
        <v>3.64</v>
      </c>
    </row>
    <row r="7042" spans="1:7" ht="14.25" hidden="1" customHeight="1" x14ac:dyDescent="0.45">
      <c r="A7042" t="str">
        <f>_xlfn.XLOOKUP(B7042,Ingot!$H$12:$H$119,Ingot!$G$12:$G$119,"")</f>
        <v>Stone</v>
      </c>
      <c r="B7042" t="s">
        <v>14116</v>
      </c>
      <c r="C7042" t="s">
        <v>10</v>
      </c>
      <c r="D7042" t="s">
        <v>14155</v>
      </c>
      <c r="E7042" t="s">
        <v>14156</v>
      </c>
      <c r="G7042" s="1">
        <v>7.05</v>
      </c>
    </row>
    <row r="7043" spans="1:7" ht="14.25" hidden="1" customHeight="1" x14ac:dyDescent="0.45">
      <c r="A7043" t="str">
        <f>_xlfn.XLOOKUP(B7043,Ingot!$H$12:$H$119,Ingot!$G$12:$G$119,"")</f>
        <v>Stone</v>
      </c>
      <c r="B7043" t="s">
        <v>14116</v>
      </c>
      <c r="C7043" t="s">
        <v>10</v>
      </c>
      <c r="D7043" t="s">
        <v>14157</v>
      </c>
      <c r="E7043" t="s">
        <v>14158</v>
      </c>
      <c r="G7043" s="1">
        <v>2.65</v>
      </c>
    </row>
    <row r="7044" spans="1:7" ht="14.25" hidden="1" customHeight="1" x14ac:dyDescent="0.45">
      <c r="A7044" t="str">
        <f>_xlfn.XLOOKUP(B7044,Ingot!$H$12:$H$119,Ingot!$G$12:$G$119,"")</f>
        <v>Stone</v>
      </c>
      <c r="B7044" t="s">
        <v>14116</v>
      </c>
      <c r="C7044" t="s">
        <v>10</v>
      </c>
      <c r="D7044" t="s">
        <v>14159</v>
      </c>
      <c r="E7044" t="s">
        <v>14160</v>
      </c>
      <c r="G7044" s="1">
        <v>9</v>
      </c>
    </row>
    <row r="7045" spans="1:7" ht="14.25" hidden="1" customHeight="1" x14ac:dyDescent="0.45">
      <c r="A7045" t="str">
        <f>_xlfn.XLOOKUP(B7045,Ingot!$H$12:$H$119,Ingot!$G$12:$G$119,"")</f>
        <v>Stone</v>
      </c>
      <c r="B7045" t="s">
        <v>14116</v>
      </c>
      <c r="C7045" t="s">
        <v>10</v>
      </c>
      <c r="D7045" t="s">
        <v>14161</v>
      </c>
      <c r="E7045" t="s">
        <v>14162</v>
      </c>
      <c r="G7045" s="1">
        <v>10.23</v>
      </c>
    </row>
    <row r="7046" spans="1:7" ht="14.25" hidden="1" customHeight="1" x14ac:dyDescent="0.45">
      <c r="A7046" t="str">
        <f>_xlfn.XLOOKUP(B7046,Ingot!$H$12:$H$119,Ingot!$G$12:$G$119,"")</f>
        <v>Stone</v>
      </c>
      <c r="B7046" t="s">
        <v>14116</v>
      </c>
      <c r="C7046" t="s">
        <v>10</v>
      </c>
      <c r="D7046" t="s">
        <v>14163</v>
      </c>
      <c r="E7046" t="s">
        <v>14164</v>
      </c>
      <c r="G7046" s="1">
        <v>7.7</v>
      </c>
    </row>
    <row r="7047" spans="1:7" ht="14.25" hidden="1" customHeight="1" x14ac:dyDescent="0.45">
      <c r="A7047" t="str">
        <f>_xlfn.XLOOKUP(B7047,Ingot!$H$12:$H$119,Ingot!$G$12:$G$119,"")</f>
        <v>Stone</v>
      </c>
      <c r="B7047" t="s">
        <v>14116</v>
      </c>
      <c r="C7047" t="s">
        <v>10</v>
      </c>
      <c r="D7047" t="s">
        <v>14165</v>
      </c>
      <c r="E7047" t="s">
        <v>14166</v>
      </c>
      <c r="G7047" s="1">
        <v>10.02</v>
      </c>
    </row>
    <row r="7048" spans="1:7" ht="14.25" hidden="1" customHeight="1" x14ac:dyDescent="0.45">
      <c r="A7048" t="str">
        <f>_xlfn.XLOOKUP(B7048,Ingot!$H$12:$H$119,Ingot!$G$12:$G$119,"")</f>
        <v>Stone</v>
      </c>
      <c r="B7048" t="s">
        <v>14116</v>
      </c>
      <c r="C7048" t="s">
        <v>10</v>
      </c>
      <c r="D7048" t="s">
        <v>14167</v>
      </c>
      <c r="E7048" t="s">
        <v>14168</v>
      </c>
      <c r="G7048" s="1">
        <v>11.81</v>
      </c>
    </row>
    <row r="7049" spans="1:7" ht="14.25" hidden="1" customHeight="1" x14ac:dyDescent="0.45">
      <c r="A7049" t="str">
        <f>_xlfn.XLOOKUP(B7049,Ingot!$H$12:$H$119,Ingot!$G$12:$G$119,"")</f>
        <v>Stone</v>
      </c>
      <c r="B7049" t="s">
        <v>14116</v>
      </c>
      <c r="C7049" t="s">
        <v>10</v>
      </c>
      <c r="D7049" t="s">
        <v>14169</v>
      </c>
      <c r="E7049" t="s">
        <v>14170</v>
      </c>
      <c r="G7049" s="1">
        <v>8.44</v>
      </c>
    </row>
    <row r="7050" spans="1:7" ht="14.25" hidden="1" customHeight="1" x14ac:dyDescent="0.45">
      <c r="A7050" t="str">
        <f>_xlfn.XLOOKUP(B7050,Ingot!$H$12:$H$119,Ingot!$G$12:$G$119,"")</f>
        <v>Stone</v>
      </c>
      <c r="B7050" t="s">
        <v>14116</v>
      </c>
      <c r="C7050" t="s">
        <v>10</v>
      </c>
      <c r="D7050" t="s">
        <v>14171</v>
      </c>
      <c r="E7050" t="s">
        <v>14172</v>
      </c>
      <c r="G7050" s="1">
        <v>10.42</v>
      </c>
    </row>
    <row r="7051" spans="1:7" ht="14.25" hidden="1" customHeight="1" x14ac:dyDescent="0.45">
      <c r="A7051" t="str">
        <f>_xlfn.XLOOKUP(B7051,Ingot!$H$12:$H$119,Ingot!$G$12:$G$119,"")</f>
        <v>Stone</v>
      </c>
      <c r="B7051" t="s">
        <v>14116</v>
      </c>
      <c r="C7051" t="s">
        <v>10</v>
      </c>
      <c r="D7051" t="s">
        <v>14173</v>
      </c>
      <c r="E7051" t="s">
        <v>14174</v>
      </c>
    </row>
    <row r="7052" spans="1:7" ht="14.25" hidden="1" customHeight="1" x14ac:dyDescent="0.45">
      <c r="A7052" t="str">
        <f>_xlfn.XLOOKUP(B7052,Ingot!$H$12:$H$119,Ingot!$G$12:$G$119,"")</f>
        <v>Stone</v>
      </c>
      <c r="B7052" t="s">
        <v>14116</v>
      </c>
      <c r="C7052" t="s">
        <v>10</v>
      </c>
      <c r="D7052" t="s">
        <v>14175</v>
      </c>
      <c r="E7052" t="s">
        <v>14176</v>
      </c>
      <c r="G7052" s="1">
        <v>7.96</v>
      </c>
    </row>
    <row r="7053" spans="1:7" ht="14.25" hidden="1" customHeight="1" x14ac:dyDescent="0.45">
      <c r="A7053" t="str">
        <f>_xlfn.XLOOKUP(B7053,Ingot!$H$12:$H$119,Ingot!$G$12:$G$119,"")</f>
        <v>Stone</v>
      </c>
      <c r="B7053" t="s">
        <v>14116</v>
      </c>
      <c r="C7053" t="s">
        <v>10</v>
      </c>
      <c r="D7053" t="s">
        <v>14177</v>
      </c>
      <c r="E7053" t="s">
        <v>14178</v>
      </c>
      <c r="G7053" s="1">
        <v>9.64</v>
      </c>
    </row>
    <row r="7054" spans="1:7" ht="14.25" hidden="1" customHeight="1" x14ac:dyDescent="0.45">
      <c r="A7054" t="str">
        <f>_xlfn.XLOOKUP(B7054,Ingot!$H$12:$H$119,Ingot!$G$12:$G$119,"")</f>
        <v>Stone</v>
      </c>
      <c r="B7054" t="s">
        <v>14116</v>
      </c>
      <c r="C7054" t="s">
        <v>10</v>
      </c>
      <c r="D7054" t="s">
        <v>14179</v>
      </c>
      <c r="E7054" t="s">
        <v>14180</v>
      </c>
      <c r="G7054" s="1">
        <v>7.94</v>
      </c>
    </row>
    <row r="7055" spans="1:7" ht="14.25" hidden="1" customHeight="1" x14ac:dyDescent="0.45">
      <c r="A7055" t="str">
        <f>_xlfn.XLOOKUP(B7055,Ingot!$H$12:$H$119,Ingot!$G$12:$G$119,"")</f>
        <v>Stone</v>
      </c>
      <c r="B7055" t="s">
        <v>14116</v>
      </c>
      <c r="C7055" t="s">
        <v>10</v>
      </c>
      <c r="D7055" t="s">
        <v>14181</v>
      </c>
      <c r="E7055" t="s">
        <v>14182</v>
      </c>
      <c r="G7055" s="1">
        <v>8.66</v>
      </c>
    </row>
    <row r="7056" spans="1:7" ht="14.25" hidden="1" customHeight="1" x14ac:dyDescent="0.45">
      <c r="A7056" t="str">
        <f>_xlfn.XLOOKUP(B7056,Ingot!$H$12:$H$119,Ingot!$G$12:$G$119,"")</f>
        <v>Stone</v>
      </c>
      <c r="B7056" t="s">
        <v>14116</v>
      </c>
      <c r="C7056" t="s">
        <v>10</v>
      </c>
      <c r="D7056" t="s">
        <v>14183</v>
      </c>
      <c r="E7056" t="s">
        <v>14184</v>
      </c>
    </row>
    <row r="7057" spans="1:7" ht="14.25" hidden="1" customHeight="1" x14ac:dyDescent="0.45">
      <c r="A7057" t="str">
        <f>_xlfn.XLOOKUP(B7057,Ingot!$H$12:$H$119,Ingot!$G$12:$G$119,"")</f>
        <v>Stone</v>
      </c>
      <c r="B7057" t="s">
        <v>14116</v>
      </c>
      <c r="C7057" t="s">
        <v>10</v>
      </c>
      <c r="D7057" t="s">
        <v>14185</v>
      </c>
      <c r="E7057" t="s">
        <v>14186</v>
      </c>
      <c r="G7057" s="1">
        <v>2.65</v>
      </c>
    </row>
    <row r="7058" spans="1:7" ht="14.25" hidden="1" customHeight="1" x14ac:dyDescent="0.45">
      <c r="A7058" t="str">
        <f>_xlfn.XLOOKUP(B7058,Ingot!$H$12:$H$119,Ingot!$G$12:$G$119,"")</f>
        <v>Stone</v>
      </c>
      <c r="B7058" t="s">
        <v>14116</v>
      </c>
      <c r="C7058" t="s">
        <v>10</v>
      </c>
      <c r="D7058" t="s">
        <v>14187</v>
      </c>
      <c r="E7058" t="s">
        <v>14188</v>
      </c>
    </row>
    <row r="7059" spans="1:7" ht="14.25" hidden="1" customHeight="1" x14ac:dyDescent="0.45">
      <c r="A7059" t="str">
        <f>_xlfn.XLOOKUP(B7059,Ingot!$H$12:$H$119,Ingot!$G$12:$G$119,"")</f>
        <v>Stone</v>
      </c>
      <c r="B7059" t="s">
        <v>14116</v>
      </c>
      <c r="C7059" t="s">
        <v>10</v>
      </c>
      <c r="D7059" t="s">
        <v>14189</v>
      </c>
      <c r="E7059" t="s">
        <v>14190</v>
      </c>
      <c r="G7059" s="1">
        <v>12.64</v>
      </c>
    </row>
    <row r="7060" spans="1:7" ht="14.25" hidden="1" customHeight="1" x14ac:dyDescent="0.45">
      <c r="A7060" t="str">
        <f>_xlfn.XLOOKUP(B7060,Ingot!$H$12:$H$119,Ingot!$G$12:$G$119,"")</f>
        <v>Stone</v>
      </c>
      <c r="B7060" t="s">
        <v>14116</v>
      </c>
      <c r="C7060" t="s">
        <v>10</v>
      </c>
      <c r="D7060" t="s">
        <v>14191</v>
      </c>
      <c r="E7060" t="s">
        <v>14192</v>
      </c>
      <c r="G7060" s="1">
        <v>22.67</v>
      </c>
    </row>
    <row r="7061" spans="1:7" ht="14.25" hidden="1" customHeight="1" x14ac:dyDescent="0.45">
      <c r="A7061" t="str">
        <f>_xlfn.XLOOKUP(B7061,Ingot!$H$12:$H$119,Ingot!$G$12:$G$119,"")</f>
        <v>Stone</v>
      </c>
      <c r="B7061" t="s">
        <v>14116</v>
      </c>
      <c r="C7061" t="s">
        <v>10</v>
      </c>
      <c r="D7061" t="s">
        <v>14193</v>
      </c>
      <c r="E7061" t="s">
        <v>14194</v>
      </c>
      <c r="G7061" s="1">
        <v>8.3800000000000008</v>
      </c>
    </row>
    <row r="7062" spans="1:7" ht="14.25" hidden="1" customHeight="1" x14ac:dyDescent="0.45">
      <c r="A7062" t="str">
        <f>_xlfn.XLOOKUP(B7062,Ingot!$H$12:$H$119,Ingot!$G$12:$G$119,"")</f>
        <v>Stone</v>
      </c>
      <c r="B7062" t="s">
        <v>14116</v>
      </c>
      <c r="C7062" t="s">
        <v>10</v>
      </c>
      <c r="D7062" t="s">
        <v>14195</v>
      </c>
      <c r="E7062" t="s">
        <v>14196</v>
      </c>
      <c r="G7062" s="1">
        <v>2.2000000000000002</v>
      </c>
    </row>
    <row r="7063" spans="1:7" ht="14.25" hidden="1" customHeight="1" x14ac:dyDescent="0.45">
      <c r="A7063" t="str">
        <f>_xlfn.XLOOKUP(B7063,Ingot!$H$12:$H$119,Ingot!$G$12:$G$119,"")</f>
        <v>Stone</v>
      </c>
      <c r="B7063" t="s">
        <v>14116</v>
      </c>
      <c r="C7063" t="s">
        <v>10</v>
      </c>
      <c r="D7063" t="s">
        <v>14197</v>
      </c>
      <c r="E7063" t="s">
        <v>14198</v>
      </c>
      <c r="G7063" s="1">
        <v>3.09</v>
      </c>
    </row>
    <row r="7064" spans="1:7" ht="14.25" hidden="1" customHeight="1" x14ac:dyDescent="0.45">
      <c r="A7064" t="str">
        <f>_xlfn.XLOOKUP(B7064,Ingot!$H$12:$H$119,Ingot!$G$12:$G$119,"")</f>
        <v>Stone</v>
      </c>
      <c r="B7064" t="s">
        <v>14116</v>
      </c>
      <c r="C7064" t="s">
        <v>10</v>
      </c>
      <c r="D7064" t="s">
        <v>14199</v>
      </c>
      <c r="E7064" t="s">
        <v>14200</v>
      </c>
      <c r="G7064" s="1">
        <v>2.2999999999999998</v>
      </c>
    </row>
    <row r="7065" spans="1:7" ht="14.25" hidden="1" customHeight="1" x14ac:dyDescent="0.45">
      <c r="A7065" t="str">
        <f>_xlfn.XLOOKUP(B7065,Ingot!$H$12:$H$119,Ingot!$G$12:$G$119,"")</f>
        <v>Stone</v>
      </c>
      <c r="B7065" t="s">
        <v>14116</v>
      </c>
      <c r="C7065" t="s">
        <v>10</v>
      </c>
      <c r="D7065" t="s">
        <v>14201</v>
      </c>
      <c r="E7065" t="s">
        <v>14202</v>
      </c>
      <c r="G7065" s="1">
        <v>4.88</v>
      </c>
    </row>
    <row r="7066" spans="1:7" ht="14.25" hidden="1" customHeight="1" x14ac:dyDescent="0.45">
      <c r="A7066" t="str">
        <f>_xlfn.XLOOKUP(B7066,Ingot!$H$12:$H$119,Ingot!$G$12:$G$119,"")</f>
        <v>Stone</v>
      </c>
      <c r="B7066" t="s">
        <v>14116</v>
      </c>
      <c r="C7066" t="s">
        <v>10</v>
      </c>
      <c r="D7066" t="s">
        <v>14203</v>
      </c>
      <c r="E7066" t="s">
        <v>14204</v>
      </c>
      <c r="G7066" s="1">
        <v>8.43</v>
      </c>
    </row>
    <row r="7067" spans="1:7" ht="14.25" hidden="1" customHeight="1" x14ac:dyDescent="0.45">
      <c r="A7067" t="str">
        <f>_xlfn.XLOOKUP(B7067,Ingot!$H$12:$H$119,Ingot!$G$12:$G$119,"")</f>
        <v>Stone</v>
      </c>
      <c r="B7067" t="s">
        <v>14116</v>
      </c>
      <c r="C7067" t="s">
        <v>10</v>
      </c>
      <c r="D7067" t="s">
        <v>14205</v>
      </c>
      <c r="E7067" t="s">
        <v>14206</v>
      </c>
      <c r="G7067" s="1">
        <v>13.07</v>
      </c>
    </row>
    <row r="7068" spans="1:7" ht="14.25" hidden="1" customHeight="1" x14ac:dyDescent="0.45">
      <c r="A7068" t="str">
        <f>_xlfn.XLOOKUP(B7068,Ingot!$H$12:$H$119,Ingot!$G$12:$G$119,"")</f>
        <v>Stone</v>
      </c>
      <c r="B7068" t="s">
        <v>14116</v>
      </c>
      <c r="C7068" t="s">
        <v>10</v>
      </c>
      <c r="D7068" t="s">
        <v>14207</v>
      </c>
      <c r="E7068" t="s">
        <v>14208</v>
      </c>
    </row>
    <row r="7069" spans="1:7" ht="14.25" hidden="1" customHeight="1" x14ac:dyDescent="0.45">
      <c r="A7069" t="str">
        <f>_xlfn.XLOOKUP(B7069,Ingot!$H$12:$H$119,Ingot!$G$12:$G$119,"")</f>
        <v>Stone</v>
      </c>
      <c r="B7069" t="s">
        <v>14116</v>
      </c>
      <c r="C7069" t="s">
        <v>10</v>
      </c>
      <c r="D7069" t="s">
        <v>14209</v>
      </c>
      <c r="E7069" t="s">
        <v>14210</v>
      </c>
    </row>
    <row r="7070" spans="1:7" ht="14.25" hidden="1" customHeight="1" x14ac:dyDescent="0.45">
      <c r="A7070" t="str">
        <f>_xlfn.XLOOKUP(B7070,Ingot!$H$12:$H$119,Ingot!$G$12:$G$119,"")</f>
        <v>Stone</v>
      </c>
      <c r="B7070" t="s">
        <v>14116</v>
      </c>
      <c r="C7070" t="s">
        <v>10</v>
      </c>
      <c r="D7070" t="s">
        <v>14211</v>
      </c>
      <c r="E7070" t="s">
        <v>14212</v>
      </c>
      <c r="G7070" s="1">
        <v>6.8</v>
      </c>
    </row>
    <row r="7071" spans="1:7" ht="14.25" hidden="1" customHeight="1" x14ac:dyDescent="0.45">
      <c r="A7071" t="str">
        <f>_xlfn.XLOOKUP(B7071,Ingot!$H$12:$H$119,Ingot!$G$12:$G$119,"")</f>
        <v>Stone</v>
      </c>
      <c r="B7071" t="s">
        <v>14116</v>
      </c>
      <c r="C7071" t="s">
        <v>10</v>
      </c>
      <c r="D7071" t="s">
        <v>14213</v>
      </c>
      <c r="E7071" t="s">
        <v>14214</v>
      </c>
      <c r="G7071" s="1">
        <v>6.88</v>
      </c>
    </row>
    <row r="7072" spans="1:7" ht="14.25" hidden="1" customHeight="1" x14ac:dyDescent="0.45">
      <c r="A7072" t="str">
        <f>_xlfn.XLOOKUP(B7072,Ingot!$H$12:$H$119,Ingot!$G$12:$G$119,"")</f>
        <v>Stone</v>
      </c>
      <c r="B7072" t="s">
        <v>14116</v>
      </c>
      <c r="C7072" t="s">
        <v>10</v>
      </c>
      <c r="D7072" t="s">
        <v>14215</v>
      </c>
      <c r="E7072" t="s">
        <v>14216</v>
      </c>
      <c r="G7072" s="1">
        <v>5.5</v>
      </c>
    </row>
    <row r="7073" spans="1:7" ht="14.25" hidden="1" customHeight="1" x14ac:dyDescent="0.45">
      <c r="A7073" t="str">
        <f>_xlfn.XLOOKUP(B7073,Ingot!$H$12:$H$119,Ingot!$G$12:$G$119,"")</f>
        <v>Stone</v>
      </c>
      <c r="B7073" t="s">
        <v>14116</v>
      </c>
      <c r="C7073" t="s">
        <v>10</v>
      </c>
      <c r="D7073" t="s">
        <v>14217</v>
      </c>
      <c r="E7073" t="s">
        <v>14218</v>
      </c>
      <c r="G7073" s="1">
        <v>2.4300000000000002</v>
      </c>
    </row>
    <row r="7074" spans="1:7" ht="14.25" hidden="1" customHeight="1" x14ac:dyDescent="0.45">
      <c r="A7074" t="str">
        <f>_xlfn.XLOOKUP(B7074,Ingot!$H$12:$H$119,Ingot!$G$12:$G$119,"")</f>
        <v>Stone</v>
      </c>
      <c r="B7074" t="s">
        <v>14116</v>
      </c>
      <c r="C7074" t="s">
        <v>10</v>
      </c>
      <c r="D7074" t="s">
        <v>14219</v>
      </c>
      <c r="E7074" t="s">
        <v>14220</v>
      </c>
      <c r="G7074" s="1">
        <v>6.96</v>
      </c>
    </row>
    <row r="7075" spans="1:7" ht="14.25" hidden="1" customHeight="1" x14ac:dyDescent="0.45">
      <c r="A7075" t="str">
        <f>_xlfn.XLOOKUP(B7075,Ingot!$H$12:$H$119,Ingot!$G$12:$G$119,"")</f>
        <v>Stone</v>
      </c>
      <c r="B7075" t="s">
        <v>14116</v>
      </c>
      <c r="C7075" t="s">
        <v>10</v>
      </c>
      <c r="D7075" t="s">
        <v>14221</v>
      </c>
      <c r="E7075" t="s">
        <v>14222</v>
      </c>
      <c r="G7075" s="1">
        <v>6.32</v>
      </c>
    </row>
    <row r="7076" spans="1:7" ht="14.25" hidden="1" customHeight="1" x14ac:dyDescent="0.45">
      <c r="A7076" t="str">
        <f>_xlfn.XLOOKUP(B7076,Ingot!$H$12:$H$119,Ingot!$G$12:$G$119,"")</f>
        <v>Stone</v>
      </c>
      <c r="B7076" t="s">
        <v>14116</v>
      </c>
      <c r="C7076" t="s">
        <v>10</v>
      </c>
      <c r="D7076" t="s">
        <v>14223</v>
      </c>
      <c r="E7076" t="s">
        <v>14224</v>
      </c>
      <c r="G7076" s="1">
        <v>6.88</v>
      </c>
    </row>
    <row r="7077" spans="1:7" ht="14.25" hidden="1" customHeight="1" x14ac:dyDescent="0.45">
      <c r="A7077" t="str">
        <f>_xlfn.XLOOKUP(B7077,Ingot!$H$12:$H$119,Ingot!$G$12:$G$119,"")</f>
        <v>Stone</v>
      </c>
      <c r="B7077" t="s">
        <v>14116</v>
      </c>
      <c r="C7077" t="s">
        <v>10</v>
      </c>
      <c r="D7077" t="s">
        <v>14225</v>
      </c>
      <c r="E7077" t="s">
        <v>14226</v>
      </c>
      <c r="G7077" s="1">
        <v>2.44</v>
      </c>
    </row>
    <row r="7078" spans="1:7" ht="14.25" hidden="1" customHeight="1" x14ac:dyDescent="0.45">
      <c r="A7078" t="str">
        <f>_xlfn.XLOOKUP(B7078,Ingot!$H$12:$H$119,Ingot!$G$12:$G$119,"")</f>
        <v>Stone</v>
      </c>
      <c r="B7078" t="s">
        <v>14116</v>
      </c>
      <c r="C7078" t="s">
        <v>10</v>
      </c>
      <c r="D7078" t="s">
        <v>14227</v>
      </c>
      <c r="E7078" t="s">
        <v>14228</v>
      </c>
    </row>
    <row r="7079" spans="1:7" ht="14.25" hidden="1" customHeight="1" x14ac:dyDescent="0.45">
      <c r="A7079" t="str">
        <f>_xlfn.XLOOKUP(B7079,Ingot!$H$12:$H$119,Ingot!$G$12:$G$119,"")</f>
        <v>Stone</v>
      </c>
      <c r="B7079" t="s">
        <v>14116</v>
      </c>
      <c r="C7079" t="s">
        <v>10</v>
      </c>
      <c r="D7079" t="s">
        <v>14229</v>
      </c>
      <c r="E7079" t="s">
        <v>14230</v>
      </c>
    </row>
    <row r="7080" spans="1:7" ht="14.25" hidden="1" customHeight="1" x14ac:dyDescent="0.45">
      <c r="A7080" t="str">
        <f>_xlfn.XLOOKUP(B7080,Ingot!$H$12:$H$119,Ingot!$G$12:$G$119,"")</f>
        <v>Stone</v>
      </c>
      <c r="B7080" t="s">
        <v>14116</v>
      </c>
      <c r="C7080" t="s">
        <v>10</v>
      </c>
      <c r="D7080" t="s">
        <v>14231</v>
      </c>
      <c r="E7080" t="s">
        <v>14232</v>
      </c>
      <c r="G7080" s="1">
        <v>3.11</v>
      </c>
    </row>
    <row r="7081" spans="1:7" ht="14.25" hidden="1" customHeight="1" x14ac:dyDescent="0.45">
      <c r="A7081" t="str">
        <f>_xlfn.XLOOKUP(B7081,Ingot!$H$12:$H$119,Ingot!$G$12:$G$119,"")</f>
        <v>Stone</v>
      </c>
      <c r="B7081" t="s">
        <v>14116</v>
      </c>
      <c r="C7081" t="s">
        <v>10</v>
      </c>
      <c r="D7081" t="s">
        <v>14233</v>
      </c>
      <c r="E7081" t="s">
        <v>14234</v>
      </c>
      <c r="G7081" s="1">
        <v>2.44</v>
      </c>
    </row>
    <row r="7082" spans="1:7" ht="14.25" hidden="1" customHeight="1" x14ac:dyDescent="0.45">
      <c r="A7082" t="str">
        <f>_xlfn.XLOOKUP(B7082,Ingot!$H$12:$H$119,Ingot!$G$12:$G$119,"")</f>
        <v>Stone</v>
      </c>
      <c r="B7082" t="s">
        <v>14116</v>
      </c>
      <c r="C7082" t="s">
        <v>10</v>
      </c>
      <c r="D7082" t="s">
        <v>14235</v>
      </c>
      <c r="E7082" t="s">
        <v>14236</v>
      </c>
      <c r="G7082" s="1">
        <v>8.61</v>
      </c>
    </row>
    <row r="7083" spans="1:7" ht="14.25" hidden="1" customHeight="1" x14ac:dyDescent="0.45">
      <c r="A7083" t="str">
        <f>_xlfn.XLOOKUP(B7083,Ingot!$H$12:$H$119,Ingot!$G$12:$G$119,"")</f>
        <v>Stone</v>
      </c>
      <c r="B7083" t="s">
        <v>14116</v>
      </c>
      <c r="C7083" t="s">
        <v>10</v>
      </c>
      <c r="D7083" t="s">
        <v>14237</v>
      </c>
      <c r="E7083" t="s">
        <v>14238</v>
      </c>
    </row>
    <row r="7084" spans="1:7" ht="14.25" hidden="1" customHeight="1" x14ac:dyDescent="0.45">
      <c r="A7084" t="str">
        <f>_xlfn.XLOOKUP(B7084,Ingot!$H$12:$H$119,Ingot!$G$12:$G$119,"")</f>
        <v>Stone</v>
      </c>
      <c r="B7084" t="s">
        <v>14116</v>
      </c>
      <c r="C7084" t="s">
        <v>10</v>
      </c>
      <c r="D7084" t="s">
        <v>14239</v>
      </c>
      <c r="E7084" t="s">
        <v>14240</v>
      </c>
      <c r="G7084" s="1">
        <v>3.21</v>
      </c>
    </row>
    <row r="7085" spans="1:7" ht="14.25" hidden="1" customHeight="1" x14ac:dyDescent="0.45">
      <c r="A7085" t="str">
        <f>_xlfn.XLOOKUP(B7085,Ingot!$H$12:$H$119,Ingot!$G$12:$G$119,"")</f>
        <v>Stone</v>
      </c>
      <c r="B7085" t="s">
        <v>14116</v>
      </c>
      <c r="C7085" t="s">
        <v>10</v>
      </c>
      <c r="D7085" t="s">
        <v>14241</v>
      </c>
      <c r="E7085" t="s">
        <v>14242</v>
      </c>
      <c r="G7085" s="1">
        <v>2.77</v>
      </c>
    </row>
    <row r="7086" spans="1:7" ht="14.25" hidden="1" customHeight="1" x14ac:dyDescent="0.45">
      <c r="A7086" t="str">
        <f>_xlfn.XLOOKUP(B7086,Ingot!$H$12:$H$119,Ingot!$G$12:$G$119,"")</f>
        <v>Stone</v>
      </c>
      <c r="B7086" t="s">
        <v>14116</v>
      </c>
      <c r="C7086" t="s">
        <v>10</v>
      </c>
      <c r="D7086" t="s">
        <v>14243</v>
      </c>
      <c r="E7086" t="s">
        <v>14244</v>
      </c>
      <c r="G7086" s="1">
        <v>4.8899999999999997</v>
      </c>
    </row>
    <row r="7087" spans="1:7" ht="14.25" hidden="1" customHeight="1" x14ac:dyDescent="0.45">
      <c r="A7087" t="str">
        <f>_xlfn.XLOOKUP(B7087,Ingot!$H$12:$H$119,Ingot!$G$12:$G$119,"")</f>
        <v>Stone</v>
      </c>
      <c r="B7087" t="s">
        <v>14116</v>
      </c>
      <c r="C7087" t="s">
        <v>10</v>
      </c>
      <c r="D7087" t="s">
        <v>14245</v>
      </c>
      <c r="E7087" t="s">
        <v>14246</v>
      </c>
      <c r="G7087" s="1">
        <v>1.76</v>
      </c>
    </row>
    <row r="7088" spans="1:7" ht="14.25" hidden="1" customHeight="1" x14ac:dyDescent="0.45">
      <c r="A7088" t="str">
        <f>_xlfn.XLOOKUP(B7088,Ingot!$H$12:$H$119,Ingot!$G$12:$G$119,"")</f>
        <v>Stone</v>
      </c>
      <c r="B7088" t="s">
        <v>14116</v>
      </c>
      <c r="C7088" t="s">
        <v>10</v>
      </c>
      <c r="D7088" t="s">
        <v>14247</v>
      </c>
      <c r="E7088" t="s">
        <v>14248</v>
      </c>
    </row>
    <row r="7089" spans="1:7" ht="14.25" hidden="1" customHeight="1" x14ac:dyDescent="0.45">
      <c r="A7089" t="str">
        <f>_xlfn.XLOOKUP(B7089,Ingot!$H$12:$H$119,Ingot!$G$12:$G$119,"")</f>
        <v>Stone</v>
      </c>
      <c r="B7089" t="s">
        <v>14116</v>
      </c>
      <c r="C7089" t="s">
        <v>10</v>
      </c>
      <c r="D7089" t="s">
        <v>14249</v>
      </c>
      <c r="E7089" t="s">
        <v>14250</v>
      </c>
      <c r="G7089" s="1">
        <v>8.57</v>
      </c>
    </row>
    <row r="7090" spans="1:7" ht="14.25" hidden="1" customHeight="1" x14ac:dyDescent="0.45">
      <c r="A7090" t="str">
        <f>_xlfn.XLOOKUP(B7090,Ingot!$H$12:$H$119,Ingot!$G$12:$G$119,"")</f>
        <v>Stone</v>
      </c>
      <c r="B7090" t="s">
        <v>14116</v>
      </c>
      <c r="C7090" t="s">
        <v>10</v>
      </c>
      <c r="D7090" t="s">
        <v>14251</v>
      </c>
      <c r="E7090" t="s">
        <v>14252</v>
      </c>
    </row>
    <row r="7091" spans="1:7" ht="14.25" hidden="1" customHeight="1" x14ac:dyDescent="0.45">
      <c r="A7091" t="str">
        <f>_xlfn.XLOOKUP(B7091,Ingot!$H$12:$H$119,Ingot!$G$12:$G$119,"")</f>
        <v>Stone</v>
      </c>
      <c r="B7091" t="s">
        <v>14116</v>
      </c>
      <c r="C7091" t="s">
        <v>10</v>
      </c>
      <c r="D7091" t="s">
        <v>14253</v>
      </c>
      <c r="E7091" t="s">
        <v>14254</v>
      </c>
      <c r="G7091" s="1">
        <v>3.56</v>
      </c>
    </row>
    <row r="7092" spans="1:7" ht="14.25" hidden="1" customHeight="1" x14ac:dyDescent="0.45">
      <c r="A7092" t="str">
        <f>_xlfn.XLOOKUP(B7092,Ingot!$H$12:$H$119,Ingot!$G$12:$G$119,"")</f>
        <v>Stone</v>
      </c>
      <c r="B7092" t="s">
        <v>14116</v>
      </c>
      <c r="C7092" t="s">
        <v>10</v>
      </c>
      <c r="D7092" t="s">
        <v>14255</v>
      </c>
      <c r="E7092" t="s">
        <v>14256</v>
      </c>
      <c r="G7092" s="1">
        <v>8.91</v>
      </c>
    </row>
    <row r="7093" spans="1:7" ht="14.25" hidden="1" customHeight="1" x14ac:dyDescent="0.45">
      <c r="A7093" t="str">
        <f>_xlfn.XLOOKUP(B7093,Ingot!$H$12:$H$119,Ingot!$G$12:$G$119,"")</f>
        <v>Stone</v>
      </c>
      <c r="B7093" t="s">
        <v>14116</v>
      </c>
      <c r="C7093" t="s">
        <v>10</v>
      </c>
      <c r="D7093" t="s">
        <v>14257</v>
      </c>
      <c r="E7093" t="s">
        <v>14258</v>
      </c>
      <c r="G7093" s="1">
        <v>11.02</v>
      </c>
    </row>
    <row r="7094" spans="1:7" ht="14.25" hidden="1" customHeight="1" x14ac:dyDescent="0.45">
      <c r="A7094" t="str">
        <f>_xlfn.XLOOKUP(B7094,Ingot!$H$12:$H$119,Ingot!$G$12:$G$119,"")</f>
        <v>Stone</v>
      </c>
      <c r="B7094" t="s">
        <v>14116</v>
      </c>
      <c r="C7094" t="s">
        <v>10</v>
      </c>
      <c r="D7094" t="s">
        <v>14259</v>
      </c>
      <c r="E7094" t="s">
        <v>14260</v>
      </c>
      <c r="G7094" s="1">
        <v>5.12</v>
      </c>
    </row>
    <row r="7095" spans="1:7" ht="14.25" hidden="1" customHeight="1" x14ac:dyDescent="0.45">
      <c r="A7095" t="str">
        <f>_xlfn.XLOOKUP(B7095,Ingot!$H$12:$H$119,Ingot!$G$12:$G$119,"")</f>
        <v>Stone</v>
      </c>
      <c r="B7095" t="s">
        <v>14116</v>
      </c>
      <c r="C7095" t="s">
        <v>10</v>
      </c>
      <c r="D7095" t="s">
        <v>14261</v>
      </c>
      <c r="E7095" t="s">
        <v>14262</v>
      </c>
      <c r="G7095" s="1">
        <v>4.41</v>
      </c>
    </row>
    <row r="7096" spans="1:7" ht="14.25" hidden="1" customHeight="1" x14ac:dyDescent="0.45">
      <c r="A7096" t="str">
        <f>_xlfn.XLOOKUP(B7096,Ingot!$H$12:$H$119,Ingot!$G$12:$G$119,"")</f>
        <v>Stone</v>
      </c>
      <c r="B7096" t="s">
        <v>14116</v>
      </c>
      <c r="C7096" t="s">
        <v>157</v>
      </c>
      <c r="D7096" t="s">
        <v>14263</v>
      </c>
      <c r="E7096" t="s">
        <v>14264</v>
      </c>
      <c r="G7096" s="1">
        <v>45.5</v>
      </c>
    </row>
    <row r="7097" spans="1:7" ht="14.25" hidden="1" customHeight="1" x14ac:dyDescent="0.45">
      <c r="A7097" t="str">
        <f>_xlfn.XLOOKUP(B7097,Ingot!$H$12:$H$119,Ingot!$G$12:$G$119,"")</f>
        <v>Stone</v>
      </c>
      <c r="B7097" t="s">
        <v>14116</v>
      </c>
      <c r="C7097" t="s">
        <v>157</v>
      </c>
      <c r="D7097" t="s">
        <v>14265</v>
      </c>
      <c r="E7097" t="s">
        <v>14266</v>
      </c>
      <c r="G7097" s="1">
        <v>9.1</v>
      </c>
    </row>
    <row r="7098" spans="1:7" ht="14.25" hidden="1" customHeight="1" x14ac:dyDescent="0.45">
      <c r="A7098" t="str">
        <f>_xlfn.XLOOKUP(B7098,Ingot!$H$12:$H$119,Ingot!$G$12:$G$119,"")</f>
        <v>Stone</v>
      </c>
      <c r="B7098" t="s">
        <v>14116</v>
      </c>
      <c r="C7098" t="s">
        <v>157</v>
      </c>
      <c r="D7098" t="s">
        <v>14267</v>
      </c>
      <c r="E7098" t="s">
        <v>14268</v>
      </c>
      <c r="G7098" s="1">
        <v>9.1</v>
      </c>
    </row>
    <row r="7099" spans="1:7" ht="14.25" hidden="1" customHeight="1" x14ac:dyDescent="0.45">
      <c r="A7099" t="str">
        <f>_xlfn.XLOOKUP(B7099,Ingot!$H$12:$H$119,Ingot!$G$12:$G$119,"")</f>
        <v>Stone</v>
      </c>
      <c r="B7099" t="s">
        <v>14116</v>
      </c>
      <c r="C7099" t="s">
        <v>157</v>
      </c>
      <c r="D7099" t="s">
        <v>14269</v>
      </c>
      <c r="E7099" t="s">
        <v>14270</v>
      </c>
      <c r="G7099" s="1">
        <v>5.92</v>
      </c>
    </row>
    <row r="7100" spans="1:7" ht="14.25" hidden="1" customHeight="1" x14ac:dyDescent="0.45">
      <c r="A7100" t="str">
        <f>_xlfn.XLOOKUP(B7100,Ingot!$H$12:$H$119,Ingot!$G$12:$G$119,"")</f>
        <v>Stone</v>
      </c>
      <c r="B7100" t="s">
        <v>14116</v>
      </c>
      <c r="C7100" t="s">
        <v>157</v>
      </c>
      <c r="D7100" t="s">
        <v>14271</v>
      </c>
      <c r="E7100" t="s">
        <v>14272</v>
      </c>
      <c r="G7100" s="1">
        <v>11.83</v>
      </c>
    </row>
    <row r="7101" spans="1:7" ht="14.25" hidden="1" customHeight="1" x14ac:dyDescent="0.45">
      <c r="A7101" t="str">
        <f>_xlfn.XLOOKUP(B7101,Ingot!$H$12:$H$119,Ingot!$G$12:$G$119,"")</f>
        <v>Stone</v>
      </c>
      <c r="B7101" t="s">
        <v>14116</v>
      </c>
      <c r="C7101" t="s">
        <v>157</v>
      </c>
      <c r="D7101" t="s">
        <v>14273</v>
      </c>
      <c r="E7101" t="s">
        <v>14274</v>
      </c>
      <c r="G7101" s="1">
        <v>41.5</v>
      </c>
    </row>
    <row r="7102" spans="1:7" ht="14.25" hidden="1" customHeight="1" x14ac:dyDescent="0.45">
      <c r="A7102" t="str">
        <f>_xlfn.XLOOKUP(B7102,Ingot!$H$12:$H$119,Ingot!$G$12:$G$119,"")</f>
        <v>Stone</v>
      </c>
      <c r="B7102" t="s">
        <v>14116</v>
      </c>
      <c r="C7102" t="s">
        <v>157</v>
      </c>
      <c r="D7102" t="s">
        <v>14275</v>
      </c>
      <c r="E7102" t="s">
        <v>14276</v>
      </c>
      <c r="G7102" s="1">
        <v>8.3000000000000007</v>
      </c>
    </row>
    <row r="7103" spans="1:7" ht="14.25" hidden="1" customHeight="1" x14ac:dyDescent="0.45">
      <c r="A7103" t="str">
        <f>_xlfn.XLOOKUP(B7103,Ingot!$H$12:$H$119,Ingot!$G$12:$G$119,"")</f>
        <v>Stone</v>
      </c>
      <c r="B7103" t="s">
        <v>14116</v>
      </c>
      <c r="C7103" t="s">
        <v>157</v>
      </c>
      <c r="D7103" t="s">
        <v>14277</v>
      </c>
      <c r="E7103" t="s">
        <v>14278</v>
      </c>
      <c r="G7103" s="1">
        <v>8.3000000000000007</v>
      </c>
    </row>
    <row r="7104" spans="1:7" ht="14.25" hidden="1" customHeight="1" x14ac:dyDescent="0.45">
      <c r="A7104" t="str">
        <f>_xlfn.XLOOKUP(B7104,Ingot!$H$12:$H$119,Ingot!$G$12:$G$119,"")</f>
        <v>Stone</v>
      </c>
      <c r="B7104" t="s">
        <v>14116</v>
      </c>
      <c r="C7104" t="s">
        <v>157</v>
      </c>
      <c r="D7104" t="s">
        <v>14279</v>
      </c>
      <c r="E7104" t="s">
        <v>14280</v>
      </c>
      <c r="G7104" s="1">
        <v>5.4</v>
      </c>
    </row>
    <row r="7105" spans="1:7" ht="14.25" hidden="1" customHeight="1" x14ac:dyDescent="0.45">
      <c r="A7105" t="str">
        <f>_xlfn.XLOOKUP(B7105,Ingot!$H$12:$H$119,Ingot!$G$12:$G$119,"")</f>
        <v>Stone</v>
      </c>
      <c r="B7105" t="s">
        <v>14116</v>
      </c>
      <c r="C7105" t="s">
        <v>157</v>
      </c>
      <c r="D7105" t="s">
        <v>14281</v>
      </c>
      <c r="E7105" t="s">
        <v>14282</v>
      </c>
      <c r="G7105" s="1">
        <v>10.79</v>
      </c>
    </row>
    <row r="7106" spans="1:7" ht="14.25" hidden="1" customHeight="1" x14ac:dyDescent="0.45">
      <c r="A7106" t="str">
        <f>_xlfn.XLOOKUP(B7106,Ingot!$H$12:$H$119,Ingot!$G$12:$G$119,"")</f>
        <v>Stone</v>
      </c>
      <c r="B7106" t="s">
        <v>14116</v>
      </c>
      <c r="C7106" t="s">
        <v>157</v>
      </c>
      <c r="D7106" t="s">
        <v>14283</v>
      </c>
      <c r="E7106" t="s">
        <v>14284</v>
      </c>
      <c r="G7106" s="1">
        <v>40.5</v>
      </c>
    </row>
    <row r="7107" spans="1:7" ht="14.25" hidden="1" customHeight="1" x14ac:dyDescent="0.45">
      <c r="A7107" t="str">
        <f>_xlfn.XLOOKUP(B7107,Ingot!$H$12:$H$119,Ingot!$G$12:$G$119,"")</f>
        <v>Stone</v>
      </c>
      <c r="B7107" t="s">
        <v>14116</v>
      </c>
      <c r="C7107" t="s">
        <v>157</v>
      </c>
      <c r="D7107" t="s">
        <v>14285</v>
      </c>
      <c r="E7107" t="s">
        <v>14286</v>
      </c>
      <c r="G7107" s="1">
        <v>8.1</v>
      </c>
    </row>
    <row r="7108" spans="1:7" ht="14.25" hidden="1" customHeight="1" x14ac:dyDescent="0.45">
      <c r="A7108" t="str">
        <f>_xlfn.XLOOKUP(B7108,Ingot!$H$12:$H$119,Ingot!$G$12:$G$119,"")</f>
        <v>Stone</v>
      </c>
      <c r="B7108" t="s">
        <v>14116</v>
      </c>
      <c r="C7108" t="s">
        <v>157</v>
      </c>
      <c r="D7108" t="s">
        <v>14287</v>
      </c>
      <c r="E7108" t="s">
        <v>14288</v>
      </c>
      <c r="G7108" s="1">
        <v>8.1</v>
      </c>
    </row>
    <row r="7109" spans="1:7" ht="14.25" hidden="1" customHeight="1" x14ac:dyDescent="0.45">
      <c r="A7109" t="str">
        <f>_xlfn.XLOOKUP(B7109,Ingot!$H$12:$H$119,Ingot!$G$12:$G$119,"")</f>
        <v>Stone</v>
      </c>
      <c r="B7109" t="s">
        <v>14116</v>
      </c>
      <c r="C7109" t="s">
        <v>157</v>
      </c>
      <c r="D7109" t="s">
        <v>14289</v>
      </c>
      <c r="E7109" t="s">
        <v>14290</v>
      </c>
      <c r="G7109" s="1">
        <v>5.27</v>
      </c>
    </row>
    <row r="7110" spans="1:7" ht="14.25" hidden="1" customHeight="1" x14ac:dyDescent="0.45">
      <c r="A7110" t="str">
        <f>_xlfn.XLOOKUP(B7110,Ingot!$H$12:$H$119,Ingot!$G$12:$G$119,"")</f>
        <v>Stone</v>
      </c>
      <c r="B7110" t="s">
        <v>14116</v>
      </c>
      <c r="C7110" t="s">
        <v>157</v>
      </c>
      <c r="D7110" t="s">
        <v>14291</v>
      </c>
      <c r="E7110" t="s">
        <v>14292</v>
      </c>
      <c r="G7110" s="1">
        <v>10.53</v>
      </c>
    </row>
    <row r="7111" spans="1:7" ht="14.25" hidden="1" customHeight="1" x14ac:dyDescent="0.45">
      <c r="A7111" t="str">
        <f>_xlfn.XLOOKUP(B7111,Ingot!$H$12:$H$119,Ingot!$G$12:$G$119,"")</f>
        <v>Stone</v>
      </c>
      <c r="B7111" t="s">
        <v>14116</v>
      </c>
      <c r="C7111" t="s">
        <v>157</v>
      </c>
      <c r="D7111" t="s">
        <v>14293</v>
      </c>
      <c r="E7111" t="s">
        <v>14294</v>
      </c>
      <c r="G7111" s="1">
        <v>42.5</v>
      </c>
    </row>
    <row r="7112" spans="1:7" ht="14.25" hidden="1" customHeight="1" x14ac:dyDescent="0.45">
      <c r="A7112" t="str">
        <f>_xlfn.XLOOKUP(B7112,Ingot!$H$12:$H$119,Ingot!$G$12:$G$119,"")</f>
        <v>Stone</v>
      </c>
      <c r="B7112" t="s">
        <v>14116</v>
      </c>
      <c r="C7112" t="s">
        <v>157</v>
      </c>
      <c r="D7112" t="s">
        <v>14295</v>
      </c>
      <c r="E7112" t="s">
        <v>14296</v>
      </c>
      <c r="G7112" s="1">
        <v>8.5</v>
      </c>
    </row>
    <row r="7113" spans="1:7" ht="14.25" hidden="1" customHeight="1" x14ac:dyDescent="0.45">
      <c r="A7113" t="str">
        <f>_xlfn.XLOOKUP(B7113,Ingot!$H$12:$H$119,Ingot!$G$12:$G$119,"")</f>
        <v>Stone</v>
      </c>
      <c r="B7113" t="s">
        <v>14116</v>
      </c>
      <c r="C7113" t="s">
        <v>157</v>
      </c>
      <c r="D7113" t="s">
        <v>14297</v>
      </c>
      <c r="E7113" t="s">
        <v>14298</v>
      </c>
      <c r="G7113" s="1">
        <v>8.5</v>
      </c>
    </row>
    <row r="7114" spans="1:7" ht="14.25" hidden="1" customHeight="1" x14ac:dyDescent="0.45">
      <c r="A7114" t="str">
        <f>_xlfn.XLOOKUP(B7114,Ingot!$H$12:$H$119,Ingot!$G$12:$G$119,"")</f>
        <v>Stone</v>
      </c>
      <c r="B7114" t="s">
        <v>14116</v>
      </c>
      <c r="C7114" t="s">
        <v>157</v>
      </c>
      <c r="D7114" t="s">
        <v>14299</v>
      </c>
      <c r="E7114" t="s">
        <v>14300</v>
      </c>
      <c r="G7114" s="1">
        <v>5.53</v>
      </c>
    </row>
    <row r="7115" spans="1:7" ht="14.25" hidden="1" customHeight="1" x14ac:dyDescent="0.45">
      <c r="A7115" t="str">
        <f>_xlfn.XLOOKUP(B7115,Ingot!$H$12:$H$119,Ingot!$G$12:$G$119,"")</f>
        <v>Stone</v>
      </c>
      <c r="B7115" t="s">
        <v>14116</v>
      </c>
      <c r="C7115" t="s">
        <v>157</v>
      </c>
      <c r="D7115" t="s">
        <v>14301</v>
      </c>
      <c r="E7115" t="s">
        <v>14302</v>
      </c>
      <c r="G7115" s="1">
        <v>11.05</v>
      </c>
    </row>
    <row r="7116" spans="1:7" ht="14.25" hidden="1" customHeight="1" x14ac:dyDescent="0.45">
      <c r="A7116" t="str">
        <f>_xlfn.XLOOKUP(B7116,Ingot!$H$12:$H$119,Ingot!$G$12:$G$119,"")</f>
        <v>Stone</v>
      </c>
      <c r="B7116" t="s">
        <v>14116</v>
      </c>
      <c r="C7116" t="s">
        <v>157</v>
      </c>
      <c r="D7116" t="s">
        <v>14303</v>
      </c>
      <c r="E7116" t="s">
        <v>14304</v>
      </c>
      <c r="G7116" s="1">
        <v>44</v>
      </c>
    </row>
    <row r="7117" spans="1:7" ht="14.25" hidden="1" customHeight="1" x14ac:dyDescent="0.45">
      <c r="A7117" t="str">
        <f>_xlfn.XLOOKUP(B7117,Ingot!$H$12:$H$119,Ingot!$G$12:$G$119,"")</f>
        <v>Stone</v>
      </c>
      <c r="B7117" t="s">
        <v>14116</v>
      </c>
      <c r="C7117" t="s">
        <v>157</v>
      </c>
      <c r="D7117" t="s">
        <v>14305</v>
      </c>
      <c r="E7117" t="s">
        <v>14306</v>
      </c>
      <c r="G7117" s="1">
        <v>8.8000000000000007</v>
      </c>
    </row>
    <row r="7118" spans="1:7" ht="14.25" hidden="1" customHeight="1" x14ac:dyDescent="0.45">
      <c r="A7118" t="str">
        <f>_xlfn.XLOOKUP(B7118,Ingot!$H$12:$H$119,Ingot!$G$12:$G$119,"")</f>
        <v>Stone</v>
      </c>
      <c r="B7118" t="s">
        <v>14116</v>
      </c>
      <c r="C7118" t="s">
        <v>157</v>
      </c>
      <c r="D7118" t="s">
        <v>14307</v>
      </c>
      <c r="E7118" t="s">
        <v>14308</v>
      </c>
      <c r="G7118" s="1">
        <v>8.8000000000000007</v>
      </c>
    </row>
    <row r="7119" spans="1:7" ht="14.25" hidden="1" customHeight="1" x14ac:dyDescent="0.45">
      <c r="A7119" t="str">
        <f>_xlfn.XLOOKUP(B7119,Ingot!$H$12:$H$119,Ingot!$G$12:$G$119,"")</f>
        <v>Stone</v>
      </c>
      <c r="B7119" t="s">
        <v>14116</v>
      </c>
      <c r="C7119" t="s">
        <v>157</v>
      </c>
      <c r="D7119" t="s">
        <v>14309</v>
      </c>
      <c r="E7119" t="s">
        <v>14310</v>
      </c>
      <c r="G7119" s="1">
        <v>5.72</v>
      </c>
    </row>
    <row r="7120" spans="1:7" ht="14.25" hidden="1" customHeight="1" x14ac:dyDescent="0.45">
      <c r="A7120" t="str">
        <f>_xlfn.XLOOKUP(B7120,Ingot!$H$12:$H$119,Ingot!$G$12:$G$119,"")</f>
        <v>Stone</v>
      </c>
      <c r="B7120" t="s">
        <v>14116</v>
      </c>
      <c r="C7120" t="s">
        <v>157</v>
      </c>
      <c r="D7120" t="s">
        <v>14311</v>
      </c>
      <c r="E7120" t="s">
        <v>14312</v>
      </c>
      <c r="G7120" s="1">
        <v>11.44</v>
      </c>
    </row>
    <row r="7121" spans="1:7" ht="14.25" hidden="1" customHeight="1" x14ac:dyDescent="0.45">
      <c r="A7121" t="str">
        <f>_xlfn.XLOOKUP(B7121,Ingot!$H$12:$H$119,Ingot!$G$12:$G$119,"")</f>
        <v>Stone</v>
      </c>
      <c r="B7121" t="s">
        <v>14116</v>
      </c>
      <c r="C7121" t="s">
        <v>157</v>
      </c>
      <c r="D7121" t="s">
        <v>14313</v>
      </c>
      <c r="E7121" t="s">
        <v>14314</v>
      </c>
      <c r="G7121" s="1">
        <v>48.5</v>
      </c>
    </row>
    <row r="7122" spans="1:7" ht="14.25" hidden="1" customHeight="1" x14ac:dyDescent="0.45">
      <c r="A7122" t="str">
        <f>_xlfn.XLOOKUP(B7122,Ingot!$H$12:$H$119,Ingot!$G$12:$G$119,"")</f>
        <v>Stone</v>
      </c>
      <c r="B7122" t="s">
        <v>14116</v>
      </c>
      <c r="C7122" t="s">
        <v>157</v>
      </c>
      <c r="D7122" t="s">
        <v>14315</v>
      </c>
      <c r="E7122" t="s">
        <v>14316</v>
      </c>
      <c r="G7122" s="1">
        <v>9.6999999999999993</v>
      </c>
    </row>
    <row r="7123" spans="1:7" ht="14.25" hidden="1" customHeight="1" x14ac:dyDescent="0.45">
      <c r="A7123" t="str">
        <f>_xlfn.XLOOKUP(B7123,Ingot!$H$12:$H$119,Ingot!$G$12:$G$119,"")</f>
        <v>Stone</v>
      </c>
      <c r="B7123" t="s">
        <v>14116</v>
      </c>
      <c r="C7123" t="s">
        <v>157</v>
      </c>
      <c r="D7123" t="s">
        <v>14317</v>
      </c>
      <c r="E7123" t="s">
        <v>14318</v>
      </c>
      <c r="G7123" s="1">
        <v>9.6999999999999993</v>
      </c>
    </row>
    <row r="7124" spans="1:7" ht="14.25" hidden="1" customHeight="1" x14ac:dyDescent="0.45">
      <c r="A7124" t="str">
        <f>_xlfn.XLOOKUP(B7124,Ingot!$H$12:$H$119,Ingot!$G$12:$G$119,"")</f>
        <v>Stone</v>
      </c>
      <c r="B7124" t="s">
        <v>14116</v>
      </c>
      <c r="C7124" t="s">
        <v>157</v>
      </c>
      <c r="D7124" t="s">
        <v>14319</v>
      </c>
      <c r="E7124" t="s">
        <v>14320</v>
      </c>
      <c r="G7124" s="1">
        <v>6.31</v>
      </c>
    </row>
    <row r="7125" spans="1:7" ht="14.25" hidden="1" customHeight="1" x14ac:dyDescent="0.45">
      <c r="A7125" t="str">
        <f>_xlfn.XLOOKUP(B7125,Ingot!$H$12:$H$119,Ingot!$G$12:$G$119,"")</f>
        <v>Stone</v>
      </c>
      <c r="B7125" t="s">
        <v>14116</v>
      </c>
      <c r="C7125" t="s">
        <v>157</v>
      </c>
      <c r="D7125" t="s">
        <v>14321</v>
      </c>
      <c r="E7125" t="s">
        <v>14322</v>
      </c>
      <c r="G7125" s="1">
        <v>12.61</v>
      </c>
    </row>
    <row r="7126" spans="1:7" ht="14.25" hidden="1" customHeight="1" x14ac:dyDescent="0.45">
      <c r="A7126" t="str">
        <f>_xlfn.XLOOKUP(B7126,Ingot!$H$12:$H$119,Ingot!$G$12:$G$119,"")</f>
        <v>Stone</v>
      </c>
      <c r="B7126" t="s">
        <v>14116</v>
      </c>
      <c r="C7126" t="s">
        <v>157</v>
      </c>
      <c r="D7126" t="s">
        <v>14323</v>
      </c>
      <c r="E7126" t="s">
        <v>14324</v>
      </c>
      <c r="G7126" s="1">
        <v>47</v>
      </c>
    </row>
    <row r="7127" spans="1:7" ht="14.25" hidden="1" customHeight="1" x14ac:dyDescent="0.45">
      <c r="A7127" t="str">
        <f>_xlfn.XLOOKUP(B7127,Ingot!$H$12:$H$119,Ingot!$G$12:$G$119,"")</f>
        <v>Stone</v>
      </c>
      <c r="B7127" t="s">
        <v>14116</v>
      </c>
      <c r="C7127" t="s">
        <v>157</v>
      </c>
      <c r="D7127" t="s">
        <v>14325</v>
      </c>
      <c r="E7127" t="s">
        <v>14326</v>
      </c>
      <c r="G7127" s="1">
        <v>9.4</v>
      </c>
    </row>
    <row r="7128" spans="1:7" ht="14.25" hidden="1" customHeight="1" x14ac:dyDescent="0.45">
      <c r="A7128" t="str">
        <f>_xlfn.XLOOKUP(B7128,Ingot!$H$12:$H$119,Ingot!$G$12:$G$119,"")</f>
        <v>Stone</v>
      </c>
      <c r="B7128" t="s">
        <v>14116</v>
      </c>
      <c r="C7128" t="s">
        <v>157</v>
      </c>
      <c r="D7128" t="s">
        <v>14327</v>
      </c>
      <c r="E7128" t="s">
        <v>14328</v>
      </c>
      <c r="G7128" s="1">
        <v>9.4</v>
      </c>
    </row>
    <row r="7129" spans="1:7" ht="14.25" hidden="1" customHeight="1" x14ac:dyDescent="0.45">
      <c r="A7129" t="str">
        <f>_xlfn.XLOOKUP(B7129,Ingot!$H$12:$H$119,Ingot!$G$12:$G$119,"")</f>
        <v>Stone</v>
      </c>
      <c r="B7129" t="s">
        <v>14116</v>
      </c>
      <c r="C7129" t="s">
        <v>157</v>
      </c>
      <c r="D7129" t="s">
        <v>14329</v>
      </c>
      <c r="E7129" t="s">
        <v>14330</v>
      </c>
      <c r="G7129" s="1">
        <v>6.11</v>
      </c>
    </row>
    <row r="7130" spans="1:7" ht="14.25" hidden="1" customHeight="1" x14ac:dyDescent="0.45">
      <c r="A7130" t="str">
        <f>_xlfn.XLOOKUP(B7130,Ingot!$H$12:$H$119,Ingot!$G$12:$G$119,"")</f>
        <v>Stone</v>
      </c>
      <c r="B7130" t="s">
        <v>14116</v>
      </c>
      <c r="C7130" t="s">
        <v>157</v>
      </c>
      <c r="D7130" t="s">
        <v>14331</v>
      </c>
      <c r="E7130" t="s">
        <v>14332</v>
      </c>
      <c r="G7130" s="1">
        <v>12.22</v>
      </c>
    </row>
    <row r="7131" spans="1:7" ht="14.25" hidden="1" customHeight="1" x14ac:dyDescent="0.45">
      <c r="A7131" t="str">
        <f>_xlfn.XLOOKUP(B7131,Ingot!$H$12:$H$119,Ingot!$G$12:$G$119,"")</f>
        <v>Stone</v>
      </c>
      <c r="B7131" t="s">
        <v>14116</v>
      </c>
      <c r="C7131" t="s">
        <v>157</v>
      </c>
      <c r="D7131" t="s">
        <v>14333</v>
      </c>
      <c r="E7131" t="s">
        <v>14334</v>
      </c>
      <c r="G7131" s="1">
        <v>39.5</v>
      </c>
    </row>
    <row r="7132" spans="1:7" ht="14.25" hidden="1" customHeight="1" x14ac:dyDescent="0.45">
      <c r="A7132" t="str">
        <f>_xlfn.XLOOKUP(B7132,Ingot!$H$12:$H$119,Ingot!$G$12:$G$119,"")</f>
        <v>Stone</v>
      </c>
      <c r="B7132" t="s">
        <v>14116</v>
      </c>
      <c r="C7132" t="s">
        <v>157</v>
      </c>
      <c r="D7132" t="s">
        <v>14335</v>
      </c>
      <c r="E7132" t="s">
        <v>14336</v>
      </c>
      <c r="G7132" s="1">
        <v>7.9</v>
      </c>
    </row>
    <row r="7133" spans="1:7" ht="14.25" hidden="1" customHeight="1" x14ac:dyDescent="0.45">
      <c r="A7133" t="str">
        <f>_xlfn.XLOOKUP(B7133,Ingot!$H$12:$H$119,Ingot!$G$12:$G$119,"")</f>
        <v>Stone</v>
      </c>
      <c r="B7133" t="s">
        <v>14116</v>
      </c>
      <c r="C7133" t="s">
        <v>157</v>
      </c>
      <c r="D7133" t="s">
        <v>14337</v>
      </c>
      <c r="E7133" t="s">
        <v>14338</v>
      </c>
      <c r="G7133" s="1">
        <v>7.9</v>
      </c>
    </row>
    <row r="7134" spans="1:7" ht="14.25" hidden="1" customHeight="1" x14ac:dyDescent="0.45">
      <c r="A7134" t="str">
        <f>_xlfn.XLOOKUP(B7134,Ingot!$H$12:$H$119,Ingot!$G$12:$G$119,"")</f>
        <v>Stone</v>
      </c>
      <c r="B7134" t="s">
        <v>14116</v>
      </c>
      <c r="C7134" t="s">
        <v>157</v>
      </c>
      <c r="D7134" t="s">
        <v>14339</v>
      </c>
      <c r="E7134" t="s">
        <v>14340</v>
      </c>
      <c r="G7134" s="1">
        <v>5.14</v>
      </c>
    </row>
    <row r="7135" spans="1:7" ht="14.25" hidden="1" customHeight="1" x14ac:dyDescent="0.45">
      <c r="A7135" t="str">
        <f>_xlfn.XLOOKUP(B7135,Ingot!$H$12:$H$119,Ingot!$G$12:$G$119,"")</f>
        <v>Stone</v>
      </c>
      <c r="B7135" t="s">
        <v>14116</v>
      </c>
      <c r="C7135" t="s">
        <v>157</v>
      </c>
      <c r="D7135" t="s">
        <v>14341</v>
      </c>
      <c r="E7135" t="s">
        <v>14342</v>
      </c>
      <c r="G7135" s="1">
        <v>10.27</v>
      </c>
    </row>
    <row r="7136" spans="1:7" ht="14.25" hidden="1" customHeight="1" x14ac:dyDescent="0.45">
      <c r="A7136" t="str">
        <f>_xlfn.XLOOKUP(B7136,Ingot!$H$12:$H$119,Ingot!$G$12:$G$119,"")</f>
        <v>Stone</v>
      </c>
      <c r="B7136" t="s">
        <v>14116</v>
      </c>
      <c r="C7136" t="s">
        <v>239</v>
      </c>
      <c r="D7136" t="s">
        <v>14343</v>
      </c>
      <c r="E7136" t="s">
        <v>14344</v>
      </c>
    </row>
    <row r="7137" spans="1:7" ht="14.25" hidden="1" customHeight="1" x14ac:dyDescent="0.45">
      <c r="A7137" t="str">
        <f>_xlfn.XLOOKUP(B7137,Ingot!$H$12:$H$119,Ingot!$G$12:$G$119,"")</f>
        <v>Stone</v>
      </c>
      <c r="B7137" t="s">
        <v>14116</v>
      </c>
      <c r="C7137" t="s">
        <v>239</v>
      </c>
      <c r="D7137" t="s">
        <v>14345</v>
      </c>
      <c r="E7137" t="s">
        <v>14346</v>
      </c>
    </row>
    <row r="7138" spans="1:7" ht="14.25" hidden="1" customHeight="1" x14ac:dyDescent="0.45">
      <c r="A7138" t="str">
        <f>_xlfn.XLOOKUP(B7138,Ingot!$H$12:$H$119,Ingot!$G$12:$G$119,"")</f>
        <v>Stone</v>
      </c>
      <c r="B7138" t="s">
        <v>14116</v>
      </c>
      <c r="C7138" t="s">
        <v>239</v>
      </c>
      <c r="D7138" t="s">
        <v>14347</v>
      </c>
      <c r="E7138" t="s">
        <v>14348</v>
      </c>
    </row>
    <row r="7139" spans="1:7" ht="14.25" hidden="1" customHeight="1" x14ac:dyDescent="0.45">
      <c r="A7139" t="str">
        <f>_xlfn.XLOOKUP(B7139,Ingot!$H$12:$H$119,Ingot!$G$12:$G$119,"")</f>
        <v>Stone</v>
      </c>
      <c r="B7139" t="s">
        <v>14116</v>
      </c>
      <c r="C7139" t="s">
        <v>239</v>
      </c>
      <c r="D7139" t="s">
        <v>14349</v>
      </c>
      <c r="E7139" t="s">
        <v>14350</v>
      </c>
    </row>
    <row r="7140" spans="1:7" ht="14.25" hidden="1" customHeight="1" x14ac:dyDescent="0.45">
      <c r="A7140" t="str">
        <f>_xlfn.XLOOKUP(B7140,Ingot!$H$12:$H$119,Ingot!$G$12:$G$119,"")</f>
        <v>Stone</v>
      </c>
      <c r="B7140" t="s">
        <v>14116</v>
      </c>
      <c r="C7140" t="s">
        <v>239</v>
      </c>
      <c r="D7140" t="s">
        <v>14351</v>
      </c>
      <c r="E7140" t="s">
        <v>14352</v>
      </c>
    </row>
    <row r="7141" spans="1:7" ht="14.25" hidden="1" customHeight="1" x14ac:dyDescent="0.45">
      <c r="A7141" t="str">
        <f>_xlfn.XLOOKUP(B7141,Ingot!$H$12:$H$119,Ingot!$G$12:$G$119,"")</f>
        <v>Stone</v>
      </c>
      <c r="B7141" t="s">
        <v>14116</v>
      </c>
      <c r="C7141" t="s">
        <v>239</v>
      </c>
      <c r="D7141" t="s">
        <v>14353</v>
      </c>
      <c r="E7141" t="s">
        <v>14354</v>
      </c>
    </row>
    <row r="7142" spans="1:7" ht="14.25" hidden="1" customHeight="1" x14ac:dyDescent="0.45">
      <c r="A7142" t="str">
        <f>_xlfn.XLOOKUP(B7142,Ingot!$H$12:$H$119,Ingot!$G$12:$G$119,"")</f>
        <v>Stone</v>
      </c>
      <c r="B7142" t="s">
        <v>14355</v>
      </c>
      <c r="C7142" t="s">
        <v>10</v>
      </c>
      <c r="D7142" t="s">
        <v>14356</v>
      </c>
      <c r="E7142" t="s">
        <v>14357</v>
      </c>
      <c r="G7142" s="1">
        <v>0.08</v>
      </c>
    </row>
    <row r="7143" spans="1:7" ht="14.25" hidden="1" customHeight="1" x14ac:dyDescent="0.45">
      <c r="A7143" t="str">
        <f>_xlfn.XLOOKUP(B7143,Ingot!$H$12:$H$119,Ingot!$G$12:$G$119,"")</f>
        <v>Stone</v>
      </c>
      <c r="B7143" t="s">
        <v>14355</v>
      </c>
      <c r="C7143" t="s">
        <v>10</v>
      </c>
      <c r="D7143" t="s">
        <v>14358</v>
      </c>
      <c r="E7143" t="s">
        <v>14359</v>
      </c>
      <c r="G7143" s="1">
        <v>9.9</v>
      </c>
    </row>
    <row r="7144" spans="1:7" ht="14.25" hidden="1" customHeight="1" x14ac:dyDescent="0.45">
      <c r="A7144" t="str">
        <f>_xlfn.XLOOKUP(B7144,Ingot!$H$12:$H$119,Ingot!$G$12:$G$119,"")</f>
        <v>Stone</v>
      </c>
      <c r="B7144" t="s">
        <v>14355</v>
      </c>
      <c r="C7144" t="s">
        <v>10</v>
      </c>
      <c r="D7144" t="s">
        <v>14360</v>
      </c>
      <c r="E7144" t="s">
        <v>14361</v>
      </c>
      <c r="G7144" s="1">
        <v>5.66</v>
      </c>
    </row>
    <row r="7145" spans="1:7" ht="14.25" hidden="1" customHeight="1" x14ac:dyDescent="0.45">
      <c r="A7145" t="str">
        <f>_xlfn.XLOOKUP(B7145,Ingot!$H$12:$H$119,Ingot!$G$12:$G$119,"")</f>
        <v>Stone</v>
      </c>
      <c r="B7145" t="s">
        <v>14355</v>
      </c>
      <c r="C7145" t="s">
        <v>10</v>
      </c>
      <c r="D7145" t="s">
        <v>14362</v>
      </c>
      <c r="E7145" t="s">
        <v>14363</v>
      </c>
      <c r="G7145" s="1">
        <v>3.3</v>
      </c>
    </row>
    <row r="7146" spans="1:7" ht="14.25" hidden="1" customHeight="1" x14ac:dyDescent="0.45">
      <c r="A7146" t="str">
        <f>_xlfn.XLOOKUP(B7146,Ingot!$H$12:$H$119,Ingot!$G$12:$G$119,"")</f>
        <v>Stone</v>
      </c>
      <c r="B7146" t="s">
        <v>14355</v>
      </c>
      <c r="C7146" t="s">
        <v>10</v>
      </c>
      <c r="D7146" t="s">
        <v>14364</v>
      </c>
      <c r="E7146" t="s">
        <v>14365</v>
      </c>
      <c r="G7146" s="1">
        <v>0.66</v>
      </c>
    </row>
    <row r="7147" spans="1:7" ht="14.25" hidden="1" customHeight="1" x14ac:dyDescent="0.45">
      <c r="A7147" t="str">
        <f>_xlfn.XLOOKUP(B7147,Ingot!$H$12:$H$119,Ingot!$G$12:$G$119,"")</f>
        <v>Stone</v>
      </c>
      <c r="B7147" t="s">
        <v>14355</v>
      </c>
      <c r="C7147" t="s">
        <v>10</v>
      </c>
      <c r="D7147" t="s">
        <v>14366</v>
      </c>
      <c r="E7147" t="s">
        <v>14367</v>
      </c>
      <c r="G7147" s="1">
        <v>0.04</v>
      </c>
    </row>
    <row r="7148" spans="1:7" ht="14.25" hidden="1" customHeight="1" x14ac:dyDescent="0.45">
      <c r="A7148" t="str">
        <f>_xlfn.XLOOKUP(B7148,Ingot!$H$12:$H$119,Ingot!$G$12:$G$119,"")</f>
        <v>Stone</v>
      </c>
      <c r="B7148" t="s">
        <v>14355</v>
      </c>
      <c r="C7148" t="s">
        <v>10</v>
      </c>
      <c r="D7148" t="s">
        <v>14368</v>
      </c>
      <c r="E7148" t="s">
        <v>14369</v>
      </c>
      <c r="G7148" s="1">
        <v>0.33</v>
      </c>
    </row>
    <row r="7149" spans="1:7" ht="14.25" hidden="1" customHeight="1" x14ac:dyDescent="0.45">
      <c r="A7149" t="str">
        <f>_xlfn.XLOOKUP(B7149,Ingot!$H$12:$H$119,Ingot!$G$12:$G$119,"")</f>
        <v>Stone</v>
      </c>
      <c r="B7149" t="s">
        <v>14355</v>
      </c>
      <c r="C7149" t="s">
        <v>10</v>
      </c>
      <c r="D7149" t="s">
        <v>14370</v>
      </c>
      <c r="E7149" t="s">
        <v>14371</v>
      </c>
    </row>
    <row r="7150" spans="1:7" ht="14.25" hidden="1" customHeight="1" x14ac:dyDescent="0.45">
      <c r="A7150" t="str">
        <f>_xlfn.XLOOKUP(B7150,Ingot!$H$12:$H$119,Ingot!$G$12:$G$119,"")</f>
        <v>Stone</v>
      </c>
      <c r="B7150" t="s">
        <v>14355</v>
      </c>
      <c r="C7150" t="s">
        <v>10</v>
      </c>
      <c r="D7150" t="s">
        <v>14372</v>
      </c>
      <c r="E7150" t="s">
        <v>14373</v>
      </c>
      <c r="G7150" s="1">
        <v>0.05</v>
      </c>
    </row>
    <row r="7151" spans="1:7" ht="14.25" hidden="1" customHeight="1" x14ac:dyDescent="0.45">
      <c r="A7151" t="str">
        <f>_xlfn.XLOOKUP(B7151,Ingot!$H$12:$H$119,Ingot!$G$12:$G$119,"")</f>
        <v>Stone</v>
      </c>
      <c r="B7151" t="s">
        <v>14355</v>
      </c>
      <c r="C7151" t="s">
        <v>10</v>
      </c>
      <c r="D7151" t="s">
        <v>14374</v>
      </c>
      <c r="E7151" t="s">
        <v>14375</v>
      </c>
      <c r="G7151" s="1">
        <v>0.66</v>
      </c>
    </row>
    <row r="7152" spans="1:7" ht="14.25" hidden="1" customHeight="1" x14ac:dyDescent="0.45">
      <c r="A7152" t="str">
        <f>_xlfn.XLOOKUP(B7152,Ingot!$H$12:$H$119,Ingot!$G$12:$G$119,"")</f>
        <v>Stone</v>
      </c>
      <c r="B7152" t="s">
        <v>14355</v>
      </c>
      <c r="C7152" t="s">
        <v>10</v>
      </c>
      <c r="D7152" t="s">
        <v>14376</v>
      </c>
      <c r="E7152" t="s">
        <v>14377</v>
      </c>
      <c r="G7152" s="1">
        <v>3.96</v>
      </c>
    </row>
    <row r="7153" spans="1:7" ht="14.25" hidden="1" customHeight="1" x14ac:dyDescent="0.45">
      <c r="A7153" t="str">
        <f>_xlfn.XLOOKUP(B7153,Ingot!$H$12:$H$119,Ingot!$G$12:$G$119,"")</f>
        <v>Stone</v>
      </c>
      <c r="B7153" t="s">
        <v>14355</v>
      </c>
      <c r="C7153" t="s">
        <v>10</v>
      </c>
      <c r="D7153" t="s">
        <v>14378</v>
      </c>
      <c r="E7153" t="s">
        <v>14379</v>
      </c>
      <c r="G7153" s="1">
        <v>8.77</v>
      </c>
    </row>
    <row r="7154" spans="1:7" ht="14.25" hidden="1" customHeight="1" x14ac:dyDescent="0.45">
      <c r="A7154" t="str">
        <f>_xlfn.XLOOKUP(B7154,Ingot!$H$12:$H$119,Ingot!$G$12:$G$119,"")</f>
        <v>Stone</v>
      </c>
      <c r="B7154" t="s">
        <v>14355</v>
      </c>
      <c r="C7154" t="s">
        <v>10</v>
      </c>
      <c r="D7154" t="s">
        <v>14380</v>
      </c>
      <c r="E7154" t="s">
        <v>14381</v>
      </c>
      <c r="G7154" s="1">
        <v>3.5</v>
      </c>
    </row>
    <row r="7155" spans="1:7" ht="14.25" hidden="1" customHeight="1" x14ac:dyDescent="0.45">
      <c r="A7155" t="str">
        <f>_xlfn.XLOOKUP(B7155,Ingot!$H$12:$H$119,Ingot!$G$12:$G$119,"")</f>
        <v>Stone</v>
      </c>
      <c r="B7155" t="s">
        <v>14355</v>
      </c>
      <c r="C7155" t="s">
        <v>10</v>
      </c>
      <c r="D7155" t="s">
        <v>14382</v>
      </c>
      <c r="E7155" t="s">
        <v>14383</v>
      </c>
    </row>
    <row r="7156" spans="1:7" ht="14.25" hidden="1" customHeight="1" x14ac:dyDescent="0.45">
      <c r="A7156" t="str">
        <f>_xlfn.XLOOKUP(B7156,Ingot!$H$12:$H$119,Ingot!$G$12:$G$119,"")</f>
        <v>Stone</v>
      </c>
      <c r="B7156" t="s">
        <v>14355</v>
      </c>
      <c r="C7156" t="s">
        <v>10</v>
      </c>
      <c r="D7156" t="s">
        <v>14384</v>
      </c>
      <c r="E7156" t="s">
        <v>14385</v>
      </c>
      <c r="G7156" s="1">
        <v>2.2000000000000002</v>
      </c>
    </row>
    <row r="7157" spans="1:7" ht="14.25" hidden="1" customHeight="1" x14ac:dyDescent="0.45">
      <c r="A7157" t="str">
        <f>_xlfn.XLOOKUP(B7157,Ingot!$H$12:$H$119,Ingot!$G$12:$G$119,"")</f>
        <v>Stone</v>
      </c>
      <c r="B7157" t="s">
        <v>14355</v>
      </c>
      <c r="C7157" t="s">
        <v>10</v>
      </c>
      <c r="D7157" t="s">
        <v>14386</v>
      </c>
      <c r="E7157" t="s">
        <v>14387</v>
      </c>
      <c r="G7157" s="1">
        <v>1.1000000000000001</v>
      </c>
    </row>
    <row r="7158" spans="1:7" ht="14.25" hidden="1" customHeight="1" x14ac:dyDescent="0.45">
      <c r="A7158" t="str">
        <f>_xlfn.XLOOKUP(B7158,Ingot!$H$12:$H$119,Ingot!$G$12:$G$119,"")</f>
        <v>Stone</v>
      </c>
      <c r="B7158" t="s">
        <v>14355</v>
      </c>
      <c r="C7158" t="s">
        <v>10</v>
      </c>
      <c r="D7158" t="s">
        <v>14388</v>
      </c>
      <c r="E7158" t="s">
        <v>14389</v>
      </c>
      <c r="G7158" s="1">
        <v>0.22</v>
      </c>
    </row>
    <row r="7159" spans="1:7" ht="14.25" hidden="1" customHeight="1" x14ac:dyDescent="0.45">
      <c r="A7159" t="str">
        <f>_xlfn.XLOOKUP(B7159,Ingot!$H$12:$H$119,Ingot!$G$12:$G$119,"")</f>
        <v>Stone</v>
      </c>
      <c r="B7159" t="s">
        <v>14355</v>
      </c>
      <c r="C7159" t="s">
        <v>10</v>
      </c>
      <c r="D7159" t="s">
        <v>14390</v>
      </c>
      <c r="E7159" t="s">
        <v>14391</v>
      </c>
      <c r="G7159" s="1">
        <v>8.41</v>
      </c>
    </row>
    <row r="7160" spans="1:7" ht="14.25" hidden="1" customHeight="1" x14ac:dyDescent="0.45">
      <c r="A7160" t="str">
        <f>_xlfn.XLOOKUP(B7160,Ingot!$H$12:$H$119,Ingot!$G$12:$G$119,"")</f>
        <v>Stone</v>
      </c>
      <c r="B7160" t="s">
        <v>14355</v>
      </c>
      <c r="C7160" t="s">
        <v>10</v>
      </c>
      <c r="D7160" t="s">
        <v>14392</v>
      </c>
      <c r="E7160" t="s">
        <v>14393</v>
      </c>
      <c r="G7160" s="1">
        <v>3.64</v>
      </c>
    </row>
    <row r="7161" spans="1:7" ht="14.25" hidden="1" customHeight="1" x14ac:dyDescent="0.45">
      <c r="A7161" t="str">
        <f>_xlfn.XLOOKUP(B7161,Ingot!$H$12:$H$119,Ingot!$G$12:$G$119,"")</f>
        <v>Stone</v>
      </c>
      <c r="B7161" t="s">
        <v>14355</v>
      </c>
      <c r="C7161" t="s">
        <v>10</v>
      </c>
      <c r="D7161" t="s">
        <v>14394</v>
      </c>
      <c r="E7161" t="s">
        <v>14395</v>
      </c>
      <c r="G7161" s="1">
        <v>7.05</v>
      </c>
    </row>
    <row r="7162" spans="1:7" ht="14.25" hidden="1" customHeight="1" x14ac:dyDescent="0.45">
      <c r="A7162" t="str">
        <f>_xlfn.XLOOKUP(B7162,Ingot!$H$12:$H$119,Ingot!$G$12:$G$119,"")</f>
        <v>Stone</v>
      </c>
      <c r="B7162" t="s">
        <v>14355</v>
      </c>
      <c r="C7162" t="s">
        <v>10</v>
      </c>
      <c r="D7162" t="s">
        <v>14396</v>
      </c>
      <c r="E7162" t="s">
        <v>14397</v>
      </c>
      <c r="G7162" s="1">
        <v>2.65</v>
      </c>
    </row>
    <row r="7163" spans="1:7" ht="14.25" hidden="1" customHeight="1" x14ac:dyDescent="0.45">
      <c r="A7163" t="str">
        <f>_xlfn.XLOOKUP(B7163,Ingot!$H$12:$H$119,Ingot!$G$12:$G$119,"")</f>
        <v>Stone</v>
      </c>
      <c r="B7163" t="s">
        <v>14355</v>
      </c>
      <c r="C7163" t="s">
        <v>10</v>
      </c>
      <c r="D7163" t="s">
        <v>14398</v>
      </c>
      <c r="E7163" t="s">
        <v>14399</v>
      </c>
      <c r="G7163" s="1">
        <v>9</v>
      </c>
    </row>
    <row r="7164" spans="1:7" ht="14.25" hidden="1" customHeight="1" x14ac:dyDescent="0.45">
      <c r="A7164" t="str">
        <f>_xlfn.XLOOKUP(B7164,Ingot!$H$12:$H$119,Ingot!$G$12:$G$119,"")</f>
        <v>Stone</v>
      </c>
      <c r="B7164" t="s">
        <v>14355</v>
      </c>
      <c r="C7164" t="s">
        <v>10</v>
      </c>
      <c r="D7164" t="s">
        <v>14400</v>
      </c>
      <c r="E7164" t="s">
        <v>14401</v>
      </c>
      <c r="G7164" s="1">
        <v>10.23</v>
      </c>
    </row>
    <row r="7165" spans="1:7" ht="14.25" hidden="1" customHeight="1" x14ac:dyDescent="0.45">
      <c r="A7165" t="str">
        <f>_xlfn.XLOOKUP(B7165,Ingot!$H$12:$H$119,Ingot!$G$12:$G$119,"")</f>
        <v>Stone</v>
      </c>
      <c r="B7165" t="s">
        <v>14355</v>
      </c>
      <c r="C7165" t="s">
        <v>10</v>
      </c>
      <c r="D7165" t="s">
        <v>14402</v>
      </c>
      <c r="E7165" t="s">
        <v>14403</v>
      </c>
      <c r="G7165" s="1">
        <v>7.7</v>
      </c>
    </row>
    <row r="7166" spans="1:7" ht="14.25" hidden="1" customHeight="1" x14ac:dyDescent="0.45">
      <c r="A7166" t="str">
        <f>_xlfn.XLOOKUP(B7166,Ingot!$H$12:$H$119,Ingot!$G$12:$G$119,"")</f>
        <v>Stone</v>
      </c>
      <c r="B7166" t="s">
        <v>14355</v>
      </c>
      <c r="C7166" t="s">
        <v>10</v>
      </c>
      <c r="D7166" t="s">
        <v>14404</v>
      </c>
      <c r="E7166" t="s">
        <v>14405</v>
      </c>
      <c r="G7166" s="1">
        <v>10.02</v>
      </c>
    </row>
    <row r="7167" spans="1:7" ht="14.25" hidden="1" customHeight="1" x14ac:dyDescent="0.45">
      <c r="A7167" t="str">
        <f>_xlfn.XLOOKUP(B7167,Ingot!$H$12:$H$119,Ingot!$G$12:$G$119,"")</f>
        <v>Stone</v>
      </c>
      <c r="B7167" t="s">
        <v>14355</v>
      </c>
      <c r="C7167" t="s">
        <v>10</v>
      </c>
      <c r="D7167" t="s">
        <v>14406</v>
      </c>
      <c r="E7167" t="s">
        <v>14407</v>
      </c>
      <c r="G7167" s="1">
        <v>11.81</v>
      </c>
    </row>
    <row r="7168" spans="1:7" ht="14.25" hidden="1" customHeight="1" x14ac:dyDescent="0.45">
      <c r="A7168" t="str">
        <f>_xlfn.XLOOKUP(B7168,Ingot!$H$12:$H$119,Ingot!$G$12:$G$119,"")</f>
        <v>Stone</v>
      </c>
      <c r="B7168" t="s">
        <v>14355</v>
      </c>
      <c r="C7168" t="s">
        <v>10</v>
      </c>
      <c r="D7168" t="s">
        <v>14408</v>
      </c>
      <c r="E7168" t="s">
        <v>14409</v>
      </c>
      <c r="G7168" s="1">
        <v>8.44</v>
      </c>
    </row>
    <row r="7169" spans="1:7" ht="14.25" hidden="1" customHeight="1" x14ac:dyDescent="0.45">
      <c r="A7169" t="str">
        <f>_xlfn.XLOOKUP(B7169,Ingot!$H$12:$H$119,Ingot!$G$12:$G$119,"")</f>
        <v>Stone</v>
      </c>
      <c r="B7169" t="s">
        <v>14355</v>
      </c>
      <c r="C7169" t="s">
        <v>10</v>
      </c>
      <c r="D7169" t="s">
        <v>14410</v>
      </c>
      <c r="E7169" t="s">
        <v>14411</v>
      </c>
      <c r="G7169" s="1">
        <v>10.42</v>
      </c>
    </row>
    <row r="7170" spans="1:7" ht="14.25" hidden="1" customHeight="1" x14ac:dyDescent="0.45">
      <c r="A7170" t="str">
        <f>_xlfn.XLOOKUP(B7170,Ingot!$H$12:$H$119,Ingot!$G$12:$G$119,"")</f>
        <v>Stone</v>
      </c>
      <c r="B7170" t="s">
        <v>14355</v>
      </c>
      <c r="C7170" t="s">
        <v>10</v>
      </c>
      <c r="D7170" t="s">
        <v>14412</v>
      </c>
      <c r="E7170" t="s">
        <v>14413</v>
      </c>
    </row>
    <row r="7171" spans="1:7" ht="14.25" hidden="1" customHeight="1" x14ac:dyDescent="0.45">
      <c r="A7171" t="str">
        <f>_xlfn.XLOOKUP(B7171,Ingot!$H$12:$H$119,Ingot!$G$12:$G$119,"")</f>
        <v>Stone</v>
      </c>
      <c r="B7171" t="s">
        <v>14355</v>
      </c>
      <c r="C7171" t="s">
        <v>10</v>
      </c>
      <c r="D7171" t="s">
        <v>14414</v>
      </c>
      <c r="E7171" t="s">
        <v>14415</v>
      </c>
      <c r="G7171" s="1">
        <v>7.96</v>
      </c>
    </row>
    <row r="7172" spans="1:7" ht="14.25" hidden="1" customHeight="1" x14ac:dyDescent="0.45">
      <c r="A7172" t="str">
        <f>_xlfn.XLOOKUP(B7172,Ingot!$H$12:$H$119,Ingot!$G$12:$G$119,"")</f>
        <v>Stone</v>
      </c>
      <c r="B7172" t="s">
        <v>14355</v>
      </c>
      <c r="C7172" t="s">
        <v>10</v>
      </c>
      <c r="D7172" t="s">
        <v>14416</v>
      </c>
      <c r="E7172" t="s">
        <v>14417</v>
      </c>
      <c r="G7172" s="1">
        <v>9.64</v>
      </c>
    </row>
    <row r="7173" spans="1:7" ht="14.25" hidden="1" customHeight="1" x14ac:dyDescent="0.45">
      <c r="A7173" t="str">
        <f>_xlfn.XLOOKUP(B7173,Ingot!$H$12:$H$119,Ingot!$G$12:$G$119,"")</f>
        <v>Stone</v>
      </c>
      <c r="B7173" t="s">
        <v>14355</v>
      </c>
      <c r="C7173" t="s">
        <v>10</v>
      </c>
      <c r="D7173" t="s">
        <v>14418</v>
      </c>
      <c r="E7173" t="s">
        <v>14419</v>
      </c>
      <c r="G7173" s="1">
        <v>7.94</v>
      </c>
    </row>
    <row r="7174" spans="1:7" ht="14.25" hidden="1" customHeight="1" x14ac:dyDescent="0.45">
      <c r="A7174" t="str">
        <f>_xlfn.XLOOKUP(B7174,Ingot!$H$12:$H$119,Ingot!$G$12:$G$119,"")</f>
        <v>Stone</v>
      </c>
      <c r="B7174" t="s">
        <v>14355</v>
      </c>
      <c r="C7174" t="s">
        <v>10</v>
      </c>
      <c r="D7174" t="s">
        <v>14420</v>
      </c>
      <c r="E7174" t="s">
        <v>14421</v>
      </c>
      <c r="G7174" s="1">
        <v>8.66</v>
      </c>
    </row>
    <row r="7175" spans="1:7" ht="14.25" hidden="1" customHeight="1" x14ac:dyDescent="0.45">
      <c r="A7175" t="str">
        <f>_xlfn.XLOOKUP(B7175,Ingot!$H$12:$H$119,Ingot!$G$12:$G$119,"")</f>
        <v>Stone</v>
      </c>
      <c r="B7175" t="s">
        <v>14355</v>
      </c>
      <c r="C7175" t="s">
        <v>10</v>
      </c>
      <c r="D7175" t="s">
        <v>14422</v>
      </c>
      <c r="E7175" t="s">
        <v>14423</v>
      </c>
    </row>
    <row r="7176" spans="1:7" ht="14.25" hidden="1" customHeight="1" x14ac:dyDescent="0.45">
      <c r="A7176" t="str">
        <f>_xlfn.XLOOKUP(B7176,Ingot!$H$12:$H$119,Ingot!$G$12:$G$119,"")</f>
        <v>Stone</v>
      </c>
      <c r="B7176" t="s">
        <v>14355</v>
      </c>
      <c r="C7176" t="s">
        <v>10</v>
      </c>
      <c r="D7176" t="s">
        <v>14424</v>
      </c>
      <c r="E7176" t="s">
        <v>14425</v>
      </c>
      <c r="G7176" s="1">
        <v>2.65</v>
      </c>
    </row>
    <row r="7177" spans="1:7" ht="14.25" hidden="1" customHeight="1" x14ac:dyDescent="0.45">
      <c r="A7177" t="str">
        <f>_xlfn.XLOOKUP(B7177,Ingot!$H$12:$H$119,Ingot!$G$12:$G$119,"")</f>
        <v>Stone</v>
      </c>
      <c r="B7177" t="s">
        <v>14355</v>
      </c>
      <c r="C7177" t="s">
        <v>10</v>
      </c>
      <c r="D7177" t="s">
        <v>14426</v>
      </c>
      <c r="E7177" t="s">
        <v>14427</v>
      </c>
    </row>
    <row r="7178" spans="1:7" ht="14.25" hidden="1" customHeight="1" x14ac:dyDescent="0.45">
      <c r="A7178" t="str">
        <f>_xlfn.XLOOKUP(B7178,Ingot!$H$12:$H$119,Ingot!$G$12:$G$119,"")</f>
        <v>Stone</v>
      </c>
      <c r="B7178" t="s">
        <v>14355</v>
      </c>
      <c r="C7178" t="s">
        <v>10</v>
      </c>
      <c r="D7178" t="s">
        <v>14428</v>
      </c>
      <c r="E7178" t="s">
        <v>14429</v>
      </c>
      <c r="G7178" s="1">
        <v>12.64</v>
      </c>
    </row>
    <row r="7179" spans="1:7" ht="14.25" hidden="1" customHeight="1" x14ac:dyDescent="0.45">
      <c r="A7179" t="str">
        <f>_xlfn.XLOOKUP(B7179,Ingot!$H$12:$H$119,Ingot!$G$12:$G$119,"")</f>
        <v>Stone</v>
      </c>
      <c r="B7179" t="s">
        <v>14355</v>
      </c>
      <c r="C7179" t="s">
        <v>10</v>
      </c>
      <c r="D7179" t="s">
        <v>14430</v>
      </c>
      <c r="E7179" t="s">
        <v>14431</v>
      </c>
      <c r="G7179" s="1">
        <v>22.67</v>
      </c>
    </row>
    <row r="7180" spans="1:7" ht="14.25" hidden="1" customHeight="1" x14ac:dyDescent="0.45">
      <c r="A7180" t="str">
        <f>_xlfn.XLOOKUP(B7180,Ingot!$H$12:$H$119,Ingot!$G$12:$G$119,"")</f>
        <v>Stone</v>
      </c>
      <c r="B7180" t="s">
        <v>14355</v>
      </c>
      <c r="C7180" t="s">
        <v>10</v>
      </c>
      <c r="D7180" t="s">
        <v>14432</v>
      </c>
      <c r="E7180" t="s">
        <v>14433</v>
      </c>
      <c r="G7180" s="1">
        <v>8.3800000000000008</v>
      </c>
    </row>
    <row r="7181" spans="1:7" ht="14.25" hidden="1" customHeight="1" x14ac:dyDescent="0.45">
      <c r="A7181" t="str">
        <f>_xlfn.XLOOKUP(B7181,Ingot!$H$12:$H$119,Ingot!$G$12:$G$119,"")</f>
        <v>Stone</v>
      </c>
      <c r="B7181" t="s">
        <v>14355</v>
      </c>
      <c r="C7181" t="s">
        <v>10</v>
      </c>
      <c r="D7181" t="s">
        <v>14434</v>
      </c>
      <c r="E7181" t="s">
        <v>14435</v>
      </c>
      <c r="G7181" s="1">
        <v>2.2000000000000002</v>
      </c>
    </row>
    <row r="7182" spans="1:7" ht="14.25" hidden="1" customHeight="1" x14ac:dyDescent="0.45">
      <c r="A7182" t="str">
        <f>_xlfn.XLOOKUP(B7182,Ingot!$H$12:$H$119,Ingot!$G$12:$G$119,"")</f>
        <v>Stone</v>
      </c>
      <c r="B7182" t="s">
        <v>14355</v>
      </c>
      <c r="C7182" t="s">
        <v>10</v>
      </c>
      <c r="D7182" t="s">
        <v>14436</v>
      </c>
      <c r="E7182" t="s">
        <v>14437</v>
      </c>
      <c r="G7182" s="1">
        <v>3.09</v>
      </c>
    </row>
    <row r="7183" spans="1:7" ht="14.25" hidden="1" customHeight="1" x14ac:dyDescent="0.45">
      <c r="A7183" t="str">
        <f>_xlfn.XLOOKUP(B7183,Ingot!$H$12:$H$119,Ingot!$G$12:$G$119,"")</f>
        <v>Stone</v>
      </c>
      <c r="B7183" t="s">
        <v>14355</v>
      </c>
      <c r="C7183" t="s">
        <v>10</v>
      </c>
      <c r="D7183" t="s">
        <v>14438</v>
      </c>
      <c r="E7183" t="s">
        <v>14439</v>
      </c>
      <c r="G7183" s="1">
        <v>2.2999999999999998</v>
      </c>
    </row>
    <row r="7184" spans="1:7" ht="14.25" hidden="1" customHeight="1" x14ac:dyDescent="0.45">
      <c r="A7184" t="str">
        <f>_xlfn.XLOOKUP(B7184,Ingot!$H$12:$H$119,Ingot!$G$12:$G$119,"")</f>
        <v>Stone</v>
      </c>
      <c r="B7184" t="s">
        <v>14355</v>
      </c>
      <c r="C7184" t="s">
        <v>10</v>
      </c>
      <c r="D7184" t="s">
        <v>14440</v>
      </c>
      <c r="E7184" t="s">
        <v>14441</v>
      </c>
      <c r="G7184" s="1">
        <v>4.88</v>
      </c>
    </row>
    <row r="7185" spans="1:7" ht="14.25" hidden="1" customHeight="1" x14ac:dyDescent="0.45">
      <c r="A7185" t="str">
        <f>_xlfn.XLOOKUP(B7185,Ingot!$H$12:$H$119,Ingot!$G$12:$G$119,"")</f>
        <v>Stone</v>
      </c>
      <c r="B7185" t="s">
        <v>14355</v>
      </c>
      <c r="C7185" t="s">
        <v>10</v>
      </c>
      <c r="D7185" t="s">
        <v>14442</v>
      </c>
      <c r="E7185" t="s">
        <v>14443</v>
      </c>
      <c r="G7185" s="1">
        <v>8.43</v>
      </c>
    </row>
    <row r="7186" spans="1:7" ht="14.25" hidden="1" customHeight="1" x14ac:dyDescent="0.45">
      <c r="A7186" t="str">
        <f>_xlfn.XLOOKUP(B7186,Ingot!$H$12:$H$119,Ingot!$G$12:$G$119,"")</f>
        <v>Stone</v>
      </c>
      <c r="B7186" t="s">
        <v>14355</v>
      </c>
      <c r="C7186" t="s">
        <v>10</v>
      </c>
      <c r="D7186" t="s">
        <v>14444</v>
      </c>
      <c r="E7186" t="s">
        <v>14445</v>
      </c>
      <c r="G7186" s="1">
        <v>13.07</v>
      </c>
    </row>
    <row r="7187" spans="1:7" ht="14.25" hidden="1" customHeight="1" x14ac:dyDescent="0.45">
      <c r="A7187" t="str">
        <f>_xlfn.XLOOKUP(B7187,Ingot!$H$12:$H$119,Ingot!$G$12:$G$119,"")</f>
        <v>Stone</v>
      </c>
      <c r="B7187" t="s">
        <v>14355</v>
      </c>
      <c r="C7187" t="s">
        <v>10</v>
      </c>
      <c r="D7187" t="s">
        <v>14446</v>
      </c>
      <c r="E7187" t="s">
        <v>14447</v>
      </c>
    </row>
    <row r="7188" spans="1:7" ht="14.25" hidden="1" customHeight="1" x14ac:dyDescent="0.45">
      <c r="A7188" t="str">
        <f>_xlfn.XLOOKUP(B7188,Ingot!$H$12:$H$119,Ingot!$G$12:$G$119,"")</f>
        <v>Stone</v>
      </c>
      <c r="B7188" t="s">
        <v>14355</v>
      </c>
      <c r="C7188" t="s">
        <v>10</v>
      </c>
      <c r="D7188" t="s">
        <v>14448</v>
      </c>
      <c r="E7188" t="s">
        <v>14449</v>
      </c>
    </row>
    <row r="7189" spans="1:7" ht="14.25" hidden="1" customHeight="1" x14ac:dyDescent="0.45">
      <c r="A7189" t="str">
        <f>_xlfn.XLOOKUP(B7189,Ingot!$H$12:$H$119,Ingot!$G$12:$G$119,"")</f>
        <v>Stone</v>
      </c>
      <c r="B7189" t="s">
        <v>14355</v>
      </c>
      <c r="C7189" t="s">
        <v>10</v>
      </c>
      <c r="D7189" t="s">
        <v>14450</v>
      </c>
      <c r="E7189" t="s">
        <v>14451</v>
      </c>
      <c r="G7189" s="1">
        <v>6.8</v>
      </c>
    </row>
    <row r="7190" spans="1:7" ht="14.25" hidden="1" customHeight="1" x14ac:dyDescent="0.45">
      <c r="A7190" t="str">
        <f>_xlfn.XLOOKUP(B7190,Ingot!$H$12:$H$119,Ingot!$G$12:$G$119,"")</f>
        <v>Stone</v>
      </c>
      <c r="B7190" t="s">
        <v>14355</v>
      </c>
      <c r="C7190" t="s">
        <v>10</v>
      </c>
      <c r="D7190" t="s">
        <v>14452</v>
      </c>
      <c r="E7190" t="s">
        <v>14453</v>
      </c>
      <c r="G7190" s="1">
        <v>6.88</v>
      </c>
    </row>
    <row r="7191" spans="1:7" ht="14.25" hidden="1" customHeight="1" x14ac:dyDescent="0.45">
      <c r="A7191" t="str">
        <f>_xlfn.XLOOKUP(B7191,Ingot!$H$12:$H$119,Ingot!$G$12:$G$119,"")</f>
        <v>Stone</v>
      </c>
      <c r="B7191" t="s">
        <v>14355</v>
      </c>
      <c r="C7191" t="s">
        <v>10</v>
      </c>
      <c r="D7191" t="s">
        <v>14454</v>
      </c>
      <c r="E7191" t="s">
        <v>14455</v>
      </c>
      <c r="G7191" s="1">
        <v>5.5</v>
      </c>
    </row>
    <row r="7192" spans="1:7" ht="14.25" hidden="1" customHeight="1" x14ac:dyDescent="0.45">
      <c r="A7192" t="str">
        <f>_xlfn.XLOOKUP(B7192,Ingot!$H$12:$H$119,Ingot!$G$12:$G$119,"")</f>
        <v>Stone</v>
      </c>
      <c r="B7192" t="s">
        <v>14355</v>
      </c>
      <c r="C7192" t="s">
        <v>10</v>
      </c>
      <c r="D7192" t="s">
        <v>14456</v>
      </c>
      <c r="E7192" t="s">
        <v>14457</v>
      </c>
      <c r="G7192" s="1">
        <v>2.4300000000000002</v>
      </c>
    </row>
    <row r="7193" spans="1:7" ht="14.25" hidden="1" customHeight="1" x14ac:dyDescent="0.45">
      <c r="A7193" t="str">
        <f>_xlfn.XLOOKUP(B7193,Ingot!$H$12:$H$119,Ingot!$G$12:$G$119,"")</f>
        <v>Stone</v>
      </c>
      <c r="B7193" t="s">
        <v>14355</v>
      </c>
      <c r="C7193" t="s">
        <v>10</v>
      </c>
      <c r="D7193" t="s">
        <v>14458</v>
      </c>
      <c r="E7193" t="s">
        <v>14459</v>
      </c>
      <c r="G7193" s="1">
        <v>6.96</v>
      </c>
    </row>
    <row r="7194" spans="1:7" ht="14.25" hidden="1" customHeight="1" x14ac:dyDescent="0.45">
      <c r="A7194" t="str">
        <f>_xlfn.XLOOKUP(B7194,Ingot!$H$12:$H$119,Ingot!$G$12:$G$119,"")</f>
        <v>Stone</v>
      </c>
      <c r="B7194" t="s">
        <v>14355</v>
      </c>
      <c r="C7194" t="s">
        <v>10</v>
      </c>
      <c r="D7194" t="s">
        <v>14460</v>
      </c>
      <c r="E7194" t="s">
        <v>14461</v>
      </c>
      <c r="G7194" s="1">
        <v>6.32</v>
      </c>
    </row>
    <row r="7195" spans="1:7" ht="14.25" hidden="1" customHeight="1" x14ac:dyDescent="0.45">
      <c r="A7195" t="str">
        <f>_xlfn.XLOOKUP(B7195,Ingot!$H$12:$H$119,Ingot!$G$12:$G$119,"")</f>
        <v>Stone</v>
      </c>
      <c r="B7195" t="s">
        <v>14355</v>
      </c>
      <c r="C7195" t="s">
        <v>10</v>
      </c>
      <c r="D7195" t="s">
        <v>14462</v>
      </c>
      <c r="E7195" t="s">
        <v>14463</v>
      </c>
      <c r="G7195" s="1">
        <v>6.88</v>
      </c>
    </row>
    <row r="7196" spans="1:7" ht="14.25" hidden="1" customHeight="1" x14ac:dyDescent="0.45">
      <c r="A7196" t="str">
        <f>_xlfn.XLOOKUP(B7196,Ingot!$H$12:$H$119,Ingot!$G$12:$G$119,"")</f>
        <v>Stone</v>
      </c>
      <c r="B7196" t="s">
        <v>14355</v>
      </c>
      <c r="C7196" t="s">
        <v>10</v>
      </c>
      <c r="D7196" t="s">
        <v>14464</v>
      </c>
      <c r="E7196" t="s">
        <v>14465</v>
      </c>
      <c r="G7196" s="1">
        <v>2.44</v>
      </c>
    </row>
    <row r="7197" spans="1:7" ht="14.25" hidden="1" customHeight="1" x14ac:dyDescent="0.45">
      <c r="A7197" t="str">
        <f>_xlfn.XLOOKUP(B7197,Ingot!$H$12:$H$119,Ingot!$G$12:$G$119,"")</f>
        <v>Stone</v>
      </c>
      <c r="B7197" t="s">
        <v>14355</v>
      </c>
      <c r="C7197" t="s">
        <v>10</v>
      </c>
      <c r="D7197" t="s">
        <v>14466</v>
      </c>
      <c r="E7197" t="s">
        <v>14467</v>
      </c>
    </row>
    <row r="7198" spans="1:7" ht="14.25" hidden="1" customHeight="1" x14ac:dyDescent="0.45">
      <c r="A7198" t="str">
        <f>_xlfn.XLOOKUP(B7198,Ingot!$H$12:$H$119,Ingot!$G$12:$G$119,"")</f>
        <v>Stone</v>
      </c>
      <c r="B7198" t="s">
        <v>14355</v>
      </c>
      <c r="C7198" t="s">
        <v>10</v>
      </c>
      <c r="D7198" t="s">
        <v>14468</v>
      </c>
      <c r="E7198" t="s">
        <v>14469</v>
      </c>
    </row>
    <row r="7199" spans="1:7" ht="14.25" hidden="1" customHeight="1" x14ac:dyDescent="0.45">
      <c r="A7199" t="str">
        <f>_xlfn.XLOOKUP(B7199,Ingot!$H$12:$H$119,Ingot!$G$12:$G$119,"")</f>
        <v>Stone</v>
      </c>
      <c r="B7199" t="s">
        <v>14355</v>
      </c>
      <c r="C7199" t="s">
        <v>10</v>
      </c>
      <c r="D7199" t="s">
        <v>14470</v>
      </c>
      <c r="E7199" t="s">
        <v>14471</v>
      </c>
      <c r="G7199" s="1">
        <v>3.11</v>
      </c>
    </row>
    <row r="7200" spans="1:7" ht="14.25" hidden="1" customHeight="1" x14ac:dyDescent="0.45">
      <c r="A7200" t="str">
        <f>_xlfn.XLOOKUP(B7200,Ingot!$H$12:$H$119,Ingot!$G$12:$G$119,"")</f>
        <v>Stone</v>
      </c>
      <c r="B7200" t="s">
        <v>14355</v>
      </c>
      <c r="C7200" t="s">
        <v>10</v>
      </c>
      <c r="D7200" t="s">
        <v>14472</v>
      </c>
      <c r="E7200" t="s">
        <v>14473</v>
      </c>
      <c r="G7200" s="1">
        <v>2.44</v>
      </c>
    </row>
    <row r="7201" spans="1:7" ht="14.25" hidden="1" customHeight="1" x14ac:dyDescent="0.45">
      <c r="A7201" t="str">
        <f>_xlfn.XLOOKUP(B7201,Ingot!$H$12:$H$119,Ingot!$G$12:$G$119,"")</f>
        <v>Stone</v>
      </c>
      <c r="B7201" t="s">
        <v>14355</v>
      </c>
      <c r="C7201" t="s">
        <v>10</v>
      </c>
      <c r="D7201" t="s">
        <v>14474</v>
      </c>
      <c r="E7201" t="s">
        <v>14475</v>
      </c>
      <c r="G7201" s="1">
        <v>8.61</v>
      </c>
    </row>
    <row r="7202" spans="1:7" ht="14.25" hidden="1" customHeight="1" x14ac:dyDescent="0.45">
      <c r="A7202" t="str">
        <f>_xlfn.XLOOKUP(B7202,Ingot!$H$12:$H$119,Ingot!$G$12:$G$119,"")</f>
        <v>Stone</v>
      </c>
      <c r="B7202" t="s">
        <v>14355</v>
      </c>
      <c r="C7202" t="s">
        <v>10</v>
      </c>
      <c r="D7202" t="s">
        <v>14476</v>
      </c>
      <c r="E7202" t="s">
        <v>14477</v>
      </c>
    </row>
    <row r="7203" spans="1:7" ht="14.25" hidden="1" customHeight="1" x14ac:dyDescent="0.45">
      <c r="A7203" t="str">
        <f>_xlfn.XLOOKUP(B7203,Ingot!$H$12:$H$119,Ingot!$G$12:$G$119,"")</f>
        <v>Stone</v>
      </c>
      <c r="B7203" t="s">
        <v>14355</v>
      </c>
      <c r="C7203" t="s">
        <v>10</v>
      </c>
      <c r="D7203" t="s">
        <v>14478</v>
      </c>
      <c r="E7203" t="s">
        <v>14479</v>
      </c>
      <c r="G7203" s="1">
        <v>3.21</v>
      </c>
    </row>
    <row r="7204" spans="1:7" ht="14.25" hidden="1" customHeight="1" x14ac:dyDescent="0.45">
      <c r="A7204" t="str">
        <f>_xlfn.XLOOKUP(B7204,Ingot!$H$12:$H$119,Ingot!$G$12:$G$119,"")</f>
        <v>Stone</v>
      </c>
      <c r="B7204" t="s">
        <v>14355</v>
      </c>
      <c r="C7204" t="s">
        <v>10</v>
      </c>
      <c r="D7204" t="s">
        <v>14480</v>
      </c>
      <c r="E7204" t="s">
        <v>14481</v>
      </c>
      <c r="G7204" s="1">
        <v>2.77</v>
      </c>
    </row>
    <row r="7205" spans="1:7" ht="14.25" hidden="1" customHeight="1" x14ac:dyDescent="0.45">
      <c r="A7205" t="str">
        <f>_xlfn.XLOOKUP(B7205,Ingot!$H$12:$H$119,Ingot!$G$12:$G$119,"")</f>
        <v>Stone</v>
      </c>
      <c r="B7205" t="s">
        <v>14355</v>
      </c>
      <c r="C7205" t="s">
        <v>10</v>
      </c>
      <c r="D7205" t="s">
        <v>14482</v>
      </c>
      <c r="E7205" t="s">
        <v>14483</v>
      </c>
      <c r="G7205" s="1">
        <v>4.8899999999999997</v>
      </c>
    </row>
    <row r="7206" spans="1:7" ht="14.25" hidden="1" customHeight="1" x14ac:dyDescent="0.45">
      <c r="A7206" t="str">
        <f>_xlfn.XLOOKUP(B7206,Ingot!$H$12:$H$119,Ingot!$G$12:$G$119,"")</f>
        <v>Stone</v>
      </c>
      <c r="B7206" t="s">
        <v>14355</v>
      </c>
      <c r="C7206" t="s">
        <v>10</v>
      </c>
      <c r="D7206" t="s">
        <v>14484</v>
      </c>
      <c r="E7206" t="s">
        <v>14485</v>
      </c>
      <c r="G7206" s="1">
        <v>1.76</v>
      </c>
    </row>
    <row r="7207" spans="1:7" ht="14.25" hidden="1" customHeight="1" x14ac:dyDescent="0.45">
      <c r="A7207" t="str">
        <f>_xlfn.XLOOKUP(B7207,Ingot!$H$12:$H$119,Ingot!$G$12:$G$119,"")</f>
        <v>Stone</v>
      </c>
      <c r="B7207" t="s">
        <v>14355</v>
      </c>
      <c r="C7207" t="s">
        <v>10</v>
      </c>
      <c r="D7207" t="s">
        <v>14486</v>
      </c>
      <c r="E7207" t="s">
        <v>14487</v>
      </c>
    </row>
    <row r="7208" spans="1:7" ht="14.25" hidden="1" customHeight="1" x14ac:dyDescent="0.45">
      <c r="A7208" t="str">
        <f>_xlfn.XLOOKUP(B7208,Ingot!$H$12:$H$119,Ingot!$G$12:$G$119,"")</f>
        <v>Stone</v>
      </c>
      <c r="B7208" t="s">
        <v>14355</v>
      </c>
      <c r="C7208" t="s">
        <v>10</v>
      </c>
      <c r="D7208" t="s">
        <v>14488</v>
      </c>
      <c r="E7208" t="s">
        <v>14489</v>
      </c>
      <c r="G7208" s="1">
        <v>8.57</v>
      </c>
    </row>
    <row r="7209" spans="1:7" ht="14.25" hidden="1" customHeight="1" x14ac:dyDescent="0.45">
      <c r="A7209" t="str">
        <f>_xlfn.XLOOKUP(B7209,Ingot!$H$12:$H$119,Ingot!$G$12:$G$119,"")</f>
        <v>Stone</v>
      </c>
      <c r="B7209" t="s">
        <v>14355</v>
      </c>
      <c r="C7209" t="s">
        <v>10</v>
      </c>
      <c r="D7209" t="s">
        <v>14490</v>
      </c>
      <c r="E7209" t="s">
        <v>14491</v>
      </c>
    </row>
    <row r="7210" spans="1:7" ht="14.25" hidden="1" customHeight="1" x14ac:dyDescent="0.45">
      <c r="A7210" t="str">
        <f>_xlfn.XLOOKUP(B7210,Ingot!$H$12:$H$119,Ingot!$G$12:$G$119,"")</f>
        <v>Stone</v>
      </c>
      <c r="B7210" t="s">
        <v>14355</v>
      </c>
      <c r="C7210" t="s">
        <v>10</v>
      </c>
      <c r="D7210" t="s">
        <v>14492</v>
      </c>
      <c r="E7210" t="s">
        <v>14493</v>
      </c>
      <c r="G7210" s="1">
        <v>3.56</v>
      </c>
    </row>
    <row r="7211" spans="1:7" ht="14.25" hidden="1" customHeight="1" x14ac:dyDescent="0.45">
      <c r="A7211" t="str">
        <f>_xlfn.XLOOKUP(B7211,Ingot!$H$12:$H$119,Ingot!$G$12:$G$119,"")</f>
        <v>Stone</v>
      </c>
      <c r="B7211" t="s">
        <v>14355</v>
      </c>
      <c r="C7211" t="s">
        <v>10</v>
      </c>
      <c r="D7211" t="s">
        <v>14494</v>
      </c>
      <c r="E7211" t="s">
        <v>14495</v>
      </c>
      <c r="G7211" s="1">
        <v>8.91</v>
      </c>
    </row>
    <row r="7212" spans="1:7" ht="14.25" hidden="1" customHeight="1" x14ac:dyDescent="0.45">
      <c r="A7212" t="str">
        <f>_xlfn.XLOOKUP(B7212,Ingot!$H$12:$H$119,Ingot!$G$12:$G$119,"")</f>
        <v>Stone</v>
      </c>
      <c r="B7212" t="s">
        <v>14355</v>
      </c>
      <c r="C7212" t="s">
        <v>10</v>
      </c>
      <c r="D7212" t="s">
        <v>14496</v>
      </c>
      <c r="E7212" t="s">
        <v>14497</v>
      </c>
      <c r="G7212" s="1">
        <v>11.02</v>
      </c>
    </row>
    <row r="7213" spans="1:7" ht="14.25" hidden="1" customHeight="1" x14ac:dyDescent="0.45">
      <c r="A7213" t="str">
        <f>_xlfn.XLOOKUP(B7213,Ingot!$H$12:$H$119,Ingot!$G$12:$G$119,"")</f>
        <v>Stone</v>
      </c>
      <c r="B7213" t="s">
        <v>14355</v>
      </c>
      <c r="C7213" t="s">
        <v>10</v>
      </c>
      <c r="D7213" t="s">
        <v>14498</v>
      </c>
      <c r="E7213" t="s">
        <v>14499</v>
      </c>
      <c r="G7213" s="1">
        <v>5.12</v>
      </c>
    </row>
    <row r="7214" spans="1:7" ht="14.25" hidden="1" customHeight="1" x14ac:dyDescent="0.45">
      <c r="A7214" t="str">
        <f>_xlfn.XLOOKUP(B7214,Ingot!$H$12:$H$119,Ingot!$G$12:$G$119,"")</f>
        <v>Stone</v>
      </c>
      <c r="B7214" t="s">
        <v>14355</v>
      </c>
      <c r="C7214" t="s">
        <v>10</v>
      </c>
      <c r="D7214" t="s">
        <v>14500</v>
      </c>
      <c r="E7214" t="s">
        <v>14501</v>
      </c>
      <c r="G7214" s="1">
        <v>4.41</v>
      </c>
    </row>
    <row r="7215" spans="1:7" ht="14.25" hidden="1" customHeight="1" x14ac:dyDescent="0.45">
      <c r="A7215" t="str">
        <f>_xlfn.XLOOKUP(B7215,Ingot!$H$12:$H$119,Ingot!$G$12:$G$119,"")</f>
        <v>Stone</v>
      </c>
      <c r="B7215" t="s">
        <v>14355</v>
      </c>
      <c r="C7215" t="s">
        <v>157</v>
      </c>
      <c r="D7215" t="s">
        <v>14502</v>
      </c>
      <c r="E7215" t="s">
        <v>14503</v>
      </c>
      <c r="G7215" s="1">
        <v>45.5</v>
      </c>
    </row>
    <row r="7216" spans="1:7" ht="14.25" hidden="1" customHeight="1" x14ac:dyDescent="0.45">
      <c r="A7216" t="str">
        <f>_xlfn.XLOOKUP(B7216,Ingot!$H$12:$H$119,Ingot!$G$12:$G$119,"")</f>
        <v>Stone</v>
      </c>
      <c r="B7216" t="s">
        <v>14355</v>
      </c>
      <c r="C7216" t="s">
        <v>157</v>
      </c>
      <c r="D7216" t="s">
        <v>14504</v>
      </c>
      <c r="E7216" t="s">
        <v>14505</v>
      </c>
      <c r="G7216" s="1">
        <v>9.1</v>
      </c>
    </row>
    <row r="7217" spans="1:7" ht="14.25" hidden="1" customHeight="1" x14ac:dyDescent="0.45">
      <c r="A7217" t="str">
        <f>_xlfn.XLOOKUP(B7217,Ingot!$H$12:$H$119,Ingot!$G$12:$G$119,"")</f>
        <v>Stone</v>
      </c>
      <c r="B7217" t="s">
        <v>14355</v>
      </c>
      <c r="C7217" t="s">
        <v>157</v>
      </c>
      <c r="D7217" t="s">
        <v>14506</v>
      </c>
      <c r="E7217" t="s">
        <v>14507</v>
      </c>
      <c r="G7217" s="1">
        <v>9.1</v>
      </c>
    </row>
    <row r="7218" spans="1:7" ht="14.25" hidden="1" customHeight="1" x14ac:dyDescent="0.45">
      <c r="A7218" t="str">
        <f>_xlfn.XLOOKUP(B7218,Ingot!$H$12:$H$119,Ingot!$G$12:$G$119,"")</f>
        <v>Stone</v>
      </c>
      <c r="B7218" t="s">
        <v>14355</v>
      </c>
      <c r="C7218" t="s">
        <v>157</v>
      </c>
      <c r="D7218" t="s">
        <v>14508</v>
      </c>
      <c r="E7218" t="s">
        <v>14509</v>
      </c>
      <c r="G7218" s="1">
        <v>5.92</v>
      </c>
    </row>
    <row r="7219" spans="1:7" ht="14.25" hidden="1" customHeight="1" x14ac:dyDescent="0.45">
      <c r="A7219" t="str">
        <f>_xlfn.XLOOKUP(B7219,Ingot!$H$12:$H$119,Ingot!$G$12:$G$119,"")</f>
        <v>Stone</v>
      </c>
      <c r="B7219" t="s">
        <v>14355</v>
      </c>
      <c r="C7219" t="s">
        <v>157</v>
      </c>
      <c r="D7219" t="s">
        <v>14510</v>
      </c>
      <c r="E7219" t="s">
        <v>14511</v>
      </c>
      <c r="G7219" s="1">
        <v>11.83</v>
      </c>
    </row>
    <row r="7220" spans="1:7" ht="14.25" hidden="1" customHeight="1" x14ac:dyDescent="0.45">
      <c r="A7220" t="str">
        <f>_xlfn.XLOOKUP(B7220,Ingot!$H$12:$H$119,Ingot!$G$12:$G$119,"")</f>
        <v>Stone</v>
      </c>
      <c r="B7220" t="s">
        <v>14355</v>
      </c>
      <c r="C7220" t="s">
        <v>157</v>
      </c>
      <c r="D7220" t="s">
        <v>14512</v>
      </c>
      <c r="E7220" t="s">
        <v>14513</v>
      </c>
      <c r="G7220" s="1">
        <v>41.5</v>
      </c>
    </row>
    <row r="7221" spans="1:7" ht="14.25" hidden="1" customHeight="1" x14ac:dyDescent="0.45">
      <c r="A7221" t="str">
        <f>_xlfn.XLOOKUP(B7221,Ingot!$H$12:$H$119,Ingot!$G$12:$G$119,"")</f>
        <v>Stone</v>
      </c>
      <c r="B7221" t="s">
        <v>14355</v>
      </c>
      <c r="C7221" t="s">
        <v>157</v>
      </c>
      <c r="D7221" t="s">
        <v>14514</v>
      </c>
      <c r="E7221" t="s">
        <v>14515</v>
      </c>
      <c r="G7221" s="1">
        <v>8.3000000000000007</v>
      </c>
    </row>
    <row r="7222" spans="1:7" ht="14.25" hidden="1" customHeight="1" x14ac:dyDescent="0.45">
      <c r="A7222" t="str">
        <f>_xlfn.XLOOKUP(B7222,Ingot!$H$12:$H$119,Ingot!$G$12:$G$119,"")</f>
        <v>Stone</v>
      </c>
      <c r="B7222" t="s">
        <v>14355</v>
      </c>
      <c r="C7222" t="s">
        <v>157</v>
      </c>
      <c r="D7222" t="s">
        <v>14516</v>
      </c>
      <c r="E7222" t="s">
        <v>14517</v>
      </c>
      <c r="G7222" s="1">
        <v>8.3000000000000007</v>
      </c>
    </row>
    <row r="7223" spans="1:7" ht="14.25" hidden="1" customHeight="1" x14ac:dyDescent="0.45">
      <c r="A7223" t="str">
        <f>_xlfn.XLOOKUP(B7223,Ingot!$H$12:$H$119,Ingot!$G$12:$G$119,"")</f>
        <v>Stone</v>
      </c>
      <c r="B7223" t="s">
        <v>14355</v>
      </c>
      <c r="C7223" t="s">
        <v>157</v>
      </c>
      <c r="D7223" t="s">
        <v>14518</v>
      </c>
      <c r="E7223" t="s">
        <v>14519</v>
      </c>
      <c r="G7223" s="1">
        <v>5.4</v>
      </c>
    </row>
    <row r="7224" spans="1:7" ht="14.25" hidden="1" customHeight="1" x14ac:dyDescent="0.45">
      <c r="A7224" t="str">
        <f>_xlfn.XLOOKUP(B7224,Ingot!$H$12:$H$119,Ingot!$G$12:$G$119,"")</f>
        <v>Stone</v>
      </c>
      <c r="B7224" t="s">
        <v>14355</v>
      </c>
      <c r="C7224" t="s">
        <v>157</v>
      </c>
      <c r="D7224" t="s">
        <v>14520</v>
      </c>
      <c r="E7224" t="s">
        <v>14521</v>
      </c>
      <c r="G7224" s="1">
        <v>10.79</v>
      </c>
    </row>
    <row r="7225" spans="1:7" ht="14.25" hidden="1" customHeight="1" x14ac:dyDescent="0.45">
      <c r="A7225" t="str">
        <f>_xlfn.XLOOKUP(B7225,Ingot!$H$12:$H$119,Ingot!$G$12:$G$119,"")</f>
        <v>Stone</v>
      </c>
      <c r="B7225" t="s">
        <v>14355</v>
      </c>
      <c r="C7225" t="s">
        <v>157</v>
      </c>
      <c r="D7225" t="s">
        <v>14522</v>
      </c>
      <c r="E7225" t="s">
        <v>14523</v>
      </c>
      <c r="G7225" s="1">
        <v>40.5</v>
      </c>
    </row>
    <row r="7226" spans="1:7" ht="14.25" hidden="1" customHeight="1" x14ac:dyDescent="0.45">
      <c r="A7226" t="str">
        <f>_xlfn.XLOOKUP(B7226,Ingot!$H$12:$H$119,Ingot!$G$12:$G$119,"")</f>
        <v>Stone</v>
      </c>
      <c r="B7226" t="s">
        <v>14355</v>
      </c>
      <c r="C7226" t="s">
        <v>157</v>
      </c>
      <c r="D7226" t="s">
        <v>14524</v>
      </c>
      <c r="E7226" t="s">
        <v>14525</v>
      </c>
      <c r="G7226" s="1">
        <v>8.1</v>
      </c>
    </row>
    <row r="7227" spans="1:7" ht="14.25" hidden="1" customHeight="1" x14ac:dyDescent="0.45">
      <c r="A7227" t="str">
        <f>_xlfn.XLOOKUP(B7227,Ingot!$H$12:$H$119,Ingot!$G$12:$G$119,"")</f>
        <v>Stone</v>
      </c>
      <c r="B7227" t="s">
        <v>14355</v>
      </c>
      <c r="C7227" t="s">
        <v>157</v>
      </c>
      <c r="D7227" t="s">
        <v>14526</v>
      </c>
      <c r="E7227" t="s">
        <v>14527</v>
      </c>
      <c r="G7227" s="1">
        <v>8.1</v>
      </c>
    </row>
    <row r="7228" spans="1:7" ht="14.25" hidden="1" customHeight="1" x14ac:dyDescent="0.45">
      <c r="A7228" t="str">
        <f>_xlfn.XLOOKUP(B7228,Ingot!$H$12:$H$119,Ingot!$G$12:$G$119,"")</f>
        <v>Stone</v>
      </c>
      <c r="B7228" t="s">
        <v>14355</v>
      </c>
      <c r="C7228" t="s">
        <v>157</v>
      </c>
      <c r="D7228" t="s">
        <v>14528</v>
      </c>
      <c r="E7228" t="s">
        <v>14529</v>
      </c>
      <c r="G7228" s="1">
        <v>5.27</v>
      </c>
    </row>
    <row r="7229" spans="1:7" ht="14.25" hidden="1" customHeight="1" x14ac:dyDescent="0.45">
      <c r="A7229" t="str">
        <f>_xlfn.XLOOKUP(B7229,Ingot!$H$12:$H$119,Ingot!$G$12:$G$119,"")</f>
        <v>Stone</v>
      </c>
      <c r="B7229" t="s">
        <v>14355</v>
      </c>
      <c r="C7229" t="s">
        <v>157</v>
      </c>
      <c r="D7229" t="s">
        <v>14530</v>
      </c>
      <c r="E7229" t="s">
        <v>14531</v>
      </c>
      <c r="G7229" s="1">
        <v>10.53</v>
      </c>
    </row>
    <row r="7230" spans="1:7" ht="14.25" hidden="1" customHeight="1" x14ac:dyDescent="0.45">
      <c r="A7230" t="str">
        <f>_xlfn.XLOOKUP(B7230,Ingot!$H$12:$H$119,Ingot!$G$12:$G$119,"")</f>
        <v>Stone</v>
      </c>
      <c r="B7230" t="s">
        <v>14355</v>
      </c>
      <c r="C7230" t="s">
        <v>157</v>
      </c>
      <c r="D7230" t="s">
        <v>14532</v>
      </c>
      <c r="E7230" t="s">
        <v>14533</v>
      </c>
      <c r="G7230" s="1">
        <v>42.5</v>
      </c>
    </row>
    <row r="7231" spans="1:7" ht="14.25" hidden="1" customHeight="1" x14ac:dyDescent="0.45">
      <c r="A7231" t="str">
        <f>_xlfn.XLOOKUP(B7231,Ingot!$H$12:$H$119,Ingot!$G$12:$G$119,"")</f>
        <v>Stone</v>
      </c>
      <c r="B7231" t="s">
        <v>14355</v>
      </c>
      <c r="C7231" t="s">
        <v>157</v>
      </c>
      <c r="D7231" t="s">
        <v>14534</v>
      </c>
      <c r="E7231" t="s">
        <v>14535</v>
      </c>
      <c r="G7231" s="1">
        <v>8.5</v>
      </c>
    </row>
    <row r="7232" spans="1:7" ht="14.25" hidden="1" customHeight="1" x14ac:dyDescent="0.45">
      <c r="A7232" t="str">
        <f>_xlfn.XLOOKUP(B7232,Ingot!$H$12:$H$119,Ingot!$G$12:$G$119,"")</f>
        <v>Stone</v>
      </c>
      <c r="B7232" t="s">
        <v>14355</v>
      </c>
      <c r="C7232" t="s">
        <v>157</v>
      </c>
      <c r="D7232" t="s">
        <v>14536</v>
      </c>
      <c r="E7232" t="s">
        <v>14537</v>
      </c>
      <c r="G7232" s="1">
        <v>8.5</v>
      </c>
    </row>
    <row r="7233" spans="1:7" ht="14.25" hidden="1" customHeight="1" x14ac:dyDescent="0.45">
      <c r="A7233" t="str">
        <f>_xlfn.XLOOKUP(B7233,Ingot!$H$12:$H$119,Ingot!$G$12:$G$119,"")</f>
        <v>Stone</v>
      </c>
      <c r="B7233" t="s">
        <v>14355</v>
      </c>
      <c r="C7233" t="s">
        <v>157</v>
      </c>
      <c r="D7233" t="s">
        <v>14538</v>
      </c>
      <c r="E7233" t="s">
        <v>14539</v>
      </c>
      <c r="G7233" s="1">
        <v>5.53</v>
      </c>
    </row>
    <row r="7234" spans="1:7" ht="14.25" hidden="1" customHeight="1" x14ac:dyDescent="0.45">
      <c r="A7234" t="str">
        <f>_xlfn.XLOOKUP(B7234,Ingot!$H$12:$H$119,Ingot!$G$12:$G$119,"")</f>
        <v>Stone</v>
      </c>
      <c r="B7234" t="s">
        <v>14355</v>
      </c>
      <c r="C7234" t="s">
        <v>157</v>
      </c>
      <c r="D7234" t="s">
        <v>14540</v>
      </c>
      <c r="E7234" t="s">
        <v>14541</v>
      </c>
      <c r="G7234" s="1">
        <v>11.05</v>
      </c>
    </row>
    <row r="7235" spans="1:7" ht="14.25" hidden="1" customHeight="1" x14ac:dyDescent="0.45">
      <c r="A7235" t="str">
        <f>_xlfn.XLOOKUP(B7235,Ingot!$H$12:$H$119,Ingot!$G$12:$G$119,"")</f>
        <v>Stone</v>
      </c>
      <c r="B7235" t="s">
        <v>14355</v>
      </c>
      <c r="C7235" t="s">
        <v>157</v>
      </c>
      <c r="D7235" t="s">
        <v>14542</v>
      </c>
      <c r="E7235" t="s">
        <v>14543</v>
      </c>
      <c r="G7235" s="1">
        <v>44</v>
      </c>
    </row>
    <row r="7236" spans="1:7" ht="14.25" hidden="1" customHeight="1" x14ac:dyDescent="0.45">
      <c r="A7236" t="str">
        <f>_xlfn.XLOOKUP(B7236,Ingot!$H$12:$H$119,Ingot!$G$12:$G$119,"")</f>
        <v>Stone</v>
      </c>
      <c r="B7236" t="s">
        <v>14355</v>
      </c>
      <c r="C7236" t="s">
        <v>157</v>
      </c>
      <c r="D7236" t="s">
        <v>14544</v>
      </c>
      <c r="E7236" t="s">
        <v>14545</v>
      </c>
      <c r="G7236" s="1">
        <v>8.8000000000000007</v>
      </c>
    </row>
    <row r="7237" spans="1:7" ht="14.25" hidden="1" customHeight="1" x14ac:dyDescent="0.45">
      <c r="A7237" t="str">
        <f>_xlfn.XLOOKUP(B7237,Ingot!$H$12:$H$119,Ingot!$G$12:$G$119,"")</f>
        <v>Stone</v>
      </c>
      <c r="B7237" t="s">
        <v>14355</v>
      </c>
      <c r="C7237" t="s">
        <v>157</v>
      </c>
      <c r="D7237" t="s">
        <v>14546</v>
      </c>
      <c r="E7237" t="s">
        <v>14547</v>
      </c>
      <c r="G7237" s="1">
        <v>8.8000000000000007</v>
      </c>
    </row>
    <row r="7238" spans="1:7" ht="14.25" hidden="1" customHeight="1" x14ac:dyDescent="0.45">
      <c r="A7238" t="str">
        <f>_xlfn.XLOOKUP(B7238,Ingot!$H$12:$H$119,Ingot!$G$12:$G$119,"")</f>
        <v>Stone</v>
      </c>
      <c r="B7238" t="s">
        <v>14355</v>
      </c>
      <c r="C7238" t="s">
        <v>157</v>
      </c>
      <c r="D7238" t="s">
        <v>14548</v>
      </c>
      <c r="E7238" t="s">
        <v>14549</v>
      </c>
      <c r="G7238" s="1">
        <v>5.72</v>
      </c>
    </row>
    <row r="7239" spans="1:7" ht="14.25" hidden="1" customHeight="1" x14ac:dyDescent="0.45">
      <c r="A7239" t="str">
        <f>_xlfn.XLOOKUP(B7239,Ingot!$H$12:$H$119,Ingot!$G$12:$G$119,"")</f>
        <v>Stone</v>
      </c>
      <c r="B7239" t="s">
        <v>14355</v>
      </c>
      <c r="C7239" t="s">
        <v>157</v>
      </c>
      <c r="D7239" t="s">
        <v>14550</v>
      </c>
      <c r="E7239" t="s">
        <v>14551</v>
      </c>
      <c r="G7239" s="1">
        <v>11.44</v>
      </c>
    </row>
    <row r="7240" spans="1:7" ht="14.25" hidden="1" customHeight="1" x14ac:dyDescent="0.45">
      <c r="A7240" t="str">
        <f>_xlfn.XLOOKUP(B7240,Ingot!$H$12:$H$119,Ingot!$G$12:$G$119,"")</f>
        <v>Stone</v>
      </c>
      <c r="B7240" t="s">
        <v>14355</v>
      </c>
      <c r="C7240" t="s">
        <v>157</v>
      </c>
      <c r="D7240" t="s">
        <v>14552</v>
      </c>
      <c r="E7240" t="s">
        <v>14553</v>
      </c>
      <c r="G7240" s="1">
        <v>48.5</v>
      </c>
    </row>
    <row r="7241" spans="1:7" ht="14.25" hidden="1" customHeight="1" x14ac:dyDescent="0.45">
      <c r="A7241" t="str">
        <f>_xlfn.XLOOKUP(B7241,Ingot!$H$12:$H$119,Ingot!$G$12:$G$119,"")</f>
        <v>Stone</v>
      </c>
      <c r="B7241" t="s">
        <v>14355</v>
      </c>
      <c r="C7241" t="s">
        <v>157</v>
      </c>
      <c r="D7241" t="s">
        <v>14554</v>
      </c>
      <c r="E7241" t="s">
        <v>14555</v>
      </c>
      <c r="G7241" s="1">
        <v>9.6999999999999993</v>
      </c>
    </row>
    <row r="7242" spans="1:7" ht="14.25" hidden="1" customHeight="1" x14ac:dyDescent="0.45">
      <c r="A7242" t="str">
        <f>_xlfn.XLOOKUP(B7242,Ingot!$H$12:$H$119,Ingot!$G$12:$G$119,"")</f>
        <v>Stone</v>
      </c>
      <c r="B7242" t="s">
        <v>14355</v>
      </c>
      <c r="C7242" t="s">
        <v>157</v>
      </c>
      <c r="D7242" t="s">
        <v>14556</v>
      </c>
      <c r="E7242" t="s">
        <v>14557</v>
      </c>
      <c r="G7242" s="1">
        <v>9.6999999999999993</v>
      </c>
    </row>
    <row r="7243" spans="1:7" ht="14.25" hidden="1" customHeight="1" x14ac:dyDescent="0.45">
      <c r="A7243" t="str">
        <f>_xlfn.XLOOKUP(B7243,Ingot!$H$12:$H$119,Ingot!$G$12:$G$119,"")</f>
        <v>Stone</v>
      </c>
      <c r="B7243" t="s">
        <v>14355</v>
      </c>
      <c r="C7243" t="s">
        <v>157</v>
      </c>
      <c r="D7243" t="s">
        <v>14558</v>
      </c>
      <c r="E7243" t="s">
        <v>14559</v>
      </c>
      <c r="G7243" s="1">
        <v>6.31</v>
      </c>
    </row>
    <row r="7244" spans="1:7" ht="14.25" hidden="1" customHeight="1" x14ac:dyDescent="0.45">
      <c r="A7244" t="str">
        <f>_xlfn.XLOOKUP(B7244,Ingot!$H$12:$H$119,Ingot!$G$12:$G$119,"")</f>
        <v>Stone</v>
      </c>
      <c r="B7244" t="s">
        <v>14355</v>
      </c>
      <c r="C7244" t="s">
        <v>157</v>
      </c>
      <c r="D7244" t="s">
        <v>14560</v>
      </c>
      <c r="E7244" t="s">
        <v>14561</v>
      </c>
      <c r="G7244" s="1">
        <v>12.61</v>
      </c>
    </row>
    <row r="7245" spans="1:7" ht="14.25" hidden="1" customHeight="1" x14ac:dyDescent="0.45">
      <c r="A7245" t="str">
        <f>_xlfn.XLOOKUP(B7245,Ingot!$H$12:$H$119,Ingot!$G$12:$G$119,"")</f>
        <v>Stone</v>
      </c>
      <c r="B7245" t="s">
        <v>14355</v>
      </c>
      <c r="C7245" t="s">
        <v>157</v>
      </c>
      <c r="D7245" t="s">
        <v>14562</v>
      </c>
      <c r="E7245" t="s">
        <v>14563</v>
      </c>
      <c r="G7245" s="1">
        <v>47</v>
      </c>
    </row>
    <row r="7246" spans="1:7" ht="14.25" hidden="1" customHeight="1" x14ac:dyDescent="0.45">
      <c r="A7246" t="str">
        <f>_xlfn.XLOOKUP(B7246,Ingot!$H$12:$H$119,Ingot!$G$12:$G$119,"")</f>
        <v>Stone</v>
      </c>
      <c r="B7246" t="s">
        <v>14355</v>
      </c>
      <c r="C7246" t="s">
        <v>157</v>
      </c>
      <c r="D7246" t="s">
        <v>14564</v>
      </c>
      <c r="E7246" t="s">
        <v>14565</v>
      </c>
      <c r="G7246" s="1">
        <v>9.4</v>
      </c>
    </row>
    <row r="7247" spans="1:7" ht="14.25" hidden="1" customHeight="1" x14ac:dyDescent="0.45">
      <c r="A7247" t="str">
        <f>_xlfn.XLOOKUP(B7247,Ingot!$H$12:$H$119,Ingot!$G$12:$G$119,"")</f>
        <v>Stone</v>
      </c>
      <c r="B7247" t="s">
        <v>14355</v>
      </c>
      <c r="C7247" t="s">
        <v>157</v>
      </c>
      <c r="D7247" t="s">
        <v>14566</v>
      </c>
      <c r="E7247" t="s">
        <v>14567</v>
      </c>
      <c r="G7247" s="1">
        <v>9.4</v>
      </c>
    </row>
    <row r="7248" spans="1:7" ht="14.25" hidden="1" customHeight="1" x14ac:dyDescent="0.45">
      <c r="A7248" t="str">
        <f>_xlfn.XLOOKUP(B7248,Ingot!$H$12:$H$119,Ingot!$G$12:$G$119,"")</f>
        <v>Stone</v>
      </c>
      <c r="B7248" t="s">
        <v>14355</v>
      </c>
      <c r="C7248" t="s">
        <v>157</v>
      </c>
      <c r="D7248" t="s">
        <v>14568</v>
      </c>
      <c r="E7248" t="s">
        <v>14569</v>
      </c>
      <c r="G7248" s="1">
        <v>6.11</v>
      </c>
    </row>
    <row r="7249" spans="1:7" ht="14.25" hidden="1" customHeight="1" x14ac:dyDescent="0.45">
      <c r="A7249" t="str">
        <f>_xlfn.XLOOKUP(B7249,Ingot!$H$12:$H$119,Ingot!$G$12:$G$119,"")</f>
        <v>Stone</v>
      </c>
      <c r="B7249" t="s">
        <v>14355</v>
      </c>
      <c r="C7249" t="s">
        <v>157</v>
      </c>
      <c r="D7249" t="s">
        <v>14570</v>
      </c>
      <c r="E7249" t="s">
        <v>14571</v>
      </c>
      <c r="G7249" s="1">
        <v>12.22</v>
      </c>
    </row>
    <row r="7250" spans="1:7" ht="14.25" hidden="1" customHeight="1" x14ac:dyDescent="0.45">
      <c r="A7250" t="str">
        <f>_xlfn.XLOOKUP(B7250,Ingot!$H$12:$H$119,Ingot!$G$12:$G$119,"")</f>
        <v>Stone</v>
      </c>
      <c r="B7250" t="s">
        <v>14355</v>
      </c>
      <c r="C7250" t="s">
        <v>157</v>
      </c>
      <c r="D7250" t="s">
        <v>14572</v>
      </c>
      <c r="E7250" t="s">
        <v>14573</v>
      </c>
      <c r="G7250" s="1">
        <v>39.5</v>
      </c>
    </row>
    <row r="7251" spans="1:7" ht="14.25" hidden="1" customHeight="1" x14ac:dyDescent="0.45">
      <c r="A7251" t="str">
        <f>_xlfn.XLOOKUP(B7251,Ingot!$H$12:$H$119,Ingot!$G$12:$G$119,"")</f>
        <v>Stone</v>
      </c>
      <c r="B7251" t="s">
        <v>14355</v>
      </c>
      <c r="C7251" t="s">
        <v>157</v>
      </c>
      <c r="D7251" t="s">
        <v>14574</v>
      </c>
      <c r="E7251" t="s">
        <v>14575</v>
      </c>
      <c r="G7251" s="1">
        <v>7.9</v>
      </c>
    </row>
    <row r="7252" spans="1:7" ht="14.25" hidden="1" customHeight="1" x14ac:dyDescent="0.45">
      <c r="A7252" t="str">
        <f>_xlfn.XLOOKUP(B7252,Ingot!$H$12:$H$119,Ingot!$G$12:$G$119,"")</f>
        <v>Stone</v>
      </c>
      <c r="B7252" t="s">
        <v>14355</v>
      </c>
      <c r="C7252" t="s">
        <v>157</v>
      </c>
      <c r="D7252" t="s">
        <v>14576</v>
      </c>
      <c r="E7252" t="s">
        <v>14577</v>
      </c>
      <c r="G7252" s="1">
        <v>7.9</v>
      </c>
    </row>
    <row r="7253" spans="1:7" ht="14.25" hidden="1" customHeight="1" x14ac:dyDescent="0.45">
      <c r="A7253" t="str">
        <f>_xlfn.XLOOKUP(B7253,Ingot!$H$12:$H$119,Ingot!$G$12:$G$119,"")</f>
        <v>Stone</v>
      </c>
      <c r="B7253" t="s">
        <v>14355</v>
      </c>
      <c r="C7253" t="s">
        <v>157</v>
      </c>
      <c r="D7253" t="s">
        <v>14578</v>
      </c>
      <c r="E7253" t="s">
        <v>14579</v>
      </c>
      <c r="G7253" s="1">
        <v>5.14</v>
      </c>
    </row>
    <row r="7254" spans="1:7" ht="14.25" hidden="1" customHeight="1" x14ac:dyDescent="0.45">
      <c r="A7254" t="str">
        <f>_xlfn.XLOOKUP(B7254,Ingot!$H$12:$H$119,Ingot!$G$12:$G$119,"")</f>
        <v>Stone</v>
      </c>
      <c r="B7254" t="s">
        <v>14355</v>
      </c>
      <c r="C7254" t="s">
        <v>157</v>
      </c>
      <c r="D7254" t="s">
        <v>14580</v>
      </c>
      <c r="E7254" t="s">
        <v>14581</v>
      </c>
      <c r="G7254" s="1">
        <v>10.27</v>
      </c>
    </row>
    <row r="7255" spans="1:7" ht="14.25" hidden="1" customHeight="1" x14ac:dyDescent="0.45">
      <c r="A7255" t="str">
        <f>_xlfn.XLOOKUP(B7255,Ingot!$H$12:$H$119,Ingot!$G$12:$G$119,"")</f>
        <v>Stone</v>
      </c>
      <c r="B7255" t="s">
        <v>14355</v>
      </c>
      <c r="C7255" t="s">
        <v>239</v>
      </c>
      <c r="D7255" t="s">
        <v>14582</v>
      </c>
      <c r="E7255" t="s">
        <v>14583</v>
      </c>
    </row>
    <row r="7256" spans="1:7" ht="14.25" hidden="1" customHeight="1" x14ac:dyDescent="0.45">
      <c r="A7256" t="str">
        <f>_xlfn.XLOOKUP(B7256,Ingot!$H$12:$H$119,Ingot!$G$12:$G$119,"")</f>
        <v>Stone</v>
      </c>
      <c r="B7256" t="s">
        <v>14355</v>
      </c>
      <c r="C7256" t="s">
        <v>239</v>
      </c>
      <c r="D7256" t="s">
        <v>14584</v>
      </c>
      <c r="E7256" t="s">
        <v>14585</v>
      </c>
    </row>
    <row r="7257" spans="1:7" ht="14.25" hidden="1" customHeight="1" x14ac:dyDescent="0.45">
      <c r="A7257" t="str">
        <f>_xlfn.XLOOKUP(B7257,Ingot!$H$12:$H$119,Ingot!$G$12:$G$119,"")</f>
        <v>Stone</v>
      </c>
      <c r="B7257" t="s">
        <v>14355</v>
      </c>
      <c r="C7257" t="s">
        <v>239</v>
      </c>
      <c r="D7257" t="s">
        <v>14586</v>
      </c>
      <c r="E7257" t="s">
        <v>14587</v>
      </c>
    </row>
    <row r="7258" spans="1:7" ht="14.25" hidden="1" customHeight="1" x14ac:dyDescent="0.45">
      <c r="A7258" t="str">
        <f>_xlfn.XLOOKUP(B7258,Ingot!$H$12:$H$119,Ingot!$G$12:$G$119,"")</f>
        <v>Stone</v>
      </c>
      <c r="B7258" t="s">
        <v>14355</v>
      </c>
      <c r="C7258" t="s">
        <v>239</v>
      </c>
      <c r="D7258" t="s">
        <v>14588</v>
      </c>
      <c r="E7258" t="s">
        <v>14589</v>
      </c>
    </row>
    <row r="7259" spans="1:7" ht="14.25" hidden="1" customHeight="1" x14ac:dyDescent="0.45">
      <c r="A7259" t="str">
        <f>_xlfn.XLOOKUP(B7259,Ingot!$H$12:$H$119,Ingot!$G$12:$G$119,"")</f>
        <v>Stone</v>
      </c>
      <c r="B7259" t="s">
        <v>14355</v>
      </c>
      <c r="C7259" t="s">
        <v>239</v>
      </c>
      <c r="D7259" t="s">
        <v>14590</v>
      </c>
      <c r="E7259" t="s">
        <v>14591</v>
      </c>
    </row>
    <row r="7260" spans="1:7" ht="14.25" hidden="1" customHeight="1" x14ac:dyDescent="0.45">
      <c r="A7260" t="str">
        <f>_xlfn.XLOOKUP(B7260,Ingot!$H$12:$H$119,Ingot!$G$12:$G$119,"")</f>
        <v>Stone</v>
      </c>
      <c r="B7260" t="s">
        <v>14355</v>
      </c>
      <c r="C7260" t="s">
        <v>239</v>
      </c>
      <c r="D7260" t="s">
        <v>14592</v>
      </c>
      <c r="E7260" t="s">
        <v>14593</v>
      </c>
    </row>
    <row r="7261" spans="1:7" ht="14.25" hidden="1" customHeight="1" x14ac:dyDescent="0.45">
      <c r="A7261" t="str">
        <f>_xlfn.XLOOKUP(B7261,Ingot!$H$12:$H$119,Ingot!$G$12:$G$119,"")</f>
        <v>Stone</v>
      </c>
      <c r="B7261" t="s">
        <v>14594</v>
      </c>
      <c r="C7261" t="s">
        <v>10</v>
      </c>
      <c r="D7261" t="s">
        <v>14595</v>
      </c>
      <c r="E7261" t="s">
        <v>14596</v>
      </c>
      <c r="G7261" s="1">
        <v>0.08</v>
      </c>
    </row>
    <row r="7262" spans="1:7" ht="14.25" hidden="1" customHeight="1" x14ac:dyDescent="0.45">
      <c r="A7262" t="str">
        <f>_xlfn.XLOOKUP(B7262,Ingot!$H$12:$H$119,Ingot!$G$12:$G$119,"")</f>
        <v>Stone</v>
      </c>
      <c r="B7262" t="s">
        <v>14594</v>
      </c>
      <c r="C7262" t="s">
        <v>10</v>
      </c>
      <c r="D7262" t="s">
        <v>14597</v>
      </c>
      <c r="E7262" t="s">
        <v>14598</v>
      </c>
      <c r="G7262" s="1">
        <v>9.9</v>
      </c>
    </row>
    <row r="7263" spans="1:7" ht="14.25" hidden="1" customHeight="1" x14ac:dyDescent="0.45">
      <c r="A7263" t="str">
        <f>_xlfn.XLOOKUP(B7263,Ingot!$H$12:$H$119,Ingot!$G$12:$G$119,"")</f>
        <v>Stone</v>
      </c>
      <c r="B7263" t="s">
        <v>14594</v>
      </c>
      <c r="C7263" t="s">
        <v>10</v>
      </c>
      <c r="D7263" t="s">
        <v>14599</v>
      </c>
      <c r="E7263" t="s">
        <v>14600</v>
      </c>
      <c r="G7263" s="1">
        <v>5.66</v>
      </c>
    </row>
    <row r="7264" spans="1:7" ht="14.25" hidden="1" customHeight="1" x14ac:dyDescent="0.45">
      <c r="A7264" t="str">
        <f>_xlfn.XLOOKUP(B7264,Ingot!$H$12:$H$119,Ingot!$G$12:$G$119,"")</f>
        <v>Stone</v>
      </c>
      <c r="B7264" t="s">
        <v>14594</v>
      </c>
      <c r="C7264" t="s">
        <v>10</v>
      </c>
      <c r="D7264" t="s">
        <v>14601</v>
      </c>
      <c r="E7264" t="s">
        <v>14602</v>
      </c>
      <c r="G7264" s="1">
        <v>3.3</v>
      </c>
    </row>
    <row r="7265" spans="1:7" ht="14.25" hidden="1" customHeight="1" x14ac:dyDescent="0.45">
      <c r="A7265" t="str">
        <f>_xlfn.XLOOKUP(B7265,Ingot!$H$12:$H$119,Ingot!$G$12:$G$119,"")</f>
        <v>Stone</v>
      </c>
      <c r="B7265" t="s">
        <v>14594</v>
      </c>
      <c r="C7265" t="s">
        <v>10</v>
      </c>
      <c r="D7265" t="s">
        <v>14603</v>
      </c>
      <c r="E7265" t="s">
        <v>14604</v>
      </c>
      <c r="G7265" s="1">
        <v>0.66</v>
      </c>
    </row>
    <row r="7266" spans="1:7" ht="14.25" hidden="1" customHeight="1" x14ac:dyDescent="0.45">
      <c r="A7266" t="str">
        <f>_xlfn.XLOOKUP(B7266,Ingot!$H$12:$H$119,Ingot!$G$12:$G$119,"")</f>
        <v>Stone</v>
      </c>
      <c r="B7266" t="s">
        <v>14594</v>
      </c>
      <c r="C7266" t="s">
        <v>10</v>
      </c>
      <c r="D7266" t="s">
        <v>14605</v>
      </c>
      <c r="E7266" t="s">
        <v>14606</v>
      </c>
      <c r="G7266" s="1">
        <v>0.04</v>
      </c>
    </row>
    <row r="7267" spans="1:7" ht="14.25" hidden="1" customHeight="1" x14ac:dyDescent="0.45">
      <c r="A7267" t="str">
        <f>_xlfn.XLOOKUP(B7267,Ingot!$H$12:$H$119,Ingot!$G$12:$G$119,"")</f>
        <v>Stone</v>
      </c>
      <c r="B7267" t="s">
        <v>14594</v>
      </c>
      <c r="C7267" t="s">
        <v>10</v>
      </c>
      <c r="D7267" t="s">
        <v>14607</v>
      </c>
      <c r="E7267" t="s">
        <v>14608</v>
      </c>
      <c r="G7267" s="1">
        <v>0.33</v>
      </c>
    </row>
    <row r="7268" spans="1:7" ht="14.25" hidden="1" customHeight="1" x14ac:dyDescent="0.45">
      <c r="A7268" t="str">
        <f>_xlfn.XLOOKUP(B7268,Ingot!$H$12:$H$119,Ingot!$G$12:$G$119,"")</f>
        <v>Stone</v>
      </c>
      <c r="B7268" t="s">
        <v>14594</v>
      </c>
      <c r="C7268" t="s">
        <v>10</v>
      </c>
      <c r="D7268" t="s">
        <v>14609</v>
      </c>
      <c r="E7268" t="s">
        <v>14610</v>
      </c>
    </row>
    <row r="7269" spans="1:7" ht="14.25" hidden="1" customHeight="1" x14ac:dyDescent="0.45">
      <c r="A7269" t="str">
        <f>_xlfn.XLOOKUP(B7269,Ingot!$H$12:$H$119,Ingot!$G$12:$G$119,"")</f>
        <v>Stone</v>
      </c>
      <c r="B7269" t="s">
        <v>14594</v>
      </c>
      <c r="C7269" t="s">
        <v>10</v>
      </c>
      <c r="D7269" t="s">
        <v>14611</v>
      </c>
      <c r="E7269" t="s">
        <v>14612</v>
      </c>
      <c r="G7269" s="1">
        <v>0.05</v>
      </c>
    </row>
    <row r="7270" spans="1:7" ht="14.25" hidden="1" customHeight="1" x14ac:dyDescent="0.45">
      <c r="A7270" t="str">
        <f>_xlfn.XLOOKUP(B7270,Ingot!$H$12:$H$119,Ingot!$G$12:$G$119,"")</f>
        <v>Stone</v>
      </c>
      <c r="B7270" t="s">
        <v>14594</v>
      </c>
      <c r="C7270" t="s">
        <v>10</v>
      </c>
      <c r="D7270" t="s">
        <v>14613</v>
      </c>
      <c r="E7270" t="s">
        <v>14614</v>
      </c>
      <c r="G7270" s="1">
        <v>0.66</v>
      </c>
    </row>
    <row r="7271" spans="1:7" ht="14.25" hidden="1" customHeight="1" x14ac:dyDescent="0.45">
      <c r="A7271" t="str">
        <f>_xlfn.XLOOKUP(B7271,Ingot!$H$12:$H$119,Ingot!$G$12:$G$119,"")</f>
        <v>Stone</v>
      </c>
      <c r="B7271" t="s">
        <v>14594</v>
      </c>
      <c r="C7271" t="s">
        <v>10</v>
      </c>
      <c r="D7271" t="s">
        <v>14615</v>
      </c>
      <c r="E7271" t="s">
        <v>14616</v>
      </c>
      <c r="G7271" s="1">
        <v>3.96</v>
      </c>
    </row>
    <row r="7272" spans="1:7" ht="14.25" hidden="1" customHeight="1" x14ac:dyDescent="0.45">
      <c r="A7272" t="str">
        <f>_xlfn.XLOOKUP(B7272,Ingot!$H$12:$H$119,Ingot!$G$12:$G$119,"")</f>
        <v>Stone</v>
      </c>
      <c r="B7272" t="s">
        <v>14594</v>
      </c>
      <c r="C7272" t="s">
        <v>10</v>
      </c>
      <c r="D7272" t="s">
        <v>14617</v>
      </c>
      <c r="E7272" t="s">
        <v>14618</v>
      </c>
      <c r="G7272" s="1">
        <v>8.77</v>
      </c>
    </row>
    <row r="7273" spans="1:7" ht="14.25" hidden="1" customHeight="1" x14ac:dyDescent="0.45">
      <c r="A7273" t="str">
        <f>_xlfn.XLOOKUP(B7273,Ingot!$H$12:$H$119,Ingot!$G$12:$G$119,"")</f>
        <v>Stone</v>
      </c>
      <c r="B7273" t="s">
        <v>14594</v>
      </c>
      <c r="C7273" t="s">
        <v>10</v>
      </c>
      <c r="D7273" t="s">
        <v>14619</v>
      </c>
      <c r="E7273" t="s">
        <v>14620</v>
      </c>
      <c r="G7273" s="1">
        <v>3.5</v>
      </c>
    </row>
    <row r="7274" spans="1:7" ht="14.25" hidden="1" customHeight="1" x14ac:dyDescent="0.45">
      <c r="A7274" t="str">
        <f>_xlfn.XLOOKUP(B7274,Ingot!$H$12:$H$119,Ingot!$G$12:$G$119,"")</f>
        <v>Stone</v>
      </c>
      <c r="B7274" t="s">
        <v>14594</v>
      </c>
      <c r="C7274" t="s">
        <v>10</v>
      </c>
      <c r="D7274" t="s">
        <v>14621</v>
      </c>
      <c r="E7274" t="s">
        <v>14622</v>
      </c>
    </row>
    <row r="7275" spans="1:7" ht="14.25" hidden="1" customHeight="1" x14ac:dyDescent="0.45">
      <c r="A7275" t="str">
        <f>_xlfn.XLOOKUP(B7275,Ingot!$H$12:$H$119,Ingot!$G$12:$G$119,"")</f>
        <v>Stone</v>
      </c>
      <c r="B7275" t="s">
        <v>14594</v>
      </c>
      <c r="C7275" t="s">
        <v>10</v>
      </c>
      <c r="D7275" t="s">
        <v>14623</v>
      </c>
      <c r="E7275" t="s">
        <v>14624</v>
      </c>
      <c r="G7275" s="1">
        <v>2.2000000000000002</v>
      </c>
    </row>
    <row r="7276" spans="1:7" ht="14.25" hidden="1" customHeight="1" x14ac:dyDescent="0.45">
      <c r="A7276" t="str">
        <f>_xlfn.XLOOKUP(B7276,Ingot!$H$12:$H$119,Ingot!$G$12:$G$119,"")</f>
        <v>Stone</v>
      </c>
      <c r="B7276" t="s">
        <v>14594</v>
      </c>
      <c r="C7276" t="s">
        <v>10</v>
      </c>
      <c r="D7276" t="s">
        <v>14625</v>
      </c>
      <c r="E7276" t="s">
        <v>14626</v>
      </c>
      <c r="G7276" s="1">
        <v>1.1000000000000001</v>
      </c>
    </row>
    <row r="7277" spans="1:7" ht="14.25" hidden="1" customHeight="1" x14ac:dyDescent="0.45">
      <c r="A7277" t="str">
        <f>_xlfn.XLOOKUP(B7277,Ingot!$H$12:$H$119,Ingot!$G$12:$G$119,"")</f>
        <v>Stone</v>
      </c>
      <c r="B7277" t="s">
        <v>14594</v>
      </c>
      <c r="C7277" t="s">
        <v>10</v>
      </c>
      <c r="D7277" t="s">
        <v>14627</v>
      </c>
      <c r="E7277" t="s">
        <v>14628</v>
      </c>
      <c r="G7277" s="1">
        <v>0.22</v>
      </c>
    </row>
    <row r="7278" spans="1:7" ht="14.25" hidden="1" customHeight="1" x14ac:dyDescent="0.45">
      <c r="A7278" t="str">
        <f>_xlfn.XLOOKUP(B7278,Ingot!$H$12:$H$119,Ingot!$G$12:$G$119,"")</f>
        <v>Stone</v>
      </c>
      <c r="B7278" t="s">
        <v>14594</v>
      </c>
      <c r="C7278" t="s">
        <v>10</v>
      </c>
      <c r="D7278" t="s">
        <v>14629</v>
      </c>
      <c r="E7278" t="s">
        <v>14630</v>
      </c>
      <c r="G7278" s="1">
        <v>8.41</v>
      </c>
    </row>
    <row r="7279" spans="1:7" ht="14.25" hidden="1" customHeight="1" x14ac:dyDescent="0.45">
      <c r="A7279" t="str">
        <f>_xlfn.XLOOKUP(B7279,Ingot!$H$12:$H$119,Ingot!$G$12:$G$119,"")</f>
        <v>Stone</v>
      </c>
      <c r="B7279" t="s">
        <v>14594</v>
      </c>
      <c r="C7279" t="s">
        <v>10</v>
      </c>
      <c r="D7279" t="s">
        <v>14631</v>
      </c>
      <c r="E7279" t="s">
        <v>14632</v>
      </c>
      <c r="G7279" s="1">
        <v>3.64</v>
      </c>
    </row>
    <row r="7280" spans="1:7" ht="14.25" hidden="1" customHeight="1" x14ac:dyDescent="0.45">
      <c r="A7280" t="str">
        <f>_xlfn.XLOOKUP(B7280,Ingot!$H$12:$H$119,Ingot!$G$12:$G$119,"")</f>
        <v>Stone</v>
      </c>
      <c r="B7280" t="s">
        <v>14594</v>
      </c>
      <c r="C7280" t="s">
        <v>10</v>
      </c>
      <c r="D7280" t="s">
        <v>14633</v>
      </c>
      <c r="E7280" t="s">
        <v>14634</v>
      </c>
      <c r="G7280" s="1">
        <v>7.05</v>
      </c>
    </row>
    <row r="7281" spans="1:7" ht="14.25" hidden="1" customHeight="1" x14ac:dyDescent="0.45">
      <c r="A7281" t="str">
        <f>_xlfn.XLOOKUP(B7281,Ingot!$H$12:$H$119,Ingot!$G$12:$G$119,"")</f>
        <v>Stone</v>
      </c>
      <c r="B7281" t="s">
        <v>14594</v>
      </c>
      <c r="C7281" t="s">
        <v>10</v>
      </c>
      <c r="D7281" t="s">
        <v>14635</v>
      </c>
      <c r="E7281" t="s">
        <v>14636</v>
      </c>
      <c r="G7281" s="1">
        <v>2.65</v>
      </c>
    </row>
    <row r="7282" spans="1:7" ht="14.25" hidden="1" customHeight="1" x14ac:dyDescent="0.45">
      <c r="A7282" t="str">
        <f>_xlfn.XLOOKUP(B7282,Ingot!$H$12:$H$119,Ingot!$G$12:$G$119,"")</f>
        <v>Stone</v>
      </c>
      <c r="B7282" t="s">
        <v>14594</v>
      </c>
      <c r="C7282" t="s">
        <v>10</v>
      </c>
      <c r="D7282" t="s">
        <v>14637</v>
      </c>
      <c r="E7282" t="s">
        <v>14638</v>
      </c>
      <c r="G7282" s="1">
        <v>9</v>
      </c>
    </row>
    <row r="7283" spans="1:7" ht="14.25" hidden="1" customHeight="1" x14ac:dyDescent="0.45">
      <c r="A7283" t="str">
        <f>_xlfn.XLOOKUP(B7283,Ingot!$H$12:$H$119,Ingot!$G$12:$G$119,"")</f>
        <v>Stone</v>
      </c>
      <c r="B7283" t="s">
        <v>14594</v>
      </c>
      <c r="C7283" t="s">
        <v>10</v>
      </c>
      <c r="D7283" t="s">
        <v>14639</v>
      </c>
      <c r="E7283" t="s">
        <v>14640</v>
      </c>
      <c r="G7283" s="1">
        <v>10.23</v>
      </c>
    </row>
    <row r="7284" spans="1:7" ht="14.25" hidden="1" customHeight="1" x14ac:dyDescent="0.45">
      <c r="A7284" t="str">
        <f>_xlfn.XLOOKUP(B7284,Ingot!$H$12:$H$119,Ingot!$G$12:$G$119,"")</f>
        <v>Stone</v>
      </c>
      <c r="B7284" t="s">
        <v>14594</v>
      </c>
      <c r="C7284" t="s">
        <v>10</v>
      </c>
      <c r="D7284" t="s">
        <v>14641</v>
      </c>
      <c r="E7284" t="s">
        <v>14642</v>
      </c>
      <c r="G7284" s="1">
        <v>7.7</v>
      </c>
    </row>
    <row r="7285" spans="1:7" ht="14.25" hidden="1" customHeight="1" x14ac:dyDescent="0.45">
      <c r="A7285" t="str">
        <f>_xlfn.XLOOKUP(B7285,Ingot!$H$12:$H$119,Ingot!$G$12:$G$119,"")</f>
        <v>Stone</v>
      </c>
      <c r="B7285" t="s">
        <v>14594</v>
      </c>
      <c r="C7285" t="s">
        <v>10</v>
      </c>
      <c r="D7285" t="s">
        <v>14643</v>
      </c>
      <c r="E7285" t="s">
        <v>14644</v>
      </c>
      <c r="G7285" s="1">
        <v>10.02</v>
      </c>
    </row>
    <row r="7286" spans="1:7" ht="14.25" hidden="1" customHeight="1" x14ac:dyDescent="0.45">
      <c r="A7286" t="str">
        <f>_xlfn.XLOOKUP(B7286,Ingot!$H$12:$H$119,Ingot!$G$12:$G$119,"")</f>
        <v>Stone</v>
      </c>
      <c r="B7286" t="s">
        <v>14594</v>
      </c>
      <c r="C7286" t="s">
        <v>10</v>
      </c>
      <c r="D7286" t="s">
        <v>14645</v>
      </c>
      <c r="E7286" t="s">
        <v>14646</v>
      </c>
      <c r="G7286" s="1">
        <v>11.81</v>
      </c>
    </row>
    <row r="7287" spans="1:7" ht="14.25" hidden="1" customHeight="1" x14ac:dyDescent="0.45">
      <c r="A7287" t="str">
        <f>_xlfn.XLOOKUP(B7287,Ingot!$H$12:$H$119,Ingot!$G$12:$G$119,"")</f>
        <v>Stone</v>
      </c>
      <c r="B7287" t="s">
        <v>14594</v>
      </c>
      <c r="C7287" t="s">
        <v>10</v>
      </c>
      <c r="D7287" t="s">
        <v>14647</v>
      </c>
      <c r="E7287" t="s">
        <v>14648</v>
      </c>
      <c r="G7287" s="1">
        <v>8.44</v>
      </c>
    </row>
    <row r="7288" spans="1:7" ht="14.25" hidden="1" customHeight="1" x14ac:dyDescent="0.45">
      <c r="A7288" t="str">
        <f>_xlfn.XLOOKUP(B7288,Ingot!$H$12:$H$119,Ingot!$G$12:$G$119,"")</f>
        <v>Stone</v>
      </c>
      <c r="B7288" t="s">
        <v>14594</v>
      </c>
      <c r="C7288" t="s">
        <v>10</v>
      </c>
      <c r="D7288" t="s">
        <v>14649</v>
      </c>
      <c r="E7288" t="s">
        <v>14650</v>
      </c>
      <c r="G7288" s="1">
        <v>10.42</v>
      </c>
    </row>
    <row r="7289" spans="1:7" ht="14.25" hidden="1" customHeight="1" x14ac:dyDescent="0.45">
      <c r="A7289" t="str">
        <f>_xlfn.XLOOKUP(B7289,Ingot!$H$12:$H$119,Ingot!$G$12:$G$119,"")</f>
        <v>Stone</v>
      </c>
      <c r="B7289" t="s">
        <v>14594</v>
      </c>
      <c r="C7289" t="s">
        <v>10</v>
      </c>
      <c r="D7289" t="s">
        <v>14651</v>
      </c>
      <c r="E7289" t="s">
        <v>14652</v>
      </c>
    </row>
    <row r="7290" spans="1:7" ht="14.25" hidden="1" customHeight="1" x14ac:dyDescent="0.45">
      <c r="A7290" t="str">
        <f>_xlfn.XLOOKUP(B7290,Ingot!$H$12:$H$119,Ingot!$G$12:$G$119,"")</f>
        <v>Stone</v>
      </c>
      <c r="B7290" t="s">
        <v>14594</v>
      </c>
      <c r="C7290" t="s">
        <v>10</v>
      </c>
      <c r="D7290" t="s">
        <v>14653</v>
      </c>
      <c r="E7290" t="s">
        <v>14654</v>
      </c>
      <c r="G7290" s="1">
        <v>7.96</v>
      </c>
    </row>
    <row r="7291" spans="1:7" ht="14.25" hidden="1" customHeight="1" x14ac:dyDescent="0.45">
      <c r="A7291" t="str">
        <f>_xlfn.XLOOKUP(B7291,Ingot!$H$12:$H$119,Ingot!$G$12:$G$119,"")</f>
        <v>Stone</v>
      </c>
      <c r="B7291" t="s">
        <v>14594</v>
      </c>
      <c r="C7291" t="s">
        <v>10</v>
      </c>
      <c r="D7291" t="s">
        <v>14655</v>
      </c>
      <c r="E7291" t="s">
        <v>14656</v>
      </c>
      <c r="G7291" s="1">
        <v>9.64</v>
      </c>
    </row>
    <row r="7292" spans="1:7" ht="14.25" hidden="1" customHeight="1" x14ac:dyDescent="0.45">
      <c r="A7292" t="str">
        <f>_xlfn.XLOOKUP(B7292,Ingot!$H$12:$H$119,Ingot!$G$12:$G$119,"")</f>
        <v>Stone</v>
      </c>
      <c r="B7292" t="s">
        <v>14594</v>
      </c>
      <c r="C7292" t="s">
        <v>10</v>
      </c>
      <c r="D7292" t="s">
        <v>14657</v>
      </c>
      <c r="E7292" t="s">
        <v>14658</v>
      </c>
      <c r="G7292" s="1">
        <v>7.94</v>
      </c>
    </row>
    <row r="7293" spans="1:7" ht="14.25" hidden="1" customHeight="1" x14ac:dyDescent="0.45">
      <c r="A7293" t="str">
        <f>_xlfn.XLOOKUP(B7293,Ingot!$H$12:$H$119,Ingot!$G$12:$G$119,"")</f>
        <v>Stone</v>
      </c>
      <c r="B7293" t="s">
        <v>14594</v>
      </c>
      <c r="C7293" t="s">
        <v>10</v>
      </c>
      <c r="D7293" t="s">
        <v>14659</v>
      </c>
      <c r="E7293" t="s">
        <v>14660</v>
      </c>
      <c r="G7293" s="1">
        <v>8.66</v>
      </c>
    </row>
    <row r="7294" spans="1:7" ht="14.25" hidden="1" customHeight="1" x14ac:dyDescent="0.45">
      <c r="A7294" t="str">
        <f>_xlfn.XLOOKUP(B7294,Ingot!$H$12:$H$119,Ingot!$G$12:$G$119,"")</f>
        <v>Stone</v>
      </c>
      <c r="B7294" t="s">
        <v>14594</v>
      </c>
      <c r="C7294" t="s">
        <v>10</v>
      </c>
      <c r="D7294" t="s">
        <v>14661</v>
      </c>
      <c r="E7294" t="s">
        <v>14662</v>
      </c>
    </row>
    <row r="7295" spans="1:7" ht="14.25" hidden="1" customHeight="1" x14ac:dyDescent="0.45">
      <c r="A7295" t="str">
        <f>_xlfn.XLOOKUP(B7295,Ingot!$H$12:$H$119,Ingot!$G$12:$G$119,"")</f>
        <v>Stone</v>
      </c>
      <c r="B7295" t="s">
        <v>14594</v>
      </c>
      <c r="C7295" t="s">
        <v>10</v>
      </c>
      <c r="D7295" t="s">
        <v>14663</v>
      </c>
      <c r="E7295" t="s">
        <v>14664</v>
      </c>
      <c r="G7295" s="1">
        <v>2.65</v>
      </c>
    </row>
    <row r="7296" spans="1:7" ht="14.25" hidden="1" customHeight="1" x14ac:dyDescent="0.45">
      <c r="A7296" t="str">
        <f>_xlfn.XLOOKUP(B7296,Ingot!$H$12:$H$119,Ingot!$G$12:$G$119,"")</f>
        <v>Stone</v>
      </c>
      <c r="B7296" t="s">
        <v>14594</v>
      </c>
      <c r="C7296" t="s">
        <v>10</v>
      </c>
      <c r="D7296" t="s">
        <v>14665</v>
      </c>
      <c r="E7296" t="s">
        <v>14666</v>
      </c>
    </row>
    <row r="7297" spans="1:7" ht="14.25" hidden="1" customHeight="1" x14ac:dyDescent="0.45">
      <c r="A7297" t="str">
        <f>_xlfn.XLOOKUP(B7297,Ingot!$H$12:$H$119,Ingot!$G$12:$G$119,"")</f>
        <v>Stone</v>
      </c>
      <c r="B7297" t="s">
        <v>14594</v>
      </c>
      <c r="C7297" t="s">
        <v>10</v>
      </c>
      <c r="D7297" t="s">
        <v>14667</v>
      </c>
      <c r="E7297" t="s">
        <v>14668</v>
      </c>
      <c r="G7297" s="1">
        <v>12.64</v>
      </c>
    </row>
    <row r="7298" spans="1:7" ht="14.25" hidden="1" customHeight="1" x14ac:dyDescent="0.45">
      <c r="A7298" t="str">
        <f>_xlfn.XLOOKUP(B7298,Ingot!$H$12:$H$119,Ingot!$G$12:$G$119,"")</f>
        <v>Stone</v>
      </c>
      <c r="B7298" t="s">
        <v>14594</v>
      </c>
      <c r="C7298" t="s">
        <v>10</v>
      </c>
      <c r="D7298" t="s">
        <v>14669</v>
      </c>
      <c r="E7298" t="s">
        <v>14670</v>
      </c>
      <c r="G7298" s="1">
        <v>22.67</v>
      </c>
    </row>
    <row r="7299" spans="1:7" ht="14.25" hidden="1" customHeight="1" x14ac:dyDescent="0.45">
      <c r="A7299" t="str">
        <f>_xlfn.XLOOKUP(B7299,Ingot!$H$12:$H$119,Ingot!$G$12:$G$119,"")</f>
        <v>Stone</v>
      </c>
      <c r="B7299" t="s">
        <v>14594</v>
      </c>
      <c r="C7299" t="s">
        <v>10</v>
      </c>
      <c r="D7299" t="s">
        <v>14671</v>
      </c>
      <c r="E7299" t="s">
        <v>14672</v>
      </c>
      <c r="G7299" s="1">
        <v>8.3800000000000008</v>
      </c>
    </row>
    <row r="7300" spans="1:7" ht="14.25" hidden="1" customHeight="1" x14ac:dyDescent="0.45">
      <c r="A7300" t="str">
        <f>_xlfn.XLOOKUP(B7300,Ingot!$H$12:$H$119,Ingot!$G$12:$G$119,"")</f>
        <v>Stone</v>
      </c>
      <c r="B7300" t="s">
        <v>14594</v>
      </c>
      <c r="C7300" t="s">
        <v>10</v>
      </c>
      <c r="D7300" t="s">
        <v>14673</v>
      </c>
      <c r="E7300" t="s">
        <v>14674</v>
      </c>
      <c r="G7300" s="1">
        <v>2.2000000000000002</v>
      </c>
    </row>
    <row r="7301" spans="1:7" ht="14.25" hidden="1" customHeight="1" x14ac:dyDescent="0.45">
      <c r="A7301" t="str">
        <f>_xlfn.XLOOKUP(B7301,Ingot!$H$12:$H$119,Ingot!$G$12:$G$119,"")</f>
        <v>Stone</v>
      </c>
      <c r="B7301" t="s">
        <v>14594</v>
      </c>
      <c r="C7301" t="s">
        <v>10</v>
      </c>
      <c r="D7301" t="s">
        <v>14675</v>
      </c>
      <c r="E7301" t="s">
        <v>14676</v>
      </c>
      <c r="G7301" s="1">
        <v>3.09</v>
      </c>
    </row>
    <row r="7302" spans="1:7" ht="14.25" hidden="1" customHeight="1" x14ac:dyDescent="0.45">
      <c r="A7302" t="str">
        <f>_xlfn.XLOOKUP(B7302,Ingot!$H$12:$H$119,Ingot!$G$12:$G$119,"")</f>
        <v>Stone</v>
      </c>
      <c r="B7302" t="s">
        <v>14594</v>
      </c>
      <c r="C7302" t="s">
        <v>10</v>
      </c>
      <c r="D7302" t="s">
        <v>14677</v>
      </c>
      <c r="E7302" t="s">
        <v>14678</v>
      </c>
      <c r="G7302" s="1">
        <v>2.2999999999999998</v>
      </c>
    </row>
    <row r="7303" spans="1:7" ht="14.25" hidden="1" customHeight="1" x14ac:dyDescent="0.45">
      <c r="A7303" t="str">
        <f>_xlfn.XLOOKUP(B7303,Ingot!$H$12:$H$119,Ingot!$G$12:$G$119,"")</f>
        <v>Stone</v>
      </c>
      <c r="B7303" t="s">
        <v>14594</v>
      </c>
      <c r="C7303" t="s">
        <v>10</v>
      </c>
      <c r="D7303" t="s">
        <v>14679</v>
      </c>
      <c r="E7303" t="s">
        <v>14680</v>
      </c>
      <c r="G7303" s="1">
        <v>4.88</v>
      </c>
    </row>
    <row r="7304" spans="1:7" ht="14.25" hidden="1" customHeight="1" x14ac:dyDescent="0.45">
      <c r="A7304" t="str">
        <f>_xlfn.XLOOKUP(B7304,Ingot!$H$12:$H$119,Ingot!$G$12:$G$119,"")</f>
        <v>Stone</v>
      </c>
      <c r="B7304" t="s">
        <v>14594</v>
      </c>
      <c r="C7304" t="s">
        <v>10</v>
      </c>
      <c r="D7304" t="s">
        <v>14681</v>
      </c>
      <c r="E7304" t="s">
        <v>14682</v>
      </c>
      <c r="G7304" s="1">
        <v>8.43</v>
      </c>
    </row>
    <row r="7305" spans="1:7" ht="14.25" hidden="1" customHeight="1" x14ac:dyDescent="0.45">
      <c r="A7305" t="str">
        <f>_xlfn.XLOOKUP(B7305,Ingot!$H$12:$H$119,Ingot!$G$12:$G$119,"")</f>
        <v>Stone</v>
      </c>
      <c r="B7305" t="s">
        <v>14594</v>
      </c>
      <c r="C7305" t="s">
        <v>10</v>
      </c>
      <c r="D7305" t="s">
        <v>14683</v>
      </c>
      <c r="E7305" t="s">
        <v>14684</v>
      </c>
      <c r="G7305" s="1">
        <v>13.07</v>
      </c>
    </row>
    <row r="7306" spans="1:7" ht="14.25" hidden="1" customHeight="1" x14ac:dyDescent="0.45">
      <c r="A7306" t="str">
        <f>_xlfn.XLOOKUP(B7306,Ingot!$H$12:$H$119,Ingot!$G$12:$G$119,"")</f>
        <v>Stone</v>
      </c>
      <c r="B7306" t="s">
        <v>14594</v>
      </c>
      <c r="C7306" t="s">
        <v>10</v>
      </c>
      <c r="D7306" t="s">
        <v>14685</v>
      </c>
      <c r="E7306" t="s">
        <v>14686</v>
      </c>
    </row>
    <row r="7307" spans="1:7" ht="14.25" hidden="1" customHeight="1" x14ac:dyDescent="0.45">
      <c r="A7307" t="str">
        <f>_xlfn.XLOOKUP(B7307,Ingot!$H$12:$H$119,Ingot!$G$12:$G$119,"")</f>
        <v>Stone</v>
      </c>
      <c r="B7307" t="s">
        <v>14594</v>
      </c>
      <c r="C7307" t="s">
        <v>10</v>
      </c>
      <c r="D7307" t="s">
        <v>14687</v>
      </c>
      <c r="E7307" t="s">
        <v>14688</v>
      </c>
    </row>
    <row r="7308" spans="1:7" ht="14.25" hidden="1" customHeight="1" x14ac:dyDescent="0.45">
      <c r="A7308" t="str">
        <f>_xlfn.XLOOKUP(B7308,Ingot!$H$12:$H$119,Ingot!$G$12:$G$119,"")</f>
        <v>Stone</v>
      </c>
      <c r="B7308" t="s">
        <v>14594</v>
      </c>
      <c r="C7308" t="s">
        <v>10</v>
      </c>
      <c r="D7308" t="s">
        <v>14689</v>
      </c>
      <c r="E7308" t="s">
        <v>14690</v>
      </c>
      <c r="G7308" s="1">
        <v>6.8</v>
      </c>
    </row>
    <row r="7309" spans="1:7" ht="14.25" hidden="1" customHeight="1" x14ac:dyDescent="0.45">
      <c r="A7309" t="str">
        <f>_xlfn.XLOOKUP(B7309,Ingot!$H$12:$H$119,Ingot!$G$12:$G$119,"")</f>
        <v>Stone</v>
      </c>
      <c r="B7309" t="s">
        <v>14594</v>
      </c>
      <c r="C7309" t="s">
        <v>10</v>
      </c>
      <c r="D7309" t="s">
        <v>14691</v>
      </c>
      <c r="E7309" t="s">
        <v>14692</v>
      </c>
      <c r="G7309" s="1">
        <v>6.88</v>
      </c>
    </row>
    <row r="7310" spans="1:7" ht="14.25" hidden="1" customHeight="1" x14ac:dyDescent="0.45">
      <c r="A7310" t="str">
        <f>_xlfn.XLOOKUP(B7310,Ingot!$H$12:$H$119,Ingot!$G$12:$G$119,"")</f>
        <v>Stone</v>
      </c>
      <c r="B7310" t="s">
        <v>14594</v>
      </c>
      <c r="C7310" t="s">
        <v>10</v>
      </c>
      <c r="D7310" t="s">
        <v>14693</v>
      </c>
      <c r="E7310" t="s">
        <v>14694</v>
      </c>
      <c r="G7310" s="1">
        <v>5.5</v>
      </c>
    </row>
    <row r="7311" spans="1:7" ht="14.25" hidden="1" customHeight="1" x14ac:dyDescent="0.45">
      <c r="A7311" t="str">
        <f>_xlfn.XLOOKUP(B7311,Ingot!$H$12:$H$119,Ingot!$G$12:$G$119,"")</f>
        <v>Stone</v>
      </c>
      <c r="B7311" t="s">
        <v>14594</v>
      </c>
      <c r="C7311" t="s">
        <v>10</v>
      </c>
      <c r="D7311" t="s">
        <v>14695</v>
      </c>
      <c r="E7311" t="s">
        <v>14696</v>
      </c>
      <c r="G7311" s="1">
        <v>2.4300000000000002</v>
      </c>
    </row>
    <row r="7312" spans="1:7" ht="14.25" hidden="1" customHeight="1" x14ac:dyDescent="0.45">
      <c r="A7312" t="str">
        <f>_xlfn.XLOOKUP(B7312,Ingot!$H$12:$H$119,Ingot!$G$12:$G$119,"")</f>
        <v>Stone</v>
      </c>
      <c r="B7312" t="s">
        <v>14594</v>
      </c>
      <c r="C7312" t="s">
        <v>10</v>
      </c>
      <c r="D7312" t="s">
        <v>14697</v>
      </c>
      <c r="E7312" t="s">
        <v>14698</v>
      </c>
      <c r="G7312" s="1">
        <v>6.96</v>
      </c>
    </row>
    <row r="7313" spans="1:7" ht="14.25" hidden="1" customHeight="1" x14ac:dyDescent="0.45">
      <c r="A7313" t="str">
        <f>_xlfn.XLOOKUP(B7313,Ingot!$H$12:$H$119,Ingot!$G$12:$G$119,"")</f>
        <v>Stone</v>
      </c>
      <c r="B7313" t="s">
        <v>14594</v>
      </c>
      <c r="C7313" t="s">
        <v>10</v>
      </c>
      <c r="D7313" t="s">
        <v>14699</v>
      </c>
      <c r="E7313" t="s">
        <v>14700</v>
      </c>
      <c r="G7313" s="1">
        <v>6.32</v>
      </c>
    </row>
    <row r="7314" spans="1:7" ht="14.25" hidden="1" customHeight="1" x14ac:dyDescent="0.45">
      <c r="A7314" t="str">
        <f>_xlfn.XLOOKUP(B7314,Ingot!$H$12:$H$119,Ingot!$G$12:$G$119,"")</f>
        <v>Stone</v>
      </c>
      <c r="B7314" t="s">
        <v>14594</v>
      </c>
      <c r="C7314" t="s">
        <v>10</v>
      </c>
      <c r="D7314" t="s">
        <v>14701</v>
      </c>
      <c r="E7314" t="s">
        <v>14702</v>
      </c>
      <c r="G7314" s="1">
        <v>6.88</v>
      </c>
    </row>
    <row r="7315" spans="1:7" ht="14.25" hidden="1" customHeight="1" x14ac:dyDescent="0.45">
      <c r="A7315" t="str">
        <f>_xlfn.XLOOKUP(B7315,Ingot!$H$12:$H$119,Ingot!$G$12:$G$119,"")</f>
        <v>Stone</v>
      </c>
      <c r="B7315" t="s">
        <v>14594</v>
      </c>
      <c r="C7315" t="s">
        <v>10</v>
      </c>
      <c r="D7315" t="s">
        <v>14703</v>
      </c>
      <c r="E7315" t="s">
        <v>14704</v>
      </c>
      <c r="G7315" s="1">
        <v>2.44</v>
      </c>
    </row>
    <row r="7316" spans="1:7" ht="14.25" hidden="1" customHeight="1" x14ac:dyDescent="0.45">
      <c r="A7316" t="str">
        <f>_xlfn.XLOOKUP(B7316,Ingot!$H$12:$H$119,Ingot!$G$12:$G$119,"")</f>
        <v>Stone</v>
      </c>
      <c r="B7316" t="s">
        <v>14594</v>
      </c>
      <c r="C7316" t="s">
        <v>10</v>
      </c>
      <c r="D7316" t="s">
        <v>14705</v>
      </c>
      <c r="E7316" t="s">
        <v>14706</v>
      </c>
    </row>
    <row r="7317" spans="1:7" ht="14.25" hidden="1" customHeight="1" x14ac:dyDescent="0.45">
      <c r="A7317" t="str">
        <f>_xlfn.XLOOKUP(B7317,Ingot!$H$12:$H$119,Ingot!$G$12:$G$119,"")</f>
        <v>Stone</v>
      </c>
      <c r="B7317" t="s">
        <v>14594</v>
      </c>
      <c r="C7317" t="s">
        <v>10</v>
      </c>
      <c r="D7317" t="s">
        <v>14707</v>
      </c>
      <c r="E7317" t="s">
        <v>14708</v>
      </c>
    </row>
    <row r="7318" spans="1:7" ht="14.25" hidden="1" customHeight="1" x14ac:dyDescent="0.45">
      <c r="A7318" t="str">
        <f>_xlfn.XLOOKUP(B7318,Ingot!$H$12:$H$119,Ingot!$G$12:$G$119,"")</f>
        <v>Stone</v>
      </c>
      <c r="B7318" t="s">
        <v>14594</v>
      </c>
      <c r="C7318" t="s">
        <v>10</v>
      </c>
      <c r="D7318" t="s">
        <v>14709</v>
      </c>
      <c r="E7318" t="s">
        <v>14710</v>
      </c>
      <c r="G7318" s="1">
        <v>3.11</v>
      </c>
    </row>
    <row r="7319" spans="1:7" ht="14.25" hidden="1" customHeight="1" x14ac:dyDescent="0.45">
      <c r="A7319" t="str">
        <f>_xlfn.XLOOKUP(B7319,Ingot!$H$12:$H$119,Ingot!$G$12:$G$119,"")</f>
        <v>Stone</v>
      </c>
      <c r="B7319" t="s">
        <v>14594</v>
      </c>
      <c r="C7319" t="s">
        <v>10</v>
      </c>
      <c r="D7319" t="s">
        <v>14711</v>
      </c>
      <c r="E7319" t="s">
        <v>14712</v>
      </c>
      <c r="G7319" s="1">
        <v>2.44</v>
      </c>
    </row>
    <row r="7320" spans="1:7" ht="14.25" hidden="1" customHeight="1" x14ac:dyDescent="0.45">
      <c r="A7320" t="str">
        <f>_xlfn.XLOOKUP(B7320,Ingot!$H$12:$H$119,Ingot!$G$12:$G$119,"")</f>
        <v>Stone</v>
      </c>
      <c r="B7320" t="s">
        <v>14594</v>
      </c>
      <c r="C7320" t="s">
        <v>10</v>
      </c>
      <c r="D7320" t="s">
        <v>14713</v>
      </c>
      <c r="E7320" t="s">
        <v>14714</v>
      </c>
      <c r="G7320" s="1">
        <v>8.61</v>
      </c>
    </row>
    <row r="7321" spans="1:7" ht="14.25" hidden="1" customHeight="1" x14ac:dyDescent="0.45">
      <c r="A7321" t="str">
        <f>_xlfn.XLOOKUP(B7321,Ingot!$H$12:$H$119,Ingot!$G$12:$G$119,"")</f>
        <v>Stone</v>
      </c>
      <c r="B7321" t="s">
        <v>14594</v>
      </c>
      <c r="C7321" t="s">
        <v>10</v>
      </c>
      <c r="D7321" t="s">
        <v>14715</v>
      </c>
      <c r="E7321" t="s">
        <v>14716</v>
      </c>
    </row>
    <row r="7322" spans="1:7" ht="14.25" hidden="1" customHeight="1" x14ac:dyDescent="0.45">
      <c r="A7322" t="str">
        <f>_xlfn.XLOOKUP(B7322,Ingot!$H$12:$H$119,Ingot!$G$12:$G$119,"")</f>
        <v>Stone</v>
      </c>
      <c r="B7322" t="s">
        <v>14594</v>
      </c>
      <c r="C7322" t="s">
        <v>10</v>
      </c>
      <c r="D7322" t="s">
        <v>14717</v>
      </c>
      <c r="E7322" t="s">
        <v>14718</v>
      </c>
      <c r="G7322" s="1">
        <v>3.21</v>
      </c>
    </row>
    <row r="7323" spans="1:7" ht="14.25" hidden="1" customHeight="1" x14ac:dyDescent="0.45">
      <c r="A7323" t="str">
        <f>_xlfn.XLOOKUP(B7323,Ingot!$H$12:$H$119,Ingot!$G$12:$G$119,"")</f>
        <v>Stone</v>
      </c>
      <c r="B7323" t="s">
        <v>14594</v>
      </c>
      <c r="C7323" t="s">
        <v>10</v>
      </c>
      <c r="D7323" t="s">
        <v>14719</v>
      </c>
      <c r="E7323" t="s">
        <v>14720</v>
      </c>
      <c r="G7323" s="1">
        <v>2.77</v>
      </c>
    </row>
    <row r="7324" spans="1:7" ht="14.25" hidden="1" customHeight="1" x14ac:dyDescent="0.45">
      <c r="A7324" t="str">
        <f>_xlfn.XLOOKUP(B7324,Ingot!$H$12:$H$119,Ingot!$G$12:$G$119,"")</f>
        <v>Stone</v>
      </c>
      <c r="B7324" t="s">
        <v>14594</v>
      </c>
      <c r="C7324" t="s">
        <v>10</v>
      </c>
      <c r="D7324" t="s">
        <v>14721</v>
      </c>
      <c r="E7324" t="s">
        <v>14722</v>
      </c>
      <c r="G7324" s="1">
        <v>4.8899999999999997</v>
      </c>
    </row>
    <row r="7325" spans="1:7" ht="14.25" hidden="1" customHeight="1" x14ac:dyDescent="0.45">
      <c r="A7325" t="str">
        <f>_xlfn.XLOOKUP(B7325,Ingot!$H$12:$H$119,Ingot!$G$12:$G$119,"")</f>
        <v>Stone</v>
      </c>
      <c r="B7325" t="s">
        <v>14594</v>
      </c>
      <c r="C7325" t="s">
        <v>10</v>
      </c>
      <c r="D7325" t="s">
        <v>14723</v>
      </c>
      <c r="E7325" t="s">
        <v>14724</v>
      </c>
      <c r="G7325" s="1">
        <v>1.76</v>
      </c>
    </row>
    <row r="7326" spans="1:7" ht="14.25" hidden="1" customHeight="1" x14ac:dyDescent="0.45">
      <c r="A7326" t="str">
        <f>_xlfn.XLOOKUP(B7326,Ingot!$H$12:$H$119,Ingot!$G$12:$G$119,"")</f>
        <v>Stone</v>
      </c>
      <c r="B7326" t="s">
        <v>14594</v>
      </c>
      <c r="C7326" t="s">
        <v>10</v>
      </c>
      <c r="D7326" t="s">
        <v>14725</v>
      </c>
      <c r="E7326" t="s">
        <v>14726</v>
      </c>
    </row>
    <row r="7327" spans="1:7" ht="14.25" hidden="1" customHeight="1" x14ac:dyDescent="0.45">
      <c r="A7327" t="str">
        <f>_xlfn.XLOOKUP(B7327,Ingot!$H$12:$H$119,Ingot!$G$12:$G$119,"")</f>
        <v>Stone</v>
      </c>
      <c r="B7327" t="s">
        <v>14594</v>
      </c>
      <c r="C7327" t="s">
        <v>10</v>
      </c>
      <c r="D7327" t="s">
        <v>14727</v>
      </c>
      <c r="E7327" t="s">
        <v>14728</v>
      </c>
      <c r="G7327" s="1">
        <v>8.57</v>
      </c>
    </row>
    <row r="7328" spans="1:7" ht="14.25" hidden="1" customHeight="1" x14ac:dyDescent="0.45">
      <c r="A7328" t="str">
        <f>_xlfn.XLOOKUP(B7328,Ingot!$H$12:$H$119,Ingot!$G$12:$G$119,"")</f>
        <v>Stone</v>
      </c>
      <c r="B7328" t="s">
        <v>14594</v>
      </c>
      <c r="C7328" t="s">
        <v>10</v>
      </c>
      <c r="D7328" t="s">
        <v>14729</v>
      </c>
      <c r="E7328" t="s">
        <v>14730</v>
      </c>
    </row>
    <row r="7329" spans="1:7" ht="14.25" hidden="1" customHeight="1" x14ac:dyDescent="0.45">
      <c r="A7329" t="str">
        <f>_xlfn.XLOOKUP(B7329,Ingot!$H$12:$H$119,Ingot!$G$12:$G$119,"")</f>
        <v>Stone</v>
      </c>
      <c r="B7329" t="s">
        <v>14594</v>
      </c>
      <c r="C7329" t="s">
        <v>10</v>
      </c>
      <c r="D7329" t="s">
        <v>14731</v>
      </c>
      <c r="E7329" t="s">
        <v>14732</v>
      </c>
      <c r="G7329" s="1">
        <v>3.56</v>
      </c>
    </row>
    <row r="7330" spans="1:7" ht="14.25" hidden="1" customHeight="1" x14ac:dyDescent="0.45">
      <c r="A7330" t="str">
        <f>_xlfn.XLOOKUP(B7330,Ingot!$H$12:$H$119,Ingot!$G$12:$G$119,"")</f>
        <v>Stone</v>
      </c>
      <c r="B7330" t="s">
        <v>14594</v>
      </c>
      <c r="C7330" t="s">
        <v>10</v>
      </c>
      <c r="D7330" t="s">
        <v>14733</v>
      </c>
      <c r="E7330" t="s">
        <v>14734</v>
      </c>
      <c r="G7330" s="1">
        <v>8.91</v>
      </c>
    </row>
    <row r="7331" spans="1:7" ht="14.25" hidden="1" customHeight="1" x14ac:dyDescent="0.45">
      <c r="A7331" t="str">
        <f>_xlfn.XLOOKUP(B7331,Ingot!$H$12:$H$119,Ingot!$G$12:$G$119,"")</f>
        <v>Stone</v>
      </c>
      <c r="B7331" t="s">
        <v>14594</v>
      </c>
      <c r="C7331" t="s">
        <v>10</v>
      </c>
      <c r="D7331" t="s">
        <v>14735</v>
      </c>
      <c r="E7331" t="s">
        <v>14736</v>
      </c>
      <c r="G7331" s="1">
        <v>11.02</v>
      </c>
    </row>
    <row r="7332" spans="1:7" ht="14.25" hidden="1" customHeight="1" x14ac:dyDescent="0.45">
      <c r="A7332" t="str">
        <f>_xlfn.XLOOKUP(B7332,Ingot!$H$12:$H$119,Ingot!$G$12:$G$119,"")</f>
        <v>Stone</v>
      </c>
      <c r="B7332" t="s">
        <v>14594</v>
      </c>
      <c r="C7332" t="s">
        <v>10</v>
      </c>
      <c r="D7332" t="s">
        <v>14737</v>
      </c>
      <c r="E7332" t="s">
        <v>14738</v>
      </c>
      <c r="G7332" s="1">
        <v>5.12</v>
      </c>
    </row>
    <row r="7333" spans="1:7" ht="14.25" hidden="1" customHeight="1" x14ac:dyDescent="0.45">
      <c r="A7333" t="str">
        <f>_xlfn.XLOOKUP(B7333,Ingot!$H$12:$H$119,Ingot!$G$12:$G$119,"")</f>
        <v>Stone</v>
      </c>
      <c r="B7333" t="s">
        <v>14594</v>
      </c>
      <c r="C7333" t="s">
        <v>10</v>
      </c>
      <c r="D7333" t="s">
        <v>14739</v>
      </c>
      <c r="E7333" t="s">
        <v>14740</v>
      </c>
      <c r="G7333" s="1">
        <v>4.41</v>
      </c>
    </row>
    <row r="7334" spans="1:7" ht="14.25" hidden="1" customHeight="1" x14ac:dyDescent="0.45">
      <c r="A7334" t="str">
        <f>_xlfn.XLOOKUP(B7334,Ingot!$H$12:$H$119,Ingot!$G$12:$G$119,"")</f>
        <v>Stone</v>
      </c>
      <c r="B7334" t="s">
        <v>14594</v>
      </c>
      <c r="C7334" t="s">
        <v>157</v>
      </c>
      <c r="D7334" t="s">
        <v>14741</v>
      </c>
      <c r="E7334" t="s">
        <v>14742</v>
      </c>
      <c r="G7334" s="1">
        <v>44</v>
      </c>
    </row>
    <row r="7335" spans="1:7" ht="14.25" hidden="1" customHeight="1" x14ac:dyDescent="0.45">
      <c r="A7335" t="str">
        <f>_xlfn.XLOOKUP(B7335,Ingot!$H$12:$H$119,Ingot!$G$12:$G$119,"")</f>
        <v>Stone</v>
      </c>
      <c r="B7335" t="s">
        <v>14594</v>
      </c>
      <c r="C7335" t="s">
        <v>157</v>
      </c>
      <c r="D7335" t="s">
        <v>14743</v>
      </c>
      <c r="E7335" t="s">
        <v>14744</v>
      </c>
      <c r="G7335" s="1">
        <v>8.8000000000000007</v>
      </c>
    </row>
    <row r="7336" spans="1:7" ht="14.25" hidden="1" customHeight="1" x14ac:dyDescent="0.45">
      <c r="A7336" t="str">
        <f>_xlfn.XLOOKUP(B7336,Ingot!$H$12:$H$119,Ingot!$G$12:$G$119,"")</f>
        <v>Stone</v>
      </c>
      <c r="B7336" t="s">
        <v>14594</v>
      </c>
      <c r="C7336" t="s">
        <v>157</v>
      </c>
      <c r="D7336" t="s">
        <v>14745</v>
      </c>
      <c r="E7336" t="s">
        <v>14746</v>
      </c>
      <c r="G7336" s="1">
        <v>8.8000000000000007</v>
      </c>
    </row>
    <row r="7337" spans="1:7" ht="14.25" hidden="1" customHeight="1" x14ac:dyDescent="0.45">
      <c r="A7337" t="str">
        <f>_xlfn.XLOOKUP(B7337,Ingot!$H$12:$H$119,Ingot!$G$12:$G$119,"")</f>
        <v>Stone</v>
      </c>
      <c r="B7337" t="s">
        <v>14594</v>
      </c>
      <c r="C7337" t="s">
        <v>157</v>
      </c>
      <c r="D7337" t="s">
        <v>14747</v>
      </c>
      <c r="E7337" t="s">
        <v>14748</v>
      </c>
      <c r="G7337" s="1">
        <v>5.72</v>
      </c>
    </row>
    <row r="7338" spans="1:7" ht="14.25" hidden="1" customHeight="1" x14ac:dyDescent="0.45">
      <c r="A7338" t="str">
        <f>_xlfn.XLOOKUP(B7338,Ingot!$H$12:$H$119,Ingot!$G$12:$G$119,"")</f>
        <v>Stone</v>
      </c>
      <c r="B7338" t="s">
        <v>14594</v>
      </c>
      <c r="C7338" t="s">
        <v>157</v>
      </c>
      <c r="D7338" t="s">
        <v>14749</v>
      </c>
      <c r="E7338" t="s">
        <v>14750</v>
      </c>
      <c r="G7338" s="1">
        <v>11.44</v>
      </c>
    </row>
    <row r="7339" spans="1:7" ht="14.25" hidden="1" customHeight="1" x14ac:dyDescent="0.45">
      <c r="A7339" t="str">
        <f>_xlfn.XLOOKUP(B7339,Ingot!$H$12:$H$119,Ingot!$G$12:$G$119,"")</f>
        <v>Stone</v>
      </c>
      <c r="B7339" t="s">
        <v>14594</v>
      </c>
      <c r="C7339" t="s">
        <v>157</v>
      </c>
      <c r="D7339" t="s">
        <v>14751</v>
      </c>
      <c r="E7339" t="s">
        <v>14752</v>
      </c>
      <c r="G7339" s="1">
        <v>40</v>
      </c>
    </row>
    <row r="7340" spans="1:7" ht="14.25" hidden="1" customHeight="1" x14ac:dyDescent="0.45">
      <c r="A7340" t="str">
        <f>_xlfn.XLOOKUP(B7340,Ingot!$H$12:$H$119,Ingot!$G$12:$G$119,"")</f>
        <v>Stone</v>
      </c>
      <c r="B7340" t="s">
        <v>14594</v>
      </c>
      <c r="C7340" t="s">
        <v>157</v>
      </c>
      <c r="D7340" t="s">
        <v>14753</v>
      </c>
      <c r="E7340" t="s">
        <v>14754</v>
      </c>
      <c r="G7340" s="1">
        <v>8</v>
      </c>
    </row>
    <row r="7341" spans="1:7" ht="14.25" hidden="1" customHeight="1" x14ac:dyDescent="0.45">
      <c r="A7341" t="str">
        <f>_xlfn.XLOOKUP(B7341,Ingot!$H$12:$H$119,Ingot!$G$12:$G$119,"")</f>
        <v>Stone</v>
      </c>
      <c r="B7341" t="s">
        <v>14594</v>
      </c>
      <c r="C7341" t="s">
        <v>157</v>
      </c>
      <c r="D7341" t="s">
        <v>14755</v>
      </c>
      <c r="E7341" t="s">
        <v>14756</v>
      </c>
      <c r="G7341" s="1">
        <v>8</v>
      </c>
    </row>
    <row r="7342" spans="1:7" ht="14.25" hidden="1" customHeight="1" x14ac:dyDescent="0.45">
      <c r="A7342" t="str">
        <f>_xlfn.XLOOKUP(B7342,Ingot!$H$12:$H$119,Ingot!$G$12:$G$119,"")</f>
        <v>Stone</v>
      </c>
      <c r="B7342" t="s">
        <v>14594</v>
      </c>
      <c r="C7342" t="s">
        <v>157</v>
      </c>
      <c r="D7342" t="s">
        <v>14757</v>
      </c>
      <c r="E7342" t="s">
        <v>14758</v>
      </c>
      <c r="G7342" s="1">
        <v>5.2</v>
      </c>
    </row>
    <row r="7343" spans="1:7" ht="14.25" hidden="1" customHeight="1" x14ac:dyDescent="0.45">
      <c r="A7343" t="str">
        <f>_xlfn.XLOOKUP(B7343,Ingot!$H$12:$H$119,Ingot!$G$12:$G$119,"")</f>
        <v>Stone</v>
      </c>
      <c r="B7343" t="s">
        <v>14594</v>
      </c>
      <c r="C7343" t="s">
        <v>157</v>
      </c>
      <c r="D7343" t="s">
        <v>14759</v>
      </c>
      <c r="E7343" t="s">
        <v>14760</v>
      </c>
      <c r="G7343" s="1">
        <v>10.4</v>
      </c>
    </row>
    <row r="7344" spans="1:7" ht="14.25" hidden="1" customHeight="1" x14ac:dyDescent="0.45">
      <c r="A7344" t="str">
        <f>_xlfn.XLOOKUP(B7344,Ingot!$H$12:$H$119,Ingot!$G$12:$G$119,"")</f>
        <v>Stone</v>
      </c>
      <c r="B7344" t="s">
        <v>14594</v>
      </c>
      <c r="C7344" t="s">
        <v>157</v>
      </c>
      <c r="D7344" t="s">
        <v>14761</v>
      </c>
      <c r="E7344" t="s">
        <v>14762</v>
      </c>
      <c r="F7344" t="s">
        <v>180</v>
      </c>
      <c r="G7344" s="1">
        <v>39</v>
      </c>
    </row>
    <row r="7345" spans="1:7" ht="14.25" hidden="1" customHeight="1" x14ac:dyDescent="0.45">
      <c r="A7345" t="str">
        <f>_xlfn.XLOOKUP(B7345,Ingot!$H$12:$H$119,Ingot!$G$12:$G$119,"")</f>
        <v>Stone</v>
      </c>
      <c r="B7345" t="s">
        <v>14594</v>
      </c>
      <c r="C7345" t="s">
        <v>157</v>
      </c>
      <c r="D7345" t="s">
        <v>14763</v>
      </c>
      <c r="E7345" t="s">
        <v>14764</v>
      </c>
      <c r="F7345" t="s">
        <v>180</v>
      </c>
      <c r="G7345" s="1">
        <v>7.8</v>
      </c>
    </row>
    <row r="7346" spans="1:7" ht="14.25" hidden="1" customHeight="1" x14ac:dyDescent="0.45">
      <c r="A7346" t="str">
        <f>_xlfn.XLOOKUP(B7346,Ingot!$H$12:$H$119,Ingot!$G$12:$G$119,"")</f>
        <v>Stone</v>
      </c>
      <c r="B7346" t="s">
        <v>14594</v>
      </c>
      <c r="C7346" t="s">
        <v>157</v>
      </c>
      <c r="D7346" t="s">
        <v>14765</v>
      </c>
      <c r="E7346" t="s">
        <v>14766</v>
      </c>
      <c r="F7346" t="s">
        <v>180</v>
      </c>
      <c r="G7346" s="1">
        <v>7.8</v>
      </c>
    </row>
    <row r="7347" spans="1:7" ht="14.25" hidden="1" customHeight="1" x14ac:dyDescent="0.45">
      <c r="A7347" t="str">
        <f>_xlfn.XLOOKUP(B7347,Ingot!$H$12:$H$119,Ingot!$G$12:$G$119,"")</f>
        <v>Stone</v>
      </c>
      <c r="B7347" t="s">
        <v>14594</v>
      </c>
      <c r="C7347" t="s">
        <v>157</v>
      </c>
      <c r="D7347" t="s">
        <v>14767</v>
      </c>
      <c r="E7347" t="s">
        <v>14768</v>
      </c>
      <c r="F7347" t="s">
        <v>180</v>
      </c>
      <c r="G7347" s="1">
        <v>5.07</v>
      </c>
    </row>
    <row r="7348" spans="1:7" ht="14.25" hidden="1" customHeight="1" x14ac:dyDescent="0.45">
      <c r="A7348" t="str">
        <f>_xlfn.XLOOKUP(B7348,Ingot!$H$12:$H$119,Ingot!$G$12:$G$119,"")</f>
        <v>Stone</v>
      </c>
      <c r="B7348" t="s">
        <v>14594</v>
      </c>
      <c r="C7348" t="s">
        <v>157</v>
      </c>
      <c r="D7348" t="s">
        <v>14769</v>
      </c>
      <c r="E7348" t="s">
        <v>14770</v>
      </c>
      <c r="F7348" t="s">
        <v>180</v>
      </c>
      <c r="G7348" s="1">
        <v>10.14</v>
      </c>
    </row>
    <row r="7349" spans="1:7" ht="14.25" hidden="1" customHeight="1" x14ac:dyDescent="0.45">
      <c r="A7349" t="str">
        <f>_xlfn.XLOOKUP(B7349,Ingot!$H$12:$H$119,Ingot!$G$12:$G$119,"")</f>
        <v>Stone</v>
      </c>
      <c r="B7349" t="s">
        <v>14594</v>
      </c>
      <c r="C7349" t="s">
        <v>157</v>
      </c>
      <c r="D7349" t="s">
        <v>14771</v>
      </c>
      <c r="E7349" t="s">
        <v>14772</v>
      </c>
      <c r="G7349" s="1">
        <v>41</v>
      </c>
    </row>
    <row r="7350" spans="1:7" ht="14.25" hidden="1" customHeight="1" x14ac:dyDescent="0.45">
      <c r="A7350" t="str">
        <f>_xlfn.XLOOKUP(B7350,Ingot!$H$12:$H$119,Ingot!$G$12:$G$119,"")</f>
        <v>Stone</v>
      </c>
      <c r="B7350" t="s">
        <v>14594</v>
      </c>
      <c r="C7350" t="s">
        <v>157</v>
      </c>
      <c r="D7350" t="s">
        <v>14773</v>
      </c>
      <c r="E7350" t="s">
        <v>14774</v>
      </c>
      <c r="G7350" s="1">
        <v>8.1999999999999993</v>
      </c>
    </row>
    <row r="7351" spans="1:7" ht="14.25" hidden="1" customHeight="1" x14ac:dyDescent="0.45">
      <c r="A7351" t="str">
        <f>_xlfn.XLOOKUP(B7351,Ingot!$H$12:$H$119,Ingot!$G$12:$G$119,"")</f>
        <v>Stone</v>
      </c>
      <c r="B7351" t="s">
        <v>14594</v>
      </c>
      <c r="C7351" t="s">
        <v>157</v>
      </c>
      <c r="D7351" t="s">
        <v>14775</v>
      </c>
      <c r="E7351" t="s">
        <v>14776</v>
      </c>
      <c r="G7351" s="1">
        <v>8.1999999999999993</v>
      </c>
    </row>
    <row r="7352" spans="1:7" ht="14.25" hidden="1" customHeight="1" x14ac:dyDescent="0.45">
      <c r="A7352" t="str">
        <f>_xlfn.XLOOKUP(B7352,Ingot!$H$12:$H$119,Ingot!$G$12:$G$119,"")</f>
        <v>Stone</v>
      </c>
      <c r="B7352" t="s">
        <v>14594</v>
      </c>
      <c r="C7352" t="s">
        <v>157</v>
      </c>
      <c r="D7352" t="s">
        <v>14777</v>
      </c>
      <c r="E7352" t="s">
        <v>14778</v>
      </c>
      <c r="G7352" s="1">
        <v>5.33</v>
      </c>
    </row>
    <row r="7353" spans="1:7" ht="14.25" hidden="1" customHeight="1" x14ac:dyDescent="0.45">
      <c r="A7353" t="str">
        <f>_xlfn.XLOOKUP(B7353,Ingot!$H$12:$H$119,Ingot!$G$12:$G$119,"")</f>
        <v>Stone</v>
      </c>
      <c r="B7353" t="s">
        <v>14594</v>
      </c>
      <c r="C7353" t="s">
        <v>157</v>
      </c>
      <c r="D7353" t="s">
        <v>14779</v>
      </c>
      <c r="E7353" t="s">
        <v>14780</v>
      </c>
      <c r="G7353" s="1">
        <v>10.66</v>
      </c>
    </row>
    <row r="7354" spans="1:7" ht="14.25" hidden="1" customHeight="1" x14ac:dyDescent="0.45">
      <c r="A7354" t="str">
        <f>_xlfn.XLOOKUP(B7354,Ingot!$H$12:$H$119,Ingot!$G$12:$G$119,"")</f>
        <v>Stone</v>
      </c>
      <c r="B7354" t="s">
        <v>14594</v>
      </c>
      <c r="C7354" t="s">
        <v>157</v>
      </c>
      <c r="D7354" t="s">
        <v>14781</v>
      </c>
      <c r="E7354" t="s">
        <v>14782</v>
      </c>
      <c r="G7354" s="1">
        <v>42.5</v>
      </c>
    </row>
    <row r="7355" spans="1:7" ht="14.25" hidden="1" customHeight="1" x14ac:dyDescent="0.45">
      <c r="A7355" t="str">
        <f>_xlfn.XLOOKUP(B7355,Ingot!$H$12:$H$119,Ingot!$G$12:$G$119,"")</f>
        <v>Stone</v>
      </c>
      <c r="B7355" t="s">
        <v>14594</v>
      </c>
      <c r="C7355" t="s">
        <v>157</v>
      </c>
      <c r="D7355" t="s">
        <v>14783</v>
      </c>
      <c r="E7355" t="s">
        <v>14784</v>
      </c>
      <c r="F7355" t="s">
        <v>180</v>
      </c>
      <c r="G7355" s="1">
        <v>8.5</v>
      </c>
    </row>
    <row r="7356" spans="1:7" ht="14.25" hidden="1" customHeight="1" x14ac:dyDescent="0.45">
      <c r="A7356" t="str">
        <f>_xlfn.XLOOKUP(B7356,Ingot!$H$12:$H$119,Ingot!$G$12:$G$119,"")</f>
        <v>Stone</v>
      </c>
      <c r="B7356" t="s">
        <v>14594</v>
      </c>
      <c r="C7356" t="s">
        <v>157</v>
      </c>
      <c r="D7356" t="s">
        <v>14785</v>
      </c>
      <c r="E7356" t="s">
        <v>14786</v>
      </c>
      <c r="F7356" t="s">
        <v>180</v>
      </c>
      <c r="G7356" s="1">
        <v>8.5</v>
      </c>
    </row>
    <row r="7357" spans="1:7" ht="14.25" hidden="1" customHeight="1" x14ac:dyDescent="0.45">
      <c r="A7357" t="str">
        <f>_xlfn.XLOOKUP(B7357,Ingot!$H$12:$H$119,Ingot!$G$12:$G$119,"")</f>
        <v>Stone</v>
      </c>
      <c r="B7357" t="s">
        <v>14594</v>
      </c>
      <c r="C7357" t="s">
        <v>157</v>
      </c>
      <c r="D7357" t="s">
        <v>14787</v>
      </c>
      <c r="E7357" t="s">
        <v>14788</v>
      </c>
      <c r="F7357" t="s">
        <v>180</v>
      </c>
      <c r="G7357" s="1">
        <v>5.53</v>
      </c>
    </row>
    <row r="7358" spans="1:7" ht="14.25" hidden="1" customHeight="1" x14ac:dyDescent="0.45">
      <c r="A7358" t="str">
        <f>_xlfn.XLOOKUP(B7358,Ingot!$H$12:$H$119,Ingot!$G$12:$G$119,"")</f>
        <v>Stone</v>
      </c>
      <c r="B7358" t="s">
        <v>14594</v>
      </c>
      <c r="C7358" t="s">
        <v>157</v>
      </c>
      <c r="D7358" t="s">
        <v>14789</v>
      </c>
      <c r="E7358" t="s">
        <v>14790</v>
      </c>
      <c r="G7358" s="1">
        <v>11.05</v>
      </c>
    </row>
    <row r="7359" spans="1:7" ht="14.25" hidden="1" customHeight="1" x14ac:dyDescent="0.45">
      <c r="A7359" t="str">
        <f>_xlfn.XLOOKUP(B7359,Ingot!$H$12:$H$119,Ingot!$G$12:$G$119,"")</f>
        <v>Stone</v>
      </c>
      <c r="B7359" t="s">
        <v>14594</v>
      </c>
      <c r="C7359" t="s">
        <v>157</v>
      </c>
      <c r="D7359" t="s">
        <v>14791</v>
      </c>
      <c r="E7359" t="s">
        <v>14792</v>
      </c>
      <c r="G7359" s="1">
        <v>47</v>
      </c>
    </row>
    <row r="7360" spans="1:7" ht="14.25" hidden="1" customHeight="1" x14ac:dyDescent="0.45">
      <c r="A7360" t="str">
        <f>_xlfn.XLOOKUP(B7360,Ingot!$H$12:$H$119,Ingot!$G$12:$G$119,"")</f>
        <v>Stone</v>
      </c>
      <c r="B7360" t="s">
        <v>14594</v>
      </c>
      <c r="C7360" t="s">
        <v>157</v>
      </c>
      <c r="D7360" t="s">
        <v>14793</v>
      </c>
      <c r="E7360" t="s">
        <v>14794</v>
      </c>
      <c r="G7360" s="1">
        <v>9.4</v>
      </c>
    </row>
    <row r="7361" spans="1:7" ht="14.25" hidden="1" customHeight="1" x14ac:dyDescent="0.45">
      <c r="A7361" t="str">
        <f>_xlfn.XLOOKUP(B7361,Ingot!$H$12:$H$119,Ingot!$G$12:$G$119,"")</f>
        <v>Stone</v>
      </c>
      <c r="B7361" t="s">
        <v>14594</v>
      </c>
      <c r="C7361" t="s">
        <v>157</v>
      </c>
      <c r="D7361" t="s">
        <v>14795</v>
      </c>
      <c r="E7361" t="s">
        <v>14796</v>
      </c>
      <c r="G7361" s="1">
        <v>9.4</v>
      </c>
    </row>
    <row r="7362" spans="1:7" ht="14.25" hidden="1" customHeight="1" x14ac:dyDescent="0.45">
      <c r="A7362" t="str">
        <f>_xlfn.XLOOKUP(B7362,Ingot!$H$12:$H$119,Ingot!$G$12:$G$119,"")</f>
        <v>Stone</v>
      </c>
      <c r="B7362" t="s">
        <v>14594</v>
      </c>
      <c r="C7362" t="s">
        <v>157</v>
      </c>
      <c r="D7362" t="s">
        <v>14797</v>
      </c>
      <c r="E7362" t="s">
        <v>14798</v>
      </c>
      <c r="G7362" s="1">
        <v>6.11</v>
      </c>
    </row>
    <row r="7363" spans="1:7" ht="14.25" hidden="1" customHeight="1" x14ac:dyDescent="0.45">
      <c r="A7363" t="str">
        <f>_xlfn.XLOOKUP(B7363,Ingot!$H$12:$H$119,Ingot!$G$12:$G$119,"")</f>
        <v>Stone</v>
      </c>
      <c r="B7363" t="s">
        <v>14594</v>
      </c>
      <c r="C7363" t="s">
        <v>157</v>
      </c>
      <c r="D7363" t="s">
        <v>14799</v>
      </c>
      <c r="E7363" t="s">
        <v>14800</v>
      </c>
      <c r="G7363" s="1">
        <v>12.22</v>
      </c>
    </row>
    <row r="7364" spans="1:7" ht="14.25" hidden="1" customHeight="1" x14ac:dyDescent="0.45">
      <c r="A7364" t="str">
        <f>_xlfn.XLOOKUP(B7364,Ingot!$H$12:$H$119,Ingot!$G$12:$G$119,"")</f>
        <v>Stone</v>
      </c>
      <c r="B7364" t="s">
        <v>14594</v>
      </c>
      <c r="C7364" t="s">
        <v>157</v>
      </c>
      <c r="D7364" t="s">
        <v>14801</v>
      </c>
      <c r="E7364" t="s">
        <v>14802</v>
      </c>
      <c r="G7364" s="1">
        <v>45.5</v>
      </c>
    </row>
    <row r="7365" spans="1:7" ht="14.25" hidden="1" customHeight="1" x14ac:dyDescent="0.45">
      <c r="A7365" t="str">
        <f>_xlfn.XLOOKUP(B7365,Ingot!$H$12:$H$119,Ingot!$G$12:$G$119,"")</f>
        <v>Stone</v>
      </c>
      <c r="B7365" t="s">
        <v>14594</v>
      </c>
      <c r="C7365" t="s">
        <v>157</v>
      </c>
      <c r="D7365" t="s">
        <v>14803</v>
      </c>
      <c r="E7365" t="s">
        <v>14804</v>
      </c>
      <c r="G7365" s="1">
        <v>9.1</v>
      </c>
    </row>
    <row r="7366" spans="1:7" ht="14.25" hidden="1" customHeight="1" x14ac:dyDescent="0.45">
      <c r="A7366" t="str">
        <f>_xlfn.XLOOKUP(B7366,Ingot!$H$12:$H$119,Ingot!$G$12:$G$119,"")</f>
        <v>Stone</v>
      </c>
      <c r="B7366" t="s">
        <v>14594</v>
      </c>
      <c r="C7366" t="s">
        <v>157</v>
      </c>
      <c r="D7366" t="s">
        <v>14805</v>
      </c>
      <c r="E7366" t="s">
        <v>14806</v>
      </c>
      <c r="G7366" s="1">
        <v>9.1</v>
      </c>
    </row>
    <row r="7367" spans="1:7" ht="14.25" hidden="1" customHeight="1" x14ac:dyDescent="0.45">
      <c r="A7367" t="str">
        <f>_xlfn.XLOOKUP(B7367,Ingot!$H$12:$H$119,Ingot!$G$12:$G$119,"")</f>
        <v>Stone</v>
      </c>
      <c r="B7367" t="s">
        <v>14594</v>
      </c>
      <c r="C7367" t="s">
        <v>157</v>
      </c>
      <c r="D7367" t="s">
        <v>14807</v>
      </c>
      <c r="E7367" t="s">
        <v>14808</v>
      </c>
      <c r="G7367" s="1">
        <v>5.92</v>
      </c>
    </row>
    <row r="7368" spans="1:7" ht="14.25" hidden="1" customHeight="1" x14ac:dyDescent="0.45">
      <c r="A7368" t="str">
        <f>_xlfn.XLOOKUP(B7368,Ingot!$H$12:$H$119,Ingot!$G$12:$G$119,"")</f>
        <v>Stone</v>
      </c>
      <c r="B7368" t="s">
        <v>14594</v>
      </c>
      <c r="C7368" t="s">
        <v>157</v>
      </c>
      <c r="D7368" t="s">
        <v>14809</v>
      </c>
      <c r="E7368" t="s">
        <v>14810</v>
      </c>
      <c r="G7368" s="1">
        <v>11.83</v>
      </c>
    </row>
    <row r="7369" spans="1:7" ht="14.25" hidden="1" customHeight="1" x14ac:dyDescent="0.45">
      <c r="A7369" t="str">
        <f>_xlfn.XLOOKUP(B7369,Ingot!$H$12:$H$119,Ingot!$G$12:$G$119,"")</f>
        <v>Stone</v>
      </c>
      <c r="B7369" t="s">
        <v>14594</v>
      </c>
      <c r="C7369" t="s">
        <v>157</v>
      </c>
      <c r="D7369" t="s">
        <v>14811</v>
      </c>
      <c r="E7369" t="s">
        <v>14812</v>
      </c>
      <c r="F7369" t="s">
        <v>180</v>
      </c>
      <c r="G7369" s="1">
        <v>38</v>
      </c>
    </row>
    <row r="7370" spans="1:7" ht="14.25" hidden="1" customHeight="1" x14ac:dyDescent="0.45">
      <c r="A7370" t="str">
        <f>_xlfn.XLOOKUP(B7370,Ingot!$H$12:$H$119,Ingot!$G$12:$G$119,"")</f>
        <v>Stone</v>
      </c>
      <c r="B7370" t="s">
        <v>14594</v>
      </c>
      <c r="C7370" t="s">
        <v>157</v>
      </c>
      <c r="D7370" t="s">
        <v>14813</v>
      </c>
      <c r="E7370" t="s">
        <v>14814</v>
      </c>
      <c r="F7370" t="s">
        <v>180</v>
      </c>
      <c r="G7370" s="1">
        <v>7.6</v>
      </c>
    </row>
    <row r="7371" spans="1:7" ht="14.25" hidden="1" customHeight="1" x14ac:dyDescent="0.45">
      <c r="A7371" t="str">
        <f>_xlfn.XLOOKUP(B7371,Ingot!$H$12:$H$119,Ingot!$G$12:$G$119,"")</f>
        <v>Stone</v>
      </c>
      <c r="B7371" t="s">
        <v>14594</v>
      </c>
      <c r="C7371" t="s">
        <v>157</v>
      </c>
      <c r="D7371" t="s">
        <v>14815</v>
      </c>
      <c r="E7371" t="s">
        <v>14816</v>
      </c>
      <c r="F7371" t="s">
        <v>180</v>
      </c>
      <c r="G7371" s="1">
        <v>7.6</v>
      </c>
    </row>
    <row r="7372" spans="1:7" ht="14.25" hidden="1" customHeight="1" x14ac:dyDescent="0.45">
      <c r="A7372" t="str">
        <f>_xlfn.XLOOKUP(B7372,Ingot!$H$12:$H$119,Ingot!$G$12:$G$119,"")</f>
        <v>Stone</v>
      </c>
      <c r="B7372" t="s">
        <v>14594</v>
      </c>
      <c r="C7372" t="s">
        <v>157</v>
      </c>
      <c r="D7372" t="s">
        <v>14817</v>
      </c>
      <c r="E7372" t="s">
        <v>14818</v>
      </c>
      <c r="F7372" t="s">
        <v>180</v>
      </c>
      <c r="G7372" s="1">
        <v>5</v>
      </c>
    </row>
    <row r="7373" spans="1:7" ht="14.25" hidden="1" customHeight="1" x14ac:dyDescent="0.45">
      <c r="A7373" t="str">
        <f>_xlfn.XLOOKUP(B7373,Ingot!$H$12:$H$119,Ingot!$G$12:$G$119,"")</f>
        <v>Stone</v>
      </c>
      <c r="B7373" t="s">
        <v>14594</v>
      </c>
      <c r="C7373" t="s">
        <v>157</v>
      </c>
      <c r="D7373" t="s">
        <v>14819</v>
      </c>
      <c r="E7373" t="s">
        <v>14820</v>
      </c>
      <c r="F7373" t="s">
        <v>180</v>
      </c>
      <c r="G7373" s="1">
        <v>10</v>
      </c>
    </row>
    <row r="7374" spans="1:7" ht="14.25" hidden="1" customHeight="1" x14ac:dyDescent="0.45">
      <c r="A7374" t="str">
        <f>_xlfn.XLOOKUP(B7374,Ingot!$H$12:$H$119,Ingot!$G$12:$G$119,"")</f>
        <v>Stone</v>
      </c>
      <c r="B7374" t="s">
        <v>14594</v>
      </c>
      <c r="C7374" t="s">
        <v>239</v>
      </c>
      <c r="D7374" t="s">
        <v>14821</v>
      </c>
      <c r="E7374" t="s">
        <v>14822</v>
      </c>
      <c r="G7374" s="1">
        <f>(VLOOKUP(B7374,Ingot!H:I,2,FALSE()) * 0.75) * 0.75</f>
        <v>4.5</v>
      </c>
    </row>
    <row r="7375" spans="1:7" ht="14.25" hidden="1" customHeight="1" x14ac:dyDescent="0.45">
      <c r="A7375" t="str">
        <f>_xlfn.XLOOKUP(B7375,Ingot!$H$12:$H$119,Ingot!$G$12:$G$119,"")</f>
        <v>Stone</v>
      </c>
      <c r="B7375" t="s">
        <v>14594</v>
      </c>
      <c r="C7375" t="s">
        <v>239</v>
      </c>
      <c r="D7375" t="s">
        <v>14823</v>
      </c>
      <c r="E7375" t="s">
        <v>14824</v>
      </c>
      <c r="G7375" s="1">
        <f>((VLOOKUP(B7375,Ingot!H:I,2,FALSE()) * 3) - 10.25) * 0.421875</f>
        <v>5.80078125</v>
      </c>
    </row>
    <row r="7376" spans="1:7" ht="14.25" hidden="1" customHeight="1" x14ac:dyDescent="0.45">
      <c r="A7376" t="str">
        <f>_xlfn.XLOOKUP(B7376,Ingot!$H$12:$H$119,Ingot!$G$12:$G$119,"")</f>
        <v>Stone</v>
      </c>
      <c r="B7376" t="s">
        <v>14594</v>
      </c>
      <c r="C7376" t="s">
        <v>239</v>
      </c>
      <c r="D7376" t="s">
        <v>14825</v>
      </c>
      <c r="E7376" t="s">
        <v>14826</v>
      </c>
      <c r="G7376" s="1">
        <f>((VLOOKUP(B7376,Ingot!H:I,2,FALSE()) * 3) - 10.25) * 0.75</f>
        <v>10.3125</v>
      </c>
    </row>
    <row r="7377" spans="1:7" ht="14.25" hidden="1" customHeight="1" x14ac:dyDescent="0.45">
      <c r="A7377" t="str">
        <f>_xlfn.XLOOKUP(B7377,Ingot!$H$12:$H$119,Ingot!$G$12:$G$119,"")</f>
        <v>Stone</v>
      </c>
      <c r="B7377" t="s">
        <v>14594</v>
      </c>
      <c r="C7377" t="s">
        <v>239</v>
      </c>
      <c r="D7377" t="s">
        <v>14827</v>
      </c>
      <c r="E7377" t="s">
        <v>14828</v>
      </c>
      <c r="G7377" s="1">
        <f>((VLOOKUP(B7377,Ingot!H:I,2,FALSE()) * 3) - 10.25) * 0.5625</f>
        <v>7.734375</v>
      </c>
    </row>
    <row r="7378" spans="1:7" ht="14.25" hidden="1" customHeight="1" x14ac:dyDescent="0.45">
      <c r="A7378" t="str">
        <f>_xlfn.XLOOKUP(B7378,Ingot!$H$12:$H$119,Ingot!$G$12:$G$119,"")</f>
        <v>Stone</v>
      </c>
      <c r="B7378" t="s">
        <v>14594</v>
      </c>
      <c r="C7378" t="s">
        <v>239</v>
      </c>
      <c r="D7378" t="s">
        <v>14829</v>
      </c>
      <c r="E7378" t="s">
        <v>14830</v>
      </c>
      <c r="G7378" s="1">
        <f>VLOOKUP(B7378,Ingot!H:I,2,FALSE()) * 0.75</f>
        <v>6</v>
      </c>
    </row>
    <row r="7379" spans="1:7" ht="14.25" hidden="1" customHeight="1" x14ac:dyDescent="0.45">
      <c r="A7379" t="str">
        <f>_xlfn.XLOOKUP(B7379,Ingot!$H$12:$H$119,Ingot!$G$12:$G$119,"")</f>
        <v>Stone</v>
      </c>
      <c r="B7379" t="s">
        <v>14594</v>
      </c>
      <c r="C7379" t="s">
        <v>239</v>
      </c>
      <c r="D7379" t="s">
        <v>14831</v>
      </c>
      <c r="E7379" t="s">
        <v>14832</v>
      </c>
      <c r="G7379" s="1">
        <f>(VLOOKUP(B7379,Ingot!H:I,2,FALSE()) * 3) - 10.25</f>
        <v>13.75</v>
      </c>
    </row>
    <row r="7380" spans="1:7" ht="14.25" hidden="1" customHeight="1" x14ac:dyDescent="0.45">
      <c r="A7380" t="str">
        <f>_xlfn.XLOOKUP(B7380,Ingot!$H$12:$H$119,Ingot!$G$12:$G$119,"")</f>
        <v>Cloth</v>
      </c>
      <c r="B7380" t="s">
        <v>14834</v>
      </c>
      <c r="C7380" t="s">
        <v>10</v>
      </c>
      <c r="D7380" t="s">
        <v>14835</v>
      </c>
      <c r="E7380" t="s">
        <v>14836</v>
      </c>
      <c r="G7380" s="1">
        <v>0.08</v>
      </c>
    </row>
    <row r="7381" spans="1:7" ht="14.25" hidden="1" customHeight="1" x14ac:dyDescent="0.45">
      <c r="A7381" t="str">
        <f>_xlfn.XLOOKUP(B7381,Ingot!$H$12:$H$119,Ingot!$G$12:$G$119,"")</f>
        <v>Cloth</v>
      </c>
      <c r="B7381" t="s">
        <v>14834</v>
      </c>
      <c r="C7381" t="s">
        <v>10</v>
      </c>
      <c r="D7381" t="s">
        <v>14837</v>
      </c>
      <c r="E7381" t="s">
        <v>14838</v>
      </c>
      <c r="G7381" s="1">
        <v>9.9</v>
      </c>
    </row>
    <row r="7382" spans="1:7" ht="14.25" hidden="1" customHeight="1" x14ac:dyDescent="0.45">
      <c r="A7382" t="str">
        <f>_xlfn.XLOOKUP(B7382,Ingot!$H$12:$H$119,Ingot!$G$12:$G$119,"")</f>
        <v>Cloth</v>
      </c>
      <c r="B7382" t="s">
        <v>14834</v>
      </c>
      <c r="C7382" t="s">
        <v>10</v>
      </c>
      <c r="D7382" t="s">
        <v>14839</v>
      </c>
      <c r="E7382" t="s">
        <v>14840</v>
      </c>
      <c r="G7382" s="1">
        <v>5.66</v>
      </c>
    </row>
    <row r="7383" spans="1:7" ht="14.25" hidden="1" customHeight="1" x14ac:dyDescent="0.45">
      <c r="A7383" t="str">
        <f>_xlfn.XLOOKUP(B7383,Ingot!$H$12:$H$119,Ingot!$G$12:$G$119,"")</f>
        <v>Cloth</v>
      </c>
      <c r="B7383" t="s">
        <v>14834</v>
      </c>
      <c r="C7383" t="s">
        <v>10</v>
      </c>
      <c r="D7383" t="s">
        <v>14841</v>
      </c>
      <c r="E7383" t="s">
        <v>14842</v>
      </c>
      <c r="G7383" s="1">
        <v>3.3</v>
      </c>
    </row>
    <row r="7384" spans="1:7" ht="14.25" hidden="1" customHeight="1" x14ac:dyDescent="0.45">
      <c r="A7384" t="str">
        <f>_xlfn.XLOOKUP(B7384,Ingot!$H$12:$H$119,Ingot!$G$12:$G$119,"")</f>
        <v>Cloth</v>
      </c>
      <c r="B7384" t="s">
        <v>14834</v>
      </c>
      <c r="C7384" t="s">
        <v>10</v>
      </c>
      <c r="D7384" t="s">
        <v>14843</v>
      </c>
      <c r="E7384" t="s">
        <v>14844</v>
      </c>
      <c r="G7384" s="1">
        <v>0.66</v>
      </c>
    </row>
    <row r="7385" spans="1:7" ht="14.25" hidden="1" customHeight="1" x14ac:dyDescent="0.45">
      <c r="A7385" t="str">
        <f>_xlfn.XLOOKUP(B7385,Ingot!$H$12:$H$119,Ingot!$G$12:$G$119,"")</f>
        <v>Cloth</v>
      </c>
      <c r="B7385" t="s">
        <v>14834</v>
      </c>
      <c r="C7385" t="s">
        <v>10</v>
      </c>
      <c r="D7385" t="s">
        <v>14845</v>
      </c>
      <c r="E7385" t="s">
        <v>14846</v>
      </c>
      <c r="G7385" s="1">
        <v>0.04</v>
      </c>
    </row>
    <row r="7386" spans="1:7" ht="14.25" hidden="1" customHeight="1" x14ac:dyDescent="0.45">
      <c r="A7386" t="str">
        <f>_xlfn.XLOOKUP(B7386,Ingot!$H$12:$H$119,Ingot!$G$12:$G$119,"")</f>
        <v>Cloth</v>
      </c>
      <c r="B7386" t="s">
        <v>14834</v>
      </c>
      <c r="C7386" t="s">
        <v>10</v>
      </c>
      <c r="D7386" t="s">
        <v>14847</v>
      </c>
      <c r="E7386" t="s">
        <v>14848</v>
      </c>
      <c r="G7386" s="1">
        <v>0.33</v>
      </c>
    </row>
    <row r="7387" spans="1:7" ht="14.25" hidden="1" customHeight="1" x14ac:dyDescent="0.45">
      <c r="A7387" t="str">
        <f>_xlfn.XLOOKUP(B7387,Ingot!$H$12:$H$119,Ingot!$G$12:$G$119,"")</f>
        <v>Cloth</v>
      </c>
      <c r="B7387" t="s">
        <v>14834</v>
      </c>
      <c r="C7387" t="s">
        <v>10</v>
      </c>
      <c r="D7387" t="s">
        <v>14849</v>
      </c>
      <c r="E7387" t="s">
        <v>14850</v>
      </c>
    </row>
    <row r="7388" spans="1:7" ht="14.25" hidden="1" customHeight="1" x14ac:dyDescent="0.45">
      <c r="A7388" t="str">
        <f>_xlfn.XLOOKUP(B7388,Ingot!$H$12:$H$119,Ingot!$G$12:$G$119,"")</f>
        <v>Cloth</v>
      </c>
      <c r="B7388" t="s">
        <v>14834</v>
      </c>
      <c r="C7388" t="s">
        <v>10</v>
      </c>
      <c r="D7388" t="s">
        <v>14851</v>
      </c>
      <c r="E7388" t="s">
        <v>14852</v>
      </c>
      <c r="G7388" s="1">
        <v>0.05</v>
      </c>
    </row>
    <row r="7389" spans="1:7" ht="14.25" hidden="1" customHeight="1" x14ac:dyDescent="0.45">
      <c r="A7389" t="str">
        <f>_xlfn.XLOOKUP(B7389,Ingot!$H$12:$H$119,Ingot!$G$12:$G$119,"")</f>
        <v>Cloth</v>
      </c>
      <c r="B7389" t="s">
        <v>14834</v>
      </c>
      <c r="C7389" t="s">
        <v>10</v>
      </c>
      <c r="D7389" t="s">
        <v>14853</v>
      </c>
      <c r="E7389" t="s">
        <v>14854</v>
      </c>
      <c r="G7389" s="1">
        <v>0.66</v>
      </c>
    </row>
    <row r="7390" spans="1:7" ht="14.25" hidden="1" customHeight="1" x14ac:dyDescent="0.45">
      <c r="A7390" t="str">
        <f>_xlfn.XLOOKUP(B7390,Ingot!$H$12:$H$119,Ingot!$G$12:$G$119,"")</f>
        <v>Cloth</v>
      </c>
      <c r="B7390" t="s">
        <v>14834</v>
      </c>
      <c r="C7390" t="s">
        <v>10</v>
      </c>
      <c r="D7390" t="s">
        <v>14855</v>
      </c>
      <c r="E7390" t="s">
        <v>14856</v>
      </c>
      <c r="G7390" s="1">
        <v>3.96</v>
      </c>
    </row>
    <row r="7391" spans="1:7" ht="14.25" hidden="1" customHeight="1" x14ac:dyDescent="0.45">
      <c r="A7391" t="str">
        <f>_xlfn.XLOOKUP(B7391,Ingot!$H$12:$H$119,Ingot!$G$12:$G$119,"")</f>
        <v>Cloth</v>
      </c>
      <c r="B7391" t="s">
        <v>14834</v>
      </c>
      <c r="C7391" t="s">
        <v>10</v>
      </c>
      <c r="D7391" t="s">
        <v>14857</v>
      </c>
      <c r="E7391" t="s">
        <v>14858</v>
      </c>
      <c r="G7391" s="1">
        <v>8.77</v>
      </c>
    </row>
    <row r="7392" spans="1:7" ht="14.25" hidden="1" customHeight="1" x14ac:dyDescent="0.45">
      <c r="A7392" t="str">
        <f>_xlfn.XLOOKUP(B7392,Ingot!$H$12:$H$119,Ingot!$G$12:$G$119,"")</f>
        <v>Cloth</v>
      </c>
      <c r="B7392" t="s">
        <v>14834</v>
      </c>
      <c r="C7392" t="s">
        <v>10</v>
      </c>
      <c r="D7392" t="s">
        <v>14859</v>
      </c>
      <c r="E7392" t="s">
        <v>14860</v>
      </c>
      <c r="G7392" s="1">
        <v>3.5</v>
      </c>
    </row>
    <row r="7393" spans="1:7" ht="14.25" hidden="1" customHeight="1" x14ac:dyDescent="0.45">
      <c r="A7393" t="str">
        <f>_xlfn.XLOOKUP(B7393,Ingot!$H$12:$H$119,Ingot!$G$12:$G$119,"")</f>
        <v>Cloth</v>
      </c>
      <c r="B7393" t="s">
        <v>14834</v>
      </c>
      <c r="C7393" t="s">
        <v>10</v>
      </c>
      <c r="D7393" t="s">
        <v>14861</v>
      </c>
      <c r="E7393" t="s">
        <v>14862</v>
      </c>
    </row>
    <row r="7394" spans="1:7" ht="14.25" hidden="1" customHeight="1" x14ac:dyDescent="0.45">
      <c r="A7394" t="str">
        <f>_xlfn.XLOOKUP(B7394,Ingot!$H$12:$H$119,Ingot!$G$12:$G$119,"")</f>
        <v>Cloth</v>
      </c>
      <c r="B7394" t="s">
        <v>14834</v>
      </c>
      <c r="C7394" t="s">
        <v>10</v>
      </c>
      <c r="D7394" t="s">
        <v>14863</v>
      </c>
      <c r="E7394" t="s">
        <v>14864</v>
      </c>
      <c r="G7394" s="1">
        <v>2.2000000000000002</v>
      </c>
    </row>
    <row r="7395" spans="1:7" ht="14.25" hidden="1" customHeight="1" x14ac:dyDescent="0.45">
      <c r="A7395" t="str">
        <f>_xlfn.XLOOKUP(B7395,Ingot!$H$12:$H$119,Ingot!$G$12:$G$119,"")</f>
        <v>Cloth</v>
      </c>
      <c r="B7395" t="s">
        <v>14834</v>
      </c>
      <c r="C7395" t="s">
        <v>10</v>
      </c>
      <c r="D7395" t="s">
        <v>14865</v>
      </c>
      <c r="E7395" t="s">
        <v>14866</v>
      </c>
      <c r="G7395" s="1">
        <v>1.1000000000000001</v>
      </c>
    </row>
    <row r="7396" spans="1:7" ht="14.25" hidden="1" customHeight="1" x14ac:dyDescent="0.45">
      <c r="A7396" t="str">
        <f>_xlfn.XLOOKUP(B7396,Ingot!$H$12:$H$119,Ingot!$G$12:$G$119,"")</f>
        <v>Cloth</v>
      </c>
      <c r="B7396" t="s">
        <v>14834</v>
      </c>
      <c r="C7396" t="s">
        <v>10</v>
      </c>
      <c r="D7396" t="s">
        <v>14867</v>
      </c>
      <c r="E7396" t="s">
        <v>14868</v>
      </c>
      <c r="G7396" s="1">
        <v>0.22</v>
      </c>
    </row>
    <row r="7397" spans="1:7" ht="14.25" hidden="1" customHeight="1" x14ac:dyDescent="0.45">
      <c r="A7397" t="str">
        <f>_xlfn.XLOOKUP(B7397,Ingot!$H$12:$H$119,Ingot!$G$12:$G$119,"")</f>
        <v>Cloth</v>
      </c>
      <c r="B7397" t="s">
        <v>14834</v>
      </c>
      <c r="C7397" t="s">
        <v>10</v>
      </c>
      <c r="D7397" t="s">
        <v>14869</v>
      </c>
      <c r="E7397" t="s">
        <v>14870</v>
      </c>
      <c r="G7397" s="1">
        <v>8.41</v>
      </c>
    </row>
    <row r="7398" spans="1:7" ht="14.25" hidden="1" customHeight="1" x14ac:dyDescent="0.45">
      <c r="A7398" t="str">
        <f>_xlfn.XLOOKUP(B7398,Ingot!$H$12:$H$119,Ingot!$G$12:$G$119,"")</f>
        <v>Cloth</v>
      </c>
      <c r="B7398" t="s">
        <v>14834</v>
      </c>
      <c r="C7398" t="s">
        <v>10</v>
      </c>
      <c r="D7398" t="s">
        <v>14871</v>
      </c>
      <c r="E7398" t="s">
        <v>14872</v>
      </c>
      <c r="G7398" s="1">
        <v>3.64</v>
      </c>
    </row>
    <row r="7399" spans="1:7" ht="14.25" hidden="1" customHeight="1" x14ac:dyDescent="0.45">
      <c r="A7399" t="str">
        <f>_xlfn.XLOOKUP(B7399,Ingot!$H$12:$H$119,Ingot!$G$12:$G$119,"")</f>
        <v>Cloth</v>
      </c>
      <c r="B7399" t="s">
        <v>14834</v>
      </c>
      <c r="C7399" t="s">
        <v>10</v>
      </c>
      <c r="D7399" t="s">
        <v>14873</v>
      </c>
      <c r="E7399" t="s">
        <v>14874</v>
      </c>
      <c r="G7399" s="1">
        <v>7.05</v>
      </c>
    </row>
    <row r="7400" spans="1:7" ht="14.25" hidden="1" customHeight="1" x14ac:dyDescent="0.45">
      <c r="A7400" t="str">
        <f>_xlfn.XLOOKUP(B7400,Ingot!$H$12:$H$119,Ingot!$G$12:$G$119,"")</f>
        <v>Cloth</v>
      </c>
      <c r="B7400" t="s">
        <v>14834</v>
      </c>
      <c r="C7400" t="s">
        <v>10</v>
      </c>
      <c r="D7400" t="s">
        <v>14875</v>
      </c>
      <c r="E7400" t="s">
        <v>14876</v>
      </c>
      <c r="G7400" s="1">
        <v>2.65</v>
      </c>
    </row>
    <row r="7401" spans="1:7" ht="14.25" hidden="1" customHeight="1" x14ac:dyDescent="0.45">
      <c r="A7401" t="str">
        <f>_xlfn.XLOOKUP(B7401,Ingot!$H$12:$H$119,Ingot!$G$12:$G$119,"")</f>
        <v>Cloth</v>
      </c>
      <c r="B7401" t="s">
        <v>14834</v>
      </c>
      <c r="C7401" t="s">
        <v>10</v>
      </c>
      <c r="D7401" t="s">
        <v>14877</v>
      </c>
      <c r="E7401" t="s">
        <v>14878</v>
      </c>
      <c r="G7401" s="1">
        <v>9</v>
      </c>
    </row>
    <row r="7402" spans="1:7" ht="14.25" hidden="1" customHeight="1" x14ac:dyDescent="0.45">
      <c r="A7402" t="str">
        <f>_xlfn.XLOOKUP(B7402,Ingot!$H$12:$H$119,Ingot!$G$12:$G$119,"")</f>
        <v>Cloth</v>
      </c>
      <c r="B7402" t="s">
        <v>14834</v>
      </c>
      <c r="C7402" t="s">
        <v>10</v>
      </c>
      <c r="D7402" t="s">
        <v>14879</v>
      </c>
      <c r="E7402" t="s">
        <v>14880</v>
      </c>
      <c r="G7402" s="1">
        <v>10.23</v>
      </c>
    </row>
    <row r="7403" spans="1:7" ht="14.25" hidden="1" customHeight="1" x14ac:dyDescent="0.45">
      <c r="A7403" t="str">
        <f>_xlfn.XLOOKUP(B7403,Ingot!$H$12:$H$119,Ingot!$G$12:$G$119,"")</f>
        <v>Cloth</v>
      </c>
      <c r="B7403" t="s">
        <v>14834</v>
      </c>
      <c r="C7403" t="s">
        <v>10</v>
      </c>
      <c r="D7403" t="s">
        <v>14881</v>
      </c>
      <c r="E7403" t="s">
        <v>14882</v>
      </c>
      <c r="G7403" s="1">
        <v>7.7</v>
      </c>
    </row>
    <row r="7404" spans="1:7" ht="14.25" hidden="1" customHeight="1" x14ac:dyDescent="0.45">
      <c r="A7404" t="str">
        <f>_xlfn.XLOOKUP(B7404,Ingot!$H$12:$H$119,Ingot!$G$12:$G$119,"")</f>
        <v>Cloth</v>
      </c>
      <c r="B7404" t="s">
        <v>14834</v>
      </c>
      <c r="C7404" t="s">
        <v>10</v>
      </c>
      <c r="D7404" t="s">
        <v>14883</v>
      </c>
      <c r="E7404" t="s">
        <v>14884</v>
      </c>
      <c r="G7404" s="1">
        <v>10.02</v>
      </c>
    </row>
    <row r="7405" spans="1:7" ht="14.25" hidden="1" customHeight="1" x14ac:dyDescent="0.45">
      <c r="A7405" t="str">
        <f>_xlfn.XLOOKUP(B7405,Ingot!$H$12:$H$119,Ingot!$G$12:$G$119,"")</f>
        <v>Cloth</v>
      </c>
      <c r="B7405" t="s">
        <v>14834</v>
      </c>
      <c r="C7405" t="s">
        <v>10</v>
      </c>
      <c r="D7405" t="s">
        <v>14885</v>
      </c>
      <c r="E7405" t="s">
        <v>14886</v>
      </c>
      <c r="G7405" s="1">
        <v>11.81</v>
      </c>
    </row>
    <row r="7406" spans="1:7" ht="14.25" hidden="1" customHeight="1" x14ac:dyDescent="0.45">
      <c r="A7406" t="str">
        <f>_xlfn.XLOOKUP(B7406,Ingot!$H$12:$H$119,Ingot!$G$12:$G$119,"")</f>
        <v>Cloth</v>
      </c>
      <c r="B7406" t="s">
        <v>14834</v>
      </c>
      <c r="C7406" t="s">
        <v>10</v>
      </c>
      <c r="D7406" t="s">
        <v>14887</v>
      </c>
      <c r="E7406" t="s">
        <v>14888</v>
      </c>
      <c r="G7406" s="1">
        <v>8.44</v>
      </c>
    </row>
    <row r="7407" spans="1:7" ht="14.25" hidden="1" customHeight="1" x14ac:dyDescent="0.45">
      <c r="A7407" t="str">
        <f>_xlfn.XLOOKUP(B7407,Ingot!$H$12:$H$119,Ingot!$G$12:$G$119,"")</f>
        <v>Cloth</v>
      </c>
      <c r="B7407" t="s">
        <v>14834</v>
      </c>
      <c r="C7407" t="s">
        <v>10</v>
      </c>
      <c r="D7407" t="s">
        <v>14889</v>
      </c>
      <c r="E7407" t="s">
        <v>14890</v>
      </c>
      <c r="G7407" s="1">
        <v>10.42</v>
      </c>
    </row>
    <row r="7408" spans="1:7" ht="14.25" hidden="1" customHeight="1" x14ac:dyDescent="0.45">
      <c r="A7408" t="str">
        <f>_xlfn.XLOOKUP(B7408,Ingot!$H$12:$H$119,Ingot!$G$12:$G$119,"")</f>
        <v>Cloth</v>
      </c>
      <c r="B7408" t="s">
        <v>14834</v>
      </c>
      <c r="C7408" t="s">
        <v>10</v>
      </c>
      <c r="D7408" t="s">
        <v>14891</v>
      </c>
      <c r="E7408" t="s">
        <v>14892</v>
      </c>
    </row>
    <row r="7409" spans="1:7" ht="14.25" hidden="1" customHeight="1" x14ac:dyDescent="0.45">
      <c r="A7409" t="str">
        <f>_xlfn.XLOOKUP(B7409,Ingot!$H$12:$H$119,Ingot!$G$12:$G$119,"")</f>
        <v>Cloth</v>
      </c>
      <c r="B7409" t="s">
        <v>14834</v>
      </c>
      <c r="C7409" t="s">
        <v>10</v>
      </c>
      <c r="D7409" t="s">
        <v>14893</v>
      </c>
      <c r="E7409" t="s">
        <v>14894</v>
      </c>
      <c r="G7409" s="1">
        <v>7.96</v>
      </c>
    </row>
    <row r="7410" spans="1:7" ht="14.25" hidden="1" customHeight="1" x14ac:dyDescent="0.45">
      <c r="A7410" t="str">
        <f>_xlfn.XLOOKUP(B7410,Ingot!$H$12:$H$119,Ingot!$G$12:$G$119,"")</f>
        <v>Cloth</v>
      </c>
      <c r="B7410" t="s">
        <v>14834</v>
      </c>
      <c r="C7410" t="s">
        <v>10</v>
      </c>
      <c r="D7410" t="s">
        <v>14895</v>
      </c>
      <c r="E7410" t="s">
        <v>14896</v>
      </c>
      <c r="G7410" s="1">
        <v>9.64</v>
      </c>
    </row>
    <row r="7411" spans="1:7" ht="14.25" hidden="1" customHeight="1" x14ac:dyDescent="0.45">
      <c r="A7411" t="str">
        <f>_xlfn.XLOOKUP(B7411,Ingot!$H$12:$H$119,Ingot!$G$12:$G$119,"")</f>
        <v>Cloth</v>
      </c>
      <c r="B7411" t="s">
        <v>14834</v>
      </c>
      <c r="C7411" t="s">
        <v>10</v>
      </c>
      <c r="D7411" t="s">
        <v>14897</v>
      </c>
      <c r="E7411" t="s">
        <v>14898</v>
      </c>
      <c r="G7411" s="1">
        <v>7.94</v>
      </c>
    </row>
    <row r="7412" spans="1:7" ht="14.25" hidden="1" customHeight="1" x14ac:dyDescent="0.45">
      <c r="A7412" t="str">
        <f>_xlfn.XLOOKUP(B7412,Ingot!$H$12:$H$119,Ingot!$G$12:$G$119,"")</f>
        <v>Cloth</v>
      </c>
      <c r="B7412" t="s">
        <v>14834</v>
      </c>
      <c r="C7412" t="s">
        <v>10</v>
      </c>
      <c r="D7412" t="s">
        <v>14899</v>
      </c>
      <c r="E7412" t="s">
        <v>14900</v>
      </c>
      <c r="G7412" s="1">
        <v>8.66</v>
      </c>
    </row>
    <row r="7413" spans="1:7" ht="14.25" hidden="1" customHeight="1" x14ac:dyDescent="0.45">
      <c r="A7413" t="str">
        <f>_xlfn.XLOOKUP(B7413,Ingot!$H$12:$H$119,Ingot!$G$12:$G$119,"")</f>
        <v>Cloth</v>
      </c>
      <c r="B7413" t="s">
        <v>14834</v>
      </c>
      <c r="C7413" t="s">
        <v>10</v>
      </c>
      <c r="D7413" t="s">
        <v>14901</v>
      </c>
      <c r="E7413" t="s">
        <v>14902</v>
      </c>
    </row>
    <row r="7414" spans="1:7" ht="14.25" hidden="1" customHeight="1" x14ac:dyDescent="0.45">
      <c r="A7414" t="str">
        <f>_xlfn.XLOOKUP(B7414,Ingot!$H$12:$H$119,Ingot!$G$12:$G$119,"")</f>
        <v>Cloth</v>
      </c>
      <c r="B7414" t="s">
        <v>14834</v>
      </c>
      <c r="C7414" t="s">
        <v>10</v>
      </c>
      <c r="D7414" t="s">
        <v>14903</v>
      </c>
      <c r="E7414" t="s">
        <v>14904</v>
      </c>
      <c r="G7414" s="1">
        <v>2.65</v>
      </c>
    </row>
    <row r="7415" spans="1:7" ht="14.25" hidden="1" customHeight="1" x14ac:dyDescent="0.45">
      <c r="A7415" t="str">
        <f>_xlfn.XLOOKUP(B7415,Ingot!$H$12:$H$119,Ingot!$G$12:$G$119,"")</f>
        <v>Cloth</v>
      </c>
      <c r="B7415" t="s">
        <v>14834</v>
      </c>
      <c r="C7415" t="s">
        <v>10</v>
      </c>
      <c r="D7415" t="s">
        <v>14905</v>
      </c>
      <c r="E7415" t="s">
        <v>14906</v>
      </c>
    </row>
    <row r="7416" spans="1:7" ht="14.25" hidden="1" customHeight="1" x14ac:dyDescent="0.45">
      <c r="A7416" t="str">
        <f>_xlfn.XLOOKUP(B7416,Ingot!$H$12:$H$119,Ingot!$G$12:$G$119,"")</f>
        <v>Cloth</v>
      </c>
      <c r="B7416" t="s">
        <v>14834</v>
      </c>
      <c r="C7416" t="s">
        <v>10</v>
      </c>
      <c r="D7416" t="s">
        <v>14907</v>
      </c>
      <c r="E7416" t="s">
        <v>14908</v>
      </c>
      <c r="G7416" s="1">
        <v>12.64</v>
      </c>
    </row>
    <row r="7417" spans="1:7" ht="14.25" hidden="1" customHeight="1" x14ac:dyDescent="0.45">
      <c r="A7417" t="str">
        <f>_xlfn.XLOOKUP(B7417,Ingot!$H$12:$H$119,Ingot!$G$12:$G$119,"")</f>
        <v>Cloth</v>
      </c>
      <c r="B7417" t="s">
        <v>14834</v>
      </c>
      <c r="C7417" t="s">
        <v>10</v>
      </c>
      <c r="D7417" t="s">
        <v>14909</v>
      </c>
      <c r="E7417" t="s">
        <v>14910</v>
      </c>
      <c r="G7417" s="1">
        <v>22.67</v>
      </c>
    </row>
    <row r="7418" spans="1:7" ht="14.25" hidden="1" customHeight="1" x14ac:dyDescent="0.45">
      <c r="A7418" t="str">
        <f>_xlfn.XLOOKUP(B7418,Ingot!$H$12:$H$119,Ingot!$G$12:$G$119,"")</f>
        <v>Cloth</v>
      </c>
      <c r="B7418" t="s">
        <v>14834</v>
      </c>
      <c r="C7418" t="s">
        <v>10</v>
      </c>
      <c r="D7418" t="s">
        <v>14911</v>
      </c>
      <c r="E7418" t="s">
        <v>14912</v>
      </c>
      <c r="G7418" s="1">
        <v>8.3800000000000008</v>
      </c>
    </row>
    <row r="7419" spans="1:7" ht="14.25" hidden="1" customHeight="1" x14ac:dyDescent="0.45">
      <c r="A7419" t="str">
        <f>_xlfn.XLOOKUP(B7419,Ingot!$H$12:$H$119,Ingot!$G$12:$G$119,"")</f>
        <v>Cloth</v>
      </c>
      <c r="B7419" t="s">
        <v>14834</v>
      </c>
      <c r="C7419" t="s">
        <v>10</v>
      </c>
      <c r="D7419" t="s">
        <v>14913</v>
      </c>
      <c r="E7419" t="s">
        <v>14914</v>
      </c>
      <c r="G7419" s="1">
        <v>2.2000000000000002</v>
      </c>
    </row>
    <row r="7420" spans="1:7" ht="14.25" hidden="1" customHeight="1" x14ac:dyDescent="0.45">
      <c r="A7420" t="str">
        <f>_xlfn.XLOOKUP(B7420,Ingot!$H$12:$H$119,Ingot!$G$12:$G$119,"")</f>
        <v>Cloth</v>
      </c>
      <c r="B7420" t="s">
        <v>14834</v>
      </c>
      <c r="C7420" t="s">
        <v>10</v>
      </c>
      <c r="D7420" t="s">
        <v>14915</v>
      </c>
      <c r="E7420" t="s">
        <v>14916</v>
      </c>
      <c r="G7420" s="1">
        <v>3.09</v>
      </c>
    </row>
    <row r="7421" spans="1:7" ht="14.25" hidden="1" customHeight="1" x14ac:dyDescent="0.45">
      <c r="A7421" t="str">
        <f>_xlfn.XLOOKUP(B7421,Ingot!$H$12:$H$119,Ingot!$G$12:$G$119,"")</f>
        <v>Cloth</v>
      </c>
      <c r="B7421" t="s">
        <v>14834</v>
      </c>
      <c r="C7421" t="s">
        <v>10</v>
      </c>
      <c r="D7421" t="s">
        <v>14917</v>
      </c>
      <c r="E7421" t="s">
        <v>14918</v>
      </c>
      <c r="G7421" s="1">
        <v>2.2999999999999998</v>
      </c>
    </row>
    <row r="7422" spans="1:7" ht="14.25" hidden="1" customHeight="1" x14ac:dyDescent="0.45">
      <c r="A7422" t="str">
        <f>_xlfn.XLOOKUP(B7422,Ingot!$H$12:$H$119,Ingot!$G$12:$G$119,"")</f>
        <v>Cloth</v>
      </c>
      <c r="B7422" t="s">
        <v>14834</v>
      </c>
      <c r="C7422" t="s">
        <v>10</v>
      </c>
      <c r="D7422" t="s">
        <v>14919</v>
      </c>
      <c r="E7422" t="s">
        <v>14920</v>
      </c>
      <c r="G7422" s="1">
        <v>4.88</v>
      </c>
    </row>
    <row r="7423" spans="1:7" ht="14.25" hidden="1" customHeight="1" x14ac:dyDescent="0.45">
      <c r="A7423" t="str">
        <f>_xlfn.XLOOKUP(B7423,Ingot!$H$12:$H$119,Ingot!$G$12:$G$119,"")</f>
        <v>Cloth</v>
      </c>
      <c r="B7423" t="s">
        <v>14834</v>
      </c>
      <c r="C7423" t="s">
        <v>10</v>
      </c>
      <c r="D7423" t="s">
        <v>14921</v>
      </c>
      <c r="E7423" t="s">
        <v>14922</v>
      </c>
      <c r="G7423" s="1">
        <v>8.43</v>
      </c>
    </row>
    <row r="7424" spans="1:7" ht="14.25" hidden="1" customHeight="1" x14ac:dyDescent="0.45">
      <c r="A7424" t="str">
        <f>_xlfn.XLOOKUP(B7424,Ingot!$H$12:$H$119,Ingot!$G$12:$G$119,"")</f>
        <v>Cloth</v>
      </c>
      <c r="B7424" t="s">
        <v>14834</v>
      </c>
      <c r="C7424" t="s">
        <v>10</v>
      </c>
      <c r="D7424" t="s">
        <v>14923</v>
      </c>
      <c r="E7424" t="s">
        <v>14924</v>
      </c>
      <c r="G7424" s="1">
        <v>13.07</v>
      </c>
    </row>
    <row r="7425" spans="1:7" ht="14.25" hidden="1" customHeight="1" x14ac:dyDescent="0.45">
      <c r="A7425" t="str">
        <f>_xlfn.XLOOKUP(B7425,Ingot!$H$12:$H$119,Ingot!$G$12:$G$119,"")</f>
        <v>Cloth</v>
      </c>
      <c r="B7425" t="s">
        <v>14834</v>
      </c>
      <c r="C7425" t="s">
        <v>10</v>
      </c>
      <c r="D7425" t="s">
        <v>14925</v>
      </c>
      <c r="E7425" t="s">
        <v>14926</v>
      </c>
    </row>
    <row r="7426" spans="1:7" ht="14.25" hidden="1" customHeight="1" x14ac:dyDescent="0.45">
      <c r="A7426" t="str">
        <f>_xlfn.XLOOKUP(B7426,Ingot!$H$12:$H$119,Ingot!$G$12:$G$119,"")</f>
        <v>Cloth</v>
      </c>
      <c r="B7426" t="s">
        <v>14834</v>
      </c>
      <c r="C7426" t="s">
        <v>10</v>
      </c>
      <c r="D7426" t="s">
        <v>14927</v>
      </c>
      <c r="E7426" t="s">
        <v>14928</v>
      </c>
    </row>
    <row r="7427" spans="1:7" ht="14.25" hidden="1" customHeight="1" x14ac:dyDescent="0.45">
      <c r="A7427" t="str">
        <f>_xlfn.XLOOKUP(B7427,Ingot!$H$12:$H$119,Ingot!$G$12:$G$119,"")</f>
        <v>Cloth</v>
      </c>
      <c r="B7427" t="s">
        <v>14834</v>
      </c>
      <c r="C7427" t="s">
        <v>10</v>
      </c>
      <c r="D7427" t="s">
        <v>14929</v>
      </c>
      <c r="E7427" t="s">
        <v>14930</v>
      </c>
      <c r="G7427" s="1">
        <v>6.8</v>
      </c>
    </row>
    <row r="7428" spans="1:7" ht="14.25" hidden="1" customHeight="1" x14ac:dyDescent="0.45">
      <c r="A7428" t="str">
        <f>_xlfn.XLOOKUP(B7428,Ingot!$H$12:$H$119,Ingot!$G$12:$G$119,"")</f>
        <v>Cloth</v>
      </c>
      <c r="B7428" t="s">
        <v>14834</v>
      </c>
      <c r="C7428" t="s">
        <v>10</v>
      </c>
      <c r="D7428" t="s">
        <v>14931</v>
      </c>
      <c r="E7428" t="s">
        <v>14932</v>
      </c>
      <c r="G7428" s="1">
        <v>6.88</v>
      </c>
    </row>
    <row r="7429" spans="1:7" ht="14.25" hidden="1" customHeight="1" x14ac:dyDescent="0.45">
      <c r="A7429" t="str">
        <f>_xlfn.XLOOKUP(B7429,Ingot!$H$12:$H$119,Ingot!$G$12:$G$119,"")</f>
        <v>Cloth</v>
      </c>
      <c r="B7429" t="s">
        <v>14834</v>
      </c>
      <c r="C7429" t="s">
        <v>10</v>
      </c>
      <c r="D7429" t="s">
        <v>14933</v>
      </c>
      <c r="E7429" t="s">
        <v>14934</v>
      </c>
      <c r="G7429" s="1">
        <v>5.5</v>
      </c>
    </row>
    <row r="7430" spans="1:7" ht="14.25" hidden="1" customHeight="1" x14ac:dyDescent="0.45">
      <c r="A7430" t="str">
        <f>_xlfn.XLOOKUP(B7430,Ingot!$H$12:$H$119,Ingot!$G$12:$G$119,"")</f>
        <v>Cloth</v>
      </c>
      <c r="B7430" t="s">
        <v>14834</v>
      </c>
      <c r="C7430" t="s">
        <v>10</v>
      </c>
      <c r="D7430" t="s">
        <v>14935</v>
      </c>
      <c r="E7430" t="s">
        <v>14936</v>
      </c>
      <c r="G7430" s="1">
        <v>2.4300000000000002</v>
      </c>
    </row>
    <row r="7431" spans="1:7" ht="14.25" hidden="1" customHeight="1" x14ac:dyDescent="0.45">
      <c r="A7431" t="str">
        <f>_xlfn.XLOOKUP(B7431,Ingot!$H$12:$H$119,Ingot!$G$12:$G$119,"")</f>
        <v>Cloth</v>
      </c>
      <c r="B7431" t="s">
        <v>14834</v>
      </c>
      <c r="C7431" t="s">
        <v>10</v>
      </c>
      <c r="D7431" t="s">
        <v>14937</v>
      </c>
      <c r="E7431" t="s">
        <v>14938</v>
      </c>
      <c r="G7431" s="1">
        <v>6.96</v>
      </c>
    </row>
    <row r="7432" spans="1:7" ht="14.25" hidden="1" customHeight="1" x14ac:dyDescent="0.45">
      <c r="A7432" t="str">
        <f>_xlfn.XLOOKUP(B7432,Ingot!$H$12:$H$119,Ingot!$G$12:$G$119,"")</f>
        <v>Cloth</v>
      </c>
      <c r="B7432" t="s">
        <v>14834</v>
      </c>
      <c r="C7432" t="s">
        <v>10</v>
      </c>
      <c r="D7432" t="s">
        <v>14939</v>
      </c>
      <c r="E7432" t="s">
        <v>14940</v>
      </c>
      <c r="G7432" s="1">
        <v>6.32</v>
      </c>
    </row>
    <row r="7433" spans="1:7" ht="14.25" hidden="1" customHeight="1" x14ac:dyDescent="0.45">
      <c r="A7433" t="str">
        <f>_xlfn.XLOOKUP(B7433,Ingot!$H$12:$H$119,Ingot!$G$12:$G$119,"")</f>
        <v>Cloth</v>
      </c>
      <c r="B7433" t="s">
        <v>14834</v>
      </c>
      <c r="C7433" t="s">
        <v>10</v>
      </c>
      <c r="D7433" t="s">
        <v>14941</v>
      </c>
      <c r="E7433" t="s">
        <v>14942</v>
      </c>
      <c r="G7433" s="1">
        <v>6.88</v>
      </c>
    </row>
    <row r="7434" spans="1:7" ht="14.25" hidden="1" customHeight="1" x14ac:dyDescent="0.45">
      <c r="A7434" t="str">
        <f>_xlfn.XLOOKUP(B7434,Ingot!$H$12:$H$119,Ingot!$G$12:$G$119,"")</f>
        <v>Cloth</v>
      </c>
      <c r="B7434" t="s">
        <v>14834</v>
      </c>
      <c r="C7434" t="s">
        <v>10</v>
      </c>
      <c r="D7434" t="s">
        <v>14943</v>
      </c>
      <c r="E7434" t="s">
        <v>14944</v>
      </c>
      <c r="G7434" s="1">
        <v>2.44</v>
      </c>
    </row>
    <row r="7435" spans="1:7" ht="14.25" hidden="1" customHeight="1" x14ac:dyDescent="0.45">
      <c r="A7435" t="str">
        <f>_xlfn.XLOOKUP(B7435,Ingot!$H$12:$H$119,Ingot!$G$12:$G$119,"")</f>
        <v>Cloth</v>
      </c>
      <c r="B7435" t="s">
        <v>14834</v>
      </c>
      <c r="C7435" t="s">
        <v>10</v>
      </c>
      <c r="D7435" t="s">
        <v>14945</v>
      </c>
      <c r="E7435" t="s">
        <v>14946</v>
      </c>
    </row>
    <row r="7436" spans="1:7" ht="14.25" hidden="1" customHeight="1" x14ac:dyDescent="0.45">
      <c r="A7436" t="str">
        <f>_xlfn.XLOOKUP(B7436,Ingot!$H$12:$H$119,Ingot!$G$12:$G$119,"")</f>
        <v>Cloth</v>
      </c>
      <c r="B7436" t="s">
        <v>14834</v>
      </c>
      <c r="C7436" t="s">
        <v>10</v>
      </c>
      <c r="D7436" t="s">
        <v>14947</v>
      </c>
      <c r="E7436" t="s">
        <v>14948</v>
      </c>
    </row>
    <row r="7437" spans="1:7" ht="14.25" hidden="1" customHeight="1" x14ac:dyDescent="0.45">
      <c r="A7437" t="str">
        <f>_xlfn.XLOOKUP(B7437,Ingot!$H$12:$H$119,Ingot!$G$12:$G$119,"")</f>
        <v>Cloth</v>
      </c>
      <c r="B7437" t="s">
        <v>14834</v>
      </c>
      <c r="C7437" t="s">
        <v>10</v>
      </c>
      <c r="D7437" t="s">
        <v>14949</v>
      </c>
      <c r="E7437" t="s">
        <v>14950</v>
      </c>
      <c r="G7437" s="1">
        <v>3.11</v>
      </c>
    </row>
    <row r="7438" spans="1:7" ht="14.25" hidden="1" customHeight="1" x14ac:dyDescent="0.45">
      <c r="A7438" t="str">
        <f>_xlfn.XLOOKUP(B7438,Ingot!$H$12:$H$119,Ingot!$G$12:$G$119,"")</f>
        <v>Cloth</v>
      </c>
      <c r="B7438" t="s">
        <v>14834</v>
      </c>
      <c r="C7438" t="s">
        <v>10</v>
      </c>
      <c r="D7438" t="s">
        <v>14951</v>
      </c>
      <c r="E7438" t="s">
        <v>14952</v>
      </c>
      <c r="G7438" s="1">
        <v>2.44</v>
      </c>
    </row>
    <row r="7439" spans="1:7" ht="14.25" hidden="1" customHeight="1" x14ac:dyDescent="0.45">
      <c r="A7439" t="str">
        <f>_xlfn.XLOOKUP(B7439,Ingot!$H$12:$H$119,Ingot!$G$12:$G$119,"")</f>
        <v>Cloth</v>
      </c>
      <c r="B7439" t="s">
        <v>14834</v>
      </c>
      <c r="C7439" t="s">
        <v>10</v>
      </c>
      <c r="D7439" t="s">
        <v>14953</v>
      </c>
      <c r="E7439" t="s">
        <v>14954</v>
      </c>
      <c r="G7439" s="1">
        <v>8.61</v>
      </c>
    </row>
    <row r="7440" spans="1:7" ht="14.25" hidden="1" customHeight="1" x14ac:dyDescent="0.45">
      <c r="A7440" t="str">
        <f>_xlfn.XLOOKUP(B7440,Ingot!$H$12:$H$119,Ingot!$G$12:$G$119,"")</f>
        <v>Cloth</v>
      </c>
      <c r="B7440" t="s">
        <v>14834</v>
      </c>
      <c r="C7440" t="s">
        <v>10</v>
      </c>
      <c r="D7440" t="s">
        <v>14955</v>
      </c>
      <c r="E7440" t="s">
        <v>14956</v>
      </c>
    </row>
    <row r="7441" spans="1:7" ht="14.25" hidden="1" customHeight="1" x14ac:dyDescent="0.45">
      <c r="A7441" t="str">
        <f>_xlfn.XLOOKUP(B7441,Ingot!$H$12:$H$119,Ingot!$G$12:$G$119,"")</f>
        <v>Cloth</v>
      </c>
      <c r="B7441" t="s">
        <v>14834</v>
      </c>
      <c r="C7441" t="s">
        <v>10</v>
      </c>
      <c r="D7441" t="s">
        <v>14957</v>
      </c>
      <c r="E7441" t="s">
        <v>14958</v>
      </c>
      <c r="G7441" s="1">
        <v>3.21</v>
      </c>
    </row>
    <row r="7442" spans="1:7" ht="14.25" hidden="1" customHeight="1" x14ac:dyDescent="0.45">
      <c r="A7442" t="str">
        <f>_xlfn.XLOOKUP(B7442,Ingot!$H$12:$H$119,Ingot!$G$12:$G$119,"")</f>
        <v>Cloth</v>
      </c>
      <c r="B7442" t="s">
        <v>14834</v>
      </c>
      <c r="C7442" t="s">
        <v>10</v>
      </c>
      <c r="D7442" t="s">
        <v>14959</v>
      </c>
      <c r="E7442" t="s">
        <v>14960</v>
      </c>
      <c r="G7442" s="1">
        <v>2.77</v>
      </c>
    </row>
    <row r="7443" spans="1:7" ht="14.25" hidden="1" customHeight="1" x14ac:dyDescent="0.45">
      <c r="A7443" t="str">
        <f>_xlfn.XLOOKUP(B7443,Ingot!$H$12:$H$119,Ingot!$G$12:$G$119,"")</f>
        <v>Cloth</v>
      </c>
      <c r="B7443" t="s">
        <v>14834</v>
      </c>
      <c r="C7443" t="s">
        <v>10</v>
      </c>
      <c r="D7443" t="s">
        <v>14961</v>
      </c>
      <c r="E7443" t="s">
        <v>14962</v>
      </c>
      <c r="G7443" s="1">
        <v>4.8899999999999997</v>
      </c>
    </row>
    <row r="7444" spans="1:7" ht="14.25" hidden="1" customHeight="1" x14ac:dyDescent="0.45">
      <c r="A7444" t="str">
        <f>_xlfn.XLOOKUP(B7444,Ingot!$H$12:$H$119,Ingot!$G$12:$G$119,"")</f>
        <v>Cloth</v>
      </c>
      <c r="B7444" t="s">
        <v>14834</v>
      </c>
      <c r="C7444" t="s">
        <v>10</v>
      </c>
      <c r="D7444" t="s">
        <v>14963</v>
      </c>
      <c r="E7444" t="s">
        <v>14964</v>
      </c>
      <c r="G7444" s="1">
        <v>1.76</v>
      </c>
    </row>
    <row r="7445" spans="1:7" ht="14.25" hidden="1" customHeight="1" x14ac:dyDescent="0.45">
      <c r="A7445" t="str">
        <f>_xlfn.XLOOKUP(B7445,Ingot!$H$12:$H$119,Ingot!$G$12:$G$119,"")</f>
        <v>Cloth</v>
      </c>
      <c r="B7445" t="s">
        <v>14834</v>
      </c>
      <c r="C7445" t="s">
        <v>10</v>
      </c>
      <c r="D7445" t="s">
        <v>14965</v>
      </c>
      <c r="E7445" t="s">
        <v>14966</v>
      </c>
    </row>
    <row r="7446" spans="1:7" ht="14.25" hidden="1" customHeight="1" x14ac:dyDescent="0.45">
      <c r="A7446" t="str">
        <f>_xlfn.XLOOKUP(B7446,Ingot!$H$12:$H$119,Ingot!$G$12:$G$119,"")</f>
        <v>Cloth</v>
      </c>
      <c r="B7446" t="s">
        <v>14834</v>
      </c>
      <c r="C7446" t="s">
        <v>10</v>
      </c>
      <c r="D7446" t="s">
        <v>14967</v>
      </c>
      <c r="E7446" t="s">
        <v>14968</v>
      </c>
      <c r="G7446" s="1">
        <v>8.57</v>
      </c>
    </row>
    <row r="7447" spans="1:7" ht="14.25" hidden="1" customHeight="1" x14ac:dyDescent="0.45">
      <c r="A7447" t="str">
        <f>_xlfn.XLOOKUP(B7447,Ingot!$H$12:$H$119,Ingot!$G$12:$G$119,"")</f>
        <v>Cloth</v>
      </c>
      <c r="B7447" t="s">
        <v>14834</v>
      </c>
      <c r="C7447" t="s">
        <v>10</v>
      </c>
      <c r="D7447" t="s">
        <v>14969</v>
      </c>
      <c r="E7447" t="s">
        <v>14970</v>
      </c>
    </row>
    <row r="7448" spans="1:7" ht="14.25" hidden="1" customHeight="1" x14ac:dyDescent="0.45">
      <c r="A7448" t="str">
        <f>_xlfn.XLOOKUP(B7448,Ingot!$H$12:$H$119,Ingot!$G$12:$G$119,"")</f>
        <v>Cloth</v>
      </c>
      <c r="B7448" t="s">
        <v>14834</v>
      </c>
      <c r="C7448" t="s">
        <v>10</v>
      </c>
      <c r="D7448" t="s">
        <v>14971</v>
      </c>
      <c r="E7448" t="s">
        <v>14972</v>
      </c>
      <c r="G7448" s="1">
        <v>3.56</v>
      </c>
    </row>
    <row r="7449" spans="1:7" ht="14.25" hidden="1" customHeight="1" x14ac:dyDescent="0.45">
      <c r="A7449" t="str">
        <f>_xlfn.XLOOKUP(B7449,Ingot!$H$12:$H$119,Ingot!$G$12:$G$119,"")</f>
        <v>Cloth</v>
      </c>
      <c r="B7449" t="s">
        <v>14834</v>
      </c>
      <c r="C7449" t="s">
        <v>10</v>
      </c>
      <c r="D7449" t="s">
        <v>14973</v>
      </c>
      <c r="E7449" t="s">
        <v>14974</v>
      </c>
      <c r="G7449" s="1">
        <v>8.91</v>
      </c>
    </row>
    <row r="7450" spans="1:7" ht="14.25" hidden="1" customHeight="1" x14ac:dyDescent="0.45">
      <c r="A7450" t="str">
        <f>_xlfn.XLOOKUP(B7450,Ingot!$H$12:$H$119,Ingot!$G$12:$G$119,"")</f>
        <v>Cloth</v>
      </c>
      <c r="B7450" t="s">
        <v>14834</v>
      </c>
      <c r="C7450" t="s">
        <v>10</v>
      </c>
      <c r="D7450" t="s">
        <v>14975</v>
      </c>
      <c r="E7450" t="s">
        <v>14976</v>
      </c>
      <c r="G7450" s="1">
        <v>11.02</v>
      </c>
    </row>
    <row r="7451" spans="1:7" ht="14.25" hidden="1" customHeight="1" x14ac:dyDescent="0.45">
      <c r="A7451" t="str">
        <f>_xlfn.XLOOKUP(B7451,Ingot!$H$12:$H$119,Ingot!$G$12:$G$119,"")</f>
        <v>Cloth</v>
      </c>
      <c r="B7451" t="s">
        <v>14834</v>
      </c>
      <c r="C7451" t="s">
        <v>10</v>
      </c>
      <c r="D7451" t="s">
        <v>14977</v>
      </c>
      <c r="E7451" t="s">
        <v>14978</v>
      </c>
      <c r="G7451" s="1">
        <v>5.12</v>
      </c>
    </row>
    <row r="7452" spans="1:7" ht="14.25" hidden="1" customHeight="1" x14ac:dyDescent="0.45">
      <c r="A7452" t="str">
        <f>_xlfn.XLOOKUP(B7452,Ingot!$H$12:$H$119,Ingot!$G$12:$G$119,"")</f>
        <v>Cloth</v>
      </c>
      <c r="B7452" t="s">
        <v>14834</v>
      </c>
      <c r="C7452" t="s">
        <v>10</v>
      </c>
      <c r="D7452" t="s">
        <v>14979</v>
      </c>
      <c r="E7452" t="s">
        <v>14980</v>
      </c>
      <c r="G7452" s="1">
        <v>4.41</v>
      </c>
    </row>
    <row r="7453" spans="1:7" ht="14.25" hidden="1" customHeight="1" x14ac:dyDescent="0.45">
      <c r="A7453" t="str">
        <f>_xlfn.XLOOKUP(B7453,Ingot!$H$12:$H$119,Ingot!$G$12:$G$119,"")</f>
        <v>Cloth</v>
      </c>
      <c r="B7453" t="s">
        <v>14834</v>
      </c>
      <c r="C7453" t="s">
        <v>157</v>
      </c>
      <c r="D7453" t="s">
        <v>14981</v>
      </c>
      <c r="E7453" t="s">
        <v>14982</v>
      </c>
      <c r="G7453" s="1">
        <v>14.8</v>
      </c>
    </row>
    <row r="7454" spans="1:7" ht="14.25" hidden="1" customHeight="1" x14ac:dyDescent="0.45">
      <c r="A7454" t="str">
        <f>_xlfn.XLOOKUP(B7454,Ingot!$H$12:$H$119,Ingot!$G$12:$G$119,"")</f>
        <v>Cloth</v>
      </c>
      <c r="B7454" t="s">
        <v>14834</v>
      </c>
      <c r="C7454" t="s">
        <v>157</v>
      </c>
      <c r="D7454" t="s">
        <v>14983</v>
      </c>
      <c r="E7454" t="s">
        <v>14984</v>
      </c>
      <c r="G7454" s="1">
        <v>5</v>
      </c>
    </row>
    <row r="7455" spans="1:7" ht="14.25" hidden="1" customHeight="1" x14ac:dyDescent="0.45">
      <c r="A7455" t="str">
        <f>_xlfn.XLOOKUP(B7455,Ingot!$H$12:$H$119,Ingot!$G$12:$G$119,"")</f>
        <v>Cloth</v>
      </c>
      <c r="B7455" t="s">
        <v>14834</v>
      </c>
      <c r="C7455" t="s">
        <v>157</v>
      </c>
      <c r="D7455" t="s">
        <v>14985</v>
      </c>
      <c r="E7455" t="s">
        <v>14986</v>
      </c>
      <c r="G7455" s="1">
        <v>5</v>
      </c>
    </row>
    <row r="7456" spans="1:7" ht="14.25" hidden="1" customHeight="1" x14ac:dyDescent="0.45">
      <c r="A7456" t="str">
        <f>_xlfn.XLOOKUP(B7456,Ingot!$H$12:$H$119,Ingot!$G$12:$G$119,"")</f>
        <v>Cloth</v>
      </c>
      <c r="B7456" t="s">
        <v>14834</v>
      </c>
      <c r="C7456" t="s">
        <v>157</v>
      </c>
      <c r="D7456" t="s">
        <v>14987</v>
      </c>
      <c r="E7456" t="s">
        <v>14988</v>
      </c>
      <c r="G7456" s="1">
        <v>5</v>
      </c>
    </row>
    <row r="7457" spans="1:7" ht="14.25" hidden="1" customHeight="1" x14ac:dyDescent="0.45">
      <c r="A7457" t="str">
        <f>_xlfn.XLOOKUP(B7457,Ingot!$H$12:$H$119,Ingot!$G$12:$G$119,"")</f>
        <v>Cloth</v>
      </c>
      <c r="B7457" t="s">
        <v>14834</v>
      </c>
      <c r="C7457" t="s">
        <v>157</v>
      </c>
      <c r="D7457" t="s">
        <v>14989</v>
      </c>
      <c r="E7457" t="s">
        <v>14990</v>
      </c>
      <c r="G7457" s="1">
        <v>10</v>
      </c>
    </row>
    <row r="7458" spans="1:7" ht="14.25" hidden="1" customHeight="1" x14ac:dyDescent="0.45">
      <c r="A7458" t="str">
        <f>_xlfn.XLOOKUP(B7458,Ingot!$H$12:$H$119,Ingot!$G$12:$G$119,"")</f>
        <v>Cloth</v>
      </c>
      <c r="B7458" t="s">
        <v>14834</v>
      </c>
      <c r="C7458" t="s">
        <v>157</v>
      </c>
      <c r="D7458" t="s">
        <v>14991</v>
      </c>
      <c r="E7458" t="s">
        <v>14992</v>
      </c>
      <c r="G7458" s="1">
        <v>13.2</v>
      </c>
    </row>
    <row r="7459" spans="1:7" ht="14.25" hidden="1" customHeight="1" x14ac:dyDescent="0.45">
      <c r="A7459" t="str">
        <f>_xlfn.XLOOKUP(B7459,Ingot!$H$12:$H$119,Ingot!$G$12:$G$119,"")</f>
        <v>Cloth</v>
      </c>
      <c r="B7459" t="s">
        <v>14834</v>
      </c>
      <c r="C7459" t="s">
        <v>157</v>
      </c>
      <c r="D7459" t="s">
        <v>14993</v>
      </c>
      <c r="E7459" t="s">
        <v>14994</v>
      </c>
      <c r="G7459" s="1">
        <v>5</v>
      </c>
    </row>
    <row r="7460" spans="1:7" ht="14.25" hidden="1" customHeight="1" x14ac:dyDescent="0.45">
      <c r="A7460" t="str">
        <f>_xlfn.XLOOKUP(B7460,Ingot!$H$12:$H$119,Ingot!$G$12:$G$119,"")</f>
        <v>Cloth</v>
      </c>
      <c r="B7460" t="s">
        <v>14834</v>
      </c>
      <c r="C7460" t="s">
        <v>157</v>
      </c>
      <c r="D7460" t="s">
        <v>14995</v>
      </c>
      <c r="E7460" t="s">
        <v>14996</v>
      </c>
      <c r="G7460" s="1">
        <v>5</v>
      </c>
    </row>
    <row r="7461" spans="1:7" ht="14.25" hidden="1" customHeight="1" x14ac:dyDescent="0.45">
      <c r="A7461" t="str">
        <f>_xlfn.XLOOKUP(B7461,Ingot!$H$12:$H$119,Ingot!$G$12:$G$119,"")</f>
        <v>Cloth</v>
      </c>
      <c r="B7461" t="s">
        <v>14834</v>
      </c>
      <c r="C7461" t="s">
        <v>157</v>
      </c>
      <c r="D7461" t="s">
        <v>14997</v>
      </c>
      <c r="E7461" t="s">
        <v>14998</v>
      </c>
      <c r="G7461" s="1">
        <v>5</v>
      </c>
    </row>
    <row r="7462" spans="1:7" ht="14.25" hidden="1" customHeight="1" x14ac:dyDescent="0.45">
      <c r="A7462" t="str">
        <f>_xlfn.XLOOKUP(B7462,Ingot!$H$12:$H$119,Ingot!$G$12:$G$119,"")</f>
        <v>Cloth</v>
      </c>
      <c r="B7462" t="s">
        <v>14834</v>
      </c>
      <c r="C7462" t="s">
        <v>157</v>
      </c>
      <c r="D7462" t="s">
        <v>14999</v>
      </c>
      <c r="E7462" t="s">
        <v>15000</v>
      </c>
      <c r="G7462" s="1">
        <v>10</v>
      </c>
    </row>
    <row r="7463" spans="1:7" ht="14.25" hidden="1" customHeight="1" x14ac:dyDescent="0.45">
      <c r="A7463" t="str">
        <f>_xlfn.XLOOKUP(B7463,Ingot!$H$12:$H$119,Ingot!$G$12:$G$119,"")</f>
        <v>Cloth</v>
      </c>
      <c r="B7463" t="s">
        <v>14834</v>
      </c>
      <c r="C7463" t="s">
        <v>157</v>
      </c>
      <c r="D7463" t="s">
        <v>15001</v>
      </c>
      <c r="E7463" t="s">
        <v>15002</v>
      </c>
      <c r="G7463" s="1">
        <v>12.8</v>
      </c>
    </row>
    <row r="7464" spans="1:7" ht="14.25" hidden="1" customHeight="1" x14ac:dyDescent="0.45">
      <c r="A7464" t="str">
        <f>_xlfn.XLOOKUP(B7464,Ingot!$H$12:$H$119,Ingot!$G$12:$G$119,"")</f>
        <v>Cloth</v>
      </c>
      <c r="B7464" t="s">
        <v>14834</v>
      </c>
      <c r="C7464" t="s">
        <v>157</v>
      </c>
      <c r="D7464" t="s">
        <v>15003</v>
      </c>
      <c r="E7464" t="s">
        <v>15004</v>
      </c>
      <c r="G7464" s="1">
        <v>5</v>
      </c>
    </row>
    <row r="7465" spans="1:7" ht="14.25" hidden="1" customHeight="1" x14ac:dyDescent="0.45">
      <c r="A7465" t="str">
        <f>_xlfn.XLOOKUP(B7465,Ingot!$H$12:$H$119,Ingot!$G$12:$G$119,"")</f>
        <v>Cloth</v>
      </c>
      <c r="B7465" t="s">
        <v>14834</v>
      </c>
      <c r="C7465" t="s">
        <v>157</v>
      </c>
      <c r="D7465" t="s">
        <v>15005</v>
      </c>
      <c r="E7465" t="s">
        <v>15006</v>
      </c>
      <c r="G7465" s="1">
        <v>5</v>
      </c>
    </row>
    <row r="7466" spans="1:7" ht="14.25" hidden="1" customHeight="1" x14ac:dyDescent="0.45">
      <c r="A7466" t="str">
        <f>_xlfn.XLOOKUP(B7466,Ingot!$H$12:$H$119,Ingot!$G$12:$G$119,"")</f>
        <v>Cloth</v>
      </c>
      <c r="B7466" t="s">
        <v>14834</v>
      </c>
      <c r="C7466" t="s">
        <v>157</v>
      </c>
      <c r="D7466" t="s">
        <v>15007</v>
      </c>
      <c r="E7466" t="s">
        <v>15008</v>
      </c>
      <c r="G7466" s="1">
        <v>5</v>
      </c>
    </row>
    <row r="7467" spans="1:7" ht="14.25" hidden="1" customHeight="1" x14ac:dyDescent="0.45">
      <c r="A7467" t="str">
        <f>_xlfn.XLOOKUP(B7467,Ingot!$H$12:$H$119,Ingot!$G$12:$G$119,"")</f>
        <v>Cloth</v>
      </c>
      <c r="B7467" t="s">
        <v>14834</v>
      </c>
      <c r="C7467" t="s">
        <v>157</v>
      </c>
      <c r="D7467" t="s">
        <v>15009</v>
      </c>
      <c r="E7467" t="s">
        <v>15010</v>
      </c>
      <c r="G7467" s="1">
        <v>10</v>
      </c>
    </row>
    <row r="7468" spans="1:7" ht="14.25" hidden="1" customHeight="1" x14ac:dyDescent="0.45">
      <c r="A7468" t="str">
        <f>_xlfn.XLOOKUP(B7468,Ingot!$H$12:$H$119,Ingot!$G$12:$G$119,"")</f>
        <v>Cloth</v>
      </c>
      <c r="B7468" t="s">
        <v>14834</v>
      </c>
      <c r="C7468" t="s">
        <v>157</v>
      </c>
      <c r="D7468" t="s">
        <v>15011</v>
      </c>
      <c r="E7468" t="s">
        <v>15012</v>
      </c>
      <c r="G7468" s="1">
        <v>13.5</v>
      </c>
    </row>
    <row r="7469" spans="1:7" ht="14.25" hidden="1" customHeight="1" x14ac:dyDescent="0.45">
      <c r="A7469" t="str">
        <f>_xlfn.XLOOKUP(B7469,Ingot!$H$12:$H$119,Ingot!$G$12:$G$119,"")</f>
        <v>Cloth</v>
      </c>
      <c r="B7469" t="s">
        <v>14834</v>
      </c>
      <c r="C7469" t="s">
        <v>157</v>
      </c>
      <c r="D7469" t="s">
        <v>15013</v>
      </c>
      <c r="E7469" t="s">
        <v>15014</v>
      </c>
      <c r="G7469" s="1">
        <v>5</v>
      </c>
    </row>
    <row r="7470" spans="1:7" ht="14.25" hidden="1" customHeight="1" x14ac:dyDescent="0.45">
      <c r="A7470" t="str">
        <f>_xlfn.XLOOKUP(B7470,Ingot!$H$12:$H$119,Ingot!$G$12:$G$119,"")</f>
        <v>Cloth</v>
      </c>
      <c r="B7470" t="s">
        <v>14834</v>
      </c>
      <c r="C7470" t="s">
        <v>157</v>
      </c>
      <c r="D7470" t="s">
        <v>15015</v>
      </c>
      <c r="E7470" t="s">
        <v>15016</v>
      </c>
      <c r="G7470" s="1">
        <v>5</v>
      </c>
    </row>
    <row r="7471" spans="1:7" ht="14.25" hidden="1" customHeight="1" x14ac:dyDescent="0.45">
      <c r="A7471" t="str">
        <f>_xlfn.XLOOKUP(B7471,Ingot!$H$12:$H$119,Ingot!$G$12:$G$119,"")</f>
        <v>Cloth</v>
      </c>
      <c r="B7471" t="s">
        <v>14834</v>
      </c>
      <c r="C7471" t="s">
        <v>157</v>
      </c>
      <c r="D7471" t="s">
        <v>15017</v>
      </c>
      <c r="E7471" t="s">
        <v>15018</v>
      </c>
      <c r="G7471" s="1">
        <v>5</v>
      </c>
    </row>
    <row r="7472" spans="1:7" ht="14.25" hidden="1" customHeight="1" x14ac:dyDescent="0.45">
      <c r="A7472" t="str">
        <f>_xlfn.XLOOKUP(B7472,Ingot!$H$12:$H$119,Ingot!$G$12:$G$119,"")</f>
        <v>Cloth</v>
      </c>
      <c r="B7472" t="s">
        <v>14834</v>
      </c>
      <c r="C7472" t="s">
        <v>157</v>
      </c>
      <c r="D7472" t="s">
        <v>15019</v>
      </c>
      <c r="E7472" t="s">
        <v>15020</v>
      </c>
      <c r="G7472" s="1">
        <v>10</v>
      </c>
    </row>
    <row r="7473" spans="1:7" ht="14.25" hidden="1" customHeight="1" x14ac:dyDescent="0.45">
      <c r="A7473" t="str">
        <f>_xlfn.XLOOKUP(B7473,Ingot!$H$12:$H$119,Ingot!$G$12:$G$119,"")</f>
        <v>Cloth</v>
      </c>
      <c r="B7473" t="s">
        <v>14834</v>
      </c>
      <c r="C7473" t="s">
        <v>157</v>
      </c>
      <c r="D7473" t="s">
        <v>15021</v>
      </c>
      <c r="E7473" t="s">
        <v>15022</v>
      </c>
      <c r="G7473" s="1">
        <v>14</v>
      </c>
    </row>
    <row r="7474" spans="1:7" ht="14.25" hidden="1" customHeight="1" x14ac:dyDescent="0.45">
      <c r="A7474" t="str">
        <f>_xlfn.XLOOKUP(B7474,Ingot!$H$12:$H$119,Ingot!$G$12:$G$119,"")</f>
        <v>Cloth</v>
      </c>
      <c r="B7474" t="s">
        <v>14834</v>
      </c>
      <c r="C7474" t="s">
        <v>157</v>
      </c>
      <c r="D7474" t="s">
        <v>15023</v>
      </c>
      <c r="E7474" t="s">
        <v>15024</v>
      </c>
      <c r="G7474" s="1">
        <v>5</v>
      </c>
    </row>
    <row r="7475" spans="1:7" ht="14.25" hidden="1" customHeight="1" x14ac:dyDescent="0.45">
      <c r="A7475" t="str">
        <f>_xlfn.XLOOKUP(B7475,Ingot!$H$12:$H$119,Ingot!$G$12:$G$119,"")</f>
        <v>Cloth</v>
      </c>
      <c r="B7475" t="s">
        <v>14834</v>
      </c>
      <c r="C7475" t="s">
        <v>157</v>
      </c>
      <c r="D7475" t="s">
        <v>15025</v>
      </c>
      <c r="E7475" t="s">
        <v>15026</v>
      </c>
      <c r="G7475" s="1">
        <v>5</v>
      </c>
    </row>
    <row r="7476" spans="1:7" ht="14.25" hidden="1" customHeight="1" x14ac:dyDescent="0.45">
      <c r="A7476" t="str">
        <f>_xlfn.XLOOKUP(B7476,Ingot!$H$12:$H$119,Ingot!$G$12:$G$119,"")</f>
        <v>Cloth</v>
      </c>
      <c r="B7476" t="s">
        <v>14834</v>
      </c>
      <c r="C7476" t="s">
        <v>157</v>
      </c>
      <c r="D7476" t="s">
        <v>15027</v>
      </c>
      <c r="E7476" t="s">
        <v>15028</v>
      </c>
      <c r="G7476" s="1">
        <v>5</v>
      </c>
    </row>
    <row r="7477" spans="1:7" ht="14.25" hidden="1" customHeight="1" x14ac:dyDescent="0.45">
      <c r="A7477" t="str">
        <f>_xlfn.XLOOKUP(B7477,Ingot!$H$12:$H$119,Ingot!$G$12:$G$119,"")</f>
        <v>Cloth</v>
      </c>
      <c r="B7477" t="s">
        <v>14834</v>
      </c>
      <c r="C7477" t="s">
        <v>157</v>
      </c>
      <c r="D7477" t="s">
        <v>15029</v>
      </c>
      <c r="E7477" t="s">
        <v>15030</v>
      </c>
      <c r="G7477" s="1">
        <v>10</v>
      </c>
    </row>
    <row r="7478" spans="1:7" ht="14.25" hidden="1" customHeight="1" x14ac:dyDescent="0.45">
      <c r="A7478" t="str">
        <f>_xlfn.XLOOKUP(B7478,Ingot!$H$12:$H$119,Ingot!$G$12:$G$119,"")</f>
        <v>Cloth</v>
      </c>
      <c r="B7478" t="s">
        <v>14834</v>
      </c>
      <c r="C7478" t="s">
        <v>157</v>
      </c>
      <c r="D7478" t="s">
        <v>15031</v>
      </c>
      <c r="E7478" t="s">
        <v>15032</v>
      </c>
      <c r="G7478" s="1">
        <v>16.399999999999999</v>
      </c>
    </row>
    <row r="7479" spans="1:7" ht="14.25" hidden="1" customHeight="1" x14ac:dyDescent="0.45">
      <c r="A7479" t="str">
        <f>_xlfn.XLOOKUP(B7479,Ingot!$H$12:$H$119,Ingot!$G$12:$G$119,"")</f>
        <v>Cloth</v>
      </c>
      <c r="B7479" t="s">
        <v>14834</v>
      </c>
      <c r="C7479" t="s">
        <v>157</v>
      </c>
      <c r="D7479" t="s">
        <v>15033</v>
      </c>
      <c r="E7479" t="s">
        <v>15034</v>
      </c>
      <c r="G7479" s="1">
        <v>5</v>
      </c>
    </row>
    <row r="7480" spans="1:7" ht="14.25" hidden="1" customHeight="1" x14ac:dyDescent="0.45">
      <c r="A7480" t="str">
        <f>_xlfn.XLOOKUP(B7480,Ingot!$H$12:$H$119,Ingot!$G$12:$G$119,"")</f>
        <v>Cloth</v>
      </c>
      <c r="B7480" t="s">
        <v>14834</v>
      </c>
      <c r="C7480" t="s">
        <v>157</v>
      </c>
      <c r="D7480" t="s">
        <v>15035</v>
      </c>
      <c r="E7480" t="s">
        <v>15036</v>
      </c>
      <c r="G7480" s="1">
        <v>5</v>
      </c>
    </row>
    <row r="7481" spans="1:7" ht="14.25" hidden="1" customHeight="1" x14ac:dyDescent="0.45">
      <c r="A7481" t="str">
        <f>_xlfn.XLOOKUP(B7481,Ingot!$H$12:$H$119,Ingot!$G$12:$G$119,"")</f>
        <v>Cloth</v>
      </c>
      <c r="B7481" t="s">
        <v>14834</v>
      </c>
      <c r="C7481" t="s">
        <v>157</v>
      </c>
      <c r="D7481" t="s">
        <v>15037</v>
      </c>
      <c r="E7481" t="s">
        <v>15038</v>
      </c>
      <c r="G7481" s="1">
        <v>5</v>
      </c>
    </row>
    <row r="7482" spans="1:7" ht="14.25" hidden="1" customHeight="1" x14ac:dyDescent="0.45">
      <c r="A7482" t="str">
        <f>_xlfn.XLOOKUP(B7482,Ingot!$H$12:$H$119,Ingot!$G$12:$G$119,"")</f>
        <v>Cloth</v>
      </c>
      <c r="B7482" t="s">
        <v>14834</v>
      </c>
      <c r="C7482" t="s">
        <v>157</v>
      </c>
      <c r="D7482" t="s">
        <v>15039</v>
      </c>
      <c r="E7482" t="s">
        <v>15040</v>
      </c>
      <c r="G7482" s="1">
        <v>10</v>
      </c>
    </row>
    <row r="7483" spans="1:7" ht="14.25" hidden="1" customHeight="1" x14ac:dyDescent="0.45">
      <c r="A7483" t="str">
        <f>_xlfn.XLOOKUP(B7483,Ingot!$H$12:$H$119,Ingot!$G$12:$G$119,"")</f>
        <v>Cloth</v>
      </c>
      <c r="B7483" t="s">
        <v>14834</v>
      </c>
      <c r="C7483" t="s">
        <v>157</v>
      </c>
      <c r="D7483" t="s">
        <v>15041</v>
      </c>
      <c r="E7483" t="s">
        <v>15042</v>
      </c>
      <c r="G7483" s="1">
        <v>15.5</v>
      </c>
    </row>
    <row r="7484" spans="1:7" ht="14.25" hidden="1" customHeight="1" x14ac:dyDescent="0.45">
      <c r="A7484" t="str">
        <f>_xlfn.XLOOKUP(B7484,Ingot!$H$12:$H$119,Ingot!$G$12:$G$119,"")</f>
        <v>Cloth</v>
      </c>
      <c r="B7484" t="s">
        <v>14834</v>
      </c>
      <c r="C7484" t="s">
        <v>157</v>
      </c>
      <c r="D7484" t="s">
        <v>15043</v>
      </c>
      <c r="E7484" t="s">
        <v>15044</v>
      </c>
      <c r="G7484" s="1">
        <v>5</v>
      </c>
    </row>
    <row r="7485" spans="1:7" ht="14.25" hidden="1" customHeight="1" x14ac:dyDescent="0.45">
      <c r="A7485" t="str">
        <f>_xlfn.XLOOKUP(B7485,Ingot!$H$12:$H$119,Ingot!$G$12:$G$119,"")</f>
        <v>Cloth</v>
      </c>
      <c r="B7485" t="s">
        <v>14834</v>
      </c>
      <c r="C7485" t="s">
        <v>157</v>
      </c>
      <c r="D7485" t="s">
        <v>15045</v>
      </c>
      <c r="E7485" t="s">
        <v>15046</v>
      </c>
      <c r="G7485" s="1">
        <v>5</v>
      </c>
    </row>
    <row r="7486" spans="1:7" ht="14.25" hidden="1" customHeight="1" x14ac:dyDescent="0.45">
      <c r="A7486" t="str">
        <f>_xlfn.XLOOKUP(B7486,Ingot!$H$12:$H$119,Ingot!$G$12:$G$119,"")</f>
        <v>Cloth</v>
      </c>
      <c r="B7486" t="s">
        <v>14834</v>
      </c>
      <c r="C7486" t="s">
        <v>157</v>
      </c>
      <c r="D7486" t="s">
        <v>15047</v>
      </c>
      <c r="E7486" t="s">
        <v>15048</v>
      </c>
      <c r="G7486" s="1">
        <v>5</v>
      </c>
    </row>
    <row r="7487" spans="1:7" ht="14.25" hidden="1" customHeight="1" x14ac:dyDescent="0.45">
      <c r="A7487" t="str">
        <f>_xlfn.XLOOKUP(B7487,Ingot!$H$12:$H$119,Ingot!$G$12:$G$119,"")</f>
        <v>Cloth</v>
      </c>
      <c r="B7487" t="s">
        <v>14834</v>
      </c>
      <c r="C7487" t="s">
        <v>157</v>
      </c>
      <c r="D7487" t="s">
        <v>15049</v>
      </c>
      <c r="E7487" t="s">
        <v>15050</v>
      </c>
      <c r="G7487" s="1">
        <v>10</v>
      </c>
    </row>
    <row r="7488" spans="1:7" ht="14.25" hidden="1" customHeight="1" x14ac:dyDescent="0.45">
      <c r="A7488" t="str">
        <f>_xlfn.XLOOKUP(B7488,Ingot!$H$12:$H$119,Ingot!$G$12:$G$119,"")</f>
        <v>Cloth</v>
      </c>
      <c r="B7488" t="s">
        <v>14834</v>
      </c>
      <c r="C7488" t="s">
        <v>157</v>
      </c>
      <c r="D7488" t="s">
        <v>15051</v>
      </c>
      <c r="E7488" t="s">
        <v>15052</v>
      </c>
      <c r="G7488" s="1">
        <v>12.6</v>
      </c>
    </row>
    <row r="7489" spans="1:7" ht="14.25" hidden="1" customHeight="1" x14ac:dyDescent="0.45">
      <c r="A7489" t="str">
        <f>_xlfn.XLOOKUP(B7489,Ingot!$H$12:$H$119,Ingot!$G$12:$G$119,"")</f>
        <v>Cloth</v>
      </c>
      <c r="B7489" t="s">
        <v>14834</v>
      </c>
      <c r="C7489" t="s">
        <v>157</v>
      </c>
      <c r="D7489" t="s">
        <v>15053</v>
      </c>
      <c r="E7489" t="s">
        <v>15054</v>
      </c>
      <c r="G7489" s="1">
        <v>5</v>
      </c>
    </row>
    <row r="7490" spans="1:7" ht="14.25" hidden="1" customHeight="1" x14ac:dyDescent="0.45">
      <c r="A7490" t="str">
        <f>_xlfn.XLOOKUP(B7490,Ingot!$H$12:$H$119,Ingot!$G$12:$G$119,"")</f>
        <v>Cloth</v>
      </c>
      <c r="B7490" t="s">
        <v>14834</v>
      </c>
      <c r="C7490" t="s">
        <v>157</v>
      </c>
      <c r="D7490" t="s">
        <v>15055</v>
      </c>
      <c r="E7490" t="s">
        <v>15056</v>
      </c>
      <c r="G7490" s="1">
        <v>5</v>
      </c>
    </row>
    <row r="7491" spans="1:7" ht="14.25" hidden="1" customHeight="1" x14ac:dyDescent="0.45">
      <c r="A7491" t="str">
        <f>_xlfn.XLOOKUP(B7491,Ingot!$H$12:$H$119,Ingot!$G$12:$G$119,"")</f>
        <v>Cloth</v>
      </c>
      <c r="B7491" t="s">
        <v>14834</v>
      </c>
      <c r="C7491" t="s">
        <v>157</v>
      </c>
      <c r="D7491" t="s">
        <v>15057</v>
      </c>
      <c r="E7491" t="s">
        <v>15058</v>
      </c>
      <c r="G7491" s="1">
        <v>5</v>
      </c>
    </row>
    <row r="7492" spans="1:7" ht="14.25" hidden="1" customHeight="1" x14ac:dyDescent="0.45">
      <c r="A7492" t="str">
        <f>_xlfn.XLOOKUP(B7492,Ingot!$H$12:$H$119,Ingot!$G$12:$G$119,"")</f>
        <v>Cloth</v>
      </c>
      <c r="B7492" t="s">
        <v>14834</v>
      </c>
      <c r="C7492" t="s">
        <v>157</v>
      </c>
      <c r="D7492" t="s">
        <v>15059</v>
      </c>
      <c r="E7492" t="s">
        <v>15060</v>
      </c>
      <c r="G7492" s="1">
        <v>10</v>
      </c>
    </row>
    <row r="7493" spans="1:7" ht="14.25" hidden="1" customHeight="1" x14ac:dyDescent="0.45">
      <c r="A7493" t="str">
        <f>_xlfn.XLOOKUP(B7493,Ingot!$H$12:$H$119,Ingot!$G$12:$G$119,"")</f>
        <v>Cloth</v>
      </c>
      <c r="B7493" t="s">
        <v>14834</v>
      </c>
      <c r="C7493" t="s">
        <v>239</v>
      </c>
      <c r="D7493" t="s">
        <v>15061</v>
      </c>
      <c r="E7493" t="s">
        <v>15062</v>
      </c>
    </row>
    <row r="7494" spans="1:7" ht="14.25" hidden="1" customHeight="1" x14ac:dyDescent="0.45">
      <c r="A7494" t="str">
        <f>_xlfn.XLOOKUP(B7494,Ingot!$H$12:$H$119,Ingot!$G$12:$G$119,"")</f>
        <v>Cloth</v>
      </c>
      <c r="B7494" t="s">
        <v>14834</v>
      </c>
      <c r="C7494" t="s">
        <v>239</v>
      </c>
      <c r="D7494" t="s">
        <v>15063</v>
      </c>
      <c r="E7494" t="s">
        <v>15064</v>
      </c>
    </row>
    <row r="7495" spans="1:7" ht="14.25" hidden="1" customHeight="1" x14ac:dyDescent="0.45">
      <c r="A7495" t="str">
        <f>_xlfn.XLOOKUP(B7495,Ingot!$H$12:$H$119,Ingot!$G$12:$G$119,"")</f>
        <v>Cloth</v>
      </c>
      <c r="B7495" t="s">
        <v>14834</v>
      </c>
      <c r="C7495" t="s">
        <v>239</v>
      </c>
      <c r="D7495" t="s">
        <v>15065</v>
      </c>
      <c r="E7495" t="s">
        <v>15066</v>
      </c>
    </row>
    <row r="7496" spans="1:7" ht="14.25" hidden="1" customHeight="1" x14ac:dyDescent="0.45">
      <c r="A7496" t="str">
        <f>_xlfn.XLOOKUP(B7496,Ingot!$H$12:$H$119,Ingot!$G$12:$G$119,"")</f>
        <v>Cloth</v>
      </c>
      <c r="B7496" t="s">
        <v>14834</v>
      </c>
      <c r="C7496" t="s">
        <v>239</v>
      </c>
      <c r="D7496" t="s">
        <v>15067</v>
      </c>
      <c r="E7496" t="s">
        <v>15068</v>
      </c>
    </row>
    <row r="7497" spans="1:7" ht="14.25" hidden="1" customHeight="1" x14ac:dyDescent="0.45">
      <c r="A7497" t="str">
        <f>_xlfn.XLOOKUP(B7497,Ingot!$H$12:$H$119,Ingot!$G$12:$G$119,"")</f>
        <v>Cloth</v>
      </c>
      <c r="B7497" t="s">
        <v>14834</v>
      </c>
      <c r="C7497" t="s">
        <v>239</v>
      </c>
      <c r="D7497" t="s">
        <v>15069</v>
      </c>
      <c r="E7497" t="s">
        <v>15070</v>
      </c>
    </row>
    <row r="7498" spans="1:7" ht="14.25" hidden="1" customHeight="1" x14ac:dyDescent="0.45">
      <c r="A7498" t="str">
        <f>_xlfn.XLOOKUP(B7498,Ingot!$H$12:$H$119,Ingot!$G$12:$G$119,"")</f>
        <v>Cloth</v>
      </c>
      <c r="B7498" t="s">
        <v>14834</v>
      </c>
      <c r="C7498" t="s">
        <v>239</v>
      </c>
      <c r="D7498" t="s">
        <v>15071</v>
      </c>
      <c r="E7498" t="s">
        <v>15072</v>
      </c>
    </row>
    <row r="7499" spans="1:7" ht="14.25" hidden="1" customHeight="1" x14ac:dyDescent="0.45">
      <c r="A7499" t="str">
        <f>_xlfn.XLOOKUP(B7499,Ingot!$H$12:$H$119,Ingot!$G$12:$G$119,"")</f>
        <v>Cloth</v>
      </c>
      <c r="B7499" t="s">
        <v>15073</v>
      </c>
      <c r="C7499" t="s">
        <v>10</v>
      </c>
      <c r="D7499" t="s">
        <v>15074</v>
      </c>
      <c r="E7499" t="s">
        <v>15075</v>
      </c>
      <c r="G7499" s="1">
        <v>0.08</v>
      </c>
    </row>
    <row r="7500" spans="1:7" ht="14.25" hidden="1" customHeight="1" x14ac:dyDescent="0.45">
      <c r="A7500" t="str">
        <f>_xlfn.XLOOKUP(B7500,Ingot!$H$12:$H$119,Ingot!$G$12:$G$119,"")</f>
        <v>Cloth</v>
      </c>
      <c r="B7500" t="s">
        <v>15073</v>
      </c>
      <c r="C7500" t="s">
        <v>10</v>
      </c>
      <c r="D7500" t="s">
        <v>15076</v>
      </c>
      <c r="E7500" t="s">
        <v>15077</v>
      </c>
      <c r="G7500" s="1">
        <v>9.9</v>
      </c>
    </row>
    <row r="7501" spans="1:7" ht="14.25" hidden="1" customHeight="1" x14ac:dyDescent="0.45">
      <c r="A7501" t="str">
        <f>_xlfn.XLOOKUP(B7501,Ingot!$H$12:$H$119,Ingot!$G$12:$G$119,"")</f>
        <v>Cloth</v>
      </c>
      <c r="B7501" t="s">
        <v>15073</v>
      </c>
      <c r="C7501" t="s">
        <v>10</v>
      </c>
      <c r="D7501" t="s">
        <v>15078</v>
      </c>
      <c r="E7501" t="s">
        <v>15079</v>
      </c>
      <c r="G7501" s="1">
        <v>5.66</v>
      </c>
    </row>
    <row r="7502" spans="1:7" ht="14.25" hidden="1" customHeight="1" x14ac:dyDescent="0.45">
      <c r="A7502" t="str">
        <f>_xlfn.XLOOKUP(B7502,Ingot!$H$12:$H$119,Ingot!$G$12:$G$119,"")</f>
        <v>Cloth</v>
      </c>
      <c r="B7502" t="s">
        <v>15073</v>
      </c>
      <c r="C7502" t="s">
        <v>10</v>
      </c>
      <c r="D7502" t="s">
        <v>15080</v>
      </c>
      <c r="E7502" t="s">
        <v>15081</v>
      </c>
      <c r="G7502" s="1">
        <v>3.3</v>
      </c>
    </row>
    <row r="7503" spans="1:7" ht="14.25" hidden="1" customHeight="1" x14ac:dyDescent="0.45">
      <c r="A7503" t="str">
        <f>_xlfn.XLOOKUP(B7503,Ingot!$H$12:$H$119,Ingot!$G$12:$G$119,"")</f>
        <v>Cloth</v>
      </c>
      <c r="B7503" t="s">
        <v>15073</v>
      </c>
      <c r="C7503" t="s">
        <v>10</v>
      </c>
      <c r="D7503" t="s">
        <v>15082</v>
      </c>
      <c r="E7503" t="s">
        <v>15083</v>
      </c>
      <c r="G7503" s="1">
        <v>0.66</v>
      </c>
    </row>
    <row r="7504" spans="1:7" ht="14.25" hidden="1" customHeight="1" x14ac:dyDescent="0.45">
      <c r="A7504" t="str">
        <f>_xlfn.XLOOKUP(B7504,Ingot!$H$12:$H$119,Ingot!$G$12:$G$119,"")</f>
        <v>Cloth</v>
      </c>
      <c r="B7504" t="s">
        <v>15073</v>
      </c>
      <c r="C7504" t="s">
        <v>10</v>
      </c>
      <c r="D7504" t="s">
        <v>15084</v>
      </c>
      <c r="E7504" t="s">
        <v>15085</v>
      </c>
      <c r="G7504" s="1">
        <v>0.04</v>
      </c>
    </row>
    <row r="7505" spans="1:7" ht="14.25" hidden="1" customHeight="1" x14ac:dyDescent="0.45">
      <c r="A7505" t="str">
        <f>_xlfn.XLOOKUP(B7505,Ingot!$H$12:$H$119,Ingot!$G$12:$G$119,"")</f>
        <v>Cloth</v>
      </c>
      <c r="B7505" t="s">
        <v>15073</v>
      </c>
      <c r="C7505" t="s">
        <v>10</v>
      </c>
      <c r="D7505" t="s">
        <v>15086</v>
      </c>
      <c r="E7505" t="s">
        <v>15087</v>
      </c>
      <c r="G7505" s="1">
        <v>0.33</v>
      </c>
    </row>
    <row r="7506" spans="1:7" ht="14.25" hidden="1" customHeight="1" x14ac:dyDescent="0.45">
      <c r="A7506" t="str">
        <f>_xlfn.XLOOKUP(B7506,Ingot!$H$12:$H$119,Ingot!$G$12:$G$119,"")</f>
        <v>Cloth</v>
      </c>
      <c r="B7506" t="s">
        <v>15073</v>
      </c>
      <c r="C7506" t="s">
        <v>10</v>
      </c>
      <c r="D7506" t="s">
        <v>15088</v>
      </c>
      <c r="E7506" t="s">
        <v>15089</v>
      </c>
    </row>
    <row r="7507" spans="1:7" ht="14.25" hidden="1" customHeight="1" x14ac:dyDescent="0.45">
      <c r="A7507" t="str">
        <f>_xlfn.XLOOKUP(B7507,Ingot!$H$12:$H$119,Ingot!$G$12:$G$119,"")</f>
        <v>Cloth</v>
      </c>
      <c r="B7507" t="s">
        <v>15073</v>
      </c>
      <c r="C7507" t="s">
        <v>10</v>
      </c>
      <c r="D7507" t="s">
        <v>15090</v>
      </c>
      <c r="E7507" t="s">
        <v>15091</v>
      </c>
      <c r="G7507" s="1">
        <v>0.05</v>
      </c>
    </row>
    <row r="7508" spans="1:7" ht="14.25" hidden="1" customHeight="1" x14ac:dyDescent="0.45">
      <c r="A7508" t="str">
        <f>_xlfn.XLOOKUP(B7508,Ingot!$H$12:$H$119,Ingot!$G$12:$G$119,"")</f>
        <v>Cloth</v>
      </c>
      <c r="B7508" t="s">
        <v>15073</v>
      </c>
      <c r="C7508" t="s">
        <v>10</v>
      </c>
      <c r="D7508" t="s">
        <v>15092</v>
      </c>
      <c r="E7508" t="s">
        <v>15093</v>
      </c>
      <c r="G7508" s="1">
        <v>0.66</v>
      </c>
    </row>
    <row r="7509" spans="1:7" ht="14.25" hidden="1" customHeight="1" x14ac:dyDescent="0.45">
      <c r="A7509" t="str">
        <f>_xlfn.XLOOKUP(B7509,Ingot!$H$12:$H$119,Ingot!$G$12:$G$119,"")</f>
        <v>Cloth</v>
      </c>
      <c r="B7509" t="s">
        <v>15073</v>
      </c>
      <c r="C7509" t="s">
        <v>10</v>
      </c>
      <c r="D7509" t="s">
        <v>15094</v>
      </c>
      <c r="E7509" t="s">
        <v>15095</v>
      </c>
      <c r="G7509" s="1">
        <v>3.96</v>
      </c>
    </row>
    <row r="7510" spans="1:7" ht="14.25" hidden="1" customHeight="1" x14ac:dyDescent="0.45">
      <c r="A7510" t="str">
        <f>_xlfn.XLOOKUP(B7510,Ingot!$H$12:$H$119,Ingot!$G$12:$G$119,"")</f>
        <v>Cloth</v>
      </c>
      <c r="B7510" t="s">
        <v>15073</v>
      </c>
      <c r="C7510" t="s">
        <v>10</v>
      </c>
      <c r="D7510" t="s">
        <v>15096</v>
      </c>
      <c r="E7510" t="s">
        <v>15097</v>
      </c>
      <c r="G7510" s="1">
        <v>8.77</v>
      </c>
    </row>
    <row r="7511" spans="1:7" ht="14.25" hidden="1" customHeight="1" x14ac:dyDescent="0.45">
      <c r="A7511" t="str">
        <f>_xlfn.XLOOKUP(B7511,Ingot!$H$12:$H$119,Ingot!$G$12:$G$119,"")</f>
        <v>Cloth</v>
      </c>
      <c r="B7511" t="s">
        <v>15073</v>
      </c>
      <c r="C7511" t="s">
        <v>10</v>
      </c>
      <c r="D7511" t="s">
        <v>15098</v>
      </c>
      <c r="E7511" t="s">
        <v>15099</v>
      </c>
      <c r="G7511" s="1">
        <v>3.5</v>
      </c>
    </row>
    <row r="7512" spans="1:7" ht="14.25" hidden="1" customHeight="1" x14ac:dyDescent="0.45">
      <c r="A7512" t="str">
        <f>_xlfn.XLOOKUP(B7512,Ingot!$H$12:$H$119,Ingot!$G$12:$G$119,"")</f>
        <v>Cloth</v>
      </c>
      <c r="B7512" t="s">
        <v>15073</v>
      </c>
      <c r="C7512" t="s">
        <v>10</v>
      </c>
      <c r="D7512" t="s">
        <v>15100</v>
      </c>
      <c r="E7512" t="s">
        <v>15101</v>
      </c>
    </row>
    <row r="7513" spans="1:7" ht="14.25" hidden="1" customHeight="1" x14ac:dyDescent="0.45">
      <c r="A7513" t="str">
        <f>_xlfn.XLOOKUP(B7513,Ingot!$H$12:$H$119,Ingot!$G$12:$G$119,"")</f>
        <v>Cloth</v>
      </c>
      <c r="B7513" t="s">
        <v>15073</v>
      </c>
      <c r="C7513" t="s">
        <v>10</v>
      </c>
      <c r="D7513" t="s">
        <v>15102</v>
      </c>
      <c r="E7513" t="s">
        <v>15103</v>
      </c>
      <c r="G7513" s="1">
        <v>2.2000000000000002</v>
      </c>
    </row>
    <row r="7514" spans="1:7" ht="14.25" hidden="1" customHeight="1" x14ac:dyDescent="0.45">
      <c r="A7514" t="str">
        <f>_xlfn.XLOOKUP(B7514,Ingot!$H$12:$H$119,Ingot!$G$12:$G$119,"")</f>
        <v>Cloth</v>
      </c>
      <c r="B7514" t="s">
        <v>15073</v>
      </c>
      <c r="C7514" t="s">
        <v>10</v>
      </c>
      <c r="D7514" t="s">
        <v>15104</v>
      </c>
      <c r="E7514" t="s">
        <v>15105</v>
      </c>
      <c r="G7514" s="1">
        <v>1.1000000000000001</v>
      </c>
    </row>
    <row r="7515" spans="1:7" ht="14.25" hidden="1" customHeight="1" x14ac:dyDescent="0.45">
      <c r="A7515" t="str">
        <f>_xlfn.XLOOKUP(B7515,Ingot!$H$12:$H$119,Ingot!$G$12:$G$119,"")</f>
        <v>Cloth</v>
      </c>
      <c r="B7515" t="s">
        <v>15073</v>
      </c>
      <c r="C7515" t="s">
        <v>10</v>
      </c>
      <c r="D7515" t="s">
        <v>15106</v>
      </c>
      <c r="E7515" t="s">
        <v>15107</v>
      </c>
      <c r="G7515" s="1">
        <v>0.22</v>
      </c>
    </row>
    <row r="7516" spans="1:7" ht="14.25" hidden="1" customHeight="1" x14ac:dyDescent="0.45">
      <c r="A7516" t="str">
        <f>_xlfn.XLOOKUP(B7516,Ingot!$H$12:$H$119,Ingot!$G$12:$G$119,"")</f>
        <v>Cloth</v>
      </c>
      <c r="B7516" t="s">
        <v>15073</v>
      </c>
      <c r="C7516" t="s">
        <v>10</v>
      </c>
      <c r="D7516" t="s">
        <v>15108</v>
      </c>
      <c r="E7516" t="s">
        <v>15109</v>
      </c>
      <c r="G7516" s="1">
        <v>8.41</v>
      </c>
    </row>
    <row r="7517" spans="1:7" ht="14.25" hidden="1" customHeight="1" x14ac:dyDescent="0.45">
      <c r="A7517" t="str">
        <f>_xlfn.XLOOKUP(B7517,Ingot!$H$12:$H$119,Ingot!$G$12:$G$119,"")</f>
        <v>Cloth</v>
      </c>
      <c r="B7517" t="s">
        <v>15073</v>
      </c>
      <c r="C7517" t="s">
        <v>10</v>
      </c>
      <c r="D7517" t="s">
        <v>15110</v>
      </c>
      <c r="E7517" t="s">
        <v>15111</v>
      </c>
      <c r="G7517" s="1">
        <v>3.64</v>
      </c>
    </row>
    <row r="7518" spans="1:7" ht="14.25" hidden="1" customHeight="1" x14ac:dyDescent="0.45">
      <c r="A7518" t="str">
        <f>_xlfn.XLOOKUP(B7518,Ingot!$H$12:$H$119,Ingot!$G$12:$G$119,"")</f>
        <v>Cloth</v>
      </c>
      <c r="B7518" t="s">
        <v>15073</v>
      </c>
      <c r="C7518" t="s">
        <v>10</v>
      </c>
      <c r="D7518" t="s">
        <v>15112</v>
      </c>
      <c r="E7518" t="s">
        <v>15113</v>
      </c>
      <c r="G7518" s="1">
        <v>7.05</v>
      </c>
    </row>
    <row r="7519" spans="1:7" ht="14.25" hidden="1" customHeight="1" x14ac:dyDescent="0.45">
      <c r="A7519" t="str">
        <f>_xlfn.XLOOKUP(B7519,Ingot!$H$12:$H$119,Ingot!$G$12:$G$119,"")</f>
        <v>Cloth</v>
      </c>
      <c r="B7519" t="s">
        <v>15073</v>
      </c>
      <c r="C7519" t="s">
        <v>10</v>
      </c>
      <c r="D7519" t="s">
        <v>15114</v>
      </c>
      <c r="E7519" t="s">
        <v>15115</v>
      </c>
      <c r="G7519" s="1">
        <v>2.65</v>
      </c>
    </row>
    <row r="7520" spans="1:7" ht="14.25" hidden="1" customHeight="1" x14ac:dyDescent="0.45">
      <c r="A7520" t="str">
        <f>_xlfn.XLOOKUP(B7520,Ingot!$H$12:$H$119,Ingot!$G$12:$G$119,"")</f>
        <v>Cloth</v>
      </c>
      <c r="B7520" t="s">
        <v>15073</v>
      </c>
      <c r="C7520" t="s">
        <v>10</v>
      </c>
      <c r="D7520" t="s">
        <v>15116</v>
      </c>
      <c r="E7520" t="s">
        <v>15117</v>
      </c>
      <c r="G7520" s="1">
        <v>9</v>
      </c>
    </row>
    <row r="7521" spans="1:7" ht="14.25" hidden="1" customHeight="1" x14ac:dyDescent="0.45">
      <c r="A7521" t="str">
        <f>_xlfn.XLOOKUP(B7521,Ingot!$H$12:$H$119,Ingot!$G$12:$G$119,"")</f>
        <v>Cloth</v>
      </c>
      <c r="B7521" t="s">
        <v>15073</v>
      </c>
      <c r="C7521" t="s">
        <v>10</v>
      </c>
      <c r="D7521" t="s">
        <v>15118</v>
      </c>
      <c r="E7521" t="s">
        <v>15119</v>
      </c>
      <c r="G7521" s="1">
        <v>10.23</v>
      </c>
    </row>
    <row r="7522" spans="1:7" ht="14.25" hidden="1" customHeight="1" x14ac:dyDescent="0.45">
      <c r="A7522" t="str">
        <f>_xlfn.XLOOKUP(B7522,Ingot!$H$12:$H$119,Ingot!$G$12:$G$119,"")</f>
        <v>Cloth</v>
      </c>
      <c r="B7522" t="s">
        <v>15073</v>
      </c>
      <c r="C7522" t="s">
        <v>10</v>
      </c>
      <c r="D7522" t="s">
        <v>15120</v>
      </c>
      <c r="E7522" t="s">
        <v>15121</v>
      </c>
      <c r="G7522" s="1">
        <v>7.7</v>
      </c>
    </row>
    <row r="7523" spans="1:7" ht="14.25" hidden="1" customHeight="1" x14ac:dyDescent="0.45">
      <c r="A7523" t="str">
        <f>_xlfn.XLOOKUP(B7523,Ingot!$H$12:$H$119,Ingot!$G$12:$G$119,"")</f>
        <v>Cloth</v>
      </c>
      <c r="B7523" t="s">
        <v>15073</v>
      </c>
      <c r="C7523" t="s">
        <v>10</v>
      </c>
      <c r="D7523" t="s">
        <v>15122</v>
      </c>
      <c r="E7523" t="s">
        <v>15123</v>
      </c>
      <c r="G7523" s="1">
        <v>10.02</v>
      </c>
    </row>
    <row r="7524" spans="1:7" ht="14.25" hidden="1" customHeight="1" x14ac:dyDescent="0.45">
      <c r="A7524" t="str">
        <f>_xlfn.XLOOKUP(B7524,Ingot!$H$12:$H$119,Ingot!$G$12:$G$119,"")</f>
        <v>Cloth</v>
      </c>
      <c r="B7524" t="s">
        <v>15073</v>
      </c>
      <c r="C7524" t="s">
        <v>10</v>
      </c>
      <c r="D7524" t="s">
        <v>15124</v>
      </c>
      <c r="E7524" t="s">
        <v>15125</v>
      </c>
      <c r="G7524" s="1">
        <v>11.81</v>
      </c>
    </row>
    <row r="7525" spans="1:7" ht="14.25" hidden="1" customHeight="1" x14ac:dyDescent="0.45">
      <c r="A7525" t="str">
        <f>_xlfn.XLOOKUP(B7525,Ingot!$H$12:$H$119,Ingot!$G$12:$G$119,"")</f>
        <v>Cloth</v>
      </c>
      <c r="B7525" t="s">
        <v>15073</v>
      </c>
      <c r="C7525" t="s">
        <v>10</v>
      </c>
      <c r="D7525" t="s">
        <v>15126</v>
      </c>
      <c r="E7525" t="s">
        <v>15127</v>
      </c>
      <c r="G7525" s="1">
        <v>8.44</v>
      </c>
    </row>
    <row r="7526" spans="1:7" ht="14.25" hidden="1" customHeight="1" x14ac:dyDescent="0.45">
      <c r="A7526" t="str">
        <f>_xlfn.XLOOKUP(B7526,Ingot!$H$12:$H$119,Ingot!$G$12:$G$119,"")</f>
        <v>Cloth</v>
      </c>
      <c r="B7526" t="s">
        <v>15073</v>
      </c>
      <c r="C7526" t="s">
        <v>10</v>
      </c>
      <c r="D7526" t="s">
        <v>15128</v>
      </c>
      <c r="E7526" t="s">
        <v>15129</v>
      </c>
      <c r="G7526" s="1">
        <v>10.42</v>
      </c>
    </row>
    <row r="7527" spans="1:7" ht="14.25" hidden="1" customHeight="1" x14ac:dyDescent="0.45">
      <c r="A7527" t="str">
        <f>_xlfn.XLOOKUP(B7527,Ingot!$H$12:$H$119,Ingot!$G$12:$G$119,"")</f>
        <v>Cloth</v>
      </c>
      <c r="B7527" t="s">
        <v>15073</v>
      </c>
      <c r="C7527" t="s">
        <v>10</v>
      </c>
      <c r="D7527" t="s">
        <v>15130</v>
      </c>
      <c r="E7527" t="s">
        <v>15131</v>
      </c>
    </row>
    <row r="7528" spans="1:7" ht="14.25" hidden="1" customHeight="1" x14ac:dyDescent="0.45">
      <c r="A7528" t="str">
        <f>_xlfn.XLOOKUP(B7528,Ingot!$H$12:$H$119,Ingot!$G$12:$G$119,"")</f>
        <v>Cloth</v>
      </c>
      <c r="B7528" t="s">
        <v>15073</v>
      </c>
      <c r="C7528" t="s">
        <v>10</v>
      </c>
      <c r="D7528" t="s">
        <v>15132</v>
      </c>
      <c r="E7528" t="s">
        <v>15133</v>
      </c>
      <c r="G7528" s="1">
        <v>7.96</v>
      </c>
    </row>
    <row r="7529" spans="1:7" ht="14.25" hidden="1" customHeight="1" x14ac:dyDescent="0.45">
      <c r="A7529" t="str">
        <f>_xlfn.XLOOKUP(B7529,Ingot!$H$12:$H$119,Ingot!$G$12:$G$119,"")</f>
        <v>Cloth</v>
      </c>
      <c r="B7529" t="s">
        <v>15073</v>
      </c>
      <c r="C7529" t="s">
        <v>10</v>
      </c>
      <c r="D7529" t="s">
        <v>15134</v>
      </c>
      <c r="E7529" t="s">
        <v>15135</v>
      </c>
      <c r="G7529" s="1">
        <v>9.64</v>
      </c>
    </row>
    <row r="7530" spans="1:7" ht="14.25" hidden="1" customHeight="1" x14ac:dyDescent="0.45">
      <c r="A7530" t="str">
        <f>_xlfn.XLOOKUP(B7530,Ingot!$H$12:$H$119,Ingot!$G$12:$G$119,"")</f>
        <v>Cloth</v>
      </c>
      <c r="B7530" t="s">
        <v>15073</v>
      </c>
      <c r="C7530" t="s">
        <v>10</v>
      </c>
      <c r="D7530" t="s">
        <v>15136</v>
      </c>
      <c r="E7530" t="s">
        <v>15137</v>
      </c>
      <c r="G7530" s="1">
        <v>7.94</v>
      </c>
    </row>
    <row r="7531" spans="1:7" ht="14.25" hidden="1" customHeight="1" x14ac:dyDescent="0.45">
      <c r="A7531" t="str">
        <f>_xlfn.XLOOKUP(B7531,Ingot!$H$12:$H$119,Ingot!$G$12:$G$119,"")</f>
        <v>Cloth</v>
      </c>
      <c r="B7531" t="s">
        <v>15073</v>
      </c>
      <c r="C7531" t="s">
        <v>10</v>
      </c>
      <c r="D7531" t="s">
        <v>15138</v>
      </c>
      <c r="E7531" t="s">
        <v>15139</v>
      </c>
      <c r="G7531" s="1">
        <v>8.66</v>
      </c>
    </row>
    <row r="7532" spans="1:7" ht="14.25" hidden="1" customHeight="1" x14ac:dyDescent="0.45">
      <c r="A7532" t="str">
        <f>_xlfn.XLOOKUP(B7532,Ingot!$H$12:$H$119,Ingot!$G$12:$G$119,"")</f>
        <v>Cloth</v>
      </c>
      <c r="B7532" t="s">
        <v>15073</v>
      </c>
      <c r="C7532" t="s">
        <v>10</v>
      </c>
      <c r="D7532" t="s">
        <v>15140</v>
      </c>
      <c r="E7532" t="s">
        <v>15141</v>
      </c>
    </row>
    <row r="7533" spans="1:7" ht="14.25" hidden="1" customHeight="1" x14ac:dyDescent="0.45">
      <c r="A7533" t="str">
        <f>_xlfn.XLOOKUP(B7533,Ingot!$H$12:$H$119,Ingot!$G$12:$G$119,"")</f>
        <v>Cloth</v>
      </c>
      <c r="B7533" t="s">
        <v>15073</v>
      </c>
      <c r="C7533" t="s">
        <v>10</v>
      </c>
      <c r="D7533" t="s">
        <v>15142</v>
      </c>
      <c r="E7533" t="s">
        <v>15143</v>
      </c>
      <c r="G7533" s="1">
        <v>2.65</v>
      </c>
    </row>
    <row r="7534" spans="1:7" ht="14.25" hidden="1" customHeight="1" x14ac:dyDescent="0.45">
      <c r="A7534" t="str">
        <f>_xlfn.XLOOKUP(B7534,Ingot!$H$12:$H$119,Ingot!$G$12:$G$119,"")</f>
        <v>Cloth</v>
      </c>
      <c r="B7534" t="s">
        <v>15073</v>
      </c>
      <c r="C7534" t="s">
        <v>10</v>
      </c>
      <c r="D7534" t="s">
        <v>15144</v>
      </c>
      <c r="E7534" t="s">
        <v>15145</v>
      </c>
    </row>
    <row r="7535" spans="1:7" ht="14.25" hidden="1" customHeight="1" x14ac:dyDescent="0.45">
      <c r="A7535" t="str">
        <f>_xlfn.XLOOKUP(B7535,Ingot!$H$12:$H$119,Ingot!$G$12:$G$119,"")</f>
        <v>Cloth</v>
      </c>
      <c r="B7535" t="s">
        <v>15073</v>
      </c>
      <c r="C7535" t="s">
        <v>10</v>
      </c>
      <c r="D7535" t="s">
        <v>15146</v>
      </c>
      <c r="E7535" t="s">
        <v>15147</v>
      </c>
      <c r="G7535" s="1">
        <v>12.64</v>
      </c>
    </row>
    <row r="7536" spans="1:7" ht="14.25" hidden="1" customHeight="1" x14ac:dyDescent="0.45">
      <c r="A7536" t="str">
        <f>_xlfn.XLOOKUP(B7536,Ingot!$H$12:$H$119,Ingot!$G$12:$G$119,"")</f>
        <v>Cloth</v>
      </c>
      <c r="B7536" t="s">
        <v>15073</v>
      </c>
      <c r="C7536" t="s">
        <v>10</v>
      </c>
      <c r="D7536" t="s">
        <v>15148</v>
      </c>
      <c r="E7536" t="s">
        <v>15149</v>
      </c>
      <c r="G7536" s="1">
        <v>22.67</v>
      </c>
    </row>
    <row r="7537" spans="1:7" ht="14.25" hidden="1" customHeight="1" x14ac:dyDescent="0.45">
      <c r="A7537" t="str">
        <f>_xlfn.XLOOKUP(B7537,Ingot!$H$12:$H$119,Ingot!$G$12:$G$119,"")</f>
        <v>Cloth</v>
      </c>
      <c r="B7537" t="s">
        <v>15073</v>
      </c>
      <c r="C7537" t="s">
        <v>10</v>
      </c>
      <c r="D7537" t="s">
        <v>15150</v>
      </c>
      <c r="E7537" t="s">
        <v>15151</v>
      </c>
      <c r="G7537" s="1">
        <v>8.3800000000000008</v>
      </c>
    </row>
    <row r="7538" spans="1:7" ht="14.25" hidden="1" customHeight="1" x14ac:dyDescent="0.45">
      <c r="A7538" t="str">
        <f>_xlfn.XLOOKUP(B7538,Ingot!$H$12:$H$119,Ingot!$G$12:$G$119,"")</f>
        <v>Cloth</v>
      </c>
      <c r="B7538" t="s">
        <v>15073</v>
      </c>
      <c r="C7538" t="s">
        <v>10</v>
      </c>
      <c r="D7538" t="s">
        <v>15152</v>
      </c>
      <c r="E7538" t="s">
        <v>15153</v>
      </c>
      <c r="G7538" s="1">
        <v>2.2000000000000002</v>
      </c>
    </row>
    <row r="7539" spans="1:7" ht="14.25" hidden="1" customHeight="1" x14ac:dyDescent="0.45">
      <c r="A7539" t="str">
        <f>_xlfn.XLOOKUP(B7539,Ingot!$H$12:$H$119,Ingot!$G$12:$G$119,"")</f>
        <v>Cloth</v>
      </c>
      <c r="B7539" t="s">
        <v>15073</v>
      </c>
      <c r="C7539" t="s">
        <v>10</v>
      </c>
      <c r="D7539" t="s">
        <v>15154</v>
      </c>
      <c r="E7539" t="s">
        <v>15155</v>
      </c>
      <c r="G7539" s="1">
        <v>3.09</v>
      </c>
    </row>
    <row r="7540" spans="1:7" ht="14.25" hidden="1" customHeight="1" x14ac:dyDescent="0.45">
      <c r="A7540" t="str">
        <f>_xlfn.XLOOKUP(B7540,Ingot!$H$12:$H$119,Ingot!$G$12:$G$119,"")</f>
        <v>Cloth</v>
      </c>
      <c r="B7540" t="s">
        <v>15073</v>
      </c>
      <c r="C7540" t="s">
        <v>10</v>
      </c>
      <c r="D7540" t="s">
        <v>15156</v>
      </c>
      <c r="E7540" t="s">
        <v>15157</v>
      </c>
      <c r="G7540" s="1">
        <v>2.2999999999999998</v>
      </c>
    </row>
    <row r="7541" spans="1:7" ht="14.25" hidden="1" customHeight="1" x14ac:dyDescent="0.45">
      <c r="A7541" t="str">
        <f>_xlfn.XLOOKUP(B7541,Ingot!$H$12:$H$119,Ingot!$G$12:$G$119,"")</f>
        <v>Cloth</v>
      </c>
      <c r="B7541" t="s">
        <v>15073</v>
      </c>
      <c r="C7541" t="s">
        <v>10</v>
      </c>
      <c r="D7541" t="s">
        <v>15158</v>
      </c>
      <c r="E7541" t="s">
        <v>15159</v>
      </c>
      <c r="G7541" s="1">
        <v>4.88</v>
      </c>
    </row>
    <row r="7542" spans="1:7" ht="14.25" hidden="1" customHeight="1" x14ac:dyDescent="0.45">
      <c r="A7542" t="str">
        <f>_xlfn.XLOOKUP(B7542,Ingot!$H$12:$H$119,Ingot!$G$12:$G$119,"")</f>
        <v>Cloth</v>
      </c>
      <c r="B7542" t="s">
        <v>15073</v>
      </c>
      <c r="C7542" t="s">
        <v>10</v>
      </c>
      <c r="D7542" t="s">
        <v>15160</v>
      </c>
      <c r="E7542" t="s">
        <v>15161</v>
      </c>
      <c r="G7542" s="1">
        <v>8.43</v>
      </c>
    </row>
    <row r="7543" spans="1:7" ht="14.25" hidden="1" customHeight="1" x14ac:dyDescent="0.45">
      <c r="A7543" t="str">
        <f>_xlfn.XLOOKUP(B7543,Ingot!$H$12:$H$119,Ingot!$G$12:$G$119,"")</f>
        <v>Cloth</v>
      </c>
      <c r="B7543" t="s">
        <v>15073</v>
      </c>
      <c r="C7543" t="s">
        <v>10</v>
      </c>
      <c r="D7543" t="s">
        <v>15162</v>
      </c>
      <c r="E7543" t="s">
        <v>15163</v>
      </c>
      <c r="G7543" s="1">
        <v>13.07</v>
      </c>
    </row>
    <row r="7544" spans="1:7" ht="14.25" hidden="1" customHeight="1" x14ac:dyDescent="0.45">
      <c r="A7544" t="str">
        <f>_xlfn.XLOOKUP(B7544,Ingot!$H$12:$H$119,Ingot!$G$12:$G$119,"")</f>
        <v>Cloth</v>
      </c>
      <c r="B7544" t="s">
        <v>15073</v>
      </c>
      <c r="C7544" t="s">
        <v>10</v>
      </c>
      <c r="D7544" t="s">
        <v>15164</v>
      </c>
      <c r="E7544" t="s">
        <v>15165</v>
      </c>
    </row>
    <row r="7545" spans="1:7" ht="14.25" hidden="1" customHeight="1" x14ac:dyDescent="0.45">
      <c r="A7545" t="str">
        <f>_xlfn.XLOOKUP(B7545,Ingot!$H$12:$H$119,Ingot!$G$12:$G$119,"")</f>
        <v>Cloth</v>
      </c>
      <c r="B7545" t="s">
        <v>15073</v>
      </c>
      <c r="C7545" t="s">
        <v>10</v>
      </c>
      <c r="D7545" t="s">
        <v>15166</v>
      </c>
      <c r="E7545" t="s">
        <v>15167</v>
      </c>
    </row>
    <row r="7546" spans="1:7" ht="14.25" hidden="1" customHeight="1" x14ac:dyDescent="0.45">
      <c r="A7546" t="str">
        <f>_xlfn.XLOOKUP(B7546,Ingot!$H$12:$H$119,Ingot!$G$12:$G$119,"")</f>
        <v>Cloth</v>
      </c>
      <c r="B7546" t="s">
        <v>15073</v>
      </c>
      <c r="C7546" t="s">
        <v>10</v>
      </c>
      <c r="D7546" t="s">
        <v>15168</v>
      </c>
      <c r="E7546" t="s">
        <v>15169</v>
      </c>
      <c r="G7546" s="1">
        <v>6.8</v>
      </c>
    </row>
    <row r="7547" spans="1:7" ht="14.25" hidden="1" customHeight="1" x14ac:dyDescent="0.45">
      <c r="A7547" t="str">
        <f>_xlfn.XLOOKUP(B7547,Ingot!$H$12:$H$119,Ingot!$G$12:$G$119,"")</f>
        <v>Cloth</v>
      </c>
      <c r="B7547" t="s">
        <v>15073</v>
      </c>
      <c r="C7547" t="s">
        <v>10</v>
      </c>
      <c r="D7547" t="s">
        <v>15170</v>
      </c>
      <c r="E7547" t="s">
        <v>15171</v>
      </c>
      <c r="G7547" s="1">
        <v>6.88</v>
      </c>
    </row>
    <row r="7548" spans="1:7" ht="14.25" hidden="1" customHeight="1" x14ac:dyDescent="0.45">
      <c r="A7548" t="str">
        <f>_xlfn.XLOOKUP(B7548,Ingot!$H$12:$H$119,Ingot!$G$12:$G$119,"")</f>
        <v>Cloth</v>
      </c>
      <c r="B7548" t="s">
        <v>15073</v>
      </c>
      <c r="C7548" t="s">
        <v>10</v>
      </c>
      <c r="D7548" t="s">
        <v>15172</v>
      </c>
      <c r="E7548" t="s">
        <v>15173</v>
      </c>
      <c r="G7548" s="1">
        <v>5.5</v>
      </c>
    </row>
    <row r="7549" spans="1:7" ht="14.25" hidden="1" customHeight="1" x14ac:dyDescent="0.45">
      <c r="A7549" t="str">
        <f>_xlfn.XLOOKUP(B7549,Ingot!$H$12:$H$119,Ingot!$G$12:$G$119,"")</f>
        <v>Cloth</v>
      </c>
      <c r="B7549" t="s">
        <v>15073</v>
      </c>
      <c r="C7549" t="s">
        <v>10</v>
      </c>
      <c r="D7549" t="s">
        <v>15174</v>
      </c>
      <c r="E7549" t="s">
        <v>15175</v>
      </c>
      <c r="G7549" s="1">
        <v>2.4300000000000002</v>
      </c>
    </row>
    <row r="7550" spans="1:7" ht="14.25" hidden="1" customHeight="1" x14ac:dyDescent="0.45">
      <c r="A7550" t="str">
        <f>_xlfn.XLOOKUP(B7550,Ingot!$H$12:$H$119,Ingot!$G$12:$G$119,"")</f>
        <v>Cloth</v>
      </c>
      <c r="B7550" t="s">
        <v>15073</v>
      </c>
      <c r="C7550" t="s">
        <v>10</v>
      </c>
      <c r="D7550" t="s">
        <v>15176</v>
      </c>
      <c r="E7550" t="s">
        <v>15177</v>
      </c>
      <c r="G7550" s="1">
        <v>6.96</v>
      </c>
    </row>
    <row r="7551" spans="1:7" ht="14.25" hidden="1" customHeight="1" x14ac:dyDescent="0.45">
      <c r="A7551" t="str">
        <f>_xlfn.XLOOKUP(B7551,Ingot!$H$12:$H$119,Ingot!$G$12:$G$119,"")</f>
        <v>Cloth</v>
      </c>
      <c r="B7551" t="s">
        <v>15073</v>
      </c>
      <c r="C7551" t="s">
        <v>10</v>
      </c>
      <c r="D7551" t="s">
        <v>15178</v>
      </c>
      <c r="E7551" t="s">
        <v>15179</v>
      </c>
      <c r="G7551" s="1">
        <v>6.32</v>
      </c>
    </row>
    <row r="7552" spans="1:7" ht="14.25" hidden="1" customHeight="1" x14ac:dyDescent="0.45">
      <c r="A7552" t="str">
        <f>_xlfn.XLOOKUP(B7552,Ingot!$H$12:$H$119,Ingot!$G$12:$G$119,"")</f>
        <v>Cloth</v>
      </c>
      <c r="B7552" t="s">
        <v>15073</v>
      </c>
      <c r="C7552" t="s">
        <v>10</v>
      </c>
      <c r="D7552" t="s">
        <v>15180</v>
      </c>
      <c r="E7552" t="s">
        <v>15181</v>
      </c>
      <c r="G7552" s="1">
        <v>6.88</v>
      </c>
    </row>
    <row r="7553" spans="1:7" ht="14.25" hidden="1" customHeight="1" x14ac:dyDescent="0.45">
      <c r="A7553" t="str">
        <f>_xlfn.XLOOKUP(B7553,Ingot!$H$12:$H$119,Ingot!$G$12:$G$119,"")</f>
        <v>Cloth</v>
      </c>
      <c r="B7553" t="s">
        <v>15073</v>
      </c>
      <c r="C7553" t="s">
        <v>10</v>
      </c>
      <c r="D7553" t="s">
        <v>15182</v>
      </c>
      <c r="E7553" t="s">
        <v>15183</v>
      </c>
      <c r="G7553" s="1">
        <v>2.44</v>
      </c>
    </row>
    <row r="7554" spans="1:7" ht="14.25" hidden="1" customHeight="1" x14ac:dyDescent="0.45">
      <c r="A7554" t="str">
        <f>_xlfn.XLOOKUP(B7554,Ingot!$H$12:$H$119,Ingot!$G$12:$G$119,"")</f>
        <v>Cloth</v>
      </c>
      <c r="B7554" t="s">
        <v>15073</v>
      </c>
      <c r="C7554" t="s">
        <v>10</v>
      </c>
      <c r="D7554" t="s">
        <v>15184</v>
      </c>
      <c r="E7554" t="s">
        <v>15185</v>
      </c>
    </row>
    <row r="7555" spans="1:7" ht="14.25" hidden="1" customHeight="1" x14ac:dyDescent="0.45">
      <c r="A7555" t="str">
        <f>_xlfn.XLOOKUP(B7555,Ingot!$H$12:$H$119,Ingot!$G$12:$G$119,"")</f>
        <v>Cloth</v>
      </c>
      <c r="B7555" t="s">
        <v>15073</v>
      </c>
      <c r="C7555" t="s">
        <v>10</v>
      </c>
      <c r="D7555" t="s">
        <v>15186</v>
      </c>
      <c r="E7555" t="s">
        <v>15187</v>
      </c>
    </row>
    <row r="7556" spans="1:7" ht="14.25" hidden="1" customHeight="1" x14ac:dyDescent="0.45">
      <c r="A7556" t="str">
        <f>_xlfn.XLOOKUP(B7556,Ingot!$H$12:$H$119,Ingot!$G$12:$G$119,"")</f>
        <v>Cloth</v>
      </c>
      <c r="B7556" t="s">
        <v>15073</v>
      </c>
      <c r="C7556" t="s">
        <v>10</v>
      </c>
      <c r="D7556" t="s">
        <v>15188</v>
      </c>
      <c r="E7556" t="s">
        <v>15189</v>
      </c>
      <c r="G7556" s="1">
        <v>3.11</v>
      </c>
    </row>
    <row r="7557" spans="1:7" ht="14.25" hidden="1" customHeight="1" x14ac:dyDescent="0.45">
      <c r="A7557" t="str">
        <f>_xlfn.XLOOKUP(B7557,Ingot!$H$12:$H$119,Ingot!$G$12:$G$119,"")</f>
        <v>Cloth</v>
      </c>
      <c r="B7557" t="s">
        <v>15073</v>
      </c>
      <c r="C7557" t="s">
        <v>10</v>
      </c>
      <c r="D7557" t="s">
        <v>15190</v>
      </c>
      <c r="E7557" t="s">
        <v>15191</v>
      </c>
      <c r="G7557" s="1">
        <v>2.44</v>
      </c>
    </row>
    <row r="7558" spans="1:7" ht="14.25" hidden="1" customHeight="1" x14ac:dyDescent="0.45">
      <c r="A7558" t="str">
        <f>_xlfn.XLOOKUP(B7558,Ingot!$H$12:$H$119,Ingot!$G$12:$G$119,"")</f>
        <v>Cloth</v>
      </c>
      <c r="B7558" t="s">
        <v>15073</v>
      </c>
      <c r="C7558" t="s">
        <v>10</v>
      </c>
      <c r="D7558" t="s">
        <v>15192</v>
      </c>
      <c r="E7558" t="s">
        <v>15193</v>
      </c>
      <c r="G7558" s="1">
        <v>8.61</v>
      </c>
    </row>
    <row r="7559" spans="1:7" ht="14.25" hidden="1" customHeight="1" x14ac:dyDescent="0.45">
      <c r="A7559" t="str">
        <f>_xlfn.XLOOKUP(B7559,Ingot!$H$12:$H$119,Ingot!$G$12:$G$119,"")</f>
        <v>Cloth</v>
      </c>
      <c r="B7559" t="s">
        <v>15073</v>
      </c>
      <c r="C7559" t="s">
        <v>10</v>
      </c>
      <c r="D7559" t="s">
        <v>15194</v>
      </c>
      <c r="E7559" t="s">
        <v>15195</v>
      </c>
    </row>
    <row r="7560" spans="1:7" ht="14.25" hidden="1" customHeight="1" x14ac:dyDescent="0.45">
      <c r="A7560" t="str">
        <f>_xlfn.XLOOKUP(B7560,Ingot!$H$12:$H$119,Ingot!$G$12:$G$119,"")</f>
        <v>Cloth</v>
      </c>
      <c r="B7560" t="s">
        <v>15073</v>
      </c>
      <c r="C7560" t="s">
        <v>10</v>
      </c>
      <c r="D7560" t="s">
        <v>15196</v>
      </c>
      <c r="E7560" t="s">
        <v>15197</v>
      </c>
      <c r="G7560" s="1">
        <v>3.21</v>
      </c>
    </row>
    <row r="7561" spans="1:7" ht="14.25" hidden="1" customHeight="1" x14ac:dyDescent="0.45">
      <c r="A7561" t="str">
        <f>_xlfn.XLOOKUP(B7561,Ingot!$H$12:$H$119,Ingot!$G$12:$G$119,"")</f>
        <v>Cloth</v>
      </c>
      <c r="B7561" t="s">
        <v>15073</v>
      </c>
      <c r="C7561" t="s">
        <v>10</v>
      </c>
      <c r="D7561" t="s">
        <v>15198</v>
      </c>
      <c r="E7561" t="s">
        <v>15199</v>
      </c>
      <c r="G7561" s="1">
        <v>2.77</v>
      </c>
    </row>
    <row r="7562" spans="1:7" ht="14.25" hidden="1" customHeight="1" x14ac:dyDescent="0.45">
      <c r="A7562" t="str">
        <f>_xlfn.XLOOKUP(B7562,Ingot!$H$12:$H$119,Ingot!$G$12:$G$119,"")</f>
        <v>Cloth</v>
      </c>
      <c r="B7562" t="s">
        <v>15073</v>
      </c>
      <c r="C7562" t="s">
        <v>10</v>
      </c>
      <c r="D7562" t="s">
        <v>15200</v>
      </c>
      <c r="E7562" t="s">
        <v>15201</v>
      </c>
      <c r="G7562" s="1">
        <v>4.8899999999999997</v>
      </c>
    </row>
    <row r="7563" spans="1:7" ht="14.25" hidden="1" customHeight="1" x14ac:dyDescent="0.45">
      <c r="A7563" t="str">
        <f>_xlfn.XLOOKUP(B7563,Ingot!$H$12:$H$119,Ingot!$G$12:$G$119,"")</f>
        <v>Cloth</v>
      </c>
      <c r="B7563" t="s">
        <v>15073</v>
      </c>
      <c r="C7563" t="s">
        <v>10</v>
      </c>
      <c r="D7563" t="s">
        <v>15202</v>
      </c>
      <c r="E7563" t="s">
        <v>15203</v>
      </c>
      <c r="G7563" s="1">
        <v>1.76</v>
      </c>
    </row>
    <row r="7564" spans="1:7" ht="14.25" hidden="1" customHeight="1" x14ac:dyDescent="0.45">
      <c r="A7564" t="str">
        <f>_xlfn.XLOOKUP(B7564,Ingot!$H$12:$H$119,Ingot!$G$12:$G$119,"")</f>
        <v>Cloth</v>
      </c>
      <c r="B7564" t="s">
        <v>15073</v>
      </c>
      <c r="C7564" t="s">
        <v>10</v>
      </c>
      <c r="D7564" t="s">
        <v>15204</v>
      </c>
      <c r="E7564" t="s">
        <v>15205</v>
      </c>
    </row>
    <row r="7565" spans="1:7" ht="14.25" hidden="1" customHeight="1" x14ac:dyDescent="0.45">
      <c r="A7565" t="str">
        <f>_xlfn.XLOOKUP(B7565,Ingot!$H$12:$H$119,Ingot!$G$12:$G$119,"")</f>
        <v>Cloth</v>
      </c>
      <c r="B7565" t="s">
        <v>15073</v>
      </c>
      <c r="C7565" t="s">
        <v>10</v>
      </c>
      <c r="D7565" t="s">
        <v>15206</v>
      </c>
      <c r="E7565" t="s">
        <v>15207</v>
      </c>
      <c r="G7565" s="1">
        <v>8.57</v>
      </c>
    </row>
    <row r="7566" spans="1:7" ht="14.25" hidden="1" customHeight="1" x14ac:dyDescent="0.45">
      <c r="A7566" t="str">
        <f>_xlfn.XLOOKUP(B7566,Ingot!$H$12:$H$119,Ingot!$G$12:$G$119,"")</f>
        <v>Cloth</v>
      </c>
      <c r="B7566" t="s">
        <v>15073</v>
      </c>
      <c r="C7566" t="s">
        <v>10</v>
      </c>
      <c r="D7566" t="s">
        <v>15208</v>
      </c>
      <c r="E7566" t="s">
        <v>15209</v>
      </c>
    </row>
    <row r="7567" spans="1:7" ht="14.25" hidden="1" customHeight="1" x14ac:dyDescent="0.45">
      <c r="A7567" t="str">
        <f>_xlfn.XLOOKUP(B7567,Ingot!$H$12:$H$119,Ingot!$G$12:$G$119,"")</f>
        <v>Cloth</v>
      </c>
      <c r="B7567" t="s">
        <v>15073</v>
      </c>
      <c r="C7567" t="s">
        <v>10</v>
      </c>
      <c r="D7567" t="s">
        <v>15210</v>
      </c>
      <c r="E7567" t="s">
        <v>15211</v>
      </c>
      <c r="G7567" s="1">
        <v>3.56</v>
      </c>
    </row>
    <row r="7568" spans="1:7" ht="14.25" hidden="1" customHeight="1" x14ac:dyDescent="0.45">
      <c r="A7568" t="str">
        <f>_xlfn.XLOOKUP(B7568,Ingot!$H$12:$H$119,Ingot!$G$12:$G$119,"")</f>
        <v>Cloth</v>
      </c>
      <c r="B7568" t="s">
        <v>15073</v>
      </c>
      <c r="C7568" t="s">
        <v>10</v>
      </c>
      <c r="D7568" t="s">
        <v>15212</v>
      </c>
      <c r="E7568" t="s">
        <v>15213</v>
      </c>
      <c r="G7568" s="1">
        <v>8.91</v>
      </c>
    </row>
    <row r="7569" spans="1:7" ht="14.25" hidden="1" customHeight="1" x14ac:dyDescent="0.45">
      <c r="A7569" t="str">
        <f>_xlfn.XLOOKUP(B7569,Ingot!$H$12:$H$119,Ingot!$G$12:$G$119,"")</f>
        <v>Cloth</v>
      </c>
      <c r="B7569" t="s">
        <v>15073</v>
      </c>
      <c r="C7569" t="s">
        <v>10</v>
      </c>
      <c r="D7569" t="s">
        <v>15214</v>
      </c>
      <c r="E7569" t="s">
        <v>15215</v>
      </c>
      <c r="G7569" s="1">
        <v>11.02</v>
      </c>
    </row>
    <row r="7570" spans="1:7" ht="14.25" hidden="1" customHeight="1" x14ac:dyDescent="0.45">
      <c r="A7570" t="str">
        <f>_xlfn.XLOOKUP(B7570,Ingot!$H$12:$H$119,Ingot!$G$12:$G$119,"")</f>
        <v>Cloth</v>
      </c>
      <c r="B7570" t="s">
        <v>15073</v>
      </c>
      <c r="C7570" t="s">
        <v>10</v>
      </c>
      <c r="D7570" t="s">
        <v>15216</v>
      </c>
      <c r="E7570" t="s">
        <v>15217</v>
      </c>
      <c r="G7570" s="1">
        <v>5.12</v>
      </c>
    </row>
    <row r="7571" spans="1:7" ht="14.25" hidden="1" customHeight="1" x14ac:dyDescent="0.45">
      <c r="A7571" t="str">
        <f>_xlfn.XLOOKUP(B7571,Ingot!$H$12:$H$119,Ingot!$G$12:$G$119,"")</f>
        <v>Cloth</v>
      </c>
      <c r="B7571" t="s">
        <v>15073</v>
      </c>
      <c r="C7571" t="s">
        <v>10</v>
      </c>
      <c r="D7571" t="s">
        <v>15218</v>
      </c>
      <c r="E7571" t="s">
        <v>15219</v>
      </c>
      <c r="G7571" s="1">
        <v>4.41</v>
      </c>
    </row>
    <row r="7572" spans="1:7" ht="14.25" hidden="1" customHeight="1" x14ac:dyDescent="0.45">
      <c r="A7572" t="str">
        <f>_xlfn.XLOOKUP(B7572,Ingot!$H$12:$H$119,Ingot!$G$12:$G$119,"")</f>
        <v>Cloth</v>
      </c>
      <c r="B7572" t="s">
        <v>15073</v>
      </c>
      <c r="C7572" t="s">
        <v>157</v>
      </c>
      <c r="D7572" t="s">
        <v>15220</v>
      </c>
      <c r="E7572" t="s">
        <v>15221</v>
      </c>
      <c r="F7572" t="s">
        <v>180</v>
      </c>
      <c r="G7572" s="1">
        <v>15.04</v>
      </c>
    </row>
    <row r="7573" spans="1:7" ht="14.25" hidden="1" customHeight="1" x14ac:dyDescent="0.45">
      <c r="A7573" t="str">
        <f>_xlfn.XLOOKUP(B7573,Ingot!$H$12:$H$119,Ingot!$G$12:$G$119,"")</f>
        <v>Cloth</v>
      </c>
      <c r="B7573" t="s">
        <v>15073</v>
      </c>
      <c r="C7573" t="s">
        <v>157</v>
      </c>
      <c r="D7573" t="s">
        <v>15222</v>
      </c>
      <c r="E7573" t="s">
        <v>15223</v>
      </c>
      <c r="F7573" t="s">
        <v>180</v>
      </c>
      <c r="G7573" s="1">
        <v>5</v>
      </c>
    </row>
    <row r="7574" spans="1:7" ht="14.25" hidden="1" customHeight="1" x14ac:dyDescent="0.45">
      <c r="A7574" t="str">
        <f>_xlfn.XLOOKUP(B7574,Ingot!$H$12:$H$119,Ingot!$G$12:$G$119,"")</f>
        <v>Cloth</v>
      </c>
      <c r="B7574" t="s">
        <v>15073</v>
      </c>
      <c r="C7574" t="s">
        <v>157</v>
      </c>
      <c r="D7574" t="s">
        <v>15224</v>
      </c>
      <c r="E7574" t="s">
        <v>15225</v>
      </c>
      <c r="F7574" t="s">
        <v>180</v>
      </c>
      <c r="G7574" s="1">
        <v>5</v>
      </c>
    </row>
    <row r="7575" spans="1:7" ht="14.25" hidden="1" customHeight="1" x14ac:dyDescent="0.45">
      <c r="A7575" t="str">
        <f>_xlfn.XLOOKUP(B7575,Ingot!$H$12:$H$119,Ingot!$G$12:$G$119,"")</f>
        <v>Cloth</v>
      </c>
      <c r="B7575" t="s">
        <v>15073</v>
      </c>
      <c r="C7575" t="s">
        <v>157</v>
      </c>
      <c r="D7575" t="s">
        <v>15226</v>
      </c>
      <c r="E7575" t="s">
        <v>15227</v>
      </c>
      <c r="F7575" t="s">
        <v>180</v>
      </c>
      <c r="G7575" s="1">
        <v>5</v>
      </c>
    </row>
    <row r="7576" spans="1:7" ht="14.25" hidden="1" customHeight="1" x14ac:dyDescent="0.45">
      <c r="A7576" t="str">
        <f>_xlfn.XLOOKUP(B7576,Ingot!$H$12:$H$119,Ingot!$G$12:$G$119,"")</f>
        <v>Cloth</v>
      </c>
      <c r="B7576" t="s">
        <v>15073</v>
      </c>
      <c r="C7576" t="s">
        <v>157</v>
      </c>
      <c r="D7576" t="s">
        <v>15228</v>
      </c>
      <c r="E7576" t="s">
        <v>15229</v>
      </c>
      <c r="F7576" t="s">
        <v>180</v>
      </c>
      <c r="G7576" s="1">
        <v>10</v>
      </c>
    </row>
    <row r="7577" spans="1:7" ht="14.25" hidden="1" customHeight="1" x14ac:dyDescent="0.45">
      <c r="A7577" t="str">
        <f>_xlfn.XLOOKUP(B7577,Ingot!$H$12:$H$119,Ingot!$G$12:$G$119,"")</f>
        <v>Cloth</v>
      </c>
      <c r="B7577" t="s">
        <v>15073</v>
      </c>
      <c r="C7577" t="s">
        <v>157</v>
      </c>
      <c r="D7577" t="s">
        <v>15230</v>
      </c>
      <c r="E7577" t="s">
        <v>15231</v>
      </c>
      <c r="F7577" t="s">
        <v>180</v>
      </c>
      <c r="G7577" s="1">
        <v>13.44</v>
      </c>
    </row>
    <row r="7578" spans="1:7" ht="14.25" hidden="1" customHeight="1" x14ac:dyDescent="0.45">
      <c r="A7578" t="str">
        <f>_xlfn.XLOOKUP(B7578,Ingot!$H$12:$H$119,Ingot!$G$12:$G$119,"")</f>
        <v>Cloth</v>
      </c>
      <c r="B7578" t="s">
        <v>15073</v>
      </c>
      <c r="C7578" t="s">
        <v>157</v>
      </c>
      <c r="D7578" t="s">
        <v>15232</v>
      </c>
      <c r="E7578" t="s">
        <v>15233</v>
      </c>
      <c r="F7578" t="s">
        <v>180</v>
      </c>
      <c r="G7578" s="1">
        <v>5</v>
      </c>
    </row>
    <row r="7579" spans="1:7" ht="14.25" hidden="1" customHeight="1" x14ac:dyDescent="0.45">
      <c r="A7579" t="str">
        <f>_xlfn.XLOOKUP(B7579,Ingot!$H$12:$H$119,Ingot!$G$12:$G$119,"")</f>
        <v>Cloth</v>
      </c>
      <c r="B7579" t="s">
        <v>15073</v>
      </c>
      <c r="C7579" t="s">
        <v>157</v>
      </c>
      <c r="D7579" t="s">
        <v>15234</v>
      </c>
      <c r="E7579" t="s">
        <v>15235</v>
      </c>
      <c r="F7579" t="s">
        <v>180</v>
      </c>
      <c r="G7579" s="1">
        <v>5</v>
      </c>
    </row>
    <row r="7580" spans="1:7" ht="14.25" hidden="1" customHeight="1" x14ac:dyDescent="0.45">
      <c r="A7580" t="str">
        <f>_xlfn.XLOOKUP(B7580,Ingot!$H$12:$H$119,Ingot!$G$12:$G$119,"")</f>
        <v>Cloth</v>
      </c>
      <c r="B7580" t="s">
        <v>15073</v>
      </c>
      <c r="C7580" t="s">
        <v>157</v>
      </c>
      <c r="D7580" t="s">
        <v>15236</v>
      </c>
      <c r="E7580" t="s">
        <v>15237</v>
      </c>
      <c r="F7580" t="s">
        <v>180</v>
      </c>
      <c r="G7580" s="1">
        <v>5</v>
      </c>
    </row>
    <row r="7581" spans="1:7" ht="14.25" hidden="1" customHeight="1" x14ac:dyDescent="0.45">
      <c r="A7581" t="str">
        <f>_xlfn.XLOOKUP(B7581,Ingot!$H$12:$H$119,Ingot!$G$12:$G$119,"")</f>
        <v>Cloth</v>
      </c>
      <c r="B7581" t="s">
        <v>15073</v>
      </c>
      <c r="C7581" t="s">
        <v>157</v>
      </c>
      <c r="D7581" t="s">
        <v>15238</v>
      </c>
      <c r="E7581" t="s">
        <v>15239</v>
      </c>
      <c r="F7581" t="s">
        <v>180</v>
      </c>
      <c r="G7581" s="1">
        <v>10</v>
      </c>
    </row>
    <row r="7582" spans="1:7" ht="14.25" hidden="1" customHeight="1" x14ac:dyDescent="0.45">
      <c r="A7582" t="str">
        <f>_xlfn.XLOOKUP(B7582,Ingot!$H$12:$H$119,Ingot!$G$12:$G$119,"")</f>
        <v>Cloth</v>
      </c>
      <c r="B7582" t="s">
        <v>15073</v>
      </c>
      <c r="C7582" t="s">
        <v>157</v>
      </c>
      <c r="D7582" t="s">
        <v>15240</v>
      </c>
      <c r="E7582" t="s">
        <v>15241</v>
      </c>
      <c r="G7582" s="1">
        <v>13.04</v>
      </c>
    </row>
    <row r="7583" spans="1:7" ht="14.25" hidden="1" customHeight="1" x14ac:dyDescent="0.45">
      <c r="A7583" t="str">
        <f>_xlfn.XLOOKUP(B7583,Ingot!$H$12:$H$119,Ingot!$G$12:$G$119,"")</f>
        <v>Cloth</v>
      </c>
      <c r="B7583" t="s">
        <v>15073</v>
      </c>
      <c r="C7583" t="s">
        <v>157</v>
      </c>
      <c r="D7583" t="s">
        <v>15242</v>
      </c>
      <c r="E7583" t="s">
        <v>15243</v>
      </c>
      <c r="G7583" s="1">
        <v>5</v>
      </c>
    </row>
    <row r="7584" spans="1:7" ht="14.25" hidden="1" customHeight="1" x14ac:dyDescent="0.45">
      <c r="A7584" t="str">
        <f>_xlfn.XLOOKUP(B7584,Ingot!$H$12:$H$119,Ingot!$G$12:$G$119,"")</f>
        <v>Cloth</v>
      </c>
      <c r="B7584" t="s">
        <v>15073</v>
      </c>
      <c r="C7584" t="s">
        <v>157</v>
      </c>
      <c r="D7584" t="s">
        <v>15244</v>
      </c>
      <c r="E7584" t="s">
        <v>15245</v>
      </c>
      <c r="G7584" s="1">
        <v>5</v>
      </c>
    </row>
    <row r="7585" spans="1:7" ht="14.25" hidden="1" customHeight="1" x14ac:dyDescent="0.45">
      <c r="A7585" t="str">
        <f>_xlfn.XLOOKUP(B7585,Ingot!$H$12:$H$119,Ingot!$G$12:$G$119,"")</f>
        <v>Cloth</v>
      </c>
      <c r="B7585" t="s">
        <v>15073</v>
      </c>
      <c r="C7585" t="s">
        <v>157</v>
      </c>
      <c r="D7585" t="s">
        <v>15246</v>
      </c>
      <c r="E7585" t="s">
        <v>15247</v>
      </c>
      <c r="G7585" s="1">
        <v>5</v>
      </c>
    </row>
    <row r="7586" spans="1:7" ht="14.25" hidden="1" customHeight="1" x14ac:dyDescent="0.45">
      <c r="A7586" t="str">
        <f>_xlfn.XLOOKUP(B7586,Ingot!$H$12:$H$119,Ingot!$G$12:$G$119,"")</f>
        <v>Cloth</v>
      </c>
      <c r="B7586" t="s">
        <v>15073</v>
      </c>
      <c r="C7586" t="s">
        <v>157</v>
      </c>
      <c r="D7586" t="s">
        <v>15248</v>
      </c>
      <c r="E7586" t="s">
        <v>15249</v>
      </c>
      <c r="G7586" s="1">
        <v>10</v>
      </c>
    </row>
    <row r="7587" spans="1:7" ht="14.25" hidden="1" customHeight="1" x14ac:dyDescent="0.45">
      <c r="A7587" t="str">
        <f>_xlfn.XLOOKUP(B7587,Ingot!$H$12:$H$119,Ingot!$G$12:$G$119,"")</f>
        <v>Cloth</v>
      </c>
      <c r="B7587" t="s">
        <v>15073</v>
      </c>
      <c r="C7587" t="s">
        <v>157</v>
      </c>
      <c r="D7587" t="s">
        <v>15250</v>
      </c>
      <c r="E7587" t="s">
        <v>15251</v>
      </c>
      <c r="F7587" t="s">
        <v>180</v>
      </c>
      <c r="G7587" s="1">
        <v>13.74</v>
      </c>
    </row>
    <row r="7588" spans="1:7" ht="14.25" hidden="1" customHeight="1" x14ac:dyDescent="0.45">
      <c r="A7588" t="str">
        <f>_xlfn.XLOOKUP(B7588,Ingot!$H$12:$H$119,Ingot!$G$12:$G$119,"")</f>
        <v>Cloth</v>
      </c>
      <c r="B7588" t="s">
        <v>15073</v>
      </c>
      <c r="C7588" t="s">
        <v>157</v>
      </c>
      <c r="D7588" t="s">
        <v>15252</v>
      </c>
      <c r="E7588" t="s">
        <v>15253</v>
      </c>
      <c r="F7588" t="s">
        <v>180</v>
      </c>
      <c r="G7588" s="1">
        <v>5</v>
      </c>
    </row>
    <row r="7589" spans="1:7" ht="14.25" hidden="1" customHeight="1" x14ac:dyDescent="0.45">
      <c r="A7589" t="str">
        <f>_xlfn.XLOOKUP(B7589,Ingot!$H$12:$H$119,Ingot!$G$12:$G$119,"")</f>
        <v>Cloth</v>
      </c>
      <c r="B7589" t="s">
        <v>15073</v>
      </c>
      <c r="C7589" t="s">
        <v>157</v>
      </c>
      <c r="D7589" t="s">
        <v>15254</v>
      </c>
      <c r="E7589" t="s">
        <v>15255</v>
      </c>
      <c r="F7589" t="s">
        <v>180</v>
      </c>
      <c r="G7589" s="1">
        <v>5</v>
      </c>
    </row>
    <row r="7590" spans="1:7" ht="14.25" hidden="1" customHeight="1" x14ac:dyDescent="0.45">
      <c r="A7590" t="str">
        <f>_xlfn.XLOOKUP(B7590,Ingot!$H$12:$H$119,Ingot!$G$12:$G$119,"")</f>
        <v>Cloth</v>
      </c>
      <c r="B7590" t="s">
        <v>15073</v>
      </c>
      <c r="C7590" t="s">
        <v>157</v>
      </c>
      <c r="D7590" t="s">
        <v>15256</v>
      </c>
      <c r="E7590" t="s">
        <v>15257</v>
      </c>
      <c r="F7590" t="s">
        <v>180</v>
      </c>
      <c r="G7590" s="1">
        <v>5</v>
      </c>
    </row>
    <row r="7591" spans="1:7" ht="14.25" hidden="1" customHeight="1" x14ac:dyDescent="0.45">
      <c r="A7591" t="str">
        <f>_xlfn.XLOOKUP(B7591,Ingot!$H$12:$H$119,Ingot!$G$12:$G$119,"")</f>
        <v>Cloth</v>
      </c>
      <c r="B7591" t="s">
        <v>15073</v>
      </c>
      <c r="C7591" t="s">
        <v>157</v>
      </c>
      <c r="D7591" t="s">
        <v>15258</v>
      </c>
      <c r="E7591" t="s">
        <v>15259</v>
      </c>
      <c r="F7591" t="s">
        <v>180</v>
      </c>
      <c r="G7591" s="1">
        <v>10</v>
      </c>
    </row>
    <row r="7592" spans="1:7" ht="14.25" hidden="1" customHeight="1" x14ac:dyDescent="0.45">
      <c r="A7592" t="str">
        <f>_xlfn.XLOOKUP(B7592,Ingot!$H$12:$H$119,Ingot!$G$12:$G$119,"")</f>
        <v>Cloth</v>
      </c>
      <c r="B7592" t="s">
        <v>15073</v>
      </c>
      <c r="C7592" t="s">
        <v>157</v>
      </c>
      <c r="D7592" t="s">
        <v>15260</v>
      </c>
      <c r="E7592" t="s">
        <v>15261</v>
      </c>
      <c r="F7592" t="s">
        <v>180</v>
      </c>
      <c r="G7592" s="1">
        <v>14.24</v>
      </c>
    </row>
    <row r="7593" spans="1:7" ht="14.25" hidden="1" customHeight="1" x14ac:dyDescent="0.45">
      <c r="A7593" t="str">
        <f>_xlfn.XLOOKUP(B7593,Ingot!$H$12:$H$119,Ingot!$G$12:$G$119,"")</f>
        <v>Cloth</v>
      </c>
      <c r="B7593" t="s">
        <v>15073</v>
      </c>
      <c r="C7593" t="s">
        <v>157</v>
      </c>
      <c r="D7593" t="s">
        <v>15262</v>
      </c>
      <c r="E7593" t="s">
        <v>15263</v>
      </c>
      <c r="G7593" s="1">
        <v>5</v>
      </c>
    </row>
    <row r="7594" spans="1:7" ht="14.25" hidden="1" customHeight="1" x14ac:dyDescent="0.45">
      <c r="A7594" t="str">
        <f>_xlfn.XLOOKUP(B7594,Ingot!$H$12:$H$119,Ingot!$G$12:$G$119,"")</f>
        <v>Cloth</v>
      </c>
      <c r="B7594" t="s">
        <v>15073</v>
      </c>
      <c r="C7594" t="s">
        <v>157</v>
      </c>
      <c r="D7594" t="s">
        <v>15264</v>
      </c>
      <c r="E7594" t="s">
        <v>15265</v>
      </c>
      <c r="G7594" s="1">
        <v>5</v>
      </c>
    </row>
    <row r="7595" spans="1:7" ht="14.25" hidden="1" customHeight="1" x14ac:dyDescent="0.45">
      <c r="A7595" t="str">
        <f>_xlfn.XLOOKUP(B7595,Ingot!$H$12:$H$119,Ingot!$G$12:$G$119,"")</f>
        <v>Cloth</v>
      </c>
      <c r="B7595" t="s">
        <v>15073</v>
      </c>
      <c r="C7595" t="s">
        <v>157</v>
      </c>
      <c r="D7595" t="s">
        <v>15266</v>
      </c>
      <c r="E7595" t="s">
        <v>15267</v>
      </c>
      <c r="G7595" s="1">
        <v>5</v>
      </c>
    </row>
    <row r="7596" spans="1:7" ht="14.25" hidden="1" customHeight="1" x14ac:dyDescent="0.45">
      <c r="A7596" t="str">
        <f>_xlfn.XLOOKUP(B7596,Ingot!$H$12:$H$119,Ingot!$G$12:$G$119,"")</f>
        <v>Cloth</v>
      </c>
      <c r="B7596" t="s">
        <v>15073</v>
      </c>
      <c r="C7596" t="s">
        <v>157</v>
      </c>
      <c r="D7596" t="s">
        <v>15268</v>
      </c>
      <c r="E7596" t="s">
        <v>15269</v>
      </c>
      <c r="F7596" t="s">
        <v>180</v>
      </c>
      <c r="G7596" s="1">
        <v>10</v>
      </c>
    </row>
    <row r="7597" spans="1:7" ht="14.25" hidden="1" customHeight="1" x14ac:dyDescent="0.45">
      <c r="A7597" t="str">
        <f>_xlfn.XLOOKUP(B7597,Ingot!$H$12:$H$119,Ingot!$G$12:$G$119,"")</f>
        <v>Cloth</v>
      </c>
      <c r="B7597" t="s">
        <v>15073</v>
      </c>
      <c r="C7597" t="s">
        <v>157</v>
      </c>
      <c r="D7597" t="s">
        <v>15270</v>
      </c>
      <c r="E7597" t="s">
        <v>15271</v>
      </c>
      <c r="F7597" t="s">
        <v>180</v>
      </c>
      <c r="G7597" s="1">
        <v>16.64</v>
      </c>
    </row>
    <row r="7598" spans="1:7" ht="14.25" hidden="1" customHeight="1" x14ac:dyDescent="0.45">
      <c r="A7598" t="str">
        <f>_xlfn.XLOOKUP(B7598,Ingot!$H$12:$H$119,Ingot!$G$12:$G$119,"")</f>
        <v>Cloth</v>
      </c>
      <c r="B7598" t="s">
        <v>15073</v>
      </c>
      <c r="C7598" t="s">
        <v>157</v>
      </c>
      <c r="D7598" t="s">
        <v>15272</v>
      </c>
      <c r="E7598" t="s">
        <v>15273</v>
      </c>
      <c r="F7598" t="s">
        <v>180</v>
      </c>
      <c r="G7598" s="1">
        <v>5</v>
      </c>
    </row>
    <row r="7599" spans="1:7" ht="14.25" hidden="1" customHeight="1" x14ac:dyDescent="0.45">
      <c r="A7599" t="str">
        <f>_xlfn.XLOOKUP(B7599,Ingot!$H$12:$H$119,Ingot!$G$12:$G$119,"")</f>
        <v>Cloth</v>
      </c>
      <c r="B7599" t="s">
        <v>15073</v>
      </c>
      <c r="C7599" t="s">
        <v>157</v>
      </c>
      <c r="D7599" t="s">
        <v>15274</v>
      </c>
      <c r="E7599" t="s">
        <v>15275</v>
      </c>
      <c r="F7599" t="s">
        <v>180</v>
      </c>
      <c r="G7599" s="1">
        <v>5</v>
      </c>
    </row>
    <row r="7600" spans="1:7" ht="14.25" hidden="1" customHeight="1" x14ac:dyDescent="0.45">
      <c r="A7600" t="str">
        <f>_xlfn.XLOOKUP(B7600,Ingot!$H$12:$H$119,Ingot!$G$12:$G$119,"")</f>
        <v>Cloth</v>
      </c>
      <c r="B7600" t="s">
        <v>15073</v>
      </c>
      <c r="C7600" t="s">
        <v>157</v>
      </c>
      <c r="D7600" t="s">
        <v>15276</v>
      </c>
      <c r="E7600" t="s">
        <v>15277</v>
      </c>
      <c r="F7600" t="s">
        <v>180</v>
      </c>
      <c r="G7600" s="1">
        <v>5</v>
      </c>
    </row>
    <row r="7601" spans="1:7" ht="14.25" hidden="1" customHeight="1" x14ac:dyDescent="0.45">
      <c r="A7601" t="str">
        <f>_xlfn.XLOOKUP(B7601,Ingot!$H$12:$H$119,Ingot!$G$12:$G$119,"")</f>
        <v>Cloth</v>
      </c>
      <c r="B7601" t="s">
        <v>15073</v>
      </c>
      <c r="C7601" t="s">
        <v>157</v>
      </c>
      <c r="D7601" t="s">
        <v>15278</v>
      </c>
      <c r="E7601" t="s">
        <v>15279</v>
      </c>
      <c r="F7601" t="s">
        <v>180</v>
      </c>
      <c r="G7601" s="1">
        <v>10</v>
      </c>
    </row>
    <row r="7602" spans="1:7" ht="14.25" hidden="1" customHeight="1" x14ac:dyDescent="0.45">
      <c r="A7602" t="str">
        <f>_xlfn.XLOOKUP(B7602,Ingot!$H$12:$H$119,Ingot!$G$12:$G$119,"")</f>
        <v>Cloth</v>
      </c>
      <c r="B7602" t="s">
        <v>15073</v>
      </c>
      <c r="C7602" t="s">
        <v>157</v>
      </c>
      <c r="D7602" t="s">
        <v>15280</v>
      </c>
      <c r="E7602" t="s">
        <v>15281</v>
      </c>
      <c r="F7602" t="s">
        <v>180</v>
      </c>
      <c r="G7602" s="1">
        <v>15.74</v>
      </c>
    </row>
    <row r="7603" spans="1:7" ht="14.25" hidden="1" customHeight="1" x14ac:dyDescent="0.45">
      <c r="A7603" t="str">
        <f>_xlfn.XLOOKUP(B7603,Ingot!$H$12:$H$119,Ingot!$G$12:$G$119,"")</f>
        <v>Cloth</v>
      </c>
      <c r="B7603" t="s">
        <v>15073</v>
      </c>
      <c r="C7603" t="s">
        <v>157</v>
      </c>
      <c r="D7603" t="s">
        <v>15282</v>
      </c>
      <c r="E7603" t="s">
        <v>15283</v>
      </c>
      <c r="F7603" t="s">
        <v>180</v>
      </c>
      <c r="G7603" s="1">
        <v>5</v>
      </c>
    </row>
    <row r="7604" spans="1:7" ht="14.25" hidden="1" customHeight="1" x14ac:dyDescent="0.45">
      <c r="A7604" t="str">
        <f>_xlfn.XLOOKUP(B7604,Ingot!$H$12:$H$119,Ingot!$G$12:$G$119,"")</f>
        <v>Cloth</v>
      </c>
      <c r="B7604" t="s">
        <v>15073</v>
      </c>
      <c r="C7604" t="s">
        <v>157</v>
      </c>
      <c r="D7604" t="s">
        <v>15284</v>
      </c>
      <c r="E7604" t="s">
        <v>15285</v>
      </c>
      <c r="F7604" t="s">
        <v>180</v>
      </c>
      <c r="G7604" s="1">
        <v>5</v>
      </c>
    </row>
    <row r="7605" spans="1:7" ht="14.25" hidden="1" customHeight="1" x14ac:dyDescent="0.45">
      <c r="A7605" t="str">
        <f>_xlfn.XLOOKUP(B7605,Ingot!$H$12:$H$119,Ingot!$G$12:$G$119,"")</f>
        <v>Cloth</v>
      </c>
      <c r="B7605" t="s">
        <v>15073</v>
      </c>
      <c r="C7605" t="s">
        <v>157</v>
      </c>
      <c r="D7605" t="s">
        <v>15286</v>
      </c>
      <c r="E7605" t="s">
        <v>15287</v>
      </c>
      <c r="F7605" t="s">
        <v>180</v>
      </c>
      <c r="G7605" s="1">
        <v>5</v>
      </c>
    </row>
    <row r="7606" spans="1:7" ht="14.25" hidden="1" customHeight="1" x14ac:dyDescent="0.45">
      <c r="A7606" t="str">
        <f>_xlfn.XLOOKUP(B7606,Ingot!$H$12:$H$119,Ingot!$G$12:$G$119,"")</f>
        <v>Cloth</v>
      </c>
      <c r="B7606" t="s">
        <v>15073</v>
      </c>
      <c r="C7606" t="s">
        <v>157</v>
      </c>
      <c r="D7606" t="s">
        <v>15288</v>
      </c>
      <c r="E7606" t="s">
        <v>15289</v>
      </c>
      <c r="F7606" t="s">
        <v>180</v>
      </c>
      <c r="G7606" s="1">
        <v>10</v>
      </c>
    </row>
    <row r="7607" spans="1:7" ht="14.25" hidden="1" customHeight="1" x14ac:dyDescent="0.45">
      <c r="A7607" t="str">
        <f>_xlfn.XLOOKUP(B7607,Ingot!$H$12:$H$119,Ingot!$G$12:$G$119,"")</f>
        <v>Cloth</v>
      </c>
      <c r="B7607" t="s">
        <v>15073</v>
      </c>
      <c r="C7607" t="s">
        <v>157</v>
      </c>
      <c r="D7607" t="s">
        <v>15290</v>
      </c>
      <c r="E7607" t="s">
        <v>15291</v>
      </c>
      <c r="G7607" s="1">
        <v>12.84</v>
      </c>
    </row>
    <row r="7608" spans="1:7" ht="14.25" hidden="1" customHeight="1" x14ac:dyDescent="0.45">
      <c r="A7608" t="str">
        <f>_xlfn.XLOOKUP(B7608,Ingot!$H$12:$H$119,Ingot!$G$12:$G$119,"")</f>
        <v>Cloth</v>
      </c>
      <c r="B7608" t="s">
        <v>15073</v>
      </c>
      <c r="C7608" t="s">
        <v>157</v>
      </c>
      <c r="D7608" t="s">
        <v>15292</v>
      </c>
      <c r="E7608" t="s">
        <v>15293</v>
      </c>
      <c r="G7608" s="1">
        <v>5</v>
      </c>
    </row>
    <row r="7609" spans="1:7" ht="14.25" hidden="1" customHeight="1" x14ac:dyDescent="0.45">
      <c r="A7609" t="str">
        <f>_xlfn.XLOOKUP(B7609,Ingot!$H$12:$H$119,Ingot!$G$12:$G$119,"")</f>
        <v>Cloth</v>
      </c>
      <c r="B7609" t="s">
        <v>15073</v>
      </c>
      <c r="C7609" t="s">
        <v>157</v>
      </c>
      <c r="D7609" t="s">
        <v>15294</v>
      </c>
      <c r="E7609" t="s">
        <v>15295</v>
      </c>
      <c r="G7609" s="1">
        <v>5</v>
      </c>
    </row>
    <row r="7610" spans="1:7" ht="14.25" hidden="1" customHeight="1" x14ac:dyDescent="0.45">
      <c r="A7610" t="str">
        <f>_xlfn.XLOOKUP(B7610,Ingot!$H$12:$H$119,Ingot!$G$12:$G$119,"")</f>
        <v>Cloth</v>
      </c>
      <c r="B7610" t="s">
        <v>15073</v>
      </c>
      <c r="C7610" t="s">
        <v>157</v>
      </c>
      <c r="D7610" t="s">
        <v>15296</v>
      </c>
      <c r="E7610" t="s">
        <v>15297</v>
      </c>
      <c r="G7610" s="1">
        <v>5</v>
      </c>
    </row>
    <row r="7611" spans="1:7" ht="14.25" hidden="1" customHeight="1" x14ac:dyDescent="0.45">
      <c r="A7611" t="str">
        <f>_xlfn.XLOOKUP(B7611,Ingot!$H$12:$H$119,Ingot!$G$12:$G$119,"")</f>
        <v>Cloth</v>
      </c>
      <c r="B7611" t="s">
        <v>15073</v>
      </c>
      <c r="C7611" t="s">
        <v>157</v>
      </c>
      <c r="D7611" t="s">
        <v>15298</v>
      </c>
      <c r="E7611" t="s">
        <v>15299</v>
      </c>
      <c r="G7611" s="1">
        <v>10</v>
      </c>
    </row>
    <row r="7612" spans="1:7" ht="14.25" hidden="1" customHeight="1" x14ac:dyDescent="0.45">
      <c r="A7612" t="str">
        <f>_xlfn.XLOOKUP(B7612,Ingot!$H$12:$H$119,Ingot!$G$12:$G$119,"")</f>
        <v>Cloth</v>
      </c>
      <c r="B7612" t="s">
        <v>15073</v>
      </c>
      <c r="C7612" t="s">
        <v>239</v>
      </c>
      <c r="D7612" t="s">
        <v>15300</v>
      </c>
      <c r="E7612" t="s">
        <v>15301</v>
      </c>
      <c r="G7612" s="1">
        <f>(VLOOKUP(B7612,Ingot!H:I,2,FALSE()) * 0.75) * 0.75</f>
        <v>0.84375</v>
      </c>
    </row>
    <row r="7613" spans="1:7" ht="14.25" hidden="1" customHeight="1" x14ac:dyDescent="0.45">
      <c r="A7613" t="str">
        <f>_xlfn.XLOOKUP(B7613,Ingot!$H$12:$H$119,Ingot!$G$12:$G$119,"")</f>
        <v>Cloth</v>
      </c>
      <c r="B7613" t="s">
        <v>15073</v>
      </c>
      <c r="C7613" t="s">
        <v>239</v>
      </c>
      <c r="D7613" t="s">
        <v>15302</v>
      </c>
      <c r="E7613" t="s">
        <v>15303</v>
      </c>
      <c r="F7613" t="s">
        <v>180</v>
      </c>
      <c r="G7613" s="1">
        <f>((VLOOKUP(B7613,Ingot!H:I,2,FALSE()) * 3) - 10.25) * 0.421875</f>
        <v>-2.42578125</v>
      </c>
    </row>
    <row r="7614" spans="1:7" ht="14.25" hidden="1" customHeight="1" x14ac:dyDescent="0.45">
      <c r="A7614" t="str">
        <f>_xlfn.XLOOKUP(B7614,Ingot!$H$12:$H$119,Ingot!$G$12:$G$119,"")</f>
        <v>Cloth</v>
      </c>
      <c r="B7614" t="s">
        <v>15073</v>
      </c>
      <c r="C7614" t="s">
        <v>239</v>
      </c>
      <c r="D7614" t="s">
        <v>15304</v>
      </c>
      <c r="E7614" t="s">
        <v>15305</v>
      </c>
      <c r="F7614" t="s">
        <v>180</v>
      </c>
      <c r="G7614" s="1">
        <f>((VLOOKUP(B7614,Ingot!H:I,2,FALSE()) * 3) - 10.25) * 0.75</f>
        <v>-4.3125</v>
      </c>
    </row>
    <row r="7615" spans="1:7" ht="14.25" hidden="1" customHeight="1" x14ac:dyDescent="0.45">
      <c r="A7615" t="str">
        <f>_xlfn.XLOOKUP(B7615,Ingot!$H$12:$H$119,Ingot!$G$12:$G$119,"")</f>
        <v>Cloth</v>
      </c>
      <c r="B7615" t="s">
        <v>15073</v>
      </c>
      <c r="C7615" t="s">
        <v>239</v>
      </c>
      <c r="D7615" t="s">
        <v>15306</v>
      </c>
      <c r="E7615" t="s">
        <v>15307</v>
      </c>
      <c r="F7615" t="s">
        <v>180</v>
      </c>
      <c r="G7615" s="1">
        <f>((VLOOKUP(B7615,Ingot!H:I,2,FALSE()) * 3) - 10.25) * 0.5625</f>
        <v>-3.234375</v>
      </c>
    </row>
    <row r="7616" spans="1:7" ht="14.25" hidden="1" customHeight="1" x14ac:dyDescent="0.45">
      <c r="A7616" t="str">
        <f>_xlfn.XLOOKUP(B7616,Ingot!$H$12:$H$119,Ingot!$G$12:$G$119,"")</f>
        <v>Cloth</v>
      </c>
      <c r="B7616" t="s">
        <v>15073</v>
      </c>
      <c r="C7616" t="s">
        <v>239</v>
      </c>
      <c r="D7616" t="s">
        <v>15308</v>
      </c>
      <c r="E7616" t="s">
        <v>15309</v>
      </c>
      <c r="G7616" s="1">
        <f>VLOOKUP(B7616,Ingot!H:I,2,FALSE()) * 0.75</f>
        <v>1.125</v>
      </c>
    </row>
    <row r="7617" spans="1:7" ht="14.25" hidden="1" customHeight="1" x14ac:dyDescent="0.45">
      <c r="A7617" t="str">
        <f>_xlfn.XLOOKUP(B7617,Ingot!$H$12:$H$119,Ingot!$G$12:$G$119,"")</f>
        <v>Cloth</v>
      </c>
      <c r="B7617" t="s">
        <v>15073</v>
      </c>
      <c r="C7617" t="s">
        <v>239</v>
      </c>
      <c r="D7617" t="s">
        <v>15310</v>
      </c>
      <c r="E7617" t="s">
        <v>15311</v>
      </c>
      <c r="F7617" t="s">
        <v>180</v>
      </c>
      <c r="G7617" s="1">
        <f>(VLOOKUP(B7617,Ingot!H:I,2,FALSE()) * 3) - 10.25</f>
        <v>-5.75</v>
      </c>
    </row>
    <row r="7618" spans="1:7" ht="14.25" hidden="1" customHeight="1" x14ac:dyDescent="0.45">
      <c r="A7618" t="str">
        <f>_xlfn.XLOOKUP(B7618,Ingot!$H$12:$H$119,Ingot!$G$12:$G$119,"")</f>
        <v>Cloth</v>
      </c>
      <c r="B7618" t="s">
        <v>15312</v>
      </c>
      <c r="C7618" t="s">
        <v>10</v>
      </c>
      <c r="D7618" t="s">
        <v>15313</v>
      </c>
      <c r="E7618" t="s">
        <v>15314</v>
      </c>
      <c r="G7618" s="1">
        <v>0.08</v>
      </c>
    </row>
    <row r="7619" spans="1:7" ht="14.25" hidden="1" customHeight="1" x14ac:dyDescent="0.45">
      <c r="A7619" t="str">
        <f>_xlfn.XLOOKUP(B7619,Ingot!$H$12:$H$119,Ingot!$G$12:$G$119,"")</f>
        <v>Cloth</v>
      </c>
      <c r="B7619" t="s">
        <v>15312</v>
      </c>
      <c r="C7619" t="s">
        <v>10</v>
      </c>
      <c r="D7619" t="s">
        <v>15315</v>
      </c>
      <c r="E7619" t="s">
        <v>15316</v>
      </c>
      <c r="G7619" s="1">
        <v>9.9</v>
      </c>
    </row>
    <row r="7620" spans="1:7" ht="14.25" hidden="1" customHeight="1" x14ac:dyDescent="0.45">
      <c r="A7620" t="str">
        <f>_xlfn.XLOOKUP(B7620,Ingot!$H$12:$H$119,Ingot!$G$12:$G$119,"")</f>
        <v>Cloth</v>
      </c>
      <c r="B7620" t="s">
        <v>15312</v>
      </c>
      <c r="C7620" t="s">
        <v>10</v>
      </c>
      <c r="D7620" t="s">
        <v>15317</v>
      </c>
      <c r="E7620" t="s">
        <v>15318</v>
      </c>
      <c r="G7620" s="1">
        <v>5.66</v>
      </c>
    </row>
    <row r="7621" spans="1:7" ht="14.25" hidden="1" customHeight="1" x14ac:dyDescent="0.45">
      <c r="A7621" t="str">
        <f>_xlfn.XLOOKUP(B7621,Ingot!$H$12:$H$119,Ingot!$G$12:$G$119,"")</f>
        <v>Cloth</v>
      </c>
      <c r="B7621" t="s">
        <v>15312</v>
      </c>
      <c r="C7621" t="s">
        <v>10</v>
      </c>
      <c r="D7621" t="s">
        <v>15319</v>
      </c>
      <c r="E7621" t="s">
        <v>15320</v>
      </c>
      <c r="G7621" s="1">
        <v>3.3</v>
      </c>
    </row>
    <row r="7622" spans="1:7" ht="14.25" hidden="1" customHeight="1" x14ac:dyDescent="0.45">
      <c r="A7622" t="str">
        <f>_xlfn.XLOOKUP(B7622,Ingot!$H$12:$H$119,Ingot!$G$12:$G$119,"")</f>
        <v>Cloth</v>
      </c>
      <c r="B7622" t="s">
        <v>15312</v>
      </c>
      <c r="C7622" t="s">
        <v>10</v>
      </c>
      <c r="D7622" t="s">
        <v>15321</v>
      </c>
      <c r="E7622" t="s">
        <v>15322</v>
      </c>
      <c r="G7622" s="1">
        <v>0.66</v>
      </c>
    </row>
    <row r="7623" spans="1:7" ht="14.25" hidden="1" customHeight="1" x14ac:dyDescent="0.45">
      <c r="A7623" t="str">
        <f>_xlfn.XLOOKUP(B7623,Ingot!$H$12:$H$119,Ingot!$G$12:$G$119,"")</f>
        <v>Cloth</v>
      </c>
      <c r="B7623" t="s">
        <v>15312</v>
      </c>
      <c r="C7623" t="s">
        <v>10</v>
      </c>
      <c r="D7623" t="s">
        <v>15323</v>
      </c>
      <c r="E7623" t="s">
        <v>15324</v>
      </c>
      <c r="G7623" s="1">
        <v>0.04</v>
      </c>
    </row>
    <row r="7624" spans="1:7" ht="14.25" hidden="1" customHeight="1" x14ac:dyDescent="0.45">
      <c r="A7624" t="str">
        <f>_xlfn.XLOOKUP(B7624,Ingot!$H$12:$H$119,Ingot!$G$12:$G$119,"")</f>
        <v>Cloth</v>
      </c>
      <c r="B7624" t="s">
        <v>15312</v>
      </c>
      <c r="C7624" t="s">
        <v>10</v>
      </c>
      <c r="D7624" t="s">
        <v>15325</v>
      </c>
      <c r="E7624" t="s">
        <v>15326</v>
      </c>
      <c r="G7624" s="1">
        <v>0.33</v>
      </c>
    </row>
    <row r="7625" spans="1:7" ht="14.25" hidden="1" customHeight="1" x14ac:dyDescent="0.45">
      <c r="A7625" t="str">
        <f>_xlfn.XLOOKUP(B7625,Ingot!$H$12:$H$119,Ingot!$G$12:$G$119,"")</f>
        <v>Cloth</v>
      </c>
      <c r="B7625" t="s">
        <v>15312</v>
      </c>
      <c r="C7625" t="s">
        <v>10</v>
      </c>
      <c r="D7625" t="s">
        <v>15327</v>
      </c>
      <c r="E7625" t="s">
        <v>15328</v>
      </c>
    </row>
    <row r="7626" spans="1:7" ht="14.25" hidden="1" customHeight="1" x14ac:dyDescent="0.45">
      <c r="A7626" t="str">
        <f>_xlfn.XLOOKUP(B7626,Ingot!$H$12:$H$119,Ingot!$G$12:$G$119,"")</f>
        <v>Cloth</v>
      </c>
      <c r="B7626" t="s">
        <v>15312</v>
      </c>
      <c r="C7626" t="s">
        <v>10</v>
      </c>
      <c r="D7626" t="s">
        <v>15329</v>
      </c>
      <c r="E7626" t="s">
        <v>15330</v>
      </c>
      <c r="G7626" s="1">
        <v>0.05</v>
      </c>
    </row>
    <row r="7627" spans="1:7" ht="14.25" hidden="1" customHeight="1" x14ac:dyDescent="0.45">
      <c r="A7627" t="str">
        <f>_xlfn.XLOOKUP(B7627,Ingot!$H$12:$H$119,Ingot!$G$12:$G$119,"")</f>
        <v>Cloth</v>
      </c>
      <c r="B7627" t="s">
        <v>15312</v>
      </c>
      <c r="C7627" t="s">
        <v>10</v>
      </c>
      <c r="D7627" t="s">
        <v>15331</v>
      </c>
      <c r="E7627" t="s">
        <v>15332</v>
      </c>
      <c r="G7627" s="1">
        <v>0.66</v>
      </c>
    </row>
    <row r="7628" spans="1:7" ht="14.25" hidden="1" customHeight="1" x14ac:dyDescent="0.45">
      <c r="A7628" t="str">
        <f>_xlfn.XLOOKUP(B7628,Ingot!$H$12:$H$119,Ingot!$G$12:$G$119,"")</f>
        <v>Cloth</v>
      </c>
      <c r="B7628" t="s">
        <v>15312</v>
      </c>
      <c r="C7628" t="s">
        <v>10</v>
      </c>
      <c r="D7628" t="s">
        <v>15333</v>
      </c>
      <c r="E7628" t="s">
        <v>15334</v>
      </c>
      <c r="G7628" s="1">
        <v>3.96</v>
      </c>
    </row>
    <row r="7629" spans="1:7" ht="14.25" hidden="1" customHeight="1" x14ac:dyDescent="0.45">
      <c r="A7629" t="str">
        <f>_xlfn.XLOOKUP(B7629,Ingot!$H$12:$H$119,Ingot!$G$12:$G$119,"")</f>
        <v>Cloth</v>
      </c>
      <c r="B7629" t="s">
        <v>15312</v>
      </c>
      <c r="C7629" t="s">
        <v>10</v>
      </c>
      <c r="D7629" t="s">
        <v>15335</v>
      </c>
      <c r="E7629" t="s">
        <v>15336</v>
      </c>
      <c r="G7629" s="1">
        <v>8.77</v>
      </c>
    </row>
    <row r="7630" spans="1:7" ht="14.25" hidden="1" customHeight="1" x14ac:dyDescent="0.45">
      <c r="A7630" t="str">
        <f>_xlfn.XLOOKUP(B7630,Ingot!$H$12:$H$119,Ingot!$G$12:$G$119,"")</f>
        <v>Cloth</v>
      </c>
      <c r="B7630" t="s">
        <v>15312</v>
      </c>
      <c r="C7630" t="s">
        <v>10</v>
      </c>
      <c r="D7630" t="s">
        <v>15337</v>
      </c>
      <c r="E7630" t="s">
        <v>15338</v>
      </c>
      <c r="G7630" s="1">
        <v>3.5</v>
      </c>
    </row>
    <row r="7631" spans="1:7" ht="14.25" hidden="1" customHeight="1" x14ac:dyDescent="0.45">
      <c r="A7631" t="str">
        <f>_xlfn.XLOOKUP(B7631,Ingot!$H$12:$H$119,Ingot!$G$12:$G$119,"")</f>
        <v>Cloth</v>
      </c>
      <c r="B7631" t="s">
        <v>15312</v>
      </c>
      <c r="C7631" t="s">
        <v>10</v>
      </c>
      <c r="D7631" t="s">
        <v>15339</v>
      </c>
      <c r="E7631" t="s">
        <v>15340</v>
      </c>
    </row>
    <row r="7632" spans="1:7" ht="14.25" hidden="1" customHeight="1" x14ac:dyDescent="0.45">
      <c r="A7632" t="str">
        <f>_xlfn.XLOOKUP(B7632,Ingot!$H$12:$H$119,Ingot!$G$12:$G$119,"")</f>
        <v>Cloth</v>
      </c>
      <c r="B7632" t="s">
        <v>15312</v>
      </c>
      <c r="C7632" t="s">
        <v>10</v>
      </c>
      <c r="D7632" t="s">
        <v>15341</v>
      </c>
      <c r="E7632" t="s">
        <v>15342</v>
      </c>
      <c r="G7632" s="1">
        <v>2.2000000000000002</v>
      </c>
    </row>
    <row r="7633" spans="1:7" ht="14.25" hidden="1" customHeight="1" x14ac:dyDescent="0.45">
      <c r="A7633" t="str">
        <f>_xlfn.XLOOKUP(B7633,Ingot!$H$12:$H$119,Ingot!$G$12:$G$119,"")</f>
        <v>Cloth</v>
      </c>
      <c r="B7633" t="s">
        <v>15312</v>
      </c>
      <c r="C7633" t="s">
        <v>10</v>
      </c>
      <c r="D7633" t="s">
        <v>15343</v>
      </c>
      <c r="E7633" t="s">
        <v>15344</v>
      </c>
      <c r="G7633" s="1">
        <v>1.1000000000000001</v>
      </c>
    </row>
    <row r="7634" spans="1:7" ht="14.25" hidden="1" customHeight="1" x14ac:dyDescent="0.45">
      <c r="A7634" t="str">
        <f>_xlfn.XLOOKUP(B7634,Ingot!$H$12:$H$119,Ingot!$G$12:$G$119,"")</f>
        <v>Cloth</v>
      </c>
      <c r="B7634" t="s">
        <v>15312</v>
      </c>
      <c r="C7634" t="s">
        <v>10</v>
      </c>
      <c r="D7634" t="s">
        <v>15345</v>
      </c>
      <c r="E7634" t="s">
        <v>15346</v>
      </c>
      <c r="G7634" s="1">
        <v>0.22</v>
      </c>
    </row>
    <row r="7635" spans="1:7" ht="14.25" hidden="1" customHeight="1" x14ac:dyDescent="0.45">
      <c r="A7635" t="str">
        <f>_xlfn.XLOOKUP(B7635,Ingot!$H$12:$H$119,Ingot!$G$12:$G$119,"")</f>
        <v>Cloth</v>
      </c>
      <c r="B7635" t="s">
        <v>15312</v>
      </c>
      <c r="C7635" t="s">
        <v>10</v>
      </c>
      <c r="D7635" t="s">
        <v>15347</v>
      </c>
      <c r="E7635" t="s">
        <v>15348</v>
      </c>
      <c r="G7635" s="1">
        <v>8.41</v>
      </c>
    </row>
    <row r="7636" spans="1:7" ht="14.25" hidden="1" customHeight="1" x14ac:dyDescent="0.45">
      <c r="A7636" t="str">
        <f>_xlfn.XLOOKUP(B7636,Ingot!$H$12:$H$119,Ingot!$G$12:$G$119,"")</f>
        <v>Cloth</v>
      </c>
      <c r="B7636" t="s">
        <v>15312</v>
      </c>
      <c r="C7636" t="s">
        <v>10</v>
      </c>
      <c r="D7636" t="s">
        <v>15349</v>
      </c>
      <c r="E7636" t="s">
        <v>15350</v>
      </c>
      <c r="G7636" s="1">
        <v>3.64</v>
      </c>
    </row>
    <row r="7637" spans="1:7" ht="14.25" hidden="1" customHeight="1" x14ac:dyDescent="0.45">
      <c r="A7637" t="str">
        <f>_xlfn.XLOOKUP(B7637,Ingot!$H$12:$H$119,Ingot!$G$12:$G$119,"")</f>
        <v>Cloth</v>
      </c>
      <c r="B7637" t="s">
        <v>15312</v>
      </c>
      <c r="C7637" t="s">
        <v>10</v>
      </c>
      <c r="D7637" t="s">
        <v>15351</v>
      </c>
      <c r="E7637" t="s">
        <v>15352</v>
      </c>
      <c r="G7637" s="1">
        <v>7.05</v>
      </c>
    </row>
    <row r="7638" spans="1:7" ht="14.25" hidden="1" customHeight="1" x14ac:dyDescent="0.45">
      <c r="A7638" t="str">
        <f>_xlfn.XLOOKUP(B7638,Ingot!$H$12:$H$119,Ingot!$G$12:$G$119,"")</f>
        <v>Cloth</v>
      </c>
      <c r="B7638" t="s">
        <v>15312</v>
      </c>
      <c r="C7638" t="s">
        <v>10</v>
      </c>
      <c r="D7638" t="s">
        <v>15353</v>
      </c>
      <c r="E7638" t="s">
        <v>15354</v>
      </c>
      <c r="G7638" s="1">
        <v>2.65</v>
      </c>
    </row>
    <row r="7639" spans="1:7" ht="14.25" hidden="1" customHeight="1" x14ac:dyDescent="0.45">
      <c r="A7639" t="str">
        <f>_xlfn.XLOOKUP(B7639,Ingot!$H$12:$H$119,Ingot!$G$12:$G$119,"")</f>
        <v>Cloth</v>
      </c>
      <c r="B7639" t="s">
        <v>15312</v>
      </c>
      <c r="C7639" t="s">
        <v>10</v>
      </c>
      <c r="D7639" t="s">
        <v>15355</v>
      </c>
      <c r="E7639" t="s">
        <v>15356</v>
      </c>
      <c r="G7639" s="1">
        <v>9</v>
      </c>
    </row>
    <row r="7640" spans="1:7" ht="14.25" hidden="1" customHeight="1" x14ac:dyDescent="0.45">
      <c r="A7640" t="str">
        <f>_xlfn.XLOOKUP(B7640,Ingot!$H$12:$H$119,Ingot!$G$12:$G$119,"")</f>
        <v>Cloth</v>
      </c>
      <c r="B7640" t="s">
        <v>15312</v>
      </c>
      <c r="C7640" t="s">
        <v>10</v>
      </c>
      <c r="D7640" t="s">
        <v>15357</v>
      </c>
      <c r="E7640" t="s">
        <v>15358</v>
      </c>
      <c r="G7640" s="1">
        <v>10.23</v>
      </c>
    </row>
    <row r="7641" spans="1:7" ht="14.25" hidden="1" customHeight="1" x14ac:dyDescent="0.45">
      <c r="A7641" t="str">
        <f>_xlfn.XLOOKUP(B7641,Ingot!$H$12:$H$119,Ingot!$G$12:$G$119,"")</f>
        <v>Cloth</v>
      </c>
      <c r="B7641" t="s">
        <v>15312</v>
      </c>
      <c r="C7641" t="s">
        <v>10</v>
      </c>
      <c r="D7641" t="s">
        <v>15359</v>
      </c>
      <c r="E7641" t="s">
        <v>15360</v>
      </c>
      <c r="G7641" s="1">
        <v>7.7</v>
      </c>
    </row>
    <row r="7642" spans="1:7" ht="14.25" hidden="1" customHeight="1" x14ac:dyDescent="0.45">
      <c r="A7642" t="str">
        <f>_xlfn.XLOOKUP(B7642,Ingot!$H$12:$H$119,Ingot!$G$12:$G$119,"")</f>
        <v>Cloth</v>
      </c>
      <c r="B7642" t="s">
        <v>15312</v>
      </c>
      <c r="C7642" t="s">
        <v>10</v>
      </c>
      <c r="D7642" t="s">
        <v>15361</v>
      </c>
      <c r="E7642" t="s">
        <v>15362</v>
      </c>
      <c r="G7642" s="1">
        <v>10.02</v>
      </c>
    </row>
    <row r="7643" spans="1:7" ht="14.25" hidden="1" customHeight="1" x14ac:dyDescent="0.45">
      <c r="A7643" t="str">
        <f>_xlfn.XLOOKUP(B7643,Ingot!$H$12:$H$119,Ingot!$G$12:$G$119,"")</f>
        <v>Cloth</v>
      </c>
      <c r="B7643" t="s">
        <v>15312</v>
      </c>
      <c r="C7643" t="s">
        <v>10</v>
      </c>
      <c r="D7643" t="s">
        <v>15363</v>
      </c>
      <c r="E7643" t="s">
        <v>15364</v>
      </c>
      <c r="G7643" s="1">
        <v>11.81</v>
      </c>
    </row>
    <row r="7644" spans="1:7" ht="14.25" hidden="1" customHeight="1" x14ac:dyDescent="0.45">
      <c r="A7644" t="str">
        <f>_xlfn.XLOOKUP(B7644,Ingot!$H$12:$H$119,Ingot!$G$12:$G$119,"")</f>
        <v>Cloth</v>
      </c>
      <c r="B7644" t="s">
        <v>15312</v>
      </c>
      <c r="C7644" t="s">
        <v>10</v>
      </c>
      <c r="D7644" t="s">
        <v>15365</v>
      </c>
      <c r="E7644" t="s">
        <v>15366</v>
      </c>
      <c r="G7644" s="1">
        <v>8.44</v>
      </c>
    </row>
    <row r="7645" spans="1:7" ht="14.25" hidden="1" customHeight="1" x14ac:dyDescent="0.45">
      <c r="A7645" t="str">
        <f>_xlfn.XLOOKUP(B7645,Ingot!$H$12:$H$119,Ingot!$G$12:$G$119,"")</f>
        <v>Cloth</v>
      </c>
      <c r="B7645" t="s">
        <v>15312</v>
      </c>
      <c r="C7645" t="s">
        <v>10</v>
      </c>
      <c r="D7645" t="s">
        <v>15367</v>
      </c>
      <c r="E7645" t="s">
        <v>15368</v>
      </c>
      <c r="G7645" s="1">
        <v>10.42</v>
      </c>
    </row>
    <row r="7646" spans="1:7" ht="14.25" hidden="1" customHeight="1" x14ac:dyDescent="0.45">
      <c r="A7646" t="str">
        <f>_xlfn.XLOOKUP(B7646,Ingot!$H$12:$H$119,Ingot!$G$12:$G$119,"")</f>
        <v>Cloth</v>
      </c>
      <c r="B7646" t="s">
        <v>15312</v>
      </c>
      <c r="C7646" t="s">
        <v>10</v>
      </c>
      <c r="D7646" t="s">
        <v>15369</v>
      </c>
      <c r="E7646" t="s">
        <v>15370</v>
      </c>
    </row>
    <row r="7647" spans="1:7" ht="14.25" hidden="1" customHeight="1" x14ac:dyDescent="0.45">
      <c r="A7647" t="str">
        <f>_xlfn.XLOOKUP(B7647,Ingot!$H$12:$H$119,Ingot!$G$12:$G$119,"")</f>
        <v>Cloth</v>
      </c>
      <c r="B7647" t="s">
        <v>15312</v>
      </c>
      <c r="C7647" t="s">
        <v>10</v>
      </c>
      <c r="D7647" t="s">
        <v>15371</v>
      </c>
      <c r="E7647" t="s">
        <v>15372</v>
      </c>
      <c r="G7647" s="1">
        <v>7.96</v>
      </c>
    </row>
    <row r="7648" spans="1:7" ht="14.25" hidden="1" customHeight="1" x14ac:dyDescent="0.45">
      <c r="A7648" t="str">
        <f>_xlfn.XLOOKUP(B7648,Ingot!$H$12:$H$119,Ingot!$G$12:$G$119,"")</f>
        <v>Cloth</v>
      </c>
      <c r="B7648" t="s">
        <v>15312</v>
      </c>
      <c r="C7648" t="s">
        <v>10</v>
      </c>
      <c r="D7648" t="s">
        <v>15373</v>
      </c>
      <c r="E7648" t="s">
        <v>15374</v>
      </c>
      <c r="G7648" s="1">
        <v>9.64</v>
      </c>
    </row>
    <row r="7649" spans="1:7" ht="14.25" hidden="1" customHeight="1" x14ac:dyDescent="0.45">
      <c r="A7649" t="str">
        <f>_xlfn.XLOOKUP(B7649,Ingot!$H$12:$H$119,Ingot!$G$12:$G$119,"")</f>
        <v>Cloth</v>
      </c>
      <c r="B7649" t="s">
        <v>15312</v>
      </c>
      <c r="C7649" t="s">
        <v>10</v>
      </c>
      <c r="D7649" t="s">
        <v>15375</v>
      </c>
      <c r="E7649" t="s">
        <v>15376</v>
      </c>
      <c r="G7649" s="1">
        <v>7.94</v>
      </c>
    </row>
    <row r="7650" spans="1:7" ht="14.25" hidden="1" customHeight="1" x14ac:dyDescent="0.45">
      <c r="A7650" t="str">
        <f>_xlfn.XLOOKUP(B7650,Ingot!$H$12:$H$119,Ingot!$G$12:$G$119,"")</f>
        <v>Cloth</v>
      </c>
      <c r="B7650" t="s">
        <v>15312</v>
      </c>
      <c r="C7650" t="s">
        <v>10</v>
      </c>
      <c r="D7650" t="s">
        <v>15377</v>
      </c>
      <c r="E7650" t="s">
        <v>15378</v>
      </c>
      <c r="G7650" s="1">
        <v>8.66</v>
      </c>
    </row>
    <row r="7651" spans="1:7" ht="14.25" hidden="1" customHeight="1" x14ac:dyDescent="0.45">
      <c r="A7651" t="str">
        <f>_xlfn.XLOOKUP(B7651,Ingot!$H$12:$H$119,Ingot!$G$12:$G$119,"")</f>
        <v>Cloth</v>
      </c>
      <c r="B7651" t="s">
        <v>15312</v>
      </c>
      <c r="C7651" t="s">
        <v>10</v>
      </c>
      <c r="D7651" t="s">
        <v>15379</v>
      </c>
      <c r="E7651" t="s">
        <v>15380</v>
      </c>
    </row>
    <row r="7652" spans="1:7" ht="14.25" hidden="1" customHeight="1" x14ac:dyDescent="0.45">
      <c r="A7652" t="str">
        <f>_xlfn.XLOOKUP(B7652,Ingot!$H$12:$H$119,Ingot!$G$12:$G$119,"")</f>
        <v>Cloth</v>
      </c>
      <c r="B7652" t="s">
        <v>15312</v>
      </c>
      <c r="C7652" t="s">
        <v>10</v>
      </c>
      <c r="D7652" t="s">
        <v>15381</v>
      </c>
      <c r="E7652" t="s">
        <v>15382</v>
      </c>
      <c r="G7652" s="1">
        <v>2.65</v>
      </c>
    </row>
    <row r="7653" spans="1:7" ht="14.25" hidden="1" customHeight="1" x14ac:dyDescent="0.45">
      <c r="A7653" t="str">
        <f>_xlfn.XLOOKUP(B7653,Ingot!$H$12:$H$119,Ingot!$G$12:$G$119,"")</f>
        <v>Cloth</v>
      </c>
      <c r="B7653" t="s">
        <v>15312</v>
      </c>
      <c r="C7653" t="s">
        <v>10</v>
      </c>
      <c r="D7653" t="s">
        <v>15383</v>
      </c>
      <c r="E7653" t="s">
        <v>15384</v>
      </c>
    </row>
    <row r="7654" spans="1:7" ht="14.25" hidden="1" customHeight="1" x14ac:dyDescent="0.45">
      <c r="A7654" t="str">
        <f>_xlfn.XLOOKUP(B7654,Ingot!$H$12:$H$119,Ingot!$G$12:$G$119,"")</f>
        <v>Cloth</v>
      </c>
      <c r="B7654" t="s">
        <v>15312</v>
      </c>
      <c r="C7654" t="s">
        <v>10</v>
      </c>
      <c r="D7654" t="s">
        <v>15385</v>
      </c>
      <c r="E7654" t="s">
        <v>15386</v>
      </c>
      <c r="G7654" s="1">
        <v>12.64</v>
      </c>
    </row>
    <row r="7655" spans="1:7" ht="14.25" hidden="1" customHeight="1" x14ac:dyDescent="0.45">
      <c r="A7655" t="str">
        <f>_xlfn.XLOOKUP(B7655,Ingot!$H$12:$H$119,Ingot!$G$12:$G$119,"")</f>
        <v>Cloth</v>
      </c>
      <c r="B7655" t="s">
        <v>15312</v>
      </c>
      <c r="C7655" t="s">
        <v>10</v>
      </c>
      <c r="D7655" t="s">
        <v>15387</v>
      </c>
      <c r="E7655" t="s">
        <v>15388</v>
      </c>
      <c r="G7655" s="1">
        <v>22.67</v>
      </c>
    </row>
    <row r="7656" spans="1:7" ht="14.25" hidden="1" customHeight="1" x14ac:dyDescent="0.45">
      <c r="A7656" t="str">
        <f>_xlfn.XLOOKUP(B7656,Ingot!$H$12:$H$119,Ingot!$G$12:$G$119,"")</f>
        <v>Cloth</v>
      </c>
      <c r="B7656" t="s">
        <v>15312</v>
      </c>
      <c r="C7656" t="s">
        <v>10</v>
      </c>
      <c r="D7656" t="s">
        <v>15389</v>
      </c>
      <c r="E7656" t="s">
        <v>15390</v>
      </c>
      <c r="G7656" s="1">
        <v>8.3800000000000008</v>
      </c>
    </row>
    <row r="7657" spans="1:7" ht="14.25" hidden="1" customHeight="1" x14ac:dyDescent="0.45">
      <c r="A7657" t="str">
        <f>_xlfn.XLOOKUP(B7657,Ingot!$H$12:$H$119,Ingot!$G$12:$G$119,"")</f>
        <v>Cloth</v>
      </c>
      <c r="B7657" t="s">
        <v>15312</v>
      </c>
      <c r="C7657" t="s">
        <v>10</v>
      </c>
      <c r="D7657" t="s">
        <v>15391</v>
      </c>
      <c r="E7657" t="s">
        <v>15392</v>
      </c>
      <c r="G7657" s="1">
        <v>2.2000000000000002</v>
      </c>
    </row>
    <row r="7658" spans="1:7" ht="14.25" hidden="1" customHeight="1" x14ac:dyDescent="0.45">
      <c r="A7658" t="str">
        <f>_xlfn.XLOOKUP(B7658,Ingot!$H$12:$H$119,Ingot!$G$12:$G$119,"")</f>
        <v>Cloth</v>
      </c>
      <c r="B7658" t="s">
        <v>15312</v>
      </c>
      <c r="C7658" t="s">
        <v>10</v>
      </c>
      <c r="D7658" t="s">
        <v>15393</v>
      </c>
      <c r="E7658" t="s">
        <v>15394</v>
      </c>
      <c r="G7658" s="1">
        <v>3.09</v>
      </c>
    </row>
    <row r="7659" spans="1:7" ht="14.25" hidden="1" customHeight="1" x14ac:dyDescent="0.45">
      <c r="A7659" t="str">
        <f>_xlfn.XLOOKUP(B7659,Ingot!$H$12:$H$119,Ingot!$G$12:$G$119,"")</f>
        <v>Cloth</v>
      </c>
      <c r="B7659" t="s">
        <v>15312</v>
      </c>
      <c r="C7659" t="s">
        <v>10</v>
      </c>
      <c r="D7659" t="s">
        <v>15395</v>
      </c>
      <c r="E7659" t="s">
        <v>15396</v>
      </c>
      <c r="G7659" s="1">
        <v>2.2999999999999998</v>
      </c>
    </row>
    <row r="7660" spans="1:7" ht="14.25" hidden="1" customHeight="1" x14ac:dyDescent="0.45">
      <c r="A7660" t="str">
        <f>_xlfn.XLOOKUP(B7660,Ingot!$H$12:$H$119,Ingot!$G$12:$G$119,"")</f>
        <v>Cloth</v>
      </c>
      <c r="B7660" t="s">
        <v>15312</v>
      </c>
      <c r="C7660" t="s">
        <v>10</v>
      </c>
      <c r="D7660" t="s">
        <v>15397</v>
      </c>
      <c r="E7660" t="s">
        <v>15398</v>
      </c>
      <c r="G7660" s="1">
        <v>4.88</v>
      </c>
    </row>
    <row r="7661" spans="1:7" ht="14.25" hidden="1" customHeight="1" x14ac:dyDescent="0.45">
      <c r="A7661" t="str">
        <f>_xlfn.XLOOKUP(B7661,Ingot!$H$12:$H$119,Ingot!$G$12:$G$119,"")</f>
        <v>Cloth</v>
      </c>
      <c r="B7661" t="s">
        <v>15312</v>
      </c>
      <c r="C7661" t="s">
        <v>10</v>
      </c>
      <c r="D7661" t="s">
        <v>15399</v>
      </c>
      <c r="E7661" t="s">
        <v>15400</v>
      </c>
      <c r="G7661" s="1">
        <v>8.43</v>
      </c>
    </row>
    <row r="7662" spans="1:7" ht="14.25" hidden="1" customHeight="1" x14ac:dyDescent="0.45">
      <c r="A7662" t="str">
        <f>_xlfn.XLOOKUP(B7662,Ingot!$H$12:$H$119,Ingot!$G$12:$G$119,"")</f>
        <v>Cloth</v>
      </c>
      <c r="B7662" t="s">
        <v>15312</v>
      </c>
      <c r="C7662" t="s">
        <v>10</v>
      </c>
      <c r="D7662" t="s">
        <v>15401</v>
      </c>
      <c r="E7662" t="s">
        <v>15402</v>
      </c>
      <c r="G7662" s="1">
        <v>13.07</v>
      </c>
    </row>
    <row r="7663" spans="1:7" ht="14.25" hidden="1" customHeight="1" x14ac:dyDescent="0.45">
      <c r="A7663" t="str">
        <f>_xlfn.XLOOKUP(B7663,Ingot!$H$12:$H$119,Ingot!$G$12:$G$119,"")</f>
        <v>Cloth</v>
      </c>
      <c r="B7663" t="s">
        <v>15312</v>
      </c>
      <c r="C7663" t="s">
        <v>10</v>
      </c>
      <c r="D7663" t="s">
        <v>15403</v>
      </c>
      <c r="E7663" t="s">
        <v>15404</v>
      </c>
    </row>
    <row r="7664" spans="1:7" ht="14.25" hidden="1" customHeight="1" x14ac:dyDescent="0.45">
      <c r="A7664" t="str">
        <f>_xlfn.XLOOKUP(B7664,Ingot!$H$12:$H$119,Ingot!$G$12:$G$119,"")</f>
        <v>Cloth</v>
      </c>
      <c r="B7664" t="s">
        <v>15312</v>
      </c>
      <c r="C7664" t="s">
        <v>10</v>
      </c>
      <c r="D7664" t="s">
        <v>15405</v>
      </c>
      <c r="E7664" t="s">
        <v>15406</v>
      </c>
    </row>
    <row r="7665" spans="1:7" ht="14.25" hidden="1" customHeight="1" x14ac:dyDescent="0.45">
      <c r="A7665" t="str">
        <f>_xlfn.XLOOKUP(B7665,Ingot!$H$12:$H$119,Ingot!$G$12:$G$119,"")</f>
        <v>Cloth</v>
      </c>
      <c r="B7665" t="s">
        <v>15312</v>
      </c>
      <c r="C7665" t="s">
        <v>10</v>
      </c>
      <c r="D7665" t="s">
        <v>15407</v>
      </c>
      <c r="E7665" t="s">
        <v>15408</v>
      </c>
      <c r="G7665" s="1">
        <v>6.8</v>
      </c>
    </row>
    <row r="7666" spans="1:7" ht="14.25" hidden="1" customHeight="1" x14ac:dyDescent="0.45">
      <c r="A7666" t="str">
        <f>_xlfn.XLOOKUP(B7666,Ingot!$H$12:$H$119,Ingot!$G$12:$G$119,"")</f>
        <v>Cloth</v>
      </c>
      <c r="B7666" t="s">
        <v>15312</v>
      </c>
      <c r="C7666" t="s">
        <v>10</v>
      </c>
      <c r="D7666" t="s">
        <v>15409</v>
      </c>
      <c r="E7666" t="s">
        <v>15410</v>
      </c>
      <c r="G7666" s="1">
        <v>6.88</v>
      </c>
    </row>
    <row r="7667" spans="1:7" ht="14.25" hidden="1" customHeight="1" x14ac:dyDescent="0.45">
      <c r="A7667" t="str">
        <f>_xlfn.XLOOKUP(B7667,Ingot!$H$12:$H$119,Ingot!$G$12:$G$119,"")</f>
        <v>Cloth</v>
      </c>
      <c r="B7667" t="s">
        <v>15312</v>
      </c>
      <c r="C7667" t="s">
        <v>10</v>
      </c>
      <c r="D7667" t="s">
        <v>15411</v>
      </c>
      <c r="E7667" t="s">
        <v>15412</v>
      </c>
      <c r="G7667" s="1">
        <v>5.5</v>
      </c>
    </row>
    <row r="7668" spans="1:7" ht="14.25" hidden="1" customHeight="1" x14ac:dyDescent="0.45">
      <c r="A7668" t="str">
        <f>_xlfn.XLOOKUP(B7668,Ingot!$H$12:$H$119,Ingot!$G$12:$G$119,"")</f>
        <v>Cloth</v>
      </c>
      <c r="B7668" t="s">
        <v>15312</v>
      </c>
      <c r="C7668" t="s">
        <v>10</v>
      </c>
      <c r="D7668" t="s">
        <v>15413</v>
      </c>
      <c r="E7668" t="s">
        <v>15414</v>
      </c>
      <c r="G7668" s="1">
        <v>2.4300000000000002</v>
      </c>
    </row>
    <row r="7669" spans="1:7" ht="14.25" hidden="1" customHeight="1" x14ac:dyDescent="0.45">
      <c r="A7669" t="str">
        <f>_xlfn.XLOOKUP(B7669,Ingot!$H$12:$H$119,Ingot!$G$12:$G$119,"")</f>
        <v>Cloth</v>
      </c>
      <c r="B7669" t="s">
        <v>15312</v>
      </c>
      <c r="C7669" t="s">
        <v>10</v>
      </c>
      <c r="D7669" t="s">
        <v>15415</v>
      </c>
      <c r="E7669" t="s">
        <v>15416</v>
      </c>
      <c r="G7669" s="1">
        <v>6.96</v>
      </c>
    </row>
    <row r="7670" spans="1:7" ht="14.25" hidden="1" customHeight="1" x14ac:dyDescent="0.45">
      <c r="A7670" t="str">
        <f>_xlfn.XLOOKUP(B7670,Ingot!$H$12:$H$119,Ingot!$G$12:$G$119,"")</f>
        <v>Cloth</v>
      </c>
      <c r="B7670" t="s">
        <v>15312</v>
      </c>
      <c r="C7670" t="s">
        <v>10</v>
      </c>
      <c r="D7670" t="s">
        <v>15417</v>
      </c>
      <c r="E7670" t="s">
        <v>15418</v>
      </c>
      <c r="G7670" s="1">
        <v>6.32</v>
      </c>
    </row>
    <row r="7671" spans="1:7" ht="14.25" hidden="1" customHeight="1" x14ac:dyDescent="0.45">
      <c r="A7671" t="str">
        <f>_xlfn.XLOOKUP(B7671,Ingot!$H$12:$H$119,Ingot!$G$12:$G$119,"")</f>
        <v>Cloth</v>
      </c>
      <c r="B7671" t="s">
        <v>15312</v>
      </c>
      <c r="C7671" t="s">
        <v>10</v>
      </c>
      <c r="D7671" t="s">
        <v>15419</v>
      </c>
      <c r="E7671" t="s">
        <v>15420</v>
      </c>
      <c r="G7671" s="1">
        <v>6.88</v>
      </c>
    </row>
    <row r="7672" spans="1:7" ht="14.25" hidden="1" customHeight="1" x14ac:dyDescent="0.45">
      <c r="A7672" t="str">
        <f>_xlfn.XLOOKUP(B7672,Ingot!$H$12:$H$119,Ingot!$G$12:$G$119,"")</f>
        <v>Cloth</v>
      </c>
      <c r="B7672" t="s">
        <v>15312</v>
      </c>
      <c r="C7672" t="s">
        <v>10</v>
      </c>
      <c r="D7672" t="s">
        <v>15421</v>
      </c>
      <c r="E7672" t="s">
        <v>15422</v>
      </c>
      <c r="G7672" s="1">
        <v>2.44</v>
      </c>
    </row>
    <row r="7673" spans="1:7" ht="14.25" hidden="1" customHeight="1" x14ac:dyDescent="0.45">
      <c r="A7673" t="str">
        <f>_xlfn.XLOOKUP(B7673,Ingot!$H$12:$H$119,Ingot!$G$12:$G$119,"")</f>
        <v>Cloth</v>
      </c>
      <c r="B7673" t="s">
        <v>15312</v>
      </c>
      <c r="C7673" t="s">
        <v>10</v>
      </c>
      <c r="D7673" t="s">
        <v>15423</v>
      </c>
      <c r="E7673" t="s">
        <v>15424</v>
      </c>
    </row>
    <row r="7674" spans="1:7" ht="14.25" hidden="1" customHeight="1" x14ac:dyDescent="0.45">
      <c r="A7674" t="str">
        <f>_xlfn.XLOOKUP(B7674,Ingot!$H$12:$H$119,Ingot!$G$12:$G$119,"")</f>
        <v>Cloth</v>
      </c>
      <c r="B7674" t="s">
        <v>15312</v>
      </c>
      <c r="C7674" t="s">
        <v>10</v>
      </c>
      <c r="D7674" t="s">
        <v>15425</v>
      </c>
      <c r="E7674" t="s">
        <v>15426</v>
      </c>
    </row>
    <row r="7675" spans="1:7" ht="14.25" hidden="1" customHeight="1" x14ac:dyDescent="0.45">
      <c r="A7675" t="str">
        <f>_xlfn.XLOOKUP(B7675,Ingot!$H$12:$H$119,Ingot!$G$12:$G$119,"")</f>
        <v>Cloth</v>
      </c>
      <c r="B7675" t="s">
        <v>15312</v>
      </c>
      <c r="C7675" t="s">
        <v>10</v>
      </c>
      <c r="D7675" t="s">
        <v>15427</v>
      </c>
      <c r="E7675" t="s">
        <v>15428</v>
      </c>
      <c r="G7675" s="1">
        <v>3.11</v>
      </c>
    </row>
    <row r="7676" spans="1:7" ht="14.25" hidden="1" customHeight="1" x14ac:dyDescent="0.45">
      <c r="A7676" t="str">
        <f>_xlfn.XLOOKUP(B7676,Ingot!$H$12:$H$119,Ingot!$G$12:$G$119,"")</f>
        <v>Cloth</v>
      </c>
      <c r="B7676" t="s">
        <v>15312</v>
      </c>
      <c r="C7676" t="s">
        <v>10</v>
      </c>
      <c r="D7676" t="s">
        <v>15429</v>
      </c>
      <c r="E7676" t="s">
        <v>15430</v>
      </c>
      <c r="G7676" s="1">
        <v>2.44</v>
      </c>
    </row>
    <row r="7677" spans="1:7" ht="14.25" hidden="1" customHeight="1" x14ac:dyDescent="0.45">
      <c r="A7677" t="str">
        <f>_xlfn.XLOOKUP(B7677,Ingot!$H$12:$H$119,Ingot!$G$12:$G$119,"")</f>
        <v>Cloth</v>
      </c>
      <c r="B7677" t="s">
        <v>15312</v>
      </c>
      <c r="C7677" t="s">
        <v>10</v>
      </c>
      <c r="D7677" t="s">
        <v>15431</v>
      </c>
      <c r="E7677" t="s">
        <v>15432</v>
      </c>
      <c r="G7677" s="1">
        <v>8.61</v>
      </c>
    </row>
    <row r="7678" spans="1:7" ht="14.25" hidden="1" customHeight="1" x14ac:dyDescent="0.45">
      <c r="A7678" t="str">
        <f>_xlfn.XLOOKUP(B7678,Ingot!$H$12:$H$119,Ingot!$G$12:$G$119,"")</f>
        <v>Cloth</v>
      </c>
      <c r="B7678" t="s">
        <v>15312</v>
      </c>
      <c r="C7678" t="s">
        <v>10</v>
      </c>
      <c r="D7678" t="s">
        <v>15433</v>
      </c>
      <c r="E7678" t="s">
        <v>15434</v>
      </c>
    </row>
    <row r="7679" spans="1:7" ht="14.25" hidden="1" customHeight="1" x14ac:dyDescent="0.45">
      <c r="A7679" t="str">
        <f>_xlfn.XLOOKUP(B7679,Ingot!$H$12:$H$119,Ingot!$G$12:$G$119,"")</f>
        <v>Cloth</v>
      </c>
      <c r="B7679" t="s">
        <v>15312</v>
      </c>
      <c r="C7679" t="s">
        <v>10</v>
      </c>
      <c r="D7679" t="s">
        <v>15435</v>
      </c>
      <c r="E7679" t="s">
        <v>15436</v>
      </c>
      <c r="G7679" s="1">
        <v>3.21</v>
      </c>
    </row>
    <row r="7680" spans="1:7" ht="14.25" hidden="1" customHeight="1" x14ac:dyDescent="0.45">
      <c r="A7680" t="str">
        <f>_xlfn.XLOOKUP(B7680,Ingot!$H$12:$H$119,Ingot!$G$12:$G$119,"")</f>
        <v>Cloth</v>
      </c>
      <c r="B7680" t="s">
        <v>15312</v>
      </c>
      <c r="C7680" t="s">
        <v>10</v>
      </c>
      <c r="D7680" t="s">
        <v>15437</v>
      </c>
      <c r="E7680" t="s">
        <v>15438</v>
      </c>
      <c r="G7680" s="1">
        <v>2.77</v>
      </c>
    </row>
    <row r="7681" spans="1:7" ht="14.25" hidden="1" customHeight="1" x14ac:dyDescent="0.45">
      <c r="A7681" t="str">
        <f>_xlfn.XLOOKUP(B7681,Ingot!$H$12:$H$119,Ingot!$G$12:$G$119,"")</f>
        <v>Cloth</v>
      </c>
      <c r="B7681" t="s">
        <v>15312</v>
      </c>
      <c r="C7681" t="s">
        <v>10</v>
      </c>
      <c r="D7681" t="s">
        <v>15439</v>
      </c>
      <c r="E7681" t="s">
        <v>15440</v>
      </c>
      <c r="G7681" s="1">
        <v>4.8899999999999997</v>
      </c>
    </row>
    <row r="7682" spans="1:7" ht="14.25" hidden="1" customHeight="1" x14ac:dyDescent="0.45">
      <c r="A7682" t="str">
        <f>_xlfn.XLOOKUP(B7682,Ingot!$H$12:$H$119,Ingot!$G$12:$G$119,"")</f>
        <v>Cloth</v>
      </c>
      <c r="B7682" t="s">
        <v>15312</v>
      </c>
      <c r="C7682" t="s">
        <v>10</v>
      </c>
      <c r="D7682" t="s">
        <v>15441</v>
      </c>
      <c r="E7682" t="s">
        <v>15442</v>
      </c>
      <c r="G7682" s="1">
        <v>1.76</v>
      </c>
    </row>
    <row r="7683" spans="1:7" ht="14.25" hidden="1" customHeight="1" x14ac:dyDescent="0.45">
      <c r="A7683" t="str">
        <f>_xlfn.XLOOKUP(B7683,Ingot!$H$12:$H$119,Ingot!$G$12:$G$119,"")</f>
        <v>Cloth</v>
      </c>
      <c r="B7683" t="s">
        <v>15312</v>
      </c>
      <c r="C7683" t="s">
        <v>10</v>
      </c>
      <c r="D7683" t="s">
        <v>15443</v>
      </c>
      <c r="E7683" t="s">
        <v>15444</v>
      </c>
    </row>
    <row r="7684" spans="1:7" ht="14.25" hidden="1" customHeight="1" x14ac:dyDescent="0.45">
      <c r="A7684" t="str">
        <f>_xlfn.XLOOKUP(B7684,Ingot!$H$12:$H$119,Ingot!$G$12:$G$119,"")</f>
        <v>Cloth</v>
      </c>
      <c r="B7684" t="s">
        <v>15312</v>
      </c>
      <c r="C7684" t="s">
        <v>10</v>
      </c>
      <c r="D7684" t="s">
        <v>15445</v>
      </c>
      <c r="E7684" t="s">
        <v>15446</v>
      </c>
      <c r="G7684" s="1">
        <v>8.57</v>
      </c>
    </row>
    <row r="7685" spans="1:7" ht="14.25" hidden="1" customHeight="1" x14ac:dyDescent="0.45">
      <c r="A7685" t="str">
        <f>_xlfn.XLOOKUP(B7685,Ingot!$H$12:$H$119,Ingot!$G$12:$G$119,"")</f>
        <v>Cloth</v>
      </c>
      <c r="B7685" t="s">
        <v>15312</v>
      </c>
      <c r="C7685" t="s">
        <v>10</v>
      </c>
      <c r="D7685" t="s">
        <v>15447</v>
      </c>
      <c r="E7685" t="s">
        <v>15448</v>
      </c>
    </row>
    <row r="7686" spans="1:7" ht="14.25" hidden="1" customHeight="1" x14ac:dyDescent="0.45">
      <c r="A7686" t="str">
        <f>_xlfn.XLOOKUP(B7686,Ingot!$H$12:$H$119,Ingot!$G$12:$G$119,"")</f>
        <v>Cloth</v>
      </c>
      <c r="B7686" t="s">
        <v>15312</v>
      </c>
      <c r="C7686" t="s">
        <v>10</v>
      </c>
      <c r="D7686" t="s">
        <v>15449</v>
      </c>
      <c r="E7686" t="s">
        <v>15450</v>
      </c>
      <c r="G7686" s="1">
        <v>3.56</v>
      </c>
    </row>
    <row r="7687" spans="1:7" ht="14.25" hidden="1" customHeight="1" x14ac:dyDescent="0.45">
      <c r="A7687" t="str">
        <f>_xlfn.XLOOKUP(B7687,Ingot!$H$12:$H$119,Ingot!$G$12:$G$119,"")</f>
        <v>Cloth</v>
      </c>
      <c r="B7687" t="s">
        <v>15312</v>
      </c>
      <c r="C7687" t="s">
        <v>10</v>
      </c>
      <c r="D7687" t="s">
        <v>15451</v>
      </c>
      <c r="E7687" t="s">
        <v>15452</v>
      </c>
      <c r="G7687" s="1">
        <v>8.91</v>
      </c>
    </row>
    <row r="7688" spans="1:7" ht="14.25" hidden="1" customHeight="1" x14ac:dyDescent="0.45">
      <c r="A7688" t="str">
        <f>_xlfn.XLOOKUP(B7688,Ingot!$H$12:$H$119,Ingot!$G$12:$G$119,"")</f>
        <v>Cloth</v>
      </c>
      <c r="B7688" t="s">
        <v>15312</v>
      </c>
      <c r="C7688" t="s">
        <v>10</v>
      </c>
      <c r="D7688" t="s">
        <v>15453</v>
      </c>
      <c r="E7688" t="s">
        <v>15454</v>
      </c>
      <c r="G7688" s="1">
        <v>11.02</v>
      </c>
    </row>
    <row r="7689" spans="1:7" ht="14.25" hidden="1" customHeight="1" x14ac:dyDescent="0.45">
      <c r="A7689" t="str">
        <f>_xlfn.XLOOKUP(B7689,Ingot!$H$12:$H$119,Ingot!$G$12:$G$119,"")</f>
        <v>Cloth</v>
      </c>
      <c r="B7689" t="s">
        <v>15312</v>
      </c>
      <c r="C7689" t="s">
        <v>10</v>
      </c>
      <c r="D7689" t="s">
        <v>15455</v>
      </c>
      <c r="E7689" t="s">
        <v>15456</v>
      </c>
      <c r="G7689" s="1">
        <v>5.12</v>
      </c>
    </row>
    <row r="7690" spans="1:7" ht="14.25" hidden="1" customHeight="1" x14ac:dyDescent="0.45">
      <c r="A7690" t="str">
        <f>_xlfn.XLOOKUP(B7690,Ingot!$H$12:$H$119,Ingot!$G$12:$G$119,"")</f>
        <v>Cloth</v>
      </c>
      <c r="B7690" t="s">
        <v>15312</v>
      </c>
      <c r="C7690" t="s">
        <v>10</v>
      </c>
      <c r="D7690" t="s">
        <v>15457</v>
      </c>
      <c r="E7690" t="s">
        <v>15458</v>
      </c>
      <c r="G7690" s="1">
        <v>4.41</v>
      </c>
    </row>
    <row r="7691" spans="1:7" ht="14.25" hidden="1" customHeight="1" x14ac:dyDescent="0.45">
      <c r="A7691" t="str">
        <f>_xlfn.XLOOKUP(B7691,Ingot!$H$12:$H$119,Ingot!$G$12:$G$119,"")</f>
        <v>Cloth</v>
      </c>
      <c r="B7691" t="s">
        <v>15312</v>
      </c>
      <c r="C7691" t="s">
        <v>157</v>
      </c>
      <c r="D7691" t="s">
        <v>15459</v>
      </c>
      <c r="E7691" t="s">
        <v>15460</v>
      </c>
      <c r="G7691" s="1">
        <v>14.8</v>
      </c>
    </row>
    <row r="7692" spans="1:7" ht="14.25" hidden="1" customHeight="1" x14ac:dyDescent="0.45">
      <c r="A7692" t="str">
        <f>_xlfn.XLOOKUP(B7692,Ingot!$H$12:$H$119,Ingot!$G$12:$G$119,"")</f>
        <v>Cloth</v>
      </c>
      <c r="B7692" t="s">
        <v>15312</v>
      </c>
      <c r="C7692" t="s">
        <v>157</v>
      </c>
      <c r="D7692" t="s">
        <v>15461</v>
      </c>
      <c r="E7692" t="s">
        <v>15462</v>
      </c>
      <c r="G7692" s="1">
        <v>5</v>
      </c>
    </row>
    <row r="7693" spans="1:7" ht="14.25" hidden="1" customHeight="1" x14ac:dyDescent="0.45">
      <c r="A7693" t="str">
        <f>_xlfn.XLOOKUP(B7693,Ingot!$H$12:$H$119,Ingot!$G$12:$G$119,"")</f>
        <v>Cloth</v>
      </c>
      <c r="B7693" t="s">
        <v>15312</v>
      </c>
      <c r="C7693" t="s">
        <v>157</v>
      </c>
      <c r="D7693" t="s">
        <v>15463</v>
      </c>
      <c r="E7693" t="s">
        <v>15464</v>
      </c>
      <c r="G7693" s="1">
        <v>5</v>
      </c>
    </row>
    <row r="7694" spans="1:7" ht="14.25" hidden="1" customHeight="1" x14ac:dyDescent="0.45">
      <c r="A7694" t="str">
        <f>_xlfn.XLOOKUP(B7694,Ingot!$H$12:$H$119,Ingot!$G$12:$G$119,"")</f>
        <v>Cloth</v>
      </c>
      <c r="B7694" t="s">
        <v>15312</v>
      </c>
      <c r="C7694" t="s">
        <v>157</v>
      </c>
      <c r="D7694" t="s">
        <v>15465</v>
      </c>
      <c r="E7694" t="s">
        <v>15466</v>
      </c>
      <c r="G7694" s="1">
        <v>5</v>
      </c>
    </row>
    <row r="7695" spans="1:7" ht="14.25" hidden="1" customHeight="1" x14ac:dyDescent="0.45">
      <c r="A7695" t="str">
        <f>_xlfn.XLOOKUP(B7695,Ingot!$H$12:$H$119,Ingot!$G$12:$G$119,"")</f>
        <v>Cloth</v>
      </c>
      <c r="B7695" t="s">
        <v>15312</v>
      </c>
      <c r="C7695" t="s">
        <v>157</v>
      </c>
      <c r="D7695" t="s">
        <v>15467</v>
      </c>
      <c r="E7695" t="s">
        <v>15468</v>
      </c>
      <c r="G7695" s="1">
        <v>10</v>
      </c>
    </row>
    <row r="7696" spans="1:7" ht="14.25" hidden="1" customHeight="1" x14ac:dyDescent="0.45">
      <c r="A7696" t="str">
        <f>_xlfn.XLOOKUP(B7696,Ingot!$H$12:$H$119,Ingot!$G$12:$G$119,"")</f>
        <v>Cloth</v>
      </c>
      <c r="B7696" t="s">
        <v>15312</v>
      </c>
      <c r="C7696" t="s">
        <v>157</v>
      </c>
      <c r="D7696" t="s">
        <v>15469</v>
      </c>
      <c r="E7696" t="s">
        <v>15470</v>
      </c>
      <c r="G7696" s="1">
        <v>13.2</v>
      </c>
    </row>
    <row r="7697" spans="1:7" ht="14.25" hidden="1" customHeight="1" x14ac:dyDescent="0.45">
      <c r="A7697" t="str">
        <f>_xlfn.XLOOKUP(B7697,Ingot!$H$12:$H$119,Ingot!$G$12:$G$119,"")</f>
        <v>Cloth</v>
      </c>
      <c r="B7697" t="s">
        <v>15312</v>
      </c>
      <c r="C7697" t="s">
        <v>157</v>
      </c>
      <c r="D7697" t="s">
        <v>15471</v>
      </c>
      <c r="E7697" t="s">
        <v>15472</v>
      </c>
      <c r="G7697" s="1">
        <v>5</v>
      </c>
    </row>
    <row r="7698" spans="1:7" ht="14.25" hidden="1" customHeight="1" x14ac:dyDescent="0.45">
      <c r="A7698" t="str">
        <f>_xlfn.XLOOKUP(B7698,Ingot!$H$12:$H$119,Ingot!$G$12:$G$119,"")</f>
        <v>Cloth</v>
      </c>
      <c r="B7698" t="s">
        <v>15312</v>
      </c>
      <c r="C7698" t="s">
        <v>157</v>
      </c>
      <c r="D7698" t="s">
        <v>15473</v>
      </c>
      <c r="E7698" t="s">
        <v>15474</v>
      </c>
      <c r="G7698" s="1">
        <v>5</v>
      </c>
    </row>
    <row r="7699" spans="1:7" ht="14.25" hidden="1" customHeight="1" x14ac:dyDescent="0.45">
      <c r="A7699" t="str">
        <f>_xlfn.XLOOKUP(B7699,Ingot!$H$12:$H$119,Ingot!$G$12:$G$119,"")</f>
        <v>Cloth</v>
      </c>
      <c r="B7699" t="s">
        <v>15312</v>
      </c>
      <c r="C7699" t="s">
        <v>157</v>
      </c>
      <c r="D7699" t="s">
        <v>15475</v>
      </c>
      <c r="E7699" t="s">
        <v>15476</v>
      </c>
      <c r="G7699" s="1">
        <v>5</v>
      </c>
    </row>
    <row r="7700" spans="1:7" ht="14.25" hidden="1" customHeight="1" x14ac:dyDescent="0.45">
      <c r="A7700" t="str">
        <f>_xlfn.XLOOKUP(B7700,Ingot!$H$12:$H$119,Ingot!$G$12:$G$119,"")</f>
        <v>Cloth</v>
      </c>
      <c r="B7700" t="s">
        <v>15312</v>
      </c>
      <c r="C7700" t="s">
        <v>157</v>
      </c>
      <c r="D7700" t="s">
        <v>15477</v>
      </c>
      <c r="E7700" t="s">
        <v>15478</v>
      </c>
      <c r="G7700" s="1">
        <v>10</v>
      </c>
    </row>
    <row r="7701" spans="1:7" ht="14.25" hidden="1" customHeight="1" x14ac:dyDescent="0.45">
      <c r="A7701" t="str">
        <f>_xlfn.XLOOKUP(B7701,Ingot!$H$12:$H$119,Ingot!$G$12:$G$119,"")</f>
        <v>Cloth</v>
      </c>
      <c r="B7701" t="s">
        <v>15312</v>
      </c>
      <c r="C7701" t="s">
        <v>157</v>
      </c>
      <c r="D7701" t="s">
        <v>15479</v>
      </c>
      <c r="E7701" t="s">
        <v>15480</v>
      </c>
      <c r="G7701" s="1">
        <v>12.8</v>
      </c>
    </row>
    <row r="7702" spans="1:7" ht="14.25" hidden="1" customHeight="1" x14ac:dyDescent="0.45">
      <c r="A7702" t="str">
        <f>_xlfn.XLOOKUP(B7702,Ingot!$H$12:$H$119,Ingot!$G$12:$G$119,"")</f>
        <v>Cloth</v>
      </c>
      <c r="B7702" t="s">
        <v>15312</v>
      </c>
      <c r="C7702" t="s">
        <v>157</v>
      </c>
      <c r="D7702" t="s">
        <v>15481</v>
      </c>
      <c r="E7702" t="s">
        <v>15482</v>
      </c>
      <c r="G7702" s="1">
        <v>5</v>
      </c>
    </row>
    <row r="7703" spans="1:7" ht="14.25" hidden="1" customHeight="1" x14ac:dyDescent="0.45">
      <c r="A7703" t="str">
        <f>_xlfn.XLOOKUP(B7703,Ingot!$H$12:$H$119,Ingot!$G$12:$G$119,"")</f>
        <v>Cloth</v>
      </c>
      <c r="B7703" t="s">
        <v>15312</v>
      </c>
      <c r="C7703" t="s">
        <v>157</v>
      </c>
      <c r="D7703" t="s">
        <v>15483</v>
      </c>
      <c r="E7703" t="s">
        <v>15484</v>
      </c>
      <c r="G7703" s="1">
        <v>5</v>
      </c>
    </row>
    <row r="7704" spans="1:7" ht="14.25" hidden="1" customHeight="1" x14ac:dyDescent="0.45">
      <c r="A7704" t="str">
        <f>_xlfn.XLOOKUP(B7704,Ingot!$H$12:$H$119,Ingot!$G$12:$G$119,"")</f>
        <v>Cloth</v>
      </c>
      <c r="B7704" t="s">
        <v>15312</v>
      </c>
      <c r="C7704" t="s">
        <v>157</v>
      </c>
      <c r="D7704" t="s">
        <v>15485</v>
      </c>
      <c r="E7704" t="s">
        <v>15486</v>
      </c>
      <c r="G7704" s="1">
        <v>5</v>
      </c>
    </row>
    <row r="7705" spans="1:7" ht="14.25" hidden="1" customHeight="1" x14ac:dyDescent="0.45">
      <c r="A7705" t="str">
        <f>_xlfn.XLOOKUP(B7705,Ingot!$H$12:$H$119,Ingot!$G$12:$G$119,"")</f>
        <v>Cloth</v>
      </c>
      <c r="B7705" t="s">
        <v>15312</v>
      </c>
      <c r="C7705" t="s">
        <v>157</v>
      </c>
      <c r="D7705" t="s">
        <v>15487</v>
      </c>
      <c r="E7705" t="s">
        <v>15488</v>
      </c>
      <c r="G7705" s="1">
        <v>10</v>
      </c>
    </row>
    <row r="7706" spans="1:7" ht="14.25" hidden="1" customHeight="1" x14ac:dyDescent="0.45">
      <c r="A7706" t="str">
        <f>_xlfn.XLOOKUP(B7706,Ingot!$H$12:$H$119,Ingot!$G$12:$G$119,"")</f>
        <v>Cloth</v>
      </c>
      <c r="B7706" t="s">
        <v>15312</v>
      </c>
      <c r="C7706" t="s">
        <v>157</v>
      </c>
      <c r="D7706" t="s">
        <v>15489</v>
      </c>
      <c r="E7706" t="s">
        <v>15490</v>
      </c>
      <c r="G7706" s="1">
        <v>13.5</v>
      </c>
    </row>
    <row r="7707" spans="1:7" ht="14.25" hidden="1" customHeight="1" x14ac:dyDescent="0.45">
      <c r="A7707" t="str">
        <f>_xlfn.XLOOKUP(B7707,Ingot!$H$12:$H$119,Ingot!$G$12:$G$119,"")</f>
        <v>Cloth</v>
      </c>
      <c r="B7707" t="s">
        <v>15312</v>
      </c>
      <c r="C7707" t="s">
        <v>157</v>
      </c>
      <c r="D7707" t="s">
        <v>15491</v>
      </c>
      <c r="E7707" t="s">
        <v>15492</v>
      </c>
      <c r="G7707" s="1">
        <v>5</v>
      </c>
    </row>
    <row r="7708" spans="1:7" ht="14.25" hidden="1" customHeight="1" x14ac:dyDescent="0.45">
      <c r="A7708" t="str">
        <f>_xlfn.XLOOKUP(B7708,Ingot!$H$12:$H$119,Ingot!$G$12:$G$119,"")</f>
        <v>Cloth</v>
      </c>
      <c r="B7708" t="s">
        <v>15312</v>
      </c>
      <c r="C7708" t="s">
        <v>157</v>
      </c>
      <c r="D7708" t="s">
        <v>15493</v>
      </c>
      <c r="E7708" t="s">
        <v>15494</v>
      </c>
      <c r="G7708" s="1">
        <v>5</v>
      </c>
    </row>
    <row r="7709" spans="1:7" ht="14.25" hidden="1" customHeight="1" x14ac:dyDescent="0.45">
      <c r="A7709" t="str">
        <f>_xlfn.XLOOKUP(B7709,Ingot!$H$12:$H$119,Ingot!$G$12:$G$119,"")</f>
        <v>Cloth</v>
      </c>
      <c r="B7709" t="s">
        <v>15312</v>
      </c>
      <c r="C7709" t="s">
        <v>157</v>
      </c>
      <c r="D7709" t="s">
        <v>15495</v>
      </c>
      <c r="E7709" t="s">
        <v>15496</v>
      </c>
      <c r="G7709" s="1">
        <v>5</v>
      </c>
    </row>
    <row r="7710" spans="1:7" ht="14.25" hidden="1" customHeight="1" x14ac:dyDescent="0.45">
      <c r="A7710" t="str">
        <f>_xlfn.XLOOKUP(B7710,Ingot!$H$12:$H$119,Ingot!$G$12:$G$119,"")</f>
        <v>Cloth</v>
      </c>
      <c r="B7710" t="s">
        <v>15312</v>
      </c>
      <c r="C7710" t="s">
        <v>157</v>
      </c>
      <c r="D7710" t="s">
        <v>15497</v>
      </c>
      <c r="E7710" t="s">
        <v>15498</v>
      </c>
      <c r="G7710" s="1">
        <v>10</v>
      </c>
    </row>
    <row r="7711" spans="1:7" ht="14.25" hidden="1" customHeight="1" x14ac:dyDescent="0.45">
      <c r="A7711" t="str">
        <f>_xlfn.XLOOKUP(B7711,Ingot!$H$12:$H$119,Ingot!$G$12:$G$119,"")</f>
        <v>Cloth</v>
      </c>
      <c r="B7711" t="s">
        <v>15312</v>
      </c>
      <c r="C7711" t="s">
        <v>157</v>
      </c>
      <c r="D7711" t="s">
        <v>15499</v>
      </c>
      <c r="E7711" t="s">
        <v>15500</v>
      </c>
      <c r="G7711" s="1">
        <v>14</v>
      </c>
    </row>
    <row r="7712" spans="1:7" ht="14.25" hidden="1" customHeight="1" x14ac:dyDescent="0.45">
      <c r="A7712" t="str">
        <f>_xlfn.XLOOKUP(B7712,Ingot!$H$12:$H$119,Ingot!$G$12:$G$119,"")</f>
        <v>Cloth</v>
      </c>
      <c r="B7712" t="s">
        <v>15312</v>
      </c>
      <c r="C7712" t="s">
        <v>157</v>
      </c>
      <c r="D7712" t="s">
        <v>15501</v>
      </c>
      <c r="E7712" t="s">
        <v>15502</v>
      </c>
      <c r="G7712" s="1">
        <v>5</v>
      </c>
    </row>
    <row r="7713" spans="1:7" ht="14.25" hidden="1" customHeight="1" x14ac:dyDescent="0.45">
      <c r="A7713" t="str">
        <f>_xlfn.XLOOKUP(B7713,Ingot!$H$12:$H$119,Ingot!$G$12:$G$119,"")</f>
        <v>Cloth</v>
      </c>
      <c r="B7713" t="s">
        <v>15312</v>
      </c>
      <c r="C7713" t="s">
        <v>157</v>
      </c>
      <c r="D7713" t="s">
        <v>15503</v>
      </c>
      <c r="E7713" t="s">
        <v>15504</v>
      </c>
      <c r="G7713" s="1">
        <v>5</v>
      </c>
    </row>
    <row r="7714" spans="1:7" ht="14.25" hidden="1" customHeight="1" x14ac:dyDescent="0.45">
      <c r="A7714" t="str">
        <f>_xlfn.XLOOKUP(B7714,Ingot!$H$12:$H$119,Ingot!$G$12:$G$119,"")</f>
        <v>Cloth</v>
      </c>
      <c r="B7714" t="s">
        <v>15312</v>
      </c>
      <c r="C7714" t="s">
        <v>157</v>
      </c>
      <c r="D7714" t="s">
        <v>15505</v>
      </c>
      <c r="E7714" t="s">
        <v>15506</v>
      </c>
      <c r="G7714" s="1">
        <v>5</v>
      </c>
    </row>
    <row r="7715" spans="1:7" ht="14.25" hidden="1" customHeight="1" x14ac:dyDescent="0.45">
      <c r="A7715" t="str">
        <f>_xlfn.XLOOKUP(B7715,Ingot!$H$12:$H$119,Ingot!$G$12:$G$119,"")</f>
        <v>Cloth</v>
      </c>
      <c r="B7715" t="s">
        <v>15312</v>
      </c>
      <c r="C7715" t="s">
        <v>157</v>
      </c>
      <c r="D7715" t="s">
        <v>15507</v>
      </c>
      <c r="E7715" t="s">
        <v>15508</v>
      </c>
      <c r="G7715" s="1">
        <v>10</v>
      </c>
    </row>
    <row r="7716" spans="1:7" ht="14.25" hidden="1" customHeight="1" x14ac:dyDescent="0.45">
      <c r="A7716" t="str">
        <f>_xlfn.XLOOKUP(B7716,Ingot!$H$12:$H$119,Ingot!$G$12:$G$119,"")</f>
        <v>Cloth</v>
      </c>
      <c r="B7716" t="s">
        <v>15312</v>
      </c>
      <c r="C7716" t="s">
        <v>157</v>
      </c>
      <c r="D7716" t="s">
        <v>15509</v>
      </c>
      <c r="E7716" t="s">
        <v>15510</v>
      </c>
      <c r="G7716" s="1">
        <v>16.399999999999999</v>
      </c>
    </row>
    <row r="7717" spans="1:7" ht="14.25" hidden="1" customHeight="1" x14ac:dyDescent="0.45">
      <c r="A7717" t="str">
        <f>_xlfn.XLOOKUP(B7717,Ingot!$H$12:$H$119,Ingot!$G$12:$G$119,"")</f>
        <v>Cloth</v>
      </c>
      <c r="B7717" t="s">
        <v>15312</v>
      </c>
      <c r="C7717" t="s">
        <v>157</v>
      </c>
      <c r="D7717" t="s">
        <v>15511</v>
      </c>
      <c r="E7717" t="s">
        <v>15512</v>
      </c>
      <c r="G7717" s="1">
        <v>5</v>
      </c>
    </row>
    <row r="7718" spans="1:7" ht="14.25" hidden="1" customHeight="1" x14ac:dyDescent="0.45">
      <c r="A7718" t="str">
        <f>_xlfn.XLOOKUP(B7718,Ingot!$H$12:$H$119,Ingot!$G$12:$G$119,"")</f>
        <v>Cloth</v>
      </c>
      <c r="B7718" t="s">
        <v>15312</v>
      </c>
      <c r="C7718" t="s">
        <v>157</v>
      </c>
      <c r="D7718" t="s">
        <v>15513</v>
      </c>
      <c r="E7718" t="s">
        <v>15514</v>
      </c>
      <c r="G7718" s="1">
        <v>5</v>
      </c>
    </row>
    <row r="7719" spans="1:7" ht="14.25" hidden="1" customHeight="1" x14ac:dyDescent="0.45">
      <c r="A7719" t="str">
        <f>_xlfn.XLOOKUP(B7719,Ingot!$H$12:$H$119,Ingot!$G$12:$G$119,"")</f>
        <v>Cloth</v>
      </c>
      <c r="B7719" t="s">
        <v>15312</v>
      </c>
      <c r="C7719" t="s">
        <v>157</v>
      </c>
      <c r="D7719" t="s">
        <v>15515</v>
      </c>
      <c r="E7719" t="s">
        <v>15516</v>
      </c>
      <c r="G7719" s="1">
        <v>5</v>
      </c>
    </row>
    <row r="7720" spans="1:7" ht="14.25" hidden="1" customHeight="1" x14ac:dyDescent="0.45">
      <c r="A7720" t="str">
        <f>_xlfn.XLOOKUP(B7720,Ingot!$H$12:$H$119,Ingot!$G$12:$G$119,"")</f>
        <v>Cloth</v>
      </c>
      <c r="B7720" t="s">
        <v>15312</v>
      </c>
      <c r="C7720" t="s">
        <v>157</v>
      </c>
      <c r="D7720" t="s">
        <v>15517</v>
      </c>
      <c r="E7720" t="s">
        <v>15518</v>
      </c>
      <c r="G7720" s="1">
        <v>10</v>
      </c>
    </row>
    <row r="7721" spans="1:7" ht="14.25" hidden="1" customHeight="1" x14ac:dyDescent="0.45">
      <c r="A7721" t="str">
        <f>_xlfn.XLOOKUP(B7721,Ingot!$H$12:$H$119,Ingot!$G$12:$G$119,"")</f>
        <v>Cloth</v>
      </c>
      <c r="B7721" t="s">
        <v>15312</v>
      </c>
      <c r="C7721" t="s">
        <v>157</v>
      </c>
      <c r="D7721" t="s">
        <v>15519</v>
      </c>
      <c r="E7721" t="s">
        <v>15520</v>
      </c>
      <c r="G7721" s="1">
        <v>15.5</v>
      </c>
    </row>
    <row r="7722" spans="1:7" ht="14.25" hidden="1" customHeight="1" x14ac:dyDescent="0.45">
      <c r="A7722" t="str">
        <f>_xlfn.XLOOKUP(B7722,Ingot!$H$12:$H$119,Ingot!$G$12:$G$119,"")</f>
        <v>Cloth</v>
      </c>
      <c r="B7722" t="s">
        <v>15312</v>
      </c>
      <c r="C7722" t="s">
        <v>157</v>
      </c>
      <c r="D7722" t="s">
        <v>15521</v>
      </c>
      <c r="E7722" t="s">
        <v>15522</v>
      </c>
      <c r="G7722" s="1">
        <v>5</v>
      </c>
    </row>
    <row r="7723" spans="1:7" ht="14.25" hidden="1" customHeight="1" x14ac:dyDescent="0.45">
      <c r="A7723" t="str">
        <f>_xlfn.XLOOKUP(B7723,Ingot!$H$12:$H$119,Ingot!$G$12:$G$119,"")</f>
        <v>Cloth</v>
      </c>
      <c r="B7723" t="s">
        <v>15312</v>
      </c>
      <c r="C7723" t="s">
        <v>157</v>
      </c>
      <c r="D7723" t="s">
        <v>15523</v>
      </c>
      <c r="E7723" t="s">
        <v>15524</v>
      </c>
      <c r="G7723" s="1">
        <v>5</v>
      </c>
    </row>
    <row r="7724" spans="1:7" ht="14.25" hidden="1" customHeight="1" x14ac:dyDescent="0.45">
      <c r="A7724" t="str">
        <f>_xlfn.XLOOKUP(B7724,Ingot!$H$12:$H$119,Ingot!$G$12:$G$119,"")</f>
        <v>Cloth</v>
      </c>
      <c r="B7724" t="s">
        <v>15312</v>
      </c>
      <c r="C7724" t="s">
        <v>157</v>
      </c>
      <c r="D7724" t="s">
        <v>15525</v>
      </c>
      <c r="E7724" t="s">
        <v>15526</v>
      </c>
      <c r="G7724" s="1">
        <v>5</v>
      </c>
    </row>
    <row r="7725" spans="1:7" ht="14.25" hidden="1" customHeight="1" x14ac:dyDescent="0.45">
      <c r="A7725" t="str">
        <f>_xlfn.XLOOKUP(B7725,Ingot!$H$12:$H$119,Ingot!$G$12:$G$119,"")</f>
        <v>Cloth</v>
      </c>
      <c r="B7725" t="s">
        <v>15312</v>
      </c>
      <c r="C7725" t="s">
        <v>157</v>
      </c>
      <c r="D7725" t="s">
        <v>15527</v>
      </c>
      <c r="E7725" t="s">
        <v>15528</v>
      </c>
      <c r="G7725" s="1">
        <v>10</v>
      </c>
    </row>
    <row r="7726" spans="1:7" ht="14.25" hidden="1" customHeight="1" x14ac:dyDescent="0.45">
      <c r="A7726" t="str">
        <f>_xlfn.XLOOKUP(B7726,Ingot!$H$12:$H$119,Ingot!$G$12:$G$119,"")</f>
        <v>Cloth</v>
      </c>
      <c r="B7726" t="s">
        <v>15312</v>
      </c>
      <c r="C7726" t="s">
        <v>157</v>
      </c>
      <c r="D7726" t="s">
        <v>15529</v>
      </c>
      <c r="E7726" t="s">
        <v>15530</v>
      </c>
      <c r="G7726" s="1">
        <v>12.6</v>
      </c>
    </row>
    <row r="7727" spans="1:7" ht="14.25" hidden="1" customHeight="1" x14ac:dyDescent="0.45">
      <c r="A7727" t="str">
        <f>_xlfn.XLOOKUP(B7727,Ingot!$H$12:$H$119,Ingot!$G$12:$G$119,"")</f>
        <v>Cloth</v>
      </c>
      <c r="B7727" t="s">
        <v>15312</v>
      </c>
      <c r="C7727" t="s">
        <v>157</v>
      </c>
      <c r="D7727" t="s">
        <v>15531</v>
      </c>
      <c r="E7727" t="s">
        <v>15532</v>
      </c>
      <c r="G7727" s="1">
        <v>5</v>
      </c>
    </row>
    <row r="7728" spans="1:7" ht="14.25" hidden="1" customHeight="1" x14ac:dyDescent="0.45">
      <c r="A7728" t="str">
        <f>_xlfn.XLOOKUP(B7728,Ingot!$H$12:$H$119,Ingot!$G$12:$G$119,"")</f>
        <v>Cloth</v>
      </c>
      <c r="B7728" t="s">
        <v>15312</v>
      </c>
      <c r="C7728" t="s">
        <v>157</v>
      </c>
      <c r="D7728" t="s">
        <v>15533</v>
      </c>
      <c r="E7728" t="s">
        <v>15534</v>
      </c>
      <c r="G7728" s="1">
        <v>5</v>
      </c>
    </row>
    <row r="7729" spans="1:7" ht="14.25" hidden="1" customHeight="1" x14ac:dyDescent="0.45">
      <c r="A7729" t="str">
        <f>_xlfn.XLOOKUP(B7729,Ingot!$H$12:$H$119,Ingot!$G$12:$G$119,"")</f>
        <v>Cloth</v>
      </c>
      <c r="B7729" t="s">
        <v>15312</v>
      </c>
      <c r="C7729" t="s">
        <v>157</v>
      </c>
      <c r="D7729" t="s">
        <v>15535</v>
      </c>
      <c r="E7729" t="s">
        <v>15536</v>
      </c>
      <c r="G7729" s="1">
        <v>5</v>
      </c>
    </row>
    <row r="7730" spans="1:7" ht="14.25" hidden="1" customHeight="1" x14ac:dyDescent="0.45">
      <c r="A7730" t="str">
        <f>_xlfn.XLOOKUP(B7730,Ingot!$H$12:$H$119,Ingot!$G$12:$G$119,"")</f>
        <v>Cloth</v>
      </c>
      <c r="B7730" t="s">
        <v>15312</v>
      </c>
      <c r="C7730" t="s">
        <v>157</v>
      </c>
      <c r="D7730" t="s">
        <v>15537</v>
      </c>
      <c r="E7730" t="s">
        <v>15538</v>
      </c>
      <c r="G7730" s="1">
        <v>10</v>
      </c>
    </row>
    <row r="7731" spans="1:7" ht="14.25" hidden="1" customHeight="1" x14ac:dyDescent="0.45">
      <c r="A7731" t="str">
        <f>_xlfn.XLOOKUP(B7731,Ingot!$H$12:$H$119,Ingot!$G$12:$G$119,"")</f>
        <v>Cloth</v>
      </c>
      <c r="B7731" t="s">
        <v>15312</v>
      </c>
      <c r="C7731" t="s">
        <v>239</v>
      </c>
      <c r="D7731" t="s">
        <v>15539</v>
      </c>
      <c r="E7731" t="s">
        <v>15540</v>
      </c>
    </row>
    <row r="7732" spans="1:7" ht="14.25" hidden="1" customHeight="1" x14ac:dyDescent="0.45">
      <c r="A7732" t="str">
        <f>_xlfn.XLOOKUP(B7732,Ingot!$H$12:$H$119,Ingot!$G$12:$G$119,"")</f>
        <v>Cloth</v>
      </c>
      <c r="B7732" t="s">
        <v>15312</v>
      </c>
      <c r="C7732" t="s">
        <v>239</v>
      </c>
      <c r="D7732" t="s">
        <v>15541</v>
      </c>
      <c r="E7732" t="s">
        <v>15542</v>
      </c>
    </row>
    <row r="7733" spans="1:7" ht="14.25" hidden="1" customHeight="1" x14ac:dyDescent="0.45">
      <c r="A7733" t="str">
        <f>_xlfn.XLOOKUP(B7733,Ingot!$H$12:$H$119,Ingot!$G$12:$G$119,"")</f>
        <v>Cloth</v>
      </c>
      <c r="B7733" t="s">
        <v>15312</v>
      </c>
      <c r="C7733" t="s">
        <v>239</v>
      </c>
      <c r="D7733" t="s">
        <v>15543</v>
      </c>
      <c r="E7733" t="s">
        <v>15544</v>
      </c>
    </row>
    <row r="7734" spans="1:7" ht="14.25" hidden="1" customHeight="1" x14ac:dyDescent="0.45">
      <c r="A7734" t="str">
        <f>_xlfn.XLOOKUP(B7734,Ingot!$H$12:$H$119,Ingot!$G$12:$G$119,"")</f>
        <v>Cloth</v>
      </c>
      <c r="B7734" t="s">
        <v>15312</v>
      </c>
      <c r="C7734" t="s">
        <v>239</v>
      </c>
      <c r="D7734" t="s">
        <v>15545</v>
      </c>
      <c r="E7734" t="s">
        <v>15546</v>
      </c>
    </row>
    <row r="7735" spans="1:7" ht="14.25" hidden="1" customHeight="1" x14ac:dyDescent="0.45">
      <c r="A7735" t="str">
        <f>_xlfn.XLOOKUP(B7735,Ingot!$H$12:$H$119,Ingot!$G$12:$G$119,"")</f>
        <v>Cloth</v>
      </c>
      <c r="B7735" t="s">
        <v>15312</v>
      </c>
      <c r="C7735" t="s">
        <v>239</v>
      </c>
      <c r="D7735" t="s">
        <v>15547</v>
      </c>
      <c r="E7735" t="s">
        <v>15548</v>
      </c>
    </row>
    <row r="7736" spans="1:7" ht="14.25" hidden="1" customHeight="1" x14ac:dyDescent="0.45">
      <c r="A7736" t="str">
        <f>_xlfn.XLOOKUP(B7736,Ingot!$H$12:$H$119,Ingot!$G$12:$G$119,"")</f>
        <v>Cloth</v>
      </c>
      <c r="B7736" t="s">
        <v>15312</v>
      </c>
      <c r="C7736" t="s">
        <v>239</v>
      </c>
      <c r="D7736" t="s">
        <v>15549</v>
      </c>
      <c r="E7736" t="s">
        <v>15550</v>
      </c>
    </row>
    <row r="7737" spans="1:7" ht="14.25" hidden="1" customHeight="1" x14ac:dyDescent="0.45">
      <c r="A7737" t="str">
        <f>_xlfn.XLOOKUP(B7737,Ingot!$H$12:$H$119,Ingot!$G$12:$G$119,"")</f>
        <v>Cloth</v>
      </c>
      <c r="B7737" t="s">
        <v>15551</v>
      </c>
      <c r="C7737" t="s">
        <v>10</v>
      </c>
      <c r="D7737" t="s">
        <v>15552</v>
      </c>
      <c r="E7737" t="s">
        <v>15553</v>
      </c>
      <c r="G7737" s="1">
        <v>0.08</v>
      </c>
    </row>
    <row r="7738" spans="1:7" ht="14.25" hidden="1" customHeight="1" x14ac:dyDescent="0.45">
      <c r="A7738" t="str">
        <f>_xlfn.XLOOKUP(B7738,Ingot!$H$12:$H$119,Ingot!$G$12:$G$119,"")</f>
        <v>Cloth</v>
      </c>
      <c r="B7738" t="s">
        <v>15551</v>
      </c>
      <c r="C7738" t="s">
        <v>10</v>
      </c>
      <c r="D7738" t="s">
        <v>15554</v>
      </c>
      <c r="E7738" t="s">
        <v>15555</v>
      </c>
      <c r="G7738" s="1">
        <v>9.9</v>
      </c>
    </row>
    <row r="7739" spans="1:7" ht="14.25" hidden="1" customHeight="1" x14ac:dyDescent="0.45">
      <c r="A7739" t="str">
        <f>_xlfn.XLOOKUP(B7739,Ingot!$H$12:$H$119,Ingot!$G$12:$G$119,"")</f>
        <v>Cloth</v>
      </c>
      <c r="B7739" t="s">
        <v>15551</v>
      </c>
      <c r="C7739" t="s">
        <v>10</v>
      </c>
      <c r="D7739" t="s">
        <v>15556</v>
      </c>
      <c r="E7739" t="s">
        <v>15557</v>
      </c>
      <c r="G7739" s="1">
        <v>5.66</v>
      </c>
    </row>
    <row r="7740" spans="1:7" ht="14.25" hidden="1" customHeight="1" x14ac:dyDescent="0.45">
      <c r="A7740" t="str">
        <f>_xlfn.XLOOKUP(B7740,Ingot!$H$12:$H$119,Ingot!$G$12:$G$119,"")</f>
        <v>Cloth</v>
      </c>
      <c r="B7740" t="s">
        <v>15551</v>
      </c>
      <c r="C7740" t="s">
        <v>10</v>
      </c>
      <c r="D7740" t="s">
        <v>15558</v>
      </c>
      <c r="E7740" t="s">
        <v>15559</v>
      </c>
      <c r="G7740" s="1">
        <v>3.3</v>
      </c>
    </row>
    <row r="7741" spans="1:7" ht="14.25" hidden="1" customHeight="1" x14ac:dyDescent="0.45">
      <c r="A7741" t="str">
        <f>_xlfn.XLOOKUP(B7741,Ingot!$H$12:$H$119,Ingot!$G$12:$G$119,"")</f>
        <v>Cloth</v>
      </c>
      <c r="B7741" t="s">
        <v>15551</v>
      </c>
      <c r="C7741" t="s">
        <v>10</v>
      </c>
      <c r="D7741" t="s">
        <v>15560</v>
      </c>
      <c r="E7741" t="s">
        <v>15561</v>
      </c>
      <c r="G7741" s="1">
        <v>0.66</v>
      </c>
    </row>
    <row r="7742" spans="1:7" ht="14.25" hidden="1" customHeight="1" x14ac:dyDescent="0.45">
      <c r="A7742" t="str">
        <f>_xlfn.XLOOKUP(B7742,Ingot!$H$12:$H$119,Ingot!$G$12:$G$119,"")</f>
        <v>Cloth</v>
      </c>
      <c r="B7742" t="s">
        <v>15551</v>
      </c>
      <c r="C7742" t="s">
        <v>10</v>
      </c>
      <c r="D7742" t="s">
        <v>15562</v>
      </c>
      <c r="E7742" t="s">
        <v>15563</v>
      </c>
      <c r="G7742" s="1">
        <v>0.04</v>
      </c>
    </row>
    <row r="7743" spans="1:7" ht="14.25" hidden="1" customHeight="1" x14ac:dyDescent="0.45">
      <c r="A7743" t="str">
        <f>_xlfn.XLOOKUP(B7743,Ingot!$H$12:$H$119,Ingot!$G$12:$G$119,"")</f>
        <v>Cloth</v>
      </c>
      <c r="B7743" t="s">
        <v>15551</v>
      </c>
      <c r="C7743" t="s">
        <v>10</v>
      </c>
      <c r="D7743" t="s">
        <v>15564</v>
      </c>
      <c r="E7743" t="s">
        <v>15565</v>
      </c>
      <c r="G7743" s="1">
        <v>0.33</v>
      </c>
    </row>
    <row r="7744" spans="1:7" ht="14.25" hidden="1" customHeight="1" x14ac:dyDescent="0.45">
      <c r="A7744" t="str">
        <f>_xlfn.XLOOKUP(B7744,Ingot!$H$12:$H$119,Ingot!$G$12:$G$119,"")</f>
        <v>Cloth</v>
      </c>
      <c r="B7744" t="s">
        <v>15551</v>
      </c>
      <c r="C7744" t="s">
        <v>10</v>
      </c>
      <c r="D7744" t="s">
        <v>15566</v>
      </c>
      <c r="E7744" t="s">
        <v>15567</v>
      </c>
    </row>
    <row r="7745" spans="1:7" ht="14.25" hidden="1" customHeight="1" x14ac:dyDescent="0.45">
      <c r="A7745" t="str">
        <f>_xlfn.XLOOKUP(B7745,Ingot!$H$12:$H$119,Ingot!$G$12:$G$119,"")</f>
        <v>Cloth</v>
      </c>
      <c r="B7745" t="s">
        <v>15551</v>
      </c>
      <c r="C7745" t="s">
        <v>10</v>
      </c>
      <c r="D7745" t="s">
        <v>15568</v>
      </c>
      <c r="E7745" t="s">
        <v>15569</v>
      </c>
      <c r="G7745" s="1">
        <v>0.05</v>
      </c>
    </row>
    <row r="7746" spans="1:7" ht="14.25" hidden="1" customHeight="1" x14ac:dyDescent="0.45">
      <c r="A7746" t="str">
        <f>_xlfn.XLOOKUP(B7746,Ingot!$H$12:$H$119,Ingot!$G$12:$G$119,"")</f>
        <v>Cloth</v>
      </c>
      <c r="B7746" t="s">
        <v>15551</v>
      </c>
      <c r="C7746" t="s">
        <v>10</v>
      </c>
      <c r="D7746" t="s">
        <v>15570</v>
      </c>
      <c r="E7746" t="s">
        <v>15571</v>
      </c>
      <c r="G7746" s="1">
        <v>0.66</v>
      </c>
    </row>
    <row r="7747" spans="1:7" ht="14.25" hidden="1" customHeight="1" x14ac:dyDescent="0.45">
      <c r="A7747" t="str">
        <f>_xlfn.XLOOKUP(B7747,Ingot!$H$12:$H$119,Ingot!$G$12:$G$119,"")</f>
        <v>Cloth</v>
      </c>
      <c r="B7747" t="s">
        <v>15551</v>
      </c>
      <c r="C7747" t="s">
        <v>10</v>
      </c>
      <c r="D7747" t="s">
        <v>15572</v>
      </c>
      <c r="E7747" t="s">
        <v>15573</v>
      </c>
      <c r="G7747" s="1">
        <v>3.96</v>
      </c>
    </row>
    <row r="7748" spans="1:7" ht="14.25" hidden="1" customHeight="1" x14ac:dyDescent="0.45">
      <c r="A7748" t="str">
        <f>_xlfn.XLOOKUP(B7748,Ingot!$H$12:$H$119,Ingot!$G$12:$G$119,"")</f>
        <v>Cloth</v>
      </c>
      <c r="B7748" t="s">
        <v>15551</v>
      </c>
      <c r="C7748" t="s">
        <v>10</v>
      </c>
      <c r="D7748" t="s">
        <v>15574</v>
      </c>
      <c r="E7748" t="s">
        <v>15575</v>
      </c>
      <c r="G7748" s="1">
        <v>8.77</v>
      </c>
    </row>
    <row r="7749" spans="1:7" ht="14.25" hidden="1" customHeight="1" x14ac:dyDescent="0.45">
      <c r="A7749" t="str">
        <f>_xlfn.XLOOKUP(B7749,Ingot!$H$12:$H$119,Ingot!$G$12:$G$119,"")</f>
        <v>Cloth</v>
      </c>
      <c r="B7749" t="s">
        <v>15551</v>
      </c>
      <c r="C7749" t="s">
        <v>10</v>
      </c>
      <c r="D7749" t="s">
        <v>15576</v>
      </c>
      <c r="E7749" t="s">
        <v>15577</v>
      </c>
      <c r="G7749" s="1">
        <v>3.5</v>
      </c>
    </row>
    <row r="7750" spans="1:7" ht="14.25" hidden="1" customHeight="1" x14ac:dyDescent="0.45">
      <c r="A7750" t="str">
        <f>_xlfn.XLOOKUP(B7750,Ingot!$H$12:$H$119,Ingot!$G$12:$G$119,"")</f>
        <v>Cloth</v>
      </c>
      <c r="B7750" t="s">
        <v>15551</v>
      </c>
      <c r="C7750" t="s">
        <v>10</v>
      </c>
      <c r="D7750" t="s">
        <v>15578</v>
      </c>
      <c r="E7750" t="s">
        <v>15579</v>
      </c>
    </row>
    <row r="7751" spans="1:7" ht="14.25" hidden="1" customHeight="1" x14ac:dyDescent="0.45">
      <c r="A7751" t="str">
        <f>_xlfn.XLOOKUP(B7751,Ingot!$H$12:$H$119,Ingot!$G$12:$G$119,"")</f>
        <v>Cloth</v>
      </c>
      <c r="B7751" t="s">
        <v>15551</v>
      </c>
      <c r="C7751" t="s">
        <v>10</v>
      </c>
      <c r="D7751" t="s">
        <v>15580</v>
      </c>
      <c r="E7751" t="s">
        <v>15581</v>
      </c>
      <c r="G7751" s="1">
        <v>2.2000000000000002</v>
      </c>
    </row>
    <row r="7752" spans="1:7" ht="14.25" hidden="1" customHeight="1" x14ac:dyDescent="0.45">
      <c r="A7752" t="str">
        <f>_xlfn.XLOOKUP(B7752,Ingot!$H$12:$H$119,Ingot!$G$12:$G$119,"")</f>
        <v>Cloth</v>
      </c>
      <c r="B7752" t="s">
        <v>15551</v>
      </c>
      <c r="C7752" t="s">
        <v>10</v>
      </c>
      <c r="D7752" t="s">
        <v>15582</v>
      </c>
      <c r="E7752" t="s">
        <v>15583</v>
      </c>
      <c r="G7752" s="1">
        <v>1.1000000000000001</v>
      </c>
    </row>
    <row r="7753" spans="1:7" ht="14.25" hidden="1" customHeight="1" x14ac:dyDescent="0.45">
      <c r="A7753" t="str">
        <f>_xlfn.XLOOKUP(B7753,Ingot!$H$12:$H$119,Ingot!$G$12:$G$119,"")</f>
        <v>Cloth</v>
      </c>
      <c r="B7753" t="s">
        <v>15551</v>
      </c>
      <c r="C7753" t="s">
        <v>10</v>
      </c>
      <c r="D7753" t="s">
        <v>15584</v>
      </c>
      <c r="E7753" t="s">
        <v>15585</v>
      </c>
      <c r="G7753" s="1">
        <v>0.22</v>
      </c>
    </row>
    <row r="7754" spans="1:7" ht="14.25" hidden="1" customHeight="1" x14ac:dyDescent="0.45">
      <c r="A7754" t="str">
        <f>_xlfn.XLOOKUP(B7754,Ingot!$H$12:$H$119,Ingot!$G$12:$G$119,"")</f>
        <v>Cloth</v>
      </c>
      <c r="B7754" t="s">
        <v>15551</v>
      </c>
      <c r="C7754" t="s">
        <v>10</v>
      </c>
      <c r="D7754" t="s">
        <v>15586</v>
      </c>
      <c r="E7754" t="s">
        <v>15587</v>
      </c>
      <c r="G7754" s="1">
        <v>8.41</v>
      </c>
    </row>
    <row r="7755" spans="1:7" ht="14.25" hidden="1" customHeight="1" x14ac:dyDescent="0.45">
      <c r="A7755" t="str">
        <f>_xlfn.XLOOKUP(B7755,Ingot!$H$12:$H$119,Ingot!$G$12:$G$119,"")</f>
        <v>Cloth</v>
      </c>
      <c r="B7755" t="s">
        <v>15551</v>
      </c>
      <c r="C7755" t="s">
        <v>10</v>
      </c>
      <c r="D7755" t="s">
        <v>15588</v>
      </c>
      <c r="E7755" t="s">
        <v>15589</v>
      </c>
      <c r="G7755" s="1">
        <v>3.64</v>
      </c>
    </row>
    <row r="7756" spans="1:7" ht="14.25" hidden="1" customHeight="1" x14ac:dyDescent="0.45">
      <c r="A7756" t="str">
        <f>_xlfn.XLOOKUP(B7756,Ingot!$H$12:$H$119,Ingot!$G$12:$G$119,"")</f>
        <v>Cloth</v>
      </c>
      <c r="B7756" t="s">
        <v>15551</v>
      </c>
      <c r="C7756" t="s">
        <v>10</v>
      </c>
      <c r="D7756" t="s">
        <v>15590</v>
      </c>
      <c r="E7756" t="s">
        <v>15591</v>
      </c>
      <c r="G7756" s="1">
        <v>7.05</v>
      </c>
    </row>
    <row r="7757" spans="1:7" ht="14.25" hidden="1" customHeight="1" x14ac:dyDescent="0.45">
      <c r="A7757" t="str">
        <f>_xlfn.XLOOKUP(B7757,Ingot!$H$12:$H$119,Ingot!$G$12:$G$119,"")</f>
        <v>Cloth</v>
      </c>
      <c r="B7757" t="s">
        <v>15551</v>
      </c>
      <c r="C7757" t="s">
        <v>10</v>
      </c>
      <c r="D7757" t="s">
        <v>15592</v>
      </c>
      <c r="E7757" t="s">
        <v>15593</v>
      </c>
      <c r="G7757" s="1">
        <v>2.65</v>
      </c>
    </row>
    <row r="7758" spans="1:7" ht="14.25" hidden="1" customHeight="1" x14ac:dyDescent="0.45">
      <c r="A7758" t="str">
        <f>_xlfn.XLOOKUP(B7758,Ingot!$H$12:$H$119,Ingot!$G$12:$G$119,"")</f>
        <v>Cloth</v>
      </c>
      <c r="B7758" t="s">
        <v>15551</v>
      </c>
      <c r="C7758" t="s">
        <v>10</v>
      </c>
      <c r="D7758" t="s">
        <v>15594</v>
      </c>
      <c r="E7758" t="s">
        <v>15595</v>
      </c>
      <c r="G7758" s="1">
        <v>9</v>
      </c>
    </row>
    <row r="7759" spans="1:7" ht="14.25" hidden="1" customHeight="1" x14ac:dyDescent="0.45">
      <c r="A7759" t="str">
        <f>_xlfn.XLOOKUP(B7759,Ingot!$H$12:$H$119,Ingot!$G$12:$G$119,"")</f>
        <v>Cloth</v>
      </c>
      <c r="B7759" t="s">
        <v>15551</v>
      </c>
      <c r="C7759" t="s">
        <v>10</v>
      </c>
      <c r="D7759" t="s">
        <v>15596</v>
      </c>
      <c r="E7759" t="s">
        <v>15597</v>
      </c>
      <c r="G7759" s="1">
        <v>10.23</v>
      </c>
    </row>
    <row r="7760" spans="1:7" ht="14.25" hidden="1" customHeight="1" x14ac:dyDescent="0.45">
      <c r="A7760" t="str">
        <f>_xlfn.XLOOKUP(B7760,Ingot!$H$12:$H$119,Ingot!$G$12:$G$119,"")</f>
        <v>Cloth</v>
      </c>
      <c r="B7760" t="s">
        <v>15551</v>
      </c>
      <c r="C7760" t="s">
        <v>10</v>
      </c>
      <c r="D7760" t="s">
        <v>15598</v>
      </c>
      <c r="E7760" t="s">
        <v>15599</v>
      </c>
      <c r="G7760" s="1">
        <v>7.7</v>
      </c>
    </row>
    <row r="7761" spans="1:7" ht="14.25" hidden="1" customHeight="1" x14ac:dyDescent="0.45">
      <c r="A7761" t="str">
        <f>_xlfn.XLOOKUP(B7761,Ingot!$H$12:$H$119,Ingot!$G$12:$G$119,"")</f>
        <v>Cloth</v>
      </c>
      <c r="B7761" t="s">
        <v>15551</v>
      </c>
      <c r="C7761" t="s">
        <v>10</v>
      </c>
      <c r="D7761" t="s">
        <v>15600</v>
      </c>
      <c r="E7761" t="s">
        <v>15601</v>
      </c>
      <c r="G7761" s="1">
        <v>10.02</v>
      </c>
    </row>
    <row r="7762" spans="1:7" ht="14.25" hidden="1" customHeight="1" x14ac:dyDescent="0.45">
      <c r="A7762" t="str">
        <f>_xlfn.XLOOKUP(B7762,Ingot!$H$12:$H$119,Ingot!$G$12:$G$119,"")</f>
        <v>Cloth</v>
      </c>
      <c r="B7762" t="s">
        <v>15551</v>
      </c>
      <c r="C7762" t="s">
        <v>10</v>
      </c>
      <c r="D7762" t="s">
        <v>15602</v>
      </c>
      <c r="E7762" t="s">
        <v>15603</v>
      </c>
      <c r="G7762" s="1">
        <v>11.81</v>
      </c>
    </row>
    <row r="7763" spans="1:7" ht="14.25" hidden="1" customHeight="1" x14ac:dyDescent="0.45">
      <c r="A7763" t="str">
        <f>_xlfn.XLOOKUP(B7763,Ingot!$H$12:$H$119,Ingot!$G$12:$G$119,"")</f>
        <v>Cloth</v>
      </c>
      <c r="B7763" t="s">
        <v>15551</v>
      </c>
      <c r="C7763" t="s">
        <v>10</v>
      </c>
      <c r="D7763" t="s">
        <v>15604</v>
      </c>
      <c r="E7763" t="s">
        <v>15605</v>
      </c>
      <c r="G7763" s="1">
        <v>8.44</v>
      </c>
    </row>
    <row r="7764" spans="1:7" ht="14.25" hidden="1" customHeight="1" x14ac:dyDescent="0.45">
      <c r="A7764" t="str">
        <f>_xlfn.XLOOKUP(B7764,Ingot!$H$12:$H$119,Ingot!$G$12:$G$119,"")</f>
        <v>Cloth</v>
      </c>
      <c r="B7764" t="s">
        <v>15551</v>
      </c>
      <c r="C7764" t="s">
        <v>10</v>
      </c>
      <c r="D7764" t="s">
        <v>15606</v>
      </c>
      <c r="E7764" t="s">
        <v>15607</v>
      </c>
      <c r="G7764" s="1">
        <v>10.42</v>
      </c>
    </row>
    <row r="7765" spans="1:7" ht="14.25" hidden="1" customHeight="1" x14ac:dyDescent="0.45">
      <c r="A7765" t="str">
        <f>_xlfn.XLOOKUP(B7765,Ingot!$H$12:$H$119,Ingot!$G$12:$G$119,"")</f>
        <v>Cloth</v>
      </c>
      <c r="B7765" t="s">
        <v>15551</v>
      </c>
      <c r="C7765" t="s">
        <v>10</v>
      </c>
      <c r="D7765" t="s">
        <v>15608</v>
      </c>
      <c r="E7765" t="s">
        <v>15609</v>
      </c>
    </row>
    <row r="7766" spans="1:7" ht="14.25" hidden="1" customHeight="1" x14ac:dyDescent="0.45">
      <c r="A7766" t="str">
        <f>_xlfn.XLOOKUP(B7766,Ingot!$H$12:$H$119,Ingot!$G$12:$G$119,"")</f>
        <v>Cloth</v>
      </c>
      <c r="B7766" t="s">
        <v>15551</v>
      </c>
      <c r="C7766" t="s">
        <v>10</v>
      </c>
      <c r="D7766" t="s">
        <v>15610</v>
      </c>
      <c r="E7766" t="s">
        <v>15611</v>
      </c>
      <c r="G7766" s="1">
        <v>7.96</v>
      </c>
    </row>
    <row r="7767" spans="1:7" ht="14.25" hidden="1" customHeight="1" x14ac:dyDescent="0.45">
      <c r="A7767" t="str">
        <f>_xlfn.XLOOKUP(B7767,Ingot!$H$12:$H$119,Ingot!$G$12:$G$119,"")</f>
        <v>Cloth</v>
      </c>
      <c r="B7767" t="s">
        <v>15551</v>
      </c>
      <c r="C7767" t="s">
        <v>10</v>
      </c>
      <c r="D7767" t="s">
        <v>15612</v>
      </c>
      <c r="E7767" t="s">
        <v>15613</v>
      </c>
      <c r="G7767" s="1">
        <v>9.64</v>
      </c>
    </row>
    <row r="7768" spans="1:7" ht="14.25" hidden="1" customHeight="1" x14ac:dyDescent="0.45">
      <c r="A7768" t="str">
        <f>_xlfn.XLOOKUP(B7768,Ingot!$H$12:$H$119,Ingot!$G$12:$G$119,"")</f>
        <v>Cloth</v>
      </c>
      <c r="B7768" t="s">
        <v>15551</v>
      </c>
      <c r="C7768" t="s">
        <v>10</v>
      </c>
      <c r="D7768" t="s">
        <v>15614</v>
      </c>
      <c r="E7768" t="s">
        <v>15615</v>
      </c>
      <c r="G7768" s="1">
        <v>7.94</v>
      </c>
    </row>
    <row r="7769" spans="1:7" ht="14.25" hidden="1" customHeight="1" x14ac:dyDescent="0.45">
      <c r="A7769" t="str">
        <f>_xlfn.XLOOKUP(B7769,Ingot!$H$12:$H$119,Ingot!$G$12:$G$119,"")</f>
        <v>Cloth</v>
      </c>
      <c r="B7769" t="s">
        <v>15551</v>
      </c>
      <c r="C7769" t="s">
        <v>10</v>
      </c>
      <c r="D7769" t="s">
        <v>15616</v>
      </c>
      <c r="E7769" t="s">
        <v>15617</v>
      </c>
      <c r="G7769" s="1">
        <v>8.66</v>
      </c>
    </row>
    <row r="7770" spans="1:7" ht="14.25" hidden="1" customHeight="1" x14ac:dyDescent="0.45">
      <c r="A7770" t="str">
        <f>_xlfn.XLOOKUP(B7770,Ingot!$H$12:$H$119,Ingot!$G$12:$G$119,"")</f>
        <v>Cloth</v>
      </c>
      <c r="B7770" t="s">
        <v>15551</v>
      </c>
      <c r="C7770" t="s">
        <v>10</v>
      </c>
      <c r="D7770" t="s">
        <v>15618</v>
      </c>
      <c r="E7770" t="s">
        <v>15619</v>
      </c>
    </row>
    <row r="7771" spans="1:7" ht="14.25" hidden="1" customHeight="1" x14ac:dyDescent="0.45">
      <c r="A7771" t="str">
        <f>_xlfn.XLOOKUP(B7771,Ingot!$H$12:$H$119,Ingot!$G$12:$G$119,"")</f>
        <v>Cloth</v>
      </c>
      <c r="B7771" t="s">
        <v>15551</v>
      </c>
      <c r="C7771" t="s">
        <v>10</v>
      </c>
      <c r="D7771" t="s">
        <v>15620</v>
      </c>
      <c r="E7771" t="s">
        <v>15621</v>
      </c>
      <c r="G7771" s="1">
        <v>2.65</v>
      </c>
    </row>
    <row r="7772" spans="1:7" ht="14.25" hidden="1" customHeight="1" x14ac:dyDescent="0.45">
      <c r="A7772" t="str">
        <f>_xlfn.XLOOKUP(B7772,Ingot!$H$12:$H$119,Ingot!$G$12:$G$119,"")</f>
        <v>Cloth</v>
      </c>
      <c r="B7772" t="s">
        <v>15551</v>
      </c>
      <c r="C7772" t="s">
        <v>10</v>
      </c>
      <c r="D7772" t="s">
        <v>15622</v>
      </c>
      <c r="E7772" t="s">
        <v>15623</v>
      </c>
    </row>
    <row r="7773" spans="1:7" ht="14.25" hidden="1" customHeight="1" x14ac:dyDescent="0.45">
      <c r="A7773" t="str">
        <f>_xlfn.XLOOKUP(B7773,Ingot!$H$12:$H$119,Ingot!$G$12:$G$119,"")</f>
        <v>Cloth</v>
      </c>
      <c r="B7773" t="s">
        <v>15551</v>
      </c>
      <c r="C7773" t="s">
        <v>10</v>
      </c>
      <c r="D7773" t="s">
        <v>15624</v>
      </c>
      <c r="E7773" t="s">
        <v>15625</v>
      </c>
      <c r="G7773" s="1">
        <v>12.64</v>
      </c>
    </row>
    <row r="7774" spans="1:7" ht="14.25" hidden="1" customHeight="1" x14ac:dyDescent="0.45">
      <c r="A7774" t="str">
        <f>_xlfn.XLOOKUP(B7774,Ingot!$H$12:$H$119,Ingot!$G$12:$G$119,"")</f>
        <v>Cloth</v>
      </c>
      <c r="B7774" t="s">
        <v>15551</v>
      </c>
      <c r="C7774" t="s">
        <v>10</v>
      </c>
      <c r="D7774" t="s">
        <v>15626</v>
      </c>
      <c r="E7774" t="s">
        <v>15627</v>
      </c>
      <c r="G7774" s="1">
        <v>22.67</v>
      </c>
    </row>
    <row r="7775" spans="1:7" ht="14.25" hidden="1" customHeight="1" x14ac:dyDescent="0.45">
      <c r="A7775" t="str">
        <f>_xlfn.XLOOKUP(B7775,Ingot!$H$12:$H$119,Ingot!$G$12:$G$119,"")</f>
        <v>Cloth</v>
      </c>
      <c r="B7775" t="s">
        <v>15551</v>
      </c>
      <c r="C7775" t="s">
        <v>10</v>
      </c>
      <c r="D7775" t="s">
        <v>15628</v>
      </c>
      <c r="E7775" t="s">
        <v>15629</v>
      </c>
      <c r="G7775" s="1">
        <v>8.3800000000000008</v>
      </c>
    </row>
    <row r="7776" spans="1:7" ht="14.25" hidden="1" customHeight="1" x14ac:dyDescent="0.45">
      <c r="A7776" t="str">
        <f>_xlfn.XLOOKUP(B7776,Ingot!$H$12:$H$119,Ingot!$G$12:$G$119,"")</f>
        <v>Cloth</v>
      </c>
      <c r="B7776" t="s">
        <v>15551</v>
      </c>
      <c r="C7776" t="s">
        <v>10</v>
      </c>
      <c r="D7776" t="s">
        <v>15630</v>
      </c>
      <c r="E7776" t="s">
        <v>15631</v>
      </c>
      <c r="G7776" s="1">
        <v>2.2000000000000002</v>
      </c>
    </row>
    <row r="7777" spans="1:7" ht="14.25" hidden="1" customHeight="1" x14ac:dyDescent="0.45">
      <c r="A7777" t="str">
        <f>_xlfn.XLOOKUP(B7777,Ingot!$H$12:$H$119,Ingot!$G$12:$G$119,"")</f>
        <v>Cloth</v>
      </c>
      <c r="B7777" t="s">
        <v>15551</v>
      </c>
      <c r="C7777" t="s">
        <v>10</v>
      </c>
      <c r="D7777" t="s">
        <v>15632</v>
      </c>
      <c r="E7777" t="s">
        <v>15633</v>
      </c>
      <c r="G7777" s="1">
        <v>3.09</v>
      </c>
    </row>
    <row r="7778" spans="1:7" ht="14.25" hidden="1" customHeight="1" x14ac:dyDescent="0.45">
      <c r="A7778" t="str">
        <f>_xlfn.XLOOKUP(B7778,Ingot!$H$12:$H$119,Ingot!$G$12:$G$119,"")</f>
        <v>Cloth</v>
      </c>
      <c r="B7778" t="s">
        <v>15551</v>
      </c>
      <c r="C7778" t="s">
        <v>10</v>
      </c>
      <c r="D7778" t="s">
        <v>15634</v>
      </c>
      <c r="E7778" t="s">
        <v>15635</v>
      </c>
      <c r="G7778" s="1">
        <v>2.2999999999999998</v>
      </c>
    </row>
    <row r="7779" spans="1:7" ht="14.25" hidden="1" customHeight="1" x14ac:dyDescent="0.45">
      <c r="A7779" t="str">
        <f>_xlfn.XLOOKUP(B7779,Ingot!$H$12:$H$119,Ingot!$G$12:$G$119,"")</f>
        <v>Cloth</v>
      </c>
      <c r="B7779" t="s">
        <v>15551</v>
      </c>
      <c r="C7779" t="s">
        <v>10</v>
      </c>
      <c r="D7779" t="s">
        <v>15636</v>
      </c>
      <c r="E7779" t="s">
        <v>15637</v>
      </c>
      <c r="G7779" s="1">
        <v>4.88</v>
      </c>
    </row>
    <row r="7780" spans="1:7" ht="14.25" hidden="1" customHeight="1" x14ac:dyDescent="0.45">
      <c r="A7780" t="str">
        <f>_xlfn.XLOOKUP(B7780,Ingot!$H$12:$H$119,Ingot!$G$12:$G$119,"")</f>
        <v>Cloth</v>
      </c>
      <c r="B7780" t="s">
        <v>15551</v>
      </c>
      <c r="C7780" t="s">
        <v>10</v>
      </c>
      <c r="D7780" t="s">
        <v>15638</v>
      </c>
      <c r="E7780" t="s">
        <v>15639</v>
      </c>
      <c r="G7780" s="1">
        <v>8.43</v>
      </c>
    </row>
    <row r="7781" spans="1:7" ht="14.25" hidden="1" customHeight="1" x14ac:dyDescent="0.45">
      <c r="A7781" t="str">
        <f>_xlfn.XLOOKUP(B7781,Ingot!$H$12:$H$119,Ingot!$G$12:$G$119,"")</f>
        <v>Cloth</v>
      </c>
      <c r="B7781" t="s">
        <v>15551</v>
      </c>
      <c r="C7781" t="s">
        <v>10</v>
      </c>
      <c r="D7781" t="s">
        <v>15640</v>
      </c>
      <c r="E7781" t="s">
        <v>15641</v>
      </c>
      <c r="G7781" s="1">
        <v>13.07</v>
      </c>
    </row>
    <row r="7782" spans="1:7" ht="14.25" hidden="1" customHeight="1" x14ac:dyDescent="0.45">
      <c r="A7782" t="str">
        <f>_xlfn.XLOOKUP(B7782,Ingot!$H$12:$H$119,Ingot!$G$12:$G$119,"")</f>
        <v>Cloth</v>
      </c>
      <c r="B7782" t="s">
        <v>15551</v>
      </c>
      <c r="C7782" t="s">
        <v>10</v>
      </c>
      <c r="D7782" t="s">
        <v>15642</v>
      </c>
      <c r="E7782" t="s">
        <v>15643</v>
      </c>
    </row>
    <row r="7783" spans="1:7" ht="14.25" hidden="1" customHeight="1" x14ac:dyDescent="0.45">
      <c r="A7783" t="str">
        <f>_xlfn.XLOOKUP(B7783,Ingot!$H$12:$H$119,Ingot!$G$12:$G$119,"")</f>
        <v>Cloth</v>
      </c>
      <c r="B7783" t="s">
        <v>15551</v>
      </c>
      <c r="C7783" t="s">
        <v>10</v>
      </c>
      <c r="D7783" t="s">
        <v>15644</v>
      </c>
      <c r="E7783" t="s">
        <v>15645</v>
      </c>
    </row>
    <row r="7784" spans="1:7" ht="14.25" hidden="1" customHeight="1" x14ac:dyDescent="0.45">
      <c r="A7784" t="str">
        <f>_xlfn.XLOOKUP(B7784,Ingot!$H$12:$H$119,Ingot!$G$12:$G$119,"")</f>
        <v>Cloth</v>
      </c>
      <c r="B7784" t="s">
        <v>15551</v>
      </c>
      <c r="C7784" t="s">
        <v>10</v>
      </c>
      <c r="D7784" t="s">
        <v>15646</v>
      </c>
      <c r="E7784" t="s">
        <v>15647</v>
      </c>
      <c r="G7784" s="1">
        <v>6.8</v>
      </c>
    </row>
    <row r="7785" spans="1:7" ht="14.25" hidden="1" customHeight="1" x14ac:dyDescent="0.45">
      <c r="A7785" t="str">
        <f>_xlfn.XLOOKUP(B7785,Ingot!$H$12:$H$119,Ingot!$G$12:$G$119,"")</f>
        <v>Cloth</v>
      </c>
      <c r="B7785" t="s">
        <v>15551</v>
      </c>
      <c r="C7785" t="s">
        <v>10</v>
      </c>
      <c r="D7785" t="s">
        <v>15648</v>
      </c>
      <c r="E7785" t="s">
        <v>15649</v>
      </c>
      <c r="G7785" s="1">
        <v>6.88</v>
      </c>
    </row>
    <row r="7786" spans="1:7" ht="14.25" hidden="1" customHeight="1" x14ac:dyDescent="0.45">
      <c r="A7786" t="str">
        <f>_xlfn.XLOOKUP(B7786,Ingot!$H$12:$H$119,Ingot!$G$12:$G$119,"")</f>
        <v>Cloth</v>
      </c>
      <c r="B7786" t="s">
        <v>15551</v>
      </c>
      <c r="C7786" t="s">
        <v>10</v>
      </c>
      <c r="D7786" t="s">
        <v>15650</v>
      </c>
      <c r="E7786" t="s">
        <v>15651</v>
      </c>
      <c r="G7786" s="1">
        <v>5.5</v>
      </c>
    </row>
    <row r="7787" spans="1:7" ht="14.25" hidden="1" customHeight="1" x14ac:dyDescent="0.45">
      <c r="A7787" t="str">
        <f>_xlfn.XLOOKUP(B7787,Ingot!$H$12:$H$119,Ingot!$G$12:$G$119,"")</f>
        <v>Cloth</v>
      </c>
      <c r="B7787" t="s">
        <v>15551</v>
      </c>
      <c r="C7787" t="s">
        <v>10</v>
      </c>
      <c r="D7787" t="s">
        <v>15652</v>
      </c>
      <c r="E7787" t="s">
        <v>15653</v>
      </c>
      <c r="G7787" s="1">
        <v>2.4300000000000002</v>
      </c>
    </row>
    <row r="7788" spans="1:7" ht="14.25" hidden="1" customHeight="1" x14ac:dyDescent="0.45">
      <c r="A7788" t="str">
        <f>_xlfn.XLOOKUP(B7788,Ingot!$H$12:$H$119,Ingot!$G$12:$G$119,"")</f>
        <v>Cloth</v>
      </c>
      <c r="B7788" t="s">
        <v>15551</v>
      </c>
      <c r="C7788" t="s">
        <v>10</v>
      </c>
      <c r="D7788" t="s">
        <v>15654</v>
      </c>
      <c r="E7788" t="s">
        <v>15655</v>
      </c>
      <c r="G7788" s="1">
        <v>6.96</v>
      </c>
    </row>
    <row r="7789" spans="1:7" ht="14.25" hidden="1" customHeight="1" x14ac:dyDescent="0.45">
      <c r="A7789" t="str">
        <f>_xlfn.XLOOKUP(B7789,Ingot!$H$12:$H$119,Ingot!$G$12:$G$119,"")</f>
        <v>Cloth</v>
      </c>
      <c r="B7789" t="s">
        <v>15551</v>
      </c>
      <c r="C7789" t="s">
        <v>10</v>
      </c>
      <c r="D7789" t="s">
        <v>15656</v>
      </c>
      <c r="E7789" t="s">
        <v>15657</v>
      </c>
      <c r="G7789" s="1">
        <v>6.32</v>
      </c>
    </row>
    <row r="7790" spans="1:7" ht="14.25" hidden="1" customHeight="1" x14ac:dyDescent="0.45">
      <c r="A7790" t="str">
        <f>_xlfn.XLOOKUP(B7790,Ingot!$H$12:$H$119,Ingot!$G$12:$G$119,"")</f>
        <v>Cloth</v>
      </c>
      <c r="B7790" t="s">
        <v>15551</v>
      </c>
      <c r="C7790" t="s">
        <v>10</v>
      </c>
      <c r="D7790" t="s">
        <v>15658</v>
      </c>
      <c r="E7790" t="s">
        <v>15659</v>
      </c>
      <c r="G7790" s="1">
        <v>6.88</v>
      </c>
    </row>
    <row r="7791" spans="1:7" ht="14.25" hidden="1" customHeight="1" x14ac:dyDescent="0.45">
      <c r="A7791" t="str">
        <f>_xlfn.XLOOKUP(B7791,Ingot!$H$12:$H$119,Ingot!$G$12:$G$119,"")</f>
        <v>Cloth</v>
      </c>
      <c r="B7791" t="s">
        <v>15551</v>
      </c>
      <c r="C7791" t="s">
        <v>10</v>
      </c>
      <c r="D7791" t="s">
        <v>15660</v>
      </c>
      <c r="E7791" t="s">
        <v>15661</v>
      </c>
      <c r="G7791" s="1">
        <v>2.44</v>
      </c>
    </row>
    <row r="7792" spans="1:7" ht="14.25" hidden="1" customHeight="1" x14ac:dyDescent="0.45">
      <c r="A7792" t="str">
        <f>_xlfn.XLOOKUP(B7792,Ingot!$H$12:$H$119,Ingot!$G$12:$G$119,"")</f>
        <v>Cloth</v>
      </c>
      <c r="B7792" t="s">
        <v>15551</v>
      </c>
      <c r="C7792" t="s">
        <v>10</v>
      </c>
      <c r="D7792" t="s">
        <v>15662</v>
      </c>
      <c r="E7792" t="s">
        <v>15663</v>
      </c>
    </row>
    <row r="7793" spans="1:7" ht="14.25" hidden="1" customHeight="1" x14ac:dyDescent="0.45">
      <c r="A7793" t="str">
        <f>_xlfn.XLOOKUP(B7793,Ingot!$H$12:$H$119,Ingot!$G$12:$G$119,"")</f>
        <v>Cloth</v>
      </c>
      <c r="B7793" t="s">
        <v>15551</v>
      </c>
      <c r="C7793" t="s">
        <v>10</v>
      </c>
      <c r="D7793" t="s">
        <v>15664</v>
      </c>
      <c r="E7793" t="s">
        <v>15665</v>
      </c>
    </row>
    <row r="7794" spans="1:7" ht="14.25" hidden="1" customHeight="1" x14ac:dyDescent="0.45">
      <c r="A7794" t="str">
        <f>_xlfn.XLOOKUP(B7794,Ingot!$H$12:$H$119,Ingot!$G$12:$G$119,"")</f>
        <v>Cloth</v>
      </c>
      <c r="B7794" t="s">
        <v>15551</v>
      </c>
      <c r="C7794" t="s">
        <v>10</v>
      </c>
      <c r="D7794" t="s">
        <v>15666</v>
      </c>
      <c r="E7794" t="s">
        <v>15667</v>
      </c>
      <c r="G7794" s="1">
        <v>3.11</v>
      </c>
    </row>
    <row r="7795" spans="1:7" ht="14.25" hidden="1" customHeight="1" x14ac:dyDescent="0.45">
      <c r="A7795" t="str">
        <f>_xlfn.XLOOKUP(B7795,Ingot!$H$12:$H$119,Ingot!$G$12:$G$119,"")</f>
        <v>Cloth</v>
      </c>
      <c r="B7795" t="s">
        <v>15551</v>
      </c>
      <c r="C7795" t="s">
        <v>10</v>
      </c>
      <c r="D7795" t="s">
        <v>15668</v>
      </c>
      <c r="E7795" t="s">
        <v>15669</v>
      </c>
      <c r="G7795" s="1">
        <v>2.44</v>
      </c>
    </row>
    <row r="7796" spans="1:7" ht="14.25" hidden="1" customHeight="1" x14ac:dyDescent="0.45">
      <c r="A7796" t="str">
        <f>_xlfn.XLOOKUP(B7796,Ingot!$H$12:$H$119,Ingot!$G$12:$G$119,"")</f>
        <v>Cloth</v>
      </c>
      <c r="B7796" t="s">
        <v>15551</v>
      </c>
      <c r="C7796" t="s">
        <v>10</v>
      </c>
      <c r="D7796" t="s">
        <v>15670</v>
      </c>
      <c r="E7796" t="s">
        <v>15671</v>
      </c>
      <c r="G7796" s="1">
        <v>8.61</v>
      </c>
    </row>
    <row r="7797" spans="1:7" ht="14.25" hidden="1" customHeight="1" x14ac:dyDescent="0.45">
      <c r="A7797" t="str">
        <f>_xlfn.XLOOKUP(B7797,Ingot!$H$12:$H$119,Ingot!$G$12:$G$119,"")</f>
        <v>Cloth</v>
      </c>
      <c r="B7797" t="s">
        <v>15551</v>
      </c>
      <c r="C7797" t="s">
        <v>10</v>
      </c>
      <c r="D7797" t="s">
        <v>15672</v>
      </c>
      <c r="E7797" t="s">
        <v>15673</v>
      </c>
    </row>
    <row r="7798" spans="1:7" ht="14.25" hidden="1" customHeight="1" x14ac:dyDescent="0.45">
      <c r="A7798" t="str">
        <f>_xlfn.XLOOKUP(B7798,Ingot!$H$12:$H$119,Ingot!$G$12:$G$119,"")</f>
        <v>Cloth</v>
      </c>
      <c r="B7798" t="s">
        <v>15551</v>
      </c>
      <c r="C7798" t="s">
        <v>10</v>
      </c>
      <c r="D7798" t="s">
        <v>15674</v>
      </c>
      <c r="E7798" t="s">
        <v>15675</v>
      </c>
      <c r="G7798" s="1">
        <v>3.21</v>
      </c>
    </row>
    <row r="7799" spans="1:7" ht="14.25" hidden="1" customHeight="1" x14ac:dyDescent="0.45">
      <c r="A7799" t="str">
        <f>_xlfn.XLOOKUP(B7799,Ingot!$H$12:$H$119,Ingot!$G$12:$G$119,"")</f>
        <v>Cloth</v>
      </c>
      <c r="B7799" t="s">
        <v>15551</v>
      </c>
      <c r="C7799" t="s">
        <v>10</v>
      </c>
      <c r="D7799" t="s">
        <v>15676</v>
      </c>
      <c r="E7799" t="s">
        <v>15677</v>
      </c>
      <c r="G7799" s="1">
        <v>2.77</v>
      </c>
    </row>
    <row r="7800" spans="1:7" ht="14.25" hidden="1" customHeight="1" x14ac:dyDescent="0.45">
      <c r="A7800" t="str">
        <f>_xlfn.XLOOKUP(B7800,Ingot!$H$12:$H$119,Ingot!$G$12:$G$119,"")</f>
        <v>Cloth</v>
      </c>
      <c r="B7800" t="s">
        <v>15551</v>
      </c>
      <c r="C7800" t="s">
        <v>10</v>
      </c>
      <c r="D7800" t="s">
        <v>15678</v>
      </c>
      <c r="E7800" t="s">
        <v>15679</v>
      </c>
      <c r="G7800" s="1">
        <v>4.8899999999999997</v>
      </c>
    </row>
    <row r="7801" spans="1:7" ht="14.25" hidden="1" customHeight="1" x14ac:dyDescent="0.45">
      <c r="A7801" t="str">
        <f>_xlfn.XLOOKUP(B7801,Ingot!$H$12:$H$119,Ingot!$G$12:$G$119,"")</f>
        <v>Cloth</v>
      </c>
      <c r="B7801" t="s">
        <v>15551</v>
      </c>
      <c r="C7801" t="s">
        <v>10</v>
      </c>
      <c r="D7801" t="s">
        <v>15680</v>
      </c>
      <c r="E7801" t="s">
        <v>15681</v>
      </c>
      <c r="G7801" s="1">
        <v>1.76</v>
      </c>
    </row>
    <row r="7802" spans="1:7" ht="14.25" hidden="1" customHeight="1" x14ac:dyDescent="0.45">
      <c r="A7802" t="str">
        <f>_xlfn.XLOOKUP(B7802,Ingot!$H$12:$H$119,Ingot!$G$12:$G$119,"")</f>
        <v>Cloth</v>
      </c>
      <c r="B7802" t="s">
        <v>15551</v>
      </c>
      <c r="C7802" t="s">
        <v>10</v>
      </c>
      <c r="D7802" t="s">
        <v>15682</v>
      </c>
      <c r="E7802" t="s">
        <v>15683</v>
      </c>
    </row>
    <row r="7803" spans="1:7" ht="14.25" hidden="1" customHeight="1" x14ac:dyDescent="0.45">
      <c r="A7803" t="str">
        <f>_xlfn.XLOOKUP(B7803,Ingot!$H$12:$H$119,Ingot!$G$12:$G$119,"")</f>
        <v>Cloth</v>
      </c>
      <c r="B7803" t="s">
        <v>15551</v>
      </c>
      <c r="C7803" t="s">
        <v>10</v>
      </c>
      <c r="D7803" t="s">
        <v>15684</v>
      </c>
      <c r="E7803" t="s">
        <v>15685</v>
      </c>
      <c r="G7803" s="1">
        <v>8.57</v>
      </c>
    </row>
    <row r="7804" spans="1:7" ht="14.25" hidden="1" customHeight="1" x14ac:dyDescent="0.45">
      <c r="A7804" t="str">
        <f>_xlfn.XLOOKUP(B7804,Ingot!$H$12:$H$119,Ingot!$G$12:$G$119,"")</f>
        <v>Cloth</v>
      </c>
      <c r="B7804" t="s">
        <v>15551</v>
      </c>
      <c r="C7804" t="s">
        <v>10</v>
      </c>
      <c r="D7804" t="s">
        <v>15686</v>
      </c>
      <c r="E7804" t="s">
        <v>15687</v>
      </c>
    </row>
    <row r="7805" spans="1:7" ht="14.25" hidden="1" customHeight="1" x14ac:dyDescent="0.45">
      <c r="A7805" t="str">
        <f>_xlfn.XLOOKUP(B7805,Ingot!$H$12:$H$119,Ingot!$G$12:$G$119,"")</f>
        <v>Cloth</v>
      </c>
      <c r="B7805" t="s">
        <v>15551</v>
      </c>
      <c r="C7805" t="s">
        <v>10</v>
      </c>
      <c r="D7805" t="s">
        <v>15688</v>
      </c>
      <c r="E7805" t="s">
        <v>15689</v>
      </c>
      <c r="G7805" s="1">
        <v>3.56</v>
      </c>
    </row>
    <row r="7806" spans="1:7" ht="14.25" hidden="1" customHeight="1" x14ac:dyDescent="0.45">
      <c r="A7806" t="str">
        <f>_xlfn.XLOOKUP(B7806,Ingot!$H$12:$H$119,Ingot!$G$12:$G$119,"")</f>
        <v>Cloth</v>
      </c>
      <c r="B7806" t="s">
        <v>15551</v>
      </c>
      <c r="C7806" t="s">
        <v>10</v>
      </c>
      <c r="D7806" t="s">
        <v>15690</v>
      </c>
      <c r="E7806" t="s">
        <v>15691</v>
      </c>
      <c r="G7806" s="1">
        <v>8.91</v>
      </c>
    </row>
    <row r="7807" spans="1:7" ht="14.25" hidden="1" customHeight="1" x14ac:dyDescent="0.45">
      <c r="A7807" t="str">
        <f>_xlfn.XLOOKUP(B7807,Ingot!$H$12:$H$119,Ingot!$G$12:$G$119,"")</f>
        <v>Cloth</v>
      </c>
      <c r="B7807" t="s">
        <v>15551</v>
      </c>
      <c r="C7807" t="s">
        <v>10</v>
      </c>
      <c r="D7807" t="s">
        <v>15692</v>
      </c>
      <c r="E7807" t="s">
        <v>15693</v>
      </c>
      <c r="G7807" s="1">
        <v>11.02</v>
      </c>
    </row>
    <row r="7808" spans="1:7" ht="14.25" hidden="1" customHeight="1" x14ac:dyDescent="0.45">
      <c r="A7808" t="str">
        <f>_xlfn.XLOOKUP(B7808,Ingot!$H$12:$H$119,Ingot!$G$12:$G$119,"")</f>
        <v>Cloth</v>
      </c>
      <c r="B7808" t="s">
        <v>15551</v>
      </c>
      <c r="C7808" t="s">
        <v>10</v>
      </c>
      <c r="D7808" t="s">
        <v>15694</v>
      </c>
      <c r="E7808" t="s">
        <v>15695</v>
      </c>
      <c r="G7808" s="1">
        <v>5.12</v>
      </c>
    </row>
    <row r="7809" spans="1:7" ht="14.25" hidden="1" customHeight="1" x14ac:dyDescent="0.45">
      <c r="A7809" t="str">
        <f>_xlfn.XLOOKUP(B7809,Ingot!$H$12:$H$119,Ingot!$G$12:$G$119,"")</f>
        <v>Cloth</v>
      </c>
      <c r="B7809" t="s">
        <v>15551</v>
      </c>
      <c r="C7809" t="s">
        <v>10</v>
      </c>
      <c r="D7809" t="s">
        <v>15696</v>
      </c>
      <c r="E7809" t="s">
        <v>15697</v>
      </c>
      <c r="G7809" s="1">
        <v>4.41</v>
      </c>
    </row>
    <row r="7810" spans="1:7" ht="14.25" hidden="1" customHeight="1" x14ac:dyDescent="0.45">
      <c r="A7810" t="str">
        <f>_xlfn.XLOOKUP(B7810,Ingot!$H$12:$H$119,Ingot!$G$12:$G$119,"")</f>
        <v>Cloth</v>
      </c>
      <c r="B7810" t="s">
        <v>15551</v>
      </c>
      <c r="C7810" t="s">
        <v>157</v>
      </c>
      <c r="D7810" t="s">
        <v>15698</v>
      </c>
      <c r="E7810" t="s">
        <v>15699</v>
      </c>
      <c r="F7810" t="s">
        <v>180</v>
      </c>
      <c r="G7810" s="1">
        <v>14.4</v>
      </c>
    </row>
    <row r="7811" spans="1:7" ht="14.25" hidden="1" customHeight="1" x14ac:dyDescent="0.45">
      <c r="A7811" t="str">
        <f>_xlfn.XLOOKUP(B7811,Ingot!$H$12:$H$119,Ingot!$G$12:$G$119,"")</f>
        <v>Cloth</v>
      </c>
      <c r="B7811" t="s">
        <v>15551</v>
      </c>
      <c r="C7811" t="s">
        <v>157</v>
      </c>
      <c r="D7811" t="s">
        <v>15700</v>
      </c>
      <c r="E7811" t="s">
        <v>15701</v>
      </c>
      <c r="F7811" t="s">
        <v>180</v>
      </c>
      <c r="G7811" s="1">
        <v>5</v>
      </c>
    </row>
    <row r="7812" spans="1:7" ht="14.25" hidden="1" customHeight="1" x14ac:dyDescent="0.45">
      <c r="A7812" t="str">
        <f>_xlfn.XLOOKUP(B7812,Ingot!$H$12:$H$119,Ingot!$G$12:$G$119,"")</f>
        <v>Cloth</v>
      </c>
      <c r="B7812" t="s">
        <v>15551</v>
      </c>
      <c r="C7812" t="s">
        <v>157</v>
      </c>
      <c r="D7812" t="s">
        <v>15702</v>
      </c>
      <c r="E7812" t="s">
        <v>15703</v>
      </c>
      <c r="F7812" t="s">
        <v>180</v>
      </c>
      <c r="G7812" s="1">
        <v>5</v>
      </c>
    </row>
    <row r="7813" spans="1:7" ht="14.25" hidden="1" customHeight="1" x14ac:dyDescent="0.45">
      <c r="A7813" t="str">
        <f>_xlfn.XLOOKUP(B7813,Ingot!$H$12:$H$119,Ingot!$G$12:$G$119,"")</f>
        <v>Cloth</v>
      </c>
      <c r="B7813" t="s">
        <v>15551</v>
      </c>
      <c r="C7813" t="s">
        <v>157</v>
      </c>
      <c r="D7813" t="s">
        <v>15704</v>
      </c>
      <c r="E7813" t="s">
        <v>15705</v>
      </c>
      <c r="F7813" t="s">
        <v>180</v>
      </c>
      <c r="G7813" s="1">
        <v>5</v>
      </c>
    </row>
    <row r="7814" spans="1:7" ht="14.25" hidden="1" customHeight="1" x14ac:dyDescent="0.45">
      <c r="A7814" t="str">
        <f>_xlfn.XLOOKUP(B7814,Ingot!$H$12:$H$119,Ingot!$G$12:$G$119,"")</f>
        <v>Cloth</v>
      </c>
      <c r="B7814" t="s">
        <v>15551</v>
      </c>
      <c r="C7814" t="s">
        <v>157</v>
      </c>
      <c r="D7814" t="s">
        <v>15706</v>
      </c>
      <c r="E7814" t="s">
        <v>15707</v>
      </c>
      <c r="F7814" t="s">
        <v>180</v>
      </c>
      <c r="G7814" s="1">
        <v>10</v>
      </c>
    </row>
    <row r="7815" spans="1:7" ht="14.25" hidden="1" customHeight="1" x14ac:dyDescent="0.45">
      <c r="A7815" t="str">
        <f>_xlfn.XLOOKUP(B7815,Ingot!$H$12:$H$119,Ingot!$G$12:$G$119,"")</f>
        <v>Cloth</v>
      </c>
      <c r="B7815" t="s">
        <v>15551</v>
      </c>
      <c r="C7815" t="s">
        <v>157</v>
      </c>
      <c r="D7815" t="s">
        <v>15708</v>
      </c>
      <c r="E7815" t="s">
        <v>15709</v>
      </c>
      <c r="F7815" t="s">
        <v>180</v>
      </c>
      <c r="G7815" s="1">
        <v>12.8</v>
      </c>
    </row>
    <row r="7816" spans="1:7" ht="14.25" hidden="1" customHeight="1" x14ac:dyDescent="0.45">
      <c r="A7816" t="str">
        <f>_xlfn.XLOOKUP(B7816,Ingot!$H$12:$H$119,Ingot!$G$12:$G$119,"")</f>
        <v>Cloth</v>
      </c>
      <c r="B7816" t="s">
        <v>15551</v>
      </c>
      <c r="C7816" t="s">
        <v>157</v>
      </c>
      <c r="D7816" t="s">
        <v>15710</v>
      </c>
      <c r="E7816" t="s">
        <v>15711</v>
      </c>
      <c r="F7816" t="s">
        <v>180</v>
      </c>
      <c r="G7816" s="1">
        <v>5</v>
      </c>
    </row>
    <row r="7817" spans="1:7" ht="14.25" hidden="1" customHeight="1" x14ac:dyDescent="0.45">
      <c r="A7817" t="str">
        <f>_xlfn.XLOOKUP(B7817,Ingot!$H$12:$H$119,Ingot!$G$12:$G$119,"")</f>
        <v>Cloth</v>
      </c>
      <c r="B7817" t="s">
        <v>15551</v>
      </c>
      <c r="C7817" t="s">
        <v>157</v>
      </c>
      <c r="D7817" t="s">
        <v>15712</v>
      </c>
      <c r="E7817" t="s">
        <v>15713</v>
      </c>
      <c r="F7817" t="s">
        <v>180</v>
      </c>
      <c r="G7817" s="1">
        <v>5</v>
      </c>
    </row>
    <row r="7818" spans="1:7" ht="14.25" hidden="1" customHeight="1" x14ac:dyDescent="0.45">
      <c r="A7818" t="str">
        <f>_xlfn.XLOOKUP(B7818,Ingot!$H$12:$H$119,Ingot!$G$12:$G$119,"")</f>
        <v>Cloth</v>
      </c>
      <c r="B7818" t="s">
        <v>15551</v>
      </c>
      <c r="C7818" t="s">
        <v>157</v>
      </c>
      <c r="D7818" t="s">
        <v>15714</v>
      </c>
      <c r="E7818" t="s">
        <v>15715</v>
      </c>
      <c r="F7818" t="s">
        <v>180</v>
      </c>
      <c r="G7818" s="1">
        <v>5</v>
      </c>
    </row>
    <row r="7819" spans="1:7" ht="14.25" hidden="1" customHeight="1" x14ac:dyDescent="0.45">
      <c r="A7819" t="str">
        <f>_xlfn.XLOOKUP(B7819,Ingot!$H$12:$H$119,Ingot!$G$12:$G$119,"")</f>
        <v>Cloth</v>
      </c>
      <c r="B7819" t="s">
        <v>15551</v>
      </c>
      <c r="C7819" t="s">
        <v>157</v>
      </c>
      <c r="D7819" t="s">
        <v>15716</v>
      </c>
      <c r="E7819" t="s">
        <v>15717</v>
      </c>
      <c r="F7819" t="s">
        <v>180</v>
      </c>
      <c r="G7819" s="1">
        <v>10</v>
      </c>
    </row>
    <row r="7820" spans="1:7" ht="14.25" hidden="1" customHeight="1" x14ac:dyDescent="0.45">
      <c r="A7820" t="str">
        <f>_xlfn.XLOOKUP(B7820,Ingot!$H$12:$H$119,Ingot!$G$12:$G$119,"")</f>
        <v>Cloth</v>
      </c>
      <c r="B7820" t="s">
        <v>15551</v>
      </c>
      <c r="C7820" t="s">
        <v>157</v>
      </c>
      <c r="D7820" t="s">
        <v>15718</v>
      </c>
      <c r="E7820" t="s">
        <v>15719</v>
      </c>
      <c r="G7820" s="1">
        <v>12.4</v>
      </c>
    </row>
    <row r="7821" spans="1:7" ht="14.25" hidden="1" customHeight="1" x14ac:dyDescent="0.45">
      <c r="A7821" t="str">
        <f>_xlfn.XLOOKUP(B7821,Ingot!$H$12:$H$119,Ingot!$G$12:$G$119,"")</f>
        <v>Cloth</v>
      </c>
      <c r="B7821" t="s">
        <v>15551</v>
      </c>
      <c r="C7821" t="s">
        <v>157</v>
      </c>
      <c r="D7821" t="s">
        <v>15720</v>
      </c>
      <c r="E7821" t="s">
        <v>15721</v>
      </c>
      <c r="G7821" s="1">
        <v>5</v>
      </c>
    </row>
    <row r="7822" spans="1:7" ht="14.25" hidden="1" customHeight="1" x14ac:dyDescent="0.45">
      <c r="A7822" t="str">
        <f>_xlfn.XLOOKUP(B7822,Ingot!$H$12:$H$119,Ingot!$G$12:$G$119,"")</f>
        <v>Cloth</v>
      </c>
      <c r="B7822" t="s">
        <v>15551</v>
      </c>
      <c r="C7822" t="s">
        <v>157</v>
      </c>
      <c r="D7822" t="s">
        <v>15722</v>
      </c>
      <c r="E7822" t="s">
        <v>15723</v>
      </c>
      <c r="G7822" s="1">
        <v>5</v>
      </c>
    </row>
    <row r="7823" spans="1:7" ht="14.25" hidden="1" customHeight="1" x14ac:dyDescent="0.45">
      <c r="A7823" t="str">
        <f>_xlfn.XLOOKUP(B7823,Ingot!$H$12:$H$119,Ingot!$G$12:$G$119,"")</f>
        <v>Cloth</v>
      </c>
      <c r="B7823" t="s">
        <v>15551</v>
      </c>
      <c r="C7823" t="s">
        <v>157</v>
      </c>
      <c r="D7823" t="s">
        <v>15724</v>
      </c>
      <c r="E7823" t="s">
        <v>15725</v>
      </c>
      <c r="G7823" s="1">
        <v>5</v>
      </c>
    </row>
    <row r="7824" spans="1:7" ht="14.25" hidden="1" customHeight="1" x14ac:dyDescent="0.45">
      <c r="A7824" t="str">
        <f>_xlfn.XLOOKUP(B7824,Ingot!$H$12:$H$119,Ingot!$G$12:$G$119,"")</f>
        <v>Cloth</v>
      </c>
      <c r="B7824" t="s">
        <v>15551</v>
      </c>
      <c r="C7824" t="s">
        <v>157</v>
      </c>
      <c r="D7824" t="s">
        <v>15726</v>
      </c>
      <c r="E7824" t="s">
        <v>15727</v>
      </c>
      <c r="G7824" s="1">
        <v>10</v>
      </c>
    </row>
    <row r="7825" spans="1:7" ht="14.25" hidden="1" customHeight="1" x14ac:dyDescent="0.45">
      <c r="A7825" t="str">
        <f>_xlfn.XLOOKUP(B7825,Ingot!$H$12:$H$119,Ingot!$G$12:$G$119,"")</f>
        <v>Cloth</v>
      </c>
      <c r="B7825" t="s">
        <v>15551</v>
      </c>
      <c r="C7825" t="s">
        <v>157</v>
      </c>
      <c r="D7825" t="s">
        <v>15728</v>
      </c>
      <c r="E7825" t="s">
        <v>15729</v>
      </c>
      <c r="F7825" t="s">
        <v>180</v>
      </c>
      <c r="G7825" s="1">
        <v>13.1</v>
      </c>
    </row>
    <row r="7826" spans="1:7" ht="14.25" hidden="1" customHeight="1" x14ac:dyDescent="0.45">
      <c r="A7826" t="str">
        <f>_xlfn.XLOOKUP(B7826,Ingot!$H$12:$H$119,Ingot!$G$12:$G$119,"")</f>
        <v>Cloth</v>
      </c>
      <c r="B7826" t="s">
        <v>15551</v>
      </c>
      <c r="C7826" t="s">
        <v>157</v>
      </c>
      <c r="D7826" t="s">
        <v>15730</v>
      </c>
      <c r="E7826" t="s">
        <v>15731</v>
      </c>
      <c r="F7826" t="s">
        <v>180</v>
      </c>
      <c r="G7826" s="1">
        <v>5</v>
      </c>
    </row>
    <row r="7827" spans="1:7" ht="14.25" hidden="1" customHeight="1" x14ac:dyDescent="0.45">
      <c r="A7827" t="str">
        <f>_xlfn.XLOOKUP(B7827,Ingot!$H$12:$H$119,Ingot!$G$12:$G$119,"")</f>
        <v>Cloth</v>
      </c>
      <c r="B7827" t="s">
        <v>15551</v>
      </c>
      <c r="C7827" t="s">
        <v>157</v>
      </c>
      <c r="D7827" t="s">
        <v>15732</v>
      </c>
      <c r="E7827" t="s">
        <v>15733</v>
      </c>
      <c r="F7827" t="s">
        <v>180</v>
      </c>
      <c r="G7827" s="1">
        <v>5</v>
      </c>
    </row>
    <row r="7828" spans="1:7" ht="14.25" hidden="1" customHeight="1" x14ac:dyDescent="0.45">
      <c r="A7828" t="str">
        <f>_xlfn.XLOOKUP(B7828,Ingot!$H$12:$H$119,Ingot!$G$12:$G$119,"")</f>
        <v>Cloth</v>
      </c>
      <c r="B7828" t="s">
        <v>15551</v>
      </c>
      <c r="C7828" t="s">
        <v>157</v>
      </c>
      <c r="D7828" t="s">
        <v>15734</v>
      </c>
      <c r="E7828" t="s">
        <v>15735</v>
      </c>
      <c r="F7828" t="s">
        <v>180</v>
      </c>
      <c r="G7828" s="1">
        <v>5</v>
      </c>
    </row>
    <row r="7829" spans="1:7" ht="14.25" hidden="1" customHeight="1" x14ac:dyDescent="0.45">
      <c r="A7829" t="str">
        <f>_xlfn.XLOOKUP(B7829,Ingot!$H$12:$H$119,Ingot!$G$12:$G$119,"")</f>
        <v>Cloth</v>
      </c>
      <c r="B7829" t="s">
        <v>15551</v>
      </c>
      <c r="C7829" t="s">
        <v>157</v>
      </c>
      <c r="D7829" t="s">
        <v>15736</v>
      </c>
      <c r="E7829" t="s">
        <v>15737</v>
      </c>
      <c r="F7829" t="s">
        <v>180</v>
      </c>
      <c r="G7829" s="1">
        <v>10</v>
      </c>
    </row>
    <row r="7830" spans="1:7" ht="14.25" hidden="1" customHeight="1" x14ac:dyDescent="0.45">
      <c r="A7830" t="str">
        <f>_xlfn.XLOOKUP(B7830,Ingot!$H$12:$H$119,Ingot!$G$12:$G$119,"")</f>
        <v>Cloth</v>
      </c>
      <c r="B7830" t="s">
        <v>15551</v>
      </c>
      <c r="C7830" t="s">
        <v>157</v>
      </c>
      <c r="D7830" t="s">
        <v>15738</v>
      </c>
      <c r="E7830" t="s">
        <v>15739</v>
      </c>
      <c r="F7830" t="s">
        <v>180</v>
      </c>
      <c r="G7830" s="1">
        <v>13.6</v>
      </c>
    </row>
    <row r="7831" spans="1:7" ht="14.25" hidden="1" customHeight="1" x14ac:dyDescent="0.45">
      <c r="A7831" t="str">
        <f>_xlfn.XLOOKUP(B7831,Ingot!$H$12:$H$119,Ingot!$G$12:$G$119,"")</f>
        <v>Cloth</v>
      </c>
      <c r="B7831" t="s">
        <v>15551</v>
      </c>
      <c r="C7831" t="s">
        <v>157</v>
      </c>
      <c r="D7831" t="s">
        <v>15740</v>
      </c>
      <c r="E7831" t="s">
        <v>15741</v>
      </c>
      <c r="G7831" s="1">
        <v>5</v>
      </c>
    </row>
    <row r="7832" spans="1:7" ht="14.25" hidden="1" customHeight="1" x14ac:dyDescent="0.45">
      <c r="A7832" t="str">
        <f>_xlfn.XLOOKUP(B7832,Ingot!$H$12:$H$119,Ingot!$G$12:$G$119,"")</f>
        <v>Cloth</v>
      </c>
      <c r="B7832" t="s">
        <v>15551</v>
      </c>
      <c r="C7832" t="s">
        <v>157</v>
      </c>
      <c r="D7832" t="s">
        <v>15742</v>
      </c>
      <c r="E7832" t="s">
        <v>15743</v>
      </c>
      <c r="G7832" s="1">
        <v>5</v>
      </c>
    </row>
    <row r="7833" spans="1:7" ht="14.25" hidden="1" customHeight="1" x14ac:dyDescent="0.45">
      <c r="A7833" t="str">
        <f>_xlfn.XLOOKUP(B7833,Ingot!$H$12:$H$119,Ingot!$G$12:$G$119,"")</f>
        <v>Cloth</v>
      </c>
      <c r="B7833" t="s">
        <v>15551</v>
      </c>
      <c r="C7833" t="s">
        <v>157</v>
      </c>
      <c r="D7833" t="s">
        <v>15744</v>
      </c>
      <c r="E7833" t="s">
        <v>15745</v>
      </c>
      <c r="G7833" s="1">
        <v>5</v>
      </c>
    </row>
    <row r="7834" spans="1:7" ht="14.25" hidden="1" customHeight="1" x14ac:dyDescent="0.45">
      <c r="A7834" t="str">
        <f>_xlfn.XLOOKUP(B7834,Ingot!$H$12:$H$119,Ingot!$G$12:$G$119,"")</f>
        <v>Cloth</v>
      </c>
      <c r="B7834" t="s">
        <v>15551</v>
      </c>
      <c r="C7834" t="s">
        <v>157</v>
      </c>
      <c r="D7834" t="s">
        <v>15746</v>
      </c>
      <c r="E7834" t="s">
        <v>15747</v>
      </c>
      <c r="F7834" t="s">
        <v>180</v>
      </c>
      <c r="G7834" s="1">
        <v>10</v>
      </c>
    </row>
    <row r="7835" spans="1:7" ht="14.25" hidden="1" customHeight="1" x14ac:dyDescent="0.45">
      <c r="A7835" t="str">
        <f>_xlfn.XLOOKUP(B7835,Ingot!$H$12:$H$119,Ingot!$G$12:$G$119,"")</f>
        <v>Cloth</v>
      </c>
      <c r="B7835" t="s">
        <v>15551</v>
      </c>
      <c r="C7835" t="s">
        <v>157</v>
      </c>
      <c r="D7835" t="s">
        <v>15748</v>
      </c>
      <c r="E7835" t="s">
        <v>15749</v>
      </c>
      <c r="F7835" t="s">
        <v>180</v>
      </c>
      <c r="G7835" s="1">
        <v>16</v>
      </c>
    </row>
    <row r="7836" spans="1:7" ht="14.25" hidden="1" customHeight="1" x14ac:dyDescent="0.45">
      <c r="A7836" t="str">
        <f>_xlfn.XLOOKUP(B7836,Ingot!$H$12:$H$119,Ingot!$G$12:$G$119,"")</f>
        <v>Cloth</v>
      </c>
      <c r="B7836" t="s">
        <v>15551</v>
      </c>
      <c r="C7836" t="s">
        <v>157</v>
      </c>
      <c r="D7836" t="s">
        <v>15750</v>
      </c>
      <c r="E7836" t="s">
        <v>15751</v>
      </c>
      <c r="F7836" t="s">
        <v>180</v>
      </c>
      <c r="G7836" s="1">
        <v>5</v>
      </c>
    </row>
    <row r="7837" spans="1:7" ht="14.25" hidden="1" customHeight="1" x14ac:dyDescent="0.45">
      <c r="A7837" t="str">
        <f>_xlfn.XLOOKUP(B7837,Ingot!$H$12:$H$119,Ingot!$G$12:$G$119,"")</f>
        <v>Cloth</v>
      </c>
      <c r="B7837" t="s">
        <v>15551</v>
      </c>
      <c r="C7837" t="s">
        <v>157</v>
      </c>
      <c r="D7837" t="s">
        <v>15752</v>
      </c>
      <c r="E7837" t="s">
        <v>15753</v>
      </c>
      <c r="F7837" t="s">
        <v>180</v>
      </c>
      <c r="G7837" s="1">
        <v>5</v>
      </c>
    </row>
    <row r="7838" spans="1:7" ht="14.25" hidden="1" customHeight="1" x14ac:dyDescent="0.45">
      <c r="A7838" t="str">
        <f>_xlfn.XLOOKUP(B7838,Ingot!$H$12:$H$119,Ingot!$G$12:$G$119,"")</f>
        <v>Cloth</v>
      </c>
      <c r="B7838" t="s">
        <v>15551</v>
      </c>
      <c r="C7838" t="s">
        <v>157</v>
      </c>
      <c r="D7838" t="s">
        <v>15754</v>
      </c>
      <c r="E7838" t="s">
        <v>15755</v>
      </c>
      <c r="F7838" t="s">
        <v>180</v>
      </c>
      <c r="G7838" s="1">
        <v>5</v>
      </c>
    </row>
    <row r="7839" spans="1:7" ht="14.25" hidden="1" customHeight="1" x14ac:dyDescent="0.45">
      <c r="A7839" t="str">
        <f>_xlfn.XLOOKUP(B7839,Ingot!$H$12:$H$119,Ingot!$G$12:$G$119,"")</f>
        <v>Cloth</v>
      </c>
      <c r="B7839" t="s">
        <v>15551</v>
      </c>
      <c r="C7839" t="s">
        <v>157</v>
      </c>
      <c r="D7839" t="s">
        <v>15756</v>
      </c>
      <c r="E7839" t="s">
        <v>15757</v>
      </c>
      <c r="F7839" t="s">
        <v>180</v>
      </c>
      <c r="G7839" s="1">
        <v>10</v>
      </c>
    </row>
    <row r="7840" spans="1:7" ht="14.25" hidden="1" customHeight="1" x14ac:dyDescent="0.45">
      <c r="A7840" t="str">
        <f>_xlfn.XLOOKUP(B7840,Ingot!$H$12:$H$119,Ingot!$G$12:$G$119,"")</f>
        <v>Cloth</v>
      </c>
      <c r="B7840" t="s">
        <v>15551</v>
      </c>
      <c r="C7840" t="s">
        <v>157</v>
      </c>
      <c r="D7840" t="s">
        <v>15758</v>
      </c>
      <c r="E7840" t="s">
        <v>15759</v>
      </c>
      <c r="F7840" t="s">
        <v>180</v>
      </c>
      <c r="G7840" s="1">
        <v>15.1</v>
      </c>
    </row>
    <row r="7841" spans="1:7" ht="14.25" hidden="1" customHeight="1" x14ac:dyDescent="0.45">
      <c r="A7841" t="str">
        <f>_xlfn.XLOOKUP(B7841,Ingot!$H$12:$H$119,Ingot!$G$12:$G$119,"")</f>
        <v>Cloth</v>
      </c>
      <c r="B7841" t="s">
        <v>15551</v>
      </c>
      <c r="C7841" t="s">
        <v>157</v>
      </c>
      <c r="D7841" t="s">
        <v>15760</v>
      </c>
      <c r="E7841" t="s">
        <v>15761</v>
      </c>
      <c r="F7841" t="s">
        <v>180</v>
      </c>
      <c r="G7841" s="1">
        <v>5</v>
      </c>
    </row>
    <row r="7842" spans="1:7" ht="14.25" hidden="1" customHeight="1" x14ac:dyDescent="0.45">
      <c r="A7842" t="str">
        <f>_xlfn.XLOOKUP(B7842,Ingot!$H$12:$H$119,Ingot!$G$12:$G$119,"")</f>
        <v>Cloth</v>
      </c>
      <c r="B7842" t="s">
        <v>15551</v>
      </c>
      <c r="C7842" t="s">
        <v>157</v>
      </c>
      <c r="D7842" t="s">
        <v>15762</v>
      </c>
      <c r="E7842" t="s">
        <v>15763</v>
      </c>
      <c r="F7842" t="s">
        <v>180</v>
      </c>
      <c r="G7842" s="1">
        <v>5</v>
      </c>
    </row>
    <row r="7843" spans="1:7" ht="14.25" hidden="1" customHeight="1" x14ac:dyDescent="0.45">
      <c r="A7843" t="str">
        <f>_xlfn.XLOOKUP(B7843,Ingot!$H$12:$H$119,Ingot!$G$12:$G$119,"")</f>
        <v>Cloth</v>
      </c>
      <c r="B7843" t="s">
        <v>15551</v>
      </c>
      <c r="C7843" t="s">
        <v>157</v>
      </c>
      <c r="D7843" t="s">
        <v>15764</v>
      </c>
      <c r="E7843" t="s">
        <v>15765</v>
      </c>
      <c r="F7843" t="s">
        <v>180</v>
      </c>
      <c r="G7843" s="1">
        <v>5</v>
      </c>
    </row>
    <row r="7844" spans="1:7" ht="14.25" hidden="1" customHeight="1" x14ac:dyDescent="0.45">
      <c r="A7844" t="str">
        <f>_xlfn.XLOOKUP(B7844,Ingot!$H$12:$H$119,Ingot!$G$12:$G$119,"")</f>
        <v>Cloth</v>
      </c>
      <c r="B7844" t="s">
        <v>15551</v>
      </c>
      <c r="C7844" t="s">
        <v>157</v>
      </c>
      <c r="D7844" t="s">
        <v>15766</v>
      </c>
      <c r="E7844" t="s">
        <v>15767</v>
      </c>
      <c r="F7844" t="s">
        <v>180</v>
      </c>
      <c r="G7844" s="1">
        <v>10</v>
      </c>
    </row>
    <row r="7845" spans="1:7" ht="14.25" hidden="1" customHeight="1" x14ac:dyDescent="0.45">
      <c r="A7845" t="str">
        <f>_xlfn.XLOOKUP(B7845,Ingot!$H$12:$H$119,Ingot!$G$12:$G$119,"")</f>
        <v>Cloth</v>
      </c>
      <c r="B7845" t="s">
        <v>15551</v>
      </c>
      <c r="C7845" t="s">
        <v>157</v>
      </c>
      <c r="D7845" t="s">
        <v>15768</v>
      </c>
      <c r="E7845" t="s">
        <v>15769</v>
      </c>
      <c r="G7845" s="1">
        <v>12.2</v>
      </c>
    </row>
    <row r="7846" spans="1:7" ht="14.25" hidden="1" customHeight="1" x14ac:dyDescent="0.45">
      <c r="A7846" t="str">
        <f>_xlfn.XLOOKUP(B7846,Ingot!$H$12:$H$119,Ingot!$G$12:$G$119,"")</f>
        <v>Cloth</v>
      </c>
      <c r="B7846" t="s">
        <v>15551</v>
      </c>
      <c r="C7846" t="s">
        <v>157</v>
      </c>
      <c r="D7846" t="s">
        <v>15770</v>
      </c>
      <c r="E7846" t="s">
        <v>15771</v>
      </c>
      <c r="G7846" s="1">
        <v>5</v>
      </c>
    </row>
    <row r="7847" spans="1:7" ht="14.25" hidden="1" customHeight="1" x14ac:dyDescent="0.45">
      <c r="A7847" t="str">
        <f>_xlfn.XLOOKUP(B7847,Ingot!$H$12:$H$119,Ingot!$G$12:$G$119,"")</f>
        <v>Cloth</v>
      </c>
      <c r="B7847" t="s">
        <v>15551</v>
      </c>
      <c r="C7847" t="s">
        <v>157</v>
      </c>
      <c r="D7847" t="s">
        <v>15772</v>
      </c>
      <c r="E7847" t="s">
        <v>15773</v>
      </c>
      <c r="G7847" s="1">
        <v>5</v>
      </c>
    </row>
    <row r="7848" spans="1:7" ht="14.25" hidden="1" customHeight="1" x14ac:dyDescent="0.45">
      <c r="A7848" t="str">
        <f>_xlfn.XLOOKUP(B7848,Ingot!$H$12:$H$119,Ingot!$G$12:$G$119,"")</f>
        <v>Cloth</v>
      </c>
      <c r="B7848" t="s">
        <v>15551</v>
      </c>
      <c r="C7848" t="s">
        <v>157</v>
      </c>
      <c r="D7848" t="s">
        <v>15774</v>
      </c>
      <c r="E7848" t="s">
        <v>15775</v>
      </c>
      <c r="G7848" s="1">
        <v>5</v>
      </c>
    </row>
    <row r="7849" spans="1:7" ht="14.25" hidden="1" customHeight="1" x14ac:dyDescent="0.45">
      <c r="A7849" t="str">
        <f>_xlfn.XLOOKUP(B7849,Ingot!$H$12:$H$119,Ingot!$G$12:$G$119,"")</f>
        <v>Cloth</v>
      </c>
      <c r="B7849" t="s">
        <v>15551</v>
      </c>
      <c r="C7849" t="s">
        <v>157</v>
      </c>
      <c r="D7849" t="s">
        <v>15776</v>
      </c>
      <c r="E7849" t="s">
        <v>15777</v>
      </c>
      <c r="G7849" s="1">
        <v>10</v>
      </c>
    </row>
    <row r="7850" spans="1:7" ht="14.25" hidden="1" customHeight="1" x14ac:dyDescent="0.45">
      <c r="A7850" t="str">
        <f>_xlfn.XLOOKUP(B7850,Ingot!$H$12:$H$119,Ingot!$G$12:$G$119,"")</f>
        <v>Cloth</v>
      </c>
      <c r="B7850" t="s">
        <v>15551</v>
      </c>
      <c r="C7850" t="s">
        <v>239</v>
      </c>
      <c r="D7850" t="s">
        <v>15778</v>
      </c>
      <c r="E7850" t="s">
        <v>15779</v>
      </c>
      <c r="G7850" s="1">
        <f>(VLOOKUP(B7850,Ingot!H:I,2,FALSE()) * 0.75) * 0.75</f>
        <v>0.28125</v>
      </c>
    </row>
    <row r="7851" spans="1:7" ht="14.25" hidden="1" customHeight="1" x14ac:dyDescent="0.45">
      <c r="A7851" t="str">
        <f>_xlfn.XLOOKUP(B7851,Ingot!$H$12:$H$119,Ingot!$G$12:$G$119,"")</f>
        <v>Cloth</v>
      </c>
      <c r="B7851" t="s">
        <v>15551</v>
      </c>
      <c r="C7851" t="s">
        <v>239</v>
      </c>
      <c r="D7851" t="s">
        <v>15780</v>
      </c>
      <c r="E7851" t="s">
        <v>15781</v>
      </c>
      <c r="F7851" t="s">
        <v>180</v>
      </c>
      <c r="G7851" s="1">
        <f>((VLOOKUP(B7851,Ingot!H:I,2,FALSE()) * 3) - 10.25) * 0.421875</f>
        <v>-3.69140625</v>
      </c>
    </row>
    <row r="7852" spans="1:7" ht="14.25" hidden="1" customHeight="1" x14ac:dyDescent="0.45">
      <c r="A7852" t="str">
        <f>_xlfn.XLOOKUP(B7852,Ingot!$H$12:$H$119,Ingot!$G$12:$G$119,"")</f>
        <v>Cloth</v>
      </c>
      <c r="B7852" t="s">
        <v>15551</v>
      </c>
      <c r="C7852" t="s">
        <v>239</v>
      </c>
      <c r="D7852" t="s">
        <v>15782</v>
      </c>
      <c r="E7852" t="s">
        <v>15783</v>
      </c>
      <c r="F7852" t="s">
        <v>180</v>
      </c>
      <c r="G7852" s="1">
        <f>((VLOOKUP(B7852,Ingot!H:I,2,FALSE()) * 3) - 10.25) * 0.75</f>
        <v>-6.5625</v>
      </c>
    </row>
    <row r="7853" spans="1:7" ht="14.25" hidden="1" customHeight="1" x14ac:dyDescent="0.45">
      <c r="A7853" t="str">
        <f>_xlfn.XLOOKUP(B7853,Ingot!$H$12:$H$119,Ingot!$G$12:$G$119,"")</f>
        <v>Cloth</v>
      </c>
      <c r="B7853" t="s">
        <v>15551</v>
      </c>
      <c r="C7853" t="s">
        <v>239</v>
      </c>
      <c r="D7853" t="s">
        <v>15784</v>
      </c>
      <c r="E7853" t="s">
        <v>15785</v>
      </c>
      <c r="F7853" t="s">
        <v>180</v>
      </c>
      <c r="G7853" s="1">
        <f>((VLOOKUP(B7853,Ingot!H:I,2,FALSE()) * 3) - 10.25) * 0.5625</f>
        <v>-4.921875</v>
      </c>
    </row>
    <row r="7854" spans="1:7" ht="14.25" hidden="1" customHeight="1" x14ac:dyDescent="0.45">
      <c r="A7854" t="str">
        <f>_xlfn.XLOOKUP(B7854,Ingot!$H$12:$H$119,Ingot!$G$12:$G$119,"")</f>
        <v>Cloth</v>
      </c>
      <c r="B7854" t="s">
        <v>15551</v>
      </c>
      <c r="C7854" t="s">
        <v>239</v>
      </c>
      <c r="D7854" t="s">
        <v>15786</v>
      </c>
      <c r="E7854" t="s">
        <v>15787</v>
      </c>
      <c r="G7854" s="1">
        <f>VLOOKUP(B7854,Ingot!H:I,2,FALSE()) * 0.75</f>
        <v>0.375</v>
      </c>
    </row>
    <row r="7855" spans="1:7" ht="14.25" hidden="1" customHeight="1" x14ac:dyDescent="0.45">
      <c r="A7855" t="str">
        <f>_xlfn.XLOOKUP(B7855,Ingot!$H$12:$H$119,Ingot!$G$12:$G$119,"")</f>
        <v>Cloth</v>
      </c>
      <c r="B7855" t="s">
        <v>15551</v>
      </c>
      <c r="C7855" t="s">
        <v>239</v>
      </c>
      <c r="D7855" t="s">
        <v>15788</v>
      </c>
      <c r="E7855" t="s">
        <v>15789</v>
      </c>
      <c r="F7855" t="s">
        <v>180</v>
      </c>
      <c r="G7855" s="1">
        <f>(VLOOKUP(B7855,Ingot!H:I,2,FALSE()) * 3) - 10.25</f>
        <v>-8.75</v>
      </c>
    </row>
    <row r="7856" spans="1:7" ht="14.25" hidden="1" customHeight="1" x14ac:dyDescent="0.45">
      <c r="A7856" t="str">
        <f>_xlfn.XLOOKUP(B7856,Ingot!$H$12:$H$119,Ingot!$G$12:$G$119,"")</f>
        <v>Cloth</v>
      </c>
      <c r="B7856" t="s">
        <v>15790</v>
      </c>
      <c r="C7856" t="s">
        <v>10</v>
      </c>
      <c r="D7856" t="s">
        <v>15791</v>
      </c>
      <c r="E7856" t="s">
        <v>15792</v>
      </c>
      <c r="G7856" s="1">
        <v>0.08</v>
      </c>
    </row>
    <row r="7857" spans="1:7" ht="14.25" hidden="1" customHeight="1" x14ac:dyDescent="0.45">
      <c r="A7857" t="str">
        <f>_xlfn.XLOOKUP(B7857,Ingot!$H$12:$H$119,Ingot!$G$12:$G$119,"")</f>
        <v>Cloth</v>
      </c>
      <c r="B7857" t="s">
        <v>15790</v>
      </c>
      <c r="C7857" t="s">
        <v>10</v>
      </c>
      <c r="D7857" t="s">
        <v>15793</v>
      </c>
      <c r="E7857" t="s">
        <v>15794</v>
      </c>
      <c r="G7857" s="1">
        <v>9.9</v>
      </c>
    </row>
    <row r="7858" spans="1:7" ht="14.25" hidden="1" customHeight="1" x14ac:dyDescent="0.45">
      <c r="A7858" t="str">
        <f>_xlfn.XLOOKUP(B7858,Ingot!$H$12:$H$119,Ingot!$G$12:$G$119,"")</f>
        <v>Cloth</v>
      </c>
      <c r="B7858" t="s">
        <v>15790</v>
      </c>
      <c r="C7858" t="s">
        <v>10</v>
      </c>
      <c r="D7858" t="s">
        <v>15795</v>
      </c>
      <c r="E7858" t="s">
        <v>15796</v>
      </c>
      <c r="G7858" s="1">
        <v>5.66</v>
      </c>
    </row>
    <row r="7859" spans="1:7" ht="14.25" hidden="1" customHeight="1" x14ac:dyDescent="0.45">
      <c r="A7859" t="str">
        <f>_xlfn.XLOOKUP(B7859,Ingot!$H$12:$H$119,Ingot!$G$12:$G$119,"")</f>
        <v>Cloth</v>
      </c>
      <c r="B7859" t="s">
        <v>15790</v>
      </c>
      <c r="C7859" t="s">
        <v>10</v>
      </c>
      <c r="D7859" t="s">
        <v>15797</v>
      </c>
      <c r="E7859" t="s">
        <v>15798</v>
      </c>
      <c r="G7859" s="1">
        <v>3.3</v>
      </c>
    </row>
    <row r="7860" spans="1:7" ht="14.25" hidden="1" customHeight="1" x14ac:dyDescent="0.45">
      <c r="A7860" t="str">
        <f>_xlfn.XLOOKUP(B7860,Ingot!$H$12:$H$119,Ingot!$G$12:$G$119,"")</f>
        <v>Cloth</v>
      </c>
      <c r="B7860" t="s">
        <v>15790</v>
      </c>
      <c r="C7860" t="s">
        <v>10</v>
      </c>
      <c r="D7860" t="s">
        <v>15799</v>
      </c>
      <c r="E7860" t="s">
        <v>15800</v>
      </c>
      <c r="G7860" s="1">
        <v>0.66</v>
      </c>
    </row>
    <row r="7861" spans="1:7" ht="14.25" hidden="1" customHeight="1" x14ac:dyDescent="0.45">
      <c r="A7861" t="str">
        <f>_xlfn.XLOOKUP(B7861,Ingot!$H$12:$H$119,Ingot!$G$12:$G$119,"")</f>
        <v>Cloth</v>
      </c>
      <c r="B7861" t="s">
        <v>15790</v>
      </c>
      <c r="C7861" t="s">
        <v>10</v>
      </c>
      <c r="D7861" t="s">
        <v>15801</v>
      </c>
      <c r="E7861" t="s">
        <v>15802</v>
      </c>
      <c r="G7861" s="1">
        <v>0.04</v>
      </c>
    </row>
    <row r="7862" spans="1:7" ht="14.25" hidden="1" customHeight="1" x14ac:dyDescent="0.45">
      <c r="A7862" t="str">
        <f>_xlfn.XLOOKUP(B7862,Ingot!$H$12:$H$119,Ingot!$G$12:$G$119,"")</f>
        <v>Cloth</v>
      </c>
      <c r="B7862" t="s">
        <v>15790</v>
      </c>
      <c r="C7862" t="s">
        <v>10</v>
      </c>
      <c r="D7862" t="s">
        <v>15803</v>
      </c>
      <c r="E7862" t="s">
        <v>15804</v>
      </c>
      <c r="G7862" s="1">
        <v>0.33</v>
      </c>
    </row>
    <row r="7863" spans="1:7" ht="14.25" hidden="1" customHeight="1" x14ac:dyDescent="0.45">
      <c r="A7863" t="str">
        <f>_xlfn.XLOOKUP(B7863,Ingot!$H$12:$H$119,Ingot!$G$12:$G$119,"")</f>
        <v>Cloth</v>
      </c>
      <c r="B7863" t="s">
        <v>15790</v>
      </c>
      <c r="C7863" t="s">
        <v>10</v>
      </c>
      <c r="D7863" t="s">
        <v>15805</v>
      </c>
      <c r="E7863" t="s">
        <v>15806</v>
      </c>
    </row>
    <row r="7864" spans="1:7" ht="14.25" hidden="1" customHeight="1" x14ac:dyDescent="0.45">
      <c r="A7864" t="str">
        <f>_xlfn.XLOOKUP(B7864,Ingot!$H$12:$H$119,Ingot!$G$12:$G$119,"")</f>
        <v>Cloth</v>
      </c>
      <c r="B7864" t="s">
        <v>15790</v>
      </c>
      <c r="C7864" t="s">
        <v>10</v>
      </c>
      <c r="D7864" t="s">
        <v>15807</v>
      </c>
      <c r="E7864" t="s">
        <v>15808</v>
      </c>
      <c r="G7864" s="1">
        <v>0.05</v>
      </c>
    </row>
    <row r="7865" spans="1:7" ht="14.25" hidden="1" customHeight="1" x14ac:dyDescent="0.45">
      <c r="A7865" t="str">
        <f>_xlfn.XLOOKUP(B7865,Ingot!$H$12:$H$119,Ingot!$G$12:$G$119,"")</f>
        <v>Cloth</v>
      </c>
      <c r="B7865" t="s">
        <v>15790</v>
      </c>
      <c r="C7865" t="s">
        <v>10</v>
      </c>
      <c r="D7865" t="s">
        <v>15809</v>
      </c>
      <c r="E7865" t="s">
        <v>15810</v>
      </c>
      <c r="G7865" s="1">
        <v>0.66</v>
      </c>
    </row>
    <row r="7866" spans="1:7" ht="14.25" hidden="1" customHeight="1" x14ac:dyDescent="0.45">
      <c r="A7866" t="str">
        <f>_xlfn.XLOOKUP(B7866,Ingot!$H$12:$H$119,Ingot!$G$12:$G$119,"")</f>
        <v>Cloth</v>
      </c>
      <c r="B7866" t="s">
        <v>15790</v>
      </c>
      <c r="C7866" t="s">
        <v>10</v>
      </c>
      <c r="D7866" t="s">
        <v>15811</v>
      </c>
      <c r="E7866" t="s">
        <v>15812</v>
      </c>
      <c r="G7866" s="1">
        <v>3.96</v>
      </c>
    </row>
    <row r="7867" spans="1:7" ht="14.25" hidden="1" customHeight="1" x14ac:dyDescent="0.45">
      <c r="A7867" t="str">
        <f>_xlfn.XLOOKUP(B7867,Ingot!$H$12:$H$119,Ingot!$G$12:$G$119,"")</f>
        <v>Cloth</v>
      </c>
      <c r="B7867" t="s">
        <v>15790</v>
      </c>
      <c r="C7867" t="s">
        <v>10</v>
      </c>
      <c r="D7867" t="s">
        <v>15813</v>
      </c>
      <c r="E7867" t="s">
        <v>15814</v>
      </c>
      <c r="G7867" s="1">
        <v>8.77</v>
      </c>
    </row>
    <row r="7868" spans="1:7" ht="14.25" hidden="1" customHeight="1" x14ac:dyDescent="0.45">
      <c r="A7868" t="str">
        <f>_xlfn.XLOOKUP(B7868,Ingot!$H$12:$H$119,Ingot!$G$12:$G$119,"")</f>
        <v>Cloth</v>
      </c>
      <c r="B7868" t="s">
        <v>15790</v>
      </c>
      <c r="C7868" t="s">
        <v>10</v>
      </c>
      <c r="D7868" t="s">
        <v>15815</v>
      </c>
      <c r="E7868" t="s">
        <v>15816</v>
      </c>
      <c r="G7868" s="1">
        <v>3.5</v>
      </c>
    </row>
    <row r="7869" spans="1:7" ht="14.25" hidden="1" customHeight="1" x14ac:dyDescent="0.45">
      <c r="A7869" t="str">
        <f>_xlfn.XLOOKUP(B7869,Ingot!$H$12:$H$119,Ingot!$G$12:$G$119,"")</f>
        <v>Cloth</v>
      </c>
      <c r="B7869" t="s">
        <v>15790</v>
      </c>
      <c r="C7869" t="s">
        <v>10</v>
      </c>
      <c r="D7869" t="s">
        <v>15817</v>
      </c>
      <c r="E7869" t="s">
        <v>15818</v>
      </c>
    </row>
    <row r="7870" spans="1:7" ht="14.25" hidden="1" customHeight="1" x14ac:dyDescent="0.45">
      <c r="A7870" t="str">
        <f>_xlfn.XLOOKUP(B7870,Ingot!$H$12:$H$119,Ingot!$G$12:$G$119,"")</f>
        <v>Cloth</v>
      </c>
      <c r="B7870" t="s">
        <v>15790</v>
      </c>
      <c r="C7870" t="s">
        <v>10</v>
      </c>
      <c r="D7870" t="s">
        <v>15819</v>
      </c>
      <c r="E7870" t="s">
        <v>15820</v>
      </c>
      <c r="G7870" s="1">
        <v>2.2000000000000002</v>
      </c>
    </row>
    <row r="7871" spans="1:7" ht="14.25" hidden="1" customHeight="1" x14ac:dyDescent="0.45">
      <c r="A7871" t="str">
        <f>_xlfn.XLOOKUP(B7871,Ingot!$H$12:$H$119,Ingot!$G$12:$G$119,"")</f>
        <v>Cloth</v>
      </c>
      <c r="B7871" t="s">
        <v>15790</v>
      </c>
      <c r="C7871" t="s">
        <v>10</v>
      </c>
      <c r="D7871" t="s">
        <v>15821</v>
      </c>
      <c r="E7871" t="s">
        <v>15822</v>
      </c>
      <c r="G7871" s="1">
        <v>1.1000000000000001</v>
      </c>
    </row>
    <row r="7872" spans="1:7" ht="14.25" hidden="1" customHeight="1" x14ac:dyDescent="0.45">
      <c r="A7872" t="str">
        <f>_xlfn.XLOOKUP(B7872,Ingot!$H$12:$H$119,Ingot!$G$12:$G$119,"")</f>
        <v>Cloth</v>
      </c>
      <c r="B7872" t="s">
        <v>15790</v>
      </c>
      <c r="C7872" t="s">
        <v>10</v>
      </c>
      <c r="D7872" t="s">
        <v>15823</v>
      </c>
      <c r="E7872" t="s">
        <v>15824</v>
      </c>
      <c r="G7872" s="1">
        <v>0.22</v>
      </c>
    </row>
    <row r="7873" spans="1:7" ht="14.25" hidden="1" customHeight="1" x14ac:dyDescent="0.45">
      <c r="A7873" t="str">
        <f>_xlfn.XLOOKUP(B7873,Ingot!$H$12:$H$119,Ingot!$G$12:$G$119,"")</f>
        <v>Cloth</v>
      </c>
      <c r="B7873" t="s">
        <v>15790</v>
      </c>
      <c r="C7873" t="s">
        <v>10</v>
      </c>
      <c r="D7873" t="s">
        <v>15825</v>
      </c>
      <c r="E7873" t="s">
        <v>15826</v>
      </c>
      <c r="G7873" s="1">
        <v>8.41</v>
      </c>
    </row>
    <row r="7874" spans="1:7" ht="14.25" hidden="1" customHeight="1" x14ac:dyDescent="0.45">
      <c r="A7874" t="str">
        <f>_xlfn.XLOOKUP(B7874,Ingot!$H$12:$H$119,Ingot!$G$12:$G$119,"")</f>
        <v>Cloth</v>
      </c>
      <c r="B7874" t="s">
        <v>15790</v>
      </c>
      <c r="C7874" t="s">
        <v>10</v>
      </c>
      <c r="D7874" t="s">
        <v>15827</v>
      </c>
      <c r="E7874" t="s">
        <v>15828</v>
      </c>
      <c r="G7874" s="1">
        <v>3.64</v>
      </c>
    </row>
    <row r="7875" spans="1:7" ht="14.25" hidden="1" customHeight="1" x14ac:dyDescent="0.45">
      <c r="A7875" t="str">
        <f>_xlfn.XLOOKUP(B7875,Ingot!$H$12:$H$119,Ingot!$G$12:$G$119,"")</f>
        <v>Cloth</v>
      </c>
      <c r="B7875" t="s">
        <v>15790</v>
      </c>
      <c r="C7875" t="s">
        <v>10</v>
      </c>
      <c r="D7875" t="s">
        <v>15829</v>
      </c>
      <c r="E7875" t="s">
        <v>15830</v>
      </c>
      <c r="G7875" s="1">
        <v>7.05</v>
      </c>
    </row>
    <row r="7876" spans="1:7" ht="14.25" hidden="1" customHeight="1" x14ac:dyDescent="0.45">
      <c r="A7876" t="str">
        <f>_xlfn.XLOOKUP(B7876,Ingot!$H$12:$H$119,Ingot!$G$12:$G$119,"")</f>
        <v>Cloth</v>
      </c>
      <c r="B7876" t="s">
        <v>15790</v>
      </c>
      <c r="C7876" t="s">
        <v>10</v>
      </c>
      <c r="D7876" t="s">
        <v>15831</v>
      </c>
      <c r="E7876" t="s">
        <v>15832</v>
      </c>
      <c r="G7876" s="1">
        <v>2.65</v>
      </c>
    </row>
    <row r="7877" spans="1:7" ht="14.25" hidden="1" customHeight="1" x14ac:dyDescent="0.45">
      <c r="A7877" t="str">
        <f>_xlfn.XLOOKUP(B7877,Ingot!$H$12:$H$119,Ingot!$G$12:$G$119,"")</f>
        <v>Cloth</v>
      </c>
      <c r="B7877" t="s">
        <v>15790</v>
      </c>
      <c r="C7877" t="s">
        <v>10</v>
      </c>
      <c r="D7877" t="s">
        <v>15833</v>
      </c>
      <c r="E7877" t="s">
        <v>15834</v>
      </c>
      <c r="G7877" s="1">
        <v>9</v>
      </c>
    </row>
    <row r="7878" spans="1:7" ht="14.25" hidden="1" customHeight="1" x14ac:dyDescent="0.45">
      <c r="A7878" t="str">
        <f>_xlfn.XLOOKUP(B7878,Ingot!$H$12:$H$119,Ingot!$G$12:$G$119,"")</f>
        <v>Cloth</v>
      </c>
      <c r="B7878" t="s">
        <v>15790</v>
      </c>
      <c r="C7878" t="s">
        <v>10</v>
      </c>
      <c r="D7878" t="s">
        <v>15835</v>
      </c>
      <c r="E7878" t="s">
        <v>15836</v>
      </c>
      <c r="G7878" s="1">
        <v>10.23</v>
      </c>
    </row>
    <row r="7879" spans="1:7" ht="14.25" hidden="1" customHeight="1" x14ac:dyDescent="0.45">
      <c r="A7879" t="str">
        <f>_xlfn.XLOOKUP(B7879,Ingot!$H$12:$H$119,Ingot!$G$12:$G$119,"")</f>
        <v>Cloth</v>
      </c>
      <c r="B7879" t="s">
        <v>15790</v>
      </c>
      <c r="C7879" t="s">
        <v>10</v>
      </c>
      <c r="D7879" t="s">
        <v>15837</v>
      </c>
      <c r="E7879" t="s">
        <v>15838</v>
      </c>
      <c r="G7879" s="1">
        <v>7.7</v>
      </c>
    </row>
    <row r="7880" spans="1:7" ht="14.25" hidden="1" customHeight="1" x14ac:dyDescent="0.45">
      <c r="A7880" t="str">
        <f>_xlfn.XLOOKUP(B7880,Ingot!$H$12:$H$119,Ingot!$G$12:$G$119,"")</f>
        <v>Cloth</v>
      </c>
      <c r="B7880" t="s">
        <v>15790</v>
      </c>
      <c r="C7880" t="s">
        <v>10</v>
      </c>
      <c r="D7880" t="s">
        <v>15839</v>
      </c>
      <c r="E7880" t="s">
        <v>15840</v>
      </c>
      <c r="G7880" s="1">
        <v>10.02</v>
      </c>
    </row>
    <row r="7881" spans="1:7" ht="14.25" hidden="1" customHeight="1" x14ac:dyDescent="0.45">
      <c r="A7881" t="str">
        <f>_xlfn.XLOOKUP(B7881,Ingot!$H$12:$H$119,Ingot!$G$12:$G$119,"")</f>
        <v>Cloth</v>
      </c>
      <c r="B7881" t="s">
        <v>15790</v>
      </c>
      <c r="C7881" t="s">
        <v>10</v>
      </c>
      <c r="D7881" t="s">
        <v>15841</v>
      </c>
      <c r="E7881" t="s">
        <v>15842</v>
      </c>
      <c r="G7881" s="1">
        <v>11.81</v>
      </c>
    </row>
    <row r="7882" spans="1:7" ht="14.25" hidden="1" customHeight="1" x14ac:dyDescent="0.45">
      <c r="A7882" t="str">
        <f>_xlfn.XLOOKUP(B7882,Ingot!$H$12:$H$119,Ingot!$G$12:$G$119,"")</f>
        <v>Cloth</v>
      </c>
      <c r="B7882" t="s">
        <v>15790</v>
      </c>
      <c r="C7882" t="s">
        <v>10</v>
      </c>
      <c r="D7882" t="s">
        <v>15843</v>
      </c>
      <c r="E7882" t="s">
        <v>15844</v>
      </c>
      <c r="G7882" s="1">
        <v>8.44</v>
      </c>
    </row>
    <row r="7883" spans="1:7" ht="14.25" hidden="1" customHeight="1" x14ac:dyDescent="0.45">
      <c r="A7883" t="str">
        <f>_xlfn.XLOOKUP(B7883,Ingot!$H$12:$H$119,Ingot!$G$12:$G$119,"")</f>
        <v>Cloth</v>
      </c>
      <c r="B7883" t="s">
        <v>15790</v>
      </c>
      <c r="C7883" t="s">
        <v>10</v>
      </c>
      <c r="D7883" t="s">
        <v>15845</v>
      </c>
      <c r="E7883" t="s">
        <v>15846</v>
      </c>
      <c r="G7883" s="1">
        <v>10.42</v>
      </c>
    </row>
    <row r="7884" spans="1:7" ht="14.25" hidden="1" customHeight="1" x14ac:dyDescent="0.45">
      <c r="A7884" t="str">
        <f>_xlfn.XLOOKUP(B7884,Ingot!$H$12:$H$119,Ingot!$G$12:$G$119,"")</f>
        <v>Cloth</v>
      </c>
      <c r="B7884" t="s">
        <v>15790</v>
      </c>
      <c r="C7884" t="s">
        <v>10</v>
      </c>
      <c r="D7884" t="s">
        <v>15847</v>
      </c>
      <c r="E7884" t="s">
        <v>15848</v>
      </c>
    </row>
    <row r="7885" spans="1:7" ht="14.25" hidden="1" customHeight="1" x14ac:dyDescent="0.45">
      <c r="A7885" t="str">
        <f>_xlfn.XLOOKUP(B7885,Ingot!$H$12:$H$119,Ingot!$G$12:$G$119,"")</f>
        <v>Cloth</v>
      </c>
      <c r="B7885" t="s">
        <v>15790</v>
      </c>
      <c r="C7885" t="s">
        <v>10</v>
      </c>
      <c r="D7885" t="s">
        <v>15849</v>
      </c>
      <c r="E7885" t="s">
        <v>15850</v>
      </c>
      <c r="G7885" s="1">
        <v>7.96</v>
      </c>
    </row>
    <row r="7886" spans="1:7" ht="14.25" hidden="1" customHeight="1" x14ac:dyDescent="0.45">
      <c r="A7886" t="str">
        <f>_xlfn.XLOOKUP(B7886,Ingot!$H$12:$H$119,Ingot!$G$12:$G$119,"")</f>
        <v>Cloth</v>
      </c>
      <c r="B7886" t="s">
        <v>15790</v>
      </c>
      <c r="C7886" t="s">
        <v>10</v>
      </c>
      <c r="D7886" t="s">
        <v>15851</v>
      </c>
      <c r="E7886" t="s">
        <v>15852</v>
      </c>
      <c r="G7886" s="1">
        <v>9.64</v>
      </c>
    </row>
    <row r="7887" spans="1:7" ht="14.25" hidden="1" customHeight="1" x14ac:dyDescent="0.45">
      <c r="A7887" t="str">
        <f>_xlfn.XLOOKUP(B7887,Ingot!$H$12:$H$119,Ingot!$G$12:$G$119,"")</f>
        <v>Cloth</v>
      </c>
      <c r="B7887" t="s">
        <v>15790</v>
      </c>
      <c r="C7887" t="s">
        <v>10</v>
      </c>
      <c r="D7887" t="s">
        <v>15853</v>
      </c>
      <c r="E7887" t="s">
        <v>15854</v>
      </c>
      <c r="G7887" s="1">
        <v>7.94</v>
      </c>
    </row>
    <row r="7888" spans="1:7" ht="14.25" hidden="1" customHeight="1" x14ac:dyDescent="0.45">
      <c r="A7888" t="str">
        <f>_xlfn.XLOOKUP(B7888,Ingot!$H$12:$H$119,Ingot!$G$12:$G$119,"")</f>
        <v>Cloth</v>
      </c>
      <c r="B7888" t="s">
        <v>15790</v>
      </c>
      <c r="C7888" t="s">
        <v>10</v>
      </c>
      <c r="D7888" t="s">
        <v>15855</v>
      </c>
      <c r="E7888" t="s">
        <v>15856</v>
      </c>
      <c r="G7888" s="1">
        <v>8.66</v>
      </c>
    </row>
    <row r="7889" spans="1:7" ht="14.25" hidden="1" customHeight="1" x14ac:dyDescent="0.45">
      <c r="A7889" t="str">
        <f>_xlfn.XLOOKUP(B7889,Ingot!$H$12:$H$119,Ingot!$G$12:$G$119,"")</f>
        <v>Cloth</v>
      </c>
      <c r="B7889" t="s">
        <v>15790</v>
      </c>
      <c r="C7889" t="s">
        <v>10</v>
      </c>
      <c r="D7889" t="s">
        <v>15857</v>
      </c>
      <c r="E7889" t="s">
        <v>15858</v>
      </c>
    </row>
    <row r="7890" spans="1:7" ht="14.25" hidden="1" customHeight="1" x14ac:dyDescent="0.45">
      <c r="A7890" t="str">
        <f>_xlfn.XLOOKUP(B7890,Ingot!$H$12:$H$119,Ingot!$G$12:$G$119,"")</f>
        <v>Cloth</v>
      </c>
      <c r="B7890" t="s">
        <v>15790</v>
      </c>
      <c r="C7890" t="s">
        <v>10</v>
      </c>
      <c r="D7890" t="s">
        <v>15859</v>
      </c>
      <c r="E7890" t="s">
        <v>15860</v>
      </c>
      <c r="G7890" s="1">
        <v>2.65</v>
      </c>
    </row>
    <row r="7891" spans="1:7" ht="14.25" hidden="1" customHeight="1" x14ac:dyDescent="0.45">
      <c r="A7891" t="str">
        <f>_xlfn.XLOOKUP(B7891,Ingot!$H$12:$H$119,Ingot!$G$12:$G$119,"")</f>
        <v>Cloth</v>
      </c>
      <c r="B7891" t="s">
        <v>15790</v>
      </c>
      <c r="C7891" t="s">
        <v>10</v>
      </c>
      <c r="D7891" t="s">
        <v>15861</v>
      </c>
      <c r="E7891" t="s">
        <v>15862</v>
      </c>
    </row>
    <row r="7892" spans="1:7" ht="14.25" hidden="1" customHeight="1" x14ac:dyDescent="0.45">
      <c r="A7892" t="str">
        <f>_xlfn.XLOOKUP(B7892,Ingot!$H$12:$H$119,Ingot!$G$12:$G$119,"")</f>
        <v>Cloth</v>
      </c>
      <c r="B7892" t="s">
        <v>15790</v>
      </c>
      <c r="C7892" t="s">
        <v>10</v>
      </c>
      <c r="D7892" t="s">
        <v>15863</v>
      </c>
      <c r="E7892" t="s">
        <v>15864</v>
      </c>
      <c r="G7892" s="1">
        <v>12.64</v>
      </c>
    </row>
    <row r="7893" spans="1:7" ht="14.25" hidden="1" customHeight="1" x14ac:dyDescent="0.45">
      <c r="A7893" t="str">
        <f>_xlfn.XLOOKUP(B7893,Ingot!$H$12:$H$119,Ingot!$G$12:$G$119,"")</f>
        <v>Cloth</v>
      </c>
      <c r="B7893" t="s">
        <v>15790</v>
      </c>
      <c r="C7893" t="s">
        <v>10</v>
      </c>
      <c r="D7893" t="s">
        <v>15865</v>
      </c>
      <c r="E7893" t="s">
        <v>15866</v>
      </c>
      <c r="G7893" s="1">
        <v>22.67</v>
      </c>
    </row>
    <row r="7894" spans="1:7" ht="14.25" hidden="1" customHeight="1" x14ac:dyDescent="0.45">
      <c r="A7894" t="str">
        <f>_xlfn.XLOOKUP(B7894,Ingot!$H$12:$H$119,Ingot!$G$12:$G$119,"")</f>
        <v>Cloth</v>
      </c>
      <c r="B7894" t="s">
        <v>15790</v>
      </c>
      <c r="C7894" t="s">
        <v>10</v>
      </c>
      <c r="D7894" t="s">
        <v>15867</v>
      </c>
      <c r="E7894" t="s">
        <v>15868</v>
      </c>
      <c r="G7894" s="1">
        <v>8.3800000000000008</v>
      </c>
    </row>
    <row r="7895" spans="1:7" ht="14.25" hidden="1" customHeight="1" x14ac:dyDescent="0.45">
      <c r="A7895" t="str">
        <f>_xlfn.XLOOKUP(B7895,Ingot!$H$12:$H$119,Ingot!$G$12:$G$119,"")</f>
        <v>Cloth</v>
      </c>
      <c r="B7895" t="s">
        <v>15790</v>
      </c>
      <c r="C7895" t="s">
        <v>10</v>
      </c>
      <c r="D7895" t="s">
        <v>15869</v>
      </c>
      <c r="E7895" t="s">
        <v>15870</v>
      </c>
      <c r="G7895" s="1">
        <v>2.2000000000000002</v>
      </c>
    </row>
    <row r="7896" spans="1:7" ht="14.25" hidden="1" customHeight="1" x14ac:dyDescent="0.45">
      <c r="A7896" t="str">
        <f>_xlfn.XLOOKUP(B7896,Ingot!$H$12:$H$119,Ingot!$G$12:$G$119,"")</f>
        <v>Cloth</v>
      </c>
      <c r="B7896" t="s">
        <v>15790</v>
      </c>
      <c r="C7896" t="s">
        <v>10</v>
      </c>
      <c r="D7896" t="s">
        <v>15871</v>
      </c>
      <c r="E7896" t="s">
        <v>15872</v>
      </c>
      <c r="G7896" s="1">
        <v>3.09</v>
      </c>
    </row>
    <row r="7897" spans="1:7" ht="14.25" hidden="1" customHeight="1" x14ac:dyDescent="0.45">
      <c r="A7897" t="str">
        <f>_xlfn.XLOOKUP(B7897,Ingot!$H$12:$H$119,Ingot!$G$12:$G$119,"")</f>
        <v>Cloth</v>
      </c>
      <c r="B7897" t="s">
        <v>15790</v>
      </c>
      <c r="C7897" t="s">
        <v>10</v>
      </c>
      <c r="D7897" t="s">
        <v>15873</v>
      </c>
      <c r="E7897" t="s">
        <v>15874</v>
      </c>
      <c r="G7897" s="1">
        <v>2.2999999999999998</v>
      </c>
    </row>
    <row r="7898" spans="1:7" ht="14.25" hidden="1" customHeight="1" x14ac:dyDescent="0.45">
      <c r="A7898" t="str">
        <f>_xlfn.XLOOKUP(B7898,Ingot!$H$12:$H$119,Ingot!$G$12:$G$119,"")</f>
        <v>Cloth</v>
      </c>
      <c r="B7898" t="s">
        <v>15790</v>
      </c>
      <c r="C7898" t="s">
        <v>10</v>
      </c>
      <c r="D7898" t="s">
        <v>15875</v>
      </c>
      <c r="E7898" t="s">
        <v>15876</v>
      </c>
      <c r="G7898" s="1">
        <v>4.88</v>
      </c>
    </row>
    <row r="7899" spans="1:7" ht="14.25" hidden="1" customHeight="1" x14ac:dyDescent="0.45">
      <c r="A7899" t="str">
        <f>_xlfn.XLOOKUP(B7899,Ingot!$H$12:$H$119,Ingot!$G$12:$G$119,"")</f>
        <v>Cloth</v>
      </c>
      <c r="B7899" t="s">
        <v>15790</v>
      </c>
      <c r="C7899" t="s">
        <v>10</v>
      </c>
      <c r="D7899" t="s">
        <v>15877</v>
      </c>
      <c r="E7899" t="s">
        <v>15878</v>
      </c>
      <c r="G7899" s="1">
        <v>8.43</v>
      </c>
    </row>
    <row r="7900" spans="1:7" ht="14.25" hidden="1" customHeight="1" x14ac:dyDescent="0.45">
      <c r="A7900" t="str">
        <f>_xlfn.XLOOKUP(B7900,Ingot!$H$12:$H$119,Ingot!$G$12:$G$119,"")</f>
        <v>Cloth</v>
      </c>
      <c r="B7900" t="s">
        <v>15790</v>
      </c>
      <c r="C7900" t="s">
        <v>10</v>
      </c>
      <c r="D7900" t="s">
        <v>15879</v>
      </c>
      <c r="E7900" t="s">
        <v>15880</v>
      </c>
      <c r="G7900" s="1">
        <v>13.07</v>
      </c>
    </row>
    <row r="7901" spans="1:7" ht="14.25" hidden="1" customHeight="1" x14ac:dyDescent="0.45">
      <c r="A7901" t="str">
        <f>_xlfn.XLOOKUP(B7901,Ingot!$H$12:$H$119,Ingot!$G$12:$G$119,"")</f>
        <v>Cloth</v>
      </c>
      <c r="B7901" t="s">
        <v>15790</v>
      </c>
      <c r="C7901" t="s">
        <v>10</v>
      </c>
      <c r="D7901" t="s">
        <v>15881</v>
      </c>
      <c r="E7901" t="s">
        <v>15882</v>
      </c>
    </row>
    <row r="7902" spans="1:7" ht="14.25" hidden="1" customHeight="1" x14ac:dyDescent="0.45">
      <c r="A7902" t="str">
        <f>_xlfn.XLOOKUP(B7902,Ingot!$H$12:$H$119,Ingot!$G$12:$G$119,"")</f>
        <v>Cloth</v>
      </c>
      <c r="B7902" t="s">
        <v>15790</v>
      </c>
      <c r="C7902" t="s">
        <v>10</v>
      </c>
      <c r="D7902" t="s">
        <v>15883</v>
      </c>
      <c r="E7902" t="s">
        <v>15884</v>
      </c>
    </row>
    <row r="7903" spans="1:7" ht="14.25" hidden="1" customHeight="1" x14ac:dyDescent="0.45">
      <c r="A7903" t="str">
        <f>_xlfn.XLOOKUP(B7903,Ingot!$H$12:$H$119,Ingot!$G$12:$G$119,"")</f>
        <v>Cloth</v>
      </c>
      <c r="B7903" t="s">
        <v>15790</v>
      </c>
      <c r="C7903" t="s">
        <v>10</v>
      </c>
      <c r="D7903" t="s">
        <v>15885</v>
      </c>
      <c r="E7903" t="s">
        <v>15886</v>
      </c>
      <c r="G7903" s="1">
        <v>6.8</v>
      </c>
    </row>
    <row r="7904" spans="1:7" ht="14.25" hidden="1" customHeight="1" x14ac:dyDescent="0.45">
      <c r="A7904" t="str">
        <f>_xlfn.XLOOKUP(B7904,Ingot!$H$12:$H$119,Ingot!$G$12:$G$119,"")</f>
        <v>Cloth</v>
      </c>
      <c r="B7904" t="s">
        <v>15790</v>
      </c>
      <c r="C7904" t="s">
        <v>10</v>
      </c>
      <c r="D7904" t="s">
        <v>15887</v>
      </c>
      <c r="E7904" t="s">
        <v>15888</v>
      </c>
      <c r="G7904" s="1">
        <v>6.88</v>
      </c>
    </row>
    <row r="7905" spans="1:7" ht="14.25" hidden="1" customHeight="1" x14ac:dyDescent="0.45">
      <c r="A7905" t="str">
        <f>_xlfn.XLOOKUP(B7905,Ingot!$H$12:$H$119,Ingot!$G$12:$G$119,"")</f>
        <v>Cloth</v>
      </c>
      <c r="B7905" t="s">
        <v>15790</v>
      </c>
      <c r="C7905" t="s">
        <v>10</v>
      </c>
      <c r="D7905" t="s">
        <v>15889</v>
      </c>
      <c r="E7905" t="s">
        <v>15890</v>
      </c>
      <c r="G7905" s="1">
        <v>5.5</v>
      </c>
    </row>
    <row r="7906" spans="1:7" ht="14.25" hidden="1" customHeight="1" x14ac:dyDescent="0.45">
      <c r="A7906" t="str">
        <f>_xlfn.XLOOKUP(B7906,Ingot!$H$12:$H$119,Ingot!$G$12:$G$119,"")</f>
        <v>Cloth</v>
      </c>
      <c r="B7906" t="s">
        <v>15790</v>
      </c>
      <c r="C7906" t="s">
        <v>10</v>
      </c>
      <c r="D7906" t="s">
        <v>15891</v>
      </c>
      <c r="E7906" t="s">
        <v>15892</v>
      </c>
      <c r="G7906" s="1">
        <v>2.4300000000000002</v>
      </c>
    </row>
    <row r="7907" spans="1:7" ht="14.25" hidden="1" customHeight="1" x14ac:dyDescent="0.45">
      <c r="A7907" t="str">
        <f>_xlfn.XLOOKUP(B7907,Ingot!$H$12:$H$119,Ingot!$G$12:$G$119,"")</f>
        <v>Cloth</v>
      </c>
      <c r="B7907" t="s">
        <v>15790</v>
      </c>
      <c r="C7907" t="s">
        <v>10</v>
      </c>
      <c r="D7907" t="s">
        <v>15893</v>
      </c>
      <c r="E7907" t="s">
        <v>15894</v>
      </c>
      <c r="G7907" s="1">
        <v>6.96</v>
      </c>
    </row>
    <row r="7908" spans="1:7" ht="14.25" hidden="1" customHeight="1" x14ac:dyDescent="0.45">
      <c r="A7908" t="str">
        <f>_xlfn.XLOOKUP(B7908,Ingot!$H$12:$H$119,Ingot!$G$12:$G$119,"")</f>
        <v>Cloth</v>
      </c>
      <c r="B7908" t="s">
        <v>15790</v>
      </c>
      <c r="C7908" t="s">
        <v>10</v>
      </c>
      <c r="D7908" t="s">
        <v>15895</v>
      </c>
      <c r="E7908" t="s">
        <v>15896</v>
      </c>
      <c r="G7908" s="1">
        <v>6.32</v>
      </c>
    </row>
    <row r="7909" spans="1:7" ht="14.25" hidden="1" customHeight="1" x14ac:dyDescent="0.45">
      <c r="A7909" t="str">
        <f>_xlfn.XLOOKUP(B7909,Ingot!$H$12:$H$119,Ingot!$G$12:$G$119,"")</f>
        <v>Cloth</v>
      </c>
      <c r="B7909" t="s">
        <v>15790</v>
      </c>
      <c r="C7909" t="s">
        <v>10</v>
      </c>
      <c r="D7909" t="s">
        <v>15897</v>
      </c>
      <c r="E7909" t="s">
        <v>15898</v>
      </c>
      <c r="G7909" s="1">
        <v>6.88</v>
      </c>
    </row>
    <row r="7910" spans="1:7" ht="14.25" hidden="1" customHeight="1" x14ac:dyDescent="0.45">
      <c r="A7910" t="str">
        <f>_xlfn.XLOOKUP(B7910,Ingot!$H$12:$H$119,Ingot!$G$12:$G$119,"")</f>
        <v>Cloth</v>
      </c>
      <c r="B7910" t="s">
        <v>15790</v>
      </c>
      <c r="C7910" t="s">
        <v>10</v>
      </c>
      <c r="D7910" t="s">
        <v>15899</v>
      </c>
      <c r="E7910" t="s">
        <v>15900</v>
      </c>
      <c r="G7910" s="1">
        <v>2.44</v>
      </c>
    </row>
    <row r="7911" spans="1:7" ht="14.25" hidden="1" customHeight="1" x14ac:dyDescent="0.45">
      <c r="A7911" t="str">
        <f>_xlfn.XLOOKUP(B7911,Ingot!$H$12:$H$119,Ingot!$G$12:$G$119,"")</f>
        <v>Cloth</v>
      </c>
      <c r="B7911" t="s">
        <v>15790</v>
      </c>
      <c r="C7911" t="s">
        <v>10</v>
      </c>
      <c r="D7911" t="s">
        <v>15901</v>
      </c>
      <c r="E7911" t="s">
        <v>15902</v>
      </c>
    </row>
    <row r="7912" spans="1:7" ht="14.25" hidden="1" customHeight="1" x14ac:dyDescent="0.45">
      <c r="A7912" t="str">
        <f>_xlfn.XLOOKUP(B7912,Ingot!$H$12:$H$119,Ingot!$G$12:$G$119,"")</f>
        <v>Cloth</v>
      </c>
      <c r="B7912" t="s">
        <v>15790</v>
      </c>
      <c r="C7912" t="s">
        <v>10</v>
      </c>
      <c r="D7912" t="s">
        <v>15903</v>
      </c>
      <c r="E7912" t="s">
        <v>15904</v>
      </c>
    </row>
    <row r="7913" spans="1:7" ht="14.25" hidden="1" customHeight="1" x14ac:dyDescent="0.45">
      <c r="A7913" t="str">
        <f>_xlfn.XLOOKUP(B7913,Ingot!$H$12:$H$119,Ingot!$G$12:$G$119,"")</f>
        <v>Cloth</v>
      </c>
      <c r="B7913" t="s">
        <v>15790</v>
      </c>
      <c r="C7913" t="s">
        <v>10</v>
      </c>
      <c r="D7913" t="s">
        <v>15905</v>
      </c>
      <c r="E7913" t="s">
        <v>15906</v>
      </c>
      <c r="G7913" s="1">
        <v>3.11</v>
      </c>
    </row>
    <row r="7914" spans="1:7" ht="14.25" hidden="1" customHeight="1" x14ac:dyDescent="0.45">
      <c r="A7914" t="str">
        <f>_xlfn.XLOOKUP(B7914,Ingot!$H$12:$H$119,Ingot!$G$12:$G$119,"")</f>
        <v>Cloth</v>
      </c>
      <c r="B7914" t="s">
        <v>15790</v>
      </c>
      <c r="C7914" t="s">
        <v>10</v>
      </c>
      <c r="D7914" t="s">
        <v>15907</v>
      </c>
      <c r="E7914" t="s">
        <v>15908</v>
      </c>
      <c r="G7914" s="1">
        <v>2.44</v>
      </c>
    </row>
    <row r="7915" spans="1:7" ht="14.25" hidden="1" customHeight="1" x14ac:dyDescent="0.45">
      <c r="A7915" t="str">
        <f>_xlfn.XLOOKUP(B7915,Ingot!$H$12:$H$119,Ingot!$G$12:$G$119,"")</f>
        <v>Cloth</v>
      </c>
      <c r="B7915" t="s">
        <v>15790</v>
      </c>
      <c r="C7915" t="s">
        <v>10</v>
      </c>
      <c r="D7915" t="s">
        <v>15909</v>
      </c>
      <c r="E7915" t="s">
        <v>15910</v>
      </c>
      <c r="G7915" s="1">
        <v>8.61</v>
      </c>
    </row>
    <row r="7916" spans="1:7" ht="14.25" hidden="1" customHeight="1" x14ac:dyDescent="0.45">
      <c r="A7916" t="str">
        <f>_xlfn.XLOOKUP(B7916,Ingot!$H$12:$H$119,Ingot!$G$12:$G$119,"")</f>
        <v>Cloth</v>
      </c>
      <c r="B7916" t="s">
        <v>15790</v>
      </c>
      <c r="C7916" t="s">
        <v>10</v>
      </c>
      <c r="D7916" t="s">
        <v>15911</v>
      </c>
      <c r="E7916" t="s">
        <v>15912</v>
      </c>
    </row>
    <row r="7917" spans="1:7" ht="14.25" hidden="1" customHeight="1" x14ac:dyDescent="0.45">
      <c r="A7917" t="str">
        <f>_xlfn.XLOOKUP(B7917,Ingot!$H$12:$H$119,Ingot!$G$12:$G$119,"")</f>
        <v>Cloth</v>
      </c>
      <c r="B7917" t="s">
        <v>15790</v>
      </c>
      <c r="C7917" t="s">
        <v>10</v>
      </c>
      <c r="D7917" t="s">
        <v>15913</v>
      </c>
      <c r="E7917" t="s">
        <v>15914</v>
      </c>
      <c r="G7917" s="1">
        <v>3.21</v>
      </c>
    </row>
    <row r="7918" spans="1:7" ht="14.25" hidden="1" customHeight="1" x14ac:dyDescent="0.45">
      <c r="A7918" t="str">
        <f>_xlfn.XLOOKUP(B7918,Ingot!$H$12:$H$119,Ingot!$G$12:$G$119,"")</f>
        <v>Cloth</v>
      </c>
      <c r="B7918" t="s">
        <v>15790</v>
      </c>
      <c r="C7918" t="s">
        <v>10</v>
      </c>
      <c r="D7918" t="s">
        <v>15915</v>
      </c>
      <c r="E7918" t="s">
        <v>15916</v>
      </c>
      <c r="G7918" s="1">
        <v>2.77</v>
      </c>
    </row>
    <row r="7919" spans="1:7" ht="14.25" hidden="1" customHeight="1" x14ac:dyDescent="0.45">
      <c r="A7919" t="str">
        <f>_xlfn.XLOOKUP(B7919,Ingot!$H$12:$H$119,Ingot!$G$12:$G$119,"")</f>
        <v>Cloth</v>
      </c>
      <c r="B7919" t="s">
        <v>15790</v>
      </c>
      <c r="C7919" t="s">
        <v>10</v>
      </c>
      <c r="D7919" t="s">
        <v>15917</v>
      </c>
      <c r="E7919" t="s">
        <v>15918</v>
      </c>
      <c r="G7919" s="1">
        <v>4.8899999999999997</v>
      </c>
    </row>
    <row r="7920" spans="1:7" ht="14.25" hidden="1" customHeight="1" x14ac:dyDescent="0.45">
      <c r="A7920" t="str">
        <f>_xlfn.XLOOKUP(B7920,Ingot!$H$12:$H$119,Ingot!$G$12:$G$119,"")</f>
        <v>Cloth</v>
      </c>
      <c r="B7920" t="s">
        <v>15790</v>
      </c>
      <c r="C7920" t="s">
        <v>10</v>
      </c>
      <c r="D7920" t="s">
        <v>15919</v>
      </c>
      <c r="E7920" t="s">
        <v>15920</v>
      </c>
      <c r="G7920" s="1">
        <v>1.76</v>
      </c>
    </row>
    <row r="7921" spans="1:7" ht="14.25" hidden="1" customHeight="1" x14ac:dyDescent="0.45">
      <c r="A7921" t="str">
        <f>_xlfn.XLOOKUP(B7921,Ingot!$H$12:$H$119,Ingot!$G$12:$G$119,"")</f>
        <v>Cloth</v>
      </c>
      <c r="B7921" t="s">
        <v>15790</v>
      </c>
      <c r="C7921" t="s">
        <v>10</v>
      </c>
      <c r="D7921" t="s">
        <v>15921</v>
      </c>
      <c r="E7921" t="s">
        <v>15922</v>
      </c>
    </row>
    <row r="7922" spans="1:7" ht="14.25" hidden="1" customHeight="1" x14ac:dyDescent="0.45">
      <c r="A7922" t="str">
        <f>_xlfn.XLOOKUP(B7922,Ingot!$H$12:$H$119,Ingot!$G$12:$G$119,"")</f>
        <v>Cloth</v>
      </c>
      <c r="B7922" t="s">
        <v>15790</v>
      </c>
      <c r="C7922" t="s">
        <v>10</v>
      </c>
      <c r="D7922" t="s">
        <v>15923</v>
      </c>
      <c r="E7922" t="s">
        <v>15924</v>
      </c>
      <c r="G7922" s="1">
        <v>8.57</v>
      </c>
    </row>
    <row r="7923" spans="1:7" ht="14.25" hidden="1" customHeight="1" x14ac:dyDescent="0.45">
      <c r="A7923" t="str">
        <f>_xlfn.XLOOKUP(B7923,Ingot!$H$12:$H$119,Ingot!$G$12:$G$119,"")</f>
        <v>Cloth</v>
      </c>
      <c r="B7923" t="s">
        <v>15790</v>
      </c>
      <c r="C7923" t="s">
        <v>10</v>
      </c>
      <c r="D7923" t="s">
        <v>15925</v>
      </c>
      <c r="E7923" t="s">
        <v>15926</v>
      </c>
    </row>
    <row r="7924" spans="1:7" ht="14.25" hidden="1" customHeight="1" x14ac:dyDescent="0.45">
      <c r="A7924" t="str">
        <f>_xlfn.XLOOKUP(B7924,Ingot!$H$12:$H$119,Ingot!$G$12:$G$119,"")</f>
        <v>Cloth</v>
      </c>
      <c r="B7924" t="s">
        <v>15790</v>
      </c>
      <c r="C7924" t="s">
        <v>10</v>
      </c>
      <c r="D7924" t="s">
        <v>15927</v>
      </c>
      <c r="E7924" t="s">
        <v>15928</v>
      </c>
      <c r="G7924" s="1">
        <v>3.56</v>
      </c>
    </row>
    <row r="7925" spans="1:7" ht="14.25" hidden="1" customHeight="1" x14ac:dyDescent="0.45">
      <c r="A7925" t="str">
        <f>_xlfn.XLOOKUP(B7925,Ingot!$H$12:$H$119,Ingot!$G$12:$G$119,"")</f>
        <v>Cloth</v>
      </c>
      <c r="B7925" t="s">
        <v>15790</v>
      </c>
      <c r="C7925" t="s">
        <v>10</v>
      </c>
      <c r="D7925" t="s">
        <v>15929</v>
      </c>
      <c r="E7925" t="s">
        <v>15930</v>
      </c>
      <c r="G7925" s="1">
        <v>8.91</v>
      </c>
    </row>
    <row r="7926" spans="1:7" ht="14.25" hidden="1" customHeight="1" x14ac:dyDescent="0.45">
      <c r="A7926" t="str">
        <f>_xlfn.XLOOKUP(B7926,Ingot!$H$12:$H$119,Ingot!$G$12:$G$119,"")</f>
        <v>Cloth</v>
      </c>
      <c r="B7926" t="s">
        <v>15790</v>
      </c>
      <c r="C7926" t="s">
        <v>10</v>
      </c>
      <c r="D7926" t="s">
        <v>15931</v>
      </c>
      <c r="E7926" t="s">
        <v>15932</v>
      </c>
      <c r="G7926" s="1">
        <v>11.02</v>
      </c>
    </row>
    <row r="7927" spans="1:7" ht="14.25" hidden="1" customHeight="1" x14ac:dyDescent="0.45">
      <c r="A7927" t="str">
        <f>_xlfn.XLOOKUP(B7927,Ingot!$H$12:$H$119,Ingot!$G$12:$G$119,"")</f>
        <v>Cloth</v>
      </c>
      <c r="B7927" t="s">
        <v>15790</v>
      </c>
      <c r="C7927" t="s">
        <v>10</v>
      </c>
      <c r="D7927" t="s">
        <v>15933</v>
      </c>
      <c r="E7927" t="s">
        <v>15934</v>
      </c>
      <c r="G7927" s="1">
        <v>5.12</v>
      </c>
    </row>
    <row r="7928" spans="1:7" ht="14.25" hidden="1" customHeight="1" x14ac:dyDescent="0.45">
      <c r="A7928" t="str">
        <f>_xlfn.XLOOKUP(B7928,Ingot!$H$12:$H$119,Ingot!$G$12:$G$119,"")</f>
        <v>Cloth</v>
      </c>
      <c r="B7928" t="s">
        <v>15790</v>
      </c>
      <c r="C7928" t="s">
        <v>10</v>
      </c>
      <c r="D7928" t="s">
        <v>15935</v>
      </c>
      <c r="E7928" t="s">
        <v>15936</v>
      </c>
      <c r="G7928" s="1">
        <v>4.41</v>
      </c>
    </row>
    <row r="7929" spans="1:7" ht="14.25" hidden="1" customHeight="1" x14ac:dyDescent="0.45">
      <c r="A7929" t="str">
        <f>_xlfn.XLOOKUP(B7929,Ingot!$H$12:$H$119,Ingot!$G$12:$G$119,"")</f>
        <v>Cloth</v>
      </c>
      <c r="B7929" t="s">
        <v>15790</v>
      </c>
      <c r="C7929" t="s">
        <v>157</v>
      </c>
      <c r="D7929" t="s">
        <v>15937</v>
      </c>
      <c r="E7929" t="s">
        <v>15938</v>
      </c>
      <c r="G7929" s="1">
        <v>14.8</v>
      </c>
    </row>
    <row r="7930" spans="1:7" ht="14.25" hidden="1" customHeight="1" x14ac:dyDescent="0.45">
      <c r="A7930" t="str">
        <f>_xlfn.XLOOKUP(B7930,Ingot!$H$12:$H$119,Ingot!$G$12:$G$119,"")</f>
        <v>Cloth</v>
      </c>
      <c r="B7930" t="s">
        <v>15790</v>
      </c>
      <c r="C7930" t="s">
        <v>157</v>
      </c>
      <c r="D7930" t="s">
        <v>15939</v>
      </c>
      <c r="E7930" t="s">
        <v>15940</v>
      </c>
      <c r="G7930" s="1">
        <v>5</v>
      </c>
    </row>
    <row r="7931" spans="1:7" ht="14.25" hidden="1" customHeight="1" x14ac:dyDescent="0.45">
      <c r="A7931" t="str">
        <f>_xlfn.XLOOKUP(B7931,Ingot!$H$12:$H$119,Ingot!$G$12:$G$119,"")</f>
        <v>Cloth</v>
      </c>
      <c r="B7931" t="s">
        <v>15790</v>
      </c>
      <c r="C7931" t="s">
        <v>157</v>
      </c>
      <c r="D7931" t="s">
        <v>15941</v>
      </c>
      <c r="E7931" t="s">
        <v>15942</v>
      </c>
      <c r="G7931" s="1">
        <v>5</v>
      </c>
    </row>
    <row r="7932" spans="1:7" ht="14.25" hidden="1" customHeight="1" x14ac:dyDescent="0.45">
      <c r="A7932" t="str">
        <f>_xlfn.XLOOKUP(B7932,Ingot!$H$12:$H$119,Ingot!$G$12:$G$119,"")</f>
        <v>Cloth</v>
      </c>
      <c r="B7932" t="s">
        <v>15790</v>
      </c>
      <c r="C7932" t="s">
        <v>157</v>
      </c>
      <c r="D7932" t="s">
        <v>15943</v>
      </c>
      <c r="E7932" t="s">
        <v>15944</v>
      </c>
      <c r="G7932" s="1">
        <v>5</v>
      </c>
    </row>
    <row r="7933" spans="1:7" ht="14.25" hidden="1" customHeight="1" x14ac:dyDescent="0.45">
      <c r="A7933" t="str">
        <f>_xlfn.XLOOKUP(B7933,Ingot!$H$12:$H$119,Ingot!$G$12:$G$119,"")</f>
        <v>Cloth</v>
      </c>
      <c r="B7933" t="s">
        <v>15790</v>
      </c>
      <c r="C7933" t="s">
        <v>157</v>
      </c>
      <c r="D7933" t="s">
        <v>15945</v>
      </c>
      <c r="E7933" t="s">
        <v>15946</v>
      </c>
      <c r="G7933" s="1">
        <v>10</v>
      </c>
    </row>
    <row r="7934" spans="1:7" ht="14.25" hidden="1" customHeight="1" x14ac:dyDescent="0.45">
      <c r="A7934" t="str">
        <f>_xlfn.XLOOKUP(B7934,Ingot!$H$12:$H$119,Ingot!$G$12:$G$119,"")</f>
        <v>Cloth</v>
      </c>
      <c r="B7934" t="s">
        <v>15790</v>
      </c>
      <c r="C7934" t="s">
        <v>157</v>
      </c>
      <c r="D7934" t="s">
        <v>15947</v>
      </c>
      <c r="E7934" t="s">
        <v>15948</v>
      </c>
      <c r="G7934" s="1">
        <v>13.2</v>
      </c>
    </row>
    <row r="7935" spans="1:7" ht="14.25" hidden="1" customHeight="1" x14ac:dyDescent="0.45">
      <c r="A7935" t="str">
        <f>_xlfn.XLOOKUP(B7935,Ingot!$H$12:$H$119,Ingot!$G$12:$G$119,"")</f>
        <v>Cloth</v>
      </c>
      <c r="B7935" t="s">
        <v>15790</v>
      </c>
      <c r="C7935" t="s">
        <v>157</v>
      </c>
      <c r="D7935" t="s">
        <v>15949</v>
      </c>
      <c r="E7935" t="s">
        <v>15950</v>
      </c>
      <c r="G7935" s="1">
        <v>5</v>
      </c>
    </row>
    <row r="7936" spans="1:7" ht="14.25" hidden="1" customHeight="1" x14ac:dyDescent="0.45">
      <c r="A7936" t="str">
        <f>_xlfn.XLOOKUP(B7936,Ingot!$H$12:$H$119,Ingot!$G$12:$G$119,"")</f>
        <v>Cloth</v>
      </c>
      <c r="B7936" t="s">
        <v>15790</v>
      </c>
      <c r="C7936" t="s">
        <v>157</v>
      </c>
      <c r="D7936" t="s">
        <v>15951</v>
      </c>
      <c r="E7936" t="s">
        <v>15952</v>
      </c>
      <c r="G7936" s="1">
        <v>5</v>
      </c>
    </row>
    <row r="7937" spans="1:7" ht="14.25" hidden="1" customHeight="1" x14ac:dyDescent="0.45">
      <c r="A7937" t="str">
        <f>_xlfn.XLOOKUP(B7937,Ingot!$H$12:$H$119,Ingot!$G$12:$G$119,"")</f>
        <v>Cloth</v>
      </c>
      <c r="B7937" t="s">
        <v>15790</v>
      </c>
      <c r="C7937" t="s">
        <v>157</v>
      </c>
      <c r="D7937" t="s">
        <v>15953</v>
      </c>
      <c r="E7937" t="s">
        <v>15954</v>
      </c>
      <c r="G7937" s="1">
        <v>5</v>
      </c>
    </row>
    <row r="7938" spans="1:7" ht="14.25" hidden="1" customHeight="1" x14ac:dyDescent="0.45">
      <c r="A7938" t="str">
        <f>_xlfn.XLOOKUP(B7938,Ingot!$H$12:$H$119,Ingot!$G$12:$G$119,"")</f>
        <v>Cloth</v>
      </c>
      <c r="B7938" t="s">
        <v>15790</v>
      </c>
      <c r="C7938" t="s">
        <v>157</v>
      </c>
      <c r="D7938" t="s">
        <v>15955</v>
      </c>
      <c r="E7938" t="s">
        <v>15956</v>
      </c>
      <c r="G7938" s="1">
        <v>10</v>
      </c>
    </row>
    <row r="7939" spans="1:7" ht="14.25" hidden="1" customHeight="1" x14ac:dyDescent="0.45">
      <c r="A7939" t="str">
        <f>_xlfn.XLOOKUP(B7939,Ingot!$H$12:$H$119,Ingot!$G$12:$G$119,"")</f>
        <v>Cloth</v>
      </c>
      <c r="B7939" t="s">
        <v>15790</v>
      </c>
      <c r="C7939" t="s">
        <v>157</v>
      </c>
      <c r="D7939" t="s">
        <v>15957</v>
      </c>
      <c r="E7939" t="s">
        <v>15958</v>
      </c>
      <c r="G7939" s="1">
        <v>12.8</v>
      </c>
    </row>
    <row r="7940" spans="1:7" ht="14.25" hidden="1" customHeight="1" x14ac:dyDescent="0.45">
      <c r="A7940" t="str">
        <f>_xlfn.XLOOKUP(B7940,Ingot!$H$12:$H$119,Ingot!$G$12:$G$119,"")</f>
        <v>Cloth</v>
      </c>
      <c r="B7940" t="s">
        <v>15790</v>
      </c>
      <c r="C7940" t="s">
        <v>157</v>
      </c>
      <c r="D7940" t="s">
        <v>15959</v>
      </c>
      <c r="E7940" t="s">
        <v>15960</v>
      </c>
      <c r="G7940" s="1">
        <v>5</v>
      </c>
    </row>
    <row r="7941" spans="1:7" ht="14.25" hidden="1" customHeight="1" x14ac:dyDescent="0.45">
      <c r="A7941" t="str">
        <f>_xlfn.XLOOKUP(B7941,Ingot!$H$12:$H$119,Ingot!$G$12:$G$119,"")</f>
        <v>Cloth</v>
      </c>
      <c r="B7941" t="s">
        <v>15790</v>
      </c>
      <c r="C7941" t="s">
        <v>157</v>
      </c>
      <c r="D7941" t="s">
        <v>15961</v>
      </c>
      <c r="E7941" t="s">
        <v>15962</v>
      </c>
      <c r="G7941" s="1">
        <v>5</v>
      </c>
    </row>
    <row r="7942" spans="1:7" ht="14.25" hidden="1" customHeight="1" x14ac:dyDescent="0.45">
      <c r="A7942" t="str">
        <f>_xlfn.XLOOKUP(B7942,Ingot!$H$12:$H$119,Ingot!$G$12:$G$119,"")</f>
        <v>Cloth</v>
      </c>
      <c r="B7942" t="s">
        <v>15790</v>
      </c>
      <c r="C7942" t="s">
        <v>157</v>
      </c>
      <c r="D7942" t="s">
        <v>15963</v>
      </c>
      <c r="E7942" t="s">
        <v>15964</v>
      </c>
      <c r="G7942" s="1">
        <v>5</v>
      </c>
    </row>
    <row r="7943" spans="1:7" ht="14.25" hidden="1" customHeight="1" x14ac:dyDescent="0.45">
      <c r="A7943" t="str">
        <f>_xlfn.XLOOKUP(B7943,Ingot!$H$12:$H$119,Ingot!$G$12:$G$119,"")</f>
        <v>Cloth</v>
      </c>
      <c r="B7943" t="s">
        <v>15790</v>
      </c>
      <c r="C7943" t="s">
        <v>157</v>
      </c>
      <c r="D7943" t="s">
        <v>15965</v>
      </c>
      <c r="E7943" t="s">
        <v>15966</v>
      </c>
      <c r="G7943" s="1">
        <v>10</v>
      </c>
    </row>
    <row r="7944" spans="1:7" ht="14.25" hidden="1" customHeight="1" x14ac:dyDescent="0.45">
      <c r="A7944" t="str">
        <f>_xlfn.XLOOKUP(B7944,Ingot!$H$12:$H$119,Ingot!$G$12:$G$119,"")</f>
        <v>Cloth</v>
      </c>
      <c r="B7944" t="s">
        <v>15790</v>
      </c>
      <c r="C7944" t="s">
        <v>157</v>
      </c>
      <c r="D7944" t="s">
        <v>15967</v>
      </c>
      <c r="E7944" t="s">
        <v>15968</v>
      </c>
      <c r="G7944" s="1">
        <v>13.5</v>
      </c>
    </row>
    <row r="7945" spans="1:7" ht="14.25" hidden="1" customHeight="1" x14ac:dyDescent="0.45">
      <c r="A7945" t="str">
        <f>_xlfn.XLOOKUP(B7945,Ingot!$H$12:$H$119,Ingot!$G$12:$G$119,"")</f>
        <v>Cloth</v>
      </c>
      <c r="B7945" t="s">
        <v>15790</v>
      </c>
      <c r="C7945" t="s">
        <v>157</v>
      </c>
      <c r="D7945" t="s">
        <v>15969</v>
      </c>
      <c r="E7945" t="s">
        <v>15970</v>
      </c>
      <c r="G7945" s="1">
        <v>5</v>
      </c>
    </row>
    <row r="7946" spans="1:7" ht="14.25" customHeight="1" x14ac:dyDescent="0.45">
      <c r="A7946" t="str">
        <f>_xlfn.XLOOKUP(B7946,Ingot!$H$12:$H$119,Ingot!$G$12:$G$119,"")</f>
        <v>Cloth</v>
      </c>
      <c r="B7946" t="s">
        <v>15790</v>
      </c>
      <c r="C7946" t="s">
        <v>157</v>
      </c>
      <c r="D7946" t="s">
        <v>15971</v>
      </c>
      <c r="E7946" t="s">
        <v>15972</v>
      </c>
      <c r="G7946" s="1">
        <v>5</v>
      </c>
    </row>
    <row r="7947" spans="1:7" ht="14.25" customHeight="1" x14ac:dyDescent="0.45">
      <c r="A7947" t="str">
        <f>_xlfn.XLOOKUP(B7947,Ingot!$H$12:$H$119,Ingot!$G$12:$G$119,"")</f>
        <v>Cloth</v>
      </c>
      <c r="B7947" t="s">
        <v>15790</v>
      </c>
      <c r="C7947" t="s">
        <v>157</v>
      </c>
      <c r="D7947" t="s">
        <v>15973</v>
      </c>
      <c r="E7947" t="s">
        <v>15974</v>
      </c>
      <c r="G7947" s="1">
        <v>5</v>
      </c>
    </row>
    <row r="7948" spans="1:7" ht="14.25" customHeight="1" x14ac:dyDescent="0.45">
      <c r="A7948" t="str">
        <f>_xlfn.XLOOKUP(B7948,Ingot!$H$12:$H$119,Ingot!$G$12:$G$119,"")</f>
        <v>Cloth</v>
      </c>
      <c r="B7948" t="s">
        <v>15790</v>
      </c>
      <c r="C7948" t="s">
        <v>157</v>
      </c>
      <c r="D7948" t="s">
        <v>15975</v>
      </c>
      <c r="E7948" t="s">
        <v>15976</v>
      </c>
      <c r="G7948" s="1">
        <v>10</v>
      </c>
    </row>
    <row r="7949" spans="1:7" ht="14.25" customHeight="1" x14ac:dyDescent="0.45">
      <c r="A7949" t="str">
        <f>_xlfn.XLOOKUP(B7949,Ingot!$H$12:$H$119,Ingot!$G$12:$G$119,"")</f>
        <v>Cloth</v>
      </c>
      <c r="B7949" t="s">
        <v>15790</v>
      </c>
      <c r="C7949" t="s">
        <v>157</v>
      </c>
      <c r="D7949" t="s">
        <v>15977</v>
      </c>
      <c r="E7949" t="s">
        <v>15978</v>
      </c>
      <c r="G7949" s="1">
        <v>14</v>
      </c>
    </row>
    <row r="7950" spans="1:7" ht="14.25" customHeight="1" x14ac:dyDescent="0.45">
      <c r="A7950" t="str">
        <f>_xlfn.XLOOKUP(B7950,Ingot!$H$12:$H$119,Ingot!$G$12:$G$119,"")</f>
        <v>Cloth</v>
      </c>
      <c r="B7950" t="s">
        <v>15790</v>
      </c>
      <c r="C7950" t="s">
        <v>157</v>
      </c>
      <c r="D7950" t="s">
        <v>15979</v>
      </c>
      <c r="E7950" t="s">
        <v>15980</v>
      </c>
      <c r="G7950" s="1">
        <v>5</v>
      </c>
    </row>
    <row r="7951" spans="1:7" ht="14.25" customHeight="1" x14ac:dyDescent="0.45">
      <c r="A7951" t="str">
        <f>_xlfn.XLOOKUP(B7951,Ingot!$H$12:$H$119,Ingot!$G$12:$G$119,"")</f>
        <v>Cloth</v>
      </c>
      <c r="B7951" t="s">
        <v>15790</v>
      </c>
      <c r="C7951" t="s">
        <v>157</v>
      </c>
      <c r="D7951" t="s">
        <v>15981</v>
      </c>
      <c r="E7951" t="s">
        <v>15982</v>
      </c>
      <c r="G7951" s="1">
        <v>5</v>
      </c>
    </row>
    <row r="7952" spans="1:7" ht="14.25" customHeight="1" x14ac:dyDescent="0.45">
      <c r="A7952" t="str">
        <f>_xlfn.XLOOKUP(B7952,Ingot!$H$12:$H$119,Ingot!$G$12:$G$119,"")</f>
        <v>Cloth</v>
      </c>
      <c r="B7952" t="s">
        <v>15790</v>
      </c>
      <c r="C7952" t="s">
        <v>157</v>
      </c>
      <c r="D7952" t="s">
        <v>15983</v>
      </c>
      <c r="E7952" t="s">
        <v>15984</v>
      </c>
      <c r="G7952" s="1">
        <v>5</v>
      </c>
    </row>
    <row r="7953" spans="1:7" ht="14.25" customHeight="1" x14ac:dyDescent="0.45">
      <c r="A7953" t="str">
        <f>_xlfn.XLOOKUP(B7953,Ingot!$H$12:$H$119,Ingot!$G$12:$G$119,"")</f>
        <v>Cloth</v>
      </c>
      <c r="B7953" t="s">
        <v>15790</v>
      </c>
      <c r="C7953" t="s">
        <v>157</v>
      </c>
      <c r="D7953" t="s">
        <v>15985</v>
      </c>
      <c r="E7953" t="s">
        <v>15986</v>
      </c>
      <c r="G7953" s="1">
        <v>10</v>
      </c>
    </row>
    <row r="7954" spans="1:7" ht="14.25" customHeight="1" x14ac:dyDescent="0.45">
      <c r="A7954" t="str">
        <f>_xlfn.XLOOKUP(B7954,Ingot!$H$12:$H$119,Ingot!$G$12:$G$119,"")</f>
        <v>Cloth</v>
      </c>
      <c r="B7954" t="s">
        <v>15790</v>
      </c>
      <c r="C7954" t="s">
        <v>157</v>
      </c>
      <c r="D7954" t="s">
        <v>15987</v>
      </c>
      <c r="E7954" t="s">
        <v>15988</v>
      </c>
      <c r="G7954" s="1">
        <v>16.399999999999999</v>
      </c>
    </row>
    <row r="7955" spans="1:7" ht="14.25" customHeight="1" x14ac:dyDescent="0.45">
      <c r="A7955" t="str">
        <f>_xlfn.XLOOKUP(B7955,Ingot!$H$12:$H$119,Ingot!$G$12:$G$119,"")</f>
        <v>Cloth</v>
      </c>
      <c r="B7955" t="s">
        <v>15790</v>
      </c>
      <c r="C7955" t="s">
        <v>157</v>
      </c>
      <c r="D7955" t="s">
        <v>15989</v>
      </c>
      <c r="E7955" t="s">
        <v>15990</v>
      </c>
      <c r="G7955" s="1">
        <v>5</v>
      </c>
    </row>
    <row r="7956" spans="1:7" ht="14.25" customHeight="1" x14ac:dyDescent="0.45">
      <c r="A7956" t="str">
        <f>_xlfn.XLOOKUP(B7956,Ingot!$H$12:$H$119,Ingot!$G$12:$G$119,"")</f>
        <v>Cloth</v>
      </c>
      <c r="B7956" t="s">
        <v>15790</v>
      </c>
      <c r="C7956" t="s">
        <v>157</v>
      </c>
      <c r="D7956" t="s">
        <v>15991</v>
      </c>
      <c r="E7956" t="s">
        <v>15992</v>
      </c>
      <c r="G7956" s="1">
        <v>5</v>
      </c>
    </row>
    <row r="7957" spans="1:7" ht="14.25" customHeight="1" x14ac:dyDescent="0.45">
      <c r="A7957" t="str">
        <f>_xlfn.XLOOKUP(B7957,Ingot!$H$12:$H$119,Ingot!$G$12:$G$119,"")</f>
        <v>Cloth</v>
      </c>
      <c r="B7957" t="s">
        <v>15790</v>
      </c>
      <c r="C7957" t="s">
        <v>157</v>
      </c>
      <c r="D7957" t="s">
        <v>15993</v>
      </c>
      <c r="E7957" t="s">
        <v>15994</v>
      </c>
      <c r="G7957" s="1">
        <v>5</v>
      </c>
    </row>
    <row r="7958" spans="1:7" ht="14.25" customHeight="1" x14ac:dyDescent="0.45">
      <c r="A7958" t="str">
        <f>_xlfn.XLOOKUP(B7958,Ingot!$H$12:$H$119,Ingot!$G$12:$G$119,"")</f>
        <v>Cloth</v>
      </c>
      <c r="B7958" t="s">
        <v>15790</v>
      </c>
      <c r="C7958" t="s">
        <v>157</v>
      </c>
      <c r="D7958" t="s">
        <v>15995</v>
      </c>
      <c r="E7958" t="s">
        <v>15996</v>
      </c>
      <c r="G7958" s="1">
        <v>10</v>
      </c>
    </row>
    <row r="7959" spans="1:7" ht="14.25" customHeight="1" x14ac:dyDescent="0.45">
      <c r="A7959" t="str">
        <f>_xlfn.XLOOKUP(B7959,Ingot!$H$12:$H$119,Ingot!$G$12:$G$119,"")</f>
        <v>Cloth</v>
      </c>
      <c r="B7959" t="s">
        <v>15790</v>
      </c>
      <c r="C7959" t="s">
        <v>157</v>
      </c>
      <c r="D7959" t="s">
        <v>15997</v>
      </c>
      <c r="E7959" t="s">
        <v>15998</v>
      </c>
      <c r="G7959" s="1">
        <v>15.5</v>
      </c>
    </row>
    <row r="7960" spans="1:7" ht="14.25" customHeight="1" x14ac:dyDescent="0.45">
      <c r="A7960" t="str">
        <f>_xlfn.XLOOKUP(B7960,Ingot!$H$12:$H$119,Ingot!$G$12:$G$119,"")</f>
        <v>Cloth</v>
      </c>
      <c r="B7960" t="s">
        <v>15790</v>
      </c>
      <c r="C7960" t="s">
        <v>157</v>
      </c>
      <c r="D7960" t="s">
        <v>15999</v>
      </c>
      <c r="E7960" t="s">
        <v>16000</v>
      </c>
      <c r="G7960" s="1">
        <v>5</v>
      </c>
    </row>
    <row r="7961" spans="1:7" ht="14.25" customHeight="1" x14ac:dyDescent="0.45">
      <c r="A7961" t="str">
        <f>_xlfn.XLOOKUP(B7961,Ingot!$H$12:$H$119,Ingot!$G$12:$G$119,"")</f>
        <v>Cloth</v>
      </c>
      <c r="B7961" t="s">
        <v>15790</v>
      </c>
      <c r="C7961" t="s">
        <v>157</v>
      </c>
      <c r="D7961" t="s">
        <v>16001</v>
      </c>
      <c r="E7961" t="s">
        <v>16002</v>
      </c>
      <c r="G7961" s="1">
        <v>5</v>
      </c>
    </row>
    <row r="7962" spans="1:7" ht="14.25" customHeight="1" x14ac:dyDescent="0.45">
      <c r="A7962" t="str">
        <f>_xlfn.XLOOKUP(B7962,Ingot!$H$12:$H$119,Ingot!$G$12:$G$119,"")</f>
        <v>Cloth</v>
      </c>
      <c r="B7962" t="s">
        <v>15790</v>
      </c>
      <c r="C7962" t="s">
        <v>157</v>
      </c>
      <c r="D7962" t="s">
        <v>16003</v>
      </c>
      <c r="E7962" t="s">
        <v>16004</v>
      </c>
      <c r="G7962" s="1">
        <v>5</v>
      </c>
    </row>
    <row r="7963" spans="1:7" ht="14.25" customHeight="1" x14ac:dyDescent="0.45">
      <c r="A7963" t="str">
        <f>_xlfn.XLOOKUP(B7963,Ingot!$H$12:$H$119,Ingot!$G$12:$G$119,"")</f>
        <v>Cloth</v>
      </c>
      <c r="B7963" t="s">
        <v>15790</v>
      </c>
      <c r="C7963" t="s">
        <v>157</v>
      </c>
      <c r="D7963" t="s">
        <v>16005</v>
      </c>
      <c r="E7963" t="s">
        <v>16006</v>
      </c>
      <c r="G7963" s="1">
        <v>10</v>
      </c>
    </row>
    <row r="7964" spans="1:7" ht="14.25" customHeight="1" x14ac:dyDescent="0.45">
      <c r="A7964" t="str">
        <f>_xlfn.XLOOKUP(B7964,Ingot!$H$12:$H$119,Ingot!$G$12:$G$119,"")</f>
        <v>Cloth</v>
      </c>
      <c r="B7964" t="s">
        <v>15790</v>
      </c>
      <c r="C7964" t="s">
        <v>157</v>
      </c>
      <c r="D7964" t="s">
        <v>16007</v>
      </c>
      <c r="E7964" t="s">
        <v>16008</v>
      </c>
      <c r="G7964" s="1">
        <v>12.6</v>
      </c>
    </row>
    <row r="7965" spans="1:7" ht="14.25" customHeight="1" x14ac:dyDescent="0.45">
      <c r="A7965" t="str">
        <f>_xlfn.XLOOKUP(B7965,Ingot!$H$12:$H$119,Ingot!$G$12:$G$119,"")</f>
        <v>Cloth</v>
      </c>
      <c r="B7965" t="s">
        <v>15790</v>
      </c>
      <c r="C7965" t="s">
        <v>157</v>
      </c>
      <c r="D7965" t="s">
        <v>16009</v>
      </c>
      <c r="E7965" t="s">
        <v>16010</v>
      </c>
      <c r="G7965" s="1">
        <v>5</v>
      </c>
    </row>
    <row r="7966" spans="1:7" ht="14.25" customHeight="1" x14ac:dyDescent="0.45">
      <c r="A7966" t="str">
        <f>_xlfn.XLOOKUP(B7966,Ingot!$H$12:$H$119,Ingot!$G$12:$G$119,"")</f>
        <v>Cloth</v>
      </c>
      <c r="B7966" t="s">
        <v>15790</v>
      </c>
      <c r="C7966" t="s">
        <v>157</v>
      </c>
      <c r="D7966" t="s">
        <v>16011</v>
      </c>
      <c r="E7966" t="s">
        <v>16012</v>
      </c>
      <c r="G7966" s="1">
        <v>5</v>
      </c>
    </row>
    <row r="7967" spans="1:7" ht="14.25" customHeight="1" x14ac:dyDescent="0.45">
      <c r="A7967" t="str">
        <f>_xlfn.XLOOKUP(B7967,Ingot!$H$12:$H$119,Ingot!$G$12:$G$119,"")</f>
        <v>Cloth</v>
      </c>
      <c r="B7967" t="s">
        <v>15790</v>
      </c>
      <c r="C7967" t="s">
        <v>157</v>
      </c>
      <c r="D7967" t="s">
        <v>16013</v>
      </c>
      <c r="E7967" t="s">
        <v>16014</v>
      </c>
      <c r="G7967" s="1">
        <v>5</v>
      </c>
    </row>
    <row r="7968" spans="1:7" ht="14.25" customHeight="1" x14ac:dyDescent="0.45">
      <c r="A7968" t="str">
        <f>_xlfn.XLOOKUP(B7968,Ingot!$H$12:$H$119,Ingot!$G$12:$G$119,"")</f>
        <v>Cloth</v>
      </c>
      <c r="B7968" t="s">
        <v>15790</v>
      </c>
      <c r="C7968" t="s">
        <v>157</v>
      </c>
      <c r="D7968" t="s">
        <v>16015</v>
      </c>
      <c r="E7968" t="s">
        <v>16016</v>
      </c>
      <c r="G7968" s="1">
        <v>10</v>
      </c>
    </row>
    <row r="7969" spans="1:7" ht="14.25" customHeight="1" x14ac:dyDescent="0.45">
      <c r="A7969" t="str">
        <f>_xlfn.XLOOKUP(B7969,Ingot!$H$12:$H$119,Ingot!$G$12:$G$119,"")</f>
        <v>Cloth</v>
      </c>
      <c r="B7969" t="s">
        <v>15790</v>
      </c>
      <c r="C7969" t="s">
        <v>239</v>
      </c>
      <c r="D7969" t="s">
        <v>16017</v>
      </c>
      <c r="E7969" t="s">
        <v>16018</v>
      </c>
    </row>
    <row r="7970" spans="1:7" ht="14.25" customHeight="1" x14ac:dyDescent="0.45">
      <c r="A7970" t="str">
        <f>_xlfn.XLOOKUP(B7970,Ingot!$H$12:$H$119,Ingot!$G$12:$G$119,"")</f>
        <v>Cloth</v>
      </c>
      <c r="B7970" t="s">
        <v>15790</v>
      </c>
      <c r="C7970" t="s">
        <v>239</v>
      </c>
      <c r="D7970" t="s">
        <v>16019</v>
      </c>
      <c r="E7970" t="s">
        <v>16020</v>
      </c>
    </row>
    <row r="7971" spans="1:7" ht="14.25" customHeight="1" x14ac:dyDescent="0.45">
      <c r="A7971" t="str">
        <f>_xlfn.XLOOKUP(B7971,Ingot!$H$12:$H$119,Ingot!$G$12:$G$119,"")</f>
        <v>Cloth</v>
      </c>
      <c r="B7971" t="s">
        <v>15790</v>
      </c>
      <c r="C7971" t="s">
        <v>239</v>
      </c>
      <c r="D7971" t="s">
        <v>16021</v>
      </c>
      <c r="E7971" t="s">
        <v>16022</v>
      </c>
    </row>
    <row r="7972" spans="1:7" ht="14.25" customHeight="1" x14ac:dyDescent="0.45">
      <c r="A7972" t="str">
        <f>_xlfn.XLOOKUP(B7972,Ingot!$H$12:$H$119,Ingot!$G$12:$G$119,"")</f>
        <v>Cloth</v>
      </c>
      <c r="B7972" t="s">
        <v>15790</v>
      </c>
      <c r="C7972" t="s">
        <v>239</v>
      </c>
      <c r="D7972" t="s">
        <v>16023</v>
      </c>
      <c r="E7972" t="s">
        <v>16024</v>
      </c>
    </row>
    <row r="7973" spans="1:7" ht="14.25" customHeight="1" x14ac:dyDescent="0.45">
      <c r="A7973" t="str">
        <f>_xlfn.XLOOKUP(B7973,Ingot!$H$12:$H$119,Ingot!$G$12:$G$119,"")</f>
        <v>Cloth</v>
      </c>
      <c r="B7973" t="s">
        <v>15790</v>
      </c>
      <c r="C7973" t="s">
        <v>239</v>
      </c>
      <c r="D7973" t="s">
        <v>16025</v>
      </c>
      <c r="E7973" t="s">
        <v>16026</v>
      </c>
    </row>
    <row r="7974" spans="1:7" ht="14.25" customHeight="1" x14ac:dyDescent="0.45">
      <c r="A7974" t="str">
        <f>_xlfn.XLOOKUP(B7974,Ingot!$H$12:$H$119,Ingot!$G$12:$G$119,"")</f>
        <v>Cloth</v>
      </c>
      <c r="B7974" t="s">
        <v>15790</v>
      </c>
      <c r="C7974" t="s">
        <v>239</v>
      </c>
      <c r="D7974" t="s">
        <v>16027</v>
      </c>
      <c r="E7974" t="s">
        <v>16028</v>
      </c>
    </row>
    <row r="7975" spans="1:7" ht="14.25" customHeight="1" x14ac:dyDescent="0.45">
      <c r="A7975" t="str">
        <f>_xlfn.XLOOKUP(B7975,Ingot!$H$12:$H$119,Ingot!$G$12:$G$119,"")</f>
        <v>Cloth</v>
      </c>
      <c r="B7975" t="s">
        <v>16029</v>
      </c>
      <c r="C7975" t="s">
        <v>10</v>
      </c>
      <c r="D7975" t="s">
        <v>16030</v>
      </c>
      <c r="E7975" t="s">
        <v>16031</v>
      </c>
      <c r="G7975" s="1">
        <v>0.08</v>
      </c>
    </row>
    <row r="7976" spans="1:7" ht="14.25" customHeight="1" x14ac:dyDescent="0.45">
      <c r="A7976" t="str">
        <f>_xlfn.XLOOKUP(B7976,Ingot!$H$12:$H$119,Ingot!$G$12:$G$119,"")</f>
        <v>Cloth</v>
      </c>
      <c r="B7976" t="s">
        <v>16029</v>
      </c>
      <c r="C7976" t="s">
        <v>10</v>
      </c>
      <c r="D7976" t="s">
        <v>16032</v>
      </c>
      <c r="E7976" t="s">
        <v>16033</v>
      </c>
      <c r="G7976" s="1">
        <v>9.9</v>
      </c>
    </row>
    <row r="7977" spans="1:7" ht="14.25" customHeight="1" x14ac:dyDescent="0.45">
      <c r="A7977" t="str">
        <f>_xlfn.XLOOKUP(B7977,Ingot!$H$12:$H$119,Ingot!$G$12:$G$119,"")</f>
        <v>Cloth</v>
      </c>
      <c r="B7977" t="s">
        <v>16029</v>
      </c>
      <c r="C7977" t="s">
        <v>10</v>
      </c>
      <c r="D7977" t="s">
        <v>16034</v>
      </c>
      <c r="E7977" t="s">
        <v>16035</v>
      </c>
      <c r="G7977" s="1">
        <v>5.66</v>
      </c>
    </row>
    <row r="7978" spans="1:7" ht="14.25" customHeight="1" x14ac:dyDescent="0.45">
      <c r="A7978" t="str">
        <f>_xlfn.XLOOKUP(B7978,Ingot!$H$12:$H$119,Ingot!$G$12:$G$119,"")</f>
        <v>Cloth</v>
      </c>
      <c r="B7978" t="s">
        <v>16029</v>
      </c>
      <c r="C7978" t="s">
        <v>10</v>
      </c>
      <c r="D7978" t="s">
        <v>16036</v>
      </c>
      <c r="E7978" t="s">
        <v>16037</v>
      </c>
      <c r="G7978" s="1">
        <v>3.3</v>
      </c>
    </row>
    <row r="7979" spans="1:7" ht="14.25" customHeight="1" x14ac:dyDescent="0.45">
      <c r="A7979" t="str">
        <f>_xlfn.XLOOKUP(B7979,Ingot!$H$12:$H$119,Ingot!$G$12:$G$119,"")</f>
        <v>Cloth</v>
      </c>
      <c r="B7979" t="s">
        <v>16029</v>
      </c>
      <c r="C7979" t="s">
        <v>10</v>
      </c>
      <c r="D7979" t="s">
        <v>16038</v>
      </c>
      <c r="E7979" t="s">
        <v>16039</v>
      </c>
      <c r="G7979" s="1">
        <v>0.66</v>
      </c>
    </row>
    <row r="7980" spans="1:7" ht="14.25" customHeight="1" x14ac:dyDescent="0.45">
      <c r="A7980" t="str">
        <f>_xlfn.XLOOKUP(B7980,Ingot!$H$12:$H$119,Ingot!$G$12:$G$119,"")</f>
        <v>Cloth</v>
      </c>
      <c r="B7980" t="s">
        <v>16029</v>
      </c>
      <c r="C7980" t="s">
        <v>10</v>
      </c>
      <c r="D7980" t="s">
        <v>16040</v>
      </c>
      <c r="E7980" t="s">
        <v>16041</v>
      </c>
      <c r="G7980" s="1">
        <v>0.04</v>
      </c>
    </row>
    <row r="7981" spans="1:7" ht="14.25" customHeight="1" x14ac:dyDescent="0.45">
      <c r="A7981" t="str">
        <f>_xlfn.XLOOKUP(B7981,Ingot!$H$12:$H$119,Ingot!$G$12:$G$119,"")</f>
        <v>Cloth</v>
      </c>
      <c r="B7981" t="s">
        <v>16029</v>
      </c>
      <c r="C7981" t="s">
        <v>10</v>
      </c>
      <c r="D7981" t="s">
        <v>16042</v>
      </c>
      <c r="E7981" t="s">
        <v>16043</v>
      </c>
      <c r="G7981" s="1">
        <v>0.33</v>
      </c>
    </row>
    <row r="7982" spans="1:7" ht="14.25" customHeight="1" x14ac:dyDescent="0.45">
      <c r="A7982" t="str">
        <f>_xlfn.XLOOKUP(B7982,Ingot!$H$12:$H$119,Ingot!$G$12:$G$119,"")</f>
        <v>Cloth</v>
      </c>
      <c r="B7982" t="s">
        <v>16029</v>
      </c>
      <c r="C7982" t="s">
        <v>10</v>
      </c>
      <c r="D7982" t="s">
        <v>16044</v>
      </c>
      <c r="E7982" t="s">
        <v>16045</v>
      </c>
    </row>
    <row r="7983" spans="1:7" ht="14.25" customHeight="1" x14ac:dyDescent="0.45">
      <c r="A7983" t="str">
        <f>_xlfn.XLOOKUP(B7983,Ingot!$H$12:$H$119,Ingot!$G$12:$G$119,"")</f>
        <v>Cloth</v>
      </c>
      <c r="B7983" t="s">
        <v>16029</v>
      </c>
      <c r="C7983" t="s">
        <v>10</v>
      </c>
      <c r="D7983" t="s">
        <v>16046</v>
      </c>
      <c r="E7983" t="s">
        <v>16047</v>
      </c>
      <c r="G7983" s="1">
        <v>0.05</v>
      </c>
    </row>
    <row r="7984" spans="1:7" ht="14.25" customHeight="1" x14ac:dyDescent="0.45">
      <c r="A7984" t="str">
        <f>_xlfn.XLOOKUP(B7984,Ingot!$H$12:$H$119,Ingot!$G$12:$G$119,"")</f>
        <v>Cloth</v>
      </c>
      <c r="B7984" t="s">
        <v>16029</v>
      </c>
      <c r="C7984" t="s">
        <v>10</v>
      </c>
      <c r="D7984" t="s">
        <v>16048</v>
      </c>
      <c r="E7984" t="s">
        <v>16049</v>
      </c>
      <c r="G7984" s="1">
        <v>0.66</v>
      </c>
    </row>
    <row r="7985" spans="1:7" ht="14.25" customHeight="1" x14ac:dyDescent="0.45">
      <c r="A7985" t="str">
        <f>_xlfn.XLOOKUP(B7985,Ingot!$H$12:$H$119,Ingot!$G$12:$G$119,"")</f>
        <v>Cloth</v>
      </c>
      <c r="B7985" t="s">
        <v>16029</v>
      </c>
      <c r="C7985" t="s">
        <v>10</v>
      </c>
      <c r="D7985" t="s">
        <v>16050</v>
      </c>
      <c r="E7985" t="s">
        <v>16051</v>
      </c>
      <c r="G7985" s="1">
        <v>3.96</v>
      </c>
    </row>
    <row r="7986" spans="1:7" ht="14.25" customHeight="1" x14ac:dyDescent="0.45">
      <c r="A7986" t="str">
        <f>_xlfn.XLOOKUP(B7986,Ingot!$H$12:$H$119,Ingot!$G$12:$G$119,"")</f>
        <v>Cloth</v>
      </c>
      <c r="B7986" t="s">
        <v>16029</v>
      </c>
      <c r="C7986" t="s">
        <v>10</v>
      </c>
      <c r="D7986" t="s">
        <v>16052</v>
      </c>
      <c r="E7986" t="s">
        <v>16053</v>
      </c>
      <c r="G7986" s="1">
        <v>8.77</v>
      </c>
    </row>
    <row r="7987" spans="1:7" ht="14.25" customHeight="1" x14ac:dyDescent="0.45">
      <c r="A7987" t="str">
        <f>_xlfn.XLOOKUP(B7987,Ingot!$H$12:$H$119,Ingot!$G$12:$G$119,"")</f>
        <v>Cloth</v>
      </c>
      <c r="B7987" t="s">
        <v>16029</v>
      </c>
      <c r="C7987" t="s">
        <v>10</v>
      </c>
      <c r="D7987" t="s">
        <v>16054</v>
      </c>
      <c r="E7987" t="s">
        <v>16055</v>
      </c>
      <c r="G7987" s="1">
        <v>3.5</v>
      </c>
    </row>
    <row r="7988" spans="1:7" ht="14.25" customHeight="1" x14ac:dyDescent="0.45">
      <c r="A7988" t="str">
        <f>_xlfn.XLOOKUP(B7988,Ingot!$H$12:$H$119,Ingot!$G$12:$G$119,"")</f>
        <v>Cloth</v>
      </c>
      <c r="B7988" t="s">
        <v>16029</v>
      </c>
      <c r="C7988" t="s">
        <v>10</v>
      </c>
      <c r="D7988" t="s">
        <v>16056</v>
      </c>
      <c r="E7988" t="s">
        <v>16057</v>
      </c>
    </row>
    <row r="7989" spans="1:7" ht="14.25" customHeight="1" x14ac:dyDescent="0.45">
      <c r="A7989" t="str">
        <f>_xlfn.XLOOKUP(B7989,Ingot!$H$12:$H$119,Ingot!$G$12:$G$119,"")</f>
        <v>Cloth</v>
      </c>
      <c r="B7989" t="s">
        <v>16029</v>
      </c>
      <c r="C7989" t="s">
        <v>10</v>
      </c>
      <c r="D7989" t="s">
        <v>16058</v>
      </c>
      <c r="E7989" t="s">
        <v>16059</v>
      </c>
      <c r="G7989" s="1">
        <v>2.2000000000000002</v>
      </c>
    </row>
    <row r="7990" spans="1:7" ht="14.25" customHeight="1" x14ac:dyDescent="0.45">
      <c r="A7990" t="str">
        <f>_xlfn.XLOOKUP(B7990,Ingot!$H$12:$H$119,Ingot!$G$12:$G$119,"")</f>
        <v>Cloth</v>
      </c>
      <c r="B7990" t="s">
        <v>16029</v>
      </c>
      <c r="C7990" t="s">
        <v>10</v>
      </c>
      <c r="D7990" t="s">
        <v>16060</v>
      </c>
      <c r="E7990" t="s">
        <v>16061</v>
      </c>
      <c r="G7990" s="1">
        <v>1.1000000000000001</v>
      </c>
    </row>
    <row r="7991" spans="1:7" ht="14.25" customHeight="1" x14ac:dyDescent="0.45">
      <c r="A7991" t="str">
        <f>_xlfn.XLOOKUP(B7991,Ingot!$H$12:$H$119,Ingot!$G$12:$G$119,"")</f>
        <v>Cloth</v>
      </c>
      <c r="B7991" t="s">
        <v>16029</v>
      </c>
      <c r="C7991" t="s">
        <v>10</v>
      </c>
      <c r="D7991" t="s">
        <v>16062</v>
      </c>
      <c r="E7991" t="s">
        <v>16063</v>
      </c>
      <c r="G7991" s="1">
        <v>0.22</v>
      </c>
    </row>
    <row r="7992" spans="1:7" ht="14.25" customHeight="1" x14ac:dyDescent="0.45">
      <c r="A7992" t="str">
        <f>_xlfn.XLOOKUP(B7992,Ingot!$H$12:$H$119,Ingot!$G$12:$G$119,"")</f>
        <v>Cloth</v>
      </c>
      <c r="B7992" t="s">
        <v>16029</v>
      </c>
      <c r="C7992" t="s">
        <v>10</v>
      </c>
      <c r="D7992" t="s">
        <v>16064</v>
      </c>
      <c r="E7992" t="s">
        <v>16065</v>
      </c>
      <c r="G7992" s="1">
        <v>8.41</v>
      </c>
    </row>
    <row r="7993" spans="1:7" ht="14.25" customHeight="1" x14ac:dyDescent="0.45">
      <c r="A7993" t="str">
        <f>_xlfn.XLOOKUP(B7993,Ingot!$H$12:$H$119,Ingot!$G$12:$G$119,"")</f>
        <v>Cloth</v>
      </c>
      <c r="B7993" t="s">
        <v>16029</v>
      </c>
      <c r="C7993" t="s">
        <v>10</v>
      </c>
      <c r="D7993" t="s">
        <v>16066</v>
      </c>
      <c r="E7993" t="s">
        <v>16067</v>
      </c>
      <c r="G7993" s="1">
        <v>3.64</v>
      </c>
    </row>
    <row r="7994" spans="1:7" ht="14.25" customHeight="1" x14ac:dyDescent="0.45">
      <c r="A7994" t="str">
        <f>_xlfn.XLOOKUP(B7994,Ingot!$H$12:$H$119,Ingot!$G$12:$G$119,"")</f>
        <v>Cloth</v>
      </c>
      <c r="B7994" t="s">
        <v>16029</v>
      </c>
      <c r="C7994" t="s">
        <v>10</v>
      </c>
      <c r="D7994" t="s">
        <v>16068</v>
      </c>
      <c r="E7994" t="s">
        <v>16069</v>
      </c>
      <c r="G7994" s="1">
        <v>7.05</v>
      </c>
    </row>
    <row r="7995" spans="1:7" ht="14.25" customHeight="1" x14ac:dyDescent="0.45">
      <c r="A7995" t="str">
        <f>_xlfn.XLOOKUP(B7995,Ingot!$H$12:$H$119,Ingot!$G$12:$G$119,"")</f>
        <v>Cloth</v>
      </c>
      <c r="B7995" t="s">
        <v>16029</v>
      </c>
      <c r="C7995" t="s">
        <v>10</v>
      </c>
      <c r="D7995" t="s">
        <v>16070</v>
      </c>
      <c r="E7995" t="s">
        <v>16071</v>
      </c>
      <c r="G7995" s="1">
        <v>2.65</v>
      </c>
    </row>
    <row r="7996" spans="1:7" ht="14.25" customHeight="1" x14ac:dyDescent="0.45">
      <c r="A7996" t="str">
        <f>_xlfn.XLOOKUP(B7996,Ingot!$H$12:$H$119,Ingot!$G$12:$G$119,"")</f>
        <v>Cloth</v>
      </c>
      <c r="B7996" t="s">
        <v>16029</v>
      </c>
      <c r="C7996" t="s">
        <v>10</v>
      </c>
      <c r="D7996" t="s">
        <v>16072</v>
      </c>
      <c r="E7996" t="s">
        <v>16073</v>
      </c>
      <c r="G7996" s="1">
        <v>9</v>
      </c>
    </row>
    <row r="7997" spans="1:7" ht="14.25" customHeight="1" x14ac:dyDescent="0.45">
      <c r="A7997" t="str">
        <f>_xlfn.XLOOKUP(B7997,Ingot!$H$12:$H$119,Ingot!$G$12:$G$119,"")</f>
        <v>Cloth</v>
      </c>
      <c r="B7997" t="s">
        <v>16029</v>
      </c>
      <c r="C7997" t="s">
        <v>10</v>
      </c>
      <c r="D7997" t="s">
        <v>16074</v>
      </c>
      <c r="E7997" t="s">
        <v>16075</v>
      </c>
      <c r="G7997" s="1">
        <v>10.23</v>
      </c>
    </row>
    <row r="7998" spans="1:7" ht="14.25" customHeight="1" x14ac:dyDescent="0.45">
      <c r="A7998" t="str">
        <f>_xlfn.XLOOKUP(B7998,Ingot!$H$12:$H$119,Ingot!$G$12:$G$119,"")</f>
        <v>Cloth</v>
      </c>
      <c r="B7998" t="s">
        <v>16029</v>
      </c>
      <c r="C7998" t="s">
        <v>10</v>
      </c>
      <c r="D7998" t="s">
        <v>16076</v>
      </c>
      <c r="E7998" t="s">
        <v>16077</v>
      </c>
      <c r="G7998" s="1">
        <v>7.7</v>
      </c>
    </row>
    <row r="7999" spans="1:7" ht="14.25" customHeight="1" x14ac:dyDescent="0.45">
      <c r="A7999" t="str">
        <f>_xlfn.XLOOKUP(B7999,Ingot!$H$12:$H$119,Ingot!$G$12:$G$119,"")</f>
        <v>Cloth</v>
      </c>
      <c r="B7999" t="s">
        <v>16029</v>
      </c>
      <c r="C7999" t="s">
        <v>10</v>
      </c>
      <c r="D7999" t="s">
        <v>16078</v>
      </c>
      <c r="E7999" t="s">
        <v>16079</v>
      </c>
      <c r="G7999" s="1">
        <v>10.02</v>
      </c>
    </row>
    <row r="8000" spans="1:7" ht="14.25" customHeight="1" x14ac:dyDescent="0.45">
      <c r="A8000" t="str">
        <f>_xlfn.XLOOKUP(B8000,Ingot!$H$12:$H$119,Ingot!$G$12:$G$119,"")</f>
        <v>Cloth</v>
      </c>
      <c r="B8000" t="s">
        <v>16029</v>
      </c>
      <c r="C8000" t="s">
        <v>10</v>
      </c>
      <c r="D8000" t="s">
        <v>16080</v>
      </c>
      <c r="E8000" t="s">
        <v>16081</v>
      </c>
      <c r="G8000" s="1">
        <v>11.81</v>
      </c>
    </row>
    <row r="8001" spans="1:7" ht="14.25" customHeight="1" x14ac:dyDescent="0.45">
      <c r="A8001" t="str">
        <f>_xlfn.XLOOKUP(B8001,Ingot!$H$12:$H$119,Ingot!$G$12:$G$119,"")</f>
        <v>Cloth</v>
      </c>
      <c r="B8001" t="s">
        <v>16029</v>
      </c>
      <c r="C8001" t="s">
        <v>10</v>
      </c>
      <c r="D8001" t="s">
        <v>16082</v>
      </c>
      <c r="E8001" t="s">
        <v>16083</v>
      </c>
      <c r="G8001" s="1">
        <v>8.44</v>
      </c>
    </row>
    <row r="8002" spans="1:7" ht="14.25" customHeight="1" x14ac:dyDescent="0.45">
      <c r="A8002" t="str">
        <f>_xlfn.XLOOKUP(B8002,Ingot!$H$12:$H$119,Ingot!$G$12:$G$119,"")</f>
        <v>Cloth</v>
      </c>
      <c r="B8002" t="s">
        <v>16029</v>
      </c>
      <c r="C8002" t="s">
        <v>10</v>
      </c>
      <c r="D8002" t="s">
        <v>16084</v>
      </c>
      <c r="E8002" t="s">
        <v>16085</v>
      </c>
      <c r="G8002" s="1">
        <v>10.42</v>
      </c>
    </row>
    <row r="8003" spans="1:7" ht="14.25" customHeight="1" x14ac:dyDescent="0.45">
      <c r="A8003" t="str">
        <f>_xlfn.XLOOKUP(B8003,Ingot!$H$12:$H$119,Ingot!$G$12:$G$119,"")</f>
        <v>Cloth</v>
      </c>
      <c r="B8003" t="s">
        <v>16029</v>
      </c>
      <c r="C8003" t="s">
        <v>10</v>
      </c>
      <c r="D8003" t="s">
        <v>16086</v>
      </c>
      <c r="E8003" t="s">
        <v>16087</v>
      </c>
    </row>
    <row r="8004" spans="1:7" ht="14.25" customHeight="1" x14ac:dyDescent="0.45">
      <c r="A8004" t="str">
        <f>_xlfn.XLOOKUP(B8004,Ingot!$H$12:$H$119,Ingot!$G$12:$G$119,"")</f>
        <v>Cloth</v>
      </c>
      <c r="B8004" t="s">
        <v>16029</v>
      </c>
      <c r="C8004" t="s">
        <v>10</v>
      </c>
      <c r="D8004" t="s">
        <v>16088</v>
      </c>
      <c r="E8004" t="s">
        <v>16089</v>
      </c>
      <c r="G8004" s="1">
        <v>7.96</v>
      </c>
    </row>
    <row r="8005" spans="1:7" ht="14.25" customHeight="1" x14ac:dyDescent="0.45">
      <c r="A8005" t="str">
        <f>_xlfn.XLOOKUP(B8005,Ingot!$H$12:$H$119,Ingot!$G$12:$G$119,"")</f>
        <v>Cloth</v>
      </c>
      <c r="B8005" t="s">
        <v>16029</v>
      </c>
      <c r="C8005" t="s">
        <v>10</v>
      </c>
      <c r="D8005" t="s">
        <v>16090</v>
      </c>
      <c r="E8005" t="s">
        <v>16091</v>
      </c>
      <c r="G8005" s="1">
        <v>9.64</v>
      </c>
    </row>
    <row r="8006" spans="1:7" ht="14.25" customHeight="1" x14ac:dyDescent="0.45">
      <c r="A8006" t="str">
        <f>_xlfn.XLOOKUP(B8006,Ingot!$H$12:$H$119,Ingot!$G$12:$G$119,"")</f>
        <v>Cloth</v>
      </c>
      <c r="B8006" t="s">
        <v>16029</v>
      </c>
      <c r="C8006" t="s">
        <v>10</v>
      </c>
      <c r="D8006" t="s">
        <v>16092</v>
      </c>
      <c r="E8006" t="s">
        <v>16093</v>
      </c>
      <c r="G8006" s="1">
        <v>7.94</v>
      </c>
    </row>
    <row r="8007" spans="1:7" ht="14.25" customHeight="1" x14ac:dyDescent="0.45">
      <c r="A8007" t="str">
        <f>_xlfn.XLOOKUP(B8007,Ingot!$H$12:$H$119,Ingot!$G$12:$G$119,"")</f>
        <v>Cloth</v>
      </c>
      <c r="B8007" t="s">
        <v>16029</v>
      </c>
      <c r="C8007" t="s">
        <v>10</v>
      </c>
      <c r="D8007" t="s">
        <v>16094</v>
      </c>
      <c r="E8007" t="s">
        <v>16095</v>
      </c>
      <c r="G8007" s="1">
        <v>8.66</v>
      </c>
    </row>
    <row r="8008" spans="1:7" ht="14.25" customHeight="1" x14ac:dyDescent="0.45">
      <c r="A8008" t="str">
        <f>_xlfn.XLOOKUP(B8008,Ingot!$H$12:$H$119,Ingot!$G$12:$G$119,"")</f>
        <v>Cloth</v>
      </c>
      <c r="B8008" t="s">
        <v>16029</v>
      </c>
      <c r="C8008" t="s">
        <v>10</v>
      </c>
      <c r="D8008" t="s">
        <v>16096</v>
      </c>
      <c r="E8008" t="s">
        <v>16097</v>
      </c>
    </row>
    <row r="8009" spans="1:7" ht="14.25" customHeight="1" x14ac:dyDescent="0.45">
      <c r="A8009" t="str">
        <f>_xlfn.XLOOKUP(B8009,Ingot!$H$12:$H$119,Ingot!$G$12:$G$119,"")</f>
        <v>Cloth</v>
      </c>
      <c r="B8009" t="s">
        <v>16029</v>
      </c>
      <c r="C8009" t="s">
        <v>10</v>
      </c>
      <c r="D8009" t="s">
        <v>16098</v>
      </c>
      <c r="E8009" t="s">
        <v>16099</v>
      </c>
      <c r="G8009" s="1">
        <v>2.65</v>
      </c>
    </row>
    <row r="8010" spans="1:7" ht="14.25" customHeight="1" x14ac:dyDescent="0.45">
      <c r="A8010" t="str">
        <f>_xlfn.XLOOKUP(B8010,Ingot!$H$12:$H$119,Ingot!$G$12:$G$119,"")</f>
        <v>Cloth</v>
      </c>
      <c r="B8010" t="s">
        <v>16029</v>
      </c>
      <c r="C8010" t="s">
        <v>10</v>
      </c>
      <c r="D8010" t="s">
        <v>16100</v>
      </c>
      <c r="E8010" t="s">
        <v>16101</v>
      </c>
    </row>
    <row r="8011" spans="1:7" ht="14.25" customHeight="1" x14ac:dyDescent="0.45">
      <c r="A8011" t="str">
        <f>_xlfn.XLOOKUP(B8011,Ingot!$H$12:$H$119,Ingot!$G$12:$G$119,"")</f>
        <v>Cloth</v>
      </c>
      <c r="B8011" t="s">
        <v>16029</v>
      </c>
      <c r="C8011" t="s">
        <v>10</v>
      </c>
      <c r="D8011" t="s">
        <v>16102</v>
      </c>
      <c r="E8011" t="s">
        <v>16103</v>
      </c>
      <c r="G8011" s="1">
        <v>12.64</v>
      </c>
    </row>
    <row r="8012" spans="1:7" ht="14.25" customHeight="1" x14ac:dyDescent="0.45">
      <c r="A8012" t="str">
        <f>_xlfn.XLOOKUP(B8012,Ingot!$H$12:$H$119,Ingot!$G$12:$G$119,"")</f>
        <v>Cloth</v>
      </c>
      <c r="B8012" t="s">
        <v>16029</v>
      </c>
      <c r="C8012" t="s">
        <v>10</v>
      </c>
      <c r="D8012" t="s">
        <v>16104</v>
      </c>
      <c r="E8012" t="s">
        <v>16105</v>
      </c>
      <c r="G8012" s="1">
        <v>22.67</v>
      </c>
    </row>
    <row r="8013" spans="1:7" ht="14.25" customHeight="1" x14ac:dyDescent="0.45">
      <c r="A8013" t="str">
        <f>_xlfn.XLOOKUP(B8013,Ingot!$H$12:$H$119,Ingot!$G$12:$G$119,"")</f>
        <v>Cloth</v>
      </c>
      <c r="B8013" t="s">
        <v>16029</v>
      </c>
      <c r="C8013" t="s">
        <v>10</v>
      </c>
      <c r="D8013" t="s">
        <v>16106</v>
      </c>
      <c r="E8013" t="s">
        <v>16107</v>
      </c>
      <c r="G8013" s="1">
        <v>8.3800000000000008</v>
      </c>
    </row>
    <row r="8014" spans="1:7" ht="14.25" customHeight="1" x14ac:dyDescent="0.45">
      <c r="A8014" t="str">
        <f>_xlfn.XLOOKUP(B8014,Ingot!$H$12:$H$119,Ingot!$G$12:$G$119,"")</f>
        <v>Cloth</v>
      </c>
      <c r="B8014" t="s">
        <v>16029</v>
      </c>
      <c r="C8014" t="s">
        <v>10</v>
      </c>
      <c r="D8014" t="s">
        <v>16108</v>
      </c>
      <c r="E8014" t="s">
        <v>16109</v>
      </c>
      <c r="G8014" s="1">
        <v>2.2000000000000002</v>
      </c>
    </row>
    <row r="8015" spans="1:7" ht="14.25" customHeight="1" x14ac:dyDescent="0.45">
      <c r="A8015" t="str">
        <f>_xlfn.XLOOKUP(B8015,Ingot!$H$12:$H$119,Ingot!$G$12:$G$119,"")</f>
        <v>Cloth</v>
      </c>
      <c r="B8015" t="s">
        <v>16029</v>
      </c>
      <c r="C8015" t="s">
        <v>10</v>
      </c>
      <c r="D8015" t="s">
        <v>16110</v>
      </c>
      <c r="E8015" t="s">
        <v>16111</v>
      </c>
      <c r="G8015" s="1">
        <v>3.09</v>
      </c>
    </row>
    <row r="8016" spans="1:7" ht="14.25" customHeight="1" x14ac:dyDescent="0.45">
      <c r="A8016" t="str">
        <f>_xlfn.XLOOKUP(B8016,Ingot!$H$12:$H$119,Ingot!$G$12:$G$119,"")</f>
        <v>Cloth</v>
      </c>
      <c r="B8016" t="s">
        <v>16029</v>
      </c>
      <c r="C8016" t="s">
        <v>10</v>
      </c>
      <c r="D8016" t="s">
        <v>16112</v>
      </c>
      <c r="E8016" t="s">
        <v>16113</v>
      </c>
      <c r="G8016" s="1">
        <v>2.2999999999999998</v>
      </c>
    </row>
    <row r="8017" spans="1:7" ht="14.25" customHeight="1" x14ac:dyDescent="0.45">
      <c r="A8017" t="str">
        <f>_xlfn.XLOOKUP(B8017,Ingot!$H$12:$H$119,Ingot!$G$12:$G$119,"")</f>
        <v>Cloth</v>
      </c>
      <c r="B8017" t="s">
        <v>16029</v>
      </c>
      <c r="C8017" t="s">
        <v>10</v>
      </c>
      <c r="D8017" t="s">
        <v>16114</v>
      </c>
      <c r="E8017" t="s">
        <v>16115</v>
      </c>
      <c r="G8017" s="1">
        <v>4.88</v>
      </c>
    </row>
    <row r="8018" spans="1:7" ht="14.25" customHeight="1" x14ac:dyDescent="0.45">
      <c r="A8018" t="str">
        <f>_xlfn.XLOOKUP(B8018,Ingot!$H$12:$H$119,Ingot!$G$12:$G$119,"")</f>
        <v>Cloth</v>
      </c>
      <c r="B8018" t="s">
        <v>16029</v>
      </c>
      <c r="C8018" t="s">
        <v>10</v>
      </c>
      <c r="D8018" t="s">
        <v>16116</v>
      </c>
      <c r="E8018" t="s">
        <v>16117</v>
      </c>
      <c r="G8018" s="1">
        <v>8.43</v>
      </c>
    </row>
    <row r="8019" spans="1:7" ht="14.25" customHeight="1" x14ac:dyDescent="0.45">
      <c r="A8019" t="str">
        <f>_xlfn.XLOOKUP(B8019,Ingot!$H$12:$H$119,Ingot!$G$12:$G$119,"")</f>
        <v>Cloth</v>
      </c>
      <c r="B8019" t="s">
        <v>16029</v>
      </c>
      <c r="C8019" t="s">
        <v>10</v>
      </c>
      <c r="D8019" t="s">
        <v>16118</v>
      </c>
      <c r="E8019" t="s">
        <v>16119</v>
      </c>
      <c r="G8019" s="1">
        <v>13.07</v>
      </c>
    </row>
    <row r="8020" spans="1:7" ht="14.25" customHeight="1" x14ac:dyDescent="0.45">
      <c r="A8020" t="str">
        <f>_xlfn.XLOOKUP(B8020,Ingot!$H$12:$H$119,Ingot!$G$12:$G$119,"")</f>
        <v>Cloth</v>
      </c>
      <c r="B8020" t="s">
        <v>16029</v>
      </c>
      <c r="C8020" t="s">
        <v>10</v>
      </c>
      <c r="D8020" t="s">
        <v>16120</v>
      </c>
      <c r="E8020" t="s">
        <v>16121</v>
      </c>
    </row>
    <row r="8021" spans="1:7" ht="14.25" customHeight="1" x14ac:dyDescent="0.45">
      <c r="A8021" t="str">
        <f>_xlfn.XLOOKUP(B8021,Ingot!$H$12:$H$119,Ingot!$G$12:$G$119,"")</f>
        <v>Cloth</v>
      </c>
      <c r="B8021" t="s">
        <v>16029</v>
      </c>
      <c r="C8021" t="s">
        <v>10</v>
      </c>
      <c r="D8021" t="s">
        <v>16122</v>
      </c>
      <c r="E8021" t="s">
        <v>16123</v>
      </c>
    </row>
    <row r="8022" spans="1:7" ht="14.25" customHeight="1" x14ac:dyDescent="0.45">
      <c r="A8022" t="str">
        <f>_xlfn.XLOOKUP(B8022,Ingot!$H$12:$H$119,Ingot!$G$12:$G$119,"")</f>
        <v>Cloth</v>
      </c>
      <c r="B8022" t="s">
        <v>16029</v>
      </c>
      <c r="C8022" t="s">
        <v>10</v>
      </c>
      <c r="D8022" t="s">
        <v>16124</v>
      </c>
      <c r="E8022" t="s">
        <v>16125</v>
      </c>
      <c r="G8022" s="1">
        <v>6.8</v>
      </c>
    </row>
    <row r="8023" spans="1:7" ht="14.25" customHeight="1" x14ac:dyDescent="0.45">
      <c r="A8023" t="str">
        <f>_xlfn.XLOOKUP(B8023,Ingot!$H$12:$H$119,Ingot!$G$12:$G$119,"")</f>
        <v>Cloth</v>
      </c>
      <c r="B8023" t="s">
        <v>16029</v>
      </c>
      <c r="C8023" t="s">
        <v>10</v>
      </c>
      <c r="D8023" t="s">
        <v>16126</v>
      </c>
      <c r="E8023" t="s">
        <v>16127</v>
      </c>
      <c r="G8023" s="1">
        <v>6.88</v>
      </c>
    </row>
    <row r="8024" spans="1:7" ht="14.25" customHeight="1" x14ac:dyDescent="0.45">
      <c r="A8024" t="str">
        <f>_xlfn.XLOOKUP(B8024,Ingot!$H$12:$H$119,Ingot!$G$12:$G$119,"")</f>
        <v>Cloth</v>
      </c>
      <c r="B8024" t="s">
        <v>16029</v>
      </c>
      <c r="C8024" t="s">
        <v>10</v>
      </c>
      <c r="D8024" t="s">
        <v>16128</v>
      </c>
      <c r="E8024" t="s">
        <v>16129</v>
      </c>
      <c r="G8024" s="1">
        <v>5.5</v>
      </c>
    </row>
    <row r="8025" spans="1:7" ht="14.25" customHeight="1" x14ac:dyDescent="0.45">
      <c r="A8025" t="str">
        <f>_xlfn.XLOOKUP(B8025,Ingot!$H$12:$H$119,Ingot!$G$12:$G$119,"")</f>
        <v>Cloth</v>
      </c>
      <c r="B8025" t="s">
        <v>16029</v>
      </c>
      <c r="C8025" t="s">
        <v>10</v>
      </c>
      <c r="D8025" t="s">
        <v>16130</v>
      </c>
      <c r="E8025" t="s">
        <v>16131</v>
      </c>
      <c r="G8025" s="1">
        <v>2.4300000000000002</v>
      </c>
    </row>
    <row r="8026" spans="1:7" ht="14.25" customHeight="1" x14ac:dyDescent="0.45">
      <c r="A8026" t="str">
        <f>_xlfn.XLOOKUP(B8026,Ingot!$H$12:$H$119,Ingot!$G$12:$G$119,"")</f>
        <v>Cloth</v>
      </c>
      <c r="B8026" t="s">
        <v>16029</v>
      </c>
      <c r="C8026" t="s">
        <v>10</v>
      </c>
      <c r="D8026" t="s">
        <v>16132</v>
      </c>
      <c r="E8026" t="s">
        <v>16133</v>
      </c>
      <c r="G8026" s="1">
        <v>6.96</v>
      </c>
    </row>
    <row r="8027" spans="1:7" ht="14.25" customHeight="1" x14ac:dyDescent="0.45">
      <c r="A8027" t="str">
        <f>_xlfn.XLOOKUP(B8027,Ingot!$H$12:$H$119,Ingot!$G$12:$G$119,"")</f>
        <v>Cloth</v>
      </c>
      <c r="B8027" t="s">
        <v>16029</v>
      </c>
      <c r="C8027" t="s">
        <v>10</v>
      </c>
      <c r="D8027" t="s">
        <v>16134</v>
      </c>
      <c r="E8027" t="s">
        <v>16135</v>
      </c>
      <c r="G8027" s="1">
        <v>6.32</v>
      </c>
    </row>
    <row r="8028" spans="1:7" ht="14.25" customHeight="1" x14ac:dyDescent="0.45">
      <c r="A8028" t="str">
        <f>_xlfn.XLOOKUP(B8028,Ingot!$H$12:$H$119,Ingot!$G$12:$G$119,"")</f>
        <v>Cloth</v>
      </c>
      <c r="B8028" t="s">
        <v>16029</v>
      </c>
      <c r="C8028" t="s">
        <v>10</v>
      </c>
      <c r="D8028" t="s">
        <v>16136</v>
      </c>
      <c r="E8028" t="s">
        <v>16137</v>
      </c>
      <c r="G8028" s="1">
        <v>6.88</v>
      </c>
    </row>
    <row r="8029" spans="1:7" ht="14.25" customHeight="1" x14ac:dyDescent="0.45">
      <c r="A8029" t="str">
        <f>_xlfn.XLOOKUP(B8029,Ingot!$H$12:$H$119,Ingot!$G$12:$G$119,"")</f>
        <v>Cloth</v>
      </c>
      <c r="B8029" t="s">
        <v>16029</v>
      </c>
      <c r="C8029" t="s">
        <v>10</v>
      </c>
      <c r="D8029" t="s">
        <v>16138</v>
      </c>
      <c r="E8029" t="s">
        <v>16139</v>
      </c>
      <c r="G8029" s="1">
        <v>2.44</v>
      </c>
    </row>
    <row r="8030" spans="1:7" ht="14.25" customHeight="1" x14ac:dyDescent="0.45">
      <c r="A8030" t="str">
        <f>_xlfn.XLOOKUP(B8030,Ingot!$H$12:$H$119,Ingot!$G$12:$G$119,"")</f>
        <v>Cloth</v>
      </c>
      <c r="B8030" t="s">
        <v>16029</v>
      </c>
      <c r="C8030" t="s">
        <v>10</v>
      </c>
      <c r="D8030" t="s">
        <v>16140</v>
      </c>
      <c r="E8030" t="s">
        <v>16141</v>
      </c>
    </row>
    <row r="8031" spans="1:7" ht="14.25" customHeight="1" x14ac:dyDescent="0.45">
      <c r="A8031" t="str">
        <f>_xlfn.XLOOKUP(B8031,Ingot!$H$12:$H$119,Ingot!$G$12:$G$119,"")</f>
        <v>Cloth</v>
      </c>
      <c r="B8031" t="s">
        <v>16029</v>
      </c>
      <c r="C8031" t="s">
        <v>10</v>
      </c>
      <c r="D8031" t="s">
        <v>16142</v>
      </c>
      <c r="E8031" t="s">
        <v>16143</v>
      </c>
    </row>
    <row r="8032" spans="1:7" ht="14.25" customHeight="1" x14ac:dyDescent="0.45">
      <c r="A8032" t="str">
        <f>_xlfn.XLOOKUP(B8032,Ingot!$H$12:$H$119,Ingot!$G$12:$G$119,"")</f>
        <v>Cloth</v>
      </c>
      <c r="B8032" t="s">
        <v>16029</v>
      </c>
      <c r="C8032" t="s">
        <v>10</v>
      </c>
      <c r="D8032" t="s">
        <v>16144</v>
      </c>
      <c r="E8032" t="s">
        <v>16145</v>
      </c>
      <c r="G8032" s="1">
        <v>3.11</v>
      </c>
    </row>
    <row r="8033" spans="1:7" ht="14.25" customHeight="1" x14ac:dyDescent="0.45">
      <c r="A8033" t="str">
        <f>_xlfn.XLOOKUP(B8033,Ingot!$H$12:$H$119,Ingot!$G$12:$G$119,"")</f>
        <v>Cloth</v>
      </c>
      <c r="B8033" t="s">
        <v>16029</v>
      </c>
      <c r="C8033" t="s">
        <v>10</v>
      </c>
      <c r="D8033" t="s">
        <v>16146</v>
      </c>
      <c r="E8033" t="s">
        <v>16147</v>
      </c>
      <c r="G8033" s="1">
        <v>2.44</v>
      </c>
    </row>
    <row r="8034" spans="1:7" ht="14.25" customHeight="1" x14ac:dyDescent="0.45">
      <c r="A8034" t="str">
        <f>_xlfn.XLOOKUP(B8034,Ingot!$H$12:$H$119,Ingot!$G$12:$G$119,"")</f>
        <v>Cloth</v>
      </c>
      <c r="B8034" t="s">
        <v>16029</v>
      </c>
      <c r="C8034" t="s">
        <v>10</v>
      </c>
      <c r="D8034" t="s">
        <v>16148</v>
      </c>
      <c r="E8034" t="s">
        <v>16149</v>
      </c>
      <c r="G8034" s="1">
        <v>8.61</v>
      </c>
    </row>
    <row r="8035" spans="1:7" ht="14.25" customHeight="1" x14ac:dyDescent="0.45">
      <c r="A8035" t="str">
        <f>_xlfn.XLOOKUP(B8035,Ingot!$H$12:$H$119,Ingot!$G$12:$G$119,"")</f>
        <v>Cloth</v>
      </c>
      <c r="B8035" t="s">
        <v>16029</v>
      </c>
      <c r="C8035" t="s">
        <v>10</v>
      </c>
      <c r="D8035" t="s">
        <v>16150</v>
      </c>
      <c r="E8035" t="s">
        <v>16151</v>
      </c>
    </row>
    <row r="8036" spans="1:7" ht="14.25" customHeight="1" x14ac:dyDescent="0.45">
      <c r="A8036" t="str">
        <f>_xlfn.XLOOKUP(B8036,Ingot!$H$12:$H$119,Ingot!$G$12:$G$119,"")</f>
        <v>Cloth</v>
      </c>
      <c r="B8036" t="s">
        <v>16029</v>
      </c>
      <c r="C8036" t="s">
        <v>10</v>
      </c>
      <c r="D8036" t="s">
        <v>16152</v>
      </c>
      <c r="E8036" t="s">
        <v>16153</v>
      </c>
      <c r="G8036" s="1">
        <v>3.21</v>
      </c>
    </row>
    <row r="8037" spans="1:7" ht="14.25" customHeight="1" x14ac:dyDescent="0.45">
      <c r="A8037" t="str">
        <f>_xlfn.XLOOKUP(B8037,Ingot!$H$12:$H$119,Ingot!$G$12:$G$119,"")</f>
        <v>Cloth</v>
      </c>
      <c r="B8037" t="s">
        <v>16029</v>
      </c>
      <c r="C8037" t="s">
        <v>10</v>
      </c>
      <c r="D8037" t="s">
        <v>16154</v>
      </c>
      <c r="E8037" t="s">
        <v>16155</v>
      </c>
      <c r="G8037" s="1">
        <v>2.77</v>
      </c>
    </row>
    <row r="8038" spans="1:7" ht="14.25" customHeight="1" x14ac:dyDescent="0.45">
      <c r="A8038" t="str">
        <f>_xlfn.XLOOKUP(B8038,Ingot!$H$12:$H$119,Ingot!$G$12:$G$119,"")</f>
        <v>Cloth</v>
      </c>
      <c r="B8038" t="s">
        <v>16029</v>
      </c>
      <c r="C8038" t="s">
        <v>10</v>
      </c>
      <c r="D8038" t="s">
        <v>16156</v>
      </c>
      <c r="E8038" t="s">
        <v>16157</v>
      </c>
      <c r="G8038" s="1">
        <v>4.8899999999999997</v>
      </c>
    </row>
    <row r="8039" spans="1:7" ht="14.25" customHeight="1" x14ac:dyDescent="0.45">
      <c r="A8039" t="str">
        <f>_xlfn.XLOOKUP(B8039,Ingot!$H$12:$H$119,Ingot!$G$12:$G$119,"")</f>
        <v>Cloth</v>
      </c>
      <c r="B8039" t="s">
        <v>16029</v>
      </c>
      <c r="C8039" t="s">
        <v>10</v>
      </c>
      <c r="D8039" t="s">
        <v>16158</v>
      </c>
      <c r="E8039" t="s">
        <v>16159</v>
      </c>
      <c r="G8039" s="1">
        <v>1.76</v>
      </c>
    </row>
    <row r="8040" spans="1:7" ht="14.25" customHeight="1" x14ac:dyDescent="0.45">
      <c r="A8040" t="str">
        <f>_xlfn.XLOOKUP(B8040,Ingot!$H$12:$H$119,Ingot!$G$12:$G$119,"")</f>
        <v>Cloth</v>
      </c>
      <c r="B8040" t="s">
        <v>16029</v>
      </c>
      <c r="C8040" t="s">
        <v>10</v>
      </c>
      <c r="D8040" t="s">
        <v>16160</v>
      </c>
      <c r="E8040" t="s">
        <v>16161</v>
      </c>
    </row>
    <row r="8041" spans="1:7" ht="14.25" customHeight="1" x14ac:dyDescent="0.45">
      <c r="A8041" t="str">
        <f>_xlfn.XLOOKUP(B8041,Ingot!$H$12:$H$119,Ingot!$G$12:$G$119,"")</f>
        <v>Cloth</v>
      </c>
      <c r="B8041" t="s">
        <v>16029</v>
      </c>
      <c r="C8041" t="s">
        <v>10</v>
      </c>
      <c r="D8041" t="s">
        <v>16162</v>
      </c>
      <c r="E8041" t="s">
        <v>16163</v>
      </c>
      <c r="G8041" s="1">
        <v>8.57</v>
      </c>
    </row>
    <row r="8042" spans="1:7" ht="14.25" customHeight="1" x14ac:dyDescent="0.45">
      <c r="A8042" t="str">
        <f>_xlfn.XLOOKUP(B8042,Ingot!$H$12:$H$119,Ingot!$G$12:$G$119,"")</f>
        <v>Cloth</v>
      </c>
      <c r="B8042" t="s">
        <v>16029</v>
      </c>
      <c r="C8042" t="s">
        <v>10</v>
      </c>
      <c r="D8042" t="s">
        <v>16164</v>
      </c>
      <c r="E8042" t="s">
        <v>16165</v>
      </c>
    </row>
    <row r="8043" spans="1:7" ht="14.25" customHeight="1" x14ac:dyDescent="0.45">
      <c r="A8043" t="str">
        <f>_xlfn.XLOOKUP(B8043,Ingot!$H$12:$H$119,Ingot!$G$12:$G$119,"")</f>
        <v>Cloth</v>
      </c>
      <c r="B8043" t="s">
        <v>16029</v>
      </c>
      <c r="C8043" t="s">
        <v>10</v>
      </c>
      <c r="D8043" t="s">
        <v>16166</v>
      </c>
      <c r="E8043" t="s">
        <v>16167</v>
      </c>
      <c r="G8043" s="1">
        <v>3.56</v>
      </c>
    </row>
    <row r="8044" spans="1:7" ht="14.25" customHeight="1" x14ac:dyDescent="0.45">
      <c r="A8044" t="str">
        <f>_xlfn.XLOOKUP(B8044,Ingot!$H$12:$H$119,Ingot!$G$12:$G$119,"")</f>
        <v>Cloth</v>
      </c>
      <c r="B8044" t="s">
        <v>16029</v>
      </c>
      <c r="C8044" t="s">
        <v>10</v>
      </c>
      <c r="D8044" t="s">
        <v>16168</v>
      </c>
      <c r="E8044" t="s">
        <v>16169</v>
      </c>
      <c r="G8044" s="1">
        <v>8.91</v>
      </c>
    </row>
    <row r="8045" spans="1:7" ht="14.25" customHeight="1" x14ac:dyDescent="0.45">
      <c r="A8045" t="str">
        <f>_xlfn.XLOOKUP(B8045,Ingot!$H$12:$H$119,Ingot!$G$12:$G$119,"")</f>
        <v>Cloth</v>
      </c>
      <c r="B8045" t="s">
        <v>16029</v>
      </c>
      <c r="C8045" t="s">
        <v>10</v>
      </c>
      <c r="D8045" t="s">
        <v>16170</v>
      </c>
      <c r="E8045" t="s">
        <v>16171</v>
      </c>
      <c r="G8045" s="1">
        <v>11.02</v>
      </c>
    </row>
    <row r="8046" spans="1:7" ht="14.25" customHeight="1" x14ac:dyDescent="0.45">
      <c r="A8046" t="str">
        <f>_xlfn.XLOOKUP(B8046,Ingot!$H$12:$H$119,Ingot!$G$12:$G$119,"")</f>
        <v>Cloth</v>
      </c>
      <c r="B8046" t="s">
        <v>16029</v>
      </c>
      <c r="C8046" t="s">
        <v>10</v>
      </c>
      <c r="D8046" t="s">
        <v>16172</v>
      </c>
      <c r="E8046" t="s">
        <v>16173</v>
      </c>
      <c r="G8046" s="1">
        <v>5.12</v>
      </c>
    </row>
    <row r="8047" spans="1:7" ht="14.25" customHeight="1" x14ac:dyDescent="0.45">
      <c r="A8047" t="str">
        <f>_xlfn.XLOOKUP(B8047,Ingot!$H$12:$H$119,Ingot!$G$12:$G$119,"")</f>
        <v>Cloth</v>
      </c>
      <c r="B8047" t="s">
        <v>16029</v>
      </c>
      <c r="C8047" t="s">
        <v>10</v>
      </c>
      <c r="D8047" t="s">
        <v>16174</v>
      </c>
      <c r="E8047" t="s">
        <v>16175</v>
      </c>
      <c r="G8047" s="1">
        <v>4.41</v>
      </c>
    </row>
    <row r="8048" spans="1:7" ht="14.25" customHeight="1" x14ac:dyDescent="0.45">
      <c r="A8048" t="str">
        <f>_xlfn.XLOOKUP(B8048,Ingot!$H$12:$H$119,Ingot!$G$12:$G$119,"")</f>
        <v>Cloth</v>
      </c>
      <c r="B8048" t="s">
        <v>16029</v>
      </c>
      <c r="C8048" t="s">
        <v>157</v>
      </c>
      <c r="D8048" t="s">
        <v>16176</v>
      </c>
      <c r="E8048" t="s">
        <v>16177</v>
      </c>
      <c r="F8048" t="s">
        <v>180</v>
      </c>
      <c r="G8048" s="1">
        <v>14.2</v>
      </c>
    </row>
    <row r="8049" spans="1:7" ht="14.25" customHeight="1" x14ac:dyDescent="0.45">
      <c r="A8049" t="str">
        <f>_xlfn.XLOOKUP(B8049,Ingot!$H$12:$H$119,Ingot!$G$12:$G$119,"")</f>
        <v>Cloth</v>
      </c>
      <c r="B8049" t="s">
        <v>16029</v>
      </c>
      <c r="C8049" t="s">
        <v>157</v>
      </c>
      <c r="D8049" t="s">
        <v>16178</v>
      </c>
      <c r="E8049" t="s">
        <v>16179</v>
      </c>
      <c r="F8049" t="s">
        <v>180</v>
      </c>
      <c r="G8049" s="1">
        <v>5</v>
      </c>
    </row>
    <row r="8050" spans="1:7" ht="14.25" customHeight="1" x14ac:dyDescent="0.45">
      <c r="A8050" t="str">
        <f>_xlfn.XLOOKUP(B8050,Ingot!$H$12:$H$119,Ingot!$G$12:$G$119,"")</f>
        <v>Cloth</v>
      </c>
      <c r="B8050" t="s">
        <v>16029</v>
      </c>
      <c r="C8050" t="s">
        <v>157</v>
      </c>
      <c r="D8050" t="s">
        <v>16180</v>
      </c>
      <c r="E8050" t="s">
        <v>16181</v>
      </c>
      <c r="F8050" t="s">
        <v>180</v>
      </c>
      <c r="G8050" s="1">
        <v>5</v>
      </c>
    </row>
    <row r="8051" spans="1:7" ht="14.25" customHeight="1" x14ac:dyDescent="0.45">
      <c r="A8051" t="str">
        <f>_xlfn.XLOOKUP(B8051,Ingot!$H$12:$H$119,Ingot!$G$12:$G$119,"")</f>
        <v>Cloth</v>
      </c>
      <c r="B8051" t="s">
        <v>16029</v>
      </c>
      <c r="C8051" t="s">
        <v>157</v>
      </c>
      <c r="D8051" t="s">
        <v>16182</v>
      </c>
      <c r="E8051" t="s">
        <v>16183</v>
      </c>
      <c r="F8051" t="s">
        <v>180</v>
      </c>
      <c r="G8051" s="1">
        <v>5</v>
      </c>
    </row>
    <row r="8052" spans="1:7" ht="14.25" customHeight="1" x14ac:dyDescent="0.45">
      <c r="A8052" t="str">
        <f>_xlfn.XLOOKUP(B8052,Ingot!$H$12:$H$119,Ingot!$G$12:$G$119,"")</f>
        <v>Cloth</v>
      </c>
      <c r="B8052" t="s">
        <v>16029</v>
      </c>
      <c r="C8052" t="s">
        <v>157</v>
      </c>
      <c r="D8052" t="s">
        <v>16184</v>
      </c>
      <c r="E8052" t="s">
        <v>16185</v>
      </c>
      <c r="F8052" t="s">
        <v>180</v>
      </c>
      <c r="G8052" s="1">
        <v>10</v>
      </c>
    </row>
    <row r="8053" spans="1:7" ht="14.25" customHeight="1" x14ac:dyDescent="0.45">
      <c r="A8053" t="str">
        <f>_xlfn.XLOOKUP(B8053,Ingot!$H$12:$H$119,Ingot!$G$12:$G$119,"")</f>
        <v>Cloth</v>
      </c>
      <c r="B8053" t="s">
        <v>16029</v>
      </c>
      <c r="C8053" t="s">
        <v>157</v>
      </c>
      <c r="D8053" t="s">
        <v>16186</v>
      </c>
      <c r="E8053" t="s">
        <v>16187</v>
      </c>
      <c r="F8053" t="s">
        <v>180</v>
      </c>
      <c r="G8053" s="1">
        <v>12.6</v>
      </c>
    </row>
    <row r="8054" spans="1:7" ht="14.25" customHeight="1" x14ac:dyDescent="0.45">
      <c r="A8054" t="str">
        <f>_xlfn.XLOOKUP(B8054,Ingot!$H$12:$H$119,Ingot!$G$12:$G$119,"")</f>
        <v>Cloth</v>
      </c>
      <c r="B8054" t="s">
        <v>16029</v>
      </c>
      <c r="C8054" t="s">
        <v>157</v>
      </c>
      <c r="D8054" t="s">
        <v>16188</v>
      </c>
      <c r="E8054" t="s">
        <v>16189</v>
      </c>
      <c r="F8054" t="s">
        <v>180</v>
      </c>
      <c r="G8054" s="1">
        <v>5</v>
      </c>
    </row>
    <row r="8055" spans="1:7" ht="14.25" customHeight="1" x14ac:dyDescent="0.45">
      <c r="A8055" t="str">
        <f>_xlfn.XLOOKUP(B8055,Ingot!$H$12:$H$119,Ingot!$G$12:$G$119,"")</f>
        <v>Cloth</v>
      </c>
      <c r="B8055" t="s">
        <v>16029</v>
      </c>
      <c r="C8055" t="s">
        <v>157</v>
      </c>
      <c r="D8055" t="s">
        <v>16190</v>
      </c>
      <c r="E8055" t="s">
        <v>16191</v>
      </c>
      <c r="F8055" t="s">
        <v>180</v>
      </c>
      <c r="G8055" s="1">
        <v>5</v>
      </c>
    </row>
    <row r="8056" spans="1:7" ht="14.25" customHeight="1" x14ac:dyDescent="0.45">
      <c r="A8056" t="str">
        <f>_xlfn.XLOOKUP(B8056,Ingot!$H$12:$H$119,Ingot!$G$12:$G$119,"")</f>
        <v>Cloth</v>
      </c>
      <c r="B8056" t="s">
        <v>16029</v>
      </c>
      <c r="C8056" t="s">
        <v>157</v>
      </c>
      <c r="D8056" t="s">
        <v>16192</v>
      </c>
      <c r="E8056" t="s">
        <v>16193</v>
      </c>
      <c r="F8056" t="s">
        <v>180</v>
      </c>
      <c r="G8056" s="1">
        <v>5</v>
      </c>
    </row>
    <row r="8057" spans="1:7" ht="14.25" customHeight="1" x14ac:dyDescent="0.45">
      <c r="A8057" t="str">
        <f>_xlfn.XLOOKUP(B8057,Ingot!$H$12:$H$119,Ingot!$G$12:$G$119,"")</f>
        <v>Cloth</v>
      </c>
      <c r="B8057" t="s">
        <v>16029</v>
      </c>
      <c r="C8057" t="s">
        <v>157</v>
      </c>
      <c r="D8057" t="s">
        <v>16194</v>
      </c>
      <c r="E8057" t="s">
        <v>16195</v>
      </c>
      <c r="F8057" t="s">
        <v>180</v>
      </c>
      <c r="G8057" s="1">
        <v>10</v>
      </c>
    </row>
    <row r="8058" spans="1:7" ht="14.25" customHeight="1" x14ac:dyDescent="0.45">
      <c r="A8058" t="str">
        <f>_xlfn.XLOOKUP(B8058,Ingot!$H$12:$H$119,Ingot!$G$12:$G$119,"")</f>
        <v>Cloth</v>
      </c>
      <c r="B8058" t="s">
        <v>16029</v>
      </c>
      <c r="C8058" t="s">
        <v>157</v>
      </c>
      <c r="D8058" t="s">
        <v>16196</v>
      </c>
      <c r="E8058" t="s">
        <v>16197</v>
      </c>
      <c r="G8058" s="1">
        <v>12.2</v>
      </c>
    </row>
    <row r="8059" spans="1:7" ht="14.25" customHeight="1" x14ac:dyDescent="0.45">
      <c r="A8059" t="str">
        <f>_xlfn.XLOOKUP(B8059,Ingot!$H$12:$H$119,Ingot!$G$12:$G$119,"")</f>
        <v>Cloth</v>
      </c>
      <c r="B8059" t="s">
        <v>16029</v>
      </c>
      <c r="C8059" t="s">
        <v>157</v>
      </c>
      <c r="D8059" t="s">
        <v>16198</v>
      </c>
      <c r="E8059" t="s">
        <v>16199</v>
      </c>
      <c r="G8059" s="1">
        <v>5</v>
      </c>
    </row>
    <row r="8060" spans="1:7" ht="14.25" customHeight="1" x14ac:dyDescent="0.45">
      <c r="A8060" t="str">
        <f>_xlfn.XLOOKUP(B8060,Ingot!$H$12:$H$119,Ingot!$G$12:$G$119,"")</f>
        <v>Cloth</v>
      </c>
      <c r="B8060" t="s">
        <v>16029</v>
      </c>
      <c r="C8060" t="s">
        <v>157</v>
      </c>
      <c r="D8060" t="s">
        <v>16200</v>
      </c>
      <c r="E8060" t="s">
        <v>16201</v>
      </c>
      <c r="G8060" s="1">
        <v>5</v>
      </c>
    </row>
    <row r="8061" spans="1:7" ht="14.25" customHeight="1" x14ac:dyDescent="0.45">
      <c r="A8061" t="str">
        <f>_xlfn.XLOOKUP(B8061,Ingot!$H$12:$H$119,Ingot!$G$12:$G$119,"")</f>
        <v>Cloth</v>
      </c>
      <c r="B8061" t="s">
        <v>16029</v>
      </c>
      <c r="C8061" t="s">
        <v>157</v>
      </c>
      <c r="D8061" t="s">
        <v>16202</v>
      </c>
      <c r="E8061" t="s">
        <v>16203</v>
      </c>
      <c r="G8061" s="1">
        <v>5</v>
      </c>
    </row>
    <row r="8062" spans="1:7" ht="14.25" customHeight="1" x14ac:dyDescent="0.45">
      <c r="A8062" t="str">
        <f>_xlfn.XLOOKUP(B8062,Ingot!$H$12:$H$119,Ingot!$G$12:$G$119,"")</f>
        <v>Cloth</v>
      </c>
      <c r="B8062" t="s">
        <v>16029</v>
      </c>
      <c r="C8062" t="s">
        <v>157</v>
      </c>
      <c r="D8062" t="s">
        <v>16204</v>
      </c>
      <c r="E8062" t="s">
        <v>16205</v>
      </c>
      <c r="G8062" s="1">
        <v>10</v>
      </c>
    </row>
    <row r="8063" spans="1:7" ht="14.25" customHeight="1" x14ac:dyDescent="0.45">
      <c r="A8063" t="str">
        <f>_xlfn.XLOOKUP(B8063,Ingot!$H$12:$H$119,Ingot!$G$12:$G$119,"")</f>
        <v>Cloth</v>
      </c>
      <c r="B8063" t="s">
        <v>16029</v>
      </c>
      <c r="C8063" t="s">
        <v>157</v>
      </c>
      <c r="D8063" t="s">
        <v>16206</v>
      </c>
      <c r="E8063" t="s">
        <v>16207</v>
      </c>
      <c r="F8063" t="s">
        <v>180</v>
      </c>
      <c r="G8063" s="1">
        <v>12.9</v>
      </c>
    </row>
    <row r="8064" spans="1:7" ht="14.25" customHeight="1" x14ac:dyDescent="0.45">
      <c r="A8064" t="str">
        <f>_xlfn.XLOOKUP(B8064,Ingot!$H$12:$H$119,Ingot!$G$12:$G$119,"")</f>
        <v>Cloth</v>
      </c>
      <c r="B8064" t="s">
        <v>16029</v>
      </c>
      <c r="C8064" t="s">
        <v>157</v>
      </c>
      <c r="D8064" t="s">
        <v>16208</v>
      </c>
      <c r="E8064" t="s">
        <v>16209</v>
      </c>
      <c r="F8064" t="s">
        <v>180</v>
      </c>
      <c r="G8064" s="1">
        <v>5</v>
      </c>
    </row>
    <row r="8065" spans="1:7" ht="14.25" customHeight="1" x14ac:dyDescent="0.45">
      <c r="A8065" t="str">
        <f>_xlfn.XLOOKUP(B8065,Ingot!$H$12:$H$119,Ingot!$G$12:$G$119,"")</f>
        <v>Cloth</v>
      </c>
      <c r="B8065" t="s">
        <v>16029</v>
      </c>
      <c r="C8065" t="s">
        <v>157</v>
      </c>
      <c r="D8065" t="s">
        <v>16210</v>
      </c>
      <c r="E8065" t="s">
        <v>16211</v>
      </c>
      <c r="F8065" t="s">
        <v>180</v>
      </c>
      <c r="G8065" s="1">
        <v>5</v>
      </c>
    </row>
    <row r="8066" spans="1:7" ht="14.25" customHeight="1" x14ac:dyDescent="0.45">
      <c r="A8066" t="str">
        <f>_xlfn.XLOOKUP(B8066,Ingot!$H$12:$H$119,Ingot!$G$12:$G$119,"")</f>
        <v>Cloth</v>
      </c>
      <c r="B8066" t="s">
        <v>16029</v>
      </c>
      <c r="C8066" t="s">
        <v>157</v>
      </c>
      <c r="D8066" t="s">
        <v>16212</v>
      </c>
      <c r="E8066" t="s">
        <v>16213</v>
      </c>
      <c r="F8066" t="s">
        <v>180</v>
      </c>
      <c r="G8066" s="1">
        <v>5</v>
      </c>
    </row>
    <row r="8067" spans="1:7" ht="14.25" customHeight="1" x14ac:dyDescent="0.45">
      <c r="A8067" t="str">
        <f>_xlfn.XLOOKUP(B8067,Ingot!$H$12:$H$119,Ingot!$G$12:$G$119,"")</f>
        <v>Cloth</v>
      </c>
      <c r="B8067" t="s">
        <v>16029</v>
      </c>
      <c r="C8067" t="s">
        <v>157</v>
      </c>
      <c r="D8067" t="s">
        <v>16214</v>
      </c>
      <c r="E8067" t="s">
        <v>16215</v>
      </c>
      <c r="F8067" t="s">
        <v>180</v>
      </c>
      <c r="G8067" s="1">
        <v>10</v>
      </c>
    </row>
    <row r="8068" spans="1:7" ht="14.25" customHeight="1" x14ac:dyDescent="0.45">
      <c r="A8068" t="str">
        <f>_xlfn.XLOOKUP(B8068,Ingot!$H$12:$H$119,Ingot!$G$12:$G$119,"")</f>
        <v>Cloth</v>
      </c>
      <c r="B8068" t="s">
        <v>16029</v>
      </c>
      <c r="C8068" t="s">
        <v>157</v>
      </c>
      <c r="D8068" t="s">
        <v>16216</v>
      </c>
      <c r="E8068" t="s">
        <v>16217</v>
      </c>
      <c r="F8068" t="s">
        <v>180</v>
      </c>
      <c r="G8068" s="1">
        <v>13.4</v>
      </c>
    </row>
    <row r="8069" spans="1:7" ht="14.25" customHeight="1" x14ac:dyDescent="0.45">
      <c r="A8069" t="str">
        <f>_xlfn.XLOOKUP(B8069,Ingot!$H$12:$H$119,Ingot!$G$12:$G$119,"")</f>
        <v>Cloth</v>
      </c>
      <c r="B8069" t="s">
        <v>16029</v>
      </c>
      <c r="C8069" t="s">
        <v>157</v>
      </c>
      <c r="D8069" t="s">
        <v>16218</v>
      </c>
      <c r="E8069" t="s">
        <v>16219</v>
      </c>
      <c r="G8069" s="1">
        <v>5</v>
      </c>
    </row>
    <row r="8070" spans="1:7" ht="14.25" customHeight="1" x14ac:dyDescent="0.45">
      <c r="A8070" t="str">
        <f>_xlfn.XLOOKUP(B8070,Ingot!$H$12:$H$119,Ingot!$G$12:$G$119,"")</f>
        <v>Cloth</v>
      </c>
      <c r="B8070" t="s">
        <v>16029</v>
      </c>
      <c r="C8070" t="s">
        <v>157</v>
      </c>
      <c r="D8070" t="s">
        <v>16220</v>
      </c>
      <c r="E8070" t="s">
        <v>16221</v>
      </c>
      <c r="G8070" s="1">
        <v>5</v>
      </c>
    </row>
    <row r="8071" spans="1:7" ht="14.25" customHeight="1" x14ac:dyDescent="0.45">
      <c r="A8071" t="str">
        <f>_xlfn.XLOOKUP(B8071,Ingot!$H$12:$H$119,Ingot!$G$12:$G$119,"")</f>
        <v>Cloth</v>
      </c>
      <c r="B8071" t="s">
        <v>16029</v>
      </c>
      <c r="C8071" t="s">
        <v>157</v>
      </c>
      <c r="D8071" t="s">
        <v>16222</v>
      </c>
      <c r="E8071" t="s">
        <v>16223</v>
      </c>
      <c r="G8071" s="1">
        <v>5</v>
      </c>
    </row>
    <row r="8072" spans="1:7" ht="14.25" customHeight="1" x14ac:dyDescent="0.45">
      <c r="A8072" t="str">
        <f>_xlfn.XLOOKUP(B8072,Ingot!$H$12:$H$119,Ingot!$G$12:$G$119,"")</f>
        <v>Cloth</v>
      </c>
      <c r="B8072" t="s">
        <v>16029</v>
      </c>
      <c r="C8072" t="s">
        <v>157</v>
      </c>
      <c r="D8072" t="s">
        <v>16224</v>
      </c>
      <c r="E8072" t="s">
        <v>16225</v>
      </c>
      <c r="F8072" t="s">
        <v>180</v>
      </c>
      <c r="G8072" s="1">
        <v>10</v>
      </c>
    </row>
    <row r="8073" spans="1:7" ht="14.25" customHeight="1" x14ac:dyDescent="0.45">
      <c r="A8073" t="str">
        <f>_xlfn.XLOOKUP(B8073,Ingot!$H$12:$H$119,Ingot!$G$12:$G$119,"")</f>
        <v>Cloth</v>
      </c>
      <c r="B8073" t="s">
        <v>16029</v>
      </c>
      <c r="C8073" t="s">
        <v>157</v>
      </c>
      <c r="D8073" t="s">
        <v>16226</v>
      </c>
      <c r="E8073" t="s">
        <v>16227</v>
      </c>
      <c r="F8073" t="s">
        <v>180</v>
      </c>
      <c r="G8073" s="1">
        <v>15.8</v>
      </c>
    </row>
    <row r="8074" spans="1:7" ht="14.25" customHeight="1" x14ac:dyDescent="0.45">
      <c r="A8074" t="str">
        <f>_xlfn.XLOOKUP(B8074,Ingot!$H$12:$H$119,Ingot!$G$12:$G$119,"")</f>
        <v>Cloth</v>
      </c>
      <c r="B8074" t="s">
        <v>16029</v>
      </c>
      <c r="C8074" t="s">
        <v>157</v>
      </c>
      <c r="D8074" t="s">
        <v>16228</v>
      </c>
      <c r="E8074" t="s">
        <v>16229</v>
      </c>
      <c r="F8074" t="s">
        <v>180</v>
      </c>
      <c r="G8074" s="1">
        <v>5</v>
      </c>
    </row>
    <row r="8075" spans="1:7" ht="14.25" customHeight="1" x14ac:dyDescent="0.45">
      <c r="A8075" t="str">
        <f>_xlfn.XLOOKUP(B8075,Ingot!$H$12:$H$119,Ingot!$G$12:$G$119,"")</f>
        <v>Cloth</v>
      </c>
      <c r="B8075" t="s">
        <v>16029</v>
      </c>
      <c r="C8075" t="s">
        <v>157</v>
      </c>
      <c r="D8075" t="s">
        <v>16230</v>
      </c>
      <c r="E8075" t="s">
        <v>16231</v>
      </c>
      <c r="F8075" t="s">
        <v>180</v>
      </c>
      <c r="G8075" s="1">
        <v>5</v>
      </c>
    </row>
    <row r="8076" spans="1:7" ht="14.25" customHeight="1" x14ac:dyDescent="0.45">
      <c r="A8076" t="str">
        <f>_xlfn.XLOOKUP(B8076,Ingot!$H$12:$H$119,Ingot!$G$12:$G$119,"")</f>
        <v>Cloth</v>
      </c>
      <c r="B8076" t="s">
        <v>16029</v>
      </c>
      <c r="C8076" t="s">
        <v>157</v>
      </c>
      <c r="D8076" t="s">
        <v>16232</v>
      </c>
      <c r="E8076" t="s">
        <v>16233</v>
      </c>
      <c r="F8076" t="s">
        <v>180</v>
      </c>
      <c r="G8076" s="1">
        <v>5</v>
      </c>
    </row>
    <row r="8077" spans="1:7" ht="14.25" customHeight="1" x14ac:dyDescent="0.45">
      <c r="A8077" t="str">
        <f>_xlfn.XLOOKUP(B8077,Ingot!$H$12:$H$119,Ingot!$G$12:$G$119,"")</f>
        <v>Cloth</v>
      </c>
      <c r="B8077" t="s">
        <v>16029</v>
      </c>
      <c r="C8077" t="s">
        <v>157</v>
      </c>
      <c r="D8077" t="s">
        <v>16234</v>
      </c>
      <c r="E8077" t="s">
        <v>16235</v>
      </c>
      <c r="F8077" t="s">
        <v>180</v>
      </c>
      <c r="G8077" s="1">
        <v>10</v>
      </c>
    </row>
    <row r="8078" spans="1:7" ht="14.25" customHeight="1" x14ac:dyDescent="0.45">
      <c r="A8078" t="str">
        <f>_xlfn.XLOOKUP(B8078,Ingot!$H$12:$H$119,Ingot!$G$12:$G$119,"")</f>
        <v>Cloth</v>
      </c>
      <c r="B8078" t="s">
        <v>16029</v>
      </c>
      <c r="C8078" t="s">
        <v>157</v>
      </c>
      <c r="D8078" t="s">
        <v>16236</v>
      </c>
      <c r="E8078" t="s">
        <v>16237</v>
      </c>
      <c r="F8078" t="s">
        <v>180</v>
      </c>
      <c r="G8078" s="1">
        <v>14.9</v>
      </c>
    </row>
    <row r="8079" spans="1:7" ht="14.25" customHeight="1" x14ac:dyDescent="0.45">
      <c r="A8079" t="str">
        <f>_xlfn.XLOOKUP(B8079,Ingot!$H$12:$H$119,Ingot!$G$12:$G$119,"")</f>
        <v>Cloth</v>
      </c>
      <c r="B8079" t="s">
        <v>16029</v>
      </c>
      <c r="C8079" t="s">
        <v>157</v>
      </c>
      <c r="D8079" t="s">
        <v>16238</v>
      </c>
      <c r="E8079" t="s">
        <v>16239</v>
      </c>
      <c r="F8079" t="s">
        <v>180</v>
      </c>
      <c r="G8079" s="1">
        <v>5</v>
      </c>
    </row>
    <row r="8080" spans="1:7" ht="14.25" customHeight="1" x14ac:dyDescent="0.45">
      <c r="A8080" t="str">
        <f>_xlfn.XLOOKUP(B8080,Ingot!$H$12:$H$119,Ingot!$G$12:$G$119,"")</f>
        <v>Cloth</v>
      </c>
      <c r="B8080" t="s">
        <v>16029</v>
      </c>
      <c r="C8080" t="s">
        <v>157</v>
      </c>
      <c r="D8080" t="s">
        <v>16240</v>
      </c>
      <c r="E8080" t="s">
        <v>16241</v>
      </c>
      <c r="F8080" t="s">
        <v>180</v>
      </c>
      <c r="G8080" s="1">
        <v>5</v>
      </c>
    </row>
    <row r="8081" spans="1:7" ht="14.25" customHeight="1" x14ac:dyDescent="0.45">
      <c r="A8081" t="str">
        <f>_xlfn.XLOOKUP(B8081,Ingot!$H$12:$H$119,Ingot!$G$12:$G$119,"")</f>
        <v>Cloth</v>
      </c>
      <c r="B8081" t="s">
        <v>16029</v>
      </c>
      <c r="C8081" t="s">
        <v>157</v>
      </c>
      <c r="D8081" t="s">
        <v>16242</v>
      </c>
      <c r="E8081" t="s">
        <v>16243</v>
      </c>
      <c r="F8081" t="s">
        <v>180</v>
      </c>
      <c r="G8081" s="1">
        <v>5</v>
      </c>
    </row>
    <row r="8082" spans="1:7" ht="14.25" customHeight="1" x14ac:dyDescent="0.45">
      <c r="A8082" t="str">
        <f>_xlfn.XLOOKUP(B8082,Ingot!$H$12:$H$119,Ingot!$G$12:$G$119,"")</f>
        <v>Cloth</v>
      </c>
      <c r="B8082" t="s">
        <v>16029</v>
      </c>
      <c r="C8082" t="s">
        <v>157</v>
      </c>
      <c r="D8082" t="s">
        <v>16244</v>
      </c>
      <c r="E8082" t="s">
        <v>16245</v>
      </c>
      <c r="F8082" t="s">
        <v>180</v>
      </c>
      <c r="G8082" s="1">
        <v>10</v>
      </c>
    </row>
    <row r="8083" spans="1:7" ht="14.25" customHeight="1" x14ac:dyDescent="0.45">
      <c r="A8083" t="str">
        <f>_xlfn.XLOOKUP(B8083,Ingot!$H$12:$H$119,Ingot!$G$12:$G$119,"")</f>
        <v>Cloth</v>
      </c>
      <c r="B8083" t="s">
        <v>16029</v>
      </c>
      <c r="C8083" t="s">
        <v>157</v>
      </c>
      <c r="D8083" t="s">
        <v>16246</v>
      </c>
      <c r="E8083" t="s">
        <v>16247</v>
      </c>
      <c r="G8083" s="1">
        <v>12</v>
      </c>
    </row>
    <row r="8084" spans="1:7" ht="14.25" customHeight="1" x14ac:dyDescent="0.45">
      <c r="A8084" t="str">
        <f>_xlfn.XLOOKUP(B8084,Ingot!$H$12:$H$119,Ingot!$G$12:$G$119,"")</f>
        <v>Cloth</v>
      </c>
      <c r="B8084" t="s">
        <v>16029</v>
      </c>
      <c r="C8084" t="s">
        <v>157</v>
      </c>
      <c r="D8084" t="s">
        <v>16248</v>
      </c>
      <c r="E8084" t="s">
        <v>16249</v>
      </c>
      <c r="G8084" s="1">
        <v>5</v>
      </c>
    </row>
    <row r="8085" spans="1:7" ht="14.25" customHeight="1" x14ac:dyDescent="0.45">
      <c r="A8085" t="str">
        <f>_xlfn.XLOOKUP(B8085,Ingot!$H$12:$H$119,Ingot!$G$12:$G$119,"")</f>
        <v>Cloth</v>
      </c>
      <c r="B8085" t="s">
        <v>16029</v>
      </c>
      <c r="C8085" t="s">
        <v>157</v>
      </c>
      <c r="D8085" t="s">
        <v>16250</v>
      </c>
      <c r="E8085" t="s">
        <v>16251</v>
      </c>
      <c r="G8085" s="1">
        <v>5</v>
      </c>
    </row>
    <row r="8086" spans="1:7" ht="14.25" customHeight="1" x14ac:dyDescent="0.45">
      <c r="A8086" t="str">
        <f>_xlfn.XLOOKUP(B8086,Ingot!$H$12:$H$119,Ingot!$G$12:$G$119,"")</f>
        <v>Cloth</v>
      </c>
      <c r="B8086" t="s">
        <v>16029</v>
      </c>
      <c r="C8086" t="s">
        <v>157</v>
      </c>
      <c r="D8086" t="s">
        <v>16252</v>
      </c>
      <c r="E8086" t="s">
        <v>16253</v>
      </c>
      <c r="G8086" s="1">
        <v>5</v>
      </c>
    </row>
    <row r="8087" spans="1:7" ht="14.25" customHeight="1" x14ac:dyDescent="0.45">
      <c r="A8087" t="str">
        <f>_xlfn.XLOOKUP(B8087,Ingot!$H$12:$H$119,Ingot!$G$12:$G$119,"")</f>
        <v>Cloth</v>
      </c>
      <c r="B8087" t="s">
        <v>16029</v>
      </c>
      <c r="C8087" t="s">
        <v>157</v>
      </c>
      <c r="D8087" t="s">
        <v>16254</v>
      </c>
      <c r="E8087" t="s">
        <v>16255</v>
      </c>
      <c r="G8087" s="1">
        <v>10</v>
      </c>
    </row>
    <row r="8088" spans="1:7" ht="14.25" customHeight="1" x14ac:dyDescent="0.45">
      <c r="A8088" t="str">
        <f>_xlfn.XLOOKUP(B8088,Ingot!$H$12:$H$119,Ingot!$G$12:$G$119,"")</f>
        <v>Cloth</v>
      </c>
      <c r="B8088" t="s">
        <v>16029</v>
      </c>
      <c r="C8088" t="s">
        <v>239</v>
      </c>
      <c r="D8088" t="s">
        <v>16256</v>
      </c>
      <c r="E8088" t="s">
        <v>16257</v>
      </c>
      <c r="G8088" s="1">
        <f>(VLOOKUP(B8088,Ingot!H:I,2,FALSE()) * 0.75) * 0.75</f>
        <v>0.140625</v>
      </c>
    </row>
    <row r="8089" spans="1:7" ht="14.25" customHeight="1" x14ac:dyDescent="0.45">
      <c r="A8089" t="str">
        <f>_xlfn.XLOOKUP(B8089,Ingot!$H$12:$H$119,Ingot!$G$12:$G$119,"")</f>
        <v>Cloth</v>
      </c>
      <c r="B8089" t="s">
        <v>16029</v>
      </c>
      <c r="C8089" t="s">
        <v>239</v>
      </c>
      <c r="D8089" t="s">
        <v>16258</v>
      </c>
      <c r="E8089" t="s">
        <v>16259</v>
      </c>
      <c r="F8089" t="s">
        <v>180</v>
      </c>
      <c r="G8089" s="1">
        <f>((VLOOKUP(B8089,Ingot!H:I,2,FALSE()) * 3) - 10.25) * 0.421875</f>
        <v>-4.0078125</v>
      </c>
    </row>
    <row r="8090" spans="1:7" ht="14.25" customHeight="1" x14ac:dyDescent="0.45">
      <c r="A8090" t="str">
        <f>_xlfn.XLOOKUP(B8090,Ingot!$H$12:$H$119,Ingot!$G$12:$G$119,"")</f>
        <v>Cloth</v>
      </c>
      <c r="B8090" t="s">
        <v>16029</v>
      </c>
      <c r="C8090" t="s">
        <v>239</v>
      </c>
      <c r="D8090" t="s">
        <v>16260</v>
      </c>
      <c r="E8090" t="s">
        <v>16261</v>
      </c>
      <c r="F8090" t="s">
        <v>180</v>
      </c>
      <c r="G8090" s="1">
        <f>((VLOOKUP(B8090,Ingot!H:I,2,FALSE()) * 3) - 10.25) * 0.75</f>
        <v>-7.125</v>
      </c>
    </row>
    <row r="8091" spans="1:7" ht="14.25" customHeight="1" x14ac:dyDescent="0.45">
      <c r="A8091" t="str">
        <f>_xlfn.XLOOKUP(B8091,Ingot!$H$12:$H$119,Ingot!$G$12:$G$119,"")</f>
        <v>Cloth</v>
      </c>
      <c r="B8091" t="s">
        <v>16029</v>
      </c>
      <c r="C8091" t="s">
        <v>239</v>
      </c>
      <c r="D8091" t="s">
        <v>16262</v>
      </c>
      <c r="E8091" t="s">
        <v>16263</v>
      </c>
      <c r="F8091" t="s">
        <v>180</v>
      </c>
      <c r="G8091" s="1">
        <f>((VLOOKUP(B8091,Ingot!H:I,2,FALSE()) * 3) - 10.25) * 0.5625</f>
        <v>-5.34375</v>
      </c>
    </row>
    <row r="8092" spans="1:7" ht="14.25" customHeight="1" x14ac:dyDescent="0.45">
      <c r="A8092" t="str">
        <f>_xlfn.XLOOKUP(B8092,Ingot!$H$12:$H$119,Ingot!$G$12:$G$119,"")</f>
        <v>Cloth</v>
      </c>
      <c r="B8092" t="s">
        <v>16029</v>
      </c>
      <c r="C8092" t="s">
        <v>239</v>
      </c>
      <c r="D8092" t="s">
        <v>16264</v>
      </c>
      <c r="E8092" t="s">
        <v>16265</v>
      </c>
      <c r="G8092" s="1">
        <f>VLOOKUP(B8092,Ingot!H:I,2,FALSE()) * 0.75</f>
        <v>0.1875</v>
      </c>
    </row>
    <row r="8093" spans="1:7" ht="14.25" customHeight="1" x14ac:dyDescent="0.45">
      <c r="A8093" t="str">
        <f>_xlfn.XLOOKUP(B8093,Ingot!$H$12:$H$119,Ingot!$G$12:$G$119,"")</f>
        <v>Cloth</v>
      </c>
      <c r="B8093" t="s">
        <v>16029</v>
      </c>
      <c r="C8093" t="s">
        <v>239</v>
      </c>
      <c r="D8093" t="s">
        <v>16266</v>
      </c>
      <c r="E8093" t="s">
        <v>16267</v>
      </c>
      <c r="F8093" t="s">
        <v>180</v>
      </c>
      <c r="G8093" s="1">
        <f>(VLOOKUP(B8093,Ingot!H:I,2,FALSE()) * 3) - 10.25</f>
        <v>-9.5</v>
      </c>
    </row>
    <row r="8094" spans="1:7" ht="14.25" customHeight="1" x14ac:dyDescent="0.45">
      <c r="A8094" t="str">
        <f>_xlfn.XLOOKUP(B8094,Ingot!$H$12:$H$119,Ingot!$G$12:$G$119,"")</f>
        <v>Cloth</v>
      </c>
      <c r="B8094" t="s">
        <v>16268</v>
      </c>
      <c r="C8094" t="s">
        <v>10</v>
      </c>
      <c r="D8094" t="s">
        <v>16269</v>
      </c>
      <c r="E8094" t="s">
        <v>16270</v>
      </c>
      <c r="G8094" s="1">
        <v>0.08</v>
      </c>
    </row>
    <row r="8095" spans="1:7" ht="14.25" customHeight="1" x14ac:dyDescent="0.45">
      <c r="A8095" t="str">
        <f>_xlfn.XLOOKUP(B8095,Ingot!$H$12:$H$119,Ingot!$G$12:$G$119,"")</f>
        <v>Cloth</v>
      </c>
      <c r="B8095" t="s">
        <v>16268</v>
      </c>
      <c r="C8095" t="s">
        <v>10</v>
      </c>
      <c r="D8095" t="s">
        <v>16271</v>
      </c>
      <c r="E8095" t="s">
        <v>16272</v>
      </c>
      <c r="G8095" s="1">
        <v>9.9</v>
      </c>
    </row>
    <row r="8096" spans="1:7" ht="14.25" customHeight="1" x14ac:dyDescent="0.45">
      <c r="A8096" t="str">
        <f>_xlfn.XLOOKUP(B8096,Ingot!$H$12:$H$119,Ingot!$G$12:$G$119,"")</f>
        <v>Cloth</v>
      </c>
      <c r="B8096" t="s">
        <v>16268</v>
      </c>
      <c r="C8096" t="s">
        <v>10</v>
      </c>
      <c r="D8096" t="s">
        <v>16273</v>
      </c>
      <c r="E8096" t="s">
        <v>16274</v>
      </c>
      <c r="G8096" s="1">
        <v>5.66</v>
      </c>
    </row>
    <row r="8097" spans="1:7" ht="14.25" customHeight="1" x14ac:dyDescent="0.45">
      <c r="A8097" t="str">
        <f>_xlfn.XLOOKUP(B8097,Ingot!$H$12:$H$119,Ingot!$G$12:$G$119,"")</f>
        <v>Cloth</v>
      </c>
      <c r="B8097" t="s">
        <v>16268</v>
      </c>
      <c r="C8097" t="s">
        <v>10</v>
      </c>
      <c r="D8097" t="s">
        <v>16275</v>
      </c>
      <c r="E8097" t="s">
        <v>16276</v>
      </c>
      <c r="G8097" s="1">
        <v>3.3</v>
      </c>
    </row>
    <row r="8098" spans="1:7" ht="14.25" customHeight="1" x14ac:dyDescent="0.45">
      <c r="A8098" t="str">
        <f>_xlfn.XLOOKUP(B8098,Ingot!$H$12:$H$119,Ingot!$G$12:$G$119,"")</f>
        <v>Cloth</v>
      </c>
      <c r="B8098" t="s">
        <v>16268</v>
      </c>
      <c r="C8098" t="s">
        <v>10</v>
      </c>
      <c r="D8098" t="s">
        <v>16277</v>
      </c>
      <c r="E8098" t="s">
        <v>16278</v>
      </c>
      <c r="G8098" s="1">
        <v>0.66</v>
      </c>
    </row>
    <row r="8099" spans="1:7" ht="14.25" customHeight="1" x14ac:dyDescent="0.45">
      <c r="A8099" t="str">
        <f>_xlfn.XLOOKUP(B8099,Ingot!$H$12:$H$119,Ingot!$G$12:$G$119,"")</f>
        <v>Cloth</v>
      </c>
      <c r="B8099" t="s">
        <v>16268</v>
      </c>
      <c r="C8099" t="s">
        <v>10</v>
      </c>
      <c r="D8099" t="s">
        <v>16279</v>
      </c>
      <c r="E8099" t="s">
        <v>16280</v>
      </c>
      <c r="G8099" s="1">
        <v>0.04</v>
      </c>
    </row>
    <row r="8100" spans="1:7" ht="14.25" customHeight="1" x14ac:dyDescent="0.45">
      <c r="A8100" t="str">
        <f>_xlfn.XLOOKUP(B8100,Ingot!$H$12:$H$119,Ingot!$G$12:$G$119,"")</f>
        <v>Cloth</v>
      </c>
      <c r="B8100" t="s">
        <v>16268</v>
      </c>
      <c r="C8100" t="s">
        <v>10</v>
      </c>
      <c r="D8100" t="s">
        <v>16281</v>
      </c>
      <c r="E8100" t="s">
        <v>16282</v>
      </c>
      <c r="G8100" s="1">
        <v>0.33</v>
      </c>
    </row>
    <row r="8101" spans="1:7" ht="14.25" customHeight="1" x14ac:dyDescent="0.45">
      <c r="A8101" t="str">
        <f>_xlfn.XLOOKUP(B8101,Ingot!$H$12:$H$119,Ingot!$G$12:$G$119,"")</f>
        <v>Cloth</v>
      </c>
      <c r="B8101" t="s">
        <v>16268</v>
      </c>
      <c r="C8101" t="s">
        <v>10</v>
      </c>
      <c r="D8101" t="s">
        <v>16283</v>
      </c>
      <c r="E8101" t="s">
        <v>16284</v>
      </c>
    </row>
    <row r="8102" spans="1:7" ht="14.25" customHeight="1" x14ac:dyDescent="0.45">
      <c r="A8102" t="str">
        <f>_xlfn.XLOOKUP(B8102,Ingot!$H$12:$H$119,Ingot!$G$12:$G$119,"")</f>
        <v>Cloth</v>
      </c>
      <c r="B8102" t="s">
        <v>16268</v>
      </c>
      <c r="C8102" t="s">
        <v>10</v>
      </c>
      <c r="D8102" t="s">
        <v>16285</v>
      </c>
      <c r="E8102" t="s">
        <v>16286</v>
      </c>
      <c r="G8102" s="1">
        <v>0.05</v>
      </c>
    </row>
    <row r="8103" spans="1:7" ht="14.25" customHeight="1" x14ac:dyDescent="0.45">
      <c r="A8103" t="str">
        <f>_xlfn.XLOOKUP(B8103,Ingot!$H$12:$H$119,Ingot!$G$12:$G$119,"")</f>
        <v>Cloth</v>
      </c>
      <c r="B8103" t="s">
        <v>16268</v>
      </c>
      <c r="C8103" t="s">
        <v>10</v>
      </c>
      <c r="D8103" t="s">
        <v>16287</v>
      </c>
      <c r="E8103" t="s">
        <v>16288</v>
      </c>
      <c r="G8103" s="1">
        <v>0.66</v>
      </c>
    </row>
    <row r="8104" spans="1:7" ht="14.25" customHeight="1" x14ac:dyDescent="0.45">
      <c r="A8104" t="str">
        <f>_xlfn.XLOOKUP(B8104,Ingot!$H$12:$H$119,Ingot!$G$12:$G$119,"")</f>
        <v>Cloth</v>
      </c>
      <c r="B8104" t="s">
        <v>16268</v>
      </c>
      <c r="C8104" t="s">
        <v>10</v>
      </c>
      <c r="D8104" t="s">
        <v>16289</v>
      </c>
      <c r="E8104" t="s">
        <v>16290</v>
      </c>
      <c r="G8104" s="1">
        <v>3.96</v>
      </c>
    </row>
    <row r="8105" spans="1:7" ht="14.25" customHeight="1" x14ac:dyDescent="0.45">
      <c r="A8105" t="str">
        <f>_xlfn.XLOOKUP(B8105,Ingot!$H$12:$H$119,Ingot!$G$12:$G$119,"")</f>
        <v>Cloth</v>
      </c>
      <c r="B8105" t="s">
        <v>16268</v>
      </c>
      <c r="C8105" t="s">
        <v>10</v>
      </c>
      <c r="D8105" t="s">
        <v>16291</v>
      </c>
      <c r="E8105" t="s">
        <v>16292</v>
      </c>
      <c r="G8105" s="1">
        <v>8.77</v>
      </c>
    </row>
    <row r="8106" spans="1:7" ht="14.25" customHeight="1" x14ac:dyDescent="0.45">
      <c r="A8106" t="str">
        <f>_xlfn.XLOOKUP(B8106,Ingot!$H$12:$H$119,Ingot!$G$12:$G$119,"")</f>
        <v>Cloth</v>
      </c>
      <c r="B8106" t="s">
        <v>16268</v>
      </c>
      <c r="C8106" t="s">
        <v>10</v>
      </c>
      <c r="D8106" t="s">
        <v>16293</v>
      </c>
      <c r="E8106" t="s">
        <v>16294</v>
      </c>
      <c r="G8106" s="1">
        <v>3.5</v>
      </c>
    </row>
    <row r="8107" spans="1:7" ht="14.25" customHeight="1" x14ac:dyDescent="0.45">
      <c r="A8107" t="str">
        <f>_xlfn.XLOOKUP(B8107,Ingot!$H$12:$H$119,Ingot!$G$12:$G$119,"")</f>
        <v>Cloth</v>
      </c>
      <c r="B8107" t="s">
        <v>16268</v>
      </c>
      <c r="C8107" t="s">
        <v>10</v>
      </c>
      <c r="D8107" t="s">
        <v>16295</v>
      </c>
      <c r="E8107" t="s">
        <v>16296</v>
      </c>
    </row>
    <row r="8108" spans="1:7" ht="14.25" customHeight="1" x14ac:dyDescent="0.45">
      <c r="A8108" t="str">
        <f>_xlfn.XLOOKUP(B8108,Ingot!$H$12:$H$119,Ingot!$G$12:$G$119,"")</f>
        <v>Cloth</v>
      </c>
      <c r="B8108" t="s">
        <v>16268</v>
      </c>
      <c r="C8108" t="s">
        <v>10</v>
      </c>
      <c r="D8108" t="s">
        <v>16297</v>
      </c>
      <c r="E8108" t="s">
        <v>16298</v>
      </c>
      <c r="G8108" s="1">
        <v>2.2000000000000002</v>
      </c>
    </row>
    <row r="8109" spans="1:7" ht="14.25" customHeight="1" x14ac:dyDescent="0.45">
      <c r="A8109" t="str">
        <f>_xlfn.XLOOKUP(B8109,Ingot!$H$12:$H$119,Ingot!$G$12:$G$119,"")</f>
        <v>Cloth</v>
      </c>
      <c r="B8109" t="s">
        <v>16268</v>
      </c>
      <c r="C8109" t="s">
        <v>10</v>
      </c>
      <c r="D8109" t="s">
        <v>16299</v>
      </c>
      <c r="E8109" t="s">
        <v>16300</v>
      </c>
      <c r="G8109" s="1">
        <v>1.1000000000000001</v>
      </c>
    </row>
    <row r="8110" spans="1:7" ht="14.25" customHeight="1" x14ac:dyDescent="0.45">
      <c r="A8110" t="str">
        <f>_xlfn.XLOOKUP(B8110,Ingot!$H$12:$H$119,Ingot!$G$12:$G$119,"")</f>
        <v>Cloth</v>
      </c>
      <c r="B8110" t="s">
        <v>16268</v>
      </c>
      <c r="C8110" t="s">
        <v>10</v>
      </c>
      <c r="D8110" t="s">
        <v>16301</v>
      </c>
      <c r="E8110" t="s">
        <v>16302</v>
      </c>
      <c r="G8110" s="1">
        <v>0.22</v>
      </c>
    </row>
    <row r="8111" spans="1:7" ht="14.25" customHeight="1" x14ac:dyDescent="0.45">
      <c r="A8111" t="str">
        <f>_xlfn.XLOOKUP(B8111,Ingot!$H$12:$H$119,Ingot!$G$12:$G$119,"")</f>
        <v>Cloth</v>
      </c>
      <c r="B8111" t="s">
        <v>16268</v>
      </c>
      <c r="C8111" t="s">
        <v>10</v>
      </c>
      <c r="D8111" t="s">
        <v>16303</v>
      </c>
      <c r="E8111" t="s">
        <v>16304</v>
      </c>
      <c r="G8111" s="1">
        <v>8.41</v>
      </c>
    </row>
    <row r="8112" spans="1:7" ht="14.25" customHeight="1" x14ac:dyDescent="0.45">
      <c r="A8112" t="str">
        <f>_xlfn.XLOOKUP(B8112,Ingot!$H$12:$H$119,Ingot!$G$12:$G$119,"")</f>
        <v>Cloth</v>
      </c>
      <c r="B8112" t="s">
        <v>16268</v>
      </c>
      <c r="C8112" t="s">
        <v>10</v>
      </c>
      <c r="D8112" t="s">
        <v>16305</v>
      </c>
      <c r="E8112" t="s">
        <v>16306</v>
      </c>
      <c r="G8112" s="1">
        <v>3.64</v>
      </c>
    </row>
    <row r="8113" spans="1:7" ht="14.25" customHeight="1" x14ac:dyDescent="0.45">
      <c r="A8113" t="str">
        <f>_xlfn.XLOOKUP(B8113,Ingot!$H$12:$H$119,Ingot!$G$12:$G$119,"")</f>
        <v>Cloth</v>
      </c>
      <c r="B8113" t="s">
        <v>16268</v>
      </c>
      <c r="C8113" t="s">
        <v>10</v>
      </c>
      <c r="D8113" t="s">
        <v>16307</v>
      </c>
      <c r="E8113" t="s">
        <v>16308</v>
      </c>
      <c r="G8113" s="1">
        <v>7.05</v>
      </c>
    </row>
    <row r="8114" spans="1:7" ht="14.25" customHeight="1" x14ac:dyDescent="0.45">
      <c r="A8114" t="str">
        <f>_xlfn.XLOOKUP(B8114,Ingot!$H$12:$H$119,Ingot!$G$12:$G$119,"")</f>
        <v>Cloth</v>
      </c>
      <c r="B8114" t="s">
        <v>16268</v>
      </c>
      <c r="C8114" t="s">
        <v>10</v>
      </c>
      <c r="D8114" t="s">
        <v>16309</v>
      </c>
      <c r="E8114" t="s">
        <v>16310</v>
      </c>
      <c r="G8114" s="1">
        <v>2.65</v>
      </c>
    </row>
    <row r="8115" spans="1:7" ht="14.25" customHeight="1" x14ac:dyDescent="0.45">
      <c r="A8115" t="str">
        <f>_xlfn.XLOOKUP(B8115,Ingot!$H$12:$H$119,Ingot!$G$12:$G$119,"")</f>
        <v>Cloth</v>
      </c>
      <c r="B8115" t="s">
        <v>16268</v>
      </c>
      <c r="C8115" t="s">
        <v>10</v>
      </c>
      <c r="D8115" t="s">
        <v>16311</v>
      </c>
      <c r="E8115" t="s">
        <v>16312</v>
      </c>
      <c r="G8115" s="1">
        <v>9</v>
      </c>
    </row>
    <row r="8116" spans="1:7" ht="14.25" customHeight="1" x14ac:dyDescent="0.45">
      <c r="A8116" t="str">
        <f>_xlfn.XLOOKUP(B8116,Ingot!$H$12:$H$119,Ingot!$G$12:$G$119,"")</f>
        <v>Cloth</v>
      </c>
      <c r="B8116" t="s">
        <v>16268</v>
      </c>
      <c r="C8116" t="s">
        <v>10</v>
      </c>
      <c r="D8116" t="s">
        <v>16313</v>
      </c>
      <c r="E8116" t="s">
        <v>16314</v>
      </c>
      <c r="G8116" s="1">
        <v>10.23</v>
      </c>
    </row>
    <row r="8117" spans="1:7" ht="14.25" customHeight="1" x14ac:dyDescent="0.45">
      <c r="A8117" t="str">
        <f>_xlfn.XLOOKUP(B8117,Ingot!$H$12:$H$119,Ingot!$G$12:$G$119,"")</f>
        <v>Cloth</v>
      </c>
      <c r="B8117" t="s">
        <v>16268</v>
      </c>
      <c r="C8117" t="s">
        <v>10</v>
      </c>
      <c r="D8117" t="s">
        <v>16315</v>
      </c>
      <c r="E8117" t="s">
        <v>16316</v>
      </c>
      <c r="G8117" s="1">
        <v>7.7</v>
      </c>
    </row>
    <row r="8118" spans="1:7" ht="14.25" customHeight="1" x14ac:dyDescent="0.45">
      <c r="A8118" t="str">
        <f>_xlfn.XLOOKUP(B8118,Ingot!$H$12:$H$119,Ingot!$G$12:$G$119,"")</f>
        <v>Cloth</v>
      </c>
      <c r="B8118" t="s">
        <v>16268</v>
      </c>
      <c r="C8118" t="s">
        <v>10</v>
      </c>
      <c r="D8118" t="s">
        <v>16317</v>
      </c>
      <c r="E8118" t="s">
        <v>16318</v>
      </c>
      <c r="G8118" s="1">
        <v>10.02</v>
      </c>
    </row>
    <row r="8119" spans="1:7" ht="14.25" customHeight="1" x14ac:dyDescent="0.45">
      <c r="A8119" t="str">
        <f>_xlfn.XLOOKUP(B8119,Ingot!$H$12:$H$119,Ingot!$G$12:$G$119,"")</f>
        <v>Cloth</v>
      </c>
      <c r="B8119" t="s">
        <v>16268</v>
      </c>
      <c r="C8119" t="s">
        <v>10</v>
      </c>
      <c r="D8119" t="s">
        <v>16319</v>
      </c>
      <c r="E8119" t="s">
        <v>16320</v>
      </c>
      <c r="G8119" s="1">
        <v>11.81</v>
      </c>
    </row>
    <row r="8120" spans="1:7" ht="14.25" customHeight="1" x14ac:dyDescent="0.45">
      <c r="A8120" t="str">
        <f>_xlfn.XLOOKUP(B8120,Ingot!$H$12:$H$119,Ingot!$G$12:$G$119,"")</f>
        <v>Cloth</v>
      </c>
      <c r="B8120" t="s">
        <v>16268</v>
      </c>
      <c r="C8120" t="s">
        <v>10</v>
      </c>
      <c r="D8120" t="s">
        <v>16321</v>
      </c>
      <c r="E8120" t="s">
        <v>16322</v>
      </c>
      <c r="G8120" s="1">
        <v>8.44</v>
      </c>
    </row>
    <row r="8121" spans="1:7" ht="14.25" customHeight="1" x14ac:dyDescent="0.45">
      <c r="A8121" t="str">
        <f>_xlfn.XLOOKUP(B8121,Ingot!$H$12:$H$119,Ingot!$G$12:$G$119,"")</f>
        <v>Cloth</v>
      </c>
      <c r="B8121" t="s">
        <v>16268</v>
      </c>
      <c r="C8121" t="s">
        <v>10</v>
      </c>
      <c r="D8121" t="s">
        <v>16323</v>
      </c>
      <c r="E8121" t="s">
        <v>16324</v>
      </c>
      <c r="G8121" s="1">
        <v>10.42</v>
      </c>
    </row>
    <row r="8122" spans="1:7" ht="14.25" customHeight="1" x14ac:dyDescent="0.45">
      <c r="A8122" t="str">
        <f>_xlfn.XLOOKUP(B8122,Ingot!$H$12:$H$119,Ingot!$G$12:$G$119,"")</f>
        <v>Cloth</v>
      </c>
      <c r="B8122" t="s">
        <v>16268</v>
      </c>
      <c r="C8122" t="s">
        <v>10</v>
      </c>
      <c r="D8122" t="s">
        <v>16325</v>
      </c>
      <c r="E8122" t="s">
        <v>16326</v>
      </c>
    </row>
    <row r="8123" spans="1:7" ht="14.25" customHeight="1" x14ac:dyDescent="0.45">
      <c r="A8123" t="str">
        <f>_xlfn.XLOOKUP(B8123,Ingot!$H$12:$H$119,Ingot!$G$12:$G$119,"")</f>
        <v>Cloth</v>
      </c>
      <c r="B8123" t="s">
        <v>16268</v>
      </c>
      <c r="C8123" t="s">
        <v>10</v>
      </c>
      <c r="D8123" t="s">
        <v>16327</v>
      </c>
      <c r="E8123" t="s">
        <v>16328</v>
      </c>
      <c r="G8123" s="1">
        <v>7.96</v>
      </c>
    </row>
    <row r="8124" spans="1:7" ht="14.25" customHeight="1" x14ac:dyDescent="0.45">
      <c r="A8124" t="str">
        <f>_xlfn.XLOOKUP(B8124,Ingot!$H$12:$H$119,Ingot!$G$12:$G$119,"")</f>
        <v>Cloth</v>
      </c>
      <c r="B8124" t="s">
        <v>16268</v>
      </c>
      <c r="C8124" t="s">
        <v>10</v>
      </c>
      <c r="D8124" t="s">
        <v>16329</v>
      </c>
      <c r="E8124" t="s">
        <v>16330</v>
      </c>
      <c r="G8124" s="1">
        <v>9.64</v>
      </c>
    </row>
    <row r="8125" spans="1:7" ht="14.25" customHeight="1" x14ac:dyDescent="0.45">
      <c r="A8125" t="str">
        <f>_xlfn.XLOOKUP(B8125,Ingot!$H$12:$H$119,Ingot!$G$12:$G$119,"")</f>
        <v>Cloth</v>
      </c>
      <c r="B8125" t="s">
        <v>16268</v>
      </c>
      <c r="C8125" t="s">
        <v>10</v>
      </c>
      <c r="D8125" t="s">
        <v>16331</v>
      </c>
      <c r="E8125" t="s">
        <v>16332</v>
      </c>
      <c r="G8125" s="1">
        <v>7.94</v>
      </c>
    </row>
    <row r="8126" spans="1:7" ht="14.25" customHeight="1" x14ac:dyDescent="0.45">
      <c r="A8126" t="str">
        <f>_xlfn.XLOOKUP(B8126,Ingot!$H$12:$H$119,Ingot!$G$12:$G$119,"")</f>
        <v>Cloth</v>
      </c>
      <c r="B8126" t="s">
        <v>16268</v>
      </c>
      <c r="C8126" t="s">
        <v>10</v>
      </c>
      <c r="D8126" t="s">
        <v>16333</v>
      </c>
      <c r="E8126" t="s">
        <v>16334</v>
      </c>
      <c r="G8126" s="1">
        <v>8.66</v>
      </c>
    </row>
    <row r="8127" spans="1:7" ht="14.25" customHeight="1" x14ac:dyDescent="0.45">
      <c r="A8127" t="str">
        <f>_xlfn.XLOOKUP(B8127,Ingot!$H$12:$H$119,Ingot!$G$12:$G$119,"")</f>
        <v>Cloth</v>
      </c>
      <c r="B8127" t="s">
        <v>16268</v>
      </c>
      <c r="C8127" t="s">
        <v>10</v>
      </c>
      <c r="D8127" t="s">
        <v>16335</v>
      </c>
      <c r="E8127" t="s">
        <v>16336</v>
      </c>
    </row>
    <row r="8128" spans="1:7" ht="14.25" customHeight="1" x14ac:dyDescent="0.45">
      <c r="A8128" t="str">
        <f>_xlfn.XLOOKUP(B8128,Ingot!$H$12:$H$119,Ingot!$G$12:$G$119,"")</f>
        <v>Cloth</v>
      </c>
      <c r="B8128" t="s">
        <v>16268</v>
      </c>
      <c r="C8128" t="s">
        <v>10</v>
      </c>
      <c r="D8128" t="s">
        <v>16337</v>
      </c>
      <c r="E8128" t="s">
        <v>16338</v>
      </c>
      <c r="G8128" s="1">
        <v>2.65</v>
      </c>
    </row>
    <row r="8129" spans="1:7" ht="14.25" customHeight="1" x14ac:dyDescent="0.45">
      <c r="A8129" t="str">
        <f>_xlfn.XLOOKUP(B8129,Ingot!$H$12:$H$119,Ingot!$G$12:$G$119,"")</f>
        <v>Cloth</v>
      </c>
      <c r="B8129" t="s">
        <v>16268</v>
      </c>
      <c r="C8129" t="s">
        <v>10</v>
      </c>
      <c r="D8129" t="s">
        <v>16339</v>
      </c>
      <c r="E8129" t="s">
        <v>16340</v>
      </c>
    </row>
    <row r="8130" spans="1:7" ht="14.25" customHeight="1" x14ac:dyDescent="0.45">
      <c r="A8130" t="str">
        <f>_xlfn.XLOOKUP(B8130,Ingot!$H$12:$H$119,Ingot!$G$12:$G$119,"")</f>
        <v>Cloth</v>
      </c>
      <c r="B8130" t="s">
        <v>16268</v>
      </c>
      <c r="C8130" t="s">
        <v>10</v>
      </c>
      <c r="D8130" t="s">
        <v>16341</v>
      </c>
      <c r="E8130" t="s">
        <v>16342</v>
      </c>
      <c r="G8130" s="1">
        <v>12.64</v>
      </c>
    </row>
    <row r="8131" spans="1:7" ht="14.25" customHeight="1" x14ac:dyDescent="0.45">
      <c r="A8131" t="str">
        <f>_xlfn.XLOOKUP(B8131,Ingot!$H$12:$H$119,Ingot!$G$12:$G$119,"")</f>
        <v>Cloth</v>
      </c>
      <c r="B8131" t="s">
        <v>16268</v>
      </c>
      <c r="C8131" t="s">
        <v>10</v>
      </c>
      <c r="D8131" t="s">
        <v>16343</v>
      </c>
      <c r="E8131" t="s">
        <v>16344</v>
      </c>
      <c r="G8131" s="1">
        <v>22.67</v>
      </c>
    </row>
    <row r="8132" spans="1:7" ht="14.25" customHeight="1" x14ac:dyDescent="0.45">
      <c r="A8132" t="str">
        <f>_xlfn.XLOOKUP(B8132,Ingot!$H$12:$H$119,Ingot!$G$12:$G$119,"")</f>
        <v>Cloth</v>
      </c>
      <c r="B8132" t="s">
        <v>16268</v>
      </c>
      <c r="C8132" t="s">
        <v>10</v>
      </c>
      <c r="D8132" t="s">
        <v>16345</v>
      </c>
      <c r="E8132" t="s">
        <v>16346</v>
      </c>
      <c r="G8132" s="1">
        <v>8.3800000000000008</v>
      </c>
    </row>
    <row r="8133" spans="1:7" ht="14.25" customHeight="1" x14ac:dyDescent="0.45">
      <c r="A8133" t="str">
        <f>_xlfn.XLOOKUP(B8133,Ingot!$H$12:$H$119,Ingot!$G$12:$G$119,"")</f>
        <v>Cloth</v>
      </c>
      <c r="B8133" t="s">
        <v>16268</v>
      </c>
      <c r="C8133" t="s">
        <v>10</v>
      </c>
      <c r="D8133" t="s">
        <v>16347</v>
      </c>
      <c r="E8133" t="s">
        <v>16348</v>
      </c>
      <c r="G8133" s="1">
        <v>2.2000000000000002</v>
      </c>
    </row>
    <row r="8134" spans="1:7" ht="14.25" customHeight="1" x14ac:dyDescent="0.45">
      <c r="A8134" t="str">
        <f>_xlfn.XLOOKUP(B8134,Ingot!$H$12:$H$119,Ingot!$G$12:$G$119,"")</f>
        <v>Cloth</v>
      </c>
      <c r="B8134" t="s">
        <v>16268</v>
      </c>
      <c r="C8134" t="s">
        <v>10</v>
      </c>
      <c r="D8134" t="s">
        <v>16349</v>
      </c>
      <c r="E8134" t="s">
        <v>16350</v>
      </c>
      <c r="G8134" s="1">
        <v>3.09</v>
      </c>
    </row>
    <row r="8135" spans="1:7" ht="14.25" customHeight="1" x14ac:dyDescent="0.45">
      <c r="A8135" t="str">
        <f>_xlfn.XLOOKUP(B8135,Ingot!$H$12:$H$119,Ingot!$G$12:$G$119,"")</f>
        <v>Cloth</v>
      </c>
      <c r="B8135" t="s">
        <v>16268</v>
      </c>
      <c r="C8135" t="s">
        <v>10</v>
      </c>
      <c r="D8135" t="s">
        <v>16351</v>
      </c>
      <c r="E8135" t="s">
        <v>16352</v>
      </c>
      <c r="G8135" s="1">
        <v>2.2999999999999998</v>
      </c>
    </row>
    <row r="8136" spans="1:7" ht="14.25" customHeight="1" x14ac:dyDescent="0.45">
      <c r="A8136" t="str">
        <f>_xlfn.XLOOKUP(B8136,Ingot!$H$12:$H$119,Ingot!$G$12:$G$119,"")</f>
        <v>Cloth</v>
      </c>
      <c r="B8136" t="s">
        <v>16268</v>
      </c>
      <c r="C8136" t="s">
        <v>10</v>
      </c>
      <c r="D8136" t="s">
        <v>16353</v>
      </c>
      <c r="E8136" t="s">
        <v>16354</v>
      </c>
      <c r="G8136" s="1">
        <v>4.88</v>
      </c>
    </row>
    <row r="8137" spans="1:7" ht="14.25" customHeight="1" x14ac:dyDescent="0.45">
      <c r="A8137" t="str">
        <f>_xlfn.XLOOKUP(B8137,Ingot!$H$12:$H$119,Ingot!$G$12:$G$119,"")</f>
        <v>Cloth</v>
      </c>
      <c r="B8137" t="s">
        <v>16268</v>
      </c>
      <c r="C8137" t="s">
        <v>10</v>
      </c>
      <c r="D8137" t="s">
        <v>16355</v>
      </c>
      <c r="E8137" t="s">
        <v>16356</v>
      </c>
      <c r="G8137" s="1">
        <v>8.43</v>
      </c>
    </row>
    <row r="8138" spans="1:7" ht="14.25" customHeight="1" x14ac:dyDescent="0.45">
      <c r="A8138" t="str">
        <f>_xlfn.XLOOKUP(B8138,Ingot!$H$12:$H$119,Ingot!$G$12:$G$119,"")</f>
        <v>Cloth</v>
      </c>
      <c r="B8138" t="s">
        <v>16268</v>
      </c>
      <c r="C8138" t="s">
        <v>10</v>
      </c>
      <c r="D8138" t="s">
        <v>16357</v>
      </c>
      <c r="E8138" t="s">
        <v>16358</v>
      </c>
      <c r="G8138" s="1">
        <v>13.07</v>
      </c>
    </row>
    <row r="8139" spans="1:7" ht="14.25" customHeight="1" x14ac:dyDescent="0.45">
      <c r="A8139" t="str">
        <f>_xlfn.XLOOKUP(B8139,Ingot!$H$12:$H$119,Ingot!$G$12:$G$119,"")</f>
        <v>Cloth</v>
      </c>
      <c r="B8139" t="s">
        <v>16268</v>
      </c>
      <c r="C8139" t="s">
        <v>10</v>
      </c>
      <c r="D8139" t="s">
        <v>16359</v>
      </c>
      <c r="E8139" t="s">
        <v>16360</v>
      </c>
    </row>
    <row r="8140" spans="1:7" ht="14.25" customHeight="1" x14ac:dyDescent="0.45">
      <c r="A8140" t="str">
        <f>_xlfn.XLOOKUP(B8140,Ingot!$H$12:$H$119,Ingot!$G$12:$G$119,"")</f>
        <v>Cloth</v>
      </c>
      <c r="B8140" t="s">
        <v>16268</v>
      </c>
      <c r="C8140" t="s">
        <v>10</v>
      </c>
      <c r="D8140" t="s">
        <v>16361</v>
      </c>
      <c r="E8140" t="s">
        <v>16362</v>
      </c>
    </row>
    <row r="8141" spans="1:7" ht="14.25" customHeight="1" x14ac:dyDescent="0.45">
      <c r="A8141" t="str">
        <f>_xlfn.XLOOKUP(B8141,Ingot!$H$12:$H$119,Ingot!$G$12:$G$119,"")</f>
        <v>Cloth</v>
      </c>
      <c r="B8141" t="s">
        <v>16268</v>
      </c>
      <c r="C8141" t="s">
        <v>10</v>
      </c>
      <c r="D8141" t="s">
        <v>16363</v>
      </c>
      <c r="E8141" t="s">
        <v>16364</v>
      </c>
      <c r="G8141" s="1">
        <v>6.8</v>
      </c>
    </row>
    <row r="8142" spans="1:7" ht="14.25" customHeight="1" x14ac:dyDescent="0.45">
      <c r="A8142" t="str">
        <f>_xlfn.XLOOKUP(B8142,Ingot!$H$12:$H$119,Ingot!$G$12:$G$119,"")</f>
        <v>Cloth</v>
      </c>
      <c r="B8142" t="s">
        <v>16268</v>
      </c>
      <c r="C8142" t="s">
        <v>10</v>
      </c>
      <c r="D8142" t="s">
        <v>16365</v>
      </c>
      <c r="E8142" t="s">
        <v>16366</v>
      </c>
      <c r="G8142" s="1">
        <v>6.88</v>
      </c>
    </row>
    <row r="8143" spans="1:7" ht="14.25" customHeight="1" x14ac:dyDescent="0.45">
      <c r="A8143" t="str">
        <f>_xlfn.XLOOKUP(B8143,Ingot!$H$12:$H$119,Ingot!$G$12:$G$119,"")</f>
        <v>Cloth</v>
      </c>
      <c r="B8143" t="s">
        <v>16268</v>
      </c>
      <c r="C8143" t="s">
        <v>10</v>
      </c>
      <c r="D8143" t="s">
        <v>16367</v>
      </c>
      <c r="E8143" t="s">
        <v>16368</v>
      </c>
      <c r="G8143" s="1">
        <v>5.5</v>
      </c>
    </row>
    <row r="8144" spans="1:7" ht="14.25" customHeight="1" x14ac:dyDescent="0.45">
      <c r="A8144" t="str">
        <f>_xlfn.XLOOKUP(B8144,Ingot!$H$12:$H$119,Ingot!$G$12:$G$119,"")</f>
        <v>Cloth</v>
      </c>
      <c r="B8144" t="s">
        <v>16268</v>
      </c>
      <c r="C8144" t="s">
        <v>10</v>
      </c>
      <c r="D8144" t="s">
        <v>16369</v>
      </c>
      <c r="E8144" t="s">
        <v>16370</v>
      </c>
      <c r="G8144" s="1">
        <v>2.4300000000000002</v>
      </c>
    </row>
    <row r="8145" spans="1:7" ht="14.25" customHeight="1" x14ac:dyDescent="0.45">
      <c r="A8145" t="str">
        <f>_xlfn.XLOOKUP(B8145,Ingot!$H$12:$H$119,Ingot!$G$12:$G$119,"")</f>
        <v>Cloth</v>
      </c>
      <c r="B8145" t="s">
        <v>16268</v>
      </c>
      <c r="C8145" t="s">
        <v>10</v>
      </c>
      <c r="D8145" t="s">
        <v>16371</v>
      </c>
      <c r="E8145" t="s">
        <v>16372</v>
      </c>
      <c r="G8145" s="1">
        <v>6.96</v>
      </c>
    </row>
    <row r="8146" spans="1:7" ht="14.25" customHeight="1" x14ac:dyDescent="0.45">
      <c r="A8146" t="str">
        <f>_xlfn.XLOOKUP(B8146,Ingot!$H$12:$H$119,Ingot!$G$12:$G$119,"")</f>
        <v>Cloth</v>
      </c>
      <c r="B8146" t="s">
        <v>16268</v>
      </c>
      <c r="C8146" t="s">
        <v>10</v>
      </c>
      <c r="D8146" t="s">
        <v>16373</v>
      </c>
      <c r="E8146" t="s">
        <v>16374</v>
      </c>
      <c r="G8146" s="1">
        <v>6.32</v>
      </c>
    </row>
    <row r="8147" spans="1:7" ht="14.25" customHeight="1" x14ac:dyDescent="0.45">
      <c r="A8147" t="str">
        <f>_xlfn.XLOOKUP(B8147,Ingot!$H$12:$H$119,Ingot!$G$12:$G$119,"")</f>
        <v>Cloth</v>
      </c>
      <c r="B8147" t="s">
        <v>16268</v>
      </c>
      <c r="C8147" t="s">
        <v>10</v>
      </c>
      <c r="D8147" t="s">
        <v>16375</v>
      </c>
      <c r="E8147" t="s">
        <v>16376</v>
      </c>
      <c r="G8147" s="1">
        <v>6.88</v>
      </c>
    </row>
    <row r="8148" spans="1:7" ht="14.25" customHeight="1" x14ac:dyDescent="0.45">
      <c r="A8148" t="str">
        <f>_xlfn.XLOOKUP(B8148,Ingot!$H$12:$H$119,Ingot!$G$12:$G$119,"")</f>
        <v>Cloth</v>
      </c>
      <c r="B8148" t="s">
        <v>16268</v>
      </c>
      <c r="C8148" t="s">
        <v>10</v>
      </c>
      <c r="D8148" t="s">
        <v>16377</v>
      </c>
      <c r="E8148" t="s">
        <v>16378</v>
      </c>
      <c r="G8148" s="1">
        <v>2.44</v>
      </c>
    </row>
    <row r="8149" spans="1:7" ht="14.25" customHeight="1" x14ac:dyDescent="0.45">
      <c r="A8149" t="str">
        <f>_xlfn.XLOOKUP(B8149,Ingot!$H$12:$H$119,Ingot!$G$12:$G$119,"")</f>
        <v>Cloth</v>
      </c>
      <c r="B8149" t="s">
        <v>16268</v>
      </c>
      <c r="C8149" t="s">
        <v>10</v>
      </c>
      <c r="D8149" t="s">
        <v>16379</v>
      </c>
      <c r="E8149" t="s">
        <v>16380</v>
      </c>
    </row>
    <row r="8150" spans="1:7" ht="14.25" customHeight="1" x14ac:dyDescent="0.45">
      <c r="A8150" t="str">
        <f>_xlfn.XLOOKUP(B8150,Ingot!$H$12:$H$119,Ingot!$G$12:$G$119,"")</f>
        <v>Cloth</v>
      </c>
      <c r="B8150" t="s">
        <v>16268</v>
      </c>
      <c r="C8150" t="s">
        <v>10</v>
      </c>
      <c r="D8150" t="s">
        <v>16381</v>
      </c>
      <c r="E8150" t="s">
        <v>16382</v>
      </c>
    </row>
    <row r="8151" spans="1:7" ht="14.25" customHeight="1" x14ac:dyDescent="0.45">
      <c r="A8151" t="str">
        <f>_xlfn.XLOOKUP(B8151,Ingot!$H$12:$H$119,Ingot!$G$12:$G$119,"")</f>
        <v>Cloth</v>
      </c>
      <c r="B8151" t="s">
        <v>16268</v>
      </c>
      <c r="C8151" t="s">
        <v>10</v>
      </c>
      <c r="D8151" t="s">
        <v>16383</v>
      </c>
      <c r="E8151" t="s">
        <v>16384</v>
      </c>
      <c r="G8151" s="1">
        <v>3.11</v>
      </c>
    </row>
    <row r="8152" spans="1:7" ht="14.25" customHeight="1" x14ac:dyDescent="0.45">
      <c r="A8152" t="str">
        <f>_xlfn.XLOOKUP(B8152,Ingot!$H$12:$H$119,Ingot!$G$12:$G$119,"")</f>
        <v>Cloth</v>
      </c>
      <c r="B8152" t="s">
        <v>16268</v>
      </c>
      <c r="C8152" t="s">
        <v>10</v>
      </c>
      <c r="D8152" t="s">
        <v>16385</v>
      </c>
      <c r="E8152" t="s">
        <v>16386</v>
      </c>
      <c r="G8152" s="1">
        <v>2.44</v>
      </c>
    </row>
    <row r="8153" spans="1:7" ht="14.25" customHeight="1" x14ac:dyDescent="0.45">
      <c r="A8153" t="str">
        <f>_xlfn.XLOOKUP(B8153,Ingot!$H$12:$H$119,Ingot!$G$12:$G$119,"")</f>
        <v>Cloth</v>
      </c>
      <c r="B8153" t="s">
        <v>16268</v>
      </c>
      <c r="C8153" t="s">
        <v>10</v>
      </c>
      <c r="D8153" t="s">
        <v>16387</v>
      </c>
      <c r="E8153" t="s">
        <v>16388</v>
      </c>
      <c r="G8153" s="1">
        <v>8.61</v>
      </c>
    </row>
    <row r="8154" spans="1:7" ht="14.25" customHeight="1" x14ac:dyDescent="0.45">
      <c r="A8154" t="str">
        <f>_xlfn.XLOOKUP(B8154,Ingot!$H$12:$H$119,Ingot!$G$12:$G$119,"")</f>
        <v>Cloth</v>
      </c>
      <c r="B8154" t="s">
        <v>16268</v>
      </c>
      <c r="C8154" t="s">
        <v>10</v>
      </c>
      <c r="D8154" t="s">
        <v>16389</v>
      </c>
      <c r="E8154" t="s">
        <v>16390</v>
      </c>
    </row>
    <row r="8155" spans="1:7" ht="14.25" customHeight="1" x14ac:dyDescent="0.45">
      <c r="A8155" t="str">
        <f>_xlfn.XLOOKUP(B8155,Ingot!$H$12:$H$119,Ingot!$G$12:$G$119,"")</f>
        <v>Cloth</v>
      </c>
      <c r="B8155" t="s">
        <v>16268</v>
      </c>
      <c r="C8155" t="s">
        <v>10</v>
      </c>
      <c r="D8155" t="s">
        <v>16391</v>
      </c>
      <c r="E8155" t="s">
        <v>16392</v>
      </c>
      <c r="G8155" s="1">
        <v>3.21</v>
      </c>
    </row>
    <row r="8156" spans="1:7" ht="14.25" customHeight="1" x14ac:dyDescent="0.45">
      <c r="A8156" t="str">
        <f>_xlfn.XLOOKUP(B8156,Ingot!$H$12:$H$119,Ingot!$G$12:$G$119,"")</f>
        <v>Cloth</v>
      </c>
      <c r="B8156" t="s">
        <v>16268</v>
      </c>
      <c r="C8156" t="s">
        <v>10</v>
      </c>
      <c r="D8156" t="s">
        <v>16393</v>
      </c>
      <c r="E8156" t="s">
        <v>16394</v>
      </c>
      <c r="G8156" s="1">
        <v>2.77</v>
      </c>
    </row>
    <row r="8157" spans="1:7" ht="14.25" customHeight="1" x14ac:dyDescent="0.45">
      <c r="A8157" t="str">
        <f>_xlfn.XLOOKUP(B8157,Ingot!$H$12:$H$119,Ingot!$G$12:$G$119,"")</f>
        <v>Cloth</v>
      </c>
      <c r="B8157" t="s">
        <v>16268</v>
      </c>
      <c r="C8157" t="s">
        <v>10</v>
      </c>
      <c r="D8157" t="s">
        <v>16395</v>
      </c>
      <c r="E8157" t="s">
        <v>16396</v>
      </c>
      <c r="G8157" s="1">
        <v>4.8899999999999997</v>
      </c>
    </row>
    <row r="8158" spans="1:7" ht="14.25" customHeight="1" x14ac:dyDescent="0.45">
      <c r="A8158" t="str">
        <f>_xlfn.XLOOKUP(B8158,Ingot!$H$12:$H$119,Ingot!$G$12:$G$119,"")</f>
        <v>Cloth</v>
      </c>
      <c r="B8158" t="s">
        <v>16268</v>
      </c>
      <c r="C8158" t="s">
        <v>10</v>
      </c>
      <c r="D8158" t="s">
        <v>16397</v>
      </c>
      <c r="E8158" t="s">
        <v>16398</v>
      </c>
      <c r="G8158" s="1">
        <v>1.76</v>
      </c>
    </row>
    <row r="8159" spans="1:7" ht="14.25" customHeight="1" x14ac:dyDescent="0.45">
      <c r="A8159" t="str">
        <f>_xlfn.XLOOKUP(B8159,Ingot!$H$12:$H$119,Ingot!$G$12:$G$119,"")</f>
        <v>Cloth</v>
      </c>
      <c r="B8159" t="s">
        <v>16268</v>
      </c>
      <c r="C8159" t="s">
        <v>10</v>
      </c>
      <c r="D8159" t="s">
        <v>16399</v>
      </c>
      <c r="E8159" t="s">
        <v>16400</v>
      </c>
    </row>
    <row r="8160" spans="1:7" ht="14.25" customHeight="1" x14ac:dyDescent="0.45">
      <c r="A8160" t="str">
        <f>_xlfn.XLOOKUP(B8160,Ingot!$H$12:$H$119,Ingot!$G$12:$G$119,"")</f>
        <v>Cloth</v>
      </c>
      <c r="B8160" t="s">
        <v>16268</v>
      </c>
      <c r="C8160" t="s">
        <v>10</v>
      </c>
      <c r="D8160" t="s">
        <v>16401</v>
      </c>
      <c r="E8160" t="s">
        <v>16402</v>
      </c>
      <c r="G8160" s="1">
        <v>8.57</v>
      </c>
    </row>
    <row r="8161" spans="1:7" ht="14.25" customHeight="1" x14ac:dyDescent="0.45">
      <c r="A8161" t="str">
        <f>_xlfn.XLOOKUP(B8161,Ingot!$H$12:$H$119,Ingot!$G$12:$G$119,"")</f>
        <v>Cloth</v>
      </c>
      <c r="B8161" t="s">
        <v>16268</v>
      </c>
      <c r="C8161" t="s">
        <v>10</v>
      </c>
      <c r="D8161" t="s">
        <v>16403</v>
      </c>
      <c r="E8161" t="s">
        <v>16404</v>
      </c>
    </row>
    <row r="8162" spans="1:7" ht="14.25" customHeight="1" x14ac:dyDescent="0.45">
      <c r="A8162" t="str">
        <f>_xlfn.XLOOKUP(B8162,Ingot!$H$12:$H$119,Ingot!$G$12:$G$119,"")</f>
        <v>Cloth</v>
      </c>
      <c r="B8162" t="s">
        <v>16268</v>
      </c>
      <c r="C8162" t="s">
        <v>10</v>
      </c>
      <c r="D8162" t="s">
        <v>16405</v>
      </c>
      <c r="E8162" t="s">
        <v>16406</v>
      </c>
      <c r="G8162" s="1">
        <v>3.56</v>
      </c>
    </row>
    <row r="8163" spans="1:7" ht="14.25" customHeight="1" x14ac:dyDescent="0.45">
      <c r="A8163" t="str">
        <f>_xlfn.XLOOKUP(B8163,Ingot!$H$12:$H$119,Ingot!$G$12:$G$119,"")</f>
        <v>Cloth</v>
      </c>
      <c r="B8163" t="s">
        <v>16268</v>
      </c>
      <c r="C8163" t="s">
        <v>10</v>
      </c>
      <c r="D8163" t="s">
        <v>16407</v>
      </c>
      <c r="E8163" t="s">
        <v>16408</v>
      </c>
      <c r="G8163" s="1">
        <v>8.91</v>
      </c>
    </row>
    <row r="8164" spans="1:7" ht="14.25" customHeight="1" x14ac:dyDescent="0.45">
      <c r="A8164" t="str">
        <f>_xlfn.XLOOKUP(B8164,Ingot!$H$12:$H$119,Ingot!$G$12:$G$119,"")</f>
        <v>Cloth</v>
      </c>
      <c r="B8164" t="s">
        <v>16268</v>
      </c>
      <c r="C8164" t="s">
        <v>10</v>
      </c>
      <c r="D8164" t="s">
        <v>16409</v>
      </c>
      <c r="E8164" t="s">
        <v>16410</v>
      </c>
      <c r="G8164" s="1">
        <v>11.02</v>
      </c>
    </row>
    <row r="8165" spans="1:7" ht="14.25" customHeight="1" x14ac:dyDescent="0.45">
      <c r="A8165" t="str">
        <f>_xlfn.XLOOKUP(B8165,Ingot!$H$12:$H$119,Ingot!$G$12:$G$119,"")</f>
        <v>Cloth</v>
      </c>
      <c r="B8165" t="s">
        <v>16268</v>
      </c>
      <c r="C8165" t="s">
        <v>10</v>
      </c>
      <c r="D8165" t="s">
        <v>16411</v>
      </c>
      <c r="E8165" t="s">
        <v>16412</v>
      </c>
      <c r="G8165" s="1">
        <v>5.12</v>
      </c>
    </row>
    <row r="8166" spans="1:7" ht="14.25" customHeight="1" x14ac:dyDescent="0.45">
      <c r="A8166" t="str">
        <f>_xlfn.XLOOKUP(B8166,Ingot!$H$12:$H$119,Ingot!$G$12:$G$119,"")</f>
        <v>Cloth</v>
      </c>
      <c r="B8166" t="s">
        <v>16268</v>
      </c>
      <c r="C8166" t="s">
        <v>10</v>
      </c>
      <c r="D8166" t="s">
        <v>16413</v>
      </c>
      <c r="E8166" t="s">
        <v>16414</v>
      </c>
      <c r="G8166" s="1">
        <v>4.41</v>
      </c>
    </row>
    <row r="8167" spans="1:7" ht="14.25" customHeight="1" x14ac:dyDescent="0.45">
      <c r="A8167" t="str">
        <f>_xlfn.XLOOKUP(B8167,Ingot!$H$12:$H$119,Ingot!$G$12:$G$119,"")</f>
        <v>Cloth</v>
      </c>
      <c r="B8167" t="s">
        <v>16268</v>
      </c>
      <c r="C8167" t="s">
        <v>157</v>
      </c>
      <c r="D8167" t="s">
        <v>16415</v>
      </c>
      <c r="E8167" t="s">
        <v>16416</v>
      </c>
      <c r="G8167" s="1">
        <v>14.8</v>
      </c>
    </row>
    <row r="8168" spans="1:7" ht="14.25" customHeight="1" x14ac:dyDescent="0.45">
      <c r="A8168" t="str">
        <f>_xlfn.XLOOKUP(B8168,Ingot!$H$12:$H$119,Ingot!$G$12:$G$119,"")</f>
        <v>Cloth</v>
      </c>
      <c r="B8168" t="s">
        <v>16268</v>
      </c>
      <c r="C8168" t="s">
        <v>157</v>
      </c>
      <c r="D8168" t="s">
        <v>16417</v>
      </c>
      <c r="E8168" t="s">
        <v>16418</v>
      </c>
      <c r="G8168" s="1">
        <v>5</v>
      </c>
    </row>
    <row r="8169" spans="1:7" ht="14.25" customHeight="1" x14ac:dyDescent="0.45">
      <c r="A8169" t="str">
        <f>_xlfn.XLOOKUP(B8169,Ingot!$H$12:$H$119,Ingot!$G$12:$G$119,"")</f>
        <v>Cloth</v>
      </c>
      <c r="B8169" t="s">
        <v>16268</v>
      </c>
      <c r="C8169" t="s">
        <v>157</v>
      </c>
      <c r="D8169" t="s">
        <v>16419</v>
      </c>
      <c r="E8169" t="s">
        <v>16420</v>
      </c>
      <c r="G8169" s="1">
        <v>5</v>
      </c>
    </row>
    <row r="8170" spans="1:7" ht="14.25" customHeight="1" x14ac:dyDescent="0.45">
      <c r="A8170" t="str">
        <f>_xlfn.XLOOKUP(B8170,Ingot!$H$12:$H$119,Ingot!$G$12:$G$119,"")</f>
        <v>Cloth</v>
      </c>
      <c r="B8170" t="s">
        <v>16268</v>
      </c>
      <c r="C8170" t="s">
        <v>157</v>
      </c>
      <c r="D8170" t="s">
        <v>16421</v>
      </c>
      <c r="E8170" t="s">
        <v>16422</v>
      </c>
      <c r="G8170" s="1">
        <v>5</v>
      </c>
    </row>
    <row r="8171" spans="1:7" ht="14.25" customHeight="1" x14ac:dyDescent="0.45">
      <c r="A8171" t="str">
        <f>_xlfn.XLOOKUP(B8171,Ingot!$H$12:$H$119,Ingot!$G$12:$G$119,"")</f>
        <v>Cloth</v>
      </c>
      <c r="B8171" t="s">
        <v>16268</v>
      </c>
      <c r="C8171" t="s">
        <v>157</v>
      </c>
      <c r="D8171" t="s">
        <v>16423</v>
      </c>
      <c r="E8171" t="s">
        <v>16424</v>
      </c>
      <c r="G8171" s="1">
        <v>10</v>
      </c>
    </row>
    <row r="8172" spans="1:7" ht="14.25" customHeight="1" x14ac:dyDescent="0.45">
      <c r="A8172" t="str">
        <f>_xlfn.XLOOKUP(B8172,Ingot!$H$12:$H$119,Ingot!$G$12:$G$119,"")</f>
        <v>Cloth</v>
      </c>
      <c r="B8172" t="s">
        <v>16268</v>
      </c>
      <c r="C8172" t="s">
        <v>157</v>
      </c>
      <c r="D8172" t="s">
        <v>16425</v>
      </c>
      <c r="E8172" t="s">
        <v>16426</v>
      </c>
      <c r="G8172" s="1">
        <v>13.2</v>
      </c>
    </row>
    <row r="8173" spans="1:7" ht="14.25" customHeight="1" x14ac:dyDescent="0.45">
      <c r="A8173" t="str">
        <f>_xlfn.XLOOKUP(B8173,Ingot!$H$12:$H$119,Ingot!$G$12:$G$119,"")</f>
        <v>Cloth</v>
      </c>
      <c r="B8173" t="s">
        <v>16268</v>
      </c>
      <c r="C8173" t="s">
        <v>157</v>
      </c>
      <c r="D8173" t="s">
        <v>16427</v>
      </c>
      <c r="E8173" t="s">
        <v>16428</v>
      </c>
      <c r="G8173" s="1">
        <v>5</v>
      </c>
    </row>
    <row r="8174" spans="1:7" ht="14.25" customHeight="1" x14ac:dyDescent="0.45">
      <c r="A8174" t="str">
        <f>_xlfn.XLOOKUP(B8174,Ingot!$H$12:$H$119,Ingot!$G$12:$G$119,"")</f>
        <v>Cloth</v>
      </c>
      <c r="B8174" t="s">
        <v>16268</v>
      </c>
      <c r="C8174" t="s">
        <v>157</v>
      </c>
      <c r="D8174" t="s">
        <v>16429</v>
      </c>
      <c r="E8174" t="s">
        <v>16430</v>
      </c>
      <c r="G8174" s="1">
        <v>5</v>
      </c>
    </row>
    <row r="8175" spans="1:7" ht="14.25" customHeight="1" x14ac:dyDescent="0.45">
      <c r="A8175" t="str">
        <f>_xlfn.XLOOKUP(B8175,Ingot!$H$12:$H$119,Ingot!$G$12:$G$119,"")</f>
        <v>Cloth</v>
      </c>
      <c r="B8175" t="s">
        <v>16268</v>
      </c>
      <c r="C8175" t="s">
        <v>157</v>
      </c>
      <c r="D8175" t="s">
        <v>16431</v>
      </c>
      <c r="E8175" t="s">
        <v>16432</v>
      </c>
      <c r="G8175" s="1">
        <v>5</v>
      </c>
    </row>
    <row r="8176" spans="1:7" ht="14.25" customHeight="1" x14ac:dyDescent="0.45">
      <c r="A8176" t="str">
        <f>_xlfn.XLOOKUP(B8176,Ingot!$H$12:$H$119,Ingot!$G$12:$G$119,"")</f>
        <v>Cloth</v>
      </c>
      <c r="B8176" t="s">
        <v>16268</v>
      </c>
      <c r="C8176" t="s">
        <v>157</v>
      </c>
      <c r="D8176" t="s">
        <v>16433</v>
      </c>
      <c r="E8176" t="s">
        <v>16434</v>
      </c>
      <c r="G8176" s="1">
        <v>10</v>
      </c>
    </row>
    <row r="8177" spans="1:7" ht="14.25" customHeight="1" x14ac:dyDescent="0.45">
      <c r="A8177" t="str">
        <f>_xlfn.XLOOKUP(B8177,Ingot!$H$12:$H$119,Ingot!$G$12:$G$119,"")</f>
        <v>Cloth</v>
      </c>
      <c r="B8177" t="s">
        <v>16268</v>
      </c>
      <c r="C8177" t="s">
        <v>157</v>
      </c>
      <c r="D8177" t="s">
        <v>16435</v>
      </c>
      <c r="E8177" t="s">
        <v>16436</v>
      </c>
      <c r="G8177" s="1">
        <v>12.8</v>
      </c>
    </row>
    <row r="8178" spans="1:7" ht="14.25" customHeight="1" x14ac:dyDescent="0.45">
      <c r="A8178" t="str">
        <f>_xlfn.XLOOKUP(B8178,Ingot!$H$12:$H$119,Ingot!$G$12:$G$119,"")</f>
        <v>Cloth</v>
      </c>
      <c r="B8178" t="s">
        <v>16268</v>
      </c>
      <c r="C8178" t="s">
        <v>157</v>
      </c>
      <c r="D8178" t="s">
        <v>16437</v>
      </c>
      <c r="E8178" t="s">
        <v>16438</v>
      </c>
      <c r="G8178" s="1">
        <v>5</v>
      </c>
    </row>
    <row r="8179" spans="1:7" ht="14.25" customHeight="1" x14ac:dyDescent="0.45">
      <c r="A8179" t="str">
        <f>_xlfn.XLOOKUP(B8179,Ingot!$H$12:$H$119,Ingot!$G$12:$G$119,"")</f>
        <v>Cloth</v>
      </c>
      <c r="B8179" t="s">
        <v>16268</v>
      </c>
      <c r="C8179" t="s">
        <v>157</v>
      </c>
      <c r="D8179" t="s">
        <v>16439</v>
      </c>
      <c r="E8179" t="s">
        <v>16440</v>
      </c>
      <c r="G8179" s="1">
        <v>5</v>
      </c>
    </row>
    <row r="8180" spans="1:7" ht="14.25" customHeight="1" x14ac:dyDescent="0.45">
      <c r="A8180" t="str">
        <f>_xlfn.XLOOKUP(B8180,Ingot!$H$12:$H$119,Ingot!$G$12:$G$119,"")</f>
        <v>Cloth</v>
      </c>
      <c r="B8180" t="s">
        <v>16268</v>
      </c>
      <c r="C8180" t="s">
        <v>157</v>
      </c>
      <c r="D8180" t="s">
        <v>16441</v>
      </c>
      <c r="E8180" t="s">
        <v>16442</v>
      </c>
      <c r="G8180" s="1">
        <v>5</v>
      </c>
    </row>
    <row r="8181" spans="1:7" ht="14.25" customHeight="1" x14ac:dyDescent="0.45">
      <c r="A8181" t="str">
        <f>_xlfn.XLOOKUP(B8181,Ingot!$H$12:$H$119,Ingot!$G$12:$G$119,"")</f>
        <v>Cloth</v>
      </c>
      <c r="B8181" t="s">
        <v>16268</v>
      </c>
      <c r="C8181" t="s">
        <v>157</v>
      </c>
      <c r="D8181" t="s">
        <v>16443</v>
      </c>
      <c r="E8181" t="s">
        <v>16444</v>
      </c>
      <c r="G8181" s="1">
        <v>10</v>
      </c>
    </row>
    <row r="8182" spans="1:7" ht="14.25" customHeight="1" x14ac:dyDescent="0.45">
      <c r="A8182" t="str">
        <f>_xlfn.XLOOKUP(B8182,Ingot!$H$12:$H$119,Ingot!$G$12:$G$119,"")</f>
        <v>Cloth</v>
      </c>
      <c r="B8182" t="s">
        <v>16268</v>
      </c>
      <c r="C8182" t="s">
        <v>157</v>
      </c>
      <c r="D8182" t="s">
        <v>16445</v>
      </c>
      <c r="E8182" t="s">
        <v>16446</v>
      </c>
      <c r="G8182" s="1">
        <v>13.5</v>
      </c>
    </row>
    <row r="8183" spans="1:7" ht="14.25" customHeight="1" x14ac:dyDescent="0.45">
      <c r="A8183" t="str">
        <f>_xlfn.XLOOKUP(B8183,Ingot!$H$12:$H$119,Ingot!$G$12:$G$119,"")</f>
        <v>Cloth</v>
      </c>
      <c r="B8183" t="s">
        <v>16268</v>
      </c>
      <c r="C8183" t="s">
        <v>157</v>
      </c>
      <c r="D8183" t="s">
        <v>16447</v>
      </c>
      <c r="E8183" t="s">
        <v>16448</v>
      </c>
      <c r="G8183" s="1">
        <v>5</v>
      </c>
    </row>
    <row r="8184" spans="1:7" ht="14.25" customHeight="1" x14ac:dyDescent="0.45">
      <c r="A8184" t="str">
        <f>_xlfn.XLOOKUP(B8184,Ingot!$H$12:$H$119,Ingot!$G$12:$G$119,"")</f>
        <v>Cloth</v>
      </c>
      <c r="B8184" t="s">
        <v>16268</v>
      </c>
      <c r="C8184" t="s">
        <v>157</v>
      </c>
      <c r="D8184" t="s">
        <v>16449</v>
      </c>
      <c r="E8184" t="s">
        <v>16450</v>
      </c>
      <c r="G8184" s="1">
        <v>5</v>
      </c>
    </row>
    <row r="8185" spans="1:7" ht="14.25" customHeight="1" x14ac:dyDescent="0.45">
      <c r="A8185" t="str">
        <f>_xlfn.XLOOKUP(B8185,Ingot!$H$12:$H$119,Ingot!$G$12:$G$119,"")</f>
        <v>Cloth</v>
      </c>
      <c r="B8185" t="s">
        <v>16268</v>
      </c>
      <c r="C8185" t="s">
        <v>157</v>
      </c>
      <c r="D8185" t="s">
        <v>16451</v>
      </c>
      <c r="E8185" t="s">
        <v>16452</v>
      </c>
      <c r="G8185" s="1">
        <v>5</v>
      </c>
    </row>
    <row r="8186" spans="1:7" ht="14.25" customHeight="1" x14ac:dyDescent="0.45">
      <c r="A8186" t="str">
        <f>_xlfn.XLOOKUP(B8186,Ingot!$H$12:$H$119,Ingot!$G$12:$G$119,"")</f>
        <v>Cloth</v>
      </c>
      <c r="B8186" t="s">
        <v>16268</v>
      </c>
      <c r="C8186" t="s">
        <v>157</v>
      </c>
      <c r="D8186" t="s">
        <v>16453</v>
      </c>
      <c r="E8186" t="s">
        <v>16454</v>
      </c>
      <c r="G8186" s="1">
        <v>10</v>
      </c>
    </row>
    <row r="8187" spans="1:7" ht="14.25" customHeight="1" x14ac:dyDescent="0.45">
      <c r="A8187" t="str">
        <f>_xlfn.XLOOKUP(B8187,Ingot!$H$12:$H$119,Ingot!$G$12:$G$119,"")</f>
        <v>Cloth</v>
      </c>
      <c r="B8187" t="s">
        <v>16268</v>
      </c>
      <c r="C8187" t="s">
        <v>157</v>
      </c>
      <c r="D8187" t="s">
        <v>16455</v>
      </c>
      <c r="E8187" t="s">
        <v>16456</v>
      </c>
      <c r="G8187" s="1">
        <v>14</v>
      </c>
    </row>
    <row r="8188" spans="1:7" ht="14.25" customHeight="1" x14ac:dyDescent="0.45">
      <c r="A8188" t="str">
        <f>_xlfn.XLOOKUP(B8188,Ingot!$H$12:$H$119,Ingot!$G$12:$G$119,"")</f>
        <v>Cloth</v>
      </c>
      <c r="B8188" t="s">
        <v>16268</v>
      </c>
      <c r="C8188" t="s">
        <v>157</v>
      </c>
      <c r="D8188" t="s">
        <v>16457</v>
      </c>
      <c r="E8188" t="s">
        <v>16458</v>
      </c>
      <c r="G8188" s="1">
        <v>5</v>
      </c>
    </row>
    <row r="8189" spans="1:7" ht="14.25" customHeight="1" x14ac:dyDescent="0.45">
      <c r="A8189" t="str">
        <f>_xlfn.XLOOKUP(B8189,Ingot!$H$12:$H$119,Ingot!$G$12:$G$119,"")</f>
        <v>Cloth</v>
      </c>
      <c r="B8189" t="s">
        <v>16268</v>
      </c>
      <c r="C8189" t="s">
        <v>157</v>
      </c>
      <c r="D8189" t="s">
        <v>16459</v>
      </c>
      <c r="E8189" t="s">
        <v>16460</v>
      </c>
      <c r="G8189" s="1">
        <v>5</v>
      </c>
    </row>
    <row r="8190" spans="1:7" ht="14.25" customHeight="1" x14ac:dyDescent="0.45">
      <c r="A8190" t="str">
        <f>_xlfn.XLOOKUP(B8190,Ingot!$H$12:$H$119,Ingot!$G$12:$G$119,"")</f>
        <v>Cloth</v>
      </c>
      <c r="B8190" t="s">
        <v>16268</v>
      </c>
      <c r="C8190" t="s">
        <v>157</v>
      </c>
      <c r="D8190" t="s">
        <v>16461</v>
      </c>
      <c r="E8190" t="s">
        <v>16462</v>
      </c>
      <c r="G8190" s="1">
        <v>5</v>
      </c>
    </row>
    <row r="8191" spans="1:7" ht="14.25" customHeight="1" x14ac:dyDescent="0.45">
      <c r="A8191" t="str">
        <f>_xlfn.XLOOKUP(B8191,Ingot!$H$12:$H$119,Ingot!$G$12:$G$119,"")</f>
        <v>Cloth</v>
      </c>
      <c r="B8191" t="s">
        <v>16268</v>
      </c>
      <c r="C8191" t="s">
        <v>157</v>
      </c>
      <c r="D8191" t="s">
        <v>16463</v>
      </c>
      <c r="E8191" t="s">
        <v>16464</v>
      </c>
      <c r="G8191" s="1">
        <v>10</v>
      </c>
    </row>
    <row r="8192" spans="1:7" ht="14.25" customHeight="1" x14ac:dyDescent="0.45">
      <c r="A8192" t="str">
        <f>_xlfn.XLOOKUP(B8192,Ingot!$H$12:$H$119,Ingot!$G$12:$G$119,"")</f>
        <v>Cloth</v>
      </c>
      <c r="B8192" t="s">
        <v>16268</v>
      </c>
      <c r="C8192" t="s">
        <v>157</v>
      </c>
      <c r="D8192" t="s">
        <v>16465</v>
      </c>
      <c r="E8192" t="s">
        <v>16466</v>
      </c>
      <c r="G8192" s="1">
        <v>16.399999999999999</v>
      </c>
    </row>
    <row r="8193" spans="1:7" ht="14.25" customHeight="1" x14ac:dyDescent="0.45">
      <c r="A8193" t="str">
        <f>_xlfn.XLOOKUP(B8193,Ingot!$H$12:$H$119,Ingot!$G$12:$G$119,"")</f>
        <v>Cloth</v>
      </c>
      <c r="B8193" t="s">
        <v>16268</v>
      </c>
      <c r="C8193" t="s">
        <v>157</v>
      </c>
      <c r="D8193" t="s">
        <v>16467</v>
      </c>
      <c r="E8193" t="s">
        <v>16468</v>
      </c>
      <c r="G8193" s="1">
        <v>5</v>
      </c>
    </row>
    <row r="8194" spans="1:7" ht="14.25" customHeight="1" x14ac:dyDescent="0.45">
      <c r="A8194" t="str">
        <f>_xlfn.XLOOKUP(B8194,Ingot!$H$12:$H$119,Ingot!$G$12:$G$119,"")</f>
        <v>Cloth</v>
      </c>
      <c r="B8194" t="s">
        <v>16268</v>
      </c>
      <c r="C8194" t="s">
        <v>157</v>
      </c>
      <c r="D8194" t="s">
        <v>16469</v>
      </c>
      <c r="E8194" t="s">
        <v>16470</v>
      </c>
      <c r="G8194" s="1">
        <v>5</v>
      </c>
    </row>
    <row r="8195" spans="1:7" ht="14.25" customHeight="1" x14ac:dyDescent="0.45">
      <c r="A8195" t="str">
        <f>_xlfn.XLOOKUP(B8195,Ingot!$H$12:$H$119,Ingot!$G$12:$G$119,"")</f>
        <v>Cloth</v>
      </c>
      <c r="B8195" t="s">
        <v>16268</v>
      </c>
      <c r="C8195" t="s">
        <v>157</v>
      </c>
      <c r="D8195" t="s">
        <v>16471</v>
      </c>
      <c r="E8195" t="s">
        <v>16472</v>
      </c>
      <c r="G8195" s="1">
        <v>5</v>
      </c>
    </row>
    <row r="8196" spans="1:7" ht="14.25" customHeight="1" x14ac:dyDescent="0.45">
      <c r="A8196" t="str">
        <f>_xlfn.XLOOKUP(B8196,Ingot!$H$12:$H$119,Ingot!$G$12:$G$119,"")</f>
        <v>Cloth</v>
      </c>
      <c r="B8196" t="s">
        <v>16268</v>
      </c>
      <c r="C8196" t="s">
        <v>157</v>
      </c>
      <c r="D8196" t="s">
        <v>16473</v>
      </c>
      <c r="E8196" t="s">
        <v>16474</v>
      </c>
      <c r="G8196" s="1">
        <v>10</v>
      </c>
    </row>
    <row r="8197" spans="1:7" ht="14.25" customHeight="1" x14ac:dyDescent="0.45">
      <c r="A8197" t="str">
        <f>_xlfn.XLOOKUP(B8197,Ingot!$H$12:$H$119,Ingot!$G$12:$G$119,"")</f>
        <v>Cloth</v>
      </c>
      <c r="B8197" t="s">
        <v>16268</v>
      </c>
      <c r="C8197" t="s">
        <v>157</v>
      </c>
      <c r="D8197" t="s">
        <v>16475</v>
      </c>
      <c r="E8197" t="s">
        <v>16476</v>
      </c>
      <c r="G8197" s="1">
        <v>15.5</v>
      </c>
    </row>
    <row r="8198" spans="1:7" ht="14.25" customHeight="1" x14ac:dyDescent="0.45">
      <c r="A8198" t="str">
        <f>_xlfn.XLOOKUP(B8198,Ingot!$H$12:$H$119,Ingot!$G$12:$G$119,"")</f>
        <v>Cloth</v>
      </c>
      <c r="B8198" t="s">
        <v>16268</v>
      </c>
      <c r="C8198" t="s">
        <v>157</v>
      </c>
      <c r="D8198" t="s">
        <v>16477</v>
      </c>
      <c r="E8198" t="s">
        <v>16478</v>
      </c>
      <c r="G8198" s="1">
        <v>5</v>
      </c>
    </row>
    <row r="8199" spans="1:7" ht="14.25" customHeight="1" x14ac:dyDescent="0.45">
      <c r="A8199" t="str">
        <f>_xlfn.XLOOKUP(B8199,Ingot!$H$12:$H$119,Ingot!$G$12:$G$119,"")</f>
        <v>Cloth</v>
      </c>
      <c r="B8199" t="s">
        <v>16268</v>
      </c>
      <c r="C8199" t="s">
        <v>157</v>
      </c>
      <c r="D8199" t="s">
        <v>16479</v>
      </c>
      <c r="E8199" t="s">
        <v>16480</v>
      </c>
      <c r="G8199" s="1">
        <v>5</v>
      </c>
    </row>
    <row r="8200" spans="1:7" ht="14.25" customHeight="1" x14ac:dyDescent="0.45">
      <c r="A8200" t="str">
        <f>_xlfn.XLOOKUP(B8200,Ingot!$H$12:$H$119,Ingot!$G$12:$G$119,"")</f>
        <v>Cloth</v>
      </c>
      <c r="B8200" t="s">
        <v>16268</v>
      </c>
      <c r="C8200" t="s">
        <v>157</v>
      </c>
      <c r="D8200" t="s">
        <v>16481</v>
      </c>
      <c r="E8200" t="s">
        <v>16482</v>
      </c>
      <c r="G8200" s="1">
        <v>5</v>
      </c>
    </row>
    <row r="8201" spans="1:7" ht="14.25" customHeight="1" x14ac:dyDescent="0.45">
      <c r="A8201" t="str">
        <f>_xlfn.XLOOKUP(B8201,Ingot!$H$12:$H$119,Ingot!$G$12:$G$119,"")</f>
        <v>Cloth</v>
      </c>
      <c r="B8201" t="s">
        <v>16268</v>
      </c>
      <c r="C8201" t="s">
        <v>157</v>
      </c>
      <c r="D8201" t="s">
        <v>16483</v>
      </c>
      <c r="E8201" t="s">
        <v>16484</v>
      </c>
      <c r="G8201" s="1">
        <v>10</v>
      </c>
    </row>
    <row r="8202" spans="1:7" ht="14.25" customHeight="1" x14ac:dyDescent="0.45">
      <c r="A8202" t="str">
        <f>_xlfn.XLOOKUP(B8202,Ingot!$H$12:$H$119,Ingot!$G$12:$G$119,"")</f>
        <v>Cloth</v>
      </c>
      <c r="B8202" t="s">
        <v>16268</v>
      </c>
      <c r="C8202" t="s">
        <v>157</v>
      </c>
      <c r="D8202" t="s">
        <v>16485</v>
      </c>
      <c r="E8202" t="s">
        <v>16486</v>
      </c>
      <c r="G8202" s="1">
        <v>12.6</v>
      </c>
    </row>
    <row r="8203" spans="1:7" ht="14.25" customHeight="1" x14ac:dyDescent="0.45">
      <c r="A8203" t="str">
        <f>_xlfn.XLOOKUP(B8203,Ingot!$H$12:$H$119,Ingot!$G$12:$G$119,"")</f>
        <v>Cloth</v>
      </c>
      <c r="B8203" t="s">
        <v>16268</v>
      </c>
      <c r="C8203" t="s">
        <v>157</v>
      </c>
      <c r="D8203" t="s">
        <v>16487</v>
      </c>
      <c r="E8203" t="s">
        <v>16488</v>
      </c>
      <c r="G8203" s="1">
        <v>5</v>
      </c>
    </row>
    <row r="8204" spans="1:7" ht="14.25" customHeight="1" x14ac:dyDescent="0.45">
      <c r="A8204" t="str">
        <f>_xlfn.XLOOKUP(B8204,Ingot!$H$12:$H$119,Ingot!$G$12:$G$119,"")</f>
        <v>Cloth</v>
      </c>
      <c r="B8204" t="s">
        <v>16268</v>
      </c>
      <c r="C8204" t="s">
        <v>157</v>
      </c>
      <c r="D8204" t="s">
        <v>16489</v>
      </c>
      <c r="E8204" t="s">
        <v>16490</v>
      </c>
      <c r="G8204" s="1">
        <v>5</v>
      </c>
    </row>
    <row r="8205" spans="1:7" ht="14.25" customHeight="1" x14ac:dyDescent="0.45">
      <c r="A8205" t="str">
        <f>_xlfn.XLOOKUP(B8205,Ingot!$H$12:$H$119,Ingot!$G$12:$G$119,"")</f>
        <v>Cloth</v>
      </c>
      <c r="B8205" t="s">
        <v>16268</v>
      </c>
      <c r="C8205" t="s">
        <v>157</v>
      </c>
      <c r="D8205" t="s">
        <v>16491</v>
      </c>
      <c r="E8205" t="s">
        <v>16492</v>
      </c>
      <c r="G8205" s="1">
        <v>5</v>
      </c>
    </row>
    <row r="8206" spans="1:7" ht="14.25" customHeight="1" x14ac:dyDescent="0.45">
      <c r="A8206" t="str">
        <f>_xlfn.XLOOKUP(B8206,Ingot!$H$12:$H$119,Ingot!$G$12:$G$119,"")</f>
        <v>Cloth</v>
      </c>
      <c r="B8206" t="s">
        <v>16268</v>
      </c>
      <c r="C8206" t="s">
        <v>157</v>
      </c>
      <c r="D8206" t="s">
        <v>16493</v>
      </c>
      <c r="E8206" t="s">
        <v>16494</v>
      </c>
      <c r="G8206" s="1">
        <v>10</v>
      </c>
    </row>
    <row r="8207" spans="1:7" ht="14.25" customHeight="1" x14ac:dyDescent="0.45">
      <c r="A8207" t="str">
        <f>_xlfn.XLOOKUP(B8207,Ingot!$H$12:$H$119,Ingot!$G$12:$G$119,"")</f>
        <v>Cloth</v>
      </c>
      <c r="B8207" t="s">
        <v>16268</v>
      </c>
      <c r="C8207" t="s">
        <v>239</v>
      </c>
      <c r="D8207" t="s">
        <v>16495</v>
      </c>
      <c r="E8207" t="s">
        <v>16496</v>
      </c>
    </row>
    <row r="8208" spans="1:7" ht="14.25" customHeight="1" x14ac:dyDescent="0.45">
      <c r="A8208" t="str">
        <f>_xlfn.XLOOKUP(B8208,Ingot!$H$12:$H$119,Ingot!$G$12:$G$119,"")</f>
        <v>Cloth</v>
      </c>
      <c r="B8208" t="s">
        <v>16268</v>
      </c>
      <c r="C8208" t="s">
        <v>239</v>
      </c>
      <c r="D8208" t="s">
        <v>16497</v>
      </c>
      <c r="E8208" t="s">
        <v>16498</v>
      </c>
    </row>
    <row r="8209" spans="1:7" ht="14.25" customHeight="1" x14ac:dyDescent="0.45">
      <c r="A8209" t="str">
        <f>_xlfn.XLOOKUP(B8209,Ingot!$H$12:$H$119,Ingot!$G$12:$G$119,"")</f>
        <v>Cloth</v>
      </c>
      <c r="B8209" t="s">
        <v>16268</v>
      </c>
      <c r="C8209" t="s">
        <v>239</v>
      </c>
      <c r="D8209" t="s">
        <v>16499</v>
      </c>
      <c r="E8209" t="s">
        <v>16500</v>
      </c>
    </row>
    <row r="8210" spans="1:7" ht="14.25" customHeight="1" x14ac:dyDescent="0.45">
      <c r="A8210" t="str">
        <f>_xlfn.XLOOKUP(B8210,Ingot!$H$12:$H$119,Ingot!$G$12:$G$119,"")</f>
        <v>Cloth</v>
      </c>
      <c r="B8210" t="s">
        <v>16268</v>
      </c>
      <c r="C8210" t="s">
        <v>239</v>
      </c>
      <c r="D8210" t="s">
        <v>16501</v>
      </c>
      <c r="E8210" t="s">
        <v>16502</v>
      </c>
    </row>
    <row r="8211" spans="1:7" ht="14.25" customHeight="1" x14ac:dyDescent="0.45">
      <c r="A8211" t="str">
        <f>_xlfn.XLOOKUP(B8211,Ingot!$H$12:$H$119,Ingot!$G$12:$G$119,"")</f>
        <v>Cloth</v>
      </c>
      <c r="B8211" t="s">
        <v>16268</v>
      </c>
      <c r="C8211" t="s">
        <v>239</v>
      </c>
      <c r="D8211" t="s">
        <v>16503</v>
      </c>
      <c r="E8211" t="s">
        <v>16504</v>
      </c>
    </row>
    <row r="8212" spans="1:7" ht="14.25" customHeight="1" x14ac:dyDescent="0.45">
      <c r="A8212" t="str">
        <f>_xlfn.XLOOKUP(B8212,Ingot!$H$12:$H$119,Ingot!$G$12:$G$119,"")</f>
        <v>Cloth</v>
      </c>
      <c r="B8212" t="s">
        <v>16268</v>
      </c>
      <c r="C8212" t="s">
        <v>239</v>
      </c>
      <c r="D8212" t="s">
        <v>16505</v>
      </c>
      <c r="E8212" t="s">
        <v>16506</v>
      </c>
    </row>
    <row r="8213" spans="1:7" ht="14.25" customHeight="1" x14ac:dyDescent="0.45">
      <c r="A8213" t="str">
        <f>_xlfn.XLOOKUP(B8213,Ingot!$H$12:$H$119,Ingot!$G$12:$G$119,"")</f>
        <v>Cloth</v>
      </c>
      <c r="B8213" t="s">
        <v>16507</v>
      </c>
      <c r="C8213" t="s">
        <v>10</v>
      </c>
      <c r="D8213" t="s">
        <v>16508</v>
      </c>
      <c r="E8213" t="s">
        <v>16509</v>
      </c>
      <c r="G8213" s="1">
        <v>0.08</v>
      </c>
    </row>
    <row r="8214" spans="1:7" ht="14.25" customHeight="1" x14ac:dyDescent="0.45">
      <c r="A8214" t="str">
        <f>_xlfn.XLOOKUP(B8214,Ingot!$H$12:$H$119,Ingot!$G$12:$G$119,"")</f>
        <v>Cloth</v>
      </c>
      <c r="B8214" t="s">
        <v>16507</v>
      </c>
      <c r="C8214" t="s">
        <v>10</v>
      </c>
      <c r="D8214" t="s">
        <v>16510</v>
      </c>
      <c r="E8214" t="s">
        <v>16511</v>
      </c>
      <c r="G8214" s="1">
        <v>9.9</v>
      </c>
    </row>
    <row r="8215" spans="1:7" ht="14.25" customHeight="1" x14ac:dyDescent="0.45">
      <c r="A8215" t="str">
        <f>_xlfn.XLOOKUP(B8215,Ingot!$H$12:$H$119,Ingot!$G$12:$G$119,"")</f>
        <v>Cloth</v>
      </c>
      <c r="B8215" t="s">
        <v>16507</v>
      </c>
      <c r="C8215" t="s">
        <v>10</v>
      </c>
      <c r="D8215" t="s">
        <v>16512</v>
      </c>
      <c r="E8215" t="s">
        <v>16513</v>
      </c>
      <c r="G8215" s="1">
        <v>5.66</v>
      </c>
    </row>
    <row r="8216" spans="1:7" ht="14.25" customHeight="1" x14ac:dyDescent="0.45">
      <c r="A8216" t="str">
        <f>_xlfn.XLOOKUP(B8216,Ingot!$H$12:$H$119,Ingot!$G$12:$G$119,"")</f>
        <v>Cloth</v>
      </c>
      <c r="B8216" t="s">
        <v>16507</v>
      </c>
      <c r="C8216" t="s">
        <v>10</v>
      </c>
      <c r="D8216" t="s">
        <v>16514</v>
      </c>
      <c r="E8216" t="s">
        <v>16515</v>
      </c>
      <c r="G8216" s="1">
        <v>3.3</v>
      </c>
    </row>
    <row r="8217" spans="1:7" ht="14.25" customHeight="1" x14ac:dyDescent="0.45">
      <c r="A8217" t="str">
        <f>_xlfn.XLOOKUP(B8217,Ingot!$H$12:$H$119,Ingot!$G$12:$G$119,"")</f>
        <v>Cloth</v>
      </c>
      <c r="B8217" t="s">
        <v>16507</v>
      </c>
      <c r="C8217" t="s">
        <v>10</v>
      </c>
      <c r="D8217" t="s">
        <v>16516</v>
      </c>
      <c r="E8217" t="s">
        <v>16517</v>
      </c>
      <c r="G8217" s="1">
        <v>0.66</v>
      </c>
    </row>
    <row r="8218" spans="1:7" ht="14.25" customHeight="1" x14ac:dyDescent="0.45">
      <c r="A8218" t="str">
        <f>_xlfn.XLOOKUP(B8218,Ingot!$H$12:$H$119,Ingot!$G$12:$G$119,"")</f>
        <v>Cloth</v>
      </c>
      <c r="B8218" t="s">
        <v>16507</v>
      </c>
      <c r="C8218" t="s">
        <v>10</v>
      </c>
      <c r="D8218" t="s">
        <v>16518</v>
      </c>
      <c r="E8218" t="s">
        <v>16519</v>
      </c>
      <c r="G8218" s="1">
        <v>0.04</v>
      </c>
    </row>
    <row r="8219" spans="1:7" ht="14.25" customHeight="1" x14ac:dyDescent="0.45">
      <c r="A8219" t="str">
        <f>_xlfn.XLOOKUP(B8219,Ingot!$H$12:$H$119,Ingot!$G$12:$G$119,"")</f>
        <v>Cloth</v>
      </c>
      <c r="B8219" t="s">
        <v>16507</v>
      </c>
      <c r="C8219" t="s">
        <v>10</v>
      </c>
      <c r="D8219" t="s">
        <v>16520</v>
      </c>
      <c r="E8219" t="s">
        <v>16521</v>
      </c>
      <c r="G8219" s="1">
        <v>0.33</v>
      </c>
    </row>
    <row r="8220" spans="1:7" ht="14.25" customHeight="1" x14ac:dyDescent="0.45">
      <c r="A8220" t="str">
        <f>_xlfn.XLOOKUP(B8220,Ingot!$H$12:$H$119,Ingot!$G$12:$G$119,"")</f>
        <v>Cloth</v>
      </c>
      <c r="B8220" t="s">
        <v>16507</v>
      </c>
      <c r="C8220" t="s">
        <v>10</v>
      </c>
      <c r="D8220" t="s">
        <v>16522</v>
      </c>
      <c r="E8220" t="s">
        <v>16523</v>
      </c>
    </row>
    <row r="8221" spans="1:7" ht="14.25" customHeight="1" x14ac:dyDescent="0.45">
      <c r="A8221" t="str">
        <f>_xlfn.XLOOKUP(B8221,Ingot!$H$12:$H$119,Ingot!$G$12:$G$119,"")</f>
        <v>Cloth</v>
      </c>
      <c r="B8221" t="s">
        <v>16507</v>
      </c>
      <c r="C8221" t="s">
        <v>10</v>
      </c>
      <c r="D8221" t="s">
        <v>16524</v>
      </c>
      <c r="E8221" t="s">
        <v>16525</v>
      </c>
      <c r="G8221" s="1">
        <v>0.05</v>
      </c>
    </row>
    <row r="8222" spans="1:7" ht="14.25" customHeight="1" x14ac:dyDescent="0.45">
      <c r="A8222" t="str">
        <f>_xlfn.XLOOKUP(B8222,Ingot!$H$12:$H$119,Ingot!$G$12:$G$119,"")</f>
        <v>Cloth</v>
      </c>
      <c r="B8222" t="s">
        <v>16507</v>
      </c>
      <c r="C8222" t="s">
        <v>10</v>
      </c>
      <c r="D8222" t="s">
        <v>16526</v>
      </c>
      <c r="E8222" t="s">
        <v>16527</v>
      </c>
      <c r="G8222" s="1">
        <v>0.66</v>
      </c>
    </row>
    <row r="8223" spans="1:7" ht="14.25" customHeight="1" x14ac:dyDescent="0.45">
      <c r="A8223" t="str">
        <f>_xlfn.XLOOKUP(B8223,Ingot!$H$12:$H$119,Ingot!$G$12:$G$119,"")</f>
        <v>Cloth</v>
      </c>
      <c r="B8223" t="s">
        <v>16507</v>
      </c>
      <c r="C8223" t="s">
        <v>10</v>
      </c>
      <c r="D8223" t="s">
        <v>16528</v>
      </c>
      <c r="E8223" t="s">
        <v>16529</v>
      </c>
      <c r="G8223" s="1">
        <v>3.96</v>
      </c>
    </row>
    <row r="8224" spans="1:7" ht="14.25" customHeight="1" x14ac:dyDescent="0.45">
      <c r="A8224" t="str">
        <f>_xlfn.XLOOKUP(B8224,Ingot!$H$12:$H$119,Ingot!$G$12:$G$119,"")</f>
        <v>Cloth</v>
      </c>
      <c r="B8224" t="s">
        <v>16507</v>
      </c>
      <c r="C8224" t="s">
        <v>10</v>
      </c>
      <c r="D8224" t="s">
        <v>16530</v>
      </c>
      <c r="E8224" t="s">
        <v>16531</v>
      </c>
      <c r="G8224" s="1">
        <v>8.77</v>
      </c>
    </row>
    <row r="8225" spans="1:7" ht="14.25" customHeight="1" x14ac:dyDescent="0.45">
      <c r="A8225" t="str">
        <f>_xlfn.XLOOKUP(B8225,Ingot!$H$12:$H$119,Ingot!$G$12:$G$119,"")</f>
        <v>Cloth</v>
      </c>
      <c r="B8225" t="s">
        <v>16507</v>
      </c>
      <c r="C8225" t="s">
        <v>10</v>
      </c>
      <c r="D8225" t="s">
        <v>16532</v>
      </c>
      <c r="E8225" t="s">
        <v>16533</v>
      </c>
      <c r="G8225" s="1">
        <v>3.5</v>
      </c>
    </row>
    <row r="8226" spans="1:7" ht="14.25" customHeight="1" x14ac:dyDescent="0.45">
      <c r="A8226" t="str">
        <f>_xlfn.XLOOKUP(B8226,Ingot!$H$12:$H$119,Ingot!$G$12:$G$119,"")</f>
        <v>Cloth</v>
      </c>
      <c r="B8226" t="s">
        <v>16507</v>
      </c>
      <c r="C8226" t="s">
        <v>10</v>
      </c>
      <c r="D8226" t="s">
        <v>16534</v>
      </c>
      <c r="E8226" t="s">
        <v>16535</v>
      </c>
    </row>
    <row r="8227" spans="1:7" ht="14.25" customHeight="1" x14ac:dyDescent="0.45">
      <c r="A8227" t="str">
        <f>_xlfn.XLOOKUP(B8227,Ingot!$H$12:$H$119,Ingot!$G$12:$G$119,"")</f>
        <v>Cloth</v>
      </c>
      <c r="B8227" t="s">
        <v>16507</v>
      </c>
      <c r="C8227" t="s">
        <v>10</v>
      </c>
      <c r="D8227" t="s">
        <v>16536</v>
      </c>
      <c r="E8227" t="s">
        <v>16537</v>
      </c>
      <c r="G8227" s="1">
        <v>2.2000000000000002</v>
      </c>
    </row>
    <row r="8228" spans="1:7" ht="14.25" customHeight="1" x14ac:dyDescent="0.45">
      <c r="A8228" t="str">
        <f>_xlfn.XLOOKUP(B8228,Ingot!$H$12:$H$119,Ingot!$G$12:$G$119,"")</f>
        <v>Cloth</v>
      </c>
      <c r="B8228" t="s">
        <v>16507</v>
      </c>
      <c r="C8228" t="s">
        <v>10</v>
      </c>
      <c r="D8228" t="s">
        <v>16538</v>
      </c>
      <c r="E8228" t="s">
        <v>16539</v>
      </c>
      <c r="G8228" s="1">
        <v>1.1000000000000001</v>
      </c>
    </row>
    <row r="8229" spans="1:7" ht="14.25" customHeight="1" x14ac:dyDescent="0.45">
      <c r="A8229" t="str">
        <f>_xlfn.XLOOKUP(B8229,Ingot!$H$12:$H$119,Ingot!$G$12:$G$119,"")</f>
        <v>Cloth</v>
      </c>
      <c r="B8229" t="s">
        <v>16507</v>
      </c>
      <c r="C8229" t="s">
        <v>10</v>
      </c>
      <c r="D8229" t="s">
        <v>16540</v>
      </c>
      <c r="E8229" t="s">
        <v>16541</v>
      </c>
      <c r="G8229" s="1">
        <v>0.22</v>
      </c>
    </row>
    <row r="8230" spans="1:7" ht="14.25" customHeight="1" x14ac:dyDescent="0.45">
      <c r="A8230" t="str">
        <f>_xlfn.XLOOKUP(B8230,Ingot!$H$12:$H$119,Ingot!$G$12:$G$119,"")</f>
        <v>Cloth</v>
      </c>
      <c r="B8230" t="s">
        <v>16507</v>
      </c>
      <c r="C8230" t="s">
        <v>10</v>
      </c>
      <c r="D8230" t="s">
        <v>16542</v>
      </c>
      <c r="E8230" t="s">
        <v>16543</v>
      </c>
      <c r="G8230" s="1">
        <v>8.41</v>
      </c>
    </row>
    <row r="8231" spans="1:7" ht="14.25" customHeight="1" x14ac:dyDescent="0.45">
      <c r="A8231" t="str">
        <f>_xlfn.XLOOKUP(B8231,Ingot!$H$12:$H$119,Ingot!$G$12:$G$119,"")</f>
        <v>Cloth</v>
      </c>
      <c r="B8231" t="s">
        <v>16507</v>
      </c>
      <c r="C8231" t="s">
        <v>10</v>
      </c>
      <c r="D8231" t="s">
        <v>16544</v>
      </c>
      <c r="E8231" t="s">
        <v>16545</v>
      </c>
      <c r="G8231" s="1">
        <v>3.64</v>
      </c>
    </row>
    <row r="8232" spans="1:7" ht="14.25" customHeight="1" x14ac:dyDescent="0.45">
      <c r="A8232" t="str">
        <f>_xlfn.XLOOKUP(B8232,Ingot!$H$12:$H$119,Ingot!$G$12:$G$119,"")</f>
        <v>Cloth</v>
      </c>
      <c r="B8232" t="s">
        <v>16507</v>
      </c>
      <c r="C8232" t="s">
        <v>10</v>
      </c>
      <c r="D8232" t="s">
        <v>16546</v>
      </c>
      <c r="E8232" t="s">
        <v>16547</v>
      </c>
      <c r="G8232" s="1">
        <v>7.05</v>
      </c>
    </row>
    <row r="8233" spans="1:7" ht="14.25" customHeight="1" x14ac:dyDescent="0.45">
      <c r="A8233" t="str">
        <f>_xlfn.XLOOKUP(B8233,Ingot!$H$12:$H$119,Ingot!$G$12:$G$119,"")</f>
        <v>Cloth</v>
      </c>
      <c r="B8233" t="s">
        <v>16507</v>
      </c>
      <c r="C8233" t="s">
        <v>10</v>
      </c>
      <c r="D8233" t="s">
        <v>16548</v>
      </c>
      <c r="E8233" t="s">
        <v>16549</v>
      </c>
      <c r="G8233" s="1">
        <v>2.65</v>
      </c>
    </row>
    <row r="8234" spans="1:7" ht="14.25" customHeight="1" x14ac:dyDescent="0.45">
      <c r="A8234" t="str">
        <f>_xlfn.XLOOKUP(B8234,Ingot!$H$12:$H$119,Ingot!$G$12:$G$119,"")</f>
        <v>Cloth</v>
      </c>
      <c r="B8234" t="s">
        <v>16507</v>
      </c>
      <c r="C8234" t="s">
        <v>10</v>
      </c>
      <c r="D8234" t="s">
        <v>16550</v>
      </c>
      <c r="E8234" t="s">
        <v>16551</v>
      </c>
      <c r="G8234" s="1">
        <v>9</v>
      </c>
    </row>
    <row r="8235" spans="1:7" ht="14.25" customHeight="1" x14ac:dyDescent="0.45">
      <c r="A8235" t="str">
        <f>_xlfn.XLOOKUP(B8235,Ingot!$H$12:$H$119,Ingot!$G$12:$G$119,"")</f>
        <v>Cloth</v>
      </c>
      <c r="B8235" t="s">
        <v>16507</v>
      </c>
      <c r="C8235" t="s">
        <v>10</v>
      </c>
      <c r="D8235" t="s">
        <v>16552</v>
      </c>
      <c r="E8235" t="s">
        <v>16553</v>
      </c>
      <c r="G8235" s="1">
        <v>10.23</v>
      </c>
    </row>
    <row r="8236" spans="1:7" ht="14.25" customHeight="1" x14ac:dyDescent="0.45">
      <c r="A8236" t="str">
        <f>_xlfn.XLOOKUP(B8236,Ingot!$H$12:$H$119,Ingot!$G$12:$G$119,"")</f>
        <v>Cloth</v>
      </c>
      <c r="B8236" t="s">
        <v>16507</v>
      </c>
      <c r="C8236" t="s">
        <v>10</v>
      </c>
      <c r="D8236" t="s">
        <v>16554</v>
      </c>
      <c r="E8236" t="s">
        <v>16555</v>
      </c>
      <c r="G8236" s="1">
        <v>7.7</v>
      </c>
    </row>
    <row r="8237" spans="1:7" ht="14.25" customHeight="1" x14ac:dyDescent="0.45">
      <c r="A8237" t="str">
        <f>_xlfn.XLOOKUP(B8237,Ingot!$H$12:$H$119,Ingot!$G$12:$G$119,"")</f>
        <v>Cloth</v>
      </c>
      <c r="B8237" t="s">
        <v>16507</v>
      </c>
      <c r="C8237" t="s">
        <v>10</v>
      </c>
      <c r="D8237" t="s">
        <v>16556</v>
      </c>
      <c r="E8237" t="s">
        <v>16557</v>
      </c>
      <c r="G8237" s="1">
        <v>10.02</v>
      </c>
    </row>
    <row r="8238" spans="1:7" ht="14.25" customHeight="1" x14ac:dyDescent="0.45">
      <c r="A8238" t="str">
        <f>_xlfn.XLOOKUP(B8238,Ingot!$H$12:$H$119,Ingot!$G$12:$G$119,"")</f>
        <v>Cloth</v>
      </c>
      <c r="B8238" t="s">
        <v>16507</v>
      </c>
      <c r="C8238" t="s">
        <v>10</v>
      </c>
      <c r="D8238" t="s">
        <v>16558</v>
      </c>
      <c r="E8238" t="s">
        <v>16559</v>
      </c>
      <c r="G8238" s="1">
        <v>11.81</v>
      </c>
    </row>
    <row r="8239" spans="1:7" ht="14.25" customHeight="1" x14ac:dyDescent="0.45">
      <c r="A8239" t="str">
        <f>_xlfn.XLOOKUP(B8239,Ingot!$H$12:$H$119,Ingot!$G$12:$G$119,"")</f>
        <v>Cloth</v>
      </c>
      <c r="B8239" t="s">
        <v>16507</v>
      </c>
      <c r="C8239" t="s">
        <v>10</v>
      </c>
      <c r="D8239" t="s">
        <v>16560</v>
      </c>
      <c r="E8239" t="s">
        <v>16561</v>
      </c>
      <c r="G8239" s="1">
        <v>8.44</v>
      </c>
    </row>
    <row r="8240" spans="1:7" ht="14.25" customHeight="1" x14ac:dyDescent="0.45">
      <c r="A8240" t="str">
        <f>_xlfn.XLOOKUP(B8240,Ingot!$H$12:$H$119,Ingot!$G$12:$G$119,"")</f>
        <v>Cloth</v>
      </c>
      <c r="B8240" t="s">
        <v>16507</v>
      </c>
      <c r="C8240" t="s">
        <v>10</v>
      </c>
      <c r="D8240" t="s">
        <v>16562</v>
      </c>
      <c r="E8240" t="s">
        <v>16563</v>
      </c>
      <c r="G8240" s="1">
        <v>10.42</v>
      </c>
    </row>
    <row r="8241" spans="1:7" ht="14.25" customHeight="1" x14ac:dyDescent="0.45">
      <c r="A8241" t="str">
        <f>_xlfn.XLOOKUP(B8241,Ingot!$H$12:$H$119,Ingot!$G$12:$G$119,"")</f>
        <v>Cloth</v>
      </c>
      <c r="B8241" t="s">
        <v>16507</v>
      </c>
      <c r="C8241" t="s">
        <v>10</v>
      </c>
      <c r="D8241" t="s">
        <v>16564</v>
      </c>
      <c r="E8241" t="s">
        <v>16565</v>
      </c>
    </row>
    <row r="8242" spans="1:7" ht="14.25" customHeight="1" x14ac:dyDescent="0.45">
      <c r="A8242" t="str">
        <f>_xlfn.XLOOKUP(B8242,Ingot!$H$12:$H$119,Ingot!$G$12:$G$119,"")</f>
        <v>Cloth</v>
      </c>
      <c r="B8242" t="s">
        <v>16507</v>
      </c>
      <c r="C8242" t="s">
        <v>10</v>
      </c>
      <c r="D8242" t="s">
        <v>16566</v>
      </c>
      <c r="E8242" t="s">
        <v>16567</v>
      </c>
      <c r="G8242" s="1">
        <v>7.96</v>
      </c>
    </row>
    <row r="8243" spans="1:7" ht="14.25" customHeight="1" x14ac:dyDescent="0.45">
      <c r="A8243" t="str">
        <f>_xlfn.XLOOKUP(B8243,Ingot!$H$12:$H$119,Ingot!$G$12:$G$119,"")</f>
        <v>Cloth</v>
      </c>
      <c r="B8243" t="s">
        <v>16507</v>
      </c>
      <c r="C8243" t="s">
        <v>10</v>
      </c>
      <c r="D8243" t="s">
        <v>16568</v>
      </c>
      <c r="E8243" t="s">
        <v>16569</v>
      </c>
      <c r="G8243" s="1">
        <v>9.64</v>
      </c>
    </row>
    <row r="8244" spans="1:7" ht="14.25" customHeight="1" x14ac:dyDescent="0.45">
      <c r="A8244" t="str">
        <f>_xlfn.XLOOKUP(B8244,Ingot!$H$12:$H$119,Ingot!$G$12:$G$119,"")</f>
        <v>Cloth</v>
      </c>
      <c r="B8244" t="s">
        <v>16507</v>
      </c>
      <c r="C8244" t="s">
        <v>10</v>
      </c>
      <c r="D8244" t="s">
        <v>16570</v>
      </c>
      <c r="E8244" t="s">
        <v>16571</v>
      </c>
      <c r="G8244" s="1">
        <v>7.94</v>
      </c>
    </row>
    <row r="8245" spans="1:7" ht="14.25" customHeight="1" x14ac:dyDescent="0.45">
      <c r="A8245" t="str">
        <f>_xlfn.XLOOKUP(B8245,Ingot!$H$12:$H$119,Ingot!$G$12:$G$119,"")</f>
        <v>Cloth</v>
      </c>
      <c r="B8245" t="s">
        <v>16507</v>
      </c>
      <c r="C8245" t="s">
        <v>10</v>
      </c>
      <c r="D8245" t="s">
        <v>16572</v>
      </c>
      <c r="E8245" t="s">
        <v>16573</v>
      </c>
      <c r="G8245" s="1">
        <v>8.66</v>
      </c>
    </row>
    <row r="8246" spans="1:7" ht="14.25" customHeight="1" x14ac:dyDescent="0.45">
      <c r="A8246" t="str">
        <f>_xlfn.XLOOKUP(B8246,Ingot!$H$12:$H$119,Ingot!$G$12:$G$119,"")</f>
        <v>Cloth</v>
      </c>
      <c r="B8246" t="s">
        <v>16507</v>
      </c>
      <c r="C8246" t="s">
        <v>10</v>
      </c>
      <c r="D8246" t="s">
        <v>16574</v>
      </c>
      <c r="E8246" t="s">
        <v>16575</v>
      </c>
    </row>
    <row r="8247" spans="1:7" ht="14.25" customHeight="1" x14ac:dyDescent="0.45">
      <c r="A8247" t="str">
        <f>_xlfn.XLOOKUP(B8247,Ingot!$H$12:$H$119,Ingot!$G$12:$G$119,"")</f>
        <v>Cloth</v>
      </c>
      <c r="B8247" t="s">
        <v>16507</v>
      </c>
      <c r="C8247" t="s">
        <v>10</v>
      </c>
      <c r="D8247" t="s">
        <v>16576</v>
      </c>
      <c r="E8247" t="s">
        <v>16577</v>
      </c>
      <c r="G8247" s="1">
        <v>2.65</v>
      </c>
    </row>
    <row r="8248" spans="1:7" ht="14.25" customHeight="1" x14ac:dyDescent="0.45">
      <c r="A8248" t="str">
        <f>_xlfn.XLOOKUP(B8248,Ingot!$H$12:$H$119,Ingot!$G$12:$G$119,"")</f>
        <v>Cloth</v>
      </c>
      <c r="B8248" t="s">
        <v>16507</v>
      </c>
      <c r="C8248" t="s">
        <v>10</v>
      </c>
      <c r="D8248" t="s">
        <v>16578</v>
      </c>
      <c r="E8248" t="s">
        <v>16579</v>
      </c>
    </row>
    <row r="8249" spans="1:7" ht="14.25" customHeight="1" x14ac:dyDescent="0.45">
      <c r="A8249" t="str">
        <f>_xlfn.XLOOKUP(B8249,Ingot!$H$12:$H$119,Ingot!$G$12:$G$119,"")</f>
        <v>Cloth</v>
      </c>
      <c r="B8249" t="s">
        <v>16507</v>
      </c>
      <c r="C8249" t="s">
        <v>10</v>
      </c>
      <c r="D8249" t="s">
        <v>16580</v>
      </c>
      <c r="E8249" t="s">
        <v>16581</v>
      </c>
      <c r="G8249" s="1">
        <v>12.64</v>
      </c>
    </row>
    <row r="8250" spans="1:7" ht="14.25" customHeight="1" x14ac:dyDescent="0.45">
      <c r="A8250" t="str">
        <f>_xlfn.XLOOKUP(B8250,Ingot!$H$12:$H$119,Ingot!$G$12:$G$119,"")</f>
        <v>Cloth</v>
      </c>
      <c r="B8250" t="s">
        <v>16507</v>
      </c>
      <c r="C8250" t="s">
        <v>10</v>
      </c>
      <c r="D8250" t="s">
        <v>16582</v>
      </c>
      <c r="E8250" t="s">
        <v>16583</v>
      </c>
      <c r="G8250" s="1">
        <v>22.67</v>
      </c>
    </row>
    <row r="8251" spans="1:7" ht="14.25" customHeight="1" x14ac:dyDescent="0.45">
      <c r="A8251" t="str">
        <f>_xlfn.XLOOKUP(B8251,Ingot!$H$12:$H$119,Ingot!$G$12:$G$119,"")</f>
        <v>Cloth</v>
      </c>
      <c r="B8251" t="s">
        <v>16507</v>
      </c>
      <c r="C8251" t="s">
        <v>10</v>
      </c>
      <c r="D8251" t="s">
        <v>16584</v>
      </c>
      <c r="E8251" t="s">
        <v>16585</v>
      </c>
      <c r="G8251" s="1">
        <v>8.3800000000000008</v>
      </c>
    </row>
    <row r="8252" spans="1:7" ht="14.25" customHeight="1" x14ac:dyDescent="0.45">
      <c r="A8252" t="str">
        <f>_xlfn.XLOOKUP(B8252,Ingot!$H$12:$H$119,Ingot!$G$12:$G$119,"")</f>
        <v>Cloth</v>
      </c>
      <c r="B8252" t="s">
        <v>16507</v>
      </c>
      <c r="C8252" t="s">
        <v>10</v>
      </c>
      <c r="D8252" t="s">
        <v>16586</v>
      </c>
      <c r="E8252" t="s">
        <v>16587</v>
      </c>
      <c r="G8252" s="1">
        <v>2.2000000000000002</v>
      </c>
    </row>
    <row r="8253" spans="1:7" ht="14.25" customHeight="1" x14ac:dyDescent="0.45">
      <c r="A8253" t="str">
        <f>_xlfn.XLOOKUP(B8253,Ingot!$H$12:$H$119,Ingot!$G$12:$G$119,"")</f>
        <v>Cloth</v>
      </c>
      <c r="B8253" t="s">
        <v>16507</v>
      </c>
      <c r="C8253" t="s">
        <v>10</v>
      </c>
      <c r="D8253" t="s">
        <v>16588</v>
      </c>
      <c r="E8253" t="s">
        <v>16589</v>
      </c>
      <c r="G8253" s="1">
        <v>3.09</v>
      </c>
    </row>
    <row r="8254" spans="1:7" ht="14.25" customHeight="1" x14ac:dyDescent="0.45">
      <c r="A8254" t="str">
        <f>_xlfn.XLOOKUP(B8254,Ingot!$H$12:$H$119,Ingot!$G$12:$G$119,"")</f>
        <v>Cloth</v>
      </c>
      <c r="B8254" t="s">
        <v>16507</v>
      </c>
      <c r="C8254" t="s">
        <v>10</v>
      </c>
      <c r="D8254" t="s">
        <v>16590</v>
      </c>
      <c r="E8254" t="s">
        <v>16591</v>
      </c>
      <c r="G8254" s="1">
        <v>2.2999999999999998</v>
      </c>
    </row>
    <row r="8255" spans="1:7" ht="14.25" customHeight="1" x14ac:dyDescent="0.45">
      <c r="A8255" t="str">
        <f>_xlfn.XLOOKUP(B8255,Ingot!$H$12:$H$119,Ingot!$G$12:$G$119,"")</f>
        <v>Cloth</v>
      </c>
      <c r="B8255" t="s">
        <v>16507</v>
      </c>
      <c r="C8255" t="s">
        <v>10</v>
      </c>
      <c r="D8255" t="s">
        <v>16592</v>
      </c>
      <c r="E8255" t="s">
        <v>16593</v>
      </c>
      <c r="G8255" s="1">
        <v>4.88</v>
      </c>
    </row>
    <row r="8256" spans="1:7" ht="14.25" customHeight="1" x14ac:dyDescent="0.45">
      <c r="A8256" t="str">
        <f>_xlfn.XLOOKUP(B8256,Ingot!$H$12:$H$119,Ingot!$G$12:$G$119,"")</f>
        <v>Cloth</v>
      </c>
      <c r="B8256" t="s">
        <v>16507</v>
      </c>
      <c r="C8256" t="s">
        <v>10</v>
      </c>
      <c r="D8256" t="s">
        <v>16594</v>
      </c>
      <c r="E8256" t="s">
        <v>16595</v>
      </c>
      <c r="G8256" s="1">
        <v>8.43</v>
      </c>
    </row>
    <row r="8257" spans="1:7" ht="14.25" customHeight="1" x14ac:dyDescent="0.45">
      <c r="A8257" t="str">
        <f>_xlfn.XLOOKUP(B8257,Ingot!$H$12:$H$119,Ingot!$G$12:$G$119,"")</f>
        <v>Cloth</v>
      </c>
      <c r="B8257" t="s">
        <v>16507</v>
      </c>
      <c r="C8257" t="s">
        <v>10</v>
      </c>
      <c r="D8257" t="s">
        <v>16596</v>
      </c>
      <c r="E8257" t="s">
        <v>16597</v>
      </c>
      <c r="G8257" s="1">
        <v>13.07</v>
      </c>
    </row>
    <row r="8258" spans="1:7" ht="14.25" customHeight="1" x14ac:dyDescent="0.45">
      <c r="A8258" t="str">
        <f>_xlfn.XLOOKUP(B8258,Ingot!$H$12:$H$119,Ingot!$G$12:$G$119,"")</f>
        <v>Cloth</v>
      </c>
      <c r="B8258" t="s">
        <v>16507</v>
      </c>
      <c r="C8258" t="s">
        <v>10</v>
      </c>
      <c r="D8258" t="s">
        <v>16598</v>
      </c>
      <c r="E8258" t="s">
        <v>16599</v>
      </c>
    </row>
    <row r="8259" spans="1:7" ht="14.25" customHeight="1" x14ac:dyDescent="0.45">
      <c r="A8259" t="str">
        <f>_xlfn.XLOOKUP(B8259,Ingot!$H$12:$H$119,Ingot!$G$12:$G$119,"")</f>
        <v>Cloth</v>
      </c>
      <c r="B8259" t="s">
        <v>16507</v>
      </c>
      <c r="C8259" t="s">
        <v>10</v>
      </c>
      <c r="D8259" t="s">
        <v>16600</v>
      </c>
      <c r="E8259" t="s">
        <v>16601</v>
      </c>
    </row>
    <row r="8260" spans="1:7" ht="14.25" customHeight="1" x14ac:dyDescent="0.45">
      <c r="A8260" t="str">
        <f>_xlfn.XLOOKUP(B8260,Ingot!$H$12:$H$119,Ingot!$G$12:$G$119,"")</f>
        <v>Cloth</v>
      </c>
      <c r="B8260" t="s">
        <v>16507</v>
      </c>
      <c r="C8260" t="s">
        <v>10</v>
      </c>
      <c r="D8260" t="s">
        <v>16602</v>
      </c>
      <c r="E8260" t="s">
        <v>16603</v>
      </c>
      <c r="G8260" s="1">
        <v>6.8</v>
      </c>
    </row>
    <row r="8261" spans="1:7" ht="14.25" customHeight="1" x14ac:dyDescent="0.45">
      <c r="A8261" t="str">
        <f>_xlfn.XLOOKUP(B8261,Ingot!$H$12:$H$119,Ingot!$G$12:$G$119,"")</f>
        <v>Cloth</v>
      </c>
      <c r="B8261" t="s">
        <v>16507</v>
      </c>
      <c r="C8261" t="s">
        <v>10</v>
      </c>
      <c r="D8261" t="s">
        <v>16604</v>
      </c>
      <c r="E8261" t="s">
        <v>16605</v>
      </c>
      <c r="G8261" s="1">
        <v>6.88</v>
      </c>
    </row>
    <row r="8262" spans="1:7" ht="14.25" customHeight="1" x14ac:dyDescent="0.45">
      <c r="A8262" t="str">
        <f>_xlfn.XLOOKUP(B8262,Ingot!$H$12:$H$119,Ingot!$G$12:$G$119,"")</f>
        <v>Cloth</v>
      </c>
      <c r="B8262" t="s">
        <v>16507</v>
      </c>
      <c r="C8262" t="s">
        <v>10</v>
      </c>
      <c r="D8262" t="s">
        <v>16606</v>
      </c>
      <c r="E8262" t="s">
        <v>16607</v>
      </c>
      <c r="G8262" s="1">
        <v>5.5</v>
      </c>
    </row>
    <row r="8263" spans="1:7" ht="14.25" customHeight="1" x14ac:dyDescent="0.45">
      <c r="A8263" t="str">
        <f>_xlfn.XLOOKUP(B8263,Ingot!$H$12:$H$119,Ingot!$G$12:$G$119,"")</f>
        <v>Cloth</v>
      </c>
      <c r="B8263" t="s">
        <v>16507</v>
      </c>
      <c r="C8263" t="s">
        <v>10</v>
      </c>
      <c r="D8263" t="s">
        <v>16608</v>
      </c>
      <c r="E8263" t="s">
        <v>16609</v>
      </c>
      <c r="G8263" s="1">
        <v>2.4300000000000002</v>
      </c>
    </row>
    <row r="8264" spans="1:7" ht="14.25" customHeight="1" x14ac:dyDescent="0.45">
      <c r="A8264" t="str">
        <f>_xlfn.XLOOKUP(B8264,Ingot!$H$12:$H$119,Ingot!$G$12:$G$119,"")</f>
        <v>Cloth</v>
      </c>
      <c r="B8264" t="s">
        <v>16507</v>
      </c>
      <c r="C8264" t="s">
        <v>10</v>
      </c>
      <c r="D8264" t="s">
        <v>16610</v>
      </c>
      <c r="E8264" t="s">
        <v>16611</v>
      </c>
      <c r="G8264" s="1">
        <v>6.96</v>
      </c>
    </row>
    <row r="8265" spans="1:7" ht="14.25" customHeight="1" x14ac:dyDescent="0.45">
      <c r="A8265" t="str">
        <f>_xlfn.XLOOKUP(B8265,Ingot!$H$12:$H$119,Ingot!$G$12:$G$119,"")</f>
        <v>Cloth</v>
      </c>
      <c r="B8265" t="s">
        <v>16507</v>
      </c>
      <c r="C8265" t="s">
        <v>10</v>
      </c>
      <c r="D8265" t="s">
        <v>16612</v>
      </c>
      <c r="E8265" t="s">
        <v>16613</v>
      </c>
      <c r="G8265" s="1">
        <v>6.32</v>
      </c>
    </row>
    <row r="8266" spans="1:7" ht="14.25" customHeight="1" x14ac:dyDescent="0.45">
      <c r="A8266" t="str">
        <f>_xlfn.XLOOKUP(B8266,Ingot!$H$12:$H$119,Ingot!$G$12:$G$119,"")</f>
        <v>Cloth</v>
      </c>
      <c r="B8266" t="s">
        <v>16507</v>
      </c>
      <c r="C8266" t="s">
        <v>10</v>
      </c>
      <c r="D8266" t="s">
        <v>16614</v>
      </c>
      <c r="E8266" t="s">
        <v>16615</v>
      </c>
      <c r="G8266" s="1">
        <v>6.88</v>
      </c>
    </row>
    <row r="8267" spans="1:7" ht="14.25" customHeight="1" x14ac:dyDescent="0.45">
      <c r="A8267" t="str">
        <f>_xlfn.XLOOKUP(B8267,Ingot!$H$12:$H$119,Ingot!$G$12:$G$119,"")</f>
        <v>Cloth</v>
      </c>
      <c r="B8267" t="s">
        <v>16507</v>
      </c>
      <c r="C8267" t="s">
        <v>10</v>
      </c>
      <c r="D8267" t="s">
        <v>16616</v>
      </c>
      <c r="E8267" t="s">
        <v>16617</v>
      </c>
      <c r="G8267" s="1">
        <v>2.44</v>
      </c>
    </row>
    <row r="8268" spans="1:7" ht="14.25" customHeight="1" x14ac:dyDescent="0.45">
      <c r="A8268" t="str">
        <f>_xlfn.XLOOKUP(B8268,Ingot!$H$12:$H$119,Ingot!$G$12:$G$119,"")</f>
        <v>Cloth</v>
      </c>
      <c r="B8268" t="s">
        <v>16507</v>
      </c>
      <c r="C8268" t="s">
        <v>10</v>
      </c>
      <c r="D8268" t="s">
        <v>16618</v>
      </c>
      <c r="E8268" t="s">
        <v>16619</v>
      </c>
    </row>
    <row r="8269" spans="1:7" ht="14.25" customHeight="1" x14ac:dyDescent="0.45">
      <c r="A8269" t="str">
        <f>_xlfn.XLOOKUP(B8269,Ingot!$H$12:$H$119,Ingot!$G$12:$G$119,"")</f>
        <v>Cloth</v>
      </c>
      <c r="B8269" t="s">
        <v>16507</v>
      </c>
      <c r="C8269" t="s">
        <v>10</v>
      </c>
      <c r="D8269" t="s">
        <v>16620</v>
      </c>
      <c r="E8269" t="s">
        <v>16621</v>
      </c>
    </row>
    <row r="8270" spans="1:7" ht="14.25" customHeight="1" x14ac:dyDescent="0.45">
      <c r="A8270" t="str">
        <f>_xlfn.XLOOKUP(B8270,Ingot!$H$12:$H$119,Ingot!$G$12:$G$119,"")</f>
        <v>Cloth</v>
      </c>
      <c r="B8270" t="s">
        <v>16507</v>
      </c>
      <c r="C8270" t="s">
        <v>10</v>
      </c>
      <c r="D8270" t="s">
        <v>16622</v>
      </c>
      <c r="E8270" t="s">
        <v>16623</v>
      </c>
      <c r="G8270" s="1">
        <v>3.11</v>
      </c>
    </row>
    <row r="8271" spans="1:7" ht="14.25" customHeight="1" x14ac:dyDescent="0.45">
      <c r="A8271" t="str">
        <f>_xlfn.XLOOKUP(B8271,Ingot!$H$12:$H$119,Ingot!$G$12:$G$119,"")</f>
        <v>Cloth</v>
      </c>
      <c r="B8271" t="s">
        <v>16507</v>
      </c>
      <c r="C8271" t="s">
        <v>10</v>
      </c>
      <c r="D8271" t="s">
        <v>16624</v>
      </c>
      <c r="E8271" t="s">
        <v>16625</v>
      </c>
      <c r="G8271" s="1">
        <v>2.44</v>
      </c>
    </row>
    <row r="8272" spans="1:7" ht="14.25" customHeight="1" x14ac:dyDescent="0.45">
      <c r="A8272" t="str">
        <f>_xlfn.XLOOKUP(B8272,Ingot!$H$12:$H$119,Ingot!$G$12:$G$119,"")</f>
        <v>Cloth</v>
      </c>
      <c r="B8272" t="s">
        <v>16507</v>
      </c>
      <c r="C8272" t="s">
        <v>10</v>
      </c>
      <c r="D8272" t="s">
        <v>16626</v>
      </c>
      <c r="E8272" t="s">
        <v>16627</v>
      </c>
      <c r="G8272" s="1">
        <v>8.61</v>
      </c>
    </row>
    <row r="8273" spans="1:7" ht="14.25" customHeight="1" x14ac:dyDescent="0.45">
      <c r="A8273" t="str">
        <f>_xlfn.XLOOKUP(B8273,Ingot!$H$12:$H$119,Ingot!$G$12:$G$119,"")</f>
        <v>Cloth</v>
      </c>
      <c r="B8273" t="s">
        <v>16507</v>
      </c>
      <c r="C8273" t="s">
        <v>10</v>
      </c>
      <c r="D8273" t="s">
        <v>16628</v>
      </c>
      <c r="E8273" t="s">
        <v>16629</v>
      </c>
    </row>
    <row r="8274" spans="1:7" ht="14.25" customHeight="1" x14ac:dyDescent="0.45">
      <c r="A8274" t="str">
        <f>_xlfn.XLOOKUP(B8274,Ingot!$H$12:$H$119,Ingot!$G$12:$G$119,"")</f>
        <v>Cloth</v>
      </c>
      <c r="B8274" t="s">
        <v>16507</v>
      </c>
      <c r="C8274" t="s">
        <v>10</v>
      </c>
      <c r="D8274" t="s">
        <v>16630</v>
      </c>
      <c r="E8274" t="s">
        <v>16631</v>
      </c>
      <c r="G8274" s="1">
        <v>3.21</v>
      </c>
    </row>
    <row r="8275" spans="1:7" ht="14.25" customHeight="1" x14ac:dyDescent="0.45">
      <c r="A8275" t="str">
        <f>_xlfn.XLOOKUP(B8275,Ingot!$H$12:$H$119,Ingot!$G$12:$G$119,"")</f>
        <v>Cloth</v>
      </c>
      <c r="B8275" t="s">
        <v>16507</v>
      </c>
      <c r="C8275" t="s">
        <v>10</v>
      </c>
      <c r="D8275" t="s">
        <v>16632</v>
      </c>
      <c r="E8275" t="s">
        <v>16633</v>
      </c>
      <c r="G8275" s="1">
        <v>2.77</v>
      </c>
    </row>
    <row r="8276" spans="1:7" ht="14.25" customHeight="1" x14ac:dyDescent="0.45">
      <c r="A8276" t="str">
        <f>_xlfn.XLOOKUP(B8276,Ingot!$H$12:$H$119,Ingot!$G$12:$G$119,"")</f>
        <v>Cloth</v>
      </c>
      <c r="B8276" t="s">
        <v>16507</v>
      </c>
      <c r="C8276" t="s">
        <v>10</v>
      </c>
      <c r="D8276" t="s">
        <v>16634</v>
      </c>
      <c r="E8276" t="s">
        <v>16635</v>
      </c>
      <c r="G8276" s="1">
        <v>4.8899999999999997</v>
      </c>
    </row>
    <row r="8277" spans="1:7" ht="14.25" customHeight="1" x14ac:dyDescent="0.45">
      <c r="A8277" t="str">
        <f>_xlfn.XLOOKUP(B8277,Ingot!$H$12:$H$119,Ingot!$G$12:$G$119,"")</f>
        <v>Cloth</v>
      </c>
      <c r="B8277" t="s">
        <v>16507</v>
      </c>
      <c r="C8277" t="s">
        <v>10</v>
      </c>
      <c r="D8277" t="s">
        <v>16636</v>
      </c>
      <c r="E8277" t="s">
        <v>16637</v>
      </c>
      <c r="G8277" s="1">
        <v>1.76</v>
      </c>
    </row>
    <row r="8278" spans="1:7" ht="14.25" customHeight="1" x14ac:dyDescent="0.45">
      <c r="A8278" t="str">
        <f>_xlfn.XLOOKUP(B8278,Ingot!$H$12:$H$119,Ingot!$G$12:$G$119,"")</f>
        <v>Cloth</v>
      </c>
      <c r="B8278" t="s">
        <v>16507</v>
      </c>
      <c r="C8278" t="s">
        <v>10</v>
      </c>
      <c r="D8278" t="s">
        <v>16638</v>
      </c>
      <c r="E8278" t="s">
        <v>16639</v>
      </c>
    </row>
    <row r="8279" spans="1:7" ht="14.25" customHeight="1" x14ac:dyDescent="0.45">
      <c r="A8279" t="str">
        <f>_xlfn.XLOOKUP(B8279,Ingot!$H$12:$H$119,Ingot!$G$12:$G$119,"")</f>
        <v>Cloth</v>
      </c>
      <c r="B8279" t="s">
        <v>16507</v>
      </c>
      <c r="C8279" t="s">
        <v>10</v>
      </c>
      <c r="D8279" t="s">
        <v>16640</v>
      </c>
      <c r="E8279" t="s">
        <v>16641</v>
      </c>
      <c r="G8279" s="1">
        <v>8.57</v>
      </c>
    </row>
    <row r="8280" spans="1:7" ht="14.25" customHeight="1" x14ac:dyDescent="0.45">
      <c r="A8280" t="str">
        <f>_xlfn.XLOOKUP(B8280,Ingot!$H$12:$H$119,Ingot!$G$12:$G$119,"")</f>
        <v>Cloth</v>
      </c>
      <c r="B8280" t="s">
        <v>16507</v>
      </c>
      <c r="C8280" t="s">
        <v>10</v>
      </c>
      <c r="D8280" t="s">
        <v>16642</v>
      </c>
      <c r="E8280" t="s">
        <v>16643</v>
      </c>
    </row>
    <row r="8281" spans="1:7" ht="14.25" customHeight="1" x14ac:dyDescent="0.45">
      <c r="A8281" t="str">
        <f>_xlfn.XLOOKUP(B8281,Ingot!$H$12:$H$119,Ingot!$G$12:$G$119,"")</f>
        <v>Cloth</v>
      </c>
      <c r="B8281" t="s">
        <v>16507</v>
      </c>
      <c r="C8281" t="s">
        <v>10</v>
      </c>
      <c r="D8281" t="s">
        <v>16644</v>
      </c>
      <c r="E8281" t="s">
        <v>16645</v>
      </c>
      <c r="G8281" s="1">
        <v>3.56</v>
      </c>
    </row>
    <row r="8282" spans="1:7" ht="14.25" customHeight="1" x14ac:dyDescent="0.45">
      <c r="A8282" t="str">
        <f>_xlfn.XLOOKUP(B8282,Ingot!$H$12:$H$119,Ingot!$G$12:$G$119,"")</f>
        <v>Cloth</v>
      </c>
      <c r="B8282" t="s">
        <v>16507</v>
      </c>
      <c r="C8282" t="s">
        <v>10</v>
      </c>
      <c r="D8282" t="s">
        <v>16646</v>
      </c>
      <c r="E8282" t="s">
        <v>16647</v>
      </c>
      <c r="G8282" s="1">
        <v>8.91</v>
      </c>
    </row>
    <row r="8283" spans="1:7" ht="14.25" customHeight="1" x14ac:dyDescent="0.45">
      <c r="A8283" t="str">
        <f>_xlfn.XLOOKUP(B8283,Ingot!$H$12:$H$119,Ingot!$G$12:$G$119,"")</f>
        <v>Cloth</v>
      </c>
      <c r="B8283" t="s">
        <v>16507</v>
      </c>
      <c r="C8283" t="s">
        <v>10</v>
      </c>
      <c r="D8283" t="s">
        <v>16648</v>
      </c>
      <c r="E8283" t="s">
        <v>16649</v>
      </c>
      <c r="G8283" s="1">
        <v>11.02</v>
      </c>
    </row>
    <row r="8284" spans="1:7" ht="14.25" customHeight="1" x14ac:dyDescent="0.45">
      <c r="A8284" t="str">
        <f>_xlfn.XLOOKUP(B8284,Ingot!$H$12:$H$119,Ingot!$G$12:$G$119,"")</f>
        <v>Cloth</v>
      </c>
      <c r="B8284" t="s">
        <v>16507</v>
      </c>
      <c r="C8284" t="s">
        <v>10</v>
      </c>
      <c r="D8284" t="s">
        <v>16650</v>
      </c>
      <c r="E8284" t="s">
        <v>16651</v>
      </c>
      <c r="G8284" s="1">
        <v>5.12</v>
      </c>
    </row>
    <row r="8285" spans="1:7" ht="14.25" customHeight="1" x14ac:dyDescent="0.45">
      <c r="A8285" t="str">
        <f>_xlfn.XLOOKUP(B8285,Ingot!$H$12:$H$119,Ingot!$G$12:$G$119,"")</f>
        <v>Cloth</v>
      </c>
      <c r="B8285" t="s">
        <v>16507</v>
      </c>
      <c r="C8285" t="s">
        <v>10</v>
      </c>
      <c r="D8285" t="s">
        <v>16652</v>
      </c>
      <c r="E8285" t="s">
        <v>16653</v>
      </c>
      <c r="G8285" s="1">
        <v>4.41</v>
      </c>
    </row>
    <row r="8286" spans="1:7" ht="14.25" customHeight="1" x14ac:dyDescent="0.45">
      <c r="A8286" t="str">
        <f>_xlfn.XLOOKUP(B8286,Ingot!$H$12:$H$119,Ingot!$G$12:$G$119,"")</f>
        <v>Cloth</v>
      </c>
      <c r="B8286" t="s">
        <v>16507</v>
      </c>
      <c r="C8286" t="s">
        <v>157</v>
      </c>
      <c r="D8286" t="s">
        <v>16654</v>
      </c>
      <c r="E8286" t="s">
        <v>16655</v>
      </c>
      <c r="G8286" s="1">
        <v>14.8</v>
      </c>
    </row>
    <row r="8287" spans="1:7" ht="14.25" customHeight="1" x14ac:dyDescent="0.45">
      <c r="A8287" t="str">
        <f>_xlfn.XLOOKUP(B8287,Ingot!$H$12:$H$119,Ingot!$G$12:$G$119,"")</f>
        <v>Cloth</v>
      </c>
      <c r="B8287" t="s">
        <v>16507</v>
      </c>
      <c r="C8287" t="s">
        <v>157</v>
      </c>
      <c r="D8287" t="s">
        <v>16656</v>
      </c>
      <c r="E8287" t="s">
        <v>16657</v>
      </c>
      <c r="G8287" s="1">
        <v>5</v>
      </c>
    </row>
    <row r="8288" spans="1:7" ht="14.25" customHeight="1" x14ac:dyDescent="0.45">
      <c r="A8288" t="str">
        <f>_xlfn.XLOOKUP(B8288,Ingot!$H$12:$H$119,Ingot!$G$12:$G$119,"")</f>
        <v>Cloth</v>
      </c>
      <c r="B8288" t="s">
        <v>16507</v>
      </c>
      <c r="C8288" t="s">
        <v>157</v>
      </c>
      <c r="D8288" t="s">
        <v>16658</v>
      </c>
      <c r="E8288" t="s">
        <v>16659</v>
      </c>
      <c r="G8288" s="1">
        <v>5</v>
      </c>
    </row>
    <row r="8289" spans="1:7" ht="14.25" customHeight="1" x14ac:dyDescent="0.45">
      <c r="A8289" t="str">
        <f>_xlfn.XLOOKUP(B8289,Ingot!$H$12:$H$119,Ingot!$G$12:$G$119,"")</f>
        <v>Cloth</v>
      </c>
      <c r="B8289" t="s">
        <v>16507</v>
      </c>
      <c r="C8289" t="s">
        <v>157</v>
      </c>
      <c r="D8289" t="s">
        <v>16660</v>
      </c>
      <c r="E8289" t="s">
        <v>16661</v>
      </c>
      <c r="G8289" s="1">
        <v>5</v>
      </c>
    </row>
    <row r="8290" spans="1:7" ht="14.25" customHeight="1" x14ac:dyDescent="0.45">
      <c r="A8290" t="str">
        <f>_xlfn.XLOOKUP(B8290,Ingot!$H$12:$H$119,Ingot!$G$12:$G$119,"")</f>
        <v>Cloth</v>
      </c>
      <c r="B8290" t="s">
        <v>16507</v>
      </c>
      <c r="C8290" t="s">
        <v>157</v>
      </c>
      <c r="D8290" t="s">
        <v>16662</v>
      </c>
      <c r="E8290" t="s">
        <v>16663</v>
      </c>
      <c r="G8290" s="1">
        <v>10</v>
      </c>
    </row>
    <row r="8291" spans="1:7" ht="14.25" customHeight="1" x14ac:dyDescent="0.45">
      <c r="A8291" t="str">
        <f>_xlfn.XLOOKUP(B8291,Ingot!$H$12:$H$119,Ingot!$G$12:$G$119,"")</f>
        <v>Cloth</v>
      </c>
      <c r="B8291" t="s">
        <v>16507</v>
      </c>
      <c r="C8291" t="s">
        <v>157</v>
      </c>
      <c r="D8291" t="s">
        <v>16664</v>
      </c>
      <c r="E8291" t="s">
        <v>16665</v>
      </c>
      <c r="G8291" s="1">
        <v>13.2</v>
      </c>
    </row>
    <row r="8292" spans="1:7" ht="14.25" customHeight="1" x14ac:dyDescent="0.45">
      <c r="A8292" t="str">
        <f>_xlfn.XLOOKUP(B8292,Ingot!$H$12:$H$119,Ingot!$G$12:$G$119,"")</f>
        <v>Cloth</v>
      </c>
      <c r="B8292" t="s">
        <v>16507</v>
      </c>
      <c r="C8292" t="s">
        <v>157</v>
      </c>
      <c r="D8292" t="s">
        <v>16666</v>
      </c>
      <c r="E8292" t="s">
        <v>16667</v>
      </c>
      <c r="G8292" s="1">
        <v>5</v>
      </c>
    </row>
    <row r="8293" spans="1:7" ht="14.25" customHeight="1" x14ac:dyDescent="0.45">
      <c r="A8293" t="str">
        <f>_xlfn.XLOOKUP(B8293,Ingot!$H$12:$H$119,Ingot!$G$12:$G$119,"")</f>
        <v>Cloth</v>
      </c>
      <c r="B8293" t="s">
        <v>16507</v>
      </c>
      <c r="C8293" t="s">
        <v>157</v>
      </c>
      <c r="D8293" t="s">
        <v>16668</v>
      </c>
      <c r="E8293" t="s">
        <v>16669</v>
      </c>
      <c r="G8293" s="1">
        <v>5</v>
      </c>
    </row>
    <row r="8294" spans="1:7" ht="14.25" customHeight="1" x14ac:dyDescent="0.45">
      <c r="A8294" t="str">
        <f>_xlfn.XLOOKUP(B8294,Ingot!$H$12:$H$119,Ingot!$G$12:$G$119,"")</f>
        <v>Cloth</v>
      </c>
      <c r="B8294" t="s">
        <v>16507</v>
      </c>
      <c r="C8294" t="s">
        <v>157</v>
      </c>
      <c r="D8294" t="s">
        <v>16670</v>
      </c>
      <c r="E8294" t="s">
        <v>16671</v>
      </c>
      <c r="G8294" s="1">
        <v>5</v>
      </c>
    </row>
    <row r="8295" spans="1:7" ht="14.25" customHeight="1" x14ac:dyDescent="0.45">
      <c r="A8295" t="str">
        <f>_xlfn.XLOOKUP(B8295,Ingot!$H$12:$H$119,Ingot!$G$12:$G$119,"")</f>
        <v>Cloth</v>
      </c>
      <c r="B8295" t="s">
        <v>16507</v>
      </c>
      <c r="C8295" t="s">
        <v>157</v>
      </c>
      <c r="D8295" t="s">
        <v>16672</v>
      </c>
      <c r="E8295" t="s">
        <v>16673</v>
      </c>
      <c r="G8295" s="1">
        <v>10</v>
      </c>
    </row>
    <row r="8296" spans="1:7" ht="14.25" customHeight="1" x14ac:dyDescent="0.45">
      <c r="A8296" t="str">
        <f>_xlfn.XLOOKUP(B8296,Ingot!$H$12:$H$119,Ingot!$G$12:$G$119,"")</f>
        <v>Cloth</v>
      </c>
      <c r="B8296" t="s">
        <v>16507</v>
      </c>
      <c r="C8296" t="s">
        <v>157</v>
      </c>
      <c r="D8296" t="s">
        <v>16674</v>
      </c>
      <c r="E8296" t="s">
        <v>16675</v>
      </c>
      <c r="G8296" s="1">
        <v>12.8</v>
      </c>
    </row>
    <row r="8297" spans="1:7" ht="14.25" customHeight="1" x14ac:dyDescent="0.45">
      <c r="A8297" t="str">
        <f>_xlfn.XLOOKUP(B8297,Ingot!$H$12:$H$119,Ingot!$G$12:$G$119,"")</f>
        <v>Cloth</v>
      </c>
      <c r="B8297" t="s">
        <v>16507</v>
      </c>
      <c r="C8297" t="s">
        <v>157</v>
      </c>
      <c r="D8297" t="s">
        <v>16676</v>
      </c>
      <c r="E8297" t="s">
        <v>16677</v>
      </c>
      <c r="G8297" s="1">
        <v>5</v>
      </c>
    </row>
    <row r="8298" spans="1:7" ht="14.25" customHeight="1" x14ac:dyDescent="0.45">
      <c r="A8298" t="str">
        <f>_xlfn.XLOOKUP(B8298,Ingot!$H$12:$H$119,Ingot!$G$12:$G$119,"")</f>
        <v>Cloth</v>
      </c>
      <c r="B8298" t="s">
        <v>16507</v>
      </c>
      <c r="C8298" t="s">
        <v>157</v>
      </c>
      <c r="D8298" t="s">
        <v>16678</v>
      </c>
      <c r="E8298" t="s">
        <v>16679</v>
      </c>
      <c r="G8298" s="1">
        <v>5</v>
      </c>
    </row>
    <row r="8299" spans="1:7" ht="14.25" customHeight="1" x14ac:dyDescent="0.45">
      <c r="A8299" t="str">
        <f>_xlfn.XLOOKUP(B8299,Ingot!$H$12:$H$119,Ingot!$G$12:$G$119,"")</f>
        <v>Cloth</v>
      </c>
      <c r="B8299" t="s">
        <v>16507</v>
      </c>
      <c r="C8299" t="s">
        <v>157</v>
      </c>
      <c r="D8299" t="s">
        <v>16680</v>
      </c>
      <c r="E8299" t="s">
        <v>16681</v>
      </c>
      <c r="G8299" s="1">
        <v>5</v>
      </c>
    </row>
    <row r="8300" spans="1:7" ht="14.25" customHeight="1" x14ac:dyDescent="0.45">
      <c r="A8300" t="str">
        <f>_xlfn.XLOOKUP(B8300,Ingot!$H$12:$H$119,Ingot!$G$12:$G$119,"")</f>
        <v>Cloth</v>
      </c>
      <c r="B8300" t="s">
        <v>16507</v>
      </c>
      <c r="C8300" t="s">
        <v>157</v>
      </c>
      <c r="D8300" t="s">
        <v>16682</v>
      </c>
      <c r="E8300" t="s">
        <v>16683</v>
      </c>
      <c r="G8300" s="1">
        <v>10</v>
      </c>
    </row>
    <row r="8301" spans="1:7" ht="14.25" customHeight="1" x14ac:dyDescent="0.45">
      <c r="A8301" t="str">
        <f>_xlfn.XLOOKUP(B8301,Ingot!$H$12:$H$119,Ingot!$G$12:$G$119,"")</f>
        <v>Cloth</v>
      </c>
      <c r="B8301" t="s">
        <v>16507</v>
      </c>
      <c r="C8301" t="s">
        <v>157</v>
      </c>
      <c r="D8301" t="s">
        <v>16684</v>
      </c>
      <c r="E8301" t="s">
        <v>16685</v>
      </c>
      <c r="G8301" s="1">
        <v>13.5</v>
      </c>
    </row>
    <row r="8302" spans="1:7" ht="14.25" customHeight="1" x14ac:dyDescent="0.45">
      <c r="A8302" t="str">
        <f>_xlfn.XLOOKUP(B8302,Ingot!$H$12:$H$119,Ingot!$G$12:$G$119,"")</f>
        <v>Cloth</v>
      </c>
      <c r="B8302" t="s">
        <v>16507</v>
      </c>
      <c r="C8302" t="s">
        <v>157</v>
      </c>
      <c r="D8302" t="s">
        <v>16686</v>
      </c>
      <c r="E8302" t="s">
        <v>16687</v>
      </c>
      <c r="G8302" s="1">
        <v>5</v>
      </c>
    </row>
    <row r="8303" spans="1:7" ht="14.25" customHeight="1" x14ac:dyDescent="0.45">
      <c r="A8303" t="str">
        <f>_xlfn.XLOOKUP(B8303,Ingot!$H$12:$H$119,Ingot!$G$12:$G$119,"")</f>
        <v>Cloth</v>
      </c>
      <c r="B8303" t="s">
        <v>16507</v>
      </c>
      <c r="C8303" t="s">
        <v>157</v>
      </c>
      <c r="D8303" t="s">
        <v>16688</v>
      </c>
      <c r="E8303" t="s">
        <v>16689</v>
      </c>
      <c r="G8303" s="1">
        <v>5</v>
      </c>
    </row>
    <row r="8304" spans="1:7" ht="14.25" customHeight="1" x14ac:dyDescent="0.45">
      <c r="A8304" t="str">
        <f>_xlfn.XLOOKUP(B8304,Ingot!$H$12:$H$119,Ingot!$G$12:$G$119,"")</f>
        <v>Cloth</v>
      </c>
      <c r="B8304" t="s">
        <v>16507</v>
      </c>
      <c r="C8304" t="s">
        <v>157</v>
      </c>
      <c r="D8304" t="s">
        <v>16690</v>
      </c>
      <c r="E8304" t="s">
        <v>16691</v>
      </c>
      <c r="G8304" s="1">
        <v>5</v>
      </c>
    </row>
    <row r="8305" spans="1:7" ht="14.25" customHeight="1" x14ac:dyDescent="0.45">
      <c r="A8305" t="str">
        <f>_xlfn.XLOOKUP(B8305,Ingot!$H$12:$H$119,Ingot!$G$12:$G$119,"")</f>
        <v>Cloth</v>
      </c>
      <c r="B8305" t="s">
        <v>16507</v>
      </c>
      <c r="C8305" t="s">
        <v>157</v>
      </c>
      <c r="D8305" t="s">
        <v>16692</v>
      </c>
      <c r="E8305" t="s">
        <v>16693</v>
      </c>
      <c r="G8305" s="1">
        <v>10</v>
      </c>
    </row>
    <row r="8306" spans="1:7" ht="14.25" customHeight="1" x14ac:dyDescent="0.45">
      <c r="A8306" t="str">
        <f>_xlfn.XLOOKUP(B8306,Ingot!$H$12:$H$119,Ingot!$G$12:$G$119,"")</f>
        <v>Cloth</v>
      </c>
      <c r="B8306" t="s">
        <v>16507</v>
      </c>
      <c r="C8306" t="s">
        <v>157</v>
      </c>
      <c r="D8306" t="s">
        <v>16694</v>
      </c>
      <c r="E8306" t="s">
        <v>16695</v>
      </c>
      <c r="G8306" s="1">
        <v>14</v>
      </c>
    </row>
    <row r="8307" spans="1:7" ht="14.25" customHeight="1" x14ac:dyDescent="0.45">
      <c r="A8307" t="str">
        <f>_xlfn.XLOOKUP(B8307,Ingot!$H$12:$H$119,Ingot!$G$12:$G$119,"")</f>
        <v>Cloth</v>
      </c>
      <c r="B8307" t="s">
        <v>16507</v>
      </c>
      <c r="C8307" t="s">
        <v>157</v>
      </c>
      <c r="D8307" t="s">
        <v>16696</v>
      </c>
      <c r="E8307" t="s">
        <v>16697</v>
      </c>
      <c r="G8307" s="1">
        <v>5</v>
      </c>
    </row>
    <row r="8308" spans="1:7" ht="14.25" customHeight="1" x14ac:dyDescent="0.45">
      <c r="A8308" t="str">
        <f>_xlfn.XLOOKUP(B8308,Ingot!$H$12:$H$119,Ingot!$G$12:$G$119,"")</f>
        <v>Cloth</v>
      </c>
      <c r="B8308" t="s">
        <v>16507</v>
      </c>
      <c r="C8308" t="s">
        <v>157</v>
      </c>
      <c r="D8308" t="s">
        <v>16698</v>
      </c>
      <c r="E8308" t="s">
        <v>16699</v>
      </c>
      <c r="G8308" s="1">
        <v>5</v>
      </c>
    </row>
    <row r="8309" spans="1:7" ht="14.25" customHeight="1" x14ac:dyDescent="0.45">
      <c r="A8309" t="str">
        <f>_xlfn.XLOOKUP(B8309,Ingot!$H$12:$H$119,Ingot!$G$12:$G$119,"")</f>
        <v>Cloth</v>
      </c>
      <c r="B8309" t="s">
        <v>16507</v>
      </c>
      <c r="C8309" t="s">
        <v>157</v>
      </c>
      <c r="D8309" t="s">
        <v>16700</v>
      </c>
      <c r="E8309" t="s">
        <v>16701</v>
      </c>
      <c r="G8309" s="1">
        <v>5</v>
      </c>
    </row>
    <row r="8310" spans="1:7" ht="14.25" customHeight="1" x14ac:dyDescent="0.45">
      <c r="A8310" t="str">
        <f>_xlfn.XLOOKUP(B8310,Ingot!$H$12:$H$119,Ingot!$G$12:$G$119,"")</f>
        <v>Cloth</v>
      </c>
      <c r="B8310" t="s">
        <v>16507</v>
      </c>
      <c r="C8310" t="s">
        <v>157</v>
      </c>
      <c r="D8310" t="s">
        <v>16702</v>
      </c>
      <c r="E8310" t="s">
        <v>16703</v>
      </c>
      <c r="G8310" s="1">
        <v>10</v>
      </c>
    </row>
    <row r="8311" spans="1:7" ht="14.25" customHeight="1" x14ac:dyDescent="0.45">
      <c r="A8311" t="str">
        <f>_xlfn.XLOOKUP(B8311,Ingot!$H$12:$H$119,Ingot!$G$12:$G$119,"")</f>
        <v>Cloth</v>
      </c>
      <c r="B8311" t="s">
        <v>16507</v>
      </c>
      <c r="C8311" t="s">
        <v>157</v>
      </c>
      <c r="D8311" t="s">
        <v>16704</v>
      </c>
      <c r="E8311" t="s">
        <v>16705</v>
      </c>
      <c r="G8311" s="1">
        <v>16.399999999999999</v>
      </c>
    </row>
    <row r="8312" spans="1:7" ht="14.25" customHeight="1" x14ac:dyDescent="0.45">
      <c r="A8312" t="str">
        <f>_xlfn.XLOOKUP(B8312,Ingot!$H$12:$H$119,Ingot!$G$12:$G$119,"")</f>
        <v>Cloth</v>
      </c>
      <c r="B8312" t="s">
        <v>16507</v>
      </c>
      <c r="C8312" t="s">
        <v>157</v>
      </c>
      <c r="D8312" t="s">
        <v>16706</v>
      </c>
      <c r="E8312" t="s">
        <v>16707</v>
      </c>
      <c r="G8312" s="1">
        <v>5</v>
      </c>
    </row>
    <row r="8313" spans="1:7" ht="14.25" customHeight="1" x14ac:dyDescent="0.45">
      <c r="A8313" t="str">
        <f>_xlfn.XLOOKUP(B8313,Ingot!$H$12:$H$119,Ingot!$G$12:$G$119,"")</f>
        <v>Cloth</v>
      </c>
      <c r="B8313" t="s">
        <v>16507</v>
      </c>
      <c r="C8313" t="s">
        <v>157</v>
      </c>
      <c r="D8313" t="s">
        <v>16708</v>
      </c>
      <c r="E8313" t="s">
        <v>16709</v>
      </c>
      <c r="G8313" s="1">
        <v>5</v>
      </c>
    </row>
    <row r="8314" spans="1:7" ht="14.25" customHeight="1" x14ac:dyDescent="0.45">
      <c r="A8314" t="str">
        <f>_xlfn.XLOOKUP(B8314,Ingot!$H$12:$H$119,Ingot!$G$12:$G$119,"")</f>
        <v>Cloth</v>
      </c>
      <c r="B8314" t="s">
        <v>16507</v>
      </c>
      <c r="C8314" t="s">
        <v>157</v>
      </c>
      <c r="D8314" t="s">
        <v>16710</v>
      </c>
      <c r="E8314" t="s">
        <v>16711</v>
      </c>
      <c r="G8314" s="1">
        <v>5</v>
      </c>
    </row>
    <row r="8315" spans="1:7" ht="14.25" customHeight="1" x14ac:dyDescent="0.45">
      <c r="A8315" t="str">
        <f>_xlfn.XLOOKUP(B8315,Ingot!$H$12:$H$119,Ingot!$G$12:$G$119,"")</f>
        <v>Cloth</v>
      </c>
      <c r="B8315" t="s">
        <v>16507</v>
      </c>
      <c r="C8315" t="s">
        <v>157</v>
      </c>
      <c r="D8315" t="s">
        <v>16712</v>
      </c>
      <c r="E8315" t="s">
        <v>16713</v>
      </c>
      <c r="G8315" s="1">
        <v>10</v>
      </c>
    </row>
    <row r="8316" spans="1:7" ht="14.25" customHeight="1" x14ac:dyDescent="0.45">
      <c r="A8316" t="str">
        <f>_xlfn.XLOOKUP(B8316,Ingot!$H$12:$H$119,Ingot!$G$12:$G$119,"")</f>
        <v>Cloth</v>
      </c>
      <c r="B8316" t="s">
        <v>16507</v>
      </c>
      <c r="C8316" t="s">
        <v>157</v>
      </c>
      <c r="D8316" t="s">
        <v>16714</v>
      </c>
      <c r="E8316" t="s">
        <v>16715</v>
      </c>
      <c r="G8316" s="1">
        <v>15.5</v>
      </c>
    </row>
    <row r="8317" spans="1:7" ht="14.25" customHeight="1" x14ac:dyDescent="0.45">
      <c r="A8317" t="str">
        <f>_xlfn.XLOOKUP(B8317,Ingot!$H$12:$H$119,Ingot!$G$12:$G$119,"")</f>
        <v>Cloth</v>
      </c>
      <c r="B8317" t="s">
        <v>16507</v>
      </c>
      <c r="C8317" t="s">
        <v>157</v>
      </c>
      <c r="D8317" t="s">
        <v>16716</v>
      </c>
      <c r="E8317" t="s">
        <v>16717</v>
      </c>
      <c r="G8317" s="1">
        <v>5</v>
      </c>
    </row>
    <row r="8318" spans="1:7" ht="14.25" customHeight="1" x14ac:dyDescent="0.45">
      <c r="A8318" t="str">
        <f>_xlfn.XLOOKUP(B8318,Ingot!$H$12:$H$119,Ingot!$G$12:$G$119,"")</f>
        <v>Cloth</v>
      </c>
      <c r="B8318" t="s">
        <v>16507</v>
      </c>
      <c r="C8318" t="s">
        <v>157</v>
      </c>
      <c r="D8318" t="s">
        <v>16718</v>
      </c>
      <c r="E8318" t="s">
        <v>16719</v>
      </c>
      <c r="G8318" s="1">
        <v>5</v>
      </c>
    </row>
    <row r="8319" spans="1:7" ht="14.25" customHeight="1" x14ac:dyDescent="0.45">
      <c r="A8319" t="str">
        <f>_xlfn.XLOOKUP(B8319,Ingot!$H$12:$H$119,Ingot!$G$12:$G$119,"")</f>
        <v>Cloth</v>
      </c>
      <c r="B8319" t="s">
        <v>16507</v>
      </c>
      <c r="C8319" t="s">
        <v>157</v>
      </c>
      <c r="D8319" t="s">
        <v>16720</v>
      </c>
      <c r="E8319" t="s">
        <v>16721</v>
      </c>
      <c r="G8319" s="1">
        <v>5</v>
      </c>
    </row>
    <row r="8320" spans="1:7" ht="14.25" customHeight="1" x14ac:dyDescent="0.45">
      <c r="A8320" t="str">
        <f>_xlfn.XLOOKUP(B8320,Ingot!$H$12:$H$119,Ingot!$G$12:$G$119,"")</f>
        <v>Cloth</v>
      </c>
      <c r="B8320" t="s">
        <v>16507</v>
      </c>
      <c r="C8320" t="s">
        <v>157</v>
      </c>
      <c r="D8320" t="s">
        <v>16722</v>
      </c>
      <c r="E8320" t="s">
        <v>16723</v>
      </c>
      <c r="G8320" s="1">
        <v>10</v>
      </c>
    </row>
    <row r="8321" spans="1:7" ht="14.25" customHeight="1" x14ac:dyDescent="0.45">
      <c r="A8321" t="str">
        <f>_xlfn.XLOOKUP(B8321,Ingot!$H$12:$H$119,Ingot!$G$12:$G$119,"")</f>
        <v>Cloth</v>
      </c>
      <c r="B8321" t="s">
        <v>16507</v>
      </c>
      <c r="C8321" t="s">
        <v>157</v>
      </c>
      <c r="D8321" t="s">
        <v>16724</v>
      </c>
      <c r="E8321" t="s">
        <v>16725</v>
      </c>
      <c r="G8321" s="1">
        <v>12.6</v>
      </c>
    </row>
    <row r="8322" spans="1:7" ht="14.25" customHeight="1" x14ac:dyDescent="0.45">
      <c r="A8322" t="str">
        <f>_xlfn.XLOOKUP(B8322,Ingot!$H$12:$H$119,Ingot!$G$12:$G$119,"")</f>
        <v>Cloth</v>
      </c>
      <c r="B8322" t="s">
        <v>16507</v>
      </c>
      <c r="C8322" t="s">
        <v>157</v>
      </c>
      <c r="D8322" t="s">
        <v>16726</v>
      </c>
      <c r="E8322" t="s">
        <v>16727</v>
      </c>
      <c r="G8322" s="1">
        <v>5</v>
      </c>
    </row>
    <row r="8323" spans="1:7" ht="14.25" customHeight="1" x14ac:dyDescent="0.45">
      <c r="A8323" t="str">
        <f>_xlfn.XLOOKUP(B8323,Ingot!$H$12:$H$119,Ingot!$G$12:$G$119,"")</f>
        <v>Cloth</v>
      </c>
      <c r="B8323" t="s">
        <v>16507</v>
      </c>
      <c r="C8323" t="s">
        <v>157</v>
      </c>
      <c r="D8323" t="s">
        <v>16728</v>
      </c>
      <c r="E8323" t="s">
        <v>16729</v>
      </c>
      <c r="G8323" s="1">
        <v>5</v>
      </c>
    </row>
    <row r="8324" spans="1:7" ht="14.25" customHeight="1" x14ac:dyDescent="0.45">
      <c r="A8324" t="str">
        <f>_xlfn.XLOOKUP(B8324,Ingot!$H$12:$H$119,Ingot!$G$12:$G$119,"")</f>
        <v>Cloth</v>
      </c>
      <c r="B8324" t="s">
        <v>16507</v>
      </c>
      <c r="C8324" t="s">
        <v>157</v>
      </c>
      <c r="D8324" t="s">
        <v>16730</v>
      </c>
      <c r="E8324" t="s">
        <v>16731</v>
      </c>
      <c r="G8324" s="1">
        <v>5</v>
      </c>
    </row>
    <row r="8325" spans="1:7" ht="14.25" customHeight="1" x14ac:dyDescent="0.45">
      <c r="A8325" t="str">
        <f>_xlfn.XLOOKUP(B8325,Ingot!$H$12:$H$119,Ingot!$G$12:$G$119,"")</f>
        <v>Cloth</v>
      </c>
      <c r="B8325" t="s">
        <v>16507</v>
      </c>
      <c r="C8325" t="s">
        <v>157</v>
      </c>
      <c r="D8325" t="s">
        <v>16732</v>
      </c>
      <c r="E8325" t="s">
        <v>16733</v>
      </c>
      <c r="G8325" s="1">
        <v>10</v>
      </c>
    </row>
    <row r="8326" spans="1:7" ht="14.25" customHeight="1" x14ac:dyDescent="0.45">
      <c r="A8326" t="str">
        <f>_xlfn.XLOOKUP(B8326,Ingot!$H$12:$H$119,Ingot!$G$12:$G$119,"")</f>
        <v>Cloth</v>
      </c>
      <c r="B8326" t="s">
        <v>16507</v>
      </c>
      <c r="C8326" t="s">
        <v>239</v>
      </c>
      <c r="D8326" t="s">
        <v>16734</v>
      </c>
      <c r="E8326" t="s">
        <v>16735</v>
      </c>
    </row>
    <row r="8327" spans="1:7" ht="14.25" customHeight="1" x14ac:dyDescent="0.45">
      <c r="A8327" t="str">
        <f>_xlfn.XLOOKUP(B8327,Ingot!$H$12:$H$119,Ingot!$G$12:$G$119,"")</f>
        <v>Cloth</v>
      </c>
      <c r="B8327" t="s">
        <v>16507</v>
      </c>
      <c r="C8327" t="s">
        <v>239</v>
      </c>
      <c r="D8327" t="s">
        <v>16736</v>
      </c>
      <c r="E8327" t="s">
        <v>16737</v>
      </c>
    </row>
    <row r="8328" spans="1:7" ht="14.25" customHeight="1" x14ac:dyDescent="0.45">
      <c r="A8328" t="str">
        <f>_xlfn.XLOOKUP(B8328,Ingot!$H$12:$H$119,Ingot!$G$12:$G$119,"")</f>
        <v>Cloth</v>
      </c>
      <c r="B8328" t="s">
        <v>16507</v>
      </c>
      <c r="C8328" t="s">
        <v>239</v>
      </c>
      <c r="D8328" t="s">
        <v>16738</v>
      </c>
      <c r="E8328" t="s">
        <v>16739</v>
      </c>
    </row>
    <row r="8329" spans="1:7" ht="14.25" customHeight="1" x14ac:dyDescent="0.45">
      <c r="A8329" t="str">
        <f>_xlfn.XLOOKUP(B8329,Ingot!$H$12:$H$119,Ingot!$G$12:$G$119,"")</f>
        <v>Cloth</v>
      </c>
      <c r="B8329" t="s">
        <v>16507</v>
      </c>
      <c r="C8329" t="s">
        <v>239</v>
      </c>
      <c r="D8329" t="s">
        <v>16740</v>
      </c>
      <c r="E8329" t="s">
        <v>16741</v>
      </c>
    </row>
    <row r="8330" spans="1:7" ht="14.25" customHeight="1" x14ac:dyDescent="0.45">
      <c r="A8330" t="str">
        <f>_xlfn.XLOOKUP(B8330,Ingot!$H$12:$H$119,Ingot!$G$12:$G$119,"")</f>
        <v>Cloth</v>
      </c>
      <c r="B8330" t="s">
        <v>16507</v>
      </c>
      <c r="C8330" t="s">
        <v>239</v>
      </c>
      <c r="D8330" t="s">
        <v>16742</v>
      </c>
      <c r="E8330" t="s">
        <v>16743</v>
      </c>
    </row>
    <row r="8331" spans="1:7" ht="14.25" customHeight="1" x14ac:dyDescent="0.45">
      <c r="A8331" t="str">
        <f>_xlfn.XLOOKUP(B8331,Ingot!$H$12:$H$119,Ingot!$G$12:$G$119,"")</f>
        <v>Cloth</v>
      </c>
      <c r="B8331" t="s">
        <v>16507</v>
      </c>
      <c r="C8331" t="s">
        <v>239</v>
      </c>
      <c r="D8331" t="s">
        <v>16744</v>
      </c>
      <c r="E8331" t="s">
        <v>16745</v>
      </c>
    </row>
    <row r="8332" spans="1:7" ht="14.25" customHeight="1" x14ac:dyDescent="0.45">
      <c r="A8332" t="str">
        <f>_xlfn.XLOOKUP(B8332,Ingot!$H$12:$H$119,Ingot!$G$12:$G$119,"")</f>
        <v>Cloth</v>
      </c>
      <c r="B8332" t="s">
        <v>16746</v>
      </c>
      <c r="C8332" t="s">
        <v>10</v>
      </c>
      <c r="D8332" t="s">
        <v>16747</v>
      </c>
      <c r="E8332" t="s">
        <v>16748</v>
      </c>
      <c r="G8332" s="1">
        <v>0.08</v>
      </c>
    </row>
    <row r="8333" spans="1:7" ht="14.25" customHeight="1" x14ac:dyDescent="0.45">
      <c r="A8333" t="str">
        <f>_xlfn.XLOOKUP(B8333,Ingot!$H$12:$H$119,Ingot!$G$12:$G$119,"")</f>
        <v>Cloth</v>
      </c>
      <c r="B8333" t="s">
        <v>16746</v>
      </c>
      <c r="C8333" t="s">
        <v>10</v>
      </c>
      <c r="D8333" t="s">
        <v>16749</v>
      </c>
      <c r="E8333" t="s">
        <v>16750</v>
      </c>
      <c r="G8333" s="1">
        <v>9.9</v>
      </c>
    </row>
    <row r="8334" spans="1:7" ht="14.25" customHeight="1" x14ac:dyDescent="0.45">
      <c r="A8334" t="str">
        <f>_xlfn.XLOOKUP(B8334,Ingot!$H$12:$H$119,Ingot!$G$12:$G$119,"")</f>
        <v>Cloth</v>
      </c>
      <c r="B8334" t="s">
        <v>16746</v>
      </c>
      <c r="C8334" t="s">
        <v>10</v>
      </c>
      <c r="D8334" t="s">
        <v>16751</v>
      </c>
      <c r="E8334" t="s">
        <v>16752</v>
      </c>
      <c r="G8334" s="1">
        <v>5.66</v>
      </c>
    </row>
    <row r="8335" spans="1:7" ht="14.25" customHeight="1" x14ac:dyDescent="0.45">
      <c r="A8335" t="str">
        <f>_xlfn.XLOOKUP(B8335,Ingot!$H$12:$H$119,Ingot!$G$12:$G$119,"")</f>
        <v>Cloth</v>
      </c>
      <c r="B8335" t="s">
        <v>16746</v>
      </c>
      <c r="C8335" t="s">
        <v>10</v>
      </c>
      <c r="D8335" t="s">
        <v>16753</v>
      </c>
      <c r="E8335" t="s">
        <v>16754</v>
      </c>
      <c r="G8335" s="1">
        <v>3.3</v>
      </c>
    </row>
    <row r="8336" spans="1:7" ht="14.25" customHeight="1" x14ac:dyDescent="0.45">
      <c r="A8336" t="str">
        <f>_xlfn.XLOOKUP(B8336,Ingot!$H$12:$H$119,Ingot!$G$12:$G$119,"")</f>
        <v>Cloth</v>
      </c>
      <c r="B8336" t="s">
        <v>16746</v>
      </c>
      <c r="C8336" t="s">
        <v>10</v>
      </c>
      <c r="D8336" t="s">
        <v>16755</v>
      </c>
      <c r="E8336" t="s">
        <v>16756</v>
      </c>
      <c r="G8336" s="1">
        <v>0.66</v>
      </c>
    </row>
    <row r="8337" spans="1:7" ht="14.25" customHeight="1" x14ac:dyDescent="0.45">
      <c r="A8337" t="str">
        <f>_xlfn.XLOOKUP(B8337,Ingot!$H$12:$H$119,Ingot!$G$12:$G$119,"")</f>
        <v>Cloth</v>
      </c>
      <c r="B8337" t="s">
        <v>16746</v>
      </c>
      <c r="C8337" t="s">
        <v>10</v>
      </c>
      <c r="D8337" t="s">
        <v>16757</v>
      </c>
      <c r="E8337" t="s">
        <v>16758</v>
      </c>
      <c r="G8337" s="1">
        <v>0.04</v>
      </c>
    </row>
    <row r="8338" spans="1:7" ht="14.25" customHeight="1" x14ac:dyDescent="0.45">
      <c r="A8338" t="str">
        <f>_xlfn.XLOOKUP(B8338,Ingot!$H$12:$H$119,Ingot!$G$12:$G$119,"")</f>
        <v>Cloth</v>
      </c>
      <c r="B8338" t="s">
        <v>16746</v>
      </c>
      <c r="C8338" t="s">
        <v>10</v>
      </c>
      <c r="D8338" t="s">
        <v>16759</v>
      </c>
      <c r="E8338" t="s">
        <v>16760</v>
      </c>
      <c r="G8338" s="1">
        <v>0.33</v>
      </c>
    </row>
    <row r="8339" spans="1:7" ht="14.25" customHeight="1" x14ac:dyDescent="0.45">
      <c r="A8339" t="str">
        <f>_xlfn.XLOOKUP(B8339,Ingot!$H$12:$H$119,Ingot!$G$12:$G$119,"")</f>
        <v>Cloth</v>
      </c>
      <c r="B8339" t="s">
        <v>16746</v>
      </c>
      <c r="C8339" t="s">
        <v>10</v>
      </c>
      <c r="D8339" t="s">
        <v>16761</v>
      </c>
      <c r="E8339" t="s">
        <v>16762</v>
      </c>
    </row>
    <row r="8340" spans="1:7" ht="14.25" customHeight="1" x14ac:dyDescent="0.45">
      <c r="A8340" t="str">
        <f>_xlfn.XLOOKUP(B8340,Ingot!$H$12:$H$119,Ingot!$G$12:$G$119,"")</f>
        <v>Cloth</v>
      </c>
      <c r="B8340" t="s">
        <v>16746</v>
      </c>
      <c r="C8340" t="s">
        <v>10</v>
      </c>
      <c r="D8340" t="s">
        <v>16763</v>
      </c>
      <c r="E8340" t="s">
        <v>16764</v>
      </c>
      <c r="G8340" s="1">
        <v>0.05</v>
      </c>
    </row>
    <row r="8341" spans="1:7" ht="14.25" customHeight="1" x14ac:dyDescent="0.45">
      <c r="A8341" t="str">
        <f>_xlfn.XLOOKUP(B8341,Ingot!$H$12:$H$119,Ingot!$G$12:$G$119,"")</f>
        <v>Cloth</v>
      </c>
      <c r="B8341" t="s">
        <v>16746</v>
      </c>
      <c r="C8341" t="s">
        <v>10</v>
      </c>
      <c r="D8341" t="s">
        <v>16765</v>
      </c>
      <c r="E8341" t="s">
        <v>16766</v>
      </c>
      <c r="G8341" s="1">
        <v>0.66</v>
      </c>
    </row>
    <row r="8342" spans="1:7" ht="14.25" customHeight="1" x14ac:dyDescent="0.45">
      <c r="A8342" t="str">
        <f>_xlfn.XLOOKUP(B8342,Ingot!$H$12:$H$119,Ingot!$G$12:$G$119,"")</f>
        <v>Cloth</v>
      </c>
      <c r="B8342" t="s">
        <v>16746</v>
      </c>
      <c r="C8342" t="s">
        <v>10</v>
      </c>
      <c r="D8342" t="s">
        <v>16767</v>
      </c>
      <c r="E8342" t="s">
        <v>16768</v>
      </c>
      <c r="G8342" s="1">
        <v>3.96</v>
      </c>
    </row>
    <row r="8343" spans="1:7" ht="14.25" customHeight="1" x14ac:dyDescent="0.45">
      <c r="A8343" t="str">
        <f>_xlfn.XLOOKUP(B8343,Ingot!$H$12:$H$119,Ingot!$G$12:$G$119,"")</f>
        <v>Cloth</v>
      </c>
      <c r="B8343" t="s">
        <v>16746</v>
      </c>
      <c r="C8343" t="s">
        <v>10</v>
      </c>
      <c r="D8343" t="s">
        <v>16769</v>
      </c>
      <c r="E8343" t="s">
        <v>16770</v>
      </c>
      <c r="G8343" s="1">
        <v>8.77</v>
      </c>
    </row>
    <row r="8344" spans="1:7" ht="14.25" customHeight="1" x14ac:dyDescent="0.45">
      <c r="A8344" t="str">
        <f>_xlfn.XLOOKUP(B8344,Ingot!$H$12:$H$119,Ingot!$G$12:$G$119,"")</f>
        <v>Cloth</v>
      </c>
      <c r="B8344" t="s">
        <v>16746</v>
      </c>
      <c r="C8344" t="s">
        <v>10</v>
      </c>
      <c r="D8344" t="s">
        <v>16771</v>
      </c>
      <c r="E8344" t="s">
        <v>16772</v>
      </c>
      <c r="G8344" s="1">
        <v>3.5</v>
      </c>
    </row>
    <row r="8345" spans="1:7" ht="14.25" customHeight="1" x14ac:dyDescent="0.45">
      <c r="A8345" t="str">
        <f>_xlfn.XLOOKUP(B8345,Ingot!$H$12:$H$119,Ingot!$G$12:$G$119,"")</f>
        <v>Cloth</v>
      </c>
      <c r="B8345" t="s">
        <v>16746</v>
      </c>
      <c r="C8345" t="s">
        <v>10</v>
      </c>
      <c r="D8345" t="s">
        <v>16773</v>
      </c>
      <c r="E8345" t="s">
        <v>16774</v>
      </c>
    </row>
    <row r="8346" spans="1:7" ht="14.25" customHeight="1" x14ac:dyDescent="0.45">
      <c r="A8346" t="str">
        <f>_xlfn.XLOOKUP(B8346,Ingot!$H$12:$H$119,Ingot!$G$12:$G$119,"")</f>
        <v>Cloth</v>
      </c>
      <c r="B8346" t="s">
        <v>16746</v>
      </c>
      <c r="C8346" t="s">
        <v>10</v>
      </c>
      <c r="D8346" t="s">
        <v>16775</v>
      </c>
      <c r="E8346" t="s">
        <v>16776</v>
      </c>
      <c r="G8346" s="1">
        <v>2.2000000000000002</v>
      </c>
    </row>
    <row r="8347" spans="1:7" ht="14.25" customHeight="1" x14ac:dyDescent="0.45">
      <c r="A8347" t="str">
        <f>_xlfn.XLOOKUP(B8347,Ingot!$H$12:$H$119,Ingot!$G$12:$G$119,"")</f>
        <v>Cloth</v>
      </c>
      <c r="B8347" t="s">
        <v>16746</v>
      </c>
      <c r="C8347" t="s">
        <v>10</v>
      </c>
      <c r="D8347" t="s">
        <v>16777</v>
      </c>
      <c r="E8347" t="s">
        <v>16778</v>
      </c>
      <c r="G8347" s="1">
        <v>1.1000000000000001</v>
      </c>
    </row>
    <row r="8348" spans="1:7" ht="14.25" customHeight="1" x14ac:dyDescent="0.45">
      <c r="A8348" t="str">
        <f>_xlfn.XLOOKUP(B8348,Ingot!$H$12:$H$119,Ingot!$G$12:$G$119,"")</f>
        <v>Cloth</v>
      </c>
      <c r="B8348" t="s">
        <v>16746</v>
      </c>
      <c r="C8348" t="s">
        <v>10</v>
      </c>
      <c r="D8348" t="s">
        <v>16779</v>
      </c>
      <c r="E8348" t="s">
        <v>16780</v>
      </c>
      <c r="G8348" s="1">
        <v>0.22</v>
      </c>
    </row>
    <row r="8349" spans="1:7" ht="14.25" customHeight="1" x14ac:dyDescent="0.45">
      <c r="A8349" t="str">
        <f>_xlfn.XLOOKUP(B8349,Ingot!$H$12:$H$119,Ingot!$G$12:$G$119,"")</f>
        <v>Cloth</v>
      </c>
      <c r="B8349" t="s">
        <v>16746</v>
      </c>
      <c r="C8349" t="s">
        <v>10</v>
      </c>
      <c r="D8349" t="s">
        <v>16781</v>
      </c>
      <c r="E8349" t="s">
        <v>16782</v>
      </c>
      <c r="G8349" s="1">
        <v>8.41</v>
      </c>
    </row>
    <row r="8350" spans="1:7" ht="14.25" customHeight="1" x14ac:dyDescent="0.45">
      <c r="A8350" t="str">
        <f>_xlfn.XLOOKUP(B8350,Ingot!$H$12:$H$119,Ingot!$G$12:$G$119,"")</f>
        <v>Cloth</v>
      </c>
      <c r="B8350" t="s">
        <v>16746</v>
      </c>
      <c r="C8350" t="s">
        <v>10</v>
      </c>
      <c r="D8350" t="s">
        <v>16783</v>
      </c>
      <c r="E8350" t="s">
        <v>16784</v>
      </c>
      <c r="G8350" s="1">
        <v>3.64</v>
      </c>
    </row>
    <row r="8351" spans="1:7" ht="14.25" customHeight="1" x14ac:dyDescent="0.45">
      <c r="A8351" t="str">
        <f>_xlfn.XLOOKUP(B8351,Ingot!$H$12:$H$119,Ingot!$G$12:$G$119,"")</f>
        <v>Cloth</v>
      </c>
      <c r="B8351" t="s">
        <v>16746</v>
      </c>
      <c r="C8351" t="s">
        <v>10</v>
      </c>
      <c r="D8351" t="s">
        <v>16785</v>
      </c>
      <c r="E8351" t="s">
        <v>16786</v>
      </c>
      <c r="G8351" s="1">
        <v>7.05</v>
      </c>
    </row>
    <row r="8352" spans="1:7" ht="14.25" customHeight="1" x14ac:dyDescent="0.45">
      <c r="A8352" t="str">
        <f>_xlfn.XLOOKUP(B8352,Ingot!$H$12:$H$119,Ingot!$G$12:$G$119,"")</f>
        <v>Cloth</v>
      </c>
      <c r="B8352" t="s">
        <v>16746</v>
      </c>
      <c r="C8352" t="s">
        <v>10</v>
      </c>
      <c r="D8352" t="s">
        <v>16787</v>
      </c>
      <c r="E8352" t="s">
        <v>16788</v>
      </c>
      <c r="G8352" s="1">
        <v>2.65</v>
      </c>
    </row>
    <row r="8353" spans="1:7" ht="14.25" customHeight="1" x14ac:dyDescent="0.45">
      <c r="A8353" t="str">
        <f>_xlfn.XLOOKUP(B8353,Ingot!$H$12:$H$119,Ingot!$G$12:$G$119,"")</f>
        <v>Cloth</v>
      </c>
      <c r="B8353" t="s">
        <v>16746</v>
      </c>
      <c r="C8353" t="s">
        <v>10</v>
      </c>
      <c r="D8353" t="s">
        <v>16789</v>
      </c>
      <c r="E8353" t="s">
        <v>16790</v>
      </c>
      <c r="G8353" s="1">
        <v>9</v>
      </c>
    </row>
    <row r="8354" spans="1:7" ht="14.25" customHeight="1" x14ac:dyDescent="0.45">
      <c r="A8354" t="str">
        <f>_xlfn.XLOOKUP(B8354,Ingot!$H$12:$H$119,Ingot!$G$12:$G$119,"")</f>
        <v>Cloth</v>
      </c>
      <c r="B8354" t="s">
        <v>16746</v>
      </c>
      <c r="C8354" t="s">
        <v>10</v>
      </c>
      <c r="D8354" t="s">
        <v>16791</v>
      </c>
      <c r="E8354" t="s">
        <v>16792</v>
      </c>
      <c r="G8354" s="1">
        <v>10.23</v>
      </c>
    </row>
    <row r="8355" spans="1:7" ht="14.25" customHeight="1" x14ac:dyDescent="0.45">
      <c r="A8355" t="str">
        <f>_xlfn.XLOOKUP(B8355,Ingot!$H$12:$H$119,Ingot!$G$12:$G$119,"")</f>
        <v>Cloth</v>
      </c>
      <c r="B8355" t="s">
        <v>16746</v>
      </c>
      <c r="C8355" t="s">
        <v>10</v>
      </c>
      <c r="D8355" t="s">
        <v>16793</v>
      </c>
      <c r="E8355" t="s">
        <v>16794</v>
      </c>
      <c r="G8355" s="1">
        <v>7.7</v>
      </c>
    </row>
    <row r="8356" spans="1:7" ht="14.25" customHeight="1" x14ac:dyDescent="0.45">
      <c r="A8356" t="str">
        <f>_xlfn.XLOOKUP(B8356,Ingot!$H$12:$H$119,Ingot!$G$12:$G$119,"")</f>
        <v>Cloth</v>
      </c>
      <c r="B8356" t="s">
        <v>16746</v>
      </c>
      <c r="C8356" t="s">
        <v>10</v>
      </c>
      <c r="D8356" t="s">
        <v>16795</v>
      </c>
      <c r="E8356" t="s">
        <v>16796</v>
      </c>
      <c r="G8356" s="1">
        <v>10.02</v>
      </c>
    </row>
    <row r="8357" spans="1:7" ht="14.25" customHeight="1" x14ac:dyDescent="0.45">
      <c r="A8357" t="str">
        <f>_xlfn.XLOOKUP(B8357,Ingot!$H$12:$H$119,Ingot!$G$12:$G$119,"")</f>
        <v>Cloth</v>
      </c>
      <c r="B8357" t="s">
        <v>16746</v>
      </c>
      <c r="C8357" t="s">
        <v>10</v>
      </c>
      <c r="D8357" t="s">
        <v>16797</v>
      </c>
      <c r="E8357" t="s">
        <v>16798</v>
      </c>
      <c r="G8357" s="1">
        <v>11.81</v>
      </c>
    </row>
    <row r="8358" spans="1:7" ht="14.25" customHeight="1" x14ac:dyDescent="0.45">
      <c r="A8358" t="str">
        <f>_xlfn.XLOOKUP(B8358,Ingot!$H$12:$H$119,Ingot!$G$12:$G$119,"")</f>
        <v>Cloth</v>
      </c>
      <c r="B8358" t="s">
        <v>16746</v>
      </c>
      <c r="C8358" t="s">
        <v>10</v>
      </c>
      <c r="D8358" t="s">
        <v>16799</v>
      </c>
      <c r="E8358" t="s">
        <v>16800</v>
      </c>
      <c r="G8358" s="1">
        <v>8.44</v>
      </c>
    </row>
    <row r="8359" spans="1:7" ht="14.25" customHeight="1" x14ac:dyDescent="0.45">
      <c r="A8359" t="str">
        <f>_xlfn.XLOOKUP(B8359,Ingot!$H$12:$H$119,Ingot!$G$12:$G$119,"")</f>
        <v>Cloth</v>
      </c>
      <c r="B8359" t="s">
        <v>16746</v>
      </c>
      <c r="C8359" t="s">
        <v>10</v>
      </c>
      <c r="D8359" t="s">
        <v>16801</v>
      </c>
      <c r="E8359" t="s">
        <v>16802</v>
      </c>
      <c r="G8359" s="1">
        <v>10.42</v>
      </c>
    </row>
    <row r="8360" spans="1:7" ht="14.25" customHeight="1" x14ac:dyDescent="0.45">
      <c r="A8360" t="str">
        <f>_xlfn.XLOOKUP(B8360,Ingot!$H$12:$H$119,Ingot!$G$12:$G$119,"")</f>
        <v>Cloth</v>
      </c>
      <c r="B8360" t="s">
        <v>16746</v>
      </c>
      <c r="C8360" t="s">
        <v>10</v>
      </c>
      <c r="D8360" t="s">
        <v>16803</v>
      </c>
      <c r="E8360" t="s">
        <v>16804</v>
      </c>
    </row>
    <row r="8361" spans="1:7" ht="14.25" customHeight="1" x14ac:dyDescent="0.45">
      <c r="A8361" t="str">
        <f>_xlfn.XLOOKUP(B8361,Ingot!$H$12:$H$119,Ingot!$G$12:$G$119,"")</f>
        <v>Cloth</v>
      </c>
      <c r="B8361" t="s">
        <v>16746</v>
      </c>
      <c r="C8361" t="s">
        <v>10</v>
      </c>
      <c r="D8361" t="s">
        <v>16805</v>
      </c>
      <c r="E8361" t="s">
        <v>16806</v>
      </c>
      <c r="G8361" s="1">
        <v>7.96</v>
      </c>
    </row>
    <row r="8362" spans="1:7" ht="14.25" customHeight="1" x14ac:dyDescent="0.45">
      <c r="A8362" t="str">
        <f>_xlfn.XLOOKUP(B8362,Ingot!$H$12:$H$119,Ingot!$G$12:$G$119,"")</f>
        <v>Cloth</v>
      </c>
      <c r="B8362" t="s">
        <v>16746</v>
      </c>
      <c r="C8362" t="s">
        <v>10</v>
      </c>
      <c r="D8362" t="s">
        <v>16807</v>
      </c>
      <c r="E8362" t="s">
        <v>16808</v>
      </c>
      <c r="G8362" s="1">
        <v>9.64</v>
      </c>
    </row>
    <row r="8363" spans="1:7" ht="14.25" customHeight="1" x14ac:dyDescent="0.45">
      <c r="A8363" t="str">
        <f>_xlfn.XLOOKUP(B8363,Ingot!$H$12:$H$119,Ingot!$G$12:$G$119,"")</f>
        <v>Cloth</v>
      </c>
      <c r="B8363" t="s">
        <v>16746</v>
      </c>
      <c r="C8363" t="s">
        <v>10</v>
      </c>
      <c r="D8363" t="s">
        <v>16809</v>
      </c>
      <c r="E8363" t="s">
        <v>16810</v>
      </c>
      <c r="G8363" s="1">
        <v>7.94</v>
      </c>
    </row>
    <row r="8364" spans="1:7" ht="14.25" customHeight="1" x14ac:dyDescent="0.45">
      <c r="A8364" t="str">
        <f>_xlfn.XLOOKUP(B8364,Ingot!$H$12:$H$119,Ingot!$G$12:$G$119,"")</f>
        <v>Cloth</v>
      </c>
      <c r="B8364" t="s">
        <v>16746</v>
      </c>
      <c r="C8364" t="s">
        <v>10</v>
      </c>
      <c r="D8364" t="s">
        <v>16811</v>
      </c>
      <c r="E8364" t="s">
        <v>16812</v>
      </c>
      <c r="G8364" s="1">
        <v>8.66</v>
      </c>
    </row>
    <row r="8365" spans="1:7" ht="14.25" customHeight="1" x14ac:dyDescent="0.45">
      <c r="A8365" t="str">
        <f>_xlfn.XLOOKUP(B8365,Ingot!$H$12:$H$119,Ingot!$G$12:$G$119,"")</f>
        <v>Cloth</v>
      </c>
      <c r="B8365" t="s">
        <v>16746</v>
      </c>
      <c r="C8365" t="s">
        <v>10</v>
      </c>
      <c r="D8365" t="s">
        <v>16813</v>
      </c>
      <c r="E8365" t="s">
        <v>16814</v>
      </c>
    </row>
    <row r="8366" spans="1:7" ht="14.25" customHeight="1" x14ac:dyDescent="0.45">
      <c r="A8366" t="str">
        <f>_xlfn.XLOOKUP(B8366,Ingot!$H$12:$H$119,Ingot!$G$12:$G$119,"")</f>
        <v>Cloth</v>
      </c>
      <c r="B8366" t="s">
        <v>16746</v>
      </c>
      <c r="C8366" t="s">
        <v>10</v>
      </c>
      <c r="D8366" t="s">
        <v>16815</v>
      </c>
      <c r="E8366" t="s">
        <v>16816</v>
      </c>
      <c r="G8366" s="1">
        <v>2.65</v>
      </c>
    </row>
    <row r="8367" spans="1:7" ht="14.25" customHeight="1" x14ac:dyDescent="0.45">
      <c r="A8367" t="str">
        <f>_xlfn.XLOOKUP(B8367,Ingot!$H$12:$H$119,Ingot!$G$12:$G$119,"")</f>
        <v>Cloth</v>
      </c>
      <c r="B8367" t="s">
        <v>16746</v>
      </c>
      <c r="C8367" t="s">
        <v>10</v>
      </c>
      <c r="D8367" t="s">
        <v>16817</v>
      </c>
      <c r="E8367" t="s">
        <v>16818</v>
      </c>
    </row>
    <row r="8368" spans="1:7" ht="14.25" customHeight="1" x14ac:dyDescent="0.45">
      <c r="A8368" t="str">
        <f>_xlfn.XLOOKUP(B8368,Ingot!$H$12:$H$119,Ingot!$G$12:$G$119,"")</f>
        <v>Cloth</v>
      </c>
      <c r="B8368" t="s">
        <v>16746</v>
      </c>
      <c r="C8368" t="s">
        <v>10</v>
      </c>
      <c r="D8368" t="s">
        <v>16819</v>
      </c>
      <c r="E8368" t="s">
        <v>16820</v>
      </c>
      <c r="G8368" s="1">
        <v>12.64</v>
      </c>
    </row>
    <row r="8369" spans="1:7" ht="14.25" customHeight="1" x14ac:dyDescent="0.45">
      <c r="A8369" t="str">
        <f>_xlfn.XLOOKUP(B8369,Ingot!$H$12:$H$119,Ingot!$G$12:$G$119,"")</f>
        <v>Cloth</v>
      </c>
      <c r="B8369" t="s">
        <v>16746</v>
      </c>
      <c r="C8369" t="s">
        <v>10</v>
      </c>
      <c r="D8369" t="s">
        <v>16821</v>
      </c>
      <c r="E8369" t="s">
        <v>16822</v>
      </c>
      <c r="G8369" s="1">
        <v>22.67</v>
      </c>
    </row>
    <row r="8370" spans="1:7" ht="14.25" customHeight="1" x14ac:dyDescent="0.45">
      <c r="A8370" t="str">
        <f>_xlfn.XLOOKUP(B8370,Ingot!$H$12:$H$119,Ingot!$G$12:$G$119,"")</f>
        <v>Cloth</v>
      </c>
      <c r="B8370" t="s">
        <v>16746</v>
      </c>
      <c r="C8370" t="s">
        <v>10</v>
      </c>
      <c r="D8370" t="s">
        <v>16823</v>
      </c>
      <c r="E8370" t="s">
        <v>16824</v>
      </c>
      <c r="G8370" s="1">
        <v>8.3800000000000008</v>
      </c>
    </row>
    <row r="8371" spans="1:7" ht="14.25" customHeight="1" x14ac:dyDescent="0.45">
      <c r="A8371" t="str">
        <f>_xlfn.XLOOKUP(B8371,Ingot!$H$12:$H$119,Ingot!$G$12:$G$119,"")</f>
        <v>Cloth</v>
      </c>
      <c r="B8371" t="s">
        <v>16746</v>
      </c>
      <c r="C8371" t="s">
        <v>10</v>
      </c>
      <c r="D8371" t="s">
        <v>16825</v>
      </c>
      <c r="E8371" t="s">
        <v>16826</v>
      </c>
      <c r="G8371" s="1">
        <v>2.2000000000000002</v>
      </c>
    </row>
    <row r="8372" spans="1:7" ht="14.25" customHeight="1" x14ac:dyDescent="0.45">
      <c r="A8372" t="str">
        <f>_xlfn.XLOOKUP(B8372,Ingot!$H$12:$H$119,Ingot!$G$12:$G$119,"")</f>
        <v>Cloth</v>
      </c>
      <c r="B8372" t="s">
        <v>16746</v>
      </c>
      <c r="C8372" t="s">
        <v>10</v>
      </c>
      <c r="D8372" t="s">
        <v>16827</v>
      </c>
      <c r="E8372" t="s">
        <v>16828</v>
      </c>
      <c r="G8372" s="1">
        <v>3.09</v>
      </c>
    </row>
    <row r="8373" spans="1:7" ht="14.25" customHeight="1" x14ac:dyDescent="0.45">
      <c r="A8373" t="str">
        <f>_xlfn.XLOOKUP(B8373,Ingot!$H$12:$H$119,Ingot!$G$12:$G$119,"")</f>
        <v>Cloth</v>
      </c>
      <c r="B8373" t="s">
        <v>16746</v>
      </c>
      <c r="C8373" t="s">
        <v>10</v>
      </c>
      <c r="D8373" t="s">
        <v>16829</v>
      </c>
      <c r="E8373" t="s">
        <v>16830</v>
      </c>
      <c r="G8373" s="1">
        <v>2.2999999999999998</v>
      </c>
    </row>
    <row r="8374" spans="1:7" ht="14.25" customHeight="1" x14ac:dyDescent="0.45">
      <c r="A8374" t="str">
        <f>_xlfn.XLOOKUP(B8374,Ingot!$H$12:$H$119,Ingot!$G$12:$G$119,"")</f>
        <v>Cloth</v>
      </c>
      <c r="B8374" t="s">
        <v>16746</v>
      </c>
      <c r="C8374" t="s">
        <v>10</v>
      </c>
      <c r="D8374" t="s">
        <v>16831</v>
      </c>
      <c r="E8374" t="s">
        <v>16832</v>
      </c>
      <c r="G8374" s="1">
        <v>4.88</v>
      </c>
    </row>
    <row r="8375" spans="1:7" ht="14.25" customHeight="1" x14ac:dyDescent="0.45">
      <c r="A8375" t="str">
        <f>_xlfn.XLOOKUP(B8375,Ingot!$H$12:$H$119,Ingot!$G$12:$G$119,"")</f>
        <v>Cloth</v>
      </c>
      <c r="B8375" t="s">
        <v>16746</v>
      </c>
      <c r="C8375" t="s">
        <v>10</v>
      </c>
      <c r="D8375" t="s">
        <v>16833</v>
      </c>
      <c r="E8375" t="s">
        <v>16834</v>
      </c>
      <c r="G8375" s="1">
        <v>8.43</v>
      </c>
    </row>
    <row r="8376" spans="1:7" ht="14.25" customHeight="1" x14ac:dyDescent="0.45">
      <c r="A8376" t="str">
        <f>_xlfn.XLOOKUP(B8376,Ingot!$H$12:$H$119,Ingot!$G$12:$G$119,"")</f>
        <v>Cloth</v>
      </c>
      <c r="B8376" t="s">
        <v>16746</v>
      </c>
      <c r="C8376" t="s">
        <v>10</v>
      </c>
      <c r="D8376" t="s">
        <v>16835</v>
      </c>
      <c r="E8376" t="s">
        <v>16836</v>
      </c>
      <c r="G8376" s="1">
        <v>13.07</v>
      </c>
    </row>
    <row r="8377" spans="1:7" ht="14.25" customHeight="1" x14ac:dyDescent="0.45">
      <c r="A8377" t="str">
        <f>_xlfn.XLOOKUP(B8377,Ingot!$H$12:$H$119,Ingot!$G$12:$G$119,"")</f>
        <v>Cloth</v>
      </c>
      <c r="B8377" t="s">
        <v>16746</v>
      </c>
      <c r="C8377" t="s">
        <v>10</v>
      </c>
      <c r="D8377" t="s">
        <v>16837</v>
      </c>
      <c r="E8377" t="s">
        <v>16838</v>
      </c>
    </row>
    <row r="8378" spans="1:7" ht="14.25" customHeight="1" x14ac:dyDescent="0.45">
      <c r="A8378" t="str">
        <f>_xlfn.XLOOKUP(B8378,Ingot!$H$12:$H$119,Ingot!$G$12:$G$119,"")</f>
        <v>Cloth</v>
      </c>
      <c r="B8378" t="s">
        <v>16746</v>
      </c>
      <c r="C8378" t="s">
        <v>10</v>
      </c>
      <c r="D8378" t="s">
        <v>16839</v>
      </c>
      <c r="E8378" t="s">
        <v>16840</v>
      </c>
    </row>
    <row r="8379" spans="1:7" ht="14.25" customHeight="1" x14ac:dyDescent="0.45">
      <c r="A8379" t="str">
        <f>_xlfn.XLOOKUP(B8379,Ingot!$H$12:$H$119,Ingot!$G$12:$G$119,"")</f>
        <v>Cloth</v>
      </c>
      <c r="B8379" t="s">
        <v>16746</v>
      </c>
      <c r="C8379" t="s">
        <v>10</v>
      </c>
      <c r="D8379" t="s">
        <v>16841</v>
      </c>
      <c r="E8379" t="s">
        <v>16842</v>
      </c>
      <c r="G8379" s="1">
        <v>6.8</v>
      </c>
    </row>
    <row r="8380" spans="1:7" ht="14.25" customHeight="1" x14ac:dyDescent="0.45">
      <c r="A8380" t="str">
        <f>_xlfn.XLOOKUP(B8380,Ingot!$H$12:$H$119,Ingot!$G$12:$G$119,"")</f>
        <v>Cloth</v>
      </c>
      <c r="B8380" t="s">
        <v>16746</v>
      </c>
      <c r="C8380" t="s">
        <v>10</v>
      </c>
      <c r="D8380" t="s">
        <v>16843</v>
      </c>
      <c r="E8380" t="s">
        <v>16844</v>
      </c>
      <c r="G8380" s="1">
        <v>6.88</v>
      </c>
    </row>
    <row r="8381" spans="1:7" ht="14.25" customHeight="1" x14ac:dyDescent="0.45">
      <c r="A8381" t="str">
        <f>_xlfn.XLOOKUP(B8381,Ingot!$H$12:$H$119,Ingot!$G$12:$G$119,"")</f>
        <v>Cloth</v>
      </c>
      <c r="B8381" t="s">
        <v>16746</v>
      </c>
      <c r="C8381" t="s">
        <v>10</v>
      </c>
      <c r="D8381" t="s">
        <v>16845</v>
      </c>
      <c r="E8381" t="s">
        <v>16846</v>
      </c>
      <c r="G8381" s="1">
        <v>5.5</v>
      </c>
    </row>
    <row r="8382" spans="1:7" ht="14.25" customHeight="1" x14ac:dyDescent="0.45">
      <c r="A8382" t="str">
        <f>_xlfn.XLOOKUP(B8382,Ingot!$H$12:$H$119,Ingot!$G$12:$G$119,"")</f>
        <v>Cloth</v>
      </c>
      <c r="B8382" t="s">
        <v>16746</v>
      </c>
      <c r="C8382" t="s">
        <v>10</v>
      </c>
      <c r="D8382" t="s">
        <v>16847</v>
      </c>
      <c r="E8382" t="s">
        <v>16848</v>
      </c>
      <c r="G8382" s="1">
        <v>2.4300000000000002</v>
      </c>
    </row>
    <row r="8383" spans="1:7" ht="14.25" customHeight="1" x14ac:dyDescent="0.45">
      <c r="A8383" t="str">
        <f>_xlfn.XLOOKUP(B8383,Ingot!$H$12:$H$119,Ingot!$G$12:$G$119,"")</f>
        <v>Cloth</v>
      </c>
      <c r="B8383" t="s">
        <v>16746</v>
      </c>
      <c r="C8383" t="s">
        <v>10</v>
      </c>
      <c r="D8383" t="s">
        <v>16849</v>
      </c>
      <c r="E8383" t="s">
        <v>16850</v>
      </c>
      <c r="G8383" s="1">
        <v>6.96</v>
      </c>
    </row>
    <row r="8384" spans="1:7" ht="14.25" customHeight="1" x14ac:dyDescent="0.45">
      <c r="A8384" t="str">
        <f>_xlfn.XLOOKUP(B8384,Ingot!$H$12:$H$119,Ingot!$G$12:$G$119,"")</f>
        <v>Cloth</v>
      </c>
      <c r="B8384" t="s">
        <v>16746</v>
      </c>
      <c r="C8384" t="s">
        <v>10</v>
      </c>
      <c r="D8384" t="s">
        <v>16851</v>
      </c>
      <c r="E8384" t="s">
        <v>16852</v>
      </c>
      <c r="G8384" s="1">
        <v>6.32</v>
      </c>
    </row>
    <row r="8385" spans="1:7" ht="14.25" customHeight="1" x14ac:dyDescent="0.45">
      <c r="A8385" t="str">
        <f>_xlfn.XLOOKUP(B8385,Ingot!$H$12:$H$119,Ingot!$G$12:$G$119,"")</f>
        <v>Cloth</v>
      </c>
      <c r="B8385" t="s">
        <v>16746</v>
      </c>
      <c r="C8385" t="s">
        <v>10</v>
      </c>
      <c r="D8385" t="s">
        <v>16853</v>
      </c>
      <c r="E8385" t="s">
        <v>16854</v>
      </c>
      <c r="G8385" s="1">
        <v>6.88</v>
      </c>
    </row>
    <row r="8386" spans="1:7" ht="14.25" customHeight="1" x14ac:dyDescent="0.45">
      <c r="A8386" t="str">
        <f>_xlfn.XLOOKUP(B8386,Ingot!$H$12:$H$119,Ingot!$G$12:$G$119,"")</f>
        <v>Cloth</v>
      </c>
      <c r="B8386" t="s">
        <v>16746</v>
      </c>
      <c r="C8386" t="s">
        <v>10</v>
      </c>
      <c r="D8386" t="s">
        <v>16855</v>
      </c>
      <c r="E8386" t="s">
        <v>16856</v>
      </c>
      <c r="G8386" s="1">
        <v>2.44</v>
      </c>
    </row>
    <row r="8387" spans="1:7" ht="14.25" customHeight="1" x14ac:dyDescent="0.45">
      <c r="A8387" t="str">
        <f>_xlfn.XLOOKUP(B8387,Ingot!$H$12:$H$119,Ingot!$G$12:$G$119,"")</f>
        <v>Cloth</v>
      </c>
      <c r="B8387" t="s">
        <v>16746</v>
      </c>
      <c r="C8387" t="s">
        <v>10</v>
      </c>
      <c r="D8387" t="s">
        <v>16857</v>
      </c>
      <c r="E8387" t="s">
        <v>16858</v>
      </c>
    </row>
    <row r="8388" spans="1:7" ht="14.25" customHeight="1" x14ac:dyDescent="0.45">
      <c r="A8388" t="str">
        <f>_xlfn.XLOOKUP(B8388,Ingot!$H$12:$H$119,Ingot!$G$12:$G$119,"")</f>
        <v>Cloth</v>
      </c>
      <c r="B8388" t="s">
        <v>16746</v>
      </c>
      <c r="C8388" t="s">
        <v>10</v>
      </c>
      <c r="D8388" t="s">
        <v>16859</v>
      </c>
      <c r="E8388" t="s">
        <v>16860</v>
      </c>
    </row>
    <row r="8389" spans="1:7" ht="14.25" customHeight="1" x14ac:dyDescent="0.45">
      <c r="A8389" t="str">
        <f>_xlfn.XLOOKUP(B8389,Ingot!$H$12:$H$119,Ingot!$G$12:$G$119,"")</f>
        <v>Cloth</v>
      </c>
      <c r="B8389" t="s">
        <v>16746</v>
      </c>
      <c r="C8389" t="s">
        <v>10</v>
      </c>
      <c r="D8389" t="s">
        <v>16861</v>
      </c>
      <c r="E8389" t="s">
        <v>16862</v>
      </c>
      <c r="G8389" s="1">
        <v>3.11</v>
      </c>
    </row>
    <row r="8390" spans="1:7" ht="14.25" customHeight="1" x14ac:dyDescent="0.45">
      <c r="A8390" t="str">
        <f>_xlfn.XLOOKUP(B8390,Ingot!$H$12:$H$119,Ingot!$G$12:$G$119,"")</f>
        <v>Cloth</v>
      </c>
      <c r="B8390" t="s">
        <v>16746</v>
      </c>
      <c r="C8390" t="s">
        <v>10</v>
      </c>
      <c r="D8390" t="s">
        <v>16863</v>
      </c>
      <c r="E8390" t="s">
        <v>16864</v>
      </c>
      <c r="G8390" s="1">
        <v>2.44</v>
      </c>
    </row>
    <row r="8391" spans="1:7" ht="14.25" customHeight="1" x14ac:dyDescent="0.45">
      <c r="A8391" t="str">
        <f>_xlfn.XLOOKUP(B8391,Ingot!$H$12:$H$119,Ingot!$G$12:$G$119,"")</f>
        <v>Cloth</v>
      </c>
      <c r="B8391" t="s">
        <v>16746</v>
      </c>
      <c r="C8391" t="s">
        <v>10</v>
      </c>
      <c r="D8391" t="s">
        <v>16865</v>
      </c>
      <c r="E8391" t="s">
        <v>16866</v>
      </c>
      <c r="G8391" s="1">
        <v>8.61</v>
      </c>
    </row>
    <row r="8392" spans="1:7" ht="14.25" customHeight="1" x14ac:dyDescent="0.45">
      <c r="A8392" t="str">
        <f>_xlfn.XLOOKUP(B8392,Ingot!$H$12:$H$119,Ingot!$G$12:$G$119,"")</f>
        <v>Cloth</v>
      </c>
      <c r="B8392" t="s">
        <v>16746</v>
      </c>
      <c r="C8392" t="s">
        <v>10</v>
      </c>
      <c r="D8392" t="s">
        <v>16867</v>
      </c>
      <c r="E8392" t="s">
        <v>16868</v>
      </c>
    </row>
    <row r="8393" spans="1:7" ht="14.25" customHeight="1" x14ac:dyDescent="0.45">
      <c r="A8393" t="str">
        <f>_xlfn.XLOOKUP(B8393,Ingot!$H$12:$H$119,Ingot!$G$12:$G$119,"")</f>
        <v>Cloth</v>
      </c>
      <c r="B8393" t="s">
        <v>16746</v>
      </c>
      <c r="C8393" t="s">
        <v>10</v>
      </c>
      <c r="D8393" t="s">
        <v>16869</v>
      </c>
      <c r="E8393" t="s">
        <v>16870</v>
      </c>
      <c r="G8393" s="1">
        <v>3.21</v>
      </c>
    </row>
    <row r="8394" spans="1:7" ht="14.25" customHeight="1" x14ac:dyDescent="0.45">
      <c r="A8394" t="str">
        <f>_xlfn.XLOOKUP(B8394,Ingot!$H$12:$H$119,Ingot!$G$12:$G$119,"")</f>
        <v>Cloth</v>
      </c>
      <c r="B8394" t="s">
        <v>16746</v>
      </c>
      <c r="C8394" t="s">
        <v>10</v>
      </c>
      <c r="D8394" t="s">
        <v>16871</v>
      </c>
      <c r="E8394" t="s">
        <v>16872</v>
      </c>
      <c r="G8394" s="1">
        <v>2.77</v>
      </c>
    </row>
    <row r="8395" spans="1:7" ht="14.25" customHeight="1" x14ac:dyDescent="0.45">
      <c r="A8395" t="str">
        <f>_xlfn.XLOOKUP(B8395,Ingot!$H$12:$H$119,Ingot!$G$12:$G$119,"")</f>
        <v>Cloth</v>
      </c>
      <c r="B8395" t="s">
        <v>16746</v>
      </c>
      <c r="C8395" t="s">
        <v>10</v>
      </c>
      <c r="D8395" t="s">
        <v>16873</v>
      </c>
      <c r="E8395" t="s">
        <v>16874</v>
      </c>
      <c r="G8395" s="1">
        <v>4.8899999999999997</v>
      </c>
    </row>
    <row r="8396" spans="1:7" ht="14.25" customHeight="1" x14ac:dyDescent="0.45">
      <c r="A8396" t="str">
        <f>_xlfn.XLOOKUP(B8396,Ingot!$H$12:$H$119,Ingot!$G$12:$G$119,"")</f>
        <v>Cloth</v>
      </c>
      <c r="B8396" t="s">
        <v>16746</v>
      </c>
      <c r="C8396" t="s">
        <v>10</v>
      </c>
      <c r="D8396" t="s">
        <v>16875</v>
      </c>
      <c r="E8396" t="s">
        <v>16876</v>
      </c>
      <c r="G8396" s="1">
        <v>1.76</v>
      </c>
    </row>
    <row r="8397" spans="1:7" ht="14.25" customHeight="1" x14ac:dyDescent="0.45">
      <c r="A8397" t="str">
        <f>_xlfn.XLOOKUP(B8397,Ingot!$H$12:$H$119,Ingot!$G$12:$G$119,"")</f>
        <v>Cloth</v>
      </c>
      <c r="B8397" t="s">
        <v>16746</v>
      </c>
      <c r="C8397" t="s">
        <v>10</v>
      </c>
      <c r="D8397" t="s">
        <v>16877</v>
      </c>
      <c r="E8397" t="s">
        <v>16878</v>
      </c>
    </row>
    <row r="8398" spans="1:7" ht="14.25" customHeight="1" x14ac:dyDescent="0.45">
      <c r="A8398" t="str">
        <f>_xlfn.XLOOKUP(B8398,Ingot!$H$12:$H$119,Ingot!$G$12:$G$119,"")</f>
        <v>Cloth</v>
      </c>
      <c r="B8398" t="s">
        <v>16746</v>
      </c>
      <c r="C8398" t="s">
        <v>10</v>
      </c>
      <c r="D8398" t="s">
        <v>16879</v>
      </c>
      <c r="E8398" t="s">
        <v>16880</v>
      </c>
      <c r="G8398" s="1">
        <v>8.57</v>
      </c>
    </row>
    <row r="8399" spans="1:7" ht="14.25" customHeight="1" x14ac:dyDescent="0.45">
      <c r="A8399" t="str">
        <f>_xlfn.XLOOKUP(B8399,Ingot!$H$12:$H$119,Ingot!$G$12:$G$119,"")</f>
        <v>Cloth</v>
      </c>
      <c r="B8399" t="s">
        <v>16746</v>
      </c>
      <c r="C8399" t="s">
        <v>10</v>
      </c>
      <c r="D8399" t="s">
        <v>16881</v>
      </c>
      <c r="E8399" t="s">
        <v>16882</v>
      </c>
    </row>
    <row r="8400" spans="1:7" ht="14.25" customHeight="1" x14ac:dyDescent="0.45">
      <c r="A8400" t="str">
        <f>_xlfn.XLOOKUP(B8400,Ingot!$H$12:$H$119,Ingot!$G$12:$G$119,"")</f>
        <v>Cloth</v>
      </c>
      <c r="B8400" t="s">
        <v>16746</v>
      </c>
      <c r="C8400" t="s">
        <v>10</v>
      </c>
      <c r="D8400" t="s">
        <v>16883</v>
      </c>
      <c r="E8400" t="s">
        <v>16884</v>
      </c>
      <c r="G8400" s="1">
        <v>3.56</v>
      </c>
    </row>
    <row r="8401" spans="1:7" ht="14.25" customHeight="1" x14ac:dyDescent="0.45">
      <c r="A8401" t="str">
        <f>_xlfn.XLOOKUP(B8401,Ingot!$H$12:$H$119,Ingot!$G$12:$G$119,"")</f>
        <v>Cloth</v>
      </c>
      <c r="B8401" t="s">
        <v>16746</v>
      </c>
      <c r="C8401" t="s">
        <v>10</v>
      </c>
      <c r="D8401" t="s">
        <v>16885</v>
      </c>
      <c r="E8401" t="s">
        <v>16886</v>
      </c>
      <c r="G8401" s="1">
        <v>8.91</v>
      </c>
    </row>
    <row r="8402" spans="1:7" ht="14.25" customHeight="1" x14ac:dyDescent="0.45">
      <c r="A8402" t="str">
        <f>_xlfn.XLOOKUP(B8402,Ingot!$H$12:$H$119,Ingot!$G$12:$G$119,"")</f>
        <v>Cloth</v>
      </c>
      <c r="B8402" t="s">
        <v>16746</v>
      </c>
      <c r="C8402" t="s">
        <v>10</v>
      </c>
      <c r="D8402" t="s">
        <v>16887</v>
      </c>
      <c r="E8402" t="s">
        <v>16888</v>
      </c>
      <c r="G8402" s="1">
        <v>11.02</v>
      </c>
    </row>
    <row r="8403" spans="1:7" ht="14.25" customHeight="1" x14ac:dyDescent="0.45">
      <c r="A8403" t="str">
        <f>_xlfn.XLOOKUP(B8403,Ingot!$H$12:$H$119,Ingot!$G$12:$G$119,"")</f>
        <v>Cloth</v>
      </c>
      <c r="B8403" t="s">
        <v>16746</v>
      </c>
      <c r="C8403" t="s">
        <v>10</v>
      </c>
      <c r="D8403" t="s">
        <v>16889</v>
      </c>
      <c r="E8403" t="s">
        <v>16890</v>
      </c>
      <c r="G8403" s="1">
        <v>5.12</v>
      </c>
    </row>
    <row r="8404" spans="1:7" ht="14.25" customHeight="1" x14ac:dyDescent="0.45">
      <c r="A8404" t="str">
        <f>_xlfn.XLOOKUP(B8404,Ingot!$H$12:$H$119,Ingot!$G$12:$G$119,"")</f>
        <v>Cloth</v>
      </c>
      <c r="B8404" t="s">
        <v>16746</v>
      </c>
      <c r="C8404" t="s">
        <v>10</v>
      </c>
      <c r="D8404" t="s">
        <v>16891</v>
      </c>
      <c r="E8404" t="s">
        <v>16892</v>
      </c>
      <c r="G8404" s="1">
        <v>4.41</v>
      </c>
    </row>
    <row r="8405" spans="1:7" ht="14.25" customHeight="1" x14ac:dyDescent="0.45">
      <c r="A8405" t="str">
        <f>_xlfn.XLOOKUP(B8405,Ingot!$H$12:$H$119,Ingot!$G$12:$G$119,"")</f>
        <v>Cloth</v>
      </c>
      <c r="B8405" t="s">
        <v>16746</v>
      </c>
      <c r="C8405" t="s">
        <v>157</v>
      </c>
      <c r="D8405" t="s">
        <v>16893</v>
      </c>
      <c r="E8405" t="s">
        <v>16894</v>
      </c>
      <c r="G8405" s="1">
        <v>14.8</v>
      </c>
    </row>
    <row r="8406" spans="1:7" ht="14.25" customHeight="1" x14ac:dyDescent="0.45">
      <c r="A8406" t="str">
        <f>_xlfn.XLOOKUP(B8406,Ingot!$H$12:$H$119,Ingot!$G$12:$G$119,"")</f>
        <v>Cloth</v>
      </c>
      <c r="B8406" t="s">
        <v>16746</v>
      </c>
      <c r="C8406" t="s">
        <v>157</v>
      </c>
      <c r="D8406" t="s">
        <v>16895</v>
      </c>
      <c r="E8406" t="s">
        <v>16896</v>
      </c>
      <c r="G8406" s="1">
        <v>5</v>
      </c>
    </row>
    <row r="8407" spans="1:7" ht="14.25" customHeight="1" x14ac:dyDescent="0.45">
      <c r="A8407" t="str">
        <f>_xlfn.XLOOKUP(B8407,Ingot!$H$12:$H$119,Ingot!$G$12:$G$119,"")</f>
        <v>Cloth</v>
      </c>
      <c r="B8407" t="s">
        <v>16746</v>
      </c>
      <c r="C8407" t="s">
        <v>157</v>
      </c>
      <c r="D8407" t="s">
        <v>16897</v>
      </c>
      <c r="E8407" t="s">
        <v>16898</v>
      </c>
      <c r="G8407" s="1">
        <v>5</v>
      </c>
    </row>
    <row r="8408" spans="1:7" ht="14.25" customHeight="1" x14ac:dyDescent="0.45">
      <c r="A8408" t="str">
        <f>_xlfn.XLOOKUP(B8408,Ingot!$H$12:$H$119,Ingot!$G$12:$G$119,"")</f>
        <v>Cloth</v>
      </c>
      <c r="B8408" t="s">
        <v>16746</v>
      </c>
      <c r="C8408" t="s">
        <v>157</v>
      </c>
      <c r="D8408" t="s">
        <v>16899</v>
      </c>
      <c r="E8408" t="s">
        <v>16900</v>
      </c>
      <c r="G8408" s="1">
        <v>5</v>
      </c>
    </row>
    <row r="8409" spans="1:7" ht="14.25" customHeight="1" x14ac:dyDescent="0.45">
      <c r="A8409" t="str">
        <f>_xlfn.XLOOKUP(B8409,Ingot!$H$12:$H$119,Ingot!$G$12:$G$119,"")</f>
        <v>Cloth</v>
      </c>
      <c r="B8409" t="s">
        <v>16746</v>
      </c>
      <c r="C8409" t="s">
        <v>157</v>
      </c>
      <c r="D8409" t="s">
        <v>16901</v>
      </c>
      <c r="E8409" t="s">
        <v>16902</v>
      </c>
      <c r="G8409" s="1">
        <v>10</v>
      </c>
    </row>
    <row r="8410" spans="1:7" ht="14.25" customHeight="1" x14ac:dyDescent="0.45">
      <c r="A8410" t="str">
        <f>_xlfn.XLOOKUP(B8410,Ingot!$H$12:$H$119,Ingot!$G$12:$G$119,"")</f>
        <v>Cloth</v>
      </c>
      <c r="B8410" t="s">
        <v>16746</v>
      </c>
      <c r="C8410" t="s">
        <v>157</v>
      </c>
      <c r="D8410" t="s">
        <v>16903</v>
      </c>
      <c r="E8410" t="s">
        <v>16904</v>
      </c>
      <c r="G8410" s="1">
        <v>13.2</v>
      </c>
    </row>
    <row r="8411" spans="1:7" ht="14.25" customHeight="1" x14ac:dyDescent="0.45">
      <c r="A8411" t="str">
        <f>_xlfn.XLOOKUP(B8411,Ingot!$H$12:$H$119,Ingot!$G$12:$G$119,"")</f>
        <v>Cloth</v>
      </c>
      <c r="B8411" t="s">
        <v>16746</v>
      </c>
      <c r="C8411" t="s">
        <v>157</v>
      </c>
      <c r="D8411" t="s">
        <v>16905</v>
      </c>
      <c r="E8411" t="s">
        <v>16906</v>
      </c>
      <c r="G8411" s="1">
        <v>5</v>
      </c>
    </row>
    <row r="8412" spans="1:7" ht="14.25" customHeight="1" x14ac:dyDescent="0.45">
      <c r="A8412" t="str">
        <f>_xlfn.XLOOKUP(B8412,Ingot!$H$12:$H$119,Ingot!$G$12:$G$119,"")</f>
        <v>Cloth</v>
      </c>
      <c r="B8412" t="s">
        <v>16746</v>
      </c>
      <c r="C8412" t="s">
        <v>157</v>
      </c>
      <c r="D8412" t="s">
        <v>16907</v>
      </c>
      <c r="E8412" t="s">
        <v>16908</v>
      </c>
      <c r="G8412" s="1">
        <v>5</v>
      </c>
    </row>
    <row r="8413" spans="1:7" ht="14.25" customHeight="1" x14ac:dyDescent="0.45">
      <c r="A8413" t="str">
        <f>_xlfn.XLOOKUP(B8413,Ingot!$H$12:$H$119,Ingot!$G$12:$G$119,"")</f>
        <v>Cloth</v>
      </c>
      <c r="B8413" t="s">
        <v>16746</v>
      </c>
      <c r="C8413" t="s">
        <v>157</v>
      </c>
      <c r="D8413" t="s">
        <v>16909</v>
      </c>
      <c r="E8413" t="s">
        <v>16910</v>
      </c>
      <c r="G8413" s="1">
        <v>5</v>
      </c>
    </row>
    <row r="8414" spans="1:7" ht="14.25" customHeight="1" x14ac:dyDescent="0.45">
      <c r="A8414" t="str">
        <f>_xlfn.XLOOKUP(B8414,Ingot!$H$12:$H$119,Ingot!$G$12:$G$119,"")</f>
        <v>Cloth</v>
      </c>
      <c r="B8414" t="s">
        <v>16746</v>
      </c>
      <c r="C8414" t="s">
        <v>157</v>
      </c>
      <c r="D8414" t="s">
        <v>16911</v>
      </c>
      <c r="E8414" t="s">
        <v>16912</v>
      </c>
      <c r="G8414" s="1">
        <v>10</v>
      </c>
    </row>
    <row r="8415" spans="1:7" ht="14.25" customHeight="1" x14ac:dyDescent="0.45">
      <c r="A8415" t="str">
        <f>_xlfn.XLOOKUP(B8415,Ingot!$H$12:$H$119,Ingot!$G$12:$G$119,"")</f>
        <v>Cloth</v>
      </c>
      <c r="B8415" t="s">
        <v>16746</v>
      </c>
      <c r="C8415" t="s">
        <v>157</v>
      </c>
      <c r="D8415" t="s">
        <v>16913</v>
      </c>
      <c r="E8415" t="s">
        <v>16914</v>
      </c>
      <c r="G8415" s="1">
        <v>12.8</v>
      </c>
    </row>
    <row r="8416" spans="1:7" ht="14.25" customHeight="1" x14ac:dyDescent="0.45">
      <c r="A8416" t="str">
        <f>_xlfn.XLOOKUP(B8416,Ingot!$H$12:$H$119,Ingot!$G$12:$G$119,"")</f>
        <v>Cloth</v>
      </c>
      <c r="B8416" t="s">
        <v>16746</v>
      </c>
      <c r="C8416" t="s">
        <v>157</v>
      </c>
      <c r="D8416" t="s">
        <v>16915</v>
      </c>
      <c r="E8416" t="s">
        <v>16916</v>
      </c>
      <c r="G8416" s="1">
        <v>5</v>
      </c>
    </row>
    <row r="8417" spans="1:7" ht="14.25" customHeight="1" x14ac:dyDescent="0.45">
      <c r="A8417" t="str">
        <f>_xlfn.XLOOKUP(B8417,Ingot!$H$12:$H$119,Ingot!$G$12:$G$119,"")</f>
        <v>Cloth</v>
      </c>
      <c r="B8417" t="s">
        <v>16746</v>
      </c>
      <c r="C8417" t="s">
        <v>157</v>
      </c>
      <c r="D8417" t="s">
        <v>16917</v>
      </c>
      <c r="E8417" t="s">
        <v>16918</v>
      </c>
      <c r="G8417" s="1">
        <v>5</v>
      </c>
    </row>
    <row r="8418" spans="1:7" ht="14.25" customHeight="1" x14ac:dyDescent="0.45">
      <c r="A8418" t="str">
        <f>_xlfn.XLOOKUP(B8418,Ingot!$H$12:$H$119,Ingot!$G$12:$G$119,"")</f>
        <v>Cloth</v>
      </c>
      <c r="B8418" t="s">
        <v>16746</v>
      </c>
      <c r="C8418" t="s">
        <v>157</v>
      </c>
      <c r="D8418" t="s">
        <v>16919</v>
      </c>
      <c r="E8418" t="s">
        <v>16920</v>
      </c>
      <c r="G8418" s="1">
        <v>5</v>
      </c>
    </row>
    <row r="8419" spans="1:7" ht="14.25" customHeight="1" x14ac:dyDescent="0.45">
      <c r="A8419" t="str">
        <f>_xlfn.XLOOKUP(B8419,Ingot!$H$12:$H$119,Ingot!$G$12:$G$119,"")</f>
        <v>Cloth</v>
      </c>
      <c r="B8419" t="s">
        <v>16746</v>
      </c>
      <c r="C8419" t="s">
        <v>157</v>
      </c>
      <c r="D8419" t="s">
        <v>16921</v>
      </c>
      <c r="E8419" t="s">
        <v>16922</v>
      </c>
      <c r="G8419" s="1">
        <v>10</v>
      </c>
    </row>
    <row r="8420" spans="1:7" ht="14.25" customHeight="1" x14ac:dyDescent="0.45">
      <c r="A8420" t="str">
        <f>_xlfn.XLOOKUP(B8420,Ingot!$H$12:$H$119,Ingot!$G$12:$G$119,"")</f>
        <v>Cloth</v>
      </c>
      <c r="B8420" t="s">
        <v>16746</v>
      </c>
      <c r="C8420" t="s">
        <v>157</v>
      </c>
      <c r="D8420" t="s">
        <v>16923</v>
      </c>
      <c r="E8420" t="s">
        <v>16924</v>
      </c>
      <c r="G8420" s="1">
        <v>13.5</v>
      </c>
    </row>
    <row r="8421" spans="1:7" ht="14.25" customHeight="1" x14ac:dyDescent="0.45">
      <c r="A8421" t="str">
        <f>_xlfn.XLOOKUP(B8421,Ingot!$H$12:$H$119,Ingot!$G$12:$G$119,"")</f>
        <v>Cloth</v>
      </c>
      <c r="B8421" t="s">
        <v>16746</v>
      </c>
      <c r="C8421" t="s">
        <v>157</v>
      </c>
      <c r="D8421" t="s">
        <v>16925</v>
      </c>
      <c r="E8421" t="s">
        <v>16926</v>
      </c>
      <c r="G8421" s="1">
        <v>5</v>
      </c>
    </row>
    <row r="8422" spans="1:7" ht="14.25" customHeight="1" x14ac:dyDescent="0.45">
      <c r="A8422" t="str">
        <f>_xlfn.XLOOKUP(B8422,Ingot!$H$12:$H$119,Ingot!$G$12:$G$119,"")</f>
        <v>Cloth</v>
      </c>
      <c r="B8422" t="s">
        <v>16746</v>
      </c>
      <c r="C8422" t="s">
        <v>157</v>
      </c>
      <c r="D8422" t="s">
        <v>16927</v>
      </c>
      <c r="E8422" t="s">
        <v>16928</v>
      </c>
      <c r="G8422" s="1">
        <v>5</v>
      </c>
    </row>
    <row r="8423" spans="1:7" ht="14.25" customHeight="1" x14ac:dyDescent="0.45">
      <c r="A8423" t="str">
        <f>_xlfn.XLOOKUP(B8423,Ingot!$H$12:$H$119,Ingot!$G$12:$G$119,"")</f>
        <v>Cloth</v>
      </c>
      <c r="B8423" t="s">
        <v>16746</v>
      </c>
      <c r="C8423" t="s">
        <v>157</v>
      </c>
      <c r="D8423" t="s">
        <v>16929</v>
      </c>
      <c r="E8423" t="s">
        <v>16930</v>
      </c>
      <c r="G8423" s="1">
        <v>5</v>
      </c>
    </row>
    <row r="8424" spans="1:7" ht="14.25" customHeight="1" x14ac:dyDescent="0.45">
      <c r="A8424" t="str">
        <f>_xlfn.XLOOKUP(B8424,Ingot!$H$12:$H$119,Ingot!$G$12:$G$119,"")</f>
        <v>Cloth</v>
      </c>
      <c r="B8424" t="s">
        <v>16746</v>
      </c>
      <c r="C8424" t="s">
        <v>157</v>
      </c>
      <c r="D8424" t="s">
        <v>16931</v>
      </c>
      <c r="E8424" t="s">
        <v>16932</v>
      </c>
      <c r="G8424" s="1">
        <v>10</v>
      </c>
    </row>
    <row r="8425" spans="1:7" ht="14.25" customHeight="1" x14ac:dyDescent="0.45">
      <c r="A8425" t="str">
        <f>_xlfn.XLOOKUP(B8425,Ingot!$H$12:$H$119,Ingot!$G$12:$G$119,"")</f>
        <v>Cloth</v>
      </c>
      <c r="B8425" t="s">
        <v>16746</v>
      </c>
      <c r="C8425" t="s">
        <v>157</v>
      </c>
      <c r="D8425" t="s">
        <v>16933</v>
      </c>
      <c r="E8425" t="s">
        <v>16934</v>
      </c>
      <c r="G8425" s="1">
        <v>14</v>
      </c>
    </row>
    <row r="8426" spans="1:7" ht="14.25" customHeight="1" x14ac:dyDescent="0.45">
      <c r="A8426" t="str">
        <f>_xlfn.XLOOKUP(B8426,Ingot!$H$12:$H$119,Ingot!$G$12:$G$119,"")</f>
        <v>Cloth</v>
      </c>
      <c r="B8426" t="s">
        <v>16746</v>
      </c>
      <c r="C8426" t="s">
        <v>157</v>
      </c>
      <c r="D8426" t="s">
        <v>16935</v>
      </c>
      <c r="E8426" t="s">
        <v>16936</v>
      </c>
      <c r="G8426" s="1">
        <v>5</v>
      </c>
    </row>
    <row r="8427" spans="1:7" ht="14.25" customHeight="1" x14ac:dyDescent="0.45">
      <c r="A8427" t="str">
        <f>_xlfn.XLOOKUP(B8427,Ingot!$H$12:$H$119,Ingot!$G$12:$G$119,"")</f>
        <v>Cloth</v>
      </c>
      <c r="B8427" t="s">
        <v>16746</v>
      </c>
      <c r="C8427" t="s">
        <v>157</v>
      </c>
      <c r="D8427" t="s">
        <v>16937</v>
      </c>
      <c r="E8427" t="s">
        <v>16938</v>
      </c>
      <c r="G8427" s="1">
        <v>5</v>
      </c>
    </row>
    <row r="8428" spans="1:7" ht="14.25" customHeight="1" x14ac:dyDescent="0.45">
      <c r="A8428" t="str">
        <f>_xlfn.XLOOKUP(B8428,Ingot!$H$12:$H$119,Ingot!$G$12:$G$119,"")</f>
        <v>Cloth</v>
      </c>
      <c r="B8428" t="s">
        <v>16746</v>
      </c>
      <c r="C8428" t="s">
        <v>157</v>
      </c>
      <c r="D8428" t="s">
        <v>16939</v>
      </c>
      <c r="E8428" t="s">
        <v>16940</v>
      </c>
      <c r="G8428" s="1">
        <v>5</v>
      </c>
    </row>
    <row r="8429" spans="1:7" ht="14.25" customHeight="1" x14ac:dyDescent="0.45">
      <c r="A8429" t="str">
        <f>_xlfn.XLOOKUP(B8429,Ingot!$H$12:$H$119,Ingot!$G$12:$G$119,"")</f>
        <v>Cloth</v>
      </c>
      <c r="B8429" t="s">
        <v>16746</v>
      </c>
      <c r="C8429" t="s">
        <v>157</v>
      </c>
      <c r="D8429" t="s">
        <v>16941</v>
      </c>
      <c r="E8429" t="s">
        <v>16942</v>
      </c>
      <c r="G8429" s="1">
        <v>10</v>
      </c>
    </row>
    <row r="8430" spans="1:7" ht="14.25" customHeight="1" x14ac:dyDescent="0.45">
      <c r="A8430" t="str">
        <f>_xlfn.XLOOKUP(B8430,Ingot!$H$12:$H$119,Ingot!$G$12:$G$119,"")</f>
        <v>Cloth</v>
      </c>
      <c r="B8430" t="s">
        <v>16746</v>
      </c>
      <c r="C8430" t="s">
        <v>157</v>
      </c>
      <c r="D8430" t="s">
        <v>16943</v>
      </c>
      <c r="E8430" t="s">
        <v>16944</v>
      </c>
      <c r="G8430" s="1">
        <v>16.399999999999999</v>
      </c>
    </row>
    <row r="8431" spans="1:7" ht="14.25" customHeight="1" x14ac:dyDescent="0.45">
      <c r="A8431" t="str">
        <f>_xlfn.XLOOKUP(B8431,Ingot!$H$12:$H$119,Ingot!$G$12:$G$119,"")</f>
        <v>Cloth</v>
      </c>
      <c r="B8431" t="s">
        <v>16746</v>
      </c>
      <c r="C8431" t="s">
        <v>157</v>
      </c>
      <c r="D8431" t="s">
        <v>16945</v>
      </c>
      <c r="E8431" t="s">
        <v>16946</v>
      </c>
      <c r="G8431" s="1">
        <v>5</v>
      </c>
    </row>
    <row r="8432" spans="1:7" ht="14.25" customHeight="1" x14ac:dyDescent="0.45">
      <c r="A8432" t="str">
        <f>_xlfn.XLOOKUP(B8432,Ingot!$H$12:$H$119,Ingot!$G$12:$G$119,"")</f>
        <v>Cloth</v>
      </c>
      <c r="B8432" t="s">
        <v>16746</v>
      </c>
      <c r="C8432" t="s">
        <v>157</v>
      </c>
      <c r="D8432" t="s">
        <v>16947</v>
      </c>
      <c r="E8432" t="s">
        <v>16948</v>
      </c>
      <c r="G8432" s="1">
        <v>5</v>
      </c>
    </row>
    <row r="8433" spans="1:7" ht="14.25" customHeight="1" x14ac:dyDescent="0.45">
      <c r="A8433" t="str">
        <f>_xlfn.XLOOKUP(B8433,Ingot!$H$12:$H$119,Ingot!$G$12:$G$119,"")</f>
        <v>Cloth</v>
      </c>
      <c r="B8433" t="s">
        <v>16746</v>
      </c>
      <c r="C8433" t="s">
        <v>157</v>
      </c>
      <c r="D8433" t="s">
        <v>16949</v>
      </c>
      <c r="E8433" t="s">
        <v>16950</v>
      </c>
      <c r="G8433" s="1">
        <v>5</v>
      </c>
    </row>
    <row r="8434" spans="1:7" ht="14.25" customHeight="1" x14ac:dyDescent="0.45">
      <c r="A8434" t="str">
        <f>_xlfn.XLOOKUP(B8434,Ingot!$H$12:$H$119,Ingot!$G$12:$G$119,"")</f>
        <v>Cloth</v>
      </c>
      <c r="B8434" t="s">
        <v>16746</v>
      </c>
      <c r="C8434" t="s">
        <v>157</v>
      </c>
      <c r="D8434" t="s">
        <v>16951</v>
      </c>
      <c r="E8434" t="s">
        <v>16952</v>
      </c>
      <c r="G8434" s="1">
        <v>10</v>
      </c>
    </row>
    <row r="8435" spans="1:7" ht="14.25" customHeight="1" x14ac:dyDescent="0.45">
      <c r="A8435" t="str">
        <f>_xlfn.XLOOKUP(B8435,Ingot!$H$12:$H$119,Ingot!$G$12:$G$119,"")</f>
        <v>Cloth</v>
      </c>
      <c r="B8435" t="s">
        <v>16746</v>
      </c>
      <c r="C8435" t="s">
        <v>157</v>
      </c>
      <c r="D8435" t="s">
        <v>16953</v>
      </c>
      <c r="E8435" t="s">
        <v>16954</v>
      </c>
      <c r="G8435" s="1">
        <v>15.5</v>
      </c>
    </row>
    <row r="8436" spans="1:7" ht="14.25" customHeight="1" x14ac:dyDescent="0.45">
      <c r="A8436" t="str">
        <f>_xlfn.XLOOKUP(B8436,Ingot!$H$12:$H$119,Ingot!$G$12:$G$119,"")</f>
        <v>Cloth</v>
      </c>
      <c r="B8436" t="s">
        <v>16746</v>
      </c>
      <c r="C8436" t="s">
        <v>157</v>
      </c>
      <c r="D8436" t="s">
        <v>16955</v>
      </c>
      <c r="E8436" t="s">
        <v>16956</v>
      </c>
      <c r="G8436" s="1">
        <v>5</v>
      </c>
    </row>
    <row r="8437" spans="1:7" ht="14.25" customHeight="1" x14ac:dyDescent="0.45">
      <c r="A8437" t="str">
        <f>_xlfn.XLOOKUP(B8437,Ingot!$H$12:$H$119,Ingot!$G$12:$G$119,"")</f>
        <v>Cloth</v>
      </c>
      <c r="B8437" t="s">
        <v>16746</v>
      </c>
      <c r="C8437" t="s">
        <v>157</v>
      </c>
      <c r="D8437" t="s">
        <v>16957</v>
      </c>
      <c r="E8437" t="s">
        <v>16958</v>
      </c>
      <c r="G8437" s="1">
        <v>5</v>
      </c>
    </row>
    <row r="8438" spans="1:7" ht="14.25" customHeight="1" x14ac:dyDescent="0.45">
      <c r="A8438" t="str">
        <f>_xlfn.XLOOKUP(B8438,Ingot!$H$12:$H$119,Ingot!$G$12:$G$119,"")</f>
        <v>Cloth</v>
      </c>
      <c r="B8438" t="s">
        <v>16746</v>
      </c>
      <c r="C8438" t="s">
        <v>157</v>
      </c>
      <c r="D8438" t="s">
        <v>16959</v>
      </c>
      <c r="E8438" t="s">
        <v>16960</v>
      </c>
      <c r="G8438" s="1">
        <v>5</v>
      </c>
    </row>
    <row r="8439" spans="1:7" ht="14.25" customHeight="1" x14ac:dyDescent="0.45">
      <c r="A8439" t="str">
        <f>_xlfn.XLOOKUP(B8439,Ingot!$H$12:$H$119,Ingot!$G$12:$G$119,"")</f>
        <v>Cloth</v>
      </c>
      <c r="B8439" t="s">
        <v>16746</v>
      </c>
      <c r="C8439" t="s">
        <v>157</v>
      </c>
      <c r="D8439" t="s">
        <v>16961</v>
      </c>
      <c r="E8439" t="s">
        <v>16962</v>
      </c>
      <c r="G8439" s="1">
        <v>10</v>
      </c>
    </row>
    <row r="8440" spans="1:7" ht="14.25" customHeight="1" x14ac:dyDescent="0.45">
      <c r="A8440" t="str">
        <f>_xlfn.XLOOKUP(B8440,Ingot!$H$12:$H$119,Ingot!$G$12:$G$119,"")</f>
        <v>Cloth</v>
      </c>
      <c r="B8440" t="s">
        <v>16746</v>
      </c>
      <c r="C8440" t="s">
        <v>157</v>
      </c>
      <c r="D8440" t="s">
        <v>16963</v>
      </c>
      <c r="E8440" t="s">
        <v>16964</v>
      </c>
      <c r="G8440" s="1">
        <v>12.6</v>
      </c>
    </row>
    <row r="8441" spans="1:7" ht="14.25" customHeight="1" x14ac:dyDescent="0.45">
      <c r="A8441" t="str">
        <f>_xlfn.XLOOKUP(B8441,Ingot!$H$12:$H$119,Ingot!$G$12:$G$119,"")</f>
        <v>Cloth</v>
      </c>
      <c r="B8441" t="s">
        <v>16746</v>
      </c>
      <c r="C8441" t="s">
        <v>157</v>
      </c>
      <c r="D8441" t="s">
        <v>16965</v>
      </c>
      <c r="E8441" t="s">
        <v>16966</v>
      </c>
      <c r="G8441" s="1">
        <v>5</v>
      </c>
    </row>
    <row r="8442" spans="1:7" ht="14.25" customHeight="1" x14ac:dyDescent="0.45">
      <c r="A8442" t="str">
        <f>_xlfn.XLOOKUP(B8442,Ingot!$H$12:$H$119,Ingot!$G$12:$G$119,"")</f>
        <v>Cloth</v>
      </c>
      <c r="B8442" t="s">
        <v>16746</v>
      </c>
      <c r="C8442" t="s">
        <v>157</v>
      </c>
      <c r="D8442" t="s">
        <v>16967</v>
      </c>
      <c r="E8442" t="s">
        <v>16968</v>
      </c>
      <c r="G8442" s="1">
        <v>5</v>
      </c>
    </row>
    <row r="8443" spans="1:7" ht="14.25" customHeight="1" x14ac:dyDescent="0.45">
      <c r="A8443" t="str">
        <f>_xlfn.XLOOKUP(B8443,Ingot!$H$12:$H$119,Ingot!$G$12:$G$119,"")</f>
        <v>Cloth</v>
      </c>
      <c r="B8443" t="s">
        <v>16746</v>
      </c>
      <c r="C8443" t="s">
        <v>157</v>
      </c>
      <c r="D8443" t="s">
        <v>16969</v>
      </c>
      <c r="E8443" t="s">
        <v>16970</v>
      </c>
      <c r="G8443" s="1">
        <v>5</v>
      </c>
    </row>
    <row r="8444" spans="1:7" ht="14.25" customHeight="1" x14ac:dyDescent="0.45">
      <c r="A8444" t="str">
        <f>_xlfn.XLOOKUP(B8444,Ingot!$H$12:$H$119,Ingot!$G$12:$G$119,"")</f>
        <v>Cloth</v>
      </c>
      <c r="B8444" t="s">
        <v>16746</v>
      </c>
      <c r="C8444" t="s">
        <v>157</v>
      </c>
      <c r="D8444" t="s">
        <v>16971</v>
      </c>
      <c r="E8444" t="s">
        <v>16972</v>
      </c>
      <c r="G8444" s="1">
        <v>10</v>
      </c>
    </row>
    <row r="8445" spans="1:7" ht="14.25" customHeight="1" x14ac:dyDescent="0.45">
      <c r="A8445" t="str">
        <f>_xlfn.XLOOKUP(B8445,Ingot!$H$12:$H$119,Ingot!$G$12:$G$119,"")</f>
        <v>Cloth</v>
      </c>
      <c r="B8445" t="s">
        <v>16746</v>
      </c>
      <c r="C8445" t="s">
        <v>239</v>
      </c>
      <c r="D8445" t="s">
        <v>16973</v>
      </c>
      <c r="E8445" t="s">
        <v>16974</v>
      </c>
    </row>
    <row r="8446" spans="1:7" ht="14.25" customHeight="1" x14ac:dyDescent="0.45">
      <c r="A8446" t="str">
        <f>_xlfn.XLOOKUP(B8446,Ingot!$H$12:$H$119,Ingot!$G$12:$G$119,"")</f>
        <v>Cloth</v>
      </c>
      <c r="B8446" t="s">
        <v>16746</v>
      </c>
      <c r="C8446" t="s">
        <v>239</v>
      </c>
      <c r="D8446" t="s">
        <v>16975</v>
      </c>
      <c r="E8446" t="s">
        <v>16976</v>
      </c>
    </row>
    <row r="8447" spans="1:7" ht="14.25" customHeight="1" x14ac:dyDescent="0.45">
      <c r="A8447" t="str">
        <f>_xlfn.XLOOKUP(B8447,Ingot!$H$12:$H$119,Ingot!$G$12:$G$119,"")</f>
        <v>Cloth</v>
      </c>
      <c r="B8447" t="s">
        <v>16746</v>
      </c>
      <c r="C8447" t="s">
        <v>239</v>
      </c>
      <c r="D8447" t="s">
        <v>16977</v>
      </c>
      <c r="E8447" t="s">
        <v>16978</v>
      </c>
    </row>
    <row r="8448" spans="1:7" ht="14.25" customHeight="1" x14ac:dyDescent="0.45">
      <c r="A8448" t="str">
        <f>_xlfn.XLOOKUP(B8448,Ingot!$H$12:$H$119,Ingot!$G$12:$G$119,"")</f>
        <v>Cloth</v>
      </c>
      <c r="B8448" t="s">
        <v>16746</v>
      </c>
      <c r="C8448" t="s">
        <v>239</v>
      </c>
      <c r="D8448" t="s">
        <v>16979</v>
      </c>
      <c r="E8448" t="s">
        <v>16980</v>
      </c>
    </row>
    <row r="8449" spans="1:7" ht="14.25" customHeight="1" x14ac:dyDescent="0.45">
      <c r="A8449" t="str">
        <f>_xlfn.XLOOKUP(B8449,Ingot!$H$12:$H$119,Ingot!$G$12:$G$119,"")</f>
        <v>Cloth</v>
      </c>
      <c r="B8449" t="s">
        <v>16746</v>
      </c>
      <c r="C8449" t="s">
        <v>239</v>
      </c>
      <c r="D8449" t="s">
        <v>16981</v>
      </c>
      <c r="E8449" t="s">
        <v>16982</v>
      </c>
    </row>
    <row r="8450" spans="1:7" ht="14.25" customHeight="1" x14ac:dyDescent="0.45">
      <c r="A8450" t="str">
        <f>_xlfn.XLOOKUP(B8450,Ingot!$H$12:$H$119,Ingot!$G$12:$G$119,"")</f>
        <v>Cloth</v>
      </c>
      <c r="B8450" t="s">
        <v>16746</v>
      </c>
      <c r="C8450" t="s">
        <v>239</v>
      </c>
      <c r="D8450" t="s">
        <v>16983</v>
      </c>
      <c r="E8450" t="s">
        <v>16984</v>
      </c>
    </row>
    <row r="8451" spans="1:7" ht="14.25" customHeight="1" x14ac:dyDescent="0.45">
      <c r="A8451" t="str">
        <f>_xlfn.XLOOKUP(B8451,Ingot!$H$12:$H$119,Ingot!$G$12:$G$119,"")</f>
        <v>Cloth</v>
      </c>
      <c r="B8451" t="s">
        <v>16985</v>
      </c>
      <c r="C8451" t="s">
        <v>10</v>
      </c>
      <c r="D8451" t="s">
        <v>16986</v>
      </c>
      <c r="E8451" t="s">
        <v>16987</v>
      </c>
      <c r="G8451" s="1">
        <v>0.08</v>
      </c>
    </row>
    <row r="8452" spans="1:7" ht="14.25" customHeight="1" x14ac:dyDescent="0.45">
      <c r="A8452" t="str">
        <f>_xlfn.XLOOKUP(B8452,Ingot!$H$12:$H$119,Ingot!$G$12:$G$119,"")</f>
        <v>Cloth</v>
      </c>
      <c r="B8452" t="s">
        <v>16985</v>
      </c>
      <c r="C8452" t="s">
        <v>10</v>
      </c>
      <c r="D8452" t="s">
        <v>16988</v>
      </c>
      <c r="E8452" t="s">
        <v>16989</v>
      </c>
      <c r="G8452" s="1">
        <v>9.9</v>
      </c>
    </row>
    <row r="8453" spans="1:7" ht="14.25" customHeight="1" x14ac:dyDescent="0.45">
      <c r="A8453" t="str">
        <f>_xlfn.XLOOKUP(B8453,Ingot!$H$12:$H$119,Ingot!$G$12:$G$119,"")</f>
        <v>Cloth</v>
      </c>
      <c r="B8453" t="s">
        <v>16985</v>
      </c>
      <c r="C8453" t="s">
        <v>10</v>
      </c>
      <c r="D8453" t="s">
        <v>16990</v>
      </c>
      <c r="E8453" t="s">
        <v>16991</v>
      </c>
      <c r="G8453" s="1">
        <v>5.66</v>
      </c>
    </row>
    <row r="8454" spans="1:7" ht="14.25" customHeight="1" x14ac:dyDescent="0.45">
      <c r="A8454" t="str">
        <f>_xlfn.XLOOKUP(B8454,Ingot!$H$12:$H$119,Ingot!$G$12:$G$119,"")</f>
        <v>Cloth</v>
      </c>
      <c r="B8454" t="s">
        <v>16985</v>
      </c>
      <c r="C8454" t="s">
        <v>10</v>
      </c>
      <c r="D8454" t="s">
        <v>16992</v>
      </c>
      <c r="E8454" t="s">
        <v>16993</v>
      </c>
      <c r="G8454" s="1">
        <v>3.3</v>
      </c>
    </row>
    <row r="8455" spans="1:7" ht="14.25" customHeight="1" x14ac:dyDescent="0.45">
      <c r="A8455" t="str">
        <f>_xlfn.XLOOKUP(B8455,Ingot!$H$12:$H$119,Ingot!$G$12:$G$119,"")</f>
        <v>Cloth</v>
      </c>
      <c r="B8455" t="s">
        <v>16985</v>
      </c>
      <c r="C8455" t="s">
        <v>10</v>
      </c>
      <c r="D8455" t="s">
        <v>16994</v>
      </c>
      <c r="E8455" t="s">
        <v>16995</v>
      </c>
      <c r="G8455" s="1">
        <v>0.66</v>
      </c>
    </row>
    <row r="8456" spans="1:7" ht="14.25" customHeight="1" x14ac:dyDescent="0.45">
      <c r="A8456" t="str">
        <f>_xlfn.XLOOKUP(B8456,Ingot!$H$12:$H$119,Ingot!$G$12:$G$119,"")</f>
        <v>Cloth</v>
      </c>
      <c r="B8456" t="s">
        <v>16985</v>
      </c>
      <c r="C8456" t="s">
        <v>10</v>
      </c>
      <c r="D8456" t="s">
        <v>16996</v>
      </c>
      <c r="E8456" t="s">
        <v>16997</v>
      </c>
      <c r="G8456" s="1">
        <v>0.04</v>
      </c>
    </row>
    <row r="8457" spans="1:7" ht="14.25" customHeight="1" x14ac:dyDescent="0.45">
      <c r="A8457" t="str">
        <f>_xlfn.XLOOKUP(B8457,Ingot!$H$12:$H$119,Ingot!$G$12:$G$119,"")</f>
        <v>Cloth</v>
      </c>
      <c r="B8457" t="s">
        <v>16985</v>
      </c>
      <c r="C8457" t="s">
        <v>10</v>
      </c>
      <c r="D8457" t="s">
        <v>16998</v>
      </c>
      <c r="E8457" t="s">
        <v>16999</v>
      </c>
      <c r="G8457" s="1">
        <v>0.33</v>
      </c>
    </row>
    <row r="8458" spans="1:7" ht="14.25" customHeight="1" x14ac:dyDescent="0.45">
      <c r="A8458" t="str">
        <f>_xlfn.XLOOKUP(B8458,Ingot!$H$12:$H$119,Ingot!$G$12:$G$119,"")</f>
        <v>Cloth</v>
      </c>
      <c r="B8458" t="s">
        <v>16985</v>
      </c>
      <c r="C8458" t="s">
        <v>10</v>
      </c>
      <c r="D8458" t="s">
        <v>17000</v>
      </c>
      <c r="E8458" t="s">
        <v>17001</v>
      </c>
    </row>
    <row r="8459" spans="1:7" ht="14.25" customHeight="1" x14ac:dyDescent="0.45">
      <c r="A8459" t="str">
        <f>_xlfn.XLOOKUP(B8459,Ingot!$H$12:$H$119,Ingot!$G$12:$G$119,"")</f>
        <v>Cloth</v>
      </c>
      <c r="B8459" t="s">
        <v>16985</v>
      </c>
      <c r="C8459" t="s">
        <v>10</v>
      </c>
      <c r="D8459" t="s">
        <v>17002</v>
      </c>
      <c r="E8459" t="s">
        <v>17003</v>
      </c>
      <c r="G8459" s="1">
        <v>0.05</v>
      </c>
    </row>
    <row r="8460" spans="1:7" ht="14.25" customHeight="1" x14ac:dyDescent="0.45">
      <c r="A8460" t="str">
        <f>_xlfn.XLOOKUP(B8460,Ingot!$H$12:$H$119,Ingot!$G$12:$G$119,"")</f>
        <v>Cloth</v>
      </c>
      <c r="B8460" t="s">
        <v>16985</v>
      </c>
      <c r="C8460" t="s">
        <v>10</v>
      </c>
      <c r="D8460" t="s">
        <v>17004</v>
      </c>
      <c r="E8460" t="s">
        <v>17005</v>
      </c>
      <c r="G8460" s="1">
        <v>0.66</v>
      </c>
    </row>
    <row r="8461" spans="1:7" ht="14.25" customHeight="1" x14ac:dyDescent="0.45">
      <c r="A8461" t="str">
        <f>_xlfn.XLOOKUP(B8461,Ingot!$H$12:$H$119,Ingot!$G$12:$G$119,"")</f>
        <v>Cloth</v>
      </c>
      <c r="B8461" t="s">
        <v>16985</v>
      </c>
      <c r="C8461" t="s">
        <v>10</v>
      </c>
      <c r="D8461" t="s">
        <v>17006</v>
      </c>
      <c r="E8461" t="s">
        <v>17007</v>
      </c>
      <c r="G8461" s="1">
        <v>3.96</v>
      </c>
    </row>
    <row r="8462" spans="1:7" ht="14.25" customHeight="1" x14ac:dyDescent="0.45">
      <c r="A8462" t="str">
        <f>_xlfn.XLOOKUP(B8462,Ingot!$H$12:$H$119,Ingot!$G$12:$G$119,"")</f>
        <v>Cloth</v>
      </c>
      <c r="B8462" t="s">
        <v>16985</v>
      </c>
      <c r="C8462" t="s">
        <v>10</v>
      </c>
      <c r="D8462" t="s">
        <v>17008</v>
      </c>
      <c r="E8462" t="s">
        <v>17009</v>
      </c>
      <c r="G8462" s="1">
        <v>8.77</v>
      </c>
    </row>
    <row r="8463" spans="1:7" ht="14.25" customHeight="1" x14ac:dyDescent="0.45">
      <c r="A8463" t="str">
        <f>_xlfn.XLOOKUP(B8463,Ingot!$H$12:$H$119,Ingot!$G$12:$G$119,"")</f>
        <v>Cloth</v>
      </c>
      <c r="B8463" t="s">
        <v>16985</v>
      </c>
      <c r="C8463" t="s">
        <v>10</v>
      </c>
      <c r="D8463" t="s">
        <v>17010</v>
      </c>
      <c r="E8463" t="s">
        <v>17011</v>
      </c>
      <c r="G8463" s="1">
        <v>3.5</v>
      </c>
    </row>
    <row r="8464" spans="1:7" ht="14.25" customHeight="1" x14ac:dyDescent="0.45">
      <c r="A8464" t="str">
        <f>_xlfn.XLOOKUP(B8464,Ingot!$H$12:$H$119,Ingot!$G$12:$G$119,"")</f>
        <v>Cloth</v>
      </c>
      <c r="B8464" t="s">
        <v>16985</v>
      </c>
      <c r="C8464" t="s">
        <v>10</v>
      </c>
      <c r="D8464" t="s">
        <v>17012</v>
      </c>
      <c r="E8464" t="s">
        <v>17013</v>
      </c>
    </row>
    <row r="8465" spans="1:7" ht="14.25" customHeight="1" x14ac:dyDescent="0.45">
      <c r="A8465" t="str">
        <f>_xlfn.XLOOKUP(B8465,Ingot!$H$12:$H$119,Ingot!$G$12:$G$119,"")</f>
        <v>Cloth</v>
      </c>
      <c r="B8465" t="s">
        <v>16985</v>
      </c>
      <c r="C8465" t="s">
        <v>10</v>
      </c>
      <c r="D8465" t="s">
        <v>17014</v>
      </c>
      <c r="E8465" t="s">
        <v>17015</v>
      </c>
      <c r="G8465" s="1">
        <v>2.2000000000000002</v>
      </c>
    </row>
    <row r="8466" spans="1:7" ht="14.25" customHeight="1" x14ac:dyDescent="0.45">
      <c r="A8466" t="str">
        <f>_xlfn.XLOOKUP(B8466,Ingot!$H$12:$H$119,Ingot!$G$12:$G$119,"")</f>
        <v>Cloth</v>
      </c>
      <c r="B8466" t="s">
        <v>16985</v>
      </c>
      <c r="C8466" t="s">
        <v>10</v>
      </c>
      <c r="D8466" t="s">
        <v>17016</v>
      </c>
      <c r="E8466" t="s">
        <v>17017</v>
      </c>
      <c r="G8466" s="1">
        <v>1.1000000000000001</v>
      </c>
    </row>
    <row r="8467" spans="1:7" ht="14.25" customHeight="1" x14ac:dyDescent="0.45">
      <c r="A8467" t="str">
        <f>_xlfn.XLOOKUP(B8467,Ingot!$H$12:$H$119,Ingot!$G$12:$G$119,"")</f>
        <v>Cloth</v>
      </c>
      <c r="B8467" t="s">
        <v>16985</v>
      </c>
      <c r="C8467" t="s">
        <v>10</v>
      </c>
      <c r="D8467" t="s">
        <v>17018</v>
      </c>
      <c r="E8467" t="s">
        <v>17019</v>
      </c>
      <c r="G8467" s="1">
        <v>0.22</v>
      </c>
    </row>
    <row r="8468" spans="1:7" ht="14.25" customHeight="1" x14ac:dyDescent="0.45">
      <c r="A8468" t="str">
        <f>_xlfn.XLOOKUP(B8468,Ingot!$H$12:$H$119,Ingot!$G$12:$G$119,"")</f>
        <v>Cloth</v>
      </c>
      <c r="B8468" t="s">
        <v>16985</v>
      </c>
      <c r="C8468" t="s">
        <v>10</v>
      </c>
      <c r="D8468" t="s">
        <v>17020</v>
      </c>
      <c r="E8468" t="s">
        <v>17021</v>
      </c>
      <c r="G8468" s="1">
        <v>8.41</v>
      </c>
    </row>
    <row r="8469" spans="1:7" ht="14.25" customHeight="1" x14ac:dyDescent="0.45">
      <c r="A8469" t="str">
        <f>_xlfn.XLOOKUP(B8469,Ingot!$H$12:$H$119,Ingot!$G$12:$G$119,"")</f>
        <v>Cloth</v>
      </c>
      <c r="B8469" t="s">
        <v>16985</v>
      </c>
      <c r="C8469" t="s">
        <v>10</v>
      </c>
      <c r="D8469" t="s">
        <v>17022</v>
      </c>
      <c r="E8469" t="s">
        <v>17023</v>
      </c>
      <c r="G8469" s="1">
        <v>3.64</v>
      </c>
    </row>
    <row r="8470" spans="1:7" ht="14.25" customHeight="1" x14ac:dyDescent="0.45">
      <c r="A8470" t="str">
        <f>_xlfn.XLOOKUP(B8470,Ingot!$H$12:$H$119,Ingot!$G$12:$G$119,"")</f>
        <v>Cloth</v>
      </c>
      <c r="B8470" t="s">
        <v>16985</v>
      </c>
      <c r="C8470" t="s">
        <v>10</v>
      </c>
      <c r="D8470" t="s">
        <v>17024</v>
      </c>
      <c r="E8470" t="s">
        <v>17025</v>
      </c>
      <c r="G8470" s="1">
        <v>7.05</v>
      </c>
    </row>
    <row r="8471" spans="1:7" ht="14.25" customHeight="1" x14ac:dyDescent="0.45">
      <c r="A8471" t="str">
        <f>_xlfn.XLOOKUP(B8471,Ingot!$H$12:$H$119,Ingot!$G$12:$G$119,"")</f>
        <v>Cloth</v>
      </c>
      <c r="B8471" t="s">
        <v>16985</v>
      </c>
      <c r="C8471" t="s">
        <v>10</v>
      </c>
      <c r="D8471" t="s">
        <v>17026</v>
      </c>
      <c r="E8471" t="s">
        <v>17027</v>
      </c>
      <c r="G8471" s="1">
        <v>2.65</v>
      </c>
    </row>
    <row r="8472" spans="1:7" ht="14.25" customHeight="1" x14ac:dyDescent="0.45">
      <c r="A8472" t="str">
        <f>_xlfn.XLOOKUP(B8472,Ingot!$H$12:$H$119,Ingot!$G$12:$G$119,"")</f>
        <v>Cloth</v>
      </c>
      <c r="B8472" t="s">
        <v>16985</v>
      </c>
      <c r="C8472" t="s">
        <v>10</v>
      </c>
      <c r="D8472" t="s">
        <v>17028</v>
      </c>
      <c r="E8472" t="s">
        <v>17029</v>
      </c>
      <c r="G8472" s="1">
        <v>9</v>
      </c>
    </row>
    <row r="8473" spans="1:7" ht="14.25" customHeight="1" x14ac:dyDescent="0.45">
      <c r="A8473" t="str">
        <f>_xlfn.XLOOKUP(B8473,Ingot!$H$12:$H$119,Ingot!$G$12:$G$119,"")</f>
        <v>Cloth</v>
      </c>
      <c r="B8473" t="s">
        <v>16985</v>
      </c>
      <c r="C8473" t="s">
        <v>10</v>
      </c>
      <c r="D8473" t="s">
        <v>17030</v>
      </c>
      <c r="E8473" t="s">
        <v>17031</v>
      </c>
      <c r="G8473" s="1">
        <v>10.23</v>
      </c>
    </row>
    <row r="8474" spans="1:7" ht="14.25" customHeight="1" x14ac:dyDescent="0.45">
      <c r="A8474" t="str">
        <f>_xlfn.XLOOKUP(B8474,Ingot!$H$12:$H$119,Ingot!$G$12:$G$119,"")</f>
        <v>Cloth</v>
      </c>
      <c r="B8474" t="s">
        <v>16985</v>
      </c>
      <c r="C8474" t="s">
        <v>10</v>
      </c>
      <c r="D8474" t="s">
        <v>17032</v>
      </c>
      <c r="E8474" t="s">
        <v>17033</v>
      </c>
      <c r="G8474" s="1">
        <v>7.7</v>
      </c>
    </row>
    <row r="8475" spans="1:7" ht="14.25" customHeight="1" x14ac:dyDescent="0.45">
      <c r="A8475" t="str">
        <f>_xlfn.XLOOKUP(B8475,Ingot!$H$12:$H$119,Ingot!$G$12:$G$119,"")</f>
        <v>Cloth</v>
      </c>
      <c r="B8475" t="s">
        <v>16985</v>
      </c>
      <c r="C8475" t="s">
        <v>10</v>
      </c>
      <c r="D8475" t="s">
        <v>17034</v>
      </c>
      <c r="E8475" t="s">
        <v>17035</v>
      </c>
      <c r="G8475" s="1">
        <v>10.02</v>
      </c>
    </row>
    <row r="8476" spans="1:7" ht="14.25" customHeight="1" x14ac:dyDescent="0.45">
      <c r="A8476" t="str">
        <f>_xlfn.XLOOKUP(B8476,Ingot!$H$12:$H$119,Ingot!$G$12:$G$119,"")</f>
        <v>Cloth</v>
      </c>
      <c r="B8476" t="s">
        <v>16985</v>
      </c>
      <c r="C8476" t="s">
        <v>10</v>
      </c>
      <c r="D8476" t="s">
        <v>17036</v>
      </c>
      <c r="E8476" t="s">
        <v>17037</v>
      </c>
      <c r="G8476" s="1">
        <v>11.81</v>
      </c>
    </row>
    <row r="8477" spans="1:7" ht="14.25" customHeight="1" x14ac:dyDescent="0.45">
      <c r="A8477" t="str">
        <f>_xlfn.XLOOKUP(B8477,Ingot!$H$12:$H$119,Ingot!$G$12:$G$119,"")</f>
        <v>Cloth</v>
      </c>
      <c r="B8477" t="s">
        <v>16985</v>
      </c>
      <c r="C8477" t="s">
        <v>10</v>
      </c>
      <c r="D8477" t="s">
        <v>17038</v>
      </c>
      <c r="E8477" t="s">
        <v>17039</v>
      </c>
      <c r="G8477" s="1">
        <v>8.44</v>
      </c>
    </row>
    <row r="8478" spans="1:7" ht="14.25" customHeight="1" x14ac:dyDescent="0.45">
      <c r="A8478" t="str">
        <f>_xlfn.XLOOKUP(B8478,Ingot!$H$12:$H$119,Ingot!$G$12:$G$119,"")</f>
        <v>Cloth</v>
      </c>
      <c r="B8478" t="s">
        <v>16985</v>
      </c>
      <c r="C8478" t="s">
        <v>10</v>
      </c>
      <c r="D8478" t="s">
        <v>17040</v>
      </c>
      <c r="E8478" t="s">
        <v>17041</v>
      </c>
      <c r="G8478" s="1">
        <v>10.42</v>
      </c>
    </row>
    <row r="8479" spans="1:7" ht="14.25" customHeight="1" x14ac:dyDescent="0.45">
      <c r="A8479" t="str">
        <f>_xlfn.XLOOKUP(B8479,Ingot!$H$12:$H$119,Ingot!$G$12:$G$119,"")</f>
        <v>Cloth</v>
      </c>
      <c r="B8479" t="s">
        <v>16985</v>
      </c>
      <c r="C8479" t="s">
        <v>10</v>
      </c>
      <c r="D8479" t="s">
        <v>17042</v>
      </c>
      <c r="E8479" t="s">
        <v>17043</v>
      </c>
    </row>
    <row r="8480" spans="1:7" ht="14.25" customHeight="1" x14ac:dyDescent="0.45">
      <c r="A8480" t="str">
        <f>_xlfn.XLOOKUP(B8480,Ingot!$H$12:$H$119,Ingot!$G$12:$G$119,"")</f>
        <v>Cloth</v>
      </c>
      <c r="B8480" t="s">
        <v>16985</v>
      </c>
      <c r="C8480" t="s">
        <v>10</v>
      </c>
      <c r="D8480" t="s">
        <v>17044</v>
      </c>
      <c r="E8480" t="s">
        <v>17045</v>
      </c>
      <c r="G8480" s="1">
        <v>7.96</v>
      </c>
    </row>
    <row r="8481" spans="1:7" ht="14.25" customHeight="1" x14ac:dyDescent="0.45">
      <c r="A8481" t="str">
        <f>_xlfn.XLOOKUP(B8481,Ingot!$H$12:$H$119,Ingot!$G$12:$G$119,"")</f>
        <v>Cloth</v>
      </c>
      <c r="B8481" t="s">
        <v>16985</v>
      </c>
      <c r="C8481" t="s">
        <v>10</v>
      </c>
      <c r="D8481" t="s">
        <v>17046</v>
      </c>
      <c r="E8481" t="s">
        <v>17047</v>
      </c>
      <c r="G8481" s="1">
        <v>9.64</v>
      </c>
    </row>
    <row r="8482" spans="1:7" ht="14.25" customHeight="1" x14ac:dyDescent="0.45">
      <c r="A8482" t="str">
        <f>_xlfn.XLOOKUP(B8482,Ingot!$H$12:$H$119,Ingot!$G$12:$G$119,"")</f>
        <v>Cloth</v>
      </c>
      <c r="B8482" t="s">
        <v>16985</v>
      </c>
      <c r="C8482" t="s">
        <v>10</v>
      </c>
      <c r="D8482" t="s">
        <v>17048</v>
      </c>
      <c r="E8482" t="s">
        <v>17049</v>
      </c>
      <c r="G8482" s="1">
        <v>7.94</v>
      </c>
    </row>
    <row r="8483" spans="1:7" ht="14.25" customHeight="1" x14ac:dyDescent="0.45">
      <c r="A8483" t="str">
        <f>_xlfn.XLOOKUP(B8483,Ingot!$H$12:$H$119,Ingot!$G$12:$G$119,"")</f>
        <v>Cloth</v>
      </c>
      <c r="B8483" t="s">
        <v>16985</v>
      </c>
      <c r="C8483" t="s">
        <v>10</v>
      </c>
      <c r="D8483" t="s">
        <v>17050</v>
      </c>
      <c r="E8483" t="s">
        <v>17051</v>
      </c>
      <c r="G8483" s="1">
        <v>8.66</v>
      </c>
    </row>
    <row r="8484" spans="1:7" ht="14.25" customHeight="1" x14ac:dyDescent="0.45">
      <c r="A8484" t="str">
        <f>_xlfn.XLOOKUP(B8484,Ingot!$H$12:$H$119,Ingot!$G$12:$G$119,"")</f>
        <v>Cloth</v>
      </c>
      <c r="B8484" t="s">
        <v>16985</v>
      </c>
      <c r="C8484" t="s">
        <v>10</v>
      </c>
      <c r="D8484" t="s">
        <v>17052</v>
      </c>
      <c r="E8484" t="s">
        <v>17053</v>
      </c>
    </row>
    <row r="8485" spans="1:7" ht="14.25" customHeight="1" x14ac:dyDescent="0.45">
      <c r="A8485" t="str">
        <f>_xlfn.XLOOKUP(B8485,Ingot!$H$12:$H$119,Ingot!$G$12:$G$119,"")</f>
        <v>Cloth</v>
      </c>
      <c r="B8485" t="s">
        <v>16985</v>
      </c>
      <c r="C8485" t="s">
        <v>10</v>
      </c>
      <c r="D8485" t="s">
        <v>17054</v>
      </c>
      <c r="E8485" t="s">
        <v>17055</v>
      </c>
      <c r="G8485" s="1">
        <v>2.65</v>
      </c>
    </row>
    <row r="8486" spans="1:7" ht="14.25" customHeight="1" x14ac:dyDescent="0.45">
      <c r="A8486" t="str">
        <f>_xlfn.XLOOKUP(B8486,Ingot!$H$12:$H$119,Ingot!$G$12:$G$119,"")</f>
        <v>Cloth</v>
      </c>
      <c r="B8486" t="s">
        <v>16985</v>
      </c>
      <c r="C8486" t="s">
        <v>10</v>
      </c>
      <c r="D8486" t="s">
        <v>17056</v>
      </c>
      <c r="E8486" t="s">
        <v>17057</v>
      </c>
    </row>
    <row r="8487" spans="1:7" ht="14.25" customHeight="1" x14ac:dyDescent="0.45">
      <c r="A8487" t="str">
        <f>_xlfn.XLOOKUP(B8487,Ingot!$H$12:$H$119,Ingot!$G$12:$G$119,"")</f>
        <v>Cloth</v>
      </c>
      <c r="B8487" t="s">
        <v>16985</v>
      </c>
      <c r="C8487" t="s">
        <v>10</v>
      </c>
      <c r="D8487" t="s">
        <v>17058</v>
      </c>
      <c r="E8487" t="s">
        <v>17059</v>
      </c>
      <c r="G8487" s="1">
        <v>12.64</v>
      </c>
    </row>
    <row r="8488" spans="1:7" ht="14.25" customHeight="1" x14ac:dyDescent="0.45">
      <c r="A8488" t="str">
        <f>_xlfn.XLOOKUP(B8488,Ingot!$H$12:$H$119,Ingot!$G$12:$G$119,"")</f>
        <v>Cloth</v>
      </c>
      <c r="B8488" t="s">
        <v>16985</v>
      </c>
      <c r="C8488" t="s">
        <v>10</v>
      </c>
      <c r="D8488" t="s">
        <v>17060</v>
      </c>
      <c r="E8488" t="s">
        <v>17061</v>
      </c>
      <c r="G8488" s="1">
        <v>22.67</v>
      </c>
    </row>
    <row r="8489" spans="1:7" ht="14.25" customHeight="1" x14ac:dyDescent="0.45">
      <c r="A8489" t="str">
        <f>_xlfn.XLOOKUP(B8489,Ingot!$H$12:$H$119,Ingot!$G$12:$G$119,"")</f>
        <v>Cloth</v>
      </c>
      <c r="B8489" t="s">
        <v>16985</v>
      </c>
      <c r="C8489" t="s">
        <v>10</v>
      </c>
      <c r="D8489" t="s">
        <v>17062</v>
      </c>
      <c r="E8489" t="s">
        <v>17063</v>
      </c>
      <c r="G8489" s="1">
        <v>8.3800000000000008</v>
      </c>
    </row>
    <row r="8490" spans="1:7" ht="14.25" customHeight="1" x14ac:dyDescent="0.45">
      <c r="A8490" t="str">
        <f>_xlfn.XLOOKUP(B8490,Ingot!$H$12:$H$119,Ingot!$G$12:$G$119,"")</f>
        <v>Cloth</v>
      </c>
      <c r="B8490" t="s">
        <v>16985</v>
      </c>
      <c r="C8490" t="s">
        <v>10</v>
      </c>
      <c r="D8490" t="s">
        <v>17064</v>
      </c>
      <c r="E8490" t="s">
        <v>17065</v>
      </c>
      <c r="G8490" s="1">
        <v>2.2000000000000002</v>
      </c>
    </row>
    <row r="8491" spans="1:7" ht="14.25" customHeight="1" x14ac:dyDescent="0.45">
      <c r="A8491" t="str">
        <f>_xlfn.XLOOKUP(B8491,Ingot!$H$12:$H$119,Ingot!$G$12:$G$119,"")</f>
        <v>Cloth</v>
      </c>
      <c r="B8491" t="s">
        <v>16985</v>
      </c>
      <c r="C8491" t="s">
        <v>10</v>
      </c>
      <c r="D8491" t="s">
        <v>17066</v>
      </c>
      <c r="E8491" t="s">
        <v>17067</v>
      </c>
      <c r="G8491" s="1">
        <v>3.09</v>
      </c>
    </row>
    <row r="8492" spans="1:7" ht="14.25" customHeight="1" x14ac:dyDescent="0.45">
      <c r="A8492" t="str">
        <f>_xlfn.XLOOKUP(B8492,Ingot!$H$12:$H$119,Ingot!$G$12:$G$119,"")</f>
        <v>Cloth</v>
      </c>
      <c r="B8492" t="s">
        <v>16985</v>
      </c>
      <c r="C8492" t="s">
        <v>10</v>
      </c>
      <c r="D8492" t="s">
        <v>17068</v>
      </c>
      <c r="E8492" t="s">
        <v>17069</v>
      </c>
      <c r="G8492" s="1">
        <v>2.2999999999999998</v>
      </c>
    </row>
    <row r="8493" spans="1:7" ht="14.25" customHeight="1" x14ac:dyDescent="0.45">
      <c r="A8493" t="str">
        <f>_xlfn.XLOOKUP(B8493,Ingot!$H$12:$H$119,Ingot!$G$12:$G$119,"")</f>
        <v>Cloth</v>
      </c>
      <c r="B8493" t="s">
        <v>16985</v>
      </c>
      <c r="C8493" t="s">
        <v>10</v>
      </c>
      <c r="D8493" t="s">
        <v>17070</v>
      </c>
      <c r="E8493" t="s">
        <v>17071</v>
      </c>
      <c r="G8493" s="1">
        <v>4.88</v>
      </c>
    </row>
    <row r="8494" spans="1:7" ht="14.25" customHeight="1" x14ac:dyDescent="0.45">
      <c r="A8494" t="str">
        <f>_xlfn.XLOOKUP(B8494,Ingot!$H$12:$H$119,Ingot!$G$12:$G$119,"")</f>
        <v>Cloth</v>
      </c>
      <c r="B8494" t="s">
        <v>16985</v>
      </c>
      <c r="C8494" t="s">
        <v>10</v>
      </c>
      <c r="D8494" t="s">
        <v>17072</v>
      </c>
      <c r="E8494" t="s">
        <v>17073</v>
      </c>
      <c r="G8494" s="1">
        <v>8.43</v>
      </c>
    </row>
    <row r="8495" spans="1:7" ht="14.25" customHeight="1" x14ac:dyDescent="0.45">
      <c r="A8495" t="str">
        <f>_xlfn.XLOOKUP(B8495,Ingot!$H$12:$H$119,Ingot!$G$12:$G$119,"")</f>
        <v>Cloth</v>
      </c>
      <c r="B8495" t="s">
        <v>16985</v>
      </c>
      <c r="C8495" t="s">
        <v>10</v>
      </c>
      <c r="D8495" t="s">
        <v>17074</v>
      </c>
      <c r="E8495" t="s">
        <v>17075</v>
      </c>
      <c r="G8495" s="1">
        <v>13.07</v>
      </c>
    </row>
    <row r="8496" spans="1:7" ht="14.25" customHeight="1" x14ac:dyDescent="0.45">
      <c r="A8496" t="str">
        <f>_xlfn.XLOOKUP(B8496,Ingot!$H$12:$H$119,Ingot!$G$12:$G$119,"")</f>
        <v>Cloth</v>
      </c>
      <c r="B8496" t="s">
        <v>16985</v>
      </c>
      <c r="C8496" t="s">
        <v>10</v>
      </c>
      <c r="D8496" t="s">
        <v>17076</v>
      </c>
      <c r="E8496" t="s">
        <v>17077</v>
      </c>
    </row>
    <row r="8497" spans="1:7" ht="14.25" customHeight="1" x14ac:dyDescent="0.45">
      <c r="A8497" t="str">
        <f>_xlfn.XLOOKUP(B8497,Ingot!$H$12:$H$119,Ingot!$G$12:$G$119,"")</f>
        <v>Cloth</v>
      </c>
      <c r="B8497" t="s">
        <v>16985</v>
      </c>
      <c r="C8497" t="s">
        <v>10</v>
      </c>
      <c r="D8497" t="s">
        <v>17078</v>
      </c>
      <c r="E8497" t="s">
        <v>17079</v>
      </c>
    </row>
    <row r="8498" spans="1:7" ht="14.25" customHeight="1" x14ac:dyDescent="0.45">
      <c r="A8498" t="str">
        <f>_xlfn.XLOOKUP(B8498,Ingot!$H$12:$H$119,Ingot!$G$12:$G$119,"")</f>
        <v>Cloth</v>
      </c>
      <c r="B8498" t="s">
        <v>16985</v>
      </c>
      <c r="C8498" t="s">
        <v>10</v>
      </c>
      <c r="D8498" t="s">
        <v>17080</v>
      </c>
      <c r="E8498" t="s">
        <v>17081</v>
      </c>
      <c r="G8498" s="1">
        <v>6.8</v>
      </c>
    </row>
    <row r="8499" spans="1:7" ht="14.25" customHeight="1" x14ac:dyDescent="0.45">
      <c r="A8499" t="str">
        <f>_xlfn.XLOOKUP(B8499,Ingot!$H$12:$H$119,Ingot!$G$12:$G$119,"")</f>
        <v>Cloth</v>
      </c>
      <c r="B8499" t="s">
        <v>16985</v>
      </c>
      <c r="C8499" t="s">
        <v>10</v>
      </c>
      <c r="D8499" t="s">
        <v>17082</v>
      </c>
      <c r="E8499" t="s">
        <v>17083</v>
      </c>
      <c r="G8499" s="1">
        <v>6.88</v>
      </c>
    </row>
    <row r="8500" spans="1:7" ht="14.25" customHeight="1" x14ac:dyDescent="0.45">
      <c r="A8500" t="str">
        <f>_xlfn.XLOOKUP(B8500,Ingot!$H$12:$H$119,Ingot!$G$12:$G$119,"")</f>
        <v>Cloth</v>
      </c>
      <c r="B8500" t="s">
        <v>16985</v>
      </c>
      <c r="C8500" t="s">
        <v>10</v>
      </c>
      <c r="D8500" t="s">
        <v>17084</v>
      </c>
      <c r="E8500" t="s">
        <v>17085</v>
      </c>
      <c r="G8500" s="1">
        <v>5.5</v>
      </c>
    </row>
    <row r="8501" spans="1:7" ht="14.25" customHeight="1" x14ac:dyDescent="0.45">
      <c r="A8501" t="str">
        <f>_xlfn.XLOOKUP(B8501,Ingot!$H$12:$H$119,Ingot!$G$12:$G$119,"")</f>
        <v>Cloth</v>
      </c>
      <c r="B8501" t="s">
        <v>16985</v>
      </c>
      <c r="C8501" t="s">
        <v>10</v>
      </c>
      <c r="D8501" t="s">
        <v>17086</v>
      </c>
      <c r="E8501" t="s">
        <v>17087</v>
      </c>
      <c r="G8501" s="1">
        <v>2.4300000000000002</v>
      </c>
    </row>
    <row r="8502" spans="1:7" ht="14.25" customHeight="1" x14ac:dyDescent="0.45">
      <c r="A8502" t="str">
        <f>_xlfn.XLOOKUP(B8502,Ingot!$H$12:$H$119,Ingot!$G$12:$G$119,"")</f>
        <v>Cloth</v>
      </c>
      <c r="B8502" t="s">
        <v>16985</v>
      </c>
      <c r="C8502" t="s">
        <v>10</v>
      </c>
      <c r="D8502" t="s">
        <v>17088</v>
      </c>
      <c r="E8502" t="s">
        <v>17089</v>
      </c>
      <c r="G8502" s="1">
        <v>6.96</v>
      </c>
    </row>
    <row r="8503" spans="1:7" ht="14.25" customHeight="1" x14ac:dyDescent="0.45">
      <c r="A8503" t="str">
        <f>_xlfn.XLOOKUP(B8503,Ingot!$H$12:$H$119,Ingot!$G$12:$G$119,"")</f>
        <v>Cloth</v>
      </c>
      <c r="B8503" t="s">
        <v>16985</v>
      </c>
      <c r="C8503" t="s">
        <v>10</v>
      </c>
      <c r="D8503" t="s">
        <v>17090</v>
      </c>
      <c r="E8503" t="s">
        <v>17091</v>
      </c>
      <c r="G8503" s="1">
        <v>6.32</v>
      </c>
    </row>
    <row r="8504" spans="1:7" ht="14.25" customHeight="1" x14ac:dyDescent="0.45">
      <c r="A8504" t="str">
        <f>_xlfn.XLOOKUP(B8504,Ingot!$H$12:$H$119,Ingot!$G$12:$G$119,"")</f>
        <v>Cloth</v>
      </c>
      <c r="B8504" t="s">
        <v>16985</v>
      </c>
      <c r="C8504" t="s">
        <v>10</v>
      </c>
      <c r="D8504" t="s">
        <v>17092</v>
      </c>
      <c r="E8504" t="s">
        <v>17093</v>
      </c>
      <c r="G8504" s="1">
        <v>6.88</v>
      </c>
    </row>
    <row r="8505" spans="1:7" ht="14.25" customHeight="1" x14ac:dyDescent="0.45">
      <c r="A8505" t="str">
        <f>_xlfn.XLOOKUP(B8505,Ingot!$H$12:$H$119,Ingot!$G$12:$G$119,"")</f>
        <v>Cloth</v>
      </c>
      <c r="B8505" t="s">
        <v>16985</v>
      </c>
      <c r="C8505" t="s">
        <v>10</v>
      </c>
      <c r="D8505" t="s">
        <v>17094</v>
      </c>
      <c r="E8505" t="s">
        <v>17095</v>
      </c>
      <c r="G8505" s="1">
        <v>2.44</v>
      </c>
    </row>
    <row r="8506" spans="1:7" ht="14.25" customHeight="1" x14ac:dyDescent="0.45">
      <c r="A8506" t="str">
        <f>_xlfn.XLOOKUP(B8506,Ingot!$H$12:$H$119,Ingot!$G$12:$G$119,"")</f>
        <v>Cloth</v>
      </c>
      <c r="B8506" t="s">
        <v>16985</v>
      </c>
      <c r="C8506" t="s">
        <v>10</v>
      </c>
      <c r="D8506" t="s">
        <v>17096</v>
      </c>
      <c r="E8506" t="s">
        <v>17097</v>
      </c>
    </row>
    <row r="8507" spans="1:7" ht="14.25" customHeight="1" x14ac:dyDescent="0.45">
      <c r="A8507" t="str">
        <f>_xlfn.XLOOKUP(B8507,Ingot!$H$12:$H$119,Ingot!$G$12:$G$119,"")</f>
        <v>Cloth</v>
      </c>
      <c r="B8507" t="s">
        <v>16985</v>
      </c>
      <c r="C8507" t="s">
        <v>10</v>
      </c>
      <c r="D8507" t="s">
        <v>17098</v>
      </c>
      <c r="E8507" t="s">
        <v>17099</v>
      </c>
    </row>
    <row r="8508" spans="1:7" ht="14.25" customHeight="1" x14ac:dyDescent="0.45">
      <c r="A8508" t="str">
        <f>_xlfn.XLOOKUP(B8508,Ingot!$H$12:$H$119,Ingot!$G$12:$G$119,"")</f>
        <v>Cloth</v>
      </c>
      <c r="B8508" t="s">
        <v>16985</v>
      </c>
      <c r="C8508" t="s">
        <v>10</v>
      </c>
      <c r="D8508" t="s">
        <v>17100</v>
      </c>
      <c r="E8508" t="s">
        <v>17101</v>
      </c>
      <c r="G8508" s="1">
        <v>3.11</v>
      </c>
    </row>
    <row r="8509" spans="1:7" ht="14.25" customHeight="1" x14ac:dyDescent="0.45">
      <c r="A8509" t="str">
        <f>_xlfn.XLOOKUP(B8509,Ingot!$H$12:$H$119,Ingot!$G$12:$G$119,"")</f>
        <v>Cloth</v>
      </c>
      <c r="B8509" t="s">
        <v>16985</v>
      </c>
      <c r="C8509" t="s">
        <v>10</v>
      </c>
      <c r="D8509" t="s">
        <v>17102</v>
      </c>
      <c r="E8509" t="s">
        <v>17103</v>
      </c>
      <c r="G8509" s="1">
        <v>2.44</v>
      </c>
    </row>
    <row r="8510" spans="1:7" ht="14.25" customHeight="1" x14ac:dyDescent="0.45">
      <c r="A8510" t="str">
        <f>_xlfn.XLOOKUP(B8510,Ingot!$H$12:$H$119,Ingot!$G$12:$G$119,"")</f>
        <v>Cloth</v>
      </c>
      <c r="B8510" t="s">
        <v>16985</v>
      </c>
      <c r="C8510" t="s">
        <v>10</v>
      </c>
      <c r="D8510" t="s">
        <v>17104</v>
      </c>
      <c r="E8510" t="s">
        <v>17105</v>
      </c>
      <c r="G8510" s="1">
        <v>8.61</v>
      </c>
    </row>
    <row r="8511" spans="1:7" ht="14.25" customHeight="1" x14ac:dyDescent="0.45">
      <c r="A8511" t="str">
        <f>_xlfn.XLOOKUP(B8511,Ingot!$H$12:$H$119,Ingot!$G$12:$G$119,"")</f>
        <v>Cloth</v>
      </c>
      <c r="B8511" t="s">
        <v>16985</v>
      </c>
      <c r="C8511" t="s">
        <v>10</v>
      </c>
      <c r="D8511" t="s">
        <v>17106</v>
      </c>
      <c r="E8511" t="s">
        <v>17107</v>
      </c>
    </row>
    <row r="8512" spans="1:7" ht="14.25" customHeight="1" x14ac:dyDescent="0.45">
      <c r="A8512" t="str">
        <f>_xlfn.XLOOKUP(B8512,Ingot!$H$12:$H$119,Ingot!$G$12:$G$119,"")</f>
        <v>Cloth</v>
      </c>
      <c r="B8512" t="s">
        <v>16985</v>
      </c>
      <c r="C8512" t="s">
        <v>10</v>
      </c>
      <c r="D8512" t="s">
        <v>17108</v>
      </c>
      <c r="E8512" t="s">
        <v>17109</v>
      </c>
      <c r="G8512" s="1">
        <v>3.21</v>
      </c>
    </row>
    <row r="8513" spans="1:7" ht="14.25" customHeight="1" x14ac:dyDescent="0.45">
      <c r="A8513" t="str">
        <f>_xlfn.XLOOKUP(B8513,Ingot!$H$12:$H$119,Ingot!$G$12:$G$119,"")</f>
        <v>Cloth</v>
      </c>
      <c r="B8513" t="s">
        <v>16985</v>
      </c>
      <c r="C8513" t="s">
        <v>10</v>
      </c>
      <c r="D8513" t="s">
        <v>17110</v>
      </c>
      <c r="E8513" t="s">
        <v>17111</v>
      </c>
      <c r="G8513" s="1">
        <v>2.77</v>
      </c>
    </row>
    <row r="8514" spans="1:7" ht="14.25" customHeight="1" x14ac:dyDescent="0.45">
      <c r="A8514" t="str">
        <f>_xlfn.XLOOKUP(B8514,Ingot!$H$12:$H$119,Ingot!$G$12:$G$119,"")</f>
        <v>Cloth</v>
      </c>
      <c r="B8514" t="s">
        <v>16985</v>
      </c>
      <c r="C8514" t="s">
        <v>10</v>
      </c>
      <c r="D8514" t="s">
        <v>17112</v>
      </c>
      <c r="E8514" t="s">
        <v>17113</v>
      </c>
      <c r="G8514" s="1">
        <v>4.8899999999999997</v>
      </c>
    </row>
    <row r="8515" spans="1:7" ht="14.25" customHeight="1" x14ac:dyDescent="0.45">
      <c r="A8515" t="str">
        <f>_xlfn.XLOOKUP(B8515,Ingot!$H$12:$H$119,Ingot!$G$12:$G$119,"")</f>
        <v>Cloth</v>
      </c>
      <c r="B8515" t="s">
        <v>16985</v>
      </c>
      <c r="C8515" t="s">
        <v>10</v>
      </c>
      <c r="D8515" t="s">
        <v>17114</v>
      </c>
      <c r="E8515" t="s">
        <v>17115</v>
      </c>
      <c r="G8515" s="1">
        <v>1.76</v>
      </c>
    </row>
    <row r="8516" spans="1:7" ht="14.25" customHeight="1" x14ac:dyDescent="0.45">
      <c r="A8516" t="str">
        <f>_xlfn.XLOOKUP(B8516,Ingot!$H$12:$H$119,Ingot!$G$12:$G$119,"")</f>
        <v>Cloth</v>
      </c>
      <c r="B8516" t="s">
        <v>16985</v>
      </c>
      <c r="C8516" t="s">
        <v>10</v>
      </c>
      <c r="D8516" t="s">
        <v>17116</v>
      </c>
      <c r="E8516" t="s">
        <v>17117</v>
      </c>
    </row>
    <row r="8517" spans="1:7" ht="14.25" customHeight="1" x14ac:dyDescent="0.45">
      <c r="A8517" t="str">
        <f>_xlfn.XLOOKUP(B8517,Ingot!$H$12:$H$119,Ingot!$G$12:$G$119,"")</f>
        <v>Cloth</v>
      </c>
      <c r="B8517" t="s">
        <v>16985</v>
      </c>
      <c r="C8517" t="s">
        <v>10</v>
      </c>
      <c r="D8517" t="s">
        <v>17118</v>
      </c>
      <c r="E8517" t="s">
        <v>17119</v>
      </c>
      <c r="G8517" s="1">
        <v>8.57</v>
      </c>
    </row>
    <row r="8518" spans="1:7" ht="14.25" customHeight="1" x14ac:dyDescent="0.45">
      <c r="A8518" t="str">
        <f>_xlfn.XLOOKUP(B8518,Ingot!$H$12:$H$119,Ingot!$G$12:$G$119,"")</f>
        <v>Cloth</v>
      </c>
      <c r="B8518" t="s">
        <v>16985</v>
      </c>
      <c r="C8518" t="s">
        <v>10</v>
      </c>
      <c r="D8518" t="s">
        <v>17120</v>
      </c>
      <c r="E8518" t="s">
        <v>17121</v>
      </c>
    </row>
    <row r="8519" spans="1:7" ht="14.25" customHeight="1" x14ac:dyDescent="0.45">
      <c r="A8519" t="str">
        <f>_xlfn.XLOOKUP(B8519,Ingot!$H$12:$H$119,Ingot!$G$12:$G$119,"")</f>
        <v>Cloth</v>
      </c>
      <c r="B8519" t="s">
        <v>16985</v>
      </c>
      <c r="C8519" t="s">
        <v>10</v>
      </c>
      <c r="D8519" t="s">
        <v>17122</v>
      </c>
      <c r="E8519" t="s">
        <v>17123</v>
      </c>
      <c r="G8519" s="1">
        <v>3.56</v>
      </c>
    </row>
    <row r="8520" spans="1:7" ht="14.25" customHeight="1" x14ac:dyDescent="0.45">
      <c r="A8520" t="str">
        <f>_xlfn.XLOOKUP(B8520,Ingot!$H$12:$H$119,Ingot!$G$12:$G$119,"")</f>
        <v>Cloth</v>
      </c>
      <c r="B8520" t="s">
        <v>16985</v>
      </c>
      <c r="C8520" t="s">
        <v>10</v>
      </c>
      <c r="D8520" t="s">
        <v>17124</v>
      </c>
      <c r="E8520" t="s">
        <v>17125</v>
      </c>
      <c r="G8520" s="1">
        <v>8.91</v>
      </c>
    </row>
    <row r="8521" spans="1:7" ht="14.25" customHeight="1" x14ac:dyDescent="0.45">
      <c r="A8521" t="str">
        <f>_xlfn.XLOOKUP(B8521,Ingot!$H$12:$H$119,Ingot!$G$12:$G$119,"")</f>
        <v>Cloth</v>
      </c>
      <c r="B8521" t="s">
        <v>16985</v>
      </c>
      <c r="C8521" t="s">
        <v>10</v>
      </c>
      <c r="D8521" t="s">
        <v>17126</v>
      </c>
      <c r="E8521" t="s">
        <v>17127</v>
      </c>
      <c r="G8521" s="1">
        <v>11.02</v>
      </c>
    </row>
    <row r="8522" spans="1:7" ht="14.25" customHeight="1" x14ac:dyDescent="0.45">
      <c r="A8522" t="str">
        <f>_xlfn.XLOOKUP(B8522,Ingot!$H$12:$H$119,Ingot!$G$12:$G$119,"")</f>
        <v>Cloth</v>
      </c>
      <c r="B8522" t="s">
        <v>16985</v>
      </c>
      <c r="C8522" t="s">
        <v>10</v>
      </c>
      <c r="D8522" t="s">
        <v>17128</v>
      </c>
      <c r="E8522" t="s">
        <v>17129</v>
      </c>
      <c r="G8522" s="1">
        <v>5.12</v>
      </c>
    </row>
    <row r="8523" spans="1:7" ht="14.25" customHeight="1" x14ac:dyDescent="0.45">
      <c r="A8523" t="str">
        <f>_xlfn.XLOOKUP(B8523,Ingot!$H$12:$H$119,Ingot!$G$12:$G$119,"")</f>
        <v>Cloth</v>
      </c>
      <c r="B8523" t="s">
        <v>16985</v>
      </c>
      <c r="C8523" t="s">
        <v>10</v>
      </c>
      <c r="D8523" t="s">
        <v>17130</v>
      </c>
      <c r="E8523" t="s">
        <v>17131</v>
      </c>
      <c r="G8523" s="1">
        <v>4.41</v>
      </c>
    </row>
    <row r="8524" spans="1:7" ht="14.25" customHeight="1" x14ac:dyDescent="0.45">
      <c r="A8524" t="str">
        <f>_xlfn.XLOOKUP(B8524,Ingot!$H$12:$H$119,Ingot!$G$12:$G$119,"")</f>
        <v>Cloth</v>
      </c>
      <c r="B8524" t="s">
        <v>16985</v>
      </c>
      <c r="C8524" t="s">
        <v>157</v>
      </c>
      <c r="D8524" t="s">
        <v>17132</v>
      </c>
      <c r="E8524" t="s">
        <v>17133</v>
      </c>
      <c r="G8524" s="1">
        <v>14.8</v>
      </c>
    </row>
    <row r="8525" spans="1:7" ht="14.25" customHeight="1" x14ac:dyDescent="0.45">
      <c r="A8525" t="str">
        <f>_xlfn.XLOOKUP(B8525,Ingot!$H$12:$H$119,Ingot!$G$12:$G$119,"")</f>
        <v>Cloth</v>
      </c>
      <c r="B8525" t="s">
        <v>16985</v>
      </c>
      <c r="C8525" t="s">
        <v>157</v>
      </c>
      <c r="D8525" t="s">
        <v>17134</v>
      </c>
      <c r="E8525" t="s">
        <v>17135</v>
      </c>
      <c r="G8525" s="1">
        <v>5</v>
      </c>
    </row>
    <row r="8526" spans="1:7" ht="14.25" customHeight="1" x14ac:dyDescent="0.45">
      <c r="A8526" t="str">
        <f>_xlfn.XLOOKUP(B8526,Ingot!$H$12:$H$119,Ingot!$G$12:$G$119,"")</f>
        <v>Cloth</v>
      </c>
      <c r="B8526" t="s">
        <v>16985</v>
      </c>
      <c r="C8526" t="s">
        <v>157</v>
      </c>
      <c r="D8526" t="s">
        <v>17136</v>
      </c>
      <c r="E8526" t="s">
        <v>17137</v>
      </c>
      <c r="G8526" s="1">
        <v>5</v>
      </c>
    </row>
    <row r="8527" spans="1:7" ht="14.25" customHeight="1" x14ac:dyDescent="0.45">
      <c r="A8527" t="str">
        <f>_xlfn.XLOOKUP(B8527,Ingot!$H$12:$H$119,Ingot!$G$12:$G$119,"")</f>
        <v>Cloth</v>
      </c>
      <c r="B8527" t="s">
        <v>16985</v>
      </c>
      <c r="C8527" t="s">
        <v>157</v>
      </c>
      <c r="D8527" t="s">
        <v>17138</v>
      </c>
      <c r="E8527" t="s">
        <v>17139</v>
      </c>
      <c r="G8527" s="1">
        <v>5</v>
      </c>
    </row>
    <row r="8528" spans="1:7" ht="14.25" customHeight="1" x14ac:dyDescent="0.45">
      <c r="A8528" t="str">
        <f>_xlfn.XLOOKUP(B8528,Ingot!$H$12:$H$119,Ingot!$G$12:$G$119,"")</f>
        <v>Cloth</v>
      </c>
      <c r="B8528" t="s">
        <v>16985</v>
      </c>
      <c r="C8528" t="s">
        <v>157</v>
      </c>
      <c r="D8528" t="s">
        <v>17140</v>
      </c>
      <c r="E8528" t="s">
        <v>17141</v>
      </c>
      <c r="G8528" s="1">
        <v>10</v>
      </c>
    </row>
    <row r="8529" spans="1:7" ht="14.25" customHeight="1" x14ac:dyDescent="0.45">
      <c r="A8529" t="str">
        <f>_xlfn.XLOOKUP(B8529,Ingot!$H$12:$H$119,Ingot!$G$12:$G$119,"")</f>
        <v>Cloth</v>
      </c>
      <c r="B8529" t="s">
        <v>16985</v>
      </c>
      <c r="C8529" t="s">
        <v>157</v>
      </c>
      <c r="D8529" t="s">
        <v>17142</v>
      </c>
      <c r="E8529" t="s">
        <v>17143</v>
      </c>
      <c r="G8529" s="1">
        <v>13.2</v>
      </c>
    </row>
    <row r="8530" spans="1:7" ht="14.25" customHeight="1" x14ac:dyDescent="0.45">
      <c r="A8530" t="str">
        <f>_xlfn.XLOOKUP(B8530,Ingot!$H$12:$H$119,Ingot!$G$12:$G$119,"")</f>
        <v>Cloth</v>
      </c>
      <c r="B8530" t="s">
        <v>16985</v>
      </c>
      <c r="C8530" t="s">
        <v>157</v>
      </c>
      <c r="D8530" t="s">
        <v>17144</v>
      </c>
      <c r="E8530" t="s">
        <v>17145</v>
      </c>
      <c r="G8530" s="1">
        <v>5</v>
      </c>
    </row>
    <row r="8531" spans="1:7" ht="14.25" customHeight="1" x14ac:dyDescent="0.45">
      <c r="A8531" t="str">
        <f>_xlfn.XLOOKUP(B8531,Ingot!$H$12:$H$119,Ingot!$G$12:$G$119,"")</f>
        <v>Cloth</v>
      </c>
      <c r="B8531" t="s">
        <v>16985</v>
      </c>
      <c r="C8531" t="s">
        <v>157</v>
      </c>
      <c r="D8531" t="s">
        <v>17146</v>
      </c>
      <c r="E8531" t="s">
        <v>17147</v>
      </c>
      <c r="G8531" s="1">
        <v>5</v>
      </c>
    </row>
    <row r="8532" spans="1:7" ht="14.25" customHeight="1" x14ac:dyDescent="0.45">
      <c r="A8532" t="str">
        <f>_xlfn.XLOOKUP(B8532,Ingot!$H$12:$H$119,Ingot!$G$12:$G$119,"")</f>
        <v>Cloth</v>
      </c>
      <c r="B8532" t="s">
        <v>16985</v>
      </c>
      <c r="C8532" t="s">
        <v>157</v>
      </c>
      <c r="D8532" t="s">
        <v>17148</v>
      </c>
      <c r="E8532" t="s">
        <v>17149</v>
      </c>
      <c r="G8532" s="1">
        <v>5</v>
      </c>
    </row>
    <row r="8533" spans="1:7" ht="14.25" customHeight="1" x14ac:dyDescent="0.45">
      <c r="A8533" t="str">
        <f>_xlfn.XLOOKUP(B8533,Ingot!$H$12:$H$119,Ingot!$G$12:$G$119,"")</f>
        <v>Cloth</v>
      </c>
      <c r="B8533" t="s">
        <v>16985</v>
      </c>
      <c r="C8533" t="s">
        <v>157</v>
      </c>
      <c r="D8533" t="s">
        <v>17150</v>
      </c>
      <c r="E8533" t="s">
        <v>17151</v>
      </c>
      <c r="G8533" s="1">
        <v>10</v>
      </c>
    </row>
    <row r="8534" spans="1:7" ht="14.25" customHeight="1" x14ac:dyDescent="0.45">
      <c r="A8534" t="str">
        <f>_xlfn.XLOOKUP(B8534,Ingot!$H$12:$H$119,Ingot!$G$12:$G$119,"")</f>
        <v>Cloth</v>
      </c>
      <c r="B8534" t="s">
        <v>16985</v>
      </c>
      <c r="C8534" t="s">
        <v>157</v>
      </c>
      <c r="D8534" t="s">
        <v>17152</v>
      </c>
      <c r="E8534" t="s">
        <v>17153</v>
      </c>
      <c r="G8534" s="1">
        <v>12.8</v>
      </c>
    </row>
    <row r="8535" spans="1:7" ht="14.25" customHeight="1" x14ac:dyDescent="0.45">
      <c r="A8535" t="str">
        <f>_xlfn.XLOOKUP(B8535,Ingot!$H$12:$H$119,Ingot!$G$12:$G$119,"")</f>
        <v>Cloth</v>
      </c>
      <c r="B8535" t="s">
        <v>16985</v>
      </c>
      <c r="C8535" t="s">
        <v>157</v>
      </c>
      <c r="D8535" t="s">
        <v>17154</v>
      </c>
      <c r="E8535" t="s">
        <v>17155</v>
      </c>
      <c r="G8535" s="1">
        <v>5</v>
      </c>
    </row>
    <row r="8536" spans="1:7" ht="14.25" customHeight="1" x14ac:dyDescent="0.45">
      <c r="A8536" t="str">
        <f>_xlfn.XLOOKUP(B8536,Ingot!$H$12:$H$119,Ingot!$G$12:$G$119,"")</f>
        <v>Cloth</v>
      </c>
      <c r="B8536" t="s">
        <v>16985</v>
      </c>
      <c r="C8536" t="s">
        <v>157</v>
      </c>
      <c r="D8536" t="s">
        <v>17156</v>
      </c>
      <c r="E8536" t="s">
        <v>17157</v>
      </c>
      <c r="G8536" s="1">
        <v>5</v>
      </c>
    </row>
    <row r="8537" spans="1:7" ht="14.25" customHeight="1" x14ac:dyDescent="0.45">
      <c r="A8537" t="str">
        <f>_xlfn.XLOOKUP(B8537,Ingot!$H$12:$H$119,Ingot!$G$12:$G$119,"")</f>
        <v>Cloth</v>
      </c>
      <c r="B8537" t="s">
        <v>16985</v>
      </c>
      <c r="C8537" t="s">
        <v>157</v>
      </c>
      <c r="D8537" t="s">
        <v>17158</v>
      </c>
      <c r="E8537" t="s">
        <v>17159</v>
      </c>
      <c r="G8537" s="1">
        <v>5</v>
      </c>
    </row>
    <row r="8538" spans="1:7" ht="14.25" customHeight="1" x14ac:dyDescent="0.45">
      <c r="A8538" t="str">
        <f>_xlfn.XLOOKUP(B8538,Ingot!$H$12:$H$119,Ingot!$G$12:$G$119,"")</f>
        <v>Cloth</v>
      </c>
      <c r="B8538" t="s">
        <v>16985</v>
      </c>
      <c r="C8538" t="s">
        <v>157</v>
      </c>
      <c r="D8538" t="s">
        <v>17160</v>
      </c>
      <c r="E8538" t="s">
        <v>17161</v>
      </c>
      <c r="G8538" s="1">
        <v>10</v>
      </c>
    </row>
    <row r="8539" spans="1:7" ht="14.25" customHeight="1" x14ac:dyDescent="0.45">
      <c r="A8539" t="str">
        <f>_xlfn.XLOOKUP(B8539,Ingot!$H$12:$H$119,Ingot!$G$12:$G$119,"")</f>
        <v>Cloth</v>
      </c>
      <c r="B8539" t="s">
        <v>16985</v>
      </c>
      <c r="C8539" t="s">
        <v>157</v>
      </c>
      <c r="D8539" t="s">
        <v>17162</v>
      </c>
      <c r="E8539" t="s">
        <v>17163</v>
      </c>
      <c r="G8539" s="1">
        <v>13.5</v>
      </c>
    </row>
    <row r="8540" spans="1:7" ht="14.25" customHeight="1" x14ac:dyDescent="0.45">
      <c r="A8540" t="str">
        <f>_xlfn.XLOOKUP(B8540,Ingot!$H$12:$H$119,Ingot!$G$12:$G$119,"")</f>
        <v>Cloth</v>
      </c>
      <c r="B8540" t="s">
        <v>16985</v>
      </c>
      <c r="C8540" t="s">
        <v>157</v>
      </c>
      <c r="D8540" t="s">
        <v>17164</v>
      </c>
      <c r="E8540" t="s">
        <v>17165</v>
      </c>
      <c r="G8540" s="1">
        <v>5</v>
      </c>
    </row>
    <row r="8541" spans="1:7" ht="14.25" customHeight="1" x14ac:dyDescent="0.45">
      <c r="A8541" t="str">
        <f>_xlfn.XLOOKUP(B8541,Ingot!$H$12:$H$119,Ingot!$G$12:$G$119,"")</f>
        <v>Cloth</v>
      </c>
      <c r="B8541" t="s">
        <v>16985</v>
      </c>
      <c r="C8541" t="s">
        <v>157</v>
      </c>
      <c r="D8541" t="s">
        <v>17166</v>
      </c>
      <c r="E8541" t="s">
        <v>17167</v>
      </c>
      <c r="G8541" s="1">
        <v>5</v>
      </c>
    </row>
    <row r="8542" spans="1:7" ht="14.25" customHeight="1" x14ac:dyDescent="0.45">
      <c r="A8542" t="str">
        <f>_xlfn.XLOOKUP(B8542,Ingot!$H$12:$H$119,Ingot!$G$12:$G$119,"")</f>
        <v>Cloth</v>
      </c>
      <c r="B8542" t="s">
        <v>16985</v>
      </c>
      <c r="C8542" t="s">
        <v>157</v>
      </c>
      <c r="D8542" t="s">
        <v>17168</v>
      </c>
      <c r="E8542" t="s">
        <v>17169</v>
      </c>
      <c r="G8542" s="1">
        <v>5</v>
      </c>
    </row>
    <row r="8543" spans="1:7" ht="14.25" customHeight="1" x14ac:dyDescent="0.45">
      <c r="A8543" t="str">
        <f>_xlfn.XLOOKUP(B8543,Ingot!$H$12:$H$119,Ingot!$G$12:$G$119,"")</f>
        <v>Cloth</v>
      </c>
      <c r="B8543" t="s">
        <v>16985</v>
      </c>
      <c r="C8543" t="s">
        <v>157</v>
      </c>
      <c r="D8543" t="s">
        <v>17170</v>
      </c>
      <c r="E8543" t="s">
        <v>17171</v>
      </c>
      <c r="G8543" s="1">
        <v>10</v>
      </c>
    </row>
    <row r="8544" spans="1:7" ht="14.25" customHeight="1" x14ac:dyDescent="0.45">
      <c r="A8544" t="str">
        <f>_xlfn.XLOOKUP(B8544,Ingot!$H$12:$H$119,Ingot!$G$12:$G$119,"")</f>
        <v>Cloth</v>
      </c>
      <c r="B8544" t="s">
        <v>16985</v>
      </c>
      <c r="C8544" t="s">
        <v>157</v>
      </c>
      <c r="D8544" t="s">
        <v>17172</v>
      </c>
      <c r="E8544" t="s">
        <v>17173</v>
      </c>
      <c r="G8544" s="1">
        <v>14</v>
      </c>
    </row>
    <row r="8545" spans="1:7" ht="14.25" customHeight="1" x14ac:dyDescent="0.45">
      <c r="A8545" t="str">
        <f>_xlfn.XLOOKUP(B8545,Ingot!$H$12:$H$119,Ingot!$G$12:$G$119,"")</f>
        <v>Cloth</v>
      </c>
      <c r="B8545" t="s">
        <v>16985</v>
      </c>
      <c r="C8545" t="s">
        <v>157</v>
      </c>
      <c r="D8545" t="s">
        <v>17174</v>
      </c>
      <c r="E8545" t="s">
        <v>17175</v>
      </c>
      <c r="G8545" s="1">
        <v>5</v>
      </c>
    </row>
    <row r="8546" spans="1:7" ht="14.25" customHeight="1" x14ac:dyDescent="0.45">
      <c r="A8546" t="str">
        <f>_xlfn.XLOOKUP(B8546,Ingot!$H$12:$H$119,Ingot!$G$12:$G$119,"")</f>
        <v>Cloth</v>
      </c>
      <c r="B8546" t="s">
        <v>16985</v>
      </c>
      <c r="C8546" t="s">
        <v>157</v>
      </c>
      <c r="D8546" t="s">
        <v>17176</v>
      </c>
      <c r="E8546" t="s">
        <v>17177</v>
      </c>
      <c r="G8546" s="1">
        <v>5</v>
      </c>
    </row>
    <row r="8547" spans="1:7" ht="14.25" customHeight="1" x14ac:dyDescent="0.45">
      <c r="A8547" t="str">
        <f>_xlfn.XLOOKUP(B8547,Ingot!$H$12:$H$119,Ingot!$G$12:$G$119,"")</f>
        <v>Cloth</v>
      </c>
      <c r="B8547" t="s">
        <v>16985</v>
      </c>
      <c r="C8547" t="s">
        <v>157</v>
      </c>
      <c r="D8547" t="s">
        <v>17178</v>
      </c>
      <c r="E8547" t="s">
        <v>17179</v>
      </c>
      <c r="G8547" s="1">
        <v>5</v>
      </c>
    </row>
    <row r="8548" spans="1:7" ht="14.25" customHeight="1" x14ac:dyDescent="0.45">
      <c r="A8548" t="str">
        <f>_xlfn.XLOOKUP(B8548,Ingot!$H$12:$H$119,Ingot!$G$12:$G$119,"")</f>
        <v>Cloth</v>
      </c>
      <c r="B8548" t="s">
        <v>16985</v>
      </c>
      <c r="C8548" t="s">
        <v>157</v>
      </c>
      <c r="D8548" t="s">
        <v>17180</v>
      </c>
      <c r="E8548" t="s">
        <v>17181</v>
      </c>
      <c r="G8548" s="1">
        <v>10</v>
      </c>
    </row>
    <row r="8549" spans="1:7" ht="14.25" customHeight="1" x14ac:dyDescent="0.45">
      <c r="A8549" t="str">
        <f>_xlfn.XLOOKUP(B8549,Ingot!$H$12:$H$119,Ingot!$G$12:$G$119,"")</f>
        <v>Cloth</v>
      </c>
      <c r="B8549" t="s">
        <v>16985</v>
      </c>
      <c r="C8549" t="s">
        <v>157</v>
      </c>
      <c r="D8549" t="s">
        <v>17182</v>
      </c>
      <c r="E8549" t="s">
        <v>17183</v>
      </c>
      <c r="G8549" s="1">
        <v>16.399999999999999</v>
      </c>
    </row>
    <row r="8550" spans="1:7" ht="14.25" customHeight="1" x14ac:dyDescent="0.45">
      <c r="A8550" t="str">
        <f>_xlfn.XLOOKUP(B8550,Ingot!$H$12:$H$119,Ingot!$G$12:$G$119,"")</f>
        <v>Cloth</v>
      </c>
      <c r="B8550" t="s">
        <v>16985</v>
      </c>
      <c r="C8550" t="s">
        <v>157</v>
      </c>
      <c r="D8550" t="s">
        <v>17184</v>
      </c>
      <c r="E8550" t="s">
        <v>17185</v>
      </c>
      <c r="G8550" s="1">
        <v>5</v>
      </c>
    </row>
    <row r="8551" spans="1:7" ht="14.25" customHeight="1" x14ac:dyDescent="0.45">
      <c r="A8551" t="str">
        <f>_xlfn.XLOOKUP(B8551,Ingot!$H$12:$H$119,Ingot!$G$12:$G$119,"")</f>
        <v>Cloth</v>
      </c>
      <c r="B8551" t="s">
        <v>16985</v>
      </c>
      <c r="C8551" t="s">
        <v>157</v>
      </c>
      <c r="D8551" t="s">
        <v>17186</v>
      </c>
      <c r="E8551" t="s">
        <v>17187</v>
      </c>
      <c r="G8551" s="1">
        <v>5</v>
      </c>
    </row>
    <row r="8552" spans="1:7" ht="14.25" customHeight="1" x14ac:dyDescent="0.45">
      <c r="A8552" t="str">
        <f>_xlfn.XLOOKUP(B8552,Ingot!$H$12:$H$119,Ingot!$G$12:$G$119,"")</f>
        <v>Cloth</v>
      </c>
      <c r="B8552" t="s">
        <v>16985</v>
      </c>
      <c r="C8552" t="s">
        <v>157</v>
      </c>
      <c r="D8552" t="s">
        <v>17188</v>
      </c>
      <c r="E8552" t="s">
        <v>17189</v>
      </c>
      <c r="G8552" s="1">
        <v>5</v>
      </c>
    </row>
    <row r="8553" spans="1:7" ht="14.25" customHeight="1" x14ac:dyDescent="0.45">
      <c r="A8553" t="str">
        <f>_xlfn.XLOOKUP(B8553,Ingot!$H$12:$H$119,Ingot!$G$12:$G$119,"")</f>
        <v>Cloth</v>
      </c>
      <c r="B8553" t="s">
        <v>16985</v>
      </c>
      <c r="C8553" t="s">
        <v>157</v>
      </c>
      <c r="D8553" t="s">
        <v>17190</v>
      </c>
      <c r="E8553" t="s">
        <v>17191</v>
      </c>
      <c r="G8553" s="1">
        <v>10</v>
      </c>
    </row>
    <row r="8554" spans="1:7" ht="14.25" customHeight="1" x14ac:dyDescent="0.45">
      <c r="A8554" t="str">
        <f>_xlfn.XLOOKUP(B8554,Ingot!$H$12:$H$119,Ingot!$G$12:$G$119,"")</f>
        <v>Cloth</v>
      </c>
      <c r="B8554" t="s">
        <v>16985</v>
      </c>
      <c r="C8554" t="s">
        <v>157</v>
      </c>
      <c r="D8554" t="s">
        <v>17192</v>
      </c>
      <c r="E8554" t="s">
        <v>17193</v>
      </c>
      <c r="G8554" s="1">
        <v>15.5</v>
      </c>
    </row>
    <row r="8555" spans="1:7" ht="14.25" customHeight="1" x14ac:dyDescent="0.45">
      <c r="A8555" t="str">
        <f>_xlfn.XLOOKUP(B8555,Ingot!$H$12:$H$119,Ingot!$G$12:$G$119,"")</f>
        <v>Cloth</v>
      </c>
      <c r="B8555" t="s">
        <v>16985</v>
      </c>
      <c r="C8555" t="s">
        <v>157</v>
      </c>
      <c r="D8555" t="s">
        <v>17194</v>
      </c>
      <c r="E8555" t="s">
        <v>17195</v>
      </c>
      <c r="G8555" s="1">
        <v>5</v>
      </c>
    </row>
    <row r="8556" spans="1:7" ht="14.25" customHeight="1" x14ac:dyDescent="0.45">
      <c r="A8556" t="str">
        <f>_xlfn.XLOOKUP(B8556,Ingot!$H$12:$H$119,Ingot!$G$12:$G$119,"")</f>
        <v>Cloth</v>
      </c>
      <c r="B8556" t="s">
        <v>16985</v>
      </c>
      <c r="C8556" t="s">
        <v>157</v>
      </c>
      <c r="D8556" t="s">
        <v>17196</v>
      </c>
      <c r="E8556" t="s">
        <v>17197</v>
      </c>
      <c r="G8556" s="1">
        <v>5</v>
      </c>
    </row>
    <row r="8557" spans="1:7" ht="14.25" customHeight="1" x14ac:dyDescent="0.45">
      <c r="A8557" t="str">
        <f>_xlfn.XLOOKUP(B8557,Ingot!$H$12:$H$119,Ingot!$G$12:$G$119,"")</f>
        <v>Cloth</v>
      </c>
      <c r="B8557" t="s">
        <v>16985</v>
      </c>
      <c r="C8557" t="s">
        <v>157</v>
      </c>
      <c r="D8557" t="s">
        <v>17198</v>
      </c>
      <c r="E8557" t="s">
        <v>17199</v>
      </c>
      <c r="G8557" s="1">
        <v>5</v>
      </c>
    </row>
    <row r="8558" spans="1:7" ht="14.25" customHeight="1" x14ac:dyDescent="0.45">
      <c r="A8558" t="str">
        <f>_xlfn.XLOOKUP(B8558,Ingot!$H$12:$H$119,Ingot!$G$12:$G$119,"")</f>
        <v>Cloth</v>
      </c>
      <c r="B8558" t="s">
        <v>16985</v>
      </c>
      <c r="C8558" t="s">
        <v>157</v>
      </c>
      <c r="D8558" t="s">
        <v>17200</v>
      </c>
      <c r="E8558" t="s">
        <v>17201</v>
      </c>
      <c r="G8558" s="1">
        <v>10</v>
      </c>
    </row>
    <row r="8559" spans="1:7" ht="14.25" customHeight="1" x14ac:dyDescent="0.45">
      <c r="A8559" t="str">
        <f>_xlfn.XLOOKUP(B8559,Ingot!$H$12:$H$119,Ingot!$G$12:$G$119,"")</f>
        <v>Cloth</v>
      </c>
      <c r="B8559" t="s">
        <v>16985</v>
      </c>
      <c r="C8559" t="s">
        <v>157</v>
      </c>
      <c r="D8559" t="s">
        <v>17202</v>
      </c>
      <c r="E8559" t="s">
        <v>17203</v>
      </c>
      <c r="G8559" s="1">
        <v>12.6</v>
      </c>
    </row>
    <row r="8560" spans="1:7" ht="14.25" customHeight="1" x14ac:dyDescent="0.45">
      <c r="A8560" t="str">
        <f>_xlfn.XLOOKUP(B8560,Ingot!$H$12:$H$119,Ingot!$G$12:$G$119,"")</f>
        <v>Cloth</v>
      </c>
      <c r="B8560" t="s">
        <v>16985</v>
      </c>
      <c r="C8560" t="s">
        <v>157</v>
      </c>
      <c r="D8560" t="s">
        <v>17204</v>
      </c>
      <c r="E8560" t="s">
        <v>17205</v>
      </c>
      <c r="G8560" s="1">
        <v>5</v>
      </c>
    </row>
    <row r="8561" spans="1:7" ht="14.25" customHeight="1" x14ac:dyDescent="0.45">
      <c r="A8561" t="str">
        <f>_xlfn.XLOOKUP(B8561,Ingot!$H$12:$H$119,Ingot!$G$12:$G$119,"")</f>
        <v>Cloth</v>
      </c>
      <c r="B8561" t="s">
        <v>16985</v>
      </c>
      <c r="C8561" t="s">
        <v>157</v>
      </c>
      <c r="D8561" t="s">
        <v>17206</v>
      </c>
      <c r="E8561" t="s">
        <v>17207</v>
      </c>
      <c r="G8561" s="1">
        <v>5</v>
      </c>
    </row>
    <row r="8562" spans="1:7" ht="14.25" customHeight="1" x14ac:dyDescent="0.45">
      <c r="A8562" t="str">
        <f>_xlfn.XLOOKUP(B8562,Ingot!$H$12:$H$119,Ingot!$G$12:$G$119,"")</f>
        <v>Cloth</v>
      </c>
      <c r="B8562" t="s">
        <v>16985</v>
      </c>
      <c r="C8562" t="s">
        <v>157</v>
      </c>
      <c r="D8562" t="s">
        <v>17208</v>
      </c>
      <c r="E8562" t="s">
        <v>17209</v>
      </c>
      <c r="G8562" s="1">
        <v>5</v>
      </c>
    </row>
    <row r="8563" spans="1:7" ht="14.25" customHeight="1" x14ac:dyDescent="0.45">
      <c r="A8563" t="str">
        <f>_xlfn.XLOOKUP(B8563,Ingot!$H$12:$H$119,Ingot!$G$12:$G$119,"")</f>
        <v>Cloth</v>
      </c>
      <c r="B8563" t="s">
        <v>16985</v>
      </c>
      <c r="C8563" t="s">
        <v>157</v>
      </c>
      <c r="D8563" t="s">
        <v>17210</v>
      </c>
      <c r="E8563" t="s">
        <v>17211</v>
      </c>
      <c r="G8563" s="1">
        <v>10</v>
      </c>
    </row>
    <row r="8564" spans="1:7" ht="14.25" customHeight="1" x14ac:dyDescent="0.45">
      <c r="A8564" t="str">
        <f>_xlfn.XLOOKUP(B8564,Ingot!$H$12:$H$119,Ingot!$G$12:$G$119,"")</f>
        <v>Cloth</v>
      </c>
      <c r="B8564" t="s">
        <v>16985</v>
      </c>
      <c r="C8564" t="s">
        <v>239</v>
      </c>
      <c r="D8564" t="s">
        <v>17212</v>
      </c>
      <c r="E8564" t="s">
        <v>17213</v>
      </c>
    </row>
    <row r="8565" spans="1:7" ht="14.25" customHeight="1" x14ac:dyDescent="0.45">
      <c r="A8565" t="str">
        <f>_xlfn.XLOOKUP(B8565,Ingot!$H$12:$H$119,Ingot!$G$12:$G$119,"")</f>
        <v>Cloth</v>
      </c>
      <c r="B8565" t="s">
        <v>16985</v>
      </c>
      <c r="C8565" t="s">
        <v>239</v>
      </c>
      <c r="D8565" t="s">
        <v>17214</v>
      </c>
      <c r="E8565" t="s">
        <v>17215</v>
      </c>
    </row>
    <row r="8566" spans="1:7" ht="14.25" customHeight="1" x14ac:dyDescent="0.45">
      <c r="A8566" t="str">
        <f>_xlfn.XLOOKUP(B8566,Ingot!$H$12:$H$119,Ingot!$G$12:$G$119,"")</f>
        <v>Cloth</v>
      </c>
      <c r="B8566" t="s">
        <v>16985</v>
      </c>
      <c r="C8566" t="s">
        <v>239</v>
      </c>
      <c r="D8566" t="s">
        <v>17216</v>
      </c>
      <c r="E8566" t="s">
        <v>17217</v>
      </c>
    </row>
    <row r="8567" spans="1:7" ht="14.25" customHeight="1" x14ac:dyDescent="0.45">
      <c r="A8567" t="str">
        <f>_xlfn.XLOOKUP(B8567,Ingot!$H$12:$H$119,Ingot!$G$12:$G$119,"")</f>
        <v>Cloth</v>
      </c>
      <c r="B8567" t="s">
        <v>16985</v>
      </c>
      <c r="C8567" t="s">
        <v>239</v>
      </c>
      <c r="D8567" t="s">
        <v>17218</v>
      </c>
      <c r="E8567" t="s">
        <v>17219</v>
      </c>
    </row>
    <row r="8568" spans="1:7" ht="14.25" customHeight="1" x14ac:dyDescent="0.45">
      <c r="A8568" t="str">
        <f>_xlfn.XLOOKUP(B8568,Ingot!$H$12:$H$119,Ingot!$G$12:$G$119,"")</f>
        <v>Cloth</v>
      </c>
      <c r="B8568" t="s">
        <v>16985</v>
      </c>
      <c r="C8568" t="s">
        <v>239</v>
      </c>
      <c r="D8568" t="s">
        <v>17220</v>
      </c>
      <c r="E8568" t="s">
        <v>17221</v>
      </c>
    </row>
    <row r="8569" spans="1:7" ht="14.25" customHeight="1" x14ac:dyDescent="0.45">
      <c r="A8569" t="str">
        <f>_xlfn.XLOOKUP(B8569,Ingot!$H$12:$H$119,Ingot!$G$12:$G$119,"")</f>
        <v>Cloth</v>
      </c>
      <c r="B8569" t="s">
        <v>16985</v>
      </c>
      <c r="C8569" t="s">
        <v>239</v>
      </c>
      <c r="D8569" t="s">
        <v>17222</v>
      </c>
      <c r="E8569" t="s">
        <v>17223</v>
      </c>
    </row>
    <row r="8570" spans="1:7" ht="14.25" customHeight="1" x14ac:dyDescent="0.45">
      <c r="A8570" t="str">
        <f>_xlfn.XLOOKUP(B8570,Ingot!$H$12:$H$119,Ingot!$G$12:$G$119,"")</f>
        <v>Cloth</v>
      </c>
      <c r="B8570" t="s">
        <v>17224</v>
      </c>
      <c r="C8570" t="s">
        <v>10</v>
      </c>
      <c r="D8570" t="s">
        <v>17225</v>
      </c>
      <c r="E8570" t="s">
        <v>17226</v>
      </c>
      <c r="G8570" s="1">
        <v>0.08</v>
      </c>
    </row>
    <row r="8571" spans="1:7" ht="14.25" customHeight="1" x14ac:dyDescent="0.45">
      <c r="A8571" t="str">
        <f>_xlfn.XLOOKUP(B8571,Ingot!$H$12:$H$119,Ingot!$G$12:$G$119,"")</f>
        <v>Cloth</v>
      </c>
      <c r="B8571" t="s">
        <v>17224</v>
      </c>
      <c r="C8571" t="s">
        <v>10</v>
      </c>
      <c r="D8571" t="s">
        <v>17227</v>
      </c>
      <c r="E8571" t="s">
        <v>17228</v>
      </c>
      <c r="G8571" s="1">
        <v>9.9</v>
      </c>
    </row>
    <row r="8572" spans="1:7" ht="14.25" customHeight="1" x14ac:dyDescent="0.45">
      <c r="A8572" t="str">
        <f>_xlfn.XLOOKUP(B8572,Ingot!$H$12:$H$119,Ingot!$G$12:$G$119,"")</f>
        <v>Cloth</v>
      </c>
      <c r="B8572" t="s">
        <v>17224</v>
      </c>
      <c r="C8572" t="s">
        <v>10</v>
      </c>
      <c r="D8572" t="s">
        <v>17229</v>
      </c>
      <c r="E8572" t="s">
        <v>17230</v>
      </c>
      <c r="G8572" s="1">
        <v>5.66</v>
      </c>
    </row>
    <row r="8573" spans="1:7" ht="14.25" customHeight="1" x14ac:dyDescent="0.45">
      <c r="A8573" t="str">
        <f>_xlfn.XLOOKUP(B8573,Ingot!$H$12:$H$119,Ingot!$G$12:$G$119,"")</f>
        <v>Cloth</v>
      </c>
      <c r="B8573" t="s">
        <v>17224</v>
      </c>
      <c r="C8573" t="s">
        <v>10</v>
      </c>
      <c r="D8573" t="s">
        <v>17231</v>
      </c>
      <c r="E8573" t="s">
        <v>17232</v>
      </c>
      <c r="G8573" s="1">
        <v>3.3</v>
      </c>
    </row>
    <row r="8574" spans="1:7" ht="14.25" customHeight="1" x14ac:dyDescent="0.45">
      <c r="A8574" t="str">
        <f>_xlfn.XLOOKUP(B8574,Ingot!$H$12:$H$119,Ingot!$G$12:$G$119,"")</f>
        <v>Cloth</v>
      </c>
      <c r="B8574" t="s">
        <v>17224</v>
      </c>
      <c r="C8574" t="s">
        <v>10</v>
      </c>
      <c r="D8574" t="s">
        <v>17233</v>
      </c>
      <c r="E8574" t="s">
        <v>17234</v>
      </c>
      <c r="G8574" s="1">
        <v>0.66</v>
      </c>
    </row>
    <row r="8575" spans="1:7" ht="14.25" customHeight="1" x14ac:dyDescent="0.45">
      <c r="A8575" t="str">
        <f>_xlfn.XLOOKUP(B8575,Ingot!$H$12:$H$119,Ingot!$G$12:$G$119,"")</f>
        <v>Cloth</v>
      </c>
      <c r="B8575" t="s">
        <v>17224</v>
      </c>
      <c r="C8575" t="s">
        <v>10</v>
      </c>
      <c r="D8575" t="s">
        <v>17235</v>
      </c>
      <c r="E8575" t="s">
        <v>17236</v>
      </c>
      <c r="G8575" s="1">
        <v>0.04</v>
      </c>
    </row>
    <row r="8576" spans="1:7" ht="14.25" customHeight="1" x14ac:dyDescent="0.45">
      <c r="A8576" t="str">
        <f>_xlfn.XLOOKUP(B8576,Ingot!$H$12:$H$119,Ingot!$G$12:$G$119,"")</f>
        <v>Cloth</v>
      </c>
      <c r="B8576" t="s">
        <v>17224</v>
      </c>
      <c r="C8576" t="s">
        <v>10</v>
      </c>
      <c r="D8576" t="s">
        <v>17237</v>
      </c>
      <c r="E8576" t="s">
        <v>17238</v>
      </c>
      <c r="G8576" s="1">
        <v>0.33</v>
      </c>
    </row>
    <row r="8577" spans="1:7" ht="14.25" customHeight="1" x14ac:dyDescent="0.45">
      <c r="A8577" t="str">
        <f>_xlfn.XLOOKUP(B8577,Ingot!$H$12:$H$119,Ingot!$G$12:$G$119,"")</f>
        <v>Cloth</v>
      </c>
      <c r="B8577" t="s">
        <v>17224</v>
      </c>
      <c r="C8577" t="s">
        <v>10</v>
      </c>
      <c r="D8577" t="s">
        <v>17239</v>
      </c>
      <c r="E8577" t="s">
        <v>17240</v>
      </c>
    </row>
    <row r="8578" spans="1:7" ht="14.25" customHeight="1" x14ac:dyDescent="0.45">
      <c r="A8578" t="str">
        <f>_xlfn.XLOOKUP(B8578,Ingot!$H$12:$H$119,Ingot!$G$12:$G$119,"")</f>
        <v>Cloth</v>
      </c>
      <c r="B8578" t="s">
        <v>17224</v>
      </c>
      <c r="C8578" t="s">
        <v>10</v>
      </c>
      <c r="D8578" t="s">
        <v>17241</v>
      </c>
      <c r="E8578" t="s">
        <v>17242</v>
      </c>
      <c r="G8578" s="1">
        <v>0.05</v>
      </c>
    </row>
    <row r="8579" spans="1:7" ht="14.25" customHeight="1" x14ac:dyDescent="0.45">
      <c r="A8579" t="str">
        <f>_xlfn.XLOOKUP(B8579,Ingot!$H$12:$H$119,Ingot!$G$12:$G$119,"")</f>
        <v>Cloth</v>
      </c>
      <c r="B8579" t="s">
        <v>17224</v>
      </c>
      <c r="C8579" t="s">
        <v>10</v>
      </c>
      <c r="D8579" t="s">
        <v>17243</v>
      </c>
      <c r="E8579" t="s">
        <v>17244</v>
      </c>
      <c r="G8579" s="1">
        <v>0.66</v>
      </c>
    </row>
    <row r="8580" spans="1:7" ht="14.25" customHeight="1" x14ac:dyDescent="0.45">
      <c r="A8580" t="str">
        <f>_xlfn.XLOOKUP(B8580,Ingot!$H$12:$H$119,Ingot!$G$12:$G$119,"")</f>
        <v>Cloth</v>
      </c>
      <c r="B8580" t="s">
        <v>17224</v>
      </c>
      <c r="C8580" t="s">
        <v>10</v>
      </c>
      <c r="D8580" t="s">
        <v>17245</v>
      </c>
      <c r="E8580" t="s">
        <v>17246</v>
      </c>
      <c r="G8580" s="1">
        <v>3.96</v>
      </c>
    </row>
    <row r="8581" spans="1:7" ht="14.25" customHeight="1" x14ac:dyDescent="0.45">
      <c r="A8581" t="str">
        <f>_xlfn.XLOOKUP(B8581,Ingot!$H$12:$H$119,Ingot!$G$12:$G$119,"")</f>
        <v>Cloth</v>
      </c>
      <c r="B8581" t="s">
        <v>17224</v>
      </c>
      <c r="C8581" t="s">
        <v>10</v>
      </c>
      <c r="D8581" t="s">
        <v>17247</v>
      </c>
      <c r="E8581" t="s">
        <v>17248</v>
      </c>
      <c r="G8581" s="1">
        <v>8.77</v>
      </c>
    </row>
    <row r="8582" spans="1:7" ht="14.25" customHeight="1" x14ac:dyDescent="0.45">
      <c r="A8582" t="str">
        <f>_xlfn.XLOOKUP(B8582,Ingot!$H$12:$H$119,Ingot!$G$12:$G$119,"")</f>
        <v>Cloth</v>
      </c>
      <c r="B8582" t="s">
        <v>17224</v>
      </c>
      <c r="C8582" t="s">
        <v>10</v>
      </c>
      <c r="D8582" t="s">
        <v>17249</v>
      </c>
      <c r="E8582" t="s">
        <v>17250</v>
      </c>
      <c r="G8582" s="1">
        <v>3.5</v>
      </c>
    </row>
    <row r="8583" spans="1:7" ht="14.25" customHeight="1" x14ac:dyDescent="0.45">
      <c r="A8583" t="str">
        <f>_xlfn.XLOOKUP(B8583,Ingot!$H$12:$H$119,Ingot!$G$12:$G$119,"")</f>
        <v>Cloth</v>
      </c>
      <c r="B8583" t="s">
        <v>17224</v>
      </c>
      <c r="C8583" t="s">
        <v>10</v>
      </c>
      <c r="D8583" t="s">
        <v>17251</v>
      </c>
      <c r="E8583" t="s">
        <v>17252</v>
      </c>
    </row>
    <row r="8584" spans="1:7" ht="14.25" customHeight="1" x14ac:dyDescent="0.45">
      <c r="A8584" t="str">
        <f>_xlfn.XLOOKUP(B8584,Ingot!$H$12:$H$119,Ingot!$G$12:$G$119,"")</f>
        <v>Cloth</v>
      </c>
      <c r="B8584" t="s">
        <v>17224</v>
      </c>
      <c r="C8584" t="s">
        <v>10</v>
      </c>
      <c r="D8584" t="s">
        <v>17253</v>
      </c>
      <c r="E8584" t="s">
        <v>17254</v>
      </c>
      <c r="G8584" s="1">
        <v>2.2000000000000002</v>
      </c>
    </row>
    <row r="8585" spans="1:7" ht="14.25" customHeight="1" x14ac:dyDescent="0.45">
      <c r="A8585" t="str">
        <f>_xlfn.XLOOKUP(B8585,Ingot!$H$12:$H$119,Ingot!$G$12:$G$119,"")</f>
        <v>Cloth</v>
      </c>
      <c r="B8585" t="s">
        <v>17224</v>
      </c>
      <c r="C8585" t="s">
        <v>10</v>
      </c>
      <c r="D8585" t="s">
        <v>17255</v>
      </c>
      <c r="E8585" t="s">
        <v>17256</v>
      </c>
      <c r="G8585" s="1">
        <v>1.1000000000000001</v>
      </c>
    </row>
    <row r="8586" spans="1:7" ht="14.25" customHeight="1" x14ac:dyDescent="0.45">
      <c r="A8586" t="str">
        <f>_xlfn.XLOOKUP(B8586,Ingot!$H$12:$H$119,Ingot!$G$12:$G$119,"")</f>
        <v>Cloth</v>
      </c>
      <c r="B8586" t="s">
        <v>17224</v>
      </c>
      <c r="C8586" t="s">
        <v>10</v>
      </c>
      <c r="D8586" t="s">
        <v>17257</v>
      </c>
      <c r="E8586" t="s">
        <v>17258</v>
      </c>
      <c r="G8586" s="1">
        <v>0.22</v>
      </c>
    </row>
    <row r="8587" spans="1:7" ht="14.25" customHeight="1" x14ac:dyDescent="0.45">
      <c r="A8587" t="str">
        <f>_xlfn.XLOOKUP(B8587,Ingot!$H$12:$H$119,Ingot!$G$12:$G$119,"")</f>
        <v>Cloth</v>
      </c>
      <c r="B8587" t="s">
        <v>17224</v>
      </c>
      <c r="C8587" t="s">
        <v>10</v>
      </c>
      <c r="D8587" t="s">
        <v>17259</v>
      </c>
      <c r="E8587" t="s">
        <v>17260</v>
      </c>
      <c r="G8587" s="1">
        <v>8.41</v>
      </c>
    </row>
    <row r="8588" spans="1:7" ht="14.25" customHeight="1" x14ac:dyDescent="0.45">
      <c r="A8588" t="str">
        <f>_xlfn.XLOOKUP(B8588,Ingot!$H$12:$H$119,Ingot!$G$12:$G$119,"")</f>
        <v>Cloth</v>
      </c>
      <c r="B8588" t="s">
        <v>17224</v>
      </c>
      <c r="C8588" t="s">
        <v>10</v>
      </c>
      <c r="D8588" t="s">
        <v>17261</v>
      </c>
      <c r="E8588" t="s">
        <v>17262</v>
      </c>
      <c r="G8588" s="1">
        <v>3.64</v>
      </c>
    </row>
    <row r="8589" spans="1:7" ht="14.25" customHeight="1" x14ac:dyDescent="0.45">
      <c r="A8589" t="str">
        <f>_xlfn.XLOOKUP(B8589,Ingot!$H$12:$H$119,Ingot!$G$12:$G$119,"")</f>
        <v>Cloth</v>
      </c>
      <c r="B8589" t="s">
        <v>17224</v>
      </c>
      <c r="C8589" t="s">
        <v>10</v>
      </c>
      <c r="D8589" t="s">
        <v>17263</v>
      </c>
      <c r="E8589" t="s">
        <v>17264</v>
      </c>
      <c r="G8589" s="1">
        <v>7.05</v>
      </c>
    </row>
    <row r="8590" spans="1:7" ht="14.25" customHeight="1" x14ac:dyDescent="0.45">
      <c r="A8590" t="str">
        <f>_xlfn.XLOOKUP(B8590,Ingot!$H$12:$H$119,Ingot!$G$12:$G$119,"")</f>
        <v>Cloth</v>
      </c>
      <c r="B8590" t="s">
        <v>17224</v>
      </c>
      <c r="C8590" t="s">
        <v>10</v>
      </c>
      <c r="D8590" t="s">
        <v>17265</v>
      </c>
      <c r="E8590" t="s">
        <v>17266</v>
      </c>
      <c r="G8590" s="1">
        <v>2.65</v>
      </c>
    </row>
    <row r="8591" spans="1:7" ht="14.25" customHeight="1" x14ac:dyDescent="0.45">
      <c r="A8591" t="str">
        <f>_xlfn.XLOOKUP(B8591,Ingot!$H$12:$H$119,Ingot!$G$12:$G$119,"")</f>
        <v>Cloth</v>
      </c>
      <c r="B8591" t="s">
        <v>17224</v>
      </c>
      <c r="C8591" t="s">
        <v>10</v>
      </c>
      <c r="D8591" t="s">
        <v>17267</v>
      </c>
      <c r="E8591" t="s">
        <v>17268</v>
      </c>
      <c r="G8591" s="1">
        <v>9</v>
      </c>
    </row>
    <row r="8592" spans="1:7" ht="14.25" customHeight="1" x14ac:dyDescent="0.45">
      <c r="A8592" t="str">
        <f>_xlfn.XLOOKUP(B8592,Ingot!$H$12:$H$119,Ingot!$G$12:$G$119,"")</f>
        <v>Cloth</v>
      </c>
      <c r="B8592" t="s">
        <v>17224</v>
      </c>
      <c r="C8592" t="s">
        <v>10</v>
      </c>
      <c r="D8592" t="s">
        <v>17269</v>
      </c>
      <c r="E8592" t="s">
        <v>17270</v>
      </c>
      <c r="G8592" s="1">
        <v>10.23</v>
      </c>
    </row>
    <row r="8593" spans="1:7" ht="14.25" customHeight="1" x14ac:dyDescent="0.45">
      <c r="A8593" t="str">
        <f>_xlfn.XLOOKUP(B8593,Ingot!$H$12:$H$119,Ingot!$G$12:$G$119,"")</f>
        <v>Cloth</v>
      </c>
      <c r="B8593" t="s">
        <v>17224</v>
      </c>
      <c r="C8593" t="s">
        <v>10</v>
      </c>
      <c r="D8593" t="s">
        <v>17271</v>
      </c>
      <c r="E8593" t="s">
        <v>17272</v>
      </c>
      <c r="G8593" s="1">
        <v>7.7</v>
      </c>
    </row>
    <row r="8594" spans="1:7" ht="14.25" customHeight="1" x14ac:dyDescent="0.45">
      <c r="A8594" t="str">
        <f>_xlfn.XLOOKUP(B8594,Ingot!$H$12:$H$119,Ingot!$G$12:$G$119,"")</f>
        <v>Cloth</v>
      </c>
      <c r="B8594" t="s">
        <v>17224</v>
      </c>
      <c r="C8594" t="s">
        <v>10</v>
      </c>
      <c r="D8594" t="s">
        <v>17273</v>
      </c>
      <c r="E8594" t="s">
        <v>17274</v>
      </c>
      <c r="G8594" s="1">
        <v>10.02</v>
      </c>
    </row>
    <row r="8595" spans="1:7" ht="14.25" customHeight="1" x14ac:dyDescent="0.45">
      <c r="A8595" t="str">
        <f>_xlfn.XLOOKUP(B8595,Ingot!$H$12:$H$119,Ingot!$G$12:$G$119,"")</f>
        <v>Cloth</v>
      </c>
      <c r="B8595" t="s">
        <v>17224</v>
      </c>
      <c r="C8595" t="s">
        <v>10</v>
      </c>
      <c r="D8595" t="s">
        <v>17275</v>
      </c>
      <c r="E8595" t="s">
        <v>17276</v>
      </c>
      <c r="G8595" s="1">
        <v>11.81</v>
      </c>
    </row>
    <row r="8596" spans="1:7" ht="14.25" customHeight="1" x14ac:dyDescent="0.45">
      <c r="A8596" t="str">
        <f>_xlfn.XLOOKUP(B8596,Ingot!$H$12:$H$119,Ingot!$G$12:$G$119,"")</f>
        <v>Cloth</v>
      </c>
      <c r="B8596" t="s">
        <v>17224</v>
      </c>
      <c r="C8596" t="s">
        <v>10</v>
      </c>
      <c r="D8596" t="s">
        <v>17277</v>
      </c>
      <c r="E8596" t="s">
        <v>17278</v>
      </c>
      <c r="G8596" s="1">
        <v>8.44</v>
      </c>
    </row>
    <row r="8597" spans="1:7" ht="14.25" customHeight="1" x14ac:dyDescent="0.45">
      <c r="A8597" t="str">
        <f>_xlfn.XLOOKUP(B8597,Ingot!$H$12:$H$119,Ingot!$G$12:$G$119,"")</f>
        <v>Cloth</v>
      </c>
      <c r="B8597" t="s">
        <v>17224</v>
      </c>
      <c r="C8597" t="s">
        <v>10</v>
      </c>
      <c r="D8597" t="s">
        <v>17279</v>
      </c>
      <c r="E8597" t="s">
        <v>17280</v>
      </c>
      <c r="G8597" s="1">
        <v>10.42</v>
      </c>
    </row>
    <row r="8598" spans="1:7" ht="14.25" customHeight="1" x14ac:dyDescent="0.45">
      <c r="A8598" t="str">
        <f>_xlfn.XLOOKUP(B8598,Ingot!$H$12:$H$119,Ingot!$G$12:$G$119,"")</f>
        <v>Cloth</v>
      </c>
      <c r="B8598" t="s">
        <v>17224</v>
      </c>
      <c r="C8598" t="s">
        <v>10</v>
      </c>
      <c r="D8598" t="s">
        <v>17281</v>
      </c>
      <c r="E8598" t="s">
        <v>17282</v>
      </c>
    </row>
    <row r="8599" spans="1:7" ht="14.25" customHeight="1" x14ac:dyDescent="0.45">
      <c r="A8599" t="str">
        <f>_xlfn.XLOOKUP(B8599,Ingot!$H$12:$H$119,Ingot!$G$12:$G$119,"")</f>
        <v>Cloth</v>
      </c>
      <c r="B8599" t="s">
        <v>17224</v>
      </c>
      <c r="C8599" t="s">
        <v>10</v>
      </c>
      <c r="D8599" t="s">
        <v>17283</v>
      </c>
      <c r="E8599" t="s">
        <v>17284</v>
      </c>
      <c r="G8599" s="1">
        <v>7.96</v>
      </c>
    </row>
    <row r="8600" spans="1:7" ht="14.25" customHeight="1" x14ac:dyDescent="0.45">
      <c r="A8600" t="str">
        <f>_xlfn.XLOOKUP(B8600,Ingot!$H$12:$H$119,Ingot!$G$12:$G$119,"")</f>
        <v>Cloth</v>
      </c>
      <c r="B8600" t="s">
        <v>17224</v>
      </c>
      <c r="C8600" t="s">
        <v>10</v>
      </c>
      <c r="D8600" t="s">
        <v>17285</v>
      </c>
      <c r="E8600" t="s">
        <v>17286</v>
      </c>
      <c r="G8600" s="1">
        <v>9.64</v>
      </c>
    </row>
    <row r="8601" spans="1:7" ht="14.25" customHeight="1" x14ac:dyDescent="0.45">
      <c r="A8601" t="str">
        <f>_xlfn.XLOOKUP(B8601,Ingot!$H$12:$H$119,Ingot!$G$12:$G$119,"")</f>
        <v>Cloth</v>
      </c>
      <c r="B8601" t="s">
        <v>17224</v>
      </c>
      <c r="C8601" t="s">
        <v>10</v>
      </c>
      <c r="D8601" t="s">
        <v>17287</v>
      </c>
      <c r="E8601" t="s">
        <v>17288</v>
      </c>
      <c r="G8601" s="1">
        <v>7.94</v>
      </c>
    </row>
    <row r="8602" spans="1:7" ht="14.25" customHeight="1" x14ac:dyDescent="0.45">
      <c r="A8602" t="str">
        <f>_xlfn.XLOOKUP(B8602,Ingot!$H$12:$H$119,Ingot!$G$12:$G$119,"")</f>
        <v>Cloth</v>
      </c>
      <c r="B8602" t="s">
        <v>17224</v>
      </c>
      <c r="C8602" t="s">
        <v>10</v>
      </c>
      <c r="D8602" t="s">
        <v>17289</v>
      </c>
      <c r="E8602" t="s">
        <v>17290</v>
      </c>
      <c r="G8602" s="1">
        <v>8.66</v>
      </c>
    </row>
    <row r="8603" spans="1:7" ht="14.25" customHeight="1" x14ac:dyDescent="0.45">
      <c r="A8603" t="str">
        <f>_xlfn.XLOOKUP(B8603,Ingot!$H$12:$H$119,Ingot!$G$12:$G$119,"")</f>
        <v>Cloth</v>
      </c>
      <c r="B8603" t="s">
        <v>17224</v>
      </c>
      <c r="C8603" t="s">
        <v>10</v>
      </c>
      <c r="D8603" t="s">
        <v>17291</v>
      </c>
      <c r="E8603" t="s">
        <v>17292</v>
      </c>
    </row>
    <row r="8604" spans="1:7" ht="14.25" customHeight="1" x14ac:dyDescent="0.45">
      <c r="A8604" t="str">
        <f>_xlfn.XLOOKUP(B8604,Ingot!$H$12:$H$119,Ingot!$G$12:$G$119,"")</f>
        <v>Cloth</v>
      </c>
      <c r="B8604" t="s">
        <v>17224</v>
      </c>
      <c r="C8604" t="s">
        <v>10</v>
      </c>
      <c r="D8604" t="s">
        <v>17293</v>
      </c>
      <c r="E8604" t="s">
        <v>17294</v>
      </c>
      <c r="G8604" s="1">
        <v>2.65</v>
      </c>
    </row>
    <row r="8605" spans="1:7" ht="14.25" customHeight="1" x14ac:dyDescent="0.45">
      <c r="A8605" t="str">
        <f>_xlfn.XLOOKUP(B8605,Ingot!$H$12:$H$119,Ingot!$G$12:$G$119,"")</f>
        <v>Cloth</v>
      </c>
      <c r="B8605" t="s">
        <v>17224</v>
      </c>
      <c r="C8605" t="s">
        <v>10</v>
      </c>
      <c r="D8605" t="s">
        <v>17295</v>
      </c>
      <c r="E8605" t="s">
        <v>17296</v>
      </c>
    </row>
    <row r="8606" spans="1:7" ht="14.25" customHeight="1" x14ac:dyDescent="0.45">
      <c r="A8606" t="str">
        <f>_xlfn.XLOOKUP(B8606,Ingot!$H$12:$H$119,Ingot!$G$12:$G$119,"")</f>
        <v>Cloth</v>
      </c>
      <c r="B8606" t="s">
        <v>17224</v>
      </c>
      <c r="C8606" t="s">
        <v>10</v>
      </c>
      <c r="D8606" t="s">
        <v>17297</v>
      </c>
      <c r="E8606" t="s">
        <v>17298</v>
      </c>
      <c r="G8606" s="1">
        <v>12.64</v>
      </c>
    </row>
    <row r="8607" spans="1:7" ht="14.25" customHeight="1" x14ac:dyDescent="0.45">
      <c r="A8607" t="str">
        <f>_xlfn.XLOOKUP(B8607,Ingot!$H$12:$H$119,Ingot!$G$12:$G$119,"")</f>
        <v>Cloth</v>
      </c>
      <c r="B8607" t="s">
        <v>17224</v>
      </c>
      <c r="C8607" t="s">
        <v>10</v>
      </c>
      <c r="D8607" t="s">
        <v>17299</v>
      </c>
      <c r="E8607" t="s">
        <v>17300</v>
      </c>
      <c r="G8607" s="1">
        <v>22.67</v>
      </c>
    </row>
    <row r="8608" spans="1:7" ht="14.25" customHeight="1" x14ac:dyDescent="0.45">
      <c r="A8608" t="str">
        <f>_xlfn.XLOOKUP(B8608,Ingot!$H$12:$H$119,Ingot!$G$12:$G$119,"")</f>
        <v>Cloth</v>
      </c>
      <c r="B8608" t="s">
        <v>17224</v>
      </c>
      <c r="C8608" t="s">
        <v>10</v>
      </c>
      <c r="D8608" t="s">
        <v>17301</v>
      </c>
      <c r="E8608" t="s">
        <v>17302</v>
      </c>
      <c r="G8608" s="1">
        <v>8.3800000000000008</v>
      </c>
    </row>
    <row r="8609" spans="1:7" ht="14.25" customHeight="1" x14ac:dyDescent="0.45">
      <c r="A8609" t="str">
        <f>_xlfn.XLOOKUP(B8609,Ingot!$H$12:$H$119,Ingot!$G$12:$G$119,"")</f>
        <v>Cloth</v>
      </c>
      <c r="B8609" t="s">
        <v>17224</v>
      </c>
      <c r="C8609" t="s">
        <v>10</v>
      </c>
      <c r="D8609" t="s">
        <v>17303</v>
      </c>
      <c r="E8609" t="s">
        <v>17304</v>
      </c>
      <c r="G8609" s="1">
        <v>2.2000000000000002</v>
      </c>
    </row>
    <row r="8610" spans="1:7" ht="14.25" customHeight="1" x14ac:dyDescent="0.45">
      <c r="A8610" t="str">
        <f>_xlfn.XLOOKUP(B8610,Ingot!$H$12:$H$119,Ingot!$G$12:$G$119,"")</f>
        <v>Cloth</v>
      </c>
      <c r="B8610" t="s">
        <v>17224</v>
      </c>
      <c r="C8610" t="s">
        <v>10</v>
      </c>
      <c r="D8610" t="s">
        <v>17305</v>
      </c>
      <c r="E8610" t="s">
        <v>17306</v>
      </c>
      <c r="G8610" s="1">
        <v>3.09</v>
      </c>
    </row>
    <row r="8611" spans="1:7" ht="14.25" customHeight="1" x14ac:dyDescent="0.45">
      <c r="A8611" t="str">
        <f>_xlfn.XLOOKUP(B8611,Ingot!$H$12:$H$119,Ingot!$G$12:$G$119,"")</f>
        <v>Cloth</v>
      </c>
      <c r="B8611" t="s">
        <v>17224</v>
      </c>
      <c r="C8611" t="s">
        <v>10</v>
      </c>
      <c r="D8611" t="s">
        <v>17307</v>
      </c>
      <c r="E8611" t="s">
        <v>17308</v>
      </c>
      <c r="G8611" s="1">
        <v>2.2999999999999998</v>
      </c>
    </row>
    <row r="8612" spans="1:7" ht="14.25" customHeight="1" x14ac:dyDescent="0.45">
      <c r="A8612" t="str">
        <f>_xlfn.XLOOKUP(B8612,Ingot!$H$12:$H$119,Ingot!$G$12:$G$119,"")</f>
        <v>Cloth</v>
      </c>
      <c r="B8612" t="s">
        <v>17224</v>
      </c>
      <c r="C8612" t="s">
        <v>10</v>
      </c>
      <c r="D8612" t="s">
        <v>17309</v>
      </c>
      <c r="E8612" t="s">
        <v>17310</v>
      </c>
      <c r="G8612" s="1">
        <v>4.88</v>
      </c>
    </row>
    <row r="8613" spans="1:7" ht="14.25" customHeight="1" x14ac:dyDescent="0.45">
      <c r="A8613" t="str">
        <f>_xlfn.XLOOKUP(B8613,Ingot!$H$12:$H$119,Ingot!$G$12:$G$119,"")</f>
        <v>Cloth</v>
      </c>
      <c r="B8613" t="s">
        <v>17224</v>
      </c>
      <c r="C8613" t="s">
        <v>10</v>
      </c>
      <c r="D8613" t="s">
        <v>17311</v>
      </c>
      <c r="E8613" t="s">
        <v>17312</v>
      </c>
      <c r="G8613" s="1">
        <v>8.43</v>
      </c>
    </row>
    <row r="8614" spans="1:7" ht="14.25" customHeight="1" x14ac:dyDescent="0.45">
      <c r="A8614" t="str">
        <f>_xlfn.XLOOKUP(B8614,Ingot!$H$12:$H$119,Ingot!$G$12:$G$119,"")</f>
        <v>Cloth</v>
      </c>
      <c r="B8614" t="s">
        <v>17224</v>
      </c>
      <c r="C8614" t="s">
        <v>10</v>
      </c>
      <c r="D8614" t="s">
        <v>17313</v>
      </c>
      <c r="E8614" t="s">
        <v>17314</v>
      </c>
      <c r="G8614" s="1">
        <v>13.07</v>
      </c>
    </row>
    <row r="8615" spans="1:7" ht="14.25" customHeight="1" x14ac:dyDescent="0.45">
      <c r="A8615" t="str">
        <f>_xlfn.XLOOKUP(B8615,Ingot!$H$12:$H$119,Ingot!$G$12:$G$119,"")</f>
        <v>Cloth</v>
      </c>
      <c r="B8615" t="s">
        <v>17224</v>
      </c>
      <c r="C8615" t="s">
        <v>10</v>
      </c>
      <c r="D8615" t="s">
        <v>17315</v>
      </c>
      <c r="E8615" t="s">
        <v>17316</v>
      </c>
    </row>
    <row r="8616" spans="1:7" ht="14.25" customHeight="1" x14ac:dyDescent="0.45">
      <c r="A8616" t="str">
        <f>_xlfn.XLOOKUP(B8616,Ingot!$H$12:$H$119,Ingot!$G$12:$G$119,"")</f>
        <v>Cloth</v>
      </c>
      <c r="B8616" t="s">
        <v>17224</v>
      </c>
      <c r="C8616" t="s">
        <v>10</v>
      </c>
      <c r="D8616" t="s">
        <v>17317</v>
      </c>
      <c r="E8616" t="s">
        <v>17318</v>
      </c>
    </row>
    <row r="8617" spans="1:7" ht="14.25" customHeight="1" x14ac:dyDescent="0.45">
      <c r="A8617" t="str">
        <f>_xlfn.XLOOKUP(B8617,Ingot!$H$12:$H$119,Ingot!$G$12:$G$119,"")</f>
        <v>Cloth</v>
      </c>
      <c r="B8617" t="s">
        <v>17224</v>
      </c>
      <c r="C8617" t="s">
        <v>10</v>
      </c>
      <c r="D8617" t="s">
        <v>17319</v>
      </c>
      <c r="E8617" t="s">
        <v>17320</v>
      </c>
      <c r="G8617" s="1">
        <v>6.8</v>
      </c>
    </row>
    <row r="8618" spans="1:7" ht="14.25" customHeight="1" x14ac:dyDescent="0.45">
      <c r="A8618" t="str">
        <f>_xlfn.XLOOKUP(B8618,Ingot!$H$12:$H$119,Ingot!$G$12:$G$119,"")</f>
        <v>Cloth</v>
      </c>
      <c r="B8618" t="s">
        <v>17224</v>
      </c>
      <c r="C8618" t="s">
        <v>10</v>
      </c>
      <c r="D8618" t="s">
        <v>17321</v>
      </c>
      <c r="E8618" t="s">
        <v>17322</v>
      </c>
      <c r="G8618" s="1">
        <v>6.88</v>
      </c>
    </row>
    <row r="8619" spans="1:7" ht="14.25" customHeight="1" x14ac:dyDescent="0.45">
      <c r="A8619" t="str">
        <f>_xlfn.XLOOKUP(B8619,Ingot!$H$12:$H$119,Ingot!$G$12:$G$119,"")</f>
        <v>Cloth</v>
      </c>
      <c r="B8619" t="s">
        <v>17224</v>
      </c>
      <c r="C8619" t="s">
        <v>10</v>
      </c>
      <c r="D8619" t="s">
        <v>17323</v>
      </c>
      <c r="E8619" t="s">
        <v>17324</v>
      </c>
      <c r="G8619" s="1">
        <v>5.5</v>
      </c>
    </row>
    <row r="8620" spans="1:7" ht="14.25" customHeight="1" x14ac:dyDescent="0.45">
      <c r="A8620" t="str">
        <f>_xlfn.XLOOKUP(B8620,Ingot!$H$12:$H$119,Ingot!$G$12:$G$119,"")</f>
        <v>Cloth</v>
      </c>
      <c r="B8620" t="s">
        <v>17224</v>
      </c>
      <c r="C8620" t="s">
        <v>10</v>
      </c>
      <c r="D8620" t="s">
        <v>17325</v>
      </c>
      <c r="E8620" t="s">
        <v>17326</v>
      </c>
      <c r="G8620" s="1">
        <v>2.4300000000000002</v>
      </c>
    </row>
    <row r="8621" spans="1:7" ht="14.25" customHeight="1" x14ac:dyDescent="0.45">
      <c r="A8621" t="str">
        <f>_xlfn.XLOOKUP(B8621,Ingot!$H$12:$H$119,Ingot!$G$12:$G$119,"")</f>
        <v>Cloth</v>
      </c>
      <c r="B8621" t="s">
        <v>17224</v>
      </c>
      <c r="C8621" t="s">
        <v>10</v>
      </c>
      <c r="D8621" t="s">
        <v>17327</v>
      </c>
      <c r="E8621" t="s">
        <v>17328</v>
      </c>
      <c r="G8621" s="1">
        <v>6.96</v>
      </c>
    </row>
    <row r="8622" spans="1:7" ht="14.25" customHeight="1" x14ac:dyDescent="0.45">
      <c r="A8622" t="str">
        <f>_xlfn.XLOOKUP(B8622,Ingot!$H$12:$H$119,Ingot!$G$12:$G$119,"")</f>
        <v>Cloth</v>
      </c>
      <c r="B8622" t="s">
        <v>17224</v>
      </c>
      <c r="C8622" t="s">
        <v>10</v>
      </c>
      <c r="D8622" t="s">
        <v>17329</v>
      </c>
      <c r="E8622" t="s">
        <v>17330</v>
      </c>
      <c r="G8622" s="1">
        <v>6.32</v>
      </c>
    </row>
    <row r="8623" spans="1:7" ht="14.25" customHeight="1" x14ac:dyDescent="0.45">
      <c r="A8623" t="str">
        <f>_xlfn.XLOOKUP(B8623,Ingot!$H$12:$H$119,Ingot!$G$12:$G$119,"")</f>
        <v>Cloth</v>
      </c>
      <c r="B8623" t="s">
        <v>17224</v>
      </c>
      <c r="C8623" t="s">
        <v>10</v>
      </c>
      <c r="D8623" t="s">
        <v>17331</v>
      </c>
      <c r="E8623" t="s">
        <v>17332</v>
      </c>
      <c r="G8623" s="1">
        <v>6.88</v>
      </c>
    </row>
    <row r="8624" spans="1:7" ht="14.25" customHeight="1" x14ac:dyDescent="0.45">
      <c r="A8624" t="str">
        <f>_xlfn.XLOOKUP(B8624,Ingot!$H$12:$H$119,Ingot!$G$12:$G$119,"")</f>
        <v>Cloth</v>
      </c>
      <c r="B8624" t="s">
        <v>17224</v>
      </c>
      <c r="C8624" t="s">
        <v>10</v>
      </c>
      <c r="D8624" t="s">
        <v>17333</v>
      </c>
      <c r="E8624" t="s">
        <v>17334</v>
      </c>
      <c r="G8624" s="1">
        <v>2.44</v>
      </c>
    </row>
    <row r="8625" spans="1:7" ht="14.25" customHeight="1" x14ac:dyDescent="0.45">
      <c r="A8625" t="str">
        <f>_xlfn.XLOOKUP(B8625,Ingot!$H$12:$H$119,Ingot!$G$12:$G$119,"")</f>
        <v>Cloth</v>
      </c>
      <c r="B8625" t="s">
        <v>17224</v>
      </c>
      <c r="C8625" t="s">
        <v>10</v>
      </c>
      <c r="D8625" t="s">
        <v>17335</v>
      </c>
      <c r="E8625" t="s">
        <v>17336</v>
      </c>
    </row>
    <row r="8626" spans="1:7" ht="14.25" customHeight="1" x14ac:dyDescent="0.45">
      <c r="A8626" t="str">
        <f>_xlfn.XLOOKUP(B8626,Ingot!$H$12:$H$119,Ingot!$G$12:$G$119,"")</f>
        <v>Cloth</v>
      </c>
      <c r="B8626" t="s">
        <v>17224</v>
      </c>
      <c r="C8626" t="s">
        <v>10</v>
      </c>
      <c r="D8626" t="s">
        <v>17337</v>
      </c>
      <c r="E8626" t="s">
        <v>17338</v>
      </c>
    </row>
    <row r="8627" spans="1:7" ht="14.25" customHeight="1" x14ac:dyDescent="0.45">
      <c r="A8627" t="str">
        <f>_xlfn.XLOOKUP(B8627,Ingot!$H$12:$H$119,Ingot!$G$12:$G$119,"")</f>
        <v>Cloth</v>
      </c>
      <c r="B8627" t="s">
        <v>17224</v>
      </c>
      <c r="C8627" t="s">
        <v>10</v>
      </c>
      <c r="D8627" t="s">
        <v>17339</v>
      </c>
      <c r="E8627" t="s">
        <v>17340</v>
      </c>
      <c r="G8627" s="1">
        <v>3.11</v>
      </c>
    </row>
    <row r="8628" spans="1:7" ht="14.25" customHeight="1" x14ac:dyDescent="0.45">
      <c r="A8628" t="str">
        <f>_xlfn.XLOOKUP(B8628,Ingot!$H$12:$H$119,Ingot!$G$12:$G$119,"")</f>
        <v>Cloth</v>
      </c>
      <c r="B8628" t="s">
        <v>17224</v>
      </c>
      <c r="C8628" t="s">
        <v>10</v>
      </c>
      <c r="D8628" t="s">
        <v>17341</v>
      </c>
      <c r="E8628" t="s">
        <v>17342</v>
      </c>
      <c r="G8628" s="1">
        <v>2.44</v>
      </c>
    </row>
    <row r="8629" spans="1:7" ht="14.25" customHeight="1" x14ac:dyDescent="0.45">
      <c r="A8629" t="str">
        <f>_xlfn.XLOOKUP(B8629,Ingot!$H$12:$H$119,Ingot!$G$12:$G$119,"")</f>
        <v>Cloth</v>
      </c>
      <c r="B8629" t="s">
        <v>17224</v>
      </c>
      <c r="C8629" t="s">
        <v>10</v>
      </c>
      <c r="D8629" t="s">
        <v>17343</v>
      </c>
      <c r="E8629" t="s">
        <v>17344</v>
      </c>
      <c r="G8629" s="1">
        <v>8.61</v>
      </c>
    </row>
    <row r="8630" spans="1:7" ht="14.25" customHeight="1" x14ac:dyDescent="0.45">
      <c r="A8630" t="str">
        <f>_xlfn.XLOOKUP(B8630,Ingot!$H$12:$H$119,Ingot!$G$12:$G$119,"")</f>
        <v>Cloth</v>
      </c>
      <c r="B8630" t="s">
        <v>17224</v>
      </c>
      <c r="C8630" t="s">
        <v>10</v>
      </c>
      <c r="D8630" t="s">
        <v>17345</v>
      </c>
      <c r="E8630" t="s">
        <v>17346</v>
      </c>
    </row>
    <row r="8631" spans="1:7" ht="14.25" customHeight="1" x14ac:dyDescent="0.45">
      <c r="A8631" t="str">
        <f>_xlfn.XLOOKUP(B8631,Ingot!$H$12:$H$119,Ingot!$G$12:$G$119,"")</f>
        <v>Cloth</v>
      </c>
      <c r="B8631" t="s">
        <v>17224</v>
      </c>
      <c r="C8631" t="s">
        <v>10</v>
      </c>
      <c r="D8631" t="s">
        <v>17347</v>
      </c>
      <c r="E8631" t="s">
        <v>17348</v>
      </c>
      <c r="G8631" s="1">
        <v>3.21</v>
      </c>
    </row>
    <row r="8632" spans="1:7" ht="14.25" customHeight="1" x14ac:dyDescent="0.45">
      <c r="A8632" t="str">
        <f>_xlfn.XLOOKUP(B8632,Ingot!$H$12:$H$119,Ingot!$G$12:$G$119,"")</f>
        <v>Cloth</v>
      </c>
      <c r="B8632" t="s">
        <v>17224</v>
      </c>
      <c r="C8632" t="s">
        <v>10</v>
      </c>
      <c r="D8632" t="s">
        <v>17349</v>
      </c>
      <c r="E8632" t="s">
        <v>17350</v>
      </c>
      <c r="G8632" s="1">
        <v>2.77</v>
      </c>
    </row>
    <row r="8633" spans="1:7" ht="14.25" customHeight="1" x14ac:dyDescent="0.45">
      <c r="A8633" t="str">
        <f>_xlfn.XLOOKUP(B8633,Ingot!$H$12:$H$119,Ingot!$G$12:$G$119,"")</f>
        <v>Cloth</v>
      </c>
      <c r="B8633" t="s">
        <v>17224</v>
      </c>
      <c r="C8633" t="s">
        <v>10</v>
      </c>
      <c r="D8633" t="s">
        <v>17351</v>
      </c>
      <c r="E8633" t="s">
        <v>17352</v>
      </c>
      <c r="G8633" s="1">
        <v>4.8899999999999997</v>
      </c>
    </row>
    <row r="8634" spans="1:7" ht="14.25" customHeight="1" x14ac:dyDescent="0.45">
      <c r="A8634" t="str">
        <f>_xlfn.XLOOKUP(B8634,Ingot!$H$12:$H$119,Ingot!$G$12:$G$119,"")</f>
        <v>Cloth</v>
      </c>
      <c r="B8634" t="s">
        <v>17224</v>
      </c>
      <c r="C8634" t="s">
        <v>10</v>
      </c>
      <c r="D8634" t="s">
        <v>17353</v>
      </c>
      <c r="E8634" t="s">
        <v>17354</v>
      </c>
      <c r="G8634" s="1">
        <v>1.76</v>
      </c>
    </row>
    <row r="8635" spans="1:7" ht="14.25" customHeight="1" x14ac:dyDescent="0.45">
      <c r="A8635" t="str">
        <f>_xlfn.XLOOKUP(B8635,Ingot!$H$12:$H$119,Ingot!$G$12:$G$119,"")</f>
        <v>Cloth</v>
      </c>
      <c r="B8635" t="s">
        <v>17224</v>
      </c>
      <c r="C8635" t="s">
        <v>10</v>
      </c>
      <c r="D8635" t="s">
        <v>17355</v>
      </c>
      <c r="E8635" t="s">
        <v>17356</v>
      </c>
    </row>
    <row r="8636" spans="1:7" ht="14.25" customHeight="1" x14ac:dyDescent="0.45">
      <c r="A8636" t="str">
        <f>_xlfn.XLOOKUP(B8636,Ingot!$H$12:$H$119,Ingot!$G$12:$G$119,"")</f>
        <v>Cloth</v>
      </c>
      <c r="B8636" t="s">
        <v>17224</v>
      </c>
      <c r="C8636" t="s">
        <v>10</v>
      </c>
      <c r="D8636" t="s">
        <v>17357</v>
      </c>
      <c r="E8636" t="s">
        <v>17358</v>
      </c>
      <c r="G8636" s="1">
        <v>8.57</v>
      </c>
    </row>
    <row r="8637" spans="1:7" ht="14.25" customHeight="1" x14ac:dyDescent="0.45">
      <c r="A8637" t="str">
        <f>_xlfn.XLOOKUP(B8637,Ingot!$H$12:$H$119,Ingot!$G$12:$G$119,"")</f>
        <v>Cloth</v>
      </c>
      <c r="B8637" t="s">
        <v>17224</v>
      </c>
      <c r="C8637" t="s">
        <v>10</v>
      </c>
      <c r="D8637" t="s">
        <v>17359</v>
      </c>
      <c r="E8637" t="s">
        <v>17360</v>
      </c>
    </row>
    <row r="8638" spans="1:7" ht="14.25" customHeight="1" x14ac:dyDescent="0.45">
      <c r="A8638" t="str">
        <f>_xlfn.XLOOKUP(B8638,Ingot!$H$12:$H$119,Ingot!$G$12:$G$119,"")</f>
        <v>Cloth</v>
      </c>
      <c r="B8638" t="s">
        <v>17224</v>
      </c>
      <c r="C8638" t="s">
        <v>10</v>
      </c>
      <c r="D8638" t="s">
        <v>17361</v>
      </c>
      <c r="E8638" t="s">
        <v>17362</v>
      </c>
      <c r="G8638" s="1">
        <v>3.56</v>
      </c>
    </row>
    <row r="8639" spans="1:7" ht="14.25" customHeight="1" x14ac:dyDescent="0.45">
      <c r="A8639" t="str">
        <f>_xlfn.XLOOKUP(B8639,Ingot!$H$12:$H$119,Ingot!$G$12:$G$119,"")</f>
        <v>Cloth</v>
      </c>
      <c r="B8639" t="s">
        <v>17224</v>
      </c>
      <c r="C8639" t="s">
        <v>10</v>
      </c>
      <c r="D8639" t="s">
        <v>17363</v>
      </c>
      <c r="E8639" t="s">
        <v>17364</v>
      </c>
      <c r="G8639" s="1">
        <v>8.91</v>
      </c>
    </row>
    <row r="8640" spans="1:7" ht="14.25" customHeight="1" x14ac:dyDescent="0.45">
      <c r="A8640" t="str">
        <f>_xlfn.XLOOKUP(B8640,Ingot!$H$12:$H$119,Ingot!$G$12:$G$119,"")</f>
        <v>Cloth</v>
      </c>
      <c r="B8640" t="s">
        <v>17224</v>
      </c>
      <c r="C8640" t="s">
        <v>10</v>
      </c>
      <c r="D8640" t="s">
        <v>17365</v>
      </c>
      <c r="E8640" t="s">
        <v>17366</v>
      </c>
      <c r="G8640" s="1">
        <v>11.02</v>
      </c>
    </row>
    <row r="8641" spans="1:7" ht="14.25" customHeight="1" x14ac:dyDescent="0.45">
      <c r="A8641" t="str">
        <f>_xlfn.XLOOKUP(B8641,Ingot!$H$12:$H$119,Ingot!$G$12:$G$119,"")</f>
        <v>Cloth</v>
      </c>
      <c r="B8641" t="s">
        <v>17224</v>
      </c>
      <c r="C8641" t="s">
        <v>10</v>
      </c>
      <c r="D8641" t="s">
        <v>17367</v>
      </c>
      <c r="E8641" t="s">
        <v>17368</v>
      </c>
      <c r="G8641" s="1">
        <v>5.12</v>
      </c>
    </row>
    <row r="8642" spans="1:7" ht="14.25" customHeight="1" x14ac:dyDescent="0.45">
      <c r="A8642" t="str">
        <f>_xlfn.XLOOKUP(B8642,Ingot!$H$12:$H$119,Ingot!$G$12:$G$119,"")</f>
        <v>Cloth</v>
      </c>
      <c r="B8642" t="s">
        <v>17224</v>
      </c>
      <c r="C8642" t="s">
        <v>10</v>
      </c>
      <c r="D8642" t="s">
        <v>17369</v>
      </c>
      <c r="E8642" t="s">
        <v>17370</v>
      </c>
      <c r="G8642" s="1">
        <v>4.41</v>
      </c>
    </row>
    <row r="8643" spans="1:7" ht="14.25" customHeight="1" x14ac:dyDescent="0.45">
      <c r="A8643" t="str">
        <f>_xlfn.XLOOKUP(B8643,Ingot!$H$12:$H$119,Ingot!$G$12:$G$119,"")</f>
        <v>Cloth</v>
      </c>
      <c r="B8643" t="s">
        <v>17224</v>
      </c>
      <c r="C8643" t="s">
        <v>157</v>
      </c>
      <c r="D8643" t="s">
        <v>17371</v>
      </c>
      <c r="E8643" t="s">
        <v>17372</v>
      </c>
      <c r="F8643" t="s">
        <v>180</v>
      </c>
      <c r="G8643" s="1">
        <v>15.4</v>
      </c>
    </row>
    <row r="8644" spans="1:7" ht="14.25" customHeight="1" x14ac:dyDescent="0.45">
      <c r="A8644" t="str">
        <f>_xlfn.XLOOKUP(B8644,Ingot!$H$12:$H$119,Ingot!$G$12:$G$119,"")</f>
        <v>Cloth</v>
      </c>
      <c r="B8644" t="s">
        <v>17224</v>
      </c>
      <c r="C8644" t="s">
        <v>157</v>
      </c>
      <c r="D8644" t="s">
        <v>17373</v>
      </c>
      <c r="E8644" t="s">
        <v>17374</v>
      </c>
      <c r="F8644" t="s">
        <v>180</v>
      </c>
      <c r="G8644" s="1">
        <v>5</v>
      </c>
    </row>
    <row r="8645" spans="1:7" ht="14.25" customHeight="1" x14ac:dyDescent="0.45">
      <c r="A8645" t="str">
        <f>_xlfn.XLOOKUP(B8645,Ingot!$H$12:$H$119,Ingot!$G$12:$G$119,"")</f>
        <v>Cloth</v>
      </c>
      <c r="B8645" t="s">
        <v>17224</v>
      </c>
      <c r="C8645" t="s">
        <v>157</v>
      </c>
      <c r="D8645" t="s">
        <v>17375</v>
      </c>
      <c r="E8645" t="s">
        <v>17376</v>
      </c>
      <c r="F8645" t="s">
        <v>180</v>
      </c>
      <c r="G8645" s="1">
        <v>5</v>
      </c>
    </row>
    <row r="8646" spans="1:7" ht="14.25" customHeight="1" x14ac:dyDescent="0.45">
      <c r="A8646" t="str">
        <f>_xlfn.XLOOKUP(B8646,Ingot!$H$12:$H$119,Ingot!$G$12:$G$119,"")</f>
        <v>Cloth</v>
      </c>
      <c r="B8646" t="s">
        <v>17224</v>
      </c>
      <c r="C8646" t="s">
        <v>157</v>
      </c>
      <c r="D8646" t="s">
        <v>17377</v>
      </c>
      <c r="E8646" t="s">
        <v>17378</v>
      </c>
      <c r="F8646" t="s">
        <v>180</v>
      </c>
      <c r="G8646" s="1">
        <v>5</v>
      </c>
    </row>
    <row r="8647" spans="1:7" ht="14.25" customHeight="1" x14ac:dyDescent="0.45">
      <c r="A8647" t="str">
        <f>_xlfn.XLOOKUP(B8647,Ingot!$H$12:$H$119,Ingot!$G$12:$G$119,"")</f>
        <v>Cloth</v>
      </c>
      <c r="B8647" t="s">
        <v>17224</v>
      </c>
      <c r="C8647" t="s">
        <v>157</v>
      </c>
      <c r="D8647" t="s">
        <v>17379</v>
      </c>
      <c r="E8647" t="s">
        <v>17380</v>
      </c>
      <c r="F8647" t="s">
        <v>180</v>
      </c>
      <c r="G8647" s="1">
        <v>10</v>
      </c>
    </row>
    <row r="8648" spans="1:7" ht="14.25" customHeight="1" x14ac:dyDescent="0.45">
      <c r="A8648" t="str">
        <f>_xlfn.XLOOKUP(B8648,Ingot!$H$12:$H$119,Ingot!$G$12:$G$119,"")</f>
        <v>Cloth</v>
      </c>
      <c r="B8648" t="s">
        <v>17224</v>
      </c>
      <c r="C8648" t="s">
        <v>157</v>
      </c>
      <c r="D8648" t="s">
        <v>17381</v>
      </c>
      <c r="E8648" t="s">
        <v>17382</v>
      </c>
      <c r="F8648" t="s">
        <v>180</v>
      </c>
      <c r="G8648" s="1">
        <v>13.8</v>
      </c>
    </row>
    <row r="8649" spans="1:7" ht="14.25" customHeight="1" x14ac:dyDescent="0.45">
      <c r="A8649" t="str">
        <f>_xlfn.XLOOKUP(B8649,Ingot!$H$12:$H$119,Ingot!$G$12:$G$119,"")</f>
        <v>Cloth</v>
      </c>
      <c r="B8649" t="s">
        <v>17224</v>
      </c>
      <c r="C8649" t="s">
        <v>157</v>
      </c>
      <c r="D8649" t="s">
        <v>17383</v>
      </c>
      <c r="E8649" t="s">
        <v>17384</v>
      </c>
      <c r="F8649" t="s">
        <v>180</v>
      </c>
      <c r="G8649" s="1">
        <v>5</v>
      </c>
    </row>
    <row r="8650" spans="1:7" ht="14.25" customHeight="1" x14ac:dyDescent="0.45">
      <c r="A8650" t="str">
        <f>_xlfn.XLOOKUP(B8650,Ingot!$H$12:$H$119,Ingot!$G$12:$G$119,"")</f>
        <v>Cloth</v>
      </c>
      <c r="B8650" t="s">
        <v>17224</v>
      </c>
      <c r="C8650" t="s">
        <v>157</v>
      </c>
      <c r="D8650" t="s">
        <v>17385</v>
      </c>
      <c r="E8650" t="s">
        <v>17386</v>
      </c>
      <c r="F8650" t="s">
        <v>180</v>
      </c>
      <c r="G8650" s="1">
        <v>5</v>
      </c>
    </row>
    <row r="8651" spans="1:7" ht="14.25" customHeight="1" x14ac:dyDescent="0.45">
      <c r="A8651" t="str">
        <f>_xlfn.XLOOKUP(B8651,Ingot!$H$12:$H$119,Ingot!$G$12:$G$119,"")</f>
        <v>Cloth</v>
      </c>
      <c r="B8651" t="s">
        <v>17224</v>
      </c>
      <c r="C8651" t="s">
        <v>157</v>
      </c>
      <c r="D8651" t="s">
        <v>17387</v>
      </c>
      <c r="E8651" t="s">
        <v>17388</v>
      </c>
      <c r="F8651" t="s">
        <v>180</v>
      </c>
      <c r="G8651" s="1">
        <v>5</v>
      </c>
    </row>
    <row r="8652" spans="1:7" ht="14.25" customHeight="1" x14ac:dyDescent="0.45">
      <c r="A8652" t="str">
        <f>_xlfn.XLOOKUP(B8652,Ingot!$H$12:$H$119,Ingot!$G$12:$G$119,"")</f>
        <v>Cloth</v>
      </c>
      <c r="B8652" t="s">
        <v>17224</v>
      </c>
      <c r="C8652" t="s">
        <v>157</v>
      </c>
      <c r="D8652" t="s">
        <v>17389</v>
      </c>
      <c r="E8652" t="s">
        <v>17390</v>
      </c>
      <c r="F8652" t="s">
        <v>180</v>
      </c>
      <c r="G8652" s="1">
        <v>10</v>
      </c>
    </row>
    <row r="8653" spans="1:7" ht="14.25" customHeight="1" x14ac:dyDescent="0.45">
      <c r="A8653" t="str">
        <f>_xlfn.XLOOKUP(B8653,Ingot!$H$12:$H$119,Ingot!$G$12:$G$119,"")</f>
        <v>Cloth</v>
      </c>
      <c r="B8653" t="s">
        <v>17224</v>
      </c>
      <c r="C8653" t="s">
        <v>157</v>
      </c>
      <c r="D8653" t="s">
        <v>17391</v>
      </c>
      <c r="E8653" t="s">
        <v>17392</v>
      </c>
      <c r="G8653" s="1">
        <v>13.4</v>
      </c>
    </row>
    <row r="8654" spans="1:7" ht="14.25" customHeight="1" x14ac:dyDescent="0.45">
      <c r="A8654" t="str">
        <f>_xlfn.XLOOKUP(B8654,Ingot!$H$12:$H$119,Ingot!$G$12:$G$119,"")</f>
        <v>Cloth</v>
      </c>
      <c r="B8654" t="s">
        <v>17224</v>
      </c>
      <c r="C8654" t="s">
        <v>157</v>
      </c>
      <c r="D8654" t="s">
        <v>17393</v>
      </c>
      <c r="E8654" t="s">
        <v>17394</v>
      </c>
      <c r="G8654" s="1">
        <v>5</v>
      </c>
    </row>
    <row r="8655" spans="1:7" ht="14.25" customHeight="1" x14ac:dyDescent="0.45">
      <c r="A8655" t="str">
        <f>_xlfn.XLOOKUP(B8655,Ingot!$H$12:$H$119,Ingot!$G$12:$G$119,"")</f>
        <v>Cloth</v>
      </c>
      <c r="B8655" t="s">
        <v>17224</v>
      </c>
      <c r="C8655" t="s">
        <v>157</v>
      </c>
      <c r="D8655" t="s">
        <v>17395</v>
      </c>
      <c r="E8655" t="s">
        <v>17396</v>
      </c>
      <c r="G8655" s="1">
        <v>5</v>
      </c>
    </row>
    <row r="8656" spans="1:7" ht="14.25" customHeight="1" x14ac:dyDescent="0.45">
      <c r="A8656" t="str">
        <f>_xlfn.XLOOKUP(B8656,Ingot!$H$12:$H$119,Ingot!$G$12:$G$119,"")</f>
        <v>Cloth</v>
      </c>
      <c r="B8656" t="s">
        <v>17224</v>
      </c>
      <c r="C8656" t="s">
        <v>157</v>
      </c>
      <c r="D8656" t="s">
        <v>17397</v>
      </c>
      <c r="E8656" t="s">
        <v>17398</v>
      </c>
      <c r="G8656" s="1">
        <v>5</v>
      </c>
    </row>
    <row r="8657" spans="1:7" ht="14.25" customHeight="1" x14ac:dyDescent="0.45">
      <c r="A8657" t="str">
        <f>_xlfn.XLOOKUP(B8657,Ingot!$H$12:$H$119,Ingot!$G$12:$G$119,"")</f>
        <v>Cloth</v>
      </c>
      <c r="B8657" t="s">
        <v>17224</v>
      </c>
      <c r="C8657" t="s">
        <v>157</v>
      </c>
      <c r="D8657" t="s">
        <v>17399</v>
      </c>
      <c r="E8657" t="s">
        <v>17400</v>
      </c>
      <c r="G8657" s="1">
        <v>10</v>
      </c>
    </row>
    <row r="8658" spans="1:7" ht="14.25" customHeight="1" x14ac:dyDescent="0.45">
      <c r="A8658" t="str">
        <f>_xlfn.XLOOKUP(B8658,Ingot!$H$12:$H$119,Ingot!$G$12:$G$119,"")</f>
        <v>Cloth</v>
      </c>
      <c r="B8658" t="s">
        <v>17224</v>
      </c>
      <c r="C8658" t="s">
        <v>157</v>
      </c>
      <c r="D8658" t="s">
        <v>17401</v>
      </c>
      <c r="E8658" t="s">
        <v>17402</v>
      </c>
      <c r="F8658" t="s">
        <v>180</v>
      </c>
      <c r="G8658" s="1">
        <v>14.1</v>
      </c>
    </row>
    <row r="8659" spans="1:7" ht="14.25" customHeight="1" x14ac:dyDescent="0.45">
      <c r="A8659" t="str">
        <f>_xlfn.XLOOKUP(B8659,Ingot!$H$12:$H$119,Ingot!$G$12:$G$119,"")</f>
        <v>Cloth</v>
      </c>
      <c r="B8659" t="s">
        <v>17224</v>
      </c>
      <c r="C8659" t="s">
        <v>157</v>
      </c>
      <c r="D8659" t="s">
        <v>17403</v>
      </c>
      <c r="E8659" t="s">
        <v>17404</v>
      </c>
      <c r="F8659" t="s">
        <v>180</v>
      </c>
      <c r="G8659" s="1">
        <v>5</v>
      </c>
    </row>
    <row r="8660" spans="1:7" ht="14.25" customHeight="1" x14ac:dyDescent="0.45">
      <c r="A8660" t="str">
        <f>_xlfn.XLOOKUP(B8660,Ingot!$H$12:$H$119,Ingot!$G$12:$G$119,"")</f>
        <v>Cloth</v>
      </c>
      <c r="B8660" t="s">
        <v>17224</v>
      </c>
      <c r="C8660" t="s">
        <v>157</v>
      </c>
      <c r="D8660" t="s">
        <v>17405</v>
      </c>
      <c r="E8660" t="s">
        <v>17406</v>
      </c>
      <c r="F8660" t="s">
        <v>180</v>
      </c>
      <c r="G8660" s="1">
        <v>5</v>
      </c>
    </row>
    <row r="8661" spans="1:7" ht="14.25" customHeight="1" x14ac:dyDescent="0.45">
      <c r="A8661" t="str">
        <f>_xlfn.XLOOKUP(B8661,Ingot!$H$12:$H$119,Ingot!$G$12:$G$119,"")</f>
        <v>Cloth</v>
      </c>
      <c r="B8661" t="s">
        <v>17224</v>
      </c>
      <c r="C8661" t="s">
        <v>157</v>
      </c>
      <c r="D8661" t="s">
        <v>17407</v>
      </c>
      <c r="E8661" t="s">
        <v>17408</v>
      </c>
      <c r="F8661" t="s">
        <v>180</v>
      </c>
      <c r="G8661" s="1">
        <v>5</v>
      </c>
    </row>
    <row r="8662" spans="1:7" ht="14.25" customHeight="1" x14ac:dyDescent="0.45">
      <c r="A8662" t="str">
        <f>_xlfn.XLOOKUP(B8662,Ingot!$H$12:$H$119,Ingot!$G$12:$G$119,"")</f>
        <v>Cloth</v>
      </c>
      <c r="B8662" t="s">
        <v>17224</v>
      </c>
      <c r="C8662" t="s">
        <v>157</v>
      </c>
      <c r="D8662" t="s">
        <v>17409</v>
      </c>
      <c r="E8662" t="s">
        <v>17410</v>
      </c>
      <c r="F8662" t="s">
        <v>180</v>
      </c>
      <c r="G8662" s="1">
        <v>10</v>
      </c>
    </row>
    <row r="8663" spans="1:7" ht="14.25" customHeight="1" x14ac:dyDescent="0.45">
      <c r="A8663" t="str">
        <f>_xlfn.XLOOKUP(B8663,Ingot!$H$12:$H$119,Ingot!$G$12:$G$119,"")</f>
        <v>Cloth</v>
      </c>
      <c r="B8663" t="s">
        <v>17224</v>
      </c>
      <c r="C8663" t="s">
        <v>157</v>
      </c>
      <c r="D8663" t="s">
        <v>17411</v>
      </c>
      <c r="E8663" t="s">
        <v>17412</v>
      </c>
      <c r="F8663" t="s">
        <v>180</v>
      </c>
      <c r="G8663" s="1">
        <v>14.6</v>
      </c>
    </row>
    <row r="8664" spans="1:7" ht="14.25" customHeight="1" x14ac:dyDescent="0.45">
      <c r="A8664" t="str">
        <f>_xlfn.XLOOKUP(B8664,Ingot!$H$12:$H$119,Ingot!$G$12:$G$119,"")</f>
        <v>Cloth</v>
      </c>
      <c r="B8664" t="s">
        <v>17224</v>
      </c>
      <c r="C8664" t="s">
        <v>157</v>
      </c>
      <c r="D8664" t="s">
        <v>17413</v>
      </c>
      <c r="E8664" t="s">
        <v>17414</v>
      </c>
      <c r="G8664" s="1">
        <v>5</v>
      </c>
    </row>
    <row r="8665" spans="1:7" ht="14.25" customHeight="1" x14ac:dyDescent="0.45">
      <c r="A8665" t="str">
        <f>_xlfn.XLOOKUP(B8665,Ingot!$H$12:$H$119,Ingot!$G$12:$G$119,"")</f>
        <v>Cloth</v>
      </c>
      <c r="B8665" t="s">
        <v>17224</v>
      </c>
      <c r="C8665" t="s">
        <v>157</v>
      </c>
      <c r="D8665" t="s">
        <v>17415</v>
      </c>
      <c r="E8665" t="s">
        <v>17416</v>
      </c>
      <c r="G8665" s="1">
        <v>5</v>
      </c>
    </row>
    <row r="8666" spans="1:7" ht="14.25" customHeight="1" x14ac:dyDescent="0.45">
      <c r="A8666" t="str">
        <f>_xlfn.XLOOKUP(B8666,Ingot!$H$12:$H$119,Ingot!$G$12:$G$119,"")</f>
        <v>Cloth</v>
      </c>
      <c r="B8666" t="s">
        <v>17224</v>
      </c>
      <c r="C8666" t="s">
        <v>157</v>
      </c>
      <c r="D8666" t="s">
        <v>17417</v>
      </c>
      <c r="E8666" t="s">
        <v>17418</v>
      </c>
      <c r="G8666" s="1">
        <v>5</v>
      </c>
    </row>
    <row r="8667" spans="1:7" ht="14.25" customHeight="1" x14ac:dyDescent="0.45">
      <c r="A8667" t="str">
        <f>_xlfn.XLOOKUP(B8667,Ingot!$H$12:$H$119,Ingot!$G$12:$G$119,"")</f>
        <v>Cloth</v>
      </c>
      <c r="B8667" t="s">
        <v>17224</v>
      </c>
      <c r="C8667" t="s">
        <v>157</v>
      </c>
      <c r="D8667" t="s">
        <v>17419</v>
      </c>
      <c r="E8667" t="s">
        <v>17420</v>
      </c>
      <c r="F8667" t="s">
        <v>180</v>
      </c>
      <c r="G8667" s="1">
        <v>10</v>
      </c>
    </row>
    <row r="8668" spans="1:7" ht="14.25" customHeight="1" x14ac:dyDescent="0.45">
      <c r="A8668" t="str">
        <f>_xlfn.XLOOKUP(B8668,Ingot!$H$12:$H$119,Ingot!$G$12:$G$119,"")</f>
        <v>Cloth</v>
      </c>
      <c r="B8668" t="s">
        <v>17224</v>
      </c>
      <c r="C8668" t="s">
        <v>157</v>
      </c>
      <c r="D8668" t="s">
        <v>17421</v>
      </c>
      <c r="E8668" t="s">
        <v>17422</v>
      </c>
      <c r="F8668" t="s">
        <v>180</v>
      </c>
      <c r="G8668" s="1">
        <v>17</v>
      </c>
    </row>
    <row r="8669" spans="1:7" ht="14.25" customHeight="1" x14ac:dyDescent="0.45">
      <c r="A8669" t="str">
        <f>_xlfn.XLOOKUP(B8669,Ingot!$H$12:$H$119,Ingot!$G$12:$G$119,"")</f>
        <v>Cloth</v>
      </c>
      <c r="B8669" t="s">
        <v>17224</v>
      </c>
      <c r="C8669" t="s">
        <v>157</v>
      </c>
      <c r="D8669" t="s">
        <v>17423</v>
      </c>
      <c r="E8669" t="s">
        <v>17424</v>
      </c>
      <c r="F8669" t="s">
        <v>180</v>
      </c>
      <c r="G8669" s="1">
        <v>5</v>
      </c>
    </row>
    <row r="8670" spans="1:7" ht="14.25" customHeight="1" x14ac:dyDescent="0.45">
      <c r="A8670" t="str">
        <f>_xlfn.XLOOKUP(B8670,Ingot!$H$12:$H$119,Ingot!$G$12:$G$119,"")</f>
        <v>Cloth</v>
      </c>
      <c r="B8670" t="s">
        <v>17224</v>
      </c>
      <c r="C8670" t="s">
        <v>157</v>
      </c>
      <c r="D8670" t="s">
        <v>17425</v>
      </c>
      <c r="E8670" t="s">
        <v>17426</v>
      </c>
      <c r="F8670" t="s">
        <v>180</v>
      </c>
      <c r="G8670" s="1">
        <v>5</v>
      </c>
    </row>
    <row r="8671" spans="1:7" ht="14.25" customHeight="1" x14ac:dyDescent="0.45">
      <c r="A8671" t="str">
        <f>_xlfn.XLOOKUP(B8671,Ingot!$H$12:$H$119,Ingot!$G$12:$G$119,"")</f>
        <v>Cloth</v>
      </c>
      <c r="B8671" t="s">
        <v>17224</v>
      </c>
      <c r="C8671" t="s">
        <v>157</v>
      </c>
      <c r="D8671" t="s">
        <v>17427</v>
      </c>
      <c r="E8671" t="s">
        <v>17428</v>
      </c>
      <c r="F8671" t="s">
        <v>180</v>
      </c>
      <c r="G8671" s="1">
        <v>5</v>
      </c>
    </row>
    <row r="8672" spans="1:7" ht="14.25" customHeight="1" x14ac:dyDescent="0.45">
      <c r="A8672" t="str">
        <f>_xlfn.XLOOKUP(B8672,Ingot!$H$12:$H$119,Ingot!$G$12:$G$119,"")</f>
        <v>Cloth</v>
      </c>
      <c r="B8672" t="s">
        <v>17224</v>
      </c>
      <c r="C8672" t="s">
        <v>157</v>
      </c>
      <c r="D8672" t="s">
        <v>17429</v>
      </c>
      <c r="E8672" t="s">
        <v>17430</v>
      </c>
      <c r="F8672" t="s">
        <v>180</v>
      </c>
      <c r="G8672" s="1">
        <v>10</v>
      </c>
    </row>
    <row r="8673" spans="1:7" ht="14.25" customHeight="1" x14ac:dyDescent="0.45">
      <c r="A8673" t="str">
        <f>_xlfn.XLOOKUP(B8673,Ingot!$H$12:$H$119,Ingot!$G$12:$G$119,"")</f>
        <v>Cloth</v>
      </c>
      <c r="B8673" t="s">
        <v>17224</v>
      </c>
      <c r="C8673" t="s">
        <v>157</v>
      </c>
      <c r="D8673" t="s">
        <v>17431</v>
      </c>
      <c r="E8673" t="s">
        <v>17432</v>
      </c>
      <c r="F8673" t="s">
        <v>180</v>
      </c>
      <c r="G8673" s="1">
        <v>16.100000000000001</v>
      </c>
    </row>
    <row r="8674" spans="1:7" ht="14.25" customHeight="1" x14ac:dyDescent="0.45">
      <c r="A8674" t="str">
        <f>_xlfn.XLOOKUP(B8674,Ingot!$H$12:$H$119,Ingot!$G$12:$G$119,"")</f>
        <v>Cloth</v>
      </c>
      <c r="B8674" t="s">
        <v>17224</v>
      </c>
      <c r="C8674" t="s">
        <v>157</v>
      </c>
      <c r="D8674" t="s">
        <v>17433</v>
      </c>
      <c r="E8674" t="s">
        <v>17434</v>
      </c>
      <c r="F8674" t="s">
        <v>180</v>
      </c>
      <c r="G8674" s="1">
        <v>5</v>
      </c>
    </row>
    <row r="8675" spans="1:7" ht="14.25" customHeight="1" x14ac:dyDescent="0.45">
      <c r="A8675" t="str">
        <f>_xlfn.XLOOKUP(B8675,Ingot!$H$12:$H$119,Ingot!$G$12:$G$119,"")</f>
        <v>Cloth</v>
      </c>
      <c r="B8675" t="s">
        <v>17224</v>
      </c>
      <c r="C8675" t="s">
        <v>157</v>
      </c>
      <c r="D8675" t="s">
        <v>17435</v>
      </c>
      <c r="E8675" t="s">
        <v>17436</v>
      </c>
      <c r="F8675" t="s">
        <v>180</v>
      </c>
      <c r="G8675" s="1">
        <v>5</v>
      </c>
    </row>
    <row r="8676" spans="1:7" ht="14.25" customHeight="1" x14ac:dyDescent="0.45">
      <c r="A8676" t="str">
        <f>_xlfn.XLOOKUP(B8676,Ingot!$H$12:$H$119,Ingot!$G$12:$G$119,"")</f>
        <v>Cloth</v>
      </c>
      <c r="B8676" t="s">
        <v>17224</v>
      </c>
      <c r="C8676" t="s">
        <v>157</v>
      </c>
      <c r="D8676" t="s">
        <v>17437</v>
      </c>
      <c r="E8676" t="s">
        <v>17438</v>
      </c>
      <c r="F8676" t="s">
        <v>180</v>
      </c>
      <c r="G8676" s="1">
        <v>5</v>
      </c>
    </row>
    <row r="8677" spans="1:7" ht="14.25" customHeight="1" x14ac:dyDescent="0.45">
      <c r="A8677" t="str">
        <f>_xlfn.XLOOKUP(B8677,Ingot!$H$12:$H$119,Ingot!$G$12:$G$119,"")</f>
        <v>Cloth</v>
      </c>
      <c r="B8677" t="s">
        <v>17224</v>
      </c>
      <c r="C8677" t="s">
        <v>157</v>
      </c>
      <c r="D8677" t="s">
        <v>17439</v>
      </c>
      <c r="E8677" t="s">
        <v>17440</v>
      </c>
      <c r="F8677" t="s">
        <v>180</v>
      </c>
      <c r="G8677" s="1">
        <v>10</v>
      </c>
    </row>
    <row r="8678" spans="1:7" ht="14.25" customHeight="1" x14ac:dyDescent="0.45">
      <c r="A8678" t="str">
        <f>_xlfn.XLOOKUP(B8678,Ingot!$H$12:$H$119,Ingot!$G$12:$G$119,"")</f>
        <v>Cloth</v>
      </c>
      <c r="B8678" t="s">
        <v>17224</v>
      </c>
      <c r="C8678" t="s">
        <v>157</v>
      </c>
      <c r="D8678" t="s">
        <v>17441</v>
      </c>
      <c r="E8678" t="s">
        <v>17442</v>
      </c>
      <c r="G8678" s="1">
        <v>13.2</v>
      </c>
    </row>
    <row r="8679" spans="1:7" ht="14.25" customHeight="1" x14ac:dyDescent="0.45">
      <c r="A8679" t="str">
        <f>_xlfn.XLOOKUP(B8679,Ingot!$H$12:$H$119,Ingot!$G$12:$G$119,"")</f>
        <v>Cloth</v>
      </c>
      <c r="B8679" t="s">
        <v>17224</v>
      </c>
      <c r="C8679" t="s">
        <v>157</v>
      </c>
      <c r="D8679" t="s">
        <v>17443</v>
      </c>
      <c r="E8679" t="s">
        <v>17444</v>
      </c>
      <c r="G8679" s="1">
        <v>5</v>
      </c>
    </row>
    <row r="8680" spans="1:7" ht="14.25" customHeight="1" x14ac:dyDescent="0.45">
      <c r="A8680" t="str">
        <f>_xlfn.XLOOKUP(B8680,Ingot!$H$12:$H$119,Ingot!$G$12:$G$119,"")</f>
        <v>Cloth</v>
      </c>
      <c r="B8680" t="s">
        <v>17224</v>
      </c>
      <c r="C8680" t="s">
        <v>157</v>
      </c>
      <c r="D8680" t="s">
        <v>17445</v>
      </c>
      <c r="E8680" t="s">
        <v>17446</v>
      </c>
      <c r="G8680" s="1">
        <v>5</v>
      </c>
    </row>
    <row r="8681" spans="1:7" ht="14.25" customHeight="1" x14ac:dyDescent="0.45">
      <c r="A8681" t="str">
        <f>_xlfn.XLOOKUP(B8681,Ingot!$H$12:$H$119,Ingot!$G$12:$G$119,"")</f>
        <v>Cloth</v>
      </c>
      <c r="B8681" t="s">
        <v>17224</v>
      </c>
      <c r="C8681" t="s">
        <v>157</v>
      </c>
      <c r="D8681" t="s">
        <v>17447</v>
      </c>
      <c r="E8681" t="s">
        <v>17448</v>
      </c>
      <c r="G8681" s="1">
        <v>5</v>
      </c>
    </row>
    <row r="8682" spans="1:7" ht="14.25" customHeight="1" x14ac:dyDescent="0.45">
      <c r="A8682" t="str">
        <f>_xlfn.XLOOKUP(B8682,Ingot!$H$12:$H$119,Ingot!$G$12:$G$119,"")</f>
        <v>Cloth</v>
      </c>
      <c r="B8682" t="s">
        <v>17224</v>
      </c>
      <c r="C8682" t="s">
        <v>157</v>
      </c>
      <c r="D8682" t="s">
        <v>17449</v>
      </c>
      <c r="E8682" t="s">
        <v>17450</v>
      </c>
      <c r="G8682" s="1">
        <v>10</v>
      </c>
    </row>
    <row r="8683" spans="1:7" ht="14.25" customHeight="1" x14ac:dyDescent="0.45">
      <c r="A8683" t="str">
        <f>_xlfn.XLOOKUP(B8683,Ingot!$H$12:$H$119,Ingot!$G$12:$G$119,"")</f>
        <v>Cloth</v>
      </c>
      <c r="B8683" t="s">
        <v>17224</v>
      </c>
      <c r="C8683" t="s">
        <v>239</v>
      </c>
      <c r="D8683" t="s">
        <v>17451</v>
      </c>
      <c r="E8683" t="s">
        <v>17452</v>
      </c>
      <c r="G8683" s="1">
        <f>(VLOOKUP(B8683,Ingot!H:I,2,FALSE()) * 0.75) * 0.75</f>
        <v>1.265625</v>
      </c>
    </row>
    <row r="8684" spans="1:7" ht="14.25" customHeight="1" x14ac:dyDescent="0.45">
      <c r="A8684" t="str">
        <f>_xlfn.XLOOKUP(B8684,Ingot!$H$12:$H$119,Ingot!$G$12:$G$119,"")</f>
        <v>Cloth</v>
      </c>
      <c r="B8684" t="s">
        <v>17224</v>
      </c>
      <c r="C8684" t="s">
        <v>239</v>
      </c>
      <c r="D8684" t="s">
        <v>17453</v>
      </c>
      <c r="E8684" t="s">
        <v>17454</v>
      </c>
      <c r="F8684" t="s">
        <v>180</v>
      </c>
      <c r="G8684" s="1">
        <f>((VLOOKUP(B8684,Ingot!H:I,2,FALSE()) * 3) - 10.25) * 0.421875</f>
        <v>-1.4765625</v>
      </c>
    </row>
    <row r="8685" spans="1:7" ht="14.25" customHeight="1" x14ac:dyDescent="0.45">
      <c r="A8685" t="str">
        <f>_xlfn.XLOOKUP(B8685,Ingot!$H$12:$H$119,Ingot!$G$12:$G$119,"")</f>
        <v>Cloth</v>
      </c>
      <c r="B8685" t="s">
        <v>17224</v>
      </c>
      <c r="C8685" t="s">
        <v>239</v>
      </c>
      <c r="D8685" t="s">
        <v>17455</v>
      </c>
      <c r="E8685" t="s">
        <v>17456</v>
      </c>
      <c r="F8685" t="s">
        <v>180</v>
      </c>
      <c r="G8685" s="1">
        <f>((VLOOKUP(B8685,Ingot!H:I,2,FALSE()) * 3) - 10.25) * 0.75</f>
        <v>-2.625</v>
      </c>
    </row>
    <row r="8686" spans="1:7" ht="14.25" customHeight="1" x14ac:dyDescent="0.45">
      <c r="A8686" t="str">
        <f>_xlfn.XLOOKUP(B8686,Ingot!$H$12:$H$119,Ingot!$G$12:$G$119,"")</f>
        <v>Cloth</v>
      </c>
      <c r="B8686" t="s">
        <v>17224</v>
      </c>
      <c r="C8686" t="s">
        <v>239</v>
      </c>
      <c r="D8686" t="s">
        <v>17457</v>
      </c>
      <c r="E8686" t="s">
        <v>17458</v>
      </c>
      <c r="F8686" t="s">
        <v>180</v>
      </c>
      <c r="G8686" s="1">
        <f>((VLOOKUP(B8686,Ingot!H:I,2,FALSE()) * 3) - 10.25) * 0.5625</f>
        <v>-1.96875</v>
      </c>
    </row>
    <row r="8687" spans="1:7" ht="14.25" customHeight="1" x14ac:dyDescent="0.45">
      <c r="A8687" t="str">
        <f>_xlfn.XLOOKUP(B8687,Ingot!$H$12:$H$119,Ingot!$G$12:$G$119,"")</f>
        <v>Cloth</v>
      </c>
      <c r="B8687" t="s">
        <v>17224</v>
      </c>
      <c r="C8687" t="s">
        <v>239</v>
      </c>
      <c r="D8687" t="s">
        <v>17459</v>
      </c>
      <c r="E8687" t="s">
        <v>17460</v>
      </c>
      <c r="G8687" s="1">
        <f>VLOOKUP(B8687,Ingot!H:I,2,FALSE()) * 0.75</f>
        <v>1.6875</v>
      </c>
    </row>
    <row r="8688" spans="1:7" ht="14.25" customHeight="1" x14ac:dyDescent="0.45">
      <c r="A8688" t="str">
        <f>_xlfn.XLOOKUP(B8688,Ingot!$H$12:$H$119,Ingot!$G$12:$G$119,"")</f>
        <v>Cloth</v>
      </c>
      <c r="B8688" t="s">
        <v>17224</v>
      </c>
      <c r="C8688" t="s">
        <v>239</v>
      </c>
      <c r="D8688" t="s">
        <v>17461</v>
      </c>
      <c r="E8688" t="s">
        <v>17462</v>
      </c>
      <c r="F8688" t="s">
        <v>180</v>
      </c>
      <c r="G8688" s="1">
        <f>(VLOOKUP(B8688,Ingot!H:I,2,FALSE()) * 3) - 10.25</f>
        <v>-3.5</v>
      </c>
    </row>
    <row r="8689" spans="1:7" ht="14.25" customHeight="1" x14ac:dyDescent="0.45">
      <c r="A8689" t="str">
        <f>_xlfn.XLOOKUP(B8689,Ingot!$H$12:$H$119,Ingot!$G$12:$G$119,"")</f>
        <v>Cloth</v>
      </c>
      <c r="B8689" t="s">
        <v>17463</v>
      </c>
      <c r="C8689" t="s">
        <v>10</v>
      </c>
      <c r="D8689" t="s">
        <v>17464</v>
      </c>
      <c r="E8689" t="s">
        <v>17465</v>
      </c>
      <c r="G8689" s="1">
        <v>0.08</v>
      </c>
    </row>
    <row r="8690" spans="1:7" ht="14.25" customHeight="1" x14ac:dyDescent="0.45">
      <c r="A8690" t="str">
        <f>_xlfn.XLOOKUP(B8690,Ingot!$H$12:$H$119,Ingot!$G$12:$G$119,"")</f>
        <v>Cloth</v>
      </c>
      <c r="B8690" t="s">
        <v>17463</v>
      </c>
      <c r="C8690" t="s">
        <v>10</v>
      </c>
      <c r="D8690" t="s">
        <v>17466</v>
      </c>
      <c r="E8690" t="s">
        <v>17467</v>
      </c>
      <c r="G8690" s="1">
        <v>9.9</v>
      </c>
    </row>
    <row r="8691" spans="1:7" ht="14.25" customHeight="1" x14ac:dyDescent="0.45">
      <c r="A8691" t="str">
        <f>_xlfn.XLOOKUP(B8691,Ingot!$H$12:$H$119,Ingot!$G$12:$G$119,"")</f>
        <v>Cloth</v>
      </c>
      <c r="B8691" t="s">
        <v>17463</v>
      </c>
      <c r="C8691" t="s">
        <v>10</v>
      </c>
      <c r="D8691" t="s">
        <v>17468</v>
      </c>
      <c r="E8691" t="s">
        <v>17469</v>
      </c>
      <c r="G8691" s="1">
        <v>5.66</v>
      </c>
    </row>
    <row r="8692" spans="1:7" ht="14.25" customHeight="1" x14ac:dyDescent="0.45">
      <c r="A8692" t="str">
        <f>_xlfn.XLOOKUP(B8692,Ingot!$H$12:$H$119,Ingot!$G$12:$G$119,"")</f>
        <v>Cloth</v>
      </c>
      <c r="B8692" t="s">
        <v>17463</v>
      </c>
      <c r="C8692" t="s">
        <v>10</v>
      </c>
      <c r="D8692" t="s">
        <v>17470</v>
      </c>
      <c r="E8692" t="s">
        <v>17471</v>
      </c>
      <c r="G8692" s="1">
        <v>3.3</v>
      </c>
    </row>
    <row r="8693" spans="1:7" ht="14.25" customHeight="1" x14ac:dyDescent="0.45">
      <c r="A8693" t="str">
        <f>_xlfn.XLOOKUP(B8693,Ingot!$H$12:$H$119,Ingot!$G$12:$G$119,"")</f>
        <v>Cloth</v>
      </c>
      <c r="B8693" t="s">
        <v>17463</v>
      </c>
      <c r="C8693" t="s">
        <v>10</v>
      </c>
      <c r="D8693" t="s">
        <v>17472</v>
      </c>
      <c r="E8693" t="s">
        <v>17473</v>
      </c>
      <c r="G8693" s="1">
        <v>0.66</v>
      </c>
    </row>
    <row r="8694" spans="1:7" ht="14.25" customHeight="1" x14ac:dyDescent="0.45">
      <c r="A8694" t="str">
        <f>_xlfn.XLOOKUP(B8694,Ingot!$H$12:$H$119,Ingot!$G$12:$G$119,"")</f>
        <v>Cloth</v>
      </c>
      <c r="B8694" t="s">
        <v>17463</v>
      </c>
      <c r="C8694" t="s">
        <v>10</v>
      </c>
      <c r="D8694" t="s">
        <v>17474</v>
      </c>
      <c r="E8694" t="s">
        <v>17475</v>
      </c>
      <c r="G8694" s="1">
        <v>0.04</v>
      </c>
    </row>
    <row r="8695" spans="1:7" ht="14.25" customHeight="1" x14ac:dyDescent="0.45">
      <c r="A8695" t="str">
        <f>_xlfn.XLOOKUP(B8695,Ingot!$H$12:$H$119,Ingot!$G$12:$G$119,"")</f>
        <v>Cloth</v>
      </c>
      <c r="B8695" t="s">
        <v>17463</v>
      </c>
      <c r="C8695" t="s">
        <v>10</v>
      </c>
      <c r="D8695" t="s">
        <v>17476</v>
      </c>
      <c r="E8695" t="s">
        <v>17477</v>
      </c>
      <c r="G8695" s="1">
        <v>0.33</v>
      </c>
    </row>
    <row r="8696" spans="1:7" ht="14.25" customHeight="1" x14ac:dyDescent="0.45">
      <c r="A8696" t="str">
        <f>_xlfn.XLOOKUP(B8696,Ingot!$H$12:$H$119,Ingot!$G$12:$G$119,"")</f>
        <v>Cloth</v>
      </c>
      <c r="B8696" t="s">
        <v>17463</v>
      </c>
      <c r="C8696" t="s">
        <v>10</v>
      </c>
      <c r="D8696" t="s">
        <v>17478</v>
      </c>
      <c r="E8696" t="s">
        <v>17479</v>
      </c>
    </row>
    <row r="8697" spans="1:7" ht="14.25" customHeight="1" x14ac:dyDescent="0.45">
      <c r="A8697" t="str">
        <f>_xlfn.XLOOKUP(B8697,Ingot!$H$12:$H$119,Ingot!$G$12:$G$119,"")</f>
        <v>Cloth</v>
      </c>
      <c r="B8697" t="s">
        <v>17463</v>
      </c>
      <c r="C8697" t="s">
        <v>10</v>
      </c>
      <c r="D8697" t="s">
        <v>17480</v>
      </c>
      <c r="E8697" t="s">
        <v>17481</v>
      </c>
      <c r="G8697" s="1">
        <v>0.05</v>
      </c>
    </row>
    <row r="8698" spans="1:7" ht="14.25" customHeight="1" x14ac:dyDescent="0.45">
      <c r="A8698" t="str">
        <f>_xlfn.XLOOKUP(B8698,Ingot!$H$12:$H$119,Ingot!$G$12:$G$119,"")</f>
        <v>Cloth</v>
      </c>
      <c r="B8698" t="s">
        <v>17463</v>
      </c>
      <c r="C8698" t="s">
        <v>10</v>
      </c>
      <c r="D8698" t="s">
        <v>17482</v>
      </c>
      <c r="E8698" t="s">
        <v>17483</v>
      </c>
      <c r="G8698" s="1">
        <v>0.66</v>
      </c>
    </row>
    <row r="8699" spans="1:7" ht="14.25" customHeight="1" x14ac:dyDescent="0.45">
      <c r="A8699" t="str">
        <f>_xlfn.XLOOKUP(B8699,Ingot!$H$12:$H$119,Ingot!$G$12:$G$119,"")</f>
        <v>Cloth</v>
      </c>
      <c r="B8699" t="s">
        <v>17463</v>
      </c>
      <c r="C8699" t="s">
        <v>10</v>
      </c>
      <c r="D8699" t="s">
        <v>17484</v>
      </c>
      <c r="E8699" t="s">
        <v>17485</v>
      </c>
      <c r="G8699" s="1">
        <v>3.96</v>
      </c>
    </row>
    <row r="8700" spans="1:7" ht="14.25" customHeight="1" x14ac:dyDescent="0.45">
      <c r="A8700" t="str">
        <f>_xlfn.XLOOKUP(B8700,Ingot!$H$12:$H$119,Ingot!$G$12:$G$119,"")</f>
        <v>Cloth</v>
      </c>
      <c r="B8700" t="s">
        <v>17463</v>
      </c>
      <c r="C8700" t="s">
        <v>10</v>
      </c>
      <c r="D8700" t="s">
        <v>17486</v>
      </c>
      <c r="E8700" t="s">
        <v>17487</v>
      </c>
      <c r="G8700" s="1">
        <v>8.77</v>
      </c>
    </row>
    <row r="8701" spans="1:7" ht="14.25" customHeight="1" x14ac:dyDescent="0.45">
      <c r="A8701" t="str">
        <f>_xlfn.XLOOKUP(B8701,Ingot!$H$12:$H$119,Ingot!$G$12:$G$119,"")</f>
        <v>Cloth</v>
      </c>
      <c r="B8701" t="s">
        <v>17463</v>
      </c>
      <c r="C8701" t="s">
        <v>10</v>
      </c>
      <c r="D8701" t="s">
        <v>17488</v>
      </c>
      <c r="E8701" t="s">
        <v>17489</v>
      </c>
      <c r="G8701" s="1">
        <v>3.5</v>
      </c>
    </row>
    <row r="8702" spans="1:7" ht="14.25" customHeight="1" x14ac:dyDescent="0.45">
      <c r="A8702" t="str">
        <f>_xlfn.XLOOKUP(B8702,Ingot!$H$12:$H$119,Ingot!$G$12:$G$119,"")</f>
        <v>Cloth</v>
      </c>
      <c r="B8702" t="s">
        <v>17463</v>
      </c>
      <c r="C8702" t="s">
        <v>10</v>
      </c>
      <c r="D8702" t="s">
        <v>17490</v>
      </c>
      <c r="E8702" t="s">
        <v>17491</v>
      </c>
    </row>
    <row r="8703" spans="1:7" ht="14.25" customHeight="1" x14ac:dyDescent="0.45">
      <c r="A8703" t="str">
        <f>_xlfn.XLOOKUP(B8703,Ingot!$H$12:$H$119,Ingot!$G$12:$G$119,"")</f>
        <v>Cloth</v>
      </c>
      <c r="B8703" t="s">
        <v>17463</v>
      </c>
      <c r="C8703" t="s">
        <v>10</v>
      </c>
      <c r="D8703" t="s">
        <v>17492</v>
      </c>
      <c r="E8703" t="s">
        <v>17493</v>
      </c>
      <c r="G8703" s="1">
        <v>2.2000000000000002</v>
      </c>
    </row>
    <row r="8704" spans="1:7" ht="14.25" customHeight="1" x14ac:dyDescent="0.45">
      <c r="A8704" t="str">
        <f>_xlfn.XLOOKUP(B8704,Ingot!$H$12:$H$119,Ingot!$G$12:$G$119,"")</f>
        <v>Cloth</v>
      </c>
      <c r="B8704" t="s">
        <v>17463</v>
      </c>
      <c r="C8704" t="s">
        <v>10</v>
      </c>
      <c r="D8704" t="s">
        <v>17494</v>
      </c>
      <c r="E8704" t="s">
        <v>17495</v>
      </c>
      <c r="G8704" s="1">
        <v>1.1000000000000001</v>
      </c>
    </row>
    <row r="8705" spans="1:7" ht="14.25" customHeight="1" x14ac:dyDescent="0.45">
      <c r="A8705" t="str">
        <f>_xlfn.XLOOKUP(B8705,Ingot!$H$12:$H$119,Ingot!$G$12:$G$119,"")</f>
        <v>Cloth</v>
      </c>
      <c r="B8705" t="s">
        <v>17463</v>
      </c>
      <c r="C8705" t="s">
        <v>10</v>
      </c>
      <c r="D8705" t="s">
        <v>17496</v>
      </c>
      <c r="E8705" t="s">
        <v>17497</v>
      </c>
      <c r="G8705" s="1">
        <v>0.22</v>
      </c>
    </row>
    <row r="8706" spans="1:7" ht="14.25" customHeight="1" x14ac:dyDescent="0.45">
      <c r="A8706" t="str">
        <f>_xlfn.XLOOKUP(B8706,Ingot!$H$12:$H$119,Ingot!$G$12:$G$119,"")</f>
        <v>Cloth</v>
      </c>
      <c r="B8706" t="s">
        <v>17463</v>
      </c>
      <c r="C8706" t="s">
        <v>10</v>
      </c>
      <c r="D8706" t="s">
        <v>17498</v>
      </c>
      <c r="E8706" t="s">
        <v>17499</v>
      </c>
      <c r="G8706" s="1">
        <v>8.41</v>
      </c>
    </row>
    <row r="8707" spans="1:7" ht="14.25" customHeight="1" x14ac:dyDescent="0.45">
      <c r="A8707" t="str">
        <f>_xlfn.XLOOKUP(B8707,Ingot!$H$12:$H$119,Ingot!$G$12:$G$119,"")</f>
        <v>Cloth</v>
      </c>
      <c r="B8707" t="s">
        <v>17463</v>
      </c>
      <c r="C8707" t="s">
        <v>10</v>
      </c>
      <c r="D8707" t="s">
        <v>17500</v>
      </c>
      <c r="E8707" t="s">
        <v>17501</v>
      </c>
      <c r="G8707" s="1">
        <v>3.64</v>
      </c>
    </row>
    <row r="8708" spans="1:7" ht="14.25" customHeight="1" x14ac:dyDescent="0.45">
      <c r="A8708" t="str">
        <f>_xlfn.XLOOKUP(B8708,Ingot!$H$12:$H$119,Ingot!$G$12:$G$119,"")</f>
        <v>Cloth</v>
      </c>
      <c r="B8708" t="s">
        <v>17463</v>
      </c>
      <c r="C8708" t="s">
        <v>10</v>
      </c>
      <c r="D8708" t="s">
        <v>17502</v>
      </c>
      <c r="E8708" t="s">
        <v>17503</v>
      </c>
      <c r="G8708" s="1">
        <v>7.05</v>
      </c>
    </row>
    <row r="8709" spans="1:7" ht="14.25" customHeight="1" x14ac:dyDescent="0.45">
      <c r="A8709" t="str">
        <f>_xlfn.XLOOKUP(B8709,Ingot!$H$12:$H$119,Ingot!$G$12:$G$119,"")</f>
        <v>Cloth</v>
      </c>
      <c r="B8709" t="s">
        <v>17463</v>
      </c>
      <c r="C8709" t="s">
        <v>10</v>
      </c>
      <c r="D8709" t="s">
        <v>17504</v>
      </c>
      <c r="E8709" t="s">
        <v>17505</v>
      </c>
      <c r="G8709" s="1">
        <v>2.65</v>
      </c>
    </row>
    <row r="8710" spans="1:7" ht="14.25" customHeight="1" x14ac:dyDescent="0.45">
      <c r="A8710" t="str">
        <f>_xlfn.XLOOKUP(B8710,Ingot!$H$12:$H$119,Ingot!$G$12:$G$119,"")</f>
        <v>Cloth</v>
      </c>
      <c r="B8710" t="s">
        <v>17463</v>
      </c>
      <c r="C8710" t="s">
        <v>10</v>
      </c>
      <c r="D8710" t="s">
        <v>17506</v>
      </c>
      <c r="E8710" t="s">
        <v>17507</v>
      </c>
      <c r="G8710" s="1">
        <v>9</v>
      </c>
    </row>
    <row r="8711" spans="1:7" ht="14.25" customHeight="1" x14ac:dyDescent="0.45">
      <c r="A8711" t="str">
        <f>_xlfn.XLOOKUP(B8711,Ingot!$H$12:$H$119,Ingot!$G$12:$G$119,"")</f>
        <v>Cloth</v>
      </c>
      <c r="B8711" t="s">
        <v>17463</v>
      </c>
      <c r="C8711" t="s">
        <v>10</v>
      </c>
      <c r="D8711" t="s">
        <v>17508</v>
      </c>
      <c r="E8711" t="s">
        <v>17509</v>
      </c>
      <c r="G8711" s="1">
        <v>10.23</v>
      </c>
    </row>
    <row r="8712" spans="1:7" ht="14.25" customHeight="1" x14ac:dyDescent="0.45">
      <c r="A8712" t="str">
        <f>_xlfn.XLOOKUP(B8712,Ingot!$H$12:$H$119,Ingot!$G$12:$G$119,"")</f>
        <v>Cloth</v>
      </c>
      <c r="B8712" t="s">
        <v>17463</v>
      </c>
      <c r="C8712" t="s">
        <v>10</v>
      </c>
      <c r="D8712" t="s">
        <v>17510</v>
      </c>
      <c r="E8712" t="s">
        <v>17511</v>
      </c>
      <c r="G8712" s="1">
        <v>7.7</v>
      </c>
    </row>
    <row r="8713" spans="1:7" ht="14.25" customHeight="1" x14ac:dyDescent="0.45">
      <c r="A8713" t="str">
        <f>_xlfn.XLOOKUP(B8713,Ingot!$H$12:$H$119,Ingot!$G$12:$G$119,"")</f>
        <v>Cloth</v>
      </c>
      <c r="B8713" t="s">
        <v>17463</v>
      </c>
      <c r="C8713" t="s">
        <v>10</v>
      </c>
      <c r="D8713" t="s">
        <v>17512</v>
      </c>
      <c r="E8713" t="s">
        <v>17513</v>
      </c>
      <c r="G8713" s="1">
        <v>10.02</v>
      </c>
    </row>
    <row r="8714" spans="1:7" ht="14.25" customHeight="1" x14ac:dyDescent="0.45">
      <c r="A8714" t="str">
        <f>_xlfn.XLOOKUP(B8714,Ingot!$H$12:$H$119,Ingot!$G$12:$G$119,"")</f>
        <v>Cloth</v>
      </c>
      <c r="B8714" t="s">
        <v>17463</v>
      </c>
      <c r="C8714" t="s">
        <v>10</v>
      </c>
      <c r="D8714" t="s">
        <v>17514</v>
      </c>
      <c r="E8714" t="s">
        <v>17515</v>
      </c>
      <c r="G8714" s="1">
        <v>11.81</v>
      </c>
    </row>
    <row r="8715" spans="1:7" ht="14.25" customHeight="1" x14ac:dyDescent="0.45">
      <c r="A8715" t="str">
        <f>_xlfn.XLOOKUP(B8715,Ingot!$H$12:$H$119,Ingot!$G$12:$G$119,"")</f>
        <v>Cloth</v>
      </c>
      <c r="B8715" t="s">
        <v>17463</v>
      </c>
      <c r="C8715" t="s">
        <v>10</v>
      </c>
      <c r="D8715" t="s">
        <v>17516</v>
      </c>
      <c r="E8715" t="s">
        <v>17517</v>
      </c>
      <c r="G8715" s="1">
        <v>8.44</v>
      </c>
    </row>
    <row r="8716" spans="1:7" ht="14.25" customHeight="1" x14ac:dyDescent="0.45">
      <c r="A8716" t="str">
        <f>_xlfn.XLOOKUP(B8716,Ingot!$H$12:$H$119,Ingot!$G$12:$G$119,"")</f>
        <v>Cloth</v>
      </c>
      <c r="B8716" t="s">
        <v>17463</v>
      </c>
      <c r="C8716" t="s">
        <v>10</v>
      </c>
      <c r="D8716" t="s">
        <v>17518</v>
      </c>
      <c r="E8716" t="s">
        <v>17519</v>
      </c>
      <c r="G8716" s="1">
        <v>10.42</v>
      </c>
    </row>
    <row r="8717" spans="1:7" ht="14.25" customHeight="1" x14ac:dyDescent="0.45">
      <c r="A8717" t="str">
        <f>_xlfn.XLOOKUP(B8717,Ingot!$H$12:$H$119,Ingot!$G$12:$G$119,"")</f>
        <v>Cloth</v>
      </c>
      <c r="B8717" t="s">
        <v>17463</v>
      </c>
      <c r="C8717" t="s">
        <v>10</v>
      </c>
      <c r="D8717" t="s">
        <v>17520</v>
      </c>
      <c r="E8717" t="s">
        <v>17521</v>
      </c>
    </row>
    <row r="8718" spans="1:7" ht="14.25" customHeight="1" x14ac:dyDescent="0.45">
      <c r="A8718" t="str">
        <f>_xlfn.XLOOKUP(B8718,Ingot!$H$12:$H$119,Ingot!$G$12:$G$119,"")</f>
        <v>Cloth</v>
      </c>
      <c r="B8718" t="s">
        <v>17463</v>
      </c>
      <c r="C8718" t="s">
        <v>10</v>
      </c>
      <c r="D8718" t="s">
        <v>17522</v>
      </c>
      <c r="E8718" t="s">
        <v>17523</v>
      </c>
      <c r="G8718" s="1">
        <v>7.96</v>
      </c>
    </row>
    <row r="8719" spans="1:7" ht="14.25" customHeight="1" x14ac:dyDescent="0.45">
      <c r="A8719" t="str">
        <f>_xlfn.XLOOKUP(B8719,Ingot!$H$12:$H$119,Ingot!$G$12:$G$119,"")</f>
        <v>Cloth</v>
      </c>
      <c r="B8719" t="s">
        <v>17463</v>
      </c>
      <c r="C8719" t="s">
        <v>10</v>
      </c>
      <c r="D8719" t="s">
        <v>17524</v>
      </c>
      <c r="E8719" t="s">
        <v>17525</v>
      </c>
      <c r="G8719" s="1">
        <v>9.64</v>
      </c>
    </row>
    <row r="8720" spans="1:7" ht="14.25" customHeight="1" x14ac:dyDescent="0.45">
      <c r="A8720" t="str">
        <f>_xlfn.XLOOKUP(B8720,Ingot!$H$12:$H$119,Ingot!$G$12:$G$119,"")</f>
        <v>Cloth</v>
      </c>
      <c r="B8720" t="s">
        <v>17463</v>
      </c>
      <c r="C8720" t="s">
        <v>10</v>
      </c>
      <c r="D8720" t="s">
        <v>17526</v>
      </c>
      <c r="E8720" t="s">
        <v>17527</v>
      </c>
      <c r="G8720" s="1">
        <v>7.94</v>
      </c>
    </row>
    <row r="8721" spans="1:7" ht="14.25" customHeight="1" x14ac:dyDescent="0.45">
      <c r="A8721" t="str">
        <f>_xlfn.XLOOKUP(B8721,Ingot!$H$12:$H$119,Ingot!$G$12:$G$119,"")</f>
        <v>Cloth</v>
      </c>
      <c r="B8721" t="s">
        <v>17463</v>
      </c>
      <c r="C8721" t="s">
        <v>10</v>
      </c>
      <c r="D8721" t="s">
        <v>17528</v>
      </c>
      <c r="E8721" t="s">
        <v>17529</v>
      </c>
      <c r="G8721" s="1">
        <v>8.66</v>
      </c>
    </row>
    <row r="8722" spans="1:7" ht="14.25" customHeight="1" x14ac:dyDescent="0.45">
      <c r="A8722" t="str">
        <f>_xlfn.XLOOKUP(B8722,Ingot!$H$12:$H$119,Ingot!$G$12:$G$119,"")</f>
        <v>Cloth</v>
      </c>
      <c r="B8722" t="s">
        <v>17463</v>
      </c>
      <c r="C8722" t="s">
        <v>10</v>
      </c>
      <c r="D8722" t="s">
        <v>17530</v>
      </c>
      <c r="E8722" t="s">
        <v>17531</v>
      </c>
    </row>
    <row r="8723" spans="1:7" ht="14.25" customHeight="1" x14ac:dyDescent="0.45">
      <c r="A8723" t="str">
        <f>_xlfn.XLOOKUP(B8723,Ingot!$H$12:$H$119,Ingot!$G$12:$G$119,"")</f>
        <v>Cloth</v>
      </c>
      <c r="B8723" t="s">
        <v>17463</v>
      </c>
      <c r="C8723" t="s">
        <v>10</v>
      </c>
      <c r="D8723" t="s">
        <v>17532</v>
      </c>
      <c r="E8723" t="s">
        <v>17533</v>
      </c>
      <c r="G8723" s="1">
        <v>2.65</v>
      </c>
    </row>
    <row r="8724" spans="1:7" ht="14.25" customHeight="1" x14ac:dyDescent="0.45">
      <c r="A8724" t="str">
        <f>_xlfn.XLOOKUP(B8724,Ingot!$H$12:$H$119,Ingot!$G$12:$G$119,"")</f>
        <v>Cloth</v>
      </c>
      <c r="B8724" t="s">
        <v>17463</v>
      </c>
      <c r="C8724" t="s">
        <v>10</v>
      </c>
      <c r="D8724" t="s">
        <v>17534</v>
      </c>
      <c r="E8724" t="s">
        <v>17535</v>
      </c>
    </row>
    <row r="8725" spans="1:7" ht="14.25" customHeight="1" x14ac:dyDescent="0.45">
      <c r="A8725" t="str">
        <f>_xlfn.XLOOKUP(B8725,Ingot!$H$12:$H$119,Ingot!$G$12:$G$119,"")</f>
        <v>Cloth</v>
      </c>
      <c r="B8725" t="s">
        <v>17463</v>
      </c>
      <c r="C8725" t="s">
        <v>10</v>
      </c>
      <c r="D8725" t="s">
        <v>17536</v>
      </c>
      <c r="E8725" t="s">
        <v>17537</v>
      </c>
      <c r="G8725" s="1">
        <v>12.64</v>
      </c>
    </row>
    <row r="8726" spans="1:7" ht="14.25" customHeight="1" x14ac:dyDescent="0.45">
      <c r="A8726" t="str">
        <f>_xlfn.XLOOKUP(B8726,Ingot!$H$12:$H$119,Ingot!$G$12:$G$119,"")</f>
        <v>Cloth</v>
      </c>
      <c r="B8726" t="s">
        <v>17463</v>
      </c>
      <c r="C8726" t="s">
        <v>10</v>
      </c>
      <c r="D8726" t="s">
        <v>17538</v>
      </c>
      <c r="E8726" t="s">
        <v>17539</v>
      </c>
      <c r="G8726" s="1">
        <v>22.67</v>
      </c>
    </row>
    <row r="8727" spans="1:7" ht="14.25" customHeight="1" x14ac:dyDescent="0.45">
      <c r="A8727" t="str">
        <f>_xlfn.XLOOKUP(B8727,Ingot!$H$12:$H$119,Ingot!$G$12:$G$119,"")</f>
        <v>Cloth</v>
      </c>
      <c r="B8727" t="s">
        <v>17463</v>
      </c>
      <c r="C8727" t="s">
        <v>10</v>
      </c>
      <c r="D8727" t="s">
        <v>17540</v>
      </c>
      <c r="E8727" t="s">
        <v>17541</v>
      </c>
      <c r="G8727" s="1">
        <v>8.3800000000000008</v>
      </c>
    </row>
    <row r="8728" spans="1:7" ht="14.25" customHeight="1" x14ac:dyDescent="0.45">
      <c r="A8728" t="str">
        <f>_xlfn.XLOOKUP(B8728,Ingot!$H$12:$H$119,Ingot!$G$12:$G$119,"")</f>
        <v>Cloth</v>
      </c>
      <c r="B8728" t="s">
        <v>17463</v>
      </c>
      <c r="C8728" t="s">
        <v>10</v>
      </c>
      <c r="D8728" t="s">
        <v>17542</v>
      </c>
      <c r="E8728" t="s">
        <v>17543</v>
      </c>
      <c r="G8728" s="1">
        <v>2.2000000000000002</v>
      </c>
    </row>
    <row r="8729" spans="1:7" ht="14.25" customHeight="1" x14ac:dyDescent="0.45">
      <c r="A8729" t="str">
        <f>_xlfn.XLOOKUP(B8729,Ingot!$H$12:$H$119,Ingot!$G$12:$G$119,"")</f>
        <v>Cloth</v>
      </c>
      <c r="B8729" t="s">
        <v>17463</v>
      </c>
      <c r="C8729" t="s">
        <v>10</v>
      </c>
      <c r="D8729" t="s">
        <v>17544</v>
      </c>
      <c r="E8729" t="s">
        <v>17545</v>
      </c>
      <c r="G8729" s="1">
        <v>3.09</v>
      </c>
    </row>
    <row r="8730" spans="1:7" ht="14.25" customHeight="1" x14ac:dyDescent="0.45">
      <c r="A8730" t="str">
        <f>_xlfn.XLOOKUP(B8730,Ingot!$H$12:$H$119,Ingot!$G$12:$G$119,"")</f>
        <v>Cloth</v>
      </c>
      <c r="B8730" t="s">
        <v>17463</v>
      </c>
      <c r="C8730" t="s">
        <v>10</v>
      </c>
      <c r="D8730" t="s">
        <v>17546</v>
      </c>
      <c r="E8730" t="s">
        <v>17547</v>
      </c>
      <c r="G8730" s="1">
        <v>2.2999999999999998</v>
      </c>
    </row>
    <row r="8731" spans="1:7" ht="14.25" customHeight="1" x14ac:dyDescent="0.45">
      <c r="A8731" t="str">
        <f>_xlfn.XLOOKUP(B8731,Ingot!$H$12:$H$119,Ingot!$G$12:$G$119,"")</f>
        <v>Cloth</v>
      </c>
      <c r="B8731" t="s">
        <v>17463</v>
      </c>
      <c r="C8731" t="s">
        <v>10</v>
      </c>
      <c r="D8731" t="s">
        <v>17548</v>
      </c>
      <c r="E8731" t="s">
        <v>17549</v>
      </c>
      <c r="G8731" s="1">
        <v>4.88</v>
      </c>
    </row>
    <row r="8732" spans="1:7" ht="14.25" customHeight="1" x14ac:dyDescent="0.45">
      <c r="A8732" t="str">
        <f>_xlfn.XLOOKUP(B8732,Ingot!$H$12:$H$119,Ingot!$G$12:$G$119,"")</f>
        <v>Cloth</v>
      </c>
      <c r="B8732" t="s">
        <v>17463</v>
      </c>
      <c r="C8732" t="s">
        <v>10</v>
      </c>
      <c r="D8732" t="s">
        <v>17550</v>
      </c>
      <c r="E8732" t="s">
        <v>17551</v>
      </c>
      <c r="G8732" s="1">
        <v>8.43</v>
      </c>
    </row>
    <row r="8733" spans="1:7" ht="14.25" customHeight="1" x14ac:dyDescent="0.45">
      <c r="A8733" t="str">
        <f>_xlfn.XLOOKUP(B8733,Ingot!$H$12:$H$119,Ingot!$G$12:$G$119,"")</f>
        <v>Cloth</v>
      </c>
      <c r="B8733" t="s">
        <v>17463</v>
      </c>
      <c r="C8733" t="s">
        <v>10</v>
      </c>
      <c r="D8733" t="s">
        <v>17552</v>
      </c>
      <c r="E8733" t="s">
        <v>17553</v>
      </c>
      <c r="G8733" s="1">
        <v>13.07</v>
      </c>
    </row>
    <row r="8734" spans="1:7" ht="14.25" customHeight="1" x14ac:dyDescent="0.45">
      <c r="A8734" t="str">
        <f>_xlfn.XLOOKUP(B8734,Ingot!$H$12:$H$119,Ingot!$G$12:$G$119,"")</f>
        <v>Cloth</v>
      </c>
      <c r="B8734" t="s">
        <v>17463</v>
      </c>
      <c r="C8734" t="s">
        <v>10</v>
      </c>
      <c r="D8734" t="s">
        <v>17554</v>
      </c>
      <c r="E8734" t="s">
        <v>17555</v>
      </c>
    </row>
    <row r="8735" spans="1:7" ht="14.25" customHeight="1" x14ac:dyDescent="0.45">
      <c r="A8735" t="str">
        <f>_xlfn.XLOOKUP(B8735,Ingot!$H$12:$H$119,Ingot!$G$12:$G$119,"")</f>
        <v>Cloth</v>
      </c>
      <c r="B8735" t="s">
        <v>17463</v>
      </c>
      <c r="C8735" t="s">
        <v>10</v>
      </c>
      <c r="D8735" t="s">
        <v>17556</v>
      </c>
      <c r="E8735" t="s">
        <v>17557</v>
      </c>
    </row>
    <row r="8736" spans="1:7" ht="14.25" customHeight="1" x14ac:dyDescent="0.45">
      <c r="A8736" t="str">
        <f>_xlfn.XLOOKUP(B8736,Ingot!$H$12:$H$119,Ingot!$G$12:$G$119,"")</f>
        <v>Cloth</v>
      </c>
      <c r="B8736" t="s">
        <v>17463</v>
      </c>
      <c r="C8736" t="s">
        <v>10</v>
      </c>
      <c r="D8736" t="s">
        <v>17558</v>
      </c>
      <c r="E8736" t="s">
        <v>17559</v>
      </c>
      <c r="G8736" s="1">
        <v>6.8</v>
      </c>
    </row>
    <row r="8737" spans="1:7" ht="14.25" customHeight="1" x14ac:dyDescent="0.45">
      <c r="A8737" t="str">
        <f>_xlfn.XLOOKUP(B8737,Ingot!$H$12:$H$119,Ingot!$G$12:$G$119,"")</f>
        <v>Cloth</v>
      </c>
      <c r="B8737" t="s">
        <v>17463</v>
      </c>
      <c r="C8737" t="s">
        <v>10</v>
      </c>
      <c r="D8737" t="s">
        <v>17560</v>
      </c>
      <c r="E8737" t="s">
        <v>17561</v>
      </c>
      <c r="G8737" s="1">
        <v>6.88</v>
      </c>
    </row>
    <row r="8738" spans="1:7" ht="14.25" customHeight="1" x14ac:dyDescent="0.45">
      <c r="A8738" t="str">
        <f>_xlfn.XLOOKUP(B8738,Ingot!$H$12:$H$119,Ingot!$G$12:$G$119,"")</f>
        <v>Cloth</v>
      </c>
      <c r="B8738" t="s">
        <v>17463</v>
      </c>
      <c r="C8738" t="s">
        <v>10</v>
      </c>
      <c r="D8738" t="s">
        <v>17562</v>
      </c>
      <c r="E8738" t="s">
        <v>17563</v>
      </c>
      <c r="G8738" s="1">
        <v>5.5</v>
      </c>
    </row>
    <row r="8739" spans="1:7" ht="14.25" customHeight="1" x14ac:dyDescent="0.45">
      <c r="A8739" t="str">
        <f>_xlfn.XLOOKUP(B8739,Ingot!$H$12:$H$119,Ingot!$G$12:$G$119,"")</f>
        <v>Cloth</v>
      </c>
      <c r="B8739" t="s">
        <v>17463</v>
      </c>
      <c r="C8739" t="s">
        <v>10</v>
      </c>
      <c r="D8739" t="s">
        <v>17564</v>
      </c>
      <c r="E8739" t="s">
        <v>17565</v>
      </c>
      <c r="G8739" s="1">
        <v>2.4300000000000002</v>
      </c>
    </row>
    <row r="8740" spans="1:7" ht="14.25" customHeight="1" x14ac:dyDescent="0.45">
      <c r="A8740" t="str">
        <f>_xlfn.XLOOKUP(B8740,Ingot!$H$12:$H$119,Ingot!$G$12:$G$119,"")</f>
        <v>Cloth</v>
      </c>
      <c r="B8740" t="s">
        <v>17463</v>
      </c>
      <c r="C8740" t="s">
        <v>10</v>
      </c>
      <c r="D8740" t="s">
        <v>17566</v>
      </c>
      <c r="E8740" t="s">
        <v>17567</v>
      </c>
      <c r="G8740" s="1">
        <v>6.96</v>
      </c>
    </row>
    <row r="8741" spans="1:7" ht="14.25" customHeight="1" x14ac:dyDescent="0.45">
      <c r="A8741" t="str">
        <f>_xlfn.XLOOKUP(B8741,Ingot!$H$12:$H$119,Ingot!$G$12:$G$119,"")</f>
        <v>Cloth</v>
      </c>
      <c r="B8741" t="s">
        <v>17463</v>
      </c>
      <c r="C8741" t="s">
        <v>10</v>
      </c>
      <c r="D8741" t="s">
        <v>17568</v>
      </c>
      <c r="E8741" t="s">
        <v>17569</v>
      </c>
      <c r="G8741" s="1">
        <v>6.32</v>
      </c>
    </row>
    <row r="8742" spans="1:7" ht="14.25" customHeight="1" x14ac:dyDescent="0.45">
      <c r="A8742" t="str">
        <f>_xlfn.XLOOKUP(B8742,Ingot!$H$12:$H$119,Ingot!$G$12:$G$119,"")</f>
        <v>Cloth</v>
      </c>
      <c r="B8742" t="s">
        <v>17463</v>
      </c>
      <c r="C8742" t="s">
        <v>10</v>
      </c>
      <c r="D8742" t="s">
        <v>17570</v>
      </c>
      <c r="E8742" t="s">
        <v>17571</v>
      </c>
      <c r="G8742" s="1">
        <v>6.88</v>
      </c>
    </row>
    <row r="8743" spans="1:7" ht="14.25" customHeight="1" x14ac:dyDescent="0.45">
      <c r="A8743" t="str">
        <f>_xlfn.XLOOKUP(B8743,Ingot!$H$12:$H$119,Ingot!$G$12:$G$119,"")</f>
        <v>Cloth</v>
      </c>
      <c r="B8743" t="s">
        <v>17463</v>
      </c>
      <c r="C8743" t="s">
        <v>10</v>
      </c>
      <c r="D8743" t="s">
        <v>17572</v>
      </c>
      <c r="E8743" t="s">
        <v>17573</v>
      </c>
      <c r="G8743" s="1">
        <v>2.44</v>
      </c>
    </row>
    <row r="8744" spans="1:7" ht="14.25" customHeight="1" x14ac:dyDescent="0.45">
      <c r="A8744" t="str">
        <f>_xlfn.XLOOKUP(B8744,Ingot!$H$12:$H$119,Ingot!$G$12:$G$119,"")</f>
        <v>Cloth</v>
      </c>
      <c r="B8744" t="s">
        <v>17463</v>
      </c>
      <c r="C8744" t="s">
        <v>10</v>
      </c>
      <c r="D8744" t="s">
        <v>17574</v>
      </c>
      <c r="E8744" t="s">
        <v>17575</v>
      </c>
    </row>
    <row r="8745" spans="1:7" ht="14.25" customHeight="1" x14ac:dyDescent="0.45">
      <c r="A8745" t="str">
        <f>_xlfn.XLOOKUP(B8745,Ingot!$H$12:$H$119,Ingot!$G$12:$G$119,"")</f>
        <v>Cloth</v>
      </c>
      <c r="B8745" t="s">
        <v>17463</v>
      </c>
      <c r="C8745" t="s">
        <v>10</v>
      </c>
      <c r="D8745" t="s">
        <v>17576</v>
      </c>
      <c r="E8745" t="s">
        <v>17577</v>
      </c>
    </row>
    <row r="8746" spans="1:7" ht="14.25" customHeight="1" x14ac:dyDescent="0.45">
      <c r="A8746" t="str">
        <f>_xlfn.XLOOKUP(B8746,Ingot!$H$12:$H$119,Ingot!$G$12:$G$119,"")</f>
        <v>Cloth</v>
      </c>
      <c r="B8746" t="s">
        <v>17463</v>
      </c>
      <c r="C8746" t="s">
        <v>10</v>
      </c>
      <c r="D8746" t="s">
        <v>17578</v>
      </c>
      <c r="E8746" t="s">
        <v>17579</v>
      </c>
      <c r="G8746" s="1">
        <v>3.11</v>
      </c>
    </row>
    <row r="8747" spans="1:7" ht="14.25" customHeight="1" x14ac:dyDescent="0.45">
      <c r="A8747" t="str">
        <f>_xlfn.XLOOKUP(B8747,Ingot!$H$12:$H$119,Ingot!$G$12:$G$119,"")</f>
        <v>Cloth</v>
      </c>
      <c r="B8747" t="s">
        <v>17463</v>
      </c>
      <c r="C8747" t="s">
        <v>10</v>
      </c>
      <c r="D8747" t="s">
        <v>17580</v>
      </c>
      <c r="E8747" t="s">
        <v>17581</v>
      </c>
      <c r="G8747" s="1">
        <v>2.44</v>
      </c>
    </row>
    <row r="8748" spans="1:7" ht="14.25" customHeight="1" x14ac:dyDescent="0.45">
      <c r="A8748" t="str">
        <f>_xlfn.XLOOKUP(B8748,Ingot!$H$12:$H$119,Ingot!$G$12:$G$119,"")</f>
        <v>Cloth</v>
      </c>
      <c r="B8748" t="s">
        <v>17463</v>
      </c>
      <c r="C8748" t="s">
        <v>10</v>
      </c>
      <c r="D8748" t="s">
        <v>17582</v>
      </c>
      <c r="E8748" t="s">
        <v>17583</v>
      </c>
      <c r="G8748" s="1">
        <v>8.61</v>
      </c>
    </row>
    <row r="8749" spans="1:7" ht="14.25" customHeight="1" x14ac:dyDescent="0.45">
      <c r="A8749" t="str">
        <f>_xlfn.XLOOKUP(B8749,Ingot!$H$12:$H$119,Ingot!$G$12:$G$119,"")</f>
        <v>Cloth</v>
      </c>
      <c r="B8749" t="s">
        <v>17463</v>
      </c>
      <c r="C8749" t="s">
        <v>10</v>
      </c>
      <c r="D8749" t="s">
        <v>17584</v>
      </c>
      <c r="E8749" t="s">
        <v>17585</v>
      </c>
    </row>
    <row r="8750" spans="1:7" ht="14.25" customHeight="1" x14ac:dyDescent="0.45">
      <c r="A8750" t="str">
        <f>_xlfn.XLOOKUP(B8750,Ingot!$H$12:$H$119,Ingot!$G$12:$G$119,"")</f>
        <v>Cloth</v>
      </c>
      <c r="B8750" t="s">
        <v>17463</v>
      </c>
      <c r="C8750" t="s">
        <v>10</v>
      </c>
      <c r="D8750" t="s">
        <v>17586</v>
      </c>
      <c r="E8750" t="s">
        <v>17587</v>
      </c>
      <c r="G8750" s="1">
        <v>3.21</v>
      </c>
    </row>
    <row r="8751" spans="1:7" ht="14.25" customHeight="1" x14ac:dyDescent="0.45">
      <c r="A8751" t="str">
        <f>_xlfn.XLOOKUP(B8751,Ingot!$H$12:$H$119,Ingot!$G$12:$G$119,"")</f>
        <v>Cloth</v>
      </c>
      <c r="B8751" t="s">
        <v>17463</v>
      </c>
      <c r="C8751" t="s">
        <v>10</v>
      </c>
      <c r="D8751" t="s">
        <v>17588</v>
      </c>
      <c r="E8751" t="s">
        <v>17589</v>
      </c>
      <c r="G8751" s="1">
        <v>2.77</v>
      </c>
    </row>
    <row r="8752" spans="1:7" ht="14.25" customHeight="1" x14ac:dyDescent="0.45">
      <c r="A8752" t="str">
        <f>_xlfn.XLOOKUP(B8752,Ingot!$H$12:$H$119,Ingot!$G$12:$G$119,"")</f>
        <v>Cloth</v>
      </c>
      <c r="B8752" t="s">
        <v>17463</v>
      </c>
      <c r="C8752" t="s">
        <v>10</v>
      </c>
      <c r="D8752" t="s">
        <v>17590</v>
      </c>
      <c r="E8752" t="s">
        <v>17591</v>
      </c>
      <c r="G8752" s="1">
        <v>4.8899999999999997</v>
      </c>
    </row>
    <row r="8753" spans="1:7" ht="14.25" customHeight="1" x14ac:dyDescent="0.45">
      <c r="A8753" t="str">
        <f>_xlfn.XLOOKUP(B8753,Ingot!$H$12:$H$119,Ingot!$G$12:$G$119,"")</f>
        <v>Cloth</v>
      </c>
      <c r="B8753" t="s">
        <v>17463</v>
      </c>
      <c r="C8753" t="s">
        <v>10</v>
      </c>
      <c r="D8753" t="s">
        <v>17592</v>
      </c>
      <c r="E8753" t="s">
        <v>17593</v>
      </c>
      <c r="G8753" s="1">
        <v>1.76</v>
      </c>
    </row>
    <row r="8754" spans="1:7" ht="14.25" customHeight="1" x14ac:dyDescent="0.45">
      <c r="A8754" t="str">
        <f>_xlfn.XLOOKUP(B8754,Ingot!$H$12:$H$119,Ingot!$G$12:$G$119,"")</f>
        <v>Cloth</v>
      </c>
      <c r="B8754" t="s">
        <v>17463</v>
      </c>
      <c r="C8754" t="s">
        <v>10</v>
      </c>
      <c r="D8754" t="s">
        <v>17594</v>
      </c>
      <c r="E8754" t="s">
        <v>17595</v>
      </c>
    </row>
    <row r="8755" spans="1:7" ht="14.25" customHeight="1" x14ac:dyDescent="0.45">
      <c r="A8755" t="str">
        <f>_xlfn.XLOOKUP(B8755,Ingot!$H$12:$H$119,Ingot!$G$12:$G$119,"")</f>
        <v>Cloth</v>
      </c>
      <c r="B8755" t="s">
        <v>17463</v>
      </c>
      <c r="C8755" t="s">
        <v>10</v>
      </c>
      <c r="D8755" t="s">
        <v>17596</v>
      </c>
      <c r="E8755" t="s">
        <v>17597</v>
      </c>
      <c r="G8755" s="1">
        <v>8.57</v>
      </c>
    </row>
    <row r="8756" spans="1:7" ht="14.25" customHeight="1" x14ac:dyDescent="0.45">
      <c r="A8756" t="str">
        <f>_xlfn.XLOOKUP(B8756,Ingot!$H$12:$H$119,Ingot!$G$12:$G$119,"")</f>
        <v>Cloth</v>
      </c>
      <c r="B8756" t="s">
        <v>17463</v>
      </c>
      <c r="C8756" t="s">
        <v>10</v>
      </c>
      <c r="D8756" t="s">
        <v>17598</v>
      </c>
      <c r="E8756" t="s">
        <v>17599</v>
      </c>
    </row>
    <row r="8757" spans="1:7" ht="14.25" customHeight="1" x14ac:dyDescent="0.45">
      <c r="A8757" t="str">
        <f>_xlfn.XLOOKUP(B8757,Ingot!$H$12:$H$119,Ingot!$G$12:$G$119,"")</f>
        <v>Cloth</v>
      </c>
      <c r="B8757" t="s">
        <v>17463</v>
      </c>
      <c r="C8757" t="s">
        <v>10</v>
      </c>
      <c r="D8757" t="s">
        <v>17600</v>
      </c>
      <c r="E8757" t="s">
        <v>17601</v>
      </c>
      <c r="G8757" s="1">
        <v>3.56</v>
      </c>
    </row>
    <row r="8758" spans="1:7" ht="14.25" customHeight="1" x14ac:dyDescent="0.45">
      <c r="A8758" t="str">
        <f>_xlfn.XLOOKUP(B8758,Ingot!$H$12:$H$119,Ingot!$G$12:$G$119,"")</f>
        <v>Cloth</v>
      </c>
      <c r="B8758" t="s">
        <v>17463</v>
      </c>
      <c r="C8758" t="s">
        <v>10</v>
      </c>
      <c r="D8758" t="s">
        <v>17602</v>
      </c>
      <c r="E8758" t="s">
        <v>17603</v>
      </c>
      <c r="G8758" s="1">
        <v>8.91</v>
      </c>
    </row>
    <row r="8759" spans="1:7" ht="14.25" customHeight="1" x14ac:dyDescent="0.45">
      <c r="A8759" t="str">
        <f>_xlfn.XLOOKUP(B8759,Ingot!$H$12:$H$119,Ingot!$G$12:$G$119,"")</f>
        <v>Cloth</v>
      </c>
      <c r="B8759" t="s">
        <v>17463</v>
      </c>
      <c r="C8759" t="s">
        <v>10</v>
      </c>
      <c r="D8759" t="s">
        <v>17604</v>
      </c>
      <c r="E8759" t="s">
        <v>17605</v>
      </c>
      <c r="G8759" s="1">
        <v>11.02</v>
      </c>
    </row>
    <row r="8760" spans="1:7" ht="14.25" customHeight="1" x14ac:dyDescent="0.45">
      <c r="A8760" t="str">
        <f>_xlfn.XLOOKUP(B8760,Ingot!$H$12:$H$119,Ingot!$G$12:$G$119,"")</f>
        <v>Cloth</v>
      </c>
      <c r="B8760" t="s">
        <v>17463</v>
      </c>
      <c r="C8760" t="s">
        <v>10</v>
      </c>
      <c r="D8760" t="s">
        <v>17606</v>
      </c>
      <c r="E8760" t="s">
        <v>17607</v>
      </c>
      <c r="G8760" s="1">
        <v>5.12</v>
      </c>
    </row>
    <row r="8761" spans="1:7" ht="14.25" customHeight="1" x14ac:dyDescent="0.45">
      <c r="A8761" t="str">
        <f>_xlfn.XLOOKUP(B8761,Ingot!$H$12:$H$119,Ingot!$G$12:$G$119,"")</f>
        <v>Cloth</v>
      </c>
      <c r="B8761" t="s">
        <v>17463</v>
      </c>
      <c r="C8761" t="s">
        <v>10</v>
      </c>
      <c r="D8761" t="s">
        <v>17608</v>
      </c>
      <c r="E8761" t="s">
        <v>17609</v>
      </c>
      <c r="G8761" s="1">
        <v>4.41</v>
      </c>
    </row>
    <row r="8762" spans="1:7" ht="14.25" customHeight="1" x14ac:dyDescent="0.45">
      <c r="A8762" t="str">
        <f>_xlfn.XLOOKUP(B8762,Ingot!$H$12:$H$119,Ingot!$G$12:$G$119,"")</f>
        <v>Cloth</v>
      </c>
      <c r="B8762" t="s">
        <v>17463</v>
      </c>
      <c r="C8762" t="s">
        <v>157</v>
      </c>
      <c r="D8762" t="s">
        <v>17610</v>
      </c>
      <c r="E8762" t="s">
        <v>17611</v>
      </c>
      <c r="G8762" s="1">
        <v>14.8</v>
      </c>
    </row>
    <row r="8763" spans="1:7" ht="14.25" customHeight="1" x14ac:dyDescent="0.45">
      <c r="A8763" t="str">
        <f>_xlfn.XLOOKUP(B8763,Ingot!$H$12:$H$119,Ingot!$G$12:$G$119,"")</f>
        <v>Cloth</v>
      </c>
      <c r="B8763" t="s">
        <v>17463</v>
      </c>
      <c r="C8763" t="s">
        <v>157</v>
      </c>
      <c r="D8763" t="s">
        <v>17612</v>
      </c>
      <c r="E8763" t="s">
        <v>17613</v>
      </c>
      <c r="G8763" s="1">
        <v>5</v>
      </c>
    </row>
    <row r="8764" spans="1:7" ht="14.25" customHeight="1" x14ac:dyDescent="0.45">
      <c r="A8764" t="str">
        <f>_xlfn.XLOOKUP(B8764,Ingot!$H$12:$H$119,Ingot!$G$12:$G$119,"")</f>
        <v>Cloth</v>
      </c>
      <c r="B8764" t="s">
        <v>17463</v>
      </c>
      <c r="C8764" t="s">
        <v>157</v>
      </c>
      <c r="D8764" t="s">
        <v>17614</v>
      </c>
      <c r="E8764" t="s">
        <v>17615</v>
      </c>
      <c r="G8764" s="1">
        <v>5</v>
      </c>
    </row>
    <row r="8765" spans="1:7" ht="14.25" customHeight="1" x14ac:dyDescent="0.45">
      <c r="A8765" t="str">
        <f>_xlfn.XLOOKUP(B8765,Ingot!$H$12:$H$119,Ingot!$G$12:$G$119,"")</f>
        <v>Cloth</v>
      </c>
      <c r="B8765" t="s">
        <v>17463</v>
      </c>
      <c r="C8765" t="s">
        <v>157</v>
      </c>
      <c r="D8765" t="s">
        <v>17616</v>
      </c>
      <c r="E8765" t="s">
        <v>17617</v>
      </c>
      <c r="G8765" s="1">
        <v>5</v>
      </c>
    </row>
    <row r="8766" spans="1:7" ht="14.25" customHeight="1" x14ac:dyDescent="0.45">
      <c r="A8766" t="str">
        <f>_xlfn.XLOOKUP(B8766,Ingot!$H$12:$H$119,Ingot!$G$12:$G$119,"")</f>
        <v>Cloth</v>
      </c>
      <c r="B8766" t="s">
        <v>17463</v>
      </c>
      <c r="C8766" t="s">
        <v>157</v>
      </c>
      <c r="D8766" t="s">
        <v>17618</v>
      </c>
      <c r="E8766" t="s">
        <v>17619</v>
      </c>
      <c r="G8766" s="1">
        <v>10</v>
      </c>
    </row>
    <row r="8767" spans="1:7" ht="14.25" customHeight="1" x14ac:dyDescent="0.45">
      <c r="A8767" t="str">
        <f>_xlfn.XLOOKUP(B8767,Ingot!$H$12:$H$119,Ingot!$G$12:$G$119,"")</f>
        <v>Cloth</v>
      </c>
      <c r="B8767" t="s">
        <v>17463</v>
      </c>
      <c r="C8767" t="s">
        <v>157</v>
      </c>
      <c r="D8767" t="s">
        <v>17620</v>
      </c>
      <c r="E8767" t="s">
        <v>17621</v>
      </c>
      <c r="G8767" s="1">
        <v>13.2</v>
      </c>
    </row>
    <row r="8768" spans="1:7" ht="14.25" customHeight="1" x14ac:dyDescent="0.45">
      <c r="A8768" t="str">
        <f>_xlfn.XLOOKUP(B8768,Ingot!$H$12:$H$119,Ingot!$G$12:$G$119,"")</f>
        <v>Cloth</v>
      </c>
      <c r="B8768" t="s">
        <v>17463</v>
      </c>
      <c r="C8768" t="s">
        <v>157</v>
      </c>
      <c r="D8768" t="s">
        <v>17622</v>
      </c>
      <c r="E8768" t="s">
        <v>17623</v>
      </c>
      <c r="G8768" s="1">
        <v>5</v>
      </c>
    </row>
    <row r="8769" spans="1:7" ht="14.25" customHeight="1" x14ac:dyDescent="0.45">
      <c r="A8769" t="str">
        <f>_xlfn.XLOOKUP(B8769,Ingot!$H$12:$H$119,Ingot!$G$12:$G$119,"")</f>
        <v>Cloth</v>
      </c>
      <c r="B8769" t="s">
        <v>17463</v>
      </c>
      <c r="C8769" t="s">
        <v>157</v>
      </c>
      <c r="D8769" t="s">
        <v>17624</v>
      </c>
      <c r="E8769" t="s">
        <v>17625</v>
      </c>
      <c r="G8769" s="1">
        <v>5</v>
      </c>
    </row>
    <row r="8770" spans="1:7" ht="14.25" customHeight="1" x14ac:dyDescent="0.45">
      <c r="A8770" t="str">
        <f>_xlfn.XLOOKUP(B8770,Ingot!$H$12:$H$119,Ingot!$G$12:$G$119,"")</f>
        <v>Cloth</v>
      </c>
      <c r="B8770" t="s">
        <v>17463</v>
      </c>
      <c r="C8770" t="s">
        <v>157</v>
      </c>
      <c r="D8770" t="s">
        <v>17626</v>
      </c>
      <c r="E8770" t="s">
        <v>17627</v>
      </c>
      <c r="G8770" s="1">
        <v>5</v>
      </c>
    </row>
    <row r="8771" spans="1:7" ht="14.25" customHeight="1" x14ac:dyDescent="0.45">
      <c r="A8771" t="str">
        <f>_xlfn.XLOOKUP(B8771,Ingot!$H$12:$H$119,Ingot!$G$12:$G$119,"")</f>
        <v>Cloth</v>
      </c>
      <c r="B8771" t="s">
        <v>17463</v>
      </c>
      <c r="C8771" t="s">
        <v>157</v>
      </c>
      <c r="D8771" t="s">
        <v>17628</v>
      </c>
      <c r="E8771" t="s">
        <v>17629</v>
      </c>
      <c r="G8771" s="1">
        <v>10</v>
      </c>
    </row>
    <row r="8772" spans="1:7" ht="14.25" customHeight="1" x14ac:dyDescent="0.45">
      <c r="A8772" t="str">
        <f>_xlfn.XLOOKUP(B8772,Ingot!$H$12:$H$119,Ingot!$G$12:$G$119,"")</f>
        <v>Cloth</v>
      </c>
      <c r="B8772" t="s">
        <v>17463</v>
      </c>
      <c r="C8772" t="s">
        <v>157</v>
      </c>
      <c r="D8772" t="s">
        <v>17630</v>
      </c>
      <c r="E8772" t="s">
        <v>17631</v>
      </c>
      <c r="G8772" s="1">
        <v>12.8</v>
      </c>
    </row>
    <row r="8773" spans="1:7" ht="14.25" customHeight="1" x14ac:dyDescent="0.45">
      <c r="A8773" t="str">
        <f>_xlfn.XLOOKUP(B8773,Ingot!$H$12:$H$119,Ingot!$G$12:$G$119,"")</f>
        <v>Cloth</v>
      </c>
      <c r="B8773" t="s">
        <v>17463</v>
      </c>
      <c r="C8773" t="s">
        <v>157</v>
      </c>
      <c r="D8773" t="s">
        <v>17632</v>
      </c>
      <c r="E8773" t="s">
        <v>17633</v>
      </c>
      <c r="G8773" s="1">
        <v>5</v>
      </c>
    </row>
    <row r="8774" spans="1:7" ht="14.25" customHeight="1" x14ac:dyDescent="0.45">
      <c r="A8774" t="str">
        <f>_xlfn.XLOOKUP(B8774,Ingot!$H$12:$H$119,Ingot!$G$12:$G$119,"")</f>
        <v>Cloth</v>
      </c>
      <c r="B8774" t="s">
        <v>17463</v>
      </c>
      <c r="C8774" t="s">
        <v>157</v>
      </c>
      <c r="D8774" t="s">
        <v>17634</v>
      </c>
      <c r="E8774" t="s">
        <v>17635</v>
      </c>
      <c r="G8774" s="1">
        <v>5</v>
      </c>
    </row>
    <row r="8775" spans="1:7" ht="14.25" customHeight="1" x14ac:dyDescent="0.45">
      <c r="A8775" t="str">
        <f>_xlfn.XLOOKUP(B8775,Ingot!$H$12:$H$119,Ingot!$G$12:$G$119,"")</f>
        <v>Cloth</v>
      </c>
      <c r="B8775" t="s">
        <v>17463</v>
      </c>
      <c r="C8775" t="s">
        <v>157</v>
      </c>
      <c r="D8775" t="s">
        <v>17636</v>
      </c>
      <c r="E8775" t="s">
        <v>17637</v>
      </c>
      <c r="G8775" s="1">
        <v>5</v>
      </c>
    </row>
    <row r="8776" spans="1:7" ht="14.25" customHeight="1" x14ac:dyDescent="0.45">
      <c r="A8776" t="str">
        <f>_xlfn.XLOOKUP(B8776,Ingot!$H$12:$H$119,Ingot!$G$12:$G$119,"")</f>
        <v>Cloth</v>
      </c>
      <c r="B8776" t="s">
        <v>17463</v>
      </c>
      <c r="C8776" t="s">
        <v>157</v>
      </c>
      <c r="D8776" t="s">
        <v>17638</v>
      </c>
      <c r="E8776" t="s">
        <v>17639</v>
      </c>
      <c r="G8776" s="1">
        <v>10</v>
      </c>
    </row>
    <row r="8777" spans="1:7" ht="14.25" customHeight="1" x14ac:dyDescent="0.45">
      <c r="A8777" t="str">
        <f>_xlfn.XLOOKUP(B8777,Ingot!$H$12:$H$119,Ingot!$G$12:$G$119,"")</f>
        <v>Cloth</v>
      </c>
      <c r="B8777" t="s">
        <v>17463</v>
      </c>
      <c r="C8777" t="s">
        <v>157</v>
      </c>
      <c r="D8777" t="s">
        <v>17640</v>
      </c>
      <c r="E8777" t="s">
        <v>17641</v>
      </c>
      <c r="G8777" s="1">
        <v>13.5</v>
      </c>
    </row>
    <row r="8778" spans="1:7" ht="14.25" customHeight="1" x14ac:dyDescent="0.45">
      <c r="A8778" t="str">
        <f>_xlfn.XLOOKUP(B8778,Ingot!$H$12:$H$119,Ingot!$G$12:$G$119,"")</f>
        <v>Cloth</v>
      </c>
      <c r="B8778" t="s">
        <v>17463</v>
      </c>
      <c r="C8778" t="s">
        <v>157</v>
      </c>
      <c r="D8778" t="s">
        <v>17642</v>
      </c>
      <c r="E8778" t="s">
        <v>17643</v>
      </c>
      <c r="G8778" s="1">
        <v>5</v>
      </c>
    </row>
    <row r="8779" spans="1:7" ht="14.25" customHeight="1" x14ac:dyDescent="0.45">
      <c r="A8779" t="str">
        <f>_xlfn.XLOOKUP(B8779,Ingot!$H$12:$H$119,Ingot!$G$12:$G$119,"")</f>
        <v>Cloth</v>
      </c>
      <c r="B8779" t="s">
        <v>17463</v>
      </c>
      <c r="C8779" t="s">
        <v>157</v>
      </c>
      <c r="D8779" t="s">
        <v>17644</v>
      </c>
      <c r="E8779" t="s">
        <v>17645</v>
      </c>
      <c r="G8779" s="1">
        <v>5</v>
      </c>
    </row>
    <row r="8780" spans="1:7" ht="14.25" customHeight="1" x14ac:dyDescent="0.45">
      <c r="A8780" t="str">
        <f>_xlfn.XLOOKUP(B8780,Ingot!$H$12:$H$119,Ingot!$G$12:$G$119,"")</f>
        <v>Cloth</v>
      </c>
      <c r="B8780" t="s">
        <v>17463</v>
      </c>
      <c r="C8780" t="s">
        <v>157</v>
      </c>
      <c r="D8780" t="s">
        <v>17646</v>
      </c>
      <c r="E8780" t="s">
        <v>17647</v>
      </c>
      <c r="G8780" s="1">
        <v>5</v>
      </c>
    </row>
    <row r="8781" spans="1:7" ht="14.25" customHeight="1" x14ac:dyDescent="0.45">
      <c r="A8781" t="str">
        <f>_xlfn.XLOOKUP(B8781,Ingot!$H$12:$H$119,Ingot!$G$12:$G$119,"")</f>
        <v>Cloth</v>
      </c>
      <c r="B8781" t="s">
        <v>17463</v>
      </c>
      <c r="C8781" t="s">
        <v>157</v>
      </c>
      <c r="D8781" t="s">
        <v>17648</v>
      </c>
      <c r="E8781" t="s">
        <v>17649</v>
      </c>
      <c r="G8781" s="1">
        <v>10</v>
      </c>
    </row>
    <row r="8782" spans="1:7" ht="14.25" customHeight="1" x14ac:dyDescent="0.45">
      <c r="A8782" t="str">
        <f>_xlfn.XLOOKUP(B8782,Ingot!$H$12:$H$119,Ingot!$G$12:$G$119,"")</f>
        <v>Cloth</v>
      </c>
      <c r="B8782" t="s">
        <v>17463</v>
      </c>
      <c r="C8782" t="s">
        <v>157</v>
      </c>
      <c r="D8782" t="s">
        <v>17650</v>
      </c>
      <c r="E8782" t="s">
        <v>17651</v>
      </c>
      <c r="G8782" s="1">
        <v>14</v>
      </c>
    </row>
    <row r="8783" spans="1:7" ht="14.25" customHeight="1" x14ac:dyDescent="0.45">
      <c r="A8783" t="str">
        <f>_xlfn.XLOOKUP(B8783,Ingot!$H$12:$H$119,Ingot!$G$12:$G$119,"")</f>
        <v>Cloth</v>
      </c>
      <c r="B8783" t="s">
        <v>17463</v>
      </c>
      <c r="C8783" t="s">
        <v>157</v>
      </c>
      <c r="D8783" t="s">
        <v>17652</v>
      </c>
      <c r="E8783" t="s">
        <v>17653</v>
      </c>
      <c r="G8783" s="1">
        <v>5</v>
      </c>
    </row>
    <row r="8784" spans="1:7" ht="14.25" customHeight="1" x14ac:dyDescent="0.45">
      <c r="A8784" t="str">
        <f>_xlfn.XLOOKUP(B8784,Ingot!$H$12:$H$119,Ingot!$G$12:$G$119,"")</f>
        <v>Cloth</v>
      </c>
      <c r="B8784" t="s">
        <v>17463</v>
      </c>
      <c r="C8784" t="s">
        <v>157</v>
      </c>
      <c r="D8784" t="s">
        <v>17654</v>
      </c>
      <c r="E8784" t="s">
        <v>17655</v>
      </c>
      <c r="G8784" s="1">
        <v>5</v>
      </c>
    </row>
    <row r="8785" spans="1:7" ht="14.25" customHeight="1" x14ac:dyDescent="0.45">
      <c r="A8785" t="str">
        <f>_xlfn.XLOOKUP(B8785,Ingot!$H$12:$H$119,Ingot!$G$12:$G$119,"")</f>
        <v>Cloth</v>
      </c>
      <c r="B8785" t="s">
        <v>17463</v>
      </c>
      <c r="C8785" t="s">
        <v>157</v>
      </c>
      <c r="D8785" t="s">
        <v>17656</v>
      </c>
      <c r="E8785" t="s">
        <v>17657</v>
      </c>
      <c r="G8785" s="1">
        <v>5</v>
      </c>
    </row>
    <row r="8786" spans="1:7" ht="14.25" customHeight="1" x14ac:dyDescent="0.45">
      <c r="A8786" t="str">
        <f>_xlfn.XLOOKUP(B8786,Ingot!$H$12:$H$119,Ingot!$G$12:$G$119,"")</f>
        <v>Cloth</v>
      </c>
      <c r="B8786" t="s">
        <v>17463</v>
      </c>
      <c r="C8786" t="s">
        <v>157</v>
      </c>
      <c r="D8786" t="s">
        <v>17658</v>
      </c>
      <c r="E8786" t="s">
        <v>17659</v>
      </c>
      <c r="G8786" s="1">
        <v>10</v>
      </c>
    </row>
    <row r="8787" spans="1:7" ht="14.25" customHeight="1" x14ac:dyDescent="0.45">
      <c r="A8787" t="str">
        <f>_xlfn.XLOOKUP(B8787,Ingot!$H$12:$H$119,Ingot!$G$12:$G$119,"")</f>
        <v>Cloth</v>
      </c>
      <c r="B8787" t="s">
        <v>17463</v>
      </c>
      <c r="C8787" t="s">
        <v>157</v>
      </c>
      <c r="D8787" t="s">
        <v>17660</v>
      </c>
      <c r="E8787" t="s">
        <v>17661</v>
      </c>
      <c r="G8787" s="1">
        <v>16.399999999999999</v>
      </c>
    </row>
    <row r="8788" spans="1:7" ht="14.25" customHeight="1" x14ac:dyDescent="0.45">
      <c r="A8788" t="str">
        <f>_xlfn.XLOOKUP(B8788,Ingot!$H$12:$H$119,Ingot!$G$12:$G$119,"")</f>
        <v>Cloth</v>
      </c>
      <c r="B8788" t="s">
        <v>17463</v>
      </c>
      <c r="C8788" t="s">
        <v>157</v>
      </c>
      <c r="D8788" t="s">
        <v>17662</v>
      </c>
      <c r="E8788" t="s">
        <v>17663</v>
      </c>
      <c r="G8788" s="1">
        <v>5</v>
      </c>
    </row>
    <row r="8789" spans="1:7" ht="14.25" customHeight="1" x14ac:dyDescent="0.45">
      <c r="A8789" t="str">
        <f>_xlfn.XLOOKUP(B8789,Ingot!$H$12:$H$119,Ingot!$G$12:$G$119,"")</f>
        <v>Cloth</v>
      </c>
      <c r="B8789" t="s">
        <v>17463</v>
      </c>
      <c r="C8789" t="s">
        <v>157</v>
      </c>
      <c r="D8789" t="s">
        <v>17664</v>
      </c>
      <c r="E8789" t="s">
        <v>17665</v>
      </c>
      <c r="G8789" s="1">
        <v>5</v>
      </c>
    </row>
    <row r="8790" spans="1:7" ht="14.25" customHeight="1" x14ac:dyDescent="0.45">
      <c r="A8790" t="str">
        <f>_xlfn.XLOOKUP(B8790,Ingot!$H$12:$H$119,Ingot!$G$12:$G$119,"")</f>
        <v>Cloth</v>
      </c>
      <c r="B8790" t="s">
        <v>17463</v>
      </c>
      <c r="C8790" t="s">
        <v>157</v>
      </c>
      <c r="D8790" t="s">
        <v>17666</v>
      </c>
      <c r="E8790" t="s">
        <v>17667</v>
      </c>
      <c r="G8790" s="1">
        <v>5</v>
      </c>
    </row>
    <row r="8791" spans="1:7" ht="14.25" customHeight="1" x14ac:dyDescent="0.45">
      <c r="A8791" t="str">
        <f>_xlfn.XLOOKUP(B8791,Ingot!$H$12:$H$119,Ingot!$G$12:$G$119,"")</f>
        <v>Cloth</v>
      </c>
      <c r="B8791" t="s">
        <v>17463</v>
      </c>
      <c r="C8791" t="s">
        <v>157</v>
      </c>
      <c r="D8791" t="s">
        <v>17668</v>
      </c>
      <c r="E8791" t="s">
        <v>17669</v>
      </c>
      <c r="G8791" s="1">
        <v>10</v>
      </c>
    </row>
    <row r="8792" spans="1:7" ht="14.25" customHeight="1" x14ac:dyDescent="0.45">
      <c r="A8792" t="str">
        <f>_xlfn.XLOOKUP(B8792,Ingot!$H$12:$H$119,Ingot!$G$12:$G$119,"")</f>
        <v>Cloth</v>
      </c>
      <c r="B8792" t="s">
        <v>17463</v>
      </c>
      <c r="C8792" t="s">
        <v>157</v>
      </c>
      <c r="D8792" t="s">
        <v>17670</v>
      </c>
      <c r="E8792" t="s">
        <v>17671</v>
      </c>
      <c r="G8792" s="1">
        <v>15.5</v>
      </c>
    </row>
    <row r="8793" spans="1:7" ht="14.25" customHeight="1" x14ac:dyDescent="0.45">
      <c r="A8793" t="str">
        <f>_xlfn.XLOOKUP(B8793,Ingot!$H$12:$H$119,Ingot!$G$12:$G$119,"")</f>
        <v>Cloth</v>
      </c>
      <c r="B8793" t="s">
        <v>17463</v>
      </c>
      <c r="C8793" t="s">
        <v>157</v>
      </c>
      <c r="D8793" t="s">
        <v>17672</v>
      </c>
      <c r="E8793" t="s">
        <v>17673</v>
      </c>
      <c r="G8793" s="1">
        <v>5</v>
      </c>
    </row>
    <row r="8794" spans="1:7" ht="14.25" customHeight="1" x14ac:dyDescent="0.45">
      <c r="A8794" t="str">
        <f>_xlfn.XLOOKUP(B8794,Ingot!$H$12:$H$119,Ingot!$G$12:$G$119,"")</f>
        <v>Cloth</v>
      </c>
      <c r="B8794" t="s">
        <v>17463</v>
      </c>
      <c r="C8794" t="s">
        <v>157</v>
      </c>
      <c r="D8794" t="s">
        <v>17674</v>
      </c>
      <c r="E8794" t="s">
        <v>17675</v>
      </c>
      <c r="G8794" s="1">
        <v>5</v>
      </c>
    </row>
    <row r="8795" spans="1:7" ht="14.25" customHeight="1" x14ac:dyDescent="0.45">
      <c r="A8795" t="str">
        <f>_xlfn.XLOOKUP(B8795,Ingot!$H$12:$H$119,Ingot!$G$12:$G$119,"")</f>
        <v>Cloth</v>
      </c>
      <c r="B8795" t="s">
        <v>17463</v>
      </c>
      <c r="C8795" t="s">
        <v>157</v>
      </c>
      <c r="D8795" t="s">
        <v>17676</v>
      </c>
      <c r="E8795" t="s">
        <v>17677</v>
      </c>
      <c r="G8795" s="1">
        <v>5</v>
      </c>
    </row>
    <row r="8796" spans="1:7" ht="14.25" customHeight="1" x14ac:dyDescent="0.45">
      <c r="A8796" t="str">
        <f>_xlfn.XLOOKUP(B8796,Ingot!$H$12:$H$119,Ingot!$G$12:$G$119,"")</f>
        <v>Cloth</v>
      </c>
      <c r="B8796" t="s">
        <v>17463</v>
      </c>
      <c r="C8796" t="s">
        <v>157</v>
      </c>
      <c r="D8796" t="s">
        <v>17678</v>
      </c>
      <c r="E8796" t="s">
        <v>17679</v>
      </c>
      <c r="G8796" s="1">
        <v>10</v>
      </c>
    </row>
    <row r="8797" spans="1:7" ht="14.25" customHeight="1" x14ac:dyDescent="0.45">
      <c r="A8797" t="str">
        <f>_xlfn.XLOOKUP(B8797,Ingot!$H$12:$H$119,Ingot!$G$12:$G$119,"")</f>
        <v>Cloth</v>
      </c>
      <c r="B8797" t="s">
        <v>17463</v>
      </c>
      <c r="C8797" t="s">
        <v>157</v>
      </c>
      <c r="D8797" t="s">
        <v>17680</v>
      </c>
      <c r="E8797" t="s">
        <v>17681</v>
      </c>
      <c r="G8797" s="1">
        <v>12.6</v>
      </c>
    </row>
    <row r="8798" spans="1:7" ht="14.25" customHeight="1" x14ac:dyDescent="0.45">
      <c r="A8798" t="str">
        <f>_xlfn.XLOOKUP(B8798,Ingot!$H$12:$H$119,Ingot!$G$12:$G$119,"")</f>
        <v>Cloth</v>
      </c>
      <c r="B8798" t="s">
        <v>17463</v>
      </c>
      <c r="C8798" t="s">
        <v>157</v>
      </c>
      <c r="D8798" t="s">
        <v>17682</v>
      </c>
      <c r="E8798" t="s">
        <v>17683</v>
      </c>
      <c r="G8798" s="1">
        <v>5</v>
      </c>
    </row>
    <row r="8799" spans="1:7" ht="14.25" customHeight="1" x14ac:dyDescent="0.45">
      <c r="A8799" t="str">
        <f>_xlfn.XLOOKUP(B8799,Ingot!$H$12:$H$119,Ingot!$G$12:$G$119,"")</f>
        <v>Cloth</v>
      </c>
      <c r="B8799" t="s">
        <v>17463</v>
      </c>
      <c r="C8799" t="s">
        <v>157</v>
      </c>
      <c r="D8799" t="s">
        <v>17684</v>
      </c>
      <c r="E8799" t="s">
        <v>17685</v>
      </c>
      <c r="G8799" s="1">
        <v>5</v>
      </c>
    </row>
    <row r="8800" spans="1:7" ht="14.25" customHeight="1" x14ac:dyDescent="0.45">
      <c r="A8800" t="str">
        <f>_xlfn.XLOOKUP(B8800,Ingot!$H$12:$H$119,Ingot!$G$12:$G$119,"")</f>
        <v>Cloth</v>
      </c>
      <c r="B8800" t="s">
        <v>17463</v>
      </c>
      <c r="C8800" t="s">
        <v>157</v>
      </c>
      <c r="D8800" t="s">
        <v>17686</v>
      </c>
      <c r="E8800" t="s">
        <v>17687</v>
      </c>
      <c r="G8800" s="1">
        <v>5</v>
      </c>
    </row>
    <row r="8801" spans="1:7" ht="14.25" customHeight="1" x14ac:dyDescent="0.45">
      <c r="A8801" t="str">
        <f>_xlfn.XLOOKUP(B8801,Ingot!$H$12:$H$119,Ingot!$G$12:$G$119,"")</f>
        <v>Cloth</v>
      </c>
      <c r="B8801" t="s">
        <v>17463</v>
      </c>
      <c r="C8801" t="s">
        <v>157</v>
      </c>
      <c r="D8801" t="s">
        <v>17688</v>
      </c>
      <c r="E8801" t="s">
        <v>17689</v>
      </c>
      <c r="G8801" s="1">
        <v>10</v>
      </c>
    </row>
    <row r="8802" spans="1:7" ht="14.25" customHeight="1" x14ac:dyDescent="0.45">
      <c r="A8802" t="str">
        <f>_xlfn.XLOOKUP(B8802,Ingot!$H$12:$H$119,Ingot!$G$12:$G$119,"")</f>
        <v>Cloth</v>
      </c>
      <c r="B8802" t="s">
        <v>17463</v>
      </c>
      <c r="C8802" t="s">
        <v>239</v>
      </c>
      <c r="D8802" t="s">
        <v>17690</v>
      </c>
      <c r="E8802" t="s">
        <v>17691</v>
      </c>
    </row>
    <row r="8803" spans="1:7" ht="14.25" customHeight="1" x14ac:dyDescent="0.45">
      <c r="A8803" t="str">
        <f>_xlfn.XLOOKUP(B8803,Ingot!$H$12:$H$119,Ingot!$G$12:$G$119,"")</f>
        <v>Cloth</v>
      </c>
      <c r="B8803" t="s">
        <v>17463</v>
      </c>
      <c r="C8803" t="s">
        <v>239</v>
      </c>
      <c r="D8803" t="s">
        <v>17692</v>
      </c>
      <c r="E8803" t="s">
        <v>17693</v>
      </c>
    </row>
    <row r="8804" spans="1:7" ht="14.25" customHeight="1" x14ac:dyDescent="0.45">
      <c r="A8804" t="str">
        <f>_xlfn.XLOOKUP(B8804,Ingot!$H$12:$H$119,Ingot!$G$12:$G$119,"")</f>
        <v>Cloth</v>
      </c>
      <c r="B8804" t="s">
        <v>17463</v>
      </c>
      <c r="C8804" t="s">
        <v>239</v>
      </c>
      <c r="D8804" t="s">
        <v>17694</v>
      </c>
      <c r="E8804" t="s">
        <v>17695</v>
      </c>
    </row>
    <row r="8805" spans="1:7" ht="14.25" customHeight="1" x14ac:dyDescent="0.45">
      <c r="A8805" t="str">
        <f>_xlfn.XLOOKUP(B8805,Ingot!$H$12:$H$119,Ingot!$G$12:$G$119,"")</f>
        <v>Cloth</v>
      </c>
      <c r="B8805" t="s">
        <v>17463</v>
      </c>
      <c r="C8805" t="s">
        <v>239</v>
      </c>
      <c r="D8805" t="s">
        <v>17696</v>
      </c>
      <c r="E8805" t="s">
        <v>17697</v>
      </c>
    </row>
    <row r="8806" spans="1:7" ht="14.25" customHeight="1" x14ac:dyDescent="0.45">
      <c r="A8806" t="str">
        <f>_xlfn.XLOOKUP(B8806,Ingot!$H$12:$H$119,Ingot!$G$12:$G$119,"")</f>
        <v>Cloth</v>
      </c>
      <c r="B8806" t="s">
        <v>17463</v>
      </c>
      <c r="C8806" t="s">
        <v>239</v>
      </c>
      <c r="D8806" t="s">
        <v>17698</v>
      </c>
      <c r="E8806" t="s">
        <v>17699</v>
      </c>
    </row>
    <row r="8807" spans="1:7" ht="14.25" customHeight="1" x14ac:dyDescent="0.45">
      <c r="A8807" t="str">
        <f>_xlfn.XLOOKUP(B8807,Ingot!$H$12:$H$119,Ingot!$G$12:$G$119,"")</f>
        <v>Cloth</v>
      </c>
      <c r="B8807" t="s">
        <v>17463</v>
      </c>
      <c r="C8807" t="s">
        <v>239</v>
      </c>
      <c r="D8807" t="s">
        <v>17700</v>
      </c>
      <c r="E8807" t="s">
        <v>17701</v>
      </c>
    </row>
    <row r="8808" spans="1:7" ht="14.25" customHeight="1" x14ac:dyDescent="0.45">
      <c r="A8808" t="str">
        <f>_xlfn.XLOOKUP(B8808,Ingot!$H$12:$H$119,Ingot!$G$12:$G$119,"")</f>
        <v>Leather</v>
      </c>
      <c r="B8808" t="s">
        <v>17703</v>
      </c>
      <c r="C8808" t="s">
        <v>10</v>
      </c>
      <c r="D8808" t="s">
        <v>17704</v>
      </c>
      <c r="E8808" t="s">
        <v>17705</v>
      </c>
      <c r="G8808" s="1">
        <v>0.08</v>
      </c>
    </row>
    <row r="8809" spans="1:7" ht="14.25" customHeight="1" x14ac:dyDescent="0.45">
      <c r="A8809" t="str">
        <f>_xlfn.XLOOKUP(B8809,Ingot!$H$12:$H$119,Ingot!$G$12:$G$119,"")</f>
        <v>Leather</v>
      </c>
      <c r="B8809" t="s">
        <v>17703</v>
      </c>
      <c r="C8809" t="s">
        <v>10</v>
      </c>
      <c r="D8809" t="s">
        <v>17706</v>
      </c>
      <c r="E8809" t="s">
        <v>17707</v>
      </c>
      <c r="G8809" s="1">
        <v>9.9</v>
      </c>
    </row>
    <row r="8810" spans="1:7" ht="14.25" customHeight="1" x14ac:dyDescent="0.45">
      <c r="A8810" t="str">
        <f>_xlfn.XLOOKUP(B8810,Ingot!$H$12:$H$119,Ingot!$G$12:$G$119,"")</f>
        <v>Leather</v>
      </c>
      <c r="B8810" t="s">
        <v>17703</v>
      </c>
      <c r="C8810" t="s">
        <v>10</v>
      </c>
      <c r="D8810" t="s">
        <v>17708</v>
      </c>
      <c r="E8810" t="s">
        <v>17709</v>
      </c>
      <c r="G8810" s="1">
        <v>5.66</v>
      </c>
    </row>
    <row r="8811" spans="1:7" ht="14.25" customHeight="1" x14ac:dyDescent="0.45">
      <c r="A8811" t="str">
        <f>_xlfn.XLOOKUP(B8811,Ingot!$H$12:$H$119,Ingot!$G$12:$G$119,"")</f>
        <v>Leather</v>
      </c>
      <c r="B8811" t="s">
        <v>17703</v>
      </c>
      <c r="C8811" t="s">
        <v>10</v>
      </c>
      <c r="D8811" t="s">
        <v>17710</v>
      </c>
      <c r="E8811" t="s">
        <v>17711</v>
      </c>
      <c r="G8811" s="1">
        <v>3.3</v>
      </c>
    </row>
    <row r="8812" spans="1:7" ht="14.25" customHeight="1" x14ac:dyDescent="0.45">
      <c r="A8812" t="str">
        <f>_xlfn.XLOOKUP(B8812,Ingot!$H$12:$H$119,Ingot!$G$12:$G$119,"")</f>
        <v>Leather</v>
      </c>
      <c r="B8812" t="s">
        <v>17703</v>
      </c>
      <c r="C8812" t="s">
        <v>10</v>
      </c>
      <c r="D8812" t="s">
        <v>17712</v>
      </c>
      <c r="E8812" t="s">
        <v>17713</v>
      </c>
      <c r="G8812" s="1">
        <v>0.66</v>
      </c>
    </row>
    <row r="8813" spans="1:7" ht="14.25" customHeight="1" x14ac:dyDescent="0.45">
      <c r="A8813" t="str">
        <f>_xlfn.XLOOKUP(B8813,Ingot!$H$12:$H$119,Ingot!$G$12:$G$119,"")</f>
        <v>Leather</v>
      </c>
      <c r="B8813" t="s">
        <v>17703</v>
      </c>
      <c r="C8813" t="s">
        <v>10</v>
      </c>
      <c r="D8813" t="s">
        <v>17714</v>
      </c>
      <c r="E8813" t="s">
        <v>17715</v>
      </c>
      <c r="G8813" s="1">
        <v>0.04</v>
      </c>
    </row>
    <row r="8814" spans="1:7" ht="14.25" customHeight="1" x14ac:dyDescent="0.45">
      <c r="A8814" t="str">
        <f>_xlfn.XLOOKUP(B8814,Ingot!$H$12:$H$119,Ingot!$G$12:$G$119,"")</f>
        <v>Leather</v>
      </c>
      <c r="B8814" t="s">
        <v>17703</v>
      </c>
      <c r="C8814" t="s">
        <v>10</v>
      </c>
      <c r="D8814" t="s">
        <v>17716</v>
      </c>
      <c r="E8814" t="s">
        <v>17717</v>
      </c>
      <c r="G8814" s="1">
        <v>0.33</v>
      </c>
    </row>
    <row r="8815" spans="1:7" ht="14.25" customHeight="1" x14ac:dyDescent="0.45">
      <c r="A8815" t="str">
        <f>_xlfn.XLOOKUP(B8815,Ingot!$H$12:$H$119,Ingot!$G$12:$G$119,"")</f>
        <v>Leather</v>
      </c>
      <c r="B8815" t="s">
        <v>17703</v>
      </c>
      <c r="C8815" t="s">
        <v>10</v>
      </c>
      <c r="D8815" t="s">
        <v>17718</v>
      </c>
      <c r="E8815" t="s">
        <v>17719</v>
      </c>
    </row>
    <row r="8816" spans="1:7" ht="14.25" customHeight="1" x14ac:dyDescent="0.45">
      <c r="A8816" t="str">
        <f>_xlfn.XLOOKUP(B8816,Ingot!$H$12:$H$119,Ingot!$G$12:$G$119,"")</f>
        <v>Leather</v>
      </c>
      <c r="B8816" t="s">
        <v>17703</v>
      </c>
      <c r="C8816" t="s">
        <v>10</v>
      </c>
      <c r="D8816" t="s">
        <v>17720</v>
      </c>
      <c r="E8816" t="s">
        <v>17721</v>
      </c>
      <c r="G8816" s="1">
        <v>0.05</v>
      </c>
    </row>
    <row r="8817" spans="1:7" ht="14.25" customHeight="1" x14ac:dyDescent="0.45">
      <c r="A8817" t="str">
        <f>_xlfn.XLOOKUP(B8817,Ingot!$H$12:$H$119,Ingot!$G$12:$G$119,"")</f>
        <v>Leather</v>
      </c>
      <c r="B8817" t="s">
        <v>17703</v>
      </c>
      <c r="C8817" t="s">
        <v>10</v>
      </c>
      <c r="D8817" t="s">
        <v>17722</v>
      </c>
      <c r="E8817" t="s">
        <v>17723</v>
      </c>
      <c r="G8817" s="1">
        <v>0.66</v>
      </c>
    </row>
    <row r="8818" spans="1:7" ht="14.25" customHeight="1" x14ac:dyDescent="0.45">
      <c r="A8818" t="str">
        <f>_xlfn.XLOOKUP(B8818,Ingot!$H$12:$H$119,Ingot!$G$12:$G$119,"")</f>
        <v>Leather</v>
      </c>
      <c r="B8818" t="s">
        <v>17703</v>
      </c>
      <c r="C8818" t="s">
        <v>10</v>
      </c>
      <c r="D8818" t="s">
        <v>17724</v>
      </c>
      <c r="E8818" t="s">
        <v>17725</v>
      </c>
      <c r="G8818" s="1">
        <v>3.96</v>
      </c>
    </row>
    <row r="8819" spans="1:7" ht="14.25" customHeight="1" x14ac:dyDescent="0.45">
      <c r="A8819" t="str">
        <f>_xlfn.XLOOKUP(B8819,Ingot!$H$12:$H$119,Ingot!$G$12:$G$119,"")</f>
        <v>Leather</v>
      </c>
      <c r="B8819" t="s">
        <v>17703</v>
      </c>
      <c r="C8819" t="s">
        <v>10</v>
      </c>
      <c r="D8819" t="s">
        <v>17726</v>
      </c>
      <c r="E8819" t="s">
        <v>17727</v>
      </c>
      <c r="G8819" s="1">
        <v>8.77</v>
      </c>
    </row>
    <row r="8820" spans="1:7" ht="14.25" customHeight="1" x14ac:dyDescent="0.45">
      <c r="A8820" t="str">
        <f>_xlfn.XLOOKUP(B8820,Ingot!$H$12:$H$119,Ingot!$G$12:$G$119,"")</f>
        <v>Leather</v>
      </c>
      <c r="B8820" t="s">
        <v>17703</v>
      </c>
      <c r="C8820" t="s">
        <v>10</v>
      </c>
      <c r="D8820" t="s">
        <v>17728</v>
      </c>
      <c r="E8820" t="s">
        <v>17729</v>
      </c>
      <c r="G8820" s="1">
        <v>3.5</v>
      </c>
    </row>
    <row r="8821" spans="1:7" ht="14.25" customHeight="1" x14ac:dyDescent="0.45">
      <c r="A8821" t="str">
        <f>_xlfn.XLOOKUP(B8821,Ingot!$H$12:$H$119,Ingot!$G$12:$G$119,"")</f>
        <v>Leather</v>
      </c>
      <c r="B8821" t="s">
        <v>17703</v>
      </c>
      <c r="C8821" t="s">
        <v>10</v>
      </c>
      <c r="D8821" t="s">
        <v>17730</v>
      </c>
      <c r="E8821" t="s">
        <v>17731</v>
      </c>
    </row>
    <row r="8822" spans="1:7" ht="14.25" customHeight="1" x14ac:dyDescent="0.45">
      <c r="A8822" t="str">
        <f>_xlfn.XLOOKUP(B8822,Ingot!$H$12:$H$119,Ingot!$G$12:$G$119,"")</f>
        <v>Leather</v>
      </c>
      <c r="B8822" t="s">
        <v>17703</v>
      </c>
      <c r="C8822" t="s">
        <v>10</v>
      </c>
      <c r="D8822" t="s">
        <v>17732</v>
      </c>
      <c r="E8822" t="s">
        <v>17733</v>
      </c>
      <c r="G8822" s="1">
        <v>2.2000000000000002</v>
      </c>
    </row>
    <row r="8823" spans="1:7" ht="14.25" customHeight="1" x14ac:dyDescent="0.45">
      <c r="A8823" t="str">
        <f>_xlfn.XLOOKUP(B8823,Ingot!$H$12:$H$119,Ingot!$G$12:$G$119,"")</f>
        <v>Leather</v>
      </c>
      <c r="B8823" t="s">
        <v>17703</v>
      </c>
      <c r="C8823" t="s">
        <v>10</v>
      </c>
      <c r="D8823" t="s">
        <v>17734</v>
      </c>
      <c r="E8823" t="s">
        <v>17735</v>
      </c>
      <c r="G8823" s="1">
        <v>1.1000000000000001</v>
      </c>
    </row>
    <row r="8824" spans="1:7" ht="14.25" customHeight="1" x14ac:dyDescent="0.45">
      <c r="A8824" t="str">
        <f>_xlfn.XLOOKUP(B8824,Ingot!$H$12:$H$119,Ingot!$G$12:$G$119,"")</f>
        <v>Leather</v>
      </c>
      <c r="B8824" t="s">
        <v>17703</v>
      </c>
      <c r="C8824" t="s">
        <v>10</v>
      </c>
      <c r="D8824" t="s">
        <v>17736</v>
      </c>
      <c r="E8824" t="s">
        <v>17737</v>
      </c>
      <c r="G8824" s="1">
        <v>0.22</v>
      </c>
    </row>
    <row r="8825" spans="1:7" ht="14.25" customHeight="1" x14ac:dyDescent="0.45">
      <c r="A8825" t="str">
        <f>_xlfn.XLOOKUP(B8825,Ingot!$H$12:$H$119,Ingot!$G$12:$G$119,"")</f>
        <v>Leather</v>
      </c>
      <c r="B8825" t="s">
        <v>17703</v>
      </c>
      <c r="C8825" t="s">
        <v>10</v>
      </c>
      <c r="D8825" t="s">
        <v>17738</v>
      </c>
      <c r="E8825" t="s">
        <v>17739</v>
      </c>
      <c r="G8825" s="1">
        <v>8.41</v>
      </c>
    </row>
    <row r="8826" spans="1:7" ht="14.25" customHeight="1" x14ac:dyDescent="0.45">
      <c r="A8826" t="str">
        <f>_xlfn.XLOOKUP(B8826,Ingot!$H$12:$H$119,Ingot!$G$12:$G$119,"")</f>
        <v>Leather</v>
      </c>
      <c r="B8826" t="s">
        <v>17703</v>
      </c>
      <c r="C8826" t="s">
        <v>10</v>
      </c>
      <c r="D8826" t="s">
        <v>17740</v>
      </c>
      <c r="E8826" t="s">
        <v>17741</v>
      </c>
      <c r="G8826" s="1">
        <v>3.64</v>
      </c>
    </row>
    <row r="8827" spans="1:7" ht="14.25" customHeight="1" x14ac:dyDescent="0.45">
      <c r="A8827" t="str">
        <f>_xlfn.XLOOKUP(B8827,Ingot!$H$12:$H$119,Ingot!$G$12:$G$119,"")</f>
        <v>Leather</v>
      </c>
      <c r="B8827" t="s">
        <v>17703</v>
      </c>
      <c r="C8827" t="s">
        <v>10</v>
      </c>
      <c r="D8827" t="s">
        <v>17742</v>
      </c>
      <c r="E8827" t="s">
        <v>17743</v>
      </c>
      <c r="G8827" s="1">
        <v>7.05</v>
      </c>
    </row>
    <row r="8828" spans="1:7" ht="14.25" customHeight="1" x14ac:dyDescent="0.45">
      <c r="A8828" t="str">
        <f>_xlfn.XLOOKUP(B8828,Ingot!$H$12:$H$119,Ingot!$G$12:$G$119,"")</f>
        <v>Leather</v>
      </c>
      <c r="B8828" t="s">
        <v>17703</v>
      </c>
      <c r="C8828" t="s">
        <v>10</v>
      </c>
      <c r="D8828" t="s">
        <v>17744</v>
      </c>
      <c r="E8828" t="s">
        <v>17745</v>
      </c>
      <c r="G8828" s="1">
        <v>2.65</v>
      </c>
    </row>
    <row r="8829" spans="1:7" ht="14.25" customHeight="1" x14ac:dyDescent="0.45">
      <c r="A8829" t="str">
        <f>_xlfn.XLOOKUP(B8829,Ingot!$H$12:$H$119,Ingot!$G$12:$G$119,"")</f>
        <v>Leather</v>
      </c>
      <c r="B8829" t="s">
        <v>17703</v>
      </c>
      <c r="C8829" t="s">
        <v>10</v>
      </c>
      <c r="D8829" t="s">
        <v>17746</v>
      </c>
      <c r="E8829" t="s">
        <v>17747</v>
      </c>
      <c r="G8829" s="1">
        <v>9</v>
      </c>
    </row>
    <row r="8830" spans="1:7" ht="14.25" customHeight="1" x14ac:dyDescent="0.45">
      <c r="A8830" t="str">
        <f>_xlfn.XLOOKUP(B8830,Ingot!$H$12:$H$119,Ingot!$G$12:$G$119,"")</f>
        <v>Leather</v>
      </c>
      <c r="B8830" t="s">
        <v>17703</v>
      </c>
      <c r="C8830" t="s">
        <v>10</v>
      </c>
      <c r="D8830" t="s">
        <v>17748</v>
      </c>
      <c r="E8830" t="s">
        <v>17749</v>
      </c>
      <c r="G8830" s="1">
        <v>10.23</v>
      </c>
    </row>
    <row r="8831" spans="1:7" ht="14.25" customHeight="1" x14ac:dyDescent="0.45">
      <c r="A8831" t="str">
        <f>_xlfn.XLOOKUP(B8831,Ingot!$H$12:$H$119,Ingot!$G$12:$G$119,"")</f>
        <v>Leather</v>
      </c>
      <c r="B8831" t="s">
        <v>17703</v>
      </c>
      <c r="C8831" t="s">
        <v>10</v>
      </c>
      <c r="D8831" t="s">
        <v>17750</v>
      </c>
      <c r="E8831" t="s">
        <v>17751</v>
      </c>
      <c r="G8831" s="1">
        <v>7.7</v>
      </c>
    </row>
    <row r="8832" spans="1:7" ht="14.25" customHeight="1" x14ac:dyDescent="0.45">
      <c r="A8832" t="str">
        <f>_xlfn.XLOOKUP(B8832,Ingot!$H$12:$H$119,Ingot!$G$12:$G$119,"")</f>
        <v>Leather</v>
      </c>
      <c r="B8832" t="s">
        <v>17703</v>
      </c>
      <c r="C8832" t="s">
        <v>10</v>
      </c>
      <c r="D8832" t="s">
        <v>17752</v>
      </c>
      <c r="E8832" t="s">
        <v>17753</v>
      </c>
      <c r="G8832" s="1">
        <v>10.02</v>
      </c>
    </row>
    <row r="8833" spans="1:7" ht="14.25" customHeight="1" x14ac:dyDescent="0.45">
      <c r="A8833" t="str">
        <f>_xlfn.XLOOKUP(B8833,Ingot!$H$12:$H$119,Ingot!$G$12:$G$119,"")</f>
        <v>Leather</v>
      </c>
      <c r="B8833" t="s">
        <v>17703</v>
      </c>
      <c r="C8833" t="s">
        <v>10</v>
      </c>
      <c r="D8833" t="s">
        <v>17754</v>
      </c>
      <c r="E8833" t="s">
        <v>17755</v>
      </c>
      <c r="G8833" s="1">
        <v>11.81</v>
      </c>
    </row>
    <row r="8834" spans="1:7" ht="14.25" customHeight="1" x14ac:dyDescent="0.45">
      <c r="A8834" t="str">
        <f>_xlfn.XLOOKUP(B8834,Ingot!$H$12:$H$119,Ingot!$G$12:$G$119,"")</f>
        <v>Leather</v>
      </c>
      <c r="B8834" t="s">
        <v>17703</v>
      </c>
      <c r="C8834" t="s">
        <v>10</v>
      </c>
      <c r="D8834" t="s">
        <v>17756</v>
      </c>
      <c r="E8834" t="s">
        <v>17757</v>
      </c>
      <c r="G8834" s="1">
        <v>8.44</v>
      </c>
    </row>
    <row r="8835" spans="1:7" ht="14.25" customHeight="1" x14ac:dyDescent="0.45">
      <c r="A8835" t="str">
        <f>_xlfn.XLOOKUP(B8835,Ingot!$H$12:$H$119,Ingot!$G$12:$G$119,"")</f>
        <v>Leather</v>
      </c>
      <c r="B8835" t="s">
        <v>17703</v>
      </c>
      <c r="C8835" t="s">
        <v>10</v>
      </c>
      <c r="D8835" t="s">
        <v>17758</v>
      </c>
      <c r="E8835" t="s">
        <v>17759</v>
      </c>
      <c r="G8835" s="1">
        <v>10.42</v>
      </c>
    </row>
    <row r="8836" spans="1:7" ht="14.25" customHeight="1" x14ac:dyDescent="0.45">
      <c r="A8836" t="str">
        <f>_xlfn.XLOOKUP(B8836,Ingot!$H$12:$H$119,Ingot!$G$12:$G$119,"")</f>
        <v>Leather</v>
      </c>
      <c r="B8836" t="s">
        <v>17703</v>
      </c>
      <c r="C8836" t="s">
        <v>10</v>
      </c>
      <c r="D8836" t="s">
        <v>17760</v>
      </c>
      <c r="E8836" t="s">
        <v>17761</v>
      </c>
    </row>
    <row r="8837" spans="1:7" ht="14.25" customHeight="1" x14ac:dyDescent="0.45">
      <c r="A8837" t="str">
        <f>_xlfn.XLOOKUP(B8837,Ingot!$H$12:$H$119,Ingot!$G$12:$G$119,"")</f>
        <v>Leather</v>
      </c>
      <c r="B8837" t="s">
        <v>17703</v>
      </c>
      <c r="C8837" t="s">
        <v>10</v>
      </c>
      <c r="D8837" t="s">
        <v>17762</v>
      </c>
      <c r="E8837" t="s">
        <v>17763</v>
      </c>
      <c r="G8837" s="1">
        <v>7.96</v>
      </c>
    </row>
    <row r="8838" spans="1:7" ht="14.25" customHeight="1" x14ac:dyDescent="0.45">
      <c r="A8838" t="str">
        <f>_xlfn.XLOOKUP(B8838,Ingot!$H$12:$H$119,Ingot!$G$12:$G$119,"")</f>
        <v>Leather</v>
      </c>
      <c r="B8838" t="s">
        <v>17703</v>
      </c>
      <c r="C8838" t="s">
        <v>10</v>
      </c>
      <c r="D8838" t="s">
        <v>17764</v>
      </c>
      <c r="E8838" t="s">
        <v>17765</v>
      </c>
      <c r="G8838" s="1">
        <v>9.64</v>
      </c>
    </row>
    <row r="8839" spans="1:7" ht="14.25" customHeight="1" x14ac:dyDescent="0.45">
      <c r="A8839" t="str">
        <f>_xlfn.XLOOKUP(B8839,Ingot!$H$12:$H$119,Ingot!$G$12:$G$119,"")</f>
        <v>Leather</v>
      </c>
      <c r="B8839" t="s">
        <v>17703</v>
      </c>
      <c r="C8839" t="s">
        <v>10</v>
      </c>
      <c r="D8839" t="s">
        <v>17766</v>
      </c>
      <c r="E8839" t="s">
        <v>17767</v>
      </c>
      <c r="G8839" s="1">
        <v>7.94</v>
      </c>
    </row>
    <row r="8840" spans="1:7" ht="14.25" customHeight="1" x14ac:dyDescent="0.45">
      <c r="A8840" t="str">
        <f>_xlfn.XLOOKUP(B8840,Ingot!$H$12:$H$119,Ingot!$G$12:$G$119,"")</f>
        <v>Leather</v>
      </c>
      <c r="B8840" t="s">
        <v>17703</v>
      </c>
      <c r="C8840" t="s">
        <v>10</v>
      </c>
      <c r="D8840" t="s">
        <v>17768</v>
      </c>
      <c r="E8840" t="s">
        <v>17769</v>
      </c>
      <c r="G8840" s="1">
        <v>8.66</v>
      </c>
    </row>
    <row r="8841" spans="1:7" ht="14.25" customHeight="1" x14ac:dyDescent="0.45">
      <c r="A8841" t="str">
        <f>_xlfn.XLOOKUP(B8841,Ingot!$H$12:$H$119,Ingot!$G$12:$G$119,"")</f>
        <v>Leather</v>
      </c>
      <c r="B8841" t="s">
        <v>17703</v>
      </c>
      <c r="C8841" t="s">
        <v>10</v>
      </c>
      <c r="D8841" t="s">
        <v>17770</v>
      </c>
      <c r="E8841" t="s">
        <v>17771</v>
      </c>
    </row>
    <row r="8842" spans="1:7" ht="14.25" customHeight="1" x14ac:dyDescent="0.45">
      <c r="A8842" t="str">
        <f>_xlfn.XLOOKUP(B8842,Ingot!$H$12:$H$119,Ingot!$G$12:$G$119,"")</f>
        <v>Leather</v>
      </c>
      <c r="B8842" t="s">
        <v>17703</v>
      </c>
      <c r="C8842" t="s">
        <v>10</v>
      </c>
      <c r="D8842" t="s">
        <v>17772</v>
      </c>
      <c r="E8842" t="s">
        <v>17773</v>
      </c>
      <c r="G8842" s="1">
        <v>2.65</v>
      </c>
    </row>
    <row r="8843" spans="1:7" ht="14.25" customHeight="1" x14ac:dyDescent="0.45">
      <c r="A8843" t="str">
        <f>_xlfn.XLOOKUP(B8843,Ingot!$H$12:$H$119,Ingot!$G$12:$G$119,"")</f>
        <v>Leather</v>
      </c>
      <c r="B8843" t="s">
        <v>17703</v>
      </c>
      <c r="C8843" t="s">
        <v>10</v>
      </c>
      <c r="D8843" t="s">
        <v>17774</v>
      </c>
      <c r="E8843" t="s">
        <v>17775</v>
      </c>
    </row>
    <row r="8844" spans="1:7" ht="14.25" customHeight="1" x14ac:dyDescent="0.45">
      <c r="A8844" t="str">
        <f>_xlfn.XLOOKUP(B8844,Ingot!$H$12:$H$119,Ingot!$G$12:$G$119,"")</f>
        <v>Leather</v>
      </c>
      <c r="B8844" t="s">
        <v>17703</v>
      </c>
      <c r="C8844" t="s">
        <v>10</v>
      </c>
      <c r="D8844" t="s">
        <v>17776</v>
      </c>
      <c r="E8844" t="s">
        <v>17777</v>
      </c>
      <c r="G8844" s="1">
        <v>12.64</v>
      </c>
    </row>
    <row r="8845" spans="1:7" ht="14.25" customHeight="1" x14ac:dyDescent="0.45">
      <c r="A8845" t="str">
        <f>_xlfn.XLOOKUP(B8845,Ingot!$H$12:$H$119,Ingot!$G$12:$G$119,"")</f>
        <v>Leather</v>
      </c>
      <c r="B8845" t="s">
        <v>17703</v>
      </c>
      <c r="C8845" t="s">
        <v>10</v>
      </c>
      <c r="D8845" t="s">
        <v>17778</v>
      </c>
      <c r="E8845" t="s">
        <v>17779</v>
      </c>
      <c r="G8845" s="1">
        <v>22.67</v>
      </c>
    </row>
    <row r="8846" spans="1:7" ht="14.25" customHeight="1" x14ac:dyDescent="0.45">
      <c r="A8846" t="str">
        <f>_xlfn.XLOOKUP(B8846,Ingot!$H$12:$H$119,Ingot!$G$12:$G$119,"")</f>
        <v>Leather</v>
      </c>
      <c r="B8846" t="s">
        <v>17703</v>
      </c>
      <c r="C8846" t="s">
        <v>10</v>
      </c>
      <c r="D8846" t="s">
        <v>17780</v>
      </c>
      <c r="E8846" t="s">
        <v>17781</v>
      </c>
      <c r="G8846" s="1">
        <v>8.3800000000000008</v>
      </c>
    </row>
    <row r="8847" spans="1:7" ht="14.25" customHeight="1" x14ac:dyDescent="0.45">
      <c r="A8847" t="str">
        <f>_xlfn.XLOOKUP(B8847,Ingot!$H$12:$H$119,Ingot!$G$12:$G$119,"")</f>
        <v>Leather</v>
      </c>
      <c r="B8847" t="s">
        <v>17703</v>
      </c>
      <c r="C8847" t="s">
        <v>10</v>
      </c>
      <c r="D8847" t="s">
        <v>17782</v>
      </c>
      <c r="E8847" t="s">
        <v>17783</v>
      </c>
      <c r="G8847" s="1">
        <v>2.2000000000000002</v>
      </c>
    </row>
    <row r="8848" spans="1:7" ht="14.25" customHeight="1" x14ac:dyDescent="0.45">
      <c r="A8848" t="str">
        <f>_xlfn.XLOOKUP(B8848,Ingot!$H$12:$H$119,Ingot!$G$12:$G$119,"")</f>
        <v>Leather</v>
      </c>
      <c r="B8848" t="s">
        <v>17703</v>
      </c>
      <c r="C8848" t="s">
        <v>10</v>
      </c>
      <c r="D8848" t="s">
        <v>17784</v>
      </c>
      <c r="E8848" t="s">
        <v>17785</v>
      </c>
      <c r="G8848" s="1">
        <v>3.09</v>
      </c>
    </row>
    <row r="8849" spans="1:7" ht="14.25" customHeight="1" x14ac:dyDescent="0.45">
      <c r="A8849" t="str">
        <f>_xlfn.XLOOKUP(B8849,Ingot!$H$12:$H$119,Ingot!$G$12:$G$119,"")</f>
        <v>Leather</v>
      </c>
      <c r="B8849" t="s">
        <v>17703</v>
      </c>
      <c r="C8849" t="s">
        <v>10</v>
      </c>
      <c r="D8849" t="s">
        <v>17786</v>
      </c>
      <c r="E8849" t="s">
        <v>17787</v>
      </c>
      <c r="G8849" s="1">
        <v>2.2999999999999998</v>
      </c>
    </row>
    <row r="8850" spans="1:7" ht="14.25" customHeight="1" x14ac:dyDescent="0.45">
      <c r="A8850" t="str">
        <f>_xlfn.XLOOKUP(B8850,Ingot!$H$12:$H$119,Ingot!$G$12:$G$119,"")</f>
        <v>Leather</v>
      </c>
      <c r="B8850" t="s">
        <v>17703</v>
      </c>
      <c r="C8850" t="s">
        <v>10</v>
      </c>
      <c r="D8850" t="s">
        <v>17788</v>
      </c>
      <c r="E8850" t="s">
        <v>17789</v>
      </c>
      <c r="G8850" s="1">
        <v>4.88</v>
      </c>
    </row>
    <row r="8851" spans="1:7" ht="14.25" customHeight="1" x14ac:dyDescent="0.45">
      <c r="A8851" t="str">
        <f>_xlfn.XLOOKUP(B8851,Ingot!$H$12:$H$119,Ingot!$G$12:$G$119,"")</f>
        <v>Leather</v>
      </c>
      <c r="B8851" t="s">
        <v>17703</v>
      </c>
      <c r="C8851" t="s">
        <v>10</v>
      </c>
      <c r="D8851" t="s">
        <v>17790</v>
      </c>
      <c r="E8851" t="s">
        <v>17791</v>
      </c>
      <c r="G8851" s="1">
        <v>8.43</v>
      </c>
    </row>
    <row r="8852" spans="1:7" ht="14.25" customHeight="1" x14ac:dyDescent="0.45">
      <c r="A8852" t="str">
        <f>_xlfn.XLOOKUP(B8852,Ingot!$H$12:$H$119,Ingot!$G$12:$G$119,"")</f>
        <v>Leather</v>
      </c>
      <c r="B8852" t="s">
        <v>17703</v>
      </c>
      <c r="C8852" t="s">
        <v>10</v>
      </c>
      <c r="D8852" t="s">
        <v>17792</v>
      </c>
      <c r="E8852" t="s">
        <v>17793</v>
      </c>
      <c r="G8852" s="1">
        <v>13.07</v>
      </c>
    </row>
    <row r="8853" spans="1:7" ht="14.25" customHeight="1" x14ac:dyDescent="0.45">
      <c r="A8853" t="str">
        <f>_xlfn.XLOOKUP(B8853,Ingot!$H$12:$H$119,Ingot!$G$12:$G$119,"")</f>
        <v>Leather</v>
      </c>
      <c r="B8853" t="s">
        <v>17703</v>
      </c>
      <c r="C8853" t="s">
        <v>10</v>
      </c>
      <c r="D8853" t="s">
        <v>17794</v>
      </c>
      <c r="E8853" t="s">
        <v>17795</v>
      </c>
    </row>
    <row r="8854" spans="1:7" ht="14.25" customHeight="1" x14ac:dyDescent="0.45">
      <c r="A8854" t="str">
        <f>_xlfn.XLOOKUP(B8854,Ingot!$H$12:$H$119,Ingot!$G$12:$G$119,"")</f>
        <v>Leather</v>
      </c>
      <c r="B8854" t="s">
        <v>17703</v>
      </c>
      <c r="C8854" t="s">
        <v>10</v>
      </c>
      <c r="D8854" t="s">
        <v>17796</v>
      </c>
      <c r="E8854" t="s">
        <v>17797</v>
      </c>
    </row>
    <row r="8855" spans="1:7" ht="14.25" customHeight="1" x14ac:dyDescent="0.45">
      <c r="A8855" t="str">
        <f>_xlfn.XLOOKUP(B8855,Ingot!$H$12:$H$119,Ingot!$G$12:$G$119,"")</f>
        <v>Leather</v>
      </c>
      <c r="B8855" t="s">
        <v>17703</v>
      </c>
      <c r="C8855" t="s">
        <v>10</v>
      </c>
      <c r="D8855" t="s">
        <v>17798</v>
      </c>
      <c r="E8855" t="s">
        <v>17799</v>
      </c>
      <c r="G8855" s="1">
        <v>6.8</v>
      </c>
    </row>
    <row r="8856" spans="1:7" ht="14.25" customHeight="1" x14ac:dyDescent="0.45">
      <c r="A8856" t="str">
        <f>_xlfn.XLOOKUP(B8856,Ingot!$H$12:$H$119,Ingot!$G$12:$G$119,"")</f>
        <v>Leather</v>
      </c>
      <c r="B8856" t="s">
        <v>17703</v>
      </c>
      <c r="C8856" t="s">
        <v>10</v>
      </c>
      <c r="D8856" t="s">
        <v>17800</v>
      </c>
      <c r="E8856" t="s">
        <v>17801</v>
      </c>
      <c r="G8856" s="1">
        <v>6.88</v>
      </c>
    </row>
    <row r="8857" spans="1:7" ht="14.25" customHeight="1" x14ac:dyDescent="0.45">
      <c r="A8857" t="str">
        <f>_xlfn.XLOOKUP(B8857,Ingot!$H$12:$H$119,Ingot!$G$12:$G$119,"")</f>
        <v>Leather</v>
      </c>
      <c r="B8857" t="s">
        <v>17703</v>
      </c>
      <c r="C8857" t="s">
        <v>10</v>
      </c>
      <c r="D8857" t="s">
        <v>17802</v>
      </c>
      <c r="E8857" t="s">
        <v>17803</v>
      </c>
      <c r="G8857" s="1">
        <v>5.5</v>
      </c>
    </row>
    <row r="8858" spans="1:7" ht="14.25" customHeight="1" x14ac:dyDescent="0.45">
      <c r="A8858" t="str">
        <f>_xlfn.XLOOKUP(B8858,Ingot!$H$12:$H$119,Ingot!$G$12:$G$119,"")</f>
        <v>Leather</v>
      </c>
      <c r="B8858" t="s">
        <v>17703</v>
      </c>
      <c r="C8858" t="s">
        <v>10</v>
      </c>
      <c r="D8858" t="s">
        <v>17804</v>
      </c>
      <c r="E8858" t="s">
        <v>17805</v>
      </c>
      <c r="G8858" s="1">
        <v>2.4300000000000002</v>
      </c>
    </row>
    <row r="8859" spans="1:7" ht="14.25" customHeight="1" x14ac:dyDescent="0.45">
      <c r="A8859" t="str">
        <f>_xlfn.XLOOKUP(B8859,Ingot!$H$12:$H$119,Ingot!$G$12:$G$119,"")</f>
        <v>Leather</v>
      </c>
      <c r="B8859" t="s">
        <v>17703</v>
      </c>
      <c r="C8859" t="s">
        <v>10</v>
      </c>
      <c r="D8859" t="s">
        <v>17806</v>
      </c>
      <c r="E8859" t="s">
        <v>17807</v>
      </c>
      <c r="G8859" s="1">
        <v>6.96</v>
      </c>
    </row>
    <row r="8860" spans="1:7" ht="14.25" customHeight="1" x14ac:dyDescent="0.45">
      <c r="A8860" t="str">
        <f>_xlfn.XLOOKUP(B8860,Ingot!$H$12:$H$119,Ingot!$G$12:$G$119,"")</f>
        <v>Leather</v>
      </c>
      <c r="B8860" t="s">
        <v>17703</v>
      </c>
      <c r="C8860" t="s">
        <v>10</v>
      </c>
      <c r="D8860" t="s">
        <v>17808</v>
      </c>
      <c r="E8860" t="s">
        <v>17809</v>
      </c>
      <c r="G8860" s="1">
        <v>6.32</v>
      </c>
    </row>
    <row r="8861" spans="1:7" ht="14.25" customHeight="1" x14ac:dyDescent="0.45">
      <c r="A8861" t="str">
        <f>_xlfn.XLOOKUP(B8861,Ingot!$H$12:$H$119,Ingot!$G$12:$G$119,"")</f>
        <v>Leather</v>
      </c>
      <c r="B8861" t="s">
        <v>17703</v>
      </c>
      <c r="C8861" t="s">
        <v>10</v>
      </c>
      <c r="D8861" t="s">
        <v>17810</v>
      </c>
      <c r="E8861" t="s">
        <v>17811</v>
      </c>
      <c r="G8861" s="1">
        <v>6.88</v>
      </c>
    </row>
    <row r="8862" spans="1:7" ht="14.25" customHeight="1" x14ac:dyDescent="0.45">
      <c r="A8862" t="str">
        <f>_xlfn.XLOOKUP(B8862,Ingot!$H$12:$H$119,Ingot!$G$12:$G$119,"")</f>
        <v>Leather</v>
      </c>
      <c r="B8862" t="s">
        <v>17703</v>
      </c>
      <c r="C8862" t="s">
        <v>10</v>
      </c>
      <c r="D8862" t="s">
        <v>17812</v>
      </c>
      <c r="E8862" t="s">
        <v>17813</v>
      </c>
      <c r="G8862" s="1">
        <v>2.44</v>
      </c>
    </row>
    <row r="8863" spans="1:7" ht="14.25" customHeight="1" x14ac:dyDescent="0.45">
      <c r="A8863" t="str">
        <f>_xlfn.XLOOKUP(B8863,Ingot!$H$12:$H$119,Ingot!$G$12:$G$119,"")</f>
        <v>Leather</v>
      </c>
      <c r="B8863" t="s">
        <v>17703</v>
      </c>
      <c r="C8863" t="s">
        <v>10</v>
      </c>
      <c r="D8863" t="s">
        <v>17814</v>
      </c>
      <c r="E8863" t="s">
        <v>17815</v>
      </c>
    </row>
    <row r="8864" spans="1:7" ht="14.25" customHeight="1" x14ac:dyDescent="0.45">
      <c r="A8864" t="str">
        <f>_xlfn.XLOOKUP(B8864,Ingot!$H$12:$H$119,Ingot!$G$12:$G$119,"")</f>
        <v>Leather</v>
      </c>
      <c r="B8864" t="s">
        <v>17703</v>
      </c>
      <c r="C8864" t="s">
        <v>10</v>
      </c>
      <c r="D8864" t="s">
        <v>17816</v>
      </c>
      <c r="E8864" t="s">
        <v>17817</v>
      </c>
    </row>
    <row r="8865" spans="1:7" ht="14.25" customHeight="1" x14ac:dyDescent="0.45">
      <c r="A8865" t="str">
        <f>_xlfn.XLOOKUP(B8865,Ingot!$H$12:$H$119,Ingot!$G$12:$G$119,"")</f>
        <v>Leather</v>
      </c>
      <c r="B8865" t="s">
        <v>17703</v>
      </c>
      <c r="C8865" t="s">
        <v>10</v>
      </c>
      <c r="D8865" t="s">
        <v>17818</v>
      </c>
      <c r="E8865" t="s">
        <v>17819</v>
      </c>
      <c r="G8865" s="1">
        <v>3.11</v>
      </c>
    </row>
    <row r="8866" spans="1:7" ht="14.25" customHeight="1" x14ac:dyDescent="0.45">
      <c r="A8866" t="str">
        <f>_xlfn.XLOOKUP(B8866,Ingot!$H$12:$H$119,Ingot!$G$12:$G$119,"")</f>
        <v>Leather</v>
      </c>
      <c r="B8866" t="s">
        <v>17703</v>
      </c>
      <c r="C8866" t="s">
        <v>10</v>
      </c>
      <c r="D8866" t="s">
        <v>17820</v>
      </c>
      <c r="E8866" t="s">
        <v>17821</v>
      </c>
      <c r="G8866" s="1">
        <v>2.44</v>
      </c>
    </row>
    <row r="8867" spans="1:7" ht="14.25" customHeight="1" x14ac:dyDescent="0.45">
      <c r="A8867" t="str">
        <f>_xlfn.XLOOKUP(B8867,Ingot!$H$12:$H$119,Ingot!$G$12:$G$119,"")</f>
        <v>Leather</v>
      </c>
      <c r="B8867" t="s">
        <v>17703</v>
      </c>
      <c r="C8867" t="s">
        <v>10</v>
      </c>
      <c r="D8867" t="s">
        <v>17822</v>
      </c>
      <c r="E8867" t="s">
        <v>17823</v>
      </c>
      <c r="G8867" s="1">
        <v>8.61</v>
      </c>
    </row>
    <row r="8868" spans="1:7" ht="14.25" customHeight="1" x14ac:dyDescent="0.45">
      <c r="A8868" t="str">
        <f>_xlfn.XLOOKUP(B8868,Ingot!$H$12:$H$119,Ingot!$G$12:$G$119,"")</f>
        <v>Leather</v>
      </c>
      <c r="B8868" t="s">
        <v>17703</v>
      </c>
      <c r="C8868" t="s">
        <v>10</v>
      </c>
      <c r="D8868" t="s">
        <v>17824</v>
      </c>
      <c r="E8868" t="s">
        <v>17825</v>
      </c>
    </row>
    <row r="8869" spans="1:7" ht="14.25" customHeight="1" x14ac:dyDescent="0.45">
      <c r="A8869" t="str">
        <f>_xlfn.XLOOKUP(B8869,Ingot!$H$12:$H$119,Ingot!$G$12:$G$119,"")</f>
        <v>Leather</v>
      </c>
      <c r="B8869" t="s">
        <v>17703</v>
      </c>
      <c r="C8869" t="s">
        <v>10</v>
      </c>
      <c r="D8869" t="s">
        <v>17826</v>
      </c>
      <c r="E8869" t="s">
        <v>17827</v>
      </c>
      <c r="G8869" s="1">
        <v>3.21</v>
      </c>
    </row>
    <row r="8870" spans="1:7" ht="14.25" customHeight="1" x14ac:dyDescent="0.45">
      <c r="A8870" t="str">
        <f>_xlfn.XLOOKUP(B8870,Ingot!$H$12:$H$119,Ingot!$G$12:$G$119,"")</f>
        <v>Leather</v>
      </c>
      <c r="B8870" t="s">
        <v>17703</v>
      </c>
      <c r="C8870" t="s">
        <v>10</v>
      </c>
      <c r="D8870" t="s">
        <v>17828</v>
      </c>
      <c r="E8870" t="s">
        <v>17829</v>
      </c>
      <c r="G8870" s="1">
        <v>2.77</v>
      </c>
    </row>
    <row r="8871" spans="1:7" ht="14.25" customHeight="1" x14ac:dyDescent="0.45">
      <c r="A8871" t="str">
        <f>_xlfn.XLOOKUP(B8871,Ingot!$H$12:$H$119,Ingot!$G$12:$G$119,"")</f>
        <v>Leather</v>
      </c>
      <c r="B8871" t="s">
        <v>17703</v>
      </c>
      <c r="C8871" t="s">
        <v>10</v>
      </c>
      <c r="D8871" t="s">
        <v>17830</v>
      </c>
      <c r="E8871" t="s">
        <v>17831</v>
      </c>
      <c r="G8871" s="1">
        <v>4.8899999999999997</v>
      </c>
    </row>
    <row r="8872" spans="1:7" ht="14.25" customHeight="1" x14ac:dyDescent="0.45">
      <c r="A8872" t="str">
        <f>_xlfn.XLOOKUP(B8872,Ingot!$H$12:$H$119,Ingot!$G$12:$G$119,"")</f>
        <v>Leather</v>
      </c>
      <c r="B8872" t="s">
        <v>17703</v>
      </c>
      <c r="C8872" t="s">
        <v>10</v>
      </c>
      <c r="D8872" t="s">
        <v>17832</v>
      </c>
      <c r="E8872" t="s">
        <v>17833</v>
      </c>
      <c r="G8872" s="1">
        <v>1.76</v>
      </c>
    </row>
    <row r="8873" spans="1:7" ht="14.25" customHeight="1" x14ac:dyDescent="0.45">
      <c r="A8873" t="str">
        <f>_xlfn.XLOOKUP(B8873,Ingot!$H$12:$H$119,Ingot!$G$12:$G$119,"")</f>
        <v>Leather</v>
      </c>
      <c r="B8873" t="s">
        <v>17703</v>
      </c>
      <c r="C8873" t="s">
        <v>10</v>
      </c>
      <c r="D8873" t="s">
        <v>17834</v>
      </c>
      <c r="E8873" t="s">
        <v>17835</v>
      </c>
    </row>
    <row r="8874" spans="1:7" ht="14.25" customHeight="1" x14ac:dyDescent="0.45">
      <c r="A8874" t="str">
        <f>_xlfn.XLOOKUP(B8874,Ingot!$H$12:$H$119,Ingot!$G$12:$G$119,"")</f>
        <v>Leather</v>
      </c>
      <c r="B8874" t="s">
        <v>17703</v>
      </c>
      <c r="C8874" t="s">
        <v>10</v>
      </c>
      <c r="D8874" t="s">
        <v>17836</v>
      </c>
      <c r="E8874" t="s">
        <v>17837</v>
      </c>
      <c r="G8874" s="1">
        <v>8.57</v>
      </c>
    </row>
    <row r="8875" spans="1:7" ht="14.25" customHeight="1" x14ac:dyDescent="0.45">
      <c r="A8875" t="str">
        <f>_xlfn.XLOOKUP(B8875,Ingot!$H$12:$H$119,Ingot!$G$12:$G$119,"")</f>
        <v>Leather</v>
      </c>
      <c r="B8875" t="s">
        <v>17703</v>
      </c>
      <c r="C8875" t="s">
        <v>10</v>
      </c>
      <c r="D8875" t="s">
        <v>17838</v>
      </c>
      <c r="E8875" t="s">
        <v>17839</v>
      </c>
    </row>
    <row r="8876" spans="1:7" ht="14.25" customHeight="1" x14ac:dyDescent="0.45">
      <c r="A8876" t="str">
        <f>_xlfn.XLOOKUP(B8876,Ingot!$H$12:$H$119,Ingot!$G$12:$G$119,"")</f>
        <v>Leather</v>
      </c>
      <c r="B8876" t="s">
        <v>17703</v>
      </c>
      <c r="C8876" t="s">
        <v>10</v>
      </c>
      <c r="D8876" t="s">
        <v>17840</v>
      </c>
      <c r="E8876" t="s">
        <v>17841</v>
      </c>
      <c r="G8876" s="1">
        <v>3.56</v>
      </c>
    </row>
    <row r="8877" spans="1:7" ht="14.25" customHeight="1" x14ac:dyDescent="0.45">
      <c r="A8877" t="str">
        <f>_xlfn.XLOOKUP(B8877,Ingot!$H$12:$H$119,Ingot!$G$12:$G$119,"")</f>
        <v>Leather</v>
      </c>
      <c r="B8877" t="s">
        <v>17703</v>
      </c>
      <c r="C8877" t="s">
        <v>10</v>
      </c>
      <c r="D8877" t="s">
        <v>17842</v>
      </c>
      <c r="E8877" t="s">
        <v>17843</v>
      </c>
      <c r="G8877" s="1">
        <v>8.91</v>
      </c>
    </row>
    <row r="8878" spans="1:7" ht="14.25" customHeight="1" x14ac:dyDescent="0.45">
      <c r="A8878" t="str">
        <f>_xlfn.XLOOKUP(B8878,Ingot!$H$12:$H$119,Ingot!$G$12:$G$119,"")</f>
        <v>Leather</v>
      </c>
      <c r="B8878" t="s">
        <v>17703</v>
      </c>
      <c r="C8878" t="s">
        <v>10</v>
      </c>
      <c r="D8878" t="s">
        <v>17844</v>
      </c>
      <c r="E8878" t="s">
        <v>17845</v>
      </c>
      <c r="G8878" s="1">
        <v>11.02</v>
      </c>
    </row>
    <row r="8879" spans="1:7" ht="14.25" customHeight="1" x14ac:dyDescent="0.45">
      <c r="A8879" t="str">
        <f>_xlfn.XLOOKUP(B8879,Ingot!$H$12:$H$119,Ingot!$G$12:$G$119,"")</f>
        <v>Leather</v>
      </c>
      <c r="B8879" t="s">
        <v>17703</v>
      </c>
      <c r="C8879" t="s">
        <v>10</v>
      </c>
      <c r="D8879" t="s">
        <v>17846</v>
      </c>
      <c r="E8879" t="s">
        <v>17847</v>
      </c>
      <c r="G8879" s="1">
        <v>5.12</v>
      </c>
    </row>
    <row r="8880" spans="1:7" ht="14.25" customHeight="1" x14ac:dyDescent="0.45">
      <c r="A8880" t="str">
        <f>_xlfn.XLOOKUP(B8880,Ingot!$H$12:$H$119,Ingot!$G$12:$G$119,"")</f>
        <v>Leather</v>
      </c>
      <c r="B8880" t="s">
        <v>17703</v>
      </c>
      <c r="C8880" t="s">
        <v>10</v>
      </c>
      <c r="D8880" t="s">
        <v>17848</v>
      </c>
      <c r="E8880" t="s">
        <v>17849</v>
      </c>
      <c r="G8880" s="1">
        <v>4.41</v>
      </c>
    </row>
    <row r="8881" spans="1:7" ht="14.25" customHeight="1" x14ac:dyDescent="0.45">
      <c r="A8881" t="str">
        <f>_xlfn.XLOOKUP(B8881,Ingot!$H$12:$H$119,Ingot!$G$12:$G$119,"")</f>
        <v>Leather</v>
      </c>
      <c r="B8881" t="s">
        <v>17703</v>
      </c>
      <c r="C8881" t="s">
        <v>157</v>
      </c>
      <c r="D8881" t="s">
        <v>17850</v>
      </c>
      <c r="E8881" t="s">
        <v>17851</v>
      </c>
      <c r="F8881" t="s">
        <v>180</v>
      </c>
      <c r="G8881" s="1">
        <v>17.34</v>
      </c>
    </row>
    <row r="8882" spans="1:7" ht="14.25" customHeight="1" x14ac:dyDescent="0.45">
      <c r="A8882" t="str">
        <f>_xlfn.XLOOKUP(B8882,Ingot!$H$12:$H$119,Ingot!$G$12:$G$119,"")</f>
        <v>Leather</v>
      </c>
      <c r="B8882" t="s">
        <v>17703</v>
      </c>
      <c r="C8882" t="s">
        <v>157</v>
      </c>
      <c r="D8882" t="s">
        <v>17852</v>
      </c>
      <c r="E8882" t="s">
        <v>17853</v>
      </c>
      <c r="F8882" t="s">
        <v>180</v>
      </c>
      <c r="G8882" s="1">
        <v>5</v>
      </c>
    </row>
    <row r="8883" spans="1:7" ht="14.25" customHeight="1" x14ac:dyDescent="0.45">
      <c r="A8883" t="str">
        <f>_xlfn.XLOOKUP(B8883,Ingot!$H$12:$H$119,Ingot!$G$12:$G$119,"")</f>
        <v>Leather</v>
      </c>
      <c r="B8883" t="s">
        <v>17703</v>
      </c>
      <c r="C8883" t="s">
        <v>157</v>
      </c>
      <c r="D8883" t="s">
        <v>17854</v>
      </c>
      <c r="E8883" t="s">
        <v>17855</v>
      </c>
      <c r="F8883" t="s">
        <v>180</v>
      </c>
      <c r="G8883" s="1">
        <v>5</v>
      </c>
    </row>
    <row r="8884" spans="1:7" ht="14.25" customHeight="1" x14ac:dyDescent="0.45">
      <c r="A8884" t="str">
        <f>_xlfn.XLOOKUP(B8884,Ingot!$H$12:$H$119,Ingot!$G$12:$G$119,"")</f>
        <v>Leather</v>
      </c>
      <c r="B8884" t="s">
        <v>17703</v>
      </c>
      <c r="C8884" t="s">
        <v>157</v>
      </c>
      <c r="D8884" t="s">
        <v>17856</v>
      </c>
      <c r="E8884" t="s">
        <v>17857</v>
      </c>
      <c r="F8884" t="s">
        <v>180</v>
      </c>
      <c r="G8884" s="1">
        <v>5</v>
      </c>
    </row>
    <row r="8885" spans="1:7" ht="14.25" customHeight="1" x14ac:dyDescent="0.45">
      <c r="A8885" t="str">
        <f>_xlfn.XLOOKUP(B8885,Ingot!$H$12:$H$119,Ingot!$G$12:$G$119,"")</f>
        <v>Leather</v>
      </c>
      <c r="B8885" t="s">
        <v>17703</v>
      </c>
      <c r="C8885" t="s">
        <v>157</v>
      </c>
      <c r="D8885" t="s">
        <v>17858</v>
      </c>
      <c r="E8885" t="s">
        <v>17859</v>
      </c>
      <c r="F8885" t="s">
        <v>180</v>
      </c>
      <c r="G8885" s="1">
        <v>10</v>
      </c>
    </row>
    <row r="8886" spans="1:7" ht="14.25" customHeight="1" x14ac:dyDescent="0.45">
      <c r="A8886" t="str">
        <f>_xlfn.XLOOKUP(B8886,Ingot!$H$12:$H$119,Ingot!$G$12:$G$119,"")</f>
        <v>Leather</v>
      </c>
      <c r="B8886" t="s">
        <v>17703</v>
      </c>
      <c r="C8886" t="s">
        <v>157</v>
      </c>
      <c r="D8886" t="s">
        <v>17860</v>
      </c>
      <c r="E8886" t="s">
        <v>17861</v>
      </c>
      <c r="F8886" t="s">
        <v>180</v>
      </c>
      <c r="G8886" s="1">
        <v>14.64</v>
      </c>
    </row>
    <row r="8887" spans="1:7" ht="14.25" customHeight="1" x14ac:dyDescent="0.45">
      <c r="A8887" t="str">
        <f>_xlfn.XLOOKUP(B8887,Ingot!$H$12:$H$119,Ingot!$G$12:$G$119,"")</f>
        <v>Leather</v>
      </c>
      <c r="B8887" t="s">
        <v>17703</v>
      </c>
      <c r="C8887" t="s">
        <v>157</v>
      </c>
      <c r="D8887" t="s">
        <v>17862</v>
      </c>
      <c r="E8887" t="s">
        <v>17863</v>
      </c>
      <c r="F8887" t="s">
        <v>180</v>
      </c>
      <c r="G8887" s="1">
        <v>5</v>
      </c>
    </row>
    <row r="8888" spans="1:7" ht="14.25" customHeight="1" x14ac:dyDescent="0.45">
      <c r="A8888" t="str">
        <f>_xlfn.XLOOKUP(B8888,Ingot!$H$12:$H$119,Ingot!$G$12:$G$119,"")</f>
        <v>Leather</v>
      </c>
      <c r="B8888" t="s">
        <v>17703</v>
      </c>
      <c r="C8888" t="s">
        <v>157</v>
      </c>
      <c r="D8888" t="s">
        <v>17864</v>
      </c>
      <c r="E8888" t="s">
        <v>17865</v>
      </c>
      <c r="F8888" t="s">
        <v>180</v>
      </c>
      <c r="G8888" s="1">
        <v>5</v>
      </c>
    </row>
    <row r="8889" spans="1:7" ht="14.25" customHeight="1" x14ac:dyDescent="0.45">
      <c r="A8889" t="str">
        <f>_xlfn.XLOOKUP(B8889,Ingot!$H$12:$H$119,Ingot!$G$12:$G$119,"")</f>
        <v>Leather</v>
      </c>
      <c r="B8889" t="s">
        <v>17703</v>
      </c>
      <c r="C8889" t="s">
        <v>157</v>
      </c>
      <c r="D8889" t="s">
        <v>17866</v>
      </c>
      <c r="E8889" t="s">
        <v>17867</v>
      </c>
      <c r="F8889" t="s">
        <v>180</v>
      </c>
      <c r="G8889" s="1">
        <v>5</v>
      </c>
    </row>
    <row r="8890" spans="1:7" ht="14.25" customHeight="1" x14ac:dyDescent="0.45">
      <c r="A8890" t="str">
        <f>_xlfn.XLOOKUP(B8890,Ingot!$H$12:$H$119,Ingot!$G$12:$G$119,"")</f>
        <v>Leather</v>
      </c>
      <c r="B8890" t="s">
        <v>17703</v>
      </c>
      <c r="C8890" t="s">
        <v>157</v>
      </c>
      <c r="D8890" t="s">
        <v>17868</v>
      </c>
      <c r="E8890" t="s">
        <v>17869</v>
      </c>
      <c r="F8890" t="s">
        <v>180</v>
      </c>
      <c r="G8890" s="1">
        <v>10</v>
      </c>
    </row>
    <row r="8891" spans="1:7" ht="14.25" customHeight="1" x14ac:dyDescent="0.45">
      <c r="A8891" t="str">
        <f>_xlfn.XLOOKUP(B8891,Ingot!$H$12:$H$119,Ingot!$G$12:$G$119,"")</f>
        <v>Leather</v>
      </c>
      <c r="B8891" t="s">
        <v>17703</v>
      </c>
      <c r="C8891" t="s">
        <v>157</v>
      </c>
      <c r="D8891" t="s">
        <v>17870</v>
      </c>
      <c r="E8891" t="s">
        <v>17871</v>
      </c>
      <c r="G8891" s="1">
        <v>14.14</v>
      </c>
    </row>
    <row r="8892" spans="1:7" ht="14.25" customHeight="1" x14ac:dyDescent="0.45">
      <c r="A8892" t="str">
        <f>_xlfn.XLOOKUP(B8892,Ingot!$H$12:$H$119,Ingot!$G$12:$G$119,"")</f>
        <v>Leather</v>
      </c>
      <c r="B8892" t="s">
        <v>17703</v>
      </c>
      <c r="C8892" t="s">
        <v>157</v>
      </c>
      <c r="D8892" t="s">
        <v>17872</v>
      </c>
      <c r="E8892" t="s">
        <v>17873</v>
      </c>
      <c r="G8892" s="1">
        <v>5</v>
      </c>
    </row>
    <row r="8893" spans="1:7" ht="14.25" customHeight="1" x14ac:dyDescent="0.45">
      <c r="A8893" t="str">
        <f>_xlfn.XLOOKUP(B8893,Ingot!$H$12:$H$119,Ingot!$G$12:$G$119,"")</f>
        <v>Leather</v>
      </c>
      <c r="B8893" t="s">
        <v>17703</v>
      </c>
      <c r="C8893" t="s">
        <v>157</v>
      </c>
      <c r="D8893" t="s">
        <v>17874</v>
      </c>
      <c r="E8893" t="s">
        <v>17875</v>
      </c>
      <c r="G8893" s="1">
        <v>5</v>
      </c>
    </row>
    <row r="8894" spans="1:7" ht="14.25" customHeight="1" x14ac:dyDescent="0.45">
      <c r="A8894" t="str">
        <f>_xlfn.XLOOKUP(B8894,Ingot!$H$12:$H$119,Ingot!$G$12:$G$119,"")</f>
        <v>Leather</v>
      </c>
      <c r="B8894" t="s">
        <v>17703</v>
      </c>
      <c r="C8894" t="s">
        <v>157</v>
      </c>
      <c r="D8894" t="s">
        <v>17876</v>
      </c>
      <c r="E8894" t="s">
        <v>17877</v>
      </c>
      <c r="G8894" s="1">
        <v>5</v>
      </c>
    </row>
    <row r="8895" spans="1:7" ht="14.25" customHeight="1" x14ac:dyDescent="0.45">
      <c r="A8895" t="str">
        <f>_xlfn.XLOOKUP(B8895,Ingot!$H$12:$H$119,Ingot!$G$12:$G$119,"")</f>
        <v>Leather</v>
      </c>
      <c r="B8895" t="s">
        <v>17703</v>
      </c>
      <c r="C8895" t="s">
        <v>157</v>
      </c>
      <c r="D8895" t="s">
        <v>17878</v>
      </c>
      <c r="E8895" t="s">
        <v>17879</v>
      </c>
      <c r="G8895" s="1">
        <v>10</v>
      </c>
    </row>
    <row r="8896" spans="1:7" ht="14.25" customHeight="1" x14ac:dyDescent="0.45">
      <c r="A8896" t="str">
        <f>_xlfn.XLOOKUP(B8896,Ingot!$H$12:$H$119,Ingot!$G$12:$G$119,"")</f>
        <v>Leather</v>
      </c>
      <c r="B8896" t="s">
        <v>17703</v>
      </c>
      <c r="C8896" t="s">
        <v>157</v>
      </c>
      <c r="D8896" t="s">
        <v>17880</v>
      </c>
      <c r="E8896" t="s">
        <v>17881</v>
      </c>
      <c r="F8896" t="s">
        <v>180</v>
      </c>
      <c r="G8896" s="1">
        <v>15.34</v>
      </c>
    </row>
    <row r="8897" spans="1:7" ht="14.25" customHeight="1" x14ac:dyDescent="0.45">
      <c r="A8897" t="str">
        <f>_xlfn.XLOOKUP(B8897,Ingot!$H$12:$H$119,Ingot!$G$12:$G$119,"")</f>
        <v>Leather</v>
      </c>
      <c r="B8897" t="s">
        <v>17703</v>
      </c>
      <c r="C8897" t="s">
        <v>157</v>
      </c>
      <c r="D8897" t="s">
        <v>17882</v>
      </c>
      <c r="E8897" t="s">
        <v>17883</v>
      </c>
      <c r="F8897" t="s">
        <v>180</v>
      </c>
      <c r="G8897" s="1">
        <v>5</v>
      </c>
    </row>
    <row r="8898" spans="1:7" ht="14.25" customHeight="1" x14ac:dyDescent="0.45">
      <c r="A8898" t="str">
        <f>_xlfn.XLOOKUP(B8898,Ingot!$H$12:$H$119,Ingot!$G$12:$G$119,"")</f>
        <v>Leather</v>
      </c>
      <c r="B8898" t="s">
        <v>17703</v>
      </c>
      <c r="C8898" t="s">
        <v>157</v>
      </c>
      <c r="D8898" t="s">
        <v>17884</v>
      </c>
      <c r="E8898" t="s">
        <v>17885</v>
      </c>
      <c r="F8898" t="s">
        <v>180</v>
      </c>
      <c r="G8898" s="1">
        <v>5</v>
      </c>
    </row>
    <row r="8899" spans="1:7" ht="14.25" customHeight="1" x14ac:dyDescent="0.45">
      <c r="A8899" t="str">
        <f>_xlfn.XLOOKUP(B8899,Ingot!$H$12:$H$119,Ingot!$G$12:$G$119,"")</f>
        <v>Leather</v>
      </c>
      <c r="B8899" t="s">
        <v>17703</v>
      </c>
      <c r="C8899" t="s">
        <v>157</v>
      </c>
      <c r="D8899" t="s">
        <v>17886</v>
      </c>
      <c r="E8899" t="s">
        <v>17887</v>
      </c>
      <c r="F8899" t="s">
        <v>180</v>
      </c>
      <c r="G8899" s="1">
        <v>5</v>
      </c>
    </row>
    <row r="8900" spans="1:7" ht="14.25" customHeight="1" x14ac:dyDescent="0.45">
      <c r="A8900" t="str">
        <f>_xlfn.XLOOKUP(B8900,Ingot!$H$12:$H$119,Ingot!$G$12:$G$119,"")</f>
        <v>Leather</v>
      </c>
      <c r="B8900" t="s">
        <v>17703</v>
      </c>
      <c r="C8900" t="s">
        <v>157</v>
      </c>
      <c r="D8900" t="s">
        <v>17888</v>
      </c>
      <c r="E8900" t="s">
        <v>17889</v>
      </c>
      <c r="F8900" t="s">
        <v>180</v>
      </c>
      <c r="G8900" s="1">
        <v>10</v>
      </c>
    </row>
    <row r="8901" spans="1:7" ht="14.25" customHeight="1" x14ac:dyDescent="0.45">
      <c r="A8901" t="str">
        <f>_xlfn.XLOOKUP(B8901,Ingot!$H$12:$H$119,Ingot!$G$12:$G$119,"")</f>
        <v>Leather</v>
      </c>
      <c r="B8901" t="s">
        <v>17703</v>
      </c>
      <c r="C8901" t="s">
        <v>157</v>
      </c>
      <c r="D8901" t="s">
        <v>17890</v>
      </c>
      <c r="E8901" t="s">
        <v>17891</v>
      </c>
      <c r="F8901" t="s">
        <v>180</v>
      </c>
      <c r="G8901" s="1">
        <v>16.34</v>
      </c>
    </row>
    <row r="8902" spans="1:7" ht="14.25" customHeight="1" x14ac:dyDescent="0.45">
      <c r="A8902" t="str">
        <f>_xlfn.XLOOKUP(B8902,Ingot!$H$12:$H$119,Ingot!$G$12:$G$119,"")</f>
        <v>Leather</v>
      </c>
      <c r="B8902" t="s">
        <v>17703</v>
      </c>
      <c r="C8902" t="s">
        <v>157</v>
      </c>
      <c r="D8902" t="s">
        <v>17892</v>
      </c>
      <c r="E8902" t="s">
        <v>17893</v>
      </c>
      <c r="G8902" s="1">
        <v>5</v>
      </c>
    </row>
    <row r="8903" spans="1:7" ht="14.25" customHeight="1" x14ac:dyDescent="0.45">
      <c r="A8903" t="str">
        <f>_xlfn.XLOOKUP(B8903,Ingot!$H$12:$H$119,Ingot!$G$12:$G$119,"")</f>
        <v>Leather</v>
      </c>
      <c r="B8903" t="s">
        <v>17703</v>
      </c>
      <c r="C8903" t="s">
        <v>157</v>
      </c>
      <c r="D8903" t="s">
        <v>17894</v>
      </c>
      <c r="E8903" t="s">
        <v>17895</v>
      </c>
      <c r="G8903" s="1">
        <v>5</v>
      </c>
    </row>
    <row r="8904" spans="1:7" ht="14.25" customHeight="1" x14ac:dyDescent="0.45">
      <c r="A8904" t="str">
        <f>_xlfn.XLOOKUP(B8904,Ingot!$H$12:$H$119,Ingot!$G$12:$G$119,"")</f>
        <v>Leather</v>
      </c>
      <c r="B8904" t="s">
        <v>17703</v>
      </c>
      <c r="C8904" t="s">
        <v>157</v>
      </c>
      <c r="D8904" t="s">
        <v>17896</v>
      </c>
      <c r="E8904" t="s">
        <v>17897</v>
      </c>
      <c r="G8904" s="1">
        <v>5</v>
      </c>
    </row>
    <row r="8905" spans="1:7" ht="14.25" customHeight="1" x14ac:dyDescent="0.45">
      <c r="A8905" t="str">
        <f>_xlfn.XLOOKUP(B8905,Ingot!$H$12:$H$119,Ingot!$G$12:$G$119,"")</f>
        <v>Leather</v>
      </c>
      <c r="B8905" t="s">
        <v>17703</v>
      </c>
      <c r="C8905" t="s">
        <v>157</v>
      </c>
      <c r="D8905" t="s">
        <v>17898</v>
      </c>
      <c r="E8905" t="s">
        <v>17899</v>
      </c>
      <c r="F8905" t="s">
        <v>180</v>
      </c>
      <c r="G8905" s="1">
        <v>10</v>
      </c>
    </row>
    <row r="8906" spans="1:7" ht="14.25" customHeight="1" x14ac:dyDescent="0.45">
      <c r="A8906" t="str">
        <f>_xlfn.XLOOKUP(B8906,Ingot!$H$12:$H$119,Ingot!$G$12:$G$119,"")</f>
        <v>Leather</v>
      </c>
      <c r="B8906" t="s">
        <v>17703</v>
      </c>
      <c r="C8906" t="s">
        <v>157</v>
      </c>
      <c r="D8906" t="s">
        <v>17900</v>
      </c>
      <c r="E8906" t="s">
        <v>17901</v>
      </c>
      <c r="F8906" t="s">
        <v>180</v>
      </c>
      <c r="G8906" s="1">
        <v>19.34</v>
      </c>
    </row>
    <row r="8907" spans="1:7" ht="14.25" customHeight="1" x14ac:dyDescent="0.45">
      <c r="A8907" t="str">
        <f>_xlfn.XLOOKUP(B8907,Ingot!$H$12:$H$119,Ingot!$G$12:$G$119,"")</f>
        <v>Leather</v>
      </c>
      <c r="B8907" t="s">
        <v>17703</v>
      </c>
      <c r="C8907" t="s">
        <v>157</v>
      </c>
      <c r="D8907" t="s">
        <v>17902</v>
      </c>
      <c r="E8907" t="s">
        <v>17903</v>
      </c>
      <c r="F8907" t="s">
        <v>180</v>
      </c>
      <c r="G8907" s="1">
        <v>5</v>
      </c>
    </row>
    <row r="8908" spans="1:7" ht="14.25" customHeight="1" x14ac:dyDescent="0.45">
      <c r="A8908" t="str">
        <f>_xlfn.XLOOKUP(B8908,Ingot!$H$12:$H$119,Ingot!$G$12:$G$119,"")</f>
        <v>Leather</v>
      </c>
      <c r="B8908" t="s">
        <v>17703</v>
      </c>
      <c r="C8908" t="s">
        <v>157</v>
      </c>
      <c r="D8908" t="s">
        <v>17904</v>
      </c>
      <c r="E8908" t="s">
        <v>17905</v>
      </c>
      <c r="F8908" t="s">
        <v>180</v>
      </c>
      <c r="G8908" s="1">
        <v>5</v>
      </c>
    </row>
    <row r="8909" spans="1:7" ht="14.25" customHeight="1" x14ac:dyDescent="0.45">
      <c r="A8909" t="str">
        <f>_xlfn.XLOOKUP(B8909,Ingot!$H$12:$H$119,Ingot!$G$12:$G$119,"")</f>
        <v>Leather</v>
      </c>
      <c r="B8909" t="s">
        <v>17703</v>
      </c>
      <c r="C8909" t="s">
        <v>157</v>
      </c>
      <c r="D8909" t="s">
        <v>17906</v>
      </c>
      <c r="E8909" t="s">
        <v>17907</v>
      </c>
      <c r="F8909" t="s">
        <v>180</v>
      </c>
      <c r="G8909" s="1">
        <v>5</v>
      </c>
    </row>
    <row r="8910" spans="1:7" ht="14.25" customHeight="1" x14ac:dyDescent="0.45">
      <c r="A8910" t="str">
        <f>_xlfn.XLOOKUP(B8910,Ingot!$H$12:$H$119,Ingot!$G$12:$G$119,"")</f>
        <v>Leather</v>
      </c>
      <c r="B8910" t="s">
        <v>17703</v>
      </c>
      <c r="C8910" t="s">
        <v>157</v>
      </c>
      <c r="D8910" t="s">
        <v>17908</v>
      </c>
      <c r="E8910" t="s">
        <v>17909</v>
      </c>
      <c r="F8910" t="s">
        <v>180</v>
      </c>
      <c r="G8910" s="1">
        <v>10</v>
      </c>
    </row>
    <row r="8911" spans="1:7" ht="14.25" customHeight="1" x14ac:dyDescent="0.45">
      <c r="A8911" t="str">
        <f>_xlfn.XLOOKUP(B8911,Ingot!$H$12:$H$119,Ingot!$G$12:$G$119,"")</f>
        <v>Leather</v>
      </c>
      <c r="B8911" t="s">
        <v>17703</v>
      </c>
      <c r="C8911" t="s">
        <v>157</v>
      </c>
      <c r="D8911" t="s">
        <v>17910</v>
      </c>
      <c r="E8911" t="s">
        <v>17911</v>
      </c>
      <c r="F8911" t="s">
        <v>180</v>
      </c>
      <c r="G8911" s="1">
        <v>18.34</v>
      </c>
    </row>
    <row r="8912" spans="1:7" ht="14.25" customHeight="1" x14ac:dyDescent="0.45">
      <c r="A8912" t="str">
        <f>_xlfn.XLOOKUP(B8912,Ingot!$H$12:$H$119,Ingot!$G$12:$G$119,"")</f>
        <v>Leather</v>
      </c>
      <c r="B8912" t="s">
        <v>17703</v>
      </c>
      <c r="C8912" t="s">
        <v>157</v>
      </c>
      <c r="D8912" t="s">
        <v>17912</v>
      </c>
      <c r="E8912" t="s">
        <v>17913</v>
      </c>
      <c r="F8912" t="s">
        <v>180</v>
      </c>
      <c r="G8912" s="1">
        <v>5</v>
      </c>
    </row>
    <row r="8913" spans="1:7" ht="14.25" customHeight="1" x14ac:dyDescent="0.45">
      <c r="A8913" t="str">
        <f>_xlfn.XLOOKUP(B8913,Ingot!$H$12:$H$119,Ingot!$G$12:$G$119,"")</f>
        <v>Leather</v>
      </c>
      <c r="B8913" t="s">
        <v>17703</v>
      </c>
      <c r="C8913" t="s">
        <v>157</v>
      </c>
      <c r="D8913" t="s">
        <v>17914</v>
      </c>
      <c r="E8913" t="s">
        <v>17915</v>
      </c>
      <c r="F8913" t="s">
        <v>180</v>
      </c>
      <c r="G8913" s="1">
        <v>5</v>
      </c>
    </row>
    <row r="8914" spans="1:7" ht="14.25" customHeight="1" x14ac:dyDescent="0.45">
      <c r="A8914" t="str">
        <f>_xlfn.XLOOKUP(B8914,Ingot!$H$12:$H$119,Ingot!$G$12:$G$119,"")</f>
        <v>Leather</v>
      </c>
      <c r="B8914" t="s">
        <v>17703</v>
      </c>
      <c r="C8914" t="s">
        <v>157</v>
      </c>
      <c r="D8914" t="s">
        <v>17916</v>
      </c>
      <c r="E8914" t="s">
        <v>17917</v>
      </c>
      <c r="F8914" t="s">
        <v>180</v>
      </c>
      <c r="G8914" s="1">
        <v>5</v>
      </c>
    </row>
    <row r="8915" spans="1:7" ht="14.25" customHeight="1" x14ac:dyDescent="0.45">
      <c r="A8915" t="str">
        <f>_xlfn.XLOOKUP(B8915,Ingot!$H$12:$H$119,Ingot!$G$12:$G$119,"")</f>
        <v>Leather</v>
      </c>
      <c r="B8915" t="s">
        <v>17703</v>
      </c>
      <c r="C8915" t="s">
        <v>157</v>
      </c>
      <c r="D8915" t="s">
        <v>17918</v>
      </c>
      <c r="E8915" t="s">
        <v>17919</v>
      </c>
      <c r="F8915" t="s">
        <v>180</v>
      </c>
      <c r="G8915" s="1">
        <v>10</v>
      </c>
    </row>
    <row r="8916" spans="1:7" ht="14.25" customHeight="1" x14ac:dyDescent="0.45">
      <c r="A8916" t="str">
        <f>_xlfn.XLOOKUP(B8916,Ingot!$H$12:$H$119,Ingot!$G$12:$G$119,"")</f>
        <v>Leather</v>
      </c>
      <c r="B8916" t="s">
        <v>17703</v>
      </c>
      <c r="C8916" t="s">
        <v>157</v>
      </c>
      <c r="D8916" t="s">
        <v>17920</v>
      </c>
      <c r="E8916" t="s">
        <v>17921</v>
      </c>
      <c r="G8916" s="1">
        <v>13.94</v>
      </c>
    </row>
    <row r="8917" spans="1:7" ht="14.25" customHeight="1" x14ac:dyDescent="0.45">
      <c r="A8917" t="str">
        <f>_xlfn.XLOOKUP(B8917,Ingot!$H$12:$H$119,Ingot!$G$12:$G$119,"")</f>
        <v>Leather</v>
      </c>
      <c r="B8917" t="s">
        <v>17703</v>
      </c>
      <c r="C8917" t="s">
        <v>157</v>
      </c>
      <c r="D8917" t="s">
        <v>17922</v>
      </c>
      <c r="E8917" t="s">
        <v>17923</v>
      </c>
      <c r="G8917" s="1">
        <v>5</v>
      </c>
    </row>
    <row r="8918" spans="1:7" ht="14.25" customHeight="1" x14ac:dyDescent="0.45">
      <c r="A8918" t="str">
        <f>_xlfn.XLOOKUP(B8918,Ingot!$H$12:$H$119,Ingot!$G$12:$G$119,"")</f>
        <v>Leather</v>
      </c>
      <c r="B8918" t="s">
        <v>17703</v>
      </c>
      <c r="C8918" t="s">
        <v>157</v>
      </c>
      <c r="D8918" t="s">
        <v>17924</v>
      </c>
      <c r="E8918" t="s">
        <v>17925</v>
      </c>
      <c r="G8918" s="1">
        <v>5</v>
      </c>
    </row>
    <row r="8919" spans="1:7" ht="14.25" customHeight="1" x14ac:dyDescent="0.45">
      <c r="A8919" t="str">
        <f>_xlfn.XLOOKUP(B8919,Ingot!$H$12:$H$119,Ingot!$G$12:$G$119,"")</f>
        <v>Leather</v>
      </c>
      <c r="B8919" t="s">
        <v>17703</v>
      </c>
      <c r="C8919" t="s">
        <v>157</v>
      </c>
      <c r="D8919" t="s">
        <v>17926</v>
      </c>
      <c r="E8919" t="s">
        <v>17927</v>
      </c>
      <c r="G8919" s="1">
        <v>5</v>
      </c>
    </row>
    <row r="8920" spans="1:7" ht="14.25" customHeight="1" x14ac:dyDescent="0.45">
      <c r="A8920" t="str">
        <f>_xlfn.XLOOKUP(B8920,Ingot!$H$12:$H$119,Ingot!$G$12:$G$119,"")</f>
        <v>Leather</v>
      </c>
      <c r="B8920" t="s">
        <v>17703</v>
      </c>
      <c r="C8920" t="s">
        <v>157</v>
      </c>
      <c r="D8920" t="s">
        <v>17928</v>
      </c>
      <c r="E8920" t="s">
        <v>17929</v>
      </c>
      <c r="G8920" s="1">
        <v>10</v>
      </c>
    </row>
    <row r="8921" spans="1:7" ht="14.25" customHeight="1" x14ac:dyDescent="0.45">
      <c r="A8921" t="str">
        <f>_xlfn.XLOOKUP(B8921,Ingot!$H$12:$H$119,Ingot!$G$12:$G$119,"")</f>
        <v>Leather</v>
      </c>
      <c r="B8921" t="s">
        <v>17703</v>
      </c>
      <c r="C8921" t="s">
        <v>239</v>
      </c>
      <c r="D8921" t="s">
        <v>17930</v>
      </c>
      <c r="E8921" t="s">
        <v>17931</v>
      </c>
      <c r="G8921" s="1">
        <f>(VLOOKUP(B8921,Ingot!H:I,2,FALSE()) * 0.75) * 0.75</f>
        <v>2.25</v>
      </c>
    </row>
    <row r="8922" spans="1:7" ht="14.25" customHeight="1" x14ac:dyDescent="0.45">
      <c r="A8922" t="str">
        <f>_xlfn.XLOOKUP(B8922,Ingot!$H$12:$H$119,Ingot!$G$12:$G$119,"")</f>
        <v>Leather</v>
      </c>
      <c r="B8922" t="s">
        <v>17703</v>
      </c>
      <c r="C8922" t="s">
        <v>239</v>
      </c>
      <c r="D8922" t="s">
        <v>17932</v>
      </c>
      <c r="E8922" t="s">
        <v>17933</v>
      </c>
      <c r="F8922" t="s">
        <v>180</v>
      </c>
      <c r="G8922" s="1">
        <f>((VLOOKUP(B8922,Ingot!H:I,2,FALSE()) * 3) - 10.25) * 0.421875</f>
        <v>0.73828125</v>
      </c>
    </row>
    <row r="8923" spans="1:7" ht="14.25" customHeight="1" x14ac:dyDescent="0.45">
      <c r="A8923" t="str">
        <f>_xlfn.XLOOKUP(B8923,Ingot!$H$12:$H$119,Ingot!$G$12:$G$119,"")</f>
        <v>Leather</v>
      </c>
      <c r="B8923" t="s">
        <v>17703</v>
      </c>
      <c r="C8923" t="s">
        <v>239</v>
      </c>
      <c r="D8923" t="s">
        <v>17934</v>
      </c>
      <c r="E8923" t="s">
        <v>17935</v>
      </c>
      <c r="F8923" t="s">
        <v>180</v>
      </c>
      <c r="G8923" s="1">
        <f>((VLOOKUP(B8923,Ingot!H:I,2,FALSE()) * 3) - 10.25) * 0.75</f>
        <v>1.3125</v>
      </c>
    </row>
    <row r="8924" spans="1:7" ht="14.25" customHeight="1" x14ac:dyDescent="0.45">
      <c r="A8924" t="str">
        <f>_xlfn.XLOOKUP(B8924,Ingot!$H$12:$H$119,Ingot!$G$12:$G$119,"")</f>
        <v>Leather</v>
      </c>
      <c r="B8924" t="s">
        <v>17703</v>
      </c>
      <c r="C8924" t="s">
        <v>239</v>
      </c>
      <c r="D8924" t="s">
        <v>17936</v>
      </c>
      <c r="E8924" t="s">
        <v>17937</v>
      </c>
      <c r="F8924" t="s">
        <v>180</v>
      </c>
      <c r="G8924" s="1">
        <f>((VLOOKUP(B8924,Ingot!H:I,2,FALSE()) * 3) - 10.25) * 0.5625</f>
        <v>0.984375</v>
      </c>
    </row>
    <row r="8925" spans="1:7" ht="14.25" customHeight="1" x14ac:dyDescent="0.45">
      <c r="A8925" t="str">
        <f>_xlfn.XLOOKUP(B8925,Ingot!$H$12:$H$119,Ingot!$G$12:$G$119,"")</f>
        <v>Leather</v>
      </c>
      <c r="B8925" t="s">
        <v>17703</v>
      </c>
      <c r="C8925" t="s">
        <v>239</v>
      </c>
      <c r="D8925" t="s">
        <v>17938</v>
      </c>
      <c r="E8925" t="s">
        <v>17939</v>
      </c>
      <c r="G8925" s="1">
        <f>VLOOKUP(B8925,Ingot!H:I,2,FALSE()) * 0.75</f>
        <v>3</v>
      </c>
    </row>
    <row r="8926" spans="1:7" ht="14.25" customHeight="1" x14ac:dyDescent="0.45">
      <c r="A8926" t="str">
        <f>_xlfn.XLOOKUP(B8926,Ingot!$H$12:$H$119,Ingot!$G$12:$G$119,"")</f>
        <v>Leather</v>
      </c>
      <c r="B8926" t="s">
        <v>17703</v>
      </c>
      <c r="C8926" t="s">
        <v>239</v>
      </c>
      <c r="D8926" t="s">
        <v>17940</v>
      </c>
      <c r="E8926" t="s">
        <v>17941</v>
      </c>
      <c r="F8926" t="s">
        <v>180</v>
      </c>
      <c r="G8926" s="1">
        <f>(VLOOKUP(B8926,Ingot!H:I,2,FALSE()) * 3) - 10.25</f>
        <v>1.75</v>
      </c>
    </row>
    <row r="8927" spans="1:7" ht="14.25" customHeight="1" x14ac:dyDescent="0.45">
      <c r="A8927" t="str">
        <f>_xlfn.XLOOKUP(B8927,Ingot!$H$12:$H$119,Ingot!$G$12:$G$119,"")</f>
        <v>Leather</v>
      </c>
      <c r="B8927" t="s">
        <v>17942</v>
      </c>
      <c r="C8927" t="s">
        <v>10</v>
      </c>
      <c r="D8927" t="s">
        <v>17943</v>
      </c>
      <c r="E8927" t="s">
        <v>17944</v>
      </c>
      <c r="G8927" s="1">
        <v>0.08</v>
      </c>
    </row>
    <row r="8928" spans="1:7" ht="14.25" customHeight="1" x14ac:dyDescent="0.45">
      <c r="A8928" t="str">
        <f>_xlfn.XLOOKUP(B8928,Ingot!$H$12:$H$119,Ingot!$G$12:$G$119,"")</f>
        <v>Leather</v>
      </c>
      <c r="B8928" t="s">
        <v>17942</v>
      </c>
      <c r="C8928" t="s">
        <v>10</v>
      </c>
      <c r="D8928" t="s">
        <v>17945</v>
      </c>
      <c r="E8928" t="s">
        <v>17946</v>
      </c>
      <c r="G8928" s="1">
        <v>9.9</v>
      </c>
    </row>
    <row r="8929" spans="1:7" ht="14.25" customHeight="1" x14ac:dyDescent="0.45">
      <c r="A8929" t="str">
        <f>_xlfn.XLOOKUP(B8929,Ingot!$H$12:$H$119,Ingot!$G$12:$G$119,"")</f>
        <v>Leather</v>
      </c>
      <c r="B8929" t="s">
        <v>17942</v>
      </c>
      <c r="C8929" t="s">
        <v>10</v>
      </c>
      <c r="D8929" t="s">
        <v>17947</v>
      </c>
      <c r="E8929" t="s">
        <v>17948</v>
      </c>
      <c r="G8929" s="1">
        <v>5.66</v>
      </c>
    </row>
    <row r="8930" spans="1:7" ht="14.25" customHeight="1" x14ac:dyDescent="0.45">
      <c r="A8930" t="str">
        <f>_xlfn.XLOOKUP(B8930,Ingot!$H$12:$H$119,Ingot!$G$12:$G$119,"")</f>
        <v>Leather</v>
      </c>
      <c r="B8930" t="s">
        <v>17942</v>
      </c>
      <c r="C8930" t="s">
        <v>10</v>
      </c>
      <c r="D8930" t="s">
        <v>17949</v>
      </c>
      <c r="E8930" t="s">
        <v>17950</v>
      </c>
      <c r="G8930" s="1">
        <v>3.3</v>
      </c>
    </row>
    <row r="8931" spans="1:7" ht="14.25" customHeight="1" x14ac:dyDescent="0.45">
      <c r="A8931" t="str">
        <f>_xlfn.XLOOKUP(B8931,Ingot!$H$12:$H$119,Ingot!$G$12:$G$119,"")</f>
        <v>Leather</v>
      </c>
      <c r="B8931" t="s">
        <v>17942</v>
      </c>
      <c r="C8931" t="s">
        <v>10</v>
      </c>
      <c r="D8931" t="s">
        <v>17951</v>
      </c>
      <c r="E8931" t="s">
        <v>17952</v>
      </c>
      <c r="G8931" s="1">
        <v>0.66</v>
      </c>
    </row>
    <row r="8932" spans="1:7" ht="14.25" customHeight="1" x14ac:dyDescent="0.45">
      <c r="A8932" t="str">
        <f>_xlfn.XLOOKUP(B8932,Ingot!$H$12:$H$119,Ingot!$G$12:$G$119,"")</f>
        <v>Leather</v>
      </c>
      <c r="B8932" t="s">
        <v>17942</v>
      </c>
      <c r="C8932" t="s">
        <v>10</v>
      </c>
      <c r="D8932" t="s">
        <v>17953</v>
      </c>
      <c r="E8932" t="s">
        <v>17954</v>
      </c>
      <c r="G8932" s="1">
        <v>0.04</v>
      </c>
    </row>
    <row r="8933" spans="1:7" ht="14.25" customHeight="1" x14ac:dyDescent="0.45">
      <c r="A8933" t="str">
        <f>_xlfn.XLOOKUP(B8933,Ingot!$H$12:$H$119,Ingot!$G$12:$G$119,"")</f>
        <v>Leather</v>
      </c>
      <c r="B8933" t="s">
        <v>17942</v>
      </c>
      <c r="C8933" t="s">
        <v>10</v>
      </c>
      <c r="D8933" t="s">
        <v>17955</v>
      </c>
      <c r="E8933" t="s">
        <v>17956</v>
      </c>
      <c r="G8933" s="1">
        <v>0.33</v>
      </c>
    </row>
    <row r="8934" spans="1:7" ht="14.25" customHeight="1" x14ac:dyDescent="0.45">
      <c r="A8934" t="str">
        <f>_xlfn.XLOOKUP(B8934,Ingot!$H$12:$H$119,Ingot!$G$12:$G$119,"")</f>
        <v>Leather</v>
      </c>
      <c r="B8934" t="s">
        <v>17942</v>
      </c>
      <c r="C8934" t="s">
        <v>10</v>
      </c>
      <c r="D8934" t="s">
        <v>17957</v>
      </c>
      <c r="E8934" t="s">
        <v>17958</v>
      </c>
    </row>
    <row r="8935" spans="1:7" ht="14.25" customHeight="1" x14ac:dyDescent="0.45">
      <c r="A8935" t="str">
        <f>_xlfn.XLOOKUP(B8935,Ingot!$H$12:$H$119,Ingot!$G$12:$G$119,"")</f>
        <v>Leather</v>
      </c>
      <c r="B8935" t="s">
        <v>17942</v>
      </c>
      <c r="C8935" t="s">
        <v>10</v>
      </c>
      <c r="D8935" t="s">
        <v>17959</v>
      </c>
      <c r="E8935" t="s">
        <v>17960</v>
      </c>
      <c r="G8935" s="1">
        <v>0.05</v>
      </c>
    </row>
    <row r="8936" spans="1:7" ht="14.25" customHeight="1" x14ac:dyDescent="0.45">
      <c r="A8936" t="str">
        <f>_xlfn.XLOOKUP(B8936,Ingot!$H$12:$H$119,Ingot!$G$12:$G$119,"")</f>
        <v>Leather</v>
      </c>
      <c r="B8936" t="s">
        <v>17942</v>
      </c>
      <c r="C8936" t="s">
        <v>10</v>
      </c>
      <c r="D8936" t="s">
        <v>17961</v>
      </c>
      <c r="E8936" t="s">
        <v>17962</v>
      </c>
      <c r="G8936" s="1">
        <v>0.66</v>
      </c>
    </row>
    <row r="8937" spans="1:7" ht="14.25" customHeight="1" x14ac:dyDescent="0.45">
      <c r="A8937" t="str">
        <f>_xlfn.XLOOKUP(B8937,Ingot!$H$12:$H$119,Ingot!$G$12:$G$119,"")</f>
        <v>Leather</v>
      </c>
      <c r="B8937" t="s">
        <v>17942</v>
      </c>
      <c r="C8937" t="s">
        <v>10</v>
      </c>
      <c r="D8937" t="s">
        <v>17963</v>
      </c>
      <c r="E8937" t="s">
        <v>17964</v>
      </c>
      <c r="G8937" s="1">
        <v>3.96</v>
      </c>
    </row>
    <row r="8938" spans="1:7" ht="14.25" customHeight="1" x14ac:dyDescent="0.45">
      <c r="A8938" t="str">
        <f>_xlfn.XLOOKUP(B8938,Ingot!$H$12:$H$119,Ingot!$G$12:$G$119,"")</f>
        <v>Leather</v>
      </c>
      <c r="B8938" t="s">
        <v>17942</v>
      </c>
      <c r="C8938" t="s">
        <v>10</v>
      </c>
      <c r="D8938" t="s">
        <v>17965</v>
      </c>
      <c r="E8938" t="s">
        <v>17966</v>
      </c>
      <c r="G8938" s="1">
        <v>8.77</v>
      </c>
    </row>
    <row r="8939" spans="1:7" ht="14.25" customHeight="1" x14ac:dyDescent="0.45">
      <c r="A8939" t="str">
        <f>_xlfn.XLOOKUP(B8939,Ingot!$H$12:$H$119,Ingot!$G$12:$G$119,"")</f>
        <v>Leather</v>
      </c>
      <c r="B8939" t="s">
        <v>17942</v>
      </c>
      <c r="C8939" t="s">
        <v>10</v>
      </c>
      <c r="D8939" t="s">
        <v>17967</v>
      </c>
      <c r="E8939" t="s">
        <v>17968</v>
      </c>
      <c r="G8939" s="1">
        <v>3.5</v>
      </c>
    </row>
    <row r="8940" spans="1:7" ht="14.25" customHeight="1" x14ac:dyDescent="0.45">
      <c r="A8940" t="str">
        <f>_xlfn.XLOOKUP(B8940,Ingot!$H$12:$H$119,Ingot!$G$12:$G$119,"")</f>
        <v>Leather</v>
      </c>
      <c r="B8940" t="s">
        <v>17942</v>
      </c>
      <c r="C8940" t="s">
        <v>10</v>
      </c>
      <c r="D8940" t="s">
        <v>17969</v>
      </c>
      <c r="E8940" t="s">
        <v>17970</v>
      </c>
    </row>
    <row r="8941" spans="1:7" ht="14.25" customHeight="1" x14ac:dyDescent="0.45">
      <c r="A8941" t="str">
        <f>_xlfn.XLOOKUP(B8941,Ingot!$H$12:$H$119,Ingot!$G$12:$G$119,"")</f>
        <v>Leather</v>
      </c>
      <c r="B8941" t="s">
        <v>17942</v>
      </c>
      <c r="C8941" t="s">
        <v>10</v>
      </c>
      <c r="D8941" t="s">
        <v>17971</v>
      </c>
      <c r="E8941" t="s">
        <v>17972</v>
      </c>
      <c r="G8941" s="1">
        <v>2.2000000000000002</v>
      </c>
    </row>
    <row r="8942" spans="1:7" ht="14.25" customHeight="1" x14ac:dyDescent="0.45">
      <c r="A8942" t="str">
        <f>_xlfn.XLOOKUP(B8942,Ingot!$H$12:$H$119,Ingot!$G$12:$G$119,"")</f>
        <v>Leather</v>
      </c>
      <c r="B8942" t="s">
        <v>17942</v>
      </c>
      <c r="C8942" t="s">
        <v>10</v>
      </c>
      <c r="D8942" t="s">
        <v>17973</v>
      </c>
      <c r="E8942" t="s">
        <v>17974</v>
      </c>
      <c r="G8942" s="1">
        <v>1.1000000000000001</v>
      </c>
    </row>
    <row r="8943" spans="1:7" ht="14.25" customHeight="1" x14ac:dyDescent="0.45">
      <c r="A8943" t="str">
        <f>_xlfn.XLOOKUP(B8943,Ingot!$H$12:$H$119,Ingot!$G$12:$G$119,"")</f>
        <v>Leather</v>
      </c>
      <c r="B8943" t="s">
        <v>17942</v>
      </c>
      <c r="C8943" t="s">
        <v>10</v>
      </c>
      <c r="D8943" t="s">
        <v>17975</v>
      </c>
      <c r="E8943" t="s">
        <v>17976</v>
      </c>
      <c r="G8943" s="1">
        <v>0.22</v>
      </c>
    </row>
    <row r="8944" spans="1:7" ht="14.25" customHeight="1" x14ac:dyDescent="0.45">
      <c r="A8944" t="str">
        <f>_xlfn.XLOOKUP(B8944,Ingot!$H$12:$H$119,Ingot!$G$12:$G$119,"")</f>
        <v>Leather</v>
      </c>
      <c r="B8944" t="s">
        <v>17942</v>
      </c>
      <c r="C8944" t="s">
        <v>10</v>
      </c>
      <c r="D8944" t="s">
        <v>17977</v>
      </c>
      <c r="E8944" t="s">
        <v>17978</v>
      </c>
      <c r="G8944" s="1">
        <v>8.41</v>
      </c>
    </row>
    <row r="8945" spans="1:7" ht="14.25" customHeight="1" x14ac:dyDescent="0.45">
      <c r="A8945" t="str">
        <f>_xlfn.XLOOKUP(B8945,Ingot!$H$12:$H$119,Ingot!$G$12:$G$119,"")</f>
        <v>Leather</v>
      </c>
      <c r="B8945" t="s">
        <v>17942</v>
      </c>
      <c r="C8945" t="s">
        <v>10</v>
      </c>
      <c r="D8945" t="s">
        <v>17979</v>
      </c>
      <c r="E8945" t="s">
        <v>17980</v>
      </c>
      <c r="G8945" s="1">
        <v>3.64</v>
      </c>
    </row>
    <row r="8946" spans="1:7" ht="14.25" customHeight="1" x14ac:dyDescent="0.45">
      <c r="A8946" t="str">
        <f>_xlfn.XLOOKUP(B8946,Ingot!$H$12:$H$119,Ingot!$G$12:$G$119,"")</f>
        <v>Leather</v>
      </c>
      <c r="B8946" t="s">
        <v>17942</v>
      </c>
      <c r="C8946" t="s">
        <v>10</v>
      </c>
      <c r="D8946" t="s">
        <v>17981</v>
      </c>
      <c r="E8946" t="s">
        <v>17982</v>
      </c>
      <c r="G8946" s="1">
        <v>7.05</v>
      </c>
    </row>
    <row r="8947" spans="1:7" ht="14.25" customHeight="1" x14ac:dyDescent="0.45">
      <c r="A8947" t="str">
        <f>_xlfn.XLOOKUP(B8947,Ingot!$H$12:$H$119,Ingot!$G$12:$G$119,"")</f>
        <v>Leather</v>
      </c>
      <c r="B8947" t="s">
        <v>17942</v>
      </c>
      <c r="C8947" t="s">
        <v>10</v>
      </c>
      <c r="D8947" t="s">
        <v>17983</v>
      </c>
      <c r="E8947" t="s">
        <v>17984</v>
      </c>
      <c r="G8947" s="1">
        <v>2.65</v>
      </c>
    </row>
    <row r="8948" spans="1:7" ht="14.25" customHeight="1" x14ac:dyDescent="0.45">
      <c r="A8948" t="str">
        <f>_xlfn.XLOOKUP(B8948,Ingot!$H$12:$H$119,Ingot!$G$12:$G$119,"")</f>
        <v>Leather</v>
      </c>
      <c r="B8948" t="s">
        <v>17942</v>
      </c>
      <c r="C8948" t="s">
        <v>10</v>
      </c>
      <c r="D8948" t="s">
        <v>17985</v>
      </c>
      <c r="E8948" t="s">
        <v>17986</v>
      </c>
      <c r="G8948" s="1">
        <v>9</v>
      </c>
    </row>
    <row r="8949" spans="1:7" ht="14.25" customHeight="1" x14ac:dyDescent="0.45">
      <c r="A8949" t="str">
        <f>_xlfn.XLOOKUP(B8949,Ingot!$H$12:$H$119,Ingot!$G$12:$G$119,"")</f>
        <v>Leather</v>
      </c>
      <c r="B8949" t="s">
        <v>17942</v>
      </c>
      <c r="C8949" t="s">
        <v>10</v>
      </c>
      <c r="D8949" t="s">
        <v>17987</v>
      </c>
      <c r="E8949" t="s">
        <v>17988</v>
      </c>
      <c r="G8949" s="1">
        <v>10.23</v>
      </c>
    </row>
    <row r="8950" spans="1:7" ht="14.25" customHeight="1" x14ac:dyDescent="0.45">
      <c r="A8950" t="str">
        <f>_xlfn.XLOOKUP(B8950,Ingot!$H$12:$H$119,Ingot!$G$12:$G$119,"")</f>
        <v>Leather</v>
      </c>
      <c r="B8950" t="s">
        <v>17942</v>
      </c>
      <c r="C8950" t="s">
        <v>10</v>
      </c>
      <c r="D8950" t="s">
        <v>17989</v>
      </c>
      <c r="E8950" t="s">
        <v>17990</v>
      </c>
      <c r="G8950" s="1">
        <v>7.7</v>
      </c>
    </row>
    <row r="8951" spans="1:7" ht="14.25" customHeight="1" x14ac:dyDescent="0.45">
      <c r="A8951" t="str">
        <f>_xlfn.XLOOKUP(B8951,Ingot!$H$12:$H$119,Ingot!$G$12:$G$119,"")</f>
        <v>Leather</v>
      </c>
      <c r="B8951" t="s">
        <v>17942</v>
      </c>
      <c r="C8951" t="s">
        <v>10</v>
      </c>
      <c r="D8951" t="s">
        <v>17991</v>
      </c>
      <c r="E8951" t="s">
        <v>17992</v>
      </c>
      <c r="G8951" s="1">
        <v>10.02</v>
      </c>
    </row>
    <row r="8952" spans="1:7" ht="14.25" customHeight="1" x14ac:dyDescent="0.45">
      <c r="A8952" t="str">
        <f>_xlfn.XLOOKUP(B8952,Ingot!$H$12:$H$119,Ingot!$G$12:$G$119,"")</f>
        <v>Leather</v>
      </c>
      <c r="B8952" t="s">
        <v>17942</v>
      </c>
      <c r="C8952" t="s">
        <v>10</v>
      </c>
      <c r="D8952" t="s">
        <v>17993</v>
      </c>
      <c r="E8952" t="s">
        <v>17994</v>
      </c>
      <c r="G8952" s="1">
        <v>11.81</v>
      </c>
    </row>
    <row r="8953" spans="1:7" ht="14.25" customHeight="1" x14ac:dyDescent="0.45">
      <c r="A8953" t="str">
        <f>_xlfn.XLOOKUP(B8953,Ingot!$H$12:$H$119,Ingot!$G$12:$G$119,"")</f>
        <v>Leather</v>
      </c>
      <c r="B8953" t="s">
        <v>17942</v>
      </c>
      <c r="C8953" t="s">
        <v>10</v>
      </c>
      <c r="D8953" t="s">
        <v>17995</v>
      </c>
      <c r="E8953" t="s">
        <v>17996</v>
      </c>
      <c r="G8953" s="1">
        <v>8.44</v>
      </c>
    </row>
    <row r="8954" spans="1:7" ht="14.25" customHeight="1" x14ac:dyDescent="0.45">
      <c r="A8954" t="str">
        <f>_xlfn.XLOOKUP(B8954,Ingot!$H$12:$H$119,Ingot!$G$12:$G$119,"")</f>
        <v>Leather</v>
      </c>
      <c r="B8954" t="s">
        <v>17942</v>
      </c>
      <c r="C8954" t="s">
        <v>10</v>
      </c>
      <c r="D8954" t="s">
        <v>17997</v>
      </c>
      <c r="E8954" t="s">
        <v>17998</v>
      </c>
      <c r="G8954" s="1">
        <v>10.42</v>
      </c>
    </row>
    <row r="8955" spans="1:7" ht="14.25" customHeight="1" x14ac:dyDescent="0.45">
      <c r="A8955" t="str">
        <f>_xlfn.XLOOKUP(B8955,Ingot!$H$12:$H$119,Ingot!$G$12:$G$119,"")</f>
        <v>Leather</v>
      </c>
      <c r="B8955" t="s">
        <v>17942</v>
      </c>
      <c r="C8955" t="s">
        <v>10</v>
      </c>
      <c r="D8955" t="s">
        <v>17999</v>
      </c>
      <c r="E8955" t="s">
        <v>18000</v>
      </c>
    </row>
    <row r="8956" spans="1:7" ht="14.25" customHeight="1" x14ac:dyDescent="0.45">
      <c r="A8956" t="str">
        <f>_xlfn.XLOOKUP(B8956,Ingot!$H$12:$H$119,Ingot!$G$12:$G$119,"")</f>
        <v>Leather</v>
      </c>
      <c r="B8956" t="s">
        <v>17942</v>
      </c>
      <c r="C8956" t="s">
        <v>10</v>
      </c>
      <c r="D8956" t="s">
        <v>18001</v>
      </c>
      <c r="E8956" t="s">
        <v>18002</v>
      </c>
      <c r="G8956" s="1">
        <v>7.96</v>
      </c>
    </row>
    <row r="8957" spans="1:7" ht="14.25" customHeight="1" x14ac:dyDescent="0.45">
      <c r="A8957" t="str">
        <f>_xlfn.XLOOKUP(B8957,Ingot!$H$12:$H$119,Ingot!$G$12:$G$119,"")</f>
        <v>Leather</v>
      </c>
      <c r="B8957" t="s">
        <v>17942</v>
      </c>
      <c r="C8957" t="s">
        <v>10</v>
      </c>
      <c r="D8957" t="s">
        <v>18003</v>
      </c>
      <c r="E8957" t="s">
        <v>18004</v>
      </c>
      <c r="G8957" s="1">
        <v>9.64</v>
      </c>
    </row>
    <row r="8958" spans="1:7" ht="14.25" customHeight="1" x14ac:dyDescent="0.45">
      <c r="A8958" t="str">
        <f>_xlfn.XLOOKUP(B8958,Ingot!$H$12:$H$119,Ingot!$G$12:$G$119,"")</f>
        <v>Leather</v>
      </c>
      <c r="B8958" t="s">
        <v>17942</v>
      </c>
      <c r="C8958" t="s">
        <v>10</v>
      </c>
      <c r="D8958" t="s">
        <v>18005</v>
      </c>
      <c r="E8958" t="s">
        <v>18006</v>
      </c>
      <c r="G8958" s="1">
        <v>7.94</v>
      </c>
    </row>
    <row r="8959" spans="1:7" ht="14.25" customHeight="1" x14ac:dyDescent="0.45">
      <c r="A8959" t="str">
        <f>_xlfn.XLOOKUP(B8959,Ingot!$H$12:$H$119,Ingot!$G$12:$G$119,"")</f>
        <v>Leather</v>
      </c>
      <c r="B8959" t="s">
        <v>17942</v>
      </c>
      <c r="C8959" t="s">
        <v>10</v>
      </c>
      <c r="D8959" t="s">
        <v>18007</v>
      </c>
      <c r="E8959" t="s">
        <v>18008</v>
      </c>
      <c r="G8959" s="1">
        <v>8.66</v>
      </c>
    </row>
    <row r="8960" spans="1:7" ht="14.25" customHeight="1" x14ac:dyDescent="0.45">
      <c r="A8960" t="str">
        <f>_xlfn.XLOOKUP(B8960,Ingot!$H$12:$H$119,Ingot!$G$12:$G$119,"")</f>
        <v>Leather</v>
      </c>
      <c r="B8960" t="s">
        <v>17942</v>
      </c>
      <c r="C8960" t="s">
        <v>10</v>
      </c>
      <c r="D8960" t="s">
        <v>18009</v>
      </c>
      <c r="E8960" t="s">
        <v>18010</v>
      </c>
    </row>
    <row r="8961" spans="1:7" ht="14.25" customHeight="1" x14ac:dyDescent="0.45">
      <c r="A8961" t="str">
        <f>_xlfn.XLOOKUP(B8961,Ingot!$H$12:$H$119,Ingot!$G$12:$G$119,"")</f>
        <v>Leather</v>
      </c>
      <c r="B8961" t="s">
        <v>17942</v>
      </c>
      <c r="C8961" t="s">
        <v>10</v>
      </c>
      <c r="D8961" t="s">
        <v>18011</v>
      </c>
      <c r="E8961" t="s">
        <v>18012</v>
      </c>
      <c r="G8961" s="1">
        <v>2.65</v>
      </c>
    </row>
    <row r="8962" spans="1:7" ht="14.25" customHeight="1" x14ac:dyDescent="0.45">
      <c r="A8962" t="str">
        <f>_xlfn.XLOOKUP(B8962,Ingot!$H$12:$H$119,Ingot!$G$12:$G$119,"")</f>
        <v>Leather</v>
      </c>
      <c r="B8962" t="s">
        <v>17942</v>
      </c>
      <c r="C8962" t="s">
        <v>10</v>
      </c>
      <c r="D8962" t="s">
        <v>18013</v>
      </c>
      <c r="E8962" t="s">
        <v>18014</v>
      </c>
    </row>
    <row r="8963" spans="1:7" ht="14.25" customHeight="1" x14ac:dyDescent="0.45">
      <c r="A8963" t="str">
        <f>_xlfn.XLOOKUP(B8963,Ingot!$H$12:$H$119,Ingot!$G$12:$G$119,"")</f>
        <v>Leather</v>
      </c>
      <c r="B8963" t="s">
        <v>17942</v>
      </c>
      <c r="C8963" t="s">
        <v>10</v>
      </c>
      <c r="D8963" t="s">
        <v>18015</v>
      </c>
      <c r="E8963" t="s">
        <v>18016</v>
      </c>
      <c r="G8963" s="1">
        <v>12.64</v>
      </c>
    </row>
    <row r="8964" spans="1:7" ht="14.25" customHeight="1" x14ac:dyDescent="0.45">
      <c r="A8964" t="str">
        <f>_xlfn.XLOOKUP(B8964,Ingot!$H$12:$H$119,Ingot!$G$12:$G$119,"")</f>
        <v>Leather</v>
      </c>
      <c r="B8964" t="s">
        <v>17942</v>
      </c>
      <c r="C8964" t="s">
        <v>10</v>
      </c>
      <c r="D8964" t="s">
        <v>18017</v>
      </c>
      <c r="E8964" t="s">
        <v>18018</v>
      </c>
      <c r="G8964" s="1">
        <v>22.67</v>
      </c>
    </row>
    <row r="8965" spans="1:7" ht="14.25" customHeight="1" x14ac:dyDescent="0.45">
      <c r="A8965" t="str">
        <f>_xlfn.XLOOKUP(B8965,Ingot!$H$12:$H$119,Ingot!$G$12:$G$119,"")</f>
        <v>Leather</v>
      </c>
      <c r="B8965" t="s">
        <v>17942</v>
      </c>
      <c r="C8965" t="s">
        <v>10</v>
      </c>
      <c r="D8965" t="s">
        <v>18019</v>
      </c>
      <c r="E8965" t="s">
        <v>18020</v>
      </c>
      <c r="G8965" s="1">
        <v>8.3800000000000008</v>
      </c>
    </row>
    <row r="8966" spans="1:7" ht="14.25" customHeight="1" x14ac:dyDescent="0.45">
      <c r="A8966" t="str">
        <f>_xlfn.XLOOKUP(B8966,Ingot!$H$12:$H$119,Ingot!$G$12:$G$119,"")</f>
        <v>Leather</v>
      </c>
      <c r="B8966" t="s">
        <v>17942</v>
      </c>
      <c r="C8966" t="s">
        <v>10</v>
      </c>
      <c r="D8966" t="s">
        <v>18021</v>
      </c>
      <c r="E8966" t="s">
        <v>18022</v>
      </c>
      <c r="G8966" s="1">
        <v>2.2000000000000002</v>
      </c>
    </row>
    <row r="8967" spans="1:7" ht="14.25" customHeight="1" x14ac:dyDescent="0.45">
      <c r="A8967" t="str">
        <f>_xlfn.XLOOKUP(B8967,Ingot!$H$12:$H$119,Ingot!$G$12:$G$119,"")</f>
        <v>Leather</v>
      </c>
      <c r="B8967" t="s">
        <v>17942</v>
      </c>
      <c r="C8967" t="s">
        <v>10</v>
      </c>
      <c r="D8967" t="s">
        <v>18023</v>
      </c>
      <c r="E8967" t="s">
        <v>18024</v>
      </c>
      <c r="G8967" s="1">
        <v>3.09</v>
      </c>
    </row>
    <row r="8968" spans="1:7" ht="14.25" customHeight="1" x14ac:dyDescent="0.45">
      <c r="A8968" t="str">
        <f>_xlfn.XLOOKUP(B8968,Ingot!$H$12:$H$119,Ingot!$G$12:$G$119,"")</f>
        <v>Leather</v>
      </c>
      <c r="B8968" t="s">
        <v>17942</v>
      </c>
      <c r="C8968" t="s">
        <v>10</v>
      </c>
      <c r="D8968" t="s">
        <v>18025</v>
      </c>
      <c r="E8968" t="s">
        <v>18026</v>
      </c>
      <c r="G8968" s="1">
        <v>2.2999999999999998</v>
      </c>
    </row>
    <row r="8969" spans="1:7" ht="14.25" customHeight="1" x14ac:dyDescent="0.45">
      <c r="A8969" t="str">
        <f>_xlfn.XLOOKUP(B8969,Ingot!$H$12:$H$119,Ingot!$G$12:$G$119,"")</f>
        <v>Leather</v>
      </c>
      <c r="B8969" t="s">
        <v>17942</v>
      </c>
      <c r="C8969" t="s">
        <v>10</v>
      </c>
      <c r="D8969" t="s">
        <v>18027</v>
      </c>
      <c r="E8969" t="s">
        <v>18028</v>
      </c>
      <c r="G8969" s="1">
        <v>4.88</v>
      </c>
    </row>
    <row r="8970" spans="1:7" ht="14.25" customHeight="1" x14ac:dyDescent="0.45">
      <c r="A8970" t="str">
        <f>_xlfn.XLOOKUP(B8970,Ingot!$H$12:$H$119,Ingot!$G$12:$G$119,"")</f>
        <v>Leather</v>
      </c>
      <c r="B8970" t="s">
        <v>17942</v>
      </c>
      <c r="C8970" t="s">
        <v>10</v>
      </c>
      <c r="D8970" t="s">
        <v>18029</v>
      </c>
      <c r="E8970" t="s">
        <v>18030</v>
      </c>
      <c r="G8970" s="1">
        <v>8.43</v>
      </c>
    </row>
    <row r="8971" spans="1:7" ht="14.25" customHeight="1" x14ac:dyDescent="0.45">
      <c r="A8971" t="str">
        <f>_xlfn.XLOOKUP(B8971,Ingot!$H$12:$H$119,Ingot!$G$12:$G$119,"")</f>
        <v>Leather</v>
      </c>
      <c r="B8971" t="s">
        <v>17942</v>
      </c>
      <c r="C8971" t="s">
        <v>10</v>
      </c>
      <c r="D8971" t="s">
        <v>18031</v>
      </c>
      <c r="E8971" t="s">
        <v>18032</v>
      </c>
      <c r="G8971" s="1">
        <v>13.07</v>
      </c>
    </row>
    <row r="8972" spans="1:7" ht="14.25" customHeight="1" x14ac:dyDescent="0.45">
      <c r="A8972" t="str">
        <f>_xlfn.XLOOKUP(B8972,Ingot!$H$12:$H$119,Ingot!$G$12:$G$119,"")</f>
        <v>Leather</v>
      </c>
      <c r="B8972" t="s">
        <v>17942</v>
      </c>
      <c r="C8972" t="s">
        <v>10</v>
      </c>
      <c r="D8972" t="s">
        <v>18033</v>
      </c>
      <c r="E8972" t="s">
        <v>18034</v>
      </c>
    </row>
    <row r="8973" spans="1:7" ht="14.25" customHeight="1" x14ac:dyDescent="0.45">
      <c r="A8973" t="str">
        <f>_xlfn.XLOOKUP(B8973,Ingot!$H$12:$H$119,Ingot!$G$12:$G$119,"")</f>
        <v>Leather</v>
      </c>
      <c r="B8973" t="s">
        <v>17942</v>
      </c>
      <c r="C8973" t="s">
        <v>10</v>
      </c>
      <c r="D8973" t="s">
        <v>18035</v>
      </c>
      <c r="E8973" t="s">
        <v>18036</v>
      </c>
    </row>
    <row r="8974" spans="1:7" ht="14.25" customHeight="1" x14ac:dyDescent="0.45">
      <c r="A8974" t="str">
        <f>_xlfn.XLOOKUP(B8974,Ingot!$H$12:$H$119,Ingot!$G$12:$G$119,"")</f>
        <v>Leather</v>
      </c>
      <c r="B8974" t="s">
        <v>17942</v>
      </c>
      <c r="C8974" t="s">
        <v>10</v>
      </c>
      <c r="D8974" t="s">
        <v>18037</v>
      </c>
      <c r="E8974" t="s">
        <v>18038</v>
      </c>
      <c r="G8974" s="1">
        <v>6.8</v>
      </c>
    </row>
    <row r="8975" spans="1:7" ht="14.25" customHeight="1" x14ac:dyDescent="0.45">
      <c r="A8975" t="str">
        <f>_xlfn.XLOOKUP(B8975,Ingot!$H$12:$H$119,Ingot!$G$12:$G$119,"")</f>
        <v>Leather</v>
      </c>
      <c r="B8975" t="s">
        <v>17942</v>
      </c>
      <c r="C8975" t="s">
        <v>10</v>
      </c>
      <c r="D8975" t="s">
        <v>18039</v>
      </c>
      <c r="E8975" t="s">
        <v>18040</v>
      </c>
      <c r="G8975" s="1">
        <v>6.88</v>
      </c>
    </row>
    <row r="8976" spans="1:7" ht="14.25" customHeight="1" x14ac:dyDescent="0.45">
      <c r="A8976" t="str">
        <f>_xlfn.XLOOKUP(B8976,Ingot!$H$12:$H$119,Ingot!$G$12:$G$119,"")</f>
        <v>Leather</v>
      </c>
      <c r="B8976" t="s">
        <v>17942</v>
      </c>
      <c r="C8976" t="s">
        <v>10</v>
      </c>
      <c r="D8976" t="s">
        <v>18041</v>
      </c>
      <c r="E8976" t="s">
        <v>18042</v>
      </c>
      <c r="G8976" s="1">
        <v>5.5</v>
      </c>
    </row>
    <row r="8977" spans="1:7" ht="14.25" customHeight="1" x14ac:dyDescent="0.45">
      <c r="A8977" t="str">
        <f>_xlfn.XLOOKUP(B8977,Ingot!$H$12:$H$119,Ingot!$G$12:$G$119,"")</f>
        <v>Leather</v>
      </c>
      <c r="B8977" t="s">
        <v>17942</v>
      </c>
      <c r="C8977" t="s">
        <v>10</v>
      </c>
      <c r="D8977" t="s">
        <v>18043</v>
      </c>
      <c r="E8977" t="s">
        <v>18044</v>
      </c>
      <c r="G8977" s="1">
        <v>2.4300000000000002</v>
      </c>
    </row>
    <row r="8978" spans="1:7" ht="14.25" customHeight="1" x14ac:dyDescent="0.45">
      <c r="A8978" t="str">
        <f>_xlfn.XLOOKUP(B8978,Ingot!$H$12:$H$119,Ingot!$G$12:$G$119,"")</f>
        <v>Leather</v>
      </c>
      <c r="B8978" t="s">
        <v>17942</v>
      </c>
      <c r="C8978" t="s">
        <v>10</v>
      </c>
      <c r="D8978" t="s">
        <v>18045</v>
      </c>
      <c r="E8978" t="s">
        <v>18046</v>
      </c>
      <c r="G8978" s="1">
        <v>6.96</v>
      </c>
    </row>
    <row r="8979" spans="1:7" ht="14.25" customHeight="1" x14ac:dyDescent="0.45">
      <c r="A8979" t="str">
        <f>_xlfn.XLOOKUP(B8979,Ingot!$H$12:$H$119,Ingot!$G$12:$G$119,"")</f>
        <v>Leather</v>
      </c>
      <c r="B8979" t="s">
        <v>17942</v>
      </c>
      <c r="C8979" t="s">
        <v>10</v>
      </c>
      <c r="D8979" t="s">
        <v>18047</v>
      </c>
      <c r="E8979" t="s">
        <v>18048</v>
      </c>
      <c r="G8979" s="1">
        <v>6.32</v>
      </c>
    </row>
    <row r="8980" spans="1:7" ht="14.25" customHeight="1" x14ac:dyDescent="0.45">
      <c r="A8980" t="str">
        <f>_xlfn.XLOOKUP(B8980,Ingot!$H$12:$H$119,Ingot!$G$12:$G$119,"")</f>
        <v>Leather</v>
      </c>
      <c r="B8980" t="s">
        <v>17942</v>
      </c>
      <c r="C8980" t="s">
        <v>10</v>
      </c>
      <c r="D8980" t="s">
        <v>18049</v>
      </c>
      <c r="E8980" t="s">
        <v>18050</v>
      </c>
      <c r="G8980" s="1">
        <v>6.88</v>
      </c>
    </row>
    <row r="8981" spans="1:7" ht="14.25" customHeight="1" x14ac:dyDescent="0.45">
      <c r="A8981" t="str">
        <f>_xlfn.XLOOKUP(B8981,Ingot!$H$12:$H$119,Ingot!$G$12:$G$119,"")</f>
        <v>Leather</v>
      </c>
      <c r="B8981" t="s">
        <v>17942</v>
      </c>
      <c r="C8981" t="s">
        <v>10</v>
      </c>
      <c r="D8981" t="s">
        <v>18051</v>
      </c>
      <c r="E8981" t="s">
        <v>18052</v>
      </c>
      <c r="G8981" s="1">
        <v>2.44</v>
      </c>
    </row>
    <row r="8982" spans="1:7" ht="14.25" customHeight="1" x14ac:dyDescent="0.45">
      <c r="A8982" t="str">
        <f>_xlfn.XLOOKUP(B8982,Ingot!$H$12:$H$119,Ingot!$G$12:$G$119,"")</f>
        <v>Leather</v>
      </c>
      <c r="B8982" t="s">
        <v>17942</v>
      </c>
      <c r="C8982" t="s">
        <v>10</v>
      </c>
      <c r="D8982" t="s">
        <v>18053</v>
      </c>
      <c r="E8982" t="s">
        <v>18054</v>
      </c>
    </row>
    <row r="8983" spans="1:7" ht="14.25" customHeight="1" x14ac:dyDescent="0.45">
      <c r="A8983" t="str">
        <f>_xlfn.XLOOKUP(B8983,Ingot!$H$12:$H$119,Ingot!$G$12:$G$119,"")</f>
        <v>Leather</v>
      </c>
      <c r="B8983" t="s">
        <v>17942</v>
      </c>
      <c r="C8983" t="s">
        <v>10</v>
      </c>
      <c r="D8983" t="s">
        <v>18055</v>
      </c>
      <c r="E8983" t="s">
        <v>18056</v>
      </c>
    </row>
    <row r="8984" spans="1:7" ht="14.25" customHeight="1" x14ac:dyDescent="0.45">
      <c r="A8984" t="str">
        <f>_xlfn.XLOOKUP(B8984,Ingot!$H$12:$H$119,Ingot!$G$12:$G$119,"")</f>
        <v>Leather</v>
      </c>
      <c r="B8984" t="s">
        <v>17942</v>
      </c>
      <c r="C8984" t="s">
        <v>10</v>
      </c>
      <c r="D8984" t="s">
        <v>18057</v>
      </c>
      <c r="E8984" t="s">
        <v>18058</v>
      </c>
      <c r="G8984" s="1">
        <v>3.11</v>
      </c>
    </row>
    <row r="8985" spans="1:7" ht="14.25" customHeight="1" x14ac:dyDescent="0.45">
      <c r="A8985" t="str">
        <f>_xlfn.XLOOKUP(B8985,Ingot!$H$12:$H$119,Ingot!$G$12:$G$119,"")</f>
        <v>Leather</v>
      </c>
      <c r="B8985" t="s">
        <v>17942</v>
      </c>
      <c r="C8985" t="s">
        <v>10</v>
      </c>
      <c r="D8985" t="s">
        <v>18059</v>
      </c>
      <c r="E8985" t="s">
        <v>18060</v>
      </c>
      <c r="G8985" s="1">
        <v>2.44</v>
      </c>
    </row>
    <row r="8986" spans="1:7" ht="14.25" customHeight="1" x14ac:dyDescent="0.45">
      <c r="A8986" t="str">
        <f>_xlfn.XLOOKUP(B8986,Ingot!$H$12:$H$119,Ingot!$G$12:$G$119,"")</f>
        <v>Leather</v>
      </c>
      <c r="B8986" t="s">
        <v>17942</v>
      </c>
      <c r="C8986" t="s">
        <v>10</v>
      </c>
      <c r="D8986" t="s">
        <v>18061</v>
      </c>
      <c r="E8986" t="s">
        <v>18062</v>
      </c>
      <c r="G8986" s="1">
        <v>8.61</v>
      </c>
    </row>
    <row r="8987" spans="1:7" ht="14.25" customHeight="1" x14ac:dyDescent="0.45">
      <c r="A8987" t="str">
        <f>_xlfn.XLOOKUP(B8987,Ingot!$H$12:$H$119,Ingot!$G$12:$G$119,"")</f>
        <v>Leather</v>
      </c>
      <c r="B8987" t="s">
        <v>17942</v>
      </c>
      <c r="C8987" t="s">
        <v>10</v>
      </c>
      <c r="D8987" t="s">
        <v>18063</v>
      </c>
      <c r="E8987" t="s">
        <v>18064</v>
      </c>
    </row>
    <row r="8988" spans="1:7" ht="14.25" customHeight="1" x14ac:dyDescent="0.45">
      <c r="A8988" t="str">
        <f>_xlfn.XLOOKUP(B8988,Ingot!$H$12:$H$119,Ingot!$G$12:$G$119,"")</f>
        <v>Leather</v>
      </c>
      <c r="B8988" t="s">
        <v>17942</v>
      </c>
      <c r="C8988" t="s">
        <v>10</v>
      </c>
      <c r="D8988" t="s">
        <v>18065</v>
      </c>
      <c r="E8988" t="s">
        <v>18066</v>
      </c>
      <c r="G8988" s="1">
        <v>3.21</v>
      </c>
    </row>
    <row r="8989" spans="1:7" ht="14.25" customHeight="1" x14ac:dyDescent="0.45">
      <c r="A8989" t="str">
        <f>_xlfn.XLOOKUP(B8989,Ingot!$H$12:$H$119,Ingot!$G$12:$G$119,"")</f>
        <v>Leather</v>
      </c>
      <c r="B8989" t="s">
        <v>17942</v>
      </c>
      <c r="C8989" t="s">
        <v>10</v>
      </c>
      <c r="D8989" t="s">
        <v>18067</v>
      </c>
      <c r="E8989" t="s">
        <v>18068</v>
      </c>
      <c r="G8989" s="1">
        <v>2.77</v>
      </c>
    </row>
    <row r="8990" spans="1:7" ht="14.25" customHeight="1" x14ac:dyDescent="0.45">
      <c r="A8990" t="str">
        <f>_xlfn.XLOOKUP(B8990,Ingot!$H$12:$H$119,Ingot!$G$12:$G$119,"")</f>
        <v>Leather</v>
      </c>
      <c r="B8990" t="s">
        <v>17942</v>
      </c>
      <c r="C8990" t="s">
        <v>10</v>
      </c>
      <c r="D8990" t="s">
        <v>18069</v>
      </c>
      <c r="E8990" t="s">
        <v>18070</v>
      </c>
      <c r="G8990" s="1">
        <v>4.8899999999999997</v>
      </c>
    </row>
    <row r="8991" spans="1:7" ht="14.25" customHeight="1" x14ac:dyDescent="0.45">
      <c r="A8991" t="str">
        <f>_xlfn.XLOOKUP(B8991,Ingot!$H$12:$H$119,Ingot!$G$12:$G$119,"")</f>
        <v>Leather</v>
      </c>
      <c r="B8991" t="s">
        <v>17942</v>
      </c>
      <c r="C8991" t="s">
        <v>10</v>
      </c>
      <c r="D8991" t="s">
        <v>18071</v>
      </c>
      <c r="E8991" t="s">
        <v>18072</v>
      </c>
      <c r="G8991" s="1">
        <v>1.76</v>
      </c>
    </row>
    <row r="8992" spans="1:7" ht="14.25" customHeight="1" x14ac:dyDescent="0.45">
      <c r="A8992" t="str">
        <f>_xlfn.XLOOKUP(B8992,Ingot!$H$12:$H$119,Ingot!$G$12:$G$119,"")</f>
        <v>Leather</v>
      </c>
      <c r="B8992" t="s">
        <v>17942</v>
      </c>
      <c r="C8992" t="s">
        <v>10</v>
      </c>
      <c r="D8992" t="s">
        <v>18073</v>
      </c>
      <c r="E8992" t="s">
        <v>18074</v>
      </c>
    </row>
    <row r="8993" spans="1:7" ht="14.25" customHeight="1" x14ac:dyDescent="0.45">
      <c r="A8993" t="str">
        <f>_xlfn.XLOOKUP(B8993,Ingot!$H$12:$H$119,Ingot!$G$12:$G$119,"")</f>
        <v>Leather</v>
      </c>
      <c r="B8993" t="s">
        <v>17942</v>
      </c>
      <c r="C8993" t="s">
        <v>10</v>
      </c>
      <c r="D8993" t="s">
        <v>18075</v>
      </c>
      <c r="E8993" t="s">
        <v>18076</v>
      </c>
      <c r="G8993" s="1">
        <v>8.57</v>
      </c>
    </row>
    <row r="8994" spans="1:7" ht="14.25" customHeight="1" x14ac:dyDescent="0.45">
      <c r="A8994" t="str">
        <f>_xlfn.XLOOKUP(B8994,Ingot!$H$12:$H$119,Ingot!$G$12:$G$119,"")</f>
        <v>Leather</v>
      </c>
      <c r="B8994" t="s">
        <v>17942</v>
      </c>
      <c r="C8994" t="s">
        <v>10</v>
      </c>
      <c r="D8994" t="s">
        <v>18077</v>
      </c>
      <c r="E8994" t="s">
        <v>18078</v>
      </c>
    </row>
    <row r="8995" spans="1:7" ht="14.25" customHeight="1" x14ac:dyDescent="0.45">
      <c r="A8995" t="str">
        <f>_xlfn.XLOOKUP(B8995,Ingot!$H$12:$H$119,Ingot!$G$12:$G$119,"")</f>
        <v>Leather</v>
      </c>
      <c r="B8995" t="s">
        <v>17942</v>
      </c>
      <c r="C8995" t="s">
        <v>10</v>
      </c>
      <c r="D8995" t="s">
        <v>18079</v>
      </c>
      <c r="E8995" t="s">
        <v>18080</v>
      </c>
      <c r="G8995" s="1">
        <v>3.56</v>
      </c>
    </row>
    <row r="8996" spans="1:7" ht="14.25" customHeight="1" x14ac:dyDescent="0.45">
      <c r="A8996" t="str">
        <f>_xlfn.XLOOKUP(B8996,Ingot!$H$12:$H$119,Ingot!$G$12:$G$119,"")</f>
        <v>Leather</v>
      </c>
      <c r="B8996" t="s">
        <v>17942</v>
      </c>
      <c r="C8996" t="s">
        <v>10</v>
      </c>
      <c r="D8996" t="s">
        <v>18081</v>
      </c>
      <c r="E8996" t="s">
        <v>18082</v>
      </c>
      <c r="G8996" s="1">
        <v>8.91</v>
      </c>
    </row>
    <row r="8997" spans="1:7" ht="14.25" customHeight="1" x14ac:dyDescent="0.45">
      <c r="A8997" t="str">
        <f>_xlfn.XLOOKUP(B8997,Ingot!$H$12:$H$119,Ingot!$G$12:$G$119,"")</f>
        <v>Leather</v>
      </c>
      <c r="B8997" t="s">
        <v>17942</v>
      </c>
      <c r="C8997" t="s">
        <v>10</v>
      </c>
      <c r="D8997" t="s">
        <v>18083</v>
      </c>
      <c r="E8997" t="s">
        <v>18084</v>
      </c>
      <c r="G8997" s="1">
        <v>11.02</v>
      </c>
    </row>
    <row r="8998" spans="1:7" ht="14.25" customHeight="1" x14ac:dyDescent="0.45">
      <c r="A8998" t="str">
        <f>_xlfn.XLOOKUP(B8998,Ingot!$H$12:$H$119,Ingot!$G$12:$G$119,"")</f>
        <v>Leather</v>
      </c>
      <c r="B8998" t="s">
        <v>17942</v>
      </c>
      <c r="C8998" t="s">
        <v>10</v>
      </c>
      <c r="D8998" t="s">
        <v>18085</v>
      </c>
      <c r="E8998" t="s">
        <v>18086</v>
      </c>
      <c r="G8998" s="1">
        <v>5.12</v>
      </c>
    </row>
    <row r="8999" spans="1:7" ht="14.25" customHeight="1" x14ac:dyDescent="0.45">
      <c r="A8999" t="str">
        <f>_xlfn.XLOOKUP(B8999,Ingot!$H$12:$H$119,Ingot!$G$12:$G$119,"")</f>
        <v>Leather</v>
      </c>
      <c r="B8999" t="s">
        <v>17942</v>
      </c>
      <c r="C8999" t="s">
        <v>10</v>
      </c>
      <c r="D8999" t="s">
        <v>18087</v>
      </c>
      <c r="E8999" t="s">
        <v>18088</v>
      </c>
      <c r="G8999" s="1">
        <v>4.41</v>
      </c>
    </row>
    <row r="9000" spans="1:7" ht="14.25" customHeight="1" x14ac:dyDescent="0.45">
      <c r="A9000" t="str">
        <f>_xlfn.XLOOKUP(B9000,Ingot!$H$12:$H$119,Ingot!$G$12:$G$119,"")</f>
        <v>Leather</v>
      </c>
      <c r="B9000" t="s">
        <v>17942</v>
      </c>
      <c r="C9000" t="s">
        <v>157</v>
      </c>
      <c r="D9000" t="s">
        <v>18089</v>
      </c>
      <c r="E9000" t="s">
        <v>18090</v>
      </c>
      <c r="G9000" s="1">
        <v>17.2</v>
      </c>
    </row>
    <row r="9001" spans="1:7" ht="14.25" customHeight="1" x14ac:dyDescent="0.45">
      <c r="A9001" t="str">
        <f>_xlfn.XLOOKUP(B9001,Ingot!$H$12:$H$119,Ingot!$G$12:$G$119,"")</f>
        <v>Leather</v>
      </c>
      <c r="B9001" t="s">
        <v>17942</v>
      </c>
      <c r="C9001" t="s">
        <v>157</v>
      </c>
      <c r="D9001" t="s">
        <v>18091</v>
      </c>
      <c r="E9001" t="s">
        <v>18092</v>
      </c>
      <c r="G9001" s="1">
        <v>5</v>
      </c>
    </row>
    <row r="9002" spans="1:7" ht="14.25" customHeight="1" x14ac:dyDescent="0.45">
      <c r="A9002" t="str">
        <f>_xlfn.XLOOKUP(B9002,Ingot!$H$12:$H$119,Ingot!$G$12:$G$119,"")</f>
        <v>Leather</v>
      </c>
      <c r="B9002" t="s">
        <v>17942</v>
      </c>
      <c r="C9002" t="s">
        <v>157</v>
      </c>
      <c r="D9002" t="s">
        <v>18093</v>
      </c>
      <c r="E9002" t="s">
        <v>18094</v>
      </c>
      <c r="G9002" s="1">
        <v>5</v>
      </c>
    </row>
    <row r="9003" spans="1:7" ht="14.25" customHeight="1" x14ac:dyDescent="0.45">
      <c r="A9003" t="str">
        <f>_xlfn.XLOOKUP(B9003,Ingot!$H$12:$H$119,Ingot!$G$12:$G$119,"")</f>
        <v>Leather</v>
      </c>
      <c r="B9003" t="s">
        <v>17942</v>
      </c>
      <c r="C9003" t="s">
        <v>157</v>
      </c>
      <c r="D9003" t="s">
        <v>18095</v>
      </c>
      <c r="E9003" t="s">
        <v>18096</v>
      </c>
      <c r="G9003" s="1">
        <v>5</v>
      </c>
    </row>
    <row r="9004" spans="1:7" ht="14.25" customHeight="1" x14ac:dyDescent="0.45">
      <c r="A9004" t="str">
        <f>_xlfn.XLOOKUP(B9004,Ingot!$H$12:$H$119,Ingot!$G$12:$G$119,"")</f>
        <v>Leather</v>
      </c>
      <c r="B9004" t="s">
        <v>17942</v>
      </c>
      <c r="C9004" t="s">
        <v>157</v>
      </c>
      <c r="D9004" t="s">
        <v>18097</v>
      </c>
      <c r="E9004" t="s">
        <v>18098</v>
      </c>
      <c r="G9004" s="1">
        <v>10</v>
      </c>
    </row>
    <row r="9005" spans="1:7" ht="14.25" customHeight="1" x14ac:dyDescent="0.45">
      <c r="A9005" t="str">
        <f>_xlfn.XLOOKUP(B9005,Ingot!$H$12:$H$119,Ingot!$G$12:$G$119,"")</f>
        <v>Leather</v>
      </c>
      <c r="B9005" t="s">
        <v>17942</v>
      </c>
      <c r="C9005" t="s">
        <v>157</v>
      </c>
      <c r="D9005" t="s">
        <v>18099</v>
      </c>
      <c r="E9005" t="s">
        <v>18100</v>
      </c>
      <c r="G9005" s="1">
        <v>14.5</v>
      </c>
    </row>
    <row r="9006" spans="1:7" ht="14.25" customHeight="1" x14ac:dyDescent="0.45">
      <c r="A9006" t="str">
        <f>_xlfn.XLOOKUP(B9006,Ingot!$H$12:$H$119,Ingot!$G$12:$G$119,"")</f>
        <v>Leather</v>
      </c>
      <c r="B9006" t="s">
        <v>17942</v>
      </c>
      <c r="C9006" t="s">
        <v>157</v>
      </c>
      <c r="D9006" t="s">
        <v>18101</v>
      </c>
      <c r="E9006" t="s">
        <v>18102</v>
      </c>
      <c r="G9006" s="1">
        <v>5</v>
      </c>
    </row>
    <row r="9007" spans="1:7" ht="14.25" customHeight="1" x14ac:dyDescent="0.45">
      <c r="A9007" t="str">
        <f>_xlfn.XLOOKUP(B9007,Ingot!$H$12:$H$119,Ingot!$G$12:$G$119,"")</f>
        <v>Leather</v>
      </c>
      <c r="B9007" t="s">
        <v>17942</v>
      </c>
      <c r="C9007" t="s">
        <v>157</v>
      </c>
      <c r="D9007" t="s">
        <v>18103</v>
      </c>
      <c r="E9007" t="s">
        <v>18104</v>
      </c>
      <c r="G9007" s="1">
        <v>5</v>
      </c>
    </row>
    <row r="9008" spans="1:7" ht="14.25" customHeight="1" x14ac:dyDescent="0.45">
      <c r="A9008" t="str">
        <f>_xlfn.XLOOKUP(B9008,Ingot!$H$12:$H$119,Ingot!$G$12:$G$119,"")</f>
        <v>Leather</v>
      </c>
      <c r="B9008" t="s">
        <v>17942</v>
      </c>
      <c r="C9008" t="s">
        <v>157</v>
      </c>
      <c r="D9008" t="s">
        <v>18105</v>
      </c>
      <c r="E9008" t="s">
        <v>18106</v>
      </c>
      <c r="G9008" s="1">
        <v>5</v>
      </c>
    </row>
    <row r="9009" spans="1:7" ht="14.25" customHeight="1" x14ac:dyDescent="0.45">
      <c r="A9009" t="str">
        <f>_xlfn.XLOOKUP(B9009,Ingot!$H$12:$H$119,Ingot!$G$12:$G$119,"")</f>
        <v>Leather</v>
      </c>
      <c r="B9009" t="s">
        <v>17942</v>
      </c>
      <c r="C9009" t="s">
        <v>157</v>
      </c>
      <c r="D9009" t="s">
        <v>18107</v>
      </c>
      <c r="E9009" t="s">
        <v>18108</v>
      </c>
      <c r="G9009" s="1">
        <v>10</v>
      </c>
    </row>
    <row r="9010" spans="1:7" ht="14.25" customHeight="1" x14ac:dyDescent="0.45">
      <c r="A9010" t="str">
        <f>_xlfn.XLOOKUP(B9010,Ingot!$H$12:$H$119,Ingot!$G$12:$G$119,"")</f>
        <v>Leather</v>
      </c>
      <c r="B9010" t="s">
        <v>17942</v>
      </c>
      <c r="C9010" t="s">
        <v>157</v>
      </c>
      <c r="D9010" t="s">
        <v>18109</v>
      </c>
      <c r="E9010" t="s">
        <v>18110</v>
      </c>
      <c r="G9010" s="1">
        <v>14</v>
      </c>
    </row>
    <row r="9011" spans="1:7" ht="14.25" customHeight="1" x14ac:dyDescent="0.45">
      <c r="A9011" t="str">
        <f>_xlfn.XLOOKUP(B9011,Ingot!$H$12:$H$119,Ingot!$G$12:$G$119,"")</f>
        <v>Leather</v>
      </c>
      <c r="B9011" t="s">
        <v>17942</v>
      </c>
      <c r="C9011" t="s">
        <v>157</v>
      </c>
      <c r="D9011" t="s">
        <v>18111</v>
      </c>
      <c r="E9011" t="s">
        <v>18112</v>
      </c>
      <c r="G9011" s="1">
        <v>5</v>
      </c>
    </row>
    <row r="9012" spans="1:7" ht="14.25" customHeight="1" x14ac:dyDescent="0.45">
      <c r="A9012" t="str">
        <f>_xlfn.XLOOKUP(B9012,Ingot!$H$12:$H$119,Ingot!$G$12:$G$119,"")</f>
        <v>Leather</v>
      </c>
      <c r="B9012" t="s">
        <v>17942</v>
      </c>
      <c r="C9012" t="s">
        <v>157</v>
      </c>
      <c r="D9012" t="s">
        <v>18113</v>
      </c>
      <c r="E9012" t="s">
        <v>18114</v>
      </c>
      <c r="G9012" s="1">
        <v>5</v>
      </c>
    </row>
    <row r="9013" spans="1:7" ht="14.25" customHeight="1" x14ac:dyDescent="0.45">
      <c r="A9013" t="str">
        <f>_xlfn.XLOOKUP(B9013,Ingot!$H$12:$H$119,Ingot!$G$12:$G$119,"")</f>
        <v>Leather</v>
      </c>
      <c r="B9013" t="s">
        <v>17942</v>
      </c>
      <c r="C9013" t="s">
        <v>157</v>
      </c>
      <c r="D9013" t="s">
        <v>18115</v>
      </c>
      <c r="E9013" t="s">
        <v>18116</v>
      </c>
      <c r="G9013" s="1">
        <v>5</v>
      </c>
    </row>
    <row r="9014" spans="1:7" ht="14.25" customHeight="1" x14ac:dyDescent="0.45">
      <c r="A9014" t="str">
        <f>_xlfn.XLOOKUP(B9014,Ingot!$H$12:$H$119,Ingot!$G$12:$G$119,"")</f>
        <v>Leather</v>
      </c>
      <c r="B9014" t="s">
        <v>17942</v>
      </c>
      <c r="C9014" t="s">
        <v>157</v>
      </c>
      <c r="D9014" t="s">
        <v>18117</v>
      </c>
      <c r="E9014" t="s">
        <v>18118</v>
      </c>
      <c r="G9014" s="1">
        <v>10</v>
      </c>
    </row>
    <row r="9015" spans="1:7" ht="14.25" customHeight="1" x14ac:dyDescent="0.45">
      <c r="A9015" t="str">
        <f>_xlfn.XLOOKUP(B9015,Ingot!$H$12:$H$119,Ingot!$G$12:$G$119,"")</f>
        <v>Leather</v>
      </c>
      <c r="B9015" t="s">
        <v>17942</v>
      </c>
      <c r="C9015" t="s">
        <v>157</v>
      </c>
      <c r="D9015" t="s">
        <v>18119</v>
      </c>
      <c r="E9015" t="s">
        <v>18120</v>
      </c>
      <c r="G9015" s="1">
        <v>15.2</v>
      </c>
    </row>
    <row r="9016" spans="1:7" ht="14.25" customHeight="1" x14ac:dyDescent="0.45">
      <c r="A9016" t="str">
        <f>_xlfn.XLOOKUP(B9016,Ingot!$H$12:$H$119,Ingot!$G$12:$G$119,"")</f>
        <v>Leather</v>
      </c>
      <c r="B9016" t="s">
        <v>17942</v>
      </c>
      <c r="C9016" t="s">
        <v>157</v>
      </c>
      <c r="D9016" t="s">
        <v>18121</v>
      </c>
      <c r="E9016" t="s">
        <v>18122</v>
      </c>
      <c r="G9016" s="1">
        <v>5</v>
      </c>
    </row>
    <row r="9017" spans="1:7" ht="14.25" customHeight="1" x14ac:dyDescent="0.45">
      <c r="A9017" t="str">
        <f>_xlfn.XLOOKUP(B9017,Ingot!$H$12:$H$119,Ingot!$G$12:$G$119,"")</f>
        <v>Leather</v>
      </c>
      <c r="B9017" t="s">
        <v>17942</v>
      </c>
      <c r="C9017" t="s">
        <v>157</v>
      </c>
      <c r="D9017" t="s">
        <v>18123</v>
      </c>
      <c r="E9017" t="s">
        <v>18124</v>
      </c>
      <c r="G9017" s="1">
        <v>5</v>
      </c>
    </row>
    <row r="9018" spans="1:7" ht="14.25" customHeight="1" x14ac:dyDescent="0.45">
      <c r="A9018" t="str">
        <f>_xlfn.XLOOKUP(B9018,Ingot!$H$12:$H$119,Ingot!$G$12:$G$119,"")</f>
        <v>Leather</v>
      </c>
      <c r="B9018" t="s">
        <v>17942</v>
      </c>
      <c r="C9018" t="s">
        <v>157</v>
      </c>
      <c r="D9018" t="s">
        <v>18125</v>
      </c>
      <c r="E9018" t="s">
        <v>18126</v>
      </c>
      <c r="G9018" s="1">
        <v>5</v>
      </c>
    </row>
    <row r="9019" spans="1:7" ht="14.25" customHeight="1" x14ac:dyDescent="0.45">
      <c r="A9019" t="str">
        <f>_xlfn.XLOOKUP(B9019,Ingot!$H$12:$H$119,Ingot!$G$12:$G$119,"")</f>
        <v>Leather</v>
      </c>
      <c r="B9019" t="s">
        <v>17942</v>
      </c>
      <c r="C9019" t="s">
        <v>157</v>
      </c>
      <c r="D9019" t="s">
        <v>18127</v>
      </c>
      <c r="E9019" t="s">
        <v>18128</v>
      </c>
      <c r="G9019" s="1">
        <v>10</v>
      </c>
    </row>
    <row r="9020" spans="1:7" ht="14.25" customHeight="1" x14ac:dyDescent="0.45">
      <c r="A9020" t="str">
        <f>_xlfn.XLOOKUP(B9020,Ingot!$H$12:$H$119,Ingot!$G$12:$G$119,"")</f>
        <v>Leather</v>
      </c>
      <c r="B9020" t="s">
        <v>17942</v>
      </c>
      <c r="C9020" t="s">
        <v>157</v>
      </c>
      <c r="D9020" t="s">
        <v>18129</v>
      </c>
      <c r="E9020" t="s">
        <v>18130</v>
      </c>
      <c r="G9020" s="1">
        <v>16.2</v>
      </c>
    </row>
    <row r="9021" spans="1:7" ht="14.25" customHeight="1" x14ac:dyDescent="0.45">
      <c r="A9021" t="str">
        <f>_xlfn.XLOOKUP(B9021,Ingot!$H$12:$H$119,Ingot!$G$12:$G$119,"")</f>
        <v>Leather</v>
      </c>
      <c r="B9021" t="s">
        <v>17942</v>
      </c>
      <c r="C9021" t="s">
        <v>157</v>
      </c>
      <c r="D9021" t="s">
        <v>18131</v>
      </c>
      <c r="E9021" t="s">
        <v>18132</v>
      </c>
      <c r="G9021" s="1">
        <v>5</v>
      </c>
    </row>
    <row r="9022" spans="1:7" ht="14.25" customHeight="1" x14ac:dyDescent="0.45">
      <c r="A9022" t="str">
        <f>_xlfn.XLOOKUP(B9022,Ingot!$H$12:$H$119,Ingot!$G$12:$G$119,"")</f>
        <v>Leather</v>
      </c>
      <c r="B9022" t="s">
        <v>17942</v>
      </c>
      <c r="C9022" t="s">
        <v>157</v>
      </c>
      <c r="D9022" t="s">
        <v>18133</v>
      </c>
      <c r="E9022" t="s">
        <v>18134</v>
      </c>
      <c r="G9022" s="1">
        <v>5</v>
      </c>
    </row>
    <row r="9023" spans="1:7" ht="14.25" customHeight="1" x14ac:dyDescent="0.45">
      <c r="A9023" t="str">
        <f>_xlfn.XLOOKUP(B9023,Ingot!$H$12:$H$119,Ingot!$G$12:$G$119,"")</f>
        <v>Leather</v>
      </c>
      <c r="B9023" t="s">
        <v>17942</v>
      </c>
      <c r="C9023" t="s">
        <v>157</v>
      </c>
      <c r="D9023" t="s">
        <v>18135</v>
      </c>
      <c r="E9023" t="s">
        <v>18136</v>
      </c>
      <c r="G9023" s="1">
        <v>5</v>
      </c>
    </row>
    <row r="9024" spans="1:7" ht="14.25" customHeight="1" x14ac:dyDescent="0.45">
      <c r="A9024" t="str">
        <f>_xlfn.XLOOKUP(B9024,Ingot!$H$12:$H$119,Ingot!$G$12:$G$119,"")</f>
        <v>Leather</v>
      </c>
      <c r="B9024" t="s">
        <v>17942</v>
      </c>
      <c r="C9024" t="s">
        <v>157</v>
      </c>
      <c r="D9024" t="s">
        <v>18137</v>
      </c>
      <c r="E9024" t="s">
        <v>18138</v>
      </c>
      <c r="G9024" s="1">
        <v>10</v>
      </c>
    </row>
    <row r="9025" spans="1:7" ht="14.25" customHeight="1" x14ac:dyDescent="0.45">
      <c r="A9025" t="str">
        <f>_xlfn.XLOOKUP(B9025,Ingot!$H$12:$H$119,Ingot!$G$12:$G$119,"")</f>
        <v>Leather</v>
      </c>
      <c r="B9025" t="s">
        <v>17942</v>
      </c>
      <c r="C9025" t="s">
        <v>157</v>
      </c>
      <c r="D9025" t="s">
        <v>18139</v>
      </c>
      <c r="E9025" t="s">
        <v>18140</v>
      </c>
      <c r="G9025" s="1">
        <v>19.2</v>
      </c>
    </row>
    <row r="9026" spans="1:7" ht="14.25" customHeight="1" x14ac:dyDescent="0.45">
      <c r="A9026" t="str">
        <f>_xlfn.XLOOKUP(B9026,Ingot!$H$12:$H$119,Ingot!$G$12:$G$119,"")</f>
        <v>Leather</v>
      </c>
      <c r="B9026" t="s">
        <v>17942</v>
      </c>
      <c r="C9026" t="s">
        <v>157</v>
      </c>
      <c r="D9026" t="s">
        <v>18141</v>
      </c>
      <c r="E9026" t="s">
        <v>18142</v>
      </c>
      <c r="G9026" s="1">
        <v>5</v>
      </c>
    </row>
    <row r="9027" spans="1:7" ht="14.25" customHeight="1" x14ac:dyDescent="0.45">
      <c r="A9027" t="str">
        <f>_xlfn.XLOOKUP(B9027,Ingot!$H$12:$H$119,Ingot!$G$12:$G$119,"")</f>
        <v>Leather</v>
      </c>
      <c r="B9027" t="s">
        <v>17942</v>
      </c>
      <c r="C9027" t="s">
        <v>157</v>
      </c>
      <c r="D9027" t="s">
        <v>18143</v>
      </c>
      <c r="E9027" t="s">
        <v>18144</v>
      </c>
      <c r="G9027" s="1">
        <v>5</v>
      </c>
    </row>
    <row r="9028" spans="1:7" ht="14.25" customHeight="1" x14ac:dyDescent="0.45">
      <c r="A9028" t="str">
        <f>_xlfn.XLOOKUP(B9028,Ingot!$H$12:$H$119,Ingot!$G$12:$G$119,"")</f>
        <v>Leather</v>
      </c>
      <c r="B9028" t="s">
        <v>17942</v>
      </c>
      <c r="C9028" t="s">
        <v>157</v>
      </c>
      <c r="D9028" t="s">
        <v>18145</v>
      </c>
      <c r="E9028" t="s">
        <v>18146</v>
      </c>
      <c r="G9028" s="1">
        <v>5</v>
      </c>
    </row>
    <row r="9029" spans="1:7" ht="14.25" customHeight="1" x14ac:dyDescent="0.45">
      <c r="A9029" t="str">
        <f>_xlfn.XLOOKUP(B9029,Ingot!$H$12:$H$119,Ingot!$G$12:$G$119,"")</f>
        <v>Leather</v>
      </c>
      <c r="B9029" t="s">
        <v>17942</v>
      </c>
      <c r="C9029" t="s">
        <v>157</v>
      </c>
      <c r="D9029" t="s">
        <v>18147</v>
      </c>
      <c r="E9029" t="s">
        <v>18148</v>
      </c>
      <c r="G9029" s="1">
        <v>10</v>
      </c>
    </row>
    <row r="9030" spans="1:7" ht="14.25" customHeight="1" x14ac:dyDescent="0.45">
      <c r="A9030" t="str">
        <f>_xlfn.XLOOKUP(B9030,Ingot!$H$12:$H$119,Ingot!$G$12:$G$119,"")</f>
        <v>Leather</v>
      </c>
      <c r="B9030" t="s">
        <v>17942</v>
      </c>
      <c r="C9030" t="s">
        <v>157</v>
      </c>
      <c r="D9030" t="s">
        <v>18149</v>
      </c>
      <c r="E9030" t="s">
        <v>18150</v>
      </c>
      <c r="G9030" s="1">
        <v>18.2</v>
      </c>
    </row>
    <row r="9031" spans="1:7" ht="14.25" customHeight="1" x14ac:dyDescent="0.45">
      <c r="A9031" t="str">
        <f>_xlfn.XLOOKUP(B9031,Ingot!$H$12:$H$119,Ingot!$G$12:$G$119,"")</f>
        <v>Leather</v>
      </c>
      <c r="B9031" t="s">
        <v>17942</v>
      </c>
      <c r="C9031" t="s">
        <v>157</v>
      </c>
      <c r="D9031" t="s">
        <v>18151</v>
      </c>
      <c r="E9031" t="s">
        <v>18152</v>
      </c>
      <c r="G9031" s="1">
        <v>5</v>
      </c>
    </row>
    <row r="9032" spans="1:7" ht="14.25" customHeight="1" x14ac:dyDescent="0.45">
      <c r="A9032" t="str">
        <f>_xlfn.XLOOKUP(B9032,Ingot!$H$12:$H$119,Ingot!$G$12:$G$119,"")</f>
        <v>Leather</v>
      </c>
      <c r="B9032" t="s">
        <v>17942</v>
      </c>
      <c r="C9032" t="s">
        <v>157</v>
      </c>
      <c r="D9032" t="s">
        <v>18153</v>
      </c>
      <c r="E9032" t="s">
        <v>18154</v>
      </c>
      <c r="G9032" s="1">
        <v>5</v>
      </c>
    </row>
    <row r="9033" spans="1:7" ht="14.25" customHeight="1" x14ac:dyDescent="0.45">
      <c r="A9033" t="str">
        <f>_xlfn.XLOOKUP(B9033,Ingot!$H$12:$H$119,Ingot!$G$12:$G$119,"")</f>
        <v>Leather</v>
      </c>
      <c r="B9033" t="s">
        <v>17942</v>
      </c>
      <c r="C9033" t="s">
        <v>157</v>
      </c>
      <c r="D9033" t="s">
        <v>18155</v>
      </c>
      <c r="E9033" t="s">
        <v>18156</v>
      </c>
      <c r="G9033" s="1">
        <v>5</v>
      </c>
    </row>
    <row r="9034" spans="1:7" ht="14.25" customHeight="1" x14ac:dyDescent="0.45">
      <c r="A9034" t="str">
        <f>_xlfn.XLOOKUP(B9034,Ingot!$H$12:$H$119,Ingot!$G$12:$G$119,"")</f>
        <v>Leather</v>
      </c>
      <c r="B9034" t="s">
        <v>17942</v>
      </c>
      <c r="C9034" t="s">
        <v>157</v>
      </c>
      <c r="D9034" t="s">
        <v>18157</v>
      </c>
      <c r="E9034" t="s">
        <v>18158</v>
      </c>
      <c r="G9034" s="1">
        <v>10</v>
      </c>
    </row>
    <row r="9035" spans="1:7" ht="14.25" customHeight="1" x14ac:dyDescent="0.45">
      <c r="A9035" t="str">
        <f>_xlfn.XLOOKUP(B9035,Ingot!$H$12:$H$119,Ingot!$G$12:$G$119,"")</f>
        <v>Leather</v>
      </c>
      <c r="B9035" t="s">
        <v>17942</v>
      </c>
      <c r="C9035" t="s">
        <v>157</v>
      </c>
      <c r="D9035" t="s">
        <v>18159</v>
      </c>
      <c r="E9035" t="s">
        <v>18160</v>
      </c>
      <c r="G9035" s="1">
        <v>13.8</v>
      </c>
    </row>
    <row r="9036" spans="1:7" ht="14.25" customHeight="1" x14ac:dyDescent="0.45">
      <c r="A9036" t="str">
        <f>_xlfn.XLOOKUP(B9036,Ingot!$H$12:$H$119,Ingot!$G$12:$G$119,"")</f>
        <v>Leather</v>
      </c>
      <c r="B9036" t="s">
        <v>17942</v>
      </c>
      <c r="C9036" t="s">
        <v>157</v>
      </c>
      <c r="D9036" t="s">
        <v>18161</v>
      </c>
      <c r="E9036" t="s">
        <v>18162</v>
      </c>
      <c r="G9036" s="1">
        <v>5</v>
      </c>
    </row>
    <row r="9037" spans="1:7" ht="14.25" customHeight="1" x14ac:dyDescent="0.45">
      <c r="A9037" t="str">
        <f>_xlfn.XLOOKUP(B9037,Ingot!$H$12:$H$119,Ingot!$G$12:$G$119,"")</f>
        <v>Leather</v>
      </c>
      <c r="B9037" t="s">
        <v>17942</v>
      </c>
      <c r="C9037" t="s">
        <v>157</v>
      </c>
      <c r="D9037" t="s">
        <v>18163</v>
      </c>
      <c r="E9037" t="s">
        <v>18164</v>
      </c>
      <c r="G9037" s="1">
        <v>5</v>
      </c>
    </row>
    <row r="9038" spans="1:7" ht="14.25" customHeight="1" x14ac:dyDescent="0.45">
      <c r="A9038" t="str">
        <f>_xlfn.XLOOKUP(B9038,Ingot!$H$12:$H$119,Ingot!$G$12:$G$119,"")</f>
        <v>Leather</v>
      </c>
      <c r="B9038" t="s">
        <v>17942</v>
      </c>
      <c r="C9038" t="s">
        <v>157</v>
      </c>
      <c r="D9038" t="s">
        <v>18165</v>
      </c>
      <c r="E9038" t="s">
        <v>18166</v>
      </c>
      <c r="G9038" s="1">
        <v>5</v>
      </c>
    </row>
    <row r="9039" spans="1:7" ht="14.25" customHeight="1" x14ac:dyDescent="0.45">
      <c r="A9039" t="str">
        <f>_xlfn.XLOOKUP(B9039,Ingot!$H$12:$H$119,Ingot!$G$12:$G$119,"")</f>
        <v>Leather</v>
      </c>
      <c r="B9039" t="s">
        <v>17942</v>
      </c>
      <c r="C9039" t="s">
        <v>157</v>
      </c>
      <c r="D9039" t="s">
        <v>18167</v>
      </c>
      <c r="E9039" t="s">
        <v>18168</v>
      </c>
      <c r="G9039" s="1">
        <v>10</v>
      </c>
    </row>
    <row r="9040" spans="1:7" ht="14.25" customHeight="1" x14ac:dyDescent="0.45">
      <c r="A9040" t="str">
        <f>_xlfn.XLOOKUP(B9040,Ingot!$H$12:$H$119,Ingot!$G$12:$G$119,"")</f>
        <v>Leather</v>
      </c>
      <c r="B9040" t="s">
        <v>17942</v>
      </c>
      <c r="C9040" t="s">
        <v>239</v>
      </c>
      <c r="D9040" t="s">
        <v>18169</v>
      </c>
      <c r="E9040" t="s">
        <v>18170</v>
      </c>
    </row>
    <row r="9041" spans="1:7" ht="14.25" customHeight="1" x14ac:dyDescent="0.45">
      <c r="A9041" t="str">
        <f>_xlfn.XLOOKUP(B9041,Ingot!$H$12:$H$119,Ingot!$G$12:$G$119,"")</f>
        <v>Leather</v>
      </c>
      <c r="B9041" t="s">
        <v>17942</v>
      </c>
      <c r="C9041" t="s">
        <v>239</v>
      </c>
      <c r="D9041" t="s">
        <v>18171</v>
      </c>
      <c r="E9041" t="s">
        <v>18172</v>
      </c>
    </row>
    <row r="9042" spans="1:7" ht="14.25" customHeight="1" x14ac:dyDescent="0.45">
      <c r="A9042" t="str">
        <f>_xlfn.XLOOKUP(B9042,Ingot!$H$12:$H$119,Ingot!$G$12:$G$119,"")</f>
        <v>Leather</v>
      </c>
      <c r="B9042" t="s">
        <v>17942</v>
      </c>
      <c r="C9042" t="s">
        <v>239</v>
      </c>
      <c r="D9042" t="s">
        <v>18173</v>
      </c>
      <c r="E9042" t="s">
        <v>18174</v>
      </c>
    </row>
    <row r="9043" spans="1:7" ht="14.25" customHeight="1" x14ac:dyDescent="0.45">
      <c r="A9043" t="str">
        <f>_xlfn.XLOOKUP(B9043,Ingot!$H$12:$H$119,Ingot!$G$12:$G$119,"")</f>
        <v>Leather</v>
      </c>
      <c r="B9043" t="s">
        <v>17942</v>
      </c>
      <c r="C9043" t="s">
        <v>239</v>
      </c>
      <c r="D9043" t="s">
        <v>18175</v>
      </c>
      <c r="E9043" t="s">
        <v>18176</v>
      </c>
    </row>
    <row r="9044" spans="1:7" ht="14.25" customHeight="1" x14ac:dyDescent="0.45">
      <c r="A9044" t="str">
        <f>_xlfn.XLOOKUP(B9044,Ingot!$H$12:$H$119,Ingot!$G$12:$G$119,"")</f>
        <v>Leather</v>
      </c>
      <c r="B9044" t="s">
        <v>17942</v>
      </c>
      <c r="C9044" t="s">
        <v>239</v>
      </c>
      <c r="D9044" t="s">
        <v>18177</v>
      </c>
      <c r="E9044" t="s">
        <v>18178</v>
      </c>
    </row>
    <row r="9045" spans="1:7" ht="14.25" customHeight="1" x14ac:dyDescent="0.45">
      <c r="A9045" t="str">
        <f>_xlfn.XLOOKUP(B9045,Ingot!$H$12:$H$119,Ingot!$G$12:$G$119,"")</f>
        <v>Leather</v>
      </c>
      <c r="B9045" t="s">
        <v>17942</v>
      </c>
      <c r="C9045" t="s">
        <v>239</v>
      </c>
      <c r="D9045" t="s">
        <v>18179</v>
      </c>
      <c r="E9045" t="s">
        <v>18180</v>
      </c>
    </row>
    <row r="9046" spans="1:7" ht="14.25" customHeight="1" x14ac:dyDescent="0.45">
      <c r="A9046" t="str">
        <f>_xlfn.XLOOKUP(B9046,Ingot!$H$12:$H$119,Ingot!$G$12:$G$119,"")</f>
        <v>Leather</v>
      </c>
      <c r="B9046" t="s">
        <v>18181</v>
      </c>
      <c r="C9046" t="s">
        <v>10</v>
      </c>
      <c r="D9046" t="s">
        <v>18182</v>
      </c>
      <c r="E9046" t="s">
        <v>18183</v>
      </c>
      <c r="G9046" s="1">
        <v>0.08</v>
      </c>
    </row>
    <row r="9047" spans="1:7" ht="14.25" customHeight="1" x14ac:dyDescent="0.45">
      <c r="A9047" t="str">
        <f>_xlfn.XLOOKUP(B9047,Ingot!$H$12:$H$119,Ingot!$G$12:$G$119,"")</f>
        <v>Leather</v>
      </c>
      <c r="B9047" t="s">
        <v>18181</v>
      </c>
      <c r="C9047" t="s">
        <v>10</v>
      </c>
      <c r="D9047" t="s">
        <v>18184</v>
      </c>
      <c r="E9047" t="s">
        <v>18185</v>
      </c>
      <c r="G9047" s="1">
        <v>9.9</v>
      </c>
    </row>
    <row r="9048" spans="1:7" ht="14.25" customHeight="1" x14ac:dyDescent="0.45">
      <c r="A9048" t="str">
        <f>_xlfn.XLOOKUP(B9048,Ingot!$H$12:$H$119,Ingot!$G$12:$G$119,"")</f>
        <v>Leather</v>
      </c>
      <c r="B9048" t="s">
        <v>18181</v>
      </c>
      <c r="C9048" t="s">
        <v>10</v>
      </c>
      <c r="D9048" t="s">
        <v>18186</v>
      </c>
      <c r="E9048" t="s">
        <v>18187</v>
      </c>
      <c r="G9048" s="1">
        <v>5.66</v>
      </c>
    </row>
    <row r="9049" spans="1:7" ht="14.25" customHeight="1" x14ac:dyDescent="0.45">
      <c r="A9049" t="str">
        <f>_xlfn.XLOOKUP(B9049,Ingot!$H$12:$H$119,Ingot!$G$12:$G$119,"")</f>
        <v>Leather</v>
      </c>
      <c r="B9049" t="s">
        <v>18181</v>
      </c>
      <c r="C9049" t="s">
        <v>10</v>
      </c>
      <c r="D9049" t="s">
        <v>18188</v>
      </c>
      <c r="E9049" t="s">
        <v>18189</v>
      </c>
      <c r="G9049" s="1">
        <v>3.3</v>
      </c>
    </row>
    <row r="9050" spans="1:7" ht="14.25" customHeight="1" x14ac:dyDescent="0.45">
      <c r="A9050" t="str">
        <f>_xlfn.XLOOKUP(B9050,Ingot!$H$12:$H$119,Ingot!$G$12:$G$119,"")</f>
        <v>Leather</v>
      </c>
      <c r="B9050" t="s">
        <v>18181</v>
      </c>
      <c r="C9050" t="s">
        <v>10</v>
      </c>
      <c r="D9050" t="s">
        <v>18190</v>
      </c>
      <c r="E9050" t="s">
        <v>18191</v>
      </c>
      <c r="G9050" s="1">
        <v>0.66</v>
      </c>
    </row>
    <row r="9051" spans="1:7" ht="14.25" customHeight="1" x14ac:dyDescent="0.45">
      <c r="A9051" t="str">
        <f>_xlfn.XLOOKUP(B9051,Ingot!$H$12:$H$119,Ingot!$G$12:$G$119,"")</f>
        <v>Leather</v>
      </c>
      <c r="B9051" t="s">
        <v>18181</v>
      </c>
      <c r="C9051" t="s">
        <v>10</v>
      </c>
      <c r="D9051" t="s">
        <v>18192</v>
      </c>
      <c r="E9051" t="s">
        <v>18193</v>
      </c>
      <c r="G9051" s="1">
        <v>0.04</v>
      </c>
    </row>
    <row r="9052" spans="1:7" ht="14.25" customHeight="1" x14ac:dyDescent="0.45">
      <c r="A9052" t="str">
        <f>_xlfn.XLOOKUP(B9052,Ingot!$H$12:$H$119,Ingot!$G$12:$G$119,"")</f>
        <v>Leather</v>
      </c>
      <c r="B9052" t="s">
        <v>18181</v>
      </c>
      <c r="C9052" t="s">
        <v>10</v>
      </c>
      <c r="D9052" t="s">
        <v>18194</v>
      </c>
      <c r="E9052" t="s">
        <v>18195</v>
      </c>
      <c r="G9052" s="1">
        <v>0.33</v>
      </c>
    </row>
    <row r="9053" spans="1:7" ht="14.25" customHeight="1" x14ac:dyDescent="0.45">
      <c r="A9053" t="str">
        <f>_xlfn.XLOOKUP(B9053,Ingot!$H$12:$H$119,Ingot!$G$12:$G$119,"")</f>
        <v>Leather</v>
      </c>
      <c r="B9053" t="s">
        <v>18181</v>
      </c>
      <c r="C9053" t="s">
        <v>10</v>
      </c>
      <c r="D9053" t="s">
        <v>18196</v>
      </c>
      <c r="E9053" t="s">
        <v>18197</v>
      </c>
    </row>
    <row r="9054" spans="1:7" ht="14.25" customHeight="1" x14ac:dyDescent="0.45">
      <c r="A9054" t="str">
        <f>_xlfn.XLOOKUP(B9054,Ingot!$H$12:$H$119,Ingot!$G$12:$G$119,"")</f>
        <v>Leather</v>
      </c>
      <c r="B9054" t="s">
        <v>18181</v>
      </c>
      <c r="C9054" t="s">
        <v>10</v>
      </c>
      <c r="D9054" t="s">
        <v>18198</v>
      </c>
      <c r="E9054" t="s">
        <v>18199</v>
      </c>
      <c r="G9054" s="1">
        <v>0.05</v>
      </c>
    </row>
    <row r="9055" spans="1:7" ht="14.25" customHeight="1" x14ac:dyDescent="0.45">
      <c r="A9055" t="str">
        <f>_xlfn.XLOOKUP(B9055,Ingot!$H$12:$H$119,Ingot!$G$12:$G$119,"")</f>
        <v>Leather</v>
      </c>
      <c r="B9055" t="s">
        <v>18181</v>
      </c>
      <c r="C9055" t="s">
        <v>10</v>
      </c>
      <c r="D9055" t="s">
        <v>18200</v>
      </c>
      <c r="E9055" t="s">
        <v>18201</v>
      </c>
      <c r="G9055" s="1">
        <v>0.66</v>
      </c>
    </row>
    <row r="9056" spans="1:7" ht="14.25" customHeight="1" x14ac:dyDescent="0.45">
      <c r="A9056" t="str">
        <f>_xlfn.XLOOKUP(B9056,Ingot!$H$12:$H$119,Ingot!$G$12:$G$119,"")</f>
        <v>Leather</v>
      </c>
      <c r="B9056" t="s">
        <v>18181</v>
      </c>
      <c r="C9056" t="s">
        <v>10</v>
      </c>
      <c r="D9056" t="s">
        <v>18202</v>
      </c>
      <c r="E9056" t="s">
        <v>18203</v>
      </c>
      <c r="G9056" s="1">
        <v>3.96</v>
      </c>
    </row>
    <row r="9057" spans="1:7" ht="14.25" customHeight="1" x14ac:dyDescent="0.45">
      <c r="A9057" t="str">
        <f>_xlfn.XLOOKUP(B9057,Ingot!$H$12:$H$119,Ingot!$G$12:$G$119,"")</f>
        <v>Leather</v>
      </c>
      <c r="B9057" t="s">
        <v>18181</v>
      </c>
      <c r="C9057" t="s">
        <v>10</v>
      </c>
      <c r="D9057" t="s">
        <v>18204</v>
      </c>
      <c r="E9057" t="s">
        <v>18205</v>
      </c>
      <c r="G9057" s="1">
        <v>8.77</v>
      </c>
    </row>
    <row r="9058" spans="1:7" ht="14.25" customHeight="1" x14ac:dyDescent="0.45">
      <c r="A9058" t="str">
        <f>_xlfn.XLOOKUP(B9058,Ingot!$H$12:$H$119,Ingot!$G$12:$G$119,"")</f>
        <v>Leather</v>
      </c>
      <c r="B9058" t="s">
        <v>18181</v>
      </c>
      <c r="C9058" t="s">
        <v>10</v>
      </c>
      <c r="D9058" t="s">
        <v>18206</v>
      </c>
      <c r="E9058" t="s">
        <v>18207</v>
      </c>
      <c r="G9058" s="1">
        <v>3.5</v>
      </c>
    </row>
    <row r="9059" spans="1:7" ht="14.25" customHeight="1" x14ac:dyDescent="0.45">
      <c r="A9059" t="str">
        <f>_xlfn.XLOOKUP(B9059,Ingot!$H$12:$H$119,Ingot!$G$12:$G$119,"")</f>
        <v>Leather</v>
      </c>
      <c r="B9059" t="s">
        <v>18181</v>
      </c>
      <c r="C9059" t="s">
        <v>10</v>
      </c>
      <c r="D9059" t="s">
        <v>18208</v>
      </c>
      <c r="E9059" t="s">
        <v>18209</v>
      </c>
    </row>
    <row r="9060" spans="1:7" ht="14.25" customHeight="1" x14ac:dyDescent="0.45">
      <c r="A9060" t="str">
        <f>_xlfn.XLOOKUP(B9060,Ingot!$H$12:$H$119,Ingot!$G$12:$G$119,"")</f>
        <v>Leather</v>
      </c>
      <c r="B9060" t="s">
        <v>18181</v>
      </c>
      <c r="C9060" t="s">
        <v>10</v>
      </c>
      <c r="D9060" t="s">
        <v>18210</v>
      </c>
      <c r="E9060" t="s">
        <v>18211</v>
      </c>
      <c r="G9060" s="1">
        <v>2.2000000000000002</v>
      </c>
    </row>
    <row r="9061" spans="1:7" ht="14.25" customHeight="1" x14ac:dyDescent="0.45">
      <c r="A9061" t="str">
        <f>_xlfn.XLOOKUP(B9061,Ingot!$H$12:$H$119,Ingot!$G$12:$G$119,"")</f>
        <v>Leather</v>
      </c>
      <c r="B9061" t="s">
        <v>18181</v>
      </c>
      <c r="C9061" t="s">
        <v>10</v>
      </c>
      <c r="D9061" t="s">
        <v>18212</v>
      </c>
      <c r="E9061" t="s">
        <v>18213</v>
      </c>
      <c r="G9061" s="1">
        <v>1.1000000000000001</v>
      </c>
    </row>
    <row r="9062" spans="1:7" ht="14.25" customHeight="1" x14ac:dyDescent="0.45">
      <c r="A9062" t="str">
        <f>_xlfn.XLOOKUP(B9062,Ingot!$H$12:$H$119,Ingot!$G$12:$G$119,"")</f>
        <v>Leather</v>
      </c>
      <c r="B9062" t="s">
        <v>18181</v>
      </c>
      <c r="C9062" t="s">
        <v>10</v>
      </c>
      <c r="D9062" t="s">
        <v>18214</v>
      </c>
      <c r="E9062" t="s">
        <v>18215</v>
      </c>
      <c r="G9062" s="1">
        <v>0.22</v>
      </c>
    </row>
    <row r="9063" spans="1:7" ht="14.25" customHeight="1" x14ac:dyDescent="0.45">
      <c r="A9063" t="str">
        <f>_xlfn.XLOOKUP(B9063,Ingot!$H$12:$H$119,Ingot!$G$12:$G$119,"")</f>
        <v>Leather</v>
      </c>
      <c r="B9063" t="s">
        <v>18181</v>
      </c>
      <c r="C9063" t="s">
        <v>10</v>
      </c>
      <c r="D9063" t="s">
        <v>18216</v>
      </c>
      <c r="E9063" t="s">
        <v>18217</v>
      </c>
      <c r="G9063" s="1">
        <v>8.41</v>
      </c>
    </row>
    <row r="9064" spans="1:7" ht="14.25" customHeight="1" x14ac:dyDescent="0.45">
      <c r="A9064" t="str">
        <f>_xlfn.XLOOKUP(B9064,Ingot!$H$12:$H$119,Ingot!$G$12:$G$119,"")</f>
        <v>Leather</v>
      </c>
      <c r="B9064" t="s">
        <v>18181</v>
      </c>
      <c r="C9064" t="s">
        <v>10</v>
      </c>
      <c r="D9064" t="s">
        <v>18218</v>
      </c>
      <c r="E9064" t="s">
        <v>18219</v>
      </c>
      <c r="G9064" s="1">
        <v>3.64</v>
      </c>
    </row>
    <row r="9065" spans="1:7" ht="14.25" customHeight="1" x14ac:dyDescent="0.45">
      <c r="A9065" t="str">
        <f>_xlfn.XLOOKUP(B9065,Ingot!$H$12:$H$119,Ingot!$G$12:$G$119,"")</f>
        <v>Leather</v>
      </c>
      <c r="B9065" t="s">
        <v>18181</v>
      </c>
      <c r="C9065" t="s">
        <v>10</v>
      </c>
      <c r="D9065" t="s">
        <v>18220</v>
      </c>
      <c r="E9065" t="s">
        <v>18221</v>
      </c>
      <c r="G9065" s="1">
        <v>7.05</v>
      </c>
    </row>
    <row r="9066" spans="1:7" ht="14.25" customHeight="1" x14ac:dyDescent="0.45">
      <c r="A9066" t="str">
        <f>_xlfn.XLOOKUP(B9066,Ingot!$H$12:$H$119,Ingot!$G$12:$G$119,"")</f>
        <v>Leather</v>
      </c>
      <c r="B9066" t="s">
        <v>18181</v>
      </c>
      <c r="C9066" t="s">
        <v>10</v>
      </c>
      <c r="D9066" t="s">
        <v>18222</v>
      </c>
      <c r="E9066" t="s">
        <v>18223</v>
      </c>
      <c r="G9066" s="1">
        <v>2.65</v>
      </c>
    </row>
    <row r="9067" spans="1:7" ht="14.25" customHeight="1" x14ac:dyDescent="0.45">
      <c r="A9067" t="str">
        <f>_xlfn.XLOOKUP(B9067,Ingot!$H$12:$H$119,Ingot!$G$12:$G$119,"")</f>
        <v>Leather</v>
      </c>
      <c r="B9067" t="s">
        <v>18181</v>
      </c>
      <c r="C9067" t="s">
        <v>10</v>
      </c>
      <c r="D9067" t="s">
        <v>18224</v>
      </c>
      <c r="E9067" t="s">
        <v>18225</v>
      </c>
      <c r="G9067" s="1">
        <v>9</v>
      </c>
    </row>
    <row r="9068" spans="1:7" ht="14.25" customHeight="1" x14ac:dyDescent="0.45">
      <c r="A9068" t="str">
        <f>_xlfn.XLOOKUP(B9068,Ingot!$H$12:$H$119,Ingot!$G$12:$G$119,"")</f>
        <v>Leather</v>
      </c>
      <c r="B9068" t="s">
        <v>18181</v>
      </c>
      <c r="C9068" t="s">
        <v>10</v>
      </c>
      <c r="D9068" t="s">
        <v>18226</v>
      </c>
      <c r="E9068" t="s">
        <v>18227</v>
      </c>
      <c r="G9068" s="1">
        <v>10.23</v>
      </c>
    </row>
    <row r="9069" spans="1:7" ht="14.25" customHeight="1" x14ac:dyDescent="0.45">
      <c r="A9069" t="str">
        <f>_xlfn.XLOOKUP(B9069,Ingot!$H$12:$H$119,Ingot!$G$12:$G$119,"")</f>
        <v>Leather</v>
      </c>
      <c r="B9069" t="s">
        <v>18181</v>
      </c>
      <c r="C9069" t="s">
        <v>10</v>
      </c>
      <c r="D9069" t="s">
        <v>18228</v>
      </c>
      <c r="E9069" t="s">
        <v>18229</v>
      </c>
      <c r="G9069" s="1">
        <v>7.7</v>
      </c>
    </row>
    <row r="9070" spans="1:7" ht="14.25" customHeight="1" x14ac:dyDescent="0.45">
      <c r="A9070" t="str">
        <f>_xlfn.XLOOKUP(B9070,Ingot!$H$12:$H$119,Ingot!$G$12:$G$119,"")</f>
        <v>Leather</v>
      </c>
      <c r="B9070" t="s">
        <v>18181</v>
      </c>
      <c r="C9070" t="s">
        <v>10</v>
      </c>
      <c r="D9070" t="s">
        <v>18230</v>
      </c>
      <c r="E9070" t="s">
        <v>18231</v>
      </c>
      <c r="G9070" s="1">
        <v>10.02</v>
      </c>
    </row>
    <row r="9071" spans="1:7" ht="14.25" customHeight="1" x14ac:dyDescent="0.45">
      <c r="A9071" t="str">
        <f>_xlfn.XLOOKUP(B9071,Ingot!$H$12:$H$119,Ingot!$G$12:$G$119,"")</f>
        <v>Leather</v>
      </c>
      <c r="B9071" t="s">
        <v>18181</v>
      </c>
      <c r="C9071" t="s">
        <v>10</v>
      </c>
      <c r="D9071" t="s">
        <v>18232</v>
      </c>
      <c r="E9071" t="s">
        <v>18233</v>
      </c>
      <c r="G9071" s="1">
        <v>11.81</v>
      </c>
    </row>
    <row r="9072" spans="1:7" ht="14.25" customHeight="1" x14ac:dyDescent="0.45">
      <c r="A9072" t="str">
        <f>_xlfn.XLOOKUP(B9072,Ingot!$H$12:$H$119,Ingot!$G$12:$G$119,"")</f>
        <v>Leather</v>
      </c>
      <c r="B9072" t="s">
        <v>18181</v>
      </c>
      <c r="C9072" t="s">
        <v>10</v>
      </c>
      <c r="D9072" t="s">
        <v>18234</v>
      </c>
      <c r="E9072" t="s">
        <v>18235</v>
      </c>
      <c r="G9072" s="1">
        <v>8.44</v>
      </c>
    </row>
    <row r="9073" spans="1:7" ht="14.25" customHeight="1" x14ac:dyDescent="0.45">
      <c r="A9073" t="str">
        <f>_xlfn.XLOOKUP(B9073,Ingot!$H$12:$H$119,Ingot!$G$12:$G$119,"")</f>
        <v>Leather</v>
      </c>
      <c r="B9073" t="s">
        <v>18181</v>
      </c>
      <c r="C9073" t="s">
        <v>10</v>
      </c>
      <c r="D9073" t="s">
        <v>18236</v>
      </c>
      <c r="E9073" t="s">
        <v>18237</v>
      </c>
      <c r="G9073" s="1">
        <v>10.42</v>
      </c>
    </row>
    <row r="9074" spans="1:7" ht="14.25" customHeight="1" x14ac:dyDescent="0.45">
      <c r="A9074" t="str">
        <f>_xlfn.XLOOKUP(B9074,Ingot!$H$12:$H$119,Ingot!$G$12:$G$119,"")</f>
        <v>Leather</v>
      </c>
      <c r="B9074" t="s">
        <v>18181</v>
      </c>
      <c r="C9074" t="s">
        <v>10</v>
      </c>
      <c r="D9074" t="s">
        <v>18238</v>
      </c>
      <c r="E9074" t="s">
        <v>18239</v>
      </c>
    </row>
    <row r="9075" spans="1:7" ht="14.25" customHeight="1" x14ac:dyDescent="0.45">
      <c r="A9075" t="str">
        <f>_xlfn.XLOOKUP(B9075,Ingot!$H$12:$H$119,Ingot!$G$12:$G$119,"")</f>
        <v>Leather</v>
      </c>
      <c r="B9075" t="s">
        <v>18181</v>
      </c>
      <c r="C9075" t="s">
        <v>10</v>
      </c>
      <c r="D9075" t="s">
        <v>18240</v>
      </c>
      <c r="E9075" t="s">
        <v>18241</v>
      </c>
      <c r="G9075" s="1">
        <v>7.96</v>
      </c>
    </row>
    <row r="9076" spans="1:7" ht="14.25" customHeight="1" x14ac:dyDescent="0.45">
      <c r="A9076" t="str">
        <f>_xlfn.XLOOKUP(B9076,Ingot!$H$12:$H$119,Ingot!$G$12:$G$119,"")</f>
        <v>Leather</v>
      </c>
      <c r="B9076" t="s">
        <v>18181</v>
      </c>
      <c r="C9076" t="s">
        <v>10</v>
      </c>
      <c r="D9076" t="s">
        <v>18242</v>
      </c>
      <c r="E9076" t="s">
        <v>18243</v>
      </c>
      <c r="G9076" s="1">
        <v>9.64</v>
      </c>
    </row>
    <row r="9077" spans="1:7" ht="14.25" customHeight="1" x14ac:dyDescent="0.45">
      <c r="A9077" t="str">
        <f>_xlfn.XLOOKUP(B9077,Ingot!$H$12:$H$119,Ingot!$G$12:$G$119,"")</f>
        <v>Leather</v>
      </c>
      <c r="B9077" t="s">
        <v>18181</v>
      </c>
      <c r="C9077" t="s">
        <v>10</v>
      </c>
      <c r="D9077" t="s">
        <v>18244</v>
      </c>
      <c r="E9077" t="s">
        <v>18245</v>
      </c>
      <c r="G9077" s="1">
        <v>7.94</v>
      </c>
    </row>
    <row r="9078" spans="1:7" ht="14.25" customHeight="1" x14ac:dyDescent="0.45">
      <c r="A9078" t="str">
        <f>_xlfn.XLOOKUP(B9078,Ingot!$H$12:$H$119,Ingot!$G$12:$G$119,"")</f>
        <v>Leather</v>
      </c>
      <c r="B9078" t="s">
        <v>18181</v>
      </c>
      <c r="C9078" t="s">
        <v>10</v>
      </c>
      <c r="D9078" t="s">
        <v>18246</v>
      </c>
      <c r="E9078" t="s">
        <v>18247</v>
      </c>
      <c r="G9078" s="1">
        <v>8.66</v>
      </c>
    </row>
    <row r="9079" spans="1:7" ht="14.25" customHeight="1" x14ac:dyDescent="0.45">
      <c r="A9079" t="str">
        <f>_xlfn.XLOOKUP(B9079,Ingot!$H$12:$H$119,Ingot!$G$12:$G$119,"")</f>
        <v>Leather</v>
      </c>
      <c r="B9079" t="s">
        <v>18181</v>
      </c>
      <c r="C9079" t="s">
        <v>10</v>
      </c>
      <c r="D9079" t="s">
        <v>18248</v>
      </c>
      <c r="E9079" t="s">
        <v>18249</v>
      </c>
    </row>
    <row r="9080" spans="1:7" ht="14.25" customHeight="1" x14ac:dyDescent="0.45">
      <c r="A9080" t="str">
        <f>_xlfn.XLOOKUP(B9080,Ingot!$H$12:$H$119,Ingot!$G$12:$G$119,"")</f>
        <v>Leather</v>
      </c>
      <c r="B9080" t="s">
        <v>18181</v>
      </c>
      <c r="C9080" t="s">
        <v>10</v>
      </c>
      <c r="D9080" t="s">
        <v>18250</v>
      </c>
      <c r="E9080" t="s">
        <v>18251</v>
      </c>
      <c r="G9080" s="1">
        <v>2.65</v>
      </c>
    </row>
    <row r="9081" spans="1:7" ht="14.25" customHeight="1" x14ac:dyDescent="0.45">
      <c r="A9081" t="str">
        <f>_xlfn.XLOOKUP(B9081,Ingot!$H$12:$H$119,Ingot!$G$12:$G$119,"")</f>
        <v>Leather</v>
      </c>
      <c r="B9081" t="s">
        <v>18181</v>
      </c>
      <c r="C9081" t="s">
        <v>10</v>
      </c>
      <c r="D9081" t="s">
        <v>18252</v>
      </c>
      <c r="E9081" t="s">
        <v>18253</v>
      </c>
    </row>
    <row r="9082" spans="1:7" ht="14.25" customHeight="1" x14ac:dyDescent="0.45">
      <c r="A9082" t="str">
        <f>_xlfn.XLOOKUP(B9082,Ingot!$H$12:$H$119,Ingot!$G$12:$G$119,"")</f>
        <v>Leather</v>
      </c>
      <c r="B9082" t="s">
        <v>18181</v>
      </c>
      <c r="C9082" t="s">
        <v>10</v>
      </c>
      <c r="D9082" t="s">
        <v>18254</v>
      </c>
      <c r="E9082" t="s">
        <v>18255</v>
      </c>
      <c r="G9082" s="1">
        <v>12.64</v>
      </c>
    </row>
    <row r="9083" spans="1:7" ht="14.25" customHeight="1" x14ac:dyDescent="0.45">
      <c r="A9083" t="str">
        <f>_xlfn.XLOOKUP(B9083,Ingot!$H$12:$H$119,Ingot!$G$12:$G$119,"")</f>
        <v>Leather</v>
      </c>
      <c r="B9083" t="s">
        <v>18181</v>
      </c>
      <c r="C9083" t="s">
        <v>10</v>
      </c>
      <c r="D9083" t="s">
        <v>18256</v>
      </c>
      <c r="E9083" t="s">
        <v>18257</v>
      </c>
      <c r="G9083" s="1">
        <v>22.67</v>
      </c>
    </row>
    <row r="9084" spans="1:7" ht="14.25" customHeight="1" x14ac:dyDescent="0.45">
      <c r="A9084" t="str">
        <f>_xlfn.XLOOKUP(B9084,Ingot!$H$12:$H$119,Ingot!$G$12:$G$119,"")</f>
        <v>Leather</v>
      </c>
      <c r="B9084" t="s">
        <v>18181</v>
      </c>
      <c r="C9084" t="s">
        <v>10</v>
      </c>
      <c r="D9084" t="s">
        <v>18258</v>
      </c>
      <c r="E9084" t="s">
        <v>18259</v>
      </c>
      <c r="G9084" s="1">
        <v>8.3800000000000008</v>
      </c>
    </row>
    <row r="9085" spans="1:7" ht="14.25" customHeight="1" x14ac:dyDescent="0.45">
      <c r="A9085" t="str">
        <f>_xlfn.XLOOKUP(B9085,Ingot!$H$12:$H$119,Ingot!$G$12:$G$119,"")</f>
        <v>Leather</v>
      </c>
      <c r="B9085" t="s">
        <v>18181</v>
      </c>
      <c r="C9085" t="s">
        <v>10</v>
      </c>
      <c r="D9085" t="s">
        <v>18260</v>
      </c>
      <c r="E9085" t="s">
        <v>18261</v>
      </c>
      <c r="G9085" s="1">
        <v>2.2000000000000002</v>
      </c>
    </row>
    <row r="9086" spans="1:7" ht="14.25" customHeight="1" x14ac:dyDescent="0.45">
      <c r="A9086" t="str">
        <f>_xlfn.XLOOKUP(B9086,Ingot!$H$12:$H$119,Ingot!$G$12:$G$119,"")</f>
        <v>Leather</v>
      </c>
      <c r="B9086" t="s">
        <v>18181</v>
      </c>
      <c r="C9086" t="s">
        <v>10</v>
      </c>
      <c r="D9086" t="s">
        <v>18262</v>
      </c>
      <c r="E9086" t="s">
        <v>18263</v>
      </c>
      <c r="G9086" s="1">
        <v>3.09</v>
      </c>
    </row>
    <row r="9087" spans="1:7" ht="14.25" customHeight="1" x14ac:dyDescent="0.45">
      <c r="A9087" t="str">
        <f>_xlfn.XLOOKUP(B9087,Ingot!$H$12:$H$119,Ingot!$G$12:$G$119,"")</f>
        <v>Leather</v>
      </c>
      <c r="B9087" t="s">
        <v>18181</v>
      </c>
      <c r="C9087" t="s">
        <v>10</v>
      </c>
      <c r="D9087" t="s">
        <v>18264</v>
      </c>
      <c r="E9087" t="s">
        <v>18265</v>
      </c>
      <c r="G9087" s="1">
        <v>2.2999999999999998</v>
      </c>
    </row>
    <row r="9088" spans="1:7" ht="14.25" customHeight="1" x14ac:dyDescent="0.45">
      <c r="A9088" t="str">
        <f>_xlfn.XLOOKUP(B9088,Ingot!$H$12:$H$119,Ingot!$G$12:$G$119,"")</f>
        <v>Leather</v>
      </c>
      <c r="B9088" t="s">
        <v>18181</v>
      </c>
      <c r="C9088" t="s">
        <v>10</v>
      </c>
      <c r="D9088" t="s">
        <v>18266</v>
      </c>
      <c r="E9088" t="s">
        <v>18267</v>
      </c>
      <c r="G9088" s="1">
        <v>4.88</v>
      </c>
    </row>
    <row r="9089" spans="1:7" ht="14.25" customHeight="1" x14ac:dyDescent="0.45">
      <c r="A9089" t="str">
        <f>_xlfn.XLOOKUP(B9089,Ingot!$H$12:$H$119,Ingot!$G$12:$G$119,"")</f>
        <v>Leather</v>
      </c>
      <c r="B9089" t="s">
        <v>18181</v>
      </c>
      <c r="C9089" t="s">
        <v>10</v>
      </c>
      <c r="D9089" t="s">
        <v>18268</v>
      </c>
      <c r="E9089" t="s">
        <v>18269</v>
      </c>
      <c r="G9089" s="1">
        <v>8.43</v>
      </c>
    </row>
    <row r="9090" spans="1:7" ht="14.25" customHeight="1" x14ac:dyDescent="0.45">
      <c r="A9090" t="str">
        <f>_xlfn.XLOOKUP(B9090,Ingot!$H$12:$H$119,Ingot!$G$12:$G$119,"")</f>
        <v>Leather</v>
      </c>
      <c r="B9090" t="s">
        <v>18181</v>
      </c>
      <c r="C9090" t="s">
        <v>10</v>
      </c>
      <c r="D9090" t="s">
        <v>18270</v>
      </c>
      <c r="E9090" t="s">
        <v>18271</v>
      </c>
      <c r="G9090" s="1">
        <v>13.07</v>
      </c>
    </row>
    <row r="9091" spans="1:7" ht="14.25" customHeight="1" x14ac:dyDescent="0.45">
      <c r="A9091" t="str">
        <f>_xlfn.XLOOKUP(B9091,Ingot!$H$12:$H$119,Ingot!$G$12:$G$119,"")</f>
        <v>Leather</v>
      </c>
      <c r="B9091" t="s">
        <v>18181</v>
      </c>
      <c r="C9091" t="s">
        <v>10</v>
      </c>
      <c r="D9091" t="s">
        <v>18272</v>
      </c>
      <c r="E9091" t="s">
        <v>18273</v>
      </c>
    </row>
    <row r="9092" spans="1:7" ht="14.25" customHeight="1" x14ac:dyDescent="0.45">
      <c r="A9092" t="str">
        <f>_xlfn.XLOOKUP(B9092,Ingot!$H$12:$H$119,Ingot!$G$12:$G$119,"")</f>
        <v>Leather</v>
      </c>
      <c r="B9092" t="s">
        <v>18181</v>
      </c>
      <c r="C9092" t="s">
        <v>10</v>
      </c>
      <c r="D9092" t="s">
        <v>18274</v>
      </c>
      <c r="E9092" t="s">
        <v>18275</v>
      </c>
    </row>
    <row r="9093" spans="1:7" ht="14.25" customHeight="1" x14ac:dyDescent="0.45">
      <c r="A9093" t="str">
        <f>_xlfn.XLOOKUP(B9093,Ingot!$H$12:$H$119,Ingot!$G$12:$G$119,"")</f>
        <v>Leather</v>
      </c>
      <c r="B9093" t="s">
        <v>18181</v>
      </c>
      <c r="C9093" t="s">
        <v>10</v>
      </c>
      <c r="D9093" t="s">
        <v>18276</v>
      </c>
      <c r="E9093" t="s">
        <v>18277</v>
      </c>
      <c r="G9093" s="1">
        <v>6.8</v>
      </c>
    </row>
    <row r="9094" spans="1:7" ht="14.25" customHeight="1" x14ac:dyDescent="0.45">
      <c r="A9094" t="str">
        <f>_xlfn.XLOOKUP(B9094,Ingot!$H$12:$H$119,Ingot!$G$12:$G$119,"")</f>
        <v>Leather</v>
      </c>
      <c r="B9094" t="s">
        <v>18181</v>
      </c>
      <c r="C9094" t="s">
        <v>10</v>
      </c>
      <c r="D9094" t="s">
        <v>18278</v>
      </c>
      <c r="E9094" t="s">
        <v>18279</v>
      </c>
      <c r="G9094" s="1">
        <v>6.88</v>
      </c>
    </row>
    <row r="9095" spans="1:7" ht="14.25" customHeight="1" x14ac:dyDescent="0.45">
      <c r="A9095" t="str">
        <f>_xlfn.XLOOKUP(B9095,Ingot!$H$12:$H$119,Ingot!$G$12:$G$119,"")</f>
        <v>Leather</v>
      </c>
      <c r="B9095" t="s">
        <v>18181</v>
      </c>
      <c r="C9095" t="s">
        <v>10</v>
      </c>
      <c r="D9095" t="s">
        <v>18280</v>
      </c>
      <c r="E9095" t="s">
        <v>18281</v>
      </c>
      <c r="G9095" s="1">
        <v>5.5</v>
      </c>
    </row>
    <row r="9096" spans="1:7" ht="14.25" customHeight="1" x14ac:dyDescent="0.45">
      <c r="A9096" t="str">
        <f>_xlfn.XLOOKUP(B9096,Ingot!$H$12:$H$119,Ingot!$G$12:$G$119,"")</f>
        <v>Leather</v>
      </c>
      <c r="B9096" t="s">
        <v>18181</v>
      </c>
      <c r="C9096" t="s">
        <v>10</v>
      </c>
      <c r="D9096" t="s">
        <v>18282</v>
      </c>
      <c r="E9096" t="s">
        <v>18283</v>
      </c>
      <c r="G9096" s="1">
        <v>2.4300000000000002</v>
      </c>
    </row>
    <row r="9097" spans="1:7" ht="14.25" customHeight="1" x14ac:dyDescent="0.45">
      <c r="A9097" t="str">
        <f>_xlfn.XLOOKUP(B9097,Ingot!$H$12:$H$119,Ingot!$G$12:$G$119,"")</f>
        <v>Leather</v>
      </c>
      <c r="B9097" t="s">
        <v>18181</v>
      </c>
      <c r="C9097" t="s">
        <v>10</v>
      </c>
      <c r="D9097" t="s">
        <v>18284</v>
      </c>
      <c r="E9097" t="s">
        <v>18285</v>
      </c>
      <c r="G9097" s="1">
        <v>6.96</v>
      </c>
    </row>
    <row r="9098" spans="1:7" ht="14.25" customHeight="1" x14ac:dyDescent="0.45">
      <c r="A9098" t="str">
        <f>_xlfn.XLOOKUP(B9098,Ingot!$H$12:$H$119,Ingot!$G$12:$G$119,"")</f>
        <v>Leather</v>
      </c>
      <c r="B9098" t="s">
        <v>18181</v>
      </c>
      <c r="C9098" t="s">
        <v>10</v>
      </c>
      <c r="D9098" t="s">
        <v>18286</v>
      </c>
      <c r="E9098" t="s">
        <v>18287</v>
      </c>
      <c r="G9098" s="1">
        <v>6.32</v>
      </c>
    </row>
    <row r="9099" spans="1:7" ht="14.25" customHeight="1" x14ac:dyDescent="0.45">
      <c r="A9099" t="str">
        <f>_xlfn.XLOOKUP(B9099,Ingot!$H$12:$H$119,Ingot!$G$12:$G$119,"")</f>
        <v>Leather</v>
      </c>
      <c r="B9099" t="s">
        <v>18181</v>
      </c>
      <c r="C9099" t="s">
        <v>10</v>
      </c>
      <c r="D9099" t="s">
        <v>18288</v>
      </c>
      <c r="E9099" t="s">
        <v>18289</v>
      </c>
      <c r="G9099" s="1">
        <v>6.88</v>
      </c>
    </row>
    <row r="9100" spans="1:7" ht="14.25" customHeight="1" x14ac:dyDescent="0.45">
      <c r="A9100" t="str">
        <f>_xlfn.XLOOKUP(B9100,Ingot!$H$12:$H$119,Ingot!$G$12:$G$119,"")</f>
        <v>Leather</v>
      </c>
      <c r="B9100" t="s">
        <v>18181</v>
      </c>
      <c r="C9100" t="s">
        <v>10</v>
      </c>
      <c r="D9100" t="s">
        <v>18290</v>
      </c>
      <c r="E9100" t="s">
        <v>18291</v>
      </c>
      <c r="G9100" s="1">
        <v>2.44</v>
      </c>
    </row>
    <row r="9101" spans="1:7" ht="14.25" customHeight="1" x14ac:dyDescent="0.45">
      <c r="A9101" t="str">
        <f>_xlfn.XLOOKUP(B9101,Ingot!$H$12:$H$119,Ingot!$G$12:$G$119,"")</f>
        <v>Leather</v>
      </c>
      <c r="B9101" t="s">
        <v>18181</v>
      </c>
      <c r="C9101" t="s">
        <v>10</v>
      </c>
      <c r="D9101" t="s">
        <v>18292</v>
      </c>
      <c r="E9101" t="s">
        <v>18293</v>
      </c>
    </row>
    <row r="9102" spans="1:7" ht="14.25" customHeight="1" x14ac:dyDescent="0.45">
      <c r="A9102" t="str">
        <f>_xlfn.XLOOKUP(B9102,Ingot!$H$12:$H$119,Ingot!$G$12:$G$119,"")</f>
        <v>Leather</v>
      </c>
      <c r="B9102" t="s">
        <v>18181</v>
      </c>
      <c r="C9102" t="s">
        <v>10</v>
      </c>
      <c r="D9102" t="s">
        <v>18294</v>
      </c>
      <c r="E9102" t="s">
        <v>18295</v>
      </c>
    </row>
    <row r="9103" spans="1:7" ht="14.25" customHeight="1" x14ac:dyDescent="0.45">
      <c r="A9103" t="str">
        <f>_xlfn.XLOOKUP(B9103,Ingot!$H$12:$H$119,Ingot!$G$12:$G$119,"")</f>
        <v>Leather</v>
      </c>
      <c r="B9103" t="s">
        <v>18181</v>
      </c>
      <c r="C9103" t="s">
        <v>10</v>
      </c>
      <c r="D9103" t="s">
        <v>18296</v>
      </c>
      <c r="E9103" t="s">
        <v>18297</v>
      </c>
      <c r="G9103" s="1">
        <v>3.11</v>
      </c>
    </row>
    <row r="9104" spans="1:7" ht="14.25" customHeight="1" x14ac:dyDescent="0.45">
      <c r="A9104" t="str">
        <f>_xlfn.XLOOKUP(B9104,Ingot!$H$12:$H$119,Ingot!$G$12:$G$119,"")</f>
        <v>Leather</v>
      </c>
      <c r="B9104" t="s">
        <v>18181</v>
      </c>
      <c r="C9104" t="s">
        <v>10</v>
      </c>
      <c r="D9104" t="s">
        <v>18298</v>
      </c>
      <c r="E9104" t="s">
        <v>18299</v>
      </c>
      <c r="G9104" s="1">
        <v>2.44</v>
      </c>
    </row>
    <row r="9105" spans="1:7" ht="14.25" customHeight="1" x14ac:dyDescent="0.45">
      <c r="A9105" t="str">
        <f>_xlfn.XLOOKUP(B9105,Ingot!$H$12:$H$119,Ingot!$G$12:$G$119,"")</f>
        <v>Leather</v>
      </c>
      <c r="B9105" t="s">
        <v>18181</v>
      </c>
      <c r="C9105" t="s">
        <v>10</v>
      </c>
      <c r="D9105" t="s">
        <v>18300</v>
      </c>
      <c r="E9105" t="s">
        <v>18301</v>
      </c>
      <c r="G9105" s="1">
        <v>8.61</v>
      </c>
    </row>
    <row r="9106" spans="1:7" ht="14.25" customHeight="1" x14ac:dyDescent="0.45">
      <c r="A9106" t="str">
        <f>_xlfn.XLOOKUP(B9106,Ingot!$H$12:$H$119,Ingot!$G$12:$G$119,"")</f>
        <v>Leather</v>
      </c>
      <c r="B9106" t="s">
        <v>18181</v>
      </c>
      <c r="C9106" t="s">
        <v>10</v>
      </c>
      <c r="D9106" t="s">
        <v>18302</v>
      </c>
      <c r="E9106" t="s">
        <v>18303</v>
      </c>
    </row>
    <row r="9107" spans="1:7" ht="14.25" customHeight="1" x14ac:dyDescent="0.45">
      <c r="A9107" t="str">
        <f>_xlfn.XLOOKUP(B9107,Ingot!$H$12:$H$119,Ingot!$G$12:$G$119,"")</f>
        <v>Leather</v>
      </c>
      <c r="B9107" t="s">
        <v>18181</v>
      </c>
      <c r="C9107" t="s">
        <v>10</v>
      </c>
      <c r="D9107" t="s">
        <v>18304</v>
      </c>
      <c r="E9107" t="s">
        <v>18305</v>
      </c>
      <c r="G9107" s="1">
        <v>3.21</v>
      </c>
    </row>
    <row r="9108" spans="1:7" ht="14.25" customHeight="1" x14ac:dyDescent="0.45">
      <c r="A9108" t="str">
        <f>_xlfn.XLOOKUP(B9108,Ingot!$H$12:$H$119,Ingot!$G$12:$G$119,"")</f>
        <v>Leather</v>
      </c>
      <c r="B9108" t="s">
        <v>18181</v>
      </c>
      <c r="C9108" t="s">
        <v>10</v>
      </c>
      <c r="D9108" t="s">
        <v>18306</v>
      </c>
      <c r="E9108" t="s">
        <v>18307</v>
      </c>
      <c r="G9108" s="1">
        <v>2.77</v>
      </c>
    </row>
    <row r="9109" spans="1:7" ht="14.25" customHeight="1" x14ac:dyDescent="0.45">
      <c r="A9109" t="str">
        <f>_xlfn.XLOOKUP(B9109,Ingot!$H$12:$H$119,Ingot!$G$12:$G$119,"")</f>
        <v>Leather</v>
      </c>
      <c r="B9109" t="s">
        <v>18181</v>
      </c>
      <c r="C9109" t="s">
        <v>10</v>
      </c>
      <c r="D9109" t="s">
        <v>18308</v>
      </c>
      <c r="E9109" t="s">
        <v>18309</v>
      </c>
      <c r="G9109" s="1">
        <v>4.8899999999999997</v>
      </c>
    </row>
    <row r="9110" spans="1:7" ht="14.25" customHeight="1" x14ac:dyDescent="0.45">
      <c r="A9110" t="str">
        <f>_xlfn.XLOOKUP(B9110,Ingot!$H$12:$H$119,Ingot!$G$12:$G$119,"")</f>
        <v>Leather</v>
      </c>
      <c r="B9110" t="s">
        <v>18181</v>
      </c>
      <c r="C9110" t="s">
        <v>10</v>
      </c>
      <c r="D9110" t="s">
        <v>18310</v>
      </c>
      <c r="E9110" t="s">
        <v>18311</v>
      </c>
      <c r="G9110" s="1">
        <v>1.76</v>
      </c>
    </row>
    <row r="9111" spans="1:7" ht="14.25" customHeight="1" x14ac:dyDescent="0.45">
      <c r="A9111" t="str">
        <f>_xlfn.XLOOKUP(B9111,Ingot!$H$12:$H$119,Ingot!$G$12:$G$119,"")</f>
        <v>Leather</v>
      </c>
      <c r="B9111" t="s">
        <v>18181</v>
      </c>
      <c r="C9111" t="s">
        <v>10</v>
      </c>
      <c r="D9111" t="s">
        <v>18312</v>
      </c>
      <c r="E9111" t="s">
        <v>18313</v>
      </c>
    </row>
    <row r="9112" spans="1:7" ht="14.25" customHeight="1" x14ac:dyDescent="0.45">
      <c r="A9112" t="str">
        <f>_xlfn.XLOOKUP(B9112,Ingot!$H$12:$H$119,Ingot!$G$12:$G$119,"")</f>
        <v>Leather</v>
      </c>
      <c r="B9112" t="s">
        <v>18181</v>
      </c>
      <c r="C9112" t="s">
        <v>10</v>
      </c>
      <c r="D9112" t="s">
        <v>18314</v>
      </c>
      <c r="E9112" t="s">
        <v>18315</v>
      </c>
      <c r="G9112" s="1">
        <v>8.57</v>
      </c>
    </row>
    <row r="9113" spans="1:7" ht="14.25" customHeight="1" x14ac:dyDescent="0.45">
      <c r="A9113" t="str">
        <f>_xlfn.XLOOKUP(B9113,Ingot!$H$12:$H$119,Ingot!$G$12:$G$119,"")</f>
        <v>Leather</v>
      </c>
      <c r="B9113" t="s">
        <v>18181</v>
      </c>
      <c r="C9113" t="s">
        <v>10</v>
      </c>
      <c r="D9113" t="s">
        <v>18316</v>
      </c>
      <c r="E9113" t="s">
        <v>18317</v>
      </c>
    </row>
    <row r="9114" spans="1:7" ht="14.25" customHeight="1" x14ac:dyDescent="0.45">
      <c r="A9114" t="str">
        <f>_xlfn.XLOOKUP(B9114,Ingot!$H$12:$H$119,Ingot!$G$12:$G$119,"")</f>
        <v>Leather</v>
      </c>
      <c r="B9114" t="s">
        <v>18181</v>
      </c>
      <c r="C9114" t="s">
        <v>10</v>
      </c>
      <c r="D9114" t="s">
        <v>18318</v>
      </c>
      <c r="E9114" t="s">
        <v>18319</v>
      </c>
      <c r="G9114" s="1">
        <v>3.56</v>
      </c>
    </row>
    <row r="9115" spans="1:7" ht="14.25" customHeight="1" x14ac:dyDescent="0.45">
      <c r="A9115" t="str">
        <f>_xlfn.XLOOKUP(B9115,Ingot!$H$12:$H$119,Ingot!$G$12:$G$119,"")</f>
        <v>Leather</v>
      </c>
      <c r="B9115" t="s">
        <v>18181</v>
      </c>
      <c r="C9115" t="s">
        <v>10</v>
      </c>
      <c r="D9115" t="s">
        <v>18320</v>
      </c>
      <c r="E9115" t="s">
        <v>18321</v>
      </c>
      <c r="G9115" s="1">
        <v>8.91</v>
      </c>
    </row>
    <row r="9116" spans="1:7" ht="14.25" customHeight="1" x14ac:dyDescent="0.45">
      <c r="A9116" t="str">
        <f>_xlfn.XLOOKUP(B9116,Ingot!$H$12:$H$119,Ingot!$G$12:$G$119,"")</f>
        <v>Leather</v>
      </c>
      <c r="B9116" t="s">
        <v>18181</v>
      </c>
      <c r="C9116" t="s">
        <v>10</v>
      </c>
      <c r="D9116" t="s">
        <v>18322</v>
      </c>
      <c r="E9116" t="s">
        <v>18323</v>
      </c>
      <c r="G9116" s="1">
        <v>11.02</v>
      </c>
    </row>
    <row r="9117" spans="1:7" ht="14.25" customHeight="1" x14ac:dyDescent="0.45">
      <c r="A9117" t="str">
        <f>_xlfn.XLOOKUP(B9117,Ingot!$H$12:$H$119,Ingot!$G$12:$G$119,"")</f>
        <v>Leather</v>
      </c>
      <c r="B9117" t="s">
        <v>18181</v>
      </c>
      <c r="C9117" t="s">
        <v>10</v>
      </c>
      <c r="D9117" t="s">
        <v>18324</v>
      </c>
      <c r="E9117" t="s">
        <v>18325</v>
      </c>
      <c r="G9117" s="1">
        <v>5.12</v>
      </c>
    </row>
    <row r="9118" spans="1:7" ht="14.25" customHeight="1" x14ac:dyDescent="0.45">
      <c r="A9118" t="str">
        <f>_xlfn.XLOOKUP(B9118,Ingot!$H$12:$H$119,Ingot!$G$12:$G$119,"")</f>
        <v>Leather</v>
      </c>
      <c r="B9118" t="s">
        <v>18181</v>
      </c>
      <c r="C9118" t="s">
        <v>10</v>
      </c>
      <c r="D9118" t="s">
        <v>18326</v>
      </c>
      <c r="E9118" t="s">
        <v>18327</v>
      </c>
      <c r="G9118" s="1">
        <v>4.41</v>
      </c>
    </row>
    <row r="9119" spans="1:7" ht="14.25" customHeight="1" x14ac:dyDescent="0.45">
      <c r="A9119" t="str">
        <f>_xlfn.XLOOKUP(B9119,Ingot!$H$12:$H$119,Ingot!$G$12:$G$119,"")</f>
        <v>Leather</v>
      </c>
      <c r="B9119" t="s">
        <v>18181</v>
      </c>
      <c r="C9119" t="s">
        <v>157</v>
      </c>
      <c r="D9119" t="s">
        <v>18328</v>
      </c>
      <c r="E9119" t="s">
        <v>18329</v>
      </c>
      <c r="G9119" s="1">
        <v>17.2</v>
      </c>
    </row>
    <row r="9120" spans="1:7" ht="14.25" customHeight="1" x14ac:dyDescent="0.45">
      <c r="A9120" t="str">
        <f>_xlfn.XLOOKUP(B9120,Ingot!$H$12:$H$119,Ingot!$G$12:$G$119,"")</f>
        <v>Leather</v>
      </c>
      <c r="B9120" t="s">
        <v>18181</v>
      </c>
      <c r="C9120" t="s">
        <v>157</v>
      </c>
      <c r="D9120" t="s">
        <v>18330</v>
      </c>
      <c r="E9120" t="s">
        <v>18331</v>
      </c>
      <c r="G9120" s="1">
        <v>5</v>
      </c>
    </row>
    <row r="9121" spans="1:7" ht="14.25" customHeight="1" x14ac:dyDescent="0.45">
      <c r="A9121" t="str">
        <f>_xlfn.XLOOKUP(B9121,Ingot!$H$12:$H$119,Ingot!$G$12:$G$119,"")</f>
        <v>Leather</v>
      </c>
      <c r="B9121" t="s">
        <v>18181</v>
      </c>
      <c r="C9121" t="s">
        <v>157</v>
      </c>
      <c r="D9121" t="s">
        <v>18332</v>
      </c>
      <c r="E9121" t="s">
        <v>18333</v>
      </c>
      <c r="G9121" s="1">
        <v>5</v>
      </c>
    </row>
    <row r="9122" spans="1:7" ht="14.25" customHeight="1" x14ac:dyDescent="0.45">
      <c r="A9122" t="str">
        <f>_xlfn.XLOOKUP(B9122,Ingot!$H$12:$H$119,Ingot!$G$12:$G$119,"")</f>
        <v>Leather</v>
      </c>
      <c r="B9122" t="s">
        <v>18181</v>
      </c>
      <c r="C9122" t="s">
        <v>157</v>
      </c>
      <c r="D9122" t="s">
        <v>18334</v>
      </c>
      <c r="E9122" t="s">
        <v>18335</v>
      </c>
      <c r="G9122" s="1">
        <v>5</v>
      </c>
    </row>
    <row r="9123" spans="1:7" ht="14.25" customHeight="1" x14ac:dyDescent="0.45">
      <c r="A9123" t="str">
        <f>_xlfn.XLOOKUP(B9123,Ingot!$H$12:$H$119,Ingot!$G$12:$G$119,"")</f>
        <v>Leather</v>
      </c>
      <c r="B9123" t="s">
        <v>18181</v>
      </c>
      <c r="C9123" t="s">
        <v>157</v>
      </c>
      <c r="D9123" t="s">
        <v>18336</v>
      </c>
      <c r="E9123" t="s">
        <v>18337</v>
      </c>
      <c r="G9123" s="1">
        <v>10</v>
      </c>
    </row>
    <row r="9124" spans="1:7" ht="14.25" customHeight="1" x14ac:dyDescent="0.45">
      <c r="A9124" t="str">
        <f>_xlfn.XLOOKUP(B9124,Ingot!$H$12:$H$119,Ingot!$G$12:$G$119,"")</f>
        <v>Leather</v>
      </c>
      <c r="B9124" t="s">
        <v>18181</v>
      </c>
      <c r="C9124" t="s">
        <v>157</v>
      </c>
      <c r="D9124" t="s">
        <v>18338</v>
      </c>
      <c r="E9124" t="s">
        <v>18339</v>
      </c>
      <c r="G9124" s="1">
        <v>14.5</v>
      </c>
    </row>
    <row r="9125" spans="1:7" ht="14.25" customHeight="1" x14ac:dyDescent="0.45">
      <c r="A9125" t="str">
        <f>_xlfn.XLOOKUP(B9125,Ingot!$H$12:$H$119,Ingot!$G$12:$G$119,"")</f>
        <v>Leather</v>
      </c>
      <c r="B9125" t="s">
        <v>18181</v>
      </c>
      <c r="C9125" t="s">
        <v>157</v>
      </c>
      <c r="D9125" t="s">
        <v>18340</v>
      </c>
      <c r="E9125" t="s">
        <v>18341</v>
      </c>
      <c r="G9125" s="1">
        <v>5</v>
      </c>
    </row>
    <row r="9126" spans="1:7" ht="14.25" customHeight="1" x14ac:dyDescent="0.45">
      <c r="A9126" t="str">
        <f>_xlfn.XLOOKUP(B9126,Ingot!$H$12:$H$119,Ingot!$G$12:$G$119,"")</f>
        <v>Leather</v>
      </c>
      <c r="B9126" t="s">
        <v>18181</v>
      </c>
      <c r="C9126" t="s">
        <v>157</v>
      </c>
      <c r="D9126" t="s">
        <v>18342</v>
      </c>
      <c r="E9126" t="s">
        <v>18343</v>
      </c>
      <c r="G9126" s="1">
        <v>5</v>
      </c>
    </row>
    <row r="9127" spans="1:7" ht="14.25" customHeight="1" x14ac:dyDescent="0.45">
      <c r="A9127" t="str">
        <f>_xlfn.XLOOKUP(B9127,Ingot!$H$12:$H$119,Ingot!$G$12:$G$119,"")</f>
        <v>Leather</v>
      </c>
      <c r="B9127" t="s">
        <v>18181</v>
      </c>
      <c r="C9127" t="s">
        <v>157</v>
      </c>
      <c r="D9127" t="s">
        <v>18344</v>
      </c>
      <c r="E9127" t="s">
        <v>18345</v>
      </c>
      <c r="G9127" s="1">
        <v>5</v>
      </c>
    </row>
    <row r="9128" spans="1:7" ht="14.25" customHeight="1" x14ac:dyDescent="0.45">
      <c r="A9128" t="str">
        <f>_xlfn.XLOOKUP(B9128,Ingot!$H$12:$H$119,Ingot!$G$12:$G$119,"")</f>
        <v>Leather</v>
      </c>
      <c r="B9128" t="s">
        <v>18181</v>
      </c>
      <c r="C9128" t="s">
        <v>157</v>
      </c>
      <c r="D9128" t="s">
        <v>18346</v>
      </c>
      <c r="E9128" t="s">
        <v>18347</v>
      </c>
      <c r="G9128" s="1">
        <v>10</v>
      </c>
    </row>
    <row r="9129" spans="1:7" ht="14.25" customHeight="1" x14ac:dyDescent="0.45">
      <c r="A9129" t="str">
        <f>_xlfn.XLOOKUP(B9129,Ingot!$H$12:$H$119,Ingot!$G$12:$G$119,"")</f>
        <v>Leather</v>
      </c>
      <c r="B9129" t="s">
        <v>18181</v>
      </c>
      <c r="C9129" t="s">
        <v>157</v>
      </c>
      <c r="D9129" t="s">
        <v>18348</v>
      </c>
      <c r="E9129" t="s">
        <v>18349</v>
      </c>
      <c r="G9129" s="1">
        <v>14</v>
      </c>
    </row>
    <row r="9130" spans="1:7" ht="14.25" customHeight="1" x14ac:dyDescent="0.45">
      <c r="A9130" t="str">
        <f>_xlfn.XLOOKUP(B9130,Ingot!$H$12:$H$119,Ingot!$G$12:$G$119,"")</f>
        <v>Leather</v>
      </c>
      <c r="B9130" t="s">
        <v>18181</v>
      </c>
      <c r="C9130" t="s">
        <v>157</v>
      </c>
      <c r="D9130" t="s">
        <v>18350</v>
      </c>
      <c r="E9130" t="s">
        <v>18351</v>
      </c>
      <c r="G9130" s="1">
        <v>5</v>
      </c>
    </row>
    <row r="9131" spans="1:7" ht="14.25" customHeight="1" x14ac:dyDescent="0.45">
      <c r="A9131" t="str">
        <f>_xlfn.XLOOKUP(B9131,Ingot!$H$12:$H$119,Ingot!$G$12:$G$119,"")</f>
        <v>Leather</v>
      </c>
      <c r="B9131" t="s">
        <v>18181</v>
      </c>
      <c r="C9131" t="s">
        <v>157</v>
      </c>
      <c r="D9131" t="s">
        <v>18352</v>
      </c>
      <c r="E9131" t="s">
        <v>18353</v>
      </c>
      <c r="G9131" s="1">
        <v>5</v>
      </c>
    </row>
    <row r="9132" spans="1:7" ht="14.25" customHeight="1" x14ac:dyDescent="0.45">
      <c r="A9132" t="str">
        <f>_xlfn.XLOOKUP(B9132,Ingot!$H$12:$H$119,Ingot!$G$12:$G$119,"")</f>
        <v>Leather</v>
      </c>
      <c r="B9132" t="s">
        <v>18181</v>
      </c>
      <c r="C9132" t="s">
        <v>157</v>
      </c>
      <c r="D9132" t="s">
        <v>18354</v>
      </c>
      <c r="E9132" t="s">
        <v>18355</v>
      </c>
      <c r="G9132" s="1">
        <v>5</v>
      </c>
    </row>
    <row r="9133" spans="1:7" ht="14.25" customHeight="1" x14ac:dyDescent="0.45">
      <c r="A9133" t="str">
        <f>_xlfn.XLOOKUP(B9133,Ingot!$H$12:$H$119,Ingot!$G$12:$G$119,"")</f>
        <v>Leather</v>
      </c>
      <c r="B9133" t="s">
        <v>18181</v>
      </c>
      <c r="C9133" t="s">
        <v>157</v>
      </c>
      <c r="D9133" t="s">
        <v>18356</v>
      </c>
      <c r="E9133" t="s">
        <v>18357</v>
      </c>
      <c r="G9133" s="1">
        <v>10</v>
      </c>
    </row>
    <row r="9134" spans="1:7" ht="14.25" customHeight="1" x14ac:dyDescent="0.45">
      <c r="A9134" t="str">
        <f>_xlfn.XLOOKUP(B9134,Ingot!$H$12:$H$119,Ingot!$G$12:$G$119,"")</f>
        <v>Leather</v>
      </c>
      <c r="B9134" t="s">
        <v>18181</v>
      </c>
      <c r="C9134" t="s">
        <v>157</v>
      </c>
      <c r="D9134" t="s">
        <v>18358</v>
      </c>
      <c r="E9134" t="s">
        <v>18359</v>
      </c>
      <c r="G9134" s="1">
        <v>15.2</v>
      </c>
    </row>
    <row r="9135" spans="1:7" ht="14.25" customHeight="1" x14ac:dyDescent="0.45">
      <c r="A9135" t="str">
        <f>_xlfn.XLOOKUP(B9135,Ingot!$H$12:$H$119,Ingot!$G$12:$G$119,"")</f>
        <v>Leather</v>
      </c>
      <c r="B9135" t="s">
        <v>18181</v>
      </c>
      <c r="C9135" t="s">
        <v>157</v>
      </c>
      <c r="D9135" t="s">
        <v>18360</v>
      </c>
      <c r="E9135" t="s">
        <v>18361</v>
      </c>
      <c r="G9135" s="1">
        <v>5</v>
      </c>
    </row>
    <row r="9136" spans="1:7" ht="14.25" customHeight="1" x14ac:dyDescent="0.45">
      <c r="A9136" t="str">
        <f>_xlfn.XLOOKUP(B9136,Ingot!$H$12:$H$119,Ingot!$G$12:$G$119,"")</f>
        <v>Leather</v>
      </c>
      <c r="B9136" t="s">
        <v>18181</v>
      </c>
      <c r="C9136" t="s">
        <v>157</v>
      </c>
      <c r="D9136" t="s">
        <v>18362</v>
      </c>
      <c r="E9136" t="s">
        <v>18363</v>
      </c>
      <c r="G9136" s="1">
        <v>5</v>
      </c>
    </row>
    <row r="9137" spans="1:7" ht="14.25" customHeight="1" x14ac:dyDescent="0.45">
      <c r="A9137" t="str">
        <f>_xlfn.XLOOKUP(B9137,Ingot!$H$12:$H$119,Ingot!$G$12:$G$119,"")</f>
        <v>Leather</v>
      </c>
      <c r="B9137" t="s">
        <v>18181</v>
      </c>
      <c r="C9137" t="s">
        <v>157</v>
      </c>
      <c r="D9137" t="s">
        <v>18364</v>
      </c>
      <c r="E9137" t="s">
        <v>18365</v>
      </c>
      <c r="G9137" s="1">
        <v>5</v>
      </c>
    </row>
    <row r="9138" spans="1:7" ht="14.25" customHeight="1" x14ac:dyDescent="0.45">
      <c r="A9138" t="str">
        <f>_xlfn.XLOOKUP(B9138,Ingot!$H$12:$H$119,Ingot!$G$12:$G$119,"")</f>
        <v>Leather</v>
      </c>
      <c r="B9138" t="s">
        <v>18181</v>
      </c>
      <c r="C9138" t="s">
        <v>157</v>
      </c>
      <c r="D9138" t="s">
        <v>18366</v>
      </c>
      <c r="E9138" t="s">
        <v>18367</v>
      </c>
      <c r="G9138" s="1">
        <v>10</v>
      </c>
    </row>
    <row r="9139" spans="1:7" ht="14.25" customHeight="1" x14ac:dyDescent="0.45">
      <c r="A9139" t="str">
        <f>_xlfn.XLOOKUP(B9139,Ingot!$H$12:$H$119,Ingot!$G$12:$G$119,"")</f>
        <v>Leather</v>
      </c>
      <c r="B9139" t="s">
        <v>18181</v>
      </c>
      <c r="C9139" t="s">
        <v>157</v>
      </c>
      <c r="D9139" t="s">
        <v>18368</v>
      </c>
      <c r="E9139" t="s">
        <v>18369</v>
      </c>
      <c r="G9139" s="1">
        <v>16.2</v>
      </c>
    </row>
    <row r="9140" spans="1:7" ht="14.25" customHeight="1" x14ac:dyDescent="0.45">
      <c r="A9140" t="str">
        <f>_xlfn.XLOOKUP(B9140,Ingot!$H$12:$H$119,Ingot!$G$12:$G$119,"")</f>
        <v>Leather</v>
      </c>
      <c r="B9140" t="s">
        <v>18181</v>
      </c>
      <c r="C9140" t="s">
        <v>157</v>
      </c>
      <c r="D9140" t="s">
        <v>18370</v>
      </c>
      <c r="E9140" t="s">
        <v>18371</v>
      </c>
      <c r="G9140" s="1">
        <v>5</v>
      </c>
    </row>
    <row r="9141" spans="1:7" ht="14.25" customHeight="1" x14ac:dyDescent="0.45">
      <c r="A9141" t="str">
        <f>_xlfn.XLOOKUP(B9141,Ingot!$H$12:$H$119,Ingot!$G$12:$G$119,"")</f>
        <v>Leather</v>
      </c>
      <c r="B9141" t="s">
        <v>18181</v>
      </c>
      <c r="C9141" t="s">
        <v>157</v>
      </c>
      <c r="D9141" t="s">
        <v>18372</v>
      </c>
      <c r="E9141" t="s">
        <v>18373</v>
      </c>
      <c r="G9141" s="1">
        <v>5</v>
      </c>
    </row>
    <row r="9142" spans="1:7" ht="14.25" customHeight="1" x14ac:dyDescent="0.45">
      <c r="A9142" t="str">
        <f>_xlfn.XLOOKUP(B9142,Ingot!$H$12:$H$119,Ingot!$G$12:$G$119,"")</f>
        <v>Leather</v>
      </c>
      <c r="B9142" t="s">
        <v>18181</v>
      </c>
      <c r="C9142" t="s">
        <v>157</v>
      </c>
      <c r="D9142" t="s">
        <v>18374</v>
      </c>
      <c r="E9142" t="s">
        <v>18375</v>
      </c>
      <c r="G9142" s="1">
        <v>5</v>
      </c>
    </row>
    <row r="9143" spans="1:7" ht="14.25" customHeight="1" x14ac:dyDescent="0.45">
      <c r="A9143" t="str">
        <f>_xlfn.XLOOKUP(B9143,Ingot!$H$12:$H$119,Ingot!$G$12:$G$119,"")</f>
        <v>Leather</v>
      </c>
      <c r="B9143" t="s">
        <v>18181</v>
      </c>
      <c r="C9143" t="s">
        <v>157</v>
      </c>
      <c r="D9143" t="s">
        <v>18376</v>
      </c>
      <c r="E9143" t="s">
        <v>18377</v>
      </c>
      <c r="G9143" s="1">
        <v>10</v>
      </c>
    </row>
    <row r="9144" spans="1:7" ht="14.25" customHeight="1" x14ac:dyDescent="0.45">
      <c r="A9144" t="str">
        <f>_xlfn.XLOOKUP(B9144,Ingot!$H$12:$H$119,Ingot!$G$12:$G$119,"")</f>
        <v>Leather</v>
      </c>
      <c r="B9144" t="s">
        <v>18181</v>
      </c>
      <c r="C9144" t="s">
        <v>157</v>
      </c>
      <c r="D9144" t="s">
        <v>18378</v>
      </c>
      <c r="E9144" t="s">
        <v>18379</v>
      </c>
      <c r="G9144" s="1">
        <v>19.2</v>
      </c>
    </row>
    <row r="9145" spans="1:7" ht="14.25" customHeight="1" x14ac:dyDescent="0.45">
      <c r="A9145" t="str">
        <f>_xlfn.XLOOKUP(B9145,Ingot!$H$12:$H$119,Ingot!$G$12:$G$119,"")</f>
        <v>Leather</v>
      </c>
      <c r="B9145" t="s">
        <v>18181</v>
      </c>
      <c r="C9145" t="s">
        <v>157</v>
      </c>
      <c r="D9145" t="s">
        <v>18380</v>
      </c>
      <c r="E9145" t="s">
        <v>18381</v>
      </c>
      <c r="G9145" s="1">
        <v>5</v>
      </c>
    </row>
    <row r="9146" spans="1:7" ht="14.25" customHeight="1" x14ac:dyDescent="0.45">
      <c r="A9146" t="str">
        <f>_xlfn.XLOOKUP(B9146,Ingot!$H$12:$H$119,Ingot!$G$12:$G$119,"")</f>
        <v>Leather</v>
      </c>
      <c r="B9146" t="s">
        <v>18181</v>
      </c>
      <c r="C9146" t="s">
        <v>157</v>
      </c>
      <c r="D9146" t="s">
        <v>18382</v>
      </c>
      <c r="E9146" t="s">
        <v>18383</v>
      </c>
      <c r="G9146" s="1">
        <v>5</v>
      </c>
    </row>
    <row r="9147" spans="1:7" ht="14.25" customHeight="1" x14ac:dyDescent="0.45">
      <c r="A9147" t="str">
        <f>_xlfn.XLOOKUP(B9147,Ingot!$H$12:$H$119,Ingot!$G$12:$G$119,"")</f>
        <v>Leather</v>
      </c>
      <c r="B9147" t="s">
        <v>18181</v>
      </c>
      <c r="C9147" t="s">
        <v>157</v>
      </c>
      <c r="D9147" t="s">
        <v>18384</v>
      </c>
      <c r="E9147" t="s">
        <v>18385</v>
      </c>
      <c r="G9147" s="1">
        <v>5</v>
      </c>
    </row>
    <row r="9148" spans="1:7" ht="14.25" customHeight="1" x14ac:dyDescent="0.45">
      <c r="A9148" t="str">
        <f>_xlfn.XLOOKUP(B9148,Ingot!$H$12:$H$119,Ingot!$G$12:$G$119,"")</f>
        <v>Leather</v>
      </c>
      <c r="B9148" t="s">
        <v>18181</v>
      </c>
      <c r="C9148" t="s">
        <v>157</v>
      </c>
      <c r="D9148" t="s">
        <v>18386</v>
      </c>
      <c r="E9148" t="s">
        <v>18387</v>
      </c>
      <c r="G9148" s="1">
        <v>10</v>
      </c>
    </row>
    <row r="9149" spans="1:7" ht="14.25" customHeight="1" x14ac:dyDescent="0.45">
      <c r="A9149" t="str">
        <f>_xlfn.XLOOKUP(B9149,Ingot!$H$12:$H$119,Ingot!$G$12:$G$119,"")</f>
        <v>Leather</v>
      </c>
      <c r="B9149" t="s">
        <v>18181</v>
      </c>
      <c r="C9149" t="s">
        <v>157</v>
      </c>
      <c r="D9149" t="s">
        <v>18388</v>
      </c>
      <c r="E9149" t="s">
        <v>18389</v>
      </c>
      <c r="G9149" s="1">
        <v>18.2</v>
      </c>
    </row>
    <row r="9150" spans="1:7" ht="14.25" customHeight="1" x14ac:dyDescent="0.45">
      <c r="A9150" t="str">
        <f>_xlfn.XLOOKUP(B9150,Ingot!$H$12:$H$119,Ingot!$G$12:$G$119,"")</f>
        <v>Leather</v>
      </c>
      <c r="B9150" t="s">
        <v>18181</v>
      </c>
      <c r="C9150" t="s">
        <v>157</v>
      </c>
      <c r="D9150" t="s">
        <v>18390</v>
      </c>
      <c r="E9150" t="s">
        <v>18391</v>
      </c>
      <c r="G9150" s="1">
        <v>5</v>
      </c>
    </row>
    <row r="9151" spans="1:7" ht="14.25" customHeight="1" x14ac:dyDescent="0.45">
      <c r="A9151" t="str">
        <f>_xlfn.XLOOKUP(B9151,Ingot!$H$12:$H$119,Ingot!$G$12:$G$119,"")</f>
        <v>Leather</v>
      </c>
      <c r="B9151" t="s">
        <v>18181</v>
      </c>
      <c r="C9151" t="s">
        <v>157</v>
      </c>
      <c r="D9151" t="s">
        <v>18392</v>
      </c>
      <c r="E9151" t="s">
        <v>18393</v>
      </c>
      <c r="G9151" s="1">
        <v>5</v>
      </c>
    </row>
    <row r="9152" spans="1:7" ht="14.25" customHeight="1" x14ac:dyDescent="0.45">
      <c r="A9152" t="str">
        <f>_xlfn.XLOOKUP(B9152,Ingot!$H$12:$H$119,Ingot!$G$12:$G$119,"")</f>
        <v>Leather</v>
      </c>
      <c r="B9152" t="s">
        <v>18181</v>
      </c>
      <c r="C9152" t="s">
        <v>157</v>
      </c>
      <c r="D9152" t="s">
        <v>18394</v>
      </c>
      <c r="E9152" t="s">
        <v>18395</v>
      </c>
      <c r="G9152" s="1">
        <v>5</v>
      </c>
    </row>
    <row r="9153" spans="1:7" ht="14.25" customHeight="1" x14ac:dyDescent="0.45">
      <c r="A9153" t="str">
        <f>_xlfn.XLOOKUP(B9153,Ingot!$H$12:$H$119,Ingot!$G$12:$G$119,"")</f>
        <v>Leather</v>
      </c>
      <c r="B9153" t="s">
        <v>18181</v>
      </c>
      <c r="C9153" t="s">
        <v>157</v>
      </c>
      <c r="D9153" t="s">
        <v>18396</v>
      </c>
      <c r="E9153" t="s">
        <v>18397</v>
      </c>
      <c r="G9153" s="1">
        <v>10</v>
      </c>
    </row>
    <row r="9154" spans="1:7" ht="14.25" customHeight="1" x14ac:dyDescent="0.45">
      <c r="A9154" t="str">
        <f>_xlfn.XLOOKUP(B9154,Ingot!$H$12:$H$119,Ingot!$G$12:$G$119,"")</f>
        <v>Leather</v>
      </c>
      <c r="B9154" t="s">
        <v>18181</v>
      </c>
      <c r="C9154" t="s">
        <v>157</v>
      </c>
      <c r="D9154" t="s">
        <v>18398</v>
      </c>
      <c r="E9154" t="s">
        <v>18399</v>
      </c>
      <c r="G9154" s="1">
        <v>13.8</v>
      </c>
    </row>
    <row r="9155" spans="1:7" ht="14.25" customHeight="1" x14ac:dyDescent="0.45">
      <c r="A9155" t="str">
        <f>_xlfn.XLOOKUP(B9155,Ingot!$H$12:$H$119,Ingot!$G$12:$G$119,"")</f>
        <v>Leather</v>
      </c>
      <c r="B9155" t="s">
        <v>18181</v>
      </c>
      <c r="C9155" t="s">
        <v>157</v>
      </c>
      <c r="D9155" t="s">
        <v>18400</v>
      </c>
      <c r="E9155" t="s">
        <v>18401</v>
      </c>
      <c r="G9155" s="1">
        <v>5</v>
      </c>
    </row>
    <row r="9156" spans="1:7" ht="14.25" customHeight="1" x14ac:dyDescent="0.45">
      <c r="A9156" t="str">
        <f>_xlfn.XLOOKUP(B9156,Ingot!$H$12:$H$119,Ingot!$G$12:$G$119,"")</f>
        <v>Leather</v>
      </c>
      <c r="B9156" t="s">
        <v>18181</v>
      </c>
      <c r="C9156" t="s">
        <v>157</v>
      </c>
      <c r="D9156" t="s">
        <v>18402</v>
      </c>
      <c r="E9156" t="s">
        <v>18403</v>
      </c>
      <c r="G9156" s="1">
        <v>5</v>
      </c>
    </row>
    <row r="9157" spans="1:7" ht="14.25" customHeight="1" x14ac:dyDescent="0.45">
      <c r="A9157" t="str">
        <f>_xlfn.XLOOKUP(B9157,Ingot!$H$12:$H$119,Ingot!$G$12:$G$119,"")</f>
        <v>Leather</v>
      </c>
      <c r="B9157" t="s">
        <v>18181</v>
      </c>
      <c r="C9157" t="s">
        <v>157</v>
      </c>
      <c r="D9157" t="s">
        <v>18404</v>
      </c>
      <c r="E9157" t="s">
        <v>18405</v>
      </c>
      <c r="G9157" s="1">
        <v>5</v>
      </c>
    </row>
    <row r="9158" spans="1:7" ht="14.25" customHeight="1" x14ac:dyDescent="0.45">
      <c r="A9158" t="str">
        <f>_xlfn.XLOOKUP(B9158,Ingot!$H$12:$H$119,Ingot!$G$12:$G$119,"")</f>
        <v>Leather</v>
      </c>
      <c r="B9158" t="s">
        <v>18181</v>
      </c>
      <c r="C9158" t="s">
        <v>157</v>
      </c>
      <c r="D9158" t="s">
        <v>18406</v>
      </c>
      <c r="E9158" t="s">
        <v>18407</v>
      </c>
      <c r="G9158" s="1">
        <v>10</v>
      </c>
    </row>
    <row r="9159" spans="1:7" ht="14.25" customHeight="1" x14ac:dyDescent="0.45">
      <c r="A9159" t="str">
        <f>_xlfn.XLOOKUP(B9159,Ingot!$H$12:$H$119,Ingot!$G$12:$G$119,"")</f>
        <v>Leather</v>
      </c>
      <c r="B9159" t="s">
        <v>18181</v>
      </c>
      <c r="C9159" t="s">
        <v>239</v>
      </c>
      <c r="D9159" t="s">
        <v>18408</v>
      </c>
      <c r="E9159" t="s">
        <v>18409</v>
      </c>
    </row>
    <row r="9160" spans="1:7" ht="14.25" customHeight="1" x14ac:dyDescent="0.45">
      <c r="A9160" t="str">
        <f>_xlfn.XLOOKUP(B9160,Ingot!$H$12:$H$119,Ingot!$G$12:$G$119,"")</f>
        <v>Leather</v>
      </c>
      <c r="B9160" t="s">
        <v>18181</v>
      </c>
      <c r="C9160" t="s">
        <v>239</v>
      </c>
      <c r="D9160" t="s">
        <v>18410</v>
      </c>
      <c r="E9160" t="s">
        <v>18411</v>
      </c>
    </row>
    <row r="9161" spans="1:7" ht="14.25" customHeight="1" x14ac:dyDescent="0.45">
      <c r="A9161" t="str">
        <f>_xlfn.XLOOKUP(B9161,Ingot!$H$12:$H$119,Ingot!$G$12:$G$119,"")</f>
        <v>Leather</v>
      </c>
      <c r="B9161" t="s">
        <v>18181</v>
      </c>
      <c r="C9161" t="s">
        <v>239</v>
      </c>
      <c r="D9161" t="s">
        <v>18412</v>
      </c>
      <c r="E9161" t="s">
        <v>18413</v>
      </c>
    </row>
    <row r="9162" spans="1:7" ht="14.25" customHeight="1" x14ac:dyDescent="0.45">
      <c r="A9162" t="str">
        <f>_xlfn.XLOOKUP(B9162,Ingot!$H$12:$H$119,Ingot!$G$12:$G$119,"")</f>
        <v>Leather</v>
      </c>
      <c r="B9162" t="s">
        <v>18181</v>
      </c>
      <c r="C9162" t="s">
        <v>239</v>
      </c>
      <c r="D9162" t="s">
        <v>18414</v>
      </c>
      <c r="E9162" t="s">
        <v>18415</v>
      </c>
    </row>
    <row r="9163" spans="1:7" ht="14.25" customHeight="1" x14ac:dyDescent="0.45">
      <c r="A9163" t="str">
        <f>_xlfn.XLOOKUP(B9163,Ingot!$H$12:$H$119,Ingot!$G$12:$G$119,"")</f>
        <v>Leather</v>
      </c>
      <c r="B9163" t="s">
        <v>18181</v>
      </c>
      <c r="C9163" t="s">
        <v>239</v>
      </c>
      <c r="D9163" t="s">
        <v>18416</v>
      </c>
      <c r="E9163" t="s">
        <v>18417</v>
      </c>
    </row>
    <row r="9164" spans="1:7" ht="14.25" customHeight="1" x14ac:dyDescent="0.45">
      <c r="A9164" t="str">
        <f>_xlfn.XLOOKUP(B9164,Ingot!$H$12:$H$119,Ingot!$G$12:$G$119,"")</f>
        <v>Leather</v>
      </c>
      <c r="B9164" t="s">
        <v>18181</v>
      </c>
      <c r="C9164" t="s">
        <v>239</v>
      </c>
      <c r="D9164" t="s">
        <v>18418</v>
      </c>
      <c r="E9164" t="s">
        <v>18419</v>
      </c>
    </row>
    <row r="9165" spans="1:7" ht="14.25" customHeight="1" x14ac:dyDescent="0.45">
      <c r="A9165" t="str">
        <f>_xlfn.XLOOKUP(B9165,Ingot!$H$12:$H$119,Ingot!$G$12:$G$119,"")</f>
        <v>Leather</v>
      </c>
      <c r="B9165" t="s">
        <v>18420</v>
      </c>
      <c r="C9165" t="s">
        <v>10</v>
      </c>
      <c r="D9165" t="s">
        <v>18421</v>
      </c>
      <c r="E9165" t="s">
        <v>18422</v>
      </c>
      <c r="G9165" s="1">
        <v>0.08</v>
      </c>
    </row>
    <row r="9166" spans="1:7" ht="14.25" customHeight="1" x14ac:dyDescent="0.45">
      <c r="A9166" t="str">
        <f>_xlfn.XLOOKUP(B9166,Ingot!$H$12:$H$119,Ingot!$G$12:$G$119,"")</f>
        <v>Leather</v>
      </c>
      <c r="B9166" t="s">
        <v>18420</v>
      </c>
      <c r="C9166" t="s">
        <v>10</v>
      </c>
      <c r="D9166" t="s">
        <v>18423</v>
      </c>
      <c r="E9166" t="s">
        <v>18424</v>
      </c>
      <c r="G9166" s="1">
        <v>9.9</v>
      </c>
    </row>
    <row r="9167" spans="1:7" ht="14.25" customHeight="1" x14ac:dyDescent="0.45">
      <c r="A9167" t="str">
        <f>_xlfn.XLOOKUP(B9167,Ingot!$H$12:$H$119,Ingot!$G$12:$G$119,"")</f>
        <v>Leather</v>
      </c>
      <c r="B9167" t="s">
        <v>18420</v>
      </c>
      <c r="C9167" t="s">
        <v>10</v>
      </c>
      <c r="D9167" t="s">
        <v>18425</v>
      </c>
      <c r="E9167" t="s">
        <v>18426</v>
      </c>
      <c r="G9167" s="1">
        <v>5.66</v>
      </c>
    </row>
    <row r="9168" spans="1:7" ht="14.25" customHeight="1" x14ac:dyDescent="0.45">
      <c r="A9168" t="str">
        <f>_xlfn.XLOOKUP(B9168,Ingot!$H$12:$H$119,Ingot!$G$12:$G$119,"")</f>
        <v>Leather</v>
      </c>
      <c r="B9168" t="s">
        <v>18420</v>
      </c>
      <c r="C9168" t="s">
        <v>10</v>
      </c>
      <c r="D9168" t="s">
        <v>18427</v>
      </c>
      <c r="E9168" t="s">
        <v>18428</v>
      </c>
      <c r="G9168" s="1">
        <v>3.3</v>
      </c>
    </row>
    <row r="9169" spans="1:7" ht="14.25" customHeight="1" x14ac:dyDescent="0.45">
      <c r="A9169" t="str">
        <f>_xlfn.XLOOKUP(B9169,Ingot!$H$12:$H$119,Ingot!$G$12:$G$119,"")</f>
        <v>Leather</v>
      </c>
      <c r="B9169" t="s">
        <v>18420</v>
      </c>
      <c r="C9169" t="s">
        <v>10</v>
      </c>
      <c r="D9169" t="s">
        <v>18429</v>
      </c>
      <c r="E9169" t="s">
        <v>18430</v>
      </c>
      <c r="G9169" s="1">
        <v>0.66</v>
      </c>
    </row>
    <row r="9170" spans="1:7" ht="14.25" customHeight="1" x14ac:dyDescent="0.45">
      <c r="A9170" t="str">
        <f>_xlfn.XLOOKUP(B9170,Ingot!$H$12:$H$119,Ingot!$G$12:$G$119,"")</f>
        <v>Leather</v>
      </c>
      <c r="B9170" t="s">
        <v>18420</v>
      </c>
      <c r="C9170" t="s">
        <v>10</v>
      </c>
      <c r="D9170" t="s">
        <v>18431</v>
      </c>
      <c r="E9170" t="s">
        <v>18432</v>
      </c>
      <c r="G9170" s="1">
        <v>0.04</v>
      </c>
    </row>
    <row r="9171" spans="1:7" ht="14.25" customHeight="1" x14ac:dyDescent="0.45">
      <c r="A9171" t="str">
        <f>_xlfn.XLOOKUP(B9171,Ingot!$H$12:$H$119,Ingot!$G$12:$G$119,"")</f>
        <v>Leather</v>
      </c>
      <c r="B9171" t="s">
        <v>18420</v>
      </c>
      <c r="C9171" t="s">
        <v>10</v>
      </c>
      <c r="D9171" t="s">
        <v>18433</v>
      </c>
      <c r="E9171" t="s">
        <v>18434</v>
      </c>
      <c r="G9171" s="1">
        <v>0.33</v>
      </c>
    </row>
    <row r="9172" spans="1:7" ht="14.25" customHeight="1" x14ac:dyDescent="0.45">
      <c r="A9172" t="str">
        <f>_xlfn.XLOOKUP(B9172,Ingot!$H$12:$H$119,Ingot!$G$12:$G$119,"")</f>
        <v>Leather</v>
      </c>
      <c r="B9172" t="s">
        <v>18420</v>
      </c>
      <c r="C9172" t="s">
        <v>10</v>
      </c>
      <c r="D9172" t="s">
        <v>18435</v>
      </c>
      <c r="E9172" t="s">
        <v>18436</v>
      </c>
    </row>
    <row r="9173" spans="1:7" ht="14.25" customHeight="1" x14ac:dyDescent="0.45">
      <c r="A9173" t="str">
        <f>_xlfn.XLOOKUP(B9173,Ingot!$H$12:$H$119,Ingot!$G$12:$G$119,"")</f>
        <v>Leather</v>
      </c>
      <c r="B9173" t="s">
        <v>18420</v>
      </c>
      <c r="C9173" t="s">
        <v>10</v>
      </c>
      <c r="D9173" t="s">
        <v>18437</v>
      </c>
      <c r="E9173" t="s">
        <v>18438</v>
      </c>
      <c r="G9173" s="1">
        <v>0.05</v>
      </c>
    </row>
    <row r="9174" spans="1:7" ht="14.25" customHeight="1" x14ac:dyDescent="0.45">
      <c r="A9174" t="str">
        <f>_xlfn.XLOOKUP(B9174,Ingot!$H$12:$H$119,Ingot!$G$12:$G$119,"")</f>
        <v>Leather</v>
      </c>
      <c r="B9174" t="s">
        <v>18420</v>
      </c>
      <c r="C9174" t="s">
        <v>10</v>
      </c>
      <c r="D9174" t="s">
        <v>18439</v>
      </c>
      <c r="E9174" t="s">
        <v>18440</v>
      </c>
      <c r="G9174" s="1">
        <v>0.66</v>
      </c>
    </row>
    <row r="9175" spans="1:7" ht="14.25" customHeight="1" x14ac:dyDescent="0.45">
      <c r="A9175" t="str">
        <f>_xlfn.XLOOKUP(B9175,Ingot!$H$12:$H$119,Ingot!$G$12:$G$119,"")</f>
        <v>Leather</v>
      </c>
      <c r="B9175" t="s">
        <v>18420</v>
      </c>
      <c r="C9175" t="s">
        <v>10</v>
      </c>
      <c r="D9175" t="s">
        <v>18441</v>
      </c>
      <c r="E9175" t="s">
        <v>18442</v>
      </c>
      <c r="G9175" s="1">
        <v>3.96</v>
      </c>
    </row>
    <row r="9176" spans="1:7" ht="14.25" customHeight="1" x14ac:dyDescent="0.45">
      <c r="A9176" t="str">
        <f>_xlfn.XLOOKUP(B9176,Ingot!$H$12:$H$119,Ingot!$G$12:$G$119,"")</f>
        <v>Leather</v>
      </c>
      <c r="B9176" t="s">
        <v>18420</v>
      </c>
      <c r="C9176" t="s">
        <v>10</v>
      </c>
      <c r="D9176" t="s">
        <v>18443</v>
      </c>
      <c r="E9176" t="s">
        <v>18444</v>
      </c>
      <c r="G9176" s="1">
        <v>8.77</v>
      </c>
    </row>
    <row r="9177" spans="1:7" ht="14.25" customHeight="1" x14ac:dyDescent="0.45">
      <c r="A9177" t="str">
        <f>_xlfn.XLOOKUP(B9177,Ingot!$H$12:$H$119,Ingot!$G$12:$G$119,"")</f>
        <v>Leather</v>
      </c>
      <c r="B9177" t="s">
        <v>18420</v>
      </c>
      <c r="C9177" t="s">
        <v>10</v>
      </c>
      <c r="D9177" t="s">
        <v>18445</v>
      </c>
      <c r="E9177" t="s">
        <v>18446</v>
      </c>
      <c r="G9177" s="1">
        <v>3.5</v>
      </c>
    </row>
    <row r="9178" spans="1:7" ht="14.25" customHeight="1" x14ac:dyDescent="0.45">
      <c r="A9178" t="str">
        <f>_xlfn.XLOOKUP(B9178,Ingot!$H$12:$H$119,Ingot!$G$12:$G$119,"")</f>
        <v>Leather</v>
      </c>
      <c r="B9178" t="s">
        <v>18420</v>
      </c>
      <c r="C9178" t="s">
        <v>10</v>
      </c>
      <c r="D9178" t="s">
        <v>18447</v>
      </c>
      <c r="E9178" t="s">
        <v>18448</v>
      </c>
    </row>
    <row r="9179" spans="1:7" ht="14.25" customHeight="1" x14ac:dyDescent="0.45">
      <c r="A9179" t="str">
        <f>_xlfn.XLOOKUP(B9179,Ingot!$H$12:$H$119,Ingot!$G$12:$G$119,"")</f>
        <v>Leather</v>
      </c>
      <c r="B9179" t="s">
        <v>18420</v>
      </c>
      <c r="C9179" t="s">
        <v>10</v>
      </c>
      <c r="D9179" t="s">
        <v>18449</v>
      </c>
      <c r="E9179" t="s">
        <v>18450</v>
      </c>
      <c r="G9179" s="1">
        <v>2.2000000000000002</v>
      </c>
    </row>
    <row r="9180" spans="1:7" ht="14.25" customHeight="1" x14ac:dyDescent="0.45">
      <c r="A9180" t="str">
        <f>_xlfn.XLOOKUP(B9180,Ingot!$H$12:$H$119,Ingot!$G$12:$G$119,"")</f>
        <v>Leather</v>
      </c>
      <c r="B9180" t="s">
        <v>18420</v>
      </c>
      <c r="C9180" t="s">
        <v>10</v>
      </c>
      <c r="D9180" t="s">
        <v>18451</v>
      </c>
      <c r="E9180" t="s">
        <v>18452</v>
      </c>
      <c r="G9180" s="1">
        <v>1.1000000000000001</v>
      </c>
    </row>
    <row r="9181" spans="1:7" ht="14.25" customHeight="1" x14ac:dyDescent="0.45">
      <c r="A9181" t="str">
        <f>_xlfn.XLOOKUP(B9181,Ingot!$H$12:$H$119,Ingot!$G$12:$G$119,"")</f>
        <v>Leather</v>
      </c>
      <c r="B9181" t="s">
        <v>18420</v>
      </c>
      <c r="C9181" t="s">
        <v>10</v>
      </c>
      <c r="D9181" t="s">
        <v>18453</v>
      </c>
      <c r="E9181" t="s">
        <v>18454</v>
      </c>
      <c r="G9181" s="1">
        <v>0.22</v>
      </c>
    </row>
    <row r="9182" spans="1:7" ht="14.25" customHeight="1" x14ac:dyDescent="0.45">
      <c r="A9182" t="str">
        <f>_xlfn.XLOOKUP(B9182,Ingot!$H$12:$H$119,Ingot!$G$12:$G$119,"")</f>
        <v>Leather</v>
      </c>
      <c r="B9182" t="s">
        <v>18420</v>
      </c>
      <c r="C9182" t="s">
        <v>10</v>
      </c>
      <c r="D9182" t="s">
        <v>18455</v>
      </c>
      <c r="E9182" t="s">
        <v>18456</v>
      </c>
      <c r="G9182" s="1">
        <v>8.41</v>
      </c>
    </row>
    <row r="9183" spans="1:7" ht="14.25" customHeight="1" x14ac:dyDescent="0.45">
      <c r="A9183" t="str">
        <f>_xlfn.XLOOKUP(B9183,Ingot!$H$12:$H$119,Ingot!$G$12:$G$119,"")</f>
        <v>Leather</v>
      </c>
      <c r="B9183" t="s">
        <v>18420</v>
      </c>
      <c r="C9183" t="s">
        <v>10</v>
      </c>
      <c r="D9183" t="s">
        <v>18457</v>
      </c>
      <c r="E9183" t="s">
        <v>18458</v>
      </c>
      <c r="G9183" s="1">
        <v>3.64</v>
      </c>
    </row>
    <row r="9184" spans="1:7" ht="14.25" customHeight="1" x14ac:dyDescent="0.45">
      <c r="A9184" t="str">
        <f>_xlfn.XLOOKUP(B9184,Ingot!$H$12:$H$119,Ingot!$G$12:$G$119,"")</f>
        <v>Leather</v>
      </c>
      <c r="B9184" t="s">
        <v>18420</v>
      </c>
      <c r="C9184" t="s">
        <v>10</v>
      </c>
      <c r="D9184" t="s">
        <v>18459</v>
      </c>
      <c r="E9184" t="s">
        <v>18460</v>
      </c>
      <c r="G9184" s="1">
        <v>7.05</v>
      </c>
    </row>
    <row r="9185" spans="1:7" ht="14.25" customHeight="1" x14ac:dyDescent="0.45">
      <c r="A9185" t="str">
        <f>_xlfn.XLOOKUP(B9185,Ingot!$H$12:$H$119,Ingot!$G$12:$G$119,"")</f>
        <v>Leather</v>
      </c>
      <c r="B9185" t="s">
        <v>18420</v>
      </c>
      <c r="C9185" t="s">
        <v>10</v>
      </c>
      <c r="D9185" t="s">
        <v>18461</v>
      </c>
      <c r="E9185" t="s">
        <v>18462</v>
      </c>
      <c r="G9185" s="1">
        <v>2.65</v>
      </c>
    </row>
    <row r="9186" spans="1:7" ht="14.25" customHeight="1" x14ac:dyDescent="0.45">
      <c r="A9186" t="str">
        <f>_xlfn.XLOOKUP(B9186,Ingot!$H$12:$H$119,Ingot!$G$12:$G$119,"")</f>
        <v>Leather</v>
      </c>
      <c r="B9186" t="s">
        <v>18420</v>
      </c>
      <c r="C9186" t="s">
        <v>10</v>
      </c>
      <c r="D9186" t="s">
        <v>18463</v>
      </c>
      <c r="E9186" t="s">
        <v>18464</v>
      </c>
      <c r="G9186" s="1">
        <v>9</v>
      </c>
    </row>
    <row r="9187" spans="1:7" ht="14.25" customHeight="1" x14ac:dyDescent="0.45">
      <c r="A9187" t="str">
        <f>_xlfn.XLOOKUP(B9187,Ingot!$H$12:$H$119,Ingot!$G$12:$G$119,"")</f>
        <v>Leather</v>
      </c>
      <c r="B9187" t="s">
        <v>18420</v>
      </c>
      <c r="C9187" t="s">
        <v>10</v>
      </c>
      <c r="D9187" t="s">
        <v>18465</v>
      </c>
      <c r="E9187" t="s">
        <v>18466</v>
      </c>
      <c r="G9187" s="1">
        <v>10.23</v>
      </c>
    </row>
    <row r="9188" spans="1:7" ht="14.25" customHeight="1" x14ac:dyDescent="0.45">
      <c r="A9188" t="str">
        <f>_xlfn.XLOOKUP(B9188,Ingot!$H$12:$H$119,Ingot!$G$12:$G$119,"")</f>
        <v>Leather</v>
      </c>
      <c r="B9188" t="s">
        <v>18420</v>
      </c>
      <c r="C9188" t="s">
        <v>10</v>
      </c>
      <c r="D9188" t="s">
        <v>18467</v>
      </c>
      <c r="E9188" t="s">
        <v>18468</v>
      </c>
      <c r="G9188" s="1">
        <v>7.7</v>
      </c>
    </row>
    <row r="9189" spans="1:7" ht="14.25" customHeight="1" x14ac:dyDescent="0.45">
      <c r="A9189" t="str">
        <f>_xlfn.XLOOKUP(B9189,Ingot!$H$12:$H$119,Ingot!$G$12:$G$119,"")</f>
        <v>Leather</v>
      </c>
      <c r="B9189" t="s">
        <v>18420</v>
      </c>
      <c r="C9189" t="s">
        <v>10</v>
      </c>
      <c r="D9189" t="s">
        <v>18469</v>
      </c>
      <c r="E9189" t="s">
        <v>18470</v>
      </c>
      <c r="G9189" s="1">
        <v>10.02</v>
      </c>
    </row>
    <row r="9190" spans="1:7" ht="14.25" customHeight="1" x14ac:dyDescent="0.45">
      <c r="A9190" t="str">
        <f>_xlfn.XLOOKUP(B9190,Ingot!$H$12:$H$119,Ingot!$G$12:$G$119,"")</f>
        <v>Leather</v>
      </c>
      <c r="B9190" t="s">
        <v>18420</v>
      </c>
      <c r="C9190" t="s">
        <v>10</v>
      </c>
      <c r="D9190" t="s">
        <v>18471</v>
      </c>
      <c r="E9190" t="s">
        <v>18472</v>
      </c>
      <c r="G9190" s="1">
        <v>11.81</v>
      </c>
    </row>
    <row r="9191" spans="1:7" ht="14.25" customHeight="1" x14ac:dyDescent="0.45">
      <c r="A9191" t="str">
        <f>_xlfn.XLOOKUP(B9191,Ingot!$H$12:$H$119,Ingot!$G$12:$G$119,"")</f>
        <v>Leather</v>
      </c>
      <c r="B9191" t="s">
        <v>18420</v>
      </c>
      <c r="C9191" t="s">
        <v>10</v>
      </c>
      <c r="D9191" t="s">
        <v>18473</v>
      </c>
      <c r="E9191" t="s">
        <v>18474</v>
      </c>
      <c r="G9191" s="1">
        <v>8.44</v>
      </c>
    </row>
    <row r="9192" spans="1:7" ht="14.25" customHeight="1" x14ac:dyDescent="0.45">
      <c r="A9192" t="str">
        <f>_xlfn.XLOOKUP(B9192,Ingot!$H$12:$H$119,Ingot!$G$12:$G$119,"")</f>
        <v>Leather</v>
      </c>
      <c r="B9192" t="s">
        <v>18420</v>
      </c>
      <c r="C9192" t="s">
        <v>10</v>
      </c>
      <c r="D9192" t="s">
        <v>18475</v>
      </c>
      <c r="E9192" t="s">
        <v>18476</v>
      </c>
      <c r="G9192" s="1">
        <v>10.42</v>
      </c>
    </row>
    <row r="9193" spans="1:7" ht="14.25" customHeight="1" x14ac:dyDescent="0.45">
      <c r="A9193" t="str">
        <f>_xlfn.XLOOKUP(B9193,Ingot!$H$12:$H$119,Ingot!$G$12:$G$119,"")</f>
        <v>Leather</v>
      </c>
      <c r="B9193" t="s">
        <v>18420</v>
      </c>
      <c r="C9193" t="s">
        <v>10</v>
      </c>
      <c r="D9193" t="s">
        <v>18477</v>
      </c>
      <c r="E9193" t="s">
        <v>18478</v>
      </c>
    </row>
    <row r="9194" spans="1:7" ht="14.25" customHeight="1" x14ac:dyDescent="0.45">
      <c r="A9194" t="str">
        <f>_xlfn.XLOOKUP(B9194,Ingot!$H$12:$H$119,Ingot!$G$12:$G$119,"")</f>
        <v>Leather</v>
      </c>
      <c r="B9194" t="s">
        <v>18420</v>
      </c>
      <c r="C9194" t="s">
        <v>10</v>
      </c>
      <c r="D9194" t="s">
        <v>18479</v>
      </c>
      <c r="E9194" t="s">
        <v>18480</v>
      </c>
      <c r="G9194" s="1">
        <v>7.96</v>
      </c>
    </row>
    <row r="9195" spans="1:7" ht="14.25" customHeight="1" x14ac:dyDescent="0.45">
      <c r="A9195" t="str">
        <f>_xlfn.XLOOKUP(B9195,Ingot!$H$12:$H$119,Ingot!$G$12:$G$119,"")</f>
        <v>Leather</v>
      </c>
      <c r="B9195" t="s">
        <v>18420</v>
      </c>
      <c r="C9195" t="s">
        <v>10</v>
      </c>
      <c r="D9195" t="s">
        <v>18481</v>
      </c>
      <c r="E9195" t="s">
        <v>18482</v>
      </c>
      <c r="G9195" s="1">
        <v>9.64</v>
      </c>
    </row>
    <row r="9196" spans="1:7" ht="14.25" customHeight="1" x14ac:dyDescent="0.45">
      <c r="A9196" t="str">
        <f>_xlfn.XLOOKUP(B9196,Ingot!$H$12:$H$119,Ingot!$G$12:$G$119,"")</f>
        <v>Leather</v>
      </c>
      <c r="B9196" t="s">
        <v>18420</v>
      </c>
      <c r="C9196" t="s">
        <v>10</v>
      </c>
      <c r="D9196" t="s">
        <v>18483</v>
      </c>
      <c r="E9196" t="s">
        <v>18484</v>
      </c>
      <c r="G9196" s="1">
        <v>7.94</v>
      </c>
    </row>
    <row r="9197" spans="1:7" ht="14.25" customHeight="1" x14ac:dyDescent="0.45">
      <c r="A9197" t="str">
        <f>_xlfn.XLOOKUP(B9197,Ingot!$H$12:$H$119,Ingot!$G$12:$G$119,"")</f>
        <v>Leather</v>
      </c>
      <c r="B9197" t="s">
        <v>18420</v>
      </c>
      <c r="C9197" t="s">
        <v>10</v>
      </c>
      <c r="D9197" t="s">
        <v>18485</v>
      </c>
      <c r="E9197" t="s">
        <v>18486</v>
      </c>
      <c r="G9197" s="1">
        <v>8.66</v>
      </c>
    </row>
    <row r="9198" spans="1:7" ht="14.25" customHeight="1" x14ac:dyDescent="0.45">
      <c r="A9198" t="str">
        <f>_xlfn.XLOOKUP(B9198,Ingot!$H$12:$H$119,Ingot!$G$12:$G$119,"")</f>
        <v>Leather</v>
      </c>
      <c r="B9198" t="s">
        <v>18420</v>
      </c>
      <c r="C9198" t="s">
        <v>10</v>
      </c>
      <c r="D9198" t="s">
        <v>18487</v>
      </c>
      <c r="E9198" t="s">
        <v>18488</v>
      </c>
    </row>
    <row r="9199" spans="1:7" ht="14.25" customHeight="1" x14ac:dyDescent="0.45">
      <c r="A9199" t="str">
        <f>_xlfn.XLOOKUP(B9199,Ingot!$H$12:$H$119,Ingot!$G$12:$G$119,"")</f>
        <v>Leather</v>
      </c>
      <c r="B9199" t="s">
        <v>18420</v>
      </c>
      <c r="C9199" t="s">
        <v>10</v>
      </c>
      <c r="D9199" t="s">
        <v>18489</v>
      </c>
      <c r="E9199" t="s">
        <v>18490</v>
      </c>
      <c r="G9199" s="1">
        <v>2.65</v>
      </c>
    </row>
    <row r="9200" spans="1:7" ht="14.25" customHeight="1" x14ac:dyDescent="0.45">
      <c r="A9200" t="str">
        <f>_xlfn.XLOOKUP(B9200,Ingot!$H$12:$H$119,Ingot!$G$12:$G$119,"")</f>
        <v>Leather</v>
      </c>
      <c r="B9200" t="s">
        <v>18420</v>
      </c>
      <c r="C9200" t="s">
        <v>10</v>
      </c>
      <c r="D9200" t="s">
        <v>18491</v>
      </c>
      <c r="E9200" t="s">
        <v>18492</v>
      </c>
    </row>
    <row r="9201" spans="1:7" ht="14.25" customHeight="1" x14ac:dyDescent="0.45">
      <c r="A9201" t="str">
        <f>_xlfn.XLOOKUP(B9201,Ingot!$H$12:$H$119,Ingot!$G$12:$G$119,"")</f>
        <v>Leather</v>
      </c>
      <c r="B9201" t="s">
        <v>18420</v>
      </c>
      <c r="C9201" t="s">
        <v>10</v>
      </c>
      <c r="D9201" t="s">
        <v>18493</v>
      </c>
      <c r="E9201" t="s">
        <v>18494</v>
      </c>
      <c r="G9201" s="1">
        <v>12.64</v>
      </c>
    </row>
    <row r="9202" spans="1:7" ht="14.25" customHeight="1" x14ac:dyDescent="0.45">
      <c r="A9202" t="str">
        <f>_xlfn.XLOOKUP(B9202,Ingot!$H$12:$H$119,Ingot!$G$12:$G$119,"")</f>
        <v>Leather</v>
      </c>
      <c r="B9202" t="s">
        <v>18420</v>
      </c>
      <c r="C9202" t="s">
        <v>10</v>
      </c>
      <c r="D9202" t="s">
        <v>18495</v>
      </c>
      <c r="E9202" t="s">
        <v>18496</v>
      </c>
      <c r="G9202" s="1">
        <v>22.67</v>
      </c>
    </row>
    <row r="9203" spans="1:7" ht="14.25" customHeight="1" x14ac:dyDescent="0.45">
      <c r="A9203" t="str">
        <f>_xlfn.XLOOKUP(B9203,Ingot!$H$12:$H$119,Ingot!$G$12:$G$119,"")</f>
        <v>Leather</v>
      </c>
      <c r="B9203" t="s">
        <v>18420</v>
      </c>
      <c r="C9203" t="s">
        <v>10</v>
      </c>
      <c r="D9203" t="s">
        <v>18497</v>
      </c>
      <c r="E9203" t="s">
        <v>18498</v>
      </c>
      <c r="G9203" s="1">
        <v>8.3800000000000008</v>
      </c>
    </row>
    <row r="9204" spans="1:7" ht="14.25" customHeight="1" x14ac:dyDescent="0.45">
      <c r="A9204" t="str">
        <f>_xlfn.XLOOKUP(B9204,Ingot!$H$12:$H$119,Ingot!$G$12:$G$119,"")</f>
        <v>Leather</v>
      </c>
      <c r="B9204" t="s">
        <v>18420</v>
      </c>
      <c r="C9204" t="s">
        <v>10</v>
      </c>
      <c r="D9204" t="s">
        <v>18499</v>
      </c>
      <c r="E9204" t="s">
        <v>18500</v>
      </c>
      <c r="G9204" s="1">
        <v>2.2000000000000002</v>
      </c>
    </row>
    <row r="9205" spans="1:7" ht="14.25" customHeight="1" x14ac:dyDescent="0.45">
      <c r="A9205" t="str">
        <f>_xlfn.XLOOKUP(B9205,Ingot!$H$12:$H$119,Ingot!$G$12:$G$119,"")</f>
        <v>Leather</v>
      </c>
      <c r="B9205" t="s">
        <v>18420</v>
      </c>
      <c r="C9205" t="s">
        <v>10</v>
      </c>
      <c r="D9205" t="s">
        <v>18501</v>
      </c>
      <c r="E9205" t="s">
        <v>18502</v>
      </c>
      <c r="G9205" s="1">
        <v>3.09</v>
      </c>
    </row>
    <row r="9206" spans="1:7" ht="14.25" customHeight="1" x14ac:dyDescent="0.45">
      <c r="A9206" t="str">
        <f>_xlfn.XLOOKUP(B9206,Ingot!$H$12:$H$119,Ingot!$G$12:$G$119,"")</f>
        <v>Leather</v>
      </c>
      <c r="B9206" t="s">
        <v>18420</v>
      </c>
      <c r="C9206" t="s">
        <v>10</v>
      </c>
      <c r="D9206" t="s">
        <v>18503</v>
      </c>
      <c r="E9206" t="s">
        <v>18504</v>
      </c>
      <c r="G9206" s="1">
        <v>2.2999999999999998</v>
      </c>
    </row>
    <row r="9207" spans="1:7" ht="14.25" customHeight="1" x14ac:dyDescent="0.45">
      <c r="A9207" t="str">
        <f>_xlfn.XLOOKUP(B9207,Ingot!$H$12:$H$119,Ingot!$G$12:$G$119,"")</f>
        <v>Leather</v>
      </c>
      <c r="B9207" t="s">
        <v>18420</v>
      </c>
      <c r="C9207" t="s">
        <v>10</v>
      </c>
      <c r="D9207" t="s">
        <v>18505</v>
      </c>
      <c r="E9207" t="s">
        <v>18506</v>
      </c>
      <c r="G9207" s="1">
        <v>4.88</v>
      </c>
    </row>
    <row r="9208" spans="1:7" ht="14.25" customHeight="1" x14ac:dyDescent="0.45">
      <c r="A9208" t="str">
        <f>_xlfn.XLOOKUP(B9208,Ingot!$H$12:$H$119,Ingot!$G$12:$G$119,"")</f>
        <v>Leather</v>
      </c>
      <c r="B9208" t="s">
        <v>18420</v>
      </c>
      <c r="C9208" t="s">
        <v>10</v>
      </c>
      <c r="D9208" t="s">
        <v>18507</v>
      </c>
      <c r="E9208" t="s">
        <v>18508</v>
      </c>
      <c r="G9208" s="1">
        <v>8.43</v>
      </c>
    </row>
    <row r="9209" spans="1:7" ht="14.25" customHeight="1" x14ac:dyDescent="0.45">
      <c r="A9209" t="str">
        <f>_xlfn.XLOOKUP(B9209,Ingot!$H$12:$H$119,Ingot!$G$12:$G$119,"")</f>
        <v>Leather</v>
      </c>
      <c r="B9209" t="s">
        <v>18420</v>
      </c>
      <c r="C9209" t="s">
        <v>10</v>
      </c>
      <c r="D9209" t="s">
        <v>18509</v>
      </c>
      <c r="E9209" t="s">
        <v>18510</v>
      </c>
      <c r="G9209" s="1">
        <v>13.07</v>
      </c>
    </row>
    <row r="9210" spans="1:7" ht="14.25" customHeight="1" x14ac:dyDescent="0.45">
      <c r="A9210" t="str">
        <f>_xlfn.XLOOKUP(B9210,Ingot!$H$12:$H$119,Ingot!$G$12:$G$119,"")</f>
        <v>Leather</v>
      </c>
      <c r="B9210" t="s">
        <v>18420</v>
      </c>
      <c r="C9210" t="s">
        <v>10</v>
      </c>
      <c r="D9210" t="s">
        <v>18511</v>
      </c>
      <c r="E9210" t="s">
        <v>18512</v>
      </c>
    </row>
    <row r="9211" spans="1:7" ht="14.25" customHeight="1" x14ac:dyDescent="0.45">
      <c r="A9211" t="str">
        <f>_xlfn.XLOOKUP(B9211,Ingot!$H$12:$H$119,Ingot!$G$12:$G$119,"")</f>
        <v>Leather</v>
      </c>
      <c r="B9211" t="s">
        <v>18420</v>
      </c>
      <c r="C9211" t="s">
        <v>10</v>
      </c>
      <c r="D9211" t="s">
        <v>18513</v>
      </c>
      <c r="E9211" t="s">
        <v>18514</v>
      </c>
    </row>
    <row r="9212" spans="1:7" ht="14.25" customHeight="1" x14ac:dyDescent="0.45">
      <c r="A9212" t="str">
        <f>_xlfn.XLOOKUP(B9212,Ingot!$H$12:$H$119,Ingot!$G$12:$G$119,"")</f>
        <v>Leather</v>
      </c>
      <c r="B9212" t="s">
        <v>18420</v>
      </c>
      <c r="C9212" t="s">
        <v>10</v>
      </c>
      <c r="D9212" t="s">
        <v>18515</v>
      </c>
      <c r="E9212" t="s">
        <v>18516</v>
      </c>
      <c r="G9212" s="1">
        <v>6.8</v>
      </c>
    </row>
    <row r="9213" spans="1:7" ht="14.25" customHeight="1" x14ac:dyDescent="0.45">
      <c r="A9213" t="str">
        <f>_xlfn.XLOOKUP(B9213,Ingot!$H$12:$H$119,Ingot!$G$12:$G$119,"")</f>
        <v>Leather</v>
      </c>
      <c r="B9213" t="s">
        <v>18420</v>
      </c>
      <c r="C9213" t="s">
        <v>10</v>
      </c>
      <c r="D9213" t="s">
        <v>18517</v>
      </c>
      <c r="E9213" t="s">
        <v>18518</v>
      </c>
      <c r="G9213" s="1">
        <v>6.88</v>
      </c>
    </row>
    <row r="9214" spans="1:7" ht="14.25" customHeight="1" x14ac:dyDescent="0.45">
      <c r="A9214" t="str">
        <f>_xlfn.XLOOKUP(B9214,Ingot!$H$12:$H$119,Ingot!$G$12:$G$119,"")</f>
        <v>Leather</v>
      </c>
      <c r="B9214" t="s">
        <v>18420</v>
      </c>
      <c r="C9214" t="s">
        <v>10</v>
      </c>
      <c r="D9214" t="s">
        <v>18519</v>
      </c>
      <c r="E9214" t="s">
        <v>18520</v>
      </c>
      <c r="G9214" s="1">
        <v>5.5</v>
      </c>
    </row>
    <row r="9215" spans="1:7" ht="14.25" customHeight="1" x14ac:dyDescent="0.45">
      <c r="A9215" t="str">
        <f>_xlfn.XLOOKUP(B9215,Ingot!$H$12:$H$119,Ingot!$G$12:$G$119,"")</f>
        <v>Leather</v>
      </c>
      <c r="B9215" t="s">
        <v>18420</v>
      </c>
      <c r="C9215" t="s">
        <v>10</v>
      </c>
      <c r="D9215" t="s">
        <v>18521</v>
      </c>
      <c r="E9215" t="s">
        <v>18522</v>
      </c>
      <c r="G9215" s="1">
        <v>2.4300000000000002</v>
      </c>
    </row>
    <row r="9216" spans="1:7" ht="14.25" customHeight="1" x14ac:dyDescent="0.45">
      <c r="A9216" t="str">
        <f>_xlfn.XLOOKUP(B9216,Ingot!$H$12:$H$119,Ingot!$G$12:$G$119,"")</f>
        <v>Leather</v>
      </c>
      <c r="B9216" t="s">
        <v>18420</v>
      </c>
      <c r="C9216" t="s">
        <v>10</v>
      </c>
      <c r="D9216" t="s">
        <v>18523</v>
      </c>
      <c r="E9216" t="s">
        <v>18524</v>
      </c>
      <c r="G9216" s="1">
        <v>6.96</v>
      </c>
    </row>
    <row r="9217" spans="1:7" ht="14.25" customHeight="1" x14ac:dyDescent="0.45">
      <c r="A9217" t="str">
        <f>_xlfn.XLOOKUP(B9217,Ingot!$H$12:$H$119,Ingot!$G$12:$G$119,"")</f>
        <v>Leather</v>
      </c>
      <c r="B9217" t="s">
        <v>18420</v>
      </c>
      <c r="C9217" t="s">
        <v>10</v>
      </c>
      <c r="D9217" t="s">
        <v>18525</v>
      </c>
      <c r="E9217" t="s">
        <v>18526</v>
      </c>
      <c r="G9217" s="1">
        <v>6.32</v>
      </c>
    </row>
    <row r="9218" spans="1:7" ht="14.25" customHeight="1" x14ac:dyDescent="0.45">
      <c r="A9218" t="str">
        <f>_xlfn.XLOOKUP(B9218,Ingot!$H$12:$H$119,Ingot!$G$12:$G$119,"")</f>
        <v>Leather</v>
      </c>
      <c r="B9218" t="s">
        <v>18420</v>
      </c>
      <c r="C9218" t="s">
        <v>10</v>
      </c>
      <c r="D9218" t="s">
        <v>18527</v>
      </c>
      <c r="E9218" t="s">
        <v>18528</v>
      </c>
      <c r="G9218" s="1">
        <v>6.88</v>
      </c>
    </row>
    <row r="9219" spans="1:7" ht="14.25" customHeight="1" x14ac:dyDescent="0.45">
      <c r="A9219" t="str">
        <f>_xlfn.XLOOKUP(B9219,Ingot!$H$12:$H$119,Ingot!$G$12:$G$119,"")</f>
        <v>Leather</v>
      </c>
      <c r="B9219" t="s">
        <v>18420</v>
      </c>
      <c r="C9219" t="s">
        <v>10</v>
      </c>
      <c r="D9219" t="s">
        <v>18529</v>
      </c>
      <c r="E9219" t="s">
        <v>18530</v>
      </c>
      <c r="G9219" s="1">
        <v>2.44</v>
      </c>
    </row>
    <row r="9220" spans="1:7" ht="14.25" customHeight="1" x14ac:dyDescent="0.45">
      <c r="A9220" t="str">
        <f>_xlfn.XLOOKUP(B9220,Ingot!$H$12:$H$119,Ingot!$G$12:$G$119,"")</f>
        <v>Leather</v>
      </c>
      <c r="B9220" t="s">
        <v>18420</v>
      </c>
      <c r="C9220" t="s">
        <v>10</v>
      </c>
      <c r="D9220" t="s">
        <v>18531</v>
      </c>
      <c r="E9220" t="s">
        <v>18532</v>
      </c>
    </row>
    <row r="9221" spans="1:7" ht="14.25" customHeight="1" x14ac:dyDescent="0.45">
      <c r="A9221" t="str">
        <f>_xlfn.XLOOKUP(B9221,Ingot!$H$12:$H$119,Ingot!$G$12:$G$119,"")</f>
        <v>Leather</v>
      </c>
      <c r="B9221" t="s">
        <v>18420</v>
      </c>
      <c r="C9221" t="s">
        <v>10</v>
      </c>
      <c r="D9221" t="s">
        <v>18533</v>
      </c>
      <c r="E9221" t="s">
        <v>18534</v>
      </c>
    </row>
    <row r="9222" spans="1:7" ht="14.25" customHeight="1" x14ac:dyDescent="0.45">
      <c r="A9222" t="str">
        <f>_xlfn.XLOOKUP(B9222,Ingot!$H$12:$H$119,Ingot!$G$12:$G$119,"")</f>
        <v>Leather</v>
      </c>
      <c r="B9222" t="s">
        <v>18420</v>
      </c>
      <c r="C9222" t="s">
        <v>10</v>
      </c>
      <c r="D9222" t="s">
        <v>18535</v>
      </c>
      <c r="E9222" t="s">
        <v>18536</v>
      </c>
      <c r="G9222" s="1">
        <v>3.11</v>
      </c>
    </row>
    <row r="9223" spans="1:7" ht="14.25" customHeight="1" x14ac:dyDescent="0.45">
      <c r="A9223" t="str">
        <f>_xlfn.XLOOKUP(B9223,Ingot!$H$12:$H$119,Ingot!$G$12:$G$119,"")</f>
        <v>Leather</v>
      </c>
      <c r="B9223" t="s">
        <v>18420</v>
      </c>
      <c r="C9223" t="s">
        <v>10</v>
      </c>
      <c r="D9223" t="s">
        <v>18537</v>
      </c>
      <c r="E9223" t="s">
        <v>18538</v>
      </c>
      <c r="G9223" s="1">
        <v>2.44</v>
      </c>
    </row>
    <row r="9224" spans="1:7" ht="14.25" customHeight="1" x14ac:dyDescent="0.45">
      <c r="A9224" t="str">
        <f>_xlfn.XLOOKUP(B9224,Ingot!$H$12:$H$119,Ingot!$G$12:$G$119,"")</f>
        <v>Leather</v>
      </c>
      <c r="B9224" t="s">
        <v>18420</v>
      </c>
      <c r="C9224" t="s">
        <v>10</v>
      </c>
      <c r="D9224" t="s">
        <v>18539</v>
      </c>
      <c r="E9224" t="s">
        <v>18540</v>
      </c>
      <c r="G9224" s="1">
        <v>8.61</v>
      </c>
    </row>
    <row r="9225" spans="1:7" ht="14.25" customHeight="1" x14ac:dyDescent="0.45">
      <c r="A9225" t="str">
        <f>_xlfn.XLOOKUP(B9225,Ingot!$H$12:$H$119,Ingot!$G$12:$G$119,"")</f>
        <v>Leather</v>
      </c>
      <c r="B9225" t="s">
        <v>18420</v>
      </c>
      <c r="C9225" t="s">
        <v>10</v>
      </c>
      <c r="D9225" t="s">
        <v>18541</v>
      </c>
      <c r="E9225" t="s">
        <v>18542</v>
      </c>
    </row>
    <row r="9226" spans="1:7" ht="14.25" customHeight="1" x14ac:dyDescent="0.45">
      <c r="A9226" t="str">
        <f>_xlfn.XLOOKUP(B9226,Ingot!$H$12:$H$119,Ingot!$G$12:$G$119,"")</f>
        <v>Leather</v>
      </c>
      <c r="B9226" t="s">
        <v>18420</v>
      </c>
      <c r="C9226" t="s">
        <v>10</v>
      </c>
      <c r="D9226" t="s">
        <v>18543</v>
      </c>
      <c r="E9226" t="s">
        <v>18544</v>
      </c>
      <c r="G9226" s="1">
        <v>3.21</v>
      </c>
    </row>
    <row r="9227" spans="1:7" ht="14.25" customHeight="1" x14ac:dyDescent="0.45">
      <c r="A9227" t="str">
        <f>_xlfn.XLOOKUP(B9227,Ingot!$H$12:$H$119,Ingot!$G$12:$G$119,"")</f>
        <v>Leather</v>
      </c>
      <c r="B9227" t="s">
        <v>18420</v>
      </c>
      <c r="C9227" t="s">
        <v>10</v>
      </c>
      <c r="D9227" t="s">
        <v>18545</v>
      </c>
      <c r="E9227" t="s">
        <v>18546</v>
      </c>
      <c r="G9227" s="1">
        <v>2.77</v>
      </c>
    </row>
    <row r="9228" spans="1:7" ht="14.25" customHeight="1" x14ac:dyDescent="0.45">
      <c r="A9228" t="str">
        <f>_xlfn.XLOOKUP(B9228,Ingot!$H$12:$H$119,Ingot!$G$12:$G$119,"")</f>
        <v>Leather</v>
      </c>
      <c r="B9228" t="s">
        <v>18420</v>
      </c>
      <c r="C9228" t="s">
        <v>10</v>
      </c>
      <c r="D9228" t="s">
        <v>18547</v>
      </c>
      <c r="E9228" t="s">
        <v>18548</v>
      </c>
      <c r="G9228" s="1">
        <v>4.8899999999999997</v>
      </c>
    </row>
    <row r="9229" spans="1:7" ht="14.25" customHeight="1" x14ac:dyDescent="0.45">
      <c r="A9229" t="str">
        <f>_xlfn.XLOOKUP(B9229,Ingot!$H$12:$H$119,Ingot!$G$12:$G$119,"")</f>
        <v>Leather</v>
      </c>
      <c r="B9229" t="s">
        <v>18420</v>
      </c>
      <c r="C9229" t="s">
        <v>10</v>
      </c>
      <c r="D9229" t="s">
        <v>18549</v>
      </c>
      <c r="E9229" t="s">
        <v>18550</v>
      </c>
      <c r="G9229" s="1">
        <v>1.76</v>
      </c>
    </row>
    <row r="9230" spans="1:7" ht="14.25" customHeight="1" x14ac:dyDescent="0.45">
      <c r="A9230" t="str">
        <f>_xlfn.XLOOKUP(B9230,Ingot!$H$12:$H$119,Ingot!$G$12:$G$119,"")</f>
        <v>Leather</v>
      </c>
      <c r="B9230" t="s">
        <v>18420</v>
      </c>
      <c r="C9230" t="s">
        <v>10</v>
      </c>
      <c r="D9230" t="s">
        <v>18551</v>
      </c>
      <c r="E9230" t="s">
        <v>18552</v>
      </c>
    </row>
    <row r="9231" spans="1:7" ht="14.25" customHeight="1" x14ac:dyDescent="0.45">
      <c r="A9231" t="str">
        <f>_xlfn.XLOOKUP(B9231,Ingot!$H$12:$H$119,Ingot!$G$12:$G$119,"")</f>
        <v>Leather</v>
      </c>
      <c r="B9231" t="s">
        <v>18420</v>
      </c>
      <c r="C9231" t="s">
        <v>10</v>
      </c>
      <c r="D9231" t="s">
        <v>18553</v>
      </c>
      <c r="E9231" t="s">
        <v>18554</v>
      </c>
      <c r="G9231" s="1">
        <v>8.57</v>
      </c>
    </row>
    <row r="9232" spans="1:7" ht="14.25" customHeight="1" x14ac:dyDescent="0.45">
      <c r="A9232" t="str">
        <f>_xlfn.XLOOKUP(B9232,Ingot!$H$12:$H$119,Ingot!$G$12:$G$119,"")</f>
        <v>Leather</v>
      </c>
      <c r="B9232" t="s">
        <v>18420</v>
      </c>
      <c r="C9232" t="s">
        <v>10</v>
      </c>
      <c r="D9232" t="s">
        <v>18555</v>
      </c>
      <c r="E9232" t="s">
        <v>18556</v>
      </c>
    </row>
    <row r="9233" spans="1:7" ht="14.25" customHeight="1" x14ac:dyDescent="0.45">
      <c r="A9233" t="str">
        <f>_xlfn.XLOOKUP(B9233,Ingot!$H$12:$H$119,Ingot!$G$12:$G$119,"")</f>
        <v>Leather</v>
      </c>
      <c r="B9233" t="s">
        <v>18420</v>
      </c>
      <c r="C9233" t="s">
        <v>10</v>
      </c>
      <c r="D9233" t="s">
        <v>18557</v>
      </c>
      <c r="E9233" t="s">
        <v>18558</v>
      </c>
      <c r="G9233" s="1">
        <v>3.56</v>
      </c>
    </row>
    <row r="9234" spans="1:7" ht="14.25" customHeight="1" x14ac:dyDescent="0.45">
      <c r="A9234" t="str">
        <f>_xlfn.XLOOKUP(B9234,Ingot!$H$12:$H$119,Ingot!$G$12:$G$119,"")</f>
        <v>Leather</v>
      </c>
      <c r="B9234" t="s">
        <v>18420</v>
      </c>
      <c r="C9234" t="s">
        <v>10</v>
      </c>
      <c r="D9234" t="s">
        <v>18559</v>
      </c>
      <c r="E9234" t="s">
        <v>18560</v>
      </c>
      <c r="G9234" s="1">
        <v>8.91</v>
      </c>
    </row>
    <row r="9235" spans="1:7" ht="14.25" customHeight="1" x14ac:dyDescent="0.45">
      <c r="A9235" t="str">
        <f>_xlfn.XLOOKUP(B9235,Ingot!$H$12:$H$119,Ingot!$G$12:$G$119,"")</f>
        <v>Leather</v>
      </c>
      <c r="B9235" t="s">
        <v>18420</v>
      </c>
      <c r="C9235" t="s">
        <v>10</v>
      </c>
      <c r="D9235" t="s">
        <v>18561</v>
      </c>
      <c r="E9235" t="s">
        <v>18562</v>
      </c>
      <c r="G9235" s="1">
        <v>11.02</v>
      </c>
    </row>
    <row r="9236" spans="1:7" ht="14.25" customHeight="1" x14ac:dyDescent="0.45">
      <c r="A9236" t="str">
        <f>_xlfn.XLOOKUP(B9236,Ingot!$H$12:$H$119,Ingot!$G$12:$G$119,"")</f>
        <v>Leather</v>
      </c>
      <c r="B9236" t="s">
        <v>18420</v>
      </c>
      <c r="C9236" t="s">
        <v>10</v>
      </c>
      <c r="D9236" t="s">
        <v>18563</v>
      </c>
      <c r="E9236" t="s">
        <v>18564</v>
      </c>
      <c r="G9236" s="1">
        <v>5.12</v>
      </c>
    </row>
    <row r="9237" spans="1:7" ht="14.25" customHeight="1" x14ac:dyDescent="0.45">
      <c r="A9237" t="str">
        <f>_xlfn.XLOOKUP(B9237,Ingot!$H$12:$H$119,Ingot!$G$12:$G$119,"")</f>
        <v>Leather</v>
      </c>
      <c r="B9237" t="s">
        <v>18420</v>
      </c>
      <c r="C9237" t="s">
        <v>10</v>
      </c>
      <c r="D9237" t="s">
        <v>18565</v>
      </c>
      <c r="E9237" t="s">
        <v>18566</v>
      </c>
      <c r="G9237" s="1">
        <v>4.41</v>
      </c>
    </row>
    <row r="9238" spans="1:7" ht="14.25" customHeight="1" x14ac:dyDescent="0.45">
      <c r="A9238" t="str">
        <f>_xlfn.XLOOKUP(B9238,Ingot!$H$12:$H$119,Ingot!$G$12:$G$119,"")</f>
        <v>Leather</v>
      </c>
      <c r="B9238" t="s">
        <v>18420</v>
      </c>
      <c r="C9238" t="s">
        <v>157</v>
      </c>
      <c r="D9238" t="s">
        <v>18567</v>
      </c>
      <c r="E9238" t="s">
        <v>18568</v>
      </c>
      <c r="G9238" s="1">
        <v>17.2</v>
      </c>
    </row>
    <row r="9239" spans="1:7" ht="14.25" customHeight="1" x14ac:dyDescent="0.45">
      <c r="A9239" t="str">
        <f>_xlfn.XLOOKUP(B9239,Ingot!$H$12:$H$119,Ingot!$G$12:$G$119,"")</f>
        <v>Leather</v>
      </c>
      <c r="B9239" t="s">
        <v>18420</v>
      </c>
      <c r="C9239" t="s">
        <v>157</v>
      </c>
      <c r="D9239" t="s">
        <v>18569</v>
      </c>
      <c r="E9239" t="s">
        <v>18570</v>
      </c>
      <c r="G9239" s="1">
        <v>5</v>
      </c>
    </row>
    <row r="9240" spans="1:7" ht="14.25" customHeight="1" x14ac:dyDescent="0.45">
      <c r="A9240" t="str">
        <f>_xlfn.XLOOKUP(B9240,Ingot!$H$12:$H$119,Ingot!$G$12:$G$119,"")</f>
        <v>Leather</v>
      </c>
      <c r="B9240" t="s">
        <v>18420</v>
      </c>
      <c r="C9240" t="s">
        <v>157</v>
      </c>
      <c r="D9240" t="s">
        <v>18571</v>
      </c>
      <c r="E9240" t="s">
        <v>18572</v>
      </c>
      <c r="G9240" s="1">
        <v>5</v>
      </c>
    </row>
    <row r="9241" spans="1:7" ht="14.25" customHeight="1" x14ac:dyDescent="0.45">
      <c r="A9241" t="str">
        <f>_xlfn.XLOOKUP(B9241,Ingot!$H$12:$H$119,Ingot!$G$12:$G$119,"")</f>
        <v>Leather</v>
      </c>
      <c r="B9241" t="s">
        <v>18420</v>
      </c>
      <c r="C9241" t="s">
        <v>157</v>
      </c>
      <c r="D9241" t="s">
        <v>18573</v>
      </c>
      <c r="E9241" t="s">
        <v>18574</v>
      </c>
      <c r="G9241" s="1">
        <v>5</v>
      </c>
    </row>
    <row r="9242" spans="1:7" ht="14.25" customHeight="1" x14ac:dyDescent="0.45">
      <c r="A9242" t="str">
        <f>_xlfn.XLOOKUP(B9242,Ingot!$H$12:$H$119,Ingot!$G$12:$G$119,"")</f>
        <v>Leather</v>
      </c>
      <c r="B9242" t="s">
        <v>18420</v>
      </c>
      <c r="C9242" t="s">
        <v>157</v>
      </c>
      <c r="D9242" t="s">
        <v>18575</v>
      </c>
      <c r="E9242" t="s">
        <v>18576</v>
      </c>
      <c r="G9242" s="1">
        <v>10</v>
      </c>
    </row>
    <row r="9243" spans="1:7" ht="14.25" customHeight="1" x14ac:dyDescent="0.45">
      <c r="A9243" t="str">
        <f>_xlfn.XLOOKUP(B9243,Ingot!$H$12:$H$119,Ingot!$G$12:$G$119,"")</f>
        <v>Leather</v>
      </c>
      <c r="B9243" t="s">
        <v>18420</v>
      </c>
      <c r="C9243" t="s">
        <v>157</v>
      </c>
      <c r="D9243" t="s">
        <v>18577</v>
      </c>
      <c r="E9243" t="s">
        <v>18578</v>
      </c>
      <c r="G9243" s="1">
        <v>14.5</v>
      </c>
    </row>
    <row r="9244" spans="1:7" ht="14.25" customHeight="1" x14ac:dyDescent="0.45">
      <c r="A9244" t="str">
        <f>_xlfn.XLOOKUP(B9244,Ingot!$H$12:$H$119,Ingot!$G$12:$G$119,"")</f>
        <v>Leather</v>
      </c>
      <c r="B9244" t="s">
        <v>18420</v>
      </c>
      <c r="C9244" t="s">
        <v>157</v>
      </c>
      <c r="D9244" t="s">
        <v>18579</v>
      </c>
      <c r="E9244" t="s">
        <v>18580</v>
      </c>
      <c r="G9244" s="1">
        <v>5</v>
      </c>
    </row>
    <row r="9245" spans="1:7" ht="14.25" customHeight="1" x14ac:dyDescent="0.45">
      <c r="A9245" t="str">
        <f>_xlfn.XLOOKUP(B9245,Ingot!$H$12:$H$119,Ingot!$G$12:$G$119,"")</f>
        <v>Leather</v>
      </c>
      <c r="B9245" t="s">
        <v>18420</v>
      </c>
      <c r="C9245" t="s">
        <v>157</v>
      </c>
      <c r="D9245" t="s">
        <v>18581</v>
      </c>
      <c r="E9245" t="s">
        <v>18582</v>
      </c>
      <c r="G9245" s="1">
        <v>5</v>
      </c>
    </row>
    <row r="9246" spans="1:7" ht="14.25" customHeight="1" x14ac:dyDescent="0.45">
      <c r="A9246" t="str">
        <f>_xlfn.XLOOKUP(B9246,Ingot!$H$12:$H$119,Ingot!$G$12:$G$119,"")</f>
        <v>Leather</v>
      </c>
      <c r="B9246" t="s">
        <v>18420</v>
      </c>
      <c r="C9246" t="s">
        <v>157</v>
      </c>
      <c r="D9246" t="s">
        <v>18583</v>
      </c>
      <c r="E9246" t="s">
        <v>18584</v>
      </c>
      <c r="G9246" s="1">
        <v>5</v>
      </c>
    </row>
    <row r="9247" spans="1:7" ht="14.25" customHeight="1" x14ac:dyDescent="0.45">
      <c r="A9247" t="str">
        <f>_xlfn.XLOOKUP(B9247,Ingot!$H$12:$H$119,Ingot!$G$12:$G$119,"")</f>
        <v>Leather</v>
      </c>
      <c r="B9247" t="s">
        <v>18420</v>
      </c>
      <c r="C9247" t="s">
        <v>157</v>
      </c>
      <c r="D9247" t="s">
        <v>18585</v>
      </c>
      <c r="E9247" t="s">
        <v>18586</v>
      </c>
      <c r="G9247" s="1">
        <v>10</v>
      </c>
    </row>
    <row r="9248" spans="1:7" ht="14.25" customHeight="1" x14ac:dyDescent="0.45">
      <c r="A9248" t="str">
        <f>_xlfn.XLOOKUP(B9248,Ingot!$H$12:$H$119,Ingot!$G$12:$G$119,"")</f>
        <v>Leather</v>
      </c>
      <c r="B9248" t="s">
        <v>18420</v>
      </c>
      <c r="C9248" t="s">
        <v>157</v>
      </c>
      <c r="D9248" t="s">
        <v>18587</v>
      </c>
      <c r="E9248" t="s">
        <v>18588</v>
      </c>
      <c r="G9248" s="1">
        <v>14</v>
      </c>
    </row>
    <row r="9249" spans="1:7" ht="14.25" customHeight="1" x14ac:dyDescent="0.45">
      <c r="A9249" t="str">
        <f>_xlfn.XLOOKUP(B9249,Ingot!$H$12:$H$119,Ingot!$G$12:$G$119,"")</f>
        <v>Leather</v>
      </c>
      <c r="B9249" t="s">
        <v>18420</v>
      </c>
      <c r="C9249" t="s">
        <v>157</v>
      </c>
      <c r="D9249" t="s">
        <v>18589</v>
      </c>
      <c r="E9249" t="s">
        <v>18590</v>
      </c>
      <c r="G9249" s="1">
        <v>5</v>
      </c>
    </row>
    <row r="9250" spans="1:7" ht="14.25" customHeight="1" x14ac:dyDescent="0.45">
      <c r="A9250" t="str">
        <f>_xlfn.XLOOKUP(B9250,Ingot!$H$12:$H$119,Ingot!$G$12:$G$119,"")</f>
        <v>Leather</v>
      </c>
      <c r="B9250" t="s">
        <v>18420</v>
      </c>
      <c r="C9250" t="s">
        <v>157</v>
      </c>
      <c r="D9250" t="s">
        <v>18591</v>
      </c>
      <c r="E9250" t="s">
        <v>18592</v>
      </c>
      <c r="G9250" s="1">
        <v>5</v>
      </c>
    </row>
    <row r="9251" spans="1:7" ht="14.25" customHeight="1" x14ac:dyDescent="0.45">
      <c r="A9251" t="str">
        <f>_xlfn.XLOOKUP(B9251,Ingot!$H$12:$H$119,Ingot!$G$12:$G$119,"")</f>
        <v>Leather</v>
      </c>
      <c r="B9251" t="s">
        <v>18420</v>
      </c>
      <c r="C9251" t="s">
        <v>157</v>
      </c>
      <c r="D9251" t="s">
        <v>18593</v>
      </c>
      <c r="E9251" t="s">
        <v>18594</v>
      </c>
      <c r="G9251" s="1">
        <v>5</v>
      </c>
    </row>
    <row r="9252" spans="1:7" ht="14.25" customHeight="1" x14ac:dyDescent="0.45">
      <c r="A9252" t="str">
        <f>_xlfn.XLOOKUP(B9252,Ingot!$H$12:$H$119,Ingot!$G$12:$G$119,"")</f>
        <v>Leather</v>
      </c>
      <c r="B9252" t="s">
        <v>18420</v>
      </c>
      <c r="C9252" t="s">
        <v>157</v>
      </c>
      <c r="D9252" t="s">
        <v>18595</v>
      </c>
      <c r="E9252" t="s">
        <v>18596</v>
      </c>
      <c r="G9252" s="1">
        <v>10</v>
      </c>
    </row>
    <row r="9253" spans="1:7" ht="14.25" customHeight="1" x14ac:dyDescent="0.45">
      <c r="A9253" t="str">
        <f>_xlfn.XLOOKUP(B9253,Ingot!$H$12:$H$119,Ingot!$G$12:$G$119,"")</f>
        <v>Leather</v>
      </c>
      <c r="B9253" t="s">
        <v>18420</v>
      </c>
      <c r="C9253" t="s">
        <v>157</v>
      </c>
      <c r="D9253" t="s">
        <v>18597</v>
      </c>
      <c r="E9253" t="s">
        <v>18598</v>
      </c>
      <c r="G9253" s="1">
        <v>15.2</v>
      </c>
    </row>
    <row r="9254" spans="1:7" ht="14.25" customHeight="1" x14ac:dyDescent="0.45">
      <c r="A9254" t="str">
        <f>_xlfn.XLOOKUP(B9254,Ingot!$H$12:$H$119,Ingot!$G$12:$G$119,"")</f>
        <v>Leather</v>
      </c>
      <c r="B9254" t="s">
        <v>18420</v>
      </c>
      <c r="C9254" t="s">
        <v>157</v>
      </c>
      <c r="D9254" t="s">
        <v>18599</v>
      </c>
      <c r="E9254" t="s">
        <v>18600</v>
      </c>
      <c r="G9254" s="1">
        <v>5</v>
      </c>
    </row>
    <row r="9255" spans="1:7" ht="14.25" customHeight="1" x14ac:dyDescent="0.45">
      <c r="A9255" t="str">
        <f>_xlfn.XLOOKUP(B9255,Ingot!$H$12:$H$119,Ingot!$G$12:$G$119,"")</f>
        <v>Leather</v>
      </c>
      <c r="B9255" t="s">
        <v>18420</v>
      </c>
      <c r="C9255" t="s">
        <v>157</v>
      </c>
      <c r="D9255" t="s">
        <v>18601</v>
      </c>
      <c r="E9255" t="s">
        <v>18602</v>
      </c>
      <c r="G9255" s="1">
        <v>5</v>
      </c>
    </row>
    <row r="9256" spans="1:7" ht="14.25" customHeight="1" x14ac:dyDescent="0.45">
      <c r="A9256" t="str">
        <f>_xlfn.XLOOKUP(B9256,Ingot!$H$12:$H$119,Ingot!$G$12:$G$119,"")</f>
        <v>Leather</v>
      </c>
      <c r="B9256" t="s">
        <v>18420</v>
      </c>
      <c r="C9256" t="s">
        <v>157</v>
      </c>
      <c r="D9256" t="s">
        <v>18603</v>
      </c>
      <c r="E9256" t="s">
        <v>18604</v>
      </c>
      <c r="G9256" s="1">
        <v>5</v>
      </c>
    </row>
    <row r="9257" spans="1:7" ht="14.25" customHeight="1" x14ac:dyDescent="0.45">
      <c r="A9257" t="str">
        <f>_xlfn.XLOOKUP(B9257,Ingot!$H$12:$H$119,Ingot!$G$12:$G$119,"")</f>
        <v>Leather</v>
      </c>
      <c r="B9257" t="s">
        <v>18420</v>
      </c>
      <c r="C9257" t="s">
        <v>157</v>
      </c>
      <c r="D9257" t="s">
        <v>18605</v>
      </c>
      <c r="E9257" t="s">
        <v>18606</v>
      </c>
      <c r="G9257" s="1">
        <v>10</v>
      </c>
    </row>
    <row r="9258" spans="1:7" ht="14.25" customHeight="1" x14ac:dyDescent="0.45">
      <c r="A9258" t="str">
        <f>_xlfn.XLOOKUP(B9258,Ingot!$H$12:$H$119,Ingot!$G$12:$G$119,"")</f>
        <v>Leather</v>
      </c>
      <c r="B9258" t="s">
        <v>18420</v>
      </c>
      <c r="C9258" t="s">
        <v>157</v>
      </c>
      <c r="D9258" t="s">
        <v>18607</v>
      </c>
      <c r="E9258" t="s">
        <v>18608</v>
      </c>
      <c r="G9258" s="1">
        <v>16.2</v>
      </c>
    </row>
    <row r="9259" spans="1:7" ht="14.25" customHeight="1" x14ac:dyDescent="0.45">
      <c r="A9259" t="str">
        <f>_xlfn.XLOOKUP(B9259,Ingot!$H$12:$H$119,Ingot!$G$12:$G$119,"")</f>
        <v>Leather</v>
      </c>
      <c r="B9259" t="s">
        <v>18420</v>
      </c>
      <c r="C9259" t="s">
        <v>157</v>
      </c>
      <c r="D9259" t="s">
        <v>18609</v>
      </c>
      <c r="E9259" t="s">
        <v>18610</v>
      </c>
      <c r="G9259" s="1">
        <v>5</v>
      </c>
    </row>
    <row r="9260" spans="1:7" ht="14.25" customHeight="1" x14ac:dyDescent="0.45">
      <c r="A9260" t="str">
        <f>_xlfn.XLOOKUP(B9260,Ingot!$H$12:$H$119,Ingot!$G$12:$G$119,"")</f>
        <v>Leather</v>
      </c>
      <c r="B9260" t="s">
        <v>18420</v>
      </c>
      <c r="C9260" t="s">
        <v>157</v>
      </c>
      <c r="D9260" t="s">
        <v>18611</v>
      </c>
      <c r="E9260" t="s">
        <v>18612</v>
      </c>
      <c r="G9260" s="1">
        <v>5</v>
      </c>
    </row>
    <row r="9261" spans="1:7" ht="14.25" customHeight="1" x14ac:dyDescent="0.45">
      <c r="A9261" t="str">
        <f>_xlfn.XLOOKUP(B9261,Ingot!$H$12:$H$119,Ingot!$G$12:$G$119,"")</f>
        <v>Leather</v>
      </c>
      <c r="B9261" t="s">
        <v>18420</v>
      </c>
      <c r="C9261" t="s">
        <v>157</v>
      </c>
      <c r="D9261" t="s">
        <v>18613</v>
      </c>
      <c r="E9261" t="s">
        <v>18614</v>
      </c>
      <c r="G9261" s="1">
        <v>5</v>
      </c>
    </row>
    <row r="9262" spans="1:7" ht="14.25" customHeight="1" x14ac:dyDescent="0.45">
      <c r="A9262" t="str">
        <f>_xlfn.XLOOKUP(B9262,Ingot!$H$12:$H$119,Ingot!$G$12:$G$119,"")</f>
        <v>Leather</v>
      </c>
      <c r="B9262" t="s">
        <v>18420</v>
      </c>
      <c r="C9262" t="s">
        <v>157</v>
      </c>
      <c r="D9262" t="s">
        <v>18615</v>
      </c>
      <c r="E9262" t="s">
        <v>18616</v>
      </c>
      <c r="G9262" s="1">
        <v>10</v>
      </c>
    </row>
    <row r="9263" spans="1:7" ht="14.25" customHeight="1" x14ac:dyDescent="0.45">
      <c r="A9263" t="str">
        <f>_xlfn.XLOOKUP(B9263,Ingot!$H$12:$H$119,Ingot!$G$12:$G$119,"")</f>
        <v>Leather</v>
      </c>
      <c r="B9263" t="s">
        <v>18420</v>
      </c>
      <c r="C9263" t="s">
        <v>157</v>
      </c>
      <c r="D9263" t="s">
        <v>18617</v>
      </c>
      <c r="E9263" t="s">
        <v>18618</v>
      </c>
      <c r="G9263" s="1">
        <v>19.2</v>
      </c>
    </row>
    <row r="9264" spans="1:7" ht="14.25" customHeight="1" x14ac:dyDescent="0.45">
      <c r="A9264" t="str">
        <f>_xlfn.XLOOKUP(B9264,Ingot!$H$12:$H$119,Ingot!$G$12:$G$119,"")</f>
        <v>Leather</v>
      </c>
      <c r="B9264" t="s">
        <v>18420</v>
      </c>
      <c r="C9264" t="s">
        <v>157</v>
      </c>
      <c r="D9264" t="s">
        <v>18619</v>
      </c>
      <c r="E9264" t="s">
        <v>18620</v>
      </c>
      <c r="G9264" s="1">
        <v>5</v>
      </c>
    </row>
    <row r="9265" spans="1:7" ht="14.25" customHeight="1" x14ac:dyDescent="0.45">
      <c r="A9265" t="str">
        <f>_xlfn.XLOOKUP(B9265,Ingot!$H$12:$H$119,Ingot!$G$12:$G$119,"")</f>
        <v>Leather</v>
      </c>
      <c r="B9265" t="s">
        <v>18420</v>
      </c>
      <c r="C9265" t="s">
        <v>157</v>
      </c>
      <c r="D9265" t="s">
        <v>18621</v>
      </c>
      <c r="E9265" t="s">
        <v>18622</v>
      </c>
      <c r="G9265" s="1">
        <v>5</v>
      </c>
    </row>
    <row r="9266" spans="1:7" ht="14.25" customHeight="1" x14ac:dyDescent="0.45">
      <c r="A9266" t="str">
        <f>_xlfn.XLOOKUP(B9266,Ingot!$H$12:$H$119,Ingot!$G$12:$G$119,"")</f>
        <v>Leather</v>
      </c>
      <c r="B9266" t="s">
        <v>18420</v>
      </c>
      <c r="C9266" t="s">
        <v>157</v>
      </c>
      <c r="D9266" t="s">
        <v>18623</v>
      </c>
      <c r="E9266" t="s">
        <v>18624</v>
      </c>
      <c r="G9266" s="1">
        <v>5</v>
      </c>
    </row>
    <row r="9267" spans="1:7" ht="14.25" customHeight="1" x14ac:dyDescent="0.45">
      <c r="A9267" t="str">
        <f>_xlfn.XLOOKUP(B9267,Ingot!$H$12:$H$119,Ingot!$G$12:$G$119,"")</f>
        <v>Leather</v>
      </c>
      <c r="B9267" t="s">
        <v>18420</v>
      </c>
      <c r="C9267" t="s">
        <v>157</v>
      </c>
      <c r="D9267" t="s">
        <v>18625</v>
      </c>
      <c r="E9267" t="s">
        <v>18626</v>
      </c>
      <c r="G9267" s="1">
        <v>10</v>
      </c>
    </row>
    <row r="9268" spans="1:7" ht="14.25" customHeight="1" x14ac:dyDescent="0.45">
      <c r="A9268" t="str">
        <f>_xlfn.XLOOKUP(B9268,Ingot!$H$12:$H$119,Ingot!$G$12:$G$119,"")</f>
        <v>Leather</v>
      </c>
      <c r="B9268" t="s">
        <v>18420</v>
      </c>
      <c r="C9268" t="s">
        <v>157</v>
      </c>
      <c r="D9268" t="s">
        <v>18627</v>
      </c>
      <c r="E9268" t="s">
        <v>18628</v>
      </c>
      <c r="G9268" s="1">
        <v>18.2</v>
      </c>
    </row>
    <row r="9269" spans="1:7" ht="14.25" customHeight="1" x14ac:dyDescent="0.45">
      <c r="A9269" t="str">
        <f>_xlfn.XLOOKUP(B9269,Ingot!$H$12:$H$119,Ingot!$G$12:$G$119,"")</f>
        <v>Leather</v>
      </c>
      <c r="B9269" t="s">
        <v>18420</v>
      </c>
      <c r="C9269" t="s">
        <v>157</v>
      </c>
      <c r="D9269" t="s">
        <v>18629</v>
      </c>
      <c r="E9269" t="s">
        <v>18630</v>
      </c>
      <c r="G9269" s="1">
        <v>5</v>
      </c>
    </row>
    <row r="9270" spans="1:7" ht="14.25" customHeight="1" x14ac:dyDescent="0.45">
      <c r="A9270" t="str">
        <f>_xlfn.XLOOKUP(B9270,Ingot!$H$12:$H$119,Ingot!$G$12:$G$119,"")</f>
        <v>Leather</v>
      </c>
      <c r="B9270" t="s">
        <v>18420</v>
      </c>
      <c r="C9270" t="s">
        <v>157</v>
      </c>
      <c r="D9270" t="s">
        <v>18631</v>
      </c>
      <c r="E9270" t="s">
        <v>18632</v>
      </c>
      <c r="G9270" s="1">
        <v>5</v>
      </c>
    </row>
    <row r="9271" spans="1:7" ht="14.25" customHeight="1" x14ac:dyDescent="0.45">
      <c r="A9271" t="str">
        <f>_xlfn.XLOOKUP(B9271,Ingot!$H$12:$H$119,Ingot!$G$12:$G$119,"")</f>
        <v>Leather</v>
      </c>
      <c r="B9271" t="s">
        <v>18420</v>
      </c>
      <c r="C9271" t="s">
        <v>157</v>
      </c>
      <c r="D9271" t="s">
        <v>18633</v>
      </c>
      <c r="E9271" t="s">
        <v>18634</v>
      </c>
      <c r="G9271" s="1">
        <v>5</v>
      </c>
    </row>
    <row r="9272" spans="1:7" ht="14.25" customHeight="1" x14ac:dyDescent="0.45">
      <c r="A9272" t="str">
        <f>_xlfn.XLOOKUP(B9272,Ingot!$H$12:$H$119,Ingot!$G$12:$G$119,"")</f>
        <v>Leather</v>
      </c>
      <c r="B9272" t="s">
        <v>18420</v>
      </c>
      <c r="C9272" t="s">
        <v>157</v>
      </c>
      <c r="D9272" t="s">
        <v>18635</v>
      </c>
      <c r="E9272" t="s">
        <v>18636</v>
      </c>
      <c r="G9272" s="1">
        <v>10</v>
      </c>
    </row>
    <row r="9273" spans="1:7" ht="14.25" customHeight="1" x14ac:dyDescent="0.45">
      <c r="A9273" t="str">
        <f>_xlfn.XLOOKUP(B9273,Ingot!$H$12:$H$119,Ingot!$G$12:$G$119,"")</f>
        <v>Leather</v>
      </c>
      <c r="B9273" t="s">
        <v>18420</v>
      </c>
      <c r="C9273" t="s">
        <v>157</v>
      </c>
      <c r="D9273" t="s">
        <v>18637</v>
      </c>
      <c r="E9273" t="s">
        <v>18638</v>
      </c>
      <c r="G9273" s="1">
        <v>13.8</v>
      </c>
    </row>
    <row r="9274" spans="1:7" ht="14.25" customHeight="1" x14ac:dyDescent="0.45">
      <c r="A9274" t="str">
        <f>_xlfn.XLOOKUP(B9274,Ingot!$H$12:$H$119,Ingot!$G$12:$G$119,"")</f>
        <v>Leather</v>
      </c>
      <c r="B9274" t="s">
        <v>18420</v>
      </c>
      <c r="C9274" t="s">
        <v>157</v>
      </c>
      <c r="D9274" t="s">
        <v>18639</v>
      </c>
      <c r="E9274" t="s">
        <v>18640</v>
      </c>
      <c r="G9274" s="1">
        <v>5</v>
      </c>
    </row>
    <row r="9275" spans="1:7" ht="14.25" customHeight="1" x14ac:dyDescent="0.45">
      <c r="A9275" t="str">
        <f>_xlfn.XLOOKUP(B9275,Ingot!$H$12:$H$119,Ingot!$G$12:$G$119,"")</f>
        <v>Leather</v>
      </c>
      <c r="B9275" t="s">
        <v>18420</v>
      </c>
      <c r="C9275" t="s">
        <v>157</v>
      </c>
      <c r="D9275" t="s">
        <v>18641</v>
      </c>
      <c r="E9275" t="s">
        <v>18642</v>
      </c>
      <c r="G9275" s="1">
        <v>5</v>
      </c>
    </row>
    <row r="9276" spans="1:7" ht="14.25" customHeight="1" x14ac:dyDescent="0.45">
      <c r="A9276" t="str">
        <f>_xlfn.XLOOKUP(B9276,Ingot!$H$12:$H$119,Ingot!$G$12:$G$119,"")</f>
        <v>Leather</v>
      </c>
      <c r="B9276" t="s">
        <v>18420</v>
      </c>
      <c r="C9276" t="s">
        <v>157</v>
      </c>
      <c r="D9276" t="s">
        <v>18643</v>
      </c>
      <c r="E9276" t="s">
        <v>18644</v>
      </c>
      <c r="G9276" s="1">
        <v>5</v>
      </c>
    </row>
    <row r="9277" spans="1:7" ht="14.25" customHeight="1" x14ac:dyDescent="0.45">
      <c r="A9277" t="str">
        <f>_xlfn.XLOOKUP(B9277,Ingot!$H$12:$H$119,Ingot!$G$12:$G$119,"")</f>
        <v>Leather</v>
      </c>
      <c r="B9277" t="s">
        <v>18420</v>
      </c>
      <c r="C9277" t="s">
        <v>157</v>
      </c>
      <c r="D9277" t="s">
        <v>18645</v>
      </c>
      <c r="E9277" t="s">
        <v>18646</v>
      </c>
      <c r="G9277" s="1">
        <v>10</v>
      </c>
    </row>
    <row r="9278" spans="1:7" ht="14.25" customHeight="1" x14ac:dyDescent="0.45">
      <c r="A9278" t="str">
        <f>_xlfn.XLOOKUP(B9278,Ingot!$H$12:$H$119,Ingot!$G$12:$G$119,"")</f>
        <v>Leather</v>
      </c>
      <c r="B9278" t="s">
        <v>18420</v>
      </c>
      <c r="C9278" t="s">
        <v>239</v>
      </c>
      <c r="D9278" t="s">
        <v>18647</v>
      </c>
      <c r="E9278" t="s">
        <v>18648</v>
      </c>
    </row>
    <row r="9279" spans="1:7" ht="14.25" customHeight="1" x14ac:dyDescent="0.45">
      <c r="A9279" t="str">
        <f>_xlfn.XLOOKUP(B9279,Ingot!$H$12:$H$119,Ingot!$G$12:$G$119,"")</f>
        <v>Leather</v>
      </c>
      <c r="B9279" t="s">
        <v>18420</v>
      </c>
      <c r="C9279" t="s">
        <v>239</v>
      </c>
      <c r="D9279" t="s">
        <v>18649</v>
      </c>
      <c r="E9279" t="s">
        <v>18650</v>
      </c>
    </row>
    <row r="9280" spans="1:7" ht="14.25" customHeight="1" x14ac:dyDescent="0.45">
      <c r="A9280" t="str">
        <f>_xlfn.XLOOKUP(B9280,Ingot!$H$12:$H$119,Ingot!$G$12:$G$119,"")</f>
        <v>Leather</v>
      </c>
      <c r="B9280" t="s">
        <v>18420</v>
      </c>
      <c r="C9280" t="s">
        <v>239</v>
      </c>
      <c r="D9280" t="s">
        <v>18651</v>
      </c>
      <c r="E9280" t="s">
        <v>18652</v>
      </c>
    </row>
    <row r="9281" spans="1:7" ht="14.25" customHeight="1" x14ac:dyDescent="0.45">
      <c r="A9281" t="str">
        <f>_xlfn.XLOOKUP(B9281,Ingot!$H$12:$H$119,Ingot!$G$12:$G$119,"")</f>
        <v>Leather</v>
      </c>
      <c r="B9281" t="s">
        <v>18420</v>
      </c>
      <c r="C9281" t="s">
        <v>239</v>
      </c>
      <c r="D9281" t="s">
        <v>18653</v>
      </c>
      <c r="E9281" t="s">
        <v>18654</v>
      </c>
    </row>
    <row r="9282" spans="1:7" ht="14.25" customHeight="1" x14ac:dyDescent="0.45">
      <c r="A9282" t="str">
        <f>_xlfn.XLOOKUP(B9282,Ingot!$H$12:$H$119,Ingot!$G$12:$G$119,"")</f>
        <v>Leather</v>
      </c>
      <c r="B9282" t="s">
        <v>18420</v>
      </c>
      <c r="C9282" t="s">
        <v>239</v>
      </c>
      <c r="D9282" t="s">
        <v>18655</v>
      </c>
      <c r="E9282" t="s">
        <v>18656</v>
      </c>
    </row>
    <row r="9283" spans="1:7" ht="14.25" customHeight="1" x14ac:dyDescent="0.45">
      <c r="A9283" t="str">
        <f>_xlfn.XLOOKUP(B9283,Ingot!$H$12:$H$119,Ingot!$G$12:$G$119,"")</f>
        <v>Leather</v>
      </c>
      <c r="B9283" t="s">
        <v>18420</v>
      </c>
      <c r="C9283" t="s">
        <v>239</v>
      </c>
      <c r="D9283" t="s">
        <v>18657</v>
      </c>
      <c r="E9283" t="s">
        <v>18658</v>
      </c>
    </row>
    <row r="9284" spans="1:7" ht="14.25" customHeight="1" x14ac:dyDescent="0.45">
      <c r="A9284" t="str">
        <f>_xlfn.XLOOKUP(B9284,Ingot!$H$12:$H$119,Ingot!$G$12:$G$119,"")</f>
        <v>Leather</v>
      </c>
      <c r="B9284" t="s">
        <v>18659</v>
      </c>
      <c r="C9284" t="s">
        <v>10</v>
      </c>
      <c r="D9284" t="s">
        <v>18660</v>
      </c>
      <c r="E9284" t="s">
        <v>18661</v>
      </c>
      <c r="G9284" s="1">
        <v>0.08</v>
      </c>
    </row>
    <row r="9285" spans="1:7" ht="14.25" customHeight="1" x14ac:dyDescent="0.45">
      <c r="A9285" t="str">
        <f>_xlfn.XLOOKUP(B9285,Ingot!$H$12:$H$119,Ingot!$G$12:$G$119,"")</f>
        <v>Leather</v>
      </c>
      <c r="B9285" t="s">
        <v>18659</v>
      </c>
      <c r="C9285" t="s">
        <v>10</v>
      </c>
      <c r="D9285" t="s">
        <v>18662</v>
      </c>
      <c r="E9285" t="s">
        <v>18663</v>
      </c>
      <c r="G9285" s="1">
        <v>9.9</v>
      </c>
    </row>
    <row r="9286" spans="1:7" ht="14.25" customHeight="1" x14ac:dyDescent="0.45">
      <c r="A9286" t="str">
        <f>_xlfn.XLOOKUP(B9286,Ingot!$H$12:$H$119,Ingot!$G$12:$G$119,"")</f>
        <v>Leather</v>
      </c>
      <c r="B9286" t="s">
        <v>18659</v>
      </c>
      <c r="C9286" t="s">
        <v>10</v>
      </c>
      <c r="D9286" t="s">
        <v>18664</v>
      </c>
      <c r="E9286" t="s">
        <v>18665</v>
      </c>
      <c r="G9286" s="1">
        <v>5.66</v>
      </c>
    </row>
    <row r="9287" spans="1:7" ht="14.25" customHeight="1" x14ac:dyDescent="0.45">
      <c r="A9287" t="str">
        <f>_xlfn.XLOOKUP(B9287,Ingot!$H$12:$H$119,Ingot!$G$12:$G$119,"")</f>
        <v>Leather</v>
      </c>
      <c r="B9287" t="s">
        <v>18659</v>
      </c>
      <c r="C9287" t="s">
        <v>10</v>
      </c>
      <c r="D9287" t="s">
        <v>18666</v>
      </c>
      <c r="E9287" t="s">
        <v>18667</v>
      </c>
      <c r="G9287" s="1">
        <v>3.3</v>
      </c>
    </row>
    <row r="9288" spans="1:7" ht="14.25" customHeight="1" x14ac:dyDescent="0.45">
      <c r="A9288" t="str">
        <f>_xlfn.XLOOKUP(B9288,Ingot!$H$12:$H$119,Ingot!$G$12:$G$119,"")</f>
        <v>Leather</v>
      </c>
      <c r="B9288" t="s">
        <v>18659</v>
      </c>
      <c r="C9288" t="s">
        <v>10</v>
      </c>
      <c r="D9288" t="s">
        <v>18668</v>
      </c>
      <c r="E9288" t="s">
        <v>18669</v>
      </c>
      <c r="G9288" s="1">
        <v>0.66</v>
      </c>
    </row>
    <row r="9289" spans="1:7" ht="14.25" customHeight="1" x14ac:dyDescent="0.45">
      <c r="A9289" t="str">
        <f>_xlfn.XLOOKUP(B9289,Ingot!$H$12:$H$119,Ingot!$G$12:$G$119,"")</f>
        <v>Leather</v>
      </c>
      <c r="B9289" t="s">
        <v>18659</v>
      </c>
      <c r="C9289" t="s">
        <v>10</v>
      </c>
      <c r="D9289" t="s">
        <v>18670</v>
      </c>
      <c r="E9289" t="s">
        <v>18671</v>
      </c>
      <c r="G9289" s="1">
        <v>0.04</v>
      </c>
    </row>
    <row r="9290" spans="1:7" ht="14.25" customHeight="1" x14ac:dyDescent="0.45">
      <c r="A9290" t="str">
        <f>_xlfn.XLOOKUP(B9290,Ingot!$H$12:$H$119,Ingot!$G$12:$G$119,"")</f>
        <v>Leather</v>
      </c>
      <c r="B9290" t="s">
        <v>18659</v>
      </c>
      <c r="C9290" t="s">
        <v>10</v>
      </c>
      <c r="D9290" t="s">
        <v>18672</v>
      </c>
      <c r="E9290" t="s">
        <v>18673</v>
      </c>
      <c r="G9290" s="1">
        <v>0.33</v>
      </c>
    </row>
    <row r="9291" spans="1:7" ht="14.25" customHeight="1" x14ac:dyDescent="0.45">
      <c r="A9291" t="str">
        <f>_xlfn.XLOOKUP(B9291,Ingot!$H$12:$H$119,Ingot!$G$12:$G$119,"")</f>
        <v>Leather</v>
      </c>
      <c r="B9291" t="s">
        <v>18659</v>
      </c>
      <c r="C9291" t="s">
        <v>10</v>
      </c>
      <c r="D9291" t="s">
        <v>18674</v>
      </c>
      <c r="E9291" t="s">
        <v>18675</v>
      </c>
    </row>
    <row r="9292" spans="1:7" ht="14.25" customHeight="1" x14ac:dyDescent="0.45">
      <c r="A9292" t="str">
        <f>_xlfn.XLOOKUP(B9292,Ingot!$H$12:$H$119,Ingot!$G$12:$G$119,"")</f>
        <v>Leather</v>
      </c>
      <c r="B9292" t="s">
        <v>18659</v>
      </c>
      <c r="C9292" t="s">
        <v>10</v>
      </c>
      <c r="D9292" t="s">
        <v>18676</v>
      </c>
      <c r="E9292" t="s">
        <v>18677</v>
      </c>
      <c r="G9292" s="1">
        <v>0.05</v>
      </c>
    </row>
    <row r="9293" spans="1:7" ht="14.25" customHeight="1" x14ac:dyDescent="0.45">
      <c r="A9293" t="str">
        <f>_xlfn.XLOOKUP(B9293,Ingot!$H$12:$H$119,Ingot!$G$12:$G$119,"")</f>
        <v>Leather</v>
      </c>
      <c r="B9293" t="s">
        <v>18659</v>
      </c>
      <c r="C9293" t="s">
        <v>10</v>
      </c>
      <c r="D9293" t="s">
        <v>18678</v>
      </c>
      <c r="E9293" t="s">
        <v>18679</v>
      </c>
      <c r="G9293" s="1">
        <v>0.66</v>
      </c>
    </row>
    <row r="9294" spans="1:7" ht="14.25" customHeight="1" x14ac:dyDescent="0.45">
      <c r="A9294" t="str">
        <f>_xlfn.XLOOKUP(B9294,Ingot!$H$12:$H$119,Ingot!$G$12:$G$119,"")</f>
        <v>Leather</v>
      </c>
      <c r="B9294" t="s">
        <v>18659</v>
      </c>
      <c r="C9294" t="s">
        <v>10</v>
      </c>
      <c r="D9294" t="s">
        <v>18680</v>
      </c>
      <c r="E9294" t="s">
        <v>18681</v>
      </c>
      <c r="G9294" s="1">
        <v>3.96</v>
      </c>
    </row>
    <row r="9295" spans="1:7" ht="14.25" customHeight="1" x14ac:dyDescent="0.45">
      <c r="A9295" t="str">
        <f>_xlfn.XLOOKUP(B9295,Ingot!$H$12:$H$119,Ingot!$G$12:$G$119,"")</f>
        <v>Leather</v>
      </c>
      <c r="B9295" t="s">
        <v>18659</v>
      </c>
      <c r="C9295" t="s">
        <v>10</v>
      </c>
      <c r="D9295" t="s">
        <v>18682</v>
      </c>
      <c r="E9295" t="s">
        <v>18683</v>
      </c>
      <c r="G9295" s="1">
        <v>8.77</v>
      </c>
    </row>
    <row r="9296" spans="1:7" ht="14.25" customHeight="1" x14ac:dyDescent="0.45">
      <c r="A9296" t="str">
        <f>_xlfn.XLOOKUP(B9296,Ingot!$H$12:$H$119,Ingot!$G$12:$G$119,"")</f>
        <v>Leather</v>
      </c>
      <c r="B9296" t="s">
        <v>18659</v>
      </c>
      <c r="C9296" t="s">
        <v>10</v>
      </c>
      <c r="D9296" t="s">
        <v>18684</v>
      </c>
      <c r="E9296" t="s">
        <v>18685</v>
      </c>
      <c r="G9296" s="1">
        <v>3.5</v>
      </c>
    </row>
    <row r="9297" spans="1:7" ht="14.25" customHeight="1" x14ac:dyDescent="0.45">
      <c r="A9297" t="str">
        <f>_xlfn.XLOOKUP(B9297,Ingot!$H$12:$H$119,Ingot!$G$12:$G$119,"")</f>
        <v>Leather</v>
      </c>
      <c r="B9297" t="s">
        <v>18659</v>
      </c>
      <c r="C9297" t="s">
        <v>10</v>
      </c>
      <c r="D9297" t="s">
        <v>18686</v>
      </c>
      <c r="E9297" t="s">
        <v>18687</v>
      </c>
    </row>
    <row r="9298" spans="1:7" ht="14.25" customHeight="1" x14ac:dyDescent="0.45">
      <c r="A9298" t="str">
        <f>_xlfn.XLOOKUP(B9298,Ingot!$H$12:$H$119,Ingot!$G$12:$G$119,"")</f>
        <v>Leather</v>
      </c>
      <c r="B9298" t="s">
        <v>18659</v>
      </c>
      <c r="C9298" t="s">
        <v>10</v>
      </c>
      <c r="D9298" t="s">
        <v>18688</v>
      </c>
      <c r="E9298" t="s">
        <v>18689</v>
      </c>
      <c r="G9298" s="1">
        <v>2.2000000000000002</v>
      </c>
    </row>
    <row r="9299" spans="1:7" ht="14.25" customHeight="1" x14ac:dyDescent="0.45">
      <c r="A9299" t="str">
        <f>_xlfn.XLOOKUP(B9299,Ingot!$H$12:$H$119,Ingot!$G$12:$G$119,"")</f>
        <v>Leather</v>
      </c>
      <c r="B9299" t="s">
        <v>18659</v>
      </c>
      <c r="C9299" t="s">
        <v>10</v>
      </c>
      <c r="D9299" t="s">
        <v>18690</v>
      </c>
      <c r="E9299" t="s">
        <v>18691</v>
      </c>
      <c r="G9299" s="1">
        <v>1.1000000000000001</v>
      </c>
    </row>
    <row r="9300" spans="1:7" ht="14.25" customHeight="1" x14ac:dyDescent="0.45">
      <c r="A9300" t="str">
        <f>_xlfn.XLOOKUP(B9300,Ingot!$H$12:$H$119,Ingot!$G$12:$G$119,"")</f>
        <v>Leather</v>
      </c>
      <c r="B9300" t="s">
        <v>18659</v>
      </c>
      <c r="C9300" t="s">
        <v>10</v>
      </c>
      <c r="D9300" t="s">
        <v>18692</v>
      </c>
      <c r="E9300" t="s">
        <v>18693</v>
      </c>
      <c r="G9300" s="1">
        <v>0.22</v>
      </c>
    </row>
    <row r="9301" spans="1:7" ht="14.25" customHeight="1" x14ac:dyDescent="0.45">
      <c r="A9301" t="str">
        <f>_xlfn.XLOOKUP(B9301,Ingot!$H$12:$H$119,Ingot!$G$12:$G$119,"")</f>
        <v>Leather</v>
      </c>
      <c r="B9301" t="s">
        <v>18659</v>
      </c>
      <c r="C9301" t="s">
        <v>10</v>
      </c>
      <c r="D9301" t="s">
        <v>18694</v>
      </c>
      <c r="E9301" t="s">
        <v>18695</v>
      </c>
      <c r="G9301" s="1">
        <v>8.41</v>
      </c>
    </row>
    <row r="9302" spans="1:7" ht="14.25" customHeight="1" x14ac:dyDescent="0.45">
      <c r="A9302" t="str">
        <f>_xlfn.XLOOKUP(B9302,Ingot!$H$12:$H$119,Ingot!$G$12:$G$119,"")</f>
        <v>Leather</v>
      </c>
      <c r="B9302" t="s">
        <v>18659</v>
      </c>
      <c r="C9302" t="s">
        <v>10</v>
      </c>
      <c r="D9302" t="s">
        <v>18696</v>
      </c>
      <c r="E9302" t="s">
        <v>18697</v>
      </c>
      <c r="G9302" s="1">
        <v>3.64</v>
      </c>
    </row>
    <row r="9303" spans="1:7" ht="14.25" customHeight="1" x14ac:dyDescent="0.45">
      <c r="A9303" t="str">
        <f>_xlfn.XLOOKUP(B9303,Ingot!$H$12:$H$119,Ingot!$G$12:$G$119,"")</f>
        <v>Leather</v>
      </c>
      <c r="B9303" t="s">
        <v>18659</v>
      </c>
      <c r="C9303" t="s">
        <v>10</v>
      </c>
      <c r="D9303" t="s">
        <v>18698</v>
      </c>
      <c r="E9303" t="s">
        <v>18699</v>
      </c>
      <c r="G9303" s="1">
        <v>7.05</v>
      </c>
    </row>
    <row r="9304" spans="1:7" ht="14.25" customHeight="1" x14ac:dyDescent="0.45">
      <c r="A9304" t="str">
        <f>_xlfn.XLOOKUP(B9304,Ingot!$H$12:$H$119,Ingot!$G$12:$G$119,"")</f>
        <v>Leather</v>
      </c>
      <c r="B9304" t="s">
        <v>18659</v>
      </c>
      <c r="C9304" t="s">
        <v>10</v>
      </c>
      <c r="D9304" t="s">
        <v>18700</v>
      </c>
      <c r="E9304" t="s">
        <v>18701</v>
      </c>
      <c r="G9304" s="1">
        <v>2.65</v>
      </c>
    </row>
    <row r="9305" spans="1:7" ht="14.25" customHeight="1" x14ac:dyDescent="0.45">
      <c r="A9305" t="str">
        <f>_xlfn.XLOOKUP(B9305,Ingot!$H$12:$H$119,Ingot!$G$12:$G$119,"")</f>
        <v>Leather</v>
      </c>
      <c r="B9305" t="s">
        <v>18659</v>
      </c>
      <c r="C9305" t="s">
        <v>10</v>
      </c>
      <c r="D9305" t="s">
        <v>18702</v>
      </c>
      <c r="E9305" t="s">
        <v>18703</v>
      </c>
      <c r="G9305" s="1">
        <v>9</v>
      </c>
    </row>
    <row r="9306" spans="1:7" ht="14.25" customHeight="1" x14ac:dyDescent="0.45">
      <c r="A9306" t="str">
        <f>_xlfn.XLOOKUP(B9306,Ingot!$H$12:$H$119,Ingot!$G$12:$G$119,"")</f>
        <v>Leather</v>
      </c>
      <c r="B9306" t="s">
        <v>18659</v>
      </c>
      <c r="C9306" t="s">
        <v>10</v>
      </c>
      <c r="D9306" t="s">
        <v>18704</v>
      </c>
      <c r="E9306" t="s">
        <v>18705</v>
      </c>
      <c r="G9306" s="1">
        <v>10.23</v>
      </c>
    </row>
    <row r="9307" spans="1:7" ht="14.25" customHeight="1" x14ac:dyDescent="0.45">
      <c r="A9307" t="str">
        <f>_xlfn.XLOOKUP(B9307,Ingot!$H$12:$H$119,Ingot!$G$12:$G$119,"")</f>
        <v>Leather</v>
      </c>
      <c r="B9307" t="s">
        <v>18659</v>
      </c>
      <c r="C9307" t="s">
        <v>10</v>
      </c>
      <c r="D9307" t="s">
        <v>18706</v>
      </c>
      <c r="E9307" t="s">
        <v>18707</v>
      </c>
      <c r="G9307" s="1">
        <v>7.7</v>
      </c>
    </row>
    <row r="9308" spans="1:7" ht="14.25" customHeight="1" x14ac:dyDescent="0.45">
      <c r="A9308" t="str">
        <f>_xlfn.XLOOKUP(B9308,Ingot!$H$12:$H$119,Ingot!$G$12:$G$119,"")</f>
        <v>Leather</v>
      </c>
      <c r="B9308" t="s">
        <v>18659</v>
      </c>
      <c r="C9308" t="s">
        <v>10</v>
      </c>
      <c r="D9308" t="s">
        <v>18708</v>
      </c>
      <c r="E9308" t="s">
        <v>18709</v>
      </c>
      <c r="G9308" s="1">
        <v>10.02</v>
      </c>
    </row>
    <row r="9309" spans="1:7" ht="14.25" customHeight="1" x14ac:dyDescent="0.45">
      <c r="A9309" t="str">
        <f>_xlfn.XLOOKUP(B9309,Ingot!$H$12:$H$119,Ingot!$G$12:$G$119,"")</f>
        <v>Leather</v>
      </c>
      <c r="B9309" t="s">
        <v>18659</v>
      </c>
      <c r="C9309" t="s">
        <v>10</v>
      </c>
      <c r="D9309" t="s">
        <v>18710</v>
      </c>
      <c r="E9309" t="s">
        <v>18711</v>
      </c>
      <c r="G9309" s="1">
        <v>11.81</v>
      </c>
    </row>
    <row r="9310" spans="1:7" ht="14.25" customHeight="1" x14ac:dyDescent="0.45">
      <c r="A9310" t="str">
        <f>_xlfn.XLOOKUP(B9310,Ingot!$H$12:$H$119,Ingot!$G$12:$G$119,"")</f>
        <v>Leather</v>
      </c>
      <c r="B9310" t="s">
        <v>18659</v>
      </c>
      <c r="C9310" t="s">
        <v>10</v>
      </c>
      <c r="D9310" t="s">
        <v>18712</v>
      </c>
      <c r="E9310" t="s">
        <v>18713</v>
      </c>
      <c r="G9310" s="1">
        <v>8.44</v>
      </c>
    </row>
    <row r="9311" spans="1:7" ht="14.25" customHeight="1" x14ac:dyDescent="0.45">
      <c r="A9311" t="str">
        <f>_xlfn.XLOOKUP(B9311,Ingot!$H$12:$H$119,Ingot!$G$12:$G$119,"")</f>
        <v>Leather</v>
      </c>
      <c r="B9311" t="s">
        <v>18659</v>
      </c>
      <c r="C9311" t="s">
        <v>10</v>
      </c>
      <c r="D9311" t="s">
        <v>18714</v>
      </c>
      <c r="E9311" t="s">
        <v>18715</v>
      </c>
      <c r="G9311" s="1">
        <v>10.42</v>
      </c>
    </row>
    <row r="9312" spans="1:7" ht="14.25" customHeight="1" x14ac:dyDescent="0.45">
      <c r="A9312" t="str">
        <f>_xlfn.XLOOKUP(B9312,Ingot!$H$12:$H$119,Ingot!$G$12:$G$119,"")</f>
        <v>Leather</v>
      </c>
      <c r="B9312" t="s">
        <v>18659</v>
      </c>
      <c r="C9312" t="s">
        <v>10</v>
      </c>
      <c r="D9312" t="s">
        <v>18716</v>
      </c>
      <c r="E9312" t="s">
        <v>18717</v>
      </c>
    </row>
    <row r="9313" spans="1:7" ht="14.25" customHeight="1" x14ac:dyDescent="0.45">
      <c r="A9313" t="str">
        <f>_xlfn.XLOOKUP(B9313,Ingot!$H$12:$H$119,Ingot!$G$12:$G$119,"")</f>
        <v>Leather</v>
      </c>
      <c r="B9313" t="s">
        <v>18659</v>
      </c>
      <c r="C9313" t="s">
        <v>10</v>
      </c>
      <c r="D9313" t="s">
        <v>18718</v>
      </c>
      <c r="E9313" t="s">
        <v>18719</v>
      </c>
      <c r="G9313" s="1">
        <v>7.96</v>
      </c>
    </row>
    <row r="9314" spans="1:7" ht="14.25" customHeight="1" x14ac:dyDescent="0.45">
      <c r="A9314" t="str">
        <f>_xlfn.XLOOKUP(B9314,Ingot!$H$12:$H$119,Ingot!$G$12:$G$119,"")</f>
        <v>Leather</v>
      </c>
      <c r="B9314" t="s">
        <v>18659</v>
      </c>
      <c r="C9314" t="s">
        <v>10</v>
      </c>
      <c r="D9314" t="s">
        <v>18720</v>
      </c>
      <c r="E9314" t="s">
        <v>18721</v>
      </c>
      <c r="G9314" s="1">
        <v>9.64</v>
      </c>
    </row>
    <row r="9315" spans="1:7" ht="14.25" customHeight="1" x14ac:dyDescent="0.45">
      <c r="A9315" t="str">
        <f>_xlfn.XLOOKUP(B9315,Ingot!$H$12:$H$119,Ingot!$G$12:$G$119,"")</f>
        <v>Leather</v>
      </c>
      <c r="B9315" t="s">
        <v>18659</v>
      </c>
      <c r="C9315" t="s">
        <v>10</v>
      </c>
      <c r="D9315" t="s">
        <v>18722</v>
      </c>
      <c r="E9315" t="s">
        <v>18723</v>
      </c>
      <c r="G9315" s="1">
        <v>7.94</v>
      </c>
    </row>
    <row r="9316" spans="1:7" ht="14.25" customHeight="1" x14ac:dyDescent="0.45">
      <c r="A9316" t="str">
        <f>_xlfn.XLOOKUP(B9316,Ingot!$H$12:$H$119,Ingot!$G$12:$G$119,"")</f>
        <v>Leather</v>
      </c>
      <c r="B9316" t="s">
        <v>18659</v>
      </c>
      <c r="C9316" t="s">
        <v>10</v>
      </c>
      <c r="D9316" t="s">
        <v>18724</v>
      </c>
      <c r="E9316" t="s">
        <v>18725</v>
      </c>
      <c r="G9316" s="1">
        <v>8.66</v>
      </c>
    </row>
    <row r="9317" spans="1:7" ht="14.25" customHeight="1" x14ac:dyDescent="0.45">
      <c r="A9317" t="str">
        <f>_xlfn.XLOOKUP(B9317,Ingot!$H$12:$H$119,Ingot!$G$12:$G$119,"")</f>
        <v>Leather</v>
      </c>
      <c r="B9317" t="s">
        <v>18659</v>
      </c>
      <c r="C9317" t="s">
        <v>10</v>
      </c>
      <c r="D9317" t="s">
        <v>18726</v>
      </c>
      <c r="E9317" t="s">
        <v>18727</v>
      </c>
    </row>
    <row r="9318" spans="1:7" ht="14.25" customHeight="1" x14ac:dyDescent="0.45">
      <c r="A9318" t="str">
        <f>_xlfn.XLOOKUP(B9318,Ingot!$H$12:$H$119,Ingot!$G$12:$G$119,"")</f>
        <v>Leather</v>
      </c>
      <c r="B9318" t="s">
        <v>18659</v>
      </c>
      <c r="C9318" t="s">
        <v>10</v>
      </c>
      <c r="D9318" t="s">
        <v>18728</v>
      </c>
      <c r="E9318" t="s">
        <v>18729</v>
      </c>
      <c r="G9318" s="1">
        <v>2.65</v>
      </c>
    </row>
    <row r="9319" spans="1:7" ht="14.25" customHeight="1" x14ac:dyDescent="0.45">
      <c r="A9319" t="str">
        <f>_xlfn.XLOOKUP(B9319,Ingot!$H$12:$H$119,Ingot!$G$12:$G$119,"")</f>
        <v>Leather</v>
      </c>
      <c r="B9319" t="s">
        <v>18659</v>
      </c>
      <c r="C9319" t="s">
        <v>10</v>
      </c>
      <c r="D9319" t="s">
        <v>18730</v>
      </c>
      <c r="E9319" t="s">
        <v>18731</v>
      </c>
    </row>
    <row r="9320" spans="1:7" ht="14.25" customHeight="1" x14ac:dyDescent="0.45">
      <c r="A9320" t="str">
        <f>_xlfn.XLOOKUP(B9320,Ingot!$H$12:$H$119,Ingot!$G$12:$G$119,"")</f>
        <v>Leather</v>
      </c>
      <c r="B9320" t="s">
        <v>18659</v>
      </c>
      <c r="C9320" t="s">
        <v>10</v>
      </c>
      <c r="D9320" t="s">
        <v>18732</v>
      </c>
      <c r="E9320" t="s">
        <v>18733</v>
      </c>
      <c r="G9320" s="1">
        <v>12.64</v>
      </c>
    </row>
    <row r="9321" spans="1:7" ht="14.25" customHeight="1" x14ac:dyDescent="0.45">
      <c r="A9321" t="str">
        <f>_xlfn.XLOOKUP(B9321,Ingot!$H$12:$H$119,Ingot!$G$12:$G$119,"")</f>
        <v>Leather</v>
      </c>
      <c r="B9321" t="s">
        <v>18659</v>
      </c>
      <c r="C9321" t="s">
        <v>10</v>
      </c>
      <c r="D9321" t="s">
        <v>18734</v>
      </c>
      <c r="E9321" t="s">
        <v>18735</v>
      </c>
      <c r="G9321" s="1">
        <v>22.67</v>
      </c>
    </row>
    <row r="9322" spans="1:7" ht="14.25" customHeight="1" x14ac:dyDescent="0.45">
      <c r="A9322" t="str">
        <f>_xlfn.XLOOKUP(B9322,Ingot!$H$12:$H$119,Ingot!$G$12:$G$119,"")</f>
        <v>Leather</v>
      </c>
      <c r="B9322" t="s">
        <v>18659</v>
      </c>
      <c r="C9322" t="s">
        <v>10</v>
      </c>
      <c r="D9322" t="s">
        <v>18736</v>
      </c>
      <c r="E9322" t="s">
        <v>18737</v>
      </c>
      <c r="G9322" s="1">
        <v>8.3800000000000008</v>
      </c>
    </row>
    <row r="9323" spans="1:7" ht="14.25" customHeight="1" x14ac:dyDescent="0.45">
      <c r="A9323" t="str">
        <f>_xlfn.XLOOKUP(B9323,Ingot!$H$12:$H$119,Ingot!$G$12:$G$119,"")</f>
        <v>Leather</v>
      </c>
      <c r="B9323" t="s">
        <v>18659</v>
      </c>
      <c r="C9323" t="s">
        <v>10</v>
      </c>
      <c r="D9323" t="s">
        <v>18738</v>
      </c>
      <c r="E9323" t="s">
        <v>18739</v>
      </c>
      <c r="G9323" s="1">
        <v>2.2000000000000002</v>
      </c>
    </row>
    <row r="9324" spans="1:7" ht="14.25" customHeight="1" x14ac:dyDescent="0.45">
      <c r="A9324" t="str">
        <f>_xlfn.XLOOKUP(B9324,Ingot!$H$12:$H$119,Ingot!$G$12:$G$119,"")</f>
        <v>Leather</v>
      </c>
      <c r="B9324" t="s">
        <v>18659</v>
      </c>
      <c r="C9324" t="s">
        <v>10</v>
      </c>
      <c r="D9324" t="s">
        <v>18740</v>
      </c>
      <c r="E9324" t="s">
        <v>18741</v>
      </c>
      <c r="G9324" s="1">
        <v>3.09</v>
      </c>
    </row>
    <row r="9325" spans="1:7" ht="14.25" customHeight="1" x14ac:dyDescent="0.45">
      <c r="A9325" t="str">
        <f>_xlfn.XLOOKUP(B9325,Ingot!$H$12:$H$119,Ingot!$G$12:$G$119,"")</f>
        <v>Leather</v>
      </c>
      <c r="B9325" t="s">
        <v>18659</v>
      </c>
      <c r="C9325" t="s">
        <v>10</v>
      </c>
      <c r="D9325" t="s">
        <v>18742</v>
      </c>
      <c r="E9325" t="s">
        <v>18743</v>
      </c>
      <c r="G9325" s="1">
        <v>2.2999999999999998</v>
      </c>
    </row>
    <row r="9326" spans="1:7" ht="14.25" customHeight="1" x14ac:dyDescent="0.45">
      <c r="A9326" t="str">
        <f>_xlfn.XLOOKUP(B9326,Ingot!$H$12:$H$119,Ingot!$G$12:$G$119,"")</f>
        <v>Leather</v>
      </c>
      <c r="B9326" t="s">
        <v>18659</v>
      </c>
      <c r="C9326" t="s">
        <v>10</v>
      </c>
      <c r="D9326" t="s">
        <v>18744</v>
      </c>
      <c r="E9326" t="s">
        <v>18745</v>
      </c>
      <c r="G9326" s="1">
        <v>4.88</v>
      </c>
    </row>
    <row r="9327" spans="1:7" ht="14.25" customHeight="1" x14ac:dyDescent="0.45">
      <c r="A9327" t="str">
        <f>_xlfn.XLOOKUP(B9327,Ingot!$H$12:$H$119,Ingot!$G$12:$G$119,"")</f>
        <v>Leather</v>
      </c>
      <c r="B9327" t="s">
        <v>18659</v>
      </c>
      <c r="C9327" t="s">
        <v>10</v>
      </c>
      <c r="D9327" t="s">
        <v>18746</v>
      </c>
      <c r="E9327" t="s">
        <v>18747</v>
      </c>
      <c r="G9327" s="1">
        <v>8.43</v>
      </c>
    </row>
    <row r="9328" spans="1:7" ht="14.25" customHeight="1" x14ac:dyDescent="0.45">
      <c r="A9328" t="str">
        <f>_xlfn.XLOOKUP(B9328,Ingot!$H$12:$H$119,Ingot!$G$12:$G$119,"")</f>
        <v>Leather</v>
      </c>
      <c r="B9328" t="s">
        <v>18659</v>
      </c>
      <c r="C9328" t="s">
        <v>10</v>
      </c>
      <c r="D9328" t="s">
        <v>18748</v>
      </c>
      <c r="E9328" t="s">
        <v>18749</v>
      </c>
      <c r="G9328" s="1">
        <v>13.07</v>
      </c>
    </row>
    <row r="9329" spans="1:7" ht="14.25" customHeight="1" x14ac:dyDescent="0.45">
      <c r="A9329" t="str">
        <f>_xlfn.XLOOKUP(B9329,Ingot!$H$12:$H$119,Ingot!$G$12:$G$119,"")</f>
        <v>Leather</v>
      </c>
      <c r="B9329" t="s">
        <v>18659</v>
      </c>
      <c r="C9329" t="s">
        <v>10</v>
      </c>
      <c r="D9329" t="s">
        <v>18750</v>
      </c>
      <c r="E9329" t="s">
        <v>18751</v>
      </c>
    </row>
    <row r="9330" spans="1:7" ht="14.25" customHeight="1" x14ac:dyDescent="0.45">
      <c r="A9330" t="str">
        <f>_xlfn.XLOOKUP(B9330,Ingot!$H$12:$H$119,Ingot!$G$12:$G$119,"")</f>
        <v>Leather</v>
      </c>
      <c r="B9330" t="s">
        <v>18659</v>
      </c>
      <c r="C9330" t="s">
        <v>10</v>
      </c>
      <c r="D9330" t="s">
        <v>18752</v>
      </c>
      <c r="E9330" t="s">
        <v>18753</v>
      </c>
    </row>
    <row r="9331" spans="1:7" ht="14.25" customHeight="1" x14ac:dyDescent="0.45">
      <c r="A9331" t="str">
        <f>_xlfn.XLOOKUP(B9331,Ingot!$H$12:$H$119,Ingot!$G$12:$G$119,"")</f>
        <v>Leather</v>
      </c>
      <c r="B9331" t="s">
        <v>18659</v>
      </c>
      <c r="C9331" t="s">
        <v>10</v>
      </c>
      <c r="D9331" t="s">
        <v>18754</v>
      </c>
      <c r="E9331" t="s">
        <v>18755</v>
      </c>
      <c r="G9331" s="1">
        <v>6.8</v>
      </c>
    </row>
    <row r="9332" spans="1:7" ht="14.25" customHeight="1" x14ac:dyDescent="0.45">
      <c r="A9332" t="str">
        <f>_xlfn.XLOOKUP(B9332,Ingot!$H$12:$H$119,Ingot!$G$12:$G$119,"")</f>
        <v>Leather</v>
      </c>
      <c r="B9332" t="s">
        <v>18659</v>
      </c>
      <c r="C9332" t="s">
        <v>10</v>
      </c>
      <c r="D9332" t="s">
        <v>18756</v>
      </c>
      <c r="E9332" t="s">
        <v>18757</v>
      </c>
      <c r="G9332" s="1">
        <v>6.88</v>
      </c>
    </row>
    <row r="9333" spans="1:7" ht="14.25" customHeight="1" x14ac:dyDescent="0.45">
      <c r="A9333" t="str">
        <f>_xlfn.XLOOKUP(B9333,Ingot!$H$12:$H$119,Ingot!$G$12:$G$119,"")</f>
        <v>Leather</v>
      </c>
      <c r="B9333" t="s">
        <v>18659</v>
      </c>
      <c r="C9333" t="s">
        <v>10</v>
      </c>
      <c r="D9333" t="s">
        <v>18758</v>
      </c>
      <c r="E9333" t="s">
        <v>18759</v>
      </c>
      <c r="G9333" s="1">
        <v>5.5</v>
      </c>
    </row>
    <row r="9334" spans="1:7" ht="14.25" customHeight="1" x14ac:dyDescent="0.45">
      <c r="A9334" t="str">
        <f>_xlfn.XLOOKUP(B9334,Ingot!$H$12:$H$119,Ingot!$G$12:$G$119,"")</f>
        <v>Leather</v>
      </c>
      <c r="B9334" t="s">
        <v>18659</v>
      </c>
      <c r="C9334" t="s">
        <v>10</v>
      </c>
      <c r="D9334" t="s">
        <v>18760</v>
      </c>
      <c r="E9334" t="s">
        <v>18761</v>
      </c>
      <c r="G9334" s="1">
        <v>2.4300000000000002</v>
      </c>
    </row>
    <row r="9335" spans="1:7" ht="14.25" customHeight="1" x14ac:dyDescent="0.45">
      <c r="A9335" t="str">
        <f>_xlfn.XLOOKUP(B9335,Ingot!$H$12:$H$119,Ingot!$G$12:$G$119,"")</f>
        <v>Leather</v>
      </c>
      <c r="B9335" t="s">
        <v>18659</v>
      </c>
      <c r="C9335" t="s">
        <v>10</v>
      </c>
      <c r="D9335" t="s">
        <v>18762</v>
      </c>
      <c r="E9335" t="s">
        <v>18763</v>
      </c>
      <c r="G9335" s="1">
        <v>6.96</v>
      </c>
    </row>
    <row r="9336" spans="1:7" ht="14.25" customHeight="1" x14ac:dyDescent="0.45">
      <c r="A9336" t="str">
        <f>_xlfn.XLOOKUP(B9336,Ingot!$H$12:$H$119,Ingot!$G$12:$G$119,"")</f>
        <v>Leather</v>
      </c>
      <c r="B9336" t="s">
        <v>18659</v>
      </c>
      <c r="C9336" t="s">
        <v>10</v>
      </c>
      <c r="D9336" t="s">
        <v>18764</v>
      </c>
      <c r="E9336" t="s">
        <v>18765</v>
      </c>
      <c r="G9336" s="1">
        <v>6.32</v>
      </c>
    </row>
    <row r="9337" spans="1:7" ht="14.25" customHeight="1" x14ac:dyDescent="0.45">
      <c r="A9337" t="str">
        <f>_xlfn.XLOOKUP(B9337,Ingot!$H$12:$H$119,Ingot!$G$12:$G$119,"")</f>
        <v>Leather</v>
      </c>
      <c r="B9337" t="s">
        <v>18659</v>
      </c>
      <c r="C9337" t="s">
        <v>10</v>
      </c>
      <c r="D9337" t="s">
        <v>18766</v>
      </c>
      <c r="E9337" t="s">
        <v>18767</v>
      </c>
      <c r="G9337" s="1">
        <v>6.88</v>
      </c>
    </row>
    <row r="9338" spans="1:7" ht="14.25" customHeight="1" x14ac:dyDescent="0.45">
      <c r="A9338" t="str">
        <f>_xlfn.XLOOKUP(B9338,Ingot!$H$12:$H$119,Ingot!$G$12:$G$119,"")</f>
        <v>Leather</v>
      </c>
      <c r="B9338" t="s">
        <v>18659</v>
      </c>
      <c r="C9338" t="s">
        <v>10</v>
      </c>
      <c r="D9338" t="s">
        <v>18768</v>
      </c>
      <c r="E9338" t="s">
        <v>18769</v>
      </c>
      <c r="G9338" s="1">
        <v>2.44</v>
      </c>
    </row>
    <row r="9339" spans="1:7" ht="14.25" customHeight="1" x14ac:dyDescent="0.45">
      <c r="A9339" t="str">
        <f>_xlfn.XLOOKUP(B9339,Ingot!$H$12:$H$119,Ingot!$G$12:$G$119,"")</f>
        <v>Leather</v>
      </c>
      <c r="B9339" t="s">
        <v>18659</v>
      </c>
      <c r="C9339" t="s">
        <v>10</v>
      </c>
      <c r="D9339" t="s">
        <v>18770</v>
      </c>
      <c r="E9339" t="s">
        <v>18771</v>
      </c>
    </row>
    <row r="9340" spans="1:7" ht="14.25" customHeight="1" x14ac:dyDescent="0.45">
      <c r="A9340" t="str">
        <f>_xlfn.XLOOKUP(B9340,Ingot!$H$12:$H$119,Ingot!$G$12:$G$119,"")</f>
        <v>Leather</v>
      </c>
      <c r="B9340" t="s">
        <v>18659</v>
      </c>
      <c r="C9340" t="s">
        <v>10</v>
      </c>
      <c r="D9340" t="s">
        <v>18772</v>
      </c>
      <c r="E9340" t="s">
        <v>18773</v>
      </c>
    </row>
    <row r="9341" spans="1:7" ht="14.25" customHeight="1" x14ac:dyDescent="0.45">
      <c r="A9341" t="str">
        <f>_xlfn.XLOOKUP(B9341,Ingot!$H$12:$H$119,Ingot!$G$12:$G$119,"")</f>
        <v>Leather</v>
      </c>
      <c r="B9341" t="s">
        <v>18659</v>
      </c>
      <c r="C9341" t="s">
        <v>10</v>
      </c>
      <c r="D9341" t="s">
        <v>18774</v>
      </c>
      <c r="E9341" t="s">
        <v>18775</v>
      </c>
      <c r="G9341" s="1">
        <v>3.11</v>
      </c>
    </row>
    <row r="9342" spans="1:7" ht="14.25" customHeight="1" x14ac:dyDescent="0.45">
      <c r="A9342" t="str">
        <f>_xlfn.XLOOKUP(B9342,Ingot!$H$12:$H$119,Ingot!$G$12:$G$119,"")</f>
        <v>Leather</v>
      </c>
      <c r="B9342" t="s">
        <v>18659</v>
      </c>
      <c r="C9342" t="s">
        <v>10</v>
      </c>
      <c r="D9342" t="s">
        <v>18776</v>
      </c>
      <c r="E9342" t="s">
        <v>18777</v>
      </c>
      <c r="G9342" s="1">
        <v>2.44</v>
      </c>
    </row>
    <row r="9343" spans="1:7" ht="14.25" customHeight="1" x14ac:dyDescent="0.45">
      <c r="A9343" t="str">
        <f>_xlfn.XLOOKUP(B9343,Ingot!$H$12:$H$119,Ingot!$G$12:$G$119,"")</f>
        <v>Leather</v>
      </c>
      <c r="B9343" t="s">
        <v>18659</v>
      </c>
      <c r="C9343" t="s">
        <v>10</v>
      </c>
      <c r="D9343" t="s">
        <v>18778</v>
      </c>
      <c r="E9343" t="s">
        <v>18779</v>
      </c>
      <c r="G9343" s="1">
        <v>8.61</v>
      </c>
    </row>
    <row r="9344" spans="1:7" ht="14.25" customHeight="1" x14ac:dyDescent="0.45">
      <c r="A9344" t="str">
        <f>_xlfn.XLOOKUP(B9344,Ingot!$H$12:$H$119,Ingot!$G$12:$G$119,"")</f>
        <v>Leather</v>
      </c>
      <c r="B9344" t="s">
        <v>18659</v>
      </c>
      <c r="C9344" t="s">
        <v>10</v>
      </c>
      <c r="D9344" t="s">
        <v>18780</v>
      </c>
      <c r="E9344" t="s">
        <v>18781</v>
      </c>
    </row>
    <row r="9345" spans="1:7" ht="14.25" customHeight="1" x14ac:dyDescent="0.45">
      <c r="A9345" t="str">
        <f>_xlfn.XLOOKUP(B9345,Ingot!$H$12:$H$119,Ingot!$G$12:$G$119,"")</f>
        <v>Leather</v>
      </c>
      <c r="B9345" t="s">
        <v>18659</v>
      </c>
      <c r="C9345" t="s">
        <v>10</v>
      </c>
      <c r="D9345" t="s">
        <v>18782</v>
      </c>
      <c r="E9345" t="s">
        <v>18783</v>
      </c>
      <c r="G9345" s="1">
        <v>3.21</v>
      </c>
    </row>
    <row r="9346" spans="1:7" ht="14.25" customHeight="1" x14ac:dyDescent="0.45">
      <c r="A9346" t="str">
        <f>_xlfn.XLOOKUP(B9346,Ingot!$H$12:$H$119,Ingot!$G$12:$G$119,"")</f>
        <v>Leather</v>
      </c>
      <c r="B9346" t="s">
        <v>18659</v>
      </c>
      <c r="C9346" t="s">
        <v>10</v>
      </c>
      <c r="D9346" t="s">
        <v>18784</v>
      </c>
      <c r="E9346" t="s">
        <v>18785</v>
      </c>
      <c r="G9346" s="1">
        <v>2.77</v>
      </c>
    </row>
    <row r="9347" spans="1:7" ht="14.25" customHeight="1" x14ac:dyDescent="0.45">
      <c r="A9347" t="str">
        <f>_xlfn.XLOOKUP(B9347,Ingot!$H$12:$H$119,Ingot!$G$12:$G$119,"")</f>
        <v>Leather</v>
      </c>
      <c r="B9347" t="s">
        <v>18659</v>
      </c>
      <c r="C9347" t="s">
        <v>10</v>
      </c>
      <c r="D9347" t="s">
        <v>18786</v>
      </c>
      <c r="E9347" t="s">
        <v>18787</v>
      </c>
      <c r="G9347" s="1">
        <v>4.8899999999999997</v>
      </c>
    </row>
    <row r="9348" spans="1:7" ht="14.25" customHeight="1" x14ac:dyDescent="0.45">
      <c r="A9348" t="str">
        <f>_xlfn.XLOOKUP(B9348,Ingot!$H$12:$H$119,Ingot!$G$12:$G$119,"")</f>
        <v>Leather</v>
      </c>
      <c r="B9348" t="s">
        <v>18659</v>
      </c>
      <c r="C9348" t="s">
        <v>10</v>
      </c>
      <c r="D9348" t="s">
        <v>18788</v>
      </c>
      <c r="E9348" t="s">
        <v>18789</v>
      </c>
      <c r="G9348" s="1">
        <v>1.76</v>
      </c>
    </row>
    <row r="9349" spans="1:7" ht="14.25" customHeight="1" x14ac:dyDescent="0.45">
      <c r="A9349" t="str">
        <f>_xlfn.XLOOKUP(B9349,Ingot!$H$12:$H$119,Ingot!$G$12:$G$119,"")</f>
        <v>Leather</v>
      </c>
      <c r="B9349" t="s">
        <v>18659</v>
      </c>
      <c r="C9349" t="s">
        <v>10</v>
      </c>
      <c r="D9349" t="s">
        <v>18790</v>
      </c>
      <c r="E9349" t="s">
        <v>18791</v>
      </c>
    </row>
    <row r="9350" spans="1:7" ht="14.25" customHeight="1" x14ac:dyDescent="0.45">
      <c r="A9350" t="str">
        <f>_xlfn.XLOOKUP(B9350,Ingot!$H$12:$H$119,Ingot!$G$12:$G$119,"")</f>
        <v>Leather</v>
      </c>
      <c r="B9350" t="s">
        <v>18659</v>
      </c>
      <c r="C9350" t="s">
        <v>10</v>
      </c>
      <c r="D9350" t="s">
        <v>18792</v>
      </c>
      <c r="E9350" t="s">
        <v>18793</v>
      </c>
      <c r="G9350" s="1">
        <v>8.57</v>
      </c>
    </row>
    <row r="9351" spans="1:7" ht="14.25" customHeight="1" x14ac:dyDescent="0.45">
      <c r="A9351" t="str">
        <f>_xlfn.XLOOKUP(B9351,Ingot!$H$12:$H$119,Ingot!$G$12:$G$119,"")</f>
        <v>Leather</v>
      </c>
      <c r="B9351" t="s">
        <v>18659</v>
      </c>
      <c r="C9351" t="s">
        <v>10</v>
      </c>
      <c r="D9351" t="s">
        <v>18794</v>
      </c>
      <c r="E9351" t="s">
        <v>18795</v>
      </c>
    </row>
    <row r="9352" spans="1:7" ht="14.25" customHeight="1" x14ac:dyDescent="0.45">
      <c r="A9352" t="str">
        <f>_xlfn.XLOOKUP(B9352,Ingot!$H$12:$H$119,Ingot!$G$12:$G$119,"")</f>
        <v>Leather</v>
      </c>
      <c r="B9352" t="s">
        <v>18659</v>
      </c>
      <c r="C9352" t="s">
        <v>10</v>
      </c>
      <c r="D9352" t="s">
        <v>18796</v>
      </c>
      <c r="E9352" t="s">
        <v>18797</v>
      </c>
      <c r="G9352" s="1">
        <v>3.56</v>
      </c>
    </row>
    <row r="9353" spans="1:7" ht="14.25" customHeight="1" x14ac:dyDescent="0.45">
      <c r="A9353" t="str">
        <f>_xlfn.XLOOKUP(B9353,Ingot!$H$12:$H$119,Ingot!$G$12:$G$119,"")</f>
        <v>Leather</v>
      </c>
      <c r="B9353" t="s">
        <v>18659</v>
      </c>
      <c r="C9353" t="s">
        <v>10</v>
      </c>
      <c r="D9353" t="s">
        <v>18798</v>
      </c>
      <c r="E9353" t="s">
        <v>18799</v>
      </c>
      <c r="G9353" s="1">
        <v>8.91</v>
      </c>
    </row>
    <row r="9354" spans="1:7" ht="14.25" customHeight="1" x14ac:dyDescent="0.45">
      <c r="A9354" t="str">
        <f>_xlfn.XLOOKUP(B9354,Ingot!$H$12:$H$119,Ingot!$G$12:$G$119,"")</f>
        <v>Leather</v>
      </c>
      <c r="B9354" t="s">
        <v>18659</v>
      </c>
      <c r="C9354" t="s">
        <v>10</v>
      </c>
      <c r="D9354" t="s">
        <v>18800</v>
      </c>
      <c r="E9354" t="s">
        <v>18801</v>
      </c>
      <c r="G9354" s="1">
        <v>11.02</v>
      </c>
    </row>
    <row r="9355" spans="1:7" ht="14.25" customHeight="1" x14ac:dyDescent="0.45">
      <c r="A9355" t="str">
        <f>_xlfn.XLOOKUP(B9355,Ingot!$H$12:$H$119,Ingot!$G$12:$G$119,"")</f>
        <v>Leather</v>
      </c>
      <c r="B9355" t="s">
        <v>18659</v>
      </c>
      <c r="C9355" t="s">
        <v>10</v>
      </c>
      <c r="D9355" t="s">
        <v>18802</v>
      </c>
      <c r="E9355" t="s">
        <v>18803</v>
      </c>
      <c r="G9355" s="1">
        <v>5.12</v>
      </c>
    </row>
    <row r="9356" spans="1:7" ht="14.25" customHeight="1" x14ac:dyDescent="0.45">
      <c r="A9356" t="str">
        <f>_xlfn.XLOOKUP(B9356,Ingot!$H$12:$H$119,Ingot!$G$12:$G$119,"")</f>
        <v>Leather</v>
      </c>
      <c r="B9356" t="s">
        <v>18659</v>
      </c>
      <c r="C9356" t="s">
        <v>10</v>
      </c>
      <c r="D9356" t="s">
        <v>18804</v>
      </c>
      <c r="E9356" t="s">
        <v>18805</v>
      </c>
      <c r="G9356" s="1">
        <v>4.41</v>
      </c>
    </row>
    <row r="9357" spans="1:7" ht="14.25" customHeight="1" x14ac:dyDescent="0.45">
      <c r="A9357" t="str">
        <f>_xlfn.XLOOKUP(B9357,Ingot!$H$12:$H$119,Ingot!$G$12:$G$119,"")</f>
        <v>Leather</v>
      </c>
      <c r="B9357" t="s">
        <v>18659</v>
      </c>
      <c r="C9357" t="s">
        <v>157</v>
      </c>
      <c r="D9357" t="s">
        <v>18806</v>
      </c>
      <c r="E9357" t="s">
        <v>18807</v>
      </c>
      <c r="F9357" t="s">
        <v>180</v>
      </c>
      <c r="G9357" s="1">
        <v>16.399999999999999</v>
      </c>
    </row>
    <row r="9358" spans="1:7" ht="14.25" customHeight="1" x14ac:dyDescent="0.45">
      <c r="A9358" t="str">
        <f>_xlfn.XLOOKUP(B9358,Ingot!$H$12:$H$119,Ingot!$G$12:$G$119,"")</f>
        <v>Leather</v>
      </c>
      <c r="B9358" t="s">
        <v>18659</v>
      </c>
      <c r="C9358" t="s">
        <v>157</v>
      </c>
      <c r="D9358" t="s">
        <v>18808</v>
      </c>
      <c r="E9358" t="s">
        <v>18809</v>
      </c>
      <c r="F9358" t="s">
        <v>180</v>
      </c>
      <c r="G9358" s="1">
        <v>5</v>
      </c>
    </row>
    <row r="9359" spans="1:7" ht="14.25" customHeight="1" x14ac:dyDescent="0.45">
      <c r="A9359" t="str">
        <f>_xlfn.XLOOKUP(B9359,Ingot!$H$12:$H$119,Ingot!$G$12:$G$119,"")</f>
        <v>Leather</v>
      </c>
      <c r="B9359" t="s">
        <v>18659</v>
      </c>
      <c r="C9359" t="s">
        <v>157</v>
      </c>
      <c r="D9359" t="s">
        <v>18810</v>
      </c>
      <c r="E9359" t="s">
        <v>18811</v>
      </c>
      <c r="F9359" t="s">
        <v>180</v>
      </c>
      <c r="G9359" s="1">
        <v>5</v>
      </c>
    </row>
    <row r="9360" spans="1:7" ht="14.25" customHeight="1" x14ac:dyDescent="0.45">
      <c r="A9360" t="str">
        <f>_xlfn.XLOOKUP(B9360,Ingot!$H$12:$H$119,Ingot!$G$12:$G$119,"")</f>
        <v>Leather</v>
      </c>
      <c r="B9360" t="s">
        <v>18659</v>
      </c>
      <c r="C9360" t="s">
        <v>157</v>
      </c>
      <c r="D9360" t="s">
        <v>18812</v>
      </c>
      <c r="E9360" t="s">
        <v>18813</v>
      </c>
      <c r="F9360" t="s">
        <v>180</v>
      </c>
      <c r="G9360" s="1">
        <v>5</v>
      </c>
    </row>
    <row r="9361" spans="1:7" ht="14.25" customHeight="1" x14ac:dyDescent="0.45">
      <c r="A9361" t="str">
        <f>_xlfn.XLOOKUP(B9361,Ingot!$H$12:$H$119,Ingot!$G$12:$G$119,"")</f>
        <v>Leather</v>
      </c>
      <c r="B9361" t="s">
        <v>18659</v>
      </c>
      <c r="C9361" t="s">
        <v>157</v>
      </c>
      <c r="D9361" t="s">
        <v>18814</v>
      </c>
      <c r="E9361" t="s">
        <v>18815</v>
      </c>
      <c r="F9361" t="s">
        <v>180</v>
      </c>
      <c r="G9361" s="1">
        <v>10</v>
      </c>
    </row>
    <row r="9362" spans="1:7" ht="14.25" customHeight="1" x14ac:dyDescent="0.45">
      <c r="A9362" t="str">
        <f>_xlfn.XLOOKUP(B9362,Ingot!$H$12:$H$119,Ingot!$G$12:$G$119,"")</f>
        <v>Leather</v>
      </c>
      <c r="B9362" t="s">
        <v>18659</v>
      </c>
      <c r="C9362" t="s">
        <v>157</v>
      </c>
      <c r="D9362" t="s">
        <v>18816</v>
      </c>
      <c r="E9362" t="s">
        <v>18817</v>
      </c>
      <c r="F9362" t="s">
        <v>180</v>
      </c>
      <c r="G9362" s="1">
        <v>13.7</v>
      </c>
    </row>
    <row r="9363" spans="1:7" ht="14.25" customHeight="1" x14ac:dyDescent="0.45">
      <c r="A9363" t="str">
        <f>_xlfn.XLOOKUP(B9363,Ingot!$H$12:$H$119,Ingot!$G$12:$G$119,"")</f>
        <v>Leather</v>
      </c>
      <c r="B9363" t="s">
        <v>18659</v>
      </c>
      <c r="C9363" t="s">
        <v>157</v>
      </c>
      <c r="D9363" t="s">
        <v>18818</v>
      </c>
      <c r="E9363" t="s">
        <v>18819</v>
      </c>
      <c r="F9363" t="s">
        <v>180</v>
      </c>
      <c r="G9363" s="1">
        <v>5</v>
      </c>
    </row>
    <row r="9364" spans="1:7" ht="14.25" customHeight="1" x14ac:dyDescent="0.45">
      <c r="A9364" t="str">
        <f>_xlfn.XLOOKUP(B9364,Ingot!$H$12:$H$119,Ingot!$G$12:$G$119,"")</f>
        <v>Leather</v>
      </c>
      <c r="B9364" t="s">
        <v>18659</v>
      </c>
      <c r="C9364" t="s">
        <v>157</v>
      </c>
      <c r="D9364" t="s">
        <v>18820</v>
      </c>
      <c r="E9364" t="s">
        <v>18821</v>
      </c>
      <c r="F9364" t="s">
        <v>180</v>
      </c>
      <c r="G9364" s="1">
        <v>5</v>
      </c>
    </row>
    <row r="9365" spans="1:7" ht="14.25" customHeight="1" x14ac:dyDescent="0.45">
      <c r="A9365" t="str">
        <f>_xlfn.XLOOKUP(B9365,Ingot!$H$12:$H$119,Ingot!$G$12:$G$119,"")</f>
        <v>Leather</v>
      </c>
      <c r="B9365" t="s">
        <v>18659</v>
      </c>
      <c r="C9365" t="s">
        <v>157</v>
      </c>
      <c r="D9365" t="s">
        <v>18822</v>
      </c>
      <c r="E9365" t="s">
        <v>18823</v>
      </c>
      <c r="F9365" t="s">
        <v>180</v>
      </c>
      <c r="G9365" s="1">
        <v>5</v>
      </c>
    </row>
    <row r="9366" spans="1:7" ht="14.25" customHeight="1" x14ac:dyDescent="0.45">
      <c r="A9366" t="str">
        <f>_xlfn.XLOOKUP(B9366,Ingot!$H$12:$H$119,Ingot!$G$12:$G$119,"")</f>
        <v>Leather</v>
      </c>
      <c r="B9366" t="s">
        <v>18659</v>
      </c>
      <c r="C9366" t="s">
        <v>157</v>
      </c>
      <c r="D9366" t="s">
        <v>18824</v>
      </c>
      <c r="E9366" t="s">
        <v>18825</v>
      </c>
      <c r="F9366" t="s">
        <v>180</v>
      </c>
      <c r="G9366" s="1">
        <v>10</v>
      </c>
    </row>
    <row r="9367" spans="1:7" ht="14.25" customHeight="1" x14ac:dyDescent="0.45">
      <c r="A9367" t="str">
        <f>_xlfn.XLOOKUP(B9367,Ingot!$H$12:$H$119,Ingot!$G$12:$G$119,"")</f>
        <v>Leather</v>
      </c>
      <c r="B9367" t="s">
        <v>18659</v>
      </c>
      <c r="C9367" t="s">
        <v>157</v>
      </c>
      <c r="D9367" t="s">
        <v>18826</v>
      </c>
      <c r="E9367" t="s">
        <v>18827</v>
      </c>
      <c r="G9367" s="1">
        <v>13.2</v>
      </c>
    </row>
    <row r="9368" spans="1:7" ht="14.25" customHeight="1" x14ac:dyDescent="0.45">
      <c r="A9368" t="str">
        <f>_xlfn.XLOOKUP(B9368,Ingot!$H$12:$H$119,Ingot!$G$12:$G$119,"")</f>
        <v>Leather</v>
      </c>
      <c r="B9368" t="s">
        <v>18659</v>
      </c>
      <c r="C9368" t="s">
        <v>157</v>
      </c>
      <c r="D9368" t="s">
        <v>18828</v>
      </c>
      <c r="E9368" t="s">
        <v>18829</v>
      </c>
      <c r="G9368" s="1">
        <v>5</v>
      </c>
    </row>
    <row r="9369" spans="1:7" ht="14.25" customHeight="1" x14ac:dyDescent="0.45">
      <c r="A9369" t="str">
        <f>_xlfn.XLOOKUP(B9369,Ingot!$H$12:$H$119,Ingot!$G$12:$G$119,"")</f>
        <v>Leather</v>
      </c>
      <c r="B9369" t="s">
        <v>18659</v>
      </c>
      <c r="C9369" t="s">
        <v>157</v>
      </c>
      <c r="D9369" t="s">
        <v>18830</v>
      </c>
      <c r="E9369" t="s">
        <v>18831</v>
      </c>
      <c r="G9369" s="1">
        <v>5</v>
      </c>
    </row>
    <row r="9370" spans="1:7" ht="14.25" customHeight="1" x14ac:dyDescent="0.45">
      <c r="A9370" t="str">
        <f>_xlfn.XLOOKUP(B9370,Ingot!$H$12:$H$119,Ingot!$G$12:$G$119,"")</f>
        <v>Leather</v>
      </c>
      <c r="B9370" t="s">
        <v>18659</v>
      </c>
      <c r="C9370" t="s">
        <v>157</v>
      </c>
      <c r="D9370" t="s">
        <v>18832</v>
      </c>
      <c r="E9370" t="s">
        <v>18833</v>
      </c>
      <c r="G9370" s="1">
        <v>5</v>
      </c>
    </row>
    <row r="9371" spans="1:7" ht="14.25" customHeight="1" x14ac:dyDescent="0.45">
      <c r="A9371" t="str">
        <f>_xlfn.XLOOKUP(B9371,Ingot!$H$12:$H$119,Ingot!$G$12:$G$119,"")</f>
        <v>Leather</v>
      </c>
      <c r="B9371" t="s">
        <v>18659</v>
      </c>
      <c r="C9371" t="s">
        <v>157</v>
      </c>
      <c r="D9371" t="s">
        <v>18834</v>
      </c>
      <c r="E9371" t="s">
        <v>18835</v>
      </c>
      <c r="G9371" s="1">
        <v>10</v>
      </c>
    </row>
    <row r="9372" spans="1:7" ht="14.25" customHeight="1" x14ac:dyDescent="0.45">
      <c r="A9372" t="str">
        <f>_xlfn.XLOOKUP(B9372,Ingot!$H$12:$H$119,Ingot!$G$12:$G$119,"")</f>
        <v>Leather</v>
      </c>
      <c r="B9372" t="s">
        <v>18659</v>
      </c>
      <c r="C9372" t="s">
        <v>157</v>
      </c>
      <c r="D9372" t="s">
        <v>18836</v>
      </c>
      <c r="E9372" t="s">
        <v>18837</v>
      </c>
      <c r="F9372" t="s">
        <v>180</v>
      </c>
      <c r="G9372" s="1">
        <v>14.4</v>
      </c>
    </row>
    <row r="9373" spans="1:7" ht="14.25" customHeight="1" x14ac:dyDescent="0.45">
      <c r="A9373" t="str">
        <f>_xlfn.XLOOKUP(B9373,Ingot!$H$12:$H$119,Ingot!$G$12:$G$119,"")</f>
        <v>Leather</v>
      </c>
      <c r="B9373" t="s">
        <v>18659</v>
      </c>
      <c r="C9373" t="s">
        <v>157</v>
      </c>
      <c r="D9373" t="s">
        <v>18838</v>
      </c>
      <c r="E9373" t="s">
        <v>18839</v>
      </c>
      <c r="F9373" t="s">
        <v>180</v>
      </c>
      <c r="G9373" s="1">
        <v>5</v>
      </c>
    </row>
    <row r="9374" spans="1:7" ht="14.25" customHeight="1" x14ac:dyDescent="0.45">
      <c r="A9374" t="str">
        <f>_xlfn.XLOOKUP(B9374,Ingot!$H$12:$H$119,Ingot!$G$12:$G$119,"")</f>
        <v>Leather</v>
      </c>
      <c r="B9374" t="s">
        <v>18659</v>
      </c>
      <c r="C9374" t="s">
        <v>157</v>
      </c>
      <c r="D9374" t="s">
        <v>18840</v>
      </c>
      <c r="E9374" t="s">
        <v>18841</v>
      </c>
      <c r="F9374" t="s">
        <v>180</v>
      </c>
      <c r="G9374" s="1">
        <v>5</v>
      </c>
    </row>
    <row r="9375" spans="1:7" ht="14.25" customHeight="1" x14ac:dyDescent="0.45">
      <c r="A9375" t="str">
        <f>_xlfn.XLOOKUP(B9375,Ingot!$H$12:$H$119,Ingot!$G$12:$G$119,"")</f>
        <v>Leather</v>
      </c>
      <c r="B9375" t="s">
        <v>18659</v>
      </c>
      <c r="C9375" t="s">
        <v>157</v>
      </c>
      <c r="D9375" t="s">
        <v>18842</v>
      </c>
      <c r="E9375" t="s">
        <v>18843</v>
      </c>
      <c r="F9375" t="s">
        <v>180</v>
      </c>
      <c r="G9375" s="1">
        <v>5</v>
      </c>
    </row>
    <row r="9376" spans="1:7" ht="14.25" customHeight="1" x14ac:dyDescent="0.45">
      <c r="A9376" t="str">
        <f>_xlfn.XLOOKUP(B9376,Ingot!$H$12:$H$119,Ingot!$G$12:$G$119,"")</f>
        <v>Leather</v>
      </c>
      <c r="B9376" t="s">
        <v>18659</v>
      </c>
      <c r="C9376" t="s">
        <v>157</v>
      </c>
      <c r="D9376" t="s">
        <v>18844</v>
      </c>
      <c r="E9376" t="s">
        <v>18845</v>
      </c>
      <c r="F9376" t="s">
        <v>180</v>
      </c>
      <c r="G9376" s="1">
        <v>10</v>
      </c>
    </row>
    <row r="9377" spans="1:7" ht="14.25" customHeight="1" x14ac:dyDescent="0.45">
      <c r="A9377" t="str">
        <f>_xlfn.XLOOKUP(B9377,Ingot!$H$12:$H$119,Ingot!$G$12:$G$119,"")</f>
        <v>Leather</v>
      </c>
      <c r="B9377" t="s">
        <v>18659</v>
      </c>
      <c r="C9377" t="s">
        <v>157</v>
      </c>
      <c r="D9377" t="s">
        <v>18846</v>
      </c>
      <c r="E9377" t="s">
        <v>18847</v>
      </c>
      <c r="F9377" t="s">
        <v>180</v>
      </c>
      <c r="G9377" s="1">
        <v>15.4</v>
      </c>
    </row>
    <row r="9378" spans="1:7" ht="14.25" customHeight="1" x14ac:dyDescent="0.45">
      <c r="A9378" t="str">
        <f>_xlfn.XLOOKUP(B9378,Ingot!$H$12:$H$119,Ingot!$G$12:$G$119,"")</f>
        <v>Leather</v>
      </c>
      <c r="B9378" t="s">
        <v>18659</v>
      </c>
      <c r="C9378" t="s">
        <v>157</v>
      </c>
      <c r="D9378" t="s">
        <v>18848</v>
      </c>
      <c r="E9378" t="s">
        <v>18849</v>
      </c>
      <c r="G9378" s="1">
        <v>5</v>
      </c>
    </row>
    <row r="9379" spans="1:7" ht="14.25" customHeight="1" x14ac:dyDescent="0.45">
      <c r="A9379" t="str">
        <f>_xlfn.XLOOKUP(B9379,Ingot!$H$12:$H$119,Ingot!$G$12:$G$119,"")</f>
        <v>Leather</v>
      </c>
      <c r="B9379" t="s">
        <v>18659</v>
      </c>
      <c r="C9379" t="s">
        <v>157</v>
      </c>
      <c r="D9379" t="s">
        <v>18850</v>
      </c>
      <c r="E9379" t="s">
        <v>18851</v>
      </c>
      <c r="G9379" s="1">
        <v>5</v>
      </c>
    </row>
    <row r="9380" spans="1:7" ht="14.25" customHeight="1" x14ac:dyDescent="0.45">
      <c r="A9380" t="str">
        <f>_xlfn.XLOOKUP(B9380,Ingot!$H$12:$H$119,Ingot!$G$12:$G$119,"")</f>
        <v>Leather</v>
      </c>
      <c r="B9380" t="s">
        <v>18659</v>
      </c>
      <c r="C9380" t="s">
        <v>157</v>
      </c>
      <c r="D9380" t="s">
        <v>18852</v>
      </c>
      <c r="E9380" t="s">
        <v>18853</v>
      </c>
      <c r="G9380" s="1">
        <v>5</v>
      </c>
    </row>
    <row r="9381" spans="1:7" ht="14.25" customHeight="1" x14ac:dyDescent="0.45">
      <c r="A9381" t="str">
        <f>_xlfn.XLOOKUP(B9381,Ingot!$H$12:$H$119,Ingot!$G$12:$G$119,"")</f>
        <v>Leather</v>
      </c>
      <c r="B9381" t="s">
        <v>18659</v>
      </c>
      <c r="C9381" t="s">
        <v>157</v>
      </c>
      <c r="D9381" t="s">
        <v>18854</v>
      </c>
      <c r="E9381" t="s">
        <v>18855</v>
      </c>
      <c r="F9381" t="s">
        <v>180</v>
      </c>
      <c r="G9381" s="1">
        <v>10</v>
      </c>
    </row>
    <row r="9382" spans="1:7" ht="14.25" customHeight="1" x14ac:dyDescent="0.45">
      <c r="A9382" t="str">
        <f>_xlfn.XLOOKUP(B9382,Ingot!$H$12:$H$119,Ingot!$G$12:$G$119,"")</f>
        <v>Leather</v>
      </c>
      <c r="B9382" t="s">
        <v>18659</v>
      </c>
      <c r="C9382" t="s">
        <v>157</v>
      </c>
      <c r="D9382" t="s">
        <v>18856</v>
      </c>
      <c r="E9382" t="s">
        <v>18857</v>
      </c>
      <c r="F9382" t="s">
        <v>180</v>
      </c>
      <c r="G9382" s="1">
        <v>18.399999999999999</v>
      </c>
    </row>
    <row r="9383" spans="1:7" ht="14.25" customHeight="1" x14ac:dyDescent="0.45">
      <c r="A9383" t="str">
        <f>_xlfn.XLOOKUP(B9383,Ingot!$H$12:$H$119,Ingot!$G$12:$G$119,"")</f>
        <v>Leather</v>
      </c>
      <c r="B9383" t="s">
        <v>18659</v>
      </c>
      <c r="C9383" t="s">
        <v>157</v>
      </c>
      <c r="D9383" t="s">
        <v>18858</v>
      </c>
      <c r="E9383" t="s">
        <v>18859</v>
      </c>
      <c r="F9383" t="s">
        <v>180</v>
      </c>
      <c r="G9383" s="1">
        <v>5</v>
      </c>
    </row>
    <row r="9384" spans="1:7" ht="14.25" customHeight="1" x14ac:dyDescent="0.45">
      <c r="A9384" t="str">
        <f>_xlfn.XLOOKUP(B9384,Ingot!$H$12:$H$119,Ingot!$G$12:$G$119,"")</f>
        <v>Leather</v>
      </c>
      <c r="B9384" t="s">
        <v>18659</v>
      </c>
      <c r="C9384" t="s">
        <v>157</v>
      </c>
      <c r="D9384" t="s">
        <v>18860</v>
      </c>
      <c r="E9384" t="s">
        <v>18861</v>
      </c>
      <c r="F9384" t="s">
        <v>180</v>
      </c>
      <c r="G9384" s="1">
        <v>5</v>
      </c>
    </row>
    <row r="9385" spans="1:7" ht="14.25" customHeight="1" x14ac:dyDescent="0.45">
      <c r="A9385" t="str">
        <f>_xlfn.XLOOKUP(B9385,Ingot!$H$12:$H$119,Ingot!$G$12:$G$119,"")</f>
        <v>Leather</v>
      </c>
      <c r="B9385" t="s">
        <v>18659</v>
      </c>
      <c r="C9385" t="s">
        <v>157</v>
      </c>
      <c r="D9385" t="s">
        <v>18862</v>
      </c>
      <c r="E9385" t="s">
        <v>18863</v>
      </c>
      <c r="F9385" t="s">
        <v>180</v>
      </c>
      <c r="G9385" s="1">
        <v>5</v>
      </c>
    </row>
    <row r="9386" spans="1:7" ht="14.25" customHeight="1" x14ac:dyDescent="0.45">
      <c r="A9386" t="str">
        <f>_xlfn.XLOOKUP(B9386,Ingot!$H$12:$H$119,Ingot!$G$12:$G$119,"")</f>
        <v>Leather</v>
      </c>
      <c r="B9386" t="s">
        <v>18659</v>
      </c>
      <c r="C9386" t="s">
        <v>157</v>
      </c>
      <c r="D9386" t="s">
        <v>18864</v>
      </c>
      <c r="E9386" t="s">
        <v>18865</v>
      </c>
      <c r="F9386" t="s">
        <v>180</v>
      </c>
      <c r="G9386" s="1">
        <v>10</v>
      </c>
    </row>
    <row r="9387" spans="1:7" ht="14.25" customHeight="1" x14ac:dyDescent="0.45">
      <c r="A9387" t="str">
        <f>_xlfn.XLOOKUP(B9387,Ingot!$H$12:$H$119,Ingot!$G$12:$G$119,"")</f>
        <v>Leather</v>
      </c>
      <c r="B9387" t="s">
        <v>18659</v>
      </c>
      <c r="C9387" t="s">
        <v>157</v>
      </c>
      <c r="D9387" t="s">
        <v>18866</v>
      </c>
      <c r="E9387" t="s">
        <v>18867</v>
      </c>
      <c r="F9387" t="s">
        <v>180</v>
      </c>
      <c r="G9387" s="1">
        <v>17.399999999999999</v>
      </c>
    </row>
    <row r="9388" spans="1:7" ht="14.25" customHeight="1" x14ac:dyDescent="0.45">
      <c r="A9388" t="str">
        <f>_xlfn.XLOOKUP(B9388,Ingot!$H$12:$H$119,Ingot!$G$12:$G$119,"")</f>
        <v>Leather</v>
      </c>
      <c r="B9388" t="s">
        <v>18659</v>
      </c>
      <c r="C9388" t="s">
        <v>157</v>
      </c>
      <c r="D9388" t="s">
        <v>18868</v>
      </c>
      <c r="E9388" t="s">
        <v>18869</v>
      </c>
      <c r="F9388" t="s">
        <v>180</v>
      </c>
      <c r="G9388" s="1">
        <v>5</v>
      </c>
    </row>
    <row r="9389" spans="1:7" ht="14.25" customHeight="1" x14ac:dyDescent="0.45">
      <c r="A9389" t="str">
        <f>_xlfn.XLOOKUP(B9389,Ingot!$H$12:$H$119,Ingot!$G$12:$G$119,"")</f>
        <v>Leather</v>
      </c>
      <c r="B9389" t="s">
        <v>18659</v>
      </c>
      <c r="C9389" t="s">
        <v>157</v>
      </c>
      <c r="D9389" t="s">
        <v>18870</v>
      </c>
      <c r="E9389" t="s">
        <v>18871</v>
      </c>
      <c r="F9389" t="s">
        <v>180</v>
      </c>
      <c r="G9389" s="1">
        <v>5</v>
      </c>
    </row>
    <row r="9390" spans="1:7" ht="14.25" customHeight="1" x14ac:dyDescent="0.45">
      <c r="A9390" t="str">
        <f>_xlfn.XLOOKUP(B9390,Ingot!$H$12:$H$119,Ingot!$G$12:$G$119,"")</f>
        <v>Leather</v>
      </c>
      <c r="B9390" t="s">
        <v>18659</v>
      </c>
      <c r="C9390" t="s">
        <v>157</v>
      </c>
      <c r="D9390" t="s">
        <v>18872</v>
      </c>
      <c r="E9390" t="s">
        <v>18873</v>
      </c>
      <c r="F9390" t="s">
        <v>180</v>
      </c>
      <c r="G9390" s="1">
        <v>5</v>
      </c>
    </row>
    <row r="9391" spans="1:7" ht="14.25" customHeight="1" x14ac:dyDescent="0.45">
      <c r="A9391" t="str">
        <f>_xlfn.XLOOKUP(B9391,Ingot!$H$12:$H$119,Ingot!$G$12:$G$119,"")</f>
        <v>Leather</v>
      </c>
      <c r="B9391" t="s">
        <v>18659</v>
      </c>
      <c r="C9391" t="s">
        <v>157</v>
      </c>
      <c r="D9391" t="s">
        <v>18874</v>
      </c>
      <c r="E9391" t="s">
        <v>18875</v>
      </c>
      <c r="F9391" t="s">
        <v>180</v>
      </c>
      <c r="G9391" s="1">
        <v>10</v>
      </c>
    </row>
    <row r="9392" spans="1:7" ht="14.25" customHeight="1" x14ac:dyDescent="0.45">
      <c r="A9392" t="str">
        <f>_xlfn.XLOOKUP(B9392,Ingot!$H$12:$H$119,Ingot!$G$12:$G$119,"")</f>
        <v>Leather</v>
      </c>
      <c r="B9392" t="s">
        <v>18659</v>
      </c>
      <c r="C9392" t="s">
        <v>157</v>
      </c>
      <c r="D9392" t="s">
        <v>18876</v>
      </c>
      <c r="E9392" t="s">
        <v>18877</v>
      </c>
      <c r="G9392" s="1">
        <v>13</v>
      </c>
    </row>
    <row r="9393" spans="1:7" ht="14.25" customHeight="1" x14ac:dyDescent="0.45">
      <c r="A9393" t="str">
        <f>_xlfn.XLOOKUP(B9393,Ingot!$H$12:$H$119,Ingot!$G$12:$G$119,"")</f>
        <v>Leather</v>
      </c>
      <c r="B9393" t="s">
        <v>18659</v>
      </c>
      <c r="C9393" t="s">
        <v>157</v>
      </c>
      <c r="D9393" t="s">
        <v>18878</v>
      </c>
      <c r="E9393" t="s">
        <v>18879</v>
      </c>
      <c r="G9393" s="1">
        <v>5</v>
      </c>
    </row>
    <row r="9394" spans="1:7" ht="14.25" customHeight="1" x14ac:dyDescent="0.45">
      <c r="A9394" t="str">
        <f>_xlfn.XLOOKUP(B9394,Ingot!$H$12:$H$119,Ingot!$G$12:$G$119,"")</f>
        <v>Leather</v>
      </c>
      <c r="B9394" t="s">
        <v>18659</v>
      </c>
      <c r="C9394" t="s">
        <v>157</v>
      </c>
      <c r="D9394" t="s">
        <v>18880</v>
      </c>
      <c r="E9394" t="s">
        <v>18881</v>
      </c>
      <c r="G9394" s="1">
        <v>5</v>
      </c>
    </row>
    <row r="9395" spans="1:7" ht="14.25" customHeight="1" x14ac:dyDescent="0.45">
      <c r="A9395" t="str">
        <f>_xlfn.XLOOKUP(B9395,Ingot!$H$12:$H$119,Ingot!$G$12:$G$119,"")</f>
        <v>Leather</v>
      </c>
      <c r="B9395" t="s">
        <v>18659</v>
      </c>
      <c r="C9395" t="s">
        <v>157</v>
      </c>
      <c r="D9395" t="s">
        <v>18882</v>
      </c>
      <c r="E9395" t="s">
        <v>18883</v>
      </c>
      <c r="G9395" s="1">
        <v>5</v>
      </c>
    </row>
    <row r="9396" spans="1:7" ht="14.25" customHeight="1" x14ac:dyDescent="0.45">
      <c r="A9396" t="str">
        <f>_xlfn.XLOOKUP(B9396,Ingot!$H$12:$H$119,Ingot!$G$12:$G$119,"")</f>
        <v>Leather</v>
      </c>
      <c r="B9396" t="s">
        <v>18659</v>
      </c>
      <c r="C9396" t="s">
        <v>157</v>
      </c>
      <c r="D9396" t="s">
        <v>18884</v>
      </c>
      <c r="E9396" t="s">
        <v>18885</v>
      </c>
      <c r="G9396" s="1">
        <v>10</v>
      </c>
    </row>
    <row r="9397" spans="1:7" ht="14.25" customHeight="1" x14ac:dyDescent="0.45">
      <c r="A9397" t="str">
        <f>_xlfn.XLOOKUP(B9397,Ingot!$H$12:$H$119,Ingot!$G$12:$G$119,"")</f>
        <v>Leather</v>
      </c>
      <c r="B9397" t="s">
        <v>18659</v>
      </c>
      <c r="C9397" t="s">
        <v>239</v>
      </c>
      <c r="D9397" t="s">
        <v>18886</v>
      </c>
      <c r="E9397" t="s">
        <v>18887</v>
      </c>
      <c r="G9397" s="1">
        <f>(VLOOKUP(B9397,Ingot!H:I,2,FALSE()) * 0.75) * 0.75</f>
        <v>2.3625000000000003</v>
      </c>
    </row>
    <row r="9398" spans="1:7" ht="14.25" customHeight="1" x14ac:dyDescent="0.45">
      <c r="A9398" t="str">
        <f>_xlfn.XLOOKUP(B9398,Ingot!$H$12:$H$119,Ingot!$G$12:$G$119,"")</f>
        <v>Leather</v>
      </c>
      <c r="B9398" t="s">
        <v>18659</v>
      </c>
      <c r="C9398" t="s">
        <v>239</v>
      </c>
      <c r="D9398" t="s">
        <v>18888</v>
      </c>
      <c r="E9398" t="s">
        <v>18889</v>
      </c>
      <c r="F9398" t="s">
        <v>180</v>
      </c>
      <c r="G9398" s="1">
        <f>((VLOOKUP(B9398,Ingot!H:I,2,FALSE()) * 3) - 10.25) * 0.421875</f>
        <v>0.9914062500000006</v>
      </c>
    </row>
    <row r="9399" spans="1:7" ht="14.25" customHeight="1" x14ac:dyDescent="0.45">
      <c r="A9399" t="str">
        <f>_xlfn.XLOOKUP(B9399,Ingot!$H$12:$H$119,Ingot!$G$12:$G$119,"")</f>
        <v>Leather</v>
      </c>
      <c r="B9399" t="s">
        <v>18659</v>
      </c>
      <c r="C9399" t="s">
        <v>239</v>
      </c>
      <c r="D9399" t="s">
        <v>18890</v>
      </c>
      <c r="E9399" t="s">
        <v>18891</v>
      </c>
      <c r="F9399" t="s">
        <v>180</v>
      </c>
      <c r="G9399" s="1">
        <f>((VLOOKUP(B9399,Ingot!H:I,2,FALSE()) * 3) - 10.25) * 0.75</f>
        <v>1.7625000000000011</v>
      </c>
    </row>
    <row r="9400" spans="1:7" ht="14.25" customHeight="1" x14ac:dyDescent="0.45">
      <c r="A9400" t="str">
        <f>_xlfn.XLOOKUP(B9400,Ingot!$H$12:$H$119,Ingot!$G$12:$G$119,"")</f>
        <v>Leather</v>
      </c>
      <c r="B9400" t="s">
        <v>18659</v>
      </c>
      <c r="C9400" t="s">
        <v>239</v>
      </c>
      <c r="D9400" t="s">
        <v>18892</v>
      </c>
      <c r="E9400" t="s">
        <v>18893</v>
      </c>
      <c r="F9400" t="s">
        <v>180</v>
      </c>
      <c r="G9400" s="1">
        <f>((VLOOKUP(B9400,Ingot!H:I,2,FALSE()) * 3) - 10.25) * 0.5625</f>
        <v>1.3218750000000008</v>
      </c>
    </row>
    <row r="9401" spans="1:7" ht="14.25" customHeight="1" x14ac:dyDescent="0.45">
      <c r="A9401" t="str">
        <f>_xlfn.XLOOKUP(B9401,Ingot!$H$12:$H$119,Ingot!$G$12:$G$119,"")</f>
        <v>Leather</v>
      </c>
      <c r="B9401" t="s">
        <v>18659</v>
      </c>
      <c r="C9401" t="s">
        <v>239</v>
      </c>
      <c r="D9401" t="s">
        <v>18894</v>
      </c>
      <c r="E9401" t="s">
        <v>18895</v>
      </c>
      <c r="G9401" s="1">
        <f>VLOOKUP(B9401,Ingot!H:I,2,FALSE()) * 0.75</f>
        <v>3.1500000000000004</v>
      </c>
    </row>
    <row r="9402" spans="1:7" ht="14.25" customHeight="1" x14ac:dyDescent="0.45">
      <c r="A9402" t="str">
        <f>_xlfn.XLOOKUP(B9402,Ingot!$H$12:$H$119,Ingot!$G$12:$G$119,"")</f>
        <v>Leather</v>
      </c>
      <c r="B9402" t="s">
        <v>18659</v>
      </c>
      <c r="C9402" t="s">
        <v>239</v>
      </c>
      <c r="D9402" t="s">
        <v>18896</v>
      </c>
      <c r="E9402" t="s">
        <v>18897</v>
      </c>
      <c r="F9402" t="s">
        <v>180</v>
      </c>
      <c r="G9402" s="1">
        <f>(VLOOKUP(B9402,Ingot!H:I,2,FALSE()) * 3) - 10.25</f>
        <v>2.3500000000000014</v>
      </c>
    </row>
    <row r="9403" spans="1:7" ht="14.25" customHeight="1" x14ac:dyDescent="0.45">
      <c r="A9403" t="str">
        <f>_xlfn.XLOOKUP(B9403,Ingot!$H$12:$H$119,Ingot!$G$12:$G$119,"")</f>
        <v>Leather</v>
      </c>
      <c r="B9403" t="s">
        <v>18898</v>
      </c>
      <c r="C9403" t="s">
        <v>10</v>
      </c>
      <c r="D9403" t="s">
        <v>18899</v>
      </c>
      <c r="E9403" t="s">
        <v>18900</v>
      </c>
      <c r="G9403" s="1">
        <v>0.08</v>
      </c>
    </row>
    <row r="9404" spans="1:7" ht="14.25" customHeight="1" x14ac:dyDescent="0.45">
      <c r="A9404" t="str">
        <f>_xlfn.XLOOKUP(B9404,Ingot!$H$12:$H$119,Ingot!$G$12:$G$119,"")</f>
        <v>Leather</v>
      </c>
      <c r="B9404" t="s">
        <v>18898</v>
      </c>
      <c r="C9404" t="s">
        <v>10</v>
      </c>
      <c r="D9404" t="s">
        <v>18901</v>
      </c>
      <c r="E9404" t="s">
        <v>18902</v>
      </c>
      <c r="G9404" s="1">
        <v>9.9</v>
      </c>
    </row>
    <row r="9405" spans="1:7" ht="14.25" customHeight="1" x14ac:dyDescent="0.45">
      <c r="A9405" t="str">
        <f>_xlfn.XLOOKUP(B9405,Ingot!$H$12:$H$119,Ingot!$G$12:$G$119,"")</f>
        <v>Leather</v>
      </c>
      <c r="B9405" t="s">
        <v>18898</v>
      </c>
      <c r="C9405" t="s">
        <v>10</v>
      </c>
      <c r="D9405" t="s">
        <v>18903</v>
      </c>
      <c r="E9405" t="s">
        <v>18904</v>
      </c>
      <c r="G9405" s="1">
        <v>5.66</v>
      </c>
    </row>
    <row r="9406" spans="1:7" ht="14.25" customHeight="1" x14ac:dyDescent="0.45">
      <c r="A9406" t="str">
        <f>_xlfn.XLOOKUP(B9406,Ingot!$H$12:$H$119,Ingot!$G$12:$G$119,"")</f>
        <v>Leather</v>
      </c>
      <c r="B9406" t="s">
        <v>18898</v>
      </c>
      <c r="C9406" t="s">
        <v>10</v>
      </c>
      <c r="D9406" t="s">
        <v>18905</v>
      </c>
      <c r="E9406" t="s">
        <v>18906</v>
      </c>
      <c r="G9406" s="1">
        <v>3.3</v>
      </c>
    </row>
    <row r="9407" spans="1:7" ht="14.25" customHeight="1" x14ac:dyDescent="0.45">
      <c r="A9407" t="str">
        <f>_xlfn.XLOOKUP(B9407,Ingot!$H$12:$H$119,Ingot!$G$12:$G$119,"")</f>
        <v>Leather</v>
      </c>
      <c r="B9407" t="s">
        <v>18898</v>
      </c>
      <c r="C9407" t="s">
        <v>10</v>
      </c>
      <c r="D9407" t="s">
        <v>18907</v>
      </c>
      <c r="E9407" t="s">
        <v>18908</v>
      </c>
      <c r="G9407" s="1">
        <v>0.66</v>
      </c>
    </row>
    <row r="9408" spans="1:7" ht="14.25" customHeight="1" x14ac:dyDescent="0.45">
      <c r="A9408" t="str">
        <f>_xlfn.XLOOKUP(B9408,Ingot!$H$12:$H$119,Ingot!$G$12:$G$119,"")</f>
        <v>Leather</v>
      </c>
      <c r="B9408" t="s">
        <v>18898</v>
      </c>
      <c r="C9408" t="s">
        <v>10</v>
      </c>
      <c r="D9408" t="s">
        <v>18909</v>
      </c>
      <c r="E9408" t="s">
        <v>18910</v>
      </c>
      <c r="G9408" s="1">
        <v>0.04</v>
      </c>
    </row>
    <row r="9409" spans="1:7" ht="14.25" customHeight="1" x14ac:dyDescent="0.45">
      <c r="A9409" t="str">
        <f>_xlfn.XLOOKUP(B9409,Ingot!$H$12:$H$119,Ingot!$G$12:$G$119,"")</f>
        <v>Leather</v>
      </c>
      <c r="B9409" t="s">
        <v>18898</v>
      </c>
      <c r="C9409" t="s">
        <v>10</v>
      </c>
      <c r="D9409" t="s">
        <v>18911</v>
      </c>
      <c r="E9409" t="s">
        <v>18912</v>
      </c>
      <c r="G9409" s="1">
        <v>0.33</v>
      </c>
    </row>
    <row r="9410" spans="1:7" ht="14.25" customHeight="1" x14ac:dyDescent="0.45">
      <c r="A9410" t="str">
        <f>_xlfn.XLOOKUP(B9410,Ingot!$H$12:$H$119,Ingot!$G$12:$G$119,"")</f>
        <v>Leather</v>
      </c>
      <c r="B9410" t="s">
        <v>18898</v>
      </c>
      <c r="C9410" t="s">
        <v>10</v>
      </c>
      <c r="D9410" t="s">
        <v>18913</v>
      </c>
      <c r="E9410" t="s">
        <v>18914</v>
      </c>
    </row>
    <row r="9411" spans="1:7" ht="14.25" customHeight="1" x14ac:dyDescent="0.45">
      <c r="A9411" t="str">
        <f>_xlfn.XLOOKUP(B9411,Ingot!$H$12:$H$119,Ingot!$G$12:$G$119,"")</f>
        <v>Leather</v>
      </c>
      <c r="B9411" t="s">
        <v>18898</v>
      </c>
      <c r="C9411" t="s">
        <v>10</v>
      </c>
      <c r="D9411" t="s">
        <v>18915</v>
      </c>
      <c r="E9411" t="s">
        <v>18916</v>
      </c>
      <c r="G9411" s="1">
        <v>0.05</v>
      </c>
    </row>
    <row r="9412" spans="1:7" ht="14.25" customHeight="1" x14ac:dyDescent="0.45">
      <c r="A9412" t="str">
        <f>_xlfn.XLOOKUP(B9412,Ingot!$H$12:$H$119,Ingot!$G$12:$G$119,"")</f>
        <v>Leather</v>
      </c>
      <c r="B9412" t="s">
        <v>18898</v>
      </c>
      <c r="C9412" t="s">
        <v>10</v>
      </c>
      <c r="D9412" t="s">
        <v>18917</v>
      </c>
      <c r="E9412" t="s">
        <v>18918</v>
      </c>
      <c r="G9412" s="1">
        <v>0.66</v>
      </c>
    </row>
    <row r="9413" spans="1:7" ht="14.25" customHeight="1" x14ac:dyDescent="0.45">
      <c r="A9413" t="str">
        <f>_xlfn.XLOOKUP(B9413,Ingot!$H$12:$H$119,Ingot!$G$12:$G$119,"")</f>
        <v>Leather</v>
      </c>
      <c r="B9413" t="s">
        <v>18898</v>
      </c>
      <c r="C9413" t="s">
        <v>10</v>
      </c>
      <c r="D9413" t="s">
        <v>18919</v>
      </c>
      <c r="E9413" t="s">
        <v>18920</v>
      </c>
      <c r="G9413" s="1">
        <v>3.96</v>
      </c>
    </row>
    <row r="9414" spans="1:7" ht="14.25" customHeight="1" x14ac:dyDescent="0.45">
      <c r="A9414" t="str">
        <f>_xlfn.XLOOKUP(B9414,Ingot!$H$12:$H$119,Ingot!$G$12:$G$119,"")</f>
        <v>Leather</v>
      </c>
      <c r="B9414" t="s">
        <v>18898</v>
      </c>
      <c r="C9414" t="s">
        <v>10</v>
      </c>
      <c r="D9414" t="s">
        <v>18921</v>
      </c>
      <c r="E9414" t="s">
        <v>18922</v>
      </c>
      <c r="G9414" s="1">
        <v>8.77</v>
      </c>
    </row>
    <row r="9415" spans="1:7" ht="14.25" customHeight="1" x14ac:dyDescent="0.45">
      <c r="A9415" t="str">
        <f>_xlfn.XLOOKUP(B9415,Ingot!$H$12:$H$119,Ingot!$G$12:$G$119,"")</f>
        <v>Leather</v>
      </c>
      <c r="B9415" t="s">
        <v>18898</v>
      </c>
      <c r="C9415" t="s">
        <v>10</v>
      </c>
      <c r="D9415" t="s">
        <v>18923</v>
      </c>
      <c r="E9415" t="s">
        <v>18924</v>
      </c>
      <c r="G9415" s="1">
        <v>3.5</v>
      </c>
    </row>
    <row r="9416" spans="1:7" ht="14.25" customHeight="1" x14ac:dyDescent="0.45">
      <c r="A9416" t="str">
        <f>_xlfn.XLOOKUP(B9416,Ingot!$H$12:$H$119,Ingot!$G$12:$G$119,"")</f>
        <v>Leather</v>
      </c>
      <c r="B9416" t="s">
        <v>18898</v>
      </c>
      <c r="C9416" t="s">
        <v>10</v>
      </c>
      <c r="D9416" t="s">
        <v>18925</v>
      </c>
      <c r="E9416" t="s">
        <v>18926</v>
      </c>
    </row>
    <row r="9417" spans="1:7" ht="14.25" customHeight="1" x14ac:dyDescent="0.45">
      <c r="A9417" t="str">
        <f>_xlfn.XLOOKUP(B9417,Ingot!$H$12:$H$119,Ingot!$G$12:$G$119,"")</f>
        <v>Leather</v>
      </c>
      <c r="B9417" t="s">
        <v>18898</v>
      </c>
      <c r="C9417" t="s">
        <v>10</v>
      </c>
      <c r="D9417" t="s">
        <v>18927</v>
      </c>
      <c r="E9417" t="s">
        <v>18928</v>
      </c>
      <c r="G9417" s="1">
        <v>2.2000000000000002</v>
      </c>
    </row>
    <row r="9418" spans="1:7" ht="14.25" customHeight="1" x14ac:dyDescent="0.45">
      <c r="A9418" t="str">
        <f>_xlfn.XLOOKUP(B9418,Ingot!$H$12:$H$119,Ingot!$G$12:$G$119,"")</f>
        <v>Leather</v>
      </c>
      <c r="B9418" t="s">
        <v>18898</v>
      </c>
      <c r="C9418" t="s">
        <v>10</v>
      </c>
      <c r="D9418" t="s">
        <v>18929</v>
      </c>
      <c r="E9418" t="s">
        <v>18930</v>
      </c>
      <c r="G9418" s="1">
        <v>1.1000000000000001</v>
      </c>
    </row>
    <row r="9419" spans="1:7" ht="14.25" customHeight="1" x14ac:dyDescent="0.45">
      <c r="A9419" t="str">
        <f>_xlfn.XLOOKUP(B9419,Ingot!$H$12:$H$119,Ingot!$G$12:$G$119,"")</f>
        <v>Leather</v>
      </c>
      <c r="B9419" t="s">
        <v>18898</v>
      </c>
      <c r="C9419" t="s">
        <v>10</v>
      </c>
      <c r="D9419" t="s">
        <v>18931</v>
      </c>
      <c r="E9419" t="s">
        <v>18932</v>
      </c>
      <c r="G9419" s="1">
        <v>0.22</v>
      </c>
    </row>
    <row r="9420" spans="1:7" ht="14.25" customHeight="1" x14ac:dyDescent="0.45">
      <c r="A9420" t="str">
        <f>_xlfn.XLOOKUP(B9420,Ingot!$H$12:$H$119,Ingot!$G$12:$G$119,"")</f>
        <v>Leather</v>
      </c>
      <c r="B9420" t="s">
        <v>18898</v>
      </c>
      <c r="C9420" t="s">
        <v>10</v>
      </c>
      <c r="D9420" t="s">
        <v>18933</v>
      </c>
      <c r="E9420" t="s">
        <v>18934</v>
      </c>
      <c r="G9420" s="1">
        <v>8.41</v>
      </c>
    </row>
    <row r="9421" spans="1:7" ht="14.25" customHeight="1" x14ac:dyDescent="0.45">
      <c r="A9421" t="str">
        <f>_xlfn.XLOOKUP(B9421,Ingot!$H$12:$H$119,Ingot!$G$12:$G$119,"")</f>
        <v>Leather</v>
      </c>
      <c r="B9421" t="s">
        <v>18898</v>
      </c>
      <c r="C9421" t="s">
        <v>10</v>
      </c>
      <c r="D9421" t="s">
        <v>18935</v>
      </c>
      <c r="E9421" t="s">
        <v>18936</v>
      </c>
      <c r="G9421" s="1">
        <v>3.64</v>
      </c>
    </row>
    <row r="9422" spans="1:7" ht="14.25" customHeight="1" x14ac:dyDescent="0.45">
      <c r="A9422" t="str">
        <f>_xlfn.XLOOKUP(B9422,Ingot!$H$12:$H$119,Ingot!$G$12:$G$119,"")</f>
        <v>Leather</v>
      </c>
      <c r="B9422" t="s">
        <v>18898</v>
      </c>
      <c r="C9422" t="s">
        <v>10</v>
      </c>
      <c r="D9422" t="s">
        <v>18937</v>
      </c>
      <c r="E9422" t="s">
        <v>18938</v>
      </c>
      <c r="G9422" s="1">
        <v>7.05</v>
      </c>
    </row>
    <row r="9423" spans="1:7" ht="14.25" customHeight="1" x14ac:dyDescent="0.45">
      <c r="A9423" t="str">
        <f>_xlfn.XLOOKUP(B9423,Ingot!$H$12:$H$119,Ingot!$G$12:$G$119,"")</f>
        <v>Leather</v>
      </c>
      <c r="B9423" t="s">
        <v>18898</v>
      </c>
      <c r="C9423" t="s">
        <v>10</v>
      </c>
      <c r="D9423" t="s">
        <v>18939</v>
      </c>
      <c r="E9423" t="s">
        <v>18940</v>
      </c>
      <c r="G9423" s="1">
        <v>2.65</v>
      </c>
    </row>
    <row r="9424" spans="1:7" ht="14.25" customHeight="1" x14ac:dyDescent="0.45">
      <c r="A9424" t="str">
        <f>_xlfn.XLOOKUP(B9424,Ingot!$H$12:$H$119,Ingot!$G$12:$G$119,"")</f>
        <v>Leather</v>
      </c>
      <c r="B9424" t="s">
        <v>18898</v>
      </c>
      <c r="C9424" t="s">
        <v>10</v>
      </c>
      <c r="D9424" t="s">
        <v>18941</v>
      </c>
      <c r="E9424" t="s">
        <v>18942</v>
      </c>
      <c r="G9424" s="1">
        <v>9</v>
      </c>
    </row>
    <row r="9425" spans="1:7" ht="14.25" customHeight="1" x14ac:dyDescent="0.45">
      <c r="A9425" t="str">
        <f>_xlfn.XLOOKUP(B9425,Ingot!$H$12:$H$119,Ingot!$G$12:$G$119,"")</f>
        <v>Leather</v>
      </c>
      <c r="B9425" t="s">
        <v>18898</v>
      </c>
      <c r="C9425" t="s">
        <v>10</v>
      </c>
      <c r="D9425" t="s">
        <v>18943</v>
      </c>
      <c r="E9425" t="s">
        <v>18944</v>
      </c>
      <c r="G9425" s="1">
        <v>10.23</v>
      </c>
    </row>
    <row r="9426" spans="1:7" ht="14.25" customHeight="1" x14ac:dyDescent="0.45">
      <c r="A9426" t="str">
        <f>_xlfn.XLOOKUP(B9426,Ingot!$H$12:$H$119,Ingot!$G$12:$G$119,"")</f>
        <v>Leather</v>
      </c>
      <c r="B9426" t="s">
        <v>18898</v>
      </c>
      <c r="C9426" t="s">
        <v>10</v>
      </c>
      <c r="D9426" t="s">
        <v>18945</v>
      </c>
      <c r="E9426" t="s">
        <v>18946</v>
      </c>
      <c r="G9426" s="1">
        <v>7.7</v>
      </c>
    </row>
    <row r="9427" spans="1:7" ht="14.25" customHeight="1" x14ac:dyDescent="0.45">
      <c r="A9427" t="str">
        <f>_xlfn.XLOOKUP(B9427,Ingot!$H$12:$H$119,Ingot!$G$12:$G$119,"")</f>
        <v>Leather</v>
      </c>
      <c r="B9427" t="s">
        <v>18898</v>
      </c>
      <c r="C9427" t="s">
        <v>10</v>
      </c>
      <c r="D9427" t="s">
        <v>18947</v>
      </c>
      <c r="E9427" t="s">
        <v>18948</v>
      </c>
      <c r="G9427" s="1">
        <v>10.02</v>
      </c>
    </row>
    <row r="9428" spans="1:7" ht="14.25" customHeight="1" x14ac:dyDescent="0.45">
      <c r="A9428" t="str">
        <f>_xlfn.XLOOKUP(B9428,Ingot!$H$12:$H$119,Ingot!$G$12:$G$119,"")</f>
        <v>Leather</v>
      </c>
      <c r="B9428" t="s">
        <v>18898</v>
      </c>
      <c r="C9428" t="s">
        <v>10</v>
      </c>
      <c r="D9428" t="s">
        <v>18949</v>
      </c>
      <c r="E9428" t="s">
        <v>18950</v>
      </c>
      <c r="G9428" s="1">
        <v>11.81</v>
      </c>
    </row>
    <row r="9429" spans="1:7" ht="14.25" customHeight="1" x14ac:dyDescent="0.45">
      <c r="A9429" t="str">
        <f>_xlfn.XLOOKUP(B9429,Ingot!$H$12:$H$119,Ingot!$G$12:$G$119,"")</f>
        <v>Leather</v>
      </c>
      <c r="B9429" t="s">
        <v>18898</v>
      </c>
      <c r="C9429" t="s">
        <v>10</v>
      </c>
      <c r="D9429" t="s">
        <v>18951</v>
      </c>
      <c r="E9429" t="s">
        <v>18952</v>
      </c>
      <c r="G9429" s="1">
        <v>8.44</v>
      </c>
    </row>
    <row r="9430" spans="1:7" ht="14.25" customHeight="1" x14ac:dyDescent="0.45">
      <c r="A9430" t="str">
        <f>_xlfn.XLOOKUP(B9430,Ingot!$H$12:$H$119,Ingot!$G$12:$G$119,"")</f>
        <v>Leather</v>
      </c>
      <c r="B9430" t="s">
        <v>18898</v>
      </c>
      <c r="C9430" t="s">
        <v>10</v>
      </c>
      <c r="D9430" t="s">
        <v>18953</v>
      </c>
      <c r="E9430" t="s">
        <v>18954</v>
      </c>
      <c r="G9430" s="1">
        <v>10.42</v>
      </c>
    </row>
    <row r="9431" spans="1:7" ht="14.25" customHeight="1" x14ac:dyDescent="0.45">
      <c r="A9431" t="str">
        <f>_xlfn.XLOOKUP(B9431,Ingot!$H$12:$H$119,Ingot!$G$12:$G$119,"")</f>
        <v>Leather</v>
      </c>
      <c r="B9431" t="s">
        <v>18898</v>
      </c>
      <c r="C9431" t="s">
        <v>10</v>
      </c>
      <c r="D9431" t="s">
        <v>18955</v>
      </c>
      <c r="E9431" t="s">
        <v>18956</v>
      </c>
    </row>
    <row r="9432" spans="1:7" ht="14.25" customHeight="1" x14ac:dyDescent="0.45">
      <c r="A9432" t="str">
        <f>_xlfn.XLOOKUP(B9432,Ingot!$H$12:$H$119,Ingot!$G$12:$G$119,"")</f>
        <v>Leather</v>
      </c>
      <c r="B9432" t="s">
        <v>18898</v>
      </c>
      <c r="C9432" t="s">
        <v>10</v>
      </c>
      <c r="D9432" t="s">
        <v>18957</v>
      </c>
      <c r="E9432" t="s">
        <v>18958</v>
      </c>
      <c r="G9432" s="1">
        <v>7.96</v>
      </c>
    </row>
    <row r="9433" spans="1:7" ht="14.25" customHeight="1" x14ac:dyDescent="0.45">
      <c r="A9433" t="str">
        <f>_xlfn.XLOOKUP(B9433,Ingot!$H$12:$H$119,Ingot!$G$12:$G$119,"")</f>
        <v>Leather</v>
      </c>
      <c r="B9433" t="s">
        <v>18898</v>
      </c>
      <c r="C9433" t="s">
        <v>10</v>
      </c>
      <c r="D9433" t="s">
        <v>18959</v>
      </c>
      <c r="E9433" t="s">
        <v>18960</v>
      </c>
      <c r="G9433" s="1">
        <v>9.64</v>
      </c>
    </row>
    <row r="9434" spans="1:7" ht="14.25" customHeight="1" x14ac:dyDescent="0.45">
      <c r="A9434" t="str">
        <f>_xlfn.XLOOKUP(B9434,Ingot!$H$12:$H$119,Ingot!$G$12:$G$119,"")</f>
        <v>Leather</v>
      </c>
      <c r="B9434" t="s">
        <v>18898</v>
      </c>
      <c r="C9434" t="s">
        <v>10</v>
      </c>
      <c r="D9434" t="s">
        <v>18961</v>
      </c>
      <c r="E9434" t="s">
        <v>18962</v>
      </c>
      <c r="G9434" s="1">
        <v>7.94</v>
      </c>
    </row>
    <row r="9435" spans="1:7" ht="14.25" customHeight="1" x14ac:dyDescent="0.45">
      <c r="A9435" t="str">
        <f>_xlfn.XLOOKUP(B9435,Ingot!$H$12:$H$119,Ingot!$G$12:$G$119,"")</f>
        <v>Leather</v>
      </c>
      <c r="B9435" t="s">
        <v>18898</v>
      </c>
      <c r="C9435" t="s">
        <v>10</v>
      </c>
      <c r="D9435" t="s">
        <v>18963</v>
      </c>
      <c r="E9435" t="s">
        <v>18964</v>
      </c>
      <c r="G9435" s="1">
        <v>8.66</v>
      </c>
    </row>
    <row r="9436" spans="1:7" ht="14.25" customHeight="1" x14ac:dyDescent="0.45">
      <c r="A9436" t="str">
        <f>_xlfn.XLOOKUP(B9436,Ingot!$H$12:$H$119,Ingot!$G$12:$G$119,"")</f>
        <v>Leather</v>
      </c>
      <c r="B9436" t="s">
        <v>18898</v>
      </c>
      <c r="C9436" t="s">
        <v>10</v>
      </c>
      <c r="D9436" t="s">
        <v>18965</v>
      </c>
      <c r="E9436" t="s">
        <v>18966</v>
      </c>
    </row>
    <row r="9437" spans="1:7" ht="14.25" customHeight="1" x14ac:dyDescent="0.45">
      <c r="A9437" t="str">
        <f>_xlfn.XLOOKUP(B9437,Ingot!$H$12:$H$119,Ingot!$G$12:$G$119,"")</f>
        <v>Leather</v>
      </c>
      <c r="B9437" t="s">
        <v>18898</v>
      </c>
      <c r="C9437" t="s">
        <v>10</v>
      </c>
      <c r="D9437" t="s">
        <v>18967</v>
      </c>
      <c r="E9437" t="s">
        <v>18968</v>
      </c>
      <c r="G9437" s="1">
        <v>2.65</v>
      </c>
    </row>
    <row r="9438" spans="1:7" ht="14.25" customHeight="1" x14ac:dyDescent="0.45">
      <c r="A9438" t="str">
        <f>_xlfn.XLOOKUP(B9438,Ingot!$H$12:$H$119,Ingot!$G$12:$G$119,"")</f>
        <v>Leather</v>
      </c>
      <c r="B9438" t="s">
        <v>18898</v>
      </c>
      <c r="C9438" t="s">
        <v>10</v>
      </c>
      <c r="D9438" t="s">
        <v>18969</v>
      </c>
      <c r="E9438" t="s">
        <v>18970</v>
      </c>
    </row>
    <row r="9439" spans="1:7" ht="14.25" customHeight="1" x14ac:dyDescent="0.45">
      <c r="A9439" t="str">
        <f>_xlfn.XLOOKUP(B9439,Ingot!$H$12:$H$119,Ingot!$G$12:$G$119,"")</f>
        <v>Leather</v>
      </c>
      <c r="B9439" t="s">
        <v>18898</v>
      </c>
      <c r="C9439" t="s">
        <v>10</v>
      </c>
      <c r="D9439" t="s">
        <v>18971</v>
      </c>
      <c r="E9439" t="s">
        <v>18972</v>
      </c>
      <c r="G9439" s="1">
        <v>12.64</v>
      </c>
    </row>
    <row r="9440" spans="1:7" ht="14.25" customHeight="1" x14ac:dyDescent="0.45">
      <c r="A9440" t="str">
        <f>_xlfn.XLOOKUP(B9440,Ingot!$H$12:$H$119,Ingot!$G$12:$G$119,"")</f>
        <v>Leather</v>
      </c>
      <c r="B9440" t="s">
        <v>18898</v>
      </c>
      <c r="C9440" t="s">
        <v>10</v>
      </c>
      <c r="D9440" t="s">
        <v>18973</v>
      </c>
      <c r="E9440" t="s">
        <v>18974</v>
      </c>
      <c r="G9440" s="1">
        <v>22.67</v>
      </c>
    </row>
    <row r="9441" spans="1:7" ht="14.25" customHeight="1" x14ac:dyDescent="0.45">
      <c r="A9441" t="str">
        <f>_xlfn.XLOOKUP(B9441,Ingot!$H$12:$H$119,Ingot!$G$12:$G$119,"")</f>
        <v>Leather</v>
      </c>
      <c r="B9441" t="s">
        <v>18898</v>
      </c>
      <c r="C9441" t="s">
        <v>10</v>
      </c>
      <c r="D9441" t="s">
        <v>18975</v>
      </c>
      <c r="E9441" t="s">
        <v>18976</v>
      </c>
      <c r="G9441" s="1">
        <v>8.3800000000000008</v>
      </c>
    </row>
    <row r="9442" spans="1:7" ht="14.25" customHeight="1" x14ac:dyDescent="0.45">
      <c r="A9442" t="str">
        <f>_xlfn.XLOOKUP(B9442,Ingot!$H$12:$H$119,Ingot!$G$12:$G$119,"")</f>
        <v>Leather</v>
      </c>
      <c r="B9442" t="s">
        <v>18898</v>
      </c>
      <c r="C9442" t="s">
        <v>10</v>
      </c>
      <c r="D9442" t="s">
        <v>18977</v>
      </c>
      <c r="E9442" t="s">
        <v>18978</v>
      </c>
      <c r="G9442" s="1">
        <v>2.2000000000000002</v>
      </c>
    </row>
    <row r="9443" spans="1:7" ht="14.25" customHeight="1" x14ac:dyDescent="0.45">
      <c r="A9443" t="str">
        <f>_xlfn.XLOOKUP(B9443,Ingot!$H$12:$H$119,Ingot!$G$12:$G$119,"")</f>
        <v>Leather</v>
      </c>
      <c r="B9443" t="s">
        <v>18898</v>
      </c>
      <c r="C9443" t="s">
        <v>10</v>
      </c>
      <c r="D9443" t="s">
        <v>18979</v>
      </c>
      <c r="E9443" t="s">
        <v>18980</v>
      </c>
      <c r="G9443" s="1">
        <v>3.09</v>
      </c>
    </row>
    <row r="9444" spans="1:7" ht="14.25" customHeight="1" x14ac:dyDescent="0.45">
      <c r="A9444" t="str">
        <f>_xlfn.XLOOKUP(B9444,Ingot!$H$12:$H$119,Ingot!$G$12:$G$119,"")</f>
        <v>Leather</v>
      </c>
      <c r="B9444" t="s">
        <v>18898</v>
      </c>
      <c r="C9444" t="s">
        <v>10</v>
      </c>
      <c r="D9444" t="s">
        <v>18981</v>
      </c>
      <c r="E9444" t="s">
        <v>18982</v>
      </c>
      <c r="G9444" s="1">
        <v>2.2999999999999998</v>
      </c>
    </row>
    <row r="9445" spans="1:7" ht="14.25" customHeight="1" x14ac:dyDescent="0.45">
      <c r="A9445" t="str">
        <f>_xlfn.XLOOKUP(B9445,Ingot!$H$12:$H$119,Ingot!$G$12:$G$119,"")</f>
        <v>Leather</v>
      </c>
      <c r="B9445" t="s">
        <v>18898</v>
      </c>
      <c r="C9445" t="s">
        <v>10</v>
      </c>
      <c r="D9445" t="s">
        <v>18983</v>
      </c>
      <c r="E9445" t="s">
        <v>18984</v>
      </c>
      <c r="G9445" s="1">
        <v>4.88</v>
      </c>
    </row>
    <row r="9446" spans="1:7" ht="14.25" customHeight="1" x14ac:dyDescent="0.45">
      <c r="A9446" t="str">
        <f>_xlfn.XLOOKUP(B9446,Ingot!$H$12:$H$119,Ingot!$G$12:$G$119,"")</f>
        <v>Leather</v>
      </c>
      <c r="B9446" t="s">
        <v>18898</v>
      </c>
      <c r="C9446" t="s">
        <v>10</v>
      </c>
      <c r="D9446" t="s">
        <v>18985</v>
      </c>
      <c r="E9446" t="s">
        <v>18986</v>
      </c>
      <c r="G9446" s="1">
        <v>8.43</v>
      </c>
    </row>
    <row r="9447" spans="1:7" ht="14.25" customHeight="1" x14ac:dyDescent="0.45">
      <c r="A9447" t="str">
        <f>_xlfn.XLOOKUP(B9447,Ingot!$H$12:$H$119,Ingot!$G$12:$G$119,"")</f>
        <v>Leather</v>
      </c>
      <c r="B9447" t="s">
        <v>18898</v>
      </c>
      <c r="C9447" t="s">
        <v>10</v>
      </c>
      <c r="D9447" t="s">
        <v>18987</v>
      </c>
      <c r="E9447" t="s">
        <v>18988</v>
      </c>
      <c r="G9447" s="1">
        <v>13.07</v>
      </c>
    </row>
    <row r="9448" spans="1:7" ht="14.25" customHeight="1" x14ac:dyDescent="0.45">
      <c r="A9448" t="str">
        <f>_xlfn.XLOOKUP(B9448,Ingot!$H$12:$H$119,Ingot!$G$12:$G$119,"")</f>
        <v>Leather</v>
      </c>
      <c r="B9448" t="s">
        <v>18898</v>
      </c>
      <c r="C9448" t="s">
        <v>10</v>
      </c>
      <c r="D9448" t="s">
        <v>18989</v>
      </c>
      <c r="E9448" t="s">
        <v>18990</v>
      </c>
    </row>
    <row r="9449" spans="1:7" ht="14.25" customHeight="1" x14ac:dyDescent="0.45">
      <c r="A9449" t="str">
        <f>_xlfn.XLOOKUP(B9449,Ingot!$H$12:$H$119,Ingot!$G$12:$G$119,"")</f>
        <v>Leather</v>
      </c>
      <c r="B9449" t="s">
        <v>18898</v>
      </c>
      <c r="C9449" t="s">
        <v>10</v>
      </c>
      <c r="D9449" t="s">
        <v>18991</v>
      </c>
      <c r="E9449" t="s">
        <v>18992</v>
      </c>
    </row>
    <row r="9450" spans="1:7" ht="14.25" customHeight="1" x14ac:dyDescent="0.45">
      <c r="A9450" t="str">
        <f>_xlfn.XLOOKUP(B9450,Ingot!$H$12:$H$119,Ingot!$G$12:$G$119,"")</f>
        <v>Leather</v>
      </c>
      <c r="B9450" t="s">
        <v>18898</v>
      </c>
      <c r="C9450" t="s">
        <v>10</v>
      </c>
      <c r="D9450" t="s">
        <v>18993</v>
      </c>
      <c r="E9450" t="s">
        <v>18994</v>
      </c>
      <c r="G9450" s="1">
        <v>6.8</v>
      </c>
    </row>
    <row r="9451" spans="1:7" ht="14.25" customHeight="1" x14ac:dyDescent="0.45">
      <c r="A9451" t="str">
        <f>_xlfn.XLOOKUP(B9451,Ingot!$H$12:$H$119,Ingot!$G$12:$G$119,"")</f>
        <v>Leather</v>
      </c>
      <c r="B9451" t="s">
        <v>18898</v>
      </c>
      <c r="C9451" t="s">
        <v>10</v>
      </c>
      <c r="D9451" t="s">
        <v>18995</v>
      </c>
      <c r="E9451" t="s">
        <v>18996</v>
      </c>
      <c r="G9451" s="1">
        <v>6.88</v>
      </c>
    </row>
    <row r="9452" spans="1:7" ht="14.25" customHeight="1" x14ac:dyDescent="0.45">
      <c r="A9452" t="str">
        <f>_xlfn.XLOOKUP(B9452,Ingot!$H$12:$H$119,Ingot!$G$12:$G$119,"")</f>
        <v>Leather</v>
      </c>
      <c r="B9452" t="s">
        <v>18898</v>
      </c>
      <c r="C9452" t="s">
        <v>10</v>
      </c>
      <c r="D9452" t="s">
        <v>18997</v>
      </c>
      <c r="E9452" t="s">
        <v>18998</v>
      </c>
      <c r="G9452" s="1">
        <v>5.5</v>
      </c>
    </row>
    <row r="9453" spans="1:7" ht="14.25" customHeight="1" x14ac:dyDescent="0.45">
      <c r="A9453" t="str">
        <f>_xlfn.XLOOKUP(B9453,Ingot!$H$12:$H$119,Ingot!$G$12:$G$119,"")</f>
        <v>Leather</v>
      </c>
      <c r="B9453" t="s">
        <v>18898</v>
      </c>
      <c r="C9453" t="s">
        <v>10</v>
      </c>
      <c r="D9453" t="s">
        <v>18999</v>
      </c>
      <c r="E9453" t="s">
        <v>19000</v>
      </c>
      <c r="G9453" s="1">
        <v>2.4300000000000002</v>
      </c>
    </row>
    <row r="9454" spans="1:7" ht="14.25" customHeight="1" x14ac:dyDescent="0.45">
      <c r="A9454" t="str">
        <f>_xlfn.XLOOKUP(B9454,Ingot!$H$12:$H$119,Ingot!$G$12:$G$119,"")</f>
        <v>Leather</v>
      </c>
      <c r="B9454" t="s">
        <v>18898</v>
      </c>
      <c r="C9454" t="s">
        <v>10</v>
      </c>
      <c r="D9454" t="s">
        <v>19001</v>
      </c>
      <c r="E9454" t="s">
        <v>19002</v>
      </c>
      <c r="G9454" s="1">
        <v>6.96</v>
      </c>
    </row>
    <row r="9455" spans="1:7" ht="14.25" customHeight="1" x14ac:dyDescent="0.45">
      <c r="A9455" t="str">
        <f>_xlfn.XLOOKUP(B9455,Ingot!$H$12:$H$119,Ingot!$G$12:$G$119,"")</f>
        <v>Leather</v>
      </c>
      <c r="B9455" t="s">
        <v>18898</v>
      </c>
      <c r="C9455" t="s">
        <v>10</v>
      </c>
      <c r="D9455" t="s">
        <v>19003</v>
      </c>
      <c r="E9455" t="s">
        <v>19004</v>
      </c>
      <c r="G9455" s="1">
        <v>6.32</v>
      </c>
    </row>
    <row r="9456" spans="1:7" ht="14.25" customHeight="1" x14ac:dyDescent="0.45">
      <c r="A9456" t="str">
        <f>_xlfn.XLOOKUP(B9456,Ingot!$H$12:$H$119,Ingot!$G$12:$G$119,"")</f>
        <v>Leather</v>
      </c>
      <c r="B9456" t="s">
        <v>18898</v>
      </c>
      <c r="C9456" t="s">
        <v>10</v>
      </c>
      <c r="D9456" t="s">
        <v>19005</v>
      </c>
      <c r="E9456" t="s">
        <v>19006</v>
      </c>
      <c r="G9456" s="1">
        <v>6.88</v>
      </c>
    </row>
    <row r="9457" spans="1:7" ht="14.25" customHeight="1" x14ac:dyDescent="0.45">
      <c r="A9457" t="str">
        <f>_xlfn.XLOOKUP(B9457,Ingot!$H$12:$H$119,Ingot!$G$12:$G$119,"")</f>
        <v>Leather</v>
      </c>
      <c r="B9457" t="s">
        <v>18898</v>
      </c>
      <c r="C9457" t="s">
        <v>10</v>
      </c>
      <c r="D9457" t="s">
        <v>19007</v>
      </c>
      <c r="E9457" t="s">
        <v>19008</v>
      </c>
      <c r="G9457" s="1">
        <v>2.44</v>
      </c>
    </row>
    <row r="9458" spans="1:7" ht="14.25" customHeight="1" x14ac:dyDescent="0.45">
      <c r="A9458" t="str">
        <f>_xlfn.XLOOKUP(B9458,Ingot!$H$12:$H$119,Ingot!$G$12:$G$119,"")</f>
        <v>Leather</v>
      </c>
      <c r="B9458" t="s">
        <v>18898</v>
      </c>
      <c r="C9458" t="s">
        <v>10</v>
      </c>
      <c r="D9458" t="s">
        <v>19009</v>
      </c>
      <c r="E9458" t="s">
        <v>19010</v>
      </c>
    </row>
    <row r="9459" spans="1:7" ht="14.25" customHeight="1" x14ac:dyDescent="0.45">
      <c r="A9459" t="str">
        <f>_xlfn.XLOOKUP(B9459,Ingot!$H$12:$H$119,Ingot!$G$12:$G$119,"")</f>
        <v>Leather</v>
      </c>
      <c r="B9459" t="s">
        <v>18898</v>
      </c>
      <c r="C9459" t="s">
        <v>10</v>
      </c>
      <c r="D9459" t="s">
        <v>19011</v>
      </c>
      <c r="E9459" t="s">
        <v>19012</v>
      </c>
    </row>
    <row r="9460" spans="1:7" ht="14.25" customHeight="1" x14ac:dyDescent="0.45">
      <c r="A9460" t="str">
        <f>_xlfn.XLOOKUP(B9460,Ingot!$H$12:$H$119,Ingot!$G$12:$G$119,"")</f>
        <v>Leather</v>
      </c>
      <c r="B9460" t="s">
        <v>18898</v>
      </c>
      <c r="C9460" t="s">
        <v>10</v>
      </c>
      <c r="D9460" t="s">
        <v>19013</v>
      </c>
      <c r="E9460" t="s">
        <v>19014</v>
      </c>
      <c r="G9460" s="1">
        <v>3.11</v>
      </c>
    </row>
    <row r="9461" spans="1:7" ht="14.25" customHeight="1" x14ac:dyDescent="0.45">
      <c r="A9461" t="str">
        <f>_xlfn.XLOOKUP(B9461,Ingot!$H$12:$H$119,Ingot!$G$12:$G$119,"")</f>
        <v>Leather</v>
      </c>
      <c r="B9461" t="s">
        <v>18898</v>
      </c>
      <c r="C9461" t="s">
        <v>10</v>
      </c>
      <c r="D9461" t="s">
        <v>19015</v>
      </c>
      <c r="E9461" t="s">
        <v>19016</v>
      </c>
      <c r="G9461" s="1">
        <v>2.44</v>
      </c>
    </row>
    <row r="9462" spans="1:7" ht="14.25" customHeight="1" x14ac:dyDescent="0.45">
      <c r="A9462" t="str">
        <f>_xlfn.XLOOKUP(B9462,Ingot!$H$12:$H$119,Ingot!$G$12:$G$119,"")</f>
        <v>Leather</v>
      </c>
      <c r="B9462" t="s">
        <v>18898</v>
      </c>
      <c r="C9462" t="s">
        <v>10</v>
      </c>
      <c r="D9462" t="s">
        <v>19017</v>
      </c>
      <c r="E9462" t="s">
        <v>19018</v>
      </c>
      <c r="G9462" s="1">
        <v>8.61</v>
      </c>
    </row>
    <row r="9463" spans="1:7" ht="14.25" customHeight="1" x14ac:dyDescent="0.45">
      <c r="A9463" t="str">
        <f>_xlfn.XLOOKUP(B9463,Ingot!$H$12:$H$119,Ingot!$G$12:$G$119,"")</f>
        <v>Leather</v>
      </c>
      <c r="B9463" t="s">
        <v>18898</v>
      </c>
      <c r="C9463" t="s">
        <v>10</v>
      </c>
      <c r="D9463" t="s">
        <v>19019</v>
      </c>
      <c r="E9463" t="s">
        <v>19020</v>
      </c>
    </row>
    <row r="9464" spans="1:7" ht="14.25" customHeight="1" x14ac:dyDescent="0.45">
      <c r="A9464" t="str">
        <f>_xlfn.XLOOKUP(B9464,Ingot!$H$12:$H$119,Ingot!$G$12:$G$119,"")</f>
        <v>Leather</v>
      </c>
      <c r="B9464" t="s">
        <v>18898</v>
      </c>
      <c r="C9464" t="s">
        <v>10</v>
      </c>
      <c r="D9464" t="s">
        <v>19021</v>
      </c>
      <c r="E9464" t="s">
        <v>19022</v>
      </c>
      <c r="G9464" s="1">
        <v>3.21</v>
      </c>
    </row>
    <row r="9465" spans="1:7" ht="14.25" customHeight="1" x14ac:dyDescent="0.45">
      <c r="A9465" t="str">
        <f>_xlfn.XLOOKUP(B9465,Ingot!$H$12:$H$119,Ingot!$G$12:$G$119,"")</f>
        <v>Leather</v>
      </c>
      <c r="B9465" t="s">
        <v>18898</v>
      </c>
      <c r="C9465" t="s">
        <v>10</v>
      </c>
      <c r="D9465" t="s">
        <v>19023</v>
      </c>
      <c r="E9465" t="s">
        <v>19024</v>
      </c>
      <c r="G9465" s="1">
        <v>2.77</v>
      </c>
    </row>
    <row r="9466" spans="1:7" ht="14.25" customHeight="1" x14ac:dyDescent="0.45">
      <c r="A9466" t="str">
        <f>_xlfn.XLOOKUP(B9466,Ingot!$H$12:$H$119,Ingot!$G$12:$G$119,"")</f>
        <v>Leather</v>
      </c>
      <c r="B9466" t="s">
        <v>18898</v>
      </c>
      <c r="C9466" t="s">
        <v>10</v>
      </c>
      <c r="D9466" t="s">
        <v>19025</v>
      </c>
      <c r="E9466" t="s">
        <v>19026</v>
      </c>
      <c r="G9466" s="1">
        <v>4.8899999999999997</v>
      </c>
    </row>
    <row r="9467" spans="1:7" ht="14.25" customHeight="1" x14ac:dyDescent="0.45">
      <c r="A9467" t="str">
        <f>_xlfn.XLOOKUP(B9467,Ingot!$H$12:$H$119,Ingot!$G$12:$G$119,"")</f>
        <v>Leather</v>
      </c>
      <c r="B9467" t="s">
        <v>18898</v>
      </c>
      <c r="C9467" t="s">
        <v>10</v>
      </c>
      <c r="D9467" t="s">
        <v>19027</v>
      </c>
      <c r="E9467" t="s">
        <v>19028</v>
      </c>
      <c r="G9467" s="1">
        <v>1.76</v>
      </c>
    </row>
    <row r="9468" spans="1:7" ht="14.25" customHeight="1" x14ac:dyDescent="0.45">
      <c r="A9468" t="str">
        <f>_xlfn.XLOOKUP(B9468,Ingot!$H$12:$H$119,Ingot!$G$12:$G$119,"")</f>
        <v>Leather</v>
      </c>
      <c r="B9468" t="s">
        <v>18898</v>
      </c>
      <c r="C9468" t="s">
        <v>10</v>
      </c>
      <c r="D9468" t="s">
        <v>19029</v>
      </c>
      <c r="E9468" t="s">
        <v>19030</v>
      </c>
    </row>
    <row r="9469" spans="1:7" ht="14.25" customHeight="1" x14ac:dyDescent="0.45">
      <c r="A9469" t="str">
        <f>_xlfn.XLOOKUP(B9469,Ingot!$H$12:$H$119,Ingot!$G$12:$G$119,"")</f>
        <v>Leather</v>
      </c>
      <c r="B9469" t="s">
        <v>18898</v>
      </c>
      <c r="C9469" t="s">
        <v>10</v>
      </c>
      <c r="D9469" t="s">
        <v>19031</v>
      </c>
      <c r="E9469" t="s">
        <v>19032</v>
      </c>
      <c r="G9469" s="1">
        <v>8.57</v>
      </c>
    </row>
    <row r="9470" spans="1:7" ht="14.25" customHeight="1" x14ac:dyDescent="0.45">
      <c r="A9470" t="str">
        <f>_xlfn.XLOOKUP(B9470,Ingot!$H$12:$H$119,Ingot!$G$12:$G$119,"")</f>
        <v>Leather</v>
      </c>
      <c r="B9470" t="s">
        <v>18898</v>
      </c>
      <c r="C9470" t="s">
        <v>10</v>
      </c>
      <c r="D9470" t="s">
        <v>19033</v>
      </c>
      <c r="E9470" t="s">
        <v>19034</v>
      </c>
    </row>
    <row r="9471" spans="1:7" ht="14.25" customHeight="1" x14ac:dyDescent="0.45">
      <c r="A9471" t="str">
        <f>_xlfn.XLOOKUP(B9471,Ingot!$H$12:$H$119,Ingot!$G$12:$G$119,"")</f>
        <v>Leather</v>
      </c>
      <c r="B9471" t="s">
        <v>18898</v>
      </c>
      <c r="C9471" t="s">
        <v>10</v>
      </c>
      <c r="D9471" t="s">
        <v>19035</v>
      </c>
      <c r="E9471" t="s">
        <v>19036</v>
      </c>
      <c r="G9471" s="1">
        <v>3.56</v>
      </c>
    </row>
    <row r="9472" spans="1:7" ht="14.25" customHeight="1" x14ac:dyDescent="0.45">
      <c r="A9472" t="str">
        <f>_xlfn.XLOOKUP(B9472,Ingot!$H$12:$H$119,Ingot!$G$12:$G$119,"")</f>
        <v>Leather</v>
      </c>
      <c r="B9472" t="s">
        <v>18898</v>
      </c>
      <c r="C9472" t="s">
        <v>10</v>
      </c>
      <c r="D9472" t="s">
        <v>19037</v>
      </c>
      <c r="E9472" t="s">
        <v>19038</v>
      </c>
      <c r="G9472" s="1">
        <v>8.91</v>
      </c>
    </row>
    <row r="9473" spans="1:7" ht="14.25" customHeight="1" x14ac:dyDescent="0.45">
      <c r="A9473" t="str">
        <f>_xlfn.XLOOKUP(B9473,Ingot!$H$12:$H$119,Ingot!$G$12:$G$119,"")</f>
        <v>Leather</v>
      </c>
      <c r="B9473" t="s">
        <v>18898</v>
      </c>
      <c r="C9473" t="s">
        <v>10</v>
      </c>
      <c r="D9473" t="s">
        <v>19039</v>
      </c>
      <c r="E9473" t="s">
        <v>19040</v>
      </c>
      <c r="G9473" s="1">
        <v>11.02</v>
      </c>
    </row>
    <row r="9474" spans="1:7" ht="14.25" customHeight="1" x14ac:dyDescent="0.45">
      <c r="A9474" t="str">
        <f>_xlfn.XLOOKUP(B9474,Ingot!$H$12:$H$119,Ingot!$G$12:$G$119,"")</f>
        <v>Leather</v>
      </c>
      <c r="B9474" t="s">
        <v>18898</v>
      </c>
      <c r="C9474" t="s">
        <v>10</v>
      </c>
      <c r="D9474" t="s">
        <v>19041</v>
      </c>
      <c r="E9474" t="s">
        <v>19042</v>
      </c>
      <c r="G9474" s="1">
        <v>5.12</v>
      </c>
    </row>
    <row r="9475" spans="1:7" ht="14.25" customHeight="1" x14ac:dyDescent="0.45">
      <c r="A9475" t="str">
        <f>_xlfn.XLOOKUP(B9475,Ingot!$H$12:$H$119,Ingot!$G$12:$G$119,"")</f>
        <v>Leather</v>
      </c>
      <c r="B9475" t="s">
        <v>18898</v>
      </c>
      <c r="C9475" t="s">
        <v>10</v>
      </c>
      <c r="D9475" t="s">
        <v>19043</v>
      </c>
      <c r="E9475" t="s">
        <v>19044</v>
      </c>
      <c r="G9475" s="1">
        <v>4.41</v>
      </c>
    </row>
    <row r="9476" spans="1:7" ht="14.25" customHeight="1" x14ac:dyDescent="0.45">
      <c r="A9476" t="str">
        <f>_xlfn.XLOOKUP(B9476,Ingot!$H$12:$H$119,Ingot!$G$12:$G$119,"")</f>
        <v>Leather</v>
      </c>
      <c r="B9476" t="s">
        <v>18898</v>
      </c>
      <c r="C9476" t="s">
        <v>157</v>
      </c>
      <c r="D9476" t="s">
        <v>19045</v>
      </c>
      <c r="E9476" t="s">
        <v>19046</v>
      </c>
      <c r="F9476" t="s">
        <v>180</v>
      </c>
      <c r="G9476" s="1">
        <v>17.2</v>
      </c>
    </row>
    <row r="9477" spans="1:7" ht="14.25" customHeight="1" x14ac:dyDescent="0.45">
      <c r="A9477" t="str">
        <f>_xlfn.XLOOKUP(B9477,Ingot!$H$12:$H$119,Ingot!$G$12:$G$119,"")</f>
        <v>Leather</v>
      </c>
      <c r="B9477" t="s">
        <v>18898</v>
      </c>
      <c r="C9477" t="s">
        <v>157</v>
      </c>
      <c r="D9477" t="s">
        <v>19047</v>
      </c>
      <c r="E9477" t="s">
        <v>19048</v>
      </c>
      <c r="F9477" t="s">
        <v>180</v>
      </c>
      <c r="G9477" s="1">
        <v>5</v>
      </c>
    </row>
    <row r="9478" spans="1:7" ht="14.25" customHeight="1" x14ac:dyDescent="0.45">
      <c r="A9478" t="str">
        <f>_xlfn.XLOOKUP(B9478,Ingot!$H$12:$H$119,Ingot!$G$12:$G$119,"")</f>
        <v>Leather</v>
      </c>
      <c r="B9478" t="s">
        <v>18898</v>
      </c>
      <c r="C9478" t="s">
        <v>157</v>
      </c>
      <c r="D9478" t="s">
        <v>19049</v>
      </c>
      <c r="E9478" t="s">
        <v>19050</v>
      </c>
      <c r="F9478" t="s">
        <v>180</v>
      </c>
      <c r="G9478" s="1">
        <v>5</v>
      </c>
    </row>
    <row r="9479" spans="1:7" ht="14.25" customHeight="1" x14ac:dyDescent="0.45">
      <c r="A9479" t="str">
        <f>_xlfn.XLOOKUP(B9479,Ingot!$H$12:$H$119,Ingot!$G$12:$G$119,"")</f>
        <v>Leather</v>
      </c>
      <c r="B9479" t="s">
        <v>18898</v>
      </c>
      <c r="C9479" t="s">
        <v>157</v>
      </c>
      <c r="D9479" t="s">
        <v>19051</v>
      </c>
      <c r="E9479" t="s">
        <v>19052</v>
      </c>
      <c r="F9479" t="s">
        <v>180</v>
      </c>
      <c r="G9479" s="1">
        <v>5</v>
      </c>
    </row>
    <row r="9480" spans="1:7" ht="14.25" customHeight="1" x14ac:dyDescent="0.45">
      <c r="A9480" t="str">
        <f>_xlfn.XLOOKUP(B9480,Ingot!$H$12:$H$119,Ingot!$G$12:$G$119,"")</f>
        <v>Leather</v>
      </c>
      <c r="B9480" t="s">
        <v>18898</v>
      </c>
      <c r="C9480" t="s">
        <v>157</v>
      </c>
      <c r="D9480" t="s">
        <v>19053</v>
      </c>
      <c r="E9480" t="s">
        <v>19054</v>
      </c>
      <c r="F9480" t="s">
        <v>180</v>
      </c>
      <c r="G9480" s="1">
        <v>10</v>
      </c>
    </row>
    <row r="9481" spans="1:7" ht="14.25" customHeight="1" x14ac:dyDescent="0.45">
      <c r="A9481" t="str">
        <f>_xlfn.XLOOKUP(B9481,Ingot!$H$12:$H$119,Ingot!$G$12:$G$119,"")</f>
        <v>Leather</v>
      </c>
      <c r="B9481" t="s">
        <v>18898</v>
      </c>
      <c r="C9481" t="s">
        <v>157</v>
      </c>
      <c r="D9481" t="s">
        <v>19055</v>
      </c>
      <c r="E9481" t="s">
        <v>19056</v>
      </c>
      <c r="F9481" t="s">
        <v>180</v>
      </c>
      <c r="G9481" s="1">
        <v>14.5</v>
      </c>
    </row>
    <row r="9482" spans="1:7" ht="14.25" customHeight="1" x14ac:dyDescent="0.45">
      <c r="A9482" t="str">
        <f>_xlfn.XLOOKUP(B9482,Ingot!$H$12:$H$119,Ingot!$G$12:$G$119,"")</f>
        <v>Leather</v>
      </c>
      <c r="B9482" t="s">
        <v>18898</v>
      </c>
      <c r="C9482" t="s">
        <v>157</v>
      </c>
      <c r="D9482" t="s">
        <v>19057</v>
      </c>
      <c r="E9482" t="s">
        <v>19058</v>
      </c>
      <c r="F9482" t="s">
        <v>180</v>
      </c>
      <c r="G9482" s="1">
        <v>5</v>
      </c>
    </row>
    <row r="9483" spans="1:7" ht="14.25" customHeight="1" x14ac:dyDescent="0.45">
      <c r="A9483" t="str">
        <f>_xlfn.XLOOKUP(B9483,Ingot!$H$12:$H$119,Ingot!$G$12:$G$119,"")</f>
        <v>Leather</v>
      </c>
      <c r="B9483" t="s">
        <v>18898</v>
      </c>
      <c r="C9483" t="s">
        <v>157</v>
      </c>
      <c r="D9483" t="s">
        <v>19059</v>
      </c>
      <c r="E9483" t="s">
        <v>19060</v>
      </c>
      <c r="F9483" t="s">
        <v>180</v>
      </c>
      <c r="G9483" s="1">
        <v>5</v>
      </c>
    </row>
    <row r="9484" spans="1:7" ht="14.25" customHeight="1" x14ac:dyDescent="0.45">
      <c r="A9484" t="str">
        <f>_xlfn.XLOOKUP(B9484,Ingot!$H$12:$H$119,Ingot!$G$12:$G$119,"")</f>
        <v>Leather</v>
      </c>
      <c r="B9484" t="s">
        <v>18898</v>
      </c>
      <c r="C9484" t="s">
        <v>157</v>
      </c>
      <c r="D9484" t="s">
        <v>19061</v>
      </c>
      <c r="E9484" t="s">
        <v>19062</v>
      </c>
      <c r="F9484" t="s">
        <v>180</v>
      </c>
      <c r="G9484" s="1">
        <v>5</v>
      </c>
    </row>
    <row r="9485" spans="1:7" ht="14.25" customHeight="1" x14ac:dyDescent="0.45">
      <c r="A9485" t="str">
        <f>_xlfn.XLOOKUP(B9485,Ingot!$H$12:$H$119,Ingot!$G$12:$G$119,"")</f>
        <v>Leather</v>
      </c>
      <c r="B9485" t="s">
        <v>18898</v>
      </c>
      <c r="C9485" t="s">
        <v>157</v>
      </c>
      <c r="D9485" t="s">
        <v>19063</v>
      </c>
      <c r="E9485" t="s">
        <v>19064</v>
      </c>
      <c r="F9485" t="s">
        <v>180</v>
      </c>
      <c r="G9485" s="1">
        <v>10</v>
      </c>
    </row>
    <row r="9486" spans="1:7" ht="14.25" customHeight="1" x14ac:dyDescent="0.45">
      <c r="A9486" t="str">
        <f>_xlfn.XLOOKUP(B9486,Ingot!$H$12:$H$119,Ingot!$G$12:$G$119,"")</f>
        <v>Leather</v>
      </c>
      <c r="B9486" t="s">
        <v>18898</v>
      </c>
      <c r="C9486" t="s">
        <v>157</v>
      </c>
      <c r="D9486" t="s">
        <v>19065</v>
      </c>
      <c r="E9486" t="s">
        <v>19066</v>
      </c>
      <c r="G9486" s="1">
        <v>14</v>
      </c>
    </row>
    <row r="9487" spans="1:7" ht="14.25" customHeight="1" x14ac:dyDescent="0.45">
      <c r="A9487" t="str">
        <f>_xlfn.XLOOKUP(B9487,Ingot!$H$12:$H$119,Ingot!$G$12:$G$119,"")</f>
        <v>Leather</v>
      </c>
      <c r="B9487" t="s">
        <v>18898</v>
      </c>
      <c r="C9487" t="s">
        <v>157</v>
      </c>
      <c r="D9487" t="s">
        <v>19067</v>
      </c>
      <c r="E9487" t="s">
        <v>19068</v>
      </c>
      <c r="G9487" s="1">
        <v>5</v>
      </c>
    </row>
    <row r="9488" spans="1:7" ht="14.25" customHeight="1" x14ac:dyDescent="0.45">
      <c r="A9488" t="str">
        <f>_xlfn.XLOOKUP(B9488,Ingot!$H$12:$H$119,Ingot!$G$12:$G$119,"")</f>
        <v>Leather</v>
      </c>
      <c r="B9488" t="s">
        <v>18898</v>
      </c>
      <c r="C9488" t="s">
        <v>157</v>
      </c>
      <c r="D9488" t="s">
        <v>19069</v>
      </c>
      <c r="E9488" t="s">
        <v>19070</v>
      </c>
      <c r="G9488" s="1">
        <v>5</v>
      </c>
    </row>
    <row r="9489" spans="1:7" ht="14.25" customHeight="1" x14ac:dyDescent="0.45">
      <c r="A9489" t="str">
        <f>_xlfn.XLOOKUP(B9489,Ingot!$H$12:$H$119,Ingot!$G$12:$G$119,"")</f>
        <v>Leather</v>
      </c>
      <c r="B9489" t="s">
        <v>18898</v>
      </c>
      <c r="C9489" t="s">
        <v>157</v>
      </c>
      <c r="D9489" t="s">
        <v>19071</v>
      </c>
      <c r="E9489" t="s">
        <v>19072</v>
      </c>
      <c r="G9489" s="1">
        <v>5</v>
      </c>
    </row>
    <row r="9490" spans="1:7" ht="14.25" customHeight="1" x14ac:dyDescent="0.45">
      <c r="A9490" t="str">
        <f>_xlfn.XLOOKUP(B9490,Ingot!$H$12:$H$119,Ingot!$G$12:$G$119,"")</f>
        <v>Leather</v>
      </c>
      <c r="B9490" t="s">
        <v>18898</v>
      </c>
      <c r="C9490" t="s">
        <v>157</v>
      </c>
      <c r="D9490" t="s">
        <v>19073</v>
      </c>
      <c r="E9490" t="s">
        <v>19074</v>
      </c>
      <c r="G9490" s="1">
        <v>10</v>
      </c>
    </row>
    <row r="9491" spans="1:7" ht="14.25" customHeight="1" x14ac:dyDescent="0.45">
      <c r="A9491" t="str">
        <f>_xlfn.XLOOKUP(B9491,Ingot!$H$12:$H$119,Ingot!$G$12:$G$119,"")</f>
        <v>Leather</v>
      </c>
      <c r="B9491" t="s">
        <v>18898</v>
      </c>
      <c r="C9491" t="s">
        <v>157</v>
      </c>
      <c r="D9491" t="s">
        <v>19075</v>
      </c>
      <c r="E9491" t="s">
        <v>19076</v>
      </c>
      <c r="F9491" t="s">
        <v>180</v>
      </c>
      <c r="G9491" s="1">
        <v>15.2</v>
      </c>
    </row>
    <row r="9492" spans="1:7" ht="14.25" customHeight="1" x14ac:dyDescent="0.45">
      <c r="A9492" t="str">
        <f>_xlfn.XLOOKUP(B9492,Ingot!$H$12:$H$119,Ingot!$G$12:$G$119,"")</f>
        <v>Leather</v>
      </c>
      <c r="B9492" t="s">
        <v>18898</v>
      </c>
      <c r="C9492" t="s">
        <v>157</v>
      </c>
      <c r="D9492" t="s">
        <v>19077</v>
      </c>
      <c r="E9492" t="s">
        <v>19078</v>
      </c>
      <c r="F9492" t="s">
        <v>180</v>
      </c>
      <c r="G9492" s="1">
        <v>5</v>
      </c>
    </row>
    <row r="9493" spans="1:7" ht="14.25" customHeight="1" x14ac:dyDescent="0.45">
      <c r="A9493" t="str">
        <f>_xlfn.XLOOKUP(B9493,Ingot!$H$12:$H$119,Ingot!$G$12:$G$119,"")</f>
        <v>Leather</v>
      </c>
      <c r="B9493" t="s">
        <v>18898</v>
      </c>
      <c r="C9493" t="s">
        <v>157</v>
      </c>
      <c r="D9493" t="s">
        <v>19079</v>
      </c>
      <c r="E9493" t="s">
        <v>19080</v>
      </c>
      <c r="F9493" t="s">
        <v>180</v>
      </c>
      <c r="G9493" s="1">
        <v>5</v>
      </c>
    </row>
    <row r="9494" spans="1:7" ht="14.25" customHeight="1" x14ac:dyDescent="0.45">
      <c r="A9494" t="str">
        <f>_xlfn.XLOOKUP(B9494,Ingot!$H$12:$H$119,Ingot!$G$12:$G$119,"")</f>
        <v>Leather</v>
      </c>
      <c r="B9494" t="s">
        <v>18898</v>
      </c>
      <c r="C9494" t="s">
        <v>157</v>
      </c>
      <c r="D9494" t="s">
        <v>19081</v>
      </c>
      <c r="E9494" t="s">
        <v>19082</v>
      </c>
      <c r="F9494" t="s">
        <v>180</v>
      </c>
      <c r="G9494" s="1">
        <v>5</v>
      </c>
    </row>
    <row r="9495" spans="1:7" ht="14.25" customHeight="1" x14ac:dyDescent="0.45">
      <c r="A9495" t="str">
        <f>_xlfn.XLOOKUP(B9495,Ingot!$H$12:$H$119,Ingot!$G$12:$G$119,"")</f>
        <v>Leather</v>
      </c>
      <c r="B9495" t="s">
        <v>18898</v>
      </c>
      <c r="C9495" t="s">
        <v>157</v>
      </c>
      <c r="D9495" t="s">
        <v>19083</v>
      </c>
      <c r="E9495" t="s">
        <v>19084</v>
      </c>
      <c r="F9495" t="s">
        <v>180</v>
      </c>
      <c r="G9495" s="1">
        <v>10</v>
      </c>
    </row>
    <row r="9496" spans="1:7" ht="14.25" customHeight="1" x14ac:dyDescent="0.45">
      <c r="A9496" t="str">
        <f>_xlfn.XLOOKUP(B9496,Ingot!$H$12:$H$119,Ingot!$G$12:$G$119,"")</f>
        <v>Leather</v>
      </c>
      <c r="B9496" t="s">
        <v>18898</v>
      </c>
      <c r="C9496" t="s">
        <v>157</v>
      </c>
      <c r="D9496" t="s">
        <v>19085</v>
      </c>
      <c r="E9496" t="s">
        <v>19086</v>
      </c>
      <c r="F9496" t="s">
        <v>180</v>
      </c>
      <c r="G9496" s="1">
        <v>16.2</v>
      </c>
    </row>
    <row r="9497" spans="1:7" ht="14.25" customHeight="1" x14ac:dyDescent="0.45">
      <c r="A9497" t="str">
        <f>_xlfn.XLOOKUP(B9497,Ingot!$H$12:$H$119,Ingot!$G$12:$G$119,"")</f>
        <v>Leather</v>
      </c>
      <c r="B9497" t="s">
        <v>18898</v>
      </c>
      <c r="C9497" t="s">
        <v>157</v>
      </c>
      <c r="D9497" t="s">
        <v>19087</v>
      </c>
      <c r="E9497" t="s">
        <v>19088</v>
      </c>
      <c r="G9497" s="1">
        <v>5</v>
      </c>
    </row>
    <row r="9498" spans="1:7" ht="14.25" customHeight="1" x14ac:dyDescent="0.45">
      <c r="A9498" t="str">
        <f>_xlfn.XLOOKUP(B9498,Ingot!$H$12:$H$119,Ingot!$G$12:$G$119,"")</f>
        <v>Leather</v>
      </c>
      <c r="B9498" t="s">
        <v>18898</v>
      </c>
      <c r="C9498" t="s">
        <v>157</v>
      </c>
      <c r="D9498" t="s">
        <v>19089</v>
      </c>
      <c r="E9498" t="s">
        <v>19090</v>
      </c>
      <c r="G9498" s="1">
        <v>5</v>
      </c>
    </row>
    <row r="9499" spans="1:7" ht="14.25" customHeight="1" x14ac:dyDescent="0.45">
      <c r="A9499" t="str">
        <f>_xlfn.XLOOKUP(B9499,Ingot!$H$12:$H$119,Ingot!$G$12:$G$119,"")</f>
        <v>Leather</v>
      </c>
      <c r="B9499" t="s">
        <v>18898</v>
      </c>
      <c r="C9499" t="s">
        <v>157</v>
      </c>
      <c r="D9499" t="s">
        <v>19091</v>
      </c>
      <c r="E9499" t="s">
        <v>19092</v>
      </c>
      <c r="G9499" s="1">
        <v>5</v>
      </c>
    </row>
    <row r="9500" spans="1:7" ht="14.25" customHeight="1" x14ac:dyDescent="0.45">
      <c r="A9500" t="str">
        <f>_xlfn.XLOOKUP(B9500,Ingot!$H$12:$H$119,Ingot!$G$12:$G$119,"")</f>
        <v>Leather</v>
      </c>
      <c r="B9500" t="s">
        <v>18898</v>
      </c>
      <c r="C9500" t="s">
        <v>157</v>
      </c>
      <c r="D9500" t="s">
        <v>19093</v>
      </c>
      <c r="E9500" t="s">
        <v>19094</v>
      </c>
      <c r="F9500" t="s">
        <v>180</v>
      </c>
      <c r="G9500" s="1">
        <v>10</v>
      </c>
    </row>
    <row r="9501" spans="1:7" ht="14.25" customHeight="1" x14ac:dyDescent="0.45">
      <c r="A9501" t="str">
        <f>_xlfn.XLOOKUP(B9501,Ingot!$H$12:$H$119,Ingot!$G$12:$G$119,"")</f>
        <v>Leather</v>
      </c>
      <c r="B9501" t="s">
        <v>18898</v>
      </c>
      <c r="C9501" t="s">
        <v>157</v>
      </c>
      <c r="D9501" t="s">
        <v>19095</v>
      </c>
      <c r="E9501" t="s">
        <v>19096</v>
      </c>
      <c r="F9501" t="s">
        <v>180</v>
      </c>
      <c r="G9501" s="1">
        <v>19.2</v>
      </c>
    </row>
    <row r="9502" spans="1:7" ht="14.25" customHeight="1" x14ac:dyDescent="0.45">
      <c r="A9502" t="str">
        <f>_xlfn.XLOOKUP(B9502,Ingot!$H$12:$H$119,Ingot!$G$12:$G$119,"")</f>
        <v>Leather</v>
      </c>
      <c r="B9502" t="s">
        <v>18898</v>
      </c>
      <c r="C9502" t="s">
        <v>157</v>
      </c>
      <c r="D9502" t="s">
        <v>19097</v>
      </c>
      <c r="E9502" t="s">
        <v>19098</v>
      </c>
      <c r="F9502" t="s">
        <v>180</v>
      </c>
      <c r="G9502" s="1">
        <v>5</v>
      </c>
    </row>
    <row r="9503" spans="1:7" ht="14.25" customHeight="1" x14ac:dyDescent="0.45">
      <c r="A9503" t="str">
        <f>_xlfn.XLOOKUP(B9503,Ingot!$H$12:$H$119,Ingot!$G$12:$G$119,"")</f>
        <v>Leather</v>
      </c>
      <c r="B9503" t="s">
        <v>18898</v>
      </c>
      <c r="C9503" t="s">
        <v>157</v>
      </c>
      <c r="D9503" t="s">
        <v>19099</v>
      </c>
      <c r="E9503" t="s">
        <v>19100</v>
      </c>
      <c r="F9503" t="s">
        <v>180</v>
      </c>
      <c r="G9503" s="1">
        <v>5</v>
      </c>
    </row>
    <row r="9504" spans="1:7" ht="14.25" customHeight="1" x14ac:dyDescent="0.45">
      <c r="A9504" t="str">
        <f>_xlfn.XLOOKUP(B9504,Ingot!$H$12:$H$119,Ingot!$G$12:$G$119,"")</f>
        <v>Leather</v>
      </c>
      <c r="B9504" t="s">
        <v>18898</v>
      </c>
      <c r="C9504" t="s">
        <v>157</v>
      </c>
      <c r="D9504" t="s">
        <v>19101</v>
      </c>
      <c r="E9504" t="s">
        <v>19102</v>
      </c>
      <c r="F9504" t="s">
        <v>180</v>
      </c>
      <c r="G9504" s="1">
        <v>5</v>
      </c>
    </row>
    <row r="9505" spans="1:7" ht="14.25" customHeight="1" x14ac:dyDescent="0.45">
      <c r="A9505" t="str">
        <f>_xlfn.XLOOKUP(B9505,Ingot!$H$12:$H$119,Ingot!$G$12:$G$119,"")</f>
        <v>Leather</v>
      </c>
      <c r="B9505" t="s">
        <v>18898</v>
      </c>
      <c r="C9505" t="s">
        <v>157</v>
      </c>
      <c r="D9505" t="s">
        <v>19103</v>
      </c>
      <c r="E9505" t="s">
        <v>19104</v>
      </c>
      <c r="F9505" t="s">
        <v>180</v>
      </c>
      <c r="G9505" s="1">
        <v>10</v>
      </c>
    </row>
    <row r="9506" spans="1:7" ht="14.25" customHeight="1" x14ac:dyDescent="0.45">
      <c r="A9506" t="str">
        <f>_xlfn.XLOOKUP(B9506,Ingot!$H$12:$H$119,Ingot!$G$12:$G$119,"")</f>
        <v>Leather</v>
      </c>
      <c r="B9506" t="s">
        <v>18898</v>
      </c>
      <c r="C9506" t="s">
        <v>157</v>
      </c>
      <c r="D9506" t="s">
        <v>19105</v>
      </c>
      <c r="E9506" t="s">
        <v>19106</v>
      </c>
      <c r="F9506" t="s">
        <v>180</v>
      </c>
      <c r="G9506" s="1">
        <v>18.2</v>
      </c>
    </row>
    <row r="9507" spans="1:7" ht="14.25" customHeight="1" x14ac:dyDescent="0.45">
      <c r="A9507" t="str">
        <f>_xlfn.XLOOKUP(B9507,Ingot!$H$12:$H$119,Ingot!$G$12:$G$119,"")</f>
        <v>Leather</v>
      </c>
      <c r="B9507" t="s">
        <v>18898</v>
      </c>
      <c r="C9507" t="s">
        <v>157</v>
      </c>
      <c r="D9507" t="s">
        <v>19107</v>
      </c>
      <c r="E9507" t="s">
        <v>19108</v>
      </c>
      <c r="F9507" t="s">
        <v>180</v>
      </c>
      <c r="G9507" s="1">
        <v>5</v>
      </c>
    </row>
    <row r="9508" spans="1:7" ht="14.25" customHeight="1" x14ac:dyDescent="0.45">
      <c r="A9508" t="str">
        <f>_xlfn.XLOOKUP(B9508,Ingot!$H$12:$H$119,Ingot!$G$12:$G$119,"")</f>
        <v>Leather</v>
      </c>
      <c r="B9508" t="s">
        <v>18898</v>
      </c>
      <c r="C9508" t="s">
        <v>157</v>
      </c>
      <c r="D9508" t="s">
        <v>19109</v>
      </c>
      <c r="E9508" t="s">
        <v>19110</v>
      </c>
      <c r="F9508" t="s">
        <v>180</v>
      </c>
      <c r="G9508" s="1">
        <v>5</v>
      </c>
    </row>
    <row r="9509" spans="1:7" ht="14.25" customHeight="1" x14ac:dyDescent="0.45">
      <c r="A9509" t="str">
        <f>_xlfn.XLOOKUP(B9509,Ingot!$H$12:$H$119,Ingot!$G$12:$G$119,"")</f>
        <v>Leather</v>
      </c>
      <c r="B9509" t="s">
        <v>18898</v>
      </c>
      <c r="C9509" t="s">
        <v>157</v>
      </c>
      <c r="D9509" t="s">
        <v>19111</v>
      </c>
      <c r="E9509" t="s">
        <v>19112</v>
      </c>
      <c r="F9509" t="s">
        <v>180</v>
      </c>
      <c r="G9509" s="1">
        <v>5</v>
      </c>
    </row>
    <row r="9510" spans="1:7" ht="14.25" customHeight="1" x14ac:dyDescent="0.45">
      <c r="A9510" t="str">
        <f>_xlfn.XLOOKUP(B9510,Ingot!$H$12:$H$119,Ingot!$G$12:$G$119,"")</f>
        <v>Leather</v>
      </c>
      <c r="B9510" t="s">
        <v>18898</v>
      </c>
      <c r="C9510" t="s">
        <v>157</v>
      </c>
      <c r="D9510" t="s">
        <v>19113</v>
      </c>
      <c r="E9510" t="s">
        <v>19114</v>
      </c>
      <c r="F9510" t="s">
        <v>180</v>
      </c>
      <c r="G9510" s="1">
        <v>10</v>
      </c>
    </row>
    <row r="9511" spans="1:7" ht="14.25" customHeight="1" x14ac:dyDescent="0.45">
      <c r="A9511" t="str">
        <f>_xlfn.XLOOKUP(B9511,Ingot!$H$12:$H$119,Ingot!$G$12:$G$119,"")</f>
        <v>Leather</v>
      </c>
      <c r="B9511" t="s">
        <v>18898</v>
      </c>
      <c r="C9511" t="s">
        <v>157</v>
      </c>
      <c r="D9511" t="s">
        <v>19115</v>
      </c>
      <c r="E9511" t="s">
        <v>19116</v>
      </c>
      <c r="G9511" s="1">
        <v>13.8</v>
      </c>
    </row>
    <row r="9512" spans="1:7" ht="14.25" customHeight="1" x14ac:dyDescent="0.45">
      <c r="A9512" t="str">
        <f>_xlfn.XLOOKUP(B9512,Ingot!$H$12:$H$119,Ingot!$G$12:$G$119,"")</f>
        <v>Leather</v>
      </c>
      <c r="B9512" t="s">
        <v>18898</v>
      </c>
      <c r="C9512" t="s">
        <v>157</v>
      </c>
      <c r="D9512" t="s">
        <v>19117</v>
      </c>
      <c r="E9512" t="s">
        <v>19118</v>
      </c>
      <c r="G9512" s="1">
        <v>5</v>
      </c>
    </row>
    <row r="9513" spans="1:7" ht="14.25" customHeight="1" x14ac:dyDescent="0.45">
      <c r="A9513" t="str">
        <f>_xlfn.XLOOKUP(B9513,Ingot!$H$12:$H$119,Ingot!$G$12:$G$119,"")</f>
        <v>Leather</v>
      </c>
      <c r="B9513" t="s">
        <v>18898</v>
      </c>
      <c r="C9513" t="s">
        <v>157</v>
      </c>
      <c r="D9513" t="s">
        <v>19119</v>
      </c>
      <c r="E9513" t="s">
        <v>19120</v>
      </c>
      <c r="G9513" s="1">
        <v>5</v>
      </c>
    </row>
    <row r="9514" spans="1:7" ht="14.25" customHeight="1" x14ac:dyDescent="0.45">
      <c r="A9514" t="str">
        <f>_xlfn.XLOOKUP(B9514,Ingot!$H$12:$H$119,Ingot!$G$12:$G$119,"")</f>
        <v>Leather</v>
      </c>
      <c r="B9514" t="s">
        <v>18898</v>
      </c>
      <c r="C9514" t="s">
        <v>157</v>
      </c>
      <c r="D9514" t="s">
        <v>19121</v>
      </c>
      <c r="E9514" t="s">
        <v>19122</v>
      </c>
      <c r="G9514" s="1">
        <v>5</v>
      </c>
    </row>
    <row r="9515" spans="1:7" ht="14.25" customHeight="1" x14ac:dyDescent="0.45">
      <c r="A9515" t="str">
        <f>_xlfn.XLOOKUP(B9515,Ingot!$H$12:$H$119,Ingot!$G$12:$G$119,"")</f>
        <v>Leather</v>
      </c>
      <c r="B9515" t="s">
        <v>18898</v>
      </c>
      <c r="C9515" t="s">
        <v>157</v>
      </c>
      <c r="D9515" t="s">
        <v>19123</v>
      </c>
      <c r="E9515" t="s">
        <v>19124</v>
      </c>
      <c r="G9515" s="1">
        <v>10</v>
      </c>
    </row>
    <row r="9516" spans="1:7" ht="14.25" customHeight="1" x14ac:dyDescent="0.45">
      <c r="A9516" t="str">
        <f>_xlfn.XLOOKUP(B9516,Ingot!$H$12:$H$119,Ingot!$G$12:$G$119,"")</f>
        <v>Leather</v>
      </c>
      <c r="B9516" t="s">
        <v>18898</v>
      </c>
      <c r="C9516" t="s">
        <v>239</v>
      </c>
      <c r="D9516" t="s">
        <v>19125</v>
      </c>
      <c r="E9516" t="s">
        <v>19126</v>
      </c>
      <c r="G9516" s="1">
        <f>(VLOOKUP(B9516,Ingot!H:I,2,FALSE()) * 0.75) * 0.75</f>
        <v>2.0390625</v>
      </c>
    </row>
    <row r="9517" spans="1:7" ht="14.25" customHeight="1" x14ac:dyDescent="0.45">
      <c r="A9517" t="str">
        <f>_xlfn.XLOOKUP(B9517,Ingot!$H$12:$H$119,Ingot!$G$12:$G$119,"")</f>
        <v>Leather</v>
      </c>
      <c r="B9517" t="s">
        <v>18898</v>
      </c>
      <c r="C9517" t="s">
        <v>239</v>
      </c>
      <c r="D9517" t="s">
        <v>19127</v>
      </c>
      <c r="E9517" t="s">
        <v>19128</v>
      </c>
      <c r="F9517" t="s">
        <v>180</v>
      </c>
      <c r="G9517" s="1">
        <f>((VLOOKUP(B9517,Ingot!H:I,2,FALSE()) * 3) - 10.25) * 0.421875</f>
        <v>0.263671875</v>
      </c>
    </row>
    <row r="9518" spans="1:7" ht="14.25" customHeight="1" x14ac:dyDescent="0.45">
      <c r="A9518" t="str">
        <f>_xlfn.XLOOKUP(B9518,Ingot!$H$12:$H$119,Ingot!$G$12:$G$119,"")</f>
        <v>Leather</v>
      </c>
      <c r="B9518" t="s">
        <v>18898</v>
      </c>
      <c r="C9518" t="s">
        <v>239</v>
      </c>
      <c r="D9518" t="s">
        <v>19129</v>
      </c>
      <c r="E9518" t="s">
        <v>19130</v>
      </c>
      <c r="F9518" t="s">
        <v>180</v>
      </c>
      <c r="G9518" s="1">
        <f>((VLOOKUP(B9518,Ingot!H:I,2,FALSE()) * 3) - 10.25) * 0.75</f>
        <v>0.46875</v>
      </c>
    </row>
    <row r="9519" spans="1:7" ht="14.25" customHeight="1" x14ac:dyDescent="0.45">
      <c r="A9519" t="str">
        <f>_xlfn.XLOOKUP(B9519,Ingot!$H$12:$H$119,Ingot!$G$12:$G$119,"")</f>
        <v>Leather</v>
      </c>
      <c r="B9519" t="s">
        <v>18898</v>
      </c>
      <c r="C9519" t="s">
        <v>239</v>
      </c>
      <c r="D9519" t="s">
        <v>19131</v>
      </c>
      <c r="E9519" t="s">
        <v>19132</v>
      </c>
      <c r="F9519" t="s">
        <v>180</v>
      </c>
      <c r="G9519" s="1">
        <f>((VLOOKUP(B9519,Ingot!H:I,2,FALSE()) * 3) - 10.25) * 0.5625</f>
        <v>0.3515625</v>
      </c>
    </row>
    <row r="9520" spans="1:7" ht="14.25" customHeight="1" x14ac:dyDescent="0.45">
      <c r="A9520" t="str">
        <f>_xlfn.XLOOKUP(B9520,Ingot!$H$12:$H$119,Ingot!$G$12:$G$119,"")</f>
        <v>Leather</v>
      </c>
      <c r="B9520" t="s">
        <v>18898</v>
      </c>
      <c r="C9520" t="s">
        <v>239</v>
      </c>
      <c r="D9520" t="s">
        <v>19133</v>
      </c>
      <c r="E9520" t="s">
        <v>19134</v>
      </c>
      <c r="G9520" s="1">
        <f>VLOOKUP(B9520,Ingot!H:I,2,FALSE()) * 0.75</f>
        <v>2.71875</v>
      </c>
    </row>
    <row r="9521" spans="1:7" ht="14.25" customHeight="1" x14ac:dyDescent="0.45">
      <c r="A9521" t="str">
        <f>_xlfn.XLOOKUP(B9521,Ingot!$H$12:$H$119,Ingot!$G$12:$G$119,"")</f>
        <v>Leather</v>
      </c>
      <c r="B9521" t="s">
        <v>18898</v>
      </c>
      <c r="C9521" t="s">
        <v>239</v>
      </c>
      <c r="D9521" t="s">
        <v>19135</v>
      </c>
      <c r="E9521" t="s">
        <v>19136</v>
      </c>
      <c r="F9521" t="s">
        <v>180</v>
      </c>
      <c r="G9521" s="1">
        <f>(VLOOKUP(B9521,Ingot!H:I,2,FALSE()) * 3) - 10.25</f>
        <v>0.625</v>
      </c>
    </row>
    <row r="9522" spans="1:7" ht="14.25" customHeight="1" x14ac:dyDescent="0.45">
      <c r="A9522" t="str">
        <f>_xlfn.XLOOKUP(B9522,Ingot!$H$12:$H$119,Ingot!$G$12:$G$119,"")</f>
        <v>Leather</v>
      </c>
      <c r="B9522" t="s">
        <v>19137</v>
      </c>
      <c r="C9522" t="s">
        <v>10</v>
      </c>
      <c r="D9522" t="s">
        <v>19138</v>
      </c>
      <c r="E9522" t="s">
        <v>19139</v>
      </c>
      <c r="G9522" s="1">
        <v>0.08</v>
      </c>
    </row>
    <row r="9523" spans="1:7" ht="14.25" customHeight="1" x14ac:dyDescent="0.45">
      <c r="A9523" t="str">
        <f>_xlfn.XLOOKUP(B9523,Ingot!$H$12:$H$119,Ingot!$G$12:$G$119,"")</f>
        <v>Leather</v>
      </c>
      <c r="B9523" t="s">
        <v>19137</v>
      </c>
      <c r="C9523" t="s">
        <v>10</v>
      </c>
      <c r="D9523" t="s">
        <v>19140</v>
      </c>
      <c r="E9523" t="s">
        <v>19141</v>
      </c>
      <c r="G9523" s="1">
        <v>9.9</v>
      </c>
    </row>
    <row r="9524" spans="1:7" ht="14.25" customHeight="1" x14ac:dyDescent="0.45">
      <c r="A9524" t="str">
        <f>_xlfn.XLOOKUP(B9524,Ingot!$H$12:$H$119,Ingot!$G$12:$G$119,"")</f>
        <v>Leather</v>
      </c>
      <c r="B9524" t="s">
        <v>19137</v>
      </c>
      <c r="C9524" t="s">
        <v>10</v>
      </c>
      <c r="D9524" t="s">
        <v>19142</v>
      </c>
      <c r="E9524" t="s">
        <v>19143</v>
      </c>
      <c r="G9524" s="1">
        <v>5.66</v>
      </c>
    </row>
    <row r="9525" spans="1:7" ht="14.25" customHeight="1" x14ac:dyDescent="0.45">
      <c r="A9525" t="str">
        <f>_xlfn.XLOOKUP(B9525,Ingot!$H$12:$H$119,Ingot!$G$12:$G$119,"")</f>
        <v>Leather</v>
      </c>
      <c r="B9525" t="s">
        <v>19137</v>
      </c>
      <c r="C9525" t="s">
        <v>10</v>
      </c>
      <c r="D9525" t="s">
        <v>19144</v>
      </c>
      <c r="E9525" t="s">
        <v>19145</v>
      </c>
      <c r="G9525" s="1">
        <v>3.3</v>
      </c>
    </row>
    <row r="9526" spans="1:7" ht="14.25" customHeight="1" x14ac:dyDescent="0.45">
      <c r="A9526" t="str">
        <f>_xlfn.XLOOKUP(B9526,Ingot!$H$12:$H$119,Ingot!$G$12:$G$119,"")</f>
        <v>Leather</v>
      </c>
      <c r="B9526" t="s">
        <v>19137</v>
      </c>
      <c r="C9526" t="s">
        <v>10</v>
      </c>
      <c r="D9526" t="s">
        <v>19146</v>
      </c>
      <c r="E9526" t="s">
        <v>19147</v>
      </c>
      <c r="G9526" s="1">
        <v>0.66</v>
      </c>
    </row>
    <row r="9527" spans="1:7" ht="14.25" customHeight="1" x14ac:dyDescent="0.45">
      <c r="A9527" t="str">
        <f>_xlfn.XLOOKUP(B9527,Ingot!$H$12:$H$119,Ingot!$G$12:$G$119,"")</f>
        <v>Leather</v>
      </c>
      <c r="B9527" t="s">
        <v>19137</v>
      </c>
      <c r="C9527" t="s">
        <v>10</v>
      </c>
      <c r="D9527" t="s">
        <v>19148</v>
      </c>
      <c r="E9527" t="s">
        <v>19149</v>
      </c>
      <c r="G9527" s="1">
        <v>0.04</v>
      </c>
    </row>
    <row r="9528" spans="1:7" ht="14.25" customHeight="1" x14ac:dyDescent="0.45">
      <c r="A9528" t="str">
        <f>_xlfn.XLOOKUP(B9528,Ingot!$H$12:$H$119,Ingot!$G$12:$G$119,"")</f>
        <v>Leather</v>
      </c>
      <c r="B9528" t="s">
        <v>19137</v>
      </c>
      <c r="C9528" t="s">
        <v>10</v>
      </c>
      <c r="D9528" t="s">
        <v>19150</v>
      </c>
      <c r="E9528" t="s">
        <v>19151</v>
      </c>
      <c r="G9528" s="1">
        <v>0.33</v>
      </c>
    </row>
    <row r="9529" spans="1:7" ht="14.25" customHeight="1" x14ac:dyDescent="0.45">
      <c r="A9529" t="str">
        <f>_xlfn.XLOOKUP(B9529,Ingot!$H$12:$H$119,Ingot!$G$12:$G$119,"")</f>
        <v>Leather</v>
      </c>
      <c r="B9529" t="s">
        <v>19137</v>
      </c>
      <c r="C9529" t="s">
        <v>10</v>
      </c>
      <c r="D9529" t="s">
        <v>19152</v>
      </c>
      <c r="E9529" t="s">
        <v>19153</v>
      </c>
    </row>
    <row r="9530" spans="1:7" ht="14.25" customHeight="1" x14ac:dyDescent="0.45">
      <c r="A9530" t="str">
        <f>_xlfn.XLOOKUP(B9530,Ingot!$H$12:$H$119,Ingot!$G$12:$G$119,"")</f>
        <v>Leather</v>
      </c>
      <c r="B9530" t="s">
        <v>19137</v>
      </c>
      <c r="C9530" t="s">
        <v>10</v>
      </c>
      <c r="D9530" t="s">
        <v>19154</v>
      </c>
      <c r="E9530" t="s">
        <v>19155</v>
      </c>
      <c r="G9530" s="1">
        <v>0.05</v>
      </c>
    </row>
    <row r="9531" spans="1:7" ht="14.25" customHeight="1" x14ac:dyDescent="0.45">
      <c r="A9531" t="str">
        <f>_xlfn.XLOOKUP(B9531,Ingot!$H$12:$H$119,Ingot!$G$12:$G$119,"")</f>
        <v>Leather</v>
      </c>
      <c r="B9531" t="s">
        <v>19137</v>
      </c>
      <c r="C9531" t="s">
        <v>10</v>
      </c>
      <c r="D9531" t="s">
        <v>19156</v>
      </c>
      <c r="E9531" t="s">
        <v>19157</v>
      </c>
      <c r="G9531" s="1">
        <v>0.66</v>
      </c>
    </row>
    <row r="9532" spans="1:7" ht="14.25" customHeight="1" x14ac:dyDescent="0.45">
      <c r="A9532" t="str">
        <f>_xlfn.XLOOKUP(B9532,Ingot!$H$12:$H$119,Ingot!$G$12:$G$119,"")</f>
        <v>Leather</v>
      </c>
      <c r="B9532" t="s">
        <v>19137</v>
      </c>
      <c r="C9532" t="s">
        <v>10</v>
      </c>
      <c r="D9532" t="s">
        <v>19158</v>
      </c>
      <c r="E9532" t="s">
        <v>19159</v>
      </c>
      <c r="G9532" s="1">
        <v>3.96</v>
      </c>
    </row>
    <row r="9533" spans="1:7" ht="14.25" customHeight="1" x14ac:dyDescent="0.45">
      <c r="A9533" t="str">
        <f>_xlfn.XLOOKUP(B9533,Ingot!$H$12:$H$119,Ingot!$G$12:$G$119,"")</f>
        <v>Leather</v>
      </c>
      <c r="B9533" t="s">
        <v>19137</v>
      </c>
      <c r="C9533" t="s">
        <v>10</v>
      </c>
      <c r="D9533" t="s">
        <v>19160</v>
      </c>
      <c r="E9533" t="s">
        <v>19161</v>
      </c>
      <c r="G9533" s="1">
        <v>8.77</v>
      </c>
    </row>
    <row r="9534" spans="1:7" ht="14.25" customHeight="1" x14ac:dyDescent="0.45">
      <c r="A9534" t="str">
        <f>_xlfn.XLOOKUP(B9534,Ingot!$H$12:$H$119,Ingot!$G$12:$G$119,"")</f>
        <v>Leather</v>
      </c>
      <c r="B9534" t="s">
        <v>19137</v>
      </c>
      <c r="C9534" t="s">
        <v>10</v>
      </c>
      <c r="D9534" t="s">
        <v>19162</v>
      </c>
      <c r="E9534" t="s">
        <v>19163</v>
      </c>
      <c r="G9534" s="1">
        <v>3.5</v>
      </c>
    </row>
    <row r="9535" spans="1:7" ht="14.25" customHeight="1" x14ac:dyDescent="0.45">
      <c r="A9535" t="str">
        <f>_xlfn.XLOOKUP(B9535,Ingot!$H$12:$H$119,Ingot!$G$12:$G$119,"")</f>
        <v>Leather</v>
      </c>
      <c r="B9535" t="s">
        <v>19137</v>
      </c>
      <c r="C9535" t="s">
        <v>10</v>
      </c>
      <c r="D9535" t="s">
        <v>19164</v>
      </c>
      <c r="E9535" t="s">
        <v>19165</v>
      </c>
    </row>
    <row r="9536" spans="1:7" ht="14.25" customHeight="1" x14ac:dyDescent="0.45">
      <c r="A9536" t="str">
        <f>_xlfn.XLOOKUP(B9536,Ingot!$H$12:$H$119,Ingot!$G$12:$G$119,"")</f>
        <v>Leather</v>
      </c>
      <c r="B9536" t="s">
        <v>19137</v>
      </c>
      <c r="C9536" t="s">
        <v>10</v>
      </c>
      <c r="D9536" t="s">
        <v>19166</v>
      </c>
      <c r="E9536" t="s">
        <v>19167</v>
      </c>
      <c r="G9536" s="1">
        <v>2.2000000000000002</v>
      </c>
    </row>
    <row r="9537" spans="1:7" ht="14.25" customHeight="1" x14ac:dyDescent="0.45">
      <c r="A9537" t="str">
        <f>_xlfn.XLOOKUP(B9537,Ingot!$H$12:$H$119,Ingot!$G$12:$G$119,"")</f>
        <v>Leather</v>
      </c>
      <c r="B9537" t="s">
        <v>19137</v>
      </c>
      <c r="C9537" t="s">
        <v>10</v>
      </c>
      <c r="D9537" t="s">
        <v>19168</v>
      </c>
      <c r="E9537" t="s">
        <v>19169</v>
      </c>
      <c r="G9537" s="1">
        <v>1.1000000000000001</v>
      </c>
    </row>
    <row r="9538" spans="1:7" ht="14.25" customHeight="1" x14ac:dyDescent="0.45">
      <c r="A9538" t="str">
        <f>_xlfn.XLOOKUP(B9538,Ingot!$H$12:$H$119,Ingot!$G$12:$G$119,"")</f>
        <v>Leather</v>
      </c>
      <c r="B9538" t="s">
        <v>19137</v>
      </c>
      <c r="C9538" t="s">
        <v>10</v>
      </c>
      <c r="D9538" t="s">
        <v>19170</v>
      </c>
      <c r="E9538" t="s">
        <v>19171</v>
      </c>
      <c r="G9538" s="1">
        <v>0.22</v>
      </c>
    </row>
    <row r="9539" spans="1:7" ht="14.25" customHeight="1" x14ac:dyDescent="0.45">
      <c r="A9539" t="str">
        <f>_xlfn.XLOOKUP(B9539,Ingot!$H$12:$H$119,Ingot!$G$12:$G$119,"")</f>
        <v>Leather</v>
      </c>
      <c r="B9539" t="s">
        <v>19137</v>
      </c>
      <c r="C9539" t="s">
        <v>10</v>
      </c>
      <c r="D9539" t="s">
        <v>19172</v>
      </c>
      <c r="E9539" t="s">
        <v>19173</v>
      </c>
      <c r="G9539" s="1">
        <v>8.41</v>
      </c>
    </row>
    <row r="9540" spans="1:7" ht="14.25" customHeight="1" x14ac:dyDescent="0.45">
      <c r="A9540" t="str">
        <f>_xlfn.XLOOKUP(B9540,Ingot!$H$12:$H$119,Ingot!$G$12:$G$119,"")</f>
        <v>Leather</v>
      </c>
      <c r="B9540" t="s">
        <v>19137</v>
      </c>
      <c r="C9540" t="s">
        <v>10</v>
      </c>
      <c r="D9540" t="s">
        <v>19174</v>
      </c>
      <c r="E9540" t="s">
        <v>19175</v>
      </c>
      <c r="G9540" s="1">
        <v>3.64</v>
      </c>
    </row>
    <row r="9541" spans="1:7" ht="14.25" customHeight="1" x14ac:dyDescent="0.45">
      <c r="A9541" t="str">
        <f>_xlfn.XLOOKUP(B9541,Ingot!$H$12:$H$119,Ingot!$G$12:$G$119,"")</f>
        <v>Leather</v>
      </c>
      <c r="B9541" t="s">
        <v>19137</v>
      </c>
      <c r="C9541" t="s">
        <v>10</v>
      </c>
      <c r="D9541" t="s">
        <v>19176</v>
      </c>
      <c r="E9541" t="s">
        <v>19177</v>
      </c>
      <c r="G9541" s="1">
        <v>7.05</v>
      </c>
    </row>
    <row r="9542" spans="1:7" ht="14.25" customHeight="1" x14ac:dyDescent="0.45">
      <c r="A9542" t="str">
        <f>_xlfn.XLOOKUP(B9542,Ingot!$H$12:$H$119,Ingot!$G$12:$G$119,"")</f>
        <v>Leather</v>
      </c>
      <c r="B9542" t="s">
        <v>19137</v>
      </c>
      <c r="C9542" t="s">
        <v>10</v>
      </c>
      <c r="D9542" t="s">
        <v>19178</v>
      </c>
      <c r="E9542" t="s">
        <v>19179</v>
      </c>
      <c r="G9542" s="1">
        <v>2.65</v>
      </c>
    </row>
    <row r="9543" spans="1:7" ht="14.25" customHeight="1" x14ac:dyDescent="0.45">
      <c r="A9543" t="str">
        <f>_xlfn.XLOOKUP(B9543,Ingot!$H$12:$H$119,Ingot!$G$12:$G$119,"")</f>
        <v>Leather</v>
      </c>
      <c r="B9543" t="s">
        <v>19137</v>
      </c>
      <c r="C9543" t="s">
        <v>10</v>
      </c>
      <c r="D9543" t="s">
        <v>19180</v>
      </c>
      <c r="E9543" t="s">
        <v>19181</v>
      </c>
      <c r="G9543" s="1">
        <v>9</v>
      </c>
    </row>
    <row r="9544" spans="1:7" ht="14.25" customHeight="1" x14ac:dyDescent="0.45">
      <c r="A9544" t="str">
        <f>_xlfn.XLOOKUP(B9544,Ingot!$H$12:$H$119,Ingot!$G$12:$G$119,"")</f>
        <v>Leather</v>
      </c>
      <c r="B9544" t="s">
        <v>19137</v>
      </c>
      <c r="C9544" t="s">
        <v>10</v>
      </c>
      <c r="D9544" t="s">
        <v>19182</v>
      </c>
      <c r="E9544" t="s">
        <v>19183</v>
      </c>
      <c r="G9544" s="1">
        <v>10.23</v>
      </c>
    </row>
    <row r="9545" spans="1:7" ht="14.25" customHeight="1" x14ac:dyDescent="0.45">
      <c r="A9545" t="str">
        <f>_xlfn.XLOOKUP(B9545,Ingot!$H$12:$H$119,Ingot!$G$12:$G$119,"")</f>
        <v>Leather</v>
      </c>
      <c r="B9545" t="s">
        <v>19137</v>
      </c>
      <c r="C9545" t="s">
        <v>10</v>
      </c>
      <c r="D9545" t="s">
        <v>19184</v>
      </c>
      <c r="E9545" t="s">
        <v>19185</v>
      </c>
      <c r="G9545" s="1">
        <v>7.7</v>
      </c>
    </row>
    <row r="9546" spans="1:7" ht="14.25" customHeight="1" x14ac:dyDescent="0.45">
      <c r="A9546" t="str">
        <f>_xlfn.XLOOKUP(B9546,Ingot!$H$12:$H$119,Ingot!$G$12:$G$119,"")</f>
        <v>Leather</v>
      </c>
      <c r="B9546" t="s">
        <v>19137</v>
      </c>
      <c r="C9546" t="s">
        <v>10</v>
      </c>
      <c r="D9546" t="s">
        <v>19186</v>
      </c>
      <c r="E9546" t="s">
        <v>19187</v>
      </c>
      <c r="G9546" s="1">
        <v>10.02</v>
      </c>
    </row>
    <row r="9547" spans="1:7" ht="14.25" customHeight="1" x14ac:dyDescent="0.45">
      <c r="A9547" t="str">
        <f>_xlfn.XLOOKUP(B9547,Ingot!$H$12:$H$119,Ingot!$G$12:$G$119,"")</f>
        <v>Leather</v>
      </c>
      <c r="B9547" t="s">
        <v>19137</v>
      </c>
      <c r="C9547" t="s">
        <v>10</v>
      </c>
      <c r="D9547" t="s">
        <v>19188</v>
      </c>
      <c r="E9547" t="s">
        <v>19189</v>
      </c>
      <c r="G9547" s="1">
        <v>11.81</v>
      </c>
    </row>
    <row r="9548" spans="1:7" ht="14.25" customHeight="1" x14ac:dyDescent="0.45">
      <c r="A9548" t="str">
        <f>_xlfn.XLOOKUP(B9548,Ingot!$H$12:$H$119,Ingot!$G$12:$G$119,"")</f>
        <v>Leather</v>
      </c>
      <c r="B9548" t="s">
        <v>19137</v>
      </c>
      <c r="C9548" t="s">
        <v>10</v>
      </c>
      <c r="D9548" t="s">
        <v>19190</v>
      </c>
      <c r="E9548" t="s">
        <v>19191</v>
      </c>
      <c r="G9548" s="1">
        <v>8.44</v>
      </c>
    </row>
    <row r="9549" spans="1:7" ht="14.25" customHeight="1" x14ac:dyDescent="0.45">
      <c r="A9549" t="str">
        <f>_xlfn.XLOOKUP(B9549,Ingot!$H$12:$H$119,Ingot!$G$12:$G$119,"")</f>
        <v>Leather</v>
      </c>
      <c r="B9549" t="s">
        <v>19137</v>
      </c>
      <c r="C9549" t="s">
        <v>10</v>
      </c>
      <c r="D9549" t="s">
        <v>19192</v>
      </c>
      <c r="E9549" t="s">
        <v>19193</v>
      </c>
      <c r="G9549" s="1">
        <v>10.42</v>
      </c>
    </row>
    <row r="9550" spans="1:7" ht="14.25" customHeight="1" x14ac:dyDescent="0.45">
      <c r="A9550" t="str">
        <f>_xlfn.XLOOKUP(B9550,Ingot!$H$12:$H$119,Ingot!$G$12:$G$119,"")</f>
        <v>Leather</v>
      </c>
      <c r="B9550" t="s">
        <v>19137</v>
      </c>
      <c r="C9550" t="s">
        <v>10</v>
      </c>
      <c r="D9550" t="s">
        <v>19194</v>
      </c>
      <c r="E9550" t="s">
        <v>19195</v>
      </c>
    </row>
    <row r="9551" spans="1:7" ht="14.25" customHeight="1" x14ac:dyDescent="0.45">
      <c r="A9551" t="str">
        <f>_xlfn.XLOOKUP(B9551,Ingot!$H$12:$H$119,Ingot!$G$12:$G$119,"")</f>
        <v>Leather</v>
      </c>
      <c r="B9551" t="s">
        <v>19137</v>
      </c>
      <c r="C9551" t="s">
        <v>10</v>
      </c>
      <c r="D9551" t="s">
        <v>19196</v>
      </c>
      <c r="E9551" t="s">
        <v>19197</v>
      </c>
      <c r="G9551" s="1">
        <v>7.96</v>
      </c>
    </row>
    <row r="9552" spans="1:7" ht="14.25" customHeight="1" x14ac:dyDescent="0.45">
      <c r="A9552" t="str">
        <f>_xlfn.XLOOKUP(B9552,Ingot!$H$12:$H$119,Ingot!$G$12:$G$119,"")</f>
        <v>Leather</v>
      </c>
      <c r="B9552" t="s">
        <v>19137</v>
      </c>
      <c r="C9552" t="s">
        <v>10</v>
      </c>
      <c r="D9552" t="s">
        <v>19198</v>
      </c>
      <c r="E9552" t="s">
        <v>19199</v>
      </c>
      <c r="G9552" s="1">
        <v>9.64</v>
      </c>
    </row>
    <row r="9553" spans="1:7" ht="14.25" customHeight="1" x14ac:dyDescent="0.45">
      <c r="A9553" t="str">
        <f>_xlfn.XLOOKUP(B9553,Ingot!$H$12:$H$119,Ingot!$G$12:$G$119,"")</f>
        <v>Leather</v>
      </c>
      <c r="B9553" t="s">
        <v>19137</v>
      </c>
      <c r="C9553" t="s">
        <v>10</v>
      </c>
      <c r="D9553" t="s">
        <v>19200</v>
      </c>
      <c r="E9553" t="s">
        <v>19201</v>
      </c>
      <c r="G9553" s="1">
        <v>7.94</v>
      </c>
    </row>
    <row r="9554" spans="1:7" ht="14.25" customHeight="1" x14ac:dyDescent="0.45">
      <c r="A9554" t="str">
        <f>_xlfn.XLOOKUP(B9554,Ingot!$H$12:$H$119,Ingot!$G$12:$G$119,"")</f>
        <v>Leather</v>
      </c>
      <c r="B9554" t="s">
        <v>19137</v>
      </c>
      <c r="C9554" t="s">
        <v>10</v>
      </c>
      <c r="D9554" t="s">
        <v>19202</v>
      </c>
      <c r="E9554" t="s">
        <v>19203</v>
      </c>
      <c r="G9554" s="1">
        <v>8.66</v>
      </c>
    </row>
    <row r="9555" spans="1:7" ht="14.25" customHeight="1" x14ac:dyDescent="0.45">
      <c r="A9555" t="str">
        <f>_xlfn.XLOOKUP(B9555,Ingot!$H$12:$H$119,Ingot!$G$12:$G$119,"")</f>
        <v>Leather</v>
      </c>
      <c r="B9555" t="s">
        <v>19137</v>
      </c>
      <c r="C9555" t="s">
        <v>10</v>
      </c>
      <c r="D9555" t="s">
        <v>19204</v>
      </c>
      <c r="E9555" t="s">
        <v>19205</v>
      </c>
    </row>
    <row r="9556" spans="1:7" ht="14.25" customHeight="1" x14ac:dyDescent="0.45">
      <c r="A9556" t="str">
        <f>_xlfn.XLOOKUP(B9556,Ingot!$H$12:$H$119,Ingot!$G$12:$G$119,"")</f>
        <v>Leather</v>
      </c>
      <c r="B9556" t="s">
        <v>19137</v>
      </c>
      <c r="C9556" t="s">
        <v>10</v>
      </c>
      <c r="D9556" t="s">
        <v>19206</v>
      </c>
      <c r="E9556" t="s">
        <v>19207</v>
      </c>
      <c r="G9556" s="1">
        <v>2.65</v>
      </c>
    </row>
    <row r="9557" spans="1:7" ht="14.25" customHeight="1" x14ac:dyDescent="0.45">
      <c r="A9557" t="str">
        <f>_xlfn.XLOOKUP(B9557,Ingot!$H$12:$H$119,Ingot!$G$12:$G$119,"")</f>
        <v>Leather</v>
      </c>
      <c r="B9557" t="s">
        <v>19137</v>
      </c>
      <c r="C9557" t="s">
        <v>10</v>
      </c>
      <c r="D9557" t="s">
        <v>19208</v>
      </c>
      <c r="E9557" t="s">
        <v>19209</v>
      </c>
    </row>
    <row r="9558" spans="1:7" ht="14.25" customHeight="1" x14ac:dyDescent="0.45">
      <c r="A9558" t="str">
        <f>_xlfn.XLOOKUP(B9558,Ingot!$H$12:$H$119,Ingot!$G$12:$G$119,"")</f>
        <v>Leather</v>
      </c>
      <c r="B9558" t="s">
        <v>19137</v>
      </c>
      <c r="C9558" t="s">
        <v>10</v>
      </c>
      <c r="D9558" t="s">
        <v>19210</v>
      </c>
      <c r="E9558" t="s">
        <v>19211</v>
      </c>
      <c r="G9558" s="1">
        <v>12.64</v>
      </c>
    </row>
    <row r="9559" spans="1:7" ht="14.25" customHeight="1" x14ac:dyDescent="0.45">
      <c r="A9559" t="str">
        <f>_xlfn.XLOOKUP(B9559,Ingot!$H$12:$H$119,Ingot!$G$12:$G$119,"")</f>
        <v>Leather</v>
      </c>
      <c r="B9559" t="s">
        <v>19137</v>
      </c>
      <c r="C9559" t="s">
        <v>10</v>
      </c>
      <c r="D9559" t="s">
        <v>19212</v>
      </c>
      <c r="E9559" t="s">
        <v>19213</v>
      </c>
      <c r="G9559" s="1">
        <v>22.67</v>
      </c>
    </row>
    <row r="9560" spans="1:7" ht="14.25" customHeight="1" x14ac:dyDescent="0.45">
      <c r="A9560" t="str">
        <f>_xlfn.XLOOKUP(B9560,Ingot!$H$12:$H$119,Ingot!$G$12:$G$119,"")</f>
        <v>Leather</v>
      </c>
      <c r="B9560" t="s">
        <v>19137</v>
      </c>
      <c r="C9560" t="s">
        <v>10</v>
      </c>
      <c r="D9560" t="s">
        <v>19214</v>
      </c>
      <c r="E9560" t="s">
        <v>19215</v>
      </c>
      <c r="G9560" s="1">
        <v>8.3800000000000008</v>
      </c>
    </row>
    <row r="9561" spans="1:7" ht="14.25" customHeight="1" x14ac:dyDescent="0.45">
      <c r="A9561" t="str">
        <f>_xlfn.XLOOKUP(B9561,Ingot!$H$12:$H$119,Ingot!$G$12:$G$119,"")</f>
        <v>Leather</v>
      </c>
      <c r="B9561" t="s">
        <v>19137</v>
      </c>
      <c r="C9561" t="s">
        <v>10</v>
      </c>
      <c r="D9561" t="s">
        <v>19216</v>
      </c>
      <c r="E9561" t="s">
        <v>19217</v>
      </c>
      <c r="G9561" s="1">
        <v>2.2000000000000002</v>
      </c>
    </row>
    <row r="9562" spans="1:7" ht="14.25" customHeight="1" x14ac:dyDescent="0.45">
      <c r="A9562" t="str">
        <f>_xlfn.XLOOKUP(B9562,Ingot!$H$12:$H$119,Ingot!$G$12:$G$119,"")</f>
        <v>Leather</v>
      </c>
      <c r="B9562" t="s">
        <v>19137</v>
      </c>
      <c r="C9562" t="s">
        <v>10</v>
      </c>
      <c r="D9562" t="s">
        <v>19218</v>
      </c>
      <c r="E9562" t="s">
        <v>19219</v>
      </c>
      <c r="G9562" s="1">
        <v>3.09</v>
      </c>
    </row>
    <row r="9563" spans="1:7" ht="14.25" customHeight="1" x14ac:dyDescent="0.45">
      <c r="A9563" t="str">
        <f>_xlfn.XLOOKUP(B9563,Ingot!$H$12:$H$119,Ingot!$G$12:$G$119,"")</f>
        <v>Leather</v>
      </c>
      <c r="B9563" t="s">
        <v>19137</v>
      </c>
      <c r="C9563" t="s">
        <v>10</v>
      </c>
      <c r="D9563" t="s">
        <v>19220</v>
      </c>
      <c r="E9563" t="s">
        <v>19221</v>
      </c>
      <c r="G9563" s="1">
        <v>2.2999999999999998</v>
      </c>
    </row>
    <row r="9564" spans="1:7" ht="14.25" customHeight="1" x14ac:dyDescent="0.45">
      <c r="A9564" t="str">
        <f>_xlfn.XLOOKUP(B9564,Ingot!$H$12:$H$119,Ingot!$G$12:$G$119,"")</f>
        <v>Leather</v>
      </c>
      <c r="B9564" t="s">
        <v>19137</v>
      </c>
      <c r="C9564" t="s">
        <v>10</v>
      </c>
      <c r="D9564" t="s">
        <v>19222</v>
      </c>
      <c r="E9564" t="s">
        <v>19223</v>
      </c>
      <c r="G9564" s="1">
        <v>4.88</v>
      </c>
    </row>
    <row r="9565" spans="1:7" ht="14.25" customHeight="1" x14ac:dyDescent="0.45">
      <c r="A9565" t="str">
        <f>_xlfn.XLOOKUP(B9565,Ingot!$H$12:$H$119,Ingot!$G$12:$G$119,"")</f>
        <v>Leather</v>
      </c>
      <c r="B9565" t="s">
        <v>19137</v>
      </c>
      <c r="C9565" t="s">
        <v>10</v>
      </c>
      <c r="D9565" t="s">
        <v>19224</v>
      </c>
      <c r="E9565" t="s">
        <v>19225</v>
      </c>
      <c r="G9565" s="1">
        <v>8.43</v>
      </c>
    </row>
    <row r="9566" spans="1:7" ht="14.25" customHeight="1" x14ac:dyDescent="0.45">
      <c r="A9566" t="str">
        <f>_xlfn.XLOOKUP(B9566,Ingot!$H$12:$H$119,Ingot!$G$12:$G$119,"")</f>
        <v>Leather</v>
      </c>
      <c r="B9566" t="s">
        <v>19137</v>
      </c>
      <c r="C9566" t="s">
        <v>10</v>
      </c>
      <c r="D9566" t="s">
        <v>19226</v>
      </c>
      <c r="E9566" t="s">
        <v>19227</v>
      </c>
      <c r="G9566" s="1">
        <v>13.07</v>
      </c>
    </row>
    <row r="9567" spans="1:7" ht="14.25" customHeight="1" x14ac:dyDescent="0.45">
      <c r="A9567" t="str">
        <f>_xlfn.XLOOKUP(B9567,Ingot!$H$12:$H$119,Ingot!$G$12:$G$119,"")</f>
        <v>Leather</v>
      </c>
      <c r="B9567" t="s">
        <v>19137</v>
      </c>
      <c r="C9567" t="s">
        <v>10</v>
      </c>
      <c r="D9567" t="s">
        <v>19228</v>
      </c>
      <c r="E9567" t="s">
        <v>19229</v>
      </c>
    </row>
    <row r="9568" spans="1:7" ht="14.25" customHeight="1" x14ac:dyDescent="0.45">
      <c r="A9568" t="str">
        <f>_xlfn.XLOOKUP(B9568,Ingot!$H$12:$H$119,Ingot!$G$12:$G$119,"")</f>
        <v>Leather</v>
      </c>
      <c r="B9568" t="s">
        <v>19137</v>
      </c>
      <c r="C9568" t="s">
        <v>10</v>
      </c>
      <c r="D9568" t="s">
        <v>19230</v>
      </c>
      <c r="E9568" t="s">
        <v>19231</v>
      </c>
    </row>
    <row r="9569" spans="1:7" ht="14.25" customHeight="1" x14ac:dyDescent="0.45">
      <c r="A9569" t="str">
        <f>_xlfn.XLOOKUP(B9569,Ingot!$H$12:$H$119,Ingot!$G$12:$G$119,"")</f>
        <v>Leather</v>
      </c>
      <c r="B9569" t="s">
        <v>19137</v>
      </c>
      <c r="C9569" t="s">
        <v>10</v>
      </c>
      <c r="D9569" t="s">
        <v>19232</v>
      </c>
      <c r="E9569" t="s">
        <v>19233</v>
      </c>
      <c r="G9569" s="1">
        <v>6.8</v>
      </c>
    </row>
    <row r="9570" spans="1:7" ht="14.25" customHeight="1" x14ac:dyDescent="0.45">
      <c r="A9570" t="str">
        <f>_xlfn.XLOOKUP(B9570,Ingot!$H$12:$H$119,Ingot!$G$12:$G$119,"")</f>
        <v>Leather</v>
      </c>
      <c r="B9570" t="s">
        <v>19137</v>
      </c>
      <c r="C9570" t="s">
        <v>10</v>
      </c>
      <c r="D9570" t="s">
        <v>19234</v>
      </c>
      <c r="E9570" t="s">
        <v>19235</v>
      </c>
      <c r="G9570" s="1">
        <v>6.88</v>
      </c>
    </row>
    <row r="9571" spans="1:7" ht="14.25" customHeight="1" x14ac:dyDescent="0.45">
      <c r="A9571" t="str">
        <f>_xlfn.XLOOKUP(B9571,Ingot!$H$12:$H$119,Ingot!$G$12:$G$119,"")</f>
        <v>Leather</v>
      </c>
      <c r="B9571" t="s">
        <v>19137</v>
      </c>
      <c r="C9571" t="s">
        <v>10</v>
      </c>
      <c r="D9571" t="s">
        <v>19236</v>
      </c>
      <c r="E9571" t="s">
        <v>19237</v>
      </c>
      <c r="G9571" s="1">
        <v>5.5</v>
      </c>
    </row>
    <row r="9572" spans="1:7" ht="14.25" customHeight="1" x14ac:dyDescent="0.45">
      <c r="A9572" t="str">
        <f>_xlfn.XLOOKUP(B9572,Ingot!$H$12:$H$119,Ingot!$G$12:$G$119,"")</f>
        <v>Leather</v>
      </c>
      <c r="B9572" t="s">
        <v>19137</v>
      </c>
      <c r="C9572" t="s">
        <v>10</v>
      </c>
      <c r="D9572" t="s">
        <v>19238</v>
      </c>
      <c r="E9572" t="s">
        <v>19239</v>
      </c>
      <c r="G9572" s="1">
        <v>2.4300000000000002</v>
      </c>
    </row>
    <row r="9573" spans="1:7" ht="14.25" customHeight="1" x14ac:dyDescent="0.45">
      <c r="A9573" t="str">
        <f>_xlfn.XLOOKUP(B9573,Ingot!$H$12:$H$119,Ingot!$G$12:$G$119,"")</f>
        <v>Leather</v>
      </c>
      <c r="B9573" t="s">
        <v>19137</v>
      </c>
      <c r="C9573" t="s">
        <v>10</v>
      </c>
      <c r="D9573" t="s">
        <v>19240</v>
      </c>
      <c r="E9573" t="s">
        <v>19241</v>
      </c>
      <c r="G9573" s="1">
        <v>6.96</v>
      </c>
    </row>
    <row r="9574" spans="1:7" ht="14.25" customHeight="1" x14ac:dyDescent="0.45">
      <c r="A9574" t="str">
        <f>_xlfn.XLOOKUP(B9574,Ingot!$H$12:$H$119,Ingot!$G$12:$G$119,"")</f>
        <v>Leather</v>
      </c>
      <c r="B9574" t="s">
        <v>19137</v>
      </c>
      <c r="C9574" t="s">
        <v>10</v>
      </c>
      <c r="D9574" t="s">
        <v>19242</v>
      </c>
      <c r="E9574" t="s">
        <v>19243</v>
      </c>
      <c r="G9574" s="1">
        <v>6.32</v>
      </c>
    </row>
    <row r="9575" spans="1:7" ht="14.25" customHeight="1" x14ac:dyDescent="0.45">
      <c r="A9575" t="str">
        <f>_xlfn.XLOOKUP(B9575,Ingot!$H$12:$H$119,Ingot!$G$12:$G$119,"")</f>
        <v>Leather</v>
      </c>
      <c r="B9575" t="s">
        <v>19137</v>
      </c>
      <c r="C9575" t="s">
        <v>10</v>
      </c>
      <c r="D9575" t="s">
        <v>19244</v>
      </c>
      <c r="E9575" t="s">
        <v>19245</v>
      </c>
      <c r="G9575" s="1">
        <v>6.88</v>
      </c>
    </row>
    <row r="9576" spans="1:7" ht="14.25" customHeight="1" x14ac:dyDescent="0.45">
      <c r="A9576" t="str">
        <f>_xlfn.XLOOKUP(B9576,Ingot!$H$12:$H$119,Ingot!$G$12:$G$119,"")</f>
        <v>Leather</v>
      </c>
      <c r="B9576" t="s">
        <v>19137</v>
      </c>
      <c r="C9576" t="s">
        <v>10</v>
      </c>
      <c r="D9576" t="s">
        <v>19246</v>
      </c>
      <c r="E9576" t="s">
        <v>19247</v>
      </c>
      <c r="G9576" s="1">
        <v>2.44</v>
      </c>
    </row>
    <row r="9577" spans="1:7" ht="14.25" customHeight="1" x14ac:dyDescent="0.45">
      <c r="A9577" t="str">
        <f>_xlfn.XLOOKUP(B9577,Ingot!$H$12:$H$119,Ingot!$G$12:$G$119,"")</f>
        <v>Leather</v>
      </c>
      <c r="B9577" t="s">
        <v>19137</v>
      </c>
      <c r="C9577" t="s">
        <v>10</v>
      </c>
      <c r="D9577" t="s">
        <v>19248</v>
      </c>
      <c r="E9577" t="s">
        <v>19249</v>
      </c>
    </row>
    <row r="9578" spans="1:7" ht="14.25" customHeight="1" x14ac:dyDescent="0.45">
      <c r="A9578" t="str">
        <f>_xlfn.XLOOKUP(B9578,Ingot!$H$12:$H$119,Ingot!$G$12:$G$119,"")</f>
        <v>Leather</v>
      </c>
      <c r="B9578" t="s">
        <v>19137</v>
      </c>
      <c r="C9578" t="s">
        <v>10</v>
      </c>
      <c r="D9578" t="s">
        <v>19250</v>
      </c>
      <c r="E9578" t="s">
        <v>19251</v>
      </c>
    </row>
    <row r="9579" spans="1:7" ht="14.25" customHeight="1" x14ac:dyDescent="0.45">
      <c r="A9579" t="str">
        <f>_xlfn.XLOOKUP(B9579,Ingot!$H$12:$H$119,Ingot!$G$12:$G$119,"")</f>
        <v>Leather</v>
      </c>
      <c r="B9579" t="s">
        <v>19137</v>
      </c>
      <c r="C9579" t="s">
        <v>10</v>
      </c>
      <c r="D9579" t="s">
        <v>19252</v>
      </c>
      <c r="E9579" t="s">
        <v>19253</v>
      </c>
      <c r="G9579" s="1">
        <v>3.11</v>
      </c>
    </row>
    <row r="9580" spans="1:7" ht="14.25" customHeight="1" x14ac:dyDescent="0.45">
      <c r="A9580" t="str">
        <f>_xlfn.XLOOKUP(B9580,Ingot!$H$12:$H$119,Ingot!$G$12:$G$119,"")</f>
        <v>Leather</v>
      </c>
      <c r="B9580" t="s">
        <v>19137</v>
      </c>
      <c r="C9580" t="s">
        <v>10</v>
      </c>
      <c r="D9580" t="s">
        <v>19254</v>
      </c>
      <c r="E9580" t="s">
        <v>19255</v>
      </c>
      <c r="G9580" s="1">
        <v>2.44</v>
      </c>
    </row>
    <row r="9581" spans="1:7" ht="14.25" customHeight="1" x14ac:dyDescent="0.45">
      <c r="A9581" t="str">
        <f>_xlfn.XLOOKUP(B9581,Ingot!$H$12:$H$119,Ingot!$G$12:$G$119,"")</f>
        <v>Leather</v>
      </c>
      <c r="B9581" t="s">
        <v>19137</v>
      </c>
      <c r="C9581" t="s">
        <v>10</v>
      </c>
      <c r="D9581" t="s">
        <v>19256</v>
      </c>
      <c r="E9581" t="s">
        <v>19257</v>
      </c>
      <c r="G9581" s="1">
        <v>8.61</v>
      </c>
    </row>
    <row r="9582" spans="1:7" ht="14.25" customHeight="1" x14ac:dyDescent="0.45">
      <c r="A9582" t="str">
        <f>_xlfn.XLOOKUP(B9582,Ingot!$H$12:$H$119,Ingot!$G$12:$G$119,"")</f>
        <v>Leather</v>
      </c>
      <c r="B9582" t="s">
        <v>19137</v>
      </c>
      <c r="C9582" t="s">
        <v>10</v>
      </c>
      <c r="D9582" t="s">
        <v>19258</v>
      </c>
      <c r="E9582" t="s">
        <v>19259</v>
      </c>
    </row>
    <row r="9583" spans="1:7" ht="14.25" customHeight="1" x14ac:dyDescent="0.45">
      <c r="A9583" t="str">
        <f>_xlfn.XLOOKUP(B9583,Ingot!$H$12:$H$119,Ingot!$G$12:$G$119,"")</f>
        <v>Leather</v>
      </c>
      <c r="B9583" t="s">
        <v>19137</v>
      </c>
      <c r="C9583" t="s">
        <v>10</v>
      </c>
      <c r="D9583" t="s">
        <v>19260</v>
      </c>
      <c r="E9583" t="s">
        <v>19261</v>
      </c>
      <c r="G9583" s="1">
        <v>3.21</v>
      </c>
    </row>
    <row r="9584" spans="1:7" ht="14.25" customHeight="1" x14ac:dyDescent="0.45">
      <c r="A9584" t="str">
        <f>_xlfn.XLOOKUP(B9584,Ingot!$H$12:$H$119,Ingot!$G$12:$G$119,"")</f>
        <v>Leather</v>
      </c>
      <c r="B9584" t="s">
        <v>19137</v>
      </c>
      <c r="C9584" t="s">
        <v>10</v>
      </c>
      <c r="D9584" t="s">
        <v>19262</v>
      </c>
      <c r="E9584" t="s">
        <v>19263</v>
      </c>
      <c r="G9584" s="1">
        <v>2.77</v>
      </c>
    </row>
    <row r="9585" spans="1:7" ht="14.25" customHeight="1" x14ac:dyDescent="0.45">
      <c r="A9585" t="str">
        <f>_xlfn.XLOOKUP(B9585,Ingot!$H$12:$H$119,Ingot!$G$12:$G$119,"")</f>
        <v>Leather</v>
      </c>
      <c r="B9585" t="s">
        <v>19137</v>
      </c>
      <c r="C9585" t="s">
        <v>10</v>
      </c>
      <c r="D9585" t="s">
        <v>19264</v>
      </c>
      <c r="E9585" t="s">
        <v>19265</v>
      </c>
      <c r="G9585" s="1">
        <v>4.8899999999999997</v>
      </c>
    </row>
    <row r="9586" spans="1:7" ht="14.25" customHeight="1" x14ac:dyDescent="0.45">
      <c r="A9586" t="str">
        <f>_xlfn.XLOOKUP(B9586,Ingot!$H$12:$H$119,Ingot!$G$12:$G$119,"")</f>
        <v>Leather</v>
      </c>
      <c r="B9586" t="s">
        <v>19137</v>
      </c>
      <c r="C9586" t="s">
        <v>10</v>
      </c>
      <c r="D9586" t="s">
        <v>19266</v>
      </c>
      <c r="E9586" t="s">
        <v>19267</v>
      </c>
      <c r="G9586" s="1">
        <v>1.76</v>
      </c>
    </row>
    <row r="9587" spans="1:7" ht="14.25" customHeight="1" x14ac:dyDescent="0.45">
      <c r="A9587" t="str">
        <f>_xlfn.XLOOKUP(B9587,Ingot!$H$12:$H$119,Ingot!$G$12:$G$119,"")</f>
        <v>Leather</v>
      </c>
      <c r="B9587" t="s">
        <v>19137</v>
      </c>
      <c r="C9587" t="s">
        <v>10</v>
      </c>
      <c r="D9587" t="s">
        <v>19268</v>
      </c>
      <c r="E9587" t="s">
        <v>19269</v>
      </c>
    </row>
    <row r="9588" spans="1:7" ht="14.25" customHeight="1" x14ac:dyDescent="0.45">
      <c r="A9588" t="str">
        <f>_xlfn.XLOOKUP(B9588,Ingot!$H$12:$H$119,Ingot!$G$12:$G$119,"")</f>
        <v>Leather</v>
      </c>
      <c r="B9588" t="s">
        <v>19137</v>
      </c>
      <c r="C9588" t="s">
        <v>10</v>
      </c>
      <c r="D9588" t="s">
        <v>19270</v>
      </c>
      <c r="E9588" t="s">
        <v>19271</v>
      </c>
      <c r="G9588" s="1">
        <v>8.57</v>
      </c>
    </row>
    <row r="9589" spans="1:7" ht="14.25" customHeight="1" x14ac:dyDescent="0.45">
      <c r="A9589" t="str">
        <f>_xlfn.XLOOKUP(B9589,Ingot!$H$12:$H$119,Ingot!$G$12:$G$119,"")</f>
        <v>Leather</v>
      </c>
      <c r="B9589" t="s">
        <v>19137</v>
      </c>
      <c r="C9589" t="s">
        <v>10</v>
      </c>
      <c r="D9589" t="s">
        <v>19272</v>
      </c>
      <c r="E9589" t="s">
        <v>19273</v>
      </c>
    </row>
    <row r="9590" spans="1:7" ht="14.25" customHeight="1" x14ac:dyDescent="0.45">
      <c r="A9590" t="str">
        <f>_xlfn.XLOOKUP(B9590,Ingot!$H$12:$H$119,Ingot!$G$12:$G$119,"")</f>
        <v>Leather</v>
      </c>
      <c r="B9590" t="s">
        <v>19137</v>
      </c>
      <c r="C9590" t="s">
        <v>10</v>
      </c>
      <c r="D9590" t="s">
        <v>19274</v>
      </c>
      <c r="E9590" t="s">
        <v>19275</v>
      </c>
      <c r="G9590" s="1">
        <v>3.56</v>
      </c>
    </row>
    <row r="9591" spans="1:7" ht="14.25" customHeight="1" x14ac:dyDescent="0.45">
      <c r="A9591" t="str">
        <f>_xlfn.XLOOKUP(B9591,Ingot!$H$12:$H$119,Ingot!$G$12:$G$119,"")</f>
        <v>Leather</v>
      </c>
      <c r="B9591" t="s">
        <v>19137</v>
      </c>
      <c r="C9591" t="s">
        <v>10</v>
      </c>
      <c r="D9591" t="s">
        <v>19276</v>
      </c>
      <c r="E9591" t="s">
        <v>19277</v>
      </c>
      <c r="G9591" s="1">
        <v>8.91</v>
      </c>
    </row>
    <row r="9592" spans="1:7" ht="14.25" customHeight="1" x14ac:dyDescent="0.45">
      <c r="A9592" t="str">
        <f>_xlfn.XLOOKUP(B9592,Ingot!$H$12:$H$119,Ingot!$G$12:$G$119,"")</f>
        <v>Leather</v>
      </c>
      <c r="B9592" t="s">
        <v>19137</v>
      </c>
      <c r="C9592" t="s">
        <v>10</v>
      </c>
      <c r="D9592" t="s">
        <v>19278</v>
      </c>
      <c r="E9592" t="s">
        <v>19279</v>
      </c>
      <c r="G9592" s="1">
        <v>11.02</v>
      </c>
    </row>
    <row r="9593" spans="1:7" ht="14.25" customHeight="1" x14ac:dyDescent="0.45">
      <c r="A9593" t="str">
        <f>_xlfn.XLOOKUP(B9593,Ingot!$H$12:$H$119,Ingot!$G$12:$G$119,"")</f>
        <v>Leather</v>
      </c>
      <c r="B9593" t="s">
        <v>19137</v>
      </c>
      <c r="C9593" t="s">
        <v>10</v>
      </c>
      <c r="D9593" t="s">
        <v>19280</v>
      </c>
      <c r="E9593" t="s">
        <v>19281</v>
      </c>
      <c r="G9593" s="1">
        <v>5.12</v>
      </c>
    </row>
    <row r="9594" spans="1:7" ht="14.25" customHeight="1" x14ac:dyDescent="0.45">
      <c r="A9594" t="str">
        <f>_xlfn.XLOOKUP(B9594,Ingot!$H$12:$H$119,Ingot!$G$12:$G$119,"")</f>
        <v>Leather</v>
      </c>
      <c r="B9594" t="s">
        <v>19137</v>
      </c>
      <c r="C9594" t="s">
        <v>10</v>
      </c>
      <c r="D9594" t="s">
        <v>19282</v>
      </c>
      <c r="E9594" t="s">
        <v>19283</v>
      </c>
      <c r="G9594" s="1">
        <v>4.41</v>
      </c>
    </row>
    <row r="9595" spans="1:7" ht="14.25" customHeight="1" x14ac:dyDescent="0.45">
      <c r="A9595" t="str">
        <f>_xlfn.XLOOKUP(B9595,Ingot!$H$12:$H$119,Ingot!$G$12:$G$119,"")</f>
        <v>Leather</v>
      </c>
      <c r="B9595" t="s">
        <v>19137</v>
      </c>
      <c r="C9595" t="s">
        <v>157</v>
      </c>
      <c r="D9595" t="s">
        <v>19284</v>
      </c>
      <c r="E9595" t="s">
        <v>19285</v>
      </c>
      <c r="G9595" s="1">
        <v>17.2</v>
      </c>
    </row>
    <row r="9596" spans="1:7" ht="14.25" customHeight="1" x14ac:dyDescent="0.45">
      <c r="A9596" t="str">
        <f>_xlfn.XLOOKUP(B9596,Ingot!$H$12:$H$119,Ingot!$G$12:$G$119,"")</f>
        <v>Leather</v>
      </c>
      <c r="B9596" t="s">
        <v>19137</v>
      </c>
      <c r="C9596" t="s">
        <v>157</v>
      </c>
      <c r="D9596" t="s">
        <v>19286</v>
      </c>
      <c r="E9596" t="s">
        <v>19287</v>
      </c>
      <c r="G9596" s="1">
        <v>5</v>
      </c>
    </row>
    <row r="9597" spans="1:7" ht="14.25" customHeight="1" x14ac:dyDescent="0.45">
      <c r="A9597" t="str">
        <f>_xlfn.XLOOKUP(B9597,Ingot!$H$12:$H$119,Ingot!$G$12:$G$119,"")</f>
        <v>Leather</v>
      </c>
      <c r="B9597" t="s">
        <v>19137</v>
      </c>
      <c r="C9597" t="s">
        <v>157</v>
      </c>
      <c r="D9597" t="s">
        <v>19288</v>
      </c>
      <c r="E9597" t="s">
        <v>19289</v>
      </c>
      <c r="G9597" s="1">
        <v>5</v>
      </c>
    </row>
    <row r="9598" spans="1:7" ht="14.25" customHeight="1" x14ac:dyDescent="0.45">
      <c r="A9598" t="str">
        <f>_xlfn.XLOOKUP(B9598,Ingot!$H$12:$H$119,Ingot!$G$12:$G$119,"")</f>
        <v>Leather</v>
      </c>
      <c r="B9598" t="s">
        <v>19137</v>
      </c>
      <c r="C9598" t="s">
        <v>157</v>
      </c>
      <c r="D9598" t="s">
        <v>19290</v>
      </c>
      <c r="E9598" t="s">
        <v>19291</v>
      </c>
      <c r="G9598" s="1">
        <v>5</v>
      </c>
    </row>
    <row r="9599" spans="1:7" ht="14.25" customHeight="1" x14ac:dyDescent="0.45">
      <c r="A9599" t="str">
        <f>_xlfn.XLOOKUP(B9599,Ingot!$H$12:$H$119,Ingot!$G$12:$G$119,"")</f>
        <v>Leather</v>
      </c>
      <c r="B9599" t="s">
        <v>19137</v>
      </c>
      <c r="C9599" t="s">
        <v>157</v>
      </c>
      <c r="D9599" t="s">
        <v>19292</v>
      </c>
      <c r="E9599" t="s">
        <v>19293</v>
      </c>
      <c r="G9599" s="1">
        <v>10</v>
      </c>
    </row>
    <row r="9600" spans="1:7" ht="14.25" customHeight="1" x14ac:dyDescent="0.45">
      <c r="A9600" t="str">
        <f>_xlfn.XLOOKUP(B9600,Ingot!$H$12:$H$119,Ingot!$G$12:$G$119,"")</f>
        <v>Leather</v>
      </c>
      <c r="B9600" t="s">
        <v>19137</v>
      </c>
      <c r="C9600" t="s">
        <v>157</v>
      </c>
      <c r="D9600" t="s">
        <v>19294</v>
      </c>
      <c r="E9600" t="s">
        <v>19295</v>
      </c>
      <c r="G9600" s="1">
        <v>14.5</v>
      </c>
    </row>
    <row r="9601" spans="1:7" ht="14.25" customHeight="1" x14ac:dyDescent="0.45">
      <c r="A9601" t="str">
        <f>_xlfn.XLOOKUP(B9601,Ingot!$H$12:$H$119,Ingot!$G$12:$G$119,"")</f>
        <v>Leather</v>
      </c>
      <c r="B9601" t="s">
        <v>19137</v>
      </c>
      <c r="C9601" t="s">
        <v>157</v>
      </c>
      <c r="D9601" t="s">
        <v>19296</v>
      </c>
      <c r="E9601" t="s">
        <v>19297</v>
      </c>
      <c r="G9601" s="1">
        <v>5</v>
      </c>
    </row>
    <row r="9602" spans="1:7" ht="14.25" customHeight="1" x14ac:dyDescent="0.45">
      <c r="A9602" t="str">
        <f>_xlfn.XLOOKUP(B9602,Ingot!$H$12:$H$119,Ingot!$G$12:$G$119,"")</f>
        <v>Leather</v>
      </c>
      <c r="B9602" t="s">
        <v>19137</v>
      </c>
      <c r="C9602" t="s">
        <v>157</v>
      </c>
      <c r="D9602" t="s">
        <v>19298</v>
      </c>
      <c r="E9602" t="s">
        <v>19299</v>
      </c>
      <c r="G9602" s="1">
        <v>5</v>
      </c>
    </row>
    <row r="9603" spans="1:7" ht="14.25" customHeight="1" x14ac:dyDescent="0.45">
      <c r="A9603" t="str">
        <f>_xlfn.XLOOKUP(B9603,Ingot!$H$12:$H$119,Ingot!$G$12:$G$119,"")</f>
        <v>Leather</v>
      </c>
      <c r="B9603" t="s">
        <v>19137</v>
      </c>
      <c r="C9603" t="s">
        <v>157</v>
      </c>
      <c r="D9603" t="s">
        <v>19300</v>
      </c>
      <c r="E9603" t="s">
        <v>19301</v>
      </c>
      <c r="G9603" s="1">
        <v>5</v>
      </c>
    </row>
    <row r="9604" spans="1:7" ht="14.25" customHeight="1" x14ac:dyDescent="0.45">
      <c r="A9604" t="str">
        <f>_xlfn.XLOOKUP(B9604,Ingot!$H$12:$H$119,Ingot!$G$12:$G$119,"")</f>
        <v>Leather</v>
      </c>
      <c r="B9604" t="s">
        <v>19137</v>
      </c>
      <c r="C9604" t="s">
        <v>157</v>
      </c>
      <c r="D9604" t="s">
        <v>19302</v>
      </c>
      <c r="E9604" t="s">
        <v>19303</v>
      </c>
      <c r="G9604" s="1">
        <v>10</v>
      </c>
    </row>
    <row r="9605" spans="1:7" ht="14.25" customHeight="1" x14ac:dyDescent="0.45">
      <c r="A9605" t="str">
        <f>_xlfn.XLOOKUP(B9605,Ingot!$H$12:$H$119,Ingot!$G$12:$G$119,"")</f>
        <v>Leather</v>
      </c>
      <c r="B9605" t="s">
        <v>19137</v>
      </c>
      <c r="C9605" t="s">
        <v>157</v>
      </c>
      <c r="D9605" t="s">
        <v>19304</v>
      </c>
      <c r="E9605" t="s">
        <v>19305</v>
      </c>
      <c r="G9605" s="1">
        <v>14</v>
      </c>
    </row>
    <row r="9606" spans="1:7" ht="14.25" customHeight="1" x14ac:dyDescent="0.45">
      <c r="A9606" t="str">
        <f>_xlfn.XLOOKUP(B9606,Ingot!$H$12:$H$119,Ingot!$G$12:$G$119,"")</f>
        <v>Leather</v>
      </c>
      <c r="B9606" t="s">
        <v>19137</v>
      </c>
      <c r="C9606" t="s">
        <v>157</v>
      </c>
      <c r="D9606" t="s">
        <v>19306</v>
      </c>
      <c r="E9606" t="s">
        <v>19307</v>
      </c>
      <c r="G9606" s="1">
        <v>5</v>
      </c>
    </row>
    <row r="9607" spans="1:7" ht="14.25" customHeight="1" x14ac:dyDescent="0.45">
      <c r="A9607" t="str">
        <f>_xlfn.XLOOKUP(B9607,Ingot!$H$12:$H$119,Ingot!$G$12:$G$119,"")</f>
        <v>Leather</v>
      </c>
      <c r="B9607" t="s">
        <v>19137</v>
      </c>
      <c r="C9607" t="s">
        <v>157</v>
      </c>
      <c r="D9607" t="s">
        <v>19308</v>
      </c>
      <c r="E9607" t="s">
        <v>19309</v>
      </c>
      <c r="G9607" s="1">
        <v>5</v>
      </c>
    </row>
    <row r="9608" spans="1:7" ht="14.25" customHeight="1" x14ac:dyDescent="0.45">
      <c r="A9608" t="str">
        <f>_xlfn.XLOOKUP(B9608,Ingot!$H$12:$H$119,Ingot!$G$12:$G$119,"")</f>
        <v>Leather</v>
      </c>
      <c r="B9608" t="s">
        <v>19137</v>
      </c>
      <c r="C9608" t="s">
        <v>157</v>
      </c>
      <c r="D9608" t="s">
        <v>19310</v>
      </c>
      <c r="E9608" t="s">
        <v>19311</v>
      </c>
      <c r="G9608" s="1">
        <v>5</v>
      </c>
    </row>
    <row r="9609" spans="1:7" ht="14.25" customHeight="1" x14ac:dyDescent="0.45">
      <c r="A9609" t="str">
        <f>_xlfn.XLOOKUP(B9609,Ingot!$H$12:$H$119,Ingot!$G$12:$G$119,"")</f>
        <v>Leather</v>
      </c>
      <c r="B9609" t="s">
        <v>19137</v>
      </c>
      <c r="C9609" t="s">
        <v>157</v>
      </c>
      <c r="D9609" t="s">
        <v>19312</v>
      </c>
      <c r="E9609" t="s">
        <v>19313</v>
      </c>
      <c r="G9609" s="1">
        <v>10</v>
      </c>
    </row>
    <row r="9610" spans="1:7" ht="14.25" customHeight="1" x14ac:dyDescent="0.45">
      <c r="A9610" t="str">
        <f>_xlfn.XLOOKUP(B9610,Ingot!$H$12:$H$119,Ingot!$G$12:$G$119,"")</f>
        <v>Leather</v>
      </c>
      <c r="B9610" t="s">
        <v>19137</v>
      </c>
      <c r="C9610" t="s">
        <v>157</v>
      </c>
      <c r="D9610" t="s">
        <v>19314</v>
      </c>
      <c r="E9610" t="s">
        <v>19315</v>
      </c>
      <c r="G9610" s="1">
        <v>15.2</v>
      </c>
    </row>
    <row r="9611" spans="1:7" ht="14.25" customHeight="1" x14ac:dyDescent="0.45">
      <c r="A9611" t="str">
        <f>_xlfn.XLOOKUP(B9611,Ingot!$H$12:$H$119,Ingot!$G$12:$G$119,"")</f>
        <v>Leather</v>
      </c>
      <c r="B9611" t="s">
        <v>19137</v>
      </c>
      <c r="C9611" t="s">
        <v>157</v>
      </c>
      <c r="D9611" t="s">
        <v>19316</v>
      </c>
      <c r="E9611" t="s">
        <v>19317</v>
      </c>
      <c r="G9611" s="1">
        <v>5</v>
      </c>
    </row>
    <row r="9612" spans="1:7" ht="14.25" customHeight="1" x14ac:dyDescent="0.45">
      <c r="A9612" t="str">
        <f>_xlfn.XLOOKUP(B9612,Ingot!$H$12:$H$119,Ingot!$G$12:$G$119,"")</f>
        <v>Leather</v>
      </c>
      <c r="B9612" t="s">
        <v>19137</v>
      </c>
      <c r="C9612" t="s">
        <v>157</v>
      </c>
      <c r="D9612" t="s">
        <v>19318</v>
      </c>
      <c r="E9612" t="s">
        <v>19319</v>
      </c>
      <c r="G9612" s="1">
        <v>5</v>
      </c>
    </row>
    <row r="9613" spans="1:7" ht="14.25" customHeight="1" x14ac:dyDescent="0.45">
      <c r="A9613" t="str">
        <f>_xlfn.XLOOKUP(B9613,Ingot!$H$12:$H$119,Ingot!$G$12:$G$119,"")</f>
        <v>Leather</v>
      </c>
      <c r="B9613" t="s">
        <v>19137</v>
      </c>
      <c r="C9613" t="s">
        <v>157</v>
      </c>
      <c r="D9613" t="s">
        <v>19320</v>
      </c>
      <c r="E9613" t="s">
        <v>19321</v>
      </c>
      <c r="G9613" s="1">
        <v>5</v>
      </c>
    </row>
    <row r="9614" spans="1:7" ht="14.25" customHeight="1" x14ac:dyDescent="0.45">
      <c r="A9614" t="str">
        <f>_xlfn.XLOOKUP(B9614,Ingot!$H$12:$H$119,Ingot!$G$12:$G$119,"")</f>
        <v>Leather</v>
      </c>
      <c r="B9614" t="s">
        <v>19137</v>
      </c>
      <c r="C9614" t="s">
        <v>157</v>
      </c>
      <c r="D9614" t="s">
        <v>19322</v>
      </c>
      <c r="E9614" t="s">
        <v>19323</v>
      </c>
      <c r="G9614" s="1">
        <v>10</v>
      </c>
    </row>
    <row r="9615" spans="1:7" ht="14.25" customHeight="1" x14ac:dyDescent="0.45">
      <c r="A9615" t="str">
        <f>_xlfn.XLOOKUP(B9615,Ingot!$H$12:$H$119,Ingot!$G$12:$G$119,"")</f>
        <v>Leather</v>
      </c>
      <c r="B9615" t="s">
        <v>19137</v>
      </c>
      <c r="C9615" t="s">
        <v>157</v>
      </c>
      <c r="D9615" t="s">
        <v>19324</v>
      </c>
      <c r="E9615" t="s">
        <v>19325</v>
      </c>
      <c r="G9615" s="1">
        <v>16.2</v>
      </c>
    </row>
    <row r="9616" spans="1:7" ht="14.25" customHeight="1" x14ac:dyDescent="0.45">
      <c r="A9616" t="str">
        <f>_xlfn.XLOOKUP(B9616,Ingot!$H$12:$H$119,Ingot!$G$12:$G$119,"")</f>
        <v>Leather</v>
      </c>
      <c r="B9616" t="s">
        <v>19137</v>
      </c>
      <c r="C9616" t="s">
        <v>157</v>
      </c>
      <c r="D9616" t="s">
        <v>19326</v>
      </c>
      <c r="E9616" t="s">
        <v>19327</v>
      </c>
      <c r="G9616" s="1">
        <v>5</v>
      </c>
    </row>
    <row r="9617" spans="1:7" ht="14.25" customHeight="1" x14ac:dyDescent="0.45">
      <c r="A9617" t="str">
        <f>_xlfn.XLOOKUP(B9617,Ingot!$H$12:$H$119,Ingot!$G$12:$G$119,"")</f>
        <v>Leather</v>
      </c>
      <c r="B9617" t="s">
        <v>19137</v>
      </c>
      <c r="C9617" t="s">
        <v>157</v>
      </c>
      <c r="D9617" t="s">
        <v>19328</v>
      </c>
      <c r="E9617" t="s">
        <v>19329</v>
      </c>
      <c r="G9617" s="1">
        <v>5</v>
      </c>
    </row>
    <row r="9618" spans="1:7" ht="14.25" customHeight="1" x14ac:dyDescent="0.45">
      <c r="A9618" t="str">
        <f>_xlfn.XLOOKUP(B9618,Ingot!$H$12:$H$119,Ingot!$G$12:$G$119,"")</f>
        <v>Leather</v>
      </c>
      <c r="B9618" t="s">
        <v>19137</v>
      </c>
      <c r="C9618" t="s">
        <v>157</v>
      </c>
      <c r="D9618" t="s">
        <v>19330</v>
      </c>
      <c r="E9618" t="s">
        <v>19331</v>
      </c>
      <c r="G9618" s="1">
        <v>5</v>
      </c>
    </row>
    <row r="9619" spans="1:7" ht="14.25" customHeight="1" x14ac:dyDescent="0.45">
      <c r="A9619" t="str">
        <f>_xlfn.XLOOKUP(B9619,Ingot!$H$12:$H$119,Ingot!$G$12:$G$119,"")</f>
        <v>Leather</v>
      </c>
      <c r="B9619" t="s">
        <v>19137</v>
      </c>
      <c r="C9619" t="s">
        <v>157</v>
      </c>
      <c r="D9619" t="s">
        <v>19332</v>
      </c>
      <c r="E9619" t="s">
        <v>19333</v>
      </c>
      <c r="G9619" s="1">
        <v>10</v>
      </c>
    </row>
    <row r="9620" spans="1:7" ht="14.25" customHeight="1" x14ac:dyDescent="0.45">
      <c r="A9620" t="str">
        <f>_xlfn.XLOOKUP(B9620,Ingot!$H$12:$H$119,Ingot!$G$12:$G$119,"")</f>
        <v>Leather</v>
      </c>
      <c r="B9620" t="s">
        <v>19137</v>
      </c>
      <c r="C9620" t="s">
        <v>157</v>
      </c>
      <c r="D9620" t="s">
        <v>19334</v>
      </c>
      <c r="E9620" t="s">
        <v>19335</v>
      </c>
      <c r="G9620" s="1">
        <v>19.2</v>
      </c>
    </row>
    <row r="9621" spans="1:7" ht="14.25" customHeight="1" x14ac:dyDescent="0.45">
      <c r="A9621" t="str">
        <f>_xlfn.XLOOKUP(B9621,Ingot!$H$12:$H$119,Ingot!$G$12:$G$119,"")</f>
        <v>Leather</v>
      </c>
      <c r="B9621" t="s">
        <v>19137</v>
      </c>
      <c r="C9621" t="s">
        <v>157</v>
      </c>
      <c r="D9621" t="s">
        <v>19336</v>
      </c>
      <c r="E9621" t="s">
        <v>19337</v>
      </c>
      <c r="G9621" s="1">
        <v>5</v>
      </c>
    </row>
    <row r="9622" spans="1:7" ht="14.25" customHeight="1" x14ac:dyDescent="0.45">
      <c r="A9622" t="str">
        <f>_xlfn.XLOOKUP(B9622,Ingot!$H$12:$H$119,Ingot!$G$12:$G$119,"")</f>
        <v>Leather</v>
      </c>
      <c r="B9622" t="s">
        <v>19137</v>
      </c>
      <c r="C9622" t="s">
        <v>157</v>
      </c>
      <c r="D9622" t="s">
        <v>19338</v>
      </c>
      <c r="E9622" t="s">
        <v>19339</v>
      </c>
      <c r="G9622" s="1">
        <v>5</v>
      </c>
    </row>
    <row r="9623" spans="1:7" ht="14.25" customHeight="1" x14ac:dyDescent="0.45">
      <c r="A9623" t="str">
        <f>_xlfn.XLOOKUP(B9623,Ingot!$H$12:$H$119,Ingot!$G$12:$G$119,"")</f>
        <v>Leather</v>
      </c>
      <c r="B9623" t="s">
        <v>19137</v>
      </c>
      <c r="C9623" t="s">
        <v>157</v>
      </c>
      <c r="D9623" t="s">
        <v>19340</v>
      </c>
      <c r="E9623" t="s">
        <v>19341</v>
      </c>
      <c r="G9623" s="1">
        <v>5</v>
      </c>
    </row>
    <row r="9624" spans="1:7" ht="14.25" customHeight="1" x14ac:dyDescent="0.45">
      <c r="A9624" t="str">
        <f>_xlfn.XLOOKUP(B9624,Ingot!$H$12:$H$119,Ingot!$G$12:$G$119,"")</f>
        <v>Leather</v>
      </c>
      <c r="B9624" t="s">
        <v>19137</v>
      </c>
      <c r="C9624" t="s">
        <v>157</v>
      </c>
      <c r="D9624" t="s">
        <v>19342</v>
      </c>
      <c r="E9624" t="s">
        <v>19343</v>
      </c>
      <c r="G9624" s="1">
        <v>10</v>
      </c>
    </row>
    <row r="9625" spans="1:7" ht="14.25" customHeight="1" x14ac:dyDescent="0.45">
      <c r="A9625" t="str">
        <f>_xlfn.XLOOKUP(B9625,Ingot!$H$12:$H$119,Ingot!$G$12:$G$119,"")</f>
        <v>Leather</v>
      </c>
      <c r="B9625" t="s">
        <v>19137</v>
      </c>
      <c r="C9625" t="s">
        <v>157</v>
      </c>
      <c r="D9625" t="s">
        <v>19344</v>
      </c>
      <c r="E9625" t="s">
        <v>19345</v>
      </c>
      <c r="G9625" s="1">
        <v>18.2</v>
      </c>
    </row>
    <row r="9626" spans="1:7" ht="14.25" customHeight="1" x14ac:dyDescent="0.45">
      <c r="A9626" t="str">
        <f>_xlfn.XLOOKUP(B9626,Ingot!$H$12:$H$119,Ingot!$G$12:$G$119,"")</f>
        <v>Leather</v>
      </c>
      <c r="B9626" t="s">
        <v>19137</v>
      </c>
      <c r="C9626" t="s">
        <v>157</v>
      </c>
      <c r="D9626" t="s">
        <v>19346</v>
      </c>
      <c r="E9626" t="s">
        <v>19347</v>
      </c>
      <c r="G9626" s="1">
        <v>5</v>
      </c>
    </row>
    <row r="9627" spans="1:7" ht="14.25" customHeight="1" x14ac:dyDescent="0.45">
      <c r="A9627" t="str">
        <f>_xlfn.XLOOKUP(B9627,Ingot!$H$12:$H$119,Ingot!$G$12:$G$119,"")</f>
        <v>Leather</v>
      </c>
      <c r="B9627" t="s">
        <v>19137</v>
      </c>
      <c r="C9627" t="s">
        <v>157</v>
      </c>
      <c r="D9627" t="s">
        <v>19348</v>
      </c>
      <c r="E9627" t="s">
        <v>19349</v>
      </c>
      <c r="G9627" s="1">
        <v>5</v>
      </c>
    </row>
    <row r="9628" spans="1:7" ht="14.25" customHeight="1" x14ac:dyDescent="0.45">
      <c r="A9628" t="str">
        <f>_xlfn.XLOOKUP(B9628,Ingot!$H$12:$H$119,Ingot!$G$12:$G$119,"")</f>
        <v>Leather</v>
      </c>
      <c r="B9628" t="s">
        <v>19137</v>
      </c>
      <c r="C9628" t="s">
        <v>157</v>
      </c>
      <c r="D9628" t="s">
        <v>19350</v>
      </c>
      <c r="E9628" t="s">
        <v>19351</v>
      </c>
      <c r="G9628" s="1">
        <v>5</v>
      </c>
    </row>
    <row r="9629" spans="1:7" ht="14.25" customHeight="1" x14ac:dyDescent="0.45">
      <c r="A9629" t="str">
        <f>_xlfn.XLOOKUP(B9629,Ingot!$H$12:$H$119,Ingot!$G$12:$G$119,"")</f>
        <v>Leather</v>
      </c>
      <c r="B9629" t="s">
        <v>19137</v>
      </c>
      <c r="C9629" t="s">
        <v>157</v>
      </c>
      <c r="D9629" t="s">
        <v>19352</v>
      </c>
      <c r="E9629" t="s">
        <v>19353</v>
      </c>
      <c r="G9629" s="1">
        <v>10</v>
      </c>
    </row>
    <row r="9630" spans="1:7" ht="14.25" customHeight="1" x14ac:dyDescent="0.45">
      <c r="A9630" t="str">
        <f>_xlfn.XLOOKUP(B9630,Ingot!$H$12:$H$119,Ingot!$G$12:$G$119,"")</f>
        <v>Leather</v>
      </c>
      <c r="B9630" t="s">
        <v>19137</v>
      </c>
      <c r="C9630" t="s">
        <v>157</v>
      </c>
      <c r="D9630" t="s">
        <v>19354</v>
      </c>
      <c r="E9630" t="s">
        <v>19355</v>
      </c>
      <c r="G9630" s="1">
        <v>13.8</v>
      </c>
    </row>
    <row r="9631" spans="1:7" ht="14.25" customHeight="1" x14ac:dyDescent="0.45">
      <c r="A9631" t="str">
        <f>_xlfn.XLOOKUP(B9631,Ingot!$H$12:$H$119,Ingot!$G$12:$G$119,"")</f>
        <v>Leather</v>
      </c>
      <c r="B9631" t="s">
        <v>19137</v>
      </c>
      <c r="C9631" t="s">
        <v>157</v>
      </c>
      <c r="D9631" t="s">
        <v>19356</v>
      </c>
      <c r="E9631" t="s">
        <v>19357</v>
      </c>
      <c r="G9631" s="1">
        <v>5</v>
      </c>
    </row>
    <row r="9632" spans="1:7" ht="14.25" customHeight="1" x14ac:dyDescent="0.45">
      <c r="A9632" t="str">
        <f>_xlfn.XLOOKUP(B9632,Ingot!$H$12:$H$119,Ingot!$G$12:$G$119,"")</f>
        <v>Leather</v>
      </c>
      <c r="B9632" t="s">
        <v>19137</v>
      </c>
      <c r="C9632" t="s">
        <v>157</v>
      </c>
      <c r="D9632" t="s">
        <v>19358</v>
      </c>
      <c r="E9632" t="s">
        <v>19359</v>
      </c>
      <c r="G9632" s="1">
        <v>5</v>
      </c>
    </row>
    <row r="9633" spans="1:7" ht="14.25" customHeight="1" x14ac:dyDescent="0.45">
      <c r="A9633" t="str">
        <f>_xlfn.XLOOKUP(B9633,Ingot!$H$12:$H$119,Ingot!$G$12:$G$119,"")</f>
        <v>Leather</v>
      </c>
      <c r="B9633" t="s">
        <v>19137</v>
      </c>
      <c r="C9633" t="s">
        <v>157</v>
      </c>
      <c r="D9633" t="s">
        <v>19360</v>
      </c>
      <c r="E9633" t="s">
        <v>19361</v>
      </c>
      <c r="G9633" s="1">
        <v>5</v>
      </c>
    </row>
    <row r="9634" spans="1:7" ht="14.25" customHeight="1" x14ac:dyDescent="0.45">
      <c r="A9634" t="str">
        <f>_xlfn.XLOOKUP(B9634,Ingot!$H$12:$H$119,Ingot!$G$12:$G$119,"")</f>
        <v>Leather</v>
      </c>
      <c r="B9634" t="s">
        <v>19137</v>
      </c>
      <c r="C9634" t="s">
        <v>157</v>
      </c>
      <c r="D9634" t="s">
        <v>19362</v>
      </c>
      <c r="E9634" t="s">
        <v>19363</v>
      </c>
      <c r="G9634" s="1">
        <v>10</v>
      </c>
    </row>
    <row r="9635" spans="1:7" ht="14.25" customHeight="1" x14ac:dyDescent="0.45">
      <c r="A9635" t="str">
        <f>_xlfn.XLOOKUP(B9635,Ingot!$H$12:$H$119,Ingot!$G$12:$G$119,"")</f>
        <v>Leather</v>
      </c>
      <c r="B9635" t="s">
        <v>19137</v>
      </c>
      <c r="C9635" t="s">
        <v>239</v>
      </c>
      <c r="D9635" t="s">
        <v>19364</v>
      </c>
      <c r="E9635" t="s">
        <v>19365</v>
      </c>
    </row>
    <row r="9636" spans="1:7" ht="14.25" customHeight="1" x14ac:dyDescent="0.45">
      <c r="A9636" t="str">
        <f>_xlfn.XLOOKUP(B9636,Ingot!$H$12:$H$119,Ingot!$G$12:$G$119,"")</f>
        <v>Leather</v>
      </c>
      <c r="B9636" t="s">
        <v>19137</v>
      </c>
      <c r="C9636" t="s">
        <v>239</v>
      </c>
      <c r="D9636" t="s">
        <v>19366</v>
      </c>
      <c r="E9636" t="s">
        <v>19367</v>
      </c>
    </row>
    <row r="9637" spans="1:7" ht="14.25" customHeight="1" x14ac:dyDescent="0.45">
      <c r="A9637" t="str">
        <f>_xlfn.XLOOKUP(B9637,Ingot!$H$12:$H$119,Ingot!$G$12:$G$119,"")</f>
        <v>Leather</v>
      </c>
      <c r="B9637" t="s">
        <v>19137</v>
      </c>
      <c r="C9637" t="s">
        <v>239</v>
      </c>
      <c r="D9637" t="s">
        <v>19368</v>
      </c>
      <c r="E9637" t="s">
        <v>19369</v>
      </c>
    </row>
    <row r="9638" spans="1:7" ht="14.25" customHeight="1" x14ac:dyDescent="0.45">
      <c r="A9638" t="str">
        <f>_xlfn.XLOOKUP(B9638,Ingot!$H$12:$H$119,Ingot!$G$12:$G$119,"")</f>
        <v>Leather</v>
      </c>
      <c r="B9638" t="s">
        <v>19137</v>
      </c>
      <c r="C9638" t="s">
        <v>239</v>
      </c>
      <c r="D9638" t="s">
        <v>19370</v>
      </c>
      <c r="E9638" t="s">
        <v>19371</v>
      </c>
    </row>
    <row r="9639" spans="1:7" ht="14.25" customHeight="1" x14ac:dyDescent="0.45">
      <c r="A9639" t="str">
        <f>_xlfn.XLOOKUP(B9639,Ingot!$H$12:$H$119,Ingot!$G$12:$G$119,"")</f>
        <v>Leather</v>
      </c>
      <c r="B9639" t="s">
        <v>19137</v>
      </c>
      <c r="C9639" t="s">
        <v>239</v>
      </c>
      <c r="D9639" t="s">
        <v>19372</v>
      </c>
      <c r="E9639" t="s">
        <v>19373</v>
      </c>
    </row>
    <row r="9640" spans="1:7" ht="14.25" customHeight="1" x14ac:dyDescent="0.45">
      <c r="A9640" t="str">
        <f>_xlfn.XLOOKUP(B9640,Ingot!$H$12:$H$119,Ingot!$G$12:$G$119,"")</f>
        <v>Leather</v>
      </c>
      <c r="B9640" t="s">
        <v>19137</v>
      </c>
      <c r="C9640" t="s">
        <v>239</v>
      </c>
      <c r="D9640" t="s">
        <v>19374</v>
      </c>
      <c r="E9640" t="s">
        <v>19375</v>
      </c>
    </row>
    <row r="9641" spans="1:7" ht="14.25" customHeight="1" x14ac:dyDescent="0.45">
      <c r="A9641" t="str">
        <f>_xlfn.XLOOKUP(B9641,Ingot!$H$12:$H$119,Ingot!$G$12:$G$119,"")</f>
        <v>Leather</v>
      </c>
      <c r="B9641" t="s">
        <v>19376</v>
      </c>
      <c r="C9641" t="s">
        <v>10</v>
      </c>
      <c r="D9641" t="s">
        <v>19377</v>
      </c>
      <c r="E9641" t="s">
        <v>19378</v>
      </c>
      <c r="G9641" s="1">
        <v>0.08</v>
      </c>
    </row>
    <row r="9642" spans="1:7" ht="14.25" customHeight="1" x14ac:dyDescent="0.45">
      <c r="A9642" t="str">
        <f>_xlfn.XLOOKUP(B9642,Ingot!$H$12:$H$119,Ingot!$G$12:$G$119,"")</f>
        <v>Leather</v>
      </c>
      <c r="B9642" t="s">
        <v>19376</v>
      </c>
      <c r="C9642" t="s">
        <v>10</v>
      </c>
      <c r="D9642" t="s">
        <v>19379</v>
      </c>
      <c r="E9642" t="s">
        <v>19380</v>
      </c>
      <c r="G9642" s="1">
        <v>9.9</v>
      </c>
    </row>
    <row r="9643" spans="1:7" ht="14.25" customHeight="1" x14ac:dyDescent="0.45">
      <c r="A9643" t="str">
        <f>_xlfn.XLOOKUP(B9643,Ingot!$H$12:$H$119,Ingot!$G$12:$G$119,"")</f>
        <v>Leather</v>
      </c>
      <c r="B9643" t="s">
        <v>19376</v>
      </c>
      <c r="C9643" t="s">
        <v>10</v>
      </c>
      <c r="D9643" t="s">
        <v>19381</v>
      </c>
      <c r="E9643" t="s">
        <v>19382</v>
      </c>
      <c r="G9643" s="1">
        <v>5.66</v>
      </c>
    </row>
    <row r="9644" spans="1:7" ht="14.25" customHeight="1" x14ac:dyDescent="0.45">
      <c r="A9644" t="str">
        <f>_xlfn.XLOOKUP(B9644,Ingot!$H$12:$H$119,Ingot!$G$12:$G$119,"")</f>
        <v>Leather</v>
      </c>
      <c r="B9644" t="s">
        <v>19376</v>
      </c>
      <c r="C9644" t="s">
        <v>10</v>
      </c>
      <c r="D9644" t="s">
        <v>19383</v>
      </c>
      <c r="E9644" t="s">
        <v>19384</v>
      </c>
      <c r="G9644" s="1">
        <v>3.3</v>
      </c>
    </row>
    <row r="9645" spans="1:7" ht="14.25" customHeight="1" x14ac:dyDescent="0.45">
      <c r="A9645" t="str">
        <f>_xlfn.XLOOKUP(B9645,Ingot!$H$12:$H$119,Ingot!$G$12:$G$119,"")</f>
        <v>Leather</v>
      </c>
      <c r="B9645" t="s">
        <v>19376</v>
      </c>
      <c r="C9645" t="s">
        <v>10</v>
      </c>
      <c r="D9645" t="s">
        <v>19385</v>
      </c>
      <c r="E9645" t="s">
        <v>19386</v>
      </c>
      <c r="G9645" s="1">
        <v>0.66</v>
      </c>
    </row>
    <row r="9646" spans="1:7" ht="14.25" customHeight="1" x14ac:dyDescent="0.45">
      <c r="A9646" t="str">
        <f>_xlfn.XLOOKUP(B9646,Ingot!$H$12:$H$119,Ingot!$G$12:$G$119,"")</f>
        <v>Leather</v>
      </c>
      <c r="B9646" t="s">
        <v>19376</v>
      </c>
      <c r="C9646" t="s">
        <v>10</v>
      </c>
      <c r="D9646" t="s">
        <v>19387</v>
      </c>
      <c r="E9646" t="s">
        <v>19388</v>
      </c>
      <c r="G9646" s="1">
        <v>0.04</v>
      </c>
    </row>
    <row r="9647" spans="1:7" ht="14.25" customHeight="1" x14ac:dyDescent="0.45">
      <c r="A9647" t="str">
        <f>_xlfn.XLOOKUP(B9647,Ingot!$H$12:$H$119,Ingot!$G$12:$G$119,"")</f>
        <v>Leather</v>
      </c>
      <c r="B9647" t="s">
        <v>19376</v>
      </c>
      <c r="C9647" t="s">
        <v>10</v>
      </c>
      <c r="D9647" t="s">
        <v>19389</v>
      </c>
      <c r="E9647" t="s">
        <v>19390</v>
      </c>
      <c r="G9647" s="1">
        <v>0.33</v>
      </c>
    </row>
    <row r="9648" spans="1:7" ht="14.25" customHeight="1" x14ac:dyDescent="0.45">
      <c r="A9648" t="str">
        <f>_xlfn.XLOOKUP(B9648,Ingot!$H$12:$H$119,Ingot!$G$12:$G$119,"")</f>
        <v>Leather</v>
      </c>
      <c r="B9648" t="s">
        <v>19376</v>
      </c>
      <c r="C9648" t="s">
        <v>10</v>
      </c>
      <c r="D9648" t="s">
        <v>19391</v>
      </c>
      <c r="E9648" t="s">
        <v>19392</v>
      </c>
    </row>
    <row r="9649" spans="1:7" ht="14.25" customHeight="1" x14ac:dyDescent="0.45">
      <c r="A9649" t="str">
        <f>_xlfn.XLOOKUP(B9649,Ingot!$H$12:$H$119,Ingot!$G$12:$G$119,"")</f>
        <v>Leather</v>
      </c>
      <c r="B9649" t="s">
        <v>19376</v>
      </c>
      <c r="C9649" t="s">
        <v>10</v>
      </c>
      <c r="D9649" t="s">
        <v>19393</v>
      </c>
      <c r="E9649" t="s">
        <v>19394</v>
      </c>
      <c r="G9649" s="1">
        <v>0.05</v>
      </c>
    </row>
    <row r="9650" spans="1:7" ht="14.25" customHeight="1" x14ac:dyDescent="0.45">
      <c r="A9650" t="str">
        <f>_xlfn.XLOOKUP(B9650,Ingot!$H$12:$H$119,Ingot!$G$12:$G$119,"")</f>
        <v>Leather</v>
      </c>
      <c r="B9650" t="s">
        <v>19376</v>
      </c>
      <c r="C9650" t="s">
        <v>10</v>
      </c>
      <c r="D9650" t="s">
        <v>19395</v>
      </c>
      <c r="E9650" t="s">
        <v>19396</v>
      </c>
      <c r="G9650" s="1">
        <v>0.66</v>
      </c>
    </row>
    <row r="9651" spans="1:7" ht="14.25" customHeight="1" x14ac:dyDescent="0.45">
      <c r="A9651" t="str">
        <f>_xlfn.XLOOKUP(B9651,Ingot!$H$12:$H$119,Ingot!$G$12:$G$119,"")</f>
        <v>Leather</v>
      </c>
      <c r="B9651" t="s">
        <v>19376</v>
      </c>
      <c r="C9651" t="s">
        <v>10</v>
      </c>
      <c r="D9651" t="s">
        <v>19397</v>
      </c>
      <c r="E9651" t="s">
        <v>19398</v>
      </c>
      <c r="G9651" s="1">
        <v>3.96</v>
      </c>
    </row>
    <row r="9652" spans="1:7" ht="14.25" customHeight="1" x14ac:dyDescent="0.45">
      <c r="A9652" t="str">
        <f>_xlfn.XLOOKUP(B9652,Ingot!$H$12:$H$119,Ingot!$G$12:$G$119,"")</f>
        <v>Leather</v>
      </c>
      <c r="B9652" t="s">
        <v>19376</v>
      </c>
      <c r="C9652" t="s">
        <v>10</v>
      </c>
      <c r="D9652" t="s">
        <v>19399</v>
      </c>
      <c r="E9652" t="s">
        <v>19400</v>
      </c>
      <c r="G9652" s="1">
        <v>8.77</v>
      </c>
    </row>
    <row r="9653" spans="1:7" ht="14.25" customHeight="1" x14ac:dyDescent="0.45">
      <c r="A9653" t="str">
        <f>_xlfn.XLOOKUP(B9653,Ingot!$H$12:$H$119,Ingot!$G$12:$G$119,"")</f>
        <v>Leather</v>
      </c>
      <c r="B9653" t="s">
        <v>19376</v>
      </c>
      <c r="C9653" t="s">
        <v>10</v>
      </c>
      <c r="D9653" t="s">
        <v>19401</v>
      </c>
      <c r="E9653" t="s">
        <v>19402</v>
      </c>
      <c r="G9653" s="1">
        <v>3.5</v>
      </c>
    </row>
    <row r="9654" spans="1:7" ht="14.25" customHeight="1" x14ac:dyDescent="0.45">
      <c r="A9654" t="str">
        <f>_xlfn.XLOOKUP(B9654,Ingot!$H$12:$H$119,Ingot!$G$12:$G$119,"")</f>
        <v>Leather</v>
      </c>
      <c r="B9654" t="s">
        <v>19376</v>
      </c>
      <c r="C9654" t="s">
        <v>10</v>
      </c>
      <c r="D9654" t="s">
        <v>19403</v>
      </c>
      <c r="E9654" t="s">
        <v>19404</v>
      </c>
    </row>
    <row r="9655" spans="1:7" ht="14.25" customHeight="1" x14ac:dyDescent="0.45">
      <c r="A9655" t="str">
        <f>_xlfn.XLOOKUP(B9655,Ingot!$H$12:$H$119,Ingot!$G$12:$G$119,"")</f>
        <v>Leather</v>
      </c>
      <c r="B9655" t="s">
        <v>19376</v>
      </c>
      <c r="C9655" t="s">
        <v>10</v>
      </c>
      <c r="D9655" t="s">
        <v>19405</v>
      </c>
      <c r="E9655" t="s">
        <v>19406</v>
      </c>
      <c r="G9655" s="1">
        <v>2.2000000000000002</v>
      </c>
    </row>
    <row r="9656" spans="1:7" ht="14.25" customHeight="1" x14ac:dyDescent="0.45">
      <c r="A9656" t="str">
        <f>_xlfn.XLOOKUP(B9656,Ingot!$H$12:$H$119,Ingot!$G$12:$G$119,"")</f>
        <v>Leather</v>
      </c>
      <c r="B9656" t="s">
        <v>19376</v>
      </c>
      <c r="C9656" t="s">
        <v>10</v>
      </c>
      <c r="D9656" t="s">
        <v>19407</v>
      </c>
      <c r="E9656" t="s">
        <v>19408</v>
      </c>
      <c r="G9656" s="1">
        <v>1.1000000000000001</v>
      </c>
    </row>
    <row r="9657" spans="1:7" ht="14.25" customHeight="1" x14ac:dyDescent="0.45">
      <c r="A9657" t="str">
        <f>_xlfn.XLOOKUP(B9657,Ingot!$H$12:$H$119,Ingot!$G$12:$G$119,"")</f>
        <v>Leather</v>
      </c>
      <c r="B9657" t="s">
        <v>19376</v>
      </c>
      <c r="C9657" t="s">
        <v>10</v>
      </c>
      <c r="D9657" t="s">
        <v>19409</v>
      </c>
      <c r="E9657" t="s">
        <v>19410</v>
      </c>
      <c r="G9657" s="1">
        <v>0.22</v>
      </c>
    </row>
    <row r="9658" spans="1:7" ht="14.25" customHeight="1" x14ac:dyDescent="0.45">
      <c r="A9658" t="str">
        <f>_xlfn.XLOOKUP(B9658,Ingot!$H$12:$H$119,Ingot!$G$12:$G$119,"")</f>
        <v>Leather</v>
      </c>
      <c r="B9658" t="s">
        <v>19376</v>
      </c>
      <c r="C9658" t="s">
        <v>10</v>
      </c>
      <c r="D9658" t="s">
        <v>19411</v>
      </c>
      <c r="E9658" t="s">
        <v>19412</v>
      </c>
      <c r="G9658" s="1">
        <v>8.41</v>
      </c>
    </row>
    <row r="9659" spans="1:7" ht="14.25" customHeight="1" x14ac:dyDescent="0.45">
      <c r="A9659" t="str">
        <f>_xlfn.XLOOKUP(B9659,Ingot!$H$12:$H$119,Ingot!$G$12:$G$119,"")</f>
        <v>Leather</v>
      </c>
      <c r="B9659" t="s">
        <v>19376</v>
      </c>
      <c r="C9659" t="s">
        <v>10</v>
      </c>
      <c r="D9659" t="s">
        <v>19413</v>
      </c>
      <c r="E9659" t="s">
        <v>19414</v>
      </c>
      <c r="G9659" s="1">
        <v>3.64</v>
      </c>
    </row>
    <row r="9660" spans="1:7" ht="14.25" customHeight="1" x14ac:dyDescent="0.45">
      <c r="A9660" t="str">
        <f>_xlfn.XLOOKUP(B9660,Ingot!$H$12:$H$119,Ingot!$G$12:$G$119,"")</f>
        <v>Leather</v>
      </c>
      <c r="B9660" t="s">
        <v>19376</v>
      </c>
      <c r="C9660" t="s">
        <v>10</v>
      </c>
      <c r="D9660" t="s">
        <v>19415</v>
      </c>
      <c r="E9660" t="s">
        <v>19416</v>
      </c>
      <c r="G9660" s="1">
        <v>7.05</v>
      </c>
    </row>
    <row r="9661" spans="1:7" ht="14.25" customHeight="1" x14ac:dyDescent="0.45">
      <c r="A9661" t="str">
        <f>_xlfn.XLOOKUP(B9661,Ingot!$H$12:$H$119,Ingot!$G$12:$G$119,"")</f>
        <v>Leather</v>
      </c>
      <c r="B9661" t="s">
        <v>19376</v>
      </c>
      <c r="C9661" t="s">
        <v>10</v>
      </c>
      <c r="D9661" t="s">
        <v>19417</v>
      </c>
      <c r="E9661" t="s">
        <v>19418</v>
      </c>
      <c r="G9661" s="1">
        <v>2.65</v>
      </c>
    </row>
    <row r="9662" spans="1:7" ht="14.25" customHeight="1" x14ac:dyDescent="0.45">
      <c r="A9662" t="str">
        <f>_xlfn.XLOOKUP(B9662,Ingot!$H$12:$H$119,Ingot!$G$12:$G$119,"")</f>
        <v>Leather</v>
      </c>
      <c r="B9662" t="s">
        <v>19376</v>
      </c>
      <c r="C9662" t="s">
        <v>10</v>
      </c>
      <c r="D9662" t="s">
        <v>19419</v>
      </c>
      <c r="E9662" t="s">
        <v>19420</v>
      </c>
      <c r="G9662" s="1">
        <v>9</v>
      </c>
    </row>
    <row r="9663" spans="1:7" ht="14.25" customHeight="1" x14ac:dyDescent="0.45">
      <c r="A9663" t="str">
        <f>_xlfn.XLOOKUP(B9663,Ingot!$H$12:$H$119,Ingot!$G$12:$G$119,"")</f>
        <v>Leather</v>
      </c>
      <c r="B9663" t="s">
        <v>19376</v>
      </c>
      <c r="C9663" t="s">
        <v>10</v>
      </c>
      <c r="D9663" t="s">
        <v>19421</v>
      </c>
      <c r="E9663" t="s">
        <v>19422</v>
      </c>
      <c r="G9663" s="1">
        <v>10.23</v>
      </c>
    </row>
    <row r="9664" spans="1:7" ht="14.25" customHeight="1" x14ac:dyDescent="0.45">
      <c r="A9664" t="str">
        <f>_xlfn.XLOOKUP(B9664,Ingot!$H$12:$H$119,Ingot!$G$12:$G$119,"")</f>
        <v>Leather</v>
      </c>
      <c r="B9664" t="s">
        <v>19376</v>
      </c>
      <c r="C9664" t="s">
        <v>10</v>
      </c>
      <c r="D9664" t="s">
        <v>19423</v>
      </c>
      <c r="E9664" t="s">
        <v>19424</v>
      </c>
      <c r="G9664" s="1">
        <v>7.7</v>
      </c>
    </row>
    <row r="9665" spans="1:7" ht="14.25" customHeight="1" x14ac:dyDescent="0.45">
      <c r="A9665" t="str">
        <f>_xlfn.XLOOKUP(B9665,Ingot!$H$12:$H$119,Ingot!$G$12:$G$119,"")</f>
        <v>Leather</v>
      </c>
      <c r="B9665" t="s">
        <v>19376</v>
      </c>
      <c r="C9665" t="s">
        <v>10</v>
      </c>
      <c r="D9665" t="s">
        <v>19425</v>
      </c>
      <c r="E9665" t="s">
        <v>19426</v>
      </c>
      <c r="G9665" s="1">
        <v>10.02</v>
      </c>
    </row>
    <row r="9666" spans="1:7" ht="14.25" customHeight="1" x14ac:dyDescent="0.45">
      <c r="A9666" t="str">
        <f>_xlfn.XLOOKUP(B9666,Ingot!$H$12:$H$119,Ingot!$G$12:$G$119,"")</f>
        <v>Leather</v>
      </c>
      <c r="B9666" t="s">
        <v>19376</v>
      </c>
      <c r="C9666" t="s">
        <v>10</v>
      </c>
      <c r="D9666" t="s">
        <v>19427</v>
      </c>
      <c r="E9666" t="s">
        <v>19428</v>
      </c>
      <c r="G9666" s="1">
        <v>11.81</v>
      </c>
    </row>
    <row r="9667" spans="1:7" ht="14.25" customHeight="1" x14ac:dyDescent="0.45">
      <c r="A9667" t="str">
        <f>_xlfn.XLOOKUP(B9667,Ingot!$H$12:$H$119,Ingot!$G$12:$G$119,"")</f>
        <v>Leather</v>
      </c>
      <c r="B9667" t="s">
        <v>19376</v>
      </c>
      <c r="C9667" t="s">
        <v>10</v>
      </c>
      <c r="D9667" t="s">
        <v>19429</v>
      </c>
      <c r="E9667" t="s">
        <v>19430</v>
      </c>
      <c r="G9667" s="1">
        <v>8.44</v>
      </c>
    </row>
    <row r="9668" spans="1:7" ht="14.25" customHeight="1" x14ac:dyDescent="0.45">
      <c r="A9668" t="str">
        <f>_xlfn.XLOOKUP(B9668,Ingot!$H$12:$H$119,Ingot!$G$12:$G$119,"")</f>
        <v>Leather</v>
      </c>
      <c r="B9668" t="s">
        <v>19376</v>
      </c>
      <c r="C9668" t="s">
        <v>10</v>
      </c>
      <c r="D9668" t="s">
        <v>19431</v>
      </c>
      <c r="E9668" t="s">
        <v>19432</v>
      </c>
      <c r="G9668" s="1">
        <v>10.42</v>
      </c>
    </row>
    <row r="9669" spans="1:7" ht="14.25" customHeight="1" x14ac:dyDescent="0.45">
      <c r="A9669" t="str">
        <f>_xlfn.XLOOKUP(B9669,Ingot!$H$12:$H$119,Ingot!$G$12:$G$119,"")</f>
        <v>Leather</v>
      </c>
      <c r="B9669" t="s">
        <v>19376</v>
      </c>
      <c r="C9669" t="s">
        <v>10</v>
      </c>
      <c r="D9669" t="s">
        <v>19433</v>
      </c>
      <c r="E9669" t="s">
        <v>19434</v>
      </c>
    </row>
    <row r="9670" spans="1:7" ht="14.25" customHeight="1" x14ac:dyDescent="0.45">
      <c r="A9670" t="str">
        <f>_xlfn.XLOOKUP(B9670,Ingot!$H$12:$H$119,Ingot!$G$12:$G$119,"")</f>
        <v>Leather</v>
      </c>
      <c r="B9670" t="s">
        <v>19376</v>
      </c>
      <c r="C9670" t="s">
        <v>10</v>
      </c>
      <c r="D9670" t="s">
        <v>19435</v>
      </c>
      <c r="E9670" t="s">
        <v>19436</v>
      </c>
      <c r="G9670" s="1">
        <v>7.96</v>
      </c>
    </row>
    <row r="9671" spans="1:7" ht="14.25" customHeight="1" x14ac:dyDescent="0.45">
      <c r="A9671" t="str">
        <f>_xlfn.XLOOKUP(B9671,Ingot!$H$12:$H$119,Ingot!$G$12:$G$119,"")</f>
        <v>Leather</v>
      </c>
      <c r="B9671" t="s">
        <v>19376</v>
      </c>
      <c r="C9671" t="s">
        <v>10</v>
      </c>
      <c r="D9671" t="s">
        <v>19437</v>
      </c>
      <c r="E9671" t="s">
        <v>19438</v>
      </c>
      <c r="G9671" s="1">
        <v>9.64</v>
      </c>
    </row>
    <row r="9672" spans="1:7" ht="14.25" customHeight="1" x14ac:dyDescent="0.45">
      <c r="A9672" t="str">
        <f>_xlfn.XLOOKUP(B9672,Ingot!$H$12:$H$119,Ingot!$G$12:$G$119,"")</f>
        <v>Leather</v>
      </c>
      <c r="B9672" t="s">
        <v>19376</v>
      </c>
      <c r="C9672" t="s">
        <v>10</v>
      </c>
      <c r="D9672" t="s">
        <v>19439</v>
      </c>
      <c r="E9672" t="s">
        <v>19440</v>
      </c>
      <c r="G9672" s="1">
        <v>7.94</v>
      </c>
    </row>
    <row r="9673" spans="1:7" ht="14.25" customHeight="1" x14ac:dyDescent="0.45">
      <c r="A9673" t="str">
        <f>_xlfn.XLOOKUP(B9673,Ingot!$H$12:$H$119,Ingot!$G$12:$G$119,"")</f>
        <v>Leather</v>
      </c>
      <c r="B9673" t="s">
        <v>19376</v>
      </c>
      <c r="C9673" t="s">
        <v>10</v>
      </c>
      <c r="D9673" t="s">
        <v>19441</v>
      </c>
      <c r="E9673" t="s">
        <v>19442</v>
      </c>
      <c r="G9673" s="1">
        <v>8.66</v>
      </c>
    </row>
    <row r="9674" spans="1:7" ht="14.25" customHeight="1" x14ac:dyDescent="0.45">
      <c r="A9674" t="str">
        <f>_xlfn.XLOOKUP(B9674,Ingot!$H$12:$H$119,Ingot!$G$12:$G$119,"")</f>
        <v>Leather</v>
      </c>
      <c r="B9674" t="s">
        <v>19376</v>
      </c>
      <c r="C9674" t="s">
        <v>10</v>
      </c>
      <c r="D9674" t="s">
        <v>19443</v>
      </c>
      <c r="E9674" t="s">
        <v>19444</v>
      </c>
    </row>
    <row r="9675" spans="1:7" ht="14.25" customHeight="1" x14ac:dyDescent="0.45">
      <c r="A9675" t="str">
        <f>_xlfn.XLOOKUP(B9675,Ingot!$H$12:$H$119,Ingot!$G$12:$G$119,"")</f>
        <v>Leather</v>
      </c>
      <c r="B9675" t="s">
        <v>19376</v>
      </c>
      <c r="C9675" t="s">
        <v>10</v>
      </c>
      <c r="D9675" t="s">
        <v>19445</v>
      </c>
      <c r="E9675" t="s">
        <v>19446</v>
      </c>
      <c r="G9675" s="1">
        <v>2.65</v>
      </c>
    </row>
    <row r="9676" spans="1:7" ht="14.25" customHeight="1" x14ac:dyDescent="0.45">
      <c r="A9676" t="str">
        <f>_xlfn.XLOOKUP(B9676,Ingot!$H$12:$H$119,Ingot!$G$12:$G$119,"")</f>
        <v>Leather</v>
      </c>
      <c r="B9676" t="s">
        <v>19376</v>
      </c>
      <c r="C9676" t="s">
        <v>10</v>
      </c>
      <c r="D9676" t="s">
        <v>19447</v>
      </c>
      <c r="E9676" t="s">
        <v>19448</v>
      </c>
    </row>
    <row r="9677" spans="1:7" ht="14.25" customHeight="1" x14ac:dyDescent="0.45">
      <c r="A9677" t="str">
        <f>_xlfn.XLOOKUP(B9677,Ingot!$H$12:$H$119,Ingot!$G$12:$G$119,"")</f>
        <v>Leather</v>
      </c>
      <c r="B9677" t="s">
        <v>19376</v>
      </c>
      <c r="C9677" t="s">
        <v>10</v>
      </c>
      <c r="D9677" t="s">
        <v>19449</v>
      </c>
      <c r="E9677" t="s">
        <v>19450</v>
      </c>
      <c r="G9677" s="1">
        <v>12.64</v>
      </c>
    </row>
    <row r="9678" spans="1:7" ht="14.25" customHeight="1" x14ac:dyDescent="0.45">
      <c r="A9678" t="str">
        <f>_xlfn.XLOOKUP(B9678,Ingot!$H$12:$H$119,Ingot!$G$12:$G$119,"")</f>
        <v>Leather</v>
      </c>
      <c r="B9678" t="s">
        <v>19376</v>
      </c>
      <c r="C9678" t="s">
        <v>10</v>
      </c>
      <c r="D9678" t="s">
        <v>19451</v>
      </c>
      <c r="E9678" t="s">
        <v>19452</v>
      </c>
      <c r="G9678" s="1">
        <v>22.67</v>
      </c>
    </row>
    <row r="9679" spans="1:7" ht="14.25" customHeight="1" x14ac:dyDescent="0.45">
      <c r="A9679" t="str">
        <f>_xlfn.XLOOKUP(B9679,Ingot!$H$12:$H$119,Ingot!$G$12:$G$119,"")</f>
        <v>Leather</v>
      </c>
      <c r="B9679" t="s">
        <v>19376</v>
      </c>
      <c r="C9679" t="s">
        <v>10</v>
      </c>
      <c r="D9679" t="s">
        <v>19453</v>
      </c>
      <c r="E9679" t="s">
        <v>19454</v>
      </c>
      <c r="G9679" s="1">
        <v>8.3800000000000008</v>
      </c>
    </row>
    <row r="9680" spans="1:7" ht="14.25" customHeight="1" x14ac:dyDescent="0.45">
      <c r="A9680" t="str">
        <f>_xlfn.XLOOKUP(B9680,Ingot!$H$12:$H$119,Ingot!$G$12:$G$119,"")</f>
        <v>Leather</v>
      </c>
      <c r="B9680" t="s">
        <v>19376</v>
      </c>
      <c r="C9680" t="s">
        <v>10</v>
      </c>
      <c r="D9680" t="s">
        <v>19455</v>
      </c>
      <c r="E9680" t="s">
        <v>19456</v>
      </c>
      <c r="G9680" s="1">
        <v>2.2000000000000002</v>
      </c>
    </row>
    <row r="9681" spans="1:7" ht="14.25" customHeight="1" x14ac:dyDescent="0.45">
      <c r="A9681" t="str">
        <f>_xlfn.XLOOKUP(B9681,Ingot!$H$12:$H$119,Ingot!$G$12:$G$119,"")</f>
        <v>Leather</v>
      </c>
      <c r="B9681" t="s">
        <v>19376</v>
      </c>
      <c r="C9681" t="s">
        <v>10</v>
      </c>
      <c r="D9681" t="s">
        <v>19457</v>
      </c>
      <c r="E9681" t="s">
        <v>19458</v>
      </c>
      <c r="G9681" s="1">
        <v>3.09</v>
      </c>
    </row>
    <row r="9682" spans="1:7" ht="14.25" customHeight="1" x14ac:dyDescent="0.45">
      <c r="A9682" t="str">
        <f>_xlfn.XLOOKUP(B9682,Ingot!$H$12:$H$119,Ingot!$G$12:$G$119,"")</f>
        <v>Leather</v>
      </c>
      <c r="B9682" t="s">
        <v>19376</v>
      </c>
      <c r="C9682" t="s">
        <v>10</v>
      </c>
      <c r="D9682" t="s">
        <v>19459</v>
      </c>
      <c r="E9682" t="s">
        <v>19460</v>
      </c>
      <c r="G9682" s="1">
        <v>2.2999999999999998</v>
      </c>
    </row>
    <row r="9683" spans="1:7" ht="14.25" customHeight="1" x14ac:dyDescent="0.45">
      <c r="A9683" t="str">
        <f>_xlfn.XLOOKUP(B9683,Ingot!$H$12:$H$119,Ingot!$G$12:$G$119,"")</f>
        <v>Leather</v>
      </c>
      <c r="B9683" t="s">
        <v>19376</v>
      </c>
      <c r="C9683" t="s">
        <v>10</v>
      </c>
      <c r="D9683" t="s">
        <v>19461</v>
      </c>
      <c r="E9683" t="s">
        <v>19462</v>
      </c>
      <c r="G9683" s="1">
        <v>4.88</v>
      </c>
    </row>
    <row r="9684" spans="1:7" ht="14.25" customHeight="1" x14ac:dyDescent="0.45">
      <c r="A9684" t="str">
        <f>_xlfn.XLOOKUP(B9684,Ingot!$H$12:$H$119,Ingot!$G$12:$G$119,"")</f>
        <v>Leather</v>
      </c>
      <c r="B9684" t="s">
        <v>19376</v>
      </c>
      <c r="C9684" t="s">
        <v>10</v>
      </c>
      <c r="D9684" t="s">
        <v>19463</v>
      </c>
      <c r="E9684" t="s">
        <v>19464</v>
      </c>
      <c r="G9684" s="1">
        <v>8.43</v>
      </c>
    </row>
    <row r="9685" spans="1:7" ht="14.25" customHeight="1" x14ac:dyDescent="0.45">
      <c r="A9685" t="str">
        <f>_xlfn.XLOOKUP(B9685,Ingot!$H$12:$H$119,Ingot!$G$12:$G$119,"")</f>
        <v>Leather</v>
      </c>
      <c r="B9685" t="s">
        <v>19376</v>
      </c>
      <c r="C9685" t="s">
        <v>10</v>
      </c>
      <c r="D9685" t="s">
        <v>19465</v>
      </c>
      <c r="E9685" t="s">
        <v>19466</v>
      </c>
      <c r="G9685" s="1">
        <v>13.07</v>
      </c>
    </row>
    <row r="9686" spans="1:7" ht="14.25" customHeight="1" x14ac:dyDescent="0.45">
      <c r="A9686" t="str">
        <f>_xlfn.XLOOKUP(B9686,Ingot!$H$12:$H$119,Ingot!$G$12:$G$119,"")</f>
        <v>Leather</v>
      </c>
      <c r="B9686" t="s">
        <v>19376</v>
      </c>
      <c r="C9686" t="s">
        <v>10</v>
      </c>
      <c r="D9686" t="s">
        <v>19467</v>
      </c>
      <c r="E9686" t="s">
        <v>19468</v>
      </c>
    </row>
    <row r="9687" spans="1:7" ht="14.25" customHeight="1" x14ac:dyDescent="0.45">
      <c r="A9687" t="str">
        <f>_xlfn.XLOOKUP(B9687,Ingot!$H$12:$H$119,Ingot!$G$12:$G$119,"")</f>
        <v>Leather</v>
      </c>
      <c r="B9687" t="s">
        <v>19376</v>
      </c>
      <c r="C9687" t="s">
        <v>10</v>
      </c>
      <c r="D9687" t="s">
        <v>19469</v>
      </c>
      <c r="E9687" t="s">
        <v>19470</v>
      </c>
    </row>
    <row r="9688" spans="1:7" ht="14.25" customHeight="1" x14ac:dyDescent="0.45">
      <c r="A9688" t="str">
        <f>_xlfn.XLOOKUP(B9688,Ingot!$H$12:$H$119,Ingot!$G$12:$G$119,"")</f>
        <v>Leather</v>
      </c>
      <c r="B9688" t="s">
        <v>19376</v>
      </c>
      <c r="C9688" t="s">
        <v>10</v>
      </c>
      <c r="D9688" t="s">
        <v>19471</v>
      </c>
      <c r="E9688" t="s">
        <v>19472</v>
      </c>
      <c r="G9688" s="1">
        <v>6.8</v>
      </c>
    </row>
    <row r="9689" spans="1:7" ht="14.25" customHeight="1" x14ac:dyDescent="0.45">
      <c r="A9689" t="str">
        <f>_xlfn.XLOOKUP(B9689,Ingot!$H$12:$H$119,Ingot!$G$12:$G$119,"")</f>
        <v>Leather</v>
      </c>
      <c r="B9689" t="s">
        <v>19376</v>
      </c>
      <c r="C9689" t="s">
        <v>10</v>
      </c>
      <c r="D9689" t="s">
        <v>19473</v>
      </c>
      <c r="E9689" t="s">
        <v>19474</v>
      </c>
      <c r="G9689" s="1">
        <v>6.88</v>
      </c>
    </row>
    <row r="9690" spans="1:7" ht="14.25" customHeight="1" x14ac:dyDescent="0.45">
      <c r="A9690" t="str">
        <f>_xlfn.XLOOKUP(B9690,Ingot!$H$12:$H$119,Ingot!$G$12:$G$119,"")</f>
        <v>Leather</v>
      </c>
      <c r="B9690" t="s">
        <v>19376</v>
      </c>
      <c r="C9690" t="s">
        <v>10</v>
      </c>
      <c r="D9690" t="s">
        <v>19475</v>
      </c>
      <c r="E9690" t="s">
        <v>19476</v>
      </c>
      <c r="G9690" s="1">
        <v>5.5</v>
      </c>
    </row>
    <row r="9691" spans="1:7" ht="14.25" customHeight="1" x14ac:dyDescent="0.45">
      <c r="A9691" t="str">
        <f>_xlfn.XLOOKUP(B9691,Ingot!$H$12:$H$119,Ingot!$G$12:$G$119,"")</f>
        <v>Leather</v>
      </c>
      <c r="B9691" t="s">
        <v>19376</v>
      </c>
      <c r="C9691" t="s">
        <v>10</v>
      </c>
      <c r="D9691" t="s">
        <v>19477</v>
      </c>
      <c r="E9691" t="s">
        <v>19478</v>
      </c>
      <c r="G9691" s="1">
        <v>2.4300000000000002</v>
      </c>
    </row>
    <row r="9692" spans="1:7" ht="14.25" customHeight="1" x14ac:dyDescent="0.45">
      <c r="A9692" t="str">
        <f>_xlfn.XLOOKUP(B9692,Ingot!$H$12:$H$119,Ingot!$G$12:$G$119,"")</f>
        <v>Leather</v>
      </c>
      <c r="B9692" t="s">
        <v>19376</v>
      </c>
      <c r="C9692" t="s">
        <v>10</v>
      </c>
      <c r="D9692" t="s">
        <v>19479</v>
      </c>
      <c r="E9692" t="s">
        <v>19480</v>
      </c>
      <c r="G9692" s="1">
        <v>6.96</v>
      </c>
    </row>
    <row r="9693" spans="1:7" ht="14.25" customHeight="1" x14ac:dyDescent="0.45">
      <c r="A9693" t="str">
        <f>_xlfn.XLOOKUP(B9693,Ingot!$H$12:$H$119,Ingot!$G$12:$G$119,"")</f>
        <v>Leather</v>
      </c>
      <c r="B9693" t="s">
        <v>19376</v>
      </c>
      <c r="C9693" t="s">
        <v>10</v>
      </c>
      <c r="D9693" t="s">
        <v>19481</v>
      </c>
      <c r="E9693" t="s">
        <v>19482</v>
      </c>
      <c r="G9693" s="1">
        <v>6.32</v>
      </c>
    </row>
    <row r="9694" spans="1:7" ht="14.25" customHeight="1" x14ac:dyDescent="0.45">
      <c r="A9694" t="str">
        <f>_xlfn.XLOOKUP(B9694,Ingot!$H$12:$H$119,Ingot!$G$12:$G$119,"")</f>
        <v>Leather</v>
      </c>
      <c r="B9694" t="s">
        <v>19376</v>
      </c>
      <c r="C9694" t="s">
        <v>10</v>
      </c>
      <c r="D9694" t="s">
        <v>19483</v>
      </c>
      <c r="E9694" t="s">
        <v>19484</v>
      </c>
      <c r="G9694" s="1">
        <v>6.88</v>
      </c>
    </row>
    <row r="9695" spans="1:7" ht="14.25" customHeight="1" x14ac:dyDescent="0.45">
      <c r="A9695" t="str">
        <f>_xlfn.XLOOKUP(B9695,Ingot!$H$12:$H$119,Ingot!$G$12:$G$119,"")</f>
        <v>Leather</v>
      </c>
      <c r="B9695" t="s">
        <v>19376</v>
      </c>
      <c r="C9695" t="s">
        <v>10</v>
      </c>
      <c r="D9695" t="s">
        <v>19485</v>
      </c>
      <c r="E9695" t="s">
        <v>19486</v>
      </c>
      <c r="G9695" s="1">
        <v>2.44</v>
      </c>
    </row>
    <row r="9696" spans="1:7" ht="14.25" customHeight="1" x14ac:dyDescent="0.45">
      <c r="A9696" t="str">
        <f>_xlfn.XLOOKUP(B9696,Ingot!$H$12:$H$119,Ingot!$G$12:$G$119,"")</f>
        <v>Leather</v>
      </c>
      <c r="B9696" t="s">
        <v>19376</v>
      </c>
      <c r="C9696" t="s">
        <v>10</v>
      </c>
      <c r="D9696" t="s">
        <v>19487</v>
      </c>
      <c r="E9696" t="s">
        <v>19488</v>
      </c>
    </row>
    <row r="9697" spans="1:7" ht="14.25" customHeight="1" x14ac:dyDescent="0.45">
      <c r="A9697" t="str">
        <f>_xlfn.XLOOKUP(B9697,Ingot!$H$12:$H$119,Ingot!$G$12:$G$119,"")</f>
        <v>Leather</v>
      </c>
      <c r="B9697" t="s">
        <v>19376</v>
      </c>
      <c r="C9697" t="s">
        <v>10</v>
      </c>
      <c r="D9697" t="s">
        <v>19489</v>
      </c>
      <c r="E9697" t="s">
        <v>19490</v>
      </c>
    </row>
    <row r="9698" spans="1:7" ht="14.25" customHeight="1" x14ac:dyDescent="0.45">
      <c r="A9698" t="str">
        <f>_xlfn.XLOOKUP(B9698,Ingot!$H$12:$H$119,Ingot!$G$12:$G$119,"")</f>
        <v>Leather</v>
      </c>
      <c r="B9698" t="s">
        <v>19376</v>
      </c>
      <c r="C9698" t="s">
        <v>10</v>
      </c>
      <c r="D9698" t="s">
        <v>19491</v>
      </c>
      <c r="E9698" t="s">
        <v>19492</v>
      </c>
      <c r="G9698" s="1">
        <v>3.11</v>
      </c>
    </row>
    <row r="9699" spans="1:7" ht="14.25" customHeight="1" x14ac:dyDescent="0.45">
      <c r="A9699" t="str">
        <f>_xlfn.XLOOKUP(B9699,Ingot!$H$12:$H$119,Ingot!$G$12:$G$119,"")</f>
        <v>Leather</v>
      </c>
      <c r="B9699" t="s">
        <v>19376</v>
      </c>
      <c r="C9699" t="s">
        <v>10</v>
      </c>
      <c r="D9699" t="s">
        <v>19493</v>
      </c>
      <c r="E9699" t="s">
        <v>19494</v>
      </c>
      <c r="G9699" s="1">
        <v>2.44</v>
      </c>
    </row>
    <row r="9700" spans="1:7" ht="14.25" customHeight="1" x14ac:dyDescent="0.45">
      <c r="A9700" t="str">
        <f>_xlfn.XLOOKUP(B9700,Ingot!$H$12:$H$119,Ingot!$G$12:$G$119,"")</f>
        <v>Leather</v>
      </c>
      <c r="B9700" t="s">
        <v>19376</v>
      </c>
      <c r="C9700" t="s">
        <v>10</v>
      </c>
      <c r="D9700" t="s">
        <v>19495</v>
      </c>
      <c r="E9700" t="s">
        <v>19496</v>
      </c>
      <c r="G9700" s="1">
        <v>8.61</v>
      </c>
    </row>
    <row r="9701" spans="1:7" ht="14.25" customHeight="1" x14ac:dyDescent="0.45">
      <c r="A9701" t="str">
        <f>_xlfn.XLOOKUP(B9701,Ingot!$H$12:$H$119,Ingot!$G$12:$G$119,"")</f>
        <v>Leather</v>
      </c>
      <c r="B9701" t="s">
        <v>19376</v>
      </c>
      <c r="C9701" t="s">
        <v>10</v>
      </c>
      <c r="D9701" t="s">
        <v>19497</v>
      </c>
      <c r="E9701" t="s">
        <v>19498</v>
      </c>
    </row>
    <row r="9702" spans="1:7" ht="14.25" customHeight="1" x14ac:dyDescent="0.45">
      <c r="A9702" t="str">
        <f>_xlfn.XLOOKUP(B9702,Ingot!$H$12:$H$119,Ingot!$G$12:$G$119,"")</f>
        <v>Leather</v>
      </c>
      <c r="B9702" t="s">
        <v>19376</v>
      </c>
      <c r="C9702" t="s">
        <v>10</v>
      </c>
      <c r="D9702" t="s">
        <v>19499</v>
      </c>
      <c r="E9702" t="s">
        <v>19500</v>
      </c>
      <c r="G9702" s="1">
        <v>3.21</v>
      </c>
    </row>
    <row r="9703" spans="1:7" ht="14.25" customHeight="1" x14ac:dyDescent="0.45">
      <c r="A9703" t="str">
        <f>_xlfn.XLOOKUP(B9703,Ingot!$H$12:$H$119,Ingot!$G$12:$G$119,"")</f>
        <v>Leather</v>
      </c>
      <c r="B9703" t="s">
        <v>19376</v>
      </c>
      <c r="C9703" t="s">
        <v>10</v>
      </c>
      <c r="D9703" t="s">
        <v>19501</v>
      </c>
      <c r="E9703" t="s">
        <v>19502</v>
      </c>
      <c r="G9703" s="1">
        <v>2.77</v>
      </c>
    </row>
    <row r="9704" spans="1:7" ht="14.25" customHeight="1" x14ac:dyDescent="0.45">
      <c r="A9704" t="str">
        <f>_xlfn.XLOOKUP(B9704,Ingot!$H$12:$H$119,Ingot!$G$12:$G$119,"")</f>
        <v>Leather</v>
      </c>
      <c r="B9704" t="s">
        <v>19376</v>
      </c>
      <c r="C9704" t="s">
        <v>10</v>
      </c>
      <c r="D9704" t="s">
        <v>19503</v>
      </c>
      <c r="E9704" t="s">
        <v>19504</v>
      </c>
      <c r="G9704" s="1">
        <v>4.8899999999999997</v>
      </c>
    </row>
    <row r="9705" spans="1:7" ht="14.25" customHeight="1" x14ac:dyDescent="0.45">
      <c r="A9705" t="str">
        <f>_xlfn.XLOOKUP(B9705,Ingot!$H$12:$H$119,Ingot!$G$12:$G$119,"")</f>
        <v>Leather</v>
      </c>
      <c r="B9705" t="s">
        <v>19376</v>
      </c>
      <c r="C9705" t="s">
        <v>10</v>
      </c>
      <c r="D9705" t="s">
        <v>19505</v>
      </c>
      <c r="E9705" t="s">
        <v>19506</v>
      </c>
      <c r="G9705" s="1">
        <v>1.76</v>
      </c>
    </row>
    <row r="9706" spans="1:7" ht="14.25" customHeight="1" x14ac:dyDescent="0.45">
      <c r="A9706" t="str">
        <f>_xlfn.XLOOKUP(B9706,Ingot!$H$12:$H$119,Ingot!$G$12:$G$119,"")</f>
        <v>Leather</v>
      </c>
      <c r="B9706" t="s">
        <v>19376</v>
      </c>
      <c r="C9706" t="s">
        <v>10</v>
      </c>
      <c r="D9706" t="s">
        <v>19507</v>
      </c>
      <c r="E9706" t="s">
        <v>19508</v>
      </c>
    </row>
    <row r="9707" spans="1:7" ht="14.25" customHeight="1" x14ac:dyDescent="0.45">
      <c r="A9707" t="str">
        <f>_xlfn.XLOOKUP(B9707,Ingot!$H$12:$H$119,Ingot!$G$12:$G$119,"")</f>
        <v>Leather</v>
      </c>
      <c r="B9707" t="s">
        <v>19376</v>
      </c>
      <c r="C9707" t="s">
        <v>10</v>
      </c>
      <c r="D9707" t="s">
        <v>19509</v>
      </c>
      <c r="E9707" t="s">
        <v>19510</v>
      </c>
      <c r="G9707" s="1">
        <v>8.57</v>
      </c>
    </row>
    <row r="9708" spans="1:7" ht="14.25" customHeight="1" x14ac:dyDescent="0.45">
      <c r="A9708" t="str">
        <f>_xlfn.XLOOKUP(B9708,Ingot!$H$12:$H$119,Ingot!$G$12:$G$119,"")</f>
        <v>Leather</v>
      </c>
      <c r="B9708" t="s">
        <v>19376</v>
      </c>
      <c r="C9708" t="s">
        <v>10</v>
      </c>
      <c r="D9708" t="s">
        <v>19511</v>
      </c>
      <c r="E9708" t="s">
        <v>19512</v>
      </c>
    </row>
    <row r="9709" spans="1:7" ht="14.25" customHeight="1" x14ac:dyDescent="0.45">
      <c r="A9709" t="str">
        <f>_xlfn.XLOOKUP(B9709,Ingot!$H$12:$H$119,Ingot!$G$12:$G$119,"")</f>
        <v>Leather</v>
      </c>
      <c r="B9709" t="s">
        <v>19376</v>
      </c>
      <c r="C9709" t="s">
        <v>10</v>
      </c>
      <c r="D9709" t="s">
        <v>19513</v>
      </c>
      <c r="E9709" t="s">
        <v>19514</v>
      </c>
      <c r="G9709" s="1">
        <v>3.56</v>
      </c>
    </row>
    <row r="9710" spans="1:7" ht="14.25" customHeight="1" x14ac:dyDescent="0.45">
      <c r="A9710" t="str">
        <f>_xlfn.XLOOKUP(B9710,Ingot!$H$12:$H$119,Ingot!$G$12:$G$119,"")</f>
        <v>Leather</v>
      </c>
      <c r="B9710" t="s">
        <v>19376</v>
      </c>
      <c r="C9710" t="s">
        <v>10</v>
      </c>
      <c r="D9710" t="s">
        <v>19515</v>
      </c>
      <c r="E9710" t="s">
        <v>19516</v>
      </c>
      <c r="G9710" s="1">
        <v>8.91</v>
      </c>
    </row>
    <row r="9711" spans="1:7" ht="14.25" customHeight="1" x14ac:dyDescent="0.45">
      <c r="A9711" t="str">
        <f>_xlfn.XLOOKUP(B9711,Ingot!$H$12:$H$119,Ingot!$G$12:$G$119,"")</f>
        <v>Leather</v>
      </c>
      <c r="B9711" t="s">
        <v>19376</v>
      </c>
      <c r="C9711" t="s">
        <v>10</v>
      </c>
      <c r="D9711" t="s">
        <v>19517</v>
      </c>
      <c r="E9711" t="s">
        <v>19518</v>
      </c>
      <c r="G9711" s="1">
        <v>11.02</v>
      </c>
    </row>
    <row r="9712" spans="1:7" ht="14.25" customHeight="1" x14ac:dyDescent="0.45">
      <c r="A9712" t="str">
        <f>_xlfn.XLOOKUP(B9712,Ingot!$H$12:$H$119,Ingot!$G$12:$G$119,"")</f>
        <v>Leather</v>
      </c>
      <c r="B9712" t="s">
        <v>19376</v>
      </c>
      <c r="C9712" t="s">
        <v>10</v>
      </c>
      <c r="D9712" t="s">
        <v>19519</v>
      </c>
      <c r="E9712" t="s">
        <v>19520</v>
      </c>
      <c r="G9712" s="1">
        <v>5.12</v>
      </c>
    </row>
    <row r="9713" spans="1:7" ht="14.25" customHeight="1" x14ac:dyDescent="0.45">
      <c r="A9713" t="str">
        <f>_xlfn.XLOOKUP(B9713,Ingot!$H$12:$H$119,Ingot!$G$12:$G$119,"")</f>
        <v>Leather</v>
      </c>
      <c r="B9713" t="s">
        <v>19376</v>
      </c>
      <c r="C9713" t="s">
        <v>10</v>
      </c>
      <c r="D9713" t="s">
        <v>19521</v>
      </c>
      <c r="E9713" t="s">
        <v>19522</v>
      </c>
      <c r="G9713" s="1">
        <v>4.41</v>
      </c>
    </row>
    <row r="9714" spans="1:7" ht="14.25" customHeight="1" x14ac:dyDescent="0.45">
      <c r="A9714" t="str">
        <f>_xlfn.XLOOKUP(B9714,Ingot!$H$12:$H$119,Ingot!$G$12:$G$119,"")</f>
        <v>Leather</v>
      </c>
      <c r="B9714" t="s">
        <v>19376</v>
      </c>
      <c r="C9714" t="s">
        <v>157</v>
      </c>
      <c r="D9714" t="s">
        <v>19523</v>
      </c>
      <c r="E9714" t="s">
        <v>19524</v>
      </c>
      <c r="G9714" s="1">
        <v>17.2</v>
      </c>
    </row>
    <row r="9715" spans="1:7" ht="14.25" customHeight="1" x14ac:dyDescent="0.45">
      <c r="A9715" t="str">
        <f>_xlfn.XLOOKUP(B9715,Ingot!$H$12:$H$119,Ingot!$G$12:$G$119,"")</f>
        <v>Leather</v>
      </c>
      <c r="B9715" t="s">
        <v>19376</v>
      </c>
      <c r="C9715" t="s">
        <v>157</v>
      </c>
      <c r="D9715" t="s">
        <v>19525</v>
      </c>
      <c r="E9715" t="s">
        <v>19526</v>
      </c>
      <c r="G9715" s="1">
        <v>5</v>
      </c>
    </row>
    <row r="9716" spans="1:7" ht="14.25" customHeight="1" x14ac:dyDescent="0.45">
      <c r="A9716" t="str">
        <f>_xlfn.XLOOKUP(B9716,Ingot!$H$12:$H$119,Ingot!$G$12:$G$119,"")</f>
        <v>Leather</v>
      </c>
      <c r="B9716" t="s">
        <v>19376</v>
      </c>
      <c r="C9716" t="s">
        <v>157</v>
      </c>
      <c r="D9716" t="s">
        <v>19527</v>
      </c>
      <c r="E9716" t="s">
        <v>19528</v>
      </c>
      <c r="G9716" s="1">
        <v>5</v>
      </c>
    </row>
    <row r="9717" spans="1:7" ht="14.25" customHeight="1" x14ac:dyDescent="0.45">
      <c r="A9717" t="str">
        <f>_xlfn.XLOOKUP(B9717,Ingot!$H$12:$H$119,Ingot!$G$12:$G$119,"")</f>
        <v>Leather</v>
      </c>
      <c r="B9717" t="s">
        <v>19376</v>
      </c>
      <c r="C9717" t="s">
        <v>157</v>
      </c>
      <c r="D9717" t="s">
        <v>19529</v>
      </c>
      <c r="E9717" t="s">
        <v>19530</v>
      </c>
      <c r="G9717" s="1">
        <v>5</v>
      </c>
    </row>
    <row r="9718" spans="1:7" ht="14.25" customHeight="1" x14ac:dyDescent="0.45">
      <c r="A9718" t="str">
        <f>_xlfn.XLOOKUP(B9718,Ingot!$H$12:$H$119,Ingot!$G$12:$G$119,"")</f>
        <v>Leather</v>
      </c>
      <c r="B9718" t="s">
        <v>19376</v>
      </c>
      <c r="C9718" t="s">
        <v>157</v>
      </c>
      <c r="D9718" t="s">
        <v>19531</v>
      </c>
      <c r="E9718" t="s">
        <v>19532</v>
      </c>
      <c r="G9718" s="1">
        <v>10</v>
      </c>
    </row>
    <row r="9719" spans="1:7" ht="14.25" customHeight="1" x14ac:dyDescent="0.45">
      <c r="A9719" t="str">
        <f>_xlfn.XLOOKUP(B9719,Ingot!$H$12:$H$119,Ingot!$G$12:$G$119,"")</f>
        <v>Leather</v>
      </c>
      <c r="B9719" t="s">
        <v>19376</v>
      </c>
      <c r="C9719" t="s">
        <v>157</v>
      </c>
      <c r="D9719" t="s">
        <v>19533</v>
      </c>
      <c r="E9719" t="s">
        <v>19534</v>
      </c>
      <c r="G9719" s="1">
        <v>14.5</v>
      </c>
    </row>
    <row r="9720" spans="1:7" ht="14.25" customHeight="1" x14ac:dyDescent="0.45">
      <c r="A9720" t="str">
        <f>_xlfn.XLOOKUP(B9720,Ingot!$H$12:$H$119,Ingot!$G$12:$G$119,"")</f>
        <v>Leather</v>
      </c>
      <c r="B9720" t="s">
        <v>19376</v>
      </c>
      <c r="C9720" t="s">
        <v>157</v>
      </c>
      <c r="D9720" t="s">
        <v>19535</v>
      </c>
      <c r="E9720" t="s">
        <v>19536</v>
      </c>
      <c r="G9720" s="1">
        <v>5</v>
      </c>
    </row>
    <row r="9721" spans="1:7" ht="14.25" customHeight="1" x14ac:dyDescent="0.45">
      <c r="A9721" t="str">
        <f>_xlfn.XLOOKUP(B9721,Ingot!$H$12:$H$119,Ingot!$G$12:$G$119,"")</f>
        <v>Leather</v>
      </c>
      <c r="B9721" t="s">
        <v>19376</v>
      </c>
      <c r="C9721" t="s">
        <v>157</v>
      </c>
      <c r="D9721" t="s">
        <v>19537</v>
      </c>
      <c r="E9721" t="s">
        <v>19538</v>
      </c>
      <c r="G9721" s="1">
        <v>5</v>
      </c>
    </row>
    <row r="9722" spans="1:7" ht="14.25" customHeight="1" x14ac:dyDescent="0.45">
      <c r="A9722" t="str">
        <f>_xlfn.XLOOKUP(B9722,Ingot!$H$12:$H$119,Ingot!$G$12:$G$119,"")</f>
        <v>Leather</v>
      </c>
      <c r="B9722" t="s">
        <v>19376</v>
      </c>
      <c r="C9722" t="s">
        <v>157</v>
      </c>
      <c r="D9722" t="s">
        <v>19539</v>
      </c>
      <c r="E9722" t="s">
        <v>19540</v>
      </c>
      <c r="G9722" s="1">
        <v>5</v>
      </c>
    </row>
    <row r="9723" spans="1:7" ht="14.25" customHeight="1" x14ac:dyDescent="0.45">
      <c r="A9723" t="str">
        <f>_xlfn.XLOOKUP(B9723,Ingot!$H$12:$H$119,Ingot!$G$12:$G$119,"")</f>
        <v>Leather</v>
      </c>
      <c r="B9723" t="s">
        <v>19376</v>
      </c>
      <c r="C9723" t="s">
        <v>157</v>
      </c>
      <c r="D9723" t="s">
        <v>19541</v>
      </c>
      <c r="E9723" t="s">
        <v>19542</v>
      </c>
      <c r="G9723" s="1">
        <v>10</v>
      </c>
    </row>
    <row r="9724" spans="1:7" ht="14.25" customHeight="1" x14ac:dyDescent="0.45">
      <c r="A9724" t="str">
        <f>_xlfn.XLOOKUP(B9724,Ingot!$H$12:$H$119,Ingot!$G$12:$G$119,"")</f>
        <v>Leather</v>
      </c>
      <c r="B9724" t="s">
        <v>19376</v>
      </c>
      <c r="C9724" t="s">
        <v>157</v>
      </c>
      <c r="D9724" t="s">
        <v>19543</v>
      </c>
      <c r="E9724" t="s">
        <v>19544</v>
      </c>
      <c r="G9724" s="1">
        <v>14</v>
      </c>
    </row>
    <row r="9725" spans="1:7" ht="14.25" customHeight="1" x14ac:dyDescent="0.45">
      <c r="A9725" t="str">
        <f>_xlfn.XLOOKUP(B9725,Ingot!$H$12:$H$119,Ingot!$G$12:$G$119,"")</f>
        <v>Leather</v>
      </c>
      <c r="B9725" t="s">
        <v>19376</v>
      </c>
      <c r="C9725" t="s">
        <v>157</v>
      </c>
      <c r="D9725" t="s">
        <v>19545</v>
      </c>
      <c r="E9725" t="s">
        <v>19546</v>
      </c>
      <c r="G9725" s="1">
        <v>5</v>
      </c>
    </row>
    <row r="9726" spans="1:7" ht="14.25" customHeight="1" x14ac:dyDescent="0.45">
      <c r="A9726" t="str">
        <f>_xlfn.XLOOKUP(B9726,Ingot!$H$12:$H$119,Ingot!$G$12:$G$119,"")</f>
        <v>Leather</v>
      </c>
      <c r="B9726" t="s">
        <v>19376</v>
      </c>
      <c r="C9726" t="s">
        <v>157</v>
      </c>
      <c r="D9726" t="s">
        <v>19547</v>
      </c>
      <c r="E9726" t="s">
        <v>19548</v>
      </c>
      <c r="G9726" s="1">
        <v>5</v>
      </c>
    </row>
    <row r="9727" spans="1:7" ht="14.25" customHeight="1" x14ac:dyDescent="0.45">
      <c r="A9727" t="str">
        <f>_xlfn.XLOOKUP(B9727,Ingot!$H$12:$H$119,Ingot!$G$12:$G$119,"")</f>
        <v>Leather</v>
      </c>
      <c r="B9727" t="s">
        <v>19376</v>
      </c>
      <c r="C9727" t="s">
        <v>157</v>
      </c>
      <c r="D9727" t="s">
        <v>19549</v>
      </c>
      <c r="E9727" t="s">
        <v>19550</v>
      </c>
      <c r="G9727" s="1">
        <v>5</v>
      </c>
    </row>
    <row r="9728" spans="1:7" ht="14.25" customHeight="1" x14ac:dyDescent="0.45">
      <c r="A9728" t="str">
        <f>_xlfn.XLOOKUP(B9728,Ingot!$H$12:$H$119,Ingot!$G$12:$G$119,"")</f>
        <v>Leather</v>
      </c>
      <c r="B9728" t="s">
        <v>19376</v>
      </c>
      <c r="C9728" t="s">
        <v>157</v>
      </c>
      <c r="D9728" t="s">
        <v>19551</v>
      </c>
      <c r="E9728" t="s">
        <v>19552</v>
      </c>
      <c r="G9728" s="1">
        <v>10</v>
      </c>
    </row>
    <row r="9729" spans="1:7" ht="14.25" customHeight="1" x14ac:dyDescent="0.45">
      <c r="A9729" t="str">
        <f>_xlfn.XLOOKUP(B9729,Ingot!$H$12:$H$119,Ingot!$G$12:$G$119,"")</f>
        <v>Leather</v>
      </c>
      <c r="B9729" t="s">
        <v>19376</v>
      </c>
      <c r="C9729" t="s">
        <v>157</v>
      </c>
      <c r="D9729" t="s">
        <v>19553</v>
      </c>
      <c r="E9729" t="s">
        <v>19554</v>
      </c>
      <c r="G9729" s="1">
        <v>15.2</v>
      </c>
    </row>
    <row r="9730" spans="1:7" ht="14.25" customHeight="1" x14ac:dyDescent="0.45">
      <c r="A9730" t="str">
        <f>_xlfn.XLOOKUP(B9730,Ingot!$H$12:$H$119,Ingot!$G$12:$G$119,"")</f>
        <v>Leather</v>
      </c>
      <c r="B9730" t="s">
        <v>19376</v>
      </c>
      <c r="C9730" t="s">
        <v>157</v>
      </c>
      <c r="D9730" t="s">
        <v>19555</v>
      </c>
      <c r="E9730" t="s">
        <v>19556</v>
      </c>
      <c r="G9730" s="1">
        <v>5</v>
      </c>
    </row>
    <row r="9731" spans="1:7" ht="14.25" customHeight="1" x14ac:dyDescent="0.45">
      <c r="A9731" t="str">
        <f>_xlfn.XLOOKUP(B9731,Ingot!$H$12:$H$119,Ingot!$G$12:$G$119,"")</f>
        <v>Leather</v>
      </c>
      <c r="B9731" t="s">
        <v>19376</v>
      </c>
      <c r="C9731" t="s">
        <v>157</v>
      </c>
      <c r="D9731" t="s">
        <v>19557</v>
      </c>
      <c r="E9731" t="s">
        <v>19558</v>
      </c>
      <c r="G9731" s="1">
        <v>5</v>
      </c>
    </row>
    <row r="9732" spans="1:7" ht="14.25" customHeight="1" x14ac:dyDescent="0.45">
      <c r="A9732" t="str">
        <f>_xlfn.XLOOKUP(B9732,Ingot!$H$12:$H$119,Ingot!$G$12:$G$119,"")</f>
        <v>Leather</v>
      </c>
      <c r="B9732" t="s">
        <v>19376</v>
      </c>
      <c r="C9732" t="s">
        <v>157</v>
      </c>
      <c r="D9732" t="s">
        <v>19559</v>
      </c>
      <c r="E9732" t="s">
        <v>19560</v>
      </c>
      <c r="G9732" s="1">
        <v>5</v>
      </c>
    </row>
    <row r="9733" spans="1:7" ht="14.25" customHeight="1" x14ac:dyDescent="0.45">
      <c r="A9733" t="str">
        <f>_xlfn.XLOOKUP(B9733,Ingot!$H$12:$H$119,Ingot!$G$12:$G$119,"")</f>
        <v>Leather</v>
      </c>
      <c r="B9733" t="s">
        <v>19376</v>
      </c>
      <c r="C9733" t="s">
        <v>157</v>
      </c>
      <c r="D9733" t="s">
        <v>19561</v>
      </c>
      <c r="E9733" t="s">
        <v>19562</v>
      </c>
      <c r="G9733" s="1">
        <v>10</v>
      </c>
    </row>
    <row r="9734" spans="1:7" ht="14.25" customHeight="1" x14ac:dyDescent="0.45">
      <c r="A9734" t="str">
        <f>_xlfn.XLOOKUP(B9734,Ingot!$H$12:$H$119,Ingot!$G$12:$G$119,"")</f>
        <v>Leather</v>
      </c>
      <c r="B9734" t="s">
        <v>19376</v>
      </c>
      <c r="C9734" t="s">
        <v>157</v>
      </c>
      <c r="D9734" t="s">
        <v>19563</v>
      </c>
      <c r="E9734" t="s">
        <v>19564</v>
      </c>
      <c r="G9734" s="1">
        <v>16.2</v>
      </c>
    </row>
    <row r="9735" spans="1:7" ht="14.25" customHeight="1" x14ac:dyDescent="0.45">
      <c r="A9735" t="str">
        <f>_xlfn.XLOOKUP(B9735,Ingot!$H$12:$H$119,Ingot!$G$12:$G$119,"")</f>
        <v>Leather</v>
      </c>
      <c r="B9735" t="s">
        <v>19376</v>
      </c>
      <c r="C9735" t="s">
        <v>157</v>
      </c>
      <c r="D9735" t="s">
        <v>19565</v>
      </c>
      <c r="E9735" t="s">
        <v>19566</v>
      </c>
      <c r="G9735" s="1">
        <v>5</v>
      </c>
    </row>
    <row r="9736" spans="1:7" ht="14.25" customHeight="1" x14ac:dyDescent="0.45">
      <c r="A9736" t="str">
        <f>_xlfn.XLOOKUP(B9736,Ingot!$H$12:$H$119,Ingot!$G$12:$G$119,"")</f>
        <v>Leather</v>
      </c>
      <c r="B9736" t="s">
        <v>19376</v>
      </c>
      <c r="C9736" t="s">
        <v>157</v>
      </c>
      <c r="D9736" t="s">
        <v>19567</v>
      </c>
      <c r="E9736" t="s">
        <v>19568</v>
      </c>
      <c r="G9736" s="1">
        <v>5</v>
      </c>
    </row>
    <row r="9737" spans="1:7" ht="14.25" customHeight="1" x14ac:dyDescent="0.45">
      <c r="A9737" t="str">
        <f>_xlfn.XLOOKUP(B9737,Ingot!$H$12:$H$119,Ingot!$G$12:$G$119,"")</f>
        <v>Leather</v>
      </c>
      <c r="B9737" t="s">
        <v>19376</v>
      </c>
      <c r="C9737" t="s">
        <v>157</v>
      </c>
      <c r="D9737" t="s">
        <v>19569</v>
      </c>
      <c r="E9737" t="s">
        <v>19570</v>
      </c>
      <c r="G9737" s="1">
        <v>5</v>
      </c>
    </row>
    <row r="9738" spans="1:7" ht="14.25" customHeight="1" x14ac:dyDescent="0.45">
      <c r="A9738" t="str">
        <f>_xlfn.XLOOKUP(B9738,Ingot!$H$12:$H$119,Ingot!$G$12:$G$119,"")</f>
        <v>Leather</v>
      </c>
      <c r="B9738" t="s">
        <v>19376</v>
      </c>
      <c r="C9738" t="s">
        <v>157</v>
      </c>
      <c r="D9738" t="s">
        <v>19571</v>
      </c>
      <c r="E9738" t="s">
        <v>19572</v>
      </c>
      <c r="G9738" s="1">
        <v>10</v>
      </c>
    </row>
    <row r="9739" spans="1:7" ht="14.25" customHeight="1" x14ac:dyDescent="0.45">
      <c r="A9739" t="str">
        <f>_xlfn.XLOOKUP(B9739,Ingot!$H$12:$H$119,Ingot!$G$12:$G$119,"")</f>
        <v>Leather</v>
      </c>
      <c r="B9739" t="s">
        <v>19376</v>
      </c>
      <c r="C9739" t="s">
        <v>157</v>
      </c>
      <c r="D9739" t="s">
        <v>19573</v>
      </c>
      <c r="E9739" t="s">
        <v>19574</v>
      </c>
      <c r="G9739" s="1">
        <v>19.2</v>
      </c>
    </row>
    <row r="9740" spans="1:7" ht="14.25" customHeight="1" x14ac:dyDescent="0.45">
      <c r="A9740" t="str">
        <f>_xlfn.XLOOKUP(B9740,Ingot!$H$12:$H$119,Ingot!$G$12:$G$119,"")</f>
        <v>Leather</v>
      </c>
      <c r="B9740" t="s">
        <v>19376</v>
      </c>
      <c r="C9740" t="s">
        <v>157</v>
      </c>
      <c r="D9740" t="s">
        <v>19575</v>
      </c>
      <c r="E9740" t="s">
        <v>19576</v>
      </c>
      <c r="G9740" s="1">
        <v>5</v>
      </c>
    </row>
    <row r="9741" spans="1:7" ht="14.25" customHeight="1" x14ac:dyDescent="0.45">
      <c r="A9741" t="str">
        <f>_xlfn.XLOOKUP(B9741,Ingot!$H$12:$H$119,Ingot!$G$12:$G$119,"")</f>
        <v>Leather</v>
      </c>
      <c r="B9741" t="s">
        <v>19376</v>
      </c>
      <c r="C9741" t="s">
        <v>157</v>
      </c>
      <c r="D9741" t="s">
        <v>19577</v>
      </c>
      <c r="E9741" t="s">
        <v>19578</v>
      </c>
      <c r="G9741" s="1">
        <v>5</v>
      </c>
    </row>
    <row r="9742" spans="1:7" ht="14.25" customHeight="1" x14ac:dyDescent="0.45">
      <c r="A9742" t="str">
        <f>_xlfn.XLOOKUP(B9742,Ingot!$H$12:$H$119,Ingot!$G$12:$G$119,"")</f>
        <v>Leather</v>
      </c>
      <c r="B9742" t="s">
        <v>19376</v>
      </c>
      <c r="C9742" t="s">
        <v>157</v>
      </c>
      <c r="D9742" t="s">
        <v>19579</v>
      </c>
      <c r="E9742" t="s">
        <v>19580</v>
      </c>
      <c r="G9742" s="1">
        <v>5</v>
      </c>
    </row>
    <row r="9743" spans="1:7" ht="14.25" customHeight="1" x14ac:dyDescent="0.45">
      <c r="A9743" t="str">
        <f>_xlfn.XLOOKUP(B9743,Ingot!$H$12:$H$119,Ingot!$G$12:$G$119,"")</f>
        <v>Leather</v>
      </c>
      <c r="B9743" t="s">
        <v>19376</v>
      </c>
      <c r="C9743" t="s">
        <v>157</v>
      </c>
      <c r="D9743" t="s">
        <v>19581</v>
      </c>
      <c r="E9743" t="s">
        <v>19582</v>
      </c>
      <c r="G9743" s="1">
        <v>10</v>
      </c>
    </row>
    <row r="9744" spans="1:7" ht="14.25" customHeight="1" x14ac:dyDescent="0.45">
      <c r="A9744" t="str">
        <f>_xlfn.XLOOKUP(B9744,Ingot!$H$12:$H$119,Ingot!$G$12:$G$119,"")</f>
        <v>Leather</v>
      </c>
      <c r="B9744" t="s">
        <v>19376</v>
      </c>
      <c r="C9744" t="s">
        <v>157</v>
      </c>
      <c r="D9744" t="s">
        <v>19583</v>
      </c>
      <c r="E9744" t="s">
        <v>19584</v>
      </c>
      <c r="G9744" s="1">
        <v>18.2</v>
      </c>
    </row>
    <row r="9745" spans="1:7" ht="14.25" customHeight="1" x14ac:dyDescent="0.45">
      <c r="A9745" t="str">
        <f>_xlfn.XLOOKUP(B9745,Ingot!$H$12:$H$119,Ingot!$G$12:$G$119,"")</f>
        <v>Leather</v>
      </c>
      <c r="B9745" t="s">
        <v>19376</v>
      </c>
      <c r="C9745" t="s">
        <v>157</v>
      </c>
      <c r="D9745" t="s">
        <v>19585</v>
      </c>
      <c r="E9745" t="s">
        <v>19586</v>
      </c>
      <c r="G9745" s="1">
        <v>5</v>
      </c>
    </row>
    <row r="9746" spans="1:7" ht="14.25" customHeight="1" x14ac:dyDescent="0.45">
      <c r="A9746" t="str">
        <f>_xlfn.XLOOKUP(B9746,Ingot!$H$12:$H$119,Ingot!$G$12:$G$119,"")</f>
        <v>Leather</v>
      </c>
      <c r="B9746" t="s">
        <v>19376</v>
      </c>
      <c r="C9746" t="s">
        <v>157</v>
      </c>
      <c r="D9746" t="s">
        <v>19587</v>
      </c>
      <c r="E9746" t="s">
        <v>19588</v>
      </c>
      <c r="G9746" s="1">
        <v>5</v>
      </c>
    </row>
    <row r="9747" spans="1:7" ht="14.25" customHeight="1" x14ac:dyDescent="0.45">
      <c r="A9747" t="str">
        <f>_xlfn.XLOOKUP(B9747,Ingot!$H$12:$H$119,Ingot!$G$12:$G$119,"")</f>
        <v>Leather</v>
      </c>
      <c r="B9747" t="s">
        <v>19376</v>
      </c>
      <c r="C9747" t="s">
        <v>157</v>
      </c>
      <c r="D9747" t="s">
        <v>19589</v>
      </c>
      <c r="E9747" t="s">
        <v>19590</v>
      </c>
      <c r="G9747" s="1">
        <v>5</v>
      </c>
    </row>
    <row r="9748" spans="1:7" ht="14.25" customHeight="1" x14ac:dyDescent="0.45">
      <c r="A9748" t="str">
        <f>_xlfn.XLOOKUP(B9748,Ingot!$H$12:$H$119,Ingot!$G$12:$G$119,"")</f>
        <v>Leather</v>
      </c>
      <c r="B9748" t="s">
        <v>19376</v>
      </c>
      <c r="C9748" t="s">
        <v>157</v>
      </c>
      <c r="D9748" t="s">
        <v>19591</v>
      </c>
      <c r="E9748" t="s">
        <v>19592</v>
      </c>
      <c r="G9748" s="1">
        <v>10</v>
      </c>
    </row>
    <row r="9749" spans="1:7" ht="14.25" customHeight="1" x14ac:dyDescent="0.45">
      <c r="A9749" t="str">
        <f>_xlfn.XLOOKUP(B9749,Ingot!$H$12:$H$119,Ingot!$G$12:$G$119,"")</f>
        <v>Leather</v>
      </c>
      <c r="B9749" t="s">
        <v>19376</v>
      </c>
      <c r="C9749" t="s">
        <v>157</v>
      </c>
      <c r="D9749" t="s">
        <v>19593</v>
      </c>
      <c r="E9749" t="s">
        <v>19594</v>
      </c>
      <c r="G9749" s="1">
        <v>13.8</v>
      </c>
    </row>
    <row r="9750" spans="1:7" ht="14.25" customHeight="1" x14ac:dyDescent="0.45">
      <c r="A9750" t="str">
        <f>_xlfn.XLOOKUP(B9750,Ingot!$H$12:$H$119,Ingot!$G$12:$G$119,"")</f>
        <v>Leather</v>
      </c>
      <c r="B9750" t="s">
        <v>19376</v>
      </c>
      <c r="C9750" t="s">
        <v>157</v>
      </c>
      <c r="D9750" t="s">
        <v>19595</v>
      </c>
      <c r="E9750" t="s">
        <v>19596</v>
      </c>
      <c r="G9750" s="1">
        <v>5</v>
      </c>
    </row>
    <row r="9751" spans="1:7" ht="14.25" customHeight="1" x14ac:dyDescent="0.45">
      <c r="A9751" t="str">
        <f>_xlfn.XLOOKUP(B9751,Ingot!$H$12:$H$119,Ingot!$G$12:$G$119,"")</f>
        <v>Leather</v>
      </c>
      <c r="B9751" t="s">
        <v>19376</v>
      </c>
      <c r="C9751" t="s">
        <v>157</v>
      </c>
      <c r="D9751" t="s">
        <v>19597</v>
      </c>
      <c r="E9751" t="s">
        <v>19598</v>
      </c>
      <c r="G9751" s="1">
        <v>5</v>
      </c>
    </row>
    <row r="9752" spans="1:7" ht="14.25" customHeight="1" x14ac:dyDescent="0.45">
      <c r="A9752" t="str">
        <f>_xlfn.XLOOKUP(B9752,Ingot!$H$12:$H$119,Ingot!$G$12:$G$119,"")</f>
        <v>Leather</v>
      </c>
      <c r="B9752" t="s">
        <v>19376</v>
      </c>
      <c r="C9752" t="s">
        <v>157</v>
      </c>
      <c r="D9752" t="s">
        <v>19599</v>
      </c>
      <c r="E9752" t="s">
        <v>19600</v>
      </c>
      <c r="G9752" s="1">
        <v>5</v>
      </c>
    </row>
    <row r="9753" spans="1:7" ht="14.25" customHeight="1" x14ac:dyDescent="0.45">
      <c r="A9753" t="str">
        <f>_xlfn.XLOOKUP(B9753,Ingot!$H$12:$H$119,Ingot!$G$12:$G$119,"")</f>
        <v>Leather</v>
      </c>
      <c r="B9753" t="s">
        <v>19376</v>
      </c>
      <c r="C9753" t="s">
        <v>157</v>
      </c>
      <c r="D9753" t="s">
        <v>19601</v>
      </c>
      <c r="E9753" t="s">
        <v>19602</v>
      </c>
      <c r="G9753" s="1">
        <v>10</v>
      </c>
    </row>
    <row r="9754" spans="1:7" ht="14.25" customHeight="1" x14ac:dyDescent="0.45">
      <c r="A9754" t="str">
        <f>_xlfn.XLOOKUP(B9754,Ingot!$H$12:$H$119,Ingot!$G$12:$G$119,"")</f>
        <v>Leather</v>
      </c>
      <c r="B9754" t="s">
        <v>19376</v>
      </c>
      <c r="C9754" t="s">
        <v>239</v>
      </c>
      <c r="D9754" t="s">
        <v>19603</v>
      </c>
      <c r="E9754" t="s">
        <v>19604</v>
      </c>
    </row>
    <row r="9755" spans="1:7" ht="14.25" customHeight="1" x14ac:dyDescent="0.45">
      <c r="A9755" t="str">
        <f>_xlfn.XLOOKUP(B9755,Ingot!$H$12:$H$119,Ingot!$G$12:$G$119,"")</f>
        <v>Leather</v>
      </c>
      <c r="B9755" t="s">
        <v>19376</v>
      </c>
      <c r="C9755" t="s">
        <v>239</v>
      </c>
      <c r="D9755" t="s">
        <v>19605</v>
      </c>
      <c r="E9755" t="s">
        <v>19606</v>
      </c>
    </row>
    <row r="9756" spans="1:7" ht="14.25" customHeight="1" x14ac:dyDescent="0.45">
      <c r="A9756" t="str">
        <f>_xlfn.XLOOKUP(B9756,Ingot!$H$12:$H$119,Ingot!$G$12:$G$119,"")</f>
        <v>Leather</v>
      </c>
      <c r="B9756" t="s">
        <v>19376</v>
      </c>
      <c r="C9756" t="s">
        <v>239</v>
      </c>
      <c r="D9756" t="s">
        <v>19607</v>
      </c>
      <c r="E9756" t="s">
        <v>19608</v>
      </c>
    </row>
    <row r="9757" spans="1:7" ht="14.25" customHeight="1" x14ac:dyDescent="0.45">
      <c r="A9757" t="str">
        <f>_xlfn.XLOOKUP(B9757,Ingot!$H$12:$H$119,Ingot!$G$12:$G$119,"")</f>
        <v>Leather</v>
      </c>
      <c r="B9757" t="s">
        <v>19376</v>
      </c>
      <c r="C9757" t="s">
        <v>239</v>
      </c>
      <c r="D9757" t="s">
        <v>19609</v>
      </c>
      <c r="E9757" t="s">
        <v>19610</v>
      </c>
    </row>
    <row r="9758" spans="1:7" ht="14.25" customHeight="1" x14ac:dyDescent="0.45">
      <c r="A9758" t="str">
        <f>_xlfn.XLOOKUP(B9758,Ingot!$H$12:$H$119,Ingot!$G$12:$G$119,"")</f>
        <v>Leather</v>
      </c>
      <c r="B9758" t="s">
        <v>19376</v>
      </c>
      <c r="C9758" t="s">
        <v>239</v>
      </c>
      <c r="D9758" t="s">
        <v>19611</v>
      </c>
      <c r="E9758" t="s">
        <v>19612</v>
      </c>
    </row>
    <row r="9759" spans="1:7" ht="14.25" customHeight="1" x14ac:dyDescent="0.45">
      <c r="A9759" t="str">
        <f>_xlfn.XLOOKUP(B9759,Ingot!$H$12:$H$119,Ingot!$G$12:$G$119,"")</f>
        <v>Leather</v>
      </c>
      <c r="B9759" t="s">
        <v>19376</v>
      </c>
      <c r="C9759" t="s">
        <v>239</v>
      </c>
      <c r="D9759" t="s">
        <v>19613</v>
      </c>
      <c r="E9759" t="s">
        <v>19614</v>
      </c>
    </row>
    <row r="9760" spans="1:7" ht="14.25" customHeight="1" x14ac:dyDescent="0.45">
      <c r="A9760" t="str">
        <f>_xlfn.XLOOKUP(B9760,Ingot!$H$12:$H$119,Ingot!$G$12:$G$119,"")</f>
        <v>Leather</v>
      </c>
      <c r="B9760" t="s">
        <v>19615</v>
      </c>
      <c r="C9760" t="s">
        <v>10</v>
      </c>
      <c r="D9760" t="s">
        <v>19616</v>
      </c>
      <c r="E9760" t="s">
        <v>19617</v>
      </c>
      <c r="G9760" s="1">
        <v>0.08</v>
      </c>
    </row>
    <row r="9761" spans="1:7" ht="14.25" customHeight="1" x14ac:dyDescent="0.45">
      <c r="A9761" t="str">
        <f>_xlfn.XLOOKUP(B9761,Ingot!$H$12:$H$119,Ingot!$G$12:$G$119,"")</f>
        <v>Leather</v>
      </c>
      <c r="B9761" t="s">
        <v>19615</v>
      </c>
      <c r="C9761" t="s">
        <v>10</v>
      </c>
      <c r="D9761" t="s">
        <v>19618</v>
      </c>
      <c r="E9761" t="s">
        <v>19619</v>
      </c>
      <c r="G9761" s="1">
        <v>9.9</v>
      </c>
    </row>
    <row r="9762" spans="1:7" ht="14.25" customHeight="1" x14ac:dyDescent="0.45">
      <c r="A9762" t="str">
        <f>_xlfn.XLOOKUP(B9762,Ingot!$H$12:$H$119,Ingot!$G$12:$G$119,"")</f>
        <v>Leather</v>
      </c>
      <c r="B9762" t="s">
        <v>19615</v>
      </c>
      <c r="C9762" t="s">
        <v>10</v>
      </c>
      <c r="D9762" t="s">
        <v>19620</v>
      </c>
      <c r="E9762" t="s">
        <v>19621</v>
      </c>
      <c r="G9762" s="1">
        <v>5.66</v>
      </c>
    </row>
    <row r="9763" spans="1:7" ht="14.25" customHeight="1" x14ac:dyDescent="0.45">
      <c r="A9763" t="str">
        <f>_xlfn.XLOOKUP(B9763,Ingot!$H$12:$H$119,Ingot!$G$12:$G$119,"")</f>
        <v>Leather</v>
      </c>
      <c r="B9763" t="s">
        <v>19615</v>
      </c>
      <c r="C9763" t="s">
        <v>10</v>
      </c>
      <c r="D9763" t="s">
        <v>19622</v>
      </c>
      <c r="E9763" t="s">
        <v>19623</v>
      </c>
      <c r="G9763" s="1">
        <v>3.3</v>
      </c>
    </row>
    <row r="9764" spans="1:7" ht="14.25" customHeight="1" x14ac:dyDescent="0.45">
      <c r="A9764" t="str">
        <f>_xlfn.XLOOKUP(B9764,Ingot!$H$12:$H$119,Ingot!$G$12:$G$119,"")</f>
        <v>Leather</v>
      </c>
      <c r="B9764" t="s">
        <v>19615</v>
      </c>
      <c r="C9764" t="s">
        <v>10</v>
      </c>
      <c r="D9764" t="s">
        <v>19624</v>
      </c>
      <c r="E9764" t="s">
        <v>19625</v>
      </c>
      <c r="G9764" s="1">
        <v>0.66</v>
      </c>
    </row>
    <row r="9765" spans="1:7" ht="14.25" customHeight="1" x14ac:dyDescent="0.45">
      <c r="A9765" t="str">
        <f>_xlfn.XLOOKUP(B9765,Ingot!$H$12:$H$119,Ingot!$G$12:$G$119,"")</f>
        <v>Leather</v>
      </c>
      <c r="B9765" t="s">
        <v>19615</v>
      </c>
      <c r="C9765" t="s">
        <v>10</v>
      </c>
      <c r="D9765" t="s">
        <v>19626</v>
      </c>
      <c r="E9765" t="s">
        <v>19627</v>
      </c>
      <c r="G9765" s="1">
        <v>0.04</v>
      </c>
    </row>
    <row r="9766" spans="1:7" ht="14.25" customHeight="1" x14ac:dyDescent="0.45">
      <c r="A9766" t="str">
        <f>_xlfn.XLOOKUP(B9766,Ingot!$H$12:$H$119,Ingot!$G$12:$G$119,"")</f>
        <v>Leather</v>
      </c>
      <c r="B9766" t="s">
        <v>19615</v>
      </c>
      <c r="C9766" t="s">
        <v>10</v>
      </c>
      <c r="D9766" t="s">
        <v>19628</v>
      </c>
      <c r="E9766" t="s">
        <v>19629</v>
      </c>
      <c r="G9766" s="1">
        <v>0.33</v>
      </c>
    </row>
    <row r="9767" spans="1:7" ht="14.25" customHeight="1" x14ac:dyDescent="0.45">
      <c r="A9767" t="str">
        <f>_xlfn.XLOOKUP(B9767,Ingot!$H$12:$H$119,Ingot!$G$12:$G$119,"")</f>
        <v>Leather</v>
      </c>
      <c r="B9767" t="s">
        <v>19615</v>
      </c>
      <c r="C9767" t="s">
        <v>10</v>
      </c>
      <c r="D9767" t="s">
        <v>19630</v>
      </c>
      <c r="E9767" t="s">
        <v>19631</v>
      </c>
    </row>
    <row r="9768" spans="1:7" ht="14.25" customHeight="1" x14ac:dyDescent="0.45">
      <c r="A9768" t="str">
        <f>_xlfn.XLOOKUP(B9768,Ingot!$H$12:$H$119,Ingot!$G$12:$G$119,"")</f>
        <v>Leather</v>
      </c>
      <c r="B9768" t="s">
        <v>19615</v>
      </c>
      <c r="C9768" t="s">
        <v>10</v>
      </c>
      <c r="D9768" t="s">
        <v>19632</v>
      </c>
      <c r="E9768" t="s">
        <v>19633</v>
      </c>
      <c r="G9768" s="1">
        <v>0.05</v>
      </c>
    </row>
    <row r="9769" spans="1:7" ht="14.25" customHeight="1" x14ac:dyDescent="0.45">
      <c r="A9769" t="str">
        <f>_xlfn.XLOOKUP(B9769,Ingot!$H$12:$H$119,Ingot!$G$12:$G$119,"")</f>
        <v>Leather</v>
      </c>
      <c r="B9769" t="s">
        <v>19615</v>
      </c>
      <c r="C9769" t="s">
        <v>10</v>
      </c>
      <c r="D9769" t="s">
        <v>19634</v>
      </c>
      <c r="E9769" t="s">
        <v>19635</v>
      </c>
      <c r="G9769" s="1">
        <v>0.66</v>
      </c>
    </row>
    <row r="9770" spans="1:7" ht="14.25" customHeight="1" x14ac:dyDescent="0.45">
      <c r="A9770" t="str">
        <f>_xlfn.XLOOKUP(B9770,Ingot!$H$12:$H$119,Ingot!$G$12:$G$119,"")</f>
        <v>Leather</v>
      </c>
      <c r="B9770" t="s">
        <v>19615</v>
      </c>
      <c r="C9770" t="s">
        <v>10</v>
      </c>
      <c r="D9770" t="s">
        <v>19636</v>
      </c>
      <c r="E9770" t="s">
        <v>19637</v>
      </c>
      <c r="G9770" s="1">
        <v>3.96</v>
      </c>
    </row>
    <row r="9771" spans="1:7" ht="14.25" customHeight="1" x14ac:dyDescent="0.45">
      <c r="A9771" t="str">
        <f>_xlfn.XLOOKUP(B9771,Ingot!$H$12:$H$119,Ingot!$G$12:$G$119,"")</f>
        <v>Leather</v>
      </c>
      <c r="B9771" t="s">
        <v>19615</v>
      </c>
      <c r="C9771" t="s">
        <v>10</v>
      </c>
      <c r="D9771" t="s">
        <v>19638</v>
      </c>
      <c r="E9771" t="s">
        <v>19639</v>
      </c>
      <c r="G9771" s="1">
        <v>8.77</v>
      </c>
    </row>
    <row r="9772" spans="1:7" ht="14.25" customHeight="1" x14ac:dyDescent="0.45">
      <c r="A9772" t="str">
        <f>_xlfn.XLOOKUP(B9772,Ingot!$H$12:$H$119,Ingot!$G$12:$G$119,"")</f>
        <v>Leather</v>
      </c>
      <c r="B9772" t="s">
        <v>19615</v>
      </c>
      <c r="C9772" t="s">
        <v>10</v>
      </c>
      <c r="D9772" t="s">
        <v>19640</v>
      </c>
      <c r="E9772" t="s">
        <v>19641</v>
      </c>
      <c r="G9772" s="1">
        <v>3.5</v>
      </c>
    </row>
    <row r="9773" spans="1:7" ht="14.25" customHeight="1" x14ac:dyDescent="0.45">
      <c r="A9773" t="str">
        <f>_xlfn.XLOOKUP(B9773,Ingot!$H$12:$H$119,Ingot!$G$12:$G$119,"")</f>
        <v>Leather</v>
      </c>
      <c r="B9773" t="s">
        <v>19615</v>
      </c>
      <c r="C9773" t="s">
        <v>10</v>
      </c>
      <c r="D9773" t="s">
        <v>19642</v>
      </c>
      <c r="E9773" t="s">
        <v>19643</v>
      </c>
    </row>
    <row r="9774" spans="1:7" ht="14.25" customHeight="1" x14ac:dyDescent="0.45">
      <c r="A9774" t="str">
        <f>_xlfn.XLOOKUP(B9774,Ingot!$H$12:$H$119,Ingot!$G$12:$G$119,"")</f>
        <v>Leather</v>
      </c>
      <c r="B9774" t="s">
        <v>19615</v>
      </c>
      <c r="C9774" t="s">
        <v>10</v>
      </c>
      <c r="D9774" t="s">
        <v>19644</v>
      </c>
      <c r="E9774" t="s">
        <v>19645</v>
      </c>
      <c r="G9774" s="1">
        <v>2.2000000000000002</v>
      </c>
    </row>
    <row r="9775" spans="1:7" ht="14.25" customHeight="1" x14ac:dyDescent="0.45">
      <c r="A9775" t="str">
        <f>_xlfn.XLOOKUP(B9775,Ingot!$H$12:$H$119,Ingot!$G$12:$G$119,"")</f>
        <v>Leather</v>
      </c>
      <c r="B9775" t="s">
        <v>19615</v>
      </c>
      <c r="C9775" t="s">
        <v>10</v>
      </c>
      <c r="D9775" t="s">
        <v>19646</v>
      </c>
      <c r="E9775" t="s">
        <v>19647</v>
      </c>
      <c r="G9775" s="1">
        <v>1.1000000000000001</v>
      </c>
    </row>
    <row r="9776" spans="1:7" ht="14.25" customHeight="1" x14ac:dyDescent="0.45">
      <c r="A9776" t="str">
        <f>_xlfn.XLOOKUP(B9776,Ingot!$H$12:$H$119,Ingot!$G$12:$G$119,"")</f>
        <v>Leather</v>
      </c>
      <c r="B9776" t="s">
        <v>19615</v>
      </c>
      <c r="C9776" t="s">
        <v>10</v>
      </c>
      <c r="D9776" t="s">
        <v>19648</v>
      </c>
      <c r="E9776" t="s">
        <v>19649</v>
      </c>
      <c r="G9776" s="1">
        <v>0.22</v>
      </c>
    </row>
    <row r="9777" spans="1:7" ht="14.25" customHeight="1" x14ac:dyDescent="0.45">
      <c r="A9777" t="str">
        <f>_xlfn.XLOOKUP(B9777,Ingot!$H$12:$H$119,Ingot!$G$12:$G$119,"")</f>
        <v>Leather</v>
      </c>
      <c r="B9777" t="s">
        <v>19615</v>
      </c>
      <c r="C9777" t="s">
        <v>10</v>
      </c>
      <c r="D9777" t="s">
        <v>19650</v>
      </c>
      <c r="E9777" t="s">
        <v>19651</v>
      </c>
      <c r="G9777" s="1">
        <v>8.41</v>
      </c>
    </row>
    <row r="9778" spans="1:7" ht="14.25" customHeight="1" x14ac:dyDescent="0.45">
      <c r="A9778" t="str">
        <f>_xlfn.XLOOKUP(B9778,Ingot!$H$12:$H$119,Ingot!$G$12:$G$119,"")</f>
        <v>Leather</v>
      </c>
      <c r="B9778" t="s">
        <v>19615</v>
      </c>
      <c r="C9778" t="s">
        <v>10</v>
      </c>
      <c r="D9778" t="s">
        <v>19652</v>
      </c>
      <c r="E9778" t="s">
        <v>19653</v>
      </c>
      <c r="G9778" s="1">
        <v>3.64</v>
      </c>
    </row>
    <row r="9779" spans="1:7" ht="14.25" customHeight="1" x14ac:dyDescent="0.45">
      <c r="A9779" t="str">
        <f>_xlfn.XLOOKUP(B9779,Ingot!$H$12:$H$119,Ingot!$G$12:$G$119,"")</f>
        <v>Leather</v>
      </c>
      <c r="B9779" t="s">
        <v>19615</v>
      </c>
      <c r="C9779" t="s">
        <v>10</v>
      </c>
      <c r="D9779" t="s">
        <v>19654</v>
      </c>
      <c r="E9779" t="s">
        <v>19655</v>
      </c>
      <c r="G9779" s="1">
        <v>7.05</v>
      </c>
    </row>
    <row r="9780" spans="1:7" ht="14.25" customHeight="1" x14ac:dyDescent="0.45">
      <c r="A9780" t="str">
        <f>_xlfn.XLOOKUP(B9780,Ingot!$H$12:$H$119,Ingot!$G$12:$G$119,"")</f>
        <v>Leather</v>
      </c>
      <c r="B9780" t="s">
        <v>19615</v>
      </c>
      <c r="C9780" t="s">
        <v>10</v>
      </c>
      <c r="D9780" t="s">
        <v>19656</v>
      </c>
      <c r="E9780" t="s">
        <v>19657</v>
      </c>
      <c r="G9780" s="1">
        <v>2.65</v>
      </c>
    </row>
    <row r="9781" spans="1:7" ht="14.25" customHeight="1" x14ac:dyDescent="0.45">
      <c r="A9781" t="str">
        <f>_xlfn.XLOOKUP(B9781,Ingot!$H$12:$H$119,Ingot!$G$12:$G$119,"")</f>
        <v>Leather</v>
      </c>
      <c r="B9781" t="s">
        <v>19615</v>
      </c>
      <c r="C9781" t="s">
        <v>10</v>
      </c>
      <c r="D9781" t="s">
        <v>19658</v>
      </c>
      <c r="E9781" t="s">
        <v>19659</v>
      </c>
      <c r="G9781" s="1">
        <v>9</v>
      </c>
    </row>
    <row r="9782" spans="1:7" ht="14.25" customHeight="1" x14ac:dyDescent="0.45">
      <c r="A9782" t="str">
        <f>_xlfn.XLOOKUP(B9782,Ingot!$H$12:$H$119,Ingot!$G$12:$G$119,"")</f>
        <v>Leather</v>
      </c>
      <c r="B9782" t="s">
        <v>19615</v>
      </c>
      <c r="C9782" t="s">
        <v>10</v>
      </c>
      <c r="D9782" t="s">
        <v>19660</v>
      </c>
      <c r="E9782" t="s">
        <v>19661</v>
      </c>
      <c r="G9782" s="1">
        <v>10.23</v>
      </c>
    </row>
    <row r="9783" spans="1:7" ht="14.25" customHeight="1" x14ac:dyDescent="0.45">
      <c r="A9783" t="str">
        <f>_xlfn.XLOOKUP(B9783,Ingot!$H$12:$H$119,Ingot!$G$12:$G$119,"")</f>
        <v>Leather</v>
      </c>
      <c r="B9783" t="s">
        <v>19615</v>
      </c>
      <c r="C9783" t="s">
        <v>10</v>
      </c>
      <c r="D9783" t="s">
        <v>19662</v>
      </c>
      <c r="E9783" t="s">
        <v>19663</v>
      </c>
      <c r="G9783" s="1">
        <v>7.7</v>
      </c>
    </row>
    <row r="9784" spans="1:7" ht="14.25" customHeight="1" x14ac:dyDescent="0.45">
      <c r="A9784" t="str">
        <f>_xlfn.XLOOKUP(B9784,Ingot!$H$12:$H$119,Ingot!$G$12:$G$119,"")</f>
        <v>Leather</v>
      </c>
      <c r="B9784" t="s">
        <v>19615</v>
      </c>
      <c r="C9784" t="s">
        <v>10</v>
      </c>
      <c r="D9784" t="s">
        <v>19664</v>
      </c>
      <c r="E9784" t="s">
        <v>19665</v>
      </c>
      <c r="G9784" s="1">
        <v>10.02</v>
      </c>
    </row>
    <row r="9785" spans="1:7" ht="14.25" customHeight="1" x14ac:dyDescent="0.45">
      <c r="A9785" t="str">
        <f>_xlfn.XLOOKUP(B9785,Ingot!$H$12:$H$119,Ingot!$G$12:$G$119,"")</f>
        <v>Leather</v>
      </c>
      <c r="B9785" t="s">
        <v>19615</v>
      </c>
      <c r="C9785" t="s">
        <v>10</v>
      </c>
      <c r="D9785" t="s">
        <v>19666</v>
      </c>
      <c r="E9785" t="s">
        <v>19667</v>
      </c>
      <c r="G9785" s="1">
        <v>11.81</v>
      </c>
    </row>
    <row r="9786" spans="1:7" ht="14.25" customHeight="1" x14ac:dyDescent="0.45">
      <c r="A9786" t="str">
        <f>_xlfn.XLOOKUP(B9786,Ingot!$H$12:$H$119,Ingot!$G$12:$G$119,"")</f>
        <v>Leather</v>
      </c>
      <c r="B9786" t="s">
        <v>19615</v>
      </c>
      <c r="C9786" t="s">
        <v>10</v>
      </c>
      <c r="D9786" t="s">
        <v>19668</v>
      </c>
      <c r="E9786" t="s">
        <v>19669</v>
      </c>
      <c r="G9786" s="1">
        <v>8.44</v>
      </c>
    </row>
    <row r="9787" spans="1:7" ht="14.25" customHeight="1" x14ac:dyDescent="0.45">
      <c r="A9787" t="str">
        <f>_xlfn.XLOOKUP(B9787,Ingot!$H$12:$H$119,Ingot!$G$12:$G$119,"")</f>
        <v>Leather</v>
      </c>
      <c r="B9787" t="s">
        <v>19615</v>
      </c>
      <c r="C9787" t="s">
        <v>10</v>
      </c>
      <c r="D9787" t="s">
        <v>19670</v>
      </c>
      <c r="E9787" t="s">
        <v>19671</v>
      </c>
      <c r="G9787" s="1">
        <v>10.42</v>
      </c>
    </row>
    <row r="9788" spans="1:7" ht="14.25" customHeight="1" x14ac:dyDescent="0.45">
      <c r="A9788" t="str">
        <f>_xlfn.XLOOKUP(B9788,Ingot!$H$12:$H$119,Ingot!$G$12:$G$119,"")</f>
        <v>Leather</v>
      </c>
      <c r="B9788" t="s">
        <v>19615</v>
      </c>
      <c r="C9788" t="s">
        <v>10</v>
      </c>
      <c r="D9788" t="s">
        <v>19672</v>
      </c>
      <c r="E9788" t="s">
        <v>19673</v>
      </c>
    </row>
    <row r="9789" spans="1:7" ht="14.25" customHeight="1" x14ac:dyDescent="0.45">
      <c r="A9789" t="str">
        <f>_xlfn.XLOOKUP(B9789,Ingot!$H$12:$H$119,Ingot!$G$12:$G$119,"")</f>
        <v>Leather</v>
      </c>
      <c r="B9789" t="s">
        <v>19615</v>
      </c>
      <c r="C9789" t="s">
        <v>10</v>
      </c>
      <c r="D9789" t="s">
        <v>19674</v>
      </c>
      <c r="E9789" t="s">
        <v>19675</v>
      </c>
      <c r="G9789" s="1">
        <v>7.96</v>
      </c>
    </row>
    <row r="9790" spans="1:7" ht="14.25" customHeight="1" x14ac:dyDescent="0.45">
      <c r="A9790" t="str">
        <f>_xlfn.XLOOKUP(B9790,Ingot!$H$12:$H$119,Ingot!$G$12:$G$119,"")</f>
        <v>Leather</v>
      </c>
      <c r="B9790" t="s">
        <v>19615</v>
      </c>
      <c r="C9790" t="s">
        <v>10</v>
      </c>
      <c r="D9790" t="s">
        <v>19676</v>
      </c>
      <c r="E9790" t="s">
        <v>19677</v>
      </c>
      <c r="G9790" s="1">
        <v>9.64</v>
      </c>
    </row>
    <row r="9791" spans="1:7" ht="14.25" customHeight="1" x14ac:dyDescent="0.45">
      <c r="A9791" t="str">
        <f>_xlfn.XLOOKUP(B9791,Ingot!$H$12:$H$119,Ingot!$G$12:$G$119,"")</f>
        <v>Leather</v>
      </c>
      <c r="B9791" t="s">
        <v>19615</v>
      </c>
      <c r="C9791" t="s">
        <v>10</v>
      </c>
      <c r="D9791" t="s">
        <v>19678</v>
      </c>
      <c r="E9791" t="s">
        <v>19679</v>
      </c>
      <c r="G9791" s="1">
        <v>7.94</v>
      </c>
    </row>
    <row r="9792" spans="1:7" ht="14.25" customHeight="1" x14ac:dyDescent="0.45">
      <c r="A9792" t="str">
        <f>_xlfn.XLOOKUP(B9792,Ingot!$H$12:$H$119,Ingot!$G$12:$G$119,"")</f>
        <v>Leather</v>
      </c>
      <c r="B9792" t="s">
        <v>19615</v>
      </c>
      <c r="C9792" t="s">
        <v>10</v>
      </c>
      <c r="D9792" t="s">
        <v>19680</v>
      </c>
      <c r="E9792" t="s">
        <v>19681</v>
      </c>
      <c r="G9792" s="1">
        <v>8.66</v>
      </c>
    </row>
    <row r="9793" spans="1:7" ht="14.25" customHeight="1" x14ac:dyDescent="0.45">
      <c r="A9793" t="str">
        <f>_xlfn.XLOOKUP(B9793,Ingot!$H$12:$H$119,Ingot!$G$12:$G$119,"")</f>
        <v>Leather</v>
      </c>
      <c r="B9793" t="s">
        <v>19615</v>
      </c>
      <c r="C9793" t="s">
        <v>10</v>
      </c>
      <c r="D9793" t="s">
        <v>19682</v>
      </c>
      <c r="E9793" t="s">
        <v>19683</v>
      </c>
    </row>
    <row r="9794" spans="1:7" ht="14.25" customHeight="1" x14ac:dyDescent="0.45">
      <c r="A9794" t="str">
        <f>_xlfn.XLOOKUP(B9794,Ingot!$H$12:$H$119,Ingot!$G$12:$G$119,"")</f>
        <v>Leather</v>
      </c>
      <c r="B9794" t="s">
        <v>19615</v>
      </c>
      <c r="C9794" t="s">
        <v>10</v>
      </c>
      <c r="D9794" t="s">
        <v>19684</v>
      </c>
      <c r="E9794" t="s">
        <v>19685</v>
      </c>
      <c r="G9794" s="1">
        <v>2.65</v>
      </c>
    </row>
    <row r="9795" spans="1:7" ht="14.25" customHeight="1" x14ac:dyDescent="0.45">
      <c r="A9795" t="str">
        <f>_xlfn.XLOOKUP(B9795,Ingot!$H$12:$H$119,Ingot!$G$12:$G$119,"")</f>
        <v>Leather</v>
      </c>
      <c r="B9795" t="s">
        <v>19615</v>
      </c>
      <c r="C9795" t="s">
        <v>10</v>
      </c>
      <c r="D9795" t="s">
        <v>19686</v>
      </c>
      <c r="E9795" t="s">
        <v>19687</v>
      </c>
    </row>
    <row r="9796" spans="1:7" ht="14.25" customHeight="1" x14ac:dyDescent="0.45">
      <c r="A9796" t="str">
        <f>_xlfn.XLOOKUP(B9796,Ingot!$H$12:$H$119,Ingot!$G$12:$G$119,"")</f>
        <v>Leather</v>
      </c>
      <c r="B9796" t="s">
        <v>19615</v>
      </c>
      <c r="C9796" t="s">
        <v>10</v>
      </c>
      <c r="D9796" t="s">
        <v>19688</v>
      </c>
      <c r="E9796" t="s">
        <v>19689</v>
      </c>
      <c r="G9796" s="1">
        <v>12.64</v>
      </c>
    </row>
    <row r="9797" spans="1:7" ht="14.25" customHeight="1" x14ac:dyDescent="0.45">
      <c r="A9797" t="str">
        <f>_xlfn.XLOOKUP(B9797,Ingot!$H$12:$H$119,Ingot!$G$12:$G$119,"")</f>
        <v>Leather</v>
      </c>
      <c r="B9797" t="s">
        <v>19615</v>
      </c>
      <c r="C9797" t="s">
        <v>10</v>
      </c>
      <c r="D9797" t="s">
        <v>19690</v>
      </c>
      <c r="E9797" t="s">
        <v>19691</v>
      </c>
      <c r="G9797" s="1">
        <v>22.67</v>
      </c>
    </row>
    <row r="9798" spans="1:7" ht="14.25" customHeight="1" x14ac:dyDescent="0.45">
      <c r="A9798" t="str">
        <f>_xlfn.XLOOKUP(B9798,Ingot!$H$12:$H$119,Ingot!$G$12:$G$119,"")</f>
        <v>Leather</v>
      </c>
      <c r="B9798" t="s">
        <v>19615</v>
      </c>
      <c r="C9798" t="s">
        <v>10</v>
      </c>
      <c r="D9798" t="s">
        <v>19692</v>
      </c>
      <c r="E9798" t="s">
        <v>19693</v>
      </c>
      <c r="G9798" s="1">
        <v>8.3800000000000008</v>
      </c>
    </row>
    <row r="9799" spans="1:7" ht="14.25" customHeight="1" x14ac:dyDescent="0.45">
      <c r="A9799" t="str">
        <f>_xlfn.XLOOKUP(B9799,Ingot!$H$12:$H$119,Ingot!$G$12:$G$119,"")</f>
        <v>Leather</v>
      </c>
      <c r="B9799" t="s">
        <v>19615</v>
      </c>
      <c r="C9799" t="s">
        <v>10</v>
      </c>
      <c r="D9799" t="s">
        <v>19694</v>
      </c>
      <c r="E9799" t="s">
        <v>19695</v>
      </c>
      <c r="G9799" s="1">
        <v>2.2000000000000002</v>
      </c>
    </row>
    <row r="9800" spans="1:7" ht="14.25" customHeight="1" x14ac:dyDescent="0.45">
      <c r="A9800" t="str">
        <f>_xlfn.XLOOKUP(B9800,Ingot!$H$12:$H$119,Ingot!$G$12:$G$119,"")</f>
        <v>Leather</v>
      </c>
      <c r="B9800" t="s">
        <v>19615</v>
      </c>
      <c r="C9800" t="s">
        <v>10</v>
      </c>
      <c r="D9800" t="s">
        <v>19696</v>
      </c>
      <c r="E9800" t="s">
        <v>19697</v>
      </c>
      <c r="G9800" s="1">
        <v>3.09</v>
      </c>
    </row>
    <row r="9801" spans="1:7" ht="14.25" customHeight="1" x14ac:dyDescent="0.45">
      <c r="A9801" t="str">
        <f>_xlfn.XLOOKUP(B9801,Ingot!$H$12:$H$119,Ingot!$G$12:$G$119,"")</f>
        <v>Leather</v>
      </c>
      <c r="B9801" t="s">
        <v>19615</v>
      </c>
      <c r="C9801" t="s">
        <v>10</v>
      </c>
      <c r="D9801" t="s">
        <v>19698</v>
      </c>
      <c r="E9801" t="s">
        <v>19699</v>
      </c>
      <c r="G9801" s="1">
        <v>2.2999999999999998</v>
      </c>
    </row>
    <row r="9802" spans="1:7" ht="14.25" customHeight="1" x14ac:dyDescent="0.45">
      <c r="A9802" t="str">
        <f>_xlfn.XLOOKUP(B9802,Ingot!$H$12:$H$119,Ingot!$G$12:$G$119,"")</f>
        <v>Leather</v>
      </c>
      <c r="B9802" t="s">
        <v>19615</v>
      </c>
      <c r="C9802" t="s">
        <v>10</v>
      </c>
      <c r="D9802" t="s">
        <v>19700</v>
      </c>
      <c r="E9802" t="s">
        <v>19701</v>
      </c>
      <c r="G9802" s="1">
        <v>4.88</v>
      </c>
    </row>
    <row r="9803" spans="1:7" ht="14.25" customHeight="1" x14ac:dyDescent="0.45">
      <c r="A9803" t="str">
        <f>_xlfn.XLOOKUP(B9803,Ingot!$H$12:$H$119,Ingot!$G$12:$G$119,"")</f>
        <v>Leather</v>
      </c>
      <c r="B9803" t="s">
        <v>19615</v>
      </c>
      <c r="C9803" t="s">
        <v>10</v>
      </c>
      <c r="D9803" t="s">
        <v>19702</v>
      </c>
      <c r="E9803" t="s">
        <v>19703</v>
      </c>
      <c r="G9803" s="1">
        <v>8.43</v>
      </c>
    </row>
    <row r="9804" spans="1:7" ht="14.25" customHeight="1" x14ac:dyDescent="0.45">
      <c r="A9804" t="str">
        <f>_xlfn.XLOOKUP(B9804,Ingot!$H$12:$H$119,Ingot!$G$12:$G$119,"")</f>
        <v>Leather</v>
      </c>
      <c r="B9804" t="s">
        <v>19615</v>
      </c>
      <c r="C9804" t="s">
        <v>10</v>
      </c>
      <c r="D9804" t="s">
        <v>19704</v>
      </c>
      <c r="E9804" t="s">
        <v>19705</v>
      </c>
      <c r="G9804" s="1">
        <v>13.07</v>
      </c>
    </row>
    <row r="9805" spans="1:7" ht="14.25" customHeight="1" x14ac:dyDescent="0.45">
      <c r="A9805" t="str">
        <f>_xlfn.XLOOKUP(B9805,Ingot!$H$12:$H$119,Ingot!$G$12:$G$119,"")</f>
        <v>Leather</v>
      </c>
      <c r="B9805" t="s">
        <v>19615</v>
      </c>
      <c r="C9805" t="s">
        <v>10</v>
      </c>
      <c r="D9805" t="s">
        <v>19706</v>
      </c>
      <c r="E9805" t="s">
        <v>19707</v>
      </c>
    </row>
    <row r="9806" spans="1:7" ht="14.25" customHeight="1" x14ac:dyDescent="0.45">
      <c r="A9806" t="str">
        <f>_xlfn.XLOOKUP(B9806,Ingot!$H$12:$H$119,Ingot!$G$12:$G$119,"")</f>
        <v>Leather</v>
      </c>
      <c r="B9806" t="s">
        <v>19615</v>
      </c>
      <c r="C9806" t="s">
        <v>10</v>
      </c>
      <c r="D9806" t="s">
        <v>19708</v>
      </c>
      <c r="E9806" t="s">
        <v>19709</v>
      </c>
    </row>
    <row r="9807" spans="1:7" ht="14.25" customHeight="1" x14ac:dyDescent="0.45">
      <c r="A9807" t="str">
        <f>_xlfn.XLOOKUP(B9807,Ingot!$H$12:$H$119,Ingot!$G$12:$G$119,"")</f>
        <v>Leather</v>
      </c>
      <c r="B9807" t="s">
        <v>19615</v>
      </c>
      <c r="C9807" t="s">
        <v>10</v>
      </c>
      <c r="D9807" t="s">
        <v>19710</v>
      </c>
      <c r="E9807" t="s">
        <v>19711</v>
      </c>
      <c r="G9807" s="1">
        <v>6.8</v>
      </c>
    </row>
    <row r="9808" spans="1:7" ht="14.25" customHeight="1" x14ac:dyDescent="0.45">
      <c r="A9808" t="str">
        <f>_xlfn.XLOOKUP(B9808,Ingot!$H$12:$H$119,Ingot!$G$12:$G$119,"")</f>
        <v>Leather</v>
      </c>
      <c r="B9808" t="s">
        <v>19615</v>
      </c>
      <c r="C9808" t="s">
        <v>10</v>
      </c>
      <c r="D9808" t="s">
        <v>19712</v>
      </c>
      <c r="E9808" t="s">
        <v>19713</v>
      </c>
      <c r="G9808" s="1">
        <v>6.88</v>
      </c>
    </row>
    <row r="9809" spans="1:7" ht="14.25" customHeight="1" x14ac:dyDescent="0.45">
      <c r="A9809" t="str">
        <f>_xlfn.XLOOKUP(B9809,Ingot!$H$12:$H$119,Ingot!$G$12:$G$119,"")</f>
        <v>Leather</v>
      </c>
      <c r="B9809" t="s">
        <v>19615</v>
      </c>
      <c r="C9809" t="s">
        <v>10</v>
      </c>
      <c r="D9809" t="s">
        <v>19714</v>
      </c>
      <c r="E9809" t="s">
        <v>19715</v>
      </c>
      <c r="G9809" s="1">
        <v>5.5</v>
      </c>
    </row>
    <row r="9810" spans="1:7" ht="14.25" customHeight="1" x14ac:dyDescent="0.45">
      <c r="A9810" t="str">
        <f>_xlfn.XLOOKUP(B9810,Ingot!$H$12:$H$119,Ingot!$G$12:$G$119,"")</f>
        <v>Leather</v>
      </c>
      <c r="B9810" t="s">
        <v>19615</v>
      </c>
      <c r="C9810" t="s">
        <v>10</v>
      </c>
      <c r="D9810" t="s">
        <v>19716</v>
      </c>
      <c r="E9810" t="s">
        <v>19717</v>
      </c>
      <c r="G9810" s="1">
        <v>2.4300000000000002</v>
      </c>
    </row>
    <row r="9811" spans="1:7" ht="14.25" customHeight="1" x14ac:dyDescent="0.45">
      <c r="A9811" t="str">
        <f>_xlfn.XLOOKUP(B9811,Ingot!$H$12:$H$119,Ingot!$G$12:$G$119,"")</f>
        <v>Leather</v>
      </c>
      <c r="B9811" t="s">
        <v>19615</v>
      </c>
      <c r="C9811" t="s">
        <v>10</v>
      </c>
      <c r="D9811" t="s">
        <v>19718</v>
      </c>
      <c r="E9811" t="s">
        <v>19719</v>
      </c>
      <c r="G9811" s="1">
        <v>6.96</v>
      </c>
    </row>
    <row r="9812" spans="1:7" ht="14.25" customHeight="1" x14ac:dyDescent="0.45">
      <c r="A9812" t="str">
        <f>_xlfn.XLOOKUP(B9812,Ingot!$H$12:$H$119,Ingot!$G$12:$G$119,"")</f>
        <v>Leather</v>
      </c>
      <c r="B9812" t="s">
        <v>19615</v>
      </c>
      <c r="C9812" t="s">
        <v>10</v>
      </c>
      <c r="D9812" t="s">
        <v>19720</v>
      </c>
      <c r="E9812" t="s">
        <v>19721</v>
      </c>
      <c r="G9812" s="1">
        <v>6.32</v>
      </c>
    </row>
    <row r="9813" spans="1:7" ht="14.25" customHeight="1" x14ac:dyDescent="0.45">
      <c r="A9813" t="str">
        <f>_xlfn.XLOOKUP(B9813,Ingot!$H$12:$H$119,Ingot!$G$12:$G$119,"")</f>
        <v>Leather</v>
      </c>
      <c r="B9813" t="s">
        <v>19615</v>
      </c>
      <c r="C9813" t="s">
        <v>10</v>
      </c>
      <c r="D9813" t="s">
        <v>19722</v>
      </c>
      <c r="E9813" t="s">
        <v>19723</v>
      </c>
      <c r="G9813" s="1">
        <v>6.88</v>
      </c>
    </row>
    <row r="9814" spans="1:7" ht="14.25" customHeight="1" x14ac:dyDescent="0.45">
      <c r="A9814" t="str">
        <f>_xlfn.XLOOKUP(B9814,Ingot!$H$12:$H$119,Ingot!$G$12:$G$119,"")</f>
        <v>Leather</v>
      </c>
      <c r="B9814" t="s">
        <v>19615</v>
      </c>
      <c r="C9814" t="s">
        <v>10</v>
      </c>
      <c r="D9814" t="s">
        <v>19724</v>
      </c>
      <c r="E9814" t="s">
        <v>19725</v>
      </c>
      <c r="G9814" s="1">
        <v>2.44</v>
      </c>
    </row>
    <row r="9815" spans="1:7" ht="14.25" customHeight="1" x14ac:dyDescent="0.45">
      <c r="A9815" t="str">
        <f>_xlfn.XLOOKUP(B9815,Ingot!$H$12:$H$119,Ingot!$G$12:$G$119,"")</f>
        <v>Leather</v>
      </c>
      <c r="B9815" t="s">
        <v>19615</v>
      </c>
      <c r="C9815" t="s">
        <v>10</v>
      </c>
      <c r="D9815" t="s">
        <v>19726</v>
      </c>
      <c r="E9815" t="s">
        <v>19727</v>
      </c>
    </row>
    <row r="9816" spans="1:7" ht="14.25" customHeight="1" x14ac:dyDescent="0.45">
      <c r="A9816" t="str">
        <f>_xlfn.XLOOKUP(B9816,Ingot!$H$12:$H$119,Ingot!$G$12:$G$119,"")</f>
        <v>Leather</v>
      </c>
      <c r="B9816" t="s">
        <v>19615</v>
      </c>
      <c r="C9816" t="s">
        <v>10</v>
      </c>
      <c r="D9816" t="s">
        <v>19728</v>
      </c>
      <c r="E9816" t="s">
        <v>19729</v>
      </c>
    </row>
    <row r="9817" spans="1:7" ht="14.25" customHeight="1" x14ac:dyDescent="0.45">
      <c r="A9817" t="str">
        <f>_xlfn.XLOOKUP(B9817,Ingot!$H$12:$H$119,Ingot!$G$12:$G$119,"")</f>
        <v>Leather</v>
      </c>
      <c r="B9817" t="s">
        <v>19615</v>
      </c>
      <c r="C9817" t="s">
        <v>10</v>
      </c>
      <c r="D9817" t="s">
        <v>19730</v>
      </c>
      <c r="E9817" t="s">
        <v>19731</v>
      </c>
      <c r="G9817" s="1">
        <v>3.11</v>
      </c>
    </row>
    <row r="9818" spans="1:7" ht="14.25" customHeight="1" x14ac:dyDescent="0.45">
      <c r="A9818" t="str">
        <f>_xlfn.XLOOKUP(B9818,Ingot!$H$12:$H$119,Ingot!$G$12:$G$119,"")</f>
        <v>Leather</v>
      </c>
      <c r="B9818" t="s">
        <v>19615</v>
      </c>
      <c r="C9818" t="s">
        <v>10</v>
      </c>
      <c r="D9818" t="s">
        <v>19732</v>
      </c>
      <c r="E9818" t="s">
        <v>19733</v>
      </c>
      <c r="G9818" s="1">
        <v>2.44</v>
      </c>
    </row>
    <row r="9819" spans="1:7" ht="14.25" customHeight="1" x14ac:dyDescent="0.45">
      <c r="A9819" t="str">
        <f>_xlfn.XLOOKUP(B9819,Ingot!$H$12:$H$119,Ingot!$G$12:$G$119,"")</f>
        <v>Leather</v>
      </c>
      <c r="B9819" t="s">
        <v>19615</v>
      </c>
      <c r="C9819" t="s">
        <v>10</v>
      </c>
      <c r="D9819" t="s">
        <v>19734</v>
      </c>
      <c r="E9819" t="s">
        <v>19735</v>
      </c>
      <c r="G9819" s="1">
        <v>8.61</v>
      </c>
    </row>
    <row r="9820" spans="1:7" ht="14.25" customHeight="1" x14ac:dyDescent="0.45">
      <c r="A9820" t="str">
        <f>_xlfn.XLOOKUP(B9820,Ingot!$H$12:$H$119,Ingot!$G$12:$G$119,"")</f>
        <v>Leather</v>
      </c>
      <c r="B9820" t="s">
        <v>19615</v>
      </c>
      <c r="C9820" t="s">
        <v>10</v>
      </c>
      <c r="D9820" t="s">
        <v>19736</v>
      </c>
      <c r="E9820" t="s">
        <v>19737</v>
      </c>
    </row>
    <row r="9821" spans="1:7" ht="14.25" customHeight="1" x14ac:dyDescent="0.45">
      <c r="A9821" t="str">
        <f>_xlfn.XLOOKUP(B9821,Ingot!$H$12:$H$119,Ingot!$G$12:$G$119,"")</f>
        <v>Leather</v>
      </c>
      <c r="B9821" t="s">
        <v>19615</v>
      </c>
      <c r="C9821" t="s">
        <v>10</v>
      </c>
      <c r="D9821" t="s">
        <v>19738</v>
      </c>
      <c r="E9821" t="s">
        <v>19739</v>
      </c>
      <c r="G9821" s="1">
        <v>3.21</v>
      </c>
    </row>
    <row r="9822" spans="1:7" ht="14.25" customHeight="1" x14ac:dyDescent="0.45">
      <c r="A9822" t="str">
        <f>_xlfn.XLOOKUP(B9822,Ingot!$H$12:$H$119,Ingot!$G$12:$G$119,"")</f>
        <v>Leather</v>
      </c>
      <c r="B9822" t="s">
        <v>19615</v>
      </c>
      <c r="C9822" t="s">
        <v>10</v>
      </c>
      <c r="D9822" t="s">
        <v>19740</v>
      </c>
      <c r="E9822" t="s">
        <v>19741</v>
      </c>
      <c r="G9822" s="1">
        <v>2.77</v>
      </c>
    </row>
    <row r="9823" spans="1:7" ht="14.25" customHeight="1" x14ac:dyDescent="0.45">
      <c r="A9823" t="str">
        <f>_xlfn.XLOOKUP(B9823,Ingot!$H$12:$H$119,Ingot!$G$12:$G$119,"")</f>
        <v>Leather</v>
      </c>
      <c r="B9823" t="s">
        <v>19615</v>
      </c>
      <c r="C9823" t="s">
        <v>10</v>
      </c>
      <c r="D9823" t="s">
        <v>19742</v>
      </c>
      <c r="E9823" t="s">
        <v>19743</v>
      </c>
      <c r="G9823" s="1">
        <v>4.8899999999999997</v>
      </c>
    </row>
    <row r="9824" spans="1:7" ht="14.25" customHeight="1" x14ac:dyDescent="0.45">
      <c r="A9824" t="str">
        <f>_xlfn.XLOOKUP(B9824,Ingot!$H$12:$H$119,Ingot!$G$12:$G$119,"")</f>
        <v>Leather</v>
      </c>
      <c r="B9824" t="s">
        <v>19615</v>
      </c>
      <c r="C9824" t="s">
        <v>10</v>
      </c>
      <c r="D9824" t="s">
        <v>19744</v>
      </c>
      <c r="E9824" t="s">
        <v>19745</v>
      </c>
      <c r="G9824" s="1">
        <v>1.76</v>
      </c>
    </row>
    <row r="9825" spans="1:7" ht="14.25" customHeight="1" x14ac:dyDescent="0.45">
      <c r="A9825" t="str">
        <f>_xlfn.XLOOKUP(B9825,Ingot!$H$12:$H$119,Ingot!$G$12:$G$119,"")</f>
        <v>Leather</v>
      </c>
      <c r="B9825" t="s">
        <v>19615</v>
      </c>
      <c r="C9825" t="s">
        <v>10</v>
      </c>
      <c r="D9825" t="s">
        <v>19746</v>
      </c>
      <c r="E9825" t="s">
        <v>19747</v>
      </c>
    </row>
    <row r="9826" spans="1:7" ht="14.25" customHeight="1" x14ac:dyDescent="0.45">
      <c r="A9826" t="str">
        <f>_xlfn.XLOOKUP(B9826,Ingot!$H$12:$H$119,Ingot!$G$12:$G$119,"")</f>
        <v>Leather</v>
      </c>
      <c r="B9826" t="s">
        <v>19615</v>
      </c>
      <c r="C9826" t="s">
        <v>10</v>
      </c>
      <c r="D9826" t="s">
        <v>19748</v>
      </c>
      <c r="E9826" t="s">
        <v>19749</v>
      </c>
      <c r="G9826" s="1">
        <v>8.57</v>
      </c>
    </row>
    <row r="9827" spans="1:7" ht="14.25" customHeight="1" x14ac:dyDescent="0.45">
      <c r="A9827" t="str">
        <f>_xlfn.XLOOKUP(B9827,Ingot!$H$12:$H$119,Ingot!$G$12:$G$119,"")</f>
        <v>Leather</v>
      </c>
      <c r="B9827" t="s">
        <v>19615</v>
      </c>
      <c r="C9827" t="s">
        <v>10</v>
      </c>
      <c r="D9827" t="s">
        <v>19750</v>
      </c>
      <c r="E9827" t="s">
        <v>19751</v>
      </c>
    </row>
    <row r="9828" spans="1:7" ht="14.25" customHeight="1" x14ac:dyDescent="0.45">
      <c r="A9828" t="str">
        <f>_xlfn.XLOOKUP(B9828,Ingot!$H$12:$H$119,Ingot!$G$12:$G$119,"")</f>
        <v>Leather</v>
      </c>
      <c r="B9828" t="s">
        <v>19615</v>
      </c>
      <c r="C9828" t="s">
        <v>10</v>
      </c>
      <c r="D9828" t="s">
        <v>19752</v>
      </c>
      <c r="E9828" t="s">
        <v>19753</v>
      </c>
      <c r="G9828" s="1">
        <v>3.56</v>
      </c>
    </row>
    <row r="9829" spans="1:7" ht="14.25" customHeight="1" x14ac:dyDescent="0.45">
      <c r="A9829" t="str">
        <f>_xlfn.XLOOKUP(B9829,Ingot!$H$12:$H$119,Ingot!$G$12:$G$119,"")</f>
        <v>Leather</v>
      </c>
      <c r="B9829" t="s">
        <v>19615</v>
      </c>
      <c r="C9829" t="s">
        <v>10</v>
      </c>
      <c r="D9829" t="s">
        <v>19754</v>
      </c>
      <c r="E9829" t="s">
        <v>19755</v>
      </c>
      <c r="G9829" s="1">
        <v>8.91</v>
      </c>
    </row>
    <row r="9830" spans="1:7" ht="14.25" customHeight="1" x14ac:dyDescent="0.45">
      <c r="A9830" t="str">
        <f>_xlfn.XLOOKUP(B9830,Ingot!$H$12:$H$119,Ingot!$G$12:$G$119,"")</f>
        <v>Leather</v>
      </c>
      <c r="B9830" t="s">
        <v>19615</v>
      </c>
      <c r="C9830" t="s">
        <v>10</v>
      </c>
      <c r="D9830" t="s">
        <v>19756</v>
      </c>
      <c r="E9830" t="s">
        <v>19757</v>
      </c>
      <c r="G9830" s="1">
        <v>11.02</v>
      </c>
    </row>
    <row r="9831" spans="1:7" ht="14.25" customHeight="1" x14ac:dyDescent="0.45">
      <c r="A9831" t="str">
        <f>_xlfn.XLOOKUP(B9831,Ingot!$H$12:$H$119,Ingot!$G$12:$G$119,"")</f>
        <v>Leather</v>
      </c>
      <c r="B9831" t="s">
        <v>19615</v>
      </c>
      <c r="C9831" t="s">
        <v>10</v>
      </c>
      <c r="D9831" t="s">
        <v>19758</v>
      </c>
      <c r="E9831" t="s">
        <v>19759</v>
      </c>
      <c r="G9831" s="1">
        <v>5.12</v>
      </c>
    </row>
    <row r="9832" spans="1:7" ht="14.25" customHeight="1" x14ac:dyDescent="0.45">
      <c r="A9832" t="str">
        <f>_xlfn.XLOOKUP(B9832,Ingot!$H$12:$H$119,Ingot!$G$12:$G$119,"")</f>
        <v>Leather</v>
      </c>
      <c r="B9832" t="s">
        <v>19615</v>
      </c>
      <c r="C9832" t="s">
        <v>10</v>
      </c>
      <c r="D9832" t="s">
        <v>19760</v>
      </c>
      <c r="E9832" t="s">
        <v>19761</v>
      </c>
      <c r="G9832" s="1">
        <v>4.41</v>
      </c>
    </row>
    <row r="9833" spans="1:7" ht="14.25" customHeight="1" x14ac:dyDescent="0.45">
      <c r="A9833" t="str">
        <f>_xlfn.XLOOKUP(B9833,Ingot!$H$12:$H$119,Ingot!$G$12:$G$119,"")</f>
        <v>Leather</v>
      </c>
      <c r="B9833" t="s">
        <v>19615</v>
      </c>
      <c r="C9833" t="s">
        <v>157</v>
      </c>
      <c r="D9833" t="s">
        <v>19762</v>
      </c>
      <c r="E9833" t="s">
        <v>19763</v>
      </c>
      <c r="F9833" t="s">
        <v>180</v>
      </c>
      <c r="G9833" s="1">
        <v>16.63</v>
      </c>
    </row>
    <row r="9834" spans="1:7" ht="14.25" customHeight="1" x14ac:dyDescent="0.45">
      <c r="A9834" t="str">
        <f>_xlfn.XLOOKUP(B9834,Ingot!$H$12:$H$119,Ingot!$G$12:$G$119,"")</f>
        <v>Leather</v>
      </c>
      <c r="B9834" t="s">
        <v>19615</v>
      </c>
      <c r="C9834" t="s">
        <v>157</v>
      </c>
      <c r="D9834" t="s">
        <v>19764</v>
      </c>
      <c r="E9834" t="s">
        <v>19765</v>
      </c>
      <c r="F9834" t="s">
        <v>180</v>
      </c>
      <c r="G9834" s="1">
        <v>5</v>
      </c>
    </row>
    <row r="9835" spans="1:7" ht="14.25" customHeight="1" x14ac:dyDescent="0.45">
      <c r="A9835" t="str">
        <f>_xlfn.XLOOKUP(B9835,Ingot!$H$12:$H$119,Ingot!$G$12:$G$119,"")</f>
        <v>Leather</v>
      </c>
      <c r="B9835" t="s">
        <v>19615</v>
      </c>
      <c r="C9835" t="s">
        <v>157</v>
      </c>
      <c r="D9835" t="s">
        <v>19766</v>
      </c>
      <c r="E9835" t="s">
        <v>19767</v>
      </c>
      <c r="F9835" t="s">
        <v>180</v>
      </c>
      <c r="G9835" s="1">
        <v>5</v>
      </c>
    </row>
    <row r="9836" spans="1:7" ht="14.25" customHeight="1" x14ac:dyDescent="0.45">
      <c r="A9836" t="str">
        <f>_xlfn.XLOOKUP(B9836,Ingot!$H$12:$H$119,Ingot!$G$12:$G$119,"")</f>
        <v>Leather</v>
      </c>
      <c r="B9836" t="s">
        <v>19615</v>
      </c>
      <c r="C9836" t="s">
        <v>157</v>
      </c>
      <c r="D9836" t="s">
        <v>19768</v>
      </c>
      <c r="E9836" t="s">
        <v>19769</v>
      </c>
      <c r="F9836" t="s">
        <v>180</v>
      </c>
      <c r="G9836" s="1">
        <v>5</v>
      </c>
    </row>
    <row r="9837" spans="1:7" ht="14.25" customHeight="1" x14ac:dyDescent="0.45">
      <c r="A9837" t="str">
        <f>_xlfn.XLOOKUP(B9837,Ingot!$H$12:$H$119,Ingot!$G$12:$G$119,"")</f>
        <v>Leather</v>
      </c>
      <c r="B9837" t="s">
        <v>19615</v>
      </c>
      <c r="C9837" t="s">
        <v>157</v>
      </c>
      <c r="D9837" t="s">
        <v>19770</v>
      </c>
      <c r="E9837" t="s">
        <v>19771</v>
      </c>
      <c r="F9837" t="s">
        <v>180</v>
      </c>
      <c r="G9837" s="1">
        <v>10</v>
      </c>
    </row>
    <row r="9838" spans="1:7" ht="14.25" customHeight="1" x14ac:dyDescent="0.45">
      <c r="A9838" t="str">
        <f>_xlfn.XLOOKUP(B9838,Ingot!$H$12:$H$119,Ingot!$G$12:$G$119,"")</f>
        <v>Leather</v>
      </c>
      <c r="B9838" t="s">
        <v>19615</v>
      </c>
      <c r="C9838" t="s">
        <v>157</v>
      </c>
      <c r="D9838" t="s">
        <v>19772</v>
      </c>
      <c r="E9838" t="s">
        <v>19773</v>
      </c>
      <c r="F9838" t="s">
        <v>180</v>
      </c>
      <c r="G9838" s="1">
        <v>13.93</v>
      </c>
    </row>
    <row r="9839" spans="1:7" ht="14.25" customHeight="1" x14ac:dyDescent="0.45">
      <c r="A9839" t="str">
        <f>_xlfn.XLOOKUP(B9839,Ingot!$H$12:$H$119,Ingot!$G$12:$G$119,"")</f>
        <v>Leather</v>
      </c>
      <c r="B9839" t="s">
        <v>19615</v>
      </c>
      <c r="C9839" t="s">
        <v>157</v>
      </c>
      <c r="D9839" t="s">
        <v>19774</v>
      </c>
      <c r="E9839" t="s">
        <v>19775</v>
      </c>
      <c r="F9839" t="s">
        <v>180</v>
      </c>
      <c r="G9839" s="1">
        <v>5</v>
      </c>
    </row>
    <row r="9840" spans="1:7" ht="14.25" customHeight="1" x14ac:dyDescent="0.45">
      <c r="A9840" t="str">
        <f>_xlfn.XLOOKUP(B9840,Ingot!$H$12:$H$119,Ingot!$G$12:$G$119,"")</f>
        <v>Leather</v>
      </c>
      <c r="B9840" t="s">
        <v>19615</v>
      </c>
      <c r="C9840" t="s">
        <v>157</v>
      </c>
      <c r="D9840" t="s">
        <v>19776</v>
      </c>
      <c r="E9840" t="s">
        <v>19777</v>
      </c>
      <c r="F9840" t="s">
        <v>180</v>
      </c>
      <c r="G9840" s="1">
        <v>5</v>
      </c>
    </row>
    <row r="9841" spans="1:7" ht="14.25" customHeight="1" x14ac:dyDescent="0.45">
      <c r="A9841" t="str">
        <f>_xlfn.XLOOKUP(B9841,Ingot!$H$12:$H$119,Ingot!$G$12:$G$119,"")</f>
        <v>Leather</v>
      </c>
      <c r="B9841" t="s">
        <v>19615</v>
      </c>
      <c r="C9841" t="s">
        <v>157</v>
      </c>
      <c r="D9841" t="s">
        <v>19778</v>
      </c>
      <c r="E9841" t="s">
        <v>19779</v>
      </c>
      <c r="F9841" t="s">
        <v>180</v>
      </c>
      <c r="G9841" s="1">
        <v>5</v>
      </c>
    </row>
    <row r="9842" spans="1:7" ht="14.25" customHeight="1" x14ac:dyDescent="0.45">
      <c r="A9842" t="str">
        <f>_xlfn.XLOOKUP(B9842,Ingot!$H$12:$H$119,Ingot!$G$12:$G$119,"")</f>
        <v>Leather</v>
      </c>
      <c r="B9842" t="s">
        <v>19615</v>
      </c>
      <c r="C9842" t="s">
        <v>157</v>
      </c>
      <c r="D9842" t="s">
        <v>19780</v>
      </c>
      <c r="E9842" t="s">
        <v>19781</v>
      </c>
      <c r="F9842" t="s">
        <v>180</v>
      </c>
      <c r="G9842" s="1">
        <v>10</v>
      </c>
    </row>
    <row r="9843" spans="1:7" ht="14.25" customHeight="1" x14ac:dyDescent="0.45">
      <c r="A9843" t="str">
        <f>_xlfn.XLOOKUP(B9843,Ingot!$H$12:$H$119,Ingot!$G$12:$G$119,"")</f>
        <v>Leather</v>
      </c>
      <c r="B9843" t="s">
        <v>19615</v>
      </c>
      <c r="C9843" t="s">
        <v>157</v>
      </c>
      <c r="D9843" t="s">
        <v>19782</v>
      </c>
      <c r="E9843" t="s">
        <v>19783</v>
      </c>
      <c r="G9843" s="1">
        <v>13.43</v>
      </c>
    </row>
    <row r="9844" spans="1:7" ht="14.25" customHeight="1" x14ac:dyDescent="0.45">
      <c r="A9844" t="str">
        <f>_xlfn.XLOOKUP(B9844,Ingot!$H$12:$H$119,Ingot!$G$12:$G$119,"")</f>
        <v>Leather</v>
      </c>
      <c r="B9844" t="s">
        <v>19615</v>
      </c>
      <c r="C9844" t="s">
        <v>157</v>
      </c>
      <c r="D9844" t="s">
        <v>19784</v>
      </c>
      <c r="E9844" t="s">
        <v>19785</v>
      </c>
      <c r="G9844" s="1">
        <v>5</v>
      </c>
    </row>
    <row r="9845" spans="1:7" ht="14.25" customHeight="1" x14ac:dyDescent="0.45">
      <c r="A9845" t="str">
        <f>_xlfn.XLOOKUP(B9845,Ingot!$H$12:$H$119,Ingot!$G$12:$G$119,"")</f>
        <v>Leather</v>
      </c>
      <c r="B9845" t="s">
        <v>19615</v>
      </c>
      <c r="C9845" t="s">
        <v>157</v>
      </c>
      <c r="D9845" t="s">
        <v>19786</v>
      </c>
      <c r="E9845" t="s">
        <v>19787</v>
      </c>
      <c r="G9845" s="1">
        <v>5</v>
      </c>
    </row>
    <row r="9846" spans="1:7" ht="14.25" customHeight="1" x14ac:dyDescent="0.45">
      <c r="A9846" t="str">
        <f>_xlfn.XLOOKUP(B9846,Ingot!$H$12:$H$119,Ingot!$G$12:$G$119,"")</f>
        <v>Leather</v>
      </c>
      <c r="B9846" t="s">
        <v>19615</v>
      </c>
      <c r="C9846" t="s">
        <v>157</v>
      </c>
      <c r="D9846" t="s">
        <v>19788</v>
      </c>
      <c r="E9846" t="s">
        <v>19789</v>
      </c>
      <c r="G9846" s="1">
        <v>5</v>
      </c>
    </row>
    <row r="9847" spans="1:7" ht="14.25" customHeight="1" x14ac:dyDescent="0.45">
      <c r="A9847" t="str">
        <f>_xlfn.XLOOKUP(B9847,Ingot!$H$12:$H$119,Ingot!$G$12:$G$119,"")</f>
        <v>Leather</v>
      </c>
      <c r="B9847" t="s">
        <v>19615</v>
      </c>
      <c r="C9847" t="s">
        <v>157</v>
      </c>
      <c r="D9847" t="s">
        <v>19790</v>
      </c>
      <c r="E9847" t="s">
        <v>19791</v>
      </c>
      <c r="G9847" s="1">
        <v>10</v>
      </c>
    </row>
    <row r="9848" spans="1:7" ht="14.25" customHeight="1" x14ac:dyDescent="0.45">
      <c r="A9848" t="str">
        <f>_xlfn.XLOOKUP(B9848,Ingot!$H$12:$H$119,Ingot!$G$12:$G$119,"")</f>
        <v>Leather</v>
      </c>
      <c r="B9848" t="s">
        <v>19615</v>
      </c>
      <c r="C9848" t="s">
        <v>157</v>
      </c>
      <c r="D9848" t="s">
        <v>19792</v>
      </c>
      <c r="E9848" t="s">
        <v>19793</v>
      </c>
      <c r="F9848" t="s">
        <v>180</v>
      </c>
      <c r="G9848" s="1">
        <v>14.63</v>
      </c>
    </row>
    <row r="9849" spans="1:7" ht="14.25" customHeight="1" x14ac:dyDescent="0.45">
      <c r="A9849" t="str">
        <f>_xlfn.XLOOKUP(B9849,Ingot!$H$12:$H$119,Ingot!$G$12:$G$119,"")</f>
        <v>Leather</v>
      </c>
      <c r="B9849" t="s">
        <v>19615</v>
      </c>
      <c r="C9849" t="s">
        <v>157</v>
      </c>
      <c r="D9849" t="s">
        <v>19794</v>
      </c>
      <c r="E9849" t="s">
        <v>19795</v>
      </c>
      <c r="F9849" t="s">
        <v>180</v>
      </c>
      <c r="G9849" s="1">
        <v>5</v>
      </c>
    </row>
    <row r="9850" spans="1:7" ht="14.25" customHeight="1" x14ac:dyDescent="0.45">
      <c r="A9850" t="str">
        <f>_xlfn.XLOOKUP(B9850,Ingot!$H$12:$H$119,Ingot!$G$12:$G$119,"")</f>
        <v>Leather</v>
      </c>
      <c r="B9850" t="s">
        <v>19615</v>
      </c>
      <c r="C9850" t="s">
        <v>157</v>
      </c>
      <c r="D9850" t="s">
        <v>19796</v>
      </c>
      <c r="E9850" t="s">
        <v>19797</v>
      </c>
      <c r="F9850" t="s">
        <v>180</v>
      </c>
      <c r="G9850" s="1">
        <v>5</v>
      </c>
    </row>
    <row r="9851" spans="1:7" ht="14.25" customHeight="1" x14ac:dyDescent="0.45">
      <c r="A9851" t="str">
        <f>_xlfn.XLOOKUP(B9851,Ingot!$H$12:$H$119,Ingot!$G$12:$G$119,"")</f>
        <v>Leather</v>
      </c>
      <c r="B9851" t="s">
        <v>19615</v>
      </c>
      <c r="C9851" t="s">
        <v>157</v>
      </c>
      <c r="D9851" t="s">
        <v>19798</v>
      </c>
      <c r="E9851" t="s">
        <v>19799</v>
      </c>
      <c r="F9851" t="s">
        <v>180</v>
      </c>
      <c r="G9851" s="1">
        <v>5</v>
      </c>
    </row>
    <row r="9852" spans="1:7" ht="14.25" customHeight="1" x14ac:dyDescent="0.45">
      <c r="A9852" t="str">
        <f>_xlfn.XLOOKUP(B9852,Ingot!$H$12:$H$119,Ingot!$G$12:$G$119,"")</f>
        <v>Leather</v>
      </c>
      <c r="B9852" t="s">
        <v>19615</v>
      </c>
      <c r="C9852" t="s">
        <v>157</v>
      </c>
      <c r="D9852" t="s">
        <v>19800</v>
      </c>
      <c r="E9852" t="s">
        <v>19801</v>
      </c>
      <c r="F9852" t="s">
        <v>180</v>
      </c>
      <c r="G9852" s="1">
        <v>10</v>
      </c>
    </row>
    <row r="9853" spans="1:7" ht="14.25" customHeight="1" x14ac:dyDescent="0.45">
      <c r="A9853" t="str">
        <f>_xlfn.XLOOKUP(B9853,Ingot!$H$12:$H$119,Ingot!$G$12:$G$119,"")</f>
        <v>Leather</v>
      </c>
      <c r="B9853" t="s">
        <v>19615</v>
      </c>
      <c r="C9853" t="s">
        <v>157</v>
      </c>
      <c r="D9853" t="s">
        <v>19802</v>
      </c>
      <c r="E9853" t="s">
        <v>19803</v>
      </c>
      <c r="F9853" t="s">
        <v>180</v>
      </c>
      <c r="G9853" s="1">
        <v>15.63</v>
      </c>
    </row>
    <row r="9854" spans="1:7" ht="14.25" customHeight="1" x14ac:dyDescent="0.45">
      <c r="A9854" t="str">
        <f>_xlfn.XLOOKUP(B9854,Ingot!$H$12:$H$119,Ingot!$G$12:$G$119,"")</f>
        <v>Leather</v>
      </c>
      <c r="B9854" t="s">
        <v>19615</v>
      </c>
      <c r="C9854" t="s">
        <v>157</v>
      </c>
      <c r="D9854" t="s">
        <v>19804</v>
      </c>
      <c r="E9854" t="s">
        <v>19805</v>
      </c>
      <c r="G9854" s="1">
        <v>5</v>
      </c>
    </row>
    <row r="9855" spans="1:7" ht="14.25" customHeight="1" x14ac:dyDescent="0.45">
      <c r="A9855" t="str">
        <f>_xlfn.XLOOKUP(B9855,Ingot!$H$12:$H$119,Ingot!$G$12:$G$119,"")</f>
        <v>Leather</v>
      </c>
      <c r="B9855" t="s">
        <v>19615</v>
      </c>
      <c r="C9855" t="s">
        <v>157</v>
      </c>
      <c r="D9855" t="s">
        <v>19806</v>
      </c>
      <c r="E9855" t="s">
        <v>19807</v>
      </c>
      <c r="G9855" s="1">
        <v>5</v>
      </c>
    </row>
    <row r="9856" spans="1:7" ht="14.25" customHeight="1" x14ac:dyDescent="0.45">
      <c r="A9856" t="str">
        <f>_xlfn.XLOOKUP(B9856,Ingot!$H$12:$H$119,Ingot!$G$12:$G$119,"")</f>
        <v>Leather</v>
      </c>
      <c r="B9856" t="s">
        <v>19615</v>
      </c>
      <c r="C9856" t="s">
        <v>157</v>
      </c>
      <c r="D9856" t="s">
        <v>19808</v>
      </c>
      <c r="E9856" t="s">
        <v>19809</v>
      </c>
      <c r="G9856" s="1">
        <v>5</v>
      </c>
    </row>
    <row r="9857" spans="1:7" ht="14.25" customHeight="1" x14ac:dyDescent="0.45">
      <c r="A9857" t="str">
        <f>_xlfn.XLOOKUP(B9857,Ingot!$H$12:$H$119,Ingot!$G$12:$G$119,"")</f>
        <v>Leather</v>
      </c>
      <c r="B9857" t="s">
        <v>19615</v>
      </c>
      <c r="C9857" t="s">
        <v>157</v>
      </c>
      <c r="D9857" t="s">
        <v>19810</v>
      </c>
      <c r="E9857" t="s">
        <v>19811</v>
      </c>
      <c r="F9857" t="s">
        <v>180</v>
      </c>
      <c r="G9857" s="1">
        <v>10</v>
      </c>
    </row>
    <row r="9858" spans="1:7" ht="14.25" customHeight="1" x14ac:dyDescent="0.45">
      <c r="A9858" t="str">
        <f>_xlfn.XLOOKUP(B9858,Ingot!$H$12:$H$119,Ingot!$G$12:$G$119,"")</f>
        <v>Leather</v>
      </c>
      <c r="B9858" t="s">
        <v>19615</v>
      </c>
      <c r="C9858" t="s">
        <v>157</v>
      </c>
      <c r="D9858" t="s">
        <v>19812</v>
      </c>
      <c r="E9858" t="s">
        <v>19813</v>
      </c>
      <c r="F9858" t="s">
        <v>180</v>
      </c>
      <c r="G9858" s="1">
        <v>18.63</v>
      </c>
    </row>
    <row r="9859" spans="1:7" ht="14.25" customHeight="1" x14ac:dyDescent="0.45">
      <c r="A9859" t="str">
        <f>_xlfn.XLOOKUP(B9859,Ingot!$H$12:$H$119,Ingot!$G$12:$G$119,"")</f>
        <v>Leather</v>
      </c>
      <c r="B9859" t="s">
        <v>19615</v>
      </c>
      <c r="C9859" t="s">
        <v>157</v>
      </c>
      <c r="D9859" t="s">
        <v>19814</v>
      </c>
      <c r="E9859" t="s">
        <v>19815</v>
      </c>
      <c r="F9859" t="s">
        <v>180</v>
      </c>
      <c r="G9859" s="1">
        <v>5</v>
      </c>
    </row>
    <row r="9860" spans="1:7" ht="14.25" customHeight="1" x14ac:dyDescent="0.45">
      <c r="A9860" t="str">
        <f>_xlfn.XLOOKUP(B9860,Ingot!$H$12:$H$119,Ingot!$G$12:$G$119,"")</f>
        <v>Leather</v>
      </c>
      <c r="B9860" t="s">
        <v>19615</v>
      </c>
      <c r="C9860" t="s">
        <v>157</v>
      </c>
      <c r="D9860" t="s">
        <v>19816</v>
      </c>
      <c r="E9860" t="s">
        <v>19817</v>
      </c>
      <c r="F9860" t="s">
        <v>180</v>
      </c>
      <c r="G9860" s="1">
        <v>5</v>
      </c>
    </row>
    <row r="9861" spans="1:7" ht="14.25" customHeight="1" x14ac:dyDescent="0.45">
      <c r="A9861" t="str">
        <f>_xlfn.XLOOKUP(B9861,Ingot!$H$12:$H$119,Ingot!$G$12:$G$119,"")</f>
        <v>Leather</v>
      </c>
      <c r="B9861" t="s">
        <v>19615</v>
      </c>
      <c r="C9861" t="s">
        <v>157</v>
      </c>
      <c r="D9861" t="s">
        <v>19818</v>
      </c>
      <c r="E9861" t="s">
        <v>19819</v>
      </c>
      <c r="F9861" t="s">
        <v>180</v>
      </c>
      <c r="G9861" s="1">
        <v>5</v>
      </c>
    </row>
    <row r="9862" spans="1:7" ht="14.25" customHeight="1" x14ac:dyDescent="0.45">
      <c r="A9862" t="str">
        <f>_xlfn.XLOOKUP(B9862,Ingot!$H$12:$H$119,Ingot!$G$12:$G$119,"")</f>
        <v>Leather</v>
      </c>
      <c r="B9862" t="s">
        <v>19615</v>
      </c>
      <c r="C9862" t="s">
        <v>157</v>
      </c>
      <c r="D9862" t="s">
        <v>19820</v>
      </c>
      <c r="E9862" t="s">
        <v>19821</v>
      </c>
      <c r="F9862" t="s">
        <v>180</v>
      </c>
      <c r="G9862" s="1">
        <v>10</v>
      </c>
    </row>
    <row r="9863" spans="1:7" ht="14.25" customHeight="1" x14ac:dyDescent="0.45">
      <c r="A9863" t="str">
        <f>_xlfn.XLOOKUP(B9863,Ingot!$H$12:$H$119,Ingot!$G$12:$G$119,"")</f>
        <v>Leather</v>
      </c>
      <c r="B9863" t="s">
        <v>19615</v>
      </c>
      <c r="C9863" t="s">
        <v>157</v>
      </c>
      <c r="D9863" t="s">
        <v>19822</v>
      </c>
      <c r="E9863" t="s">
        <v>19823</v>
      </c>
      <c r="F9863" t="s">
        <v>180</v>
      </c>
      <c r="G9863" s="1">
        <v>17.63</v>
      </c>
    </row>
    <row r="9864" spans="1:7" ht="14.25" customHeight="1" x14ac:dyDescent="0.45">
      <c r="A9864" t="str">
        <f>_xlfn.XLOOKUP(B9864,Ingot!$H$12:$H$119,Ingot!$G$12:$G$119,"")</f>
        <v>Leather</v>
      </c>
      <c r="B9864" t="s">
        <v>19615</v>
      </c>
      <c r="C9864" t="s">
        <v>157</v>
      </c>
      <c r="D9864" t="s">
        <v>19824</v>
      </c>
      <c r="E9864" t="s">
        <v>19825</v>
      </c>
      <c r="F9864" t="s">
        <v>180</v>
      </c>
      <c r="G9864" s="1">
        <v>5</v>
      </c>
    </row>
    <row r="9865" spans="1:7" ht="14.25" customHeight="1" x14ac:dyDescent="0.45">
      <c r="A9865" t="str">
        <f>_xlfn.XLOOKUP(B9865,Ingot!$H$12:$H$119,Ingot!$G$12:$G$119,"")</f>
        <v>Leather</v>
      </c>
      <c r="B9865" t="s">
        <v>19615</v>
      </c>
      <c r="C9865" t="s">
        <v>157</v>
      </c>
      <c r="D9865" t="s">
        <v>19826</v>
      </c>
      <c r="E9865" t="s">
        <v>19827</v>
      </c>
      <c r="F9865" t="s">
        <v>180</v>
      </c>
      <c r="G9865" s="1">
        <v>5</v>
      </c>
    </row>
    <row r="9866" spans="1:7" ht="14.25" customHeight="1" x14ac:dyDescent="0.45">
      <c r="A9866" t="str">
        <f>_xlfn.XLOOKUP(B9866,Ingot!$H$12:$H$119,Ingot!$G$12:$G$119,"")</f>
        <v>Leather</v>
      </c>
      <c r="B9866" t="s">
        <v>19615</v>
      </c>
      <c r="C9866" t="s">
        <v>157</v>
      </c>
      <c r="D9866" t="s">
        <v>19828</v>
      </c>
      <c r="E9866" t="s">
        <v>19829</v>
      </c>
      <c r="F9866" t="s">
        <v>180</v>
      </c>
      <c r="G9866" s="1">
        <v>5</v>
      </c>
    </row>
    <row r="9867" spans="1:7" ht="14.25" customHeight="1" x14ac:dyDescent="0.45">
      <c r="A9867" t="str">
        <f>_xlfn.XLOOKUP(B9867,Ingot!$H$12:$H$119,Ingot!$G$12:$G$119,"")</f>
        <v>Leather</v>
      </c>
      <c r="B9867" t="s">
        <v>19615</v>
      </c>
      <c r="C9867" t="s">
        <v>157</v>
      </c>
      <c r="D9867" t="s">
        <v>19830</v>
      </c>
      <c r="E9867" t="s">
        <v>19831</v>
      </c>
      <c r="F9867" t="s">
        <v>180</v>
      </c>
      <c r="G9867" s="1">
        <v>10</v>
      </c>
    </row>
    <row r="9868" spans="1:7" ht="14.25" customHeight="1" x14ac:dyDescent="0.45">
      <c r="A9868" t="str">
        <f>_xlfn.XLOOKUP(B9868,Ingot!$H$12:$H$119,Ingot!$G$12:$G$119,"")</f>
        <v>Leather</v>
      </c>
      <c r="B9868" t="s">
        <v>19615</v>
      </c>
      <c r="C9868" t="s">
        <v>157</v>
      </c>
      <c r="D9868" t="s">
        <v>19832</v>
      </c>
      <c r="E9868" t="s">
        <v>19833</v>
      </c>
      <c r="G9868" s="1">
        <v>13.23</v>
      </c>
    </row>
    <row r="9869" spans="1:7" ht="14.25" customHeight="1" x14ac:dyDescent="0.45">
      <c r="A9869" t="str">
        <f>_xlfn.XLOOKUP(B9869,Ingot!$H$12:$H$119,Ingot!$G$12:$G$119,"")</f>
        <v>Leather</v>
      </c>
      <c r="B9869" t="s">
        <v>19615</v>
      </c>
      <c r="C9869" t="s">
        <v>157</v>
      </c>
      <c r="D9869" t="s">
        <v>19834</v>
      </c>
      <c r="E9869" t="s">
        <v>19835</v>
      </c>
      <c r="G9869" s="1">
        <v>5</v>
      </c>
    </row>
    <row r="9870" spans="1:7" ht="14.25" customHeight="1" x14ac:dyDescent="0.45">
      <c r="A9870" t="str">
        <f>_xlfn.XLOOKUP(B9870,Ingot!$H$12:$H$119,Ingot!$G$12:$G$119,"")</f>
        <v>Leather</v>
      </c>
      <c r="B9870" t="s">
        <v>19615</v>
      </c>
      <c r="C9870" t="s">
        <v>157</v>
      </c>
      <c r="D9870" t="s">
        <v>19836</v>
      </c>
      <c r="E9870" t="s">
        <v>19837</v>
      </c>
      <c r="G9870" s="1">
        <v>5</v>
      </c>
    </row>
    <row r="9871" spans="1:7" ht="14.25" customHeight="1" x14ac:dyDescent="0.45">
      <c r="A9871" t="str">
        <f>_xlfn.XLOOKUP(B9871,Ingot!$H$12:$H$119,Ingot!$G$12:$G$119,"")</f>
        <v>Leather</v>
      </c>
      <c r="B9871" t="s">
        <v>19615</v>
      </c>
      <c r="C9871" t="s">
        <v>157</v>
      </c>
      <c r="D9871" t="s">
        <v>19838</v>
      </c>
      <c r="E9871" t="s">
        <v>19839</v>
      </c>
      <c r="G9871" s="1">
        <v>5</v>
      </c>
    </row>
    <row r="9872" spans="1:7" ht="14.25" customHeight="1" x14ac:dyDescent="0.45">
      <c r="A9872" t="str">
        <f>_xlfn.XLOOKUP(B9872,Ingot!$H$12:$H$119,Ingot!$G$12:$G$119,"")</f>
        <v>Leather</v>
      </c>
      <c r="B9872" t="s">
        <v>19615</v>
      </c>
      <c r="C9872" t="s">
        <v>157</v>
      </c>
      <c r="D9872" t="s">
        <v>19840</v>
      </c>
      <c r="E9872" t="s">
        <v>19841</v>
      </c>
      <c r="G9872" s="1">
        <v>10</v>
      </c>
    </row>
    <row r="9873" spans="1:7" ht="14.25" customHeight="1" x14ac:dyDescent="0.45">
      <c r="A9873" t="str">
        <f>_xlfn.XLOOKUP(B9873,Ingot!$H$12:$H$119,Ingot!$G$12:$G$119,"")</f>
        <v>Leather</v>
      </c>
      <c r="B9873" t="s">
        <v>19615</v>
      </c>
      <c r="C9873" t="s">
        <v>239</v>
      </c>
      <c r="D9873" t="s">
        <v>19842</v>
      </c>
      <c r="E9873" t="s">
        <v>19843</v>
      </c>
      <c r="G9873" s="1">
        <f>(VLOOKUP(B9873,Ingot!H:I,2,FALSE()) * 0.75) * 0.75</f>
        <v>0.984375</v>
      </c>
    </row>
    <row r="9874" spans="1:7" ht="14.25" customHeight="1" x14ac:dyDescent="0.45">
      <c r="A9874" t="str">
        <f>_xlfn.XLOOKUP(B9874,Ingot!$H$12:$H$119,Ingot!$G$12:$G$119,"")</f>
        <v>Leather</v>
      </c>
      <c r="B9874" t="s">
        <v>19615</v>
      </c>
      <c r="C9874" t="s">
        <v>239</v>
      </c>
      <c r="D9874" t="s">
        <v>19844</v>
      </c>
      <c r="E9874" t="s">
        <v>19845</v>
      </c>
      <c r="F9874" t="s">
        <v>180</v>
      </c>
      <c r="G9874" s="1">
        <f>((VLOOKUP(B9874,Ingot!H:I,2,FALSE()) * 3) - 10.25) * 0.421875</f>
        <v>-2.109375</v>
      </c>
    </row>
    <row r="9875" spans="1:7" ht="14.25" customHeight="1" x14ac:dyDescent="0.45">
      <c r="A9875" t="str">
        <f>_xlfn.XLOOKUP(B9875,Ingot!$H$12:$H$119,Ingot!$G$12:$G$119,"")</f>
        <v>Leather</v>
      </c>
      <c r="B9875" t="s">
        <v>19615</v>
      </c>
      <c r="C9875" t="s">
        <v>239</v>
      </c>
      <c r="D9875" t="s">
        <v>19846</v>
      </c>
      <c r="E9875" t="s">
        <v>19847</v>
      </c>
      <c r="F9875" t="s">
        <v>180</v>
      </c>
      <c r="G9875" s="1">
        <f>((VLOOKUP(B9875,Ingot!H:I,2,FALSE()) * 3) - 10.25) * 0.75</f>
        <v>-3.75</v>
      </c>
    </row>
    <row r="9876" spans="1:7" ht="14.25" customHeight="1" x14ac:dyDescent="0.45">
      <c r="A9876" t="str">
        <f>_xlfn.XLOOKUP(B9876,Ingot!$H$12:$H$119,Ingot!$G$12:$G$119,"")</f>
        <v>Leather</v>
      </c>
      <c r="B9876" t="s">
        <v>19615</v>
      </c>
      <c r="C9876" t="s">
        <v>239</v>
      </c>
      <c r="D9876" t="s">
        <v>19848</v>
      </c>
      <c r="E9876" t="s">
        <v>19849</v>
      </c>
      <c r="F9876" t="s">
        <v>180</v>
      </c>
      <c r="G9876" s="1">
        <f>((VLOOKUP(B9876,Ingot!H:I,2,FALSE()) * 3) - 10.25) * 0.5625</f>
        <v>-2.8125</v>
      </c>
    </row>
    <row r="9877" spans="1:7" ht="14.25" customHeight="1" x14ac:dyDescent="0.45">
      <c r="A9877" t="str">
        <f>_xlfn.XLOOKUP(B9877,Ingot!$H$12:$H$119,Ingot!$G$12:$G$119,"")</f>
        <v>Leather</v>
      </c>
      <c r="B9877" t="s">
        <v>19615</v>
      </c>
      <c r="C9877" t="s">
        <v>239</v>
      </c>
      <c r="D9877" t="s">
        <v>19850</v>
      </c>
      <c r="E9877" t="s">
        <v>19851</v>
      </c>
      <c r="G9877" s="1">
        <f>VLOOKUP(B9877,Ingot!H:I,2,FALSE()) * 0.75</f>
        <v>1.3125</v>
      </c>
    </row>
    <row r="9878" spans="1:7" ht="14.25" customHeight="1" x14ac:dyDescent="0.45">
      <c r="A9878" t="str">
        <f>_xlfn.XLOOKUP(B9878,Ingot!$H$12:$H$119,Ingot!$G$12:$G$119,"")</f>
        <v>Leather</v>
      </c>
      <c r="B9878" t="s">
        <v>19615</v>
      </c>
      <c r="C9878" t="s">
        <v>239</v>
      </c>
      <c r="D9878" t="s">
        <v>19852</v>
      </c>
      <c r="E9878" t="s">
        <v>19853</v>
      </c>
      <c r="F9878" t="s">
        <v>180</v>
      </c>
      <c r="G9878" s="1">
        <f>(VLOOKUP(B9878,Ingot!H:I,2,FALSE()) * 3) - 10.25</f>
        <v>-5</v>
      </c>
    </row>
    <row r="9879" spans="1:7" ht="14.25" customHeight="1" x14ac:dyDescent="0.45">
      <c r="A9879" t="str">
        <f>_xlfn.XLOOKUP(B9879,Ingot!$H$12:$H$119,Ingot!$G$12:$G$119,"")</f>
        <v>Leather</v>
      </c>
      <c r="B9879" t="s">
        <v>19854</v>
      </c>
      <c r="C9879" t="s">
        <v>10</v>
      </c>
      <c r="D9879" t="s">
        <v>19855</v>
      </c>
      <c r="E9879" t="s">
        <v>19856</v>
      </c>
      <c r="G9879" s="1">
        <v>0.08</v>
      </c>
    </row>
    <row r="9880" spans="1:7" ht="14.25" customHeight="1" x14ac:dyDescent="0.45">
      <c r="A9880" t="str">
        <f>_xlfn.XLOOKUP(B9880,Ingot!$H$12:$H$119,Ingot!$G$12:$G$119,"")</f>
        <v>Leather</v>
      </c>
      <c r="B9880" t="s">
        <v>19854</v>
      </c>
      <c r="C9880" t="s">
        <v>10</v>
      </c>
      <c r="D9880" t="s">
        <v>19857</v>
      </c>
      <c r="E9880" t="s">
        <v>19858</v>
      </c>
      <c r="G9880" s="1">
        <v>9.9</v>
      </c>
    </row>
    <row r="9881" spans="1:7" ht="14.25" customHeight="1" x14ac:dyDescent="0.45">
      <c r="A9881" t="str">
        <f>_xlfn.XLOOKUP(B9881,Ingot!$H$12:$H$119,Ingot!$G$12:$G$119,"")</f>
        <v>Leather</v>
      </c>
      <c r="B9881" t="s">
        <v>19854</v>
      </c>
      <c r="C9881" t="s">
        <v>10</v>
      </c>
      <c r="D9881" t="s">
        <v>19859</v>
      </c>
      <c r="E9881" t="s">
        <v>19860</v>
      </c>
      <c r="G9881" s="1">
        <v>5.66</v>
      </c>
    </row>
    <row r="9882" spans="1:7" ht="14.25" customHeight="1" x14ac:dyDescent="0.45">
      <c r="A9882" t="str">
        <f>_xlfn.XLOOKUP(B9882,Ingot!$H$12:$H$119,Ingot!$G$12:$G$119,"")</f>
        <v>Leather</v>
      </c>
      <c r="B9882" t="s">
        <v>19854</v>
      </c>
      <c r="C9882" t="s">
        <v>10</v>
      </c>
      <c r="D9882" t="s">
        <v>19861</v>
      </c>
      <c r="E9882" t="s">
        <v>19862</v>
      </c>
      <c r="G9882" s="1">
        <v>3.3</v>
      </c>
    </row>
    <row r="9883" spans="1:7" ht="14.25" customHeight="1" x14ac:dyDescent="0.45">
      <c r="A9883" t="str">
        <f>_xlfn.XLOOKUP(B9883,Ingot!$H$12:$H$119,Ingot!$G$12:$G$119,"")</f>
        <v>Leather</v>
      </c>
      <c r="B9883" t="s">
        <v>19854</v>
      </c>
      <c r="C9883" t="s">
        <v>10</v>
      </c>
      <c r="D9883" t="s">
        <v>19863</v>
      </c>
      <c r="E9883" t="s">
        <v>19864</v>
      </c>
      <c r="G9883" s="1">
        <v>0.66</v>
      </c>
    </row>
    <row r="9884" spans="1:7" ht="14.25" customHeight="1" x14ac:dyDescent="0.45">
      <c r="A9884" t="str">
        <f>_xlfn.XLOOKUP(B9884,Ingot!$H$12:$H$119,Ingot!$G$12:$G$119,"")</f>
        <v>Leather</v>
      </c>
      <c r="B9884" t="s">
        <v>19854</v>
      </c>
      <c r="C9884" t="s">
        <v>10</v>
      </c>
      <c r="D9884" t="s">
        <v>19865</v>
      </c>
      <c r="E9884" t="s">
        <v>19866</v>
      </c>
      <c r="G9884" s="1">
        <v>0.04</v>
      </c>
    </row>
    <row r="9885" spans="1:7" ht="14.25" customHeight="1" x14ac:dyDescent="0.45">
      <c r="A9885" t="str">
        <f>_xlfn.XLOOKUP(B9885,Ingot!$H$12:$H$119,Ingot!$G$12:$G$119,"")</f>
        <v>Leather</v>
      </c>
      <c r="B9885" t="s">
        <v>19854</v>
      </c>
      <c r="C9885" t="s">
        <v>10</v>
      </c>
      <c r="D9885" t="s">
        <v>19867</v>
      </c>
      <c r="E9885" t="s">
        <v>19868</v>
      </c>
      <c r="G9885" s="1">
        <v>0.33</v>
      </c>
    </row>
    <row r="9886" spans="1:7" ht="14.25" customHeight="1" x14ac:dyDescent="0.45">
      <c r="A9886" t="str">
        <f>_xlfn.XLOOKUP(B9886,Ingot!$H$12:$H$119,Ingot!$G$12:$G$119,"")</f>
        <v>Leather</v>
      </c>
      <c r="B9886" t="s">
        <v>19854</v>
      </c>
      <c r="C9886" t="s">
        <v>10</v>
      </c>
      <c r="D9886" t="s">
        <v>19869</v>
      </c>
      <c r="E9886" t="s">
        <v>19870</v>
      </c>
    </row>
    <row r="9887" spans="1:7" ht="14.25" customHeight="1" x14ac:dyDescent="0.45">
      <c r="A9887" t="str">
        <f>_xlfn.XLOOKUP(B9887,Ingot!$H$12:$H$119,Ingot!$G$12:$G$119,"")</f>
        <v>Leather</v>
      </c>
      <c r="B9887" t="s">
        <v>19854</v>
      </c>
      <c r="C9887" t="s">
        <v>10</v>
      </c>
      <c r="D9887" t="s">
        <v>19871</v>
      </c>
      <c r="E9887" t="s">
        <v>19872</v>
      </c>
      <c r="G9887" s="1">
        <v>0.05</v>
      </c>
    </row>
    <row r="9888" spans="1:7" ht="14.25" customHeight="1" x14ac:dyDescent="0.45">
      <c r="A9888" t="str">
        <f>_xlfn.XLOOKUP(B9888,Ingot!$H$12:$H$119,Ingot!$G$12:$G$119,"")</f>
        <v>Leather</v>
      </c>
      <c r="B9888" t="s">
        <v>19854</v>
      </c>
      <c r="C9888" t="s">
        <v>10</v>
      </c>
      <c r="D9888" t="s">
        <v>19873</v>
      </c>
      <c r="E9888" t="s">
        <v>19874</v>
      </c>
      <c r="G9888" s="1">
        <v>0.66</v>
      </c>
    </row>
    <row r="9889" spans="1:7" ht="14.25" customHeight="1" x14ac:dyDescent="0.45">
      <c r="A9889" t="str">
        <f>_xlfn.XLOOKUP(B9889,Ingot!$H$12:$H$119,Ingot!$G$12:$G$119,"")</f>
        <v>Leather</v>
      </c>
      <c r="B9889" t="s">
        <v>19854</v>
      </c>
      <c r="C9889" t="s">
        <v>10</v>
      </c>
      <c r="D9889" t="s">
        <v>19875</v>
      </c>
      <c r="E9889" t="s">
        <v>19876</v>
      </c>
      <c r="G9889" s="1">
        <v>3.96</v>
      </c>
    </row>
    <row r="9890" spans="1:7" ht="14.25" customHeight="1" x14ac:dyDescent="0.45">
      <c r="A9890" t="str">
        <f>_xlfn.XLOOKUP(B9890,Ingot!$H$12:$H$119,Ingot!$G$12:$G$119,"")</f>
        <v>Leather</v>
      </c>
      <c r="B9890" t="s">
        <v>19854</v>
      </c>
      <c r="C9890" t="s">
        <v>10</v>
      </c>
      <c r="D9890" t="s">
        <v>19877</v>
      </c>
      <c r="E9890" t="s">
        <v>19878</v>
      </c>
      <c r="G9890" s="1">
        <v>8.77</v>
      </c>
    </row>
    <row r="9891" spans="1:7" ht="14.25" customHeight="1" x14ac:dyDescent="0.45">
      <c r="A9891" t="str">
        <f>_xlfn.XLOOKUP(B9891,Ingot!$H$12:$H$119,Ingot!$G$12:$G$119,"")</f>
        <v>Leather</v>
      </c>
      <c r="B9891" t="s">
        <v>19854</v>
      </c>
      <c r="C9891" t="s">
        <v>10</v>
      </c>
      <c r="D9891" t="s">
        <v>19879</v>
      </c>
      <c r="E9891" t="s">
        <v>19880</v>
      </c>
      <c r="G9891" s="1">
        <v>3.5</v>
      </c>
    </row>
    <row r="9892" spans="1:7" ht="14.25" customHeight="1" x14ac:dyDescent="0.45">
      <c r="A9892" t="str">
        <f>_xlfn.XLOOKUP(B9892,Ingot!$H$12:$H$119,Ingot!$G$12:$G$119,"")</f>
        <v>Leather</v>
      </c>
      <c r="B9892" t="s">
        <v>19854</v>
      </c>
      <c r="C9892" t="s">
        <v>10</v>
      </c>
      <c r="D9892" t="s">
        <v>19881</v>
      </c>
      <c r="E9892" t="s">
        <v>19882</v>
      </c>
    </row>
    <row r="9893" spans="1:7" ht="14.25" customHeight="1" x14ac:dyDescent="0.45">
      <c r="A9893" t="str">
        <f>_xlfn.XLOOKUP(B9893,Ingot!$H$12:$H$119,Ingot!$G$12:$G$119,"")</f>
        <v>Leather</v>
      </c>
      <c r="B9893" t="s">
        <v>19854</v>
      </c>
      <c r="C9893" t="s">
        <v>10</v>
      </c>
      <c r="D9893" t="s">
        <v>19883</v>
      </c>
      <c r="E9893" t="s">
        <v>19884</v>
      </c>
      <c r="G9893" s="1">
        <v>2.2000000000000002</v>
      </c>
    </row>
    <row r="9894" spans="1:7" ht="14.25" customHeight="1" x14ac:dyDescent="0.45">
      <c r="A9894" t="str">
        <f>_xlfn.XLOOKUP(B9894,Ingot!$H$12:$H$119,Ingot!$G$12:$G$119,"")</f>
        <v>Leather</v>
      </c>
      <c r="B9894" t="s">
        <v>19854</v>
      </c>
      <c r="C9894" t="s">
        <v>10</v>
      </c>
      <c r="D9894" t="s">
        <v>19885</v>
      </c>
      <c r="E9894" t="s">
        <v>19886</v>
      </c>
      <c r="G9894" s="1">
        <v>1.1000000000000001</v>
      </c>
    </row>
    <row r="9895" spans="1:7" ht="14.25" customHeight="1" x14ac:dyDescent="0.45">
      <c r="A9895" t="str">
        <f>_xlfn.XLOOKUP(B9895,Ingot!$H$12:$H$119,Ingot!$G$12:$G$119,"")</f>
        <v>Leather</v>
      </c>
      <c r="B9895" t="s">
        <v>19854</v>
      </c>
      <c r="C9895" t="s">
        <v>10</v>
      </c>
      <c r="D9895" t="s">
        <v>19887</v>
      </c>
      <c r="E9895" t="s">
        <v>19888</v>
      </c>
      <c r="G9895" s="1">
        <v>0.22</v>
      </c>
    </row>
    <row r="9896" spans="1:7" ht="14.25" customHeight="1" x14ac:dyDescent="0.45">
      <c r="A9896" t="str">
        <f>_xlfn.XLOOKUP(B9896,Ingot!$H$12:$H$119,Ingot!$G$12:$G$119,"")</f>
        <v>Leather</v>
      </c>
      <c r="B9896" t="s">
        <v>19854</v>
      </c>
      <c r="C9896" t="s">
        <v>10</v>
      </c>
      <c r="D9896" t="s">
        <v>19889</v>
      </c>
      <c r="E9896" t="s">
        <v>19890</v>
      </c>
      <c r="G9896" s="1">
        <v>8.41</v>
      </c>
    </row>
    <row r="9897" spans="1:7" ht="14.25" customHeight="1" x14ac:dyDescent="0.45">
      <c r="A9897" t="str">
        <f>_xlfn.XLOOKUP(B9897,Ingot!$H$12:$H$119,Ingot!$G$12:$G$119,"")</f>
        <v>Leather</v>
      </c>
      <c r="B9897" t="s">
        <v>19854</v>
      </c>
      <c r="C9897" t="s">
        <v>10</v>
      </c>
      <c r="D9897" t="s">
        <v>19891</v>
      </c>
      <c r="E9897" t="s">
        <v>19892</v>
      </c>
      <c r="G9897" s="1">
        <v>3.64</v>
      </c>
    </row>
    <row r="9898" spans="1:7" ht="14.25" customHeight="1" x14ac:dyDescent="0.45">
      <c r="A9898" t="str">
        <f>_xlfn.XLOOKUP(B9898,Ingot!$H$12:$H$119,Ingot!$G$12:$G$119,"")</f>
        <v>Leather</v>
      </c>
      <c r="B9898" t="s">
        <v>19854</v>
      </c>
      <c r="C9898" t="s">
        <v>10</v>
      </c>
      <c r="D9898" t="s">
        <v>19893</v>
      </c>
      <c r="E9898" t="s">
        <v>19894</v>
      </c>
      <c r="G9898" s="1">
        <v>7.05</v>
      </c>
    </row>
    <row r="9899" spans="1:7" ht="14.25" customHeight="1" x14ac:dyDescent="0.45">
      <c r="A9899" t="str">
        <f>_xlfn.XLOOKUP(B9899,Ingot!$H$12:$H$119,Ingot!$G$12:$G$119,"")</f>
        <v>Leather</v>
      </c>
      <c r="B9899" t="s">
        <v>19854</v>
      </c>
      <c r="C9899" t="s">
        <v>10</v>
      </c>
      <c r="D9899" t="s">
        <v>19895</v>
      </c>
      <c r="E9899" t="s">
        <v>19896</v>
      </c>
      <c r="G9899" s="1">
        <v>2.65</v>
      </c>
    </row>
    <row r="9900" spans="1:7" ht="14.25" customHeight="1" x14ac:dyDescent="0.45">
      <c r="A9900" t="str">
        <f>_xlfn.XLOOKUP(B9900,Ingot!$H$12:$H$119,Ingot!$G$12:$G$119,"")</f>
        <v>Leather</v>
      </c>
      <c r="B9900" t="s">
        <v>19854</v>
      </c>
      <c r="C9900" t="s">
        <v>10</v>
      </c>
      <c r="D9900" t="s">
        <v>19897</v>
      </c>
      <c r="E9900" t="s">
        <v>19898</v>
      </c>
      <c r="G9900" s="1">
        <v>9</v>
      </c>
    </row>
    <row r="9901" spans="1:7" ht="14.25" customHeight="1" x14ac:dyDescent="0.45">
      <c r="A9901" t="str">
        <f>_xlfn.XLOOKUP(B9901,Ingot!$H$12:$H$119,Ingot!$G$12:$G$119,"")</f>
        <v>Leather</v>
      </c>
      <c r="B9901" t="s">
        <v>19854</v>
      </c>
      <c r="C9901" t="s">
        <v>10</v>
      </c>
      <c r="D9901" t="s">
        <v>19899</v>
      </c>
      <c r="E9901" t="s">
        <v>19900</v>
      </c>
      <c r="G9901" s="1">
        <v>10.23</v>
      </c>
    </row>
    <row r="9902" spans="1:7" ht="14.25" customHeight="1" x14ac:dyDescent="0.45">
      <c r="A9902" t="str">
        <f>_xlfn.XLOOKUP(B9902,Ingot!$H$12:$H$119,Ingot!$G$12:$G$119,"")</f>
        <v>Leather</v>
      </c>
      <c r="B9902" t="s">
        <v>19854</v>
      </c>
      <c r="C9902" t="s">
        <v>10</v>
      </c>
      <c r="D9902" t="s">
        <v>19901</v>
      </c>
      <c r="E9902" t="s">
        <v>19902</v>
      </c>
      <c r="G9902" s="1">
        <v>7.7</v>
      </c>
    </row>
    <row r="9903" spans="1:7" ht="14.25" customHeight="1" x14ac:dyDescent="0.45">
      <c r="A9903" t="str">
        <f>_xlfn.XLOOKUP(B9903,Ingot!$H$12:$H$119,Ingot!$G$12:$G$119,"")</f>
        <v>Leather</v>
      </c>
      <c r="B9903" t="s">
        <v>19854</v>
      </c>
      <c r="C9903" t="s">
        <v>10</v>
      </c>
      <c r="D9903" t="s">
        <v>19903</v>
      </c>
      <c r="E9903" t="s">
        <v>19904</v>
      </c>
      <c r="G9903" s="1">
        <v>10.02</v>
      </c>
    </row>
    <row r="9904" spans="1:7" ht="14.25" customHeight="1" x14ac:dyDescent="0.45">
      <c r="A9904" t="str">
        <f>_xlfn.XLOOKUP(B9904,Ingot!$H$12:$H$119,Ingot!$G$12:$G$119,"")</f>
        <v>Leather</v>
      </c>
      <c r="B9904" t="s">
        <v>19854</v>
      </c>
      <c r="C9904" t="s">
        <v>10</v>
      </c>
      <c r="D9904" t="s">
        <v>19905</v>
      </c>
      <c r="E9904" t="s">
        <v>19906</v>
      </c>
      <c r="G9904" s="1">
        <v>11.81</v>
      </c>
    </row>
    <row r="9905" spans="1:7" ht="14.25" customHeight="1" x14ac:dyDescent="0.45">
      <c r="A9905" t="str">
        <f>_xlfn.XLOOKUP(B9905,Ingot!$H$12:$H$119,Ingot!$G$12:$G$119,"")</f>
        <v>Leather</v>
      </c>
      <c r="B9905" t="s">
        <v>19854</v>
      </c>
      <c r="C9905" t="s">
        <v>10</v>
      </c>
      <c r="D9905" t="s">
        <v>19907</v>
      </c>
      <c r="E9905" t="s">
        <v>19908</v>
      </c>
      <c r="G9905" s="1">
        <v>8.44</v>
      </c>
    </row>
    <row r="9906" spans="1:7" ht="14.25" customHeight="1" x14ac:dyDescent="0.45">
      <c r="A9906" t="str">
        <f>_xlfn.XLOOKUP(B9906,Ingot!$H$12:$H$119,Ingot!$G$12:$G$119,"")</f>
        <v>Leather</v>
      </c>
      <c r="B9906" t="s">
        <v>19854</v>
      </c>
      <c r="C9906" t="s">
        <v>10</v>
      </c>
      <c r="D9906" t="s">
        <v>19909</v>
      </c>
      <c r="E9906" t="s">
        <v>19910</v>
      </c>
      <c r="G9906" s="1">
        <v>10.42</v>
      </c>
    </row>
    <row r="9907" spans="1:7" ht="14.25" customHeight="1" x14ac:dyDescent="0.45">
      <c r="A9907" t="str">
        <f>_xlfn.XLOOKUP(B9907,Ingot!$H$12:$H$119,Ingot!$G$12:$G$119,"")</f>
        <v>Leather</v>
      </c>
      <c r="B9907" t="s">
        <v>19854</v>
      </c>
      <c r="C9907" t="s">
        <v>10</v>
      </c>
      <c r="D9907" t="s">
        <v>19911</v>
      </c>
      <c r="E9907" t="s">
        <v>19912</v>
      </c>
    </row>
    <row r="9908" spans="1:7" ht="14.25" customHeight="1" x14ac:dyDescent="0.45">
      <c r="A9908" t="str">
        <f>_xlfn.XLOOKUP(B9908,Ingot!$H$12:$H$119,Ingot!$G$12:$G$119,"")</f>
        <v>Leather</v>
      </c>
      <c r="B9908" t="s">
        <v>19854</v>
      </c>
      <c r="C9908" t="s">
        <v>10</v>
      </c>
      <c r="D9908" t="s">
        <v>19913</v>
      </c>
      <c r="E9908" t="s">
        <v>19914</v>
      </c>
      <c r="G9908" s="1">
        <v>7.96</v>
      </c>
    </row>
    <row r="9909" spans="1:7" ht="14.25" customHeight="1" x14ac:dyDescent="0.45">
      <c r="A9909" t="str">
        <f>_xlfn.XLOOKUP(B9909,Ingot!$H$12:$H$119,Ingot!$G$12:$G$119,"")</f>
        <v>Leather</v>
      </c>
      <c r="B9909" t="s">
        <v>19854</v>
      </c>
      <c r="C9909" t="s">
        <v>10</v>
      </c>
      <c r="D9909" t="s">
        <v>19915</v>
      </c>
      <c r="E9909" t="s">
        <v>19916</v>
      </c>
      <c r="G9909" s="1">
        <v>9.64</v>
      </c>
    </row>
    <row r="9910" spans="1:7" ht="14.25" customHeight="1" x14ac:dyDescent="0.45">
      <c r="A9910" t="str">
        <f>_xlfn.XLOOKUP(B9910,Ingot!$H$12:$H$119,Ingot!$G$12:$G$119,"")</f>
        <v>Leather</v>
      </c>
      <c r="B9910" t="s">
        <v>19854</v>
      </c>
      <c r="C9910" t="s">
        <v>10</v>
      </c>
      <c r="D9910" t="s">
        <v>19917</v>
      </c>
      <c r="E9910" t="s">
        <v>19918</v>
      </c>
      <c r="G9910" s="1">
        <v>7.94</v>
      </c>
    </row>
    <row r="9911" spans="1:7" ht="14.25" customHeight="1" x14ac:dyDescent="0.45">
      <c r="A9911" t="str">
        <f>_xlfn.XLOOKUP(B9911,Ingot!$H$12:$H$119,Ingot!$G$12:$G$119,"")</f>
        <v>Leather</v>
      </c>
      <c r="B9911" t="s">
        <v>19854</v>
      </c>
      <c r="C9911" t="s">
        <v>10</v>
      </c>
      <c r="D9911" t="s">
        <v>19919</v>
      </c>
      <c r="E9911" t="s">
        <v>19920</v>
      </c>
      <c r="G9911" s="1">
        <v>8.66</v>
      </c>
    </row>
    <row r="9912" spans="1:7" ht="14.25" customHeight="1" x14ac:dyDescent="0.45">
      <c r="A9912" t="str">
        <f>_xlfn.XLOOKUP(B9912,Ingot!$H$12:$H$119,Ingot!$G$12:$G$119,"")</f>
        <v>Leather</v>
      </c>
      <c r="B9912" t="s">
        <v>19854</v>
      </c>
      <c r="C9912" t="s">
        <v>10</v>
      </c>
      <c r="D9912" t="s">
        <v>19921</v>
      </c>
      <c r="E9912" t="s">
        <v>19922</v>
      </c>
    </row>
    <row r="9913" spans="1:7" ht="14.25" customHeight="1" x14ac:dyDescent="0.45">
      <c r="A9913" t="str">
        <f>_xlfn.XLOOKUP(B9913,Ingot!$H$12:$H$119,Ingot!$G$12:$G$119,"")</f>
        <v>Leather</v>
      </c>
      <c r="B9913" t="s">
        <v>19854</v>
      </c>
      <c r="C9913" t="s">
        <v>10</v>
      </c>
      <c r="D9913" t="s">
        <v>19923</v>
      </c>
      <c r="E9913" t="s">
        <v>19924</v>
      </c>
      <c r="G9913" s="1">
        <v>2.65</v>
      </c>
    </row>
    <row r="9914" spans="1:7" ht="14.25" customHeight="1" x14ac:dyDescent="0.45">
      <c r="A9914" t="str">
        <f>_xlfn.XLOOKUP(B9914,Ingot!$H$12:$H$119,Ingot!$G$12:$G$119,"")</f>
        <v>Leather</v>
      </c>
      <c r="B9914" t="s">
        <v>19854</v>
      </c>
      <c r="C9914" t="s">
        <v>10</v>
      </c>
      <c r="D9914" t="s">
        <v>19925</v>
      </c>
      <c r="E9914" t="s">
        <v>19926</v>
      </c>
    </row>
    <row r="9915" spans="1:7" ht="14.25" customHeight="1" x14ac:dyDescent="0.45">
      <c r="A9915" t="str">
        <f>_xlfn.XLOOKUP(B9915,Ingot!$H$12:$H$119,Ingot!$G$12:$G$119,"")</f>
        <v>Leather</v>
      </c>
      <c r="B9915" t="s">
        <v>19854</v>
      </c>
      <c r="C9915" t="s">
        <v>10</v>
      </c>
      <c r="D9915" t="s">
        <v>19927</v>
      </c>
      <c r="E9915" t="s">
        <v>19928</v>
      </c>
      <c r="G9915" s="1">
        <v>12.64</v>
      </c>
    </row>
    <row r="9916" spans="1:7" ht="14.25" customHeight="1" x14ac:dyDescent="0.45">
      <c r="A9916" t="str">
        <f>_xlfn.XLOOKUP(B9916,Ingot!$H$12:$H$119,Ingot!$G$12:$G$119,"")</f>
        <v>Leather</v>
      </c>
      <c r="B9916" t="s">
        <v>19854</v>
      </c>
      <c r="C9916" t="s">
        <v>10</v>
      </c>
      <c r="D9916" t="s">
        <v>19929</v>
      </c>
      <c r="E9916" t="s">
        <v>19930</v>
      </c>
      <c r="G9916" s="1">
        <v>22.67</v>
      </c>
    </row>
    <row r="9917" spans="1:7" ht="14.25" customHeight="1" x14ac:dyDescent="0.45">
      <c r="A9917" t="str">
        <f>_xlfn.XLOOKUP(B9917,Ingot!$H$12:$H$119,Ingot!$G$12:$G$119,"")</f>
        <v>Leather</v>
      </c>
      <c r="B9917" t="s">
        <v>19854</v>
      </c>
      <c r="C9917" t="s">
        <v>10</v>
      </c>
      <c r="D9917" t="s">
        <v>19931</v>
      </c>
      <c r="E9917" t="s">
        <v>19932</v>
      </c>
      <c r="G9917" s="1">
        <v>8.3800000000000008</v>
      </c>
    </row>
    <row r="9918" spans="1:7" ht="14.25" customHeight="1" x14ac:dyDescent="0.45">
      <c r="A9918" t="str">
        <f>_xlfn.XLOOKUP(B9918,Ingot!$H$12:$H$119,Ingot!$G$12:$G$119,"")</f>
        <v>Leather</v>
      </c>
      <c r="B9918" t="s">
        <v>19854</v>
      </c>
      <c r="C9918" t="s">
        <v>10</v>
      </c>
      <c r="D9918" t="s">
        <v>19933</v>
      </c>
      <c r="E9918" t="s">
        <v>19934</v>
      </c>
      <c r="G9918" s="1">
        <v>2.2000000000000002</v>
      </c>
    </row>
    <row r="9919" spans="1:7" ht="14.25" customHeight="1" x14ac:dyDescent="0.45">
      <c r="A9919" t="str">
        <f>_xlfn.XLOOKUP(B9919,Ingot!$H$12:$H$119,Ingot!$G$12:$G$119,"")</f>
        <v>Leather</v>
      </c>
      <c r="B9919" t="s">
        <v>19854</v>
      </c>
      <c r="C9919" t="s">
        <v>10</v>
      </c>
      <c r="D9919" t="s">
        <v>19935</v>
      </c>
      <c r="E9919" t="s">
        <v>19936</v>
      </c>
      <c r="G9919" s="1">
        <v>3.09</v>
      </c>
    </row>
    <row r="9920" spans="1:7" ht="14.25" customHeight="1" x14ac:dyDescent="0.45">
      <c r="A9920" t="str">
        <f>_xlfn.XLOOKUP(B9920,Ingot!$H$12:$H$119,Ingot!$G$12:$G$119,"")</f>
        <v>Leather</v>
      </c>
      <c r="B9920" t="s">
        <v>19854</v>
      </c>
      <c r="C9920" t="s">
        <v>10</v>
      </c>
      <c r="D9920" t="s">
        <v>19937</v>
      </c>
      <c r="E9920" t="s">
        <v>19938</v>
      </c>
      <c r="G9920" s="1">
        <v>2.2999999999999998</v>
      </c>
    </row>
    <row r="9921" spans="1:7" ht="14.25" customHeight="1" x14ac:dyDescent="0.45">
      <c r="A9921" t="str">
        <f>_xlfn.XLOOKUP(B9921,Ingot!$H$12:$H$119,Ingot!$G$12:$G$119,"")</f>
        <v>Leather</v>
      </c>
      <c r="B9921" t="s">
        <v>19854</v>
      </c>
      <c r="C9921" t="s">
        <v>10</v>
      </c>
      <c r="D9921" t="s">
        <v>19939</v>
      </c>
      <c r="E9921" t="s">
        <v>19940</v>
      </c>
      <c r="G9921" s="1">
        <v>4.88</v>
      </c>
    </row>
    <row r="9922" spans="1:7" ht="14.25" customHeight="1" x14ac:dyDescent="0.45">
      <c r="A9922" t="str">
        <f>_xlfn.XLOOKUP(B9922,Ingot!$H$12:$H$119,Ingot!$G$12:$G$119,"")</f>
        <v>Leather</v>
      </c>
      <c r="B9922" t="s">
        <v>19854</v>
      </c>
      <c r="C9922" t="s">
        <v>10</v>
      </c>
      <c r="D9922" t="s">
        <v>19941</v>
      </c>
      <c r="E9922" t="s">
        <v>19942</v>
      </c>
      <c r="G9922" s="1">
        <v>8.43</v>
      </c>
    </row>
    <row r="9923" spans="1:7" ht="14.25" customHeight="1" x14ac:dyDescent="0.45">
      <c r="A9923" t="str">
        <f>_xlfn.XLOOKUP(B9923,Ingot!$H$12:$H$119,Ingot!$G$12:$G$119,"")</f>
        <v>Leather</v>
      </c>
      <c r="B9923" t="s">
        <v>19854</v>
      </c>
      <c r="C9923" t="s">
        <v>10</v>
      </c>
      <c r="D9923" t="s">
        <v>19943</v>
      </c>
      <c r="E9923" t="s">
        <v>19944</v>
      </c>
      <c r="G9923" s="1">
        <v>13.07</v>
      </c>
    </row>
    <row r="9924" spans="1:7" ht="14.25" customHeight="1" x14ac:dyDescent="0.45">
      <c r="A9924" t="str">
        <f>_xlfn.XLOOKUP(B9924,Ingot!$H$12:$H$119,Ingot!$G$12:$G$119,"")</f>
        <v>Leather</v>
      </c>
      <c r="B9924" t="s">
        <v>19854</v>
      </c>
      <c r="C9924" t="s">
        <v>10</v>
      </c>
      <c r="D9924" t="s">
        <v>19945</v>
      </c>
      <c r="E9924" t="s">
        <v>19946</v>
      </c>
    </row>
    <row r="9925" spans="1:7" ht="14.25" customHeight="1" x14ac:dyDescent="0.45">
      <c r="A9925" t="str">
        <f>_xlfn.XLOOKUP(B9925,Ingot!$H$12:$H$119,Ingot!$G$12:$G$119,"")</f>
        <v>Leather</v>
      </c>
      <c r="B9925" t="s">
        <v>19854</v>
      </c>
      <c r="C9925" t="s">
        <v>10</v>
      </c>
      <c r="D9925" t="s">
        <v>19947</v>
      </c>
      <c r="E9925" t="s">
        <v>19948</v>
      </c>
    </row>
    <row r="9926" spans="1:7" ht="14.25" customHeight="1" x14ac:dyDescent="0.45">
      <c r="A9926" t="str">
        <f>_xlfn.XLOOKUP(B9926,Ingot!$H$12:$H$119,Ingot!$G$12:$G$119,"")</f>
        <v>Leather</v>
      </c>
      <c r="B9926" t="s">
        <v>19854</v>
      </c>
      <c r="C9926" t="s">
        <v>10</v>
      </c>
      <c r="D9926" t="s">
        <v>19949</v>
      </c>
      <c r="E9926" t="s">
        <v>19950</v>
      </c>
      <c r="G9926" s="1">
        <v>6.8</v>
      </c>
    </row>
    <row r="9927" spans="1:7" ht="14.25" customHeight="1" x14ac:dyDescent="0.45">
      <c r="A9927" t="str">
        <f>_xlfn.XLOOKUP(B9927,Ingot!$H$12:$H$119,Ingot!$G$12:$G$119,"")</f>
        <v>Leather</v>
      </c>
      <c r="B9927" t="s">
        <v>19854</v>
      </c>
      <c r="C9927" t="s">
        <v>10</v>
      </c>
      <c r="D9927" t="s">
        <v>19951</v>
      </c>
      <c r="E9927" t="s">
        <v>19952</v>
      </c>
      <c r="G9927" s="1">
        <v>6.88</v>
      </c>
    </row>
    <row r="9928" spans="1:7" ht="14.25" customHeight="1" x14ac:dyDescent="0.45">
      <c r="A9928" t="str">
        <f>_xlfn.XLOOKUP(B9928,Ingot!$H$12:$H$119,Ingot!$G$12:$G$119,"")</f>
        <v>Leather</v>
      </c>
      <c r="B9928" t="s">
        <v>19854</v>
      </c>
      <c r="C9928" t="s">
        <v>10</v>
      </c>
      <c r="D9928" t="s">
        <v>19953</v>
      </c>
      <c r="E9928" t="s">
        <v>19954</v>
      </c>
      <c r="G9928" s="1">
        <v>5.5</v>
      </c>
    </row>
    <row r="9929" spans="1:7" ht="14.25" customHeight="1" x14ac:dyDescent="0.45">
      <c r="A9929" t="str">
        <f>_xlfn.XLOOKUP(B9929,Ingot!$H$12:$H$119,Ingot!$G$12:$G$119,"")</f>
        <v>Leather</v>
      </c>
      <c r="B9929" t="s">
        <v>19854</v>
      </c>
      <c r="C9929" t="s">
        <v>10</v>
      </c>
      <c r="D9929" t="s">
        <v>19955</v>
      </c>
      <c r="E9929" t="s">
        <v>19956</v>
      </c>
      <c r="G9929" s="1">
        <v>2.4300000000000002</v>
      </c>
    </row>
    <row r="9930" spans="1:7" ht="14.25" customHeight="1" x14ac:dyDescent="0.45">
      <c r="A9930" t="str">
        <f>_xlfn.XLOOKUP(B9930,Ingot!$H$12:$H$119,Ingot!$G$12:$G$119,"")</f>
        <v>Leather</v>
      </c>
      <c r="B9930" t="s">
        <v>19854</v>
      </c>
      <c r="C9930" t="s">
        <v>10</v>
      </c>
      <c r="D9930" t="s">
        <v>19957</v>
      </c>
      <c r="E9930" t="s">
        <v>19958</v>
      </c>
      <c r="G9930" s="1">
        <v>6.96</v>
      </c>
    </row>
    <row r="9931" spans="1:7" ht="14.25" customHeight="1" x14ac:dyDescent="0.45">
      <c r="A9931" t="str">
        <f>_xlfn.XLOOKUP(B9931,Ingot!$H$12:$H$119,Ingot!$G$12:$G$119,"")</f>
        <v>Leather</v>
      </c>
      <c r="B9931" t="s">
        <v>19854</v>
      </c>
      <c r="C9931" t="s">
        <v>10</v>
      </c>
      <c r="D9931" t="s">
        <v>19959</v>
      </c>
      <c r="E9931" t="s">
        <v>19960</v>
      </c>
      <c r="G9931" s="1">
        <v>6.32</v>
      </c>
    </row>
    <row r="9932" spans="1:7" ht="14.25" customHeight="1" x14ac:dyDescent="0.45">
      <c r="A9932" t="str">
        <f>_xlfn.XLOOKUP(B9932,Ingot!$H$12:$H$119,Ingot!$G$12:$G$119,"")</f>
        <v>Leather</v>
      </c>
      <c r="B9932" t="s">
        <v>19854</v>
      </c>
      <c r="C9932" t="s">
        <v>10</v>
      </c>
      <c r="D9932" t="s">
        <v>19961</v>
      </c>
      <c r="E9932" t="s">
        <v>19962</v>
      </c>
      <c r="G9932" s="1">
        <v>6.88</v>
      </c>
    </row>
    <row r="9933" spans="1:7" ht="14.25" customHeight="1" x14ac:dyDescent="0.45">
      <c r="A9933" t="str">
        <f>_xlfn.XLOOKUP(B9933,Ingot!$H$12:$H$119,Ingot!$G$12:$G$119,"")</f>
        <v>Leather</v>
      </c>
      <c r="B9933" t="s">
        <v>19854</v>
      </c>
      <c r="C9933" t="s">
        <v>10</v>
      </c>
      <c r="D9933" t="s">
        <v>19963</v>
      </c>
      <c r="E9933" t="s">
        <v>19964</v>
      </c>
      <c r="G9933" s="1">
        <v>2.44</v>
      </c>
    </row>
    <row r="9934" spans="1:7" ht="14.25" customHeight="1" x14ac:dyDescent="0.45">
      <c r="A9934" t="str">
        <f>_xlfn.XLOOKUP(B9934,Ingot!$H$12:$H$119,Ingot!$G$12:$G$119,"")</f>
        <v>Leather</v>
      </c>
      <c r="B9934" t="s">
        <v>19854</v>
      </c>
      <c r="C9934" t="s">
        <v>10</v>
      </c>
      <c r="D9934" t="s">
        <v>19965</v>
      </c>
      <c r="E9934" t="s">
        <v>19966</v>
      </c>
    </row>
    <row r="9935" spans="1:7" ht="14.25" customHeight="1" x14ac:dyDescent="0.45">
      <c r="A9935" t="str">
        <f>_xlfn.XLOOKUP(B9935,Ingot!$H$12:$H$119,Ingot!$G$12:$G$119,"")</f>
        <v>Leather</v>
      </c>
      <c r="B9935" t="s">
        <v>19854</v>
      </c>
      <c r="C9935" t="s">
        <v>10</v>
      </c>
      <c r="D9935" t="s">
        <v>19967</v>
      </c>
      <c r="E9935" t="s">
        <v>19968</v>
      </c>
    </row>
    <row r="9936" spans="1:7" ht="14.25" customHeight="1" x14ac:dyDescent="0.45">
      <c r="A9936" t="str">
        <f>_xlfn.XLOOKUP(B9936,Ingot!$H$12:$H$119,Ingot!$G$12:$G$119,"")</f>
        <v>Leather</v>
      </c>
      <c r="B9936" t="s">
        <v>19854</v>
      </c>
      <c r="C9936" t="s">
        <v>10</v>
      </c>
      <c r="D9936" t="s">
        <v>19969</v>
      </c>
      <c r="E9936" t="s">
        <v>19970</v>
      </c>
      <c r="G9936" s="1">
        <v>3.11</v>
      </c>
    </row>
    <row r="9937" spans="1:7" ht="14.25" customHeight="1" x14ac:dyDescent="0.45">
      <c r="A9937" t="str">
        <f>_xlfn.XLOOKUP(B9937,Ingot!$H$12:$H$119,Ingot!$G$12:$G$119,"")</f>
        <v>Leather</v>
      </c>
      <c r="B9937" t="s">
        <v>19854</v>
      </c>
      <c r="C9937" t="s">
        <v>10</v>
      </c>
      <c r="D9937" t="s">
        <v>19971</v>
      </c>
      <c r="E9937" t="s">
        <v>19972</v>
      </c>
      <c r="G9937" s="1">
        <v>2.44</v>
      </c>
    </row>
    <row r="9938" spans="1:7" ht="14.25" customHeight="1" x14ac:dyDescent="0.45">
      <c r="A9938" t="str">
        <f>_xlfn.XLOOKUP(B9938,Ingot!$H$12:$H$119,Ingot!$G$12:$G$119,"")</f>
        <v>Leather</v>
      </c>
      <c r="B9938" t="s">
        <v>19854</v>
      </c>
      <c r="C9938" t="s">
        <v>10</v>
      </c>
      <c r="D9938" t="s">
        <v>19973</v>
      </c>
      <c r="E9938" t="s">
        <v>19974</v>
      </c>
      <c r="G9938" s="1">
        <v>8.61</v>
      </c>
    </row>
    <row r="9939" spans="1:7" ht="14.25" customHeight="1" x14ac:dyDescent="0.45">
      <c r="A9939" t="str">
        <f>_xlfn.XLOOKUP(B9939,Ingot!$H$12:$H$119,Ingot!$G$12:$G$119,"")</f>
        <v>Leather</v>
      </c>
      <c r="B9939" t="s">
        <v>19854</v>
      </c>
      <c r="C9939" t="s">
        <v>10</v>
      </c>
      <c r="D9939" t="s">
        <v>19975</v>
      </c>
      <c r="E9939" t="s">
        <v>19976</v>
      </c>
    </row>
    <row r="9940" spans="1:7" ht="14.25" customHeight="1" x14ac:dyDescent="0.45">
      <c r="A9940" t="str">
        <f>_xlfn.XLOOKUP(B9940,Ingot!$H$12:$H$119,Ingot!$G$12:$G$119,"")</f>
        <v>Leather</v>
      </c>
      <c r="B9940" t="s">
        <v>19854</v>
      </c>
      <c r="C9940" t="s">
        <v>10</v>
      </c>
      <c r="D9940" t="s">
        <v>19977</v>
      </c>
      <c r="E9940" t="s">
        <v>19978</v>
      </c>
      <c r="G9940" s="1">
        <v>3.21</v>
      </c>
    </row>
    <row r="9941" spans="1:7" ht="14.25" customHeight="1" x14ac:dyDescent="0.45">
      <c r="A9941" t="str">
        <f>_xlfn.XLOOKUP(B9941,Ingot!$H$12:$H$119,Ingot!$G$12:$G$119,"")</f>
        <v>Leather</v>
      </c>
      <c r="B9941" t="s">
        <v>19854</v>
      </c>
      <c r="C9941" t="s">
        <v>10</v>
      </c>
      <c r="D9941" t="s">
        <v>19979</v>
      </c>
      <c r="E9941" t="s">
        <v>19980</v>
      </c>
      <c r="G9941" s="1">
        <v>2.77</v>
      </c>
    </row>
    <row r="9942" spans="1:7" ht="14.25" customHeight="1" x14ac:dyDescent="0.45">
      <c r="A9942" t="str">
        <f>_xlfn.XLOOKUP(B9942,Ingot!$H$12:$H$119,Ingot!$G$12:$G$119,"")</f>
        <v>Leather</v>
      </c>
      <c r="B9942" t="s">
        <v>19854</v>
      </c>
      <c r="C9942" t="s">
        <v>10</v>
      </c>
      <c r="D9942" t="s">
        <v>19981</v>
      </c>
      <c r="E9942" t="s">
        <v>19982</v>
      </c>
      <c r="G9942" s="1">
        <v>4.8899999999999997</v>
      </c>
    </row>
    <row r="9943" spans="1:7" ht="14.25" customHeight="1" x14ac:dyDescent="0.45">
      <c r="A9943" t="str">
        <f>_xlfn.XLOOKUP(B9943,Ingot!$H$12:$H$119,Ingot!$G$12:$G$119,"")</f>
        <v>Leather</v>
      </c>
      <c r="B9943" t="s">
        <v>19854</v>
      </c>
      <c r="C9943" t="s">
        <v>10</v>
      </c>
      <c r="D9943" t="s">
        <v>19983</v>
      </c>
      <c r="E9943" t="s">
        <v>19984</v>
      </c>
      <c r="G9943" s="1">
        <v>1.76</v>
      </c>
    </row>
    <row r="9944" spans="1:7" ht="14.25" customHeight="1" x14ac:dyDescent="0.45">
      <c r="A9944" t="str">
        <f>_xlfn.XLOOKUP(B9944,Ingot!$H$12:$H$119,Ingot!$G$12:$G$119,"")</f>
        <v>Leather</v>
      </c>
      <c r="B9944" t="s">
        <v>19854</v>
      </c>
      <c r="C9944" t="s">
        <v>10</v>
      </c>
      <c r="D9944" t="s">
        <v>19985</v>
      </c>
      <c r="E9944" t="s">
        <v>19986</v>
      </c>
    </row>
    <row r="9945" spans="1:7" ht="14.25" customHeight="1" x14ac:dyDescent="0.45">
      <c r="A9945" t="str">
        <f>_xlfn.XLOOKUP(B9945,Ingot!$H$12:$H$119,Ingot!$G$12:$G$119,"")</f>
        <v>Leather</v>
      </c>
      <c r="B9945" t="s">
        <v>19854</v>
      </c>
      <c r="C9945" t="s">
        <v>10</v>
      </c>
      <c r="D9945" t="s">
        <v>19987</v>
      </c>
      <c r="E9945" t="s">
        <v>19988</v>
      </c>
      <c r="G9945" s="1">
        <v>8.57</v>
      </c>
    </row>
    <row r="9946" spans="1:7" ht="14.25" customHeight="1" x14ac:dyDescent="0.45">
      <c r="A9946" t="str">
        <f>_xlfn.XLOOKUP(B9946,Ingot!$H$12:$H$119,Ingot!$G$12:$G$119,"")</f>
        <v>Leather</v>
      </c>
      <c r="B9946" t="s">
        <v>19854</v>
      </c>
      <c r="C9946" t="s">
        <v>10</v>
      </c>
      <c r="D9946" t="s">
        <v>19989</v>
      </c>
      <c r="E9946" t="s">
        <v>19990</v>
      </c>
    </row>
    <row r="9947" spans="1:7" ht="14.25" customHeight="1" x14ac:dyDescent="0.45">
      <c r="A9947" t="str">
        <f>_xlfn.XLOOKUP(B9947,Ingot!$H$12:$H$119,Ingot!$G$12:$G$119,"")</f>
        <v>Leather</v>
      </c>
      <c r="B9947" t="s">
        <v>19854</v>
      </c>
      <c r="C9947" t="s">
        <v>10</v>
      </c>
      <c r="D9947" t="s">
        <v>19991</v>
      </c>
      <c r="E9947" t="s">
        <v>19992</v>
      </c>
      <c r="G9947" s="1">
        <v>3.56</v>
      </c>
    </row>
    <row r="9948" spans="1:7" ht="14.25" customHeight="1" x14ac:dyDescent="0.45">
      <c r="A9948" t="str">
        <f>_xlfn.XLOOKUP(B9948,Ingot!$H$12:$H$119,Ingot!$G$12:$G$119,"")</f>
        <v>Leather</v>
      </c>
      <c r="B9948" t="s">
        <v>19854</v>
      </c>
      <c r="C9948" t="s">
        <v>10</v>
      </c>
      <c r="D9948" t="s">
        <v>19993</v>
      </c>
      <c r="E9948" t="s">
        <v>19994</v>
      </c>
      <c r="G9948" s="1">
        <v>8.91</v>
      </c>
    </row>
    <row r="9949" spans="1:7" ht="14.25" customHeight="1" x14ac:dyDescent="0.45">
      <c r="A9949" t="str">
        <f>_xlfn.XLOOKUP(B9949,Ingot!$H$12:$H$119,Ingot!$G$12:$G$119,"")</f>
        <v>Leather</v>
      </c>
      <c r="B9949" t="s">
        <v>19854</v>
      </c>
      <c r="C9949" t="s">
        <v>10</v>
      </c>
      <c r="D9949" t="s">
        <v>19995</v>
      </c>
      <c r="E9949" t="s">
        <v>19996</v>
      </c>
      <c r="G9949" s="1">
        <v>11.02</v>
      </c>
    </row>
    <row r="9950" spans="1:7" ht="14.25" customHeight="1" x14ac:dyDescent="0.45">
      <c r="A9950" t="str">
        <f>_xlfn.XLOOKUP(B9950,Ingot!$H$12:$H$119,Ingot!$G$12:$G$119,"")</f>
        <v>Leather</v>
      </c>
      <c r="B9950" t="s">
        <v>19854</v>
      </c>
      <c r="C9950" t="s">
        <v>10</v>
      </c>
      <c r="D9950" t="s">
        <v>19997</v>
      </c>
      <c r="E9950" t="s">
        <v>19998</v>
      </c>
      <c r="G9950" s="1">
        <v>5.12</v>
      </c>
    </row>
    <row r="9951" spans="1:7" ht="14.25" customHeight="1" x14ac:dyDescent="0.45">
      <c r="A9951" t="str">
        <f>_xlfn.XLOOKUP(B9951,Ingot!$H$12:$H$119,Ingot!$G$12:$G$119,"")</f>
        <v>Leather</v>
      </c>
      <c r="B9951" t="s">
        <v>19854</v>
      </c>
      <c r="C9951" t="s">
        <v>10</v>
      </c>
      <c r="D9951" t="s">
        <v>19999</v>
      </c>
      <c r="E9951" t="s">
        <v>20000</v>
      </c>
      <c r="G9951" s="1">
        <v>4.41</v>
      </c>
    </row>
    <row r="9952" spans="1:7" ht="14.25" customHeight="1" x14ac:dyDescent="0.45">
      <c r="A9952" t="str">
        <f>_xlfn.XLOOKUP(B9952,Ingot!$H$12:$H$119,Ingot!$G$12:$G$119,"")</f>
        <v>Leather</v>
      </c>
      <c r="B9952" t="s">
        <v>19854</v>
      </c>
      <c r="C9952" t="s">
        <v>157</v>
      </c>
      <c r="D9952" t="s">
        <v>20001</v>
      </c>
      <c r="E9952" t="s">
        <v>20002</v>
      </c>
      <c r="F9952" t="s">
        <v>180</v>
      </c>
      <c r="G9952" s="1">
        <v>18</v>
      </c>
    </row>
    <row r="9953" spans="1:7" ht="14.25" customHeight="1" x14ac:dyDescent="0.45">
      <c r="A9953" t="str">
        <f>_xlfn.XLOOKUP(B9953,Ingot!$H$12:$H$119,Ingot!$G$12:$G$119,"")</f>
        <v>Leather</v>
      </c>
      <c r="B9953" t="s">
        <v>19854</v>
      </c>
      <c r="C9953" t="s">
        <v>157</v>
      </c>
      <c r="D9953" t="s">
        <v>20003</v>
      </c>
      <c r="E9953" t="s">
        <v>20004</v>
      </c>
      <c r="F9953" t="s">
        <v>180</v>
      </c>
      <c r="G9953" s="1">
        <v>5</v>
      </c>
    </row>
    <row r="9954" spans="1:7" ht="14.25" customHeight="1" x14ac:dyDescent="0.45">
      <c r="A9954" t="str">
        <f>_xlfn.XLOOKUP(B9954,Ingot!$H$12:$H$119,Ingot!$G$12:$G$119,"")</f>
        <v>Leather</v>
      </c>
      <c r="B9954" t="s">
        <v>19854</v>
      </c>
      <c r="C9954" t="s">
        <v>157</v>
      </c>
      <c r="D9954" t="s">
        <v>20005</v>
      </c>
      <c r="E9954" t="s">
        <v>20006</v>
      </c>
      <c r="F9954" t="s">
        <v>180</v>
      </c>
      <c r="G9954" s="1">
        <v>5</v>
      </c>
    </row>
    <row r="9955" spans="1:7" ht="14.25" customHeight="1" x14ac:dyDescent="0.45">
      <c r="A9955" t="str">
        <f>_xlfn.XLOOKUP(B9955,Ingot!$H$12:$H$119,Ingot!$G$12:$G$119,"")</f>
        <v>Leather</v>
      </c>
      <c r="B9955" t="s">
        <v>19854</v>
      </c>
      <c r="C9955" t="s">
        <v>157</v>
      </c>
      <c r="D9955" t="s">
        <v>20007</v>
      </c>
      <c r="E9955" t="s">
        <v>20008</v>
      </c>
      <c r="F9955" t="s">
        <v>180</v>
      </c>
      <c r="G9955" s="1">
        <v>5</v>
      </c>
    </row>
    <row r="9956" spans="1:7" ht="14.25" customHeight="1" x14ac:dyDescent="0.45">
      <c r="A9956" t="str">
        <f>_xlfn.XLOOKUP(B9956,Ingot!$H$12:$H$119,Ingot!$G$12:$G$119,"")</f>
        <v>Leather</v>
      </c>
      <c r="B9956" t="s">
        <v>19854</v>
      </c>
      <c r="C9956" t="s">
        <v>157</v>
      </c>
      <c r="D9956" t="s">
        <v>20009</v>
      </c>
      <c r="E9956" t="s">
        <v>20010</v>
      </c>
      <c r="F9956" t="s">
        <v>180</v>
      </c>
      <c r="G9956" s="1">
        <v>10</v>
      </c>
    </row>
    <row r="9957" spans="1:7" ht="14.25" customHeight="1" x14ac:dyDescent="0.45">
      <c r="A9957" t="str">
        <f>_xlfn.XLOOKUP(B9957,Ingot!$H$12:$H$119,Ingot!$G$12:$G$119,"")</f>
        <v>Leather</v>
      </c>
      <c r="B9957" t="s">
        <v>19854</v>
      </c>
      <c r="C9957" t="s">
        <v>157</v>
      </c>
      <c r="D9957" t="s">
        <v>20011</v>
      </c>
      <c r="E9957" t="s">
        <v>20012</v>
      </c>
      <c r="F9957" t="s">
        <v>180</v>
      </c>
      <c r="G9957" s="1">
        <v>15.3</v>
      </c>
    </row>
    <row r="9958" spans="1:7" ht="14.25" customHeight="1" x14ac:dyDescent="0.45">
      <c r="A9958" t="str">
        <f>_xlfn.XLOOKUP(B9958,Ingot!$H$12:$H$119,Ingot!$G$12:$G$119,"")</f>
        <v>Leather</v>
      </c>
      <c r="B9958" t="s">
        <v>19854</v>
      </c>
      <c r="C9958" t="s">
        <v>157</v>
      </c>
      <c r="D9958" t="s">
        <v>20013</v>
      </c>
      <c r="E9958" t="s">
        <v>20014</v>
      </c>
      <c r="F9958" t="s">
        <v>180</v>
      </c>
      <c r="G9958" s="1">
        <v>5</v>
      </c>
    </row>
    <row r="9959" spans="1:7" ht="14.25" customHeight="1" x14ac:dyDescent="0.45">
      <c r="A9959" t="str">
        <f>_xlfn.XLOOKUP(B9959,Ingot!$H$12:$H$119,Ingot!$G$12:$G$119,"")</f>
        <v>Leather</v>
      </c>
      <c r="B9959" t="s">
        <v>19854</v>
      </c>
      <c r="C9959" t="s">
        <v>157</v>
      </c>
      <c r="D9959" t="s">
        <v>20015</v>
      </c>
      <c r="E9959" t="s">
        <v>20016</v>
      </c>
      <c r="F9959" t="s">
        <v>180</v>
      </c>
      <c r="G9959" s="1">
        <v>5</v>
      </c>
    </row>
    <row r="9960" spans="1:7" ht="14.25" customHeight="1" x14ac:dyDescent="0.45">
      <c r="A9960" t="str">
        <f>_xlfn.XLOOKUP(B9960,Ingot!$H$12:$H$119,Ingot!$G$12:$G$119,"")</f>
        <v>Leather</v>
      </c>
      <c r="B9960" t="s">
        <v>19854</v>
      </c>
      <c r="C9960" t="s">
        <v>157</v>
      </c>
      <c r="D9960" t="s">
        <v>20017</v>
      </c>
      <c r="E9960" t="s">
        <v>20018</v>
      </c>
      <c r="F9960" t="s">
        <v>180</v>
      </c>
      <c r="G9960" s="1">
        <v>5</v>
      </c>
    </row>
    <row r="9961" spans="1:7" ht="14.25" customHeight="1" x14ac:dyDescent="0.45">
      <c r="A9961" t="str">
        <f>_xlfn.XLOOKUP(B9961,Ingot!$H$12:$H$119,Ingot!$G$12:$G$119,"")</f>
        <v>Leather</v>
      </c>
      <c r="B9961" t="s">
        <v>19854</v>
      </c>
      <c r="C9961" t="s">
        <v>157</v>
      </c>
      <c r="D9961" t="s">
        <v>20019</v>
      </c>
      <c r="E9961" t="s">
        <v>20020</v>
      </c>
      <c r="F9961" t="s">
        <v>180</v>
      </c>
      <c r="G9961" s="1">
        <v>10</v>
      </c>
    </row>
    <row r="9962" spans="1:7" ht="14.25" customHeight="1" x14ac:dyDescent="0.45">
      <c r="A9962" t="str">
        <f>_xlfn.XLOOKUP(B9962,Ingot!$H$12:$H$119,Ingot!$G$12:$G$119,"")</f>
        <v>Leather</v>
      </c>
      <c r="B9962" t="s">
        <v>19854</v>
      </c>
      <c r="C9962" t="s">
        <v>157</v>
      </c>
      <c r="D9962" t="s">
        <v>20021</v>
      </c>
      <c r="E9962" t="s">
        <v>20022</v>
      </c>
      <c r="G9962" s="1">
        <v>14.8</v>
      </c>
    </row>
    <row r="9963" spans="1:7" ht="14.25" customHeight="1" x14ac:dyDescent="0.45">
      <c r="A9963" t="str">
        <f>_xlfn.XLOOKUP(B9963,Ingot!$H$12:$H$119,Ingot!$G$12:$G$119,"")</f>
        <v>Leather</v>
      </c>
      <c r="B9963" t="s">
        <v>19854</v>
      </c>
      <c r="C9963" t="s">
        <v>157</v>
      </c>
      <c r="D9963" t="s">
        <v>20023</v>
      </c>
      <c r="E9963" t="s">
        <v>20024</v>
      </c>
      <c r="G9963" s="1">
        <v>5</v>
      </c>
    </row>
    <row r="9964" spans="1:7" ht="14.25" customHeight="1" x14ac:dyDescent="0.45">
      <c r="A9964" t="str">
        <f>_xlfn.XLOOKUP(B9964,Ingot!$H$12:$H$119,Ingot!$G$12:$G$119,"")</f>
        <v>Leather</v>
      </c>
      <c r="B9964" t="s">
        <v>19854</v>
      </c>
      <c r="C9964" t="s">
        <v>157</v>
      </c>
      <c r="D9964" t="s">
        <v>20025</v>
      </c>
      <c r="E9964" t="s">
        <v>20026</v>
      </c>
      <c r="G9964" s="1">
        <v>5</v>
      </c>
    </row>
    <row r="9965" spans="1:7" ht="14.25" customHeight="1" x14ac:dyDescent="0.45">
      <c r="A9965" t="str">
        <f>_xlfn.XLOOKUP(B9965,Ingot!$H$12:$H$119,Ingot!$G$12:$G$119,"")</f>
        <v>Leather</v>
      </c>
      <c r="B9965" t="s">
        <v>19854</v>
      </c>
      <c r="C9965" t="s">
        <v>157</v>
      </c>
      <c r="D9965" t="s">
        <v>20027</v>
      </c>
      <c r="E9965" t="s">
        <v>20028</v>
      </c>
      <c r="G9965" s="1">
        <v>5</v>
      </c>
    </row>
    <row r="9966" spans="1:7" ht="14.25" customHeight="1" x14ac:dyDescent="0.45">
      <c r="A9966" t="str">
        <f>_xlfn.XLOOKUP(B9966,Ingot!$H$12:$H$119,Ingot!$G$12:$G$119,"")</f>
        <v>Leather</v>
      </c>
      <c r="B9966" t="s">
        <v>19854</v>
      </c>
      <c r="C9966" t="s">
        <v>157</v>
      </c>
      <c r="D9966" t="s">
        <v>20029</v>
      </c>
      <c r="E9966" t="s">
        <v>20030</v>
      </c>
      <c r="G9966" s="1">
        <v>10</v>
      </c>
    </row>
    <row r="9967" spans="1:7" ht="14.25" customHeight="1" x14ac:dyDescent="0.45">
      <c r="A9967" t="str">
        <f>_xlfn.XLOOKUP(B9967,Ingot!$H$12:$H$119,Ingot!$G$12:$G$119,"")</f>
        <v>Leather</v>
      </c>
      <c r="B9967" t="s">
        <v>19854</v>
      </c>
      <c r="C9967" t="s">
        <v>157</v>
      </c>
      <c r="D9967" t="s">
        <v>20031</v>
      </c>
      <c r="E9967" t="s">
        <v>20032</v>
      </c>
      <c r="F9967" t="s">
        <v>180</v>
      </c>
      <c r="G9967" s="1">
        <v>16</v>
      </c>
    </row>
    <row r="9968" spans="1:7" ht="14.25" customHeight="1" x14ac:dyDescent="0.45">
      <c r="A9968" t="str">
        <f>_xlfn.XLOOKUP(B9968,Ingot!$H$12:$H$119,Ingot!$G$12:$G$119,"")</f>
        <v>Leather</v>
      </c>
      <c r="B9968" t="s">
        <v>19854</v>
      </c>
      <c r="C9968" t="s">
        <v>157</v>
      </c>
      <c r="D9968" t="s">
        <v>20033</v>
      </c>
      <c r="E9968" t="s">
        <v>20034</v>
      </c>
      <c r="F9968" t="s">
        <v>180</v>
      </c>
      <c r="G9968" s="1">
        <v>5</v>
      </c>
    </row>
    <row r="9969" spans="1:7" ht="14.25" customHeight="1" x14ac:dyDescent="0.45">
      <c r="A9969" t="str">
        <f>_xlfn.XLOOKUP(B9969,Ingot!$H$12:$H$119,Ingot!$G$12:$G$119,"")</f>
        <v>Leather</v>
      </c>
      <c r="B9969" t="s">
        <v>19854</v>
      </c>
      <c r="C9969" t="s">
        <v>157</v>
      </c>
      <c r="D9969" t="s">
        <v>20035</v>
      </c>
      <c r="E9969" t="s">
        <v>20036</v>
      </c>
      <c r="F9969" t="s">
        <v>180</v>
      </c>
      <c r="G9969" s="1">
        <v>5</v>
      </c>
    </row>
    <row r="9970" spans="1:7" ht="14.25" customHeight="1" x14ac:dyDescent="0.45">
      <c r="A9970" t="str">
        <f>_xlfn.XLOOKUP(B9970,Ingot!$H$12:$H$119,Ingot!$G$12:$G$119,"")</f>
        <v>Leather</v>
      </c>
      <c r="B9970" t="s">
        <v>19854</v>
      </c>
      <c r="C9970" t="s">
        <v>157</v>
      </c>
      <c r="D9970" t="s">
        <v>20037</v>
      </c>
      <c r="E9970" t="s">
        <v>20038</v>
      </c>
      <c r="F9970" t="s">
        <v>180</v>
      </c>
      <c r="G9970" s="1">
        <v>5</v>
      </c>
    </row>
    <row r="9971" spans="1:7" ht="14.25" customHeight="1" x14ac:dyDescent="0.45">
      <c r="A9971" t="str">
        <f>_xlfn.XLOOKUP(B9971,Ingot!$H$12:$H$119,Ingot!$G$12:$G$119,"")</f>
        <v>Leather</v>
      </c>
      <c r="B9971" t="s">
        <v>19854</v>
      </c>
      <c r="C9971" t="s">
        <v>157</v>
      </c>
      <c r="D9971" t="s">
        <v>20039</v>
      </c>
      <c r="E9971" t="s">
        <v>20040</v>
      </c>
      <c r="F9971" t="s">
        <v>180</v>
      </c>
      <c r="G9971" s="1">
        <v>10</v>
      </c>
    </row>
    <row r="9972" spans="1:7" ht="14.25" customHeight="1" x14ac:dyDescent="0.45">
      <c r="A9972" t="str">
        <f>_xlfn.XLOOKUP(B9972,Ingot!$H$12:$H$119,Ingot!$G$12:$G$119,"")</f>
        <v>Leather</v>
      </c>
      <c r="B9972" t="s">
        <v>19854</v>
      </c>
      <c r="C9972" t="s">
        <v>157</v>
      </c>
      <c r="D9972" t="s">
        <v>20041</v>
      </c>
      <c r="E9972" t="s">
        <v>20042</v>
      </c>
      <c r="F9972" t="s">
        <v>180</v>
      </c>
      <c r="G9972" s="1">
        <v>17</v>
      </c>
    </row>
    <row r="9973" spans="1:7" ht="14.25" customHeight="1" x14ac:dyDescent="0.45">
      <c r="A9973" t="str">
        <f>_xlfn.XLOOKUP(B9973,Ingot!$H$12:$H$119,Ingot!$G$12:$G$119,"")</f>
        <v>Leather</v>
      </c>
      <c r="B9973" t="s">
        <v>19854</v>
      </c>
      <c r="C9973" t="s">
        <v>157</v>
      </c>
      <c r="D9973" t="s">
        <v>20043</v>
      </c>
      <c r="E9973" t="s">
        <v>20044</v>
      </c>
      <c r="G9973" s="1">
        <v>5</v>
      </c>
    </row>
    <row r="9974" spans="1:7" ht="14.25" customHeight="1" x14ac:dyDescent="0.45">
      <c r="A9974" t="str">
        <f>_xlfn.XLOOKUP(B9974,Ingot!$H$12:$H$119,Ingot!$G$12:$G$119,"")</f>
        <v>Leather</v>
      </c>
      <c r="B9974" t="s">
        <v>19854</v>
      </c>
      <c r="C9974" t="s">
        <v>157</v>
      </c>
      <c r="D9974" t="s">
        <v>20045</v>
      </c>
      <c r="E9974" t="s">
        <v>20046</v>
      </c>
      <c r="G9974" s="1">
        <v>5</v>
      </c>
    </row>
    <row r="9975" spans="1:7" ht="14.25" customHeight="1" x14ac:dyDescent="0.45">
      <c r="A9975" t="str">
        <f>_xlfn.XLOOKUP(B9975,Ingot!$H$12:$H$119,Ingot!$G$12:$G$119,"")</f>
        <v>Leather</v>
      </c>
      <c r="B9975" t="s">
        <v>19854</v>
      </c>
      <c r="C9975" t="s">
        <v>157</v>
      </c>
      <c r="D9975" t="s">
        <v>20047</v>
      </c>
      <c r="E9975" t="s">
        <v>20048</v>
      </c>
      <c r="G9975" s="1">
        <v>5</v>
      </c>
    </row>
    <row r="9976" spans="1:7" ht="14.25" customHeight="1" x14ac:dyDescent="0.45">
      <c r="A9976" t="str">
        <f>_xlfn.XLOOKUP(B9976,Ingot!$H$12:$H$119,Ingot!$G$12:$G$119,"")</f>
        <v>Leather</v>
      </c>
      <c r="B9976" t="s">
        <v>19854</v>
      </c>
      <c r="C9976" t="s">
        <v>157</v>
      </c>
      <c r="D9976" t="s">
        <v>20049</v>
      </c>
      <c r="E9976" t="s">
        <v>20050</v>
      </c>
      <c r="F9976" t="s">
        <v>180</v>
      </c>
      <c r="G9976" s="1">
        <v>10</v>
      </c>
    </row>
    <row r="9977" spans="1:7" ht="14.25" customHeight="1" x14ac:dyDescent="0.45">
      <c r="A9977" t="str">
        <f>_xlfn.XLOOKUP(B9977,Ingot!$H$12:$H$119,Ingot!$G$12:$G$119,"")</f>
        <v>Leather</v>
      </c>
      <c r="B9977" t="s">
        <v>19854</v>
      </c>
      <c r="C9977" t="s">
        <v>157</v>
      </c>
      <c r="D9977" t="s">
        <v>20051</v>
      </c>
      <c r="E9977" t="s">
        <v>20052</v>
      </c>
      <c r="F9977" t="s">
        <v>180</v>
      </c>
      <c r="G9977" s="1">
        <v>20</v>
      </c>
    </row>
    <row r="9978" spans="1:7" ht="14.25" customHeight="1" x14ac:dyDescent="0.45">
      <c r="A9978" t="str">
        <f>_xlfn.XLOOKUP(B9978,Ingot!$H$12:$H$119,Ingot!$G$12:$G$119,"")</f>
        <v>Leather</v>
      </c>
      <c r="B9978" t="s">
        <v>19854</v>
      </c>
      <c r="C9978" t="s">
        <v>157</v>
      </c>
      <c r="D9978" t="s">
        <v>20053</v>
      </c>
      <c r="E9978" t="s">
        <v>20054</v>
      </c>
      <c r="F9978" t="s">
        <v>180</v>
      </c>
      <c r="G9978" s="1">
        <v>5</v>
      </c>
    </row>
    <row r="9979" spans="1:7" ht="14.25" customHeight="1" x14ac:dyDescent="0.45">
      <c r="A9979" t="str">
        <f>_xlfn.XLOOKUP(B9979,Ingot!$H$12:$H$119,Ingot!$G$12:$G$119,"")</f>
        <v>Leather</v>
      </c>
      <c r="B9979" t="s">
        <v>19854</v>
      </c>
      <c r="C9979" t="s">
        <v>157</v>
      </c>
      <c r="D9979" t="s">
        <v>20055</v>
      </c>
      <c r="E9979" t="s">
        <v>20056</v>
      </c>
      <c r="F9979" t="s">
        <v>180</v>
      </c>
      <c r="G9979" s="1">
        <v>5</v>
      </c>
    </row>
    <row r="9980" spans="1:7" ht="14.25" customHeight="1" x14ac:dyDescent="0.45">
      <c r="A9980" t="str">
        <f>_xlfn.XLOOKUP(B9980,Ingot!$H$12:$H$119,Ingot!$G$12:$G$119,"")</f>
        <v>Leather</v>
      </c>
      <c r="B9980" t="s">
        <v>19854</v>
      </c>
      <c r="C9980" t="s">
        <v>157</v>
      </c>
      <c r="D9980" t="s">
        <v>20057</v>
      </c>
      <c r="E9980" t="s">
        <v>20058</v>
      </c>
      <c r="F9980" t="s">
        <v>180</v>
      </c>
      <c r="G9980" s="1">
        <v>5</v>
      </c>
    </row>
    <row r="9981" spans="1:7" ht="14.25" customHeight="1" x14ac:dyDescent="0.45">
      <c r="A9981" t="str">
        <f>_xlfn.XLOOKUP(B9981,Ingot!$H$12:$H$119,Ingot!$G$12:$G$119,"")</f>
        <v>Leather</v>
      </c>
      <c r="B9981" t="s">
        <v>19854</v>
      </c>
      <c r="C9981" t="s">
        <v>157</v>
      </c>
      <c r="D9981" t="s">
        <v>20059</v>
      </c>
      <c r="E9981" t="s">
        <v>20060</v>
      </c>
      <c r="F9981" t="s">
        <v>180</v>
      </c>
      <c r="G9981" s="1">
        <v>10</v>
      </c>
    </row>
    <row r="9982" spans="1:7" ht="14.25" customHeight="1" x14ac:dyDescent="0.45">
      <c r="A9982" t="str">
        <f>_xlfn.XLOOKUP(B9982,Ingot!$H$12:$H$119,Ingot!$G$12:$G$119,"")</f>
        <v>Leather</v>
      </c>
      <c r="B9982" t="s">
        <v>19854</v>
      </c>
      <c r="C9982" t="s">
        <v>157</v>
      </c>
      <c r="D9982" t="s">
        <v>20061</v>
      </c>
      <c r="E9982" t="s">
        <v>20062</v>
      </c>
      <c r="F9982" t="s">
        <v>180</v>
      </c>
      <c r="G9982" s="1">
        <v>19</v>
      </c>
    </row>
    <row r="9983" spans="1:7" ht="14.25" customHeight="1" x14ac:dyDescent="0.45">
      <c r="A9983" t="str">
        <f>_xlfn.XLOOKUP(B9983,Ingot!$H$12:$H$119,Ingot!$G$12:$G$119,"")</f>
        <v>Leather</v>
      </c>
      <c r="B9983" t="s">
        <v>19854</v>
      </c>
      <c r="C9983" t="s">
        <v>157</v>
      </c>
      <c r="D9983" t="s">
        <v>20063</v>
      </c>
      <c r="E9983" t="s">
        <v>20064</v>
      </c>
      <c r="F9983" t="s">
        <v>180</v>
      </c>
      <c r="G9983" s="1">
        <v>5</v>
      </c>
    </row>
    <row r="9984" spans="1:7" ht="14.25" customHeight="1" x14ac:dyDescent="0.45">
      <c r="A9984" t="str">
        <f>_xlfn.XLOOKUP(B9984,Ingot!$H$12:$H$119,Ingot!$G$12:$G$119,"")</f>
        <v>Leather</v>
      </c>
      <c r="B9984" t="s">
        <v>19854</v>
      </c>
      <c r="C9984" t="s">
        <v>157</v>
      </c>
      <c r="D9984" t="s">
        <v>20065</v>
      </c>
      <c r="E9984" t="s">
        <v>20066</v>
      </c>
      <c r="F9984" t="s">
        <v>180</v>
      </c>
      <c r="G9984" s="1">
        <v>5</v>
      </c>
    </row>
    <row r="9985" spans="1:7" ht="14.25" customHeight="1" x14ac:dyDescent="0.45">
      <c r="A9985" t="str">
        <f>_xlfn.XLOOKUP(B9985,Ingot!$H$12:$H$119,Ingot!$G$12:$G$119,"")</f>
        <v>Leather</v>
      </c>
      <c r="B9985" t="s">
        <v>19854</v>
      </c>
      <c r="C9985" t="s">
        <v>157</v>
      </c>
      <c r="D9985" t="s">
        <v>20067</v>
      </c>
      <c r="E9985" t="s">
        <v>20068</v>
      </c>
      <c r="F9985" t="s">
        <v>180</v>
      </c>
      <c r="G9985" s="1">
        <v>5</v>
      </c>
    </row>
    <row r="9986" spans="1:7" ht="14.25" customHeight="1" x14ac:dyDescent="0.45">
      <c r="A9986" t="str">
        <f>_xlfn.XLOOKUP(B9986,Ingot!$H$12:$H$119,Ingot!$G$12:$G$119,"")</f>
        <v>Leather</v>
      </c>
      <c r="B9986" t="s">
        <v>19854</v>
      </c>
      <c r="C9986" t="s">
        <v>157</v>
      </c>
      <c r="D9986" t="s">
        <v>20069</v>
      </c>
      <c r="E9986" t="s">
        <v>20070</v>
      </c>
      <c r="F9986" t="s">
        <v>180</v>
      </c>
      <c r="G9986" s="1">
        <v>10</v>
      </c>
    </row>
    <row r="9987" spans="1:7" ht="14.25" customHeight="1" x14ac:dyDescent="0.45">
      <c r="A9987" t="str">
        <f>_xlfn.XLOOKUP(B9987,Ingot!$H$12:$H$119,Ingot!$G$12:$G$119,"")</f>
        <v>Leather</v>
      </c>
      <c r="B9987" t="s">
        <v>19854</v>
      </c>
      <c r="C9987" t="s">
        <v>157</v>
      </c>
      <c r="D9987" t="s">
        <v>20071</v>
      </c>
      <c r="E9987" t="s">
        <v>20072</v>
      </c>
      <c r="G9987" s="1">
        <v>14.6</v>
      </c>
    </row>
    <row r="9988" spans="1:7" ht="14.25" customHeight="1" x14ac:dyDescent="0.45">
      <c r="A9988" t="str">
        <f>_xlfn.XLOOKUP(B9988,Ingot!$H$12:$H$119,Ingot!$G$12:$G$119,"")</f>
        <v>Leather</v>
      </c>
      <c r="B9988" t="s">
        <v>19854</v>
      </c>
      <c r="C9988" t="s">
        <v>157</v>
      </c>
      <c r="D9988" t="s">
        <v>20073</v>
      </c>
      <c r="E9988" t="s">
        <v>20074</v>
      </c>
      <c r="G9988" s="1">
        <v>5</v>
      </c>
    </row>
    <row r="9989" spans="1:7" ht="14.25" customHeight="1" x14ac:dyDescent="0.45">
      <c r="A9989" t="str">
        <f>_xlfn.XLOOKUP(B9989,Ingot!$H$12:$H$119,Ingot!$G$12:$G$119,"")</f>
        <v>Leather</v>
      </c>
      <c r="B9989" t="s">
        <v>19854</v>
      </c>
      <c r="C9989" t="s">
        <v>157</v>
      </c>
      <c r="D9989" t="s">
        <v>20075</v>
      </c>
      <c r="E9989" t="s">
        <v>20076</v>
      </c>
      <c r="G9989" s="1">
        <v>5</v>
      </c>
    </row>
    <row r="9990" spans="1:7" ht="14.25" customHeight="1" x14ac:dyDescent="0.45">
      <c r="A9990" t="str">
        <f>_xlfn.XLOOKUP(B9990,Ingot!$H$12:$H$119,Ingot!$G$12:$G$119,"")</f>
        <v>Leather</v>
      </c>
      <c r="B9990" t="s">
        <v>19854</v>
      </c>
      <c r="C9990" t="s">
        <v>157</v>
      </c>
      <c r="D9990" t="s">
        <v>20077</v>
      </c>
      <c r="E9990" t="s">
        <v>20078</v>
      </c>
      <c r="G9990" s="1">
        <v>5</v>
      </c>
    </row>
    <row r="9991" spans="1:7" ht="14.25" customHeight="1" x14ac:dyDescent="0.45">
      <c r="A9991" t="str">
        <f>_xlfn.XLOOKUP(B9991,Ingot!$H$12:$H$119,Ingot!$G$12:$G$119,"")</f>
        <v>Leather</v>
      </c>
      <c r="B9991" t="s">
        <v>19854</v>
      </c>
      <c r="C9991" t="s">
        <v>157</v>
      </c>
      <c r="D9991" t="s">
        <v>20079</v>
      </c>
      <c r="E9991" t="s">
        <v>20080</v>
      </c>
      <c r="G9991" s="1">
        <v>10</v>
      </c>
    </row>
    <row r="9992" spans="1:7" ht="14.25" customHeight="1" x14ac:dyDescent="0.45">
      <c r="A9992" t="str">
        <f>_xlfn.XLOOKUP(B9992,Ingot!$H$12:$H$119,Ingot!$G$12:$G$119,"")</f>
        <v>Leather</v>
      </c>
      <c r="B9992" t="s">
        <v>19854</v>
      </c>
      <c r="C9992" t="s">
        <v>239</v>
      </c>
      <c r="D9992" t="s">
        <v>20081</v>
      </c>
      <c r="E9992" t="s">
        <v>20082</v>
      </c>
      <c r="G9992" s="1">
        <f>(VLOOKUP(B9992,Ingot!H:I,2,FALSE()) * 0.75) * 0.75</f>
        <v>3.2812499999999987</v>
      </c>
    </row>
    <row r="9993" spans="1:7" ht="14.25" customHeight="1" x14ac:dyDescent="0.45">
      <c r="A9993" t="str">
        <f>_xlfn.XLOOKUP(B9993,Ingot!$H$12:$H$119,Ingot!$G$12:$G$119,"")</f>
        <v>Leather</v>
      </c>
      <c r="B9993" t="s">
        <v>19854</v>
      </c>
      <c r="C9993" t="s">
        <v>239</v>
      </c>
      <c r="D9993" t="s">
        <v>20083</v>
      </c>
      <c r="E9993" t="s">
        <v>20084</v>
      </c>
      <c r="F9993" t="s">
        <v>180</v>
      </c>
      <c r="G9993" s="1">
        <f>((VLOOKUP(B9993,Ingot!H:I,2,FALSE()) * 3) - 10.25) * 0.421875</f>
        <v>3.0585937499999969</v>
      </c>
    </row>
    <row r="9994" spans="1:7" ht="14.25" customHeight="1" x14ac:dyDescent="0.45">
      <c r="A9994" t="str">
        <f>_xlfn.XLOOKUP(B9994,Ingot!$H$12:$H$119,Ingot!$G$12:$G$119,"")</f>
        <v>Leather</v>
      </c>
      <c r="B9994" t="s">
        <v>19854</v>
      </c>
      <c r="C9994" t="s">
        <v>239</v>
      </c>
      <c r="D9994" t="s">
        <v>20085</v>
      </c>
      <c r="E9994" t="s">
        <v>20086</v>
      </c>
      <c r="F9994" t="s">
        <v>180</v>
      </c>
      <c r="G9994" s="1">
        <f>((VLOOKUP(B9994,Ingot!H:I,2,FALSE()) * 3) - 10.25) * 0.75</f>
        <v>5.4374999999999947</v>
      </c>
    </row>
    <row r="9995" spans="1:7" ht="14.25" customHeight="1" x14ac:dyDescent="0.45">
      <c r="A9995" t="str">
        <f>_xlfn.XLOOKUP(B9995,Ingot!$H$12:$H$119,Ingot!$G$12:$G$119,"")</f>
        <v>Leather</v>
      </c>
      <c r="B9995" t="s">
        <v>19854</v>
      </c>
      <c r="C9995" t="s">
        <v>239</v>
      </c>
      <c r="D9995" t="s">
        <v>20087</v>
      </c>
      <c r="E9995" t="s">
        <v>20088</v>
      </c>
      <c r="F9995" t="s">
        <v>180</v>
      </c>
      <c r="G9995" s="1">
        <f>((VLOOKUP(B9995,Ingot!H:I,2,FALSE()) * 3) - 10.25) * 0.5625</f>
        <v>4.0781249999999964</v>
      </c>
    </row>
    <row r="9996" spans="1:7" ht="14.25" customHeight="1" x14ac:dyDescent="0.45">
      <c r="A9996" t="str">
        <f>_xlfn.XLOOKUP(B9996,Ingot!$H$12:$H$119,Ingot!$G$12:$G$119,"")</f>
        <v>Leather</v>
      </c>
      <c r="B9996" t="s">
        <v>19854</v>
      </c>
      <c r="C9996" t="s">
        <v>239</v>
      </c>
      <c r="D9996" t="s">
        <v>20089</v>
      </c>
      <c r="E9996" t="s">
        <v>20090</v>
      </c>
      <c r="G9996" s="1">
        <f>VLOOKUP(B9996,Ingot!H:I,2,FALSE()) * 0.75</f>
        <v>4.3749999999999982</v>
      </c>
    </row>
    <row r="9997" spans="1:7" ht="14.25" customHeight="1" x14ac:dyDescent="0.45">
      <c r="A9997" t="str">
        <f>_xlfn.XLOOKUP(B9997,Ingot!$H$12:$H$119,Ingot!$G$12:$G$119,"")</f>
        <v>Leather</v>
      </c>
      <c r="B9997" t="s">
        <v>19854</v>
      </c>
      <c r="C9997" t="s">
        <v>239</v>
      </c>
      <c r="D9997" t="s">
        <v>20091</v>
      </c>
      <c r="E9997" t="s">
        <v>20092</v>
      </c>
      <c r="F9997" t="s">
        <v>180</v>
      </c>
      <c r="G9997" s="1">
        <f>(VLOOKUP(B9997,Ingot!H:I,2,FALSE()) * 3) - 10.25</f>
        <v>7.2499999999999929</v>
      </c>
    </row>
    <row r="9998" spans="1:7" ht="14.25" customHeight="1" x14ac:dyDescent="0.45">
      <c r="A9998" t="str">
        <f>_xlfn.XLOOKUP(B9998,Ingot!$H$12:$H$119,Ingot!$G$12:$G$119,"")</f>
        <v>Leather</v>
      </c>
      <c r="B9998" t="s">
        <v>20093</v>
      </c>
      <c r="C9998" t="s">
        <v>10</v>
      </c>
      <c r="D9998" t="s">
        <v>20094</v>
      </c>
      <c r="E9998" t="s">
        <v>20095</v>
      </c>
      <c r="G9998" s="1">
        <v>0.08</v>
      </c>
    </row>
    <row r="9999" spans="1:7" ht="14.25" customHeight="1" x14ac:dyDescent="0.45">
      <c r="A9999" t="str">
        <f>_xlfn.XLOOKUP(B9999,Ingot!$H$12:$H$119,Ingot!$G$12:$G$119,"")</f>
        <v>Leather</v>
      </c>
      <c r="B9999" t="s">
        <v>20093</v>
      </c>
      <c r="C9999" t="s">
        <v>10</v>
      </c>
      <c r="D9999" t="s">
        <v>20096</v>
      </c>
      <c r="E9999" t="s">
        <v>20097</v>
      </c>
      <c r="G9999" s="1">
        <v>9.9</v>
      </c>
    </row>
    <row r="10000" spans="1:7" ht="14.25" customHeight="1" x14ac:dyDescent="0.45">
      <c r="A10000" t="str">
        <f>_xlfn.XLOOKUP(B10000,Ingot!$H$12:$H$119,Ingot!$G$12:$G$119,"")</f>
        <v>Leather</v>
      </c>
      <c r="B10000" t="s">
        <v>20093</v>
      </c>
      <c r="C10000" t="s">
        <v>10</v>
      </c>
      <c r="D10000" t="s">
        <v>20098</v>
      </c>
      <c r="E10000" t="s">
        <v>20099</v>
      </c>
      <c r="G10000" s="1">
        <v>5.66</v>
      </c>
    </row>
    <row r="10001" spans="1:7" ht="14.25" customHeight="1" x14ac:dyDescent="0.45">
      <c r="A10001" t="str">
        <f>_xlfn.XLOOKUP(B10001,Ingot!$H$12:$H$119,Ingot!$G$12:$G$119,"")</f>
        <v>Leather</v>
      </c>
      <c r="B10001" t="s">
        <v>20093</v>
      </c>
      <c r="C10001" t="s">
        <v>10</v>
      </c>
      <c r="D10001" t="s">
        <v>20100</v>
      </c>
      <c r="E10001" t="s">
        <v>20101</v>
      </c>
      <c r="G10001" s="1">
        <v>3.3</v>
      </c>
    </row>
    <row r="10002" spans="1:7" ht="14.25" customHeight="1" x14ac:dyDescent="0.45">
      <c r="A10002" t="str">
        <f>_xlfn.XLOOKUP(B10002,Ingot!$H$12:$H$119,Ingot!$G$12:$G$119,"")</f>
        <v>Leather</v>
      </c>
      <c r="B10002" t="s">
        <v>20093</v>
      </c>
      <c r="C10002" t="s">
        <v>10</v>
      </c>
      <c r="D10002" t="s">
        <v>20102</v>
      </c>
      <c r="E10002" t="s">
        <v>20103</v>
      </c>
      <c r="G10002" s="1">
        <v>0.66</v>
      </c>
    </row>
    <row r="10003" spans="1:7" ht="14.25" customHeight="1" x14ac:dyDescent="0.45">
      <c r="A10003" t="str">
        <f>_xlfn.XLOOKUP(B10003,Ingot!$H$12:$H$119,Ingot!$G$12:$G$119,"")</f>
        <v>Leather</v>
      </c>
      <c r="B10003" t="s">
        <v>20093</v>
      </c>
      <c r="C10003" t="s">
        <v>10</v>
      </c>
      <c r="D10003" t="s">
        <v>20104</v>
      </c>
      <c r="E10003" t="s">
        <v>20105</v>
      </c>
      <c r="G10003" s="1">
        <v>0.04</v>
      </c>
    </row>
    <row r="10004" spans="1:7" ht="14.25" customHeight="1" x14ac:dyDescent="0.45">
      <c r="A10004" t="str">
        <f>_xlfn.XLOOKUP(B10004,Ingot!$H$12:$H$119,Ingot!$G$12:$G$119,"")</f>
        <v>Leather</v>
      </c>
      <c r="B10004" t="s">
        <v>20093</v>
      </c>
      <c r="C10004" t="s">
        <v>10</v>
      </c>
      <c r="D10004" t="s">
        <v>20106</v>
      </c>
      <c r="E10004" t="s">
        <v>20107</v>
      </c>
      <c r="G10004" s="1">
        <v>0.33</v>
      </c>
    </row>
    <row r="10005" spans="1:7" ht="14.25" customHeight="1" x14ac:dyDescent="0.45">
      <c r="A10005" t="str">
        <f>_xlfn.XLOOKUP(B10005,Ingot!$H$12:$H$119,Ingot!$G$12:$G$119,"")</f>
        <v>Leather</v>
      </c>
      <c r="B10005" t="s">
        <v>20093</v>
      </c>
      <c r="C10005" t="s">
        <v>10</v>
      </c>
      <c r="D10005" t="s">
        <v>20108</v>
      </c>
      <c r="E10005" t="s">
        <v>20109</v>
      </c>
    </row>
    <row r="10006" spans="1:7" ht="14.25" customHeight="1" x14ac:dyDescent="0.45">
      <c r="A10006" t="str">
        <f>_xlfn.XLOOKUP(B10006,Ingot!$H$12:$H$119,Ingot!$G$12:$G$119,"")</f>
        <v>Leather</v>
      </c>
      <c r="B10006" t="s">
        <v>20093</v>
      </c>
      <c r="C10006" t="s">
        <v>10</v>
      </c>
      <c r="D10006" t="s">
        <v>20110</v>
      </c>
      <c r="E10006" t="s">
        <v>20111</v>
      </c>
      <c r="G10006" s="1">
        <v>0.05</v>
      </c>
    </row>
    <row r="10007" spans="1:7" ht="14.25" customHeight="1" x14ac:dyDescent="0.45">
      <c r="A10007" t="str">
        <f>_xlfn.XLOOKUP(B10007,Ingot!$H$12:$H$119,Ingot!$G$12:$G$119,"")</f>
        <v>Leather</v>
      </c>
      <c r="B10007" t="s">
        <v>20093</v>
      </c>
      <c r="C10007" t="s">
        <v>10</v>
      </c>
      <c r="D10007" t="s">
        <v>20112</v>
      </c>
      <c r="E10007" t="s">
        <v>20113</v>
      </c>
      <c r="G10007" s="1">
        <v>0.66</v>
      </c>
    </row>
    <row r="10008" spans="1:7" ht="14.25" customHeight="1" x14ac:dyDescent="0.45">
      <c r="A10008" t="str">
        <f>_xlfn.XLOOKUP(B10008,Ingot!$H$12:$H$119,Ingot!$G$12:$G$119,"")</f>
        <v>Leather</v>
      </c>
      <c r="B10008" t="s">
        <v>20093</v>
      </c>
      <c r="C10008" t="s">
        <v>10</v>
      </c>
      <c r="D10008" t="s">
        <v>20114</v>
      </c>
      <c r="E10008" t="s">
        <v>20115</v>
      </c>
      <c r="G10008" s="1">
        <v>3.96</v>
      </c>
    </row>
    <row r="10009" spans="1:7" ht="14.25" customHeight="1" x14ac:dyDescent="0.45">
      <c r="A10009" t="str">
        <f>_xlfn.XLOOKUP(B10009,Ingot!$H$12:$H$119,Ingot!$G$12:$G$119,"")</f>
        <v>Leather</v>
      </c>
      <c r="B10009" t="s">
        <v>20093</v>
      </c>
      <c r="C10009" t="s">
        <v>10</v>
      </c>
      <c r="D10009" t="s">
        <v>20116</v>
      </c>
      <c r="E10009" t="s">
        <v>20117</v>
      </c>
      <c r="G10009" s="1">
        <v>8.77</v>
      </c>
    </row>
    <row r="10010" spans="1:7" ht="14.25" customHeight="1" x14ac:dyDescent="0.45">
      <c r="A10010" t="str">
        <f>_xlfn.XLOOKUP(B10010,Ingot!$H$12:$H$119,Ingot!$G$12:$G$119,"")</f>
        <v>Leather</v>
      </c>
      <c r="B10010" t="s">
        <v>20093</v>
      </c>
      <c r="C10010" t="s">
        <v>10</v>
      </c>
      <c r="D10010" t="s">
        <v>20118</v>
      </c>
      <c r="E10010" t="s">
        <v>20119</v>
      </c>
      <c r="G10010" s="1">
        <v>3.5</v>
      </c>
    </row>
    <row r="10011" spans="1:7" ht="14.25" customHeight="1" x14ac:dyDescent="0.45">
      <c r="A10011" t="str">
        <f>_xlfn.XLOOKUP(B10011,Ingot!$H$12:$H$119,Ingot!$G$12:$G$119,"")</f>
        <v>Leather</v>
      </c>
      <c r="B10011" t="s">
        <v>20093</v>
      </c>
      <c r="C10011" t="s">
        <v>10</v>
      </c>
      <c r="D10011" t="s">
        <v>20120</v>
      </c>
      <c r="E10011" t="s">
        <v>20121</v>
      </c>
    </row>
    <row r="10012" spans="1:7" ht="14.25" customHeight="1" x14ac:dyDescent="0.45">
      <c r="A10012" t="str">
        <f>_xlfn.XLOOKUP(B10012,Ingot!$H$12:$H$119,Ingot!$G$12:$G$119,"")</f>
        <v>Leather</v>
      </c>
      <c r="B10012" t="s">
        <v>20093</v>
      </c>
      <c r="C10012" t="s">
        <v>10</v>
      </c>
      <c r="D10012" t="s">
        <v>20122</v>
      </c>
      <c r="E10012" t="s">
        <v>20123</v>
      </c>
      <c r="G10012" s="1">
        <v>2.2000000000000002</v>
      </c>
    </row>
    <row r="10013" spans="1:7" ht="14.25" customHeight="1" x14ac:dyDescent="0.45">
      <c r="A10013" t="str">
        <f>_xlfn.XLOOKUP(B10013,Ingot!$H$12:$H$119,Ingot!$G$12:$G$119,"")</f>
        <v>Leather</v>
      </c>
      <c r="B10013" t="s">
        <v>20093</v>
      </c>
      <c r="C10013" t="s">
        <v>10</v>
      </c>
      <c r="D10013" t="s">
        <v>20124</v>
      </c>
      <c r="E10013" t="s">
        <v>20125</v>
      </c>
      <c r="G10013" s="1">
        <v>1.1000000000000001</v>
      </c>
    </row>
    <row r="10014" spans="1:7" ht="14.25" customHeight="1" x14ac:dyDescent="0.45">
      <c r="A10014" t="str">
        <f>_xlfn.XLOOKUP(B10014,Ingot!$H$12:$H$119,Ingot!$G$12:$G$119,"")</f>
        <v>Leather</v>
      </c>
      <c r="B10014" t="s">
        <v>20093</v>
      </c>
      <c r="C10014" t="s">
        <v>10</v>
      </c>
      <c r="D10014" t="s">
        <v>20126</v>
      </c>
      <c r="E10014" t="s">
        <v>20127</v>
      </c>
      <c r="G10014" s="1">
        <v>0.22</v>
      </c>
    </row>
    <row r="10015" spans="1:7" ht="14.25" customHeight="1" x14ac:dyDescent="0.45">
      <c r="A10015" t="str">
        <f>_xlfn.XLOOKUP(B10015,Ingot!$H$12:$H$119,Ingot!$G$12:$G$119,"")</f>
        <v>Leather</v>
      </c>
      <c r="B10015" t="s">
        <v>20093</v>
      </c>
      <c r="C10015" t="s">
        <v>10</v>
      </c>
      <c r="D10015" t="s">
        <v>20128</v>
      </c>
      <c r="E10015" t="s">
        <v>20129</v>
      </c>
      <c r="G10015" s="1">
        <v>8.41</v>
      </c>
    </row>
    <row r="10016" spans="1:7" ht="14.25" customHeight="1" x14ac:dyDescent="0.45">
      <c r="A10016" t="str">
        <f>_xlfn.XLOOKUP(B10016,Ingot!$H$12:$H$119,Ingot!$G$12:$G$119,"")</f>
        <v>Leather</v>
      </c>
      <c r="B10016" t="s">
        <v>20093</v>
      </c>
      <c r="C10016" t="s">
        <v>10</v>
      </c>
      <c r="D10016" t="s">
        <v>20130</v>
      </c>
      <c r="E10016" t="s">
        <v>20131</v>
      </c>
      <c r="G10016" s="1">
        <v>3.64</v>
      </c>
    </row>
    <row r="10017" spans="1:7" ht="14.25" customHeight="1" x14ac:dyDescent="0.45">
      <c r="A10017" t="str">
        <f>_xlfn.XLOOKUP(B10017,Ingot!$H$12:$H$119,Ingot!$G$12:$G$119,"")</f>
        <v>Leather</v>
      </c>
      <c r="B10017" t="s">
        <v>20093</v>
      </c>
      <c r="C10017" t="s">
        <v>10</v>
      </c>
      <c r="D10017" t="s">
        <v>20132</v>
      </c>
      <c r="E10017" t="s">
        <v>20133</v>
      </c>
      <c r="G10017" s="1">
        <v>7.05</v>
      </c>
    </row>
    <row r="10018" spans="1:7" ht="14.25" customHeight="1" x14ac:dyDescent="0.45">
      <c r="A10018" t="str">
        <f>_xlfn.XLOOKUP(B10018,Ingot!$H$12:$H$119,Ingot!$G$12:$G$119,"")</f>
        <v>Leather</v>
      </c>
      <c r="B10018" t="s">
        <v>20093</v>
      </c>
      <c r="C10018" t="s">
        <v>10</v>
      </c>
      <c r="D10018" t="s">
        <v>20134</v>
      </c>
      <c r="E10018" t="s">
        <v>20135</v>
      </c>
      <c r="G10018" s="1">
        <v>2.65</v>
      </c>
    </row>
    <row r="10019" spans="1:7" ht="14.25" customHeight="1" x14ac:dyDescent="0.45">
      <c r="A10019" t="str">
        <f>_xlfn.XLOOKUP(B10019,Ingot!$H$12:$H$119,Ingot!$G$12:$G$119,"")</f>
        <v>Leather</v>
      </c>
      <c r="B10019" t="s">
        <v>20093</v>
      </c>
      <c r="C10019" t="s">
        <v>10</v>
      </c>
      <c r="D10019" t="s">
        <v>20136</v>
      </c>
      <c r="E10019" t="s">
        <v>20137</v>
      </c>
      <c r="G10019" s="1">
        <v>9</v>
      </c>
    </row>
    <row r="10020" spans="1:7" ht="14.25" customHeight="1" x14ac:dyDescent="0.45">
      <c r="A10020" t="str">
        <f>_xlfn.XLOOKUP(B10020,Ingot!$H$12:$H$119,Ingot!$G$12:$G$119,"")</f>
        <v>Leather</v>
      </c>
      <c r="B10020" t="s">
        <v>20093</v>
      </c>
      <c r="C10020" t="s">
        <v>10</v>
      </c>
      <c r="D10020" t="s">
        <v>20138</v>
      </c>
      <c r="E10020" t="s">
        <v>20139</v>
      </c>
      <c r="G10020" s="1">
        <v>10.23</v>
      </c>
    </row>
    <row r="10021" spans="1:7" ht="14.25" customHeight="1" x14ac:dyDescent="0.45">
      <c r="A10021" t="str">
        <f>_xlfn.XLOOKUP(B10021,Ingot!$H$12:$H$119,Ingot!$G$12:$G$119,"")</f>
        <v>Leather</v>
      </c>
      <c r="B10021" t="s">
        <v>20093</v>
      </c>
      <c r="C10021" t="s">
        <v>10</v>
      </c>
      <c r="D10021" t="s">
        <v>20140</v>
      </c>
      <c r="E10021" t="s">
        <v>20141</v>
      </c>
      <c r="G10021" s="1">
        <v>7.7</v>
      </c>
    </row>
    <row r="10022" spans="1:7" ht="14.25" customHeight="1" x14ac:dyDescent="0.45">
      <c r="A10022" t="str">
        <f>_xlfn.XLOOKUP(B10022,Ingot!$H$12:$H$119,Ingot!$G$12:$G$119,"")</f>
        <v>Leather</v>
      </c>
      <c r="B10022" t="s">
        <v>20093</v>
      </c>
      <c r="C10022" t="s">
        <v>10</v>
      </c>
      <c r="D10022" t="s">
        <v>20142</v>
      </c>
      <c r="E10022" t="s">
        <v>20143</v>
      </c>
      <c r="G10022" s="1">
        <v>10.02</v>
      </c>
    </row>
    <row r="10023" spans="1:7" ht="14.25" customHeight="1" x14ac:dyDescent="0.45">
      <c r="A10023" t="str">
        <f>_xlfn.XLOOKUP(B10023,Ingot!$H$12:$H$119,Ingot!$G$12:$G$119,"")</f>
        <v>Leather</v>
      </c>
      <c r="B10023" t="s">
        <v>20093</v>
      </c>
      <c r="C10023" t="s">
        <v>10</v>
      </c>
      <c r="D10023" t="s">
        <v>20144</v>
      </c>
      <c r="E10023" t="s">
        <v>20145</v>
      </c>
      <c r="G10023" s="1">
        <v>11.81</v>
      </c>
    </row>
    <row r="10024" spans="1:7" ht="14.25" customHeight="1" x14ac:dyDescent="0.45">
      <c r="A10024" t="str">
        <f>_xlfn.XLOOKUP(B10024,Ingot!$H$12:$H$119,Ingot!$G$12:$G$119,"")</f>
        <v>Leather</v>
      </c>
      <c r="B10024" t="s">
        <v>20093</v>
      </c>
      <c r="C10024" t="s">
        <v>10</v>
      </c>
      <c r="D10024" t="s">
        <v>20146</v>
      </c>
      <c r="E10024" t="s">
        <v>20147</v>
      </c>
      <c r="G10024" s="1">
        <v>8.44</v>
      </c>
    </row>
    <row r="10025" spans="1:7" ht="14.25" customHeight="1" x14ac:dyDescent="0.45">
      <c r="A10025" t="str">
        <f>_xlfn.XLOOKUP(B10025,Ingot!$H$12:$H$119,Ingot!$G$12:$G$119,"")</f>
        <v>Leather</v>
      </c>
      <c r="B10025" t="s">
        <v>20093</v>
      </c>
      <c r="C10025" t="s">
        <v>10</v>
      </c>
      <c r="D10025" t="s">
        <v>20148</v>
      </c>
      <c r="E10025" t="s">
        <v>20149</v>
      </c>
      <c r="G10025" s="1">
        <v>10.42</v>
      </c>
    </row>
    <row r="10026" spans="1:7" ht="14.25" customHeight="1" x14ac:dyDescent="0.45">
      <c r="A10026" t="str">
        <f>_xlfn.XLOOKUP(B10026,Ingot!$H$12:$H$119,Ingot!$G$12:$G$119,"")</f>
        <v>Leather</v>
      </c>
      <c r="B10026" t="s">
        <v>20093</v>
      </c>
      <c r="C10026" t="s">
        <v>10</v>
      </c>
      <c r="D10026" t="s">
        <v>20150</v>
      </c>
      <c r="E10026" t="s">
        <v>20151</v>
      </c>
    </row>
    <row r="10027" spans="1:7" ht="14.25" customHeight="1" x14ac:dyDescent="0.45">
      <c r="A10027" t="str">
        <f>_xlfn.XLOOKUP(B10027,Ingot!$H$12:$H$119,Ingot!$G$12:$G$119,"")</f>
        <v>Leather</v>
      </c>
      <c r="B10027" t="s">
        <v>20093</v>
      </c>
      <c r="C10027" t="s">
        <v>10</v>
      </c>
      <c r="D10027" t="s">
        <v>20152</v>
      </c>
      <c r="E10027" t="s">
        <v>20153</v>
      </c>
      <c r="G10027" s="1">
        <v>7.96</v>
      </c>
    </row>
    <row r="10028" spans="1:7" ht="14.25" customHeight="1" x14ac:dyDescent="0.45">
      <c r="A10028" t="str">
        <f>_xlfn.XLOOKUP(B10028,Ingot!$H$12:$H$119,Ingot!$G$12:$G$119,"")</f>
        <v>Leather</v>
      </c>
      <c r="B10028" t="s">
        <v>20093</v>
      </c>
      <c r="C10028" t="s">
        <v>10</v>
      </c>
      <c r="D10028" t="s">
        <v>20154</v>
      </c>
      <c r="E10028" t="s">
        <v>20155</v>
      </c>
      <c r="G10028" s="1">
        <v>9.64</v>
      </c>
    </row>
    <row r="10029" spans="1:7" ht="14.25" customHeight="1" x14ac:dyDescent="0.45">
      <c r="A10029" t="str">
        <f>_xlfn.XLOOKUP(B10029,Ingot!$H$12:$H$119,Ingot!$G$12:$G$119,"")</f>
        <v>Leather</v>
      </c>
      <c r="B10029" t="s">
        <v>20093</v>
      </c>
      <c r="C10029" t="s">
        <v>10</v>
      </c>
      <c r="D10029" t="s">
        <v>20156</v>
      </c>
      <c r="E10029" t="s">
        <v>20157</v>
      </c>
      <c r="G10029" s="1">
        <v>7.94</v>
      </c>
    </row>
    <row r="10030" spans="1:7" ht="14.25" customHeight="1" x14ac:dyDescent="0.45">
      <c r="A10030" t="str">
        <f>_xlfn.XLOOKUP(B10030,Ingot!$H$12:$H$119,Ingot!$G$12:$G$119,"")</f>
        <v>Leather</v>
      </c>
      <c r="B10030" t="s">
        <v>20093</v>
      </c>
      <c r="C10030" t="s">
        <v>10</v>
      </c>
      <c r="D10030" t="s">
        <v>20158</v>
      </c>
      <c r="E10030" t="s">
        <v>20159</v>
      </c>
      <c r="G10030" s="1">
        <v>8.66</v>
      </c>
    </row>
    <row r="10031" spans="1:7" ht="14.25" customHeight="1" x14ac:dyDescent="0.45">
      <c r="A10031" t="str">
        <f>_xlfn.XLOOKUP(B10031,Ingot!$H$12:$H$119,Ingot!$G$12:$G$119,"")</f>
        <v>Leather</v>
      </c>
      <c r="B10031" t="s">
        <v>20093</v>
      </c>
      <c r="C10031" t="s">
        <v>10</v>
      </c>
      <c r="D10031" t="s">
        <v>20160</v>
      </c>
      <c r="E10031" t="s">
        <v>20161</v>
      </c>
    </row>
    <row r="10032" spans="1:7" ht="14.25" customHeight="1" x14ac:dyDescent="0.45">
      <c r="A10032" t="str">
        <f>_xlfn.XLOOKUP(B10032,Ingot!$H$12:$H$119,Ingot!$G$12:$G$119,"")</f>
        <v>Leather</v>
      </c>
      <c r="B10032" t="s">
        <v>20093</v>
      </c>
      <c r="C10032" t="s">
        <v>10</v>
      </c>
      <c r="D10032" t="s">
        <v>20162</v>
      </c>
      <c r="E10032" t="s">
        <v>20163</v>
      </c>
      <c r="G10032" s="1">
        <v>2.65</v>
      </c>
    </row>
    <row r="10033" spans="1:7" ht="14.25" customHeight="1" x14ac:dyDescent="0.45">
      <c r="A10033" t="str">
        <f>_xlfn.XLOOKUP(B10033,Ingot!$H$12:$H$119,Ingot!$G$12:$G$119,"")</f>
        <v>Leather</v>
      </c>
      <c r="B10033" t="s">
        <v>20093</v>
      </c>
      <c r="C10033" t="s">
        <v>10</v>
      </c>
      <c r="D10033" t="s">
        <v>20164</v>
      </c>
      <c r="E10033" t="s">
        <v>20165</v>
      </c>
    </row>
    <row r="10034" spans="1:7" ht="14.25" customHeight="1" x14ac:dyDescent="0.45">
      <c r="A10034" t="str">
        <f>_xlfn.XLOOKUP(B10034,Ingot!$H$12:$H$119,Ingot!$G$12:$G$119,"")</f>
        <v>Leather</v>
      </c>
      <c r="B10034" t="s">
        <v>20093</v>
      </c>
      <c r="C10034" t="s">
        <v>10</v>
      </c>
      <c r="D10034" t="s">
        <v>20166</v>
      </c>
      <c r="E10034" t="s">
        <v>20167</v>
      </c>
      <c r="G10034" s="1">
        <v>12.64</v>
      </c>
    </row>
    <row r="10035" spans="1:7" ht="14.25" customHeight="1" x14ac:dyDescent="0.45">
      <c r="A10035" t="str">
        <f>_xlfn.XLOOKUP(B10035,Ingot!$H$12:$H$119,Ingot!$G$12:$G$119,"")</f>
        <v>Leather</v>
      </c>
      <c r="B10035" t="s">
        <v>20093</v>
      </c>
      <c r="C10035" t="s">
        <v>10</v>
      </c>
      <c r="D10035" t="s">
        <v>20168</v>
      </c>
      <c r="E10035" t="s">
        <v>20169</v>
      </c>
      <c r="G10035" s="1">
        <v>22.67</v>
      </c>
    </row>
    <row r="10036" spans="1:7" ht="14.25" customHeight="1" x14ac:dyDescent="0.45">
      <c r="A10036" t="str">
        <f>_xlfn.XLOOKUP(B10036,Ingot!$H$12:$H$119,Ingot!$G$12:$G$119,"")</f>
        <v>Leather</v>
      </c>
      <c r="B10036" t="s">
        <v>20093</v>
      </c>
      <c r="C10036" t="s">
        <v>10</v>
      </c>
      <c r="D10036" t="s">
        <v>20170</v>
      </c>
      <c r="E10036" t="s">
        <v>20171</v>
      </c>
      <c r="G10036" s="1">
        <v>8.3800000000000008</v>
      </c>
    </row>
    <row r="10037" spans="1:7" ht="14.25" customHeight="1" x14ac:dyDescent="0.45">
      <c r="A10037" t="str">
        <f>_xlfn.XLOOKUP(B10037,Ingot!$H$12:$H$119,Ingot!$G$12:$G$119,"")</f>
        <v>Leather</v>
      </c>
      <c r="B10037" t="s">
        <v>20093</v>
      </c>
      <c r="C10037" t="s">
        <v>10</v>
      </c>
      <c r="D10037" t="s">
        <v>20172</v>
      </c>
      <c r="E10037" t="s">
        <v>20173</v>
      </c>
      <c r="G10037" s="1">
        <v>2.2000000000000002</v>
      </c>
    </row>
    <row r="10038" spans="1:7" ht="14.25" customHeight="1" x14ac:dyDescent="0.45">
      <c r="A10038" t="str">
        <f>_xlfn.XLOOKUP(B10038,Ingot!$H$12:$H$119,Ingot!$G$12:$G$119,"")</f>
        <v>Leather</v>
      </c>
      <c r="B10038" t="s">
        <v>20093</v>
      </c>
      <c r="C10038" t="s">
        <v>10</v>
      </c>
      <c r="D10038" t="s">
        <v>20174</v>
      </c>
      <c r="E10038" t="s">
        <v>20175</v>
      </c>
      <c r="G10038" s="1">
        <v>3.09</v>
      </c>
    </row>
    <row r="10039" spans="1:7" ht="14.25" customHeight="1" x14ac:dyDescent="0.45">
      <c r="A10039" t="str">
        <f>_xlfn.XLOOKUP(B10039,Ingot!$H$12:$H$119,Ingot!$G$12:$G$119,"")</f>
        <v>Leather</v>
      </c>
      <c r="B10039" t="s">
        <v>20093</v>
      </c>
      <c r="C10039" t="s">
        <v>10</v>
      </c>
      <c r="D10039" t="s">
        <v>20176</v>
      </c>
      <c r="E10039" t="s">
        <v>20177</v>
      </c>
      <c r="G10039" s="1">
        <v>2.2999999999999998</v>
      </c>
    </row>
    <row r="10040" spans="1:7" ht="14.25" customHeight="1" x14ac:dyDescent="0.45">
      <c r="A10040" t="str">
        <f>_xlfn.XLOOKUP(B10040,Ingot!$H$12:$H$119,Ingot!$G$12:$G$119,"")</f>
        <v>Leather</v>
      </c>
      <c r="B10040" t="s">
        <v>20093</v>
      </c>
      <c r="C10040" t="s">
        <v>10</v>
      </c>
      <c r="D10040" t="s">
        <v>20178</v>
      </c>
      <c r="E10040" t="s">
        <v>20179</v>
      </c>
      <c r="G10040" s="1">
        <v>4.88</v>
      </c>
    </row>
    <row r="10041" spans="1:7" ht="14.25" customHeight="1" x14ac:dyDescent="0.45">
      <c r="A10041" t="str">
        <f>_xlfn.XLOOKUP(B10041,Ingot!$H$12:$H$119,Ingot!$G$12:$G$119,"")</f>
        <v>Leather</v>
      </c>
      <c r="B10041" t="s">
        <v>20093</v>
      </c>
      <c r="C10041" t="s">
        <v>10</v>
      </c>
      <c r="D10041" t="s">
        <v>20180</v>
      </c>
      <c r="E10041" t="s">
        <v>20181</v>
      </c>
      <c r="G10041" s="1">
        <v>8.43</v>
      </c>
    </row>
    <row r="10042" spans="1:7" ht="14.25" customHeight="1" x14ac:dyDescent="0.45">
      <c r="A10042" t="str">
        <f>_xlfn.XLOOKUP(B10042,Ingot!$H$12:$H$119,Ingot!$G$12:$G$119,"")</f>
        <v>Leather</v>
      </c>
      <c r="B10042" t="s">
        <v>20093</v>
      </c>
      <c r="C10042" t="s">
        <v>10</v>
      </c>
      <c r="D10042" t="s">
        <v>20182</v>
      </c>
      <c r="E10042" t="s">
        <v>20183</v>
      </c>
      <c r="G10042" s="1">
        <v>13.07</v>
      </c>
    </row>
    <row r="10043" spans="1:7" ht="14.25" customHeight="1" x14ac:dyDescent="0.45">
      <c r="A10043" t="str">
        <f>_xlfn.XLOOKUP(B10043,Ingot!$H$12:$H$119,Ingot!$G$12:$G$119,"")</f>
        <v>Leather</v>
      </c>
      <c r="B10043" t="s">
        <v>20093</v>
      </c>
      <c r="C10043" t="s">
        <v>10</v>
      </c>
      <c r="D10043" t="s">
        <v>20184</v>
      </c>
      <c r="E10043" t="s">
        <v>20185</v>
      </c>
    </row>
    <row r="10044" spans="1:7" ht="14.25" customHeight="1" x14ac:dyDescent="0.45">
      <c r="A10044" t="str">
        <f>_xlfn.XLOOKUP(B10044,Ingot!$H$12:$H$119,Ingot!$G$12:$G$119,"")</f>
        <v>Leather</v>
      </c>
      <c r="B10044" t="s">
        <v>20093</v>
      </c>
      <c r="C10044" t="s">
        <v>10</v>
      </c>
      <c r="D10044" t="s">
        <v>20186</v>
      </c>
      <c r="E10044" t="s">
        <v>20187</v>
      </c>
    </row>
    <row r="10045" spans="1:7" ht="14.25" customHeight="1" x14ac:dyDescent="0.45">
      <c r="A10045" t="str">
        <f>_xlfn.XLOOKUP(B10045,Ingot!$H$12:$H$119,Ingot!$G$12:$G$119,"")</f>
        <v>Leather</v>
      </c>
      <c r="B10045" t="s">
        <v>20093</v>
      </c>
      <c r="C10045" t="s">
        <v>10</v>
      </c>
      <c r="D10045" t="s">
        <v>20188</v>
      </c>
      <c r="E10045" t="s">
        <v>20189</v>
      </c>
      <c r="G10045" s="1">
        <v>6.8</v>
      </c>
    </row>
    <row r="10046" spans="1:7" ht="14.25" customHeight="1" x14ac:dyDescent="0.45">
      <c r="A10046" t="str">
        <f>_xlfn.XLOOKUP(B10046,Ingot!$H$12:$H$119,Ingot!$G$12:$G$119,"")</f>
        <v>Leather</v>
      </c>
      <c r="B10046" t="s">
        <v>20093</v>
      </c>
      <c r="C10046" t="s">
        <v>10</v>
      </c>
      <c r="D10046" t="s">
        <v>20190</v>
      </c>
      <c r="E10046" t="s">
        <v>20191</v>
      </c>
      <c r="G10046" s="1">
        <v>6.88</v>
      </c>
    </row>
    <row r="10047" spans="1:7" ht="14.25" customHeight="1" x14ac:dyDescent="0.45">
      <c r="A10047" t="str">
        <f>_xlfn.XLOOKUP(B10047,Ingot!$H$12:$H$119,Ingot!$G$12:$G$119,"")</f>
        <v>Leather</v>
      </c>
      <c r="B10047" t="s">
        <v>20093</v>
      </c>
      <c r="C10047" t="s">
        <v>10</v>
      </c>
      <c r="D10047" t="s">
        <v>20192</v>
      </c>
      <c r="E10047" t="s">
        <v>20193</v>
      </c>
      <c r="G10047" s="1">
        <v>5.5</v>
      </c>
    </row>
    <row r="10048" spans="1:7" ht="14.25" customHeight="1" x14ac:dyDescent="0.45">
      <c r="A10048" t="str">
        <f>_xlfn.XLOOKUP(B10048,Ingot!$H$12:$H$119,Ingot!$G$12:$G$119,"")</f>
        <v>Leather</v>
      </c>
      <c r="B10048" t="s">
        <v>20093</v>
      </c>
      <c r="C10048" t="s">
        <v>10</v>
      </c>
      <c r="D10048" t="s">
        <v>20194</v>
      </c>
      <c r="E10048" t="s">
        <v>20195</v>
      </c>
      <c r="G10048" s="1">
        <v>2.4300000000000002</v>
      </c>
    </row>
    <row r="10049" spans="1:7" ht="14.25" customHeight="1" x14ac:dyDescent="0.45">
      <c r="A10049" t="str">
        <f>_xlfn.XLOOKUP(B10049,Ingot!$H$12:$H$119,Ingot!$G$12:$G$119,"")</f>
        <v>Leather</v>
      </c>
      <c r="B10049" t="s">
        <v>20093</v>
      </c>
      <c r="C10049" t="s">
        <v>10</v>
      </c>
      <c r="D10049" t="s">
        <v>20196</v>
      </c>
      <c r="E10049" t="s">
        <v>20197</v>
      </c>
      <c r="G10049" s="1">
        <v>6.96</v>
      </c>
    </row>
    <row r="10050" spans="1:7" ht="14.25" customHeight="1" x14ac:dyDescent="0.45">
      <c r="A10050" t="str">
        <f>_xlfn.XLOOKUP(B10050,Ingot!$H$12:$H$119,Ingot!$G$12:$G$119,"")</f>
        <v>Leather</v>
      </c>
      <c r="B10050" t="s">
        <v>20093</v>
      </c>
      <c r="C10050" t="s">
        <v>10</v>
      </c>
      <c r="D10050" t="s">
        <v>20198</v>
      </c>
      <c r="E10050" t="s">
        <v>20199</v>
      </c>
      <c r="G10050" s="1">
        <v>6.32</v>
      </c>
    </row>
    <row r="10051" spans="1:7" ht="14.25" customHeight="1" x14ac:dyDescent="0.45">
      <c r="A10051" t="str">
        <f>_xlfn.XLOOKUP(B10051,Ingot!$H$12:$H$119,Ingot!$G$12:$G$119,"")</f>
        <v>Leather</v>
      </c>
      <c r="B10051" t="s">
        <v>20093</v>
      </c>
      <c r="C10051" t="s">
        <v>10</v>
      </c>
      <c r="D10051" t="s">
        <v>20200</v>
      </c>
      <c r="E10051" t="s">
        <v>20201</v>
      </c>
      <c r="G10051" s="1">
        <v>6.88</v>
      </c>
    </row>
    <row r="10052" spans="1:7" ht="14.25" customHeight="1" x14ac:dyDescent="0.45">
      <c r="A10052" t="str">
        <f>_xlfn.XLOOKUP(B10052,Ingot!$H$12:$H$119,Ingot!$G$12:$G$119,"")</f>
        <v>Leather</v>
      </c>
      <c r="B10052" t="s">
        <v>20093</v>
      </c>
      <c r="C10052" t="s">
        <v>10</v>
      </c>
      <c r="D10052" t="s">
        <v>20202</v>
      </c>
      <c r="E10052" t="s">
        <v>20203</v>
      </c>
      <c r="G10052" s="1">
        <v>2.44</v>
      </c>
    </row>
    <row r="10053" spans="1:7" ht="14.25" customHeight="1" x14ac:dyDescent="0.45">
      <c r="A10053" t="str">
        <f>_xlfn.XLOOKUP(B10053,Ingot!$H$12:$H$119,Ingot!$G$12:$G$119,"")</f>
        <v>Leather</v>
      </c>
      <c r="B10053" t="s">
        <v>20093</v>
      </c>
      <c r="C10053" t="s">
        <v>10</v>
      </c>
      <c r="D10053" t="s">
        <v>20204</v>
      </c>
      <c r="E10053" t="s">
        <v>20205</v>
      </c>
    </row>
    <row r="10054" spans="1:7" ht="14.25" customHeight="1" x14ac:dyDescent="0.45">
      <c r="A10054" t="str">
        <f>_xlfn.XLOOKUP(B10054,Ingot!$H$12:$H$119,Ingot!$G$12:$G$119,"")</f>
        <v>Leather</v>
      </c>
      <c r="B10054" t="s">
        <v>20093</v>
      </c>
      <c r="C10054" t="s">
        <v>10</v>
      </c>
      <c r="D10054" t="s">
        <v>20206</v>
      </c>
      <c r="E10054" t="s">
        <v>20207</v>
      </c>
    </row>
    <row r="10055" spans="1:7" ht="14.25" customHeight="1" x14ac:dyDescent="0.45">
      <c r="A10055" t="str">
        <f>_xlfn.XLOOKUP(B10055,Ingot!$H$12:$H$119,Ingot!$G$12:$G$119,"")</f>
        <v>Leather</v>
      </c>
      <c r="B10055" t="s">
        <v>20093</v>
      </c>
      <c r="C10055" t="s">
        <v>10</v>
      </c>
      <c r="D10055" t="s">
        <v>20208</v>
      </c>
      <c r="E10055" t="s">
        <v>20209</v>
      </c>
      <c r="G10055" s="1">
        <v>3.11</v>
      </c>
    </row>
    <row r="10056" spans="1:7" ht="14.25" customHeight="1" x14ac:dyDescent="0.45">
      <c r="A10056" t="str">
        <f>_xlfn.XLOOKUP(B10056,Ingot!$H$12:$H$119,Ingot!$G$12:$G$119,"")</f>
        <v>Leather</v>
      </c>
      <c r="B10056" t="s">
        <v>20093</v>
      </c>
      <c r="C10056" t="s">
        <v>10</v>
      </c>
      <c r="D10056" t="s">
        <v>20210</v>
      </c>
      <c r="E10056" t="s">
        <v>20211</v>
      </c>
      <c r="G10056" s="1">
        <v>2.44</v>
      </c>
    </row>
    <row r="10057" spans="1:7" ht="14.25" customHeight="1" x14ac:dyDescent="0.45">
      <c r="A10057" t="str">
        <f>_xlfn.XLOOKUP(B10057,Ingot!$H$12:$H$119,Ingot!$G$12:$G$119,"")</f>
        <v>Leather</v>
      </c>
      <c r="B10057" t="s">
        <v>20093</v>
      </c>
      <c r="C10057" t="s">
        <v>10</v>
      </c>
      <c r="D10057" t="s">
        <v>20212</v>
      </c>
      <c r="E10057" t="s">
        <v>20213</v>
      </c>
      <c r="G10057" s="1">
        <v>8.61</v>
      </c>
    </row>
    <row r="10058" spans="1:7" ht="14.25" customHeight="1" x14ac:dyDescent="0.45">
      <c r="A10058" t="str">
        <f>_xlfn.XLOOKUP(B10058,Ingot!$H$12:$H$119,Ingot!$G$12:$G$119,"")</f>
        <v>Leather</v>
      </c>
      <c r="B10058" t="s">
        <v>20093</v>
      </c>
      <c r="C10058" t="s">
        <v>10</v>
      </c>
      <c r="D10058" t="s">
        <v>20214</v>
      </c>
      <c r="E10058" t="s">
        <v>20215</v>
      </c>
    </row>
    <row r="10059" spans="1:7" ht="14.25" customHeight="1" x14ac:dyDescent="0.45">
      <c r="A10059" t="str">
        <f>_xlfn.XLOOKUP(B10059,Ingot!$H$12:$H$119,Ingot!$G$12:$G$119,"")</f>
        <v>Leather</v>
      </c>
      <c r="B10059" t="s">
        <v>20093</v>
      </c>
      <c r="C10059" t="s">
        <v>10</v>
      </c>
      <c r="D10059" t="s">
        <v>20216</v>
      </c>
      <c r="E10059" t="s">
        <v>20217</v>
      </c>
      <c r="G10059" s="1">
        <v>3.21</v>
      </c>
    </row>
    <row r="10060" spans="1:7" ht="14.25" customHeight="1" x14ac:dyDescent="0.45">
      <c r="A10060" t="str">
        <f>_xlfn.XLOOKUP(B10060,Ingot!$H$12:$H$119,Ingot!$G$12:$G$119,"")</f>
        <v>Leather</v>
      </c>
      <c r="B10060" t="s">
        <v>20093</v>
      </c>
      <c r="C10060" t="s">
        <v>10</v>
      </c>
      <c r="D10060" t="s">
        <v>20218</v>
      </c>
      <c r="E10060" t="s">
        <v>20219</v>
      </c>
      <c r="G10060" s="1">
        <v>2.77</v>
      </c>
    </row>
    <row r="10061" spans="1:7" ht="14.25" customHeight="1" x14ac:dyDescent="0.45">
      <c r="A10061" t="str">
        <f>_xlfn.XLOOKUP(B10061,Ingot!$H$12:$H$119,Ingot!$G$12:$G$119,"")</f>
        <v>Leather</v>
      </c>
      <c r="B10061" t="s">
        <v>20093</v>
      </c>
      <c r="C10061" t="s">
        <v>10</v>
      </c>
      <c r="D10061" t="s">
        <v>20220</v>
      </c>
      <c r="E10061" t="s">
        <v>20221</v>
      </c>
      <c r="G10061" s="1">
        <v>4.8899999999999997</v>
      </c>
    </row>
    <row r="10062" spans="1:7" ht="14.25" customHeight="1" x14ac:dyDescent="0.45">
      <c r="A10062" t="str">
        <f>_xlfn.XLOOKUP(B10062,Ingot!$H$12:$H$119,Ingot!$G$12:$G$119,"")</f>
        <v>Leather</v>
      </c>
      <c r="B10062" t="s">
        <v>20093</v>
      </c>
      <c r="C10062" t="s">
        <v>10</v>
      </c>
      <c r="D10062" t="s">
        <v>20222</v>
      </c>
      <c r="E10062" t="s">
        <v>20223</v>
      </c>
      <c r="G10062" s="1">
        <v>1.76</v>
      </c>
    </row>
    <row r="10063" spans="1:7" ht="14.25" customHeight="1" x14ac:dyDescent="0.45">
      <c r="A10063" t="str">
        <f>_xlfn.XLOOKUP(B10063,Ingot!$H$12:$H$119,Ingot!$G$12:$G$119,"")</f>
        <v>Leather</v>
      </c>
      <c r="B10063" t="s">
        <v>20093</v>
      </c>
      <c r="C10063" t="s">
        <v>10</v>
      </c>
      <c r="D10063" t="s">
        <v>20224</v>
      </c>
      <c r="E10063" t="s">
        <v>20225</v>
      </c>
    </row>
    <row r="10064" spans="1:7" ht="14.25" customHeight="1" x14ac:dyDescent="0.45">
      <c r="A10064" t="str">
        <f>_xlfn.XLOOKUP(B10064,Ingot!$H$12:$H$119,Ingot!$G$12:$G$119,"")</f>
        <v>Leather</v>
      </c>
      <c r="B10064" t="s">
        <v>20093</v>
      </c>
      <c r="C10064" t="s">
        <v>10</v>
      </c>
      <c r="D10064" t="s">
        <v>20226</v>
      </c>
      <c r="E10064" t="s">
        <v>20227</v>
      </c>
      <c r="G10064" s="1">
        <v>8.57</v>
      </c>
    </row>
    <row r="10065" spans="1:7" ht="14.25" customHeight="1" x14ac:dyDescent="0.45">
      <c r="A10065" t="str">
        <f>_xlfn.XLOOKUP(B10065,Ingot!$H$12:$H$119,Ingot!$G$12:$G$119,"")</f>
        <v>Leather</v>
      </c>
      <c r="B10065" t="s">
        <v>20093</v>
      </c>
      <c r="C10065" t="s">
        <v>10</v>
      </c>
      <c r="D10065" t="s">
        <v>20228</v>
      </c>
      <c r="E10065" t="s">
        <v>20229</v>
      </c>
    </row>
    <row r="10066" spans="1:7" ht="14.25" customHeight="1" x14ac:dyDescent="0.45">
      <c r="A10066" t="str">
        <f>_xlfn.XLOOKUP(B10066,Ingot!$H$12:$H$119,Ingot!$G$12:$G$119,"")</f>
        <v>Leather</v>
      </c>
      <c r="B10066" t="s">
        <v>20093</v>
      </c>
      <c r="C10066" t="s">
        <v>10</v>
      </c>
      <c r="D10066" t="s">
        <v>20230</v>
      </c>
      <c r="E10066" t="s">
        <v>20231</v>
      </c>
      <c r="G10066" s="1">
        <v>3.56</v>
      </c>
    </row>
    <row r="10067" spans="1:7" ht="14.25" customHeight="1" x14ac:dyDescent="0.45">
      <c r="A10067" t="str">
        <f>_xlfn.XLOOKUP(B10067,Ingot!$H$12:$H$119,Ingot!$G$12:$G$119,"")</f>
        <v>Leather</v>
      </c>
      <c r="B10067" t="s">
        <v>20093</v>
      </c>
      <c r="C10067" t="s">
        <v>10</v>
      </c>
      <c r="D10067" t="s">
        <v>20232</v>
      </c>
      <c r="E10067" t="s">
        <v>20233</v>
      </c>
      <c r="G10067" s="1">
        <v>8.91</v>
      </c>
    </row>
    <row r="10068" spans="1:7" ht="14.25" customHeight="1" x14ac:dyDescent="0.45">
      <c r="A10068" t="str">
        <f>_xlfn.XLOOKUP(B10068,Ingot!$H$12:$H$119,Ingot!$G$12:$G$119,"")</f>
        <v>Leather</v>
      </c>
      <c r="B10068" t="s">
        <v>20093</v>
      </c>
      <c r="C10068" t="s">
        <v>10</v>
      </c>
      <c r="D10068" t="s">
        <v>20234</v>
      </c>
      <c r="E10068" t="s">
        <v>20235</v>
      </c>
      <c r="G10068" s="1">
        <v>11.02</v>
      </c>
    </row>
    <row r="10069" spans="1:7" ht="14.25" customHeight="1" x14ac:dyDescent="0.45">
      <c r="A10069" t="str">
        <f>_xlfn.XLOOKUP(B10069,Ingot!$H$12:$H$119,Ingot!$G$12:$G$119,"")</f>
        <v>Leather</v>
      </c>
      <c r="B10069" t="s">
        <v>20093</v>
      </c>
      <c r="C10069" t="s">
        <v>10</v>
      </c>
      <c r="D10069" t="s">
        <v>20236</v>
      </c>
      <c r="E10069" t="s">
        <v>20237</v>
      </c>
      <c r="G10069" s="1">
        <v>5.12</v>
      </c>
    </row>
    <row r="10070" spans="1:7" ht="14.25" customHeight="1" x14ac:dyDescent="0.45">
      <c r="A10070" t="str">
        <f>_xlfn.XLOOKUP(B10070,Ingot!$H$12:$H$119,Ingot!$G$12:$G$119,"")</f>
        <v>Leather</v>
      </c>
      <c r="B10070" t="s">
        <v>20093</v>
      </c>
      <c r="C10070" t="s">
        <v>10</v>
      </c>
      <c r="D10070" t="s">
        <v>20238</v>
      </c>
      <c r="E10070" t="s">
        <v>20239</v>
      </c>
      <c r="G10070" s="1">
        <v>4.41</v>
      </c>
    </row>
    <row r="10071" spans="1:7" ht="14.25" customHeight="1" x14ac:dyDescent="0.45">
      <c r="A10071" t="str">
        <f>_xlfn.XLOOKUP(B10071,Ingot!$H$12:$H$119,Ingot!$G$12:$G$119,"")</f>
        <v>Leather</v>
      </c>
      <c r="B10071" t="s">
        <v>20093</v>
      </c>
      <c r="C10071" t="s">
        <v>157</v>
      </c>
      <c r="D10071" t="s">
        <v>20240</v>
      </c>
      <c r="E10071" t="s">
        <v>20241</v>
      </c>
      <c r="F10071" t="s">
        <v>180</v>
      </c>
      <c r="G10071" s="1">
        <v>16.86</v>
      </c>
    </row>
    <row r="10072" spans="1:7" ht="14.25" customHeight="1" x14ac:dyDescent="0.45">
      <c r="A10072" t="str">
        <f>_xlfn.XLOOKUP(B10072,Ingot!$H$12:$H$119,Ingot!$G$12:$G$119,"")</f>
        <v>Leather</v>
      </c>
      <c r="B10072" t="s">
        <v>20093</v>
      </c>
      <c r="C10072" t="s">
        <v>157</v>
      </c>
      <c r="D10072" t="s">
        <v>20242</v>
      </c>
      <c r="E10072" t="s">
        <v>20243</v>
      </c>
      <c r="F10072" t="s">
        <v>180</v>
      </c>
      <c r="G10072" s="1">
        <v>5</v>
      </c>
    </row>
    <row r="10073" spans="1:7" ht="14.25" customHeight="1" x14ac:dyDescent="0.45">
      <c r="A10073" t="str">
        <f>_xlfn.XLOOKUP(B10073,Ingot!$H$12:$H$119,Ingot!$G$12:$G$119,"")</f>
        <v>Leather</v>
      </c>
      <c r="B10073" t="s">
        <v>20093</v>
      </c>
      <c r="C10073" t="s">
        <v>157</v>
      </c>
      <c r="D10073" t="s">
        <v>20244</v>
      </c>
      <c r="E10073" t="s">
        <v>20245</v>
      </c>
      <c r="F10073" t="s">
        <v>180</v>
      </c>
      <c r="G10073" s="1">
        <v>5</v>
      </c>
    </row>
    <row r="10074" spans="1:7" ht="14.25" customHeight="1" x14ac:dyDescent="0.45">
      <c r="A10074" t="str">
        <f>_xlfn.XLOOKUP(B10074,Ingot!$H$12:$H$119,Ingot!$G$12:$G$119,"")</f>
        <v>Leather</v>
      </c>
      <c r="B10074" t="s">
        <v>20093</v>
      </c>
      <c r="C10074" t="s">
        <v>157</v>
      </c>
      <c r="D10074" t="s">
        <v>20246</v>
      </c>
      <c r="E10074" t="s">
        <v>20247</v>
      </c>
      <c r="F10074" t="s">
        <v>180</v>
      </c>
      <c r="G10074" s="1">
        <v>5</v>
      </c>
    </row>
    <row r="10075" spans="1:7" ht="14.25" customHeight="1" x14ac:dyDescent="0.45">
      <c r="A10075" t="str">
        <f>_xlfn.XLOOKUP(B10075,Ingot!$H$12:$H$119,Ingot!$G$12:$G$119,"")</f>
        <v>Leather</v>
      </c>
      <c r="B10075" t="s">
        <v>20093</v>
      </c>
      <c r="C10075" t="s">
        <v>157</v>
      </c>
      <c r="D10075" t="s">
        <v>20248</v>
      </c>
      <c r="E10075" t="s">
        <v>20249</v>
      </c>
      <c r="F10075" t="s">
        <v>180</v>
      </c>
      <c r="G10075" s="1">
        <v>10</v>
      </c>
    </row>
    <row r="10076" spans="1:7" ht="14.25" customHeight="1" x14ac:dyDescent="0.45">
      <c r="A10076" t="str">
        <f>_xlfn.XLOOKUP(B10076,Ingot!$H$12:$H$119,Ingot!$G$12:$G$119,"")</f>
        <v>Leather</v>
      </c>
      <c r="B10076" t="s">
        <v>20093</v>
      </c>
      <c r="C10076" t="s">
        <v>157</v>
      </c>
      <c r="D10076" t="s">
        <v>20250</v>
      </c>
      <c r="E10076" t="s">
        <v>20251</v>
      </c>
      <c r="F10076" t="s">
        <v>180</v>
      </c>
      <c r="G10076" s="1">
        <v>14.16</v>
      </c>
    </row>
    <row r="10077" spans="1:7" ht="14.25" customHeight="1" x14ac:dyDescent="0.45">
      <c r="A10077" t="str">
        <f>_xlfn.XLOOKUP(B10077,Ingot!$H$12:$H$119,Ingot!$G$12:$G$119,"")</f>
        <v>Leather</v>
      </c>
      <c r="B10077" t="s">
        <v>20093</v>
      </c>
      <c r="C10077" t="s">
        <v>157</v>
      </c>
      <c r="D10077" t="s">
        <v>20252</v>
      </c>
      <c r="E10077" t="s">
        <v>20253</v>
      </c>
      <c r="F10077" t="s">
        <v>180</v>
      </c>
      <c r="G10077" s="1">
        <v>5</v>
      </c>
    </row>
    <row r="10078" spans="1:7" ht="14.25" customHeight="1" x14ac:dyDescent="0.45">
      <c r="A10078" t="str">
        <f>_xlfn.XLOOKUP(B10078,Ingot!$H$12:$H$119,Ingot!$G$12:$G$119,"")</f>
        <v>Leather</v>
      </c>
      <c r="B10078" t="s">
        <v>20093</v>
      </c>
      <c r="C10078" t="s">
        <v>157</v>
      </c>
      <c r="D10078" t="s">
        <v>20254</v>
      </c>
      <c r="E10078" t="s">
        <v>20255</v>
      </c>
      <c r="F10078" t="s">
        <v>180</v>
      </c>
      <c r="G10078" s="1">
        <v>5</v>
      </c>
    </row>
    <row r="10079" spans="1:7" ht="14.25" customHeight="1" x14ac:dyDescent="0.45">
      <c r="A10079" t="str">
        <f>_xlfn.XLOOKUP(B10079,Ingot!$H$12:$H$119,Ingot!$G$12:$G$119,"")</f>
        <v>Leather</v>
      </c>
      <c r="B10079" t="s">
        <v>20093</v>
      </c>
      <c r="C10079" t="s">
        <v>157</v>
      </c>
      <c r="D10079" t="s">
        <v>20256</v>
      </c>
      <c r="E10079" t="s">
        <v>20257</v>
      </c>
      <c r="F10079" t="s">
        <v>180</v>
      </c>
      <c r="G10079" s="1">
        <v>5</v>
      </c>
    </row>
    <row r="10080" spans="1:7" ht="14.25" customHeight="1" x14ac:dyDescent="0.45">
      <c r="A10080" t="str">
        <f>_xlfn.XLOOKUP(B10080,Ingot!$H$12:$H$119,Ingot!$G$12:$G$119,"")</f>
        <v>Leather</v>
      </c>
      <c r="B10080" t="s">
        <v>20093</v>
      </c>
      <c r="C10080" t="s">
        <v>157</v>
      </c>
      <c r="D10080" t="s">
        <v>20258</v>
      </c>
      <c r="E10080" t="s">
        <v>20259</v>
      </c>
      <c r="F10080" t="s">
        <v>180</v>
      </c>
      <c r="G10080" s="1">
        <v>10</v>
      </c>
    </row>
    <row r="10081" spans="1:7" ht="14.25" customHeight="1" x14ac:dyDescent="0.45">
      <c r="A10081" t="str">
        <f>_xlfn.XLOOKUP(B10081,Ingot!$H$12:$H$119,Ingot!$G$12:$G$119,"")</f>
        <v>Leather</v>
      </c>
      <c r="B10081" t="s">
        <v>20093</v>
      </c>
      <c r="C10081" t="s">
        <v>157</v>
      </c>
      <c r="D10081" t="s">
        <v>20260</v>
      </c>
      <c r="E10081" t="s">
        <v>20261</v>
      </c>
      <c r="G10081" s="1">
        <v>13.66</v>
      </c>
    </row>
    <row r="10082" spans="1:7" ht="14.25" customHeight="1" x14ac:dyDescent="0.45">
      <c r="A10082" t="str">
        <f>_xlfn.XLOOKUP(B10082,Ingot!$H$12:$H$119,Ingot!$G$12:$G$119,"")</f>
        <v>Leather</v>
      </c>
      <c r="B10082" t="s">
        <v>20093</v>
      </c>
      <c r="C10082" t="s">
        <v>157</v>
      </c>
      <c r="D10082" t="s">
        <v>20262</v>
      </c>
      <c r="E10082" t="s">
        <v>20263</v>
      </c>
      <c r="G10082" s="1">
        <v>5</v>
      </c>
    </row>
    <row r="10083" spans="1:7" ht="14.25" customHeight="1" x14ac:dyDescent="0.45">
      <c r="A10083" t="str">
        <f>_xlfn.XLOOKUP(B10083,Ingot!$H$12:$H$119,Ingot!$G$12:$G$119,"")</f>
        <v>Leather</v>
      </c>
      <c r="B10083" t="s">
        <v>20093</v>
      </c>
      <c r="C10083" t="s">
        <v>157</v>
      </c>
      <c r="D10083" t="s">
        <v>20264</v>
      </c>
      <c r="E10083" t="s">
        <v>20265</v>
      </c>
      <c r="G10083" s="1">
        <v>5</v>
      </c>
    </row>
    <row r="10084" spans="1:7" ht="14.25" customHeight="1" x14ac:dyDescent="0.45">
      <c r="A10084" t="str">
        <f>_xlfn.XLOOKUP(B10084,Ingot!$H$12:$H$119,Ingot!$G$12:$G$119,"")</f>
        <v>Leather</v>
      </c>
      <c r="B10084" t="s">
        <v>20093</v>
      </c>
      <c r="C10084" t="s">
        <v>157</v>
      </c>
      <c r="D10084" t="s">
        <v>20266</v>
      </c>
      <c r="E10084" t="s">
        <v>20267</v>
      </c>
      <c r="G10084" s="1">
        <v>5</v>
      </c>
    </row>
    <row r="10085" spans="1:7" ht="14.25" customHeight="1" x14ac:dyDescent="0.45">
      <c r="A10085" t="str">
        <f>_xlfn.XLOOKUP(B10085,Ingot!$H$12:$H$119,Ingot!$G$12:$G$119,"")</f>
        <v>Leather</v>
      </c>
      <c r="B10085" t="s">
        <v>20093</v>
      </c>
      <c r="C10085" t="s">
        <v>157</v>
      </c>
      <c r="D10085" t="s">
        <v>20268</v>
      </c>
      <c r="E10085" t="s">
        <v>20269</v>
      </c>
      <c r="G10085" s="1">
        <v>10</v>
      </c>
    </row>
    <row r="10086" spans="1:7" ht="14.25" customHeight="1" x14ac:dyDescent="0.45">
      <c r="A10086" t="str">
        <f>_xlfn.XLOOKUP(B10086,Ingot!$H$12:$H$119,Ingot!$G$12:$G$119,"")</f>
        <v>Leather</v>
      </c>
      <c r="B10086" t="s">
        <v>20093</v>
      </c>
      <c r="C10086" t="s">
        <v>157</v>
      </c>
      <c r="D10086" t="s">
        <v>20270</v>
      </c>
      <c r="E10086" t="s">
        <v>20271</v>
      </c>
      <c r="F10086" t="s">
        <v>180</v>
      </c>
      <c r="G10086" s="1">
        <v>14.86</v>
      </c>
    </row>
    <row r="10087" spans="1:7" ht="14.25" customHeight="1" x14ac:dyDescent="0.45">
      <c r="A10087" t="str">
        <f>_xlfn.XLOOKUP(B10087,Ingot!$H$12:$H$119,Ingot!$G$12:$G$119,"")</f>
        <v>Leather</v>
      </c>
      <c r="B10087" t="s">
        <v>20093</v>
      </c>
      <c r="C10087" t="s">
        <v>157</v>
      </c>
      <c r="D10087" t="s">
        <v>20272</v>
      </c>
      <c r="E10087" t="s">
        <v>20273</v>
      </c>
      <c r="F10087" t="s">
        <v>180</v>
      </c>
      <c r="G10087" s="1">
        <v>5</v>
      </c>
    </row>
    <row r="10088" spans="1:7" ht="14.25" customHeight="1" x14ac:dyDescent="0.45">
      <c r="A10088" t="str">
        <f>_xlfn.XLOOKUP(B10088,Ingot!$H$12:$H$119,Ingot!$G$12:$G$119,"")</f>
        <v>Leather</v>
      </c>
      <c r="B10088" t="s">
        <v>20093</v>
      </c>
      <c r="C10088" t="s">
        <v>157</v>
      </c>
      <c r="D10088" t="s">
        <v>20274</v>
      </c>
      <c r="E10088" t="s">
        <v>20275</v>
      </c>
      <c r="F10088" t="s">
        <v>180</v>
      </c>
      <c r="G10088" s="1">
        <v>5</v>
      </c>
    </row>
    <row r="10089" spans="1:7" ht="14.25" customHeight="1" x14ac:dyDescent="0.45">
      <c r="A10089" t="str">
        <f>_xlfn.XLOOKUP(B10089,Ingot!$H$12:$H$119,Ingot!$G$12:$G$119,"")</f>
        <v>Leather</v>
      </c>
      <c r="B10089" t="s">
        <v>20093</v>
      </c>
      <c r="C10089" t="s">
        <v>157</v>
      </c>
      <c r="D10089" t="s">
        <v>20276</v>
      </c>
      <c r="E10089" t="s">
        <v>20277</v>
      </c>
      <c r="F10089" t="s">
        <v>180</v>
      </c>
      <c r="G10089" s="1">
        <v>5</v>
      </c>
    </row>
    <row r="10090" spans="1:7" ht="14.25" customHeight="1" x14ac:dyDescent="0.45">
      <c r="A10090" t="str">
        <f>_xlfn.XLOOKUP(B10090,Ingot!$H$12:$H$119,Ingot!$G$12:$G$119,"")</f>
        <v>Leather</v>
      </c>
      <c r="B10090" t="s">
        <v>20093</v>
      </c>
      <c r="C10090" t="s">
        <v>157</v>
      </c>
      <c r="D10090" t="s">
        <v>20278</v>
      </c>
      <c r="E10090" t="s">
        <v>20279</v>
      </c>
      <c r="F10090" t="s">
        <v>180</v>
      </c>
      <c r="G10090" s="1">
        <v>10</v>
      </c>
    </row>
    <row r="10091" spans="1:7" ht="14.25" customHeight="1" x14ac:dyDescent="0.45">
      <c r="A10091" t="str">
        <f>_xlfn.XLOOKUP(B10091,Ingot!$H$12:$H$119,Ingot!$G$12:$G$119,"")</f>
        <v>Leather</v>
      </c>
      <c r="B10091" t="s">
        <v>20093</v>
      </c>
      <c r="C10091" t="s">
        <v>157</v>
      </c>
      <c r="D10091" t="s">
        <v>20280</v>
      </c>
      <c r="E10091" t="s">
        <v>20281</v>
      </c>
      <c r="F10091" t="s">
        <v>180</v>
      </c>
      <c r="G10091" s="1">
        <v>15.86</v>
      </c>
    </row>
    <row r="10092" spans="1:7" ht="14.25" customHeight="1" x14ac:dyDescent="0.45">
      <c r="A10092" t="str">
        <f>_xlfn.XLOOKUP(B10092,Ingot!$H$12:$H$119,Ingot!$G$12:$G$119,"")</f>
        <v>Leather</v>
      </c>
      <c r="B10092" t="s">
        <v>20093</v>
      </c>
      <c r="C10092" t="s">
        <v>157</v>
      </c>
      <c r="D10092" t="s">
        <v>20282</v>
      </c>
      <c r="E10092" t="s">
        <v>20283</v>
      </c>
      <c r="G10092" s="1">
        <v>5</v>
      </c>
    </row>
    <row r="10093" spans="1:7" ht="14.25" customHeight="1" x14ac:dyDescent="0.45">
      <c r="A10093" t="str">
        <f>_xlfn.XLOOKUP(B10093,Ingot!$H$12:$H$119,Ingot!$G$12:$G$119,"")</f>
        <v>Leather</v>
      </c>
      <c r="B10093" t="s">
        <v>20093</v>
      </c>
      <c r="C10093" t="s">
        <v>157</v>
      </c>
      <c r="D10093" t="s">
        <v>20284</v>
      </c>
      <c r="E10093" t="s">
        <v>20285</v>
      </c>
      <c r="G10093" s="1">
        <v>5</v>
      </c>
    </row>
    <row r="10094" spans="1:7" ht="14.25" customHeight="1" x14ac:dyDescent="0.45">
      <c r="A10094" t="str">
        <f>_xlfn.XLOOKUP(B10094,Ingot!$H$12:$H$119,Ingot!$G$12:$G$119,"")</f>
        <v>Leather</v>
      </c>
      <c r="B10094" t="s">
        <v>20093</v>
      </c>
      <c r="C10094" t="s">
        <v>157</v>
      </c>
      <c r="D10094" t="s">
        <v>20286</v>
      </c>
      <c r="E10094" t="s">
        <v>20287</v>
      </c>
      <c r="G10094" s="1">
        <v>5</v>
      </c>
    </row>
    <row r="10095" spans="1:7" ht="14.25" customHeight="1" x14ac:dyDescent="0.45">
      <c r="A10095" t="str">
        <f>_xlfn.XLOOKUP(B10095,Ingot!$H$12:$H$119,Ingot!$G$12:$G$119,"")</f>
        <v>Leather</v>
      </c>
      <c r="B10095" t="s">
        <v>20093</v>
      </c>
      <c r="C10095" t="s">
        <v>157</v>
      </c>
      <c r="D10095" t="s">
        <v>20288</v>
      </c>
      <c r="E10095" t="s">
        <v>20289</v>
      </c>
      <c r="F10095" t="s">
        <v>180</v>
      </c>
      <c r="G10095" s="1">
        <v>10</v>
      </c>
    </row>
    <row r="10096" spans="1:7" ht="14.25" customHeight="1" x14ac:dyDescent="0.45">
      <c r="A10096" t="str">
        <f>_xlfn.XLOOKUP(B10096,Ingot!$H$12:$H$119,Ingot!$G$12:$G$119,"")</f>
        <v>Leather</v>
      </c>
      <c r="B10096" t="s">
        <v>20093</v>
      </c>
      <c r="C10096" t="s">
        <v>157</v>
      </c>
      <c r="D10096" t="s">
        <v>20290</v>
      </c>
      <c r="E10096" t="s">
        <v>20291</v>
      </c>
      <c r="F10096" t="s">
        <v>180</v>
      </c>
      <c r="G10096" s="1">
        <v>18.86</v>
      </c>
    </row>
    <row r="10097" spans="1:7" ht="14.25" customHeight="1" x14ac:dyDescent="0.45">
      <c r="A10097" t="str">
        <f>_xlfn.XLOOKUP(B10097,Ingot!$H$12:$H$119,Ingot!$G$12:$G$119,"")</f>
        <v>Leather</v>
      </c>
      <c r="B10097" t="s">
        <v>20093</v>
      </c>
      <c r="C10097" t="s">
        <v>157</v>
      </c>
      <c r="D10097" t="s">
        <v>20292</v>
      </c>
      <c r="E10097" t="s">
        <v>20293</v>
      </c>
      <c r="F10097" t="s">
        <v>180</v>
      </c>
      <c r="G10097" s="1">
        <v>5</v>
      </c>
    </row>
    <row r="10098" spans="1:7" ht="14.25" customHeight="1" x14ac:dyDescent="0.45">
      <c r="A10098" t="str">
        <f>_xlfn.XLOOKUP(B10098,Ingot!$H$12:$H$119,Ingot!$G$12:$G$119,"")</f>
        <v>Leather</v>
      </c>
      <c r="B10098" t="s">
        <v>20093</v>
      </c>
      <c r="C10098" t="s">
        <v>157</v>
      </c>
      <c r="D10098" t="s">
        <v>20294</v>
      </c>
      <c r="E10098" t="s">
        <v>20295</v>
      </c>
      <c r="F10098" t="s">
        <v>180</v>
      </c>
      <c r="G10098" s="1">
        <v>5</v>
      </c>
    </row>
    <row r="10099" spans="1:7" ht="14.25" customHeight="1" x14ac:dyDescent="0.45">
      <c r="A10099" t="str">
        <f>_xlfn.XLOOKUP(B10099,Ingot!$H$12:$H$119,Ingot!$G$12:$G$119,"")</f>
        <v>Leather</v>
      </c>
      <c r="B10099" t="s">
        <v>20093</v>
      </c>
      <c r="C10099" t="s">
        <v>157</v>
      </c>
      <c r="D10099" t="s">
        <v>20296</v>
      </c>
      <c r="E10099" t="s">
        <v>20297</v>
      </c>
      <c r="F10099" t="s">
        <v>180</v>
      </c>
      <c r="G10099" s="1">
        <v>5</v>
      </c>
    </row>
    <row r="10100" spans="1:7" ht="14.25" customHeight="1" x14ac:dyDescent="0.45">
      <c r="A10100" t="str">
        <f>_xlfn.XLOOKUP(B10100,Ingot!$H$12:$H$119,Ingot!$G$12:$G$119,"")</f>
        <v>Leather</v>
      </c>
      <c r="B10100" t="s">
        <v>20093</v>
      </c>
      <c r="C10100" t="s">
        <v>157</v>
      </c>
      <c r="D10100" t="s">
        <v>20298</v>
      </c>
      <c r="E10100" t="s">
        <v>20299</v>
      </c>
      <c r="F10100" t="s">
        <v>180</v>
      </c>
      <c r="G10100" s="1">
        <v>10</v>
      </c>
    </row>
    <row r="10101" spans="1:7" ht="14.25" customHeight="1" x14ac:dyDescent="0.45">
      <c r="A10101" t="str">
        <f>_xlfn.XLOOKUP(B10101,Ingot!$H$12:$H$119,Ingot!$G$12:$G$119,"")</f>
        <v>Leather</v>
      </c>
      <c r="B10101" t="s">
        <v>20093</v>
      </c>
      <c r="C10101" t="s">
        <v>157</v>
      </c>
      <c r="D10101" t="s">
        <v>20300</v>
      </c>
      <c r="E10101" t="s">
        <v>20301</v>
      </c>
      <c r="F10101" t="s">
        <v>180</v>
      </c>
      <c r="G10101" s="1">
        <v>17.86</v>
      </c>
    </row>
    <row r="10102" spans="1:7" ht="14.25" customHeight="1" x14ac:dyDescent="0.45">
      <c r="A10102" t="str">
        <f>_xlfn.XLOOKUP(B10102,Ingot!$H$12:$H$119,Ingot!$G$12:$G$119,"")</f>
        <v>Leather</v>
      </c>
      <c r="B10102" t="s">
        <v>20093</v>
      </c>
      <c r="C10102" t="s">
        <v>157</v>
      </c>
      <c r="D10102" t="s">
        <v>20302</v>
      </c>
      <c r="E10102" t="s">
        <v>20303</v>
      </c>
      <c r="F10102" t="s">
        <v>180</v>
      </c>
      <c r="G10102" s="1">
        <v>5</v>
      </c>
    </row>
    <row r="10103" spans="1:7" ht="14.25" customHeight="1" x14ac:dyDescent="0.45">
      <c r="A10103" t="str">
        <f>_xlfn.XLOOKUP(B10103,Ingot!$H$12:$H$119,Ingot!$G$12:$G$119,"")</f>
        <v>Leather</v>
      </c>
      <c r="B10103" t="s">
        <v>20093</v>
      </c>
      <c r="C10103" t="s">
        <v>157</v>
      </c>
      <c r="D10103" t="s">
        <v>20304</v>
      </c>
      <c r="E10103" t="s">
        <v>20305</v>
      </c>
      <c r="F10103" t="s">
        <v>180</v>
      </c>
      <c r="G10103" s="1">
        <v>5</v>
      </c>
    </row>
    <row r="10104" spans="1:7" ht="14.25" customHeight="1" x14ac:dyDescent="0.45">
      <c r="A10104" t="str">
        <f>_xlfn.XLOOKUP(B10104,Ingot!$H$12:$H$119,Ingot!$G$12:$G$119,"")</f>
        <v>Leather</v>
      </c>
      <c r="B10104" t="s">
        <v>20093</v>
      </c>
      <c r="C10104" t="s">
        <v>157</v>
      </c>
      <c r="D10104" t="s">
        <v>20306</v>
      </c>
      <c r="E10104" t="s">
        <v>20307</v>
      </c>
      <c r="F10104" t="s">
        <v>180</v>
      </c>
      <c r="G10104" s="1">
        <v>5</v>
      </c>
    </row>
    <row r="10105" spans="1:7" ht="14.25" customHeight="1" x14ac:dyDescent="0.45">
      <c r="A10105" t="str">
        <f>_xlfn.XLOOKUP(B10105,Ingot!$H$12:$H$119,Ingot!$G$12:$G$119,"")</f>
        <v>Leather</v>
      </c>
      <c r="B10105" t="s">
        <v>20093</v>
      </c>
      <c r="C10105" t="s">
        <v>157</v>
      </c>
      <c r="D10105" t="s">
        <v>20308</v>
      </c>
      <c r="E10105" t="s">
        <v>20309</v>
      </c>
      <c r="F10105" t="s">
        <v>180</v>
      </c>
      <c r="G10105" s="1">
        <v>10</v>
      </c>
    </row>
    <row r="10106" spans="1:7" ht="14.25" customHeight="1" x14ac:dyDescent="0.45">
      <c r="A10106" t="str">
        <f>_xlfn.XLOOKUP(B10106,Ingot!$H$12:$H$119,Ingot!$G$12:$G$119,"")</f>
        <v>Leather</v>
      </c>
      <c r="B10106" t="s">
        <v>20093</v>
      </c>
      <c r="C10106" t="s">
        <v>157</v>
      </c>
      <c r="D10106" t="s">
        <v>20310</v>
      </c>
      <c r="E10106" t="s">
        <v>20311</v>
      </c>
      <c r="G10106" s="1">
        <v>13.46</v>
      </c>
    </row>
    <row r="10107" spans="1:7" ht="14.25" customHeight="1" x14ac:dyDescent="0.45">
      <c r="A10107" t="str">
        <f>_xlfn.XLOOKUP(B10107,Ingot!$H$12:$H$119,Ingot!$G$12:$G$119,"")</f>
        <v>Leather</v>
      </c>
      <c r="B10107" t="s">
        <v>20093</v>
      </c>
      <c r="C10107" t="s">
        <v>157</v>
      </c>
      <c r="D10107" t="s">
        <v>20312</v>
      </c>
      <c r="E10107" t="s">
        <v>20313</v>
      </c>
      <c r="G10107" s="1">
        <v>5</v>
      </c>
    </row>
    <row r="10108" spans="1:7" ht="14.25" customHeight="1" x14ac:dyDescent="0.45">
      <c r="A10108" t="str">
        <f>_xlfn.XLOOKUP(B10108,Ingot!$H$12:$H$119,Ingot!$G$12:$G$119,"")</f>
        <v>Leather</v>
      </c>
      <c r="B10108" t="s">
        <v>20093</v>
      </c>
      <c r="C10108" t="s">
        <v>157</v>
      </c>
      <c r="D10108" t="s">
        <v>20314</v>
      </c>
      <c r="E10108" t="s">
        <v>20315</v>
      </c>
      <c r="G10108" s="1">
        <v>5</v>
      </c>
    </row>
    <row r="10109" spans="1:7" ht="14.25" customHeight="1" x14ac:dyDescent="0.45">
      <c r="A10109" t="str">
        <f>_xlfn.XLOOKUP(B10109,Ingot!$H$12:$H$119,Ingot!$G$12:$G$119,"")</f>
        <v>Leather</v>
      </c>
      <c r="B10109" t="s">
        <v>20093</v>
      </c>
      <c r="C10109" t="s">
        <v>157</v>
      </c>
      <c r="D10109" t="s">
        <v>20316</v>
      </c>
      <c r="E10109" t="s">
        <v>20317</v>
      </c>
      <c r="G10109" s="1">
        <v>5</v>
      </c>
    </row>
    <row r="10110" spans="1:7" ht="14.25" customHeight="1" x14ac:dyDescent="0.45">
      <c r="A10110" t="str">
        <f>_xlfn.XLOOKUP(B10110,Ingot!$H$12:$H$119,Ingot!$G$12:$G$119,"")</f>
        <v>Leather</v>
      </c>
      <c r="B10110" t="s">
        <v>20093</v>
      </c>
      <c r="C10110" t="s">
        <v>157</v>
      </c>
      <c r="D10110" t="s">
        <v>20318</v>
      </c>
      <c r="E10110" t="s">
        <v>20319</v>
      </c>
      <c r="G10110" s="1">
        <v>10</v>
      </c>
    </row>
    <row r="10111" spans="1:7" ht="14.25" customHeight="1" x14ac:dyDescent="0.45">
      <c r="A10111" t="str">
        <f>_xlfn.XLOOKUP(B10111,Ingot!$H$12:$H$119,Ingot!$G$12:$G$119,"")</f>
        <v>Leather</v>
      </c>
      <c r="B10111" t="s">
        <v>20093</v>
      </c>
      <c r="C10111" t="s">
        <v>239</v>
      </c>
      <c r="D10111" t="s">
        <v>20320</v>
      </c>
      <c r="E10111" t="s">
        <v>20321</v>
      </c>
      <c r="G10111" s="1">
        <f>(VLOOKUP(B10111,Ingot!H:I,2,FALSE()) * 0.75) * 0.75</f>
        <v>2.9250000000000003</v>
      </c>
    </row>
    <row r="10112" spans="1:7" ht="14.25" customHeight="1" x14ac:dyDescent="0.45">
      <c r="A10112" t="str">
        <f>_xlfn.XLOOKUP(B10112,Ingot!$H$12:$H$119,Ingot!$G$12:$G$119,"")</f>
        <v>Leather</v>
      </c>
      <c r="B10112" t="s">
        <v>20093</v>
      </c>
      <c r="C10112" t="s">
        <v>239</v>
      </c>
      <c r="D10112" t="s">
        <v>20322</v>
      </c>
      <c r="E10112" t="s">
        <v>20323</v>
      </c>
      <c r="F10112" t="s">
        <v>180</v>
      </c>
      <c r="G10112" s="1">
        <f>((VLOOKUP(B10112,Ingot!H:I,2,FALSE()) * 3) - 10.25) * 0.421875</f>
        <v>2.2570312500000007</v>
      </c>
    </row>
    <row r="10113" spans="1:7" ht="14.25" customHeight="1" x14ac:dyDescent="0.45">
      <c r="A10113" t="str">
        <f>_xlfn.XLOOKUP(B10113,Ingot!$H$12:$H$119,Ingot!$G$12:$G$119,"")</f>
        <v>Leather</v>
      </c>
      <c r="B10113" t="s">
        <v>20093</v>
      </c>
      <c r="C10113" t="s">
        <v>239</v>
      </c>
      <c r="D10113" t="s">
        <v>20324</v>
      </c>
      <c r="E10113" t="s">
        <v>20325</v>
      </c>
      <c r="F10113" t="s">
        <v>180</v>
      </c>
      <c r="G10113" s="1">
        <f>((VLOOKUP(B10113,Ingot!H:I,2,FALSE()) * 3) - 10.25) * 0.75</f>
        <v>4.0125000000000011</v>
      </c>
    </row>
    <row r="10114" spans="1:7" ht="14.25" customHeight="1" x14ac:dyDescent="0.45">
      <c r="A10114" t="str">
        <f>_xlfn.XLOOKUP(B10114,Ingot!$H$12:$H$119,Ingot!$G$12:$G$119,"")</f>
        <v>Leather</v>
      </c>
      <c r="B10114" t="s">
        <v>20093</v>
      </c>
      <c r="C10114" t="s">
        <v>239</v>
      </c>
      <c r="D10114" t="s">
        <v>20326</v>
      </c>
      <c r="E10114" t="s">
        <v>20327</v>
      </c>
      <c r="F10114" t="s">
        <v>180</v>
      </c>
      <c r="G10114" s="1">
        <f>((VLOOKUP(B10114,Ingot!H:I,2,FALSE()) * 3) - 10.25) * 0.5625</f>
        <v>3.0093750000000008</v>
      </c>
    </row>
    <row r="10115" spans="1:7" ht="14.25" customHeight="1" x14ac:dyDescent="0.45">
      <c r="A10115" t="str">
        <f>_xlfn.XLOOKUP(B10115,Ingot!$H$12:$H$119,Ingot!$G$12:$G$119,"")</f>
        <v>Leather</v>
      </c>
      <c r="B10115" t="s">
        <v>20093</v>
      </c>
      <c r="C10115" t="s">
        <v>239</v>
      </c>
      <c r="D10115" t="s">
        <v>20328</v>
      </c>
      <c r="E10115" t="s">
        <v>20329</v>
      </c>
      <c r="G10115" s="1">
        <f>VLOOKUP(B10115,Ingot!H:I,2,FALSE()) * 0.75</f>
        <v>3.9000000000000004</v>
      </c>
    </row>
    <row r="10116" spans="1:7" ht="14.25" customHeight="1" x14ac:dyDescent="0.45">
      <c r="A10116" t="str">
        <f>_xlfn.XLOOKUP(B10116,Ingot!$H$12:$H$119,Ingot!$G$12:$G$119,"")</f>
        <v>Leather</v>
      </c>
      <c r="B10116" t="s">
        <v>20093</v>
      </c>
      <c r="C10116" t="s">
        <v>239</v>
      </c>
      <c r="D10116" t="s">
        <v>20330</v>
      </c>
      <c r="E10116" t="s">
        <v>20331</v>
      </c>
      <c r="F10116" t="s">
        <v>180</v>
      </c>
      <c r="G10116" s="1">
        <f>(VLOOKUP(B10116,Ingot!H:I,2,FALSE()) * 3) - 10.25</f>
        <v>5.3500000000000014</v>
      </c>
    </row>
    <row r="10117" spans="1:7" ht="14.25" customHeight="1" x14ac:dyDescent="0.45">
      <c r="A10117" t="str">
        <f>_xlfn.XLOOKUP(B10117,Ingot!$H$12:$H$119,Ingot!$G$12:$G$119,"")</f>
        <v>Leather</v>
      </c>
      <c r="B10117" t="s">
        <v>20332</v>
      </c>
      <c r="C10117" t="s">
        <v>10</v>
      </c>
      <c r="D10117" t="s">
        <v>20333</v>
      </c>
      <c r="E10117" t="s">
        <v>20334</v>
      </c>
      <c r="G10117" s="1">
        <v>0.08</v>
      </c>
    </row>
    <row r="10118" spans="1:7" ht="14.25" customHeight="1" x14ac:dyDescent="0.45">
      <c r="A10118" t="str">
        <f>_xlfn.XLOOKUP(B10118,Ingot!$H$12:$H$119,Ingot!$G$12:$G$119,"")</f>
        <v>Leather</v>
      </c>
      <c r="B10118" t="s">
        <v>20332</v>
      </c>
      <c r="C10118" t="s">
        <v>10</v>
      </c>
      <c r="D10118" t="s">
        <v>20335</v>
      </c>
      <c r="E10118" t="s">
        <v>20336</v>
      </c>
      <c r="G10118" s="1">
        <v>9.9</v>
      </c>
    </row>
    <row r="10119" spans="1:7" ht="14.25" customHeight="1" x14ac:dyDescent="0.45">
      <c r="A10119" t="str">
        <f>_xlfn.XLOOKUP(B10119,Ingot!$H$12:$H$119,Ingot!$G$12:$G$119,"")</f>
        <v>Leather</v>
      </c>
      <c r="B10119" t="s">
        <v>20332</v>
      </c>
      <c r="C10119" t="s">
        <v>10</v>
      </c>
      <c r="D10119" t="s">
        <v>20337</v>
      </c>
      <c r="E10119" t="s">
        <v>20338</v>
      </c>
      <c r="G10119" s="1">
        <v>5.66</v>
      </c>
    </row>
    <row r="10120" spans="1:7" ht="14.25" customHeight="1" x14ac:dyDescent="0.45">
      <c r="A10120" t="str">
        <f>_xlfn.XLOOKUP(B10120,Ingot!$H$12:$H$119,Ingot!$G$12:$G$119,"")</f>
        <v>Leather</v>
      </c>
      <c r="B10120" t="s">
        <v>20332</v>
      </c>
      <c r="C10120" t="s">
        <v>10</v>
      </c>
      <c r="D10120" t="s">
        <v>20339</v>
      </c>
      <c r="E10120" t="s">
        <v>20340</v>
      </c>
      <c r="G10120" s="1">
        <v>3.3</v>
      </c>
    </row>
    <row r="10121" spans="1:7" ht="14.25" customHeight="1" x14ac:dyDescent="0.45">
      <c r="A10121" t="str">
        <f>_xlfn.XLOOKUP(B10121,Ingot!$H$12:$H$119,Ingot!$G$12:$G$119,"")</f>
        <v>Leather</v>
      </c>
      <c r="B10121" t="s">
        <v>20332</v>
      </c>
      <c r="C10121" t="s">
        <v>10</v>
      </c>
      <c r="D10121" t="s">
        <v>20341</v>
      </c>
      <c r="E10121" t="s">
        <v>20342</v>
      </c>
      <c r="G10121" s="1">
        <v>0.66</v>
      </c>
    </row>
    <row r="10122" spans="1:7" ht="14.25" customHeight="1" x14ac:dyDescent="0.45">
      <c r="A10122" t="str">
        <f>_xlfn.XLOOKUP(B10122,Ingot!$H$12:$H$119,Ingot!$G$12:$G$119,"")</f>
        <v>Leather</v>
      </c>
      <c r="B10122" t="s">
        <v>20332</v>
      </c>
      <c r="C10122" t="s">
        <v>10</v>
      </c>
      <c r="D10122" t="s">
        <v>20343</v>
      </c>
      <c r="E10122" t="s">
        <v>20344</v>
      </c>
      <c r="G10122" s="1">
        <v>0.04</v>
      </c>
    </row>
    <row r="10123" spans="1:7" ht="14.25" customHeight="1" x14ac:dyDescent="0.45">
      <c r="A10123" t="str">
        <f>_xlfn.XLOOKUP(B10123,Ingot!$H$12:$H$119,Ingot!$G$12:$G$119,"")</f>
        <v>Leather</v>
      </c>
      <c r="B10123" t="s">
        <v>20332</v>
      </c>
      <c r="C10123" t="s">
        <v>10</v>
      </c>
      <c r="D10123" t="s">
        <v>20345</v>
      </c>
      <c r="E10123" t="s">
        <v>20346</v>
      </c>
      <c r="G10123" s="1">
        <v>0.33</v>
      </c>
    </row>
    <row r="10124" spans="1:7" ht="14.25" customHeight="1" x14ac:dyDescent="0.45">
      <c r="A10124" t="str">
        <f>_xlfn.XLOOKUP(B10124,Ingot!$H$12:$H$119,Ingot!$G$12:$G$119,"")</f>
        <v>Leather</v>
      </c>
      <c r="B10124" t="s">
        <v>20332</v>
      </c>
      <c r="C10124" t="s">
        <v>10</v>
      </c>
      <c r="D10124" t="s">
        <v>20347</v>
      </c>
      <c r="E10124" t="s">
        <v>20348</v>
      </c>
    </row>
    <row r="10125" spans="1:7" ht="14.25" customHeight="1" x14ac:dyDescent="0.45">
      <c r="A10125" t="str">
        <f>_xlfn.XLOOKUP(B10125,Ingot!$H$12:$H$119,Ingot!$G$12:$G$119,"")</f>
        <v>Leather</v>
      </c>
      <c r="B10125" t="s">
        <v>20332</v>
      </c>
      <c r="C10125" t="s">
        <v>10</v>
      </c>
      <c r="D10125" t="s">
        <v>20349</v>
      </c>
      <c r="E10125" t="s">
        <v>20350</v>
      </c>
      <c r="G10125" s="1">
        <v>0.05</v>
      </c>
    </row>
    <row r="10126" spans="1:7" ht="14.25" customHeight="1" x14ac:dyDescent="0.45">
      <c r="A10126" t="str">
        <f>_xlfn.XLOOKUP(B10126,Ingot!$H$12:$H$119,Ingot!$G$12:$G$119,"")</f>
        <v>Leather</v>
      </c>
      <c r="B10126" t="s">
        <v>20332</v>
      </c>
      <c r="C10126" t="s">
        <v>10</v>
      </c>
      <c r="D10126" t="s">
        <v>20351</v>
      </c>
      <c r="E10126" t="s">
        <v>20352</v>
      </c>
      <c r="G10126" s="1">
        <v>0.66</v>
      </c>
    </row>
    <row r="10127" spans="1:7" ht="14.25" customHeight="1" x14ac:dyDescent="0.45">
      <c r="A10127" t="str">
        <f>_xlfn.XLOOKUP(B10127,Ingot!$H$12:$H$119,Ingot!$G$12:$G$119,"")</f>
        <v>Leather</v>
      </c>
      <c r="B10127" t="s">
        <v>20332</v>
      </c>
      <c r="C10127" t="s">
        <v>10</v>
      </c>
      <c r="D10127" t="s">
        <v>20353</v>
      </c>
      <c r="E10127" t="s">
        <v>20354</v>
      </c>
      <c r="G10127" s="1">
        <v>3.96</v>
      </c>
    </row>
    <row r="10128" spans="1:7" ht="14.25" customHeight="1" x14ac:dyDescent="0.45">
      <c r="A10128" t="str">
        <f>_xlfn.XLOOKUP(B10128,Ingot!$H$12:$H$119,Ingot!$G$12:$G$119,"")</f>
        <v>Leather</v>
      </c>
      <c r="B10128" t="s">
        <v>20332</v>
      </c>
      <c r="C10128" t="s">
        <v>10</v>
      </c>
      <c r="D10128" t="s">
        <v>20355</v>
      </c>
      <c r="E10128" t="s">
        <v>20356</v>
      </c>
      <c r="G10128" s="1">
        <v>8.77</v>
      </c>
    </row>
    <row r="10129" spans="1:7" ht="14.25" customHeight="1" x14ac:dyDescent="0.45">
      <c r="A10129" t="str">
        <f>_xlfn.XLOOKUP(B10129,Ingot!$H$12:$H$119,Ingot!$G$12:$G$119,"")</f>
        <v>Leather</v>
      </c>
      <c r="B10129" t="s">
        <v>20332</v>
      </c>
      <c r="C10129" t="s">
        <v>10</v>
      </c>
      <c r="D10129" t="s">
        <v>20357</v>
      </c>
      <c r="E10129" t="s">
        <v>20358</v>
      </c>
      <c r="G10129" s="1">
        <v>3.5</v>
      </c>
    </row>
    <row r="10130" spans="1:7" ht="14.25" customHeight="1" x14ac:dyDescent="0.45">
      <c r="A10130" t="str">
        <f>_xlfn.XLOOKUP(B10130,Ingot!$H$12:$H$119,Ingot!$G$12:$G$119,"")</f>
        <v>Leather</v>
      </c>
      <c r="B10130" t="s">
        <v>20332</v>
      </c>
      <c r="C10130" t="s">
        <v>10</v>
      </c>
      <c r="D10130" t="s">
        <v>20359</v>
      </c>
      <c r="E10130" t="s">
        <v>20360</v>
      </c>
    </row>
    <row r="10131" spans="1:7" ht="14.25" customHeight="1" x14ac:dyDescent="0.45">
      <c r="A10131" t="str">
        <f>_xlfn.XLOOKUP(B10131,Ingot!$H$12:$H$119,Ingot!$G$12:$G$119,"")</f>
        <v>Leather</v>
      </c>
      <c r="B10131" t="s">
        <v>20332</v>
      </c>
      <c r="C10131" t="s">
        <v>10</v>
      </c>
      <c r="D10131" t="s">
        <v>20361</v>
      </c>
      <c r="E10131" t="s">
        <v>20362</v>
      </c>
      <c r="G10131" s="1">
        <v>2.2000000000000002</v>
      </c>
    </row>
    <row r="10132" spans="1:7" ht="14.25" customHeight="1" x14ac:dyDescent="0.45">
      <c r="A10132" t="str">
        <f>_xlfn.XLOOKUP(B10132,Ingot!$H$12:$H$119,Ingot!$G$12:$G$119,"")</f>
        <v>Leather</v>
      </c>
      <c r="B10132" t="s">
        <v>20332</v>
      </c>
      <c r="C10132" t="s">
        <v>10</v>
      </c>
      <c r="D10132" t="s">
        <v>20363</v>
      </c>
      <c r="E10132" t="s">
        <v>20364</v>
      </c>
      <c r="G10132" s="1">
        <v>1.1000000000000001</v>
      </c>
    </row>
    <row r="10133" spans="1:7" ht="14.25" customHeight="1" x14ac:dyDescent="0.45">
      <c r="A10133" t="str">
        <f>_xlfn.XLOOKUP(B10133,Ingot!$H$12:$H$119,Ingot!$G$12:$G$119,"")</f>
        <v>Leather</v>
      </c>
      <c r="B10133" t="s">
        <v>20332</v>
      </c>
      <c r="C10133" t="s">
        <v>10</v>
      </c>
      <c r="D10133" t="s">
        <v>20365</v>
      </c>
      <c r="E10133" t="s">
        <v>20366</v>
      </c>
      <c r="G10133" s="1">
        <v>0.22</v>
      </c>
    </row>
    <row r="10134" spans="1:7" ht="14.25" customHeight="1" x14ac:dyDescent="0.45">
      <c r="A10134" t="str">
        <f>_xlfn.XLOOKUP(B10134,Ingot!$H$12:$H$119,Ingot!$G$12:$G$119,"")</f>
        <v>Leather</v>
      </c>
      <c r="B10134" t="s">
        <v>20332</v>
      </c>
      <c r="C10134" t="s">
        <v>10</v>
      </c>
      <c r="D10134" t="s">
        <v>20367</v>
      </c>
      <c r="E10134" t="s">
        <v>20368</v>
      </c>
      <c r="G10134" s="1">
        <v>8.41</v>
      </c>
    </row>
    <row r="10135" spans="1:7" ht="14.25" customHeight="1" x14ac:dyDescent="0.45">
      <c r="A10135" t="str">
        <f>_xlfn.XLOOKUP(B10135,Ingot!$H$12:$H$119,Ingot!$G$12:$G$119,"")</f>
        <v>Leather</v>
      </c>
      <c r="B10135" t="s">
        <v>20332</v>
      </c>
      <c r="C10135" t="s">
        <v>10</v>
      </c>
      <c r="D10135" t="s">
        <v>20369</v>
      </c>
      <c r="E10135" t="s">
        <v>20370</v>
      </c>
      <c r="G10135" s="1">
        <v>3.64</v>
      </c>
    </row>
    <row r="10136" spans="1:7" ht="14.25" customHeight="1" x14ac:dyDescent="0.45">
      <c r="A10136" t="str">
        <f>_xlfn.XLOOKUP(B10136,Ingot!$H$12:$H$119,Ingot!$G$12:$G$119,"")</f>
        <v>Leather</v>
      </c>
      <c r="B10136" t="s">
        <v>20332</v>
      </c>
      <c r="C10136" t="s">
        <v>10</v>
      </c>
      <c r="D10136" t="s">
        <v>20371</v>
      </c>
      <c r="E10136" t="s">
        <v>20372</v>
      </c>
      <c r="G10136" s="1">
        <v>7.05</v>
      </c>
    </row>
    <row r="10137" spans="1:7" ht="14.25" customHeight="1" x14ac:dyDescent="0.45">
      <c r="A10137" t="str">
        <f>_xlfn.XLOOKUP(B10137,Ingot!$H$12:$H$119,Ingot!$G$12:$G$119,"")</f>
        <v>Leather</v>
      </c>
      <c r="B10137" t="s">
        <v>20332</v>
      </c>
      <c r="C10137" t="s">
        <v>10</v>
      </c>
      <c r="D10137" t="s">
        <v>20373</v>
      </c>
      <c r="E10137" t="s">
        <v>20374</v>
      </c>
      <c r="G10137" s="1">
        <v>2.65</v>
      </c>
    </row>
    <row r="10138" spans="1:7" ht="14.25" customHeight="1" x14ac:dyDescent="0.45">
      <c r="A10138" t="str">
        <f>_xlfn.XLOOKUP(B10138,Ingot!$H$12:$H$119,Ingot!$G$12:$G$119,"")</f>
        <v>Leather</v>
      </c>
      <c r="B10138" t="s">
        <v>20332</v>
      </c>
      <c r="C10138" t="s">
        <v>10</v>
      </c>
      <c r="D10138" t="s">
        <v>20375</v>
      </c>
      <c r="E10138" t="s">
        <v>20376</v>
      </c>
      <c r="G10138" s="1">
        <v>9</v>
      </c>
    </row>
    <row r="10139" spans="1:7" ht="14.25" customHeight="1" x14ac:dyDescent="0.45">
      <c r="A10139" t="str">
        <f>_xlfn.XLOOKUP(B10139,Ingot!$H$12:$H$119,Ingot!$G$12:$G$119,"")</f>
        <v>Leather</v>
      </c>
      <c r="B10139" t="s">
        <v>20332</v>
      </c>
      <c r="C10139" t="s">
        <v>10</v>
      </c>
      <c r="D10139" t="s">
        <v>20377</v>
      </c>
      <c r="E10139" t="s">
        <v>20378</v>
      </c>
      <c r="G10139" s="1">
        <v>10.23</v>
      </c>
    </row>
    <row r="10140" spans="1:7" ht="14.25" customHeight="1" x14ac:dyDescent="0.45">
      <c r="A10140" t="str">
        <f>_xlfn.XLOOKUP(B10140,Ingot!$H$12:$H$119,Ingot!$G$12:$G$119,"")</f>
        <v>Leather</v>
      </c>
      <c r="B10140" t="s">
        <v>20332</v>
      </c>
      <c r="C10140" t="s">
        <v>10</v>
      </c>
      <c r="D10140" t="s">
        <v>20379</v>
      </c>
      <c r="E10140" t="s">
        <v>20380</v>
      </c>
      <c r="G10140" s="1">
        <v>7.7</v>
      </c>
    </row>
    <row r="10141" spans="1:7" ht="14.25" customHeight="1" x14ac:dyDescent="0.45">
      <c r="A10141" t="str">
        <f>_xlfn.XLOOKUP(B10141,Ingot!$H$12:$H$119,Ingot!$G$12:$G$119,"")</f>
        <v>Leather</v>
      </c>
      <c r="B10141" t="s">
        <v>20332</v>
      </c>
      <c r="C10141" t="s">
        <v>10</v>
      </c>
      <c r="D10141" t="s">
        <v>20381</v>
      </c>
      <c r="E10141" t="s">
        <v>20382</v>
      </c>
      <c r="G10141" s="1">
        <v>10.02</v>
      </c>
    </row>
    <row r="10142" spans="1:7" ht="14.25" customHeight="1" x14ac:dyDescent="0.45">
      <c r="A10142" t="str">
        <f>_xlfn.XLOOKUP(B10142,Ingot!$H$12:$H$119,Ingot!$G$12:$G$119,"")</f>
        <v>Leather</v>
      </c>
      <c r="B10142" t="s">
        <v>20332</v>
      </c>
      <c r="C10142" t="s">
        <v>10</v>
      </c>
      <c r="D10142" t="s">
        <v>20383</v>
      </c>
      <c r="E10142" t="s">
        <v>20384</v>
      </c>
      <c r="G10142" s="1">
        <v>11.81</v>
      </c>
    </row>
    <row r="10143" spans="1:7" ht="14.25" customHeight="1" x14ac:dyDescent="0.45">
      <c r="A10143" t="str">
        <f>_xlfn.XLOOKUP(B10143,Ingot!$H$12:$H$119,Ingot!$G$12:$G$119,"")</f>
        <v>Leather</v>
      </c>
      <c r="B10143" t="s">
        <v>20332</v>
      </c>
      <c r="C10143" t="s">
        <v>10</v>
      </c>
      <c r="D10143" t="s">
        <v>20385</v>
      </c>
      <c r="E10143" t="s">
        <v>20386</v>
      </c>
      <c r="G10143" s="1">
        <v>8.44</v>
      </c>
    </row>
    <row r="10144" spans="1:7" ht="14.25" customHeight="1" x14ac:dyDescent="0.45">
      <c r="A10144" t="str">
        <f>_xlfn.XLOOKUP(B10144,Ingot!$H$12:$H$119,Ingot!$G$12:$G$119,"")</f>
        <v>Leather</v>
      </c>
      <c r="B10144" t="s">
        <v>20332</v>
      </c>
      <c r="C10144" t="s">
        <v>10</v>
      </c>
      <c r="D10144" t="s">
        <v>20387</v>
      </c>
      <c r="E10144" t="s">
        <v>20388</v>
      </c>
      <c r="G10144" s="1">
        <v>10.42</v>
      </c>
    </row>
    <row r="10145" spans="1:7" ht="14.25" customHeight="1" x14ac:dyDescent="0.45">
      <c r="A10145" t="str">
        <f>_xlfn.XLOOKUP(B10145,Ingot!$H$12:$H$119,Ingot!$G$12:$G$119,"")</f>
        <v>Leather</v>
      </c>
      <c r="B10145" t="s">
        <v>20332</v>
      </c>
      <c r="C10145" t="s">
        <v>10</v>
      </c>
      <c r="D10145" t="s">
        <v>20389</v>
      </c>
      <c r="E10145" t="s">
        <v>20390</v>
      </c>
    </row>
    <row r="10146" spans="1:7" ht="14.25" customHeight="1" x14ac:dyDescent="0.45">
      <c r="A10146" t="str">
        <f>_xlfn.XLOOKUP(B10146,Ingot!$H$12:$H$119,Ingot!$G$12:$G$119,"")</f>
        <v>Leather</v>
      </c>
      <c r="B10146" t="s">
        <v>20332</v>
      </c>
      <c r="C10146" t="s">
        <v>10</v>
      </c>
      <c r="D10146" t="s">
        <v>20391</v>
      </c>
      <c r="E10146" t="s">
        <v>20392</v>
      </c>
      <c r="G10146" s="1">
        <v>7.96</v>
      </c>
    </row>
    <row r="10147" spans="1:7" ht="14.25" customHeight="1" x14ac:dyDescent="0.45">
      <c r="A10147" t="str">
        <f>_xlfn.XLOOKUP(B10147,Ingot!$H$12:$H$119,Ingot!$G$12:$G$119,"")</f>
        <v>Leather</v>
      </c>
      <c r="B10147" t="s">
        <v>20332</v>
      </c>
      <c r="C10147" t="s">
        <v>10</v>
      </c>
      <c r="D10147" t="s">
        <v>20393</v>
      </c>
      <c r="E10147" t="s">
        <v>20394</v>
      </c>
      <c r="G10147" s="1">
        <v>9.64</v>
      </c>
    </row>
    <row r="10148" spans="1:7" ht="14.25" customHeight="1" x14ac:dyDescent="0.45">
      <c r="A10148" t="str">
        <f>_xlfn.XLOOKUP(B10148,Ingot!$H$12:$H$119,Ingot!$G$12:$G$119,"")</f>
        <v>Leather</v>
      </c>
      <c r="B10148" t="s">
        <v>20332</v>
      </c>
      <c r="C10148" t="s">
        <v>10</v>
      </c>
      <c r="D10148" t="s">
        <v>20395</v>
      </c>
      <c r="E10148" t="s">
        <v>20396</v>
      </c>
      <c r="G10148" s="1">
        <v>7.94</v>
      </c>
    </row>
    <row r="10149" spans="1:7" ht="14.25" customHeight="1" x14ac:dyDescent="0.45">
      <c r="A10149" t="str">
        <f>_xlfn.XLOOKUP(B10149,Ingot!$H$12:$H$119,Ingot!$G$12:$G$119,"")</f>
        <v>Leather</v>
      </c>
      <c r="B10149" t="s">
        <v>20332</v>
      </c>
      <c r="C10149" t="s">
        <v>10</v>
      </c>
      <c r="D10149" t="s">
        <v>20397</v>
      </c>
      <c r="E10149" t="s">
        <v>20398</v>
      </c>
      <c r="G10149" s="1">
        <v>8.66</v>
      </c>
    </row>
    <row r="10150" spans="1:7" ht="14.25" customHeight="1" x14ac:dyDescent="0.45">
      <c r="A10150" t="str">
        <f>_xlfn.XLOOKUP(B10150,Ingot!$H$12:$H$119,Ingot!$G$12:$G$119,"")</f>
        <v>Leather</v>
      </c>
      <c r="B10150" t="s">
        <v>20332</v>
      </c>
      <c r="C10150" t="s">
        <v>10</v>
      </c>
      <c r="D10150" t="s">
        <v>20399</v>
      </c>
      <c r="E10150" t="s">
        <v>20400</v>
      </c>
    </row>
    <row r="10151" spans="1:7" ht="14.25" customHeight="1" x14ac:dyDescent="0.45">
      <c r="A10151" t="str">
        <f>_xlfn.XLOOKUP(B10151,Ingot!$H$12:$H$119,Ingot!$G$12:$G$119,"")</f>
        <v>Leather</v>
      </c>
      <c r="B10151" t="s">
        <v>20332</v>
      </c>
      <c r="C10151" t="s">
        <v>10</v>
      </c>
      <c r="D10151" t="s">
        <v>20401</v>
      </c>
      <c r="E10151" t="s">
        <v>20402</v>
      </c>
      <c r="G10151" s="1">
        <v>2.65</v>
      </c>
    </row>
    <row r="10152" spans="1:7" ht="14.25" customHeight="1" x14ac:dyDescent="0.45">
      <c r="A10152" t="str">
        <f>_xlfn.XLOOKUP(B10152,Ingot!$H$12:$H$119,Ingot!$G$12:$G$119,"")</f>
        <v>Leather</v>
      </c>
      <c r="B10152" t="s">
        <v>20332</v>
      </c>
      <c r="C10152" t="s">
        <v>10</v>
      </c>
      <c r="D10152" t="s">
        <v>20403</v>
      </c>
      <c r="E10152" t="s">
        <v>20404</v>
      </c>
    </row>
    <row r="10153" spans="1:7" ht="14.25" customHeight="1" x14ac:dyDescent="0.45">
      <c r="A10153" t="str">
        <f>_xlfn.XLOOKUP(B10153,Ingot!$H$12:$H$119,Ingot!$G$12:$G$119,"")</f>
        <v>Leather</v>
      </c>
      <c r="B10153" t="s">
        <v>20332</v>
      </c>
      <c r="C10153" t="s">
        <v>10</v>
      </c>
      <c r="D10153" t="s">
        <v>20405</v>
      </c>
      <c r="E10153" t="s">
        <v>20406</v>
      </c>
      <c r="G10153" s="1">
        <v>12.64</v>
      </c>
    </row>
    <row r="10154" spans="1:7" ht="14.25" customHeight="1" x14ac:dyDescent="0.45">
      <c r="A10154" t="str">
        <f>_xlfn.XLOOKUP(B10154,Ingot!$H$12:$H$119,Ingot!$G$12:$G$119,"")</f>
        <v>Leather</v>
      </c>
      <c r="B10154" t="s">
        <v>20332</v>
      </c>
      <c r="C10154" t="s">
        <v>10</v>
      </c>
      <c r="D10154" t="s">
        <v>20407</v>
      </c>
      <c r="E10154" t="s">
        <v>20408</v>
      </c>
      <c r="G10154" s="1">
        <v>22.67</v>
      </c>
    </row>
    <row r="10155" spans="1:7" ht="14.25" customHeight="1" x14ac:dyDescent="0.45">
      <c r="A10155" t="str">
        <f>_xlfn.XLOOKUP(B10155,Ingot!$H$12:$H$119,Ingot!$G$12:$G$119,"")</f>
        <v>Leather</v>
      </c>
      <c r="B10155" t="s">
        <v>20332</v>
      </c>
      <c r="C10155" t="s">
        <v>10</v>
      </c>
      <c r="D10155" t="s">
        <v>20409</v>
      </c>
      <c r="E10155" t="s">
        <v>20410</v>
      </c>
      <c r="G10155" s="1">
        <v>8.3800000000000008</v>
      </c>
    </row>
    <row r="10156" spans="1:7" ht="14.25" customHeight="1" x14ac:dyDescent="0.45">
      <c r="A10156" t="str">
        <f>_xlfn.XLOOKUP(B10156,Ingot!$H$12:$H$119,Ingot!$G$12:$G$119,"")</f>
        <v>Leather</v>
      </c>
      <c r="B10156" t="s">
        <v>20332</v>
      </c>
      <c r="C10156" t="s">
        <v>10</v>
      </c>
      <c r="D10156" t="s">
        <v>20411</v>
      </c>
      <c r="E10156" t="s">
        <v>20412</v>
      </c>
      <c r="G10156" s="1">
        <v>2.2000000000000002</v>
      </c>
    </row>
    <row r="10157" spans="1:7" ht="14.25" customHeight="1" x14ac:dyDescent="0.45">
      <c r="A10157" t="str">
        <f>_xlfn.XLOOKUP(B10157,Ingot!$H$12:$H$119,Ingot!$G$12:$G$119,"")</f>
        <v>Leather</v>
      </c>
      <c r="B10157" t="s">
        <v>20332</v>
      </c>
      <c r="C10157" t="s">
        <v>10</v>
      </c>
      <c r="D10157" t="s">
        <v>20413</v>
      </c>
      <c r="E10157" t="s">
        <v>20414</v>
      </c>
      <c r="G10157" s="1">
        <v>3.09</v>
      </c>
    </row>
    <row r="10158" spans="1:7" ht="14.25" customHeight="1" x14ac:dyDescent="0.45">
      <c r="A10158" t="str">
        <f>_xlfn.XLOOKUP(B10158,Ingot!$H$12:$H$119,Ingot!$G$12:$G$119,"")</f>
        <v>Leather</v>
      </c>
      <c r="B10158" t="s">
        <v>20332</v>
      </c>
      <c r="C10158" t="s">
        <v>10</v>
      </c>
      <c r="D10158" t="s">
        <v>20415</v>
      </c>
      <c r="E10158" t="s">
        <v>20416</v>
      </c>
      <c r="G10158" s="1">
        <v>2.2999999999999998</v>
      </c>
    </row>
    <row r="10159" spans="1:7" ht="14.25" customHeight="1" x14ac:dyDescent="0.45">
      <c r="A10159" t="str">
        <f>_xlfn.XLOOKUP(B10159,Ingot!$H$12:$H$119,Ingot!$G$12:$G$119,"")</f>
        <v>Leather</v>
      </c>
      <c r="B10159" t="s">
        <v>20332</v>
      </c>
      <c r="C10159" t="s">
        <v>10</v>
      </c>
      <c r="D10159" t="s">
        <v>20417</v>
      </c>
      <c r="E10159" t="s">
        <v>20418</v>
      </c>
      <c r="G10159" s="1">
        <v>4.88</v>
      </c>
    </row>
    <row r="10160" spans="1:7" ht="14.25" customHeight="1" x14ac:dyDescent="0.45">
      <c r="A10160" t="str">
        <f>_xlfn.XLOOKUP(B10160,Ingot!$H$12:$H$119,Ingot!$G$12:$G$119,"")</f>
        <v>Leather</v>
      </c>
      <c r="B10160" t="s">
        <v>20332</v>
      </c>
      <c r="C10160" t="s">
        <v>10</v>
      </c>
      <c r="D10160" t="s">
        <v>20419</v>
      </c>
      <c r="E10160" t="s">
        <v>20420</v>
      </c>
      <c r="G10160" s="1">
        <v>8.43</v>
      </c>
    </row>
    <row r="10161" spans="1:7" ht="14.25" customHeight="1" x14ac:dyDescent="0.45">
      <c r="A10161" t="str">
        <f>_xlfn.XLOOKUP(B10161,Ingot!$H$12:$H$119,Ingot!$G$12:$G$119,"")</f>
        <v>Leather</v>
      </c>
      <c r="B10161" t="s">
        <v>20332</v>
      </c>
      <c r="C10161" t="s">
        <v>10</v>
      </c>
      <c r="D10161" t="s">
        <v>20421</v>
      </c>
      <c r="E10161" t="s">
        <v>20422</v>
      </c>
      <c r="G10161" s="1">
        <v>13.07</v>
      </c>
    </row>
    <row r="10162" spans="1:7" ht="14.25" customHeight="1" x14ac:dyDescent="0.45">
      <c r="A10162" t="str">
        <f>_xlfn.XLOOKUP(B10162,Ingot!$H$12:$H$119,Ingot!$G$12:$G$119,"")</f>
        <v>Leather</v>
      </c>
      <c r="B10162" t="s">
        <v>20332</v>
      </c>
      <c r="C10162" t="s">
        <v>10</v>
      </c>
      <c r="D10162" t="s">
        <v>20423</v>
      </c>
      <c r="E10162" t="s">
        <v>20424</v>
      </c>
    </row>
    <row r="10163" spans="1:7" ht="14.25" customHeight="1" x14ac:dyDescent="0.45">
      <c r="A10163" t="str">
        <f>_xlfn.XLOOKUP(B10163,Ingot!$H$12:$H$119,Ingot!$G$12:$G$119,"")</f>
        <v>Leather</v>
      </c>
      <c r="B10163" t="s">
        <v>20332</v>
      </c>
      <c r="C10163" t="s">
        <v>10</v>
      </c>
      <c r="D10163" t="s">
        <v>20425</v>
      </c>
      <c r="E10163" t="s">
        <v>20426</v>
      </c>
    </row>
    <row r="10164" spans="1:7" ht="14.25" customHeight="1" x14ac:dyDescent="0.45">
      <c r="A10164" t="str">
        <f>_xlfn.XLOOKUP(B10164,Ingot!$H$12:$H$119,Ingot!$G$12:$G$119,"")</f>
        <v>Leather</v>
      </c>
      <c r="B10164" t="s">
        <v>20332</v>
      </c>
      <c r="C10164" t="s">
        <v>10</v>
      </c>
      <c r="D10164" t="s">
        <v>20427</v>
      </c>
      <c r="E10164" t="s">
        <v>20428</v>
      </c>
      <c r="G10164" s="1">
        <v>6.8</v>
      </c>
    </row>
    <row r="10165" spans="1:7" ht="14.25" customHeight="1" x14ac:dyDescent="0.45">
      <c r="A10165" t="str">
        <f>_xlfn.XLOOKUP(B10165,Ingot!$H$12:$H$119,Ingot!$G$12:$G$119,"")</f>
        <v>Leather</v>
      </c>
      <c r="B10165" t="s">
        <v>20332</v>
      </c>
      <c r="C10165" t="s">
        <v>10</v>
      </c>
      <c r="D10165" t="s">
        <v>20429</v>
      </c>
      <c r="E10165" t="s">
        <v>20430</v>
      </c>
      <c r="G10165" s="1">
        <v>6.88</v>
      </c>
    </row>
    <row r="10166" spans="1:7" ht="14.25" customHeight="1" x14ac:dyDescent="0.45">
      <c r="A10166" t="str">
        <f>_xlfn.XLOOKUP(B10166,Ingot!$H$12:$H$119,Ingot!$G$12:$G$119,"")</f>
        <v>Leather</v>
      </c>
      <c r="B10166" t="s">
        <v>20332</v>
      </c>
      <c r="C10166" t="s">
        <v>10</v>
      </c>
      <c r="D10166" t="s">
        <v>20431</v>
      </c>
      <c r="E10166" t="s">
        <v>20432</v>
      </c>
      <c r="G10166" s="1">
        <v>5.5</v>
      </c>
    </row>
    <row r="10167" spans="1:7" ht="14.25" customHeight="1" x14ac:dyDescent="0.45">
      <c r="A10167" t="str">
        <f>_xlfn.XLOOKUP(B10167,Ingot!$H$12:$H$119,Ingot!$G$12:$G$119,"")</f>
        <v>Leather</v>
      </c>
      <c r="B10167" t="s">
        <v>20332</v>
      </c>
      <c r="C10167" t="s">
        <v>10</v>
      </c>
      <c r="D10167" t="s">
        <v>20433</v>
      </c>
      <c r="E10167" t="s">
        <v>20434</v>
      </c>
      <c r="G10167" s="1">
        <v>2.4300000000000002</v>
      </c>
    </row>
    <row r="10168" spans="1:7" ht="14.25" customHeight="1" x14ac:dyDescent="0.45">
      <c r="A10168" t="str">
        <f>_xlfn.XLOOKUP(B10168,Ingot!$H$12:$H$119,Ingot!$G$12:$G$119,"")</f>
        <v>Leather</v>
      </c>
      <c r="B10168" t="s">
        <v>20332</v>
      </c>
      <c r="C10168" t="s">
        <v>10</v>
      </c>
      <c r="D10168" t="s">
        <v>20435</v>
      </c>
      <c r="E10168" t="s">
        <v>20436</v>
      </c>
      <c r="G10168" s="1">
        <v>6.96</v>
      </c>
    </row>
    <row r="10169" spans="1:7" ht="14.25" customHeight="1" x14ac:dyDescent="0.45">
      <c r="A10169" t="str">
        <f>_xlfn.XLOOKUP(B10169,Ingot!$H$12:$H$119,Ingot!$G$12:$G$119,"")</f>
        <v>Leather</v>
      </c>
      <c r="B10169" t="s">
        <v>20332</v>
      </c>
      <c r="C10169" t="s">
        <v>10</v>
      </c>
      <c r="D10169" t="s">
        <v>20437</v>
      </c>
      <c r="E10169" t="s">
        <v>20438</v>
      </c>
      <c r="G10169" s="1">
        <v>6.32</v>
      </c>
    </row>
    <row r="10170" spans="1:7" ht="14.25" customHeight="1" x14ac:dyDescent="0.45">
      <c r="A10170" t="str">
        <f>_xlfn.XLOOKUP(B10170,Ingot!$H$12:$H$119,Ingot!$G$12:$G$119,"")</f>
        <v>Leather</v>
      </c>
      <c r="B10170" t="s">
        <v>20332</v>
      </c>
      <c r="C10170" t="s">
        <v>10</v>
      </c>
      <c r="D10170" t="s">
        <v>20439</v>
      </c>
      <c r="E10170" t="s">
        <v>20440</v>
      </c>
      <c r="G10170" s="1">
        <v>6.88</v>
      </c>
    </row>
    <row r="10171" spans="1:7" ht="14.25" customHeight="1" x14ac:dyDescent="0.45">
      <c r="A10171" t="str">
        <f>_xlfn.XLOOKUP(B10171,Ingot!$H$12:$H$119,Ingot!$G$12:$G$119,"")</f>
        <v>Leather</v>
      </c>
      <c r="B10171" t="s">
        <v>20332</v>
      </c>
      <c r="C10171" t="s">
        <v>10</v>
      </c>
      <c r="D10171" t="s">
        <v>20441</v>
      </c>
      <c r="E10171" t="s">
        <v>20442</v>
      </c>
      <c r="G10171" s="1">
        <v>2.44</v>
      </c>
    </row>
    <row r="10172" spans="1:7" ht="14.25" customHeight="1" x14ac:dyDescent="0.45">
      <c r="A10172" t="str">
        <f>_xlfn.XLOOKUP(B10172,Ingot!$H$12:$H$119,Ingot!$G$12:$G$119,"")</f>
        <v>Leather</v>
      </c>
      <c r="B10172" t="s">
        <v>20332</v>
      </c>
      <c r="C10172" t="s">
        <v>10</v>
      </c>
      <c r="D10172" t="s">
        <v>20443</v>
      </c>
      <c r="E10172" t="s">
        <v>20444</v>
      </c>
    </row>
    <row r="10173" spans="1:7" ht="14.25" customHeight="1" x14ac:dyDescent="0.45">
      <c r="A10173" t="str">
        <f>_xlfn.XLOOKUP(B10173,Ingot!$H$12:$H$119,Ingot!$G$12:$G$119,"")</f>
        <v>Leather</v>
      </c>
      <c r="B10173" t="s">
        <v>20332</v>
      </c>
      <c r="C10173" t="s">
        <v>10</v>
      </c>
      <c r="D10173" t="s">
        <v>20445</v>
      </c>
      <c r="E10173" t="s">
        <v>20446</v>
      </c>
    </row>
    <row r="10174" spans="1:7" ht="14.25" customHeight="1" x14ac:dyDescent="0.45">
      <c r="A10174" t="str">
        <f>_xlfn.XLOOKUP(B10174,Ingot!$H$12:$H$119,Ingot!$G$12:$G$119,"")</f>
        <v>Leather</v>
      </c>
      <c r="B10174" t="s">
        <v>20332</v>
      </c>
      <c r="C10174" t="s">
        <v>10</v>
      </c>
      <c r="D10174" t="s">
        <v>20447</v>
      </c>
      <c r="E10174" t="s">
        <v>20448</v>
      </c>
      <c r="G10174" s="1">
        <v>3.11</v>
      </c>
    </row>
    <row r="10175" spans="1:7" ht="14.25" customHeight="1" x14ac:dyDescent="0.45">
      <c r="A10175" t="str">
        <f>_xlfn.XLOOKUP(B10175,Ingot!$H$12:$H$119,Ingot!$G$12:$G$119,"")</f>
        <v>Leather</v>
      </c>
      <c r="B10175" t="s">
        <v>20332</v>
      </c>
      <c r="C10175" t="s">
        <v>10</v>
      </c>
      <c r="D10175" t="s">
        <v>20449</v>
      </c>
      <c r="E10175" t="s">
        <v>20450</v>
      </c>
      <c r="G10175" s="1">
        <v>2.44</v>
      </c>
    </row>
    <row r="10176" spans="1:7" ht="14.25" customHeight="1" x14ac:dyDescent="0.45">
      <c r="A10176" t="str">
        <f>_xlfn.XLOOKUP(B10176,Ingot!$H$12:$H$119,Ingot!$G$12:$G$119,"")</f>
        <v>Leather</v>
      </c>
      <c r="B10176" t="s">
        <v>20332</v>
      </c>
      <c r="C10176" t="s">
        <v>10</v>
      </c>
      <c r="D10176" t="s">
        <v>20451</v>
      </c>
      <c r="E10176" t="s">
        <v>20452</v>
      </c>
      <c r="G10176" s="1">
        <v>8.61</v>
      </c>
    </row>
    <row r="10177" spans="1:7" ht="14.25" customHeight="1" x14ac:dyDescent="0.45">
      <c r="A10177" t="str">
        <f>_xlfn.XLOOKUP(B10177,Ingot!$H$12:$H$119,Ingot!$G$12:$G$119,"")</f>
        <v>Leather</v>
      </c>
      <c r="B10177" t="s">
        <v>20332</v>
      </c>
      <c r="C10177" t="s">
        <v>10</v>
      </c>
      <c r="D10177" t="s">
        <v>20453</v>
      </c>
      <c r="E10177" t="s">
        <v>20454</v>
      </c>
    </row>
    <row r="10178" spans="1:7" ht="14.25" customHeight="1" x14ac:dyDescent="0.45">
      <c r="A10178" t="str">
        <f>_xlfn.XLOOKUP(B10178,Ingot!$H$12:$H$119,Ingot!$G$12:$G$119,"")</f>
        <v>Leather</v>
      </c>
      <c r="B10178" t="s">
        <v>20332</v>
      </c>
      <c r="C10178" t="s">
        <v>10</v>
      </c>
      <c r="D10178" t="s">
        <v>20455</v>
      </c>
      <c r="E10178" t="s">
        <v>20456</v>
      </c>
      <c r="G10178" s="1">
        <v>3.21</v>
      </c>
    </row>
    <row r="10179" spans="1:7" ht="14.25" customHeight="1" x14ac:dyDescent="0.45">
      <c r="A10179" t="str">
        <f>_xlfn.XLOOKUP(B10179,Ingot!$H$12:$H$119,Ingot!$G$12:$G$119,"")</f>
        <v>Leather</v>
      </c>
      <c r="B10179" t="s">
        <v>20332</v>
      </c>
      <c r="C10179" t="s">
        <v>10</v>
      </c>
      <c r="D10179" t="s">
        <v>20457</v>
      </c>
      <c r="E10179" t="s">
        <v>20458</v>
      </c>
      <c r="G10179" s="1">
        <v>2.77</v>
      </c>
    </row>
    <row r="10180" spans="1:7" ht="14.25" customHeight="1" x14ac:dyDescent="0.45">
      <c r="A10180" t="str">
        <f>_xlfn.XLOOKUP(B10180,Ingot!$H$12:$H$119,Ingot!$G$12:$G$119,"")</f>
        <v>Leather</v>
      </c>
      <c r="B10180" t="s">
        <v>20332</v>
      </c>
      <c r="C10180" t="s">
        <v>10</v>
      </c>
      <c r="D10180" t="s">
        <v>20459</v>
      </c>
      <c r="E10180" t="s">
        <v>20460</v>
      </c>
      <c r="G10180" s="1">
        <v>4.8899999999999997</v>
      </c>
    </row>
    <row r="10181" spans="1:7" ht="14.25" customHeight="1" x14ac:dyDescent="0.45">
      <c r="A10181" t="str">
        <f>_xlfn.XLOOKUP(B10181,Ingot!$H$12:$H$119,Ingot!$G$12:$G$119,"")</f>
        <v>Leather</v>
      </c>
      <c r="B10181" t="s">
        <v>20332</v>
      </c>
      <c r="C10181" t="s">
        <v>10</v>
      </c>
      <c r="D10181" t="s">
        <v>20461</v>
      </c>
      <c r="E10181" t="s">
        <v>20462</v>
      </c>
      <c r="G10181" s="1">
        <v>1.76</v>
      </c>
    </row>
    <row r="10182" spans="1:7" ht="14.25" customHeight="1" x14ac:dyDescent="0.45">
      <c r="A10182" t="str">
        <f>_xlfn.XLOOKUP(B10182,Ingot!$H$12:$H$119,Ingot!$G$12:$G$119,"")</f>
        <v>Leather</v>
      </c>
      <c r="B10182" t="s">
        <v>20332</v>
      </c>
      <c r="C10182" t="s">
        <v>10</v>
      </c>
      <c r="D10182" t="s">
        <v>20463</v>
      </c>
      <c r="E10182" t="s">
        <v>20464</v>
      </c>
    </row>
    <row r="10183" spans="1:7" ht="14.25" customHeight="1" x14ac:dyDescent="0.45">
      <c r="A10183" t="str">
        <f>_xlfn.XLOOKUP(B10183,Ingot!$H$12:$H$119,Ingot!$G$12:$G$119,"")</f>
        <v>Leather</v>
      </c>
      <c r="B10183" t="s">
        <v>20332</v>
      </c>
      <c r="C10183" t="s">
        <v>10</v>
      </c>
      <c r="D10183" t="s">
        <v>20465</v>
      </c>
      <c r="E10183" t="s">
        <v>20466</v>
      </c>
      <c r="G10183" s="1">
        <v>8.57</v>
      </c>
    </row>
    <row r="10184" spans="1:7" ht="14.25" customHeight="1" x14ac:dyDescent="0.45">
      <c r="A10184" t="str">
        <f>_xlfn.XLOOKUP(B10184,Ingot!$H$12:$H$119,Ingot!$G$12:$G$119,"")</f>
        <v>Leather</v>
      </c>
      <c r="B10184" t="s">
        <v>20332</v>
      </c>
      <c r="C10184" t="s">
        <v>10</v>
      </c>
      <c r="D10184" t="s">
        <v>20467</v>
      </c>
      <c r="E10184" t="s">
        <v>20468</v>
      </c>
    </row>
    <row r="10185" spans="1:7" ht="14.25" customHeight="1" x14ac:dyDescent="0.45">
      <c r="A10185" t="str">
        <f>_xlfn.XLOOKUP(B10185,Ingot!$H$12:$H$119,Ingot!$G$12:$G$119,"")</f>
        <v>Leather</v>
      </c>
      <c r="B10185" t="s">
        <v>20332</v>
      </c>
      <c r="C10185" t="s">
        <v>10</v>
      </c>
      <c r="D10185" t="s">
        <v>20469</v>
      </c>
      <c r="E10185" t="s">
        <v>20470</v>
      </c>
      <c r="G10185" s="1">
        <v>3.56</v>
      </c>
    </row>
    <row r="10186" spans="1:7" ht="14.25" customHeight="1" x14ac:dyDescent="0.45">
      <c r="A10186" t="str">
        <f>_xlfn.XLOOKUP(B10186,Ingot!$H$12:$H$119,Ingot!$G$12:$G$119,"")</f>
        <v>Leather</v>
      </c>
      <c r="B10186" t="s">
        <v>20332</v>
      </c>
      <c r="C10186" t="s">
        <v>10</v>
      </c>
      <c r="D10186" t="s">
        <v>20471</v>
      </c>
      <c r="E10186" t="s">
        <v>20472</v>
      </c>
      <c r="G10186" s="1">
        <v>8.91</v>
      </c>
    </row>
    <row r="10187" spans="1:7" ht="14.25" customHeight="1" x14ac:dyDescent="0.45">
      <c r="A10187" t="str">
        <f>_xlfn.XLOOKUP(B10187,Ingot!$H$12:$H$119,Ingot!$G$12:$G$119,"")</f>
        <v>Leather</v>
      </c>
      <c r="B10187" t="s">
        <v>20332</v>
      </c>
      <c r="C10187" t="s">
        <v>10</v>
      </c>
      <c r="D10187" t="s">
        <v>20473</v>
      </c>
      <c r="E10187" t="s">
        <v>20474</v>
      </c>
      <c r="G10187" s="1">
        <v>11.02</v>
      </c>
    </row>
    <row r="10188" spans="1:7" ht="14.25" customHeight="1" x14ac:dyDescent="0.45">
      <c r="A10188" t="str">
        <f>_xlfn.XLOOKUP(B10188,Ingot!$H$12:$H$119,Ingot!$G$12:$G$119,"")</f>
        <v>Leather</v>
      </c>
      <c r="B10188" t="s">
        <v>20332</v>
      </c>
      <c r="C10188" t="s">
        <v>10</v>
      </c>
      <c r="D10188" t="s">
        <v>20475</v>
      </c>
      <c r="E10188" t="s">
        <v>20476</v>
      </c>
      <c r="G10188" s="1">
        <v>5.12</v>
      </c>
    </row>
    <row r="10189" spans="1:7" ht="14.25" customHeight="1" x14ac:dyDescent="0.45">
      <c r="A10189" t="str">
        <f>_xlfn.XLOOKUP(B10189,Ingot!$H$12:$H$119,Ingot!$G$12:$G$119,"")</f>
        <v>Leather</v>
      </c>
      <c r="B10189" t="s">
        <v>20332</v>
      </c>
      <c r="C10189" t="s">
        <v>10</v>
      </c>
      <c r="D10189" t="s">
        <v>20477</v>
      </c>
      <c r="E10189" t="s">
        <v>20478</v>
      </c>
      <c r="G10189" s="1">
        <v>4.41</v>
      </c>
    </row>
    <row r="10190" spans="1:7" ht="14.25" customHeight="1" x14ac:dyDescent="0.45">
      <c r="A10190" t="str">
        <f>_xlfn.XLOOKUP(B10190,Ingot!$H$12:$H$119,Ingot!$G$12:$G$119,"")</f>
        <v>Leather</v>
      </c>
      <c r="B10190" t="s">
        <v>20332</v>
      </c>
      <c r="C10190" t="s">
        <v>157</v>
      </c>
      <c r="D10190" t="s">
        <v>20479</v>
      </c>
      <c r="E10190" t="s">
        <v>20480</v>
      </c>
      <c r="F10190" t="s">
        <v>180</v>
      </c>
      <c r="G10190" s="1">
        <v>17.52</v>
      </c>
    </row>
    <row r="10191" spans="1:7" ht="14.25" customHeight="1" x14ac:dyDescent="0.45">
      <c r="A10191" t="str">
        <f>_xlfn.XLOOKUP(B10191,Ingot!$H$12:$H$119,Ingot!$G$12:$G$119,"")</f>
        <v>Leather</v>
      </c>
      <c r="B10191" t="s">
        <v>20332</v>
      </c>
      <c r="C10191" t="s">
        <v>157</v>
      </c>
      <c r="D10191" t="s">
        <v>20481</v>
      </c>
      <c r="E10191" t="s">
        <v>20482</v>
      </c>
      <c r="F10191" t="s">
        <v>180</v>
      </c>
      <c r="G10191" s="1">
        <v>5</v>
      </c>
    </row>
    <row r="10192" spans="1:7" ht="14.25" customHeight="1" x14ac:dyDescent="0.45">
      <c r="A10192" t="str">
        <f>_xlfn.XLOOKUP(B10192,Ingot!$H$12:$H$119,Ingot!$G$12:$G$119,"")</f>
        <v>Leather</v>
      </c>
      <c r="B10192" t="s">
        <v>20332</v>
      </c>
      <c r="C10192" t="s">
        <v>157</v>
      </c>
      <c r="D10192" t="s">
        <v>20483</v>
      </c>
      <c r="E10192" t="s">
        <v>20484</v>
      </c>
      <c r="F10192" t="s">
        <v>180</v>
      </c>
      <c r="G10192" s="1">
        <v>5</v>
      </c>
    </row>
    <row r="10193" spans="1:7" ht="14.25" customHeight="1" x14ac:dyDescent="0.45">
      <c r="A10193" t="str">
        <f>_xlfn.XLOOKUP(B10193,Ingot!$H$12:$H$119,Ingot!$G$12:$G$119,"")</f>
        <v>Leather</v>
      </c>
      <c r="B10193" t="s">
        <v>20332</v>
      </c>
      <c r="C10193" t="s">
        <v>157</v>
      </c>
      <c r="D10193" t="s">
        <v>20485</v>
      </c>
      <c r="E10193" t="s">
        <v>20486</v>
      </c>
      <c r="F10193" t="s">
        <v>180</v>
      </c>
      <c r="G10193" s="1">
        <v>5</v>
      </c>
    </row>
    <row r="10194" spans="1:7" ht="14.25" customHeight="1" x14ac:dyDescent="0.45">
      <c r="A10194" t="str">
        <f>_xlfn.XLOOKUP(B10194,Ingot!$H$12:$H$119,Ingot!$G$12:$G$119,"")</f>
        <v>Leather</v>
      </c>
      <c r="B10194" t="s">
        <v>20332</v>
      </c>
      <c r="C10194" t="s">
        <v>157</v>
      </c>
      <c r="D10194" t="s">
        <v>20487</v>
      </c>
      <c r="E10194" t="s">
        <v>20488</v>
      </c>
      <c r="F10194" t="s">
        <v>180</v>
      </c>
      <c r="G10194" s="1">
        <v>10</v>
      </c>
    </row>
    <row r="10195" spans="1:7" ht="14.25" customHeight="1" x14ac:dyDescent="0.45">
      <c r="A10195" t="str">
        <f>_xlfn.XLOOKUP(B10195,Ingot!$H$12:$H$119,Ingot!$G$12:$G$119,"")</f>
        <v>Leather</v>
      </c>
      <c r="B10195" t="s">
        <v>20332</v>
      </c>
      <c r="C10195" t="s">
        <v>157</v>
      </c>
      <c r="D10195" t="s">
        <v>20489</v>
      </c>
      <c r="E10195" t="s">
        <v>20490</v>
      </c>
      <c r="F10195" t="s">
        <v>180</v>
      </c>
      <c r="G10195" s="1">
        <v>14.82</v>
      </c>
    </row>
    <row r="10196" spans="1:7" ht="14.25" customHeight="1" x14ac:dyDescent="0.45">
      <c r="A10196" t="str">
        <f>_xlfn.XLOOKUP(B10196,Ingot!$H$12:$H$119,Ingot!$G$12:$G$119,"")</f>
        <v>Leather</v>
      </c>
      <c r="B10196" t="s">
        <v>20332</v>
      </c>
      <c r="C10196" t="s">
        <v>157</v>
      </c>
      <c r="D10196" t="s">
        <v>20491</v>
      </c>
      <c r="E10196" t="s">
        <v>20492</v>
      </c>
      <c r="F10196" t="s">
        <v>180</v>
      </c>
      <c r="G10196" s="1">
        <v>5</v>
      </c>
    </row>
    <row r="10197" spans="1:7" ht="14.25" customHeight="1" x14ac:dyDescent="0.45">
      <c r="A10197" t="str">
        <f>_xlfn.XLOOKUP(B10197,Ingot!$H$12:$H$119,Ingot!$G$12:$G$119,"")</f>
        <v>Leather</v>
      </c>
      <c r="B10197" t="s">
        <v>20332</v>
      </c>
      <c r="C10197" t="s">
        <v>157</v>
      </c>
      <c r="D10197" t="s">
        <v>20493</v>
      </c>
      <c r="E10197" t="s">
        <v>20494</v>
      </c>
      <c r="F10197" t="s">
        <v>180</v>
      </c>
      <c r="G10197" s="1">
        <v>5</v>
      </c>
    </row>
    <row r="10198" spans="1:7" ht="14.25" customHeight="1" x14ac:dyDescent="0.45">
      <c r="A10198" t="str">
        <f>_xlfn.XLOOKUP(B10198,Ingot!$H$12:$H$119,Ingot!$G$12:$G$119,"")</f>
        <v>Leather</v>
      </c>
      <c r="B10198" t="s">
        <v>20332</v>
      </c>
      <c r="C10198" t="s">
        <v>157</v>
      </c>
      <c r="D10198" t="s">
        <v>20495</v>
      </c>
      <c r="E10198" t="s">
        <v>20496</v>
      </c>
      <c r="F10198" t="s">
        <v>180</v>
      </c>
      <c r="G10198" s="1">
        <v>5</v>
      </c>
    </row>
    <row r="10199" spans="1:7" ht="14.25" customHeight="1" x14ac:dyDescent="0.45">
      <c r="A10199" t="str">
        <f>_xlfn.XLOOKUP(B10199,Ingot!$H$12:$H$119,Ingot!$G$12:$G$119,"")</f>
        <v>Leather</v>
      </c>
      <c r="B10199" t="s">
        <v>20332</v>
      </c>
      <c r="C10199" t="s">
        <v>157</v>
      </c>
      <c r="D10199" t="s">
        <v>20497</v>
      </c>
      <c r="E10199" t="s">
        <v>20498</v>
      </c>
      <c r="F10199" t="s">
        <v>180</v>
      </c>
      <c r="G10199" s="1">
        <v>10</v>
      </c>
    </row>
    <row r="10200" spans="1:7" ht="14.25" customHeight="1" x14ac:dyDescent="0.45">
      <c r="A10200" t="str">
        <f>_xlfn.XLOOKUP(B10200,Ingot!$H$12:$H$119,Ingot!$G$12:$G$119,"")</f>
        <v>Leather</v>
      </c>
      <c r="B10200" t="s">
        <v>20332</v>
      </c>
      <c r="C10200" t="s">
        <v>157</v>
      </c>
      <c r="D10200" t="s">
        <v>20499</v>
      </c>
      <c r="E10200" t="s">
        <v>20500</v>
      </c>
      <c r="G10200" s="1">
        <v>14.32</v>
      </c>
    </row>
    <row r="10201" spans="1:7" ht="14.25" customHeight="1" x14ac:dyDescent="0.45">
      <c r="A10201" t="str">
        <f>_xlfn.XLOOKUP(B10201,Ingot!$H$12:$H$119,Ingot!$G$12:$G$119,"")</f>
        <v>Leather</v>
      </c>
      <c r="B10201" t="s">
        <v>20332</v>
      </c>
      <c r="C10201" t="s">
        <v>157</v>
      </c>
      <c r="D10201" t="s">
        <v>20501</v>
      </c>
      <c r="E10201" t="s">
        <v>20502</v>
      </c>
      <c r="G10201" s="1">
        <v>5</v>
      </c>
    </row>
    <row r="10202" spans="1:7" ht="14.25" customHeight="1" x14ac:dyDescent="0.45">
      <c r="A10202" t="str">
        <f>_xlfn.XLOOKUP(B10202,Ingot!$H$12:$H$119,Ingot!$G$12:$G$119,"")</f>
        <v>Leather</v>
      </c>
      <c r="B10202" t="s">
        <v>20332</v>
      </c>
      <c r="C10202" t="s">
        <v>157</v>
      </c>
      <c r="D10202" t="s">
        <v>20503</v>
      </c>
      <c r="E10202" t="s">
        <v>20504</v>
      </c>
      <c r="G10202" s="1">
        <v>5</v>
      </c>
    </row>
    <row r="10203" spans="1:7" ht="14.25" customHeight="1" x14ac:dyDescent="0.45">
      <c r="A10203" t="str">
        <f>_xlfn.XLOOKUP(B10203,Ingot!$H$12:$H$119,Ingot!$G$12:$G$119,"")</f>
        <v>Leather</v>
      </c>
      <c r="B10203" t="s">
        <v>20332</v>
      </c>
      <c r="C10203" t="s">
        <v>157</v>
      </c>
      <c r="D10203" t="s">
        <v>20505</v>
      </c>
      <c r="E10203" t="s">
        <v>20506</v>
      </c>
      <c r="G10203" s="1">
        <v>5</v>
      </c>
    </row>
    <row r="10204" spans="1:7" ht="14.25" customHeight="1" x14ac:dyDescent="0.45">
      <c r="A10204" t="str">
        <f>_xlfn.XLOOKUP(B10204,Ingot!$H$12:$H$119,Ingot!$G$12:$G$119,"")</f>
        <v>Leather</v>
      </c>
      <c r="B10204" t="s">
        <v>20332</v>
      </c>
      <c r="C10204" t="s">
        <v>157</v>
      </c>
      <c r="D10204" t="s">
        <v>20507</v>
      </c>
      <c r="E10204" t="s">
        <v>20508</v>
      </c>
      <c r="G10204" s="1">
        <v>10</v>
      </c>
    </row>
    <row r="10205" spans="1:7" ht="14.25" customHeight="1" x14ac:dyDescent="0.45">
      <c r="A10205" t="str">
        <f>_xlfn.XLOOKUP(B10205,Ingot!$H$12:$H$119,Ingot!$G$12:$G$119,"")</f>
        <v>Leather</v>
      </c>
      <c r="B10205" t="s">
        <v>20332</v>
      </c>
      <c r="C10205" t="s">
        <v>157</v>
      </c>
      <c r="D10205" t="s">
        <v>20509</v>
      </c>
      <c r="E10205" t="s">
        <v>20510</v>
      </c>
      <c r="F10205" t="s">
        <v>180</v>
      </c>
      <c r="G10205" s="1">
        <v>15.52</v>
      </c>
    </row>
    <row r="10206" spans="1:7" ht="14.25" customHeight="1" x14ac:dyDescent="0.45">
      <c r="A10206" t="str">
        <f>_xlfn.XLOOKUP(B10206,Ingot!$H$12:$H$119,Ingot!$G$12:$G$119,"")</f>
        <v>Leather</v>
      </c>
      <c r="B10206" t="s">
        <v>20332</v>
      </c>
      <c r="C10206" t="s">
        <v>157</v>
      </c>
      <c r="D10206" t="s">
        <v>20511</v>
      </c>
      <c r="E10206" t="s">
        <v>20512</v>
      </c>
      <c r="F10206" t="s">
        <v>180</v>
      </c>
      <c r="G10206" s="1">
        <v>5</v>
      </c>
    </row>
    <row r="10207" spans="1:7" ht="14.25" customHeight="1" x14ac:dyDescent="0.45">
      <c r="A10207" t="str">
        <f>_xlfn.XLOOKUP(B10207,Ingot!$H$12:$H$119,Ingot!$G$12:$G$119,"")</f>
        <v>Leather</v>
      </c>
      <c r="B10207" t="s">
        <v>20332</v>
      </c>
      <c r="C10207" t="s">
        <v>157</v>
      </c>
      <c r="D10207" t="s">
        <v>20513</v>
      </c>
      <c r="E10207" t="s">
        <v>20514</v>
      </c>
      <c r="F10207" t="s">
        <v>180</v>
      </c>
      <c r="G10207" s="1">
        <v>5</v>
      </c>
    </row>
    <row r="10208" spans="1:7" ht="14.25" customHeight="1" x14ac:dyDescent="0.45">
      <c r="A10208" t="str">
        <f>_xlfn.XLOOKUP(B10208,Ingot!$H$12:$H$119,Ingot!$G$12:$G$119,"")</f>
        <v>Leather</v>
      </c>
      <c r="B10208" t="s">
        <v>20332</v>
      </c>
      <c r="C10208" t="s">
        <v>157</v>
      </c>
      <c r="D10208" t="s">
        <v>20515</v>
      </c>
      <c r="E10208" t="s">
        <v>20516</v>
      </c>
      <c r="F10208" t="s">
        <v>180</v>
      </c>
      <c r="G10208" s="1">
        <v>5</v>
      </c>
    </row>
    <row r="10209" spans="1:7" ht="14.25" customHeight="1" x14ac:dyDescent="0.45">
      <c r="A10209" t="str">
        <f>_xlfn.XLOOKUP(B10209,Ingot!$H$12:$H$119,Ingot!$G$12:$G$119,"")</f>
        <v>Leather</v>
      </c>
      <c r="B10209" t="s">
        <v>20332</v>
      </c>
      <c r="C10209" t="s">
        <v>157</v>
      </c>
      <c r="D10209" t="s">
        <v>20517</v>
      </c>
      <c r="E10209" t="s">
        <v>20518</v>
      </c>
      <c r="F10209" t="s">
        <v>180</v>
      </c>
      <c r="G10209" s="1">
        <v>10</v>
      </c>
    </row>
    <row r="10210" spans="1:7" ht="14.25" customHeight="1" x14ac:dyDescent="0.45">
      <c r="A10210" t="str">
        <f>_xlfn.XLOOKUP(B10210,Ingot!$H$12:$H$119,Ingot!$G$12:$G$119,"")</f>
        <v>Leather</v>
      </c>
      <c r="B10210" t="s">
        <v>20332</v>
      </c>
      <c r="C10210" t="s">
        <v>157</v>
      </c>
      <c r="D10210" t="s">
        <v>20519</v>
      </c>
      <c r="E10210" t="s">
        <v>20520</v>
      </c>
      <c r="F10210" t="s">
        <v>180</v>
      </c>
      <c r="G10210" s="1">
        <v>16.52</v>
      </c>
    </row>
    <row r="10211" spans="1:7" ht="14.25" customHeight="1" x14ac:dyDescent="0.45">
      <c r="A10211" t="str">
        <f>_xlfn.XLOOKUP(B10211,Ingot!$H$12:$H$119,Ingot!$G$12:$G$119,"")</f>
        <v>Leather</v>
      </c>
      <c r="B10211" t="s">
        <v>20332</v>
      </c>
      <c r="C10211" t="s">
        <v>157</v>
      </c>
      <c r="D10211" t="s">
        <v>20521</v>
      </c>
      <c r="E10211" t="s">
        <v>20522</v>
      </c>
      <c r="G10211" s="1">
        <v>5</v>
      </c>
    </row>
    <row r="10212" spans="1:7" ht="14.25" customHeight="1" x14ac:dyDescent="0.45">
      <c r="A10212" t="str">
        <f>_xlfn.XLOOKUP(B10212,Ingot!$H$12:$H$119,Ingot!$G$12:$G$119,"")</f>
        <v>Leather</v>
      </c>
      <c r="B10212" t="s">
        <v>20332</v>
      </c>
      <c r="C10212" t="s">
        <v>157</v>
      </c>
      <c r="D10212" t="s">
        <v>20523</v>
      </c>
      <c r="E10212" t="s">
        <v>20524</v>
      </c>
      <c r="G10212" s="1">
        <v>5</v>
      </c>
    </row>
    <row r="10213" spans="1:7" ht="14.25" customHeight="1" x14ac:dyDescent="0.45">
      <c r="A10213" t="str">
        <f>_xlfn.XLOOKUP(B10213,Ingot!$H$12:$H$119,Ingot!$G$12:$G$119,"")</f>
        <v>Leather</v>
      </c>
      <c r="B10213" t="s">
        <v>20332</v>
      </c>
      <c r="C10213" t="s">
        <v>157</v>
      </c>
      <c r="D10213" t="s">
        <v>20525</v>
      </c>
      <c r="E10213" t="s">
        <v>20526</v>
      </c>
      <c r="G10213" s="1">
        <v>5</v>
      </c>
    </row>
    <row r="10214" spans="1:7" ht="14.25" customHeight="1" x14ac:dyDescent="0.45">
      <c r="A10214" t="str">
        <f>_xlfn.XLOOKUP(B10214,Ingot!$H$12:$H$119,Ingot!$G$12:$G$119,"")</f>
        <v>Leather</v>
      </c>
      <c r="B10214" t="s">
        <v>20332</v>
      </c>
      <c r="C10214" t="s">
        <v>157</v>
      </c>
      <c r="D10214" t="s">
        <v>20527</v>
      </c>
      <c r="E10214" t="s">
        <v>20528</v>
      </c>
      <c r="F10214" t="s">
        <v>180</v>
      </c>
      <c r="G10214" s="1">
        <v>10</v>
      </c>
    </row>
    <row r="10215" spans="1:7" ht="14.25" customHeight="1" x14ac:dyDescent="0.45">
      <c r="A10215" t="str">
        <f>_xlfn.XLOOKUP(B10215,Ingot!$H$12:$H$119,Ingot!$G$12:$G$119,"")</f>
        <v>Leather</v>
      </c>
      <c r="B10215" t="s">
        <v>20332</v>
      </c>
      <c r="C10215" t="s">
        <v>157</v>
      </c>
      <c r="D10215" t="s">
        <v>20529</v>
      </c>
      <c r="E10215" t="s">
        <v>20530</v>
      </c>
      <c r="F10215" t="s">
        <v>180</v>
      </c>
      <c r="G10215" s="1">
        <v>19.52</v>
      </c>
    </row>
    <row r="10216" spans="1:7" ht="14.25" customHeight="1" x14ac:dyDescent="0.45">
      <c r="A10216" t="str">
        <f>_xlfn.XLOOKUP(B10216,Ingot!$H$12:$H$119,Ingot!$G$12:$G$119,"")</f>
        <v>Leather</v>
      </c>
      <c r="B10216" t="s">
        <v>20332</v>
      </c>
      <c r="C10216" t="s">
        <v>157</v>
      </c>
      <c r="D10216" t="s">
        <v>20531</v>
      </c>
      <c r="E10216" t="s">
        <v>20532</v>
      </c>
      <c r="F10216" t="s">
        <v>180</v>
      </c>
      <c r="G10216" s="1">
        <v>5</v>
      </c>
    </row>
    <row r="10217" spans="1:7" ht="14.25" customHeight="1" x14ac:dyDescent="0.45">
      <c r="A10217" t="str">
        <f>_xlfn.XLOOKUP(B10217,Ingot!$H$12:$H$119,Ingot!$G$12:$G$119,"")</f>
        <v>Leather</v>
      </c>
      <c r="B10217" t="s">
        <v>20332</v>
      </c>
      <c r="C10217" t="s">
        <v>157</v>
      </c>
      <c r="D10217" t="s">
        <v>20533</v>
      </c>
      <c r="E10217" t="s">
        <v>20534</v>
      </c>
      <c r="F10217" t="s">
        <v>180</v>
      </c>
      <c r="G10217" s="1">
        <v>5</v>
      </c>
    </row>
    <row r="10218" spans="1:7" ht="14.25" customHeight="1" x14ac:dyDescent="0.45">
      <c r="A10218" t="str">
        <f>_xlfn.XLOOKUP(B10218,Ingot!$H$12:$H$119,Ingot!$G$12:$G$119,"")</f>
        <v>Leather</v>
      </c>
      <c r="B10218" t="s">
        <v>20332</v>
      </c>
      <c r="C10218" t="s">
        <v>157</v>
      </c>
      <c r="D10218" t="s">
        <v>20535</v>
      </c>
      <c r="E10218" t="s">
        <v>20536</v>
      </c>
      <c r="F10218" t="s">
        <v>180</v>
      </c>
      <c r="G10218" s="1">
        <v>5</v>
      </c>
    </row>
    <row r="10219" spans="1:7" ht="14.25" customHeight="1" x14ac:dyDescent="0.45">
      <c r="A10219" t="str">
        <f>_xlfn.XLOOKUP(B10219,Ingot!$H$12:$H$119,Ingot!$G$12:$G$119,"")</f>
        <v>Leather</v>
      </c>
      <c r="B10219" t="s">
        <v>20332</v>
      </c>
      <c r="C10219" t="s">
        <v>157</v>
      </c>
      <c r="D10219" t="s">
        <v>20537</v>
      </c>
      <c r="E10219" t="s">
        <v>20538</v>
      </c>
      <c r="F10219" t="s">
        <v>180</v>
      </c>
      <c r="G10219" s="1">
        <v>10</v>
      </c>
    </row>
    <row r="10220" spans="1:7" ht="14.25" customHeight="1" x14ac:dyDescent="0.45">
      <c r="A10220" t="str">
        <f>_xlfn.XLOOKUP(B10220,Ingot!$H$12:$H$119,Ingot!$G$12:$G$119,"")</f>
        <v>Leather</v>
      </c>
      <c r="B10220" t="s">
        <v>20332</v>
      </c>
      <c r="C10220" t="s">
        <v>157</v>
      </c>
      <c r="D10220" t="s">
        <v>20539</v>
      </c>
      <c r="E10220" t="s">
        <v>20540</v>
      </c>
      <c r="F10220" t="s">
        <v>180</v>
      </c>
      <c r="G10220" s="1">
        <v>18.52</v>
      </c>
    </row>
    <row r="10221" spans="1:7" ht="14.25" customHeight="1" x14ac:dyDescent="0.45">
      <c r="A10221" t="str">
        <f>_xlfn.XLOOKUP(B10221,Ingot!$H$12:$H$119,Ingot!$G$12:$G$119,"")</f>
        <v>Leather</v>
      </c>
      <c r="B10221" t="s">
        <v>20332</v>
      </c>
      <c r="C10221" t="s">
        <v>157</v>
      </c>
      <c r="D10221" t="s">
        <v>20541</v>
      </c>
      <c r="E10221" t="s">
        <v>20542</v>
      </c>
      <c r="F10221" t="s">
        <v>180</v>
      </c>
      <c r="G10221" s="1">
        <v>5</v>
      </c>
    </row>
    <row r="10222" spans="1:7" ht="14.25" customHeight="1" x14ac:dyDescent="0.45">
      <c r="A10222" t="str">
        <f>_xlfn.XLOOKUP(B10222,Ingot!$H$12:$H$119,Ingot!$G$12:$G$119,"")</f>
        <v>Leather</v>
      </c>
      <c r="B10222" t="s">
        <v>20332</v>
      </c>
      <c r="C10222" t="s">
        <v>157</v>
      </c>
      <c r="D10222" t="s">
        <v>20543</v>
      </c>
      <c r="E10222" t="s">
        <v>20544</v>
      </c>
      <c r="F10222" t="s">
        <v>180</v>
      </c>
      <c r="G10222" s="1">
        <v>5</v>
      </c>
    </row>
    <row r="10223" spans="1:7" ht="14.25" customHeight="1" x14ac:dyDescent="0.45">
      <c r="A10223" t="str">
        <f>_xlfn.XLOOKUP(B10223,Ingot!$H$12:$H$119,Ingot!$G$12:$G$119,"")</f>
        <v>Leather</v>
      </c>
      <c r="B10223" t="s">
        <v>20332</v>
      </c>
      <c r="C10223" t="s">
        <v>157</v>
      </c>
      <c r="D10223" t="s">
        <v>20545</v>
      </c>
      <c r="E10223" t="s">
        <v>20546</v>
      </c>
      <c r="F10223" t="s">
        <v>180</v>
      </c>
      <c r="G10223" s="1">
        <v>5</v>
      </c>
    </row>
    <row r="10224" spans="1:7" ht="14.25" customHeight="1" x14ac:dyDescent="0.45">
      <c r="A10224" t="str">
        <f>_xlfn.XLOOKUP(B10224,Ingot!$H$12:$H$119,Ingot!$G$12:$G$119,"")</f>
        <v>Leather</v>
      </c>
      <c r="B10224" t="s">
        <v>20332</v>
      </c>
      <c r="C10224" t="s">
        <v>157</v>
      </c>
      <c r="D10224" t="s">
        <v>20547</v>
      </c>
      <c r="E10224" t="s">
        <v>20548</v>
      </c>
      <c r="F10224" t="s">
        <v>180</v>
      </c>
      <c r="G10224" s="1">
        <v>10</v>
      </c>
    </row>
    <row r="10225" spans="1:7" ht="14.25" customHeight="1" x14ac:dyDescent="0.45">
      <c r="A10225" t="str">
        <f>_xlfn.XLOOKUP(B10225,Ingot!$H$12:$H$119,Ingot!$G$12:$G$119,"")</f>
        <v>Leather</v>
      </c>
      <c r="B10225" t="s">
        <v>20332</v>
      </c>
      <c r="C10225" t="s">
        <v>157</v>
      </c>
      <c r="D10225" t="s">
        <v>20549</v>
      </c>
      <c r="E10225" t="s">
        <v>20550</v>
      </c>
      <c r="G10225" s="1">
        <v>14.12</v>
      </c>
    </row>
    <row r="10226" spans="1:7" ht="14.25" customHeight="1" x14ac:dyDescent="0.45">
      <c r="A10226" t="str">
        <f>_xlfn.XLOOKUP(B10226,Ingot!$H$12:$H$119,Ingot!$G$12:$G$119,"")</f>
        <v>Leather</v>
      </c>
      <c r="B10226" t="s">
        <v>20332</v>
      </c>
      <c r="C10226" t="s">
        <v>157</v>
      </c>
      <c r="D10226" t="s">
        <v>20551</v>
      </c>
      <c r="E10226" t="s">
        <v>20552</v>
      </c>
      <c r="G10226" s="1">
        <v>5</v>
      </c>
    </row>
    <row r="10227" spans="1:7" ht="14.25" customHeight="1" x14ac:dyDescent="0.45">
      <c r="A10227" t="str">
        <f>_xlfn.XLOOKUP(B10227,Ingot!$H$12:$H$119,Ingot!$G$12:$G$119,"")</f>
        <v>Leather</v>
      </c>
      <c r="B10227" t="s">
        <v>20332</v>
      </c>
      <c r="C10227" t="s">
        <v>157</v>
      </c>
      <c r="D10227" t="s">
        <v>20553</v>
      </c>
      <c r="E10227" t="s">
        <v>20554</v>
      </c>
      <c r="G10227" s="1">
        <v>5</v>
      </c>
    </row>
    <row r="10228" spans="1:7" ht="14.25" customHeight="1" x14ac:dyDescent="0.45">
      <c r="A10228" t="str">
        <f>_xlfn.XLOOKUP(B10228,Ingot!$H$12:$H$119,Ingot!$G$12:$G$119,"")</f>
        <v>Leather</v>
      </c>
      <c r="B10228" t="s">
        <v>20332</v>
      </c>
      <c r="C10228" t="s">
        <v>157</v>
      </c>
      <c r="D10228" t="s">
        <v>20555</v>
      </c>
      <c r="E10228" t="s">
        <v>20556</v>
      </c>
      <c r="G10228" s="1">
        <v>5</v>
      </c>
    </row>
    <row r="10229" spans="1:7" ht="14.25" customHeight="1" x14ac:dyDescent="0.45">
      <c r="A10229" t="str">
        <f>_xlfn.XLOOKUP(B10229,Ingot!$H$12:$H$119,Ingot!$G$12:$G$119,"")</f>
        <v>Leather</v>
      </c>
      <c r="B10229" t="s">
        <v>20332</v>
      </c>
      <c r="C10229" t="s">
        <v>157</v>
      </c>
      <c r="D10229" t="s">
        <v>20557</v>
      </c>
      <c r="E10229" t="s">
        <v>20558</v>
      </c>
      <c r="G10229" s="1">
        <v>10</v>
      </c>
    </row>
    <row r="10230" spans="1:7" ht="14.25" customHeight="1" x14ac:dyDescent="0.45">
      <c r="A10230" t="str">
        <f>_xlfn.XLOOKUP(B10230,Ingot!$H$12:$H$119,Ingot!$G$12:$G$119,"")</f>
        <v>Leather</v>
      </c>
      <c r="B10230" t="s">
        <v>20332</v>
      </c>
      <c r="C10230" t="s">
        <v>239</v>
      </c>
      <c r="D10230" t="s">
        <v>20559</v>
      </c>
      <c r="E10230" t="s">
        <v>20560</v>
      </c>
      <c r="G10230" s="1">
        <f>(VLOOKUP(B10230,Ingot!H:I,2,FALSE()) * 0.75) * 0.75</f>
        <v>1.96875</v>
      </c>
    </row>
    <row r="10231" spans="1:7" ht="14.25" customHeight="1" x14ac:dyDescent="0.45">
      <c r="A10231" t="str">
        <f>_xlfn.XLOOKUP(B10231,Ingot!$H$12:$H$119,Ingot!$G$12:$G$119,"")</f>
        <v>Leather</v>
      </c>
      <c r="B10231" t="s">
        <v>20332</v>
      </c>
      <c r="C10231" t="s">
        <v>239</v>
      </c>
      <c r="D10231" t="s">
        <v>20561</v>
      </c>
      <c r="E10231" t="s">
        <v>20562</v>
      </c>
      <c r="F10231" t="s">
        <v>180</v>
      </c>
      <c r="G10231" s="1">
        <f>((VLOOKUP(B10231,Ingot!H:I,2,FALSE()) * 3) - 10.25) * 0.421875</f>
        <v>0.10546875</v>
      </c>
    </row>
    <row r="10232" spans="1:7" ht="14.25" customHeight="1" x14ac:dyDescent="0.45">
      <c r="A10232" t="str">
        <f>_xlfn.XLOOKUP(B10232,Ingot!$H$12:$H$119,Ingot!$G$12:$G$119,"")</f>
        <v>Leather</v>
      </c>
      <c r="B10232" t="s">
        <v>20332</v>
      </c>
      <c r="C10232" t="s">
        <v>239</v>
      </c>
      <c r="D10232" t="s">
        <v>20563</v>
      </c>
      <c r="E10232" t="s">
        <v>20564</v>
      </c>
      <c r="F10232" t="s">
        <v>180</v>
      </c>
      <c r="G10232" s="1">
        <f>((VLOOKUP(B10232,Ingot!H:I,2,FALSE()) * 3) - 10.25) * 0.75</f>
        <v>0.1875</v>
      </c>
    </row>
    <row r="10233" spans="1:7" ht="14.25" customHeight="1" x14ac:dyDescent="0.45">
      <c r="A10233" t="str">
        <f>_xlfn.XLOOKUP(B10233,Ingot!$H$12:$H$119,Ingot!$G$12:$G$119,"")</f>
        <v>Leather</v>
      </c>
      <c r="B10233" t="s">
        <v>20332</v>
      </c>
      <c r="C10233" t="s">
        <v>239</v>
      </c>
      <c r="D10233" t="s">
        <v>20565</v>
      </c>
      <c r="E10233" t="s">
        <v>20566</v>
      </c>
      <c r="F10233" t="s">
        <v>180</v>
      </c>
      <c r="G10233" s="1">
        <f>((VLOOKUP(B10233,Ingot!H:I,2,FALSE()) * 3) - 10.25) * 0.5625</f>
        <v>0.140625</v>
      </c>
    </row>
    <row r="10234" spans="1:7" ht="14.25" customHeight="1" x14ac:dyDescent="0.45">
      <c r="A10234" t="str">
        <f>_xlfn.XLOOKUP(B10234,Ingot!$H$12:$H$119,Ingot!$G$12:$G$119,"")</f>
        <v>Leather</v>
      </c>
      <c r="B10234" t="s">
        <v>20332</v>
      </c>
      <c r="C10234" t="s">
        <v>239</v>
      </c>
      <c r="D10234" t="s">
        <v>20567</v>
      </c>
      <c r="E10234" t="s">
        <v>20568</v>
      </c>
      <c r="G10234" s="1">
        <f>VLOOKUP(B10234,Ingot!H:I,2,FALSE()) * 0.75</f>
        <v>2.625</v>
      </c>
    </row>
    <row r="10235" spans="1:7" ht="14.25" customHeight="1" x14ac:dyDescent="0.45">
      <c r="A10235" t="str">
        <f>_xlfn.XLOOKUP(B10235,Ingot!$H$12:$H$119,Ingot!$G$12:$G$119,"")</f>
        <v>Leather</v>
      </c>
      <c r="B10235" t="s">
        <v>20332</v>
      </c>
      <c r="C10235" t="s">
        <v>239</v>
      </c>
      <c r="D10235" t="s">
        <v>20569</v>
      </c>
      <c r="E10235" t="s">
        <v>20570</v>
      </c>
      <c r="F10235" t="s">
        <v>180</v>
      </c>
      <c r="G10235" s="1">
        <f>(VLOOKUP(B10235,Ingot!H:I,2,FALSE()) * 3) - 10.25</f>
        <v>0.25</v>
      </c>
    </row>
    <row r="10236" spans="1:7" ht="14.25" customHeight="1" x14ac:dyDescent="0.45">
      <c r="A10236" t="str">
        <f>_xlfn.XLOOKUP(B10236,Ingot!$H$12:$H$119,Ingot!$G$12:$G$119,"")</f>
        <v>Glass</v>
      </c>
      <c r="B10236" t="s">
        <v>20572</v>
      </c>
      <c r="C10236" t="s">
        <v>10</v>
      </c>
      <c r="D10236" t="s">
        <v>20573</v>
      </c>
      <c r="E10236" t="s">
        <v>20574</v>
      </c>
      <c r="G10236" s="1">
        <v>0.08</v>
      </c>
    </row>
    <row r="10237" spans="1:7" ht="14.25" customHeight="1" x14ac:dyDescent="0.45">
      <c r="A10237" t="str">
        <f>_xlfn.XLOOKUP(B10237,Ingot!$H$12:$H$119,Ingot!$G$12:$G$119,"")</f>
        <v>Glass</v>
      </c>
      <c r="B10237" t="s">
        <v>20572</v>
      </c>
      <c r="C10237" t="s">
        <v>10</v>
      </c>
      <c r="D10237" t="s">
        <v>20575</v>
      </c>
      <c r="E10237" t="s">
        <v>20576</v>
      </c>
      <c r="G10237" s="1">
        <v>9.9</v>
      </c>
    </row>
    <row r="10238" spans="1:7" ht="14.25" customHeight="1" x14ac:dyDescent="0.45">
      <c r="A10238" t="str">
        <f>_xlfn.XLOOKUP(B10238,Ingot!$H$12:$H$119,Ingot!$G$12:$G$119,"")</f>
        <v>Glass</v>
      </c>
      <c r="B10238" t="s">
        <v>20572</v>
      </c>
      <c r="C10238" t="s">
        <v>10</v>
      </c>
      <c r="D10238" t="s">
        <v>20577</v>
      </c>
      <c r="E10238" t="s">
        <v>20578</v>
      </c>
      <c r="G10238" s="1">
        <v>5.66</v>
      </c>
    </row>
    <row r="10239" spans="1:7" ht="14.25" customHeight="1" x14ac:dyDescent="0.45">
      <c r="A10239" t="str">
        <f>_xlfn.XLOOKUP(B10239,Ingot!$H$12:$H$119,Ingot!$G$12:$G$119,"")</f>
        <v>Glass</v>
      </c>
      <c r="B10239" t="s">
        <v>20572</v>
      </c>
      <c r="C10239" t="s">
        <v>10</v>
      </c>
      <c r="D10239" t="s">
        <v>20579</v>
      </c>
      <c r="E10239" t="s">
        <v>20580</v>
      </c>
      <c r="G10239" s="1">
        <v>3.3</v>
      </c>
    </row>
    <row r="10240" spans="1:7" ht="14.25" customHeight="1" x14ac:dyDescent="0.45">
      <c r="A10240" t="str">
        <f>_xlfn.XLOOKUP(B10240,Ingot!$H$12:$H$119,Ingot!$G$12:$G$119,"")</f>
        <v>Glass</v>
      </c>
      <c r="B10240" t="s">
        <v>20572</v>
      </c>
      <c r="C10240" t="s">
        <v>10</v>
      </c>
      <c r="D10240" t="s">
        <v>20581</v>
      </c>
      <c r="E10240" t="s">
        <v>20582</v>
      </c>
      <c r="G10240" s="1">
        <v>0.66</v>
      </c>
    </row>
    <row r="10241" spans="1:7" ht="14.25" customHeight="1" x14ac:dyDescent="0.45">
      <c r="A10241" t="str">
        <f>_xlfn.XLOOKUP(B10241,Ingot!$H$12:$H$119,Ingot!$G$12:$G$119,"")</f>
        <v>Glass</v>
      </c>
      <c r="B10241" t="s">
        <v>20572</v>
      </c>
      <c r="C10241" t="s">
        <v>10</v>
      </c>
      <c r="D10241" t="s">
        <v>20583</v>
      </c>
      <c r="E10241" t="s">
        <v>20584</v>
      </c>
      <c r="G10241" s="1">
        <v>0.04</v>
      </c>
    </row>
    <row r="10242" spans="1:7" ht="14.25" customHeight="1" x14ac:dyDescent="0.45">
      <c r="A10242" t="str">
        <f>_xlfn.XLOOKUP(B10242,Ingot!$H$12:$H$119,Ingot!$G$12:$G$119,"")</f>
        <v>Glass</v>
      </c>
      <c r="B10242" t="s">
        <v>20572</v>
      </c>
      <c r="C10242" t="s">
        <v>10</v>
      </c>
      <c r="D10242" t="s">
        <v>20585</v>
      </c>
      <c r="E10242" t="s">
        <v>20586</v>
      </c>
      <c r="G10242" s="1">
        <v>0.33</v>
      </c>
    </row>
    <row r="10243" spans="1:7" ht="14.25" customHeight="1" x14ac:dyDescent="0.45">
      <c r="A10243" t="str">
        <f>_xlfn.XLOOKUP(B10243,Ingot!$H$12:$H$119,Ingot!$G$12:$G$119,"")</f>
        <v>Glass</v>
      </c>
      <c r="B10243" t="s">
        <v>20572</v>
      </c>
      <c r="C10243" t="s">
        <v>10</v>
      </c>
      <c r="D10243" t="s">
        <v>20587</v>
      </c>
      <c r="E10243" t="s">
        <v>20588</v>
      </c>
    </row>
    <row r="10244" spans="1:7" ht="14.25" customHeight="1" x14ac:dyDescent="0.45">
      <c r="A10244" t="str">
        <f>_xlfn.XLOOKUP(B10244,Ingot!$H$12:$H$119,Ingot!$G$12:$G$119,"")</f>
        <v>Glass</v>
      </c>
      <c r="B10244" t="s">
        <v>20572</v>
      </c>
      <c r="C10244" t="s">
        <v>10</v>
      </c>
      <c r="D10244" t="s">
        <v>20589</v>
      </c>
      <c r="E10244" t="s">
        <v>20590</v>
      </c>
      <c r="G10244" s="1">
        <v>0.05</v>
      </c>
    </row>
    <row r="10245" spans="1:7" ht="14.25" customHeight="1" x14ac:dyDescent="0.45">
      <c r="A10245" t="str">
        <f>_xlfn.XLOOKUP(B10245,Ingot!$H$12:$H$119,Ingot!$G$12:$G$119,"")</f>
        <v>Glass</v>
      </c>
      <c r="B10245" t="s">
        <v>20572</v>
      </c>
      <c r="C10245" t="s">
        <v>10</v>
      </c>
      <c r="D10245" t="s">
        <v>20591</v>
      </c>
      <c r="E10245" t="s">
        <v>20592</v>
      </c>
      <c r="G10245" s="1">
        <v>0.66</v>
      </c>
    </row>
    <row r="10246" spans="1:7" ht="14.25" customHeight="1" x14ac:dyDescent="0.45">
      <c r="A10246" t="str">
        <f>_xlfn.XLOOKUP(B10246,Ingot!$H$12:$H$119,Ingot!$G$12:$G$119,"")</f>
        <v>Glass</v>
      </c>
      <c r="B10246" t="s">
        <v>20572</v>
      </c>
      <c r="C10246" t="s">
        <v>10</v>
      </c>
      <c r="D10246" t="s">
        <v>20593</v>
      </c>
      <c r="E10246" t="s">
        <v>20594</v>
      </c>
      <c r="G10246" s="1">
        <v>3.96</v>
      </c>
    </row>
    <row r="10247" spans="1:7" ht="14.25" customHeight="1" x14ac:dyDescent="0.45">
      <c r="A10247" t="str">
        <f>_xlfn.XLOOKUP(B10247,Ingot!$H$12:$H$119,Ingot!$G$12:$G$119,"")</f>
        <v>Glass</v>
      </c>
      <c r="B10247" t="s">
        <v>20572</v>
      </c>
      <c r="C10247" t="s">
        <v>10</v>
      </c>
      <c r="D10247" t="s">
        <v>20595</v>
      </c>
      <c r="E10247" t="s">
        <v>20596</v>
      </c>
      <c r="G10247" s="1">
        <v>8.77</v>
      </c>
    </row>
    <row r="10248" spans="1:7" ht="14.25" customHeight="1" x14ac:dyDescent="0.45">
      <c r="A10248" t="str">
        <f>_xlfn.XLOOKUP(B10248,Ingot!$H$12:$H$119,Ingot!$G$12:$G$119,"")</f>
        <v>Glass</v>
      </c>
      <c r="B10248" t="s">
        <v>20572</v>
      </c>
      <c r="C10248" t="s">
        <v>10</v>
      </c>
      <c r="D10248" t="s">
        <v>20597</v>
      </c>
      <c r="E10248" t="s">
        <v>20598</v>
      </c>
      <c r="G10248" s="1">
        <v>3.5</v>
      </c>
    </row>
    <row r="10249" spans="1:7" ht="14.25" customHeight="1" x14ac:dyDescent="0.45">
      <c r="A10249" t="str">
        <f>_xlfn.XLOOKUP(B10249,Ingot!$H$12:$H$119,Ingot!$G$12:$G$119,"")</f>
        <v>Glass</v>
      </c>
      <c r="B10249" t="s">
        <v>20572</v>
      </c>
      <c r="C10249" t="s">
        <v>10</v>
      </c>
      <c r="D10249" t="s">
        <v>20599</v>
      </c>
      <c r="E10249" t="s">
        <v>20600</v>
      </c>
    </row>
    <row r="10250" spans="1:7" ht="14.25" customHeight="1" x14ac:dyDescent="0.45">
      <c r="A10250" t="str">
        <f>_xlfn.XLOOKUP(B10250,Ingot!$H$12:$H$119,Ingot!$G$12:$G$119,"")</f>
        <v>Glass</v>
      </c>
      <c r="B10250" t="s">
        <v>20572</v>
      </c>
      <c r="C10250" t="s">
        <v>10</v>
      </c>
      <c r="D10250" t="s">
        <v>20601</v>
      </c>
      <c r="E10250" t="s">
        <v>20602</v>
      </c>
      <c r="G10250" s="1">
        <v>2.2000000000000002</v>
      </c>
    </row>
    <row r="10251" spans="1:7" ht="14.25" customHeight="1" x14ac:dyDescent="0.45">
      <c r="A10251" t="str">
        <f>_xlfn.XLOOKUP(B10251,Ingot!$H$12:$H$119,Ingot!$G$12:$G$119,"")</f>
        <v>Glass</v>
      </c>
      <c r="B10251" t="s">
        <v>20572</v>
      </c>
      <c r="C10251" t="s">
        <v>10</v>
      </c>
      <c r="D10251" t="s">
        <v>20603</v>
      </c>
      <c r="E10251" t="s">
        <v>20604</v>
      </c>
      <c r="G10251" s="1">
        <v>1.1000000000000001</v>
      </c>
    </row>
    <row r="10252" spans="1:7" ht="14.25" customHeight="1" x14ac:dyDescent="0.45">
      <c r="A10252" t="str">
        <f>_xlfn.XLOOKUP(B10252,Ingot!$H$12:$H$119,Ingot!$G$12:$G$119,"")</f>
        <v>Glass</v>
      </c>
      <c r="B10252" t="s">
        <v>20572</v>
      </c>
      <c r="C10252" t="s">
        <v>10</v>
      </c>
      <c r="D10252" t="s">
        <v>20605</v>
      </c>
      <c r="E10252" t="s">
        <v>20606</v>
      </c>
      <c r="G10252" s="1">
        <v>0.22</v>
      </c>
    </row>
    <row r="10253" spans="1:7" ht="14.25" customHeight="1" x14ac:dyDescent="0.45">
      <c r="A10253" t="str">
        <f>_xlfn.XLOOKUP(B10253,Ingot!$H$12:$H$119,Ingot!$G$12:$G$119,"")</f>
        <v>Glass</v>
      </c>
      <c r="B10253" t="s">
        <v>20572</v>
      </c>
      <c r="C10253" t="s">
        <v>10</v>
      </c>
      <c r="D10253" t="s">
        <v>20607</v>
      </c>
      <c r="E10253" t="s">
        <v>20608</v>
      </c>
      <c r="G10253" s="1">
        <v>8.41</v>
      </c>
    </row>
    <row r="10254" spans="1:7" ht="14.25" customHeight="1" x14ac:dyDescent="0.45">
      <c r="A10254" t="str">
        <f>_xlfn.XLOOKUP(B10254,Ingot!$H$12:$H$119,Ingot!$G$12:$G$119,"")</f>
        <v>Glass</v>
      </c>
      <c r="B10254" t="s">
        <v>20572</v>
      </c>
      <c r="C10254" t="s">
        <v>10</v>
      </c>
      <c r="D10254" t="s">
        <v>20609</v>
      </c>
      <c r="E10254" t="s">
        <v>20610</v>
      </c>
      <c r="G10254" s="1">
        <v>3.64</v>
      </c>
    </row>
    <row r="10255" spans="1:7" ht="14.25" customHeight="1" x14ac:dyDescent="0.45">
      <c r="A10255" t="str">
        <f>_xlfn.XLOOKUP(B10255,Ingot!$H$12:$H$119,Ingot!$G$12:$G$119,"")</f>
        <v>Glass</v>
      </c>
      <c r="B10255" t="s">
        <v>20572</v>
      </c>
      <c r="C10255" t="s">
        <v>10</v>
      </c>
      <c r="D10255" t="s">
        <v>20611</v>
      </c>
      <c r="E10255" t="s">
        <v>20612</v>
      </c>
      <c r="G10255" s="1">
        <v>7.05</v>
      </c>
    </row>
    <row r="10256" spans="1:7" ht="14.25" customHeight="1" x14ac:dyDescent="0.45">
      <c r="A10256" t="str">
        <f>_xlfn.XLOOKUP(B10256,Ingot!$H$12:$H$119,Ingot!$G$12:$G$119,"")</f>
        <v>Glass</v>
      </c>
      <c r="B10256" t="s">
        <v>20572</v>
      </c>
      <c r="C10256" t="s">
        <v>10</v>
      </c>
      <c r="D10256" t="s">
        <v>20613</v>
      </c>
      <c r="E10256" t="s">
        <v>20614</v>
      </c>
      <c r="G10256" s="1">
        <v>2.65</v>
      </c>
    </row>
    <row r="10257" spans="1:7" ht="14.25" customHeight="1" x14ac:dyDescent="0.45">
      <c r="A10257" t="str">
        <f>_xlfn.XLOOKUP(B10257,Ingot!$H$12:$H$119,Ingot!$G$12:$G$119,"")</f>
        <v>Glass</v>
      </c>
      <c r="B10257" t="s">
        <v>20572</v>
      </c>
      <c r="C10257" t="s">
        <v>10</v>
      </c>
      <c r="D10257" t="s">
        <v>20615</v>
      </c>
      <c r="E10257" t="s">
        <v>20616</v>
      </c>
      <c r="G10257" s="1">
        <v>9</v>
      </c>
    </row>
    <row r="10258" spans="1:7" ht="14.25" customHeight="1" x14ac:dyDescent="0.45">
      <c r="A10258" t="str">
        <f>_xlfn.XLOOKUP(B10258,Ingot!$H$12:$H$119,Ingot!$G$12:$G$119,"")</f>
        <v>Glass</v>
      </c>
      <c r="B10258" t="s">
        <v>20572</v>
      </c>
      <c r="C10258" t="s">
        <v>10</v>
      </c>
      <c r="D10258" t="s">
        <v>20617</v>
      </c>
      <c r="E10258" t="s">
        <v>20618</v>
      </c>
      <c r="G10258" s="1">
        <v>10.23</v>
      </c>
    </row>
    <row r="10259" spans="1:7" ht="14.25" customHeight="1" x14ac:dyDescent="0.45">
      <c r="A10259" t="str">
        <f>_xlfn.XLOOKUP(B10259,Ingot!$H$12:$H$119,Ingot!$G$12:$G$119,"")</f>
        <v>Glass</v>
      </c>
      <c r="B10259" t="s">
        <v>20572</v>
      </c>
      <c r="C10259" t="s">
        <v>10</v>
      </c>
      <c r="D10259" t="s">
        <v>20619</v>
      </c>
      <c r="E10259" t="s">
        <v>20620</v>
      </c>
      <c r="G10259" s="1">
        <v>7.7</v>
      </c>
    </row>
    <row r="10260" spans="1:7" ht="14.25" customHeight="1" x14ac:dyDescent="0.45">
      <c r="A10260" t="str">
        <f>_xlfn.XLOOKUP(B10260,Ingot!$H$12:$H$119,Ingot!$G$12:$G$119,"")</f>
        <v>Glass</v>
      </c>
      <c r="B10260" t="s">
        <v>20572</v>
      </c>
      <c r="C10260" t="s">
        <v>10</v>
      </c>
      <c r="D10260" t="s">
        <v>20621</v>
      </c>
      <c r="E10260" t="s">
        <v>20622</v>
      </c>
      <c r="G10260" s="1">
        <v>10.02</v>
      </c>
    </row>
    <row r="10261" spans="1:7" ht="14.25" customHeight="1" x14ac:dyDescent="0.45">
      <c r="A10261" t="str">
        <f>_xlfn.XLOOKUP(B10261,Ingot!$H$12:$H$119,Ingot!$G$12:$G$119,"")</f>
        <v>Glass</v>
      </c>
      <c r="B10261" t="s">
        <v>20572</v>
      </c>
      <c r="C10261" t="s">
        <v>10</v>
      </c>
      <c r="D10261" t="s">
        <v>20623</v>
      </c>
      <c r="E10261" t="s">
        <v>20624</v>
      </c>
      <c r="G10261" s="1">
        <v>11.81</v>
      </c>
    </row>
    <row r="10262" spans="1:7" ht="14.25" customHeight="1" x14ac:dyDescent="0.45">
      <c r="A10262" t="str">
        <f>_xlfn.XLOOKUP(B10262,Ingot!$H$12:$H$119,Ingot!$G$12:$G$119,"")</f>
        <v>Glass</v>
      </c>
      <c r="B10262" t="s">
        <v>20572</v>
      </c>
      <c r="C10262" t="s">
        <v>10</v>
      </c>
      <c r="D10262" t="s">
        <v>20625</v>
      </c>
      <c r="E10262" t="s">
        <v>20626</v>
      </c>
      <c r="G10262" s="1">
        <v>8.44</v>
      </c>
    </row>
    <row r="10263" spans="1:7" ht="14.25" customHeight="1" x14ac:dyDescent="0.45">
      <c r="A10263" t="str">
        <f>_xlfn.XLOOKUP(B10263,Ingot!$H$12:$H$119,Ingot!$G$12:$G$119,"")</f>
        <v>Glass</v>
      </c>
      <c r="B10263" t="s">
        <v>20572</v>
      </c>
      <c r="C10263" t="s">
        <v>10</v>
      </c>
      <c r="D10263" t="s">
        <v>20627</v>
      </c>
      <c r="E10263" t="s">
        <v>20628</v>
      </c>
      <c r="G10263" s="1">
        <v>10.42</v>
      </c>
    </row>
    <row r="10264" spans="1:7" ht="14.25" customHeight="1" x14ac:dyDescent="0.45">
      <c r="A10264" t="str">
        <f>_xlfn.XLOOKUP(B10264,Ingot!$H$12:$H$119,Ingot!$G$12:$G$119,"")</f>
        <v>Glass</v>
      </c>
      <c r="B10264" t="s">
        <v>20572</v>
      </c>
      <c r="C10264" t="s">
        <v>10</v>
      </c>
      <c r="D10264" t="s">
        <v>20629</v>
      </c>
      <c r="E10264" t="s">
        <v>20630</v>
      </c>
    </row>
    <row r="10265" spans="1:7" ht="14.25" customHeight="1" x14ac:dyDescent="0.45">
      <c r="A10265" t="str">
        <f>_xlfn.XLOOKUP(B10265,Ingot!$H$12:$H$119,Ingot!$G$12:$G$119,"")</f>
        <v>Glass</v>
      </c>
      <c r="B10265" t="s">
        <v>20572</v>
      </c>
      <c r="C10265" t="s">
        <v>10</v>
      </c>
      <c r="D10265" t="s">
        <v>20631</v>
      </c>
      <c r="E10265" t="s">
        <v>20632</v>
      </c>
      <c r="G10265" s="1">
        <v>7.96</v>
      </c>
    </row>
    <row r="10266" spans="1:7" ht="14.25" customHeight="1" x14ac:dyDescent="0.45">
      <c r="A10266" t="str">
        <f>_xlfn.XLOOKUP(B10266,Ingot!$H$12:$H$119,Ingot!$G$12:$G$119,"")</f>
        <v>Glass</v>
      </c>
      <c r="B10266" t="s">
        <v>20572</v>
      </c>
      <c r="C10266" t="s">
        <v>10</v>
      </c>
      <c r="D10266" t="s">
        <v>20633</v>
      </c>
      <c r="E10266" t="s">
        <v>20634</v>
      </c>
      <c r="G10266" s="1">
        <v>9.64</v>
      </c>
    </row>
    <row r="10267" spans="1:7" ht="14.25" customHeight="1" x14ac:dyDescent="0.45">
      <c r="A10267" t="str">
        <f>_xlfn.XLOOKUP(B10267,Ingot!$H$12:$H$119,Ingot!$G$12:$G$119,"")</f>
        <v>Glass</v>
      </c>
      <c r="B10267" t="s">
        <v>20572</v>
      </c>
      <c r="C10267" t="s">
        <v>10</v>
      </c>
      <c r="D10267" t="s">
        <v>20635</v>
      </c>
      <c r="E10267" t="s">
        <v>20636</v>
      </c>
      <c r="G10267" s="1">
        <v>7.94</v>
      </c>
    </row>
    <row r="10268" spans="1:7" ht="14.25" customHeight="1" x14ac:dyDescent="0.45">
      <c r="A10268" t="str">
        <f>_xlfn.XLOOKUP(B10268,Ingot!$H$12:$H$119,Ingot!$G$12:$G$119,"")</f>
        <v>Glass</v>
      </c>
      <c r="B10268" t="s">
        <v>20572</v>
      </c>
      <c r="C10268" t="s">
        <v>10</v>
      </c>
      <c r="D10268" t="s">
        <v>20637</v>
      </c>
      <c r="E10268" t="s">
        <v>20638</v>
      </c>
      <c r="G10268" s="1">
        <v>8.66</v>
      </c>
    </row>
    <row r="10269" spans="1:7" ht="14.25" customHeight="1" x14ac:dyDescent="0.45">
      <c r="A10269" t="str">
        <f>_xlfn.XLOOKUP(B10269,Ingot!$H$12:$H$119,Ingot!$G$12:$G$119,"")</f>
        <v>Glass</v>
      </c>
      <c r="B10269" t="s">
        <v>20572</v>
      </c>
      <c r="C10269" t="s">
        <v>10</v>
      </c>
      <c r="D10269" t="s">
        <v>20639</v>
      </c>
      <c r="E10269" t="s">
        <v>20640</v>
      </c>
    </row>
    <row r="10270" spans="1:7" ht="14.25" customHeight="1" x14ac:dyDescent="0.45">
      <c r="A10270" t="str">
        <f>_xlfn.XLOOKUP(B10270,Ingot!$H$12:$H$119,Ingot!$G$12:$G$119,"")</f>
        <v>Glass</v>
      </c>
      <c r="B10270" t="s">
        <v>20572</v>
      </c>
      <c r="C10270" t="s">
        <v>10</v>
      </c>
      <c r="D10270" t="s">
        <v>20641</v>
      </c>
      <c r="E10270" t="s">
        <v>20642</v>
      </c>
      <c r="G10270" s="1">
        <v>2.65</v>
      </c>
    </row>
    <row r="10271" spans="1:7" ht="14.25" customHeight="1" x14ac:dyDescent="0.45">
      <c r="A10271" t="str">
        <f>_xlfn.XLOOKUP(B10271,Ingot!$H$12:$H$119,Ingot!$G$12:$G$119,"")</f>
        <v>Glass</v>
      </c>
      <c r="B10271" t="s">
        <v>20572</v>
      </c>
      <c r="C10271" t="s">
        <v>10</v>
      </c>
      <c r="D10271" t="s">
        <v>20643</v>
      </c>
      <c r="E10271" t="s">
        <v>20644</v>
      </c>
    </row>
    <row r="10272" spans="1:7" ht="14.25" customHeight="1" x14ac:dyDescent="0.45">
      <c r="A10272" t="str">
        <f>_xlfn.XLOOKUP(B10272,Ingot!$H$12:$H$119,Ingot!$G$12:$G$119,"")</f>
        <v>Glass</v>
      </c>
      <c r="B10272" t="s">
        <v>20572</v>
      </c>
      <c r="C10272" t="s">
        <v>10</v>
      </c>
      <c r="D10272" t="s">
        <v>20645</v>
      </c>
      <c r="E10272" t="s">
        <v>20646</v>
      </c>
      <c r="G10272" s="1">
        <v>12.64</v>
      </c>
    </row>
    <row r="10273" spans="1:7" ht="14.25" customHeight="1" x14ac:dyDescent="0.45">
      <c r="A10273" t="str">
        <f>_xlfn.XLOOKUP(B10273,Ingot!$H$12:$H$119,Ingot!$G$12:$G$119,"")</f>
        <v>Glass</v>
      </c>
      <c r="B10273" t="s">
        <v>20572</v>
      </c>
      <c r="C10273" t="s">
        <v>10</v>
      </c>
      <c r="D10273" t="s">
        <v>20647</v>
      </c>
      <c r="E10273" t="s">
        <v>20648</v>
      </c>
      <c r="G10273" s="1">
        <v>22.67</v>
      </c>
    </row>
    <row r="10274" spans="1:7" ht="14.25" customHeight="1" x14ac:dyDescent="0.45">
      <c r="A10274" t="str">
        <f>_xlfn.XLOOKUP(B10274,Ingot!$H$12:$H$119,Ingot!$G$12:$G$119,"")</f>
        <v>Glass</v>
      </c>
      <c r="B10274" t="s">
        <v>20572</v>
      </c>
      <c r="C10274" t="s">
        <v>10</v>
      </c>
      <c r="D10274" t="s">
        <v>20649</v>
      </c>
      <c r="E10274" t="s">
        <v>20650</v>
      </c>
      <c r="G10274" s="1">
        <v>8.3800000000000008</v>
      </c>
    </row>
    <row r="10275" spans="1:7" ht="14.25" customHeight="1" x14ac:dyDescent="0.45">
      <c r="A10275" t="str">
        <f>_xlfn.XLOOKUP(B10275,Ingot!$H$12:$H$119,Ingot!$G$12:$G$119,"")</f>
        <v>Glass</v>
      </c>
      <c r="B10275" t="s">
        <v>20572</v>
      </c>
      <c r="C10275" t="s">
        <v>10</v>
      </c>
      <c r="D10275" t="s">
        <v>20651</v>
      </c>
      <c r="E10275" t="s">
        <v>20652</v>
      </c>
      <c r="G10275" s="1">
        <v>2.2000000000000002</v>
      </c>
    </row>
    <row r="10276" spans="1:7" ht="14.25" customHeight="1" x14ac:dyDescent="0.45">
      <c r="A10276" t="str">
        <f>_xlfn.XLOOKUP(B10276,Ingot!$H$12:$H$119,Ingot!$G$12:$G$119,"")</f>
        <v>Glass</v>
      </c>
      <c r="B10276" t="s">
        <v>20572</v>
      </c>
      <c r="C10276" t="s">
        <v>10</v>
      </c>
      <c r="D10276" t="s">
        <v>20653</v>
      </c>
      <c r="E10276" t="s">
        <v>20654</v>
      </c>
      <c r="G10276" s="1">
        <v>3.09</v>
      </c>
    </row>
    <row r="10277" spans="1:7" ht="14.25" customHeight="1" x14ac:dyDescent="0.45">
      <c r="A10277" t="str">
        <f>_xlfn.XLOOKUP(B10277,Ingot!$H$12:$H$119,Ingot!$G$12:$G$119,"")</f>
        <v>Glass</v>
      </c>
      <c r="B10277" t="s">
        <v>20572</v>
      </c>
      <c r="C10277" t="s">
        <v>10</v>
      </c>
      <c r="D10277" t="s">
        <v>20655</v>
      </c>
      <c r="E10277" t="s">
        <v>20656</v>
      </c>
      <c r="G10277" s="1">
        <v>2.2999999999999998</v>
      </c>
    </row>
    <row r="10278" spans="1:7" ht="14.25" customHeight="1" x14ac:dyDescent="0.45">
      <c r="A10278" t="str">
        <f>_xlfn.XLOOKUP(B10278,Ingot!$H$12:$H$119,Ingot!$G$12:$G$119,"")</f>
        <v>Glass</v>
      </c>
      <c r="B10278" t="s">
        <v>20572</v>
      </c>
      <c r="C10278" t="s">
        <v>10</v>
      </c>
      <c r="D10278" t="s">
        <v>20657</v>
      </c>
      <c r="E10278" t="s">
        <v>20658</v>
      </c>
      <c r="G10278" s="1">
        <v>4.88</v>
      </c>
    </row>
    <row r="10279" spans="1:7" ht="14.25" customHeight="1" x14ac:dyDescent="0.45">
      <c r="A10279" t="str">
        <f>_xlfn.XLOOKUP(B10279,Ingot!$H$12:$H$119,Ingot!$G$12:$G$119,"")</f>
        <v>Glass</v>
      </c>
      <c r="B10279" t="s">
        <v>20572</v>
      </c>
      <c r="C10279" t="s">
        <v>10</v>
      </c>
      <c r="D10279" t="s">
        <v>20659</v>
      </c>
      <c r="E10279" t="s">
        <v>20660</v>
      </c>
      <c r="G10279" s="1">
        <v>8.43</v>
      </c>
    </row>
    <row r="10280" spans="1:7" ht="14.25" customHeight="1" x14ac:dyDescent="0.45">
      <c r="A10280" t="str">
        <f>_xlfn.XLOOKUP(B10280,Ingot!$H$12:$H$119,Ingot!$G$12:$G$119,"")</f>
        <v>Glass</v>
      </c>
      <c r="B10280" t="s">
        <v>20572</v>
      </c>
      <c r="C10280" t="s">
        <v>10</v>
      </c>
      <c r="D10280" t="s">
        <v>20661</v>
      </c>
      <c r="E10280" t="s">
        <v>20662</v>
      </c>
      <c r="G10280" s="1">
        <v>13.07</v>
      </c>
    </row>
    <row r="10281" spans="1:7" ht="14.25" customHeight="1" x14ac:dyDescent="0.45">
      <c r="A10281" t="str">
        <f>_xlfn.XLOOKUP(B10281,Ingot!$H$12:$H$119,Ingot!$G$12:$G$119,"")</f>
        <v>Glass</v>
      </c>
      <c r="B10281" t="s">
        <v>20572</v>
      </c>
      <c r="C10281" t="s">
        <v>10</v>
      </c>
      <c r="D10281" t="s">
        <v>20663</v>
      </c>
      <c r="E10281" t="s">
        <v>20664</v>
      </c>
    </row>
    <row r="10282" spans="1:7" ht="14.25" customHeight="1" x14ac:dyDescent="0.45">
      <c r="A10282" t="str">
        <f>_xlfn.XLOOKUP(B10282,Ingot!$H$12:$H$119,Ingot!$G$12:$G$119,"")</f>
        <v>Glass</v>
      </c>
      <c r="B10282" t="s">
        <v>20572</v>
      </c>
      <c r="C10282" t="s">
        <v>10</v>
      </c>
      <c r="D10282" t="s">
        <v>20665</v>
      </c>
      <c r="E10282" t="s">
        <v>20666</v>
      </c>
    </row>
    <row r="10283" spans="1:7" ht="14.25" customHeight="1" x14ac:dyDescent="0.45">
      <c r="A10283" t="str">
        <f>_xlfn.XLOOKUP(B10283,Ingot!$H$12:$H$119,Ingot!$G$12:$G$119,"")</f>
        <v>Glass</v>
      </c>
      <c r="B10283" t="s">
        <v>20572</v>
      </c>
      <c r="C10283" t="s">
        <v>10</v>
      </c>
      <c r="D10283" t="s">
        <v>20667</v>
      </c>
      <c r="E10283" t="s">
        <v>20668</v>
      </c>
      <c r="G10283" s="1">
        <v>6.8</v>
      </c>
    </row>
    <row r="10284" spans="1:7" ht="14.25" customHeight="1" x14ac:dyDescent="0.45">
      <c r="A10284" t="str">
        <f>_xlfn.XLOOKUP(B10284,Ingot!$H$12:$H$119,Ingot!$G$12:$G$119,"")</f>
        <v>Glass</v>
      </c>
      <c r="B10284" t="s">
        <v>20572</v>
      </c>
      <c r="C10284" t="s">
        <v>10</v>
      </c>
      <c r="D10284" t="s">
        <v>20669</v>
      </c>
      <c r="E10284" t="s">
        <v>20670</v>
      </c>
      <c r="G10284" s="1">
        <v>6.88</v>
      </c>
    </row>
    <row r="10285" spans="1:7" ht="14.25" customHeight="1" x14ac:dyDescent="0.45">
      <c r="A10285" t="str">
        <f>_xlfn.XLOOKUP(B10285,Ingot!$H$12:$H$119,Ingot!$G$12:$G$119,"")</f>
        <v>Glass</v>
      </c>
      <c r="B10285" t="s">
        <v>20572</v>
      </c>
      <c r="C10285" t="s">
        <v>10</v>
      </c>
      <c r="D10285" t="s">
        <v>20671</v>
      </c>
      <c r="E10285" t="s">
        <v>20672</v>
      </c>
      <c r="G10285" s="1">
        <v>5.5</v>
      </c>
    </row>
    <row r="10286" spans="1:7" ht="14.25" customHeight="1" x14ac:dyDescent="0.45">
      <c r="A10286" t="str">
        <f>_xlfn.XLOOKUP(B10286,Ingot!$H$12:$H$119,Ingot!$G$12:$G$119,"")</f>
        <v>Glass</v>
      </c>
      <c r="B10286" t="s">
        <v>20572</v>
      </c>
      <c r="C10286" t="s">
        <v>10</v>
      </c>
      <c r="D10286" t="s">
        <v>20673</v>
      </c>
      <c r="E10286" t="s">
        <v>20674</v>
      </c>
      <c r="G10286" s="1">
        <v>2.4300000000000002</v>
      </c>
    </row>
    <row r="10287" spans="1:7" ht="14.25" customHeight="1" x14ac:dyDescent="0.45">
      <c r="A10287" t="str">
        <f>_xlfn.XLOOKUP(B10287,Ingot!$H$12:$H$119,Ingot!$G$12:$G$119,"")</f>
        <v>Glass</v>
      </c>
      <c r="B10287" t="s">
        <v>20572</v>
      </c>
      <c r="C10287" t="s">
        <v>10</v>
      </c>
      <c r="D10287" t="s">
        <v>20675</v>
      </c>
      <c r="E10287" t="s">
        <v>20676</v>
      </c>
      <c r="G10287" s="1">
        <v>6.96</v>
      </c>
    </row>
    <row r="10288" spans="1:7" ht="14.25" customHeight="1" x14ac:dyDescent="0.45">
      <c r="A10288" t="str">
        <f>_xlfn.XLOOKUP(B10288,Ingot!$H$12:$H$119,Ingot!$G$12:$G$119,"")</f>
        <v>Glass</v>
      </c>
      <c r="B10288" t="s">
        <v>20572</v>
      </c>
      <c r="C10288" t="s">
        <v>10</v>
      </c>
      <c r="D10288" t="s">
        <v>20677</v>
      </c>
      <c r="E10288" t="s">
        <v>20678</v>
      </c>
      <c r="G10288" s="1">
        <v>6.32</v>
      </c>
    </row>
    <row r="10289" spans="1:7" ht="14.25" customHeight="1" x14ac:dyDescent="0.45">
      <c r="A10289" t="str">
        <f>_xlfn.XLOOKUP(B10289,Ingot!$H$12:$H$119,Ingot!$G$12:$G$119,"")</f>
        <v>Glass</v>
      </c>
      <c r="B10289" t="s">
        <v>20572</v>
      </c>
      <c r="C10289" t="s">
        <v>10</v>
      </c>
      <c r="D10289" t="s">
        <v>20679</v>
      </c>
      <c r="E10289" t="s">
        <v>20680</v>
      </c>
      <c r="G10289" s="1">
        <v>6.88</v>
      </c>
    </row>
    <row r="10290" spans="1:7" ht="14.25" customHeight="1" x14ac:dyDescent="0.45">
      <c r="A10290" t="str">
        <f>_xlfn.XLOOKUP(B10290,Ingot!$H$12:$H$119,Ingot!$G$12:$G$119,"")</f>
        <v>Glass</v>
      </c>
      <c r="B10290" t="s">
        <v>20572</v>
      </c>
      <c r="C10290" t="s">
        <v>10</v>
      </c>
      <c r="D10290" t="s">
        <v>20681</v>
      </c>
      <c r="E10290" t="s">
        <v>20682</v>
      </c>
      <c r="G10290" s="1">
        <v>2.44</v>
      </c>
    </row>
    <row r="10291" spans="1:7" ht="14.25" customHeight="1" x14ac:dyDescent="0.45">
      <c r="A10291" t="str">
        <f>_xlfn.XLOOKUP(B10291,Ingot!$H$12:$H$119,Ingot!$G$12:$G$119,"")</f>
        <v>Glass</v>
      </c>
      <c r="B10291" t="s">
        <v>20572</v>
      </c>
      <c r="C10291" t="s">
        <v>10</v>
      </c>
      <c r="D10291" t="s">
        <v>20683</v>
      </c>
      <c r="E10291" t="s">
        <v>20684</v>
      </c>
    </row>
    <row r="10292" spans="1:7" ht="14.25" customHeight="1" x14ac:dyDescent="0.45">
      <c r="A10292" t="str">
        <f>_xlfn.XLOOKUP(B10292,Ingot!$H$12:$H$119,Ingot!$G$12:$G$119,"")</f>
        <v>Glass</v>
      </c>
      <c r="B10292" t="s">
        <v>20572</v>
      </c>
      <c r="C10292" t="s">
        <v>10</v>
      </c>
      <c r="D10292" t="s">
        <v>20685</v>
      </c>
      <c r="E10292" t="s">
        <v>20686</v>
      </c>
    </row>
    <row r="10293" spans="1:7" ht="14.25" customHeight="1" x14ac:dyDescent="0.45">
      <c r="A10293" t="str">
        <f>_xlfn.XLOOKUP(B10293,Ingot!$H$12:$H$119,Ingot!$G$12:$G$119,"")</f>
        <v>Glass</v>
      </c>
      <c r="B10293" t="s">
        <v>20572</v>
      </c>
      <c r="C10293" t="s">
        <v>10</v>
      </c>
      <c r="D10293" t="s">
        <v>20687</v>
      </c>
      <c r="E10293" t="s">
        <v>20688</v>
      </c>
      <c r="G10293" s="1">
        <v>3.11</v>
      </c>
    </row>
    <row r="10294" spans="1:7" ht="14.25" customHeight="1" x14ac:dyDescent="0.45">
      <c r="A10294" t="str">
        <f>_xlfn.XLOOKUP(B10294,Ingot!$H$12:$H$119,Ingot!$G$12:$G$119,"")</f>
        <v>Glass</v>
      </c>
      <c r="B10294" t="s">
        <v>20572</v>
      </c>
      <c r="C10294" t="s">
        <v>10</v>
      </c>
      <c r="D10294" t="s">
        <v>20689</v>
      </c>
      <c r="E10294" t="s">
        <v>20690</v>
      </c>
      <c r="G10294" s="1">
        <v>2.44</v>
      </c>
    </row>
    <row r="10295" spans="1:7" ht="14.25" customHeight="1" x14ac:dyDescent="0.45">
      <c r="A10295" t="str">
        <f>_xlfn.XLOOKUP(B10295,Ingot!$H$12:$H$119,Ingot!$G$12:$G$119,"")</f>
        <v>Glass</v>
      </c>
      <c r="B10295" t="s">
        <v>20572</v>
      </c>
      <c r="C10295" t="s">
        <v>10</v>
      </c>
      <c r="D10295" t="s">
        <v>20691</v>
      </c>
      <c r="E10295" t="s">
        <v>20692</v>
      </c>
      <c r="G10295" s="1">
        <v>8.61</v>
      </c>
    </row>
    <row r="10296" spans="1:7" ht="14.25" customHeight="1" x14ac:dyDescent="0.45">
      <c r="A10296" t="str">
        <f>_xlfn.XLOOKUP(B10296,Ingot!$H$12:$H$119,Ingot!$G$12:$G$119,"")</f>
        <v>Glass</v>
      </c>
      <c r="B10296" t="s">
        <v>20572</v>
      </c>
      <c r="C10296" t="s">
        <v>10</v>
      </c>
      <c r="D10296" t="s">
        <v>20693</v>
      </c>
      <c r="E10296" t="s">
        <v>20694</v>
      </c>
    </row>
    <row r="10297" spans="1:7" ht="14.25" customHeight="1" x14ac:dyDescent="0.45">
      <c r="A10297" t="str">
        <f>_xlfn.XLOOKUP(B10297,Ingot!$H$12:$H$119,Ingot!$G$12:$G$119,"")</f>
        <v>Glass</v>
      </c>
      <c r="B10297" t="s">
        <v>20572</v>
      </c>
      <c r="C10297" t="s">
        <v>10</v>
      </c>
      <c r="D10297" t="s">
        <v>20695</v>
      </c>
      <c r="E10297" t="s">
        <v>20696</v>
      </c>
      <c r="G10297" s="1">
        <v>3.21</v>
      </c>
    </row>
    <row r="10298" spans="1:7" ht="14.25" customHeight="1" x14ac:dyDescent="0.45">
      <c r="A10298" t="str">
        <f>_xlfn.XLOOKUP(B10298,Ingot!$H$12:$H$119,Ingot!$G$12:$G$119,"")</f>
        <v>Glass</v>
      </c>
      <c r="B10298" t="s">
        <v>20572</v>
      </c>
      <c r="C10298" t="s">
        <v>10</v>
      </c>
      <c r="D10298" t="s">
        <v>20697</v>
      </c>
      <c r="E10298" t="s">
        <v>20698</v>
      </c>
      <c r="G10298" s="1">
        <v>2.77</v>
      </c>
    </row>
    <row r="10299" spans="1:7" ht="14.25" customHeight="1" x14ac:dyDescent="0.45">
      <c r="A10299" t="str">
        <f>_xlfn.XLOOKUP(B10299,Ingot!$H$12:$H$119,Ingot!$G$12:$G$119,"")</f>
        <v>Glass</v>
      </c>
      <c r="B10299" t="s">
        <v>20572</v>
      </c>
      <c r="C10299" t="s">
        <v>10</v>
      </c>
      <c r="D10299" t="s">
        <v>20699</v>
      </c>
      <c r="E10299" t="s">
        <v>20700</v>
      </c>
      <c r="G10299" s="1">
        <v>4.8899999999999997</v>
      </c>
    </row>
    <row r="10300" spans="1:7" ht="14.25" customHeight="1" x14ac:dyDescent="0.45">
      <c r="A10300" t="str">
        <f>_xlfn.XLOOKUP(B10300,Ingot!$H$12:$H$119,Ingot!$G$12:$G$119,"")</f>
        <v>Glass</v>
      </c>
      <c r="B10300" t="s">
        <v>20572</v>
      </c>
      <c r="C10300" t="s">
        <v>10</v>
      </c>
      <c r="D10300" t="s">
        <v>20701</v>
      </c>
      <c r="E10300" t="s">
        <v>20702</v>
      </c>
      <c r="G10300" s="1">
        <v>1.76</v>
      </c>
    </row>
    <row r="10301" spans="1:7" ht="14.25" customHeight="1" x14ac:dyDescent="0.45">
      <c r="A10301" t="str">
        <f>_xlfn.XLOOKUP(B10301,Ingot!$H$12:$H$119,Ingot!$G$12:$G$119,"")</f>
        <v>Glass</v>
      </c>
      <c r="B10301" t="s">
        <v>20572</v>
      </c>
      <c r="C10301" t="s">
        <v>10</v>
      </c>
      <c r="D10301" t="s">
        <v>20703</v>
      </c>
      <c r="E10301" t="s">
        <v>20704</v>
      </c>
    </row>
    <row r="10302" spans="1:7" ht="14.25" customHeight="1" x14ac:dyDescent="0.45">
      <c r="A10302" t="str">
        <f>_xlfn.XLOOKUP(B10302,Ingot!$H$12:$H$119,Ingot!$G$12:$G$119,"")</f>
        <v>Glass</v>
      </c>
      <c r="B10302" t="s">
        <v>20572</v>
      </c>
      <c r="C10302" t="s">
        <v>10</v>
      </c>
      <c r="D10302" t="s">
        <v>20705</v>
      </c>
      <c r="E10302" t="s">
        <v>20706</v>
      </c>
      <c r="G10302" s="1">
        <v>8.57</v>
      </c>
    </row>
    <row r="10303" spans="1:7" ht="14.25" customHeight="1" x14ac:dyDescent="0.45">
      <c r="A10303" t="str">
        <f>_xlfn.XLOOKUP(B10303,Ingot!$H$12:$H$119,Ingot!$G$12:$G$119,"")</f>
        <v>Glass</v>
      </c>
      <c r="B10303" t="s">
        <v>20572</v>
      </c>
      <c r="C10303" t="s">
        <v>10</v>
      </c>
      <c r="D10303" t="s">
        <v>20707</v>
      </c>
      <c r="E10303" t="s">
        <v>20708</v>
      </c>
    </row>
    <row r="10304" spans="1:7" ht="14.25" customHeight="1" x14ac:dyDescent="0.45">
      <c r="A10304" t="str">
        <f>_xlfn.XLOOKUP(B10304,Ingot!$H$12:$H$119,Ingot!$G$12:$G$119,"")</f>
        <v>Glass</v>
      </c>
      <c r="B10304" t="s">
        <v>20572</v>
      </c>
      <c r="C10304" t="s">
        <v>10</v>
      </c>
      <c r="D10304" t="s">
        <v>20709</v>
      </c>
      <c r="E10304" t="s">
        <v>20710</v>
      </c>
      <c r="G10304" s="1">
        <v>3.56</v>
      </c>
    </row>
    <row r="10305" spans="1:7" ht="14.25" customHeight="1" x14ac:dyDescent="0.45">
      <c r="A10305" t="str">
        <f>_xlfn.XLOOKUP(B10305,Ingot!$H$12:$H$119,Ingot!$G$12:$G$119,"")</f>
        <v>Glass</v>
      </c>
      <c r="B10305" t="s">
        <v>20572</v>
      </c>
      <c r="C10305" t="s">
        <v>10</v>
      </c>
      <c r="D10305" t="s">
        <v>20711</v>
      </c>
      <c r="E10305" t="s">
        <v>20712</v>
      </c>
      <c r="G10305" s="1">
        <v>8.91</v>
      </c>
    </row>
    <row r="10306" spans="1:7" ht="14.25" customHeight="1" x14ac:dyDescent="0.45">
      <c r="A10306" t="str">
        <f>_xlfn.XLOOKUP(B10306,Ingot!$H$12:$H$119,Ingot!$G$12:$G$119,"")</f>
        <v>Glass</v>
      </c>
      <c r="B10306" t="s">
        <v>20572</v>
      </c>
      <c r="C10306" t="s">
        <v>10</v>
      </c>
      <c r="D10306" t="s">
        <v>20713</v>
      </c>
      <c r="E10306" t="s">
        <v>20714</v>
      </c>
      <c r="G10306" s="1">
        <v>11.02</v>
      </c>
    </row>
    <row r="10307" spans="1:7" ht="14.25" customHeight="1" x14ac:dyDescent="0.45">
      <c r="A10307" t="str">
        <f>_xlfn.XLOOKUP(B10307,Ingot!$H$12:$H$119,Ingot!$G$12:$G$119,"")</f>
        <v>Glass</v>
      </c>
      <c r="B10307" t="s">
        <v>20572</v>
      </c>
      <c r="C10307" t="s">
        <v>10</v>
      </c>
      <c r="D10307" t="s">
        <v>20715</v>
      </c>
      <c r="E10307" t="s">
        <v>20716</v>
      </c>
      <c r="G10307" s="1">
        <v>5.12</v>
      </c>
    </row>
    <row r="10308" spans="1:7" ht="14.25" customHeight="1" x14ac:dyDescent="0.45">
      <c r="A10308" t="str">
        <f>_xlfn.XLOOKUP(B10308,Ingot!$H$12:$H$119,Ingot!$G$12:$G$119,"")</f>
        <v>Glass</v>
      </c>
      <c r="B10308" t="s">
        <v>20572</v>
      </c>
      <c r="C10308" t="s">
        <v>10</v>
      </c>
      <c r="D10308" t="s">
        <v>20717</v>
      </c>
      <c r="E10308" t="s">
        <v>20718</v>
      </c>
      <c r="G10308" s="1">
        <v>4.41</v>
      </c>
    </row>
    <row r="10309" spans="1:7" ht="14.25" customHeight="1" x14ac:dyDescent="0.45">
      <c r="A10309" t="str">
        <f>_xlfn.XLOOKUP(B10309,Ingot!$H$12:$H$119,Ingot!$G$12:$G$119,"")</f>
        <v>Glass</v>
      </c>
      <c r="B10309" t="s">
        <v>20572</v>
      </c>
      <c r="C10309" t="s">
        <v>157</v>
      </c>
      <c r="D10309" t="s">
        <v>20719</v>
      </c>
      <c r="E10309" t="s">
        <v>20720</v>
      </c>
      <c r="G10309" s="1">
        <v>28</v>
      </c>
    </row>
    <row r="10310" spans="1:7" ht="14.25" customHeight="1" x14ac:dyDescent="0.45">
      <c r="A10310" t="str">
        <f>_xlfn.XLOOKUP(B10310,Ingot!$H$12:$H$119,Ingot!$G$12:$G$119,"")</f>
        <v>Glass</v>
      </c>
      <c r="B10310" t="s">
        <v>20572</v>
      </c>
      <c r="C10310" t="s">
        <v>157</v>
      </c>
      <c r="D10310" t="s">
        <v>20721</v>
      </c>
      <c r="E10310" t="s">
        <v>20722</v>
      </c>
      <c r="G10310" s="1">
        <v>5.6</v>
      </c>
    </row>
    <row r="10311" spans="1:7" ht="14.25" customHeight="1" x14ac:dyDescent="0.45">
      <c r="A10311" t="str">
        <f>_xlfn.XLOOKUP(B10311,Ingot!$H$12:$H$119,Ingot!$G$12:$G$119,"")</f>
        <v>Glass</v>
      </c>
      <c r="B10311" t="s">
        <v>20572</v>
      </c>
      <c r="C10311" t="s">
        <v>157</v>
      </c>
      <c r="D10311" t="s">
        <v>20723</v>
      </c>
      <c r="E10311" t="s">
        <v>20724</v>
      </c>
      <c r="G10311" s="1">
        <v>5.6</v>
      </c>
    </row>
    <row r="10312" spans="1:7" ht="14.25" customHeight="1" x14ac:dyDescent="0.45">
      <c r="A10312" t="str">
        <f>_xlfn.XLOOKUP(B10312,Ingot!$H$12:$H$119,Ingot!$G$12:$G$119,"")</f>
        <v>Glass</v>
      </c>
      <c r="B10312" t="s">
        <v>20572</v>
      </c>
      <c r="C10312" t="s">
        <v>157</v>
      </c>
      <c r="D10312" t="s">
        <v>20725</v>
      </c>
      <c r="E10312" t="s">
        <v>20726</v>
      </c>
      <c r="G10312" s="1">
        <v>5</v>
      </c>
    </row>
    <row r="10313" spans="1:7" ht="14.25" customHeight="1" x14ac:dyDescent="0.45">
      <c r="A10313" t="str">
        <f>_xlfn.XLOOKUP(B10313,Ingot!$H$12:$H$119,Ingot!$G$12:$G$119,"")</f>
        <v>Glass</v>
      </c>
      <c r="B10313" t="s">
        <v>20572</v>
      </c>
      <c r="C10313" t="s">
        <v>157</v>
      </c>
      <c r="D10313" t="s">
        <v>20727</v>
      </c>
      <c r="E10313" t="s">
        <v>20728</v>
      </c>
      <c r="G10313" s="1">
        <v>10</v>
      </c>
    </row>
    <row r="10314" spans="1:7" ht="14.25" customHeight="1" x14ac:dyDescent="0.45">
      <c r="A10314" t="str">
        <f>_xlfn.XLOOKUP(B10314,Ingot!$H$12:$H$119,Ingot!$G$12:$G$119,"")</f>
        <v>Glass</v>
      </c>
      <c r="B10314" t="s">
        <v>20572</v>
      </c>
      <c r="C10314" t="s">
        <v>157</v>
      </c>
      <c r="D10314" t="s">
        <v>20729</v>
      </c>
      <c r="E10314" t="s">
        <v>20730</v>
      </c>
      <c r="G10314" s="1">
        <v>24</v>
      </c>
    </row>
    <row r="10315" spans="1:7" ht="14.25" customHeight="1" x14ac:dyDescent="0.45">
      <c r="A10315" t="str">
        <f>_xlfn.XLOOKUP(B10315,Ingot!$H$12:$H$119,Ingot!$G$12:$G$119,"")</f>
        <v>Glass</v>
      </c>
      <c r="B10315" t="s">
        <v>20572</v>
      </c>
      <c r="C10315" t="s">
        <v>157</v>
      </c>
      <c r="D10315" t="s">
        <v>20731</v>
      </c>
      <c r="E10315" t="s">
        <v>20732</v>
      </c>
      <c r="G10315" s="1">
        <v>5</v>
      </c>
    </row>
    <row r="10316" spans="1:7" ht="14.25" customHeight="1" x14ac:dyDescent="0.45">
      <c r="A10316" t="str">
        <f>_xlfn.XLOOKUP(B10316,Ingot!$H$12:$H$119,Ingot!$G$12:$G$119,"")</f>
        <v>Glass</v>
      </c>
      <c r="B10316" t="s">
        <v>20572</v>
      </c>
      <c r="C10316" t="s">
        <v>157</v>
      </c>
      <c r="D10316" t="s">
        <v>20733</v>
      </c>
      <c r="E10316" t="s">
        <v>20734</v>
      </c>
      <c r="G10316" s="1">
        <v>5</v>
      </c>
    </row>
    <row r="10317" spans="1:7" ht="14.25" customHeight="1" x14ac:dyDescent="0.45">
      <c r="A10317" t="str">
        <f>_xlfn.XLOOKUP(B10317,Ingot!$H$12:$H$119,Ingot!$G$12:$G$119,"")</f>
        <v>Glass</v>
      </c>
      <c r="B10317" t="s">
        <v>20572</v>
      </c>
      <c r="C10317" t="s">
        <v>157</v>
      </c>
      <c r="D10317" t="s">
        <v>20735</v>
      </c>
      <c r="E10317" t="s">
        <v>20736</v>
      </c>
      <c r="G10317" s="1">
        <v>5</v>
      </c>
    </row>
    <row r="10318" spans="1:7" ht="14.25" customHeight="1" x14ac:dyDescent="0.45">
      <c r="A10318" t="str">
        <f>_xlfn.XLOOKUP(B10318,Ingot!$H$12:$H$119,Ingot!$G$12:$G$119,"")</f>
        <v>Glass</v>
      </c>
      <c r="B10318" t="s">
        <v>20572</v>
      </c>
      <c r="C10318" t="s">
        <v>157</v>
      </c>
      <c r="D10318" t="s">
        <v>20737</v>
      </c>
      <c r="E10318" t="s">
        <v>20738</v>
      </c>
      <c r="G10318" s="1">
        <v>10</v>
      </c>
    </row>
    <row r="10319" spans="1:7" ht="14.25" customHeight="1" x14ac:dyDescent="0.45">
      <c r="A10319" t="str">
        <f>_xlfn.XLOOKUP(B10319,Ingot!$H$12:$H$119,Ingot!$G$12:$G$119,"")</f>
        <v>Glass</v>
      </c>
      <c r="B10319" t="s">
        <v>20572</v>
      </c>
      <c r="C10319" t="s">
        <v>157</v>
      </c>
      <c r="D10319" t="s">
        <v>20739</v>
      </c>
      <c r="E10319" t="s">
        <v>20740</v>
      </c>
      <c r="F10319" t="s">
        <v>180</v>
      </c>
      <c r="G10319" s="1">
        <v>23</v>
      </c>
    </row>
    <row r="10320" spans="1:7" ht="14.25" customHeight="1" x14ac:dyDescent="0.45">
      <c r="A10320" t="str">
        <f>_xlfn.XLOOKUP(B10320,Ingot!$H$12:$H$119,Ingot!$G$12:$G$119,"")</f>
        <v>Glass</v>
      </c>
      <c r="B10320" t="s">
        <v>20572</v>
      </c>
      <c r="C10320" t="s">
        <v>157</v>
      </c>
      <c r="D10320" t="s">
        <v>20741</v>
      </c>
      <c r="E10320" t="s">
        <v>20742</v>
      </c>
      <c r="F10320" t="s">
        <v>180</v>
      </c>
      <c r="G10320" s="1">
        <v>5</v>
      </c>
    </row>
    <row r="10321" spans="1:7" ht="14.25" customHeight="1" x14ac:dyDescent="0.45">
      <c r="A10321" t="str">
        <f>_xlfn.XLOOKUP(B10321,Ingot!$H$12:$H$119,Ingot!$G$12:$G$119,"")</f>
        <v>Glass</v>
      </c>
      <c r="B10321" t="s">
        <v>20572</v>
      </c>
      <c r="C10321" t="s">
        <v>157</v>
      </c>
      <c r="D10321" t="s">
        <v>20743</v>
      </c>
      <c r="E10321" t="s">
        <v>20744</v>
      </c>
      <c r="F10321" t="s">
        <v>180</v>
      </c>
      <c r="G10321" s="1">
        <v>5</v>
      </c>
    </row>
    <row r="10322" spans="1:7" ht="14.25" customHeight="1" x14ac:dyDescent="0.45">
      <c r="A10322" t="str">
        <f>_xlfn.XLOOKUP(B10322,Ingot!$H$12:$H$119,Ingot!$G$12:$G$119,"")</f>
        <v>Glass</v>
      </c>
      <c r="B10322" t="s">
        <v>20572</v>
      </c>
      <c r="C10322" t="s">
        <v>157</v>
      </c>
      <c r="D10322" t="s">
        <v>20745</v>
      </c>
      <c r="E10322" t="s">
        <v>20746</v>
      </c>
      <c r="F10322" t="s">
        <v>180</v>
      </c>
      <c r="G10322" s="1">
        <v>5</v>
      </c>
    </row>
    <row r="10323" spans="1:7" ht="14.25" customHeight="1" x14ac:dyDescent="0.45">
      <c r="A10323" t="str">
        <f>_xlfn.XLOOKUP(B10323,Ingot!$H$12:$H$119,Ingot!$G$12:$G$119,"")</f>
        <v>Glass</v>
      </c>
      <c r="B10323" t="s">
        <v>20572</v>
      </c>
      <c r="C10323" t="s">
        <v>157</v>
      </c>
      <c r="D10323" t="s">
        <v>20747</v>
      </c>
      <c r="E10323" t="s">
        <v>20748</v>
      </c>
      <c r="F10323" t="s">
        <v>180</v>
      </c>
      <c r="G10323" s="1">
        <v>10</v>
      </c>
    </row>
    <row r="10324" spans="1:7" ht="14.25" customHeight="1" x14ac:dyDescent="0.45">
      <c r="A10324" t="str">
        <f>_xlfn.XLOOKUP(B10324,Ingot!$H$12:$H$119,Ingot!$G$12:$G$119,"")</f>
        <v>Glass</v>
      </c>
      <c r="B10324" t="s">
        <v>20572</v>
      </c>
      <c r="C10324" t="s">
        <v>157</v>
      </c>
      <c r="D10324" t="s">
        <v>20749</v>
      </c>
      <c r="E10324" t="s">
        <v>20750</v>
      </c>
      <c r="G10324" s="1">
        <v>25</v>
      </c>
    </row>
    <row r="10325" spans="1:7" ht="14.25" customHeight="1" x14ac:dyDescent="0.45">
      <c r="A10325" t="str">
        <f>_xlfn.XLOOKUP(B10325,Ingot!$H$12:$H$119,Ingot!$G$12:$G$119,"")</f>
        <v>Glass</v>
      </c>
      <c r="B10325" t="s">
        <v>20572</v>
      </c>
      <c r="C10325" t="s">
        <v>157</v>
      </c>
      <c r="D10325" t="s">
        <v>20751</v>
      </c>
      <c r="E10325" t="s">
        <v>20752</v>
      </c>
      <c r="G10325" s="1">
        <v>5</v>
      </c>
    </row>
    <row r="10326" spans="1:7" ht="14.25" customHeight="1" x14ac:dyDescent="0.45">
      <c r="A10326" t="str">
        <f>_xlfn.XLOOKUP(B10326,Ingot!$H$12:$H$119,Ingot!$G$12:$G$119,"")</f>
        <v>Glass</v>
      </c>
      <c r="B10326" t="s">
        <v>20572</v>
      </c>
      <c r="C10326" t="s">
        <v>157</v>
      </c>
      <c r="D10326" t="s">
        <v>20753</v>
      </c>
      <c r="E10326" t="s">
        <v>20754</v>
      </c>
      <c r="G10326" s="1">
        <v>5</v>
      </c>
    </row>
    <row r="10327" spans="1:7" ht="14.25" customHeight="1" x14ac:dyDescent="0.45">
      <c r="A10327" t="str">
        <f>_xlfn.XLOOKUP(B10327,Ingot!$H$12:$H$119,Ingot!$G$12:$G$119,"")</f>
        <v>Glass</v>
      </c>
      <c r="B10327" t="s">
        <v>20572</v>
      </c>
      <c r="C10327" t="s">
        <v>157</v>
      </c>
      <c r="D10327" t="s">
        <v>20755</v>
      </c>
      <c r="E10327" t="s">
        <v>20756</v>
      </c>
      <c r="G10327" s="1">
        <v>5</v>
      </c>
    </row>
    <row r="10328" spans="1:7" ht="14.25" customHeight="1" x14ac:dyDescent="0.45">
      <c r="A10328" t="str">
        <f>_xlfn.XLOOKUP(B10328,Ingot!$H$12:$H$119,Ingot!$G$12:$G$119,"")</f>
        <v>Glass</v>
      </c>
      <c r="B10328" t="s">
        <v>20572</v>
      </c>
      <c r="C10328" t="s">
        <v>157</v>
      </c>
      <c r="D10328" t="s">
        <v>20757</v>
      </c>
      <c r="E10328" t="s">
        <v>20758</v>
      </c>
      <c r="G10328" s="1">
        <v>10</v>
      </c>
    </row>
    <row r="10329" spans="1:7" ht="14.25" customHeight="1" x14ac:dyDescent="0.45">
      <c r="A10329" t="str">
        <f>_xlfn.XLOOKUP(B10329,Ingot!$H$12:$H$119,Ingot!$G$12:$G$119,"")</f>
        <v>Glass</v>
      </c>
      <c r="B10329" t="s">
        <v>20572</v>
      </c>
      <c r="C10329" t="s">
        <v>157</v>
      </c>
      <c r="D10329" t="s">
        <v>20759</v>
      </c>
      <c r="E10329" t="s">
        <v>20760</v>
      </c>
      <c r="G10329" s="1">
        <v>26.5</v>
      </c>
    </row>
    <row r="10330" spans="1:7" ht="14.25" customHeight="1" x14ac:dyDescent="0.45">
      <c r="A10330" t="str">
        <f>_xlfn.XLOOKUP(B10330,Ingot!$H$12:$H$119,Ingot!$G$12:$G$119,"")</f>
        <v>Glass</v>
      </c>
      <c r="B10330" t="s">
        <v>20572</v>
      </c>
      <c r="C10330" t="s">
        <v>157</v>
      </c>
      <c r="D10330" t="s">
        <v>20761</v>
      </c>
      <c r="E10330" t="s">
        <v>20762</v>
      </c>
      <c r="F10330" t="s">
        <v>180</v>
      </c>
      <c r="G10330" s="1">
        <v>5.3</v>
      </c>
    </row>
    <row r="10331" spans="1:7" ht="14.25" customHeight="1" x14ac:dyDescent="0.45">
      <c r="A10331" t="str">
        <f>_xlfn.XLOOKUP(B10331,Ingot!$H$12:$H$119,Ingot!$G$12:$G$119,"")</f>
        <v>Glass</v>
      </c>
      <c r="B10331" t="s">
        <v>20572</v>
      </c>
      <c r="C10331" t="s">
        <v>157</v>
      </c>
      <c r="D10331" t="s">
        <v>20763</v>
      </c>
      <c r="E10331" t="s">
        <v>20764</v>
      </c>
      <c r="F10331" t="s">
        <v>180</v>
      </c>
      <c r="G10331" s="1">
        <v>5.3</v>
      </c>
    </row>
    <row r="10332" spans="1:7" ht="14.25" customHeight="1" x14ac:dyDescent="0.45">
      <c r="A10332" t="str">
        <f>_xlfn.XLOOKUP(B10332,Ingot!$H$12:$H$119,Ingot!$G$12:$G$119,"")</f>
        <v>Glass</v>
      </c>
      <c r="B10332" t="s">
        <v>20572</v>
      </c>
      <c r="C10332" t="s">
        <v>157</v>
      </c>
      <c r="D10332" t="s">
        <v>20765</v>
      </c>
      <c r="E10332" t="s">
        <v>20766</v>
      </c>
      <c r="F10332" t="s">
        <v>180</v>
      </c>
      <c r="G10332" s="1">
        <v>5</v>
      </c>
    </row>
    <row r="10333" spans="1:7" ht="14.25" customHeight="1" x14ac:dyDescent="0.45">
      <c r="A10333" t="str">
        <f>_xlfn.XLOOKUP(B10333,Ingot!$H$12:$H$119,Ingot!$G$12:$G$119,"")</f>
        <v>Glass</v>
      </c>
      <c r="B10333" t="s">
        <v>20572</v>
      </c>
      <c r="C10333" t="s">
        <v>157</v>
      </c>
      <c r="D10333" t="s">
        <v>20767</v>
      </c>
      <c r="E10333" t="s">
        <v>20768</v>
      </c>
      <c r="G10333" s="1">
        <v>10</v>
      </c>
    </row>
    <row r="10334" spans="1:7" ht="14.25" customHeight="1" x14ac:dyDescent="0.45">
      <c r="A10334" t="str">
        <f>_xlfn.XLOOKUP(B10334,Ingot!$H$12:$H$119,Ingot!$G$12:$G$119,"")</f>
        <v>Glass</v>
      </c>
      <c r="B10334" t="s">
        <v>20572</v>
      </c>
      <c r="C10334" t="s">
        <v>157</v>
      </c>
      <c r="D10334" t="s">
        <v>20769</v>
      </c>
      <c r="E10334" t="s">
        <v>20770</v>
      </c>
      <c r="G10334" s="1">
        <v>31</v>
      </c>
    </row>
    <row r="10335" spans="1:7" ht="14.25" customHeight="1" x14ac:dyDescent="0.45">
      <c r="A10335" t="str">
        <f>_xlfn.XLOOKUP(B10335,Ingot!$H$12:$H$119,Ingot!$G$12:$G$119,"")</f>
        <v>Glass</v>
      </c>
      <c r="B10335" t="s">
        <v>20572</v>
      </c>
      <c r="C10335" t="s">
        <v>157</v>
      </c>
      <c r="D10335" t="s">
        <v>20771</v>
      </c>
      <c r="E10335" t="s">
        <v>20772</v>
      </c>
      <c r="G10335" s="1">
        <v>6.2</v>
      </c>
    </row>
    <row r="10336" spans="1:7" ht="14.25" customHeight="1" x14ac:dyDescent="0.45">
      <c r="A10336" t="str">
        <f>_xlfn.XLOOKUP(B10336,Ingot!$H$12:$H$119,Ingot!$G$12:$G$119,"")</f>
        <v>Glass</v>
      </c>
      <c r="B10336" t="s">
        <v>20572</v>
      </c>
      <c r="C10336" t="s">
        <v>157</v>
      </c>
      <c r="D10336" t="s">
        <v>20773</v>
      </c>
      <c r="E10336" t="s">
        <v>20774</v>
      </c>
      <c r="G10336" s="1">
        <v>6.2</v>
      </c>
    </row>
    <row r="10337" spans="1:7" ht="14.25" customHeight="1" x14ac:dyDescent="0.45">
      <c r="A10337" t="str">
        <f>_xlfn.XLOOKUP(B10337,Ingot!$H$12:$H$119,Ingot!$G$12:$G$119,"")</f>
        <v>Glass</v>
      </c>
      <c r="B10337" t="s">
        <v>20572</v>
      </c>
      <c r="C10337" t="s">
        <v>157</v>
      </c>
      <c r="D10337" t="s">
        <v>20775</v>
      </c>
      <c r="E10337" t="s">
        <v>20776</v>
      </c>
      <c r="G10337" s="1">
        <v>5</v>
      </c>
    </row>
    <row r="10338" spans="1:7" ht="14.25" customHeight="1" x14ac:dyDescent="0.45">
      <c r="A10338" t="str">
        <f>_xlfn.XLOOKUP(B10338,Ingot!$H$12:$H$119,Ingot!$G$12:$G$119,"")</f>
        <v>Glass</v>
      </c>
      <c r="B10338" t="s">
        <v>20572</v>
      </c>
      <c r="C10338" t="s">
        <v>157</v>
      </c>
      <c r="D10338" t="s">
        <v>20777</v>
      </c>
      <c r="E10338" t="s">
        <v>20778</v>
      </c>
      <c r="G10338" s="1">
        <v>10</v>
      </c>
    </row>
    <row r="10339" spans="1:7" ht="14.25" customHeight="1" x14ac:dyDescent="0.45">
      <c r="A10339" t="str">
        <f>_xlfn.XLOOKUP(B10339,Ingot!$H$12:$H$119,Ingot!$G$12:$G$119,"")</f>
        <v>Glass</v>
      </c>
      <c r="B10339" t="s">
        <v>20572</v>
      </c>
      <c r="C10339" t="s">
        <v>157</v>
      </c>
      <c r="D10339" t="s">
        <v>20779</v>
      </c>
      <c r="E10339" t="s">
        <v>20780</v>
      </c>
      <c r="G10339" s="1">
        <v>29.5</v>
      </c>
    </row>
    <row r="10340" spans="1:7" ht="14.25" customHeight="1" x14ac:dyDescent="0.45">
      <c r="A10340" t="str">
        <f>_xlfn.XLOOKUP(B10340,Ingot!$H$12:$H$119,Ingot!$G$12:$G$119,"")</f>
        <v>Glass</v>
      </c>
      <c r="B10340" t="s">
        <v>20572</v>
      </c>
      <c r="C10340" t="s">
        <v>157</v>
      </c>
      <c r="D10340" t="s">
        <v>20781</v>
      </c>
      <c r="E10340" t="s">
        <v>20782</v>
      </c>
      <c r="G10340" s="1">
        <v>5.9</v>
      </c>
    </row>
    <row r="10341" spans="1:7" ht="14.25" customHeight="1" x14ac:dyDescent="0.45">
      <c r="A10341" t="str">
        <f>_xlfn.XLOOKUP(B10341,Ingot!$H$12:$H$119,Ingot!$G$12:$G$119,"")</f>
        <v>Glass</v>
      </c>
      <c r="B10341" t="s">
        <v>20572</v>
      </c>
      <c r="C10341" t="s">
        <v>157</v>
      </c>
      <c r="D10341" t="s">
        <v>20783</v>
      </c>
      <c r="E10341" t="s">
        <v>20784</v>
      </c>
      <c r="G10341" s="1">
        <v>5.9</v>
      </c>
    </row>
    <row r="10342" spans="1:7" ht="14.25" customHeight="1" x14ac:dyDescent="0.45">
      <c r="A10342" t="str">
        <f>_xlfn.XLOOKUP(B10342,Ingot!$H$12:$H$119,Ingot!$G$12:$G$119,"")</f>
        <v>Glass</v>
      </c>
      <c r="B10342" t="s">
        <v>20572</v>
      </c>
      <c r="C10342" t="s">
        <v>157</v>
      </c>
      <c r="D10342" t="s">
        <v>20785</v>
      </c>
      <c r="E10342" t="s">
        <v>20786</v>
      </c>
      <c r="G10342" s="1">
        <v>5</v>
      </c>
    </row>
    <row r="10343" spans="1:7" ht="14.25" customHeight="1" x14ac:dyDescent="0.45">
      <c r="A10343" t="str">
        <f>_xlfn.XLOOKUP(B10343,Ingot!$H$12:$H$119,Ingot!$G$12:$G$119,"")</f>
        <v>Glass</v>
      </c>
      <c r="B10343" t="s">
        <v>20572</v>
      </c>
      <c r="C10343" t="s">
        <v>157</v>
      </c>
      <c r="D10343" t="s">
        <v>20787</v>
      </c>
      <c r="E10343" t="s">
        <v>20788</v>
      </c>
      <c r="G10343" s="1">
        <v>10</v>
      </c>
    </row>
    <row r="10344" spans="1:7" ht="14.25" customHeight="1" x14ac:dyDescent="0.45">
      <c r="A10344" t="str">
        <f>_xlfn.XLOOKUP(B10344,Ingot!$H$12:$H$119,Ingot!$G$12:$G$119,"")</f>
        <v>Glass</v>
      </c>
      <c r="B10344" t="s">
        <v>20572</v>
      </c>
      <c r="C10344" t="s">
        <v>157</v>
      </c>
      <c r="D10344" t="s">
        <v>20789</v>
      </c>
      <c r="E10344" t="s">
        <v>20790</v>
      </c>
      <c r="F10344" t="s">
        <v>180</v>
      </c>
      <c r="G10344" s="1">
        <v>22</v>
      </c>
    </row>
    <row r="10345" spans="1:7" ht="14.25" customHeight="1" x14ac:dyDescent="0.45">
      <c r="A10345" t="str">
        <f>_xlfn.XLOOKUP(B10345,Ingot!$H$12:$H$119,Ingot!$G$12:$G$119,"")</f>
        <v>Glass</v>
      </c>
      <c r="B10345" t="s">
        <v>20572</v>
      </c>
      <c r="C10345" t="s">
        <v>157</v>
      </c>
      <c r="D10345" t="s">
        <v>20791</v>
      </c>
      <c r="E10345" t="s">
        <v>20792</v>
      </c>
      <c r="F10345" t="s">
        <v>180</v>
      </c>
      <c r="G10345" s="1">
        <v>5</v>
      </c>
    </row>
    <row r="10346" spans="1:7" ht="14.25" customHeight="1" x14ac:dyDescent="0.45">
      <c r="A10346" t="str">
        <f>_xlfn.XLOOKUP(B10346,Ingot!$H$12:$H$119,Ingot!$G$12:$G$119,"")</f>
        <v>Glass</v>
      </c>
      <c r="B10346" t="s">
        <v>20572</v>
      </c>
      <c r="C10346" t="s">
        <v>157</v>
      </c>
      <c r="D10346" t="s">
        <v>20793</v>
      </c>
      <c r="E10346" t="s">
        <v>20794</v>
      </c>
      <c r="F10346" t="s">
        <v>180</v>
      </c>
      <c r="G10346" s="1">
        <v>5</v>
      </c>
    </row>
    <row r="10347" spans="1:7" ht="14.25" customHeight="1" x14ac:dyDescent="0.45">
      <c r="A10347" t="str">
        <f>_xlfn.XLOOKUP(B10347,Ingot!$H$12:$H$119,Ingot!$G$12:$G$119,"")</f>
        <v>Glass</v>
      </c>
      <c r="B10347" t="s">
        <v>20572</v>
      </c>
      <c r="C10347" t="s">
        <v>157</v>
      </c>
      <c r="D10347" t="s">
        <v>20795</v>
      </c>
      <c r="E10347" t="s">
        <v>20796</v>
      </c>
      <c r="F10347" t="s">
        <v>180</v>
      </c>
      <c r="G10347" s="1">
        <v>5</v>
      </c>
    </row>
    <row r="10348" spans="1:7" ht="14.25" customHeight="1" x14ac:dyDescent="0.45">
      <c r="A10348" t="str">
        <f>_xlfn.XLOOKUP(B10348,Ingot!$H$12:$H$119,Ingot!$G$12:$G$119,"")</f>
        <v>Glass</v>
      </c>
      <c r="B10348" t="s">
        <v>20572</v>
      </c>
      <c r="C10348" t="s">
        <v>157</v>
      </c>
      <c r="D10348" t="s">
        <v>20797</v>
      </c>
      <c r="E10348" t="s">
        <v>20798</v>
      </c>
      <c r="F10348" t="s">
        <v>180</v>
      </c>
      <c r="G10348" s="1">
        <v>10</v>
      </c>
    </row>
    <row r="10349" spans="1:7" ht="14.25" customHeight="1" x14ac:dyDescent="0.45">
      <c r="A10349" t="str">
        <f>_xlfn.XLOOKUP(B10349,Ingot!$H$12:$H$119,Ingot!$G$12:$G$119,"")</f>
        <v>Glass</v>
      </c>
      <c r="B10349" t="s">
        <v>20572</v>
      </c>
      <c r="C10349" t="s">
        <v>239</v>
      </c>
      <c r="D10349" t="s">
        <v>20799</v>
      </c>
      <c r="E10349" t="s">
        <v>20800</v>
      </c>
      <c r="G10349" s="1">
        <f>(VLOOKUP(B10349,Ingot!H:I,2,FALSE()) * 0.75) * 0.75</f>
        <v>3.9375</v>
      </c>
    </row>
    <row r="10350" spans="1:7" ht="14.25" customHeight="1" x14ac:dyDescent="0.45">
      <c r="A10350" t="str">
        <f>_xlfn.XLOOKUP(B10350,Ingot!$H$12:$H$119,Ingot!$G$12:$G$119,"")</f>
        <v>Glass</v>
      </c>
      <c r="B10350" t="s">
        <v>20572</v>
      </c>
      <c r="C10350" t="s">
        <v>239</v>
      </c>
      <c r="D10350" t="s">
        <v>20801</v>
      </c>
      <c r="E10350" t="s">
        <v>20802</v>
      </c>
      <c r="G10350" s="1">
        <f>((VLOOKUP(B10350,Ingot!H:I,2,FALSE()) * 3) - 10.25) * 0.421875</f>
        <v>4.53515625</v>
      </c>
    </row>
    <row r="10351" spans="1:7" ht="14.25" customHeight="1" x14ac:dyDescent="0.45">
      <c r="A10351" t="str">
        <f>_xlfn.XLOOKUP(B10351,Ingot!$H$12:$H$119,Ingot!$G$12:$G$119,"")</f>
        <v>Glass</v>
      </c>
      <c r="B10351" t="s">
        <v>20572</v>
      </c>
      <c r="C10351" t="s">
        <v>239</v>
      </c>
      <c r="D10351" t="s">
        <v>20803</v>
      </c>
      <c r="E10351" t="s">
        <v>20804</v>
      </c>
      <c r="G10351" s="1">
        <f>((VLOOKUP(B10351,Ingot!H:I,2,FALSE()) * 3) - 10.25) * 0.75</f>
        <v>8.0625</v>
      </c>
    </row>
    <row r="10352" spans="1:7" ht="14.25" customHeight="1" x14ac:dyDescent="0.45">
      <c r="A10352" t="str">
        <f>_xlfn.XLOOKUP(B10352,Ingot!$H$12:$H$119,Ingot!$G$12:$G$119,"")</f>
        <v>Glass</v>
      </c>
      <c r="B10352" t="s">
        <v>20572</v>
      </c>
      <c r="C10352" t="s">
        <v>239</v>
      </c>
      <c r="D10352" t="s">
        <v>20805</v>
      </c>
      <c r="E10352" t="s">
        <v>20806</v>
      </c>
      <c r="G10352" s="1">
        <f>((VLOOKUP(B10352,Ingot!H:I,2,FALSE()) * 3) - 10.25) * 0.5625</f>
        <v>6.046875</v>
      </c>
    </row>
    <row r="10353" spans="1:7" ht="14.25" customHeight="1" x14ac:dyDescent="0.45">
      <c r="A10353" t="str">
        <f>_xlfn.XLOOKUP(B10353,Ingot!$H$12:$H$119,Ingot!$G$12:$G$119,"")</f>
        <v>Glass</v>
      </c>
      <c r="B10353" t="s">
        <v>20572</v>
      </c>
      <c r="C10353" t="s">
        <v>239</v>
      </c>
      <c r="D10353" t="s">
        <v>20807</v>
      </c>
      <c r="E10353" t="s">
        <v>20808</v>
      </c>
      <c r="G10353" s="1">
        <f>VLOOKUP(B10353,Ingot!H:I,2,FALSE()) * 0.75</f>
        <v>5.25</v>
      </c>
    </row>
    <row r="10354" spans="1:7" ht="14.25" customHeight="1" x14ac:dyDescent="0.45">
      <c r="A10354" t="str">
        <f>_xlfn.XLOOKUP(B10354,Ingot!$H$12:$H$119,Ingot!$G$12:$G$119,"")</f>
        <v>Glass</v>
      </c>
      <c r="B10354" t="s">
        <v>20572</v>
      </c>
      <c r="C10354" t="s">
        <v>239</v>
      </c>
      <c r="D10354" t="s">
        <v>20809</v>
      </c>
      <c r="E10354" t="s">
        <v>20810</v>
      </c>
      <c r="G10354" s="1">
        <f>(VLOOKUP(B10354,Ingot!H:I,2,FALSE()) * 3) - 10.25</f>
        <v>10.75</v>
      </c>
    </row>
    <row r="10355" spans="1:7" ht="14.25" customHeight="1" x14ac:dyDescent="0.45">
      <c r="A10355" t="str">
        <f>_xlfn.XLOOKUP(B10355,Ingot!$H$12:$H$119,Ingot!$G$12:$G$119,"")</f>
        <v>Glass</v>
      </c>
      <c r="B10355" t="s">
        <v>20811</v>
      </c>
      <c r="C10355" t="s">
        <v>10</v>
      </c>
      <c r="D10355" t="s">
        <v>20812</v>
      </c>
      <c r="E10355" t="s">
        <v>20813</v>
      </c>
      <c r="G10355" s="1">
        <v>0.08</v>
      </c>
    </row>
    <row r="10356" spans="1:7" ht="14.25" customHeight="1" x14ac:dyDescent="0.45">
      <c r="A10356" t="str">
        <f>_xlfn.XLOOKUP(B10356,Ingot!$H$12:$H$119,Ingot!$G$12:$G$119,"")</f>
        <v>Glass</v>
      </c>
      <c r="B10356" t="s">
        <v>20811</v>
      </c>
      <c r="C10356" t="s">
        <v>10</v>
      </c>
      <c r="D10356" t="s">
        <v>20814</v>
      </c>
      <c r="E10356" t="s">
        <v>20815</v>
      </c>
      <c r="G10356" s="1">
        <v>9.9</v>
      </c>
    </row>
    <row r="10357" spans="1:7" ht="14.25" customHeight="1" x14ac:dyDescent="0.45">
      <c r="A10357" t="str">
        <f>_xlfn.XLOOKUP(B10357,Ingot!$H$12:$H$119,Ingot!$G$12:$G$119,"")</f>
        <v>Glass</v>
      </c>
      <c r="B10357" t="s">
        <v>20811</v>
      </c>
      <c r="C10357" t="s">
        <v>10</v>
      </c>
      <c r="D10357" t="s">
        <v>20816</v>
      </c>
      <c r="E10357" t="s">
        <v>20817</v>
      </c>
      <c r="G10357" s="1">
        <v>5.66</v>
      </c>
    </row>
    <row r="10358" spans="1:7" ht="14.25" customHeight="1" x14ac:dyDescent="0.45">
      <c r="A10358" t="str">
        <f>_xlfn.XLOOKUP(B10358,Ingot!$H$12:$H$119,Ingot!$G$12:$G$119,"")</f>
        <v>Glass</v>
      </c>
      <c r="B10358" t="s">
        <v>20811</v>
      </c>
      <c r="C10358" t="s">
        <v>10</v>
      </c>
      <c r="D10358" t="s">
        <v>20818</v>
      </c>
      <c r="E10358" t="s">
        <v>20819</v>
      </c>
      <c r="G10358" s="1">
        <v>3.3</v>
      </c>
    </row>
    <row r="10359" spans="1:7" ht="14.25" customHeight="1" x14ac:dyDescent="0.45">
      <c r="A10359" t="str">
        <f>_xlfn.XLOOKUP(B10359,Ingot!$H$12:$H$119,Ingot!$G$12:$G$119,"")</f>
        <v>Glass</v>
      </c>
      <c r="B10359" t="s">
        <v>20811</v>
      </c>
      <c r="C10359" t="s">
        <v>10</v>
      </c>
      <c r="D10359" t="s">
        <v>20820</v>
      </c>
      <c r="E10359" t="s">
        <v>20821</v>
      </c>
      <c r="G10359" s="1">
        <v>0.66</v>
      </c>
    </row>
    <row r="10360" spans="1:7" ht="14.25" customHeight="1" x14ac:dyDescent="0.45">
      <c r="A10360" t="str">
        <f>_xlfn.XLOOKUP(B10360,Ingot!$H$12:$H$119,Ingot!$G$12:$G$119,"")</f>
        <v>Glass</v>
      </c>
      <c r="B10360" t="s">
        <v>20811</v>
      </c>
      <c r="C10360" t="s">
        <v>10</v>
      </c>
      <c r="D10360" t="s">
        <v>20822</v>
      </c>
      <c r="E10360" t="s">
        <v>20823</v>
      </c>
      <c r="G10360" s="1">
        <v>0.04</v>
      </c>
    </row>
    <row r="10361" spans="1:7" ht="14.25" customHeight="1" x14ac:dyDescent="0.45">
      <c r="A10361" t="str">
        <f>_xlfn.XLOOKUP(B10361,Ingot!$H$12:$H$119,Ingot!$G$12:$G$119,"")</f>
        <v>Glass</v>
      </c>
      <c r="B10361" t="s">
        <v>20811</v>
      </c>
      <c r="C10361" t="s">
        <v>10</v>
      </c>
      <c r="D10361" t="s">
        <v>20824</v>
      </c>
      <c r="E10361" t="s">
        <v>20825</v>
      </c>
      <c r="G10361" s="1">
        <v>0.33</v>
      </c>
    </row>
    <row r="10362" spans="1:7" ht="14.25" customHeight="1" x14ac:dyDescent="0.45">
      <c r="A10362" t="str">
        <f>_xlfn.XLOOKUP(B10362,Ingot!$H$12:$H$119,Ingot!$G$12:$G$119,"")</f>
        <v>Glass</v>
      </c>
      <c r="B10362" t="s">
        <v>20811</v>
      </c>
      <c r="C10362" t="s">
        <v>10</v>
      </c>
      <c r="D10362" t="s">
        <v>20826</v>
      </c>
      <c r="E10362" t="s">
        <v>20827</v>
      </c>
    </row>
    <row r="10363" spans="1:7" ht="14.25" customHeight="1" x14ac:dyDescent="0.45">
      <c r="A10363" t="str">
        <f>_xlfn.XLOOKUP(B10363,Ingot!$H$12:$H$119,Ingot!$G$12:$G$119,"")</f>
        <v>Glass</v>
      </c>
      <c r="B10363" t="s">
        <v>20811</v>
      </c>
      <c r="C10363" t="s">
        <v>10</v>
      </c>
      <c r="D10363" t="s">
        <v>20828</v>
      </c>
      <c r="E10363" t="s">
        <v>20829</v>
      </c>
      <c r="G10363" s="1">
        <v>0.05</v>
      </c>
    </row>
    <row r="10364" spans="1:7" ht="14.25" customHeight="1" x14ac:dyDescent="0.45">
      <c r="A10364" t="str">
        <f>_xlfn.XLOOKUP(B10364,Ingot!$H$12:$H$119,Ingot!$G$12:$G$119,"")</f>
        <v>Glass</v>
      </c>
      <c r="B10364" t="s">
        <v>20811</v>
      </c>
      <c r="C10364" t="s">
        <v>10</v>
      </c>
      <c r="D10364" t="s">
        <v>20830</v>
      </c>
      <c r="E10364" t="s">
        <v>20831</v>
      </c>
      <c r="G10364" s="1">
        <v>0.66</v>
      </c>
    </row>
    <row r="10365" spans="1:7" ht="14.25" customHeight="1" x14ac:dyDescent="0.45">
      <c r="A10365" t="str">
        <f>_xlfn.XLOOKUP(B10365,Ingot!$H$12:$H$119,Ingot!$G$12:$G$119,"")</f>
        <v>Glass</v>
      </c>
      <c r="B10365" t="s">
        <v>20811</v>
      </c>
      <c r="C10365" t="s">
        <v>10</v>
      </c>
      <c r="D10365" t="s">
        <v>20832</v>
      </c>
      <c r="E10365" t="s">
        <v>20833</v>
      </c>
      <c r="G10365" s="1">
        <v>3.96</v>
      </c>
    </row>
    <row r="10366" spans="1:7" ht="14.25" customHeight="1" x14ac:dyDescent="0.45">
      <c r="A10366" t="str">
        <f>_xlfn.XLOOKUP(B10366,Ingot!$H$12:$H$119,Ingot!$G$12:$G$119,"")</f>
        <v>Glass</v>
      </c>
      <c r="B10366" t="s">
        <v>20811</v>
      </c>
      <c r="C10366" t="s">
        <v>10</v>
      </c>
      <c r="D10366" t="s">
        <v>20834</v>
      </c>
      <c r="E10366" t="s">
        <v>20835</v>
      </c>
      <c r="G10366" s="1">
        <v>8.77</v>
      </c>
    </row>
    <row r="10367" spans="1:7" ht="14.25" customHeight="1" x14ac:dyDescent="0.45">
      <c r="A10367" t="str">
        <f>_xlfn.XLOOKUP(B10367,Ingot!$H$12:$H$119,Ingot!$G$12:$G$119,"")</f>
        <v>Glass</v>
      </c>
      <c r="B10367" t="s">
        <v>20811</v>
      </c>
      <c r="C10367" t="s">
        <v>10</v>
      </c>
      <c r="D10367" t="s">
        <v>20836</v>
      </c>
      <c r="E10367" t="s">
        <v>20837</v>
      </c>
      <c r="G10367" s="1">
        <v>3.5</v>
      </c>
    </row>
    <row r="10368" spans="1:7" ht="14.25" customHeight="1" x14ac:dyDescent="0.45">
      <c r="A10368" t="str">
        <f>_xlfn.XLOOKUP(B10368,Ingot!$H$12:$H$119,Ingot!$G$12:$G$119,"")</f>
        <v>Glass</v>
      </c>
      <c r="B10368" t="s">
        <v>20811</v>
      </c>
      <c r="C10368" t="s">
        <v>10</v>
      </c>
      <c r="D10368" t="s">
        <v>20838</v>
      </c>
      <c r="E10368" t="s">
        <v>20839</v>
      </c>
    </row>
    <row r="10369" spans="1:7" ht="14.25" customHeight="1" x14ac:dyDescent="0.45">
      <c r="A10369" t="str">
        <f>_xlfn.XLOOKUP(B10369,Ingot!$H$12:$H$119,Ingot!$G$12:$G$119,"")</f>
        <v>Glass</v>
      </c>
      <c r="B10369" t="s">
        <v>20811</v>
      </c>
      <c r="C10369" t="s">
        <v>10</v>
      </c>
      <c r="D10369" t="s">
        <v>20840</v>
      </c>
      <c r="E10369" t="s">
        <v>20841</v>
      </c>
      <c r="G10369" s="1">
        <v>2.2000000000000002</v>
      </c>
    </row>
    <row r="10370" spans="1:7" ht="14.25" customHeight="1" x14ac:dyDescent="0.45">
      <c r="A10370" t="str">
        <f>_xlfn.XLOOKUP(B10370,Ingot!$H$12:$H$119,Ingot!$G$12:$G$119,"")</f>
        <v>Glass</v>
      </c>
      <c r="B10370" t="s">
        <v>20811</v>
      </c>
      <c r="C10370" t="s">
        <v>10</v>
      </c>
      <c r="D10370" t="s">
        <v>20842</v>
      </c>
      <c r="E10370" t="s">
        <v>20843</v>
      </c>
      <c r="G10370" s="1">
        <v>1.1000000000000001</v>
      </c>
    </row>
    <row r="10371" spans="1:7" ht="14.25" customHeight="1" x14ac:dyDescent="0.45">
      <c r="A10371" t="str">
        <f>_xlfn.XLOOKUP(B10371,Ingot!$H$12:$H$119,Ingot!$G$12:$G$119,"")</f>
        <v>Glass</v>
      </c>
      <c r="B10371" t="s">
        <v>20811</v>
      </c>
      <c r="C10371" t="s">
        <v>10</v>
      </c>
      <c r="D10371" t="s">
        <v>20844</v>
      </c>
      <c r="E10371" t="s">
        <v>20845</v>
      </c>
      <c r="G10371" s="1">
        <v>0.22</v>
      </c>
    </row>
    <row r="10372" spans="1:7" ht="14.25" customHeight="1" x14ac:dyDescent="0.45">
      <c r="A10372" t="str">
        <f>_xlfn.XLOOKUP(B10372,Ingot!$H$12:$H$119,Ingot!$G$12:$G$119,"")</f>
        <v>Glass</v>
      </c>
      <c r="B10372" t="s">
        <v>20811</v>
      </c>
      <c r="C10372" t="s">
        <v>10</v>
      </c>
      <c r="D10372" t="s">
        <v>20846</v>
      </c>
      <c r="E10372" t="s">
        <v>20847</v>
      </c>
      <c r="G10372" s="1">
        <v>8.41</v>
      </c>
    </row>
    <row r="10373" spans="1:7" ht="14.25" customHeight="1" x14ac:dyDescent="0.45">
      <c r="A10373" t="str">
        <f>_xlfn.XLOOKUP(B10373,Ingot!$H$12:$H$119,Ingot!$G$12:$G$119,"")</f>
        <v>Glass</v>
      </c>
      <c r="B10373" t="s">
        <v>20811</v>
      </c>
      <c r="C10373" t="s">
        <v>10</v>
      </c>
      <c r="D10373" t="s">
        <v>20848</v>
      </c>
      <c r="E10373" t="s">
        <v>20849</v>
      </c>
      <c r="G10373" s="1">
        <v>3.64</v>
      </c>
    </row>
    <row r="10374" spans="1:7" ht="14.25" customHeight="1" x14ac:dyDescent="0.45">
      <c r="A10374" t="str">
        <f>_xlfn.XLOOKUP(B10374,Ingot!$H$12:$H$119,Ingot!$G$12:$G$119,"")</f>
        <v>Glass</v>
      </c>
      <c r="B10374" t="s">
        <v>20811</v>
      </c>
      <c r="C10374" t="s">
        <v>10</v>
      </c>
      <c r="D10374" t="s">
        <v>20850</v>
      </c>
      <c r="E10374" t="s">
        <v>20851</v>
      </c>
      <c r="G10374" s="1">
        <v>7.05</v>
      </c>
    </row>
    <row r="10375" spans="1:7" ht="14.25" customHeight="1" x14ac:dyDescent="0.45">
      <c r="A10375" t="str">
        <f>_xlfn.XLOOKUP(B10375,Ingot!$H$12:$H$119,Ingot!$G$12:$G$119,"")</f>
        <v>Glass</v>
      </c>
      <c r="B10375" t="s">
        <v>20811</v>
      </c>
      <c r="C10375" t="s">
        <v>10</v>
      </c>
      <c r="D10375" t="s">
        <v>20852</v>
      </c>
      <c r="E10375" t="s">
        <v>20853</v>
      </c>
      <c r="G10375" s="1">
        <v>2.65</v>
      </c>
    </row>
    <row r="10376" spans="1:7" ht="14.25" customHeight="1" x14ac:dyDescent="0.45">
      <c r="A10376" t="str">
        <f>_xlfn.XLOOKUP(B10376,Ingot!$H$12:$H$119,Ingot!$G$12:$G$119,"")</f>
        <v>Glass</v>
      </c>
      <c r="B10376" t="s">
        <v>20811</v>
      </c>
      <c r="C10376" t="s">
        <v>10</v>
      </c>
      <c r="D10376" t="s">
        <v>20854</v>
      </c>
      <c r="E10376" t="s">
        <v>20855</v>
      </c>
      <c r="G10376" s="1">
        <v>9</v>
      </c>
    </row>
    <row r="10377" spans="1:7" ht="14.25" customHeight="1" x14ac:dyDescent="0.45">
      <c r="A10377" t="str">
        <f>_xlfn.XLOOKUP(B10377,Ingot!$H$12:$H$119,Ingot!$G$12:$G$119,"")</f>
        <v>Glass</v>
      </c>
      <c r="B10377" t="s">
        <v>20811</v>
      </c>
      <c r="C10377" t="s">
        <v>10</v>
      </c>
      <c r="D10377" t="s">
        <v>20856</v>
      </c>
      <c r="E10377" t="s">
        <v>20857</v>
      </c>
      <c r="G10377" s="1">
        <v>10.23</v>
      </c>
    </row>
    <row r="10378" spans="1:7" ht="14.25" customHeight="1" x14ac:dyDescent="0.45">
      <c r="A10378" t="str">
        <f>_xlfn.XLOOKUP(B10378,Ingot!$H$12:$H$119,Ingot!$G$12:$G$119,"")</f>
        <v>Glass</v>
      </c>
      <c r="B10378" t="s">
        <v>20811</v>
      </c>
      <c r="C10378" t="s">
        <v>10</v>
      </c>
      <c r="D10378" t="s">
        <v>20858</v>
      </c>
      <c r="E10378" t="s">
        <v>20859</v>
      </c>
      <c r="G10378" s="1">
        <v>7.7</v>
      </c>
    </row>
    <row r="10379" spans="1:7" ht="14.25" customHeight="1" x14ac:dyDescent="0.45">
      <c r="A10379" t="str">
        <f>_xlfn.XLOOKUP(B10379,Ingot!$H$12:$H$119,Ingot!$G$12:$G$119,"")</f>
        <v>Glass</v>
      </c>
      <c r="B10379" t="s">
        <v>20811</v>
      </c>
      <c r="C10379" t="s">
        <v>10</v>
      </c>
      <c r="D10379" t="s">
        <v>20860</v>
      </c>
      <c r="E10379" t="s">
        <v>20861</v>
      </c>
      <c r="G10379" s="1">
        <v>10.02</v>
      </c>
    </row>
    <row r="10380" spans="1:7" ht="14.25" customHeight="1" x14ac:dyDescent="0.45">
      <c r="A10380" t="str">
        <f>_xlfn.XLOOKUP(B10380,Ingot!$H$12:$H$119,Ingot!$G$12:$G$119,"")</f>
        <v>Glass</v>
      </c>
      <c r="B10380" t="s">
        <v>20811</v>
      </c>
      <c r="C10380" t="s">
        <v>10</v>
      </c>
      <c r="D10380" t="s">
        <v>20862</v>
      </c>
      <c r="E10380" t="s">
        <v>20863</v>
      </c>
      <c r="G10380" s="1">
        <v>11.81</v>
      </c>
    </row>
    <row r="10381" spans="1:7" ht="14.25" customHeight="1" x14ac:dyDescent="0.45">
      <c r="A10381" t="str">
        <f>_xlfn.XLOOKUP(B10381,Ingot!$H$12:$H$119,Ingot!$G$12:$G$119,"")</f>
        <v>Glass</v>
      </c>
      <c r="B10381" t="s">
        <v>20811</v>
      </c>
      <c r="C10381" t="s">
        <v>10</v>
      </c>
      <c r="D10381" t="s">
        <v>20864</v>
      </c>
      <c r="E10381" t="s">
        <v>20865</v>
      </c>
      <c r="G10381" s="1">
        <v>8.44</v>
      </c>
    </row>
    <row r="10382" spans="1:7" ht="14.25" customHeight="1" x14ac:dyDescent="0.45">
      <c r="A10382" t="str">
        <f>_xlfn.XLOOKUP(B10382,Ingot!$H$12:$H$119,Ingot!$G$12:$G$119,"")</f>
        <v>Glass</v>
      </c>
      <c r="B10382" t="s">
        <v>20811</v>
      </c>
      <c r="C10382" t="s">
        <v>10</v>
      </c>
      <c r="D10382" t="s">
        <v>20866</v>
      </c>
      <c r="E10382" t="s">
        <v>20867</v>
      </c>
      <c r="G10382" s="1">
        <v>10.42</v>
      </c>
    </row>
    <row r="10383" spans="1:7" ht="14.25" customHeight="1" x14ac:dyDescent="0.45">
      <c r="A10383" t="str">
        <f>_xlfn.XLOOKUP(B10383,Ingot!$H$12:$H$119,Ingot!$G$12:$G$119,"")</f>
        <v>Glass</v>
      </c>
      <c r="B10383" t="s">
        <v>20811</v>
      </c>
      <c r="C10383" t="s">
        <v>10</v>
      </c>
      <c r="D10383" t="s">
        <v>20868</v>
      </c>
      <c r="E10383" t="s">
        <v>20869</v>
      </c>
    </row>
    <row r="10384" spans="1:7" ht="14.25" customHeight="1" x14ac:dyDescent="0.45">
      <c r="A10384" t="str">
        <f>_xlfn.XLOOKUP(B10384,Ingot!$H$12:$H$119,Ingot!$G$12:$G$119,"")</f>
        <v>Glass</v>
      </c>
      <c r="B10384" t="s">
        <v>20811</v>
      </c>
      <c r="C10384" t="s">
        <v>10</v>
      </c>
      <c r="D10384" t="s">
        <v>20870</v>
      </c>
      <c r="E10384" t="s">
        <v>20871</v>
      </c>
      <c r="G10384" s="1">
        <v>7.96</v>
      </c>
    </row>
    <row r="10385" spans="1:7" ht="14.25" customHeight="1" x14ac:dyDescent="0.45">
      <c r="A10385" t="str">
        <f>_xlfn.XLOOKUP(B10385,Ingot!$H$12:$H$119,Ingot!$G$12:$G$119,"")</f>
        <v>Glass</v>
      </c>
      <c r="B10385" t="s">
        <v>20811</v>
      </c>
      <c r="C10385" t="s">
        <v>10</v>
      </c>
      <c r="D10385" t="s">
        <v>20872</v>
      </c>
      <c r="E10385" t="s">
        <v>20873</v>
      </c>
      <c r="G10385" s="1">
        <v>9.64</v>
      </c>
    </row>
    <row r="10386" spans="1:7" ht="14.25" customHeight="1" x14ac:dyDescent="0.45">
      <c r="A10386" t="str">
        <f>_xlfn.XLOOKUP(B10386,Ingot!$H$12:$H$119,Ingot!$G$12:$G$119,"")</f>
        <v>Glass</v>
      </c>
      <c r="B10386" t="s">
        <v>20811</v>
      </c>
      <c r="C10386" t="s">
        <v>10</v>
      </c>
      <c r="D10386" t="s">
        <v>20874</v>
      </c>
      <c r="E10386" t="s">
        <v>20875</v>
      </c>
      <c r="G10386" s="1">
        <v>7.94</v>
      </c>
    </row>
    <row r="10387" spans="1:7" ht="14.25" customHeight="1" x14ac:dyDescent="0.45">
      <c r="A10387" t="str">
        <f>_xlfn.XLOOKUP(B10387,Ingot!$H$12:$H$119,Ingot!$G$12:$G$119,"")</f>
        <v>Glass</v>
      </c>
      <c r="B10387" t="s">
        <v>20811</v>
      </c>
      <c r="C10387" t="s">
        <v>10</v>
      </c>
      <c r="D10387" t="s">
        <v>20876</v>
      </c>
      <c r="E10387" t="s">
        <v>20877</v>
      </c>
      <c r="G10387" s="1">
        <v>8.66</v>
      </c>
    </row>
    <row r="10388" spans="1:7" ht="14.25" customHeight="1" x14ac:dyDescent="0.45">
      <c r="A10388" t="str">
        <f>_xlfn.XLOOKUP(B10388,Ingot!$H$12:$H$119,Ingot!$G$12:$G$119,"")</f>
        <v>Glass</v>
      </c>
      <c r="B10388" t="s">
        <v>20811</v>
      </c>
      <c r="C10388" t="s">
        <v>10</v>
      </c>
      <c r="D10388" t="s">
        <v>20878</v>
      </c>
      <c r="E10388" t="s">
        <v>20879</v>
      </c>
    </row>
    <row r="10389" spans="1:7" ht="14.25" customHeight="1" x14ac:dyDescent="0.45">
      <c r="A10389" t="str">
        <f>_xlfn.XLOOKUP(B10389,Ingot!$H$12:$H$119,Ingot!$G$12:$G$119,"")</f>
        <v>Glass</v>
      </c>
      <c r="B10389" t="s">
        <v>20811</v>
      </c>
      <c r="C10389" t="s">
        <v>10</v>
      </c>
      <c r="D10389" t="s">
        <v>20880</v>
      </c>
      <c r="E10389" t="s">
        <v>20881</v>
      </c>
      <c r="G10389" s="1">
        <v>2.65</v>
      </c>
    </row>
    <row r="10390" spans="1:7" ht="14.25" customHeight="1" x14ac:dyDescent="0.45">
      <c r="A10390" t="str">
        <f>_xlfn.XLOOKUP(B10390,Ingot!$H$12:$H$119,Ingot!$G$12:$G$119,"")</f>
        <v>Glass</v>
      </c>
      <c r="B10390" t="s">
        <v>20811</v>
      </c>
      <c r="C10390" t="s">
        <v>10</v>
      </c>
      <c r="D10390" t="s">
        <v>20882</v>
      </c>
      <c r="E10390" t="s">
        <v>20883</v>
      </c>
    </row>
    <row r="10391" spans="1:7" ht="14.25" customHeight="1" x14ac:dyDescent="0.45">
      <c r="A10391" t="str">
        <f>_xlfn.XLOOKUP(B10391,Ingot!$H$12:$H$119,Ingot!$G$12:$G$119,"")</f>
        <v>Glass</v>
      </c>
      <c r="B10391" t="s">
        <v>20811</v>
      </c>
      <c r="C10391" t="s">
        <v>10</v>
      </c>
      <c r="D10391" t="s">
        <v>20884</v>
      </c>
      <c r="E10391" t="s">
        <v>20885</v>
      </c>
      <c r="G10391" s="1">
        <v>12.64</v>
      </c>
    </row>
    <row r="10392" spans="1:7" ht="14.25" customHeight="1" x14ac:dyDescent="0.45">
      <c r="A10392" t="str">
        <f>_xlfn.XLOOKUP(B10392,Ingot!$H$12:$H$119,Ingot!$G$12:$G$119,"")</f>
        <v>Glass</v>
      </c>
      <c r="B10392" t="s">
        <v>20811</v>
      </c>
      <c r="C10392" t="s">
        <v>10</v>
      </c>
      <c r="D10392" t="s">
        <v>20886</v>
      </c>
      <c r="E10392" t="s">
        <v>20887</v>
      </c>
      <c r="G10392" s="1">
        <v>22.67</v>
      </c>
    </row>
    <row r="10393" spans="1:7" ht="14.25" customHeight="1" x14ac:dyDescent="0.45">
      <c r="A10393" t="str">
        <f>_xlfn.XLOOKUP(B10393,Ingot!$H$12:$H$119,Ingot!$G$12:$G$119,"")</f>
        <v>Glass</v>
      </c>
      <c r="B10393" t="s">
        <v>20811</v>
      </c>
      <c r="C10393" t="s">
        <v>10</v>
      </c>
      <c r="D10393" t="s">
        <v>20888</v>
      </c>
      <c r="E10393" t="s">
        <v>20889</v>
      </c>
      <c r="G10393" s="1">
        <v>8.3800000000000008</v>
      </c>
    </row>
    <row r="10394" spans="1:7" ht="14.25" customHeight="1" x14ac:dyDescent="0.45">
      <c r="A10394" t="str">
        <f>_xlfn.XLOOKUP(B10394,Ingot!$H$12:$H$119,Ingot!$G$12:$G$119,"")</f>
        <v>Glass</v>
      </c>
      <c r="B10394" t="s">
        <v>20811</v>
      </c>
      <c r="C10394" t="s">
        <v>10</v>
      </c>
      <c r="D10394" t="s">
        <v>20890</v>
      </c>
      <c r="E10394" t="s">
        <v>20891</v>
      </c>
      <c r="G10394" s="1">
        <v>2.2000000000000002</v>
      </c>
    </row>
    <row r="10395" spans="1:7" ht="14.25" customHeight="1" x14ac:dyDescent="0.45">
      <c r="A10395" t="str">
        <f>_xlfn.XLOOKUP(B10395,Ingot!$H$12:$H$119,Ingot!$G$12:$G$119,"")</f>
        <v>Glass</v>
      </c>
      <c r="B10395" t="s">
        <v>20811</v>
      </c>
      <c r="C10395" t="s">
        <v>10</v>
      </c>
      <c r="D10395" t="s">
        <v>20892</v>
      </c>
      <c r="E10395" t="s">
        <v>20893</v>
      </c>
      <c r="G10395" s="1">
        <v>3.09</v>
      </c>
    </row>
    <row r="10396" spans="1:7" ht="14.25" customHeight="1" x14ac:dyDescent="0.45">
      <c r="A10396" t="str">
        <f>_xlfn.XLOOKUP(B10396,Ingot!$H$12:$H$119,Ingot!$G$12:$G$119,"")</f>
        <v>Glass</v>
      </c>
      <c r="B10396" t="s">
        <v>20811</v>
      </c>
      <c r="C10396" t="s">
        <v>10</v>
      </c>
      <c r="D10396" t="s">
        <v>20894</v>
      </c>
      <c r="E10396" t="s">
        <v>20895</v>
      </c>
      <c r="G10396" s="1">
        <v>2.2999999999999998</v>
      </c>
    </row>
    <row r="10397" spans="1:7" ht="14.25" customHeight="1" x14ac:dyDescent="0.45">
      <c r="A10397" t="str">
        <f>_xlfn.XLOOKUP(B10397,Ingot!$H$12:$H$119,Ingot!$G$12:$G$119,"")</f>
        <v>Glass</v>
      </c>
      <c r="B10397" t="s">
        <v>20811</v>
      </c>
      <c r="C10397" t="s">
        <v>10</v>
      </c>
      <c r="D10397" t="s">
        <v>20896</v>
      </c>
      <c r="E10397" t="s">
        <v>20897</v>
      </c>
      <c r="G10397" s="1">
        <v>4.88</v>
      </c>
    </row>
    <row r="10398" spans="1:7" ht="14.25" customHeight="1" x14ac:dyDescent="0.45">
      <c r="A10398" t="str">
        <f>_xlfn.XLOOKUP(B10398,Ingot!$H$12:$H$119,Ingot!$G$12:$G$119,"")</f>
        <v>Glass</v>
      </c>
      <c r="B10398" t="s">
        <v>20811</v>
      </c>
      <c r="C10398" t="s">
        <v>10</v>
      </c>
      <c r="D10398" t="s">
        <v>20898</v>
      </c>
      <c r="E10398" t="s">
        <v>20899</v>
      </c>
      <c r="G10398" s="1">
        <v>8.43</v>
      </c>
    </row>
    <row r="10399" spans="1:7" ht="14.25" customHeight="1" x14ac:dyDescent="0.45">
      <c r="A10399" t="str">
        <f>_xlfn.XLOOKUP(B10399,Ingot!$H$12:$H$119,Ingot!$G$12:$G$119,"")</f>
        <v>Glass</v>
      </c>
      <c r="B10399" t="s">
        <v>20811</v>
      </c>
      <c r="C10399" t="s">
        <v>10</v>
      </c>
      <c r="D10399" t="s">
        <v>20900</v>
      </c>
      <c r="E10399" t="s">
        <v>20901</v>
      </c>
      <c r="G10399" s="1">
        <v>13.07</v>
      </c>
    </row>
    <row r="10400" spans="1:7" ht="14.25" customHeight="1" x14ac:dyDescent="0.45">
      <c r="A10400" t="str">
        <f>_xlfn.XLOOKUP(B10400,Ingot!$H$12:$H$119,Ingot!$G$12:$G$119,"")</f>
        <v>Glass</v>
      </c>
      <c r="B10400" t="s">
        <v>20811</v>
      </c>
      <c r="C10400" t="s">
        <v>10</v>
      </c>
      <c r="D10400" t="s">
        <v>20902</v>
      </c>
      <c r="E10400" t="s">
        <v>20903</v>
      </c>
    </row>
    <row r="10401" spans="1:7" ht="14.25" customHeight="1" x14ac:dyDescent="0.45">
      <c r="A10401" t="str">
        <f>_xlfn.XLOOKUP(B10401,Ingot!$H$12:$H$119,Ingot!$G$12:$G$119,"")</f>
        <v>Glass</v>
      </c>
      <c r="B10401" t="s">
        <v>20811</v>
      </c>
      <c r="C10401" t="s">
        <v>10</v>
      </c>
      <c r="D10401" t="s">
        <v>20904</v>
      </c>
      <c r="E10401" t="s">
        <v>20905</v>
      </c>
    </row>
    <row r="10402" spans="1:7" ht="14.25" customHeight="1" x14ac:dyDescent="0.45">
      <c r="A10402" t="str">
        <f>_xlfn.XLOOKUP(B10402,Ingot!$H$12:$H$119,Ingot!$G$12:$G$119,"")</f>
        <v>Glass</v>
      </c>
      <c r="B10402" t="s">
        <v>20811</v>
      </c>
      <c r="C10402" t="s">
        <v>10</v>
      </c>
      <c r="D10402" t="s">
        <v>20906</v>
      </c>
      <c r="E10402" t="s">
        <v>20907</v>
      </c>
      <c r="G10402" s="1">
        <v>6.8</v>
      </c>
    </row>
    <row r="10403" spans="1:7" ht="14.25" customHeight="1" x14ac:dyDescent="0.45">
      <c r="A10403" t="str">
        <f>_xlfn.XLOOKUP(B10403,Ingot!$H$12:$H$119,Ingot!$G$12:$G$119,"")</f>
        <v>Glass</v>
      </c>
      <c r="B10403" t="s">
        <v>20811</v>
      </c>
      <c r="C10403" t="s">
        <v>10</v>
      </c>
      <c r="D10403" t="s">
        <v>20908</v>
      </c>
      <c r="E10403" t="s">
        <v>20909</v>
      </c>
      <c r="G10403" s="1">
        <v>6.88</v>
      </c>
    </row>
    <row r="10404" spans="1:7" ht="14.25" customHeight="1" x14ac:dyDescent="0.45">
      <c r="A10404" t="str">
        <f>_xlfn.XLOOKUP(B10404,Ingot!$H$12:$H$119,Ingot!$G$12:$G$119,"")</f>
        <v>Glass</v>
      </c>
      <c r="B10404" t="s">
        <v>20811</v>
      </c>
      <c r="C10404" t="s">
        <v>10</v>
      </c>
      <c r="D10404" t="s">
        <v>20910</v>
      </c>
      <c r="E10404" t="s">
        <v>20911</v>
      </c>
      <c r="G10404" s="1">
        <v>5.5</v>
      </c>
    </row>
    <row r="10405" spans="1:7" ht="14.25" customHeight="1" x14ac:dyDescent="0.45">
      <c r="A10405" t="str">
        <f>_xlfn.XLOOKUP(B10405,Ingot!$H$12:$H$119,Ingot!$G$12:$G$119,"")</f>
        <v>Glass</v>
      </c>
      <c r="B10405" t="s">
        <v>20811</v>
      </c>
      <c r="C10405" t="s">
        <v>10</v>
      </c>
      <c r="D10405" t="s">
        <v>20912</v>
      </c>
      <c r="E10405" t="s">
        <v>20913</v>
      </c>
      <c r="G10405" s="1">
        <v>2.4300000000000002</v>
      </c>
    </row>
    <row r="10406" spans="1:7" ht="14.25" customHeight="1" x14ac:dyDescent="0.45">
      <c r="A10406" t="str">
        <f>_xlfn.XLOOKUP(B10406,Ingot!$H$12:$H$119,Ingot!$G$12:$G$119,"")</f>
        <v>Glass</v>
      </c>
      <c r="B10406" t="s">
        <v>20811</v>
      </c>
      <c r="C10406" t="s">
        <v>10</v>
      </c>
      <c r="D10406" t="s">
        <v>20914</v>
      </c>
      <c r="E10406" t="s">
        <v>20915</v>
      </c>
      <c r="G10406" s="1">
        <v>6.96</v>
      </c>
    </row>
    <row r="10407" spans="1:7" ht="14.25" customHeight="1" x14ac:dyDescent="0.45">
      <c r="A10407" t="str">
        <f>_xlfn.XLOOKUP(B10407,Ingot!$H$12:$H$119,Ingot!$G$12:$G$119,"")</f>
        <v>Glass</v>
      </c>
      <c r="B10407" t="s">
        <v>20811</v>
      </c>
      <c r="C10407" t="s">
        <v>10</v>
      </c>
      <c r="D10407" t="s">
        <v>20916</v>
      </c>
      <c r="E10407" t="s">
        <v>20917</v>
      </c>
      <c r="G10407" s="1">
        <v>6.32</v>
      </c>
    </row>
    <row r="10408" spans="1:7" ht="14.25" customHeight="1" x14ac:dyDescent="0.45">
      <c r="A10408" t="str">
        <f>_xlfn.XLOOKUP(B10408,Ingot!$H$12:$H$119,Ingot!$G$12:$G$119,"")</f>
        <v>Glass</v>
      </c>
      <c r="B10408" t="s">
        <v>20811</v>
      </c>
      <c r="C10408" t="s">
        <v>10</v>
      </c>
      <c r="D10408" t="s">
        <v>20918</v>
      </c>
      <c r="E10408" t="s">
        <v>20919</v>
      </c>
      <c r="G10408" s="1">
        <v>6.88</v>
      </c>
    </row>
    <row r="10409" spans="1:7" ht="14.25" customHeight="1" x14ac:dyDescent="0.45">
      <c r="A10409" t="str">
        <f>_xlfn.XLOOKUP(B10409,Ingot!$H$12:$H$119,Ingot!$G$12:$G$119,"")</f>
        <v>Glass</v>
      </c>
      <c r="B10409" t="s">
        <v>20811</v>
      </c>
      <c r="C10409" t="s">
        <v>10</v>
      </c>
      <c r="D10409" t="s">
        <v>20920</v>
      </c>
      <c r="E10409" t="s">
        <v>20921</v>
      </c>
      <c r="G10409" s="1">
        <v>2.44</v>
      </c>
    </row>
    <row r="10410" spans="1:7" ht="14.25" customHeight="1" x14ac:dyDescent="0.45">
      <c r="A10410" t="str">
        <f>_xlfn.XLOOKUP(B10410,Ingot!$H$12:$H$119,Ingot!$G$12:$G$119,"")</f>
        <v>Glass</v>
      </c>
      <c r="B10410" t="s">
        <v>20811</v>
      </c>
      <c r="C10410" t="s">
        <v>10</v>
      </c>
      <c r="D10410" t="s">
        <v>20922</v>
      </c>
      <c r="E10410" t="s">
        <v>20923</v>
      </c>
    </row>
    <row r="10411" spans="1:7" ht="14.25" customHeight="1" x14ac:dyDescent="0.45">
      <c r="A10411" t="str">
        <f>_xlfn.XLOOKUP(B10411,Ingot!$H$12:$H$119,Ingot!$G$12:$G$119,"")</f>
        <v>Glass</v>
      </c>
      <c r="B10411" t="s">
        <v>20811</v>
      </c>
      <c r="C10411" t="s">
        <v>10</v>
      </c>
      <c r="D10411" t="s">
        <v>20924</v>
      </c>
      <c r="E10411" t="s">
        <v>20925</v>
      </c>
    </row>
    <row r="10412" spans="1:7" ht="14.25" customHeight="1" x14ac:dyDescent="0.45">
      <c r="A10412" t="str">
        <f>_xlfn.XLOOKUP(B10412,Ingot!$H$12:$H$119,Ingot!$G$12:$G$119,"")</f>
        <v>Glass</v>
      </c>
      <c r="B10412" t="s">
        <v>20811</v>
      </c>
      <c r="C10412" t="s">
        <v>10</v>
      </c>
      <c r="D10412" t="s">
        <v>20926</v>
      </c>
      <c r="E10412" t="s">
        <v>20927</v>
      </c>
      <c r="G10412" s="1">
        <v>3.11</v>
      </c>
    </row>
    <row r="10413" spans="1:7" ht="14.25" customHeight="1" x14ac:dyDescent="0.45">
      <c r="A10413" t="str">
        <f>_xlfn.XLOOKUP(B10413,Ingot!$H$12:$H$119,Ingot!$G$12:$G$119,"")</f>
        <v>Glass</v>
      </c>
      <c r="B10413" t="s">
        <v>20811</v>
      </c>
      <c r="C10413" t="s">
        <v>10</v>
      </c>
      <c r="D10413" t="s">
        <v>20928</v>
      </c>
      <c r="E10413" t="s">
        <v>20929</v>
      </c>
      <c r="G10413" s="1">
        <v>2.44</v>
      </c>
    </row>
    <row r="10414" spans="1:7" ht="14.25" customHeight="1" x14ac:dyDescent="0.45">
      <c r="A10414" t="str">
        <f>_xlfn.XLOOKUP(B10414,Ingot!$H$12:$H$119,Ingot!$G$12:$G$119,"")</f>
        <v>Glass</v>
      </c>
      <c r="B10414" t="s">
        <v>20811</v>
      </c>
      <c r="C10414" t="s">
        <v>10</v>
      </c>
      <c r="D10414" t="s">
        <v>20930</v>
      </c>
      <c r="E10414" t="s">
        <v>20931</v>
      </c>
      <c r="G10414" s="1">
        <v>8.61</v>
      </c>
    </row>
    <row r="10415" spans="1:7" ht="14.25" customHeight="1" x14ac:dyDescent="0.45">
      <c r="A10415" t="str">
        <f>_xlfn.XLOOKUP(B10415,Ingot!$H$12:$H$119,Ingot!$G$12:$G$119,"")</f>
        <v>Glass</v>
      </c>
      <c r="B10415" t="s">
        <v>20811</v>
      </c>
      <c r="C10415" t="s">
        <v>10</v>
      </c>
      <c r="D10415" t="s">
        <v>20932</v>
      </c>
      <c r="E10415" t="s">
        <v>20933</v>
      </c>
    </row>
    <row r="10416" spans="1:7" ht="14.25" customHeight="1" x14ac:dyDescent="0.45">
      <c r="A10416" t="str">
        <f>_xlfn.XLOOKUP(B10416,Ingot!$H$12:$H$119,Ingot!$G$12:$G$119,"")</f>
        <v>Glass</v>
      </c>
      <c r="B10416" t="s">
        <v>20811</v>
      </c>
      <c r="C10416" t="s">
        <v>10</v>
      </c>
      <c r="D10416" t="s">
        <v>20934</v>
      </c>
      <c r="E10416" t="s">
        <v>20935</v>
      </c>
      <c r="G10416" s="1">
        <v>3.21</v>
      </c>
    </row>
    <row r="10417" spans="1:7" ht="14.25" customHeight="1" x14ac:dyDescent="0.45">
      <c r="A10417" t="str">
        <f>_xlfn.XLOOKUP(B10417,Ingot!$H$12:$H$119,Ingot!$G$12:$G$119,"")</f>
        <v>Glass</v>
      </c>
      <c r="B10417" t="s">
        <v>20811</v>
      </c>
      <c r="C10417" t="s">
        <v>10</v>
      </c>
      <c r="D10417" t="s">
        <v>20936</v>
      </c>
      <c r="E10417" t="s">
        <v>20937</v>
      </c>
      <c r="G10417" s="1">
        <v>2.77</v>
      </c>
    </row>
    <row r="10418" spans="1:7" ht="14.25" customHeight="1" x14ac:dyDescent="0.45">
      <c r="A10418" t="str">
        <f>_xlfn.XLOOKUP(B10418,Ingot!$H$12:$H$119,Ingot!$G$12:$G$119,"")</f>
        <v>Glass</v>
      </c>
      <c r="B10418" t="s">
        <v>20811</v>
      </c>
      <c r="C10418" t="s">
        <v>10</v>
      </c>
      <c r="D10418" t="s">
        <v>20938</v>
      </c>
      <c r="E10418" t="s">
        <v>20939</v>
      </c>
      <c r="G10418" s="1">
        <v>4.8899999999999997</v>
      </c>
    </row>
    <row r="10419" spans="1:7" ht="14.25" customHeight="1" x14ac:dyDescent="0.45">
      <c r="A10419" t="str">
        <f>_xlfn.XLOOKUP(B10419,Ingot!$H$12:$H$119,Ingot!$G$12:$G$119,"")</f>
        <v>Glass</v>
      </c>
      <c r="B10419" t="s">
        <v>20811</v>
      </c>
      <c r="C10419" t="s">
        <v>10</v>
      </c>
      <c r="D10419" t="s">
        <v>20940</v>
      </c>
      <c r="E10419" t="s">
        <v>20941</v>
      </c>
      <c r="G10419" s="1">
        <v>1.76</v>
      </c>
    </row>
    <row r="10420" spans="1:7" ht="14.25" customHeight="1" x14ac:dyDescent="0.45">
      <c r="A10420" t="str">
        <f>_xlfn.XLOOKUP(B10420,Ingot!$H$12:$H$119,Ingot!$G$12:$G$119,"")</f>
        <v>Glass</v>
      </c>
      <c r="B10420" t="s">
        <v>20811</v>
      </c>
      <c r="C10420" t="s">
        <v>10</v>
      </c>
      <c r="D10420" t="s">
        <v>20942</v>
      </c>
      <c r="E10420" t="s">
        <v>20943</v>
      </c>
    </row>
    <row r="10421" spans="1:7" ht="14.25" customHeight="1" x14ac:dyDescent="0.45">
      <c r="A10421" t="str">
        <f>_xlfn.XLOOKUP(B10421,Ingot!$H$12:$H$119,Ingot!$G$12:$G$119,"")</f>
        <v>Glass</v>
      </c>
      <c r="B10421" t="s">
        <v>20811</v>
      </c>
      <c r="C10421" t="s">
        <v>10</v>
      </c>
      <c r="D10421" t="s">
        <v>20944</v>
      </c>
      <c r="E10421" t="s">
        <v>20945</v>
      </c>
      <c r="G10421" s="1">
        <v>8.57</v>
      </c>
    </row>
    <row r="10422" spans="1:7" ht="14.25" customHeight="1" x14ac:dyDescent="0.45">
      <c r="A10422" t="str">
        <f>_xlfn.XLOOKUP(B10422,Ingot!$H$12:$H$119,Ingot!$G$12:$G$119,"")</f>
        <v>Glass</v>
      </c>
      <c r="B10422" t="s">
        <v>20811</v>
      </c>
      <c r="C10422" t="s">
        <v>10</v>
      </c>
      <c r="D10422" t="s">
        <v>20946</v>
      </c>
      <c r="E10422" t="s">
        <v>20947</v>
      </c>
    </row>
    <row r="10423" spans="1:7" ht="14.25" customHeight="1" x14ac:dyDescent="0.45">
      <c r="A10423" t="str">
        <f>_xlfn.XLOOKUP(B10423,Ingot!$H$12:$H$119,Ingot!$G$12:$G$119,"")</f>
        <v>Glass</v>
      </c>
      <c r="B10423" t="s">
        <v>20811</v>
      </c>
      <c r="C10423" t="s">
        <v>10</v>
      </c>
      <c r="D10423" t="s">
        <v>20948</v>
      </c>
      <c r="E10423" t="s">
        <v>20949</v>
      </c>
      <c r="G10423" s="1">
        <v>3.56</v>
      </c>
    </row>
    <row r="10424" spans="1:7" ht="14.25" customHeight="1" x14ac:dyDescent="0.45">
      <c r="A10424" t="str">
        <f>_xlfn.XLOOKUP(B10424,Ingot!$H$12:$H$119,Ingot!$G$12:$G$119,"")</f>
        <v>Glass</v>
      </c>
      <c r="B10424" t="s">
        <v>20811</v>
      </c>
      <c r="C10424" t="s">
        <v>10</v>
      </c>
      <c r="D10424" t="s">
        <v>20950</v>
      </c>
      <c r="E10424" t="s">
        <v>20951</v>
      </c>
      <c r="G10424" s="1">
        <v>8.91</v>
      </c>
    </row>
    <row r="10425" spans="1:7" ht="14.25" customHeight="1" x14ac:dyDescent="0.45">
      <c r="A10425" t="str">
        <f>_xlfn.XLOOKUP(B10425,Ingot!$H$12:$H$119,Ingot!$G$12:$G$119,"")</f>
        <v>Glass</v>
      </c>
      <c r="B10425" t="s">
        <v>20811</v>
      </c>
      <c r="C10425" t="s">
        <v>10</v>
      </c>
      <c r="D10425" t="s">
        <v>20952</v>
      </c>
      <c r="E10425" t="s">
        <v>20953</v>
      </c>
      <c r="G10425" s="1">
        <v>11.02</v>
      </c>
    </row>
    <row r="10426" spans="1:7" ht="14.25" customHeight="1" x14ac:dyDescent="0.45">
      <c r="A10426" t="str">
        <f>_xlfn.XLOOKUP(B10426,Ingot!$H$12:$H$119,Ingot!$G$12:$G$119,"")</f>
        <v>Glass</v>
      </c>
      <c r="B10426" t="s">
        <v>20811</v>
      </c>
      <c r="C10426" t="s">
        <v>10</v>
      </c>
      <c r="D10426" t="s">
        <v>20954</v>
      </c>
      <c r="E10426" t="s">
        <v>20955</v>
      </c>
      <c r="G10426" s="1">
        <v>5.12</v>
      </c>
    </row>
    <row r="10427" spans="1:7" ht="14.25" customHeight="1" x14ac:dyDescent="0.45">
      <c r="A10427" t="str">
        <f>_xlfn.XLOOKUP(B10427,Ingot!$H$12:$H$119,Ingot!$G$12:$G$119,"")</f>
        <v>Glass</v>
      </c>
      <c r="B10427" t="s">
        <v>20811</v>
      </c>
      <c r="C10427" t="s">
        <v>10</v>
      </c>
      <c r="D10427" t="s">
        <v>20956</v>
      </c>
      <c r="E10427" t="s">
        <v>20957</v>
      </c>
      <c r="G10427" s="1">
        <v>4.41</v>
      </c>
    </row>
    <row r="10428" spans="1:7" ht="14.25" customHeight="1" x14ac:dyDescent="0.45">
      <c r="A10428" t="str">
        <f>_xlfn.XLOOKUP(B10428,Ingot!$H$12:$H$119,Ingot!$G$12:$G$119,"")</f>
        <v>Glass</v>
      </c>
      <c r="B10428" t="s">
        <v>20811</v>
      </c>
      <c r="C10428" t="s">
        <v>157</v>
      </c>
      <c r="D10428" t="s">
        <v>20958</v>
      </c>
      <c r="E10428" t="s">
        <v>20959</v>
      </c>
      <c r="G10428" s="1">
        <v>29.5</v>
      </c>
    </row>
    <row r="10429" spans="1:7" ht="14.25" customHeight="1" x14ac:dyDescent="0.45">
      <c r="A10429" t="str">
        <f>_xlfn.XLOOKUP(B10429,Ingot!$H$12:$H$119,Ingot!$G$12:$G$119,"")</f>
        <v>Glass</v>
      </c>
      <c r="B10429" t="s">
        <v>20811</v>
      </c>
      <c r="C10429" t="s">
        <v>157</v>
      </c>
      <c r="D10429" t="s">
        <v>20960</v>
      </c>
      <c r="E10429" t="s">
        <v>20961</v>
      </c>
      <c r="G10429" s="1">
        <v>5.9</v>
      </c>
    </row>
    <row r="10430" spans="1:7" ht="14.25" customHeight="1" x14ac:dyDescent="0.45">
      <c r="A10430" t="str">
        <f>_xlfn.XLOOKUP(B10430,Ingot!$H$12:$H$119,Ingot!$G$12:$G$119,"")</f>
        <v>Glass</v>
      </c>
      <c r="B10430" t="s">
        <v>20811</v>
      </c>
      <c r="C10430" t="s">
        <v>157</v>
      </c>
      <c r="D10430" t="s">
        <v>20962</v>
      </c>
      <c r="E10430" t="s">
        <v>20963</v>
      </c>
      <c r="G10430" s="1">
        <v>5.9</v>
      </c>
    </row>
    <row r="10431" spans="1:7" ht="14.25" customHeight="1" x14ac:dyDescent="0.45">
      <c r="A10431" t="str">
        <f>_xlfn.XLOOKUP(B10431,Ingot!$H$12:$H$119,Ingot!$G$12:$G$119,"")</f>
        <v>Glass</v>
      </c>
      <c r="B10431" t="s">
        <v>20811</v>
      </c>
      <c r="C10431" t="s">
        <v>157</v>
      </c>
      <c r="D10431" t="s">
        <v>20964</v>
      </c>
      <c r="E10431" t="s">
        <v>20965</v>
      </c>
      <c r="G10431" s="1">
        <v>5</v>
      </c>
    </row>
    <row r="10432" spans="1:7" ht="14.25" customHeight="1" x14ac:dyDescent="0.45">
      <c r="A10432" t="str">
        <f>_xlfn.XLOOKUP(B10432,Ingot!$H$12:$H$119,Ingot!$G$12:$G$119,"")</f>
        <v>Glass</v>
      </c>
      <c r="B10432" t="s">
        <v>20811</v>
      </c>
      <c r="C10432" t="s">
        <v>157</v>
      </c>
      <c r="D10432" t="s">
        <v>20966</v>
      </c>
      <c r="E10432" t="s">
        <v>20967</v>
      </c>
      <c r="G10432" s="1">
        <v>10</v>
      </c>
    </row>
    <row r="10433" spans="1:7" ht="14.25" customHeight="1" x14ac:dyDescent="0.45">
      <c r="A10433" t="str">
        <f>_xlfn.XLOOKUP(B10433,Ingot!$H$12:$H$119,Ingot!$G$12:$G$119,"")</f>
        <v>Glass</v>
      </c>
      <c r="B10433" t="s">
        <v>20811</v>
      </c>
      <c r="C10433" t="s">
        <v>157</v>
      </c>
      <c r="D10433" t="s">
        <v>20968</v>
      </c>
      <c r="E10433" t="s">
        <v>20969</v>
      </c>
      <c r="G10433" s="1">
        <v>25.5</v>
      </c>
    </row>
    <row r="10434" spans="1:7" ht="14.25" customHeight="1" x14ac:dyDescent="0.45">
      <c r="A10434" t="str">
        <f>_xlfn.XLOOKUP(B10434,Ingot!$H$12:$H$119,Ingot!$G$12:$G$119,"")</f>
        <v>Glass</v>
      </c>
      <c r="B10434" t="s">
        <v>20811</v>
      </c>
      <c r="C10434" t="s">
        <v>157</v>
      </c>
      <c r="D10434" t="s">
        <v>20970</v>
      </c>
      <c r="E10434" t="s">
        <v>20971</v>
      </c>
      <c r="G10434" s="1">
        <v>5.0999999999999996</v>
      </c>
    </row>
    <row r="10435" spans="1:7" ht="14.25" customHeight="1" x14ac:dyDescent="0.45">
      <c r="A10435" t="str">
        <f>_xlfn.XLOOKUP(B10435,Ingot!$H$12:$H$119,Ingot!$G$12:$G$119,"")</f>
        <v>Glass</v>
      </c>
      <c r="B10435" t="s">
        <v>20811</v>
      </c>
      <c r="C10435" t="s">
        <v>157</v>
      </c>
      <c r="D10435" t="s">
        <v>20972</v>
      </c>
      <c r="E10435" t="s">
        <v>20973</v>
      </c>
      <c r="G10435" s="1">
        <v>5.0999999999999996</v>
      </c>
    </row>
    <row r="10436" spans="1:7" ht="14.25" customHeight="1" x14ac:dyDescent="0.45">
      <c r="A10436" t="str">
        <f>_xlfn.XLOOKUP(B10436,Ingot!$H$12:$H$119,Ingot!$G$12:$G$119,"")</f>
        <v>Glass</v>
      </c>
      <c r="B10436" t="s">
        <v>20811</v>
      </c>
      <c r="C10436" t="s">
        <v>157</v>
      </c>
      <c r="D10436" t="s">
        <v>20974</v>
      </c>
      <c r="E10436" t="s">
        <v>20975</v>
      </c>
      <c r="G10436" s="1">
        <v>5</v>
      </c>
    </row>
    <row r="10437" spans="1:7" ht="14.25" customHeight="1" x14ac:dyDescent="0.45">
      <c r="A10437" t="str">
        <f>_xlfn.XLOOKUP(B10437,Ingot!$H$12:$H$119,Ingot!$G$12:$G$119,"")</f>
        <v>Glass</v>
      </c>
      <c r="B10437" t="s">
        <v>20811</v>
      </c>
      <c r="C10437" t="s">
        <v>157</v>
      </c>
      <c r="D10437" t="s">
        <v>20976</v>
      </c>
      <c r="E10437" t="s">
        <v>20977</v>
      </c>
      <c r="G10437" s="1">
        <v>10</v>
      </c>
    </row>
    <row r="10438" spans="1:7" ht="14.25" customHeight="1" x14ac:dyDescent="0.45">
      <c r="A10438" t="str">
        <f>_xlfn.XLOOKUP(B10438,Ingot!$H$12:$H$119,Ingot!$G$12:$G$119,"")</f>
        <v>Glass</v>
      </c>
      <c r="B10438" t="s">
        <v>20811</v>
      </c>
      <c r="C10438" t="s">
        <v>157</v>
      </c>
      <c r="D10438" t="s">
        <v>20978</v>
      </c>
      <c r="E10438" t="s">
        <v>20979</v>
      </c>
      <c r="F10438" t="s">
        <v>180</v>
      </c>
      <c r="G10438" s="1">
        <v>24.5</v>
      </c>
    </row>
    <row r="10439" spans="1:7" ht="14.25" customHeight="1" x14ac:dyDescent="0.45">
      <c r="A10439" t="str">
        <f>_xlfn.XLOOKUP(B10439,Ingot!$H$12:$H$119,Ingot!$G$12:$G$119,"")</f>
        <v>Glass</v>
      </c>
      <c r="B10439" t="s">
        <v>20811</v>
      </c>
      <c r="C10439" t="s">
        <v>157</v>
      </c>
      <c r="D10439" t="s">
        <v>20980</v>
      </c>
      <c r="E10439" t="s">
        <v>20981</v>
      </c>
      <c r="F10439" t="s">
        <v>180</v>
      </c>
      <c r="G10439" s="1">
        <v>5</v>
      </c>
    </row>
    <row r="10440" spans="1:7" ht="14.25" customHeight="1" x14ac:dyDescent="0.45">
      <c r="A10440" t="str">
        <f>_xlfn.XLOOKUP(B10440,Ingot!$H$12:$H$119,Ingot!$G$12:$G$119,"")</f>
        <v>Glass</v>
      </c>
      <c r="B10440" t="s">
        <v>20811</v>
      </c>
      <c r="C10440" t="s">
        <v>157</v>
      </c>
      <c r="D10440" t="s">
        <v>20982</v>
      </c>
      <c r="E10440" t="s">
        <v>20983</v>
      </c>
      <c r="F10440" t="s">
        <v>180</v>
      </c>
      <c r="G10440" s="1">
        <v>5</v>
      </c>
    </row>
    <row r="10441" spans="1:7" ht="14.25" customHeight="1" x14ac:dyDescent="0.45">
      <c r="A10441" t="str">
        <f>_xlfn.XLOOKUP(B10441,Ingot!$H$12:$H$119,Ingot!$G$12:$G$119,"")</f>
        <v>Glass</v>
      </c>
      <c r="B10441" t="s">
        <v>20811</v>
      </c>
      <c r="C10441" t="s">
        <v>157</v>
      </c>
      <c r="D10441" t="s">
        <v>20984</v>
      </c>
      <c r="E10441" t="s">
        <v>20985</v>
      </c>
      <c r="F10441" t="s">
        <v>180</v>
      </c>
      <c r="G10441" s="1">
        <v>5</v>
      </c>
    </row>
    <row r="10442" spans="1:7" ht="14.25" customHeight="1" x14ac:dyDescent="0.45">
      <c r="A10442" t="str">
        <f>_xlfn.XLOOKUP(B10442,Ingot!$H$12:$H$119,Ingot!$G$12:$G$119,"")</f>
        <v>Glass</v>
      </c>
      <c r="B10442" t="s">
        <v>20811</v>
      </c>
      <c r="C10442" t="s">
        <v>157</v>
      </c>
      <c r="D10442" t="s">
        <v>20986</v>
      </c>
      <c r="E10442" t="s">
        <v>20987</v>
      </c>
      <c r="F10442" t="s">
        <v>180</v>
      </c>
      <c r="G10442" s="1">
        <v>10</v>
      </c>
    </row>
    <row r="10443" spans="1:7" ht="14.25" customHeight="1" x14ac:dyDescent="0.45">
      <c r="A10443" t="str">
        <f>_xlfn.XLOOKUP(B10443,Ingot!$H$12:$H$119,Ingot!$G$12:$G$119,"")</f>
        <v>Glass</v>
      </c>
      <c r="B10443" t="s">
        <v>20811</v>
      </c>
      <c r="C10443" t="s">
        <v>157</v>
      </c>
      <c r="D10443" t="s">
        <v>20988</v>
      </c>
      <c r="E10443" t="s">
        <v>20989</v>
      </c>
      <c r="G10443" s="1">
        <v>26.5</v>
      </c>
    </row>
    <row r="10444" spans="1:7" ht="14.25" customHeight="1" x14ac:dyDescent="0.45">
      <c r="A10444" t="str">
        <f>_xlfn.XLOOKUP(B10444,Ingot!$H$12:$H$119,Ingot!$G$12:$G$119,"")</f>
        <v>Glass</v>
      </c>
      <c r="B10444" t="s">
        <v>20811</v>
      </c>
      <c r="C10444" t="s">
        <v>157</v>
      </c>
      <c r="D10444" t="s">
        <v>20990</v>
      </c>
      <c r="E10444" t="s">
        <v>20991</v>
      </c>
      <c r="G10444" s="1">
        <v>5.3</v>
      </c>
    </row>
    <row r="10445" spans="1:7" ht="14.25" customHeight="1" x14ac:dyDescent="0.45">
      <c r="A10445" t="str">
        <f>_xlfn.XLOOKUP(B10445,Ingot!$H$12:$H$119,Ingot!$G$12:$G$119,"")</f>
        <v>Glass</v>
      </c>
      <c r="B10445" t="s">
        <v>20811</v>
      </c>
      <c r="C10445" t="s">
        <v>157</v>
      </c>
      <c r="D10445" t="s">
        <v>20992</v>
      </c>
      <c r="E10445" t="s">
        <v>20993</v>
      </c>
      <c r="G10445" s="1">
        <v>5.3</v>
      </c>
    </row>
    <row r="10446" spans="1:7" ht="14.25" customHeight="1" x14ac:dyDescent="0.45">
      <c r="A10446" t="str">
        <f>_xlfn.XLOOKUP(B10446,Ingot!$H$12:$H$119,Ingot!$G$12:$G$119,"")</f>
        <v>Glass</v>
      </c>
      <c r="B10446" t="s">
        <v>20811</v>
      </c>
      <c r="C10446" t="s">
        <v>157</v>
      </c>
      <c r="D10446" t="s">
        <v>20994</v>
      </c>
      <c r="E10446" t="s">
        <v>20995</v>
      </c>
      <c r="G10446" s="1">
        <v>5</v>
      </c>
    </row>
    <row r="10447" spans="1:7" ht="14.25" customHeight="1" x14ac:dyDescent="0.45">
      <c r="A10447" t="str">
        <f>_xlfn.XLOOKUP(B10447,Ingot!$H$12:$H$119,Ingot!$G$12:$G$119,"")</f>
        <v>Glass</v>
      </c>
      <c r="B10447" t="s">
        <v>20811</v>
      </c>
      <c r="C10447" t="s">
        <v>157</v>
      </c>
      <c r="D10447" t="s">
        <v>20996</v>
      </c>
      <c r="E10447" t="s">
        <v>20997</v>
      </c>
      <c r="G10447" s="1">
        <v>10</v>
      </c>
    </row>
    <row r="10448" spans="1:7" ht="14.25" customHeight="1" x14ac:dyDescent="0.45">
      <c r="A10448" t="str">
        <f>_xlfn.XLOOKUP(B10448,Ingot!$H$12:$H$119,Ingot!$G$12:$G$119,"")</f>
        <v>Glass</v>
      </c>
      <c r="B10448" t="s">
        <v>20811</v>
      </c>
      <c r="C10448" t="s">
        <v>157</v>
      </c>
      <c r="D10448" t="s">
        <v>20998</v>
      </c>
      <c r="E10448" t="s">
        <v>20999</v>
      </c>
      <c r="G10448" s="1">
        <v>28</v>
      </c>
    </row>
    <row r="10449" spans="1:7" ht="14.25" customHeight="1" x14ac:dyDescent="0.45">
      <c r="A10449" t="str">
        <f>_xlfn.XLOOKUP(B10449,Ingot!$H$12:$H$119,Ingot!$G$12:$G$119,"")</f>
        <v>Glass</v>
      </c>
      <c r="B10449" t="s">
        <v>20811</v>
      </c>
      <c r="C10449" t="s">
        <v>157</v>
      </c>
      <c r="D10449" t="s">
        <v>21000</v>
      </c>
      <c r="E10449" t="s">
        <v>21001</v>
      </c>
      <c r="F10449" t="s">
        <v>180</v>
      </c>
      <c r="G10449" s="1">
        <v>5.6</v>
      </c>
    </row>
    <row r="10450" spans="1:7" ht="14.25" customHeight="1" x14ac:dyDescent="0.45">
      <c r="A10450" t="str">
        <f>_xlfn.XLOOKUP(B10450,Ingot!$H$12:$H$119,Ingot!$G$12:$G$119,"")</f>
        <v>Glass</v>
      </c>
      <c r="B10450" t="s">
        <v>20811</v>
      </c>
      <c r="C10450" t="s">
        <v>157</v>
      </c>
      <c r="D10450" t="s">
        <v>21002</v>
      </c>
      <c r="E10450" t="s">
        <v>21003</v>
      </c>
      <c r="F10450" t="s">
        <v>180</v>
      </c>
      <c r="G10450" s="1">
        <v>5.6</v>
      </c>
    </row>
    <row r="10451" spans="1:7" ht="14.25" customHeight="1" x14ac:dyDescent="0.45">
      <c r="A10451" t="str">
        <f>_xlfn.XLOOKUP(B10451,Ingot!$H$12:$H$119,Ingot!$G$12:$G$119,"")</f>
        <v>Glass</v>
      </c>
      <c r="B10451" t="s">
        <v>20811</v>
      </c>
      <c r="C10451" t="s">
        <v>157</v>
      </c>
      <c r="D10451" t="s">
        <v>21004</v>
      </c>
      <c r="E10451" t="s">
        <v>21005</v>
      </c>
      <c r="F10451" t="s">
        <v>180</v>
      </c>
      <c r="G10451" s="1">
        <v>5</v>
      </c>
    </row>
    <row r="10452" spans="1:7" ht="14.25" customHeight="1" x14ac:dyDescent="0.45">
      <c r="A10452" t="str">
        <f>_xlfn.XLOOKUP(B10452,Ingot!$H$12:$H$119,Ingot!$G$12:$G$119,"")</f>
        <v>Glass</v>
      </c>
      <c r="B10452" t="s">
        <v>20811</v>
      </c>
      <c r="C10452" t="s">
        <v>157</v>
      </c>
      <c r="D10452" t="s">
        <v>21006</v>
      </c>
      <c r="E10452" t="s">
        <v>21007</v>
      </c>
      <c r="G10452" s="1">
        <v>10</v>
      </c>
    </row>
    <row r="10453" spans="1:7" ht="14.25" customHeight="1" x14ac:dyDescent="0.45">
      <c r="A10453" t="str">
        <f>_xlfn.XLOOKUP(B10453,Ingot!$H$12:$H$119,Ingot!$G$12:$G$119,"")</f>
        <v>Glass</v>
      </c>
      <c r="B10453" t="s">
        <v>20811</v>
      </c>
      <c r="C10453" t="s">
        <v>157</v>
      </c>
      <c r="D10453" t="s">
        <v>21008</v>
      </c>
      <c r="E10453" t="s">
        <v>21009</v>
      </c>
      <c r="G10453" s="1">
        <v>32.5</v>
      </c>
    </row>
    <row r="10454" spans="1:7" ht="14.25" customHeight="1" x14ac:dyDescent="0.45">
      <c r="A10454" t="str">
        <f>_xlfn.XLOOKUP(B10454,Ingot!$H$12:$H$119,Ingot!$G$12:$G$119,"")</f>
        <v>Glass</v>
      </c>
      <c r="B10454" t="s">
        <v>20811</v>
      </c>
      <c r="C10454" t="s">
        <v>157</v>
      </c>
      <c r="D10454" t="s">
        <v>21010</v>
      </c>
      <c r="E10454" t="s">
        <v>21011</v>
      </c>
      <c r="G10454" s="1">
        <v>6.5</v>
      </c>
    </row>
    <row r="10455" spans="1:7" ht="14.25" customHeight="1" x14ac:dyDescent="0.45">
      <c r="A10455" t="str">
        <f>_xlfn.XLOOKUP(B10455,Ingot!$H$12:$H$119,Ingot!$G$12:$G$119,"")</f>
        <v>Glass</v>
      </c>
      <c r="B10455" t="s">
        <v>20811</v>
      </c>
      <c r="C10455" t="s">
        <v>157</v>
      </c>
      <c r="D10455" t="s">
        <v>21012</v>
      </c>
      <c r="E10455" t="s">
        <v>21013</v>
      </c>
      <c r="G10455" s="1">
        <v>6.5</v>
      </c>
    </row>
    <row r="10456" spans="1:7" ht="14.25" customHeight="1" x14ac:dyDescent="0.45">
      <c r="A10456" t="str">
        <f>_xlfn.XLOOKUP(B10456,Ingot!$H$12:$H$119,Ingot!$G$12:$G$119,"")</f>
        <v>Glass</v>
      </c>
      <c r="B10456" t="s">
        <v>20811</v>
      </c>
      <c r="C10456" t="s">
        <v>157</v>
      </c>
      <c r="D10456" t="s">
        <v>21014</v>
      </c>
      <c r="E10456" t="s">
        <v>21015</v>
      </c>
      <c r="G10456" s="1">
        <v>5</v>
      </c>
    </row>
    <row r="10457" spans="1:7" ht="14.25" customHeight="1" x14ac:dyDescent="0.45">
      <c r="A10457" t="str">
        <f>_xlfn.XLOOKUP(B10457,Ingot!$H$12:$H$119,Ingot!$G$12:$G$119,"")</f>
        <v>Glass</v>
      </c>
      <c r="B10457" t="s">
        <v>20811</v>
      </c>
      <c r="C10457" t="s">
        <v>157</v>
      </c>
      <c r="D10457" t="s">
        <v>21016</v>
      </c>
      <c r="E10457" t="s">
        <v>21017</v>
      </c>
      <c r="G10457" s="1">
        <v>10</v>
      </c>
    </row>
    <row r="10458" spans="1:7" ht="14.25" customHeight="1" x14ac:dyDescent="0.45">
      <c r="A10458" t="str">
        <f>_xlfn.XLOOKUP(B10458,Ingot!$H$12:$H$119,Ingot!$G$12:$G$119,"")</f>
        <v>Glass</v>
      </c>
      <c r="B10458" t="s">
        <v>20811</v>
      </c>
      <c r="C10458" t="s">
        <v>157</v>
      </c>
      <c r="D10458" t="s">
        <v>21018</v>
      </c>
      <c r="E10458" t="s">
        <v>21019</v>
      </c>
      <c r="G10458" s="1">
        <v>31</v>
      </c>
    </row>
    <row r="10459" spans="1:7" ht="14.25" customHeight="1" x14ac:dyDescent="0.45">
      <c r="A10459" t="str">
        <f>_xlfn.XLOOKUP(B10459,Ingot!$H$12:$H$119,Ingot!$G$12:$G$119,"")</f>
        <v>Glass</v>
      </c>
      <c r="B10459" t="s">
        <v>20811</v>
      </c>
      <c r="C10459" t="s">
        <v>157</v>
      </c>
      <c r="D10459" t="s">
        <v>21020</v>
      </c>
      <c r="E10459" t="s">
        <v>21021</v>
      </c>
      <c r="G10459" s="1">
        <v>6.2</v>
      </c>
    </row>
    <row r="10460" spans="1:7" ht="14.25" customHeight="1" x14ac:dyDescent="0.45">
      <c r="A10460" t="str">
        <f>_xlfn.XLOOKUP(B10460,Ingot!$H$12:$H$119,Ingot!$G$12:$G$119,"")</f>
        <v>Glass</v>
      </c>
      <c r="B10460" t="s">
        <v>20811</v>
      </c>
      <c r="C10460" t="s">
        <v>157</v>
      </c>
      <c r="D10460" t="s">
        <v>21022</v>
      </c>
      <c r="E10460" t="s">
        <v>21023</v>
      </c>
      <c r="G10460" s="1">
        <v>6.2</v>
      </c>
    </row>
    <row r="10461" spans="1:7" ht="14.25" customHeight="1" x14ac:dyDescent="0.45">
      <c r="A10461" t="str">
        <f>_xlfn.XLOOKUP(B10461,Ingot!$H$12:$H$119,Ingot!$G$12:$G$119,"")</f>
        <v>Glass</v>
      </c>
      <c r="B10461" t="s">
        <v>20811</v>
      </c>
      <c r="C10461" t="s">
        <v>157</v>
      </c>
      <c r="D10461" t="s">
        <v>21024</v>
      </c>
      <c r="E10461" t="s">
        <v>21025</v>
      </c>
      <c r="G10461" s="1">
        <v>5</v>
      </c>
    </row>
    <row r="10462" spans="1:7" ht="14.25" customHeight="1" x14ac:dyDescent="0.45">
      <c r="A10462" t="str">
        <f>_xlfn.XLOOKUP(B10462,Ingot!$H$12:$H$119,Ingot!$G$12:$G$119,"")</f>
        <v>Glass</v>
      </c>
      <c r="B10462" t="s">
        <v>20811</v>
      </c>
      <c r="C10462" t="s">
        <v>157</v>
      </c>
      <c r="D10462" t="s">
        <v>21026</v>
      </c>
      <c r="E10462" t="s">
        <v>21027</v>
      </c>
      <c r="G10462" s="1">
        <v>10</v>
      </c>
    </row>
    <row r="10463" spans="1:7" ht="14.25" customHeight="1" x14ac:dyDescent="0.45">
      <c r="A10463" t="str">
        <f>_xlfn.XLOOKUP(B10463,Ingot!$H$12:$H$119,Ingot!$G$12:$G$119,"")</f>
        <v>Glass</v>
      </c>
      <c r="B10463" t="s">
        <v>20811</v>
      </c>
      <c r="C10463" t="s">
        <v>157</v>
      </c>
      <c r="D10463" t="s">
        <v>21028</v>
      </c>
      <c r="E10463" t="s">
        <v>21029</v>
      </c>
      <c r="F10463" t="s">
        <v>180</v>
      </c>
      <c r="G10463" s="1">
        <v>23.5</v>
      </c>
    </row>
    <row r="10464" spans="1:7" ht="14.25" customHeight="1" x14ac:dyDescent="0.45">
      <c r="A10464" t="str">
        <f>_xlfn.XLOOKUP(B10464,Ingot!$H$12:$H$119,Ingot!$G$12:$G$119,"")</f>
        <v>Glass</v>
      </c>
      <c r="B10464" t="s">
        <v>20811</v>
      </c>
      <c r="C10464" t="s">
        <v>157</v>
      </c>
      <c r="D10464" t="s">
        <v>21030</v>
      </c>
      <c r="E10464" t="s">
        <v>21031</v>
      </c>
      <c r="F10464" t="s">
        <v>180</v>
      </c>
      <c r="G10464" s="1">
        <v>5</v>
      </c>
    </row>
    <row r="10465" spans="1:7" ht="14.25" customHeight="1" x14ac:dyDescent="0.45">
      <c r="A10465" t="str">
        <f>_xlfn.XLOOKUP(B10465,Ingot!$H$12:$H$119,Ingot!$G$12:$G$119,"")</f>
        <v>Glass</v>
      </c>
      <c r="B10465" t="s">
        <v>20811</v>
      </c>
      <c r="C10465" t="s">
        <v>157</v>
      </c>
      <c r="D10465" t="s">
        <v>21032</v>
      </c>
      <c r="E10465" t="s">
        <v>21033</v>
      </c>
      <c r="F10465" t="s">
        <v>180</v>
      </c>
      <c r="G10465" s="1">
        <v>5</v>
      </c>
    </row>
    <row r="10466" spans="1:7" ht="14.25" customHeight="1" x14ac:dyDescent="0.45">
      <c r="A10466" t="str">
        <f>_xlfn.XLOOKUP(B10466,Ingot!$H$12:$H$119,Ingot!$G$12:$G$119,"")</f>
        <v>Glass</v>
      </c>
      <c r="B10466" t="s">
        <v>20811</v>
      </c>
      <c r="C10466" t="s">
        <v>157</v>
      </c>
      <c r="D10466" t="s">
        <v>21034</v>
      </c>
      <c r="E10466" t="s">
        <v>21035</v>
      </c>
      <c r="F10466" t="s">
        <v>180</v>
      </c>
      <c r="G10466" s="1">
        <v>5</v>
      </c>
    </row>
    <row r="10467" spans="1:7" ht="14.25" customHeight="1" x14ac:dyDescent="0.45">
      <c r="A10467" t="str">
        <f>_xlfn.XLOOKUP(B10467,Ingot!$H$12:$H$119,Ingot!$G$12:$G$119,"")</f>
        <v>Glass</v>
      </c>
      <c r="B10467" t="s">
        <v>20811</v>
      </c>
      <c r="C10467" t="s">
        <v>157</v>
      </c>
      <c r="D10467" t="s">
        <v>21036</v>
      </c>
      <c r="E10467" t="s">
        <v>21037</v>
      </c>
      <c r="F10467" t="s">
        <v>180</v>
      </c>
      <c r="G10467" s="1">
        <v>10</v>
      </c>
    </row>
    <row r="10468" spans="1:7" ht="14.25" customHeight="1" x14ac:dyDescent="0.45">
      <c r="A10468" t="str">
        <f>_xlfn.XLOOKUP(B10468,Ingot!$H$12:$H$119,Ingot!$G$12:$G$119,"")</f>
        <v>Glass</v>
      </c>
      <c r="B10468" t="s">
        <v>20811</v>
      </c>
      <c r="C10468" t="s">
        <v>239</v>
      </c>
      <c r="D10468" t="s">
        <v>21038</v>
      </c>
      <c r="E10468" t="s">
        <v>21039</v>
      </c>
      <c r="G10468" s="1">
        <f>(VLOOKUP(B10468,Ingot!H:I,2,FALSE()) * 0.75) * 0.75</f>
        <v>6.75</v>
      </c>
    </row>
    <row r="10469" spans="1:7" ht="14.25" customHeight="1" x14ac:dyDescent="0.45">
      <c r="A10469" t="str">
        <f>_xlfn.XLOOKUP(B10469,Ingot!$H$12:$H$119,Ingot!$G$12:$G$119,"")</f>
        <v>Glass</v>
      </c>
      <c r="B10469" t="s">
        <v>20811</v>
      </c>
      <c r="C10469" t="s">
        <v>239</v>
      </c>
      <c r="D10469" t="s">
        <v>21040</v>
      </c>
      <c r="E10469" t="s">
        <v>21041</v>
      </c>
      <c r="G10469" s="1">
        <f>((VLOOKUP(B10469,Ingot!H:I,2,FALSE()) * 3) - 10.25) * 0.421875</f>
        <v>10.86328125</v>
      </c>
    </row>
    <row r="10470" spans="1:7" ht="14.25" customHeight="1" x14ac:dyDescent="0.45">
      <c r="A10470" t="str">
        <f>_xlfn.XLOOKUP(B10470,Ingot!$H$12:$H$119,Ingot!$G$12:$G$119,"")</f>
        <v>Glass</v>
      </c>
      <c r="B10470" t="s">
        <v>20811</v>
      </c>
      <c r="C10470" t="s">
        <v>239</v>
      </c>
      <c r="D10470" t="s">
        <v>21042</v>
      </c>
      <c r="E10470" t="s">
        <v>21043</v>
      </c>
      <c r="G10470" s="1">
        <f>((VLOOKUP(B10470,Ingot!H:I,2,FALSE()) * 3) - 10.25) * 0.75</f>
        <v>19.3125</v>
      </c>
    </row>
    <row r="10471" spans="1:7" ht="14.25" customHeight="1" x14ac:dyDescent="0.45">
      <c r="A10471" t="str">
        <f>_xlfn.XLOOKUP(B10471,Ingot!$H$12:$H$119,Ingot!$G$12:$G$119,"")</f>
        <v>Glass</v>
      </c>
      <c r="B10471" t="s">
        <v>20811</v>
      </c>
      <c r="C10471" t="s">
        <v>239</v>
      </c>
      <c r="D10471" t="s">
        <v>21044</v>
      </c>
      <c r="E10471" t="s">
        <v>21045</v>
      </c>
      <c r="G10471" s="1">
        <f>((VLOOKUP(B10471,Ingot!H:I,2,FALSE()) * 3) - 10.25) * 0.5625</f>
        <v>14.484375</v>
      </c>
    </row>
    <row r="10472" spans="1:7" ht="14.25" customHeight="1" x14ac:dyDescent="0.45">
      <c r="A10472" t="str">
        <f>_xlfn.XLOOKUP(B10472,Ingot!$H$12:$H$119,Ingot!$G$12:$G$119,"")</f>
        <v>Glass</v>
      </c>
      <c r="B10472" t="s">
        <v>20811</v>
      </c>
      <c r="C10472" t="s">
        <v>239</v>
      </c>
      <c r="D10472" t="s">
        <v>21046</v>
      </c>
      <c r="E10472" t="s">
        <v>21047</v>
      </c>
      <c r="G10472" s="1">
        <f>VLOOKUP(B10472,Ingot!H:I,2,FALSE()) * 0.75</f>
        <v>9</v>
      </c>
    </row>
    <row r="10473" spans="1:7" ht="14.25" customHeight="1" x14ac:dyDescent="0.45">
      <c r="A10473" t="str">
        <f>_xlfn.XLOOKUP(B10473,Ingot!$H$12:$H$119,Ingot!$G$12:$G$119,"")</f>
        <v>Glass</v>
      </c>
      <c r="B10473" t="s">
        <v>20811</v>
      </c>
      <c r="C10473" t="s">
        <v>239</v>
      </c>
      <c r="D10473" t="s">
        <v>21048</v>
      </c>
      <c r="E10473" t="s">
        <v>21049</v>
      </c>
      <c r="G10473" s="1">
        <f>(VLOOKUP(B10473,Ingot!H:I,2,FALSE()) * 3) - 10.25</f>
        <v>25.75</v>
      </c>
    </row>
    <row r="10474" spans="1:7" ht="14.25" customHeight="1" x14ac:dyDescent="0.45">
      <c r="A10474" t="str">
        <f>_xlfn.XLOOKUP(B10474,Ingot!$H$12:$H$119,Ingot!$G$12:$G$119,"")</f>
        <v>Glass</v>
      </c>
      <c r="B10474" t="s">
        <v>21050</v>
      </c>
      <c r="C10474" t="s">
        <v>10</v>
      </c>
      <c r="D10474" t="s">
        <v>21051</v>
      </c>
      <c r="E10474" t="s">
        <v>21052</v>
      </c>
      <c r="G10474" s="1">
        <v>0.08</v>
      </c>
    </row>
    <row r="10475" spans="1:7" ht="14.25" customHeight="1" x14ac:dyDescent="0.45">
      <c r="A10475" t="str">
        <f>_xlfn.XLOOKUP(B10475,Ingot!$H$12:$H$119,Ingot!$G$12:$G$119,"")</f>
        <v>Glass</v>
      </c>
      <c r="B10475" t="s">
        <v>21050</v>
      </c>
      <c r="C10475" t="s">
        <v>10</v>
      </c>
      <c r="D10475" t="s">
        <v>21053</v>
      </c>
      <c r="E10475" t="s">
        <v>21054</v>
      </c>
      <c r="G10475" s="1">
        <v>9.9</v>
      </c>
    </row>
    <row r="10476" spans="1:7" ht="14.25" customHeight="1" x14ac:dyDescent="0.45">
      <c r="A10476" t="str">
        <f>_xlfn.XLOOKUP(B10476,Ingot!$H$12:$H$119,Ingot!$G$12:$G$119,"")</f>
        <v>Glass</v>
      </c>
      <c r="B10476" t="s">
        <v>21050</v>
      </c>
      <c r="C10476" t="s">
        <v>10</v>
      </c>
      <c r="D10476" t="s">
        <v>21055</v>
      </c>
      <c r="E10476" t="s">
        <v>21056</v>
      </c>
      <c r="G10476" s="1">
        <v>5.66</v>
      </c>
    </row>
    <row r="10477" spans="1:7" ht="14.25" customHeight="1" x14ac:dyDescent="0.45">
      <c r="A10477" t="str">
        <f>_xlfn.XLOOKUP(B10477,Ingot!$H$12:$H$119,Ingot!$G$12:$G$119,"")</f>
        <v>Glass</v>
      </c>
      <c r="B10477" t="s">
        <v>21050</v>
      </c>
      <c r="C10477" t="s">
        <v>10</v>
      </c>
      <c r="D10477" t="s">
        <v>21057</v>
      </c>
      <c r="E10477" t="s">
        <v>21058</v>
      </c>
      <c r="G10477" s="1">
        <v>3.3</v>
      </c>
    </row>
    <row r="10478" spans="1:7" ht="14.25" customHeight="1" x14ac:dyDescent="0.45">
      <c r="A10478" t="str">
        <f>_xlfn.XLOOKUP(B10478,Ingot!$H$12:$H$119,Ingot!$G$12:$G$119,"")</f>
        <v>Glass</v>
      </c>
      <c r="B10478" t="s">
        <v>21050</v>
      </c>
      <c r="C10478" t="s">
        <v>10</v>
      </c>
      <c r="D10478" t="s">
        <v>21059</v>
      </c>
      <c r="E10478" t="s">
        <v>21060</v>
      </c>
      <c r="G10478" s="1">
        <v>0.66</v>
      </c>
    </row>
    <row r="10479" spans="1:7" ht="14.25" customHeight="1" x14ac:dyDescent="0.45">
      <c r="A10479" t="str">
        <f>_xlfn.XLOOKUP(B10479,Ingot!$H$12:$H$119,Ingot!$G$12:$G$119,"")</f>
        <v>Glass</v>
      </c>
      <c r="B10479" t="s">
        <v>21050</v>
      </c>
      <c r="C10479" t="s">
        <v>10</v>
      </c>
      <c r="D10479" t="s">
        <v>21061</v>
      </c>
      <c r="E10479" t="s">
        <v>21062</v>
      </c>
      <c r="G10479" s="1">
        <v>0.04</v>
      </c>
    </row>
    <row r="10480" spans="1:7" ht="14.25" customHeight="1" x14ac:dyDescent="0.45">
      <c r="A10480" t="str">
        <f>_xlfn.XLOOKUP(B10480,Ingot!$H$12:$H$119,Ingot!$G$12:$G$119,"")</f>
        <v>Glass</v>
      </c>
      <c r="B10480" t="s">
        <v>21050</v>
      </c>
      <c r="C10480" t="s">
        <v>10</v>
      </c>
      <c r="D10480" t="s">
        <v>21063</v>
      </c>
      <c r="E10480" t="s">
        <v>21064</v>
      </c>
      <c r="G10480" s="1">
        <v>0.33</v>
      </c>
    </row>
    <row r="10481" spans="1:7" ht="14.25" customHeight="1" x14ac:dyDescent="0.45">
      <c r="A10481" t="str">
        <f>_xlfn.XLOOKUP(B10481,Ingot!$H$12:$H$119,Ingot!$G$12:$G$119,"")</f>
        <v>Glass</v>
      </c>
      <c r="B10481" t="s">
        <v>21050</v>
      </c>
      <c r="C10481" t="s">
        <v>10</v>
      </c>
      <c r="D10481" t="s">
        <v>21065</v>
      </c>
      <c r="E10481" t="s">
        <v>21066</v>
      </c>
    </row>
    <row r="10482" spans="1:7" ht="14.25" customHeight="1" x14ac:dyDescent="0.45">
      <c r="A10482" t="str">
        <f>_xlfn.XLOOKUP(B10482,Ingot!$H$12:$H$119,Ingot!$G$12:$G$119,"")</f>
        <v>Glass</v>
      </c>
      <c r="B10482" t="s">
        <v>21050</v>
      </c>
      <c r="C10482" t="s">
        <v>10</v>
      </c>
      <c r="D10482" t="s">
        <v>21067</v>
      </c>
      <c r="E10482" t="s">
        <v>21068</v>
      </c>
      <c r="G10482" s="1">
        <v>0.05</v>
      </c>
    </row>
    <row r="10483" spans="1:7" ht="14.25" customHeight="1" x14ac:dyDescent="0.45">
      <c r="A10483" t="str">
        <f>_xlfn.XLOOKUP(B10483,Ingot!$H$12:$H$119,Ingot!$G$12:$G$119,"")</f>
        <v>Glass</v>
      </c>
      <c r="B10483" t="s">
        <v>21050</v>
      </c>
      <c r="C10483" t="s">
        <v>10</v>
      </c>
      <c r="D10483" t="s">
        <v>21069</v>
      </c>
      <c r="E10483" t="s">
        <v>21070</v>
      </c>
      <c r="G10483" s="1">
        <v>0.66</v>
      </c>
    </row>
    <row r="10484" spans="1:7" ht="14.25" customHeight="1" x14ac:dyDescent="0.45">
      <c r="A10484" t="str">
        <f>_xlfn.XLOOKUP(B10484,Ingot!$H$12:$H$119,Ingot!$G$12:$G$119,"")</f>
        <v>Glass</v>
      </c>
      <c r="B10484" t="s">
        <v>21050</v>
      </c>
      <c r="C10484" t="s">
        <v>10</v>
      </c>
      <c r="D10484" t="s">
        <v>21071</v>
      </c>
      <c r="E10484" t="s">
        <v>21072</v>
      </c>
      <c r="G10484" s="1">
        <v>3.96</v>
      </c>
    </row>
    <row r="10485" spans="1:7" ht="14.25" customHeight="1" x14ac:dyDescent="0.45">
      <c r="A10485" t="str">
        <f>_xlfn.XLOOKUP(B10485,Ingot!$H$12:$H$119,Ingot!$G$12:$G$119,"")</f>
        <v>Glass</v>
      </c>
      <c r="B10485" t="s">
        <v>21050</v>
      </c>
      <c r="C10485" t="s">
        <v>10</v>
      </c>
      <c r="D10485" t="s">
        <v>21073</v>
      </c>
      <c r="E10485" t="s">
        <v>21074</v>
      </c>
      <c r="G10485" s="1">
        <v>8.77</v>
      </c>
    </row>
    <row r="10486" spans="1:7" ht="14.25" customHeight="1" x14ac:dyDescent="0.45">
      <c r="A10486" t="str">
        <f>_xlfn.XLOOKUP(B10486,Ingot!$H$12:$H$119,Ingot!$G$12:$G$119,"")</f>
        <v>Glass</v>
      </c>
      <c r="B10486" t="s">
        <v>21050</v>
      </c>
      <c r="C10486" t="s">
        <v>10</v>
      </c>
      <c r="D10486" t="s">
        <v>21075</v>
      </c>
      <c r="E10486" t="s">
        <v>21076</v>
      </c>
      <c r="G10486" s="1">
        <v>3.5</v>
      </c>
    </row>
    <row r="10487" spans="1:7" ht="14.25" customHeight="1" x14ac:dyDescent="0.45">
      <c r="A10487" t="str">
        <f>_xlfn.XLOOKUP(B10487,Ingot!$H$12:$H$119,Ingot!$G$12:$G$119,"")</f>
        <v>Glass</v>
      </c>
      <c r="B10487" t="s">
        <v>21050</v>
      </c>
      <c r="C10487" t="s">
        <v>10</v>
      </c>
      <c r="D10487" t="s">
        <v>21077</v>
      </c>
      <c r="E10487" t="s">
        <v>21078</v>
      </c>
    </row>
    <row r="10488" spans="1:7" ht="14.25" customHeight="1" x14ac:dyDescent="0.45">
      <c r="A10488" t="str">
        <f>_xlfn.XLOOKUP(B10488,Ingot!$H$12:$H$119,Ingot!$G$12:$G$119,"")</f>
        <v>Glass</v>
      </c>
      <c r="B10488" t="s">
        <v>21050</v>
      </c>
      <c r="C10488" t="s">
        <v>10</v>
      </c>
      <c r="D10488" t="s">
        <v>21079</v>
      </c>
      <c r="E10488" t="s">
        <v>21080</v>
      </c>
      <c r="G10488" s="1">
        <v>2.2000000000000002</v>
      </c>
    </row>
    <row r="10489" spans="1:7" ht="14.25" customHeight="1" x14ac:dyDescent="0.45">
      <c r="A10489" t="str">
        <f>_xlfn.XLOOKUP(B10489,Ingot!$H$12:$H$119,Ingot!$G$12:$G$119,"")</f>
        <v>Glass</v>
      </c>
      <c r="B10489" t="s">
        <v>21050</v>
      </c>
      <c r="C10489" t="s">
        <v>10</v>
      </c>
      <c r="D10489" t="s">
        <v>21081</v>
      </c>
      <c r="E10489" t="s">
        <v>21082</v>
      </c>
      <c r="G10489" s="1">
        <v>1.1000000000000001</v>
      </c>
    </row>
    <row r="10490" spans="1:7" ht="14.25" customHeight="1" x14ac:dyDescent="0.45">
      <c r="A10490" t="str">
        <f>_xlfn.XLOOKUP(B10490,Ingot!$H$12:$H$119,Ingot!$G$12:$G$119,"")</f>
        <v>Glass</v>
      </c>
      <c r="B10490" t="s">
        <v>21050</v>
      </c>
      <c r="C10490" t="s">
        <v>10</v>
      </c>
      <c r="D10490" t="s">
        <v>21083</v>
      </c>
      <c r="E10490" t="s">
        <v>21084</v>
      </c>
      <c r="G10490" s="1">
        <v>0.22</v>
      </c>
    </row>
    <row r="10491" spans="1:7" ht="14.25" customHeight="1" x14ac:dyDescent="0.45">
      <c r="A10491" t="str">
        <f>_xlfn.XLOOKUP(B10491,Ingot!$H$12:$H$119,Ingot!$G$12:$G$119,"")</f>
        <v>Glass</v>
      </c>
      <c r="B10491" t="s">
        <v>21050</v>
      </c>
      <c r="C10491" t="s">
        <v>10</v>
      </c>
      <c r="D10491" t="s">
        <v>21085</v>
      </c>
      <c r="E10491" t="s">
        <v>21086</v>
      </c>
      <c r="G10491" s="1">
        <v>8.41</v>
      </c>
    </row>
    <row r="10492" spans="1:7" ht="14.25" customHeight="1" x14ac:dyDescent="0.45">
      <c r="A10492" t="str">
        <f>_xlfn.XLOOKUP(B10492,Ingot!$H$12:$H$119,Ingot!$G$12:$G$119,"")</f>
        <v>Glass</v>
      </c>
      <c r="B10492" t="s">
        <v>21050</v>
      </c>
      <c r="C10492" t="s">
        <v>10</v>
      </c>
      <c r="D10492" t="s">
        <v>21087</v>
      </c>
      <c r="E10492" t="s">
        <v>21088</v>
      </c>
      <c r="G10492" s="1">
        <v>3.64</v>
      </c>
    </row>
    <row r="10493" spans="1:7" ht="14.25" customHeight="1" x14ac:dyDescent="0.45">
      <c r="A10493" t="str">
        <f>_xlfn.XLOOKUP(B10493,Ingot!$H$12:$H$119,Ingot!$G$12:$G$119,"")</f>
        <v>Glass</v>
      </c>
      <c r="B10493" t="s">
        <v>21050</v>
      </c>
      <c r="C10493" t="s">
        <v>10</v>
      </c>
      <c r="D10493" t="s">
        <v>21089</v>
      </c>
      <c r="E10493" t="s">
        <v>21090</v>
      </c>
      <c r="G10493" s="1">
        <v>7.05</v>
      </c>
    </row>
    <row r="10494" spans="1:7" ht="14.25" customHeight="1" x14ac:dyDescent="0.45">
      <c r="A10494" t="str">
        <f>_xlfn.XLOOKUP(B10494,Ingot!$H$12:$H$119,Ingot!$G$12:$G$119,"")</f>
        <v>Glass</v>
      </c>
      <c r="B10494" t="s">
        <v>21050</v>
      </c>
      <c r="C10494" t="s">
        <v>10</v>
      </c>
      <c r="D10494" t="s">
        <v>21091</v>
      </c>
      <c r="E10494" t="s">
        <v>21092</v>
      </c>
      <c r="G10494" s="1">
        <v>2.65</v>
      </c>
    </row>
    <row r="10495" spans="1:7" ht="14.25" customHeight="1" x14ac:dyDescent="0.45">
      <c r="A10495" t="str">
        <f>_xlfn.XLOOKUP(B10495,Ingot!$H$12:$H$119,Ingot!$G$12:$G$119,"")</f>
        <v>Glass</v>
      </c>
      <c r="B10495" t="s">
        <v>21050</v>
      </c>
      <c r="C10495" t="s">
        <v>10</v>
      </c>
      <c r="D10495" t="s">
        <v>21093</v>
      </c>
      <c r="E10495" t="s">
        <v>21094</v>
      </c>
      <c r="G10495" s="1">
        <v>9</v>
      </c>
    </row>
    <row r="10496" spans="1:7" ht="14.25" customHeight="1" x14ac:dyDescent="0.45">
      <c r="A10496" t="str">
        <f>_xlfn.XLOOKUP(B10496,Ingot!$H$12:$H$119,Ingot!$G$12:$G$119,"")</f>
        <v>Glass</v>
      </c>
      <c r="B10496" t="s">
        <v>21050</v>
      </c>
      <c r="C10496" t="s">
        <v>10</v>
      </c>
      <c r="D10496" t="s">
        <v>21095</v>
      </c>
      <c r="E10496" t="s">
        <v>21096</v>
      </c>
      <c r="G10496" s="1">
        <v>10.23</v>
      </c>
    </row>
    <row r="10497" spans="1:7" ht="14.25" customHeight="1" x14ac:dyDescent="0.45">
      <c r="A10497" t="str">
        <f>_xlfn.XLOOKUP(B10497,Ingot!$H$12:$H$119,Ingot!$G$12:$G$119,"")</f>
        <v>Glass</v>
      </c>
      <c r="B10497" t="s">
        <v>21050</v>
      </c>
      <c r="C10497" t="s">
        <v>10</v>
      </c>
      <c r="D10497" t="s">
        <v>21097</v>
      </c>
      <c r="E10497" t="s">
        <v>21098</v>
      </c>
      <c r="G10497" s="1">
        <v>7.7</v>
      </c>
    </row>
    <row r="10498" spans="1:7" ht="14.25" customHeight="1" x14ac:dyDescent="0.45">
      <c r="A10498" t="str">
        <f>_xlfn.XLOOKUP(B10498,Ingot!$H$12:$H$119,Ingot!$G$12:$G$119,"")</f>
        <v>Glass</v>
      </c>
      <c r="B10498" t="s">
        <v>21050</v>
      </c>
      <c r="C10498" t="s">
        <v>10</v>
      </c>
      <c r="D10498" t="s">
        <v>21099</v>
      </c>
      <c r="E10498" t="s">
        <v>21100</v>
      </c>
      <c r="G10498" s="1">
        <v>10.02</v>
      </c>
    </row>
    <row r="10499" spans="1:7" ht="14.25" customHeight="1" x14ac:dyDescent="0.45">
      <c r="A10499" t="str">
        <f>_xlfn.XLOOKUP(B10499,Ingot!$H$12:$H$119,Ingot!$G$12:$G$119,"")</f>
        <v>Glass</v>
      </c>
      <c r="B10499" t="s">
        <v>21050</v>
      </c>
      <c r="C10499" t="s">
        <v>10</v>
      </c>
      <c r="D10499" t="s">
        <v>21101</v>
      </c>
      <c r="E10499" t="s">
        <v>21102</v>
      </c>
      <c r="G10499" s="1">
        <v>11.81</v>
      </c>
    </row>
    <row r="10500" spans="1:7" ht="14.25" customHeight="1" x14ac:dyDescent="0.45">
      <c r="A10500" t="str">
        <f>_xlfn.XLOOKUP(B10500,Ingot!$H$12:$H$119,Ingot!$G$12:$G$119,"")</f>
        <v>Glass</v>
      </c>
      <c r="B10500" t="s">
        <v>21050</v>
      </c>
      <c r="C10500" t="s">
        <v>10</v>
      </c>
      <c r="D10500" t="s">
        <v>21103</v>
      </c>
      <c r="E10500" t="s">
        <v>21104</v>
      </c>
      <c r="G10500" s="1">
        <v>8.44</v>
      </c>
    </row>
    <row r="10501" spans="1:7" ht="14.25" customHeight="1" x14ac:dyDescent="0.45">
      <c r="A10501" t="str">
        <f>_xlfn.XLOOKUP(B10501,Ingot!$H$12:$H$119,Ingot!$G$12:$G$119,"")</f>
        <v>Glass</v>
      </c>
      <c r="B10501" t="s">
        <v>21050</v>
      </c>
      <c r="C10501" t="s">
        <v>10</v>
      </c>
      <c r="D10501" t="s">
        <v>21105</v>
      </c>
      <c r="E10501" t="s">
        <v>21106</v>
      </c>
      <c r="G10501" s="1">
        <v>10.42</v>
      </c>
    </row>
    <row r="10502" spans="1:7" ht="14.25" customHeight="1" x14ac:dyDescent="0.45">
      <c r="A10502" t="str">
        <f>_xlfn.XLOOKUP(B10502,Ingot!$H$12:$H$119,Ingot!$G$12:$G$119,"")</f>
        <v>Glass</v>
      </c>
      <c r="B10502" t="s">
        <v>21050</v>
      </c>
      <c r="C10502" t="s">
        <v>10</v>
      </c>
      <c r="D10502" t="s">
        <v>21107</v>
      </c>
      <c r="E10502" t="s">
        <v>21108</v>
      </c>
    </row>
    <row r="10503" spans="1:7" ht="14.25" customHeight="1" x14ac:dyDescent="0.45">
      <c r="A10503" t="str">
        <f>_xlfn.XLOOKUP(B10503,Ingot!$H$12:$H$119,Ingot!$G$12:$G$119,"")</f>
        <v>Glass</v>
      </c>
      <c r="B10503" t="s">
        <v>21050</v>
      </c>
      <c r="C10503" t="s">
        <v>10</v>
      </c>
      <c r="D10503" t="s">
        <v>21109</v>
      </c>
      <c r="E10503" t="s">
        <v>21110</v>
      </c>
      <c r="G10503" s="1">
        <v>7.96</v>
      </c>
    </row>
    <row r="10504" spans="1:7" ht="14.25" customHeight="1" x14ac:dyDescent="0.45">
      <c r="A10504" t="str">
        <f>_xlfn.XLOOKUP(B10504,Ingot!$H$12:$H$119,Ingot!$G$12:$G$119,"")</f>
        <v>Glass</v>
      </c>
      <c r="B10504" t="s">
        <v>21050</v>
      </c>
      <c r="C10504" t="s">
        <v>10</v>
      </c>
      <c r="D10504" t="s">
        <v>21111</v>
      </c>
      <c r="E10504" t="s">
        <v>21112</v>
      </c>
      <c r="G10504" s="1">
        <v>9.64</v>
      </c>
    </row>
    <row r="10505" spans="1:7" ht="14.25" customHeight="1" x14ac:dyDescent="0.45">
      <c r="A10505" t="str">
        <f>_xlfn.XLOOKUP(B10505,Ingot!$H$12:$H$119,Ingot!$G$12:$G$119,"")</f>
        <v>Glass</v>
      </c>
      <c r="B10505" t="s">
        <v>21050</v>
      </c>
      <c r="C10505" t="s">
        <v>10</v>
      </c>
      <c r="D10505" t="s">
        <v>21113</v>
      </c>
      <c r="E10505" t="s">
        <v>21114</v>
      </c>
      <c r="G10505" s="1">
        <v>7.94</v>
      </c>
    </row>
    <row r="10506" spans="1:7" ht="14.25" customHeight="1" x14ac:dyDescent="0.45">
      <c r="A10506" t="str">
        <f>_xlfn.XLOOKUP(B10506,Ingot!$H$12:$H$119,Ingot!$G$12:$G$119,"")</f>
        <v>Glass</v>
      </c>
      <c r="B10506" t="s">
        <v>21050</v>
      </c>
      <c r="C10506" t="s">
        <v>10</v>
      </c>
      <c r="D10506" t="s">
        <v>21115</v>
      </c>
      <c r="E10506" t="s">
        <v>21116</v>
      </c>
      <c r="G10506" s="1">
        <v>8.66</v>
      </c>
    </row>
    <row r="10507" spans="1:7" ht="14.25" customHeight="1" x14ac:dyDescent="0.45">
      <c r="A10507" t="str">
        <f>_xlfn.XLOOKUP(B10507,Ingot!$H$12:$H$119,Ingot!$G$12:$G$119,"")</f>
        <v>Glass</v>
      </c>
      <c r="B10507" t="s">
        <v>21050</v>
      </c>
      <c r="C10507" t="s">
        <v>10</v>
      </c>
      <c r="D10507" t="s">
        <v>21117</v>
      </c>
      <c r="E10507" t="s">
        <v>21118</v>
      </c>
    </row>
    <row r="10508" spans="1:7" ht="14.25" customHeight="1" x14ac:dyDescent="0.45">
      <c r="A10508" t="str">
        <f>_xlfn.XLOOKUP(B10508,Ingot!$H$12:$H$119,Ingot!$G$12:$G$119,"")</f>
        <v>Glass</v>
      </c>
      <c r="B10508" t="s">
        <v>21050</v>
      </c>
      <c r="C10508" t="s">
        <v>10</v>
      </c>
      <c r="D10508" t="s">
        <v>21119</v>
      </c>
      <c r="E10508" t="s">
        <v>21120</v>
      </c>
      <c r="G10508" s="1">
        <v>2.65</v>
      </c>
    </row>
    <row r="10509" spans="1:7" ht="14.25" customHeight="1" x14ac:dyDescent="0.45">
      <c r="A10509" t="str">
        <f>_xlfn.XLOOKUP(B10509,Ingot!$H$12:$H$119,Ingot!$G$12:$G$119,"")</f>
        <v>Glass</v>
      </c>
      <c r="B10509" t="s">
        <v>21050</v>
      </c>
      <c r="C10509" t="s">
        <v>10</v>
      </c>
      <c r="D10509" t="s">
        <v>21121</v>
      </c>
      <c r="E10509" t="s">
        <v>21122</v>
      </c>
    </row>
    <row r="10510" spans="1:7" ht="14.25" customHeight="1" x14ac:dyDescent="0.45">
      <c r="A10510" t="str">
        <f>_xlfn.XLOOKUP(B10510,Ingot!$H$12:$H$119,Ingot!$G$12:$G$119,"")</f>
        <v>Glass</v>
      </c>
      <c r="B10510" t="s">
        <v>21050</v>
      </c>
      <c r="C10510" t="s">
        <v>10</v>
      </c>
      <c r="D10510" t="s">
        <v>21123</v>
      </c>
      <c r="E10510" t="s">
        <v>21124</v>
      </c>
      <c r="G10510" s="1">
        <v>12.64</v>
      </c>
    </row>
    <row r="10511" spans="1:7" ht="14.25" customHeight="1" x14ac:dyDescent="0.45">
      <c r="A10511" t="str">
        <f>_xlfn.XLOOKUP(B10511,Ingot!$H$12:$H$119,Ingot!$G$12:$G$119,"")</f>
        <v>Glass</v>
      </c>
      <c r="B10511" t="s">
        <v>21050</v>
      </c>
      <c r="C10511" t="s">
        <v>10</v>
      </c>
      <c r="D10511" t="s">
        <v>21125</v>
      </c>
      <c r="E10511" t="s">
        <v>21126</v>
      </c>
      <c r="G10511" s="1">
        <v>22.67</v>
      </c>
    </row>
    <row r="10512" spans="1:7" ht="14.25" customHeight="1" x14ac:dyDescent="0.45">
      <c r="A10512" t="str">
        <f>_xlfn.XLOOKUP(B10512,Ingot!$H$12:$H$119,Ingot!$G$12:$G$119,"")</f>
        <v>Glass</v>
      </c>
      <c r="B10512" t="s">
        <v>21050</v>
      </c>
      <c r="C10512" t="s">
        <v>10</v>
      </c>
      <c r="D10512" t="s">
        <v>21127</v>
      </c>
      <c r="E10512" t="s">
        <v>21128</v>
      </c>
      <c r="G10512" s="1">
        <v>8.3800000000000008</v>
      </c>
    </row>
    <row r="10513" spans="1:7" ht="14.25" customHeight="1" x14ac:dyDescent="0.45">
      <c r="A10513" t="str">
        <f>_xlfn.XLOOKUP(B10513,Ingot!$H$12:$H$119,Ingot!$G$12:$G$119,"")</f>
        <v>Glass</v>
      </c>
      <c r="B10513" t="s">
        <v>21050</v>
      </c>
      <c r="C10513" t="s">
        <v>10</v>
      </c>
      <c r="D10513" t="s">
        <v>21129</v>
      </c>
      <c r="E10513" t="s">
        <v>21130</v>
      </c>
      <c r="G10513" s="1">
        <v>2.2000000000000002</v>
      </c>
    </row>
    <row r="10514" spans="1:7" ht="14.25" customHeight="1" x14ac:dyDescent="0.45">
      <c r="A10514" t="str">
        <f>_xlfn.XLOOKUP(B10514,Ingot!$H$12:$H$119,Ingot!$G$12:$G$119,"")</f>
        <v>Glass</v>
      </c>
      <c r="B10514" t="s">
        <v>21050</v>
      </c>
      <c r="C10514" t="s">
        <v>10</v>
      </c>
      <c r="D10514" t="s">
        <v>21131</v>
      </c>
      <c r="E10514" t="s">
        <v>21132</v>
      </c>
      <c r="G10514" s="1">
        <v>3.09</v>
      </c>
    </row>
    <row r="10515" spans="1:7" ht="14.25" customHeight="1" x14ac:dyDescent="0.45">
      <c r="A10515" t="str">
        <f>_xlfn.XLOOKUP(B10515,Ingot!$H$12:$H$119,Ingot!$G$12:$G$119,"")</f>
        <v>Glass</v>
      </c>
      <c r="B10515" t="s">
        <v>21050</v>
      </c>
      <c r="C10515" t="s">
        <v>10</v>
      </c>
      <c r="D10515" t="s">
        <v>21133</v>
      </c>
      <c r="E10515" t="s">
        <v>21134</v>
      </c>
      <c r="G10515" s="1">
        <v>2.2999999999999998</v>
      </c>
    </row>
    <row r="10516" spans="1:7" ht="14.25" customHeight="1" x14ac:dyDescent="0.45">
      <c r="A10516" t="str">
        <f>_xlfn.XLOOKUP(B10516,Ingot!$H$12:$H$119,Ingot!$G$12:$G$119,"")</f>
        <v>Glass</v>
      </c>
      <c r="B10516" t="s">
        <v>21050</v>
      </c>
      <c r="C10516" t="s">
        <v>10</v>
      </c>
      <c r="D10516" t="s">
        <v>21135</v>
      </c>
      <c r="E10516" t="s">
        <v>21136</v>
      </c>
      <c r="G10516" s="1">
        <v>4.88</v>
      </c>
    </row>
    <row r="10517" spans="1:7" ht="14.25" customHeight="1" x14ac:dyDescent="0.45">
      <c r="A10517" t="str">
        <f>_xlfn.XLOOKUP(B10517,Ingot!$H$12:$H$119,Ingot!$G$12:$G$119,"")</f>
        <v>Glass</v>
      </c>
      <c r="B10517" t="s">
        <v>21050</v>
      </c>
      <c r="C10517" t="s">
        <v>10</v>
      </c>
      <c r="D10517" t="s">
        <v>21137</v>
      </c>
      <c r="E10517" t="s">
        <v>21138</v>
      </c>
      <c r="G10517" s="1">
        <v>8.43</v>
      </c>
    </row>
    <row r="10518" spans="1:7" ht="14.25" customHeight="1" x14ac:dyDescent="0.45">
      <c r="A10518" t="str">
        <f>_xlfn.XLOOKUP(B10518,Ingot!$H$12:$H$119,Ingot!$G$12:$G$119,"")</f>
        <v>Glass</v>
      </c>
      <c r="B10518" t="s">
        <v>21050</v>
      </c>
      <c r="C10518" t="s">
        <v>10</v>
      </c>
      <c r="D10518" t="s">
        <v>21139</v>
      </c>
      <c r="E10518" t="s">
        <v>21140</v>
      </c>
      <c r="G10518" s="1">
        <v>13.07</v>
      </c>
    </row>
    <row r="10519" spans="1:7" ht="14.25" customHeight="1" x14ac:dyDescent="0.45">
      <c r="A10519" t="str">
        <f>_xlfn.XLOOKUP(B10519,Ingot!$H$12:$H$119,Ingot!$G$12:$G$119,"")</f>
        <v>Glass</v>
      </c>
      <c r="B10519" t="s">
        <v>21050</v>
      </c>
      <c r="C10519" t="s">
        <v>10</v>
      </c>
      <c r="D10519" t="s">
        <v>21141</v>
      </c>
      <c r="E10519" t="s">
        <v>21142</v>
      </c>
    </row>
    <row r="10520" spans="1:7" ht="14.25" customHeight="1" x14ac:dyDescent="0.45">
      <c r="A10520" t="str">
        <f>_xlfn.XLOOKUP(B10520,Ingot!$H$12:$H$119,Ingot!$G$12:$G$119,"")</f>
        <v>Glass</v>
      </c>
      <c r="B10520" t="s">
        <v>21050</v>
      </c>
      <c r="C10520" t="s">
        <v>10</v>
      </c>
      <c r="D10520" t="s">
        <v>21143</v>
      </c>
      <c r="E10520" t="s">
        <v>21144</v>
      </c>
    </row>
    <row r="10521" spans="1:7" ht="14.25" customHeight="1" x14ac:dyDescent="0.45">
      <c r="A10521" t="str">
        <f>_xlfn.XLOOKUP(B10521,Ingot!$H$12:$H$119,Ingot!$G$12:$G$119,"")</f>
        <v>Glass</v>
      </c>
      <c r="B10521" t="s">
        <v>21050</v>
      </c>
      <c r="C10521" t="s">
        <v>10</v>
      </c>
      <c r="D10521" t="s">
        <v>21145</v>
      </c>
      <c r="E10521" t="s">
        <v>21146</v>
      </c>
      <c r="G10521" s="1">
        <v>6.8</v>
      </c>
    </row>
    <row r="10522" spans="1:7" ht="14.25" customHeight="1" x14ac:dyDescent="0.45">
      <c r="A10522" t="str">
        <f>_xlfn.XLOOKUP(B10522,Ingot!$H$12:$H$119,Ingot!$G$12:$G$119,"")</f>
        <v>Glass</v>
      </c>
      <c r="B10522" t="s">
        <v>21050</v>
      </c>
      <c r="C10522" t="s">
        <v>10</v>
      </c>
      <c r="D10522" t="s">
        <v>21147</v>
      </c>
      <c r="E10522" t="s">
        <v>21148</v>
      </c>
      <c r="G10522" s="1">
        <v>6.88</v>
      </c>
    </row>
    <row r="10523" spans="1:7" ht="14.25" customHeight="1" x14ac:dyDescent="0.45">
      <c r="A10523" t="str">
        <f>_xlfn.XLOOKUP(B10523,Ingot!$H$12:$H$119,Ingot!$G$12:$G$119,"")</f>
        <v>Glass</v>
      </c>
      <c r="B10523" t="s">
        <v>21050</v>
      </c>
      <c r="C10523" t="s">
        <v>10</v>
      </c>
      <c r="D10523" t="s">
        <v>21149</v>
      </c>
      <c r="E10523" t="s">
        <v>21150</v>
      </c>
      <c r="G10523" s="1">
        <v>5.5</v>
      </c>
    </row>
    <row r="10524" spans="1:7" ht="14.25" customHeight="1" x14ac:dyDescent="0.45">
      <c r="A10524" t="str">
        <f>_xlfn.XLOOKUP(B10524,Ingot!$H$12:$H$119,Ingot!$G$12:$G$119,"")</f>
        <v>Glass</v>
      </c>
      <c r="B10524" t="s">
        <v>21050</v>
      </c>
      <c r="C10524" t="s">
        <v>10</v>
      </c>
      <c r="D10524" t="s">
        <v>21151</v>
      </c>
      <c r="E10524" t="s">
        <v>21152</v>
      </c>
      <c r="G10524" s="1">
        <v>2.4300000000000002</v>
      </c>
    </row>
    <row r="10525" spans="1:7" ht="14.25" customHeight="1" x14ac:dyDescent="0.45">
      <c r="A10525" t="str">
        <f>_xlfn.XLOOKUP(B10525,Ingot!$H$12:$H$119,Ingot!$G$12:$G$119,"")</f>
        <v>Glass</v>
      </c>
      <c r="B10525" t="s">
        <v>21050</v>
      </c>
      <c r="C10525" t="s">
        <v>10</v>
      </c>
      <c r="D10525" t="s">
        <v>21153</v>
      </c>
      <c r="E10525" t="s">
        <v>21154</v>
      </c>
      <c r="G10525" s="1">
        <v>6.96</v>
      </c>
    </row>
    <row r="10526" spans="1:7" ht="14.25" customHeight="1" x14ac:dyDescent="0.45">
      <c r="A10526" t="str">
        <f>_xlfn.XLOOKUP(B10526,Ingot!$H$12:$H$119,Ingot!$G$12:$G$119,"")</f>
        <v>Glass</v>
      </c>
      <c r="B10526" t="s">
        <v>21050</v>
      </c>
      <c r="C10526" t="s">
        <v>10</v>
      </c>
      <c r="D10526" t="s">
        <v>21155</v>
      </c>
      <c r="E10526" t="s">
        <v>21156</v>
      </c>
      <c r="G10526" s="1">
        <v>6.32</v>
      </c>
    </row>
    <row r="10527" spans="1:7" ht="14.25" customHeight="1" x14ac:dyDescent="0.45">
      <c r="A10527" t="str">
        <f>_xlfn.XLOOKUP(B10527,Ingot!$H$12:$H$119,Ingot!$G$12:$G$119,"")</f>
        <v>Glass</v>
      </c>
      <c r="B10527" t="s">
        <v>21050</v>
      </c>
      <c r="C10527" t="s">
        <v>10</v>
      </c>
      <c r="D10527" t="s">
        <v>21157</v>
      </c>
      <c r="E10527" t="s">
        <v>21158</v>
      </c>
      <c r="G10527" s="1">
        <v>6.88</v>
      </c>
    </row>
    <row r="10528" spans="1:7" ht="14.25" customHeight="1" x14ac:dyDescent="0.45">
      <c r="A10528" t="str">
        <f>_xlfn.XLOOKUP(B10528,Ingot!$H$12:$H$119,Ingot!$G$12:$G$119,"")</f>
        <v>Glass</v>
      </c>
      <c r="B10528" t="s">
        <v>21050</v>
      </c>
      <c r="C10528" t="s">
        <v>10</v>
      </c>
      <c r="D10528" t="s">
        <v>21159</v>
      </c>
      <c r="E10528" t="s">
        <v>21160</v>
      </c>
      <c r="G10528" s="1">
        <v>2.44</v>
      </c>
    </row>
    <row r="10529" spans="1:7" ht="14.25" customHeight="1" x14ac:dyDescent="0.45">
      <c r="A10529" t="str">
        <f>_xlfn.XLOOKUP(B10529,Ingot!$H$12:$H$119,Ingot!$G$12:$G$119,"")</f>
        <v>Glass</v>
      </c>
      <c r="B10529" t="s">
        <v>21050</v>
      </c>
      <c r="C10529" t="s">
        <v>10</v>
      </c>
      <c r="D10529" t="s">
        <v>21161</v>
      </c>
      <c r="E10529" t="s">
        <v>21162</v>
      </c>
    </row>
    <row r="10530" spans="1:7" ht="14.25" customHeight="1" x14ac:dyDescent="0.45">
      <c r="A10530" t="str">
        <f>_xlfn.XLOOKUP(B10530,Ingot!$H$12:$H$119,Ingot!$G$12:$G$119,"")</f>
        <v>Glass</v>
      </c>
      <c r="B10530" t="s">
        <v>21050</v>
      </c>
      <c r="C10530" t="s">
        <v>10</v>
      </c>
      <c r="D10530" t="s">
        <v>21163</v>
      </c>
      <c r="E10530" t="s">
        <v>21164</v>
      </c>
    </row>
    <row r="10531" spans="1:7" ht="14.25" customHeight="1" x14ac:dyDescent="0.45">
      <c r="A10531" t="str">
        <f>_xlfn.XLOOKUP(B10531,Ingot!$H$12:$H$119,Ingot!$G$12:$G$119,"")</f>
        <v>Glass</v>
      </c>
      <c r="B10531" t="s">
        <v>21050</v>
      </c>
      <c r="C10531" t="s">
        <v>10</v>
      </c>
      <c r="D10531" t="s">
        <v>21165</v>
      </c>
      <c r="E10531" t="s">
        <v>21166</v>
      </c>
      <c r="G10531" s="1">
        <v>3.11</v>
      </c>
    </row>
    <row r="10532" spans="1:7" ht="14.25" customHeight="1" x14ac:dyDescent="0.45">
      <c r="A10532" t="str">
        <f>_xlfn.XLOOKUP(B10532,Ingot!$H$12:$H$119,Ingot!$G$12:$G$119,"")</f>
        <v>Glass</v>
      </c>
      <c r="B10532" t="s">
        <v>21050</v>
      </c>
      <c r="C10532" t="s">
        <v>10</v>
      </c>
      <c r="D10532" t="s">
        <v>21167</v>
      </c>
      <c r="E10532" t="s">
        <v>21168</v>
      </c>
      <c r="G10532" s="1">
        <v>2.44</v>
      </c>
    </row>
    <row r="10533" spans="1:7" ht="14.25" customHeight="1" x14ac:dyDescent="0.45">
      <c r="A10533" t="str">
        <f>_xlfn.XLOOKUP(B10533,Ingot!$H$12:$H$119,Ingot!$G$12:$G$119,"")</f>
        <v>Glass</v>
      </c>
      <c r="B10533" t="s">
        <v>21050</v>
      </c>
      <c r="C10533" t="s">
        <v>10</v>
      </c>
      <c r="D10533" t="s">
        <v>21169</v>
      </c>
      <c r="E10533" t="s">
        <v>21170</v>
      </c>
      <c r="G10533" s="1">
        <v>8.61</v>
      </c>
    </row>
    <row r="10534" spans="1:7" ht="14.25" customHeight="1" x14ac:dyDescent="0.45">
      <c r="A10534" t="str">
        <f>_xlfn.XLOOKUP(B10534,Ingot!$H$12:$H$119,Ingot!$G$12:$G$119,"")</f>
        <v>Glass</v>
      </c>
      <c r="B10534" t="s">
        <v>21050</v>
      </c>
      <c r="C10534" t="s">
        <v>10</v>
      </c>
      <c r="D10534" t="s">
        <v>21171</v>
      </c>
      <c r="E10534" t="s">
        <v>21172</v>
      </c>
    </row>
    <row r="10535" spans="1:7" ht="14.25" customHeight="1" x14ac:dyDescent="0.45">
      <c r="A10535" t="str">
        <f>_xlfn.XLOOKUP(B10535,Ingot!$H$12:$H$119,Ingot!$G$12:$G$119,"")</f>
        <v>Glass</v>
      </c>
      <c r="B10535" t="s">
        <v>21050</v>
      </c>
      <c r="C10535" t="s">
        <v>10</v>
      </c>
      <c r="D10535" t="s">
        <v>21173</v>
      </c>
      <c r="E10535" t="s">
        <v>21174</v>
      </c>
      <c r="G10535" s="1">
        <v>3.21</v>
      </c>
    </row>
    <row r="10536" spans="1:7" ht="14.25" customHeight="1" x14ac:dyDescent="0.45">
      <c r="A10536" t="str">
        <f>_xlfn.XLOOKUP(B10536,Ingot!$H$12:$H$119,Ingot!$G$12:$G$119,"")</f>
        <v>Glass</v>
      </c>
      <c r="B10536" t="s">
        <v>21050</v>
      </c>
      <c r="C10536" t="s">
        <v>10</v>
      </c>
      <c r="D10536" t="s">
        <v>21175</v>
      </c>
      <c r="E10536" t="s">
        <v>21176</v>
      </c>
      <c r="G10536" s="1">
        <v>2.77</v>
      </c>
    </row>
    <row r="10537" spans="1:7" ht="14.25" customHeight="1" x14ac:dyDescent="0.45">
      <c r="A10537" t="str">
        <f>_xlfn.XLOOKUP(B10537,Ingot!$H$12:$H$119,Ingot!$G$12:$G$119,"")</f>
        <v>Glass</v>
      </c>
      <c r="B10537" t="s">
        <v>21050</v>
      </c>
      <c r="C10537" t="s">
        <v>10</v>
      </c>
      <c r="D10537" t="s">
        <v>21177</v>
      </c>
      <c r="E10537" t="s">
        <v>21178</v>
      </c>
      <c r="G10537" s="1">
        <v>4.8899999999999997</v>
      </c>
    </row>
    <row r="10538" spans="1:7" ht="14.25" customHeight="1" x14ac:dyDescent="0.45">
      <c r="A10538" t="str">
        <f>_xlfn.XLOOKUP(B10538,Ingot!$H$12:$H$119,Ingot!$G$12:$G$119,"")</f>
        <v>Glass</v>
      </c>
      <c r="B10538" t="s">
        <v>21050</v>
      </c>
      <c r="C10538" t="s">
        <v>10</v>
      </c>
      <c r="D10538" t="s">
        <v>21179</v>
      </c>
      <c r="E10538" t="s">
        <v>21180</v>
      </c>
      <c r="G10538" s="1">
        <v>1.76</v>
      </c>
    </row>
    <row r="10539" spans="1:7" ht="14.25" customHeight="1" x14ac:dyDescent="0.45">
      <c r="A10539" t="str">
        <f>_xlfn.XLOOKUP(B10539,Ingot!$H$12:$H$119,Ingot!$G$12:$G$119,"")</f>
        <v>Glass</v>
      </c>
      <c r="B10539" t="s">
        <v>21050</v>
      </c>
      <c r="C10539" t="s">
        <v>10</v>
      </c>
      <c r="D10539" t="s">
        <v>21181</v>
      </c>
      <c r="E10539" t="s">
        <v>21182</v>
      </c>
    </row>
    <row r="10540" spans="1:7" ht="14.25" customHeight="1" x14ac:dyDescent="0.45">
      <c r="A10540" t="str">
        <f>_xlfn.XLOOKUP(B10540,Ingot!$H$12:$H$119,Ingot!$G$12:$G$119,"")</f>
        <v>Glass</v>
      </c>
      <c r="B10540" t="s">
        <v>21050</v>
      </c>
      <c r="C10540" t="s">
        <v>10</v>
      </c>
      <c r="D10540" t="s">
        <v>21183</v>
      </c>
      <c r="E10540" t="s">
        <v>21184</v>
      </c>
      <c r="G10540" s="1">
        <v>8.57</v>
      </c>
    </row>
    <row r="10541" spans="1:7" ht="14.25" customHeight="1" x14ac:dyDescent="0.45">
      <c r="A10541" t="str">
        <f>_xlfn.XLOOKUP(B10541,Ingot!$H$12:$H$119,Ingot!$G$12:$G$119,"")</f>
        <v>Glass</v>
      </c>
      <c r="B10541" t="s">
        <v>21050</v>
      </c>
      <c r="C10541" t="s">
        <v>10</v>
      </c>
      <c r="D10541" t="s">
        <v>21185</v>
      </c>
      <c r="E10541" t="s">
        <v>21186</v>
      </c>
    </row>
    <row r="10542" spans="1:7" ht="14.25" customHeight="1" x14ac:dyDescent="0.45">
      <c r="A10542" t="str">
        <f>_xlfn.XLOOKUP(B10542,Ingot!$H$12:$H$119,Ingot!$G$12:$G$119,"")</f>
        <v>Glass</v>
      </c>
      <c r="B10542" t="s">
        <v>21050</v>
      </c>
      <c r="C10542" t="s">
        <v>10</v>
      </c>
      <c r="D10542" t="s">
        <v>21187</v>
      </c>
      <c r="E10542" t="s">
        <v>21188</v>
      </c>
      <c r="G10542" s="1">
        <v>3.56</v>
      </c>
    </row>
    <row r="10543" spans="1:7" ht="14.25" customHeight="1" x14ac:dyDescent="0.45">
      <c r="A10543" t="str">
        <f>_xlfn.XLOOKUP(B10543,Ingot!$H$12:$H$119,Ingot!$G$12:$G$119,"")</f>
        <v>Glass</v>
      </c>
      <c r="B10543" t="s">
        <v>21050</v>
      </c>
      <c r="C10543" t="s">
        <v>10</v>
      </c>
      <c r="D10543" t="s">
        <v>21189</v>
      </c>
      <c r="E10543" t="s">
        <v>21190</v>
      </c>
      <c r="G10543" s="1">
        <v>8.91</v>
      </c>
    </row>
    <row r="10544" spans="1:7" ht="14.25" customHeight="1" x14ac:dyDescent="0.45">
      <c r="A10544" t="str">
        <f>_xlfn.XLOOKUP(B10544,Ingot!$H$12:$H$119,Ingot!$G$12:$G$119,"")</f>
        <v>Glass</v>
      </c>
      <c r="B10544" t="s">
        <v>21050</v>
      </c>
      <c r="C10544" t="s">
        <v>10</v>
      </c>
      <c r="D10544" t="s">
        <v>21191</v>
      </c>
      <c r="E10544" t="s">
        <v>21192</v>
      </c>
      <c r="G10544" s="1">
        <v>11.02</v>
      </c>
    </row>
    <row r="10545" spans="1:7" ht="14.25" customHeight="1" x14ac:dyDescent="0.45">
      <c r="A10545" t="str">
        <f>_xlfn.XLOOKUP(B10545,Ingot!$H$12:$H$119,Ingot!$G$12:$G$119,"")</f>
        <v>Glass</v>
      </c>
      <c r="B10545" t="s">
        <v>21050</v>
      </c>
      <c r="C10545" t="s">
        <v>10</v>
      </c>
      <c r="D10545" t="s">
        <v>21193</v>
      </c>
      <c r="E10545" t="s">
        <v>21194</v>
      </c>
      <c r="G10545" s="1">
        <v>5.12</v>
      </c>
    </row>
    <row r="10546" spans="1:7" ht="14.25" customHeight="1" x14ac:dyDescent="0.45">
      <c r="A10546" t="str">
        <f>_xlfn.XLOOKUP(B10546,Ingot!$H$12:$H$119,Ingot!$G$12:$G$119,"")</f>
        <v>Glass</v>
      </c>
      <c r="B10546" t="s">
        <v>21050</v>
      </c>
      <c r="C10546" t="s">
        <v>10</v>
      </c>
      <c r="D10546" t="s">
        <v>21195</v>
      </c>
      <c r="E10546" t="s">
        <v>21196</v>
      </c>
      <c r="G10546" s="1">
        <v>4.41</v>
      </c>
    </row>
    <row r="10547" spans="1:7" ht="14.25" customHeight="1" x14ac:dyDescent="0.45">
      <c r="A10547" t="str">
        <f>_xlfn.XLOOKUP(B10547,Ingot!$H$12:$H$119,Ingot!$G$12:$G$119,"")</f>
        <v>Glass</v>
      </c>
      <c r="B10547" t="s">
        <v>21050</v>
      </c>
      <c r="C10547" t="s">
        <v>157</v>
      </c>
      <c r="D10547" t="s">
        <v>21197</v>
      </c>
      <c r="E10547" t="s">
        <v>21198</v>
      </c>
      <c r="G10547" s="1">
        <v>30.86</v>
      </c>
    </row>
    <row r="10548" spans="1:7" ht="14.25" customHeight="1" x14ac:dyDescent="0.45">
      <c r="A10548" t="str">
        <f>_xlfn.XLOOKUP(B10548,Ingot!$H$12:$H$119,Ingot!$G$12:$G$119,"")</f>
        <v>Glass</v>
      </c>
      <c r="B10548" t="s">
        <v>21050</v>
      </c>
      <c r="C10548" t="s">
        <v>157</v>
      </c>
      <c r="D10548" t="s">
        <v>21199</v>
      </c>
      <c r="E10548" t="s">
        <v>21200</v>
      </c>
      <c r="G10548" s="1">
        <v>6.17</v>
      </c>
    </row>
    <row r="10549" spans="1:7" ht="14.25" customHeight="1" x14ac:dyDescent="0.45">
      <c r="A10549" t="str">
        <f>_xlfn.XLOOKUP(B10549,Ingot!$H$12:$H$119,Ingot!$G$12:$G$119,"")</f>
        <v>Glass</v>
      </c>
      <c r="B10549" t="s">
        <v>21050</v>
      </c>
      <c r="C10549" t="s">
        <v>157</v>
      </c>
      <c r="D10549" t="s">
        <v>21201</v>
      </c>
      <c r="E10549" t="s">
        <v>21202</v>
      </c>
      <c r="G10549" s="1">
        <v>6.17</v>
      </c>
    </row>
    <row r="10550" spans="1:7" ht="14.25" customHeight="1" x14ac:dyDescent="0.45">
      <c r="A10550" t="str">
        <f>_xlfn.XLOOKUP(B10550,Ingot!$H$12:$H$119,Ingot!$G$12:$G$119,"")</f>
        <v>Glass</v>
      </c>
      <c r="B10550" t="s">
        <v>21050</v>
      </c>
      <c r="C10550" t="s">
        <v>157</v>
      </c>
      <c r="D10550" t="s">
        <v>21203</v>
      </c>
      <c r="E10550" t="s">
        <v>21204</v>
      </c>
      <c r="G10550" s="1">
        <v>5</v>
      </c>
    </row>
    <row r="10551" spans="1:7" ht="14.25" customHeight="1" x14ac:dyDescent="0.45">
      <c r="A10551" t="str">
        <f>_xlfn.XLOOKUP(B10551,Ingot!$H$12:$H$119,Ingot!$G$12:$G$119,"")</f>
        <v>Glass</v>
      </c>
      <c r="B10551" t="s">
        <v>21050</v>
      </c>
      <c r="C10551" t="s">
        <v>157</v>
      </c>
      <c r="D10551" t="s">
        <v>21205</v>
      </c>
      <c r="E10551" t="s">
        <v>21206</v>
      </c>
      <c r="G10551" s="1">
        <v>10</v>
      </c>
    </row>
    <row r="10552" spans="1:7" ht="14.25" customHeight="1" x14ac:dyDescent="0.45">
      <c r="A10552" t="str">
        <f>_xlfn.XLOOKUP(B10552,Ingot!$H$12:$H$119,Ingot!$G$12:$G$119,"")</f>
        <v>Glass</v>
      </c>
      <c r="B10552" t="s">
        <v>21050</v>
      </c>
      <c r="C10552" t="s">
        <v>157</v>
      </c>
      <c r="D10552" t="s">
        <v>21207</v>
      </c>
      <c r="E10552" t="s">
        <v>21208</v>
      </c>
      <c r="G10552" s="1">
        <v>26.86</v>
      </c>
    </row>
    <row r="10553" spans="1:7" ht="14.25" customHeight="1" x14ac:dyDescent="0.45">
      <c r="A10553" t="str">
        <f>_xlfn.XLOOKUP(B10553,Ingot!$H$12:$H$119,Ingot!$G$12:$G$119,"")</f>
        <v>Glass</v>
      </c>
      <c r="B10553" t="s">
        <v>21050</v>
      </c>
      <c r="C10553" t="s">
        <v>157</v>
      </c>
      <c r="D10553" t="s">
        <v>21209</v>
      </c>
      <c r="E10553" t="s">
        <v>21210</v>
      </c>
      <c r="G10553" s="1">
        <v>5.37</v>
      </c>
    </row>
    <row r="10554" spans="1:7" ht="14.25" customHeight="1" x14ac:dyDescent="0.45">
      <c r="A10554" t="str">
        <f>_xlfn.XLOOKUP(B10554,Ingot!$H$12:$H$119,Ingot!$G$12:$G$119,"")</f>
        <v>Glass</v>
      </c>
      <c r="B10554" t="s">
        <v>21050</v>
      </c>
      <c r="C10554" t="s">
        <v>157</v>
      </c>
      <c r="D10554" t="s">
        <v>21211</v>
      </c>
      <c r="E10554" t="s">
        <v>21212</v>
      </c>
      <c r="G10554" s="1">
        <v>5.37</v>
      </c>
    </row>
    <row r="10555" spans="1:7" ht="14.25" customHeight="1" x14ac:dyDescent="0.45">
      <c r="A10555" t="str">
        <f>_xlfn.XLOOKUP(B10555,Ingot!$H$12:$H$119,Ingot!$G$12:$G$119,"")</f>
        <v>Glass</v>
      </c>
      <c r="B10555" t="s">
        <v>21050</v>
      </c>
      <c r="C10555" t="s">
        <v>157</v>
      </c>
      <c r="D10555" t="s">
        <v>21213</v>
      </c>
      <c r="E10555" t="s">
        <v>21214</v>
      </c>
      <c r="G10555" s="1">
        <v>5</v>
      </c>
    </row>
    <row r="10556" spans="1:7" ht="14.25" customHeight="1" x14ac:dyDescent="0.45">
      <c r="A10556" t="str">
        <f>_xlfn.XLOOKUP(B10556,Ingot!$H$12:$H$119,Ingot!$G$12:$G$119,"")</f>
        <v>Glass</v>
      </c>
      <c r="B10556" t="s">
        <v>21050</v>
      </c>
      <c r="C10556" t="s">
        <v>157</v>
      </c>
      <c r="D10556" t="s">
        <v>21215</v>
      </c>
      <c r="E10556" t="s">
        <v>21216</v>
      </c>
      <c r="G10556" s="1">
        <v>10</v>
      </c>
    </row>
    <row r="10557" spans="1:7" ht="14.25" customHeight="1" x14ac:dyDescent="0.45">
      <c r="A10557" t="str">
        <f>_xlfn.XLOOKUP(B10557,Ingot!$H$12:$H$119,Ingot!$G$12:$G$119,"")</f>
        <v>Glass</v>
      </c>
      <c r="B10557" t="s">
        <v>21050</v>
      </c>
      <c r="C10557" t="s">
        <v>157</v>
      </c>
      <c r="D10557" t="s">
        <v>21217</v>
      </c>
      <c r="E10557" t="s">
        <v>21218</v>
      </c>
      <c r="F10557" t="s">
        <v>180</v>
      </c>
      <c r="G10557" s="1">
        <v>25.86</v>
      </c>
    </row>
    <row r="10558" spans="1:7" ht="14.25" customHeight="1" x14ac:dyDescent="0.45">
      <c r="A10558" t="str">
        <f>_xlfn.XLOOKUP(B10558,Ingot!$H$12:$H$119,Ingot!$G$12:$G$119,"")</f>
        <v>Glass</v>
      </c>
      <c r="B10558" t="s">
        <v>21050</v>
      </c>
      <c r="C10558" t="s">
        <v>157</v>
      </c>
      <c r="D10558" t="s">
        <v>21219</v>
      </c>
      <c r="E10558" t="s">
        <v>21220</v>
      </c>
      <c r="F10558" t="s">
        <v>180</v>
      </c>
      <c r="G10558" s="1">
        <v>5.17</v>
      </c>
    </row>
    <row r="10559" spans="1:7" ht="14.25" customHeight="1" x14ac:dyDescent="0.45">
      <c r="A10559" t="str">
        <f>_xlfn.XLOOKUP(B10559,Ingot!$H$12:$H$119,Ingot!$G$12:$G$119,"")</f>
        <v>Glass</v>
      </c>
      <c r="B10559" t="s">
        <v>21050</v>
      </c>
      <c r="C10559" t="s">
        <v>157</v>
      </c>
      <c r="D10559" t="s">
        <v>21221</v>
      </c>
      <c r="E10559" t="s">
        <v>21222</v>
      </c>
      <c r="F10559" t="s">
        <v>180</v>
      </c>
      <c r="G10559" s="1">
        <v>5.17</v>
      </c>
    </row>
    <row r="10560" spans="1:7" ht="14.25" customHeight="1" x14ac:dyDescent="0.45">
      <c r="A10560" t="str">
        <f>_xlfn.XLOOKUP(B10560,Ingot!$H$12:$H$119,Ingot!$G$12:$G$119,"")</f>
        <v>Glass</v>
      </c>
      <c r="B10560" t="s">
        <v>21050</v>
      </c>
      <c r="C10560" t="s">
        <v>157</v>
      </c>
      <c r="D10560" t="s">
        <v>21223</v>
      </c>
      <c r="E10560" t="s">
        <v>21224</v>
      </c>
      <c r="F10560" t="s">
        <v>180</v>
      </c>
      <c r="G10560" s="1">
        <v>5</v>
      </c>
    </row>
    <row r="10561" spans="1:7" ht="14.25" customHeight="1" x14ac:dyDescent="0.45">
      <c r="A10561" t="str">
        <f>_xlfn.XLOOKUP(B10561,Ingot!$H$12:$H$119,Ingot!$G$12:$G$119,"")</f>
        <v>Glass</v>
      </c>
      <c r="B10561" t="s">
        <v>21050</v>
      </c>
      <c r="C10561" t="s">
        <v>157</v>
      </c>
      <c r="D10561" t="s">
        <v>21225</v>
      </c>
      <c r="E10561" t="s">
        <v>21226</v>
      </c>
      <c r="F10561" t="s">
        <v>180</v>
      </c>
      <c r="G10561" s="1">
        <v>10</v>
      </c>
    </row>
    <row r="10562" spans="1:7" ht="14.25" customHeight="1" x14ac:dyDescent="0.45">
      <c r="A10562" t="str">
        <f>_xlfn.XLOOKUP(B10562,Ingot!$H$12:$H$119,Ingot!$G$12:$G$119,"")</f>
        <v>Glass</v>
      </c>
      <c r="B10562" t="s">
        <v>21050</v>
      </c>
      <c r="C10562" t="s">
        <v>157</v>
      </c>
      <c r="D10562" t="s">
        <v>21227</v>
      </c>
      <c r="E10562" t="s">
        <v>21228</v>
      </c>
      <c r="G10562" s="1">
        <v>27.86</v>
      </c>
    </row>
    <row r="10563" spans="1:7" ht="14.25" customHeight="1" x14ac:dyDescent="0.45">
      <c r="A10563" t="str">
        <f>_xlfn.XLOOKUP(B10563,Ingot!$H$12:$H$119,Ingot!$G$12:$G$119,"")</f>
        <v>Glass</v>
      </c>
      <c r="B10563" t="s">
        <v>21050</v>
      </c>
      <c r="C10563" t="s">
        <v>157</v>
      </c>
      <c r="D10563" t="s">
        <v>21229</v>
      </c>
      <c r="E10563" t="s">
        <v>21230</v>
      </c>
      <c r="G10563" s="1">
        <v>5.57</v>
      </c>
    </row>
    <row r="10564" spans="1:7" ht="14.25" customHeight="1" x14ac:dyDescent="0.45">
      <c r="A10564" t="str">
        <f>_xlfn.XLOOKUP(B10564,Ingot!$H$12:$H$119,Ingot!$G$12:$G$119,"")</f>
        <v>Glass</v>
      </c>
      <c r="B10564" t="s">
        <v>21050</v>
      </c>
      <c r="C10564" t="s">
        <v>157</v>
      </c>
      <c r="D10564" t="s">
        <v>21231</v>
      </c>
      <c r="E10564" t="s">
        <v>21232</v>
      </c>
      <c r="G10564" s="1">
        <v>5.57</v>
      </c>
    </row>
    <row r="10565" spans="1:7" ht="14.25" customHeight="1" x14ac:dyDescent="0.45">
      <c r="A10565" t="str">
        <f>_xlfn.XLOOKUP(B10565,Ingot!$H$12:$H$119,Ingot!$G$12:$G$119,"")</f>
        <v>Glass</v>
      </c>
      <c r="B10565" t="s">
        <v>21050</v>
      </c>
      <c r="C10565" t="s">
        <v>157</v>
      </c>
      <c r="D10565" t="s">
        <v>21233</v>
      </c>
      <c r="E10565" t="s">
        <v>21234</v>
      </c>
      <c r="G10565" s="1">
        <v>5</v>
      </c>
    </row>
    <row r="10566" spans="1:7" ht="14.25" customHeight="1" x14ac:dyDescent="0.45">
      <c r="A10566" t="str">
        <f>_xlfn.XLOOKUP(B10566,Ingot!$H$12:$H$119,Ingot!$G$12:$G$119,"")</f>
        <v>Glass</v>
      </c>
      <c r="B10566" t="s">
        <v>21050</v>
      </c>
      <c r="C10566" t="s">
        <v>157</v>
      </c>
      <c r="D10566" t="s">
        <v>21235</v>
      </c>
      <c r="E10566" t="s">
        <v>21236</v>
      </c>
      <c r="G10566" s="1">
        <v>10</v>
      </c>
    </row>
    <row r="10567" spans="1:7" ht="14.25" customHeight="1" x14ac:dyDescent="0.45">
      <c r="A10567" t="str">
        <f>_xlfn.XLOOKUP(B10567,Ingot!$H$12:$H$119,Ingot!$G$12:$G$119,"")</f>
        <v>Glass</v>
      </c>
      <c r="B10567" t="s">
        <v>21050</v>
      </c>
      <c r="C10567" t="s">
        <v>157</v>
      </c>
      <c r="D10567" t="s">
        <v>21237</v>
      </c>
      <c r="E10567" t="s">
        <v>21238</v>
      </c>
      <c r="G10567" s="1">
        <v>29.36</v>
      </c>
    </row>
    <row r="10568" spans="1:7" ht="14.25" customHeight="1" x14ac:dyDescent="0.45">
      <c r="A10568" t="str">
        <f>_xlfn.XLOOKUP(B10568,Ingot!$H$12:$H$119,Ingot!$G$12:$G$119,"")</f>
        <v>Glass</v>
      </c>
      <c r="B10568" t="s">
        <v>21050</v>
      </c>
      <c r="C10568" t="s">
        <v>157</v>
      </c>
      <c r="D10568" t="s">
        <v>21239</v>
      </c>
      <c r="E10568" t="s">
        <v>21240</v>
      </c>
      <c r="F10568" t="s">
        <v>180</v>
      </c>
      <c r="G10568" s="1">
        <v>5.87</v>
      </c>
    </row>
    <row r="10569" spans="1:7" ht="14.25" customHeight="1" x14ac:dyDescent="0.45">
      <c r="A10569" t="str">
        <f>_xlfn.XLOOKUP(B10569,Ingot!$H$12:$H$119,Ingot!$G$12:$G$119,"")</f>
        <v>Glass</v>
      </c>
      <c r="B10569" t="s">
        <v>21050</v>
      </c>
      <c r="C10569" t="s">
        <v>157</v>
      </c>
      <c r="D10569" t="s">
        <v>21241</v>
      </c>
      <c r="E10569" t="s">
        <v>21242</v>
      </c>
      <c r="F10569" t="s">
        <v>180</v>
      </c>
      <c r="G10569" s="1">
        <v>5.87</v>
      </c>
    </row>
    <row r="10570" spans="1:7" ht="14.25" customHeight="1" x14ac:dyDescent="0.45">
      <c r="A10570" t="str">
        <f>_xlfn.XLOOKUP(B10570,Ingot!$H$12:$H$119,Ingot!$G$12:$G$119,"")</f>
        <v>Glass</v>
      </c>
      <c r="B10570" t="s">
        <v>21050</v>
      </c>
      <c r="C10570" t="s">
        <v>157</v>
      </c>
      <c r="D10570" t="s">
        <v>21243</v>
      </c>
      <c r="E10570" t="s">
        <v>21244</v>
      </c>
      <c r="F10570" t="s">
        <v>180</v>
      </c>
      <c r="G10570" s="1">
        <v>5</v>
      </c>
    </row>
    <row r="10571" spans="1:7" ht="14.25" customHeight="1" x14ac:dyDescent="0.45">
      <c r="A10571" t="str">
        <f>_xlfn.XLOOKUP(B10571,Ingot!$H$12:$H$119,Ingot!$G$12:$G$119,"")</f>
        <v>Glass</v>
      </c>
      <c r="B10571" t="s">
        <v>21050</v>
      </c>
      <c r="C10571" t="s">
        <v>157</v>
      </c>
      <c r="D10571" t="s">
        <v>21245</v>
      </c>
      <c r="E10571" t="s">
        <v>21246</v>
      </c>
      <c r="G10571" s="1">
        <v>10</v>
      </c>
    </row>
    <row r="10572" spans="1:7" ht="14.25" customHeight="1" x14ac:dyDescent="0.45">
      <c r="A10572" t="str">
        <f>_xlfn.XLOOKUP(B10572,Ingot!$H$12:$H$119,Ingot!$G$12:$G$119,"")</f>
        <v>Glass</v>
      </c>
      <c r="B10572" t="s">
        <v>21050</v>
      </c>
      <c r="C10572" t="s">
        <v>157</v>
      </c>
      <c r="D10572" t="s">
        <v>21247</v>
      </c>
      <c r="E10572" t="s">
        <v>21248</v>
      </c>
      <c r="G10572" s="1">
        <v>33.86</v>
      </c>
    </row>
    <row r="10573" spans="1:7" ht="14.25" customHeight="1" x14ac:dyDescent="0.45">
      <c r="A10573" t="str">
        <f>_xlfn.XLOOKUP(B10573,Ingot!$H$12:$H$119,Ingot!$G$12:$G$119,"")</f>
        <v>Glass</v>
      </c>
      <c r="B10573" t="s">
        <v>21050</v>
      </c>
      <c r="C10573" t="s">
        <v>157</v>
      </c>
      <c r="D10573" t="s">
        <v>21249</v>
      </c>
      <c r="E10573" t="s">
        <v>21250</v>
      </c>
      <c r="G10573" s="1">
        <v>6.77</v>
      </c>
    </row>
    <row r="10574" spans="1:7" ht="14.25" customHeight="1" x14ac:dyDescent="0.45">
      <c r="A10574" t="str">
        <f>_xlfn.XLOOKUP(B10574,Ingot!$H$12:$H$119,Ingot!$G$12:$G$119,"")</f>
        <v>Glass</v>
      </c>
      <c r="B10574" t="s">
        <v>21050</v>
      </c>
      <c r="C10574" t="s">
        <v>157</v>
      </c>
      <c r="D10574" t="s">
        <v>21251</v>
      </c>
      <c r="E10574" t="s">
        <v>21252</v>
      </c>
      <c r="G10574" s="1">
        <v>6.77</v>
      </c>
    </row>
    <row r="10575" spans="1:7" ht="14.25" customHeight="1" x14ac:dyDescent="0.45">
      <c r="A10575" t="str">
        <f>_xlfn.XLOOKUP(B10575,Ingot!$H$12:$H$119,Ingot!$G$12:$G$119,"")</f>
        <v>Glass</v>
      </c>
      <c r="B10575" t="s">
        <v>21050</v>
      </c>
      <c r="C10575" t="s">
        <v>157</v>
      </c>
      <c r="D10575" t="s">
        <v>21253</v>
      </c>
      <c r="E10575" t="s">
        <v>21254</v>
      </c>
      <c r="G10575" s="1">
        <v>5</v>
      </c>
    </row>
    <row r="10576" spans="1:7" ht="14.25" customHeight="1" x14ac:dyDescent="0.45">
      <c r="A10576" t="str">
        <f>_xlfn.XLOOKUP(B10576,Ingot!$H$12:$H$119,Ingot!$G$12:$G$119,"")</f>
        <v>Glass</v>
      </c>
      <c r="B10576" t="s">
        <v>21050</v>
      </c>
      <c r="C10576" t="s">
        <v>157</v>
      </c>
      <c r="D10576" t="s">
        <v>21255</v>
      </c>
      <c r="E10576" t="s">
        <v>21256</v>
      </c>
      <c r="G10576" s="1">
        <v>10</v>
      </c>
    </row>
    <row r="10577" spans="1:7" ht="14.25" customHeight="1" x14ac:dyDescent="0.45">
      <c r="A10577" t="str">
        <f>_xlfn.XLOOKUP(B10577,Ingot!$H$12:$H$119,Ingot!$G$12:$G$119,"")</f>
        <v>Glass</v>
      </c>
      <c r="B10577" t="s">
        <v>21050</v>
      </c>
      <c r="C10577" t="s">
        <v>157</v>
      </c>
      <c r="D10577" t="s">
        <v>21257</v>
      </c>
      <c r="E10577" t="s">
        <v>21258</v>
      </c>
      <c r="G10577" s="1">
        <v>32.36</v>
      </c>
    </row>
    <row r="10578" spans="1:7" ht="14.25" customHeight="1" x14ac:dyDescent="0.45">
      <c r="A10578" t="str">
        <f>_xlfn.XLOOKUP(B10578,Ingot!$H$12:$H$119,Ingot!$G$12:$G$119,"")</f>
        <v>Glass</v>
      </c>
      <c r="B10578" t="s">
        <v>21050</v>
      </c>
      <c r="C10578" t="s">
        <v>157</v>
      </c>
      <c r="D10578" t="s">
        <v>21259</v>
      </c>
      <c r="E10578" t="s">
        <v>21260</v>
      </c>
      <c r="G10578" s="1">
        <v>6.47</v>
      </c>
    </row>
    <row r="10579" spans="1:7" ht="14.25" customHeight="1" x14ac:dyDescent="0.45">
      <c r="A10579" t="str">
        <f>_xlfn.XLOOKUP(B10579,Ingot!$H$12:$H$119,Ingot!$G$12:$G$119,"")</f>
        <v>Glass</v>
      </c>
      <c r="B10579" t="s">
        <v>21050</v>
      </c>
      <c r="C10579" t="s">
        <v>157</v>
      </c>
      <c r="D10579" t="s">
        <v>21261</v>
      </c>
      <c r="E10579" t="s">
        <v>21262</v>
      </c>
      <c r="G10579" s="1">
        <v>6.47</v>
      </c>
    </row>
    <row r="10580" spans="1:7" ht="14.25" customHeight="1" x14ac:dyDescent="0.45">
      <c r="A10580" t="str">
        <f>_xlfn.XLOOKUP(B10580,Ingot!$H$12:$H$119,Ingot!$G$12:$G$119,"")</f>
        <v>Glass</v>
      </c>
      <c r="B10580" t="s">
        <v>21050</v>
      </c>
      <c r="C10580" t="s">
        <v>157</v>
      </c>
      <c r="D10580" t="s">
        <v>21263</v>
      </c>
      <c r="E10580" t="s">
        <v>21264</v>
      </c>
      <c r="G10580" s="1">
        <v>5</v>
      </c>
    </row>
    <row r="10581" spans="1:7" ht="14.25" customHeight="1" x14ac:dyDescent="0.45">
      <c r="A10581" t="str">
        <f>_xlfn.XLOOKUP(B10581,Ingot!$H$12:$H$119,Ingot!$G$12:$G$119,"")</f>
        <v>Glass</v>
      </c>
      <c r="B10581" t="s">
        <v>21050</v>
      </c>
      <c r="C10581" t="s">
        <v>157</v>
      </c>
      <c r="D10581" t="s">
        <v>21265</v>
      </c>
      <c r="E10581" t="s">
        <v>21266</v>
      </c>
      <c r="G10581" s="1">
        <v>10</v>
      </c>
    </row>
    <row r="10582" spans="1:7" ht="14.25" customHeight="1" x14ac:dyDescent="0.45">
      <c r="A10582" t="str">
        <f>_xlfn.XLOOKUP(B10582,Ingot!$H$12:$H$119,Ingot!$G$12:$G$119,"")</f>
        <v>Glass</v>
      </c>
      <c r="B10582" t="s">
        <v>21050</v>
      </c>
      <c r="C10582" t="s">
        <v>157</v>
      </c>
      <c r="D10582" t="s">
        <v>21267</v>
      </c>
      <c r="E10582" t="s">
        <v>21268</v>
      </c>
      <c r="F10582" t="s">
        <v>180</v>
      </c>
      <c r="G10582" s="1">
        <v>24.86</v>
      </c>
    </row>
    <row r="10583" spans="1:7" ht="14.25" customHeight="1" x14ac:dyDescent="0.45">
      <c r="A10583" t="str">
        <f>_xlfn.XLOOKUP(B10583,Ingot!$H$12:$H$119,Ingot!$G$12:$G$119,"")</f>
        <v>Glass</v>
      </c>
      <c r="B10583" t="s">
        <v>21050</v>
      </c>
      <c r="C10583" t="s">
        <v>157</v>
      </c>
      <c r="D10583" t="s">
        <v>21269</v>
      </c>
      <c r="E10583" t="s">
        <v>21270</v>
      </c>
      <c r="F10583" t="s">
        <v>180</v>
      </c>
      <c r="G10583" s="1">
        <v>5</v>
      </c>
    </row>
    <row r="10584" spans="1:7" ht="14.25" customHeight="1" x14ac:dyDescent="0.45">
      <c r="A10584" t="str">
        <f>_xlfn.XLOOKUP(B10584,Ingot!$H$12:$H$119,Ingot!$G$12:$G$119,"")</f>
        <v>Glass</v>
      </c>
      <c r="B10584" t="s">
        <v>21050</v>
      </c>
      <c r="C10584" t="s">
        <v>157</v>
      </c>
      <c r="D10584" t="s">
        <v>21271</v>
      </c>
      <c r="E10584" t="s">
        <v>21272</v>
      </c>
      <c r="F10584" t="s">
        <v>180</v>
      </c>
      <c r="G10584" s="1">
        <v>5</v>
      </c>
    </row>
    <row r="10585" spans="1:7" ht="14.25" customHeight="1" x14ac:dyDescent="0.45">
      <c r="A10585" t="str">
        <f>_xlfn.XLOOKUP(B10585,Ingot!$H$12:$H$119,Ingot!$G$12:$G$119,"")</f>
        <v>Glass</v>
      </c>
      <c r="B10585" t="s">
        <v>21050</v>
      </c>
      <c r="C10585" t="s">
        <v>157</v>
      </c>
      <c r="D10585" t="s">
        <v>21273</v>
      </c>
      <c r="E10585" t="s">
        <v>21274</v>
      </c>
      <c r="F10585" t="s">
        <v>180</v>
      </c>
      <c r="G10585" s="1">
        <v>5</v>
      </c>
    </row>
    <row r="10586" spans="1:7" ht="14.25" customHeight="1" x14ac:dyDescent="0.45">
      <c r="A10586" t="str">
        <f>_xlfn.XLOOKUP(B10586,Ingot!$H$12:$H$119,Ingot!$G$12:$G$119,"")</f>
        <v>Glass</v>
      </c>
      <c r="B10586" t="s">
        <v>21050</v>
      </c>
      <c r="C10586" t="s">
        <v>157</v>
      </c>
      <c r="D10586" t="s">
        <v>21275</v>
      </c>
      <c r="E10586" t="s">
        <v>21276</v>
      </c>
      <c r="F10586" t="s">
        <v>180</v>
      </c>
      <c r="G10586" s="1">
        <v>10</v>
      </c>
    </row>
    <row r="10587" spans="1:7" ht="14.25" customHeight="1" x14ac:dyDescent="0.45">
      <c r="A10587" t="str">
        <f>_xlfn.XLOOKUP(B10587,Ingot!$H$12:$H$119,Ingot!$G$12:$G$119,"")</f>
        <v>Glass</v>
      </c>
      <c r="B10587" t="s">
        <v>21050</v>
      </c>
      <c r="C10587" t="s">
        <v>239</v>
      </c>
      <c r="D10587" t="s">
        <v>21277</v>
      </c>
      <c r="E10587" t="s">
        <v>21278</v>
      </c>
      <c r="G10587" s="1">
        <f>(VLOOKUP(B10587,Ingot!H:I,2,FALSE()) * 0.75) * 0.75</f>
        <v>9.5625</v>
      </c>
    </row>
    <row r="10588" spans="1:7" ht="14.25" customHeight="1" x14ac:dyDescent="0.45">
      <c r="A10588" t="str">
        <f>_xlfn.XLOOKUP(B10588,Ingot!$H$12:$H$119,Ingot!$G$12:$G$119,"")</f>
        <v>Glass</v>
      </c>
      <c r="B10588" t="s">
        <v>21050</v>
      </c>
      <c r="C10588" t="s">
        <v>239</v>
      </c>
      <c r="D10588" t="s">
        <v>21279</v>
      </c>
      <c r="E10588" t="s">
        <v>21280</v>
      </c>
      <c r="G10588" s="1">
        <f>((VLOOKUP(B10588,Ingot!H:I,2,FALSE()) * 3) - 10.25) * 0.421875</f>
        <v>17.19140625</v>
      </c>
    </row>
    <row r="10589" spans="1:7" ht="14.25" customHeight="1" x14ac:dyDescent="0.45">
      <c r="A10589" t="str">
        <f>_xlfn.XLOOKUP(B10589,Ingot!$H$12:$H$119,Ingot!$G$12:$G$119,"")</f>
        <v>Glass</v>
      </c>
      <c r="B10589" t="s">
        <v>21050</v>
      </c>
      <c r="C10589" t="s">
        <v>239</v>
      </c>
      <c r="D10589" t="s">
        <v>21281</v>
      </c>
      <c r="E10589" t="s">
        <v>21282</v>
      </c>
      <c r="G10589" s="1">
        <f>((VLOOKUP(B10589,Ingot!H:I,2,FALSE()) * 3) - 10.25) * 0.75</f>
        <v>30.5625</v>
      </c>
    </row>
    <row r="10590" spans="1:7" ht="14.25" customHeight="1" x14ac:dyDescent="0.45">
      <c r="A10590" t="str">
        <f>_xlfn.XLOOKUP(B10590,Ingot!$H$12:$H$119,Ingot!$G$12:$G$119,"")</f>
        <v>Glass</v>
      </c>
      <c r="B10590" t="s">
        <v>21050</v>
      </c>
      <c r="C10590" t="s">
        <v>239</v>
      </c>
      <c r="D10590" t="s">
        <v>21283</v>
      </c>
      <c r="E10590" t="s">
        <v>21284</v>
      </c>
      <c r="G10590" s="1">
        <f>((VLOOKUP(B10590,Ingot!H:I,2,FALSE()) * 3) - 10.25) * 0.5625</f>
        <v>22.921875</v>
      </c>
    </row>
    <row r="10591" spans="1:7" ht="14.25" customHeight="1" x14ac:dyDescent="0.45">
      <c r="A10591" t="str">
        <f>_xlfn.XLOOKUP(B10591,Ingot!$H$12:$H$119,Ingot!$G$12:$G$119,"")</f>
        <v>Glass</v>
      </c>
      <c r="B10591" t="s">
        <v>21050</v>
      </c>
      <c r="C10591" t="s">
        <v>239</v>
      </c>
      <c r="D10591" t="s">
        <v>21285</v>
      </c>
      <c r="E10591" t="s">
        <v>21286</v>
      </c>
      <c r="G10591" s="1">
        <f>VLOOKUP(B10591,Ingot!H:I,2,FALSE()) * 0.75</f>
        <v>12.75</v>
      </c>
    </row>
    <row r="10592" spans="1:7" ht="14.25" customHeight="1" x14ac:dyDescent="0.45">
      <c r="A10592" t="str">
        <f>_xlfn.XLOOKUP(B10592,Ingot!$H$12:$H$119,Ingot!$G$12:$G$119,"")</f>
        <v>Glass</v>
      </c>
      <c r="B10592" t="s">
        <v>21050</v>
      </c>
      <c r="C10592" t="s">
        <v>239</v>
      </c>
      <c r="D10592" t="s">
        <v>21287</v>
      </c>
      <c r="E10592" t="s">
        <v>21288</v>
      </c>
      <c r="G10592" s="1">
        <f>(VLOOKUP(B10592,Ingot!H:I,2,FALSE()) * 3) - 10.25</f>
        <v>40.75</v>
      </c>
    </row>
    <row r="10593" spans="1:7" ht="14.25" customHeight="1" x14ac:dyDescent="0.45">
      <c r="A10593" t="str">
        <f>_xlfn.XLOOKUP(B10593,Ingot!$H$12:$H$119,Ingot!$G$12:$G$119,"")</f>
        <v>Glass</v>
      </c>
      <c r="B10593" t="s">
        <v>21289</v>
      </c>
      <c r="C10593" t="s">
        <v>10</v>
      </c>
      <c r="D10593" t="s">
        <v>21290</v>
      </c>
      <c r="E10593" t="s">
        <v>21291</v>
      </c>
      <c r="G10593" s="1">
        <v>0.08</v>
      </c>
    </row>
    <row r="10594" spans="1:7" ht="14.25" customHeight="1" x14ac:dyDescent="0.45">
      <c r="A10594" t="str">
        <f>_xlfn.XLOOKUP(B10594,Ingot!$H$12:$H$119,Ingot!$G$12:$G$119,"")</f>
        <v>Glass</v>
      </c>
      <c r="B10594" t="s">
        <v>21289</v>
      </c>
      <c r="C10594" t="s">
        <v>10</v>
      </c>
      <c r="D10594" t="s">
        <v>21292</v>
      </c>
      <c r="E10594" t="s">
        <v>21293</v>
      </c>
      <c r="G10594" s="1">
        <v>9.9</v>
      </c>
    </row>
    <row r="10595" spans="1:7" ht="14.25" customHeight="1" x14ac:dyDescent="0.45">
      <c r="A10595" t="str">
        <f>_xlfn.XLOOKUP(B10595,Ingot!$H$12:$H$119,Ingot!$G$12:$G$119,"")</f>
        <v>Glass</v>
      </c>
      <c r="B10595" t="s">
        <v>21289</v>
      </c>
      <c r="C10595" t="s">
        <v>10</v>
      </c>
      <c r="D10595" t="s">
        <v>21294</v>
      </c>
      <c r="E10595" t="s">
        <v>21295</v>
      </c>
      <c r="G10595" s="1">
        <v>5.66</v>
      </c>
    </row>
    <row r="10596" spans="1:7" ht="14.25" customHeight="1" x14ac:dyDescent="0.45">
      <c r="A10596" t="str">
        <f>_xlfn.XLOOKUP(B10596,Ingot!$H$12:$H$119,Ingot!$G$12:$G$119,"")</f>
        <v>Glass</v>
      </c>
      <c r="B10596" t="s">
        <v>21289</v>
      </c>
      <c r="C10596" t="s">
        <v>10</v>
      </c>
      <c r="D10596" t="s">
        <v>21296</v>
      </c>
      <c r="E10596" t="s">
        <v>21297</v>
      </c>
      <c r="G10596" s="1">
        <v>3.3</v>
      </c>
    </row>
    <row r="10597" spans="1:7" ht="14.25" customHeight="1" x14ac:dyDescent="0.45">
      <c r="A10597" t="str">
        <f>_xlfn.XLOOKUP(B10597,Ingot!$H$12:$H$119,Ingot!$G$12:$G$119,"")</f>
        <v>Glass</v>
      </c>
      <c r="B10597" t="s">
        <v>21289</v>
      </c>
      <c r="C10597" t="s">
        <v>10</v>
      </c>
      <c r="D10597" t="s">
        <v>21298</v>
      </c>
      <c r="E10597" t="s">
        <v>21299</v>
      </c>
      <c r="G10597" s="1">
        <v>0.66</v>
      </c>
    </row>
    <row r="10598" spans="1:7" ht="14.25" customHeight="1" x14ac:dyDescent="0.45">
      <c r="A10598" t="str">
        <f>_xlfn.XLOOKUP(B10598,Ingot!$H$12:$H$119,Ingot!$G$12:$G$119,"")</f>
        <v>Glass</v>
      </c>
      <c r="B10598" t="s">
        <v>21289</v>
      </c>
      <c r="C10598" t="s">
        <v>10</v>
      </c>
      <c r="D10598" t="s">
        <v>21300</v>
      </c>
      <c r="E10598" t="s">
        <v>21301</v>
      </c>
      <c r="G10598" s="1">
        <v>0.04</v>
      </c>
    </row>
    <row r="10599" spans="1:7" ht="14.25" customHeight="1" x14ac:dyDescent="0.45">
      <c r="A10599" t="str">
        <f>_xlfn.XLOOKUP(B10599,Ingot!$H$12:$H$119,Ingot!$G$12:$G$119,"")</f>
        <v>Glass</v>
      </c>
      <c r="B10599" t="s">
        <v>21289</v>
      </c>
      <c r="C10599" t="s">
        <v>10</v>
      </c>
      <c r="D10599" t="s">
        <v>21302</v>
      </c>
      <c r="E10599" t="s">
        <v>21303</v>
      </c>
      <c r="G10599" s="1">
        <v>0.33</v>
      </c>
    </row>
    <row r="10600" spans="1:7" ht="14.25" customHeight="1" x14ac:dyDescent="0.45">
      <c r="A10600" t="str">
        <f>_xlfn.XLOOKUP(B10600,Ingot!$H$12:$H$119,Ingot!$G$12:$G$119,"")</f>
        <v>Glass</v>
      </c>
      <c r="B10600" t="s">
        <v>21289</v>
      </c>
      <c r="C10600" t="s">
        <v>10</v>
      </c>
      <c r="D10600" t="s">
        <v>21304</v>
      </c>
      <c r="E10600" t="s">
        <v>21305</v>
      </c>
    </row>
    <row r="10601" spans="1:7" ht="14.25" customHeight="1" x14ac:dyDescent="0.45">
      <c r="A10601" t="str">
        <f>_xlfn.XLOOKUP(B10601,Ingot!$H$12:$H$119,Ingot!$G$12:$G$119,"")</f>
        <v>Glass</v>
      </c>
      <c r="B10601" t="s">
        <v>21289</v>
      </c>
      <c r="C10601" t="s">
        <v>10</v>
      </c>
      <c r="D10601" t="s">
        <v>21306</v>
      </c>
      <c r="E10601" t="s">
        <v>21307</v>
      </c>
      <c r="G10601" s="1">
        <v>0.05</v>
      </c>
    </row>
    <row r="10602" spans="1:7" ht="14.25" customHeight="1" x14ac:dyDescent="0.45">
      <c r="A10602" t="str">
        <f>_xlfn.XLOOKUP(B10602,Ingot!$H$12:$H$119,Ingot!$G$12:$G$119,"")</f>
        <v>Glass</v>
      </c>
      <c r="B10602" t="s">
        <v>21289</v>
      </c>
      <c r="C10602" t="s">
        <v>10</v>
      </c>
      <c r="D10602" t="s">
        <v>21308</v>
      </c>
      <c r="E10602" t="s">
        <v>21309</v>
      </c>
      <c r="G10602" s="1">
        <v>0.66</v>
      </c>
    </row>
    <row r="10603" spans="1:7" ht="14.25" customHeight="1" x14ac:dyDescent="0.45">
      <c r="A10603" t="str">
        <f>_xlfn.XLOOKUP(B10603,Ingot!$H$12:$H$119,Ingot!$G$12:$G$119,"")</f>
        <v>Glass</v>
      </c>
      <c r="B10603" t="s">
        <v>21289</v>
      </c>
      <c r="C10603" t="s">
        <v>10</v>
      </c>
      <c r="D10603" t="s">
        <v>21310</v>
      </c>
      <c r="E10603" t="s">
        <v>21311</v>
      </c>
      <c r="G10603" s="1">
        <v>3.96</v>
      </c>
    </row>
    <row r="10604" spans="1:7" ht="14.25" customHeight="1" x14ac:dyDescent="0.45">
      <c r="A10604" t="str">
        <f>_xlfn.XLOOKUP(B10604,Ingot!$H$12:$H$119,Ingot!$G$12:$G$119,"")</f>
        <v>Glass</v>
      </c>
      <c r="B10604" t="s">
        <v>21289</v>
      </c>
      <c r="C10604" t="s">
        <v>10</v>
      </c>
      <c r="D10604" t="s">
        <v>21312</v>
      </c>
      <c r="E10604" t="s">
        <v>21313</v>
      </c>
      <c r="G10604" s="1">
        <v>8.77</v>
      </c>
    </row>
    <row r="10605" spans="1:7" ht="14.25" customHeight="1" x14ac:dyDescent="0.45">
      <c r="A10605" t="str">
        <f>_xlfn.XLOOKUP(B10605,Ingot!$H$12:$H$119,Ingot!$G$12:$G$119,"")</f>
        <v>Glass</v>
      </c>
      <c r="B10605" t="s">
        <v>21289</v>
      </c>
      <c r="C10605" t="s">
        <v>10</v>
      </c>
      <c r="D10605" t="s">
        <v>21314</v>
      </c>
      <c r="E10605" t="s">
        <v>21315</v>
      </c>
      <c r="G10605" s="1">
        <v>3.5</v>
      </c>
    </row>
    <row r="10606" spans="1:7" ht="14.25" customHeight="1" x14ac:dyDescent="0.45">
      <c r="A10606" t="str">
        <f>_xlfn.XLOOKUP(B10606,Ingot!$H$12:$H$119,Ingot!$G$12:$G$119,"")</f>
        <v>Glass</v>
      </c>
      <c r="B10606" t="s">
        <v>21289</v>
      </c>
      <c r="C10606" t="s">
        <v>10</v>
      </c>
      <c r="D10606" t="s">
        <v>21316</v>
      </c>
      <c r="E10606" t="s">
        <v>21317</v>
      </c>
    </row>
    <row r="10607" spans="1:7" ht="14.25" customHeight="1" x14ac:dyDescent="0.45">
      <c r="A10607" t="str">
        <f>_xlfn.XLOOKUP(B10607,Ingot!$H$12:$H$119,Ingot!$G$12:$G$119,"")</f>
        <v>Glass</v>
      </c>
      <c r="B10607" t="s">
        <v>21289</v>
      </c>
      <c r="C10607" t="s">
        <v>10</v>
      </c>
      <c r="D10607" t="s">
        <v>21318</v>
      </c>
      <c r="E10607" t="s">
        <v>21319</v>
      </c>
      <c r="G10607" s="1">
        <v>2.2000000000000002</v>
      </c>
    </row>
    <row r="10608" spans="1:7" ht="14.25" customHeight="1" x14ac:dyDescent="0.45">
      <c r="A10608" t="str">
        <f>_xlfn.XLOOKUP(B10608,Ingot!$H$12:$H$119,Ingot!$G$12:$G$119,"")</f>
        <v>Glass</v>
      </c>
      <c r="B10608" t="s">
        <v>21289</v>
      </c>
      <c r="C10608" t="s">
        <v>10</v>
      </c>
      <c r="D10608" t="s">
        <v>21320</v>
      </c>
      <c r="E10608" t="s">
        <v>21321</v>
      </c>
      <c r="G10608" s="1">
        <v>1.1000000000000001</v>
      </c>
    </row>
    <row r="10609" spans="1:7" ht="14.25" customHeight="1" x14ac:dyDescent="0.45">
      <c r="A10609" t="str">
        <f>_xlfn.XLOOKUP(B10609,Ingot!$H$12:$H$119,Ingot!$G$12:$G$119,"")</f>
        <v>Glass</v>
      </c>
      <c r="B10609" t="s">
        <v>21289</v>
      </c>
      <c r="C10609" t="s">
        <v>10</v>
      </c>
      <c r="D10609" t="s">
        <v>21322</v>
      </c>
      <c r="E10609" t="s">
        <v>21323</v>
      </c>
      <c r="G10609" s="1">
        <v>0.22</v>
      </c>
    </row>
    <row r="10610" spans="1:7" ht="14.25" customHeight="1" x14ac:dyDescent="0.45">
      <c r="A10610" t="str">
        <f>_xlfn.XLOOKUP(B10610,Ingot!$H$12:$H$119,Ingot!$G$12:$G$119,"")</f>
        <v>Glass</v>
      </c>
      <c r="B10610" t="s">
        <v>21289</v>
      </c>
      <c r="C10610" t="s">
        <v>10</v>
      </c>
      <c r="D10610" t="s">
        <v>21324</v>
      </c>
      <c r="E10610" t="s">
        <v>21325</v>
      </c>
      <c r="G10610" s="1">
        <v>8.41</v>
      </c>
    </row>
    <row r="10611" spans="1:7" ht="14.25" customHeight="1" x14ac:dyDescent="0.45">
      <c r="A10611" t="str">
        <f>_xlfn.XLOOKUP(B10611,Ingot!$H$12:$H$119,Ingot!$G$12:$G$119,"")</f>
        <v>Glass</v>
      </c>
      <c r="B10611" t="s">
        <v>21289</v>
      </c>
      <c r="C10611" t="s">
        <v>10</v>
      </c>
      <c r="D10611" t="s">
        <v>21326</v>
      </c>
      <c r="E10611" t="s">
        <v>21327</v>
      </c>
      <c r="G10611" s="1">
        <v>3.64</v>
      </c>
    </row>
    <row r="10612" spans="1:7" ht="14.25" customHeight="1" x14ac:dyDescent="0.45">
      <c r="A10612" t="str">
        <f>_xlfn.XLOOKUP(B10612,Ingot!$H$12:$H$119,Ingot!$G$12:$G$119,"")</f>
        <v>Glass</v>
      </c>
      <c r="B10612" t="s">
        <v>21289</v>
      </c>
      <c r="C10612" t="s">
        <v>10</v>
      </c>
      <c r="D10612" t="s">
        <v>21328</v>
      </c>
      <c r="E10612" t="s">
        <v>21329</v>
      </c>
      <c r="G10612" s="1">
        <v>7.05</v>
      </c>
    </row>
    <row r="10613" spans="1:7" ht="14.25" customHeight="1" x14ac:dyDescent="0.45">
      <c r="A10613" t="str">
        <f>_xlfn.XLOOKUP(B10613,Ingot!$H$12:$H$119,Ingot!$G$12:$G$119,"")</f>
        <v>Glass</v>
      </c>
      <c r="B10613" t="s">
        <v>21289</v>
      </c>
      <c r="C10613" t="s">
        <v>10</v>
      </c>
      <c r="D10613" t="s">
        <v>21330</v>
      </c>
      <c r="E10613" t="s">
        <v>21331</v>
      </c>
      <c r="G10613" s="1">
        <v>2.65</v>
      </c>
    </row>
    <row r="10614" spans="1:7" ht="14.25" customHeight="1" x14ac:dyDescent="0.45">
      <c r="A10614" t="str">
        <f>_xlfn.XLOOKUP(B10614,Ingot!$H$12:$H$119,Ingot!$G$12:$G$119,"")</f>
        <v>Glass</v>
      </c>
      <c r="B10614" t="s">
        <v>21289</v>
      </c>
      <c r="C10614" t="s">
        <v>10</v>
      </c>
      <c r="D10614" t="s">
        <v>21332</v>
      </c>
      <c r="E10614" t="s">
        <v>21333</v>
      </c>
      <c r="G10614" s="1">
        <v>9</v>
      </c>
    </row>
    <row r="10615" spans="1:7" ht="14.25" customHeight="1" x14ac:dyDescent="0.45">
      <c r="A10615" t="str">
        <f>_xlfn.XLOOKUP(B10615,Ingot!$H$12:$H$119,Ingot!$G$12:$G$119,"")</f>
        <v>Glass</v>
      </c>
      <c r="B10615" t="s">
        <v>21289</v>
      </c>
      <c r="C10615" t="s">
        <v>10</v>
      </c>
      <c r="D10615" t="s">
        <v>21334</v>
      </c>
      <c r="E10615" t="s">
        <v>21335</v>
      </c>
      <c r="G10615" s="1">
        <v>10.23</v>
      </c>
    </row>
    <row r="10616" spans="1:7" ht="14.25" customHeight="1" x14ac:dyDescent="0.45">
      <c r="A10616" t="str">
        <f>_xlfn.XLOOKUP(B10616,Ingot!$H$12:$H$119,Ingot!$G$12:$G$119,"")</f>
        <v>Glass</v>
      </c>
      <c r="B10616" t="s">
        <v>21289</v>
      </c>
      <c r="C10616" t="s">
        <v>10</v>
      </c>
      <c r="D10616" t="s">
        <v>21336</v>
      </c>
      <c r="E10616" t="s">
        <v>21337</v>
      </c>
      <c r="G10616" s="1">
        <v>7.7</v>
      </c>
    </row>
    <row r="10617" spans="1:7" ht="14.25" customHeight="1" x14ac:dyDescent="0.45">
      <c r="A10617" t="str">
        <f>_xlfn.XLOOKUP(B10617,Ingot!$H$12:$H$119,Ingot!$G$12:$G$119,"")</f>
        <v>Glass</v>
      </c>
      <c r="B10617" t="s">
        <v>21289</v>
      </c>
      <c r="C10617" t="s">
        <v>10</v>
      </c>
      <c r="D10617" t="s">
        <v>21338</v>
      </c>
      <c r="E10617" t="s">
        <v>21339</v>
      </c>
      <c r="G10617" s="1">
        <v>10.02</v>
      </c>
    </row>
    <row r="10618" spans="1:7" ht="14.25" customHeight="1" x14ac:dyDescent="0.45">
      <c r="A10618" t="str">
        <f>_xlfn.XLOOKUP(B10618,Ingot!$H$12:$H$119,Ingot!$G$12:$G$119,"")</f>
        <v>Glass</v>
      </c>
      <c r="B10618" t="s">
        <v>21289</v>
      </c>
      <c r="C10618" t="s">
        <v>10</v>
      </c>
      <c r="D10618" t="s">
        <v>21340</v>
      </c>
      <c r="E10618" t="s">
        <v>21341</v>
      </c>
      <c r="G10618" s="1">
        <v>11.81</v>
      </c>
    </row>
    <row r="10619" spans="1:7" ht="14.25" customHeight="1" x14ac:dyDescent="0.45">
      <c r="A10619" t="str">
        <f>_xlfn.XLOOKUP(B10619,Ingot!$H$12:$H$119,Ingot!$G$12:$G$119,"")</f>
        <v>Glass</v>
      </c>
      <c r="B10619" t="s">
        <v>21289</v>
      </c>
      <c r="C10619" t="s">
        <v>10</v>
      </c>
      <c r="D10619" t="s">
        <v>21342</v>
      </c>
      <c r="E10619" t="s">
        <v>21343</v>
      </c>
      <c r="G10619" s="1">
        <v>8.44</v>
      </c>
    </row>
    <row r="10620" spans="1:7" ht="14.25" customHeight="1" x14ac:dyDescent="0.45">
      <c r="A10620" t="str">
        <f>_xlfn.XLOOKUP(B10620,Ingot!$H$12:$H$119,Ingot!$G$12:$G$119,"")</f>
        <v>Glass</v>
      </c>
      <c r="B10620" t="s">
        <v>21289</v>
      </c>
      <c r="C10620" t="s">
        <v>10</v>
      </c>
      <c r="D10620" t="s">
        <v>21344</v>
      </c>
      <c r="E10620" t="s">
        <v>21345</v>
      </c>
      <c r="G10620" s="1">
        <v>10.42</v>
      </c>
    </row>
    <row r="10621" spans="1:7" ht="14.25" customHeight="1" x14ac:dyDescent="0.45">
      <c r="A10621" t="str">
        <f>_xlfn.XLOOKUP(B10621,Ingot!$H$12:$H$119,Ingot!$G$12:$G$119,"")</f>
        <v>Glass</v>
      </c>
      <c r="B10621" t="s">
        <v>21289</v>
      </c>
      <c r="C10621" t="s">
        <v>10</v>
      </c>
      <c r="D10621" t="s">
        <v>21346</v>
      </c>
      <c r="E10621" t="s">
        <v>21347</v>
      </c>
    </row>
    <row r="10622" spans="1:7" ht="14.25" customHeight="1" x14ac:dyDescent="0.45">
      <c r="A10622" t="str">
        <f>_xlfn.XLOOKUP(B10622,Ingot!$H$12:$H$119,Ingot!$G$12:$G$119,"")</f>
        <v>Glass</v>
      </c>
      <c r="B10622" t="s">
        <v>21289</v>
      </c>
      <c r="C10622" t="s">
        <v>10</v>
      </c>
      <c r="D10622" t="s">
        <v>21348</v>
      </c>
      <c r="E10622" t="s">
        <v>21349</v>
      </c>
      <c r="G10622" s="1">
        <v>7.96</v>
      </c>
    </row>
    <row r="10623" spans="1:7" ht="14.25" customHeight="1" x14ac:dyDescent="0.45">
      <c r="A10623" t="str">
        <f>_xlfn.XLOOKUP(B10623,Ingot!$H$12:$H$119,Ingot!$G$12:$G$119,"")</f>
        <v>Glass</v>
      </c>
      <c r="B10623" t="s">
        <v>21289</v>
      </c>
      <c r="C10623" t="s">
        <v>10</v>
      </c>
      <c r="D10623" t="s">
        <v>21350</v>
      </c>
      <c r="E10623" t="s">
        <v>21351</v>
      </c>
      <c r="G10623" s="1">
        <v>9.64</v>
      </c>
    </row>
    <row r="10624" spans="1:7" ht="14.25" customHeight="1" x14ac:dyDescent="0.45">
      <c r="A10624" t="str">
        <f>_xlfn.XLOOKUP(B10624,Ingot!$H$12:$H$119,Ingot!$G$12:$G$119,"")</f>
        <v>Glass</v>
      </c>
      <c r="B10624" t="s">
        <v>21289</v>
      </c>
      <c r="C10624" t="s">
        <v>10</v>
      </c>
      <c r="D10624" t="s">
        <v>21352</v>
      </c>
      <c r="E10624" t="s">
        <v>21353</v>
      </c>
      <c r="G10624" s="1">
        <v>7.94</v>
      </c>
    </row>
    <row r="10625" spans="1:7" ht="14.25" customHeight="1" x14ac:dyDescent="0.45">
      <c r="A10625" t="str">
        <f>_xlfn.XLOOKUP(B10625,Ingot!$H$12:$H$119,Ingot!$G$12:$G$119,"")</f>
        <v>Glass</v>
      </c>
      <c r="B10625" t="s">
        <v>21289</v>
      </c>
      <c r="C10625" t="s">
        <v>10</v>
      </c>
      <c r="D10625" t="s">
        <v>21354</v>
      </c>
      <c r="E10625" t="s">
        <v>21355</v>
      </c>
      <c r="G10625" s="1">
        <v>8.66</v>
      </c>
    </row>
    <row r="10626" spans="1:7" ht="14.25" customHeight="1" x14ac:dyDescent="0.45">
      <c r="A10626" t="str">
        <f>_xlfn.XLOOKUP(B10626,Ingot!$H$12:$H$119,Ingot!$G$12:$G$119,"")</f>
        <v>Glass</v>
      </c>
      <c r="B10626" t="s">
        <v>21289</v>
      </c>
      <c r="C10626" t="s">
        <v>10</v>
      </c>
      <c r="D10626" t="s">
        <v>21356</v>
      </c>
      <c r="E10626" t="s">
        <v>21357</v>
      </c>
    </row>
    <row r="10627" spans="1:7" ht="14.25" customHeight="1" x14ac:dyDescent="0.45">
      <c r="A10627" t="str">
        <f>_xlfn.XLOOKUP(B10627,Ingot!$H$12:$H$119,Ingot!$G$12:$G$119,"")</f>
        <v>Glass</v>
      </c>
      <c r="B10627" t="s">
        <v>21289</v>
      </c>
      <c r="C10627" t="s">
        <v>10</v>
      </c>
      <c r="D10627" t="s">
        <v>21358</v>
      </c>
      <c r="E10627" t="s">
        <v>21359</v>
      </c>
      <c r="G10627" s="1">
        <v>2.65</v>
      </c>
    </row>
    <row r="10628" spans="1:7" ht="14.25" customHeight="1" x14ac:dyDescent="0.45">
      <c r="A10628" t="str">
        <f>_xlfn.XLOOKUP(B10628,Ingot!$H$12:$H$119,Ingot!$G$12:$G$119,"")</f>
        <v>Glass</v>
      </c>
      <c r="B10628" t="s">
        <v>21289</v>
      </c>
      <c r="C10628" t="s">
        <v>10</v>
      </c>
      <c r="D10628" t="s">
        <v>21360</v>
      </c>
      <c r="E10628" t="s">
        <v>21361</v>
      </c>
    </row>
    <row r="10629" spans="1:7" ht="14.25" customHeight="1" x14ac:dyDescent="0.45">
      <c r="A10629" t="str">
        <f>_xlfn.XLOOKUP(B10629,Ingot!$H$12:$H$119,Ingot!$G$12:$G$119,"")</f>
        <v>Glass</v>
      </c>
      <c r="B10629" t="s">
        <v>21289</v>
      </c>
      <c r="C10629" t="s">
        <v>10</v>
      </c>
      <c r="D10629" t="s">
        <v>21362</v>
      </c>
      <c r="E10629" t="s">
        <v>21363</v>
      </c>
      <c r="G10629" s="1">
        <v>12.64</v>
      </c>
    </row>
    <row r="10630" spans="1:7" ht="14.25" customHeight="1" x14ac:dyDescent="0.45">
      <c r="A10630" t="str">
        <f>_xlfn.XLOOKUP(B10630,Ingot!$H$12:$H$119,Ingot!$G$12:$G$119,"")</f>
        <v>Glass</v>
      </c>
      <c r="B10630" t="s">
        <v>21289</v>
      </c>
      <c r="C10630" t="s">
        <v>10</v>
      </c>
      <c r="D10630" t="s">
        <v>21364</v>
      </c>
      <c r="E10630" t="s">
        <v>21365</v>
      </c>
      <c r="G10630" s="1">
        <v>22.67</v>
      </c>
    </row>
    <row r="10631" spans="1:7" ht="14.25" customHeight="1" x14ac:dyDescent="0.45">
      <c r="A10631" t="str">
        <f>_xlfn.XLOOKUP(B10631,Ingot!$H$12:$H$119,Ingot!$G$12:$G$119,"")</f>
        <v>Glass</v>
      </c>
      <c r="B10631" t="s">
        <v>21289</v>
      </c>
      <c r="C10631" t="s">
        <v>10</v>
      </c>
      <c r="D10631" t="s">
        <v>21366</v>
      </c>
      <c r="E10631" t="s">
        <v>21367</v>
      </c>
      <c r="G10631" s="1">
        <v>8.3800000000000008</v>
      </c>
    </row>
    <row r="10632" spans="1:7" ht="14.25" customHeight="1" x14ac:dyDescent="0.45">
      <c r="A10632" t="str">
        <f>_xlfn.XLOOKUP(B10632,Ingot!$H$12:$H$119,Ingot!$G$12:$G$119,"")</f>
        <v>Glass</v>
      </c>
      <c r="B10632" t="s">
        <v>21289</v>
      </c>
      <c r="C10632" t="s">
        <v>10</v>
      </c>
      <c r="D10632" t="s">
        <v>21368</v>
      </c>
      <c r="E10632" t="s">
        <v>21369</v>
      </c>
      <c r="G10632" s="1">
        <v>2.2000000000000002</v>
      </c>
    </row>
    <row r="10633" spans="1:7" ht="14.25" customHeight="1" x14ac:dyDescent="0.45">
      <c r="A10633" t="str">
        <f>_xlfn.XLOOKUP(B10633,Ingot!$H$12:$H$119,Ingot!$G$12:$G$119,"")</f>
        <v>Glass</v>
      </c>
      <c r="B10633" t="s">
        <v>21289</v>
      </c>
      <c r="C10633" t="s">
        <v>10</v>
      </c>
      <c r="D10633" t="s">
        <v>21370</v>
      </c>
      <c r="E10633" t="s">
        <v>21371</v>
      </c>
      <c r="G10633" s="1">
        <v>3.09</v>
      </c>
    </row>
    <row r="10634" spans="1:7" ht="14.25" customHeight="1" x14ac:dyDescent="0.45">
      <c r="A10634" t="str">
        <f>_xlfn.XLOOKUP(B10634,Ingot!$H$12:$H$119,Ingot!$G$12:$G$119,"")</f>
        <v>Glass</v>
      </c>
      <c r="B10634" t="s">
        <v>21289</v>
      </c>
      <c r="C10634" t="s">
        <v>10</v>
      </c>
      <c r="D10634" t="s">
        <v>21372</v>
      </c>
      <c r="E10634" t="s">
        <v>21373</v>
      </c>
      <c r="G10634" s="1">
        <v>2.2999999999999998</v>
      </c>
    </row>
    <row r="10635" spans="1:7" ht="14.25" customHeight="1" x14ac:dyDescent="0.45">
      <c r="A10635" t="str">
        <f>_xlfn.XLOOKUP(B10635,Ingot!$H$12:$H$119,Ingot!$G$12:$G$119,"")</f>
        <v>Glass</v>
      </c>
      <c r="B10635" t="s">
        <v>21289</v>
      </c>
      <c r="C10635" t="s">
        <v>10</v>
      </c>
      <c r="D10635" t="s">
        <v>21374</v>
      </c>
      <c r="E10635" t="s">
        <v>21375</v>
      </c>
      <c r="G10635" s="1">
        <v>4.88</v>
      </c>
    </row>
    <row r="10636" spans="1:7" ht="14.25" customHeight="1" x14ac:dyDescent="0.45">
      <c r="A10636" t="str">
        <f>_xlfn.XLOOKUP(B10636,Ingot!$H$12:$H$119,Ingot!$G$12:$G$119,"")</f>
        <v>Glass</v>
      </c>
      <c r="B10636" t="s">
        <v>21289</v>
      </c>
      <c r="C10636" t="s">
        <v>10</v>
      </c>
      <c r="D10636" t="s">
        <v>21376</v>
      </c>
      <c r="E10636" t="s">
        <v>21377</v>
      </c>
      <c r="G10636" s="1">
        <v>8.43</v>
      </c>
    </row>
    <row r="10637" spans="1:7" ht="14.25" customHeight="1" x14ac:dyDescent="0.45">
      <c r="A10637" t="str">
        <f>_xlfn.XLOOKUP(B10637,Ingot!$H$12:$H$119,Ingot!$G$12:$G$119,"")</f>
        <v>Glass</v>
      </c>
      <c r="B10637" t="s">
        <v>21289</v>
      </c>
      <c r="C10637" t="s">
        <v>10</v>
      </c>
      <c r="D10637" t="s">
        <v>21378</v>
      </c>
      <c r="E10637" t="s">
        <v>21379</v>
      </c>
      <c r="G10637" s="1">
        <v>13.07</v>
      </c>
    </row>
    <row r="10638" spans="1:7" ht="14.25" customHeight="1" x14ac:dyDescent="0.45">
      <c r="A10638" t="str">
        <f>_xlfn.XLOOKUP(B10638,Ingot!$H$12:$H$119,Ingot!$G$12:$G$119,"")</f>
        <v>Glass</v>
      </c>
      <c r="B10638" t="s">
        <v>21289</v>
      </c>
      <c r="C10638" t="s">
        <v>10</v>
      </c>
      <c r="D10638" t="s">
        <v>21380</v>
      </c>
      <c r="E10638" t="s">
        <v>21381</v>
      </c>
    </row>
    <row r="10639" spans="1:7" ht="14.25" customHeight="1" x14ac:dyDescent="0.45">
      <c r="A10639" t="str">
        <f>_xlfn.XLOOKUP(B10639,Ingot!$H$12:$H$119,Ingot!$G$12:$G$119,"")</f>
        <v>Glass</v>
      </c>
      <c r="B10639" t="s">
        <v>21289</v>
      </c>
      <c r="C10639" t="s">
        <v>10</v>
      </c>
      <c r="D10639" t="s">
        <v>21382</v>
      </c>
      <c r="E10639" t="s">
        <v>21383</v>
      </c>
    </row>
    <row r="10640" spans="1:7" ht="14.25" customHeight="1" x14ac:dyDescent="0.45">
      <c r="A10640" t="str">
        <f>_xlfn.XLOOKUP(B10640,Ingot!$H$12:$H$119,Ingot!$G$12:$G$119,"")</f>
        <v>Glass</v>
      </c>
      <c r="B10640" t="s">
        <v>21289</v>
      </c>
      <c r="C10640" t="s">
        <v>10</v>
      </c>
      <c r="D10640" t="s">
        <v>21384</v>
      </c>
      <c r="E10640" t="s">
        <v>21385</v>
      </c>
      <c r="G10640" s="1">
        <v>6.8</v>
      </c>
    </row>
    <row r="10641" spans="1:7" ht="14.25" customHeight="1" x14ac:dyDescent="0.45">
      <c r="A10641" t="str">
        <f>_xlfn.XLOOKUP(B10641,Ingot!$H$12:$H$119,Ingot!$G$12:$G$119,"")</f>
        <v>Glass</v>
      </c>
      <c r="B10641" t="s">
        <v>21289</v>
      </c>
      <c r="C10641" t="s">
        <v>10</v>
      </c>
      <c r="D10641" t="s">
        <v>21386</v>
      </c>
      <c r="E10641" t="s">
        <v>21387</v>
      </c>
      <c r="G10641" s="1">
        <v>6.88</v>
      </c>
    </row>
    <row r="10642" spans="1:7" ht="14.25" customHeight="1" x14ac:dyDescent="0.45">
      <c r="A10642" t="str">
        <f>_xlfn.XLOOKUP(B10642,Ingot!$H$12:$H$119,Ingot!$G$12:$G$119,"")</f>
        <v>Glass</v>
      </c>
      <c r="B10642" t="s">
        <v>21289</v>
      </c>
      <c r="C10642" t="s">
        <v>10</v>
      </c>
      <c r="D10642" t="s">
        <v>21388</v>
      </c>
      <c r="E10642" t="s">
        <v>21389</v>
      </c>
      <c r="G10642" s="1">
        <v>5.5</v>
      </c>
    </row>
    <row r="10643" spans="1:7" ht="14.25" customHeight="1" x14ac:dyDescent="0.45">
      <c r="A10643" t="str">
        <f>_xlfn.XLOOKUP(B10643,Ingot!$H$12:$H$119,Ingot!$G$12:$G$119,"")</f>
        <v>Glass</v>
      </c>
      <c r="B10643" t="s">
        <v>21289</v>
      </c>
      <c r="C10643" t="s">
        <v>10</v>
      </c>
      <c r="D10643" t="s">
        <v>21390</v>
      </c>
      <c r="E10643" t="s">
        <v>21391</v>
      </c>
      <c r="G10643" s="1">
        <v>2.4300000000000002</v>
      </c>
    </row>
    <row r="10644" spans="1:7" ht="14.25" customHeight="1" x14ac:dyDescent="0.45">
      <c r="A10644" t="str">
        <f>_xlfn.XLOOKUP(B10644,Ingot!$H$12:$H$119,Ingot!$G$12:$G$119,"")</f>
        <v>Glass</v>
      </c>
      <c r="B10644" t="s">
        <v>21289</v>
      </c>
      <c r="C10644" t="s">
        <v>10</v>
      </c>
      <c r="D10644" t="s">
        <v>21392</v>
      </c>
      <c r="E10644" t="s">
        <v>21393</v>
      </c>
      <c r="G10644" s="1">
        <v>6.96</v>
      </c>
    </row>
    <row r="10645" spans="1:7" ht="14.25" customHeight="1" x14ac:dyDescent="0.45">
      <c r="A10645" t="str">
        <f>_xlfn.XLOOKUP(B10645,Ingot!$H$12:$H$119,Ingot!$G$12:$G$119,"")</f>
        <v>Glass</v>
      </c>
      <c r="B10645" t="s">
        <v>21289</v>
      </c>
      <c r="C10645" t="s">
        <v>10</v>
      </c>
      <c r="D10645" t="s">
        <v>21394</v>
      </c>
      <c r="E10645" t="s">
        <v>21395</v>
      </c>
      <c r="G10645" s="1">
        <v>6.32</v>
      </c>
    </row>
    <row r="10646" spans="1:7" ht="14.25" customHeight="1" x14ac:dyDescent="0.45">
      <c r="A10646" t="str">
        <f>_xlfn.XLOOKUP(B10646,Ingot!$H$12:$H$119,Ingot!$G$12:$G$119,"")</f>
        <v>Glass</v>
      </c>
      <c r="B10646" t="s">
        <v>21289</v>
      </c>
      <c r="C10646" t="s">
        <v>10</v>
      </c>
      <c r="D10646" t="s">
        <v>21396</v>
      </c>
      <c r="E10646" t="s">
        <v>21397</v>
      </c>
      <c r="G10646" s="1">
        <v>6.88</v>
      </c>
    </row>
    <row r="10647" spans="1:7" ht="14.25" customHeight="1" x14ac:dyDescent="0.45">
      <c r="A10647" t="str">
        <f>_xlfn.XLOOKUP(B10647,Ingot!$H$12:$H$119,Ingot!$G$12:$G$119,"")</f>
        <v>Glass</v>
      </c>
      <c r="B10647" t="s">
        <v>21289</v>
      </c>
      <c r="C10647" t="s">
        <v>10</v>
      </c>
      <c r="D10647" t="s">
        <v>21398</v>
      </c>
      <c r="E10647" t="s">
        <v>21399</v>
      </c>
      <c r="G10647" s="1">
        <v>2.44</v>
      </c>
    </row>
    <row r="10648" spans="1:7" ht="14.25" customHeight="1" x14ac:dyDescent="0.45">
      <c r="A10648" t="str">
        <f>_xlfn.XLOOKUP(B10648,Ingot!$H$12:$H$119,Ingot!$G$12:$G$119,"")</f>
        <v>Glass</v>
      </c>
      <c r="B10648" t="s">
        <v>21289</v>
      </c>
      <c r="C10648" t="s">
        <v>10</v>
      </c>
      <c r="D10648" t="s">
        <v>21400</v>
      </c>
      <c r="E10648" t="s">
        <v>21401</v>
      </c>
    </row>
    <row r="10649" spans="1:7" ht="14.25" customHeight="1" x14ac:dyDescent="0.45">
      <c r="A10649" t="str">
        <f>_xlfn.XLOOKUP(B10649,Ingot!$H$12:$H$119,Ingot!$G$12:$G$119,"")</f>
        <v>Glass</v>
      </c>
      <c r="B10649" t="s">
        <v>21289</v>
      </c>
      <c r="C10649" t="s">
        <v>10</v>
      </c>
      <c r="D10649" t="s">
        <v>21402</v>
      </c>
      <c r="E10649" t="s">
        <v>21403</v>
      </c>
    </row>
    <row r="10650" spans="1:7" ht="14.25" customHeight="1" x14ac:dyDescent="0.45">
      <c r="A10650" t="str">
        <f>_xlfn.XLOOKUP(B10650,Ingot!$H$12:$H$119,Ingot!$G$12:$G$119,"")</f>
        <v>Glass</v>
      </c>
      <c r="B10650" t="s">
        <v>21289</v>
      </c>
      <c r="C10650" t="s">
        <v>10</v>
      </c>
      <c r="D10650" t="s">
        <v>21404</v>
      </c>
      <c r="E10650" t="s">
        <v>21405</v>
      </c>
      <c r="G10650" s="1">
        <v>3.11</v>
      </c>
    </row>
    <row r="10651" spans="1:7" ht="14.25" customHeight="1" x14ac:dyDescent="0.45">
      <c r="A10651" t="str">
        <f>_xlfn.XLOOKUP(B10651,Ingot!$H$12:$H$119,Ingot!$G$12:$G$119,"")</f>
        <v>Glass</v>
      </c>
      <c r="B10651" t="s">
        <v>21289</v>
      </c>
      <c r="C10651" t="s">
        <v>10</v>
      </c>
      <c r="D10651" t="s">
        <v>21406</v>
      </c>
      <c r="E10651" t="s">
        <v>21407</v>
      </c>
      <c r="G10651" s="1">
        <v>2.44</v>
      </c>
    </row>
    <row r="10652" spans="1:7" ht="14.25" customHeight="1" x14ac:dyDescent="0.45">
      <c r="A10652" t="str">
        <f>_xlfn.XLOOKUP(B10652,Ingot!$H$12:$H$119,Ingot!$G$12:$G$119,"")</f>
        <v>Glass</v>
      </c>
      <c r="B10652" t="s">
        <v>21289</v>
      </c>
      <c r="C10652" t="s">
        <v>10</v>
      </c>
      <c r="D10652" t="s">
        <v>21408</v>
      </c>
      <c r="E10652" t="s">
        <v>21409</v>
      </c>
      <c r="G10652" s="1">
        <v>8.61</v>
      </c>
    </row>
    <row r="10653" spans="1:7" ht="14.25" customHeight="1" x14ac:dyDescent="0.45">
      <c r="A10653" t="str">
        <f>_xlfn.XLOOKUP(B10653,Ingot!$H$12:$H$119,Ingot!$G$12:$G$119,"")</f>
        <v>Glass</v>
      </c>
      <c r="B10653" t="s">
        <v>21289</v>
      </c>
      <c r="C10653" t="s">
        <v>10</v>
      </c>
      <c r="D10653" t="s">
        <v>21410</v>
      </c>
      <c r="E10653" t="s">
        <v>21411</v>
      </c>
    </row>
    <row r="10654" spans="1:7" ht="14.25" customHeight="1" x14ac:dyDescent="0.45">
      <c r="A10654" t="str">
        <f>_xlfn.XLOOKUP(B10654,Ingot!$H$12:$H$119,Ingot!$G$12:$G$119,"")</f>
        <v>Glass</v>
      </c>
      <c r="B10654" t="s">
        <v>21289</v>
      </c>
      <c r="C10654" t="s">
        <v>10</v>
      </c>
      <c r="D10654" t="s">
        <v>21412</v>
      </c>
      <c r="E10654" t="s">
        <v>21413</v>
      </c>
      <c r="G10654" s="1">
        <v>3.21</v>
      </c>
    </row>
    <row r="10655" spans="1:7" ht="14.25" customHeight="1" x14ac:dyDescent="0.45">
      <c r="A10655" t="str">
        <f>_xlfn.XLOOKUP(B10655,Ingot!$H$12:$H$119,Ingot!$G$12:$G$119,"")</f>
        <v>Glass</v>
      </c>
      <c r="B10655" t="s">
        <v>21289</v>
      </c>
      <c r="C10655" t="s">
        <v>10</v>
      </c>
      <c r="D10655" t="s">
        <v>21414</v>
      </c>
      <c r="E10655" t="s">
        <v>21415</v>
      </c>
      <c r="G10655" s="1">
        <v>2.77</v>
      </c>
    </row>
    <row r="10656" spans="1:7" ht="14.25" customHeight="1" x14ac:dyDescent="0.45">
      <c r="A10656" t="str">
        <f>_xlfn.XLOOKUP(B10656,Ingot!$H$12:$H$119,Ingot!$G$12:$G$119,"")</f>
        <v>Glass</v>
      </c>
      <c r="B10656" t="s">
        <v>21289</v>
      </c>
      <c r="C10656" t="s">
        <v>10</v>
      </c>
      <c r="D10656" t="s">
        <v>21416</v>
      </c>
      <c r="E10656" t="s">
        <v>21417</v>
      </c>
      <c r="G10656" s="1">
        <v>4.8899999999999997</v>
      </c>
    </row>
    <row r="10657" spans="1:7" ht="14.25" customHeight="1" x14ac:dyDescent="0.45">
      <c r="A10657" t="str">
        <f>_xlfn.XLOOKUP(B10657,Ingot!$H$12:$H$119,Ingot!$G$12:$G$119,"")</f>
        <v>Glass</v>
      </c>
      <c r="B10657" t="s">
        <v>21289</v>
      </c>
      <c r="C10657" t="s">
        <v>10</v>
      </c>
      <c r="D10657" t="s">
        <v>21418</v>
      </c>
      <c r="E10657" t="s">
        <v>21419</v>
      </c>
      <c r="G10657" s="1">
        <v>1.76</v>
      </c>
    </row>
    <row r="10658" spans="1:7" ht="14.25" customHeight="1" x14ac:dyDescent="0.45">
      <c r="A10658" t="str">
        <f>_xlfn.XLOOKUP(B10658,Ingot!$H$12:$H$119,Ingot!$G$12:$G$119,"")</f>
        <v>Glass</v>
      </c>
      <c r="B10658" t="s">
        <v>21289</v>
      </c>
      <c r="C10658" t="s">
        <v>10</v>
      </c>
      <c r="D10658" t="s">
        <v>21420</v>
      </c>
      <c r="E10658" t="s">
        <v>21421</v>
      </c>
    </row>
    <row r="10659" spans="1:7" ht="14.25" customHeight="1" x14ac:dyDescent="0.45">
      <c r="A10659" t="str">
        <f>_xlfn.XLOOKUP(B10659,Ingot!$H$12:$H$119,Ingot!$G$12:$G$119,"")</f>
        <v>Glass</v>
      </c>
      <c r="B10659" t="s">
        <v>21289</v>
      </c>
      <c r="C10659" t="s">
        <v>10</v>
      </c>
      <c r="D10659" t="s">
        <v>21422</v>
      </c>
      <c r="E10659" t="s">
        <v>21423</v>
      </c>
      <c r="G10659" s="1">
        <v>8.57</v>
      </c>
    </row>
    <row r="10660" spans="1:7" ht="14.25" customHeight="1" x14ac:dyDescent="0.45">
      <c r="A10660" t="str">
        <f>_xlfn.XLOOKUP(B10660,Ingot!$H$12:$H$119,Ingot!$G$12:$G$119,"")</f>
        <v>Glass</v>
      </c>
      <c r="B10660" t="s">
        <v>21289</v>
      </c>
      <c r="C10660" t="s">
        <v>10</v>
      </c>
      <c r="D10660" t="s">
        <v>21424</v>
      </c>
      <c r="E10660" t="s">
        <v>21425</v>
      </c>
    </row>
    <row r="10661" spans="1:7" ht="14.25" customHeight="1" x14ac:dyDescent="0.45">
      <c r="A10661" t="str">
        <f>_xlfn.XLOOKUP(B10661,Ingot!$H$12:$H$119,Ingot!$G$12:$G$119,"")</f>
        <v>Glass</v>
      </c>
      <c r="B10661" t="s">
        <v>21289</v>
      </c>
      <c r="C10661" t="s">
        <v>10</v>
      </c>
      <c r="D10661" t="s">
        <v>21426</v>
      </c>
      <c r="E10661" t="s">
        <v>21427</v>
      </c>
      <c r="G10661" s="1">
        <v>3.56</v>
      </c>
    </row>
    <row r="10662" spans="1:7" ht="14.25" customHeight="1" x14ac:dyDescent="0.45">
      <c r="A10662" t="str">
        <f>_xlfn.XLOOKUP(B10662,Ingot!$H$12:$H$119,Ingot!$G$12:$G$119,"")</f>
        <v>Glass</v>
      </c>
      <c r="B10662" t="s">
        <v>21289</v>
      </c>
      <c r="C10662" t="s">
        <v>10</v>
      </c>
      <c r="D10662" t="s">
        <v>21428</v>
      </c>
      <c r="E10662" t="s">
        <v>21429</v>
      </c>
      <c r="G10662" s="1">
        <v>8.91</v>
      </c>
    </row>
    <row r="10663" spans="1:7" ht="14.25" customHeight="1" x14ac:dyDescent="0.45">
      <c r="A10663" t="str">
        <f>_xlfn.XLOOKUP(B10663,Ingot!$H$12:$H$119,Ingot!$G$12:$G$119,"")</f>
        <v>Glass</v>
      </c>
      <c r="B10663" t="s">
        <v>21289</v>
      </c>
      <c r="C10663" t="s">
        <v>10</v>
      </c>
      <c r="D10663" t="s">
        <v>21430</v>
      </c>
      <c r="E10663" t="s">
        <v>21431</v>
      </c>
      <c r="G10663" s="1">
        <v>11.02</v>
      </c>
    </row>
    <row r="10664" spans="1:7" ht="14.25" customHeight="1" x14ac:dyDescent="0.45">
      <c r="A10664" t="str">
        <f>_xlfn.XLOOKUP(B10664,Ingot!$H$12:$H$119,Ingot!$G$12:$G$119,"")</f>
        <v>Glass</v>
      </c>
      <c r="B10664" t="s">
        <v>21289</v>
      </c>
      <c r="C10664" t="s">
        <v>10</v>
      </c>
      <c r="D10664" t="s">
        <v>21432</v>
      </c>
      <c r="E10664" t="s">
        <v>21433</v>
      </c>
      <c r="G10664" s="1">
        <v>5.12</v>
      </c>
    </row>
    <row r="10665" spans="1:7" ht="14.25" customHeight="1" x14ac:dyDescent="0.45">
      <c r="A10665" t="str">
        <f>_xlfn.XLOOKUP(B10665,Ingot!$H$12:$H$119,Ingot!$G$12:$G$119,"")</f>
        <v>Glass</v>
      </c>
      <c r="B10665" t="s">
        <v>21289</v>
      </c>
      <c r="C10665" t="s">
        <v>10</v>
      </c>
      <c r="D10665" t="s">
        <v>21434</v>
      </c>
      <c r="E10665" t="s">
        <v>21435</v>
      </c>
      <c r="G10665" s="1">
        <v>4.41</v>
      </c>
    </row>
    <row r="10666" spans="1:7" ht="14.25" customHeight="1" x14ac:dyDescent="0.45">
      <c r="A10666" t="str">
        <f>_xlfn.XLOOKUP(B10666,Ingot!$H$12:$H$119,Ingot!$G$12:$G$119,"")</f>
        <v>Glass</v>
      </c>
      <c r="B10666" t="s">
        <v>21289</v>
      </c>
      <c r="C10666" t="s">
        <v>157</v>
      </c>
      <c r="D10666" t="s">
        <v>21436</v>
      </c>
      <c r="E10666" t="s">
        <v>21437</v>
      </c>
      <c r="G10666" s="1">
        <v>30.18</v>
      </c>
    </row>
    <row r="10667" spans="1:7" ht="14.25" customHeight="1" x14ac:dyDescent="0.45">
      <c r="A10667" t="str">
        <f>_xlfn.XLOOKUP(B10667,Ingot!$H$12:$H$119,Ingot!$G$12:$G$119,"")</f>
        <v>Glass</v>
      </c>
      <c r="B10667" t="s">
        <v>21289</v>
      </c>
      <c r="C10667" t="s">
        <v>157</v>
      </c>
      <c r="D10667" t="s">
        <v>21438</v>
      </c>
      <c r="E10667" t="s">
        <v>21439</v>
      </c>
      <c r="G10667" s="1">
        <v>6.04</v>
      </c>
    </row>
    <row r="10668" spans="1:7" ht="14.25" customHeight="1" x14ac:dyDescent="0.45">
      <c r="A10668" t="str">
        <f>_xlfn.XLOOKUP(B10668,Ingot!$H$12:$H$119,Ingot!$G$12:$G$119,"")</f>
        <v>Glass</v>
      </c>
      <c r="B10668" t="s">
        <v>21289</v>
      </c>
      <c r="C10668" t="s">
        <v>157</v>
      </c>
      <c r="D10668" t="s">
        <v>21440</v>
      </c>
      <c r="E10668" t="s">
        <v>21441</v>
      </c>
      <c r="G10668" s="1">
        <v>6.04</v>
      </c>
    </row>
    <row r="10669" spans="1:7" ht="14.25" customHeight="1" x14ac:dyDescent="0.45">
      <c r="A10669" t="str">
        <f>_xlfn.XLOOKUP(B10669,Ingot!$H$12:$H$119,Ingot!$G$12:$G$119,"")</f>
        <v>Glass</v>
      </c>
      <c r="B10669" t="s">
        <v>21289</v>
      </c>
      <c r="C10669" t="s">
        <v>157</v>
      </c>
      <c r="D10669" t="s">
        <v>21442</v>
      </c>
      <c r="E10669" t="s">
        <v>21443</v>
      </c>
      <c r="G10669" s="1">
        <v>5</v>
      </c>
    </row>
    <row r="10670" spans="1:7" ht="14.25" customHeight="1" x14ac:dyDescent="0.45">
      <c r="A10670" t="str">
        <f>_xlfn.XLOOKUP(B10670,Ingot!$H$12:$H$119,Ingot!$G$12:$G$119,"")</f>
        <v>Glass</v>
      </c>
      <c r="B10670" t="s">
        <v>21289</v>
      </c>
      <c r="C10670" t="s">
        <v>157</v>
      </c>
      <c r="D10670" t="s">
        <v>21444</v>
      </c>
      <c r="E10670" t="s">
        <v>21445</v>
      </c>
      <c r="G10670" s="1">
        <v>10</v>
      </c>
    </row>
    <row r="10671" spans="1:7" ht="14.25" customHeight="1" x14ac:dyDescent="0.45">
      <c r="A10671" t="str">
        <f>_xlfn.XLOOKUP(B10671,Ingot!$H$12:$H$119,Ingot!$G$12:$G$119,"")</f>
        <v>Glass</v>
      </c>
      <c r="B10671" t="s">
        <v>21289</v>
      </c>
      <c r="C10671" t="s">
        <v>157</v>
      </c>
      <c r="D10671" t="s">
        <v>21446</v>
      </c>
      <c r="E10671" t="s">
        <v>21447</v>
      </c>
      <c r="G10671" s="1">
        <v>26.18</v>
      </c>
    </row>
    <row r="10672" spans="1:7" ht="14.25" customHeight="1" x14ac:dyDescent="0.45">
      <c r="A10672" t="str">
        <f>_xlfn.XLOOKUP(B10672,Ingot!$H$12:$H$119,Ingot!$G$12:$G$119,"")</f>
        <v>Glass</v>
      </c>
      <c r="B10672" t="s">
        <v>21289</v>
      </c>
      <c r="C10672" t="s">
        <v>157</v>
      </c>
      <c r="D10672" t="s">
        <v>21448</v>
      </c>
      <c r="E10672" t="s">
        <v>21449</v>
      </c>
      <c r="G10672" s="1">
        <v>5.24</v>
      </c>
    </row>
    <row r="10673" spans="1:7" ht="14.25" customHeight="1" x14ac:dyDescent="0.45">
      <c r="A10673" t="str">
        <f>_xlfn.XLOOKUP(B10673,Ingot!$H$12:$H$119,Ingot!$G$12:$G$119,"")</f>
        <v>Glass</v>
      </c>
      <c r="B10673" t="s">
        <v>21289</v>
      </c>
      <c r="C10673" t="s">
        <v>157</v>
      </c>
      <c r="D10673" t="s">
        <v>21450</v>
      </c>
      <c r="E10673" t="s">
        <v>21451</v>
      </c>
      <c r="G10673" s="1">
        <v>5.24</v>
      </c>
    </row>
    <row r="10674" spans="1:7" ht="14.25" customHeight="1" x14ac:dyDescent="0.45">
      <c r="A10674" t="str">
        <f>_xlfn.XLOOKUP(B10674,Ingot!$H$12:$H$119,Ingot!$G$12:$G$119,"")</f>
        <v>Glass</v>
      </c>
      <c r="B10674" t="s">
        <v>21289</v>
      </c>
      <c r="C10674" t="s">
        <v>157</v>
      </c>
      <c r="D10674" t="s">
        <v>21452</v>
      </c>
      <c r="E10674" t="s">
        <v>21453</v>
      </c>
      <c r="G10674" s="1">
        <v>5</v>
      </c>
    </row>
    <row r="10675" spans="1:7" ht="14.25" customHeight="1" x14ac:dyDescent="0.45">
      <c r="A10675" t="str">
        <f>_xlfn.XLOOKUP(B10675,Ingot!$H$12:$H$119,Ingot!$G$12:$G$119,"")</f>
        <v>Glass</v>
      </c>
      <c r="B10675" t="s">
        <v>21289</v>
      </c>
      <c r="C10675" t="s">
        <v>157</v>
      </c>
      <c r="D10675" t="s">
        <v>21454</v>
      </c>
      <c r="E10675" t="s">
        <v>21455</v>
      </c>
      <c r="G10675" s="1">
        <v>10</v>
      </c>
    </row>
    <row r="10676" spans="1:7" ht="14.25" customHeight="1" x14ac:dyDescent="0.45">
      <c r="A10676" t="str">
        <f>_xlfn.XLOOKUP(B10676,Ingot!$H$12:$H$119,Ingot!$G$12:$G$119,"")</f>
        <v>Glass</v>
      </c>
      <c r="B10676" t="s">
        <v>21289</v>
      </c>
      <c r="C10676" t="s">
        <v>157</v>
      </c>
      <c r="D10676" t="s">
        <v>21456</v>
      </c>
      <c r="E10676" t="s">
        <v>21457</v>
      </c>
      <c r="F10676" t="s">
        <v>180</v>
      </c>
      <c r="G10676" s="1">
        <v>25.18</v>
      </c>
    </row>
    <row r="10677" spans="1:7" ht="14.25" customHeight="1" x14ac:dyDescent="0.45">
      <c r="A10677" t="str">
        <f>_xlfn.XLOOKUP(B10677,Ingot!$H$12:$H$119,Ingot!$G$12:$G$119,"")</f>
        <v>Glass</v>
      </c>
      <c r="B10677" t="s">
        <v>21289</v>
      </c>
      <c r="C10677" t="s">
        <v>157</v>
      </c>
      <c r="D10677" t="s">
        <v>21458</v>
      </c>
      <c r="E10677" t="s">
        <v>21459</v>
      </c>
      <c r="F10677" t="s">
        <v>180</v>
      </c>
      <c r="G10677" s="1">
        <v>5.04</v>
      </c>
    </row>
    <row r="10678" spans="1:7" ht="14.25" customHeight="1" x14ac:dyDescent="0.45">
      <c r="A10678" t="str">
        <f>_xlfn.XLOOKUP(B10678,Ingot!$H$12:$H$119,Ingot!$G$12:$G$119,"")</f>
        <v>Glass</v>
      </c>
      <c r="B10678" t="s">
        <v>21289</v>
      </c>
      <c r="C10678" t="s">
        <v>157</v>
      </c>
      <c r="D10678" t="s">
        <v>21460</v>
      </c>
      <c r="E10678" t="s">
        <v>21461</v>
      </c>
      <c r="F10678" t="s">
        <v>180</v>
      </c>
      <c r="G10678" s="1">
        <v>5.04</v>
      </c>
    </row>
    <row r="10679" spans="1:7" ht="14.25" customHeight="1" x14ac:dyDescent="0.45">
      <c r="A10679" t="str">
        <f>_xlfn.XLOOKUP(B10679,Ingot!$H$12:$H$119,Ingot!$G$12:$G$119,"")</f>
        <v>Glass</v>
      </c>
      <c r="B10679" t="s">
        <v>21289</v>
      </c>
      <c r="C10679" t="s">
        <v>157</v>
      </c>
      <c r="D10679" t="s">
        <v>21462</v>
      </c>
      <c r="E10679" t="s">
        <v>21463</v>
      </c>
      <c r="F10679" t="s">
        <v>180</v>
      </c>
      <c r="G10679" s="1">
        <v>5</v>
      </c>
    </row>
    <row r="10680" spans="1:7" ht="14.25" customHeight="1" x14ac:dyDescent="0.45">
      <c r="A10680" t="str">
        <f>_xlfn.XLOOKUP(B10680,Ingot!$H$12:$H$119,Ingot!$G$12:$G$119,"")</f>
        <v>Glass</v>
      </c>
      <c r="B10680" t="s">
        <v>21289</v>
      </c>
      <c r="C10680" t="s">
        <v>157</v>
      </c>
      <c r="D10680" t="s">
        <v>21464</v>
      </c>
      <c r="E10680" t="s">
        <v>21465</v>
      </c>
      <c r="F10680" t="s">
        <v>180</v>
      </c>
      <c r="G10680" s="1">
        <v>10</v>
      </c>
    </row>
    <row r="10681" spans="1:7" ht="14.25" customHeight="1" x14ac:dyDescent="0.45">
      <c r="A10681" t="str">
        <f>_xlfn.XLOOKUP(B10681,Ingot!$H$12:$H$119,Ingot!$G$12:$G$119,"")</f>
        <v>Glass</v>
      </c>
      <c r="B10681" t="s">
        <v>21289</v>
      </c>
      <c r="C10681" t="s">
        <v>157</v>
      </c>
      <c r="D10681" t="s">
        <v>21466</v>
      </c>
      <c r="E10681" t="s">
        <v>21467</v>
      </c>
      <c r="G10681" s="1">
        <v>27.18</v>
      </c>
    </row>
    <row r="10682" spans="1:7" ht="14.25" customHeight="1" x14ac:dyDescent="0.45">
      <c r="A10682" t="str">
        <f>_xlfn.XLOOKUP(B10682,Ingot!$H$12:$H$119,Ingot!$G$12:$G$119,"")</f>
        <v>Glass</v>
      </c>
      <c r="B10682" t="s">
        <v>21289</v>
      </c>
      <c r="C10682" t="s">
        <v>157</v>
      </c>
      <c r="D10682" t="s">
        <v>21468</v>
      </c>
      <c r="E10682" t="s">
        <v>21469</v>
      </c>
      <c r="G10682" s="1">
        <v>5.44</v>
      </c>
    </row>
    <row r="10683" spans="1:7" ht="14.25" customHeight="1" x14ac:dyDescent="0.45">
      <c r="A10683" t="str">
        <f>_xlfn.XLOOKUP(B10683,Ingot!$H$12:$H$119,Ingot!$G$12:$G$119,"")</f>
        <v>Glass</v>
      </c>
      <c r="B10683" t="s">
        <v>21289</v>
      </c>
      <c r="C10683" t="s">
        <v>157</v>
      </c>
      <c r="D10683" t="s">
        <v>21470</v>
      </c>
      <c r="E10683" t="s">
        <v>21471</v>
      </c>
      <c r="G10683" s="1">
        <v>5.44</v>
      </c>
    </row>
    <row r="10684" spans="1:7" ht="14.25" customHeight="1" x14ac:dyDescent="0.45">
      <c r="A10684" t="str">
        <f>_xlfn.XLOOKUP(B10684,Ingot!$H$12:$H$119,Ingot!$G$12:$G$119,"")</f>
        <v>Glass</v>
      </c>
      <c r="B10684" t="s">
        <v>21289</v>
      </c>
      <c r="C10684" t="s">
        <v>157</v>
      </c>
      <c r="D10684" t="s">
        <v>21472</v>
      </c>
      <c r="E10684" t="s">
        <v>21473</v>
      </c>
      <c r="G10684" s="1">
        <v>5</v>
      </c>
    </row>
    <row r="10685" spans="1:7" ht="14.25" customHeight="1" x14ac:dyDescent="0.45">
      <c r="A10685" t="str">
        <f>_xlfn.XLOOKUP(B10685,Ingot!$H$12:$H$119,Ingot!$G$12:$G$119,"")</f>
        <v>Glass</v>
      </c>
      <c r="B10685" t="s">
        <v>21289</v>
      </c>
      <c r="C10685" t="s">
        <v>157</v>
      </c>
      <c r="D10685" t="s">
        <v>21474</v>
      </c>
      <c r="E10685" t="s">
        <v>21475</v>
      </c>
      <c r="G10685" s="1">
        <v>10</v>
      </c>
    </row>
    <row r="10686" spans="1:7" ht="14.25" customHeight="1" x14ac:dyDescent="0.45">
      <c r="A10686" t="str">
        <f>_xlfn.XLOOKUP(B10686,Ingot!$H$12:$H$119,Ingot!$G$12:$G$119,"")</f>
        <v>Glass</v>
      </c>
      <c r="B10686" t="s">
        <v>21289</v>
      </c>
      <c r="C10686" t="s">
        <v>157</v>
      </c>
      <c r="D10686" t="s">
        <v>21476</v>
      </c>
      <c r="E10686" t="s">
        <v>21477</v>
      </c>
      <c r="G10686" s="1">
        <v>28.68</v>
      </c>
    </row>
    <row r="10687" spans="1:7" ht="14.25" customHeight="1" x14ac:dyDescent="0.45">
      <c r="A10687" t="str">
        <f>_xlfn.XLOOKUP(B10687,Ingot!$H$12:$H$119,Ingot!$G$12:$G$119,"")</f>
        <v>Glass</v>
      </c>
      <c r="B10687" t="s">
        <v>21289</v>
      </c>
      <c r="C10687" t="s">
        <v>157</v>
      </c>
      <c r="D10687" t="s">
        <v>21478</v>
      </c>
      <c r="E10687" t="s">
        <v>21479</v>
      </c>
      <c r="F10687" t="s">
        <v>180</v>
      </c>
      <c r="G10687" s="1">
        <v>5.74</v>
      </c>
    </row>
    <row r="10688" spans="1:7" ht="14.25" customHeight="1" x14ac:dyDescent="0.45">
      <c r="A10688" t="str">
        <f>_xlfn.XLOOKUP(B10688,Ingot!$H$12:$H$119,Ingot!$G$12:$G$119,"")</f>
        <v>Glass</v>
      </c>
      <c r="B10688" t="s">
        <v>21289</v>
      </c>
      <c r="C10688" t="s">
        <v>157</v>
      </c>
      <c r="D10688" t="s">
        <v>21480</v>
      </c>
      <c r="E10688" t="s">
        <v>21481</v>
      </c>
      <c r="F10688" t="s">
        <v>180</v>
      </c>
      <c r="G10688" s="1">
        <v>5.74</v>
      </c>
    </row>
    <row r="10689" spans="1:7" ht="14.25" customHeight="1" x14ac:dyDescent="0.45">
      <c r="A10689" t="str">
        <f>_xlfn.XLOOKUP(B10689,Ingot!$H$12:$H$119,Ingot!$G$12:$G$119,"")</f>
        <v>Glass</v>
      </c>
      <c r="B10689" t="s">
        <v>21289</v>
      </c>
      <c r="C10689" t="s">
        <v>157</v>
      </c>
      <c r="D10689" t="s">
        <v>21482</v>
      </c>
      <c r="E10689" t="s">
        <v>21483</v>
      </c>
      <c r="F10689" t="s">
        <v>180</v>
      </c>
      <c r="G10689" s="1">
        <v>5</v>
      </c>
    </row>
    <row r="10690" spans="1:7" ht="14.25" customHeight="1" x14ac:dyDescent="0.45">
      <c r="A10690" t="str">
        <f>_xlfn.XLOOKUP(B10690,Ingot!$H$12:$H$119,Ingot!$G$12:$G$119,"")</f>
        <v>Glass</v>
      </c>
      <c r="B10690" t="s">
        <v>21289</v>
      </c>
      <c r="C10690" t="s">
        <v>157</v>
      </c>
      <c r="D10690" t="s">
        <v>21484</v>
      </c>
      <c r="E10690" t="s">
        <v>21485</v>
      </c>
      <c r="G10690" s="1">
        <v>10</v>
      </c>
    </row>
    <row r="10691" spans="1:7" ht="14.25" customHeight="1" x14ac:dyDescent="0.45">
      <c r="A10691" t="str">
        <f>_xlfn.XLOOKUP(B10691,Ingot!$H$12:$H$119,Ingot!$G$12:$G$119,"")</f>
        <v>Glass</v>
      </c>
      <c r="B10691" t="s">
        <v>21289</v>
      </c>
      <c r="C10691" t="s">
        <v>157</v>
      </c>
      <c r="D10691" t="s">
        <v>21486</v>
      </c>
      <c r="E10691" t="s">
        <v>21487</v>
      </c>
      <c r="G10691" s="1">
        <v>33.18</v>
      </c>
    </row>
    <row r="10692" spans="1:7" ht="14.25" customHeight="1" x14ac:dyDescent="0.45">
      <c r="A10692" t="str">
        <f>_xlfn.XLOOKUP(B10692,Ingot!$H$12:$H$119,Ingot!$G$12:$G$119,"")</f>
        <v>Glass</v>
      </c>
      <c r="B10692" t="s">
        <v>21289</v>
      </c>
      <c r="C10692" t="s">
        <v>157</v>
      </c>
      <c r="D10692" t="s">
        <v>21488</v>
      </c>
      <c r="E10692" t="s">
        <v>21489</v>
      </c>
      <c r="G10692" s="1">
        <v>6.64</v>
      </c>
    </row>
    <row r="10693" spans="1:7" ht="14.25" customHeight="1" x14ac:dyDescent="0.45">
      <c r="A10693" t="str">
        <f>_xlfn.XLOOKUP(B10693,Ingot!$H$12:$H$119,Ingot!$G$12:$G$119,"")</f>
        <v>Glass</v>
      </c>
      <c r="B10693" t="s">
        <v>21289</v>
      </c>
      <c r="C10693" t="s">
        <v>157</v>
      </c>
      <c r="D10693" t="s">
        <v>21490</v>
      </c>
      <c r="E10693" t="s">
        <v>21491</v>
      </c>
      <c r="G10693" s="1">
        <v>6.64</v>
      </c>
    </row>
    <row r="10694" spans="1:7" ht="14.25" customHeight="1" x14ac:dyDescent="0.45">
      <c r="A10694" t="str">
        <f>_xlfn.XLOOKUP(B10694,Ingot!$H$12:$H$119,Ingot!$G$12:$G$119,"")</f>
        <v>Glass</v>
      </c>
      <c r="B10694" t="s">
        <v>21289</v>
      </c>
      <c r="C10694" t="s">
        <v>157</v>
      </c>
      <c r="D10694" t="s">
        <v>21492</v>
      </c>
      <c r="E10694" t="s">
        <v>21493</v>
      </c>
      <c r="G10694" s="1">
        <v>5</v>
      </c>
    </row>
    <row r="10695" spans="1:7" ht="14.25" customHeight="1" x14ac:dyDescent="0.45">
      <c r="A10695" t="str">
        <f>_xlfn.XLOOKUP(B10695,Ingot!$H$12:$H$119,Ingot!$G$12:$G$119,"")</f>
        <v>Glass</v>
      </c>
      <c r="B10695" t="s">
        <v>21289</v>
      </c>
      <c r="C10695" t="s">
        <v>157</v>
      </c>
      <c r="D10695" t="s">
        <v>21494</v>
      </c>
      <c r="E10695" t="s">
        <v>21495</v>
      </c>
      <c r="G10695" s="1">
        <v>10</v>
      </c>
    </row>
    <row r="10696" spans="1:7" ht="14.25" customHeight="1" x14ac:dyDescent="0.45">
      <c r="A10696" t="str">
        <f>_xlfn.XLOOKUP(B10696,Ingot!$H$12:$H$119,Ingot!$G$12:$G$119,"")</f>
        <v>Glass</v>
      </c>
      <c r="B10696" t="s">
        <v>21289</v>
      </c>
      <c r="C10696" t="s">
        <v>157</v>
      </c>
      <c r="D10696" t="s">
        <v>21496</v>
      </c>
      <c r="E10696" t="s">
        <v>21497</v>
      </c>
      <c r="G10696" s="1">
        <v>31.68</v>
      </c>
    </row>
    <row r="10697" spans="1:7" ht="14.25" customHeight="1" x14ac:dyDescent="0.45">
      <c r="A10697" t="str">
        <f>_xlfn.XLOOKUP(B10697,Ingot!$H$12:$H$119,Ingot!$G$12:$G$119,"")</f>
        <v>Glass</v>
      </c>
      <c r="B10697" t="s">
        <v>21289</v>
      </c>
      <c r="C10697" t="s">
        <v>157</v>
      </c>
      <c r="D10697" t="s">
        <v>21498</v>
      </c>
      <c r="E10697" t="s">
        <v>21499</v>
      </c>
      <c r="G10697" s="1">
        <v>6.34</v>
      </c>
    </row>
    <row r="10698" spans="1:7" ht="14.25" customHeight="1" x14ac:dyDescent="0.45">
      <c r="A10698" t="str">
        <f>_xlfn.XLOOKUP(B10698,Ingot!$H$12:$H$119,Ingot!$G$12:$G$119,"")</f>
        <v>Glass</v>
      </c>
      <c r="B10698" t="s">
        <v>21289</v>
      </c>
      <c r="C10698" t="s">
        <v>157</v>
      </c>
      <c r="D10698" t="s">
        <v>21500</v>
      </c>
      <c r="E10698" t="s">
        <v>21501</v>
      </c>
      <c r="G10698" s="1">
        <v>6.34</v>
      </c>
    </row>
    <row r="10699" spans="1:7" ht="14.25" customHeight="1" x14ac:dyDescent="0.45">
      <c r="A10699" t="str">
        <f>_xlfn.XLOOKUP(B10699,Ingot!$H$12:$H$119,Ingot!$G$12:$G$119,"")</f>
        <v>Glass</v>
      </c>
      <c r="B10699" t="s">
        <v>21289</v>
      </c>
      <c r="C10699" t="s">
        <v>157</v>
      </c>
      <c r="D10699" t="s">
        <v>21502</v>
      </c>
      <c r="E10699" t="s">
        <v>21503</v>
      </c>
      <c r="G10699" s="1">
        <v>5</v>
      </c>
    </row>
    <row r="10700" spans="1:7" ht="14.25" customHeight="1" x14ac:dyDescent="0.45">
      <c r="A10700" t="str">
        <f>_xlfn.XLOOKUP(B10700,Ingot!$H$12:$H$119,Ingot!$G$12:$G$119,"")</f>
        <v>Glass</v>
      </c>
      <c r="B10700" t="s">
        <v>21289</v>
      </c>
      <c r="C10700" t="s">
        <v>157</v>
      </c>
      <c r="D10700" t="s">
        <v>21504</v>
      </c>
      <c r="E10700" t="s">
        <v>21505</v>
      </c>
      <c r="G10700" s="1">
        <v>10</v>
      </c>
    </row>
    <row r="10701" spans="1:7" ht="14.25" customHeight="1" x14ac:dyDescent="0.45">
      <c r="A10701" t="str">
        <f>_xlfn.XLOOKUP(B10701,Ingot!$H$12:$H$119,Ingot!$G$12:$G$119,"")</f>
        <v>Glass</v>
      </c>
      <c r="B10701" t="s">
        <v>21289</v>
      </c>
      <c r="C10701" t="s">
        <v>157</v>
      </c>
      <c r="D10701" t="s">
        <v>21506</v>
      </c>
      <c r="E10701" t="s">
        <v>21507</v>
      </c>
      <c r="F10701" t="s">
        <v>180</v>
      </c>
      <c r="G10701" s="1">
        <v>24.18</v>
      </c>
    </row>
    <row r="10702" spans="1:7" ht="14.25" customHeight="1" x14ac:dyDescent="0.45">
      <c r="A10702" t="str">
        <f>_xlfn.XLOOKUP(B10702,Ingot!$H$12:$H$119,Ingot!$G$12:$G$119,"")</f>
        <v>Glass</v>
      </c>
      <c r="B10702" t="s">
        <v>21289</v>
      </c>
      <c r="C10702" t="s">
        <v>157</v>
      </c>
      <c r="D10702" t="s">
        <v>21508</v>
      </c>
      <c r="E10702" t="s">
        <v>21509</v>
      </c>
      <c r="F10702" t="s">
        <v>180</v>
      </c>
      <c r="G10702" s="1">
        <v>5</v>
      </c>
    </row>
    <row r="10703" spans="1:7" ht="14.25" customHeight="1" x14ac:dyDescent="0.45">
      <c r="A10703" t="str">
        <f>_xlfn.XLOOKUP(B10703,Ingot!$H$12:$H$119,Ingot!$G$12:$G$119,"")</f>
        <v>Glass</v>
      </c>
      <c r="B10703" t="s">
        <v>21289</v>
      </c>
      <c r="C10703" t="s">
        <v>157</v>
      </c>
      <c r="D10703" t="s">
        <v>21510</v>
      </c>
      <c r="E10703" t="s">
        <v>21511</v>
      </c>
      <c r="F10703" t="s">
        <v>180</v>
      </c>
      <c r="G10703" s="1">
        <v>5</v>
      </c>
    </row>
    <row r="10704" spans="1:7" ht="14.25" customHeight="1" x14ac:dyDescent="0.45">
      <c r="A10704" t="str">
        <f>_xlfn.XLOOKUP(B10704,Ingot!$H$12:$H$119,Ingot!$G$12:$G$119,"")</f>
        <v>Glass</v>
      </c>
      <c r="B10704" t="s">
        <v>21289</v>
      </c>
      <c r="C10704" t="s">
        <v>157</v>
      </c>
      <c r="D10704" t="s">
        <v>21512</v>
      </c>
      <c r="E10704" t="s">
        <v>21513</v>
      </c>
      <c r="F10704" t="s">
        <v>180</v>
      </c>
      <c r="G10704" s="1">
        <v>5</v>
      </c>
    </row>
    <row r="10705" spans="1:7" ht="14.25" customHeight="1" x14ac:dyDescent="0.45">
      <c r="A10705" t="str">
        <f>_xlfn.XLOOKUP(B10705,Ingot!$H$12:$H$119,Ingot!$G$12:$G$119,"")</f>
        <v>Glass</v>
      </c>
      <c r="B10705" t="s">
        <v>21289</v>
      </c>
      <c r="C10705" t="s">
        <v>157</v>
      </c>
      <c r="D10705" t="s">
        <v>21514</v>
      </c>
      <c r="E10705" t="s">
        <v>21515</v>
      </c>
      <c r="F10705" t="s">
        <v>180</v>
      </c>
      <c r="G10705" s="1">
        <v>10</v>
      </c>
    </row>
    <row r="10706" spans="1:7" ht="14.25" customHeight="1" x14ac:dyDescent="0.45">
      <c r="A10706" t="str">
        <f>_xlfn.XLOOKUP(B10706,Ingot!$H$12:$H$119,Ingot!$G$12:$G$119,"")</f>
        <v>Glass</v>
      </c>
      <c r="B10706" t="s">
        <v>21289</v>
      </c>
      <c r="C10706" t="s">
        <v>239</v>
      </c>
      <c r="D10706" t="s">
        <v>21516</v>
      </c>
      <c r="E10706" t="s">
        <v>21517</v>
      </c>
      <c r="G10706" s="1">
        <f>(VLOOKUP(B10706,Ingot!H:I,2,FALSE()) * 0.75) * 0.75</f>
        <v>8.15625</v>
      </c>
    </row>
    <row r="10707" spans="1:7" ht="14.25" customHeight="1" x14ac:dyDescent="0.45">
      <c r="A10707" t="str">
        <f>_xlfn.XLOOKUP(B10707,Ingot!$H$12:$H$119,Ingot!$G$12:$G$119,"")</f>
        <v>Glass</v>
      </c>
      <c r="B10707" t="s">
        <v>21289</v>
      </c>
      <c r="C10707" t="s">
        <v>239</v>
      </c>
      <c r="D10707" t="s">
        <v>21518</v>
      </c>
      <c r="E10707" t="s">
        <v>21519</v>
      </c>
      <c r="G10707" s="1">
        <f>((VLOOKUP(B10707,Ingot!H:I,2,FALSE()) * 3) - 10.25) * 0.421875</f>
        <v>14.02734375</v>
      </c>
    </row>
    <row r="10708" spans="1:7" ht="14.25" customHeight="1" x14ac:dyDescent="0.45">
      <c r="A10708" t="str">
        <f>_xlfn.XLOOKUP(B10708,Ingot!$H$12:$H$119,Ingot!$G$12:$G$119,"")</f>
        <v>Glass</v>
      </c>
      <c r="B10708" t="s">
        <v>21289</v>
      </c>
      <c r="C10708" t="s">
        <v>239</v>
      </c>
      <c r="D10708" t="s">
        <v>21520</v>
      </c>
      <c r="E10708" t="s">
        <v>21521</v>
      </c>
      <c r="G10708" s="1">
        <f>((VLOOKUP(B10708,Ingot!H:I,2,FALSE()) * 3) - 10.25) * 0.75</f>
        <v>24.9375</v>
      </c>
    </row>
    <row r="10709" spans="1:7" ht="14.25" customHeight="1" x14ac:dyDescent="0.45">
      <c r="A10709" t="str">
        <f>_xlfn.XLOOKUP(B10709,Ingot!$H$12:$H$119,Ingot!$G$12:$G$119,"")</f>
        <v>Glass</v>
      </c>
      <c r="B10709" t="s">
        <v>21289</v>
      </c>
      <c r="C10709" t="s">
        <v>239</v>
      </c>
      <c r="D10709" t="s">
        <v>21522</v>
      </c>
      <c r="E10709" t="s">
        <v>21523</v>
      </c>
      <c r="G10709" s="1">
        <f>((VLOOKUP(B10709,Ingot!H:I,2,FALSE()) * 3) - 10.25) * 0.5625</f>
        <v>18.703125</v>
      </c>
    </row>
    <row r="10710" spans="1:7" ht="14.25" customHeight="1" x14ac:dyDescent="0.45">
      <c r="A10710" t="str">
        <f>_xlfn.XLOOKUP(B10710,Ingot!$H$12:$H$119,Ingot!$G$12:$G$119,"")</f>
        <v>Glass</v>
      </c>
      <c r="B10710" t="s">
        <v>21289</v>
      </c>
      <c r="C10710" t="s">
        <v>239</v>
      </c>
      <c r="D10710" t="s">
        <v>21524</v>
      </c>
      <c r="E10710" t="s">
        <v>21525</v>
      </c>
      <c r="G10710" s="1">
        <f>VLOOKUP(B10710,Ingot!H:I,2,FALSE()) * 0.75</f>
        <v>10.875</v>
      </c>
    </row>
    <row r="10711" spans="1:7" ht="14.25" customHeight="1" x14ac:dyDescent="0.45">
      <c r="A10711" t="str">
        <f>_xlfn.XLOOKUP(B10711,Ingot!$H$12:$H$119,Ingot!$G$12:$G$119,"")</f>
        <v>Glass</v>
      </c>
      <c r="B10711" t="s">
        <v>21289</v>
      </c>
      <c r="C10711" t="s">
        <v>239</v>
      </c>
      <c r="D10711" t="s">
        <v>21526</v>
      </c>
      <c r="E10711" t="s">
        <v>21527</v>
      </c>
      <c r="G10711" s="1">
        <f>(VLOOKUP(B10711,Ingot!H:I,2,FALSE()) * 3) - 10.25</f>
        <v>33.25</v>
      </c>
    </row>
    <row r="10712" spans="1:7" ht="14.25" customHeight="1" x14ac:dyDescent="0.45">
      <c r="A10712" t="str">
        <f>_xlfn.XLOOKUP(B10712,Ingot!$H$12:$H$119,Ingot!$G$12:$G$119,"")</f>
        <v>Glass</v>
      </c>
      <c r="B10712" t="s">
        <v>21528</v>
      </c>
      <c r="C10712" t="s">
        <v>10</v>
      </c>
      <c r="D10712" t="s">
        <v>21529</v>
      </c>
      <c r="E10712" t="s">
        <v>21530</v>
      </c>
      <c r="G10712" s="1">
        <v>0.08</v>
      </c>
    </row>
    <row r="10713" spans="1:7" ht="14.25" customHeight="1" x14ac:dyDescent="0.45">
      <c r="A10713" t="str">
        <f>_xlfn.XLOOKUP(B10713,Ingot!$H$12:$H$119,Ingot!$G$12:$G$119,"")</f>
        <v>Glass</v>
      </c>
      <c r="B10713" t="s">
        <v>21528</v>
      </c>
      <c r="C10713" t="s">
        <v>10</v>
      </c>
      <c r="D10713" t="s">
        <v>21531</v>
      </c>
      <c r="E10713" t="s">
        <v>21532</v>
      </c>
      <c r="G10713" s="1">
        <v>9.9</v>
      </c>
    </row>
    <row r="10714" spans="1:7" ht="14.25" customHeight="1" x14ac:dyDescent="0.45">
      <c r="A10714" t="str">
        <f>_xlfn.XLOOKUP(B10714,Ingot!$H$12:$H$119,Ingot!$G$12:$G$119,"")</f>
        <v>Glass</v>
      </c>
      <c r="B10714" t="s">
        <v>21528</v>
      </c>
      <c r="C10714" t="s">
        <v>10</v>
      </c>
      <c r="D10714" t="s">
        <v>21533</v>
      </c>
      <c r="E10714" t="s">
        <v>21534</v>
      </c>
      <c r="G10714" s="1">
        <v>5.66</v>
      </c>
    </row>
    <row r="10715" spans="1:7" ht="14.25" customHeight="1" x14ac:dyDescent="0.45">
      <c r="A10715" t="str">
        <f>_xlfn.XLOOKUP(B10715,Ingot!$H$12:$H$119,Ingot!$G$12:$G$119,"")</f>
        <v>Glass</v>
      </c>
      <c r="B10715" t="s">
        <v>21528</v>
      </c>
      <c r="C10715" t="s">
        <v>10</v>
      </c>
      <c r="D10715" t="s">
        <v>21535</v>
      </c>
      <c r="E10715" t="s">
        <v>21536</v>
      </c>
      <c r="G10715" s="1">
        <v>3.3</v>
      </c>
    </row>
    <row r="10716" spans="1:7" ht="14.25" customHeight="1" x14ac:dyDescent="0.45">
      <c r="A10716" t="str">
        <f>_xlfn.XLOOKUP(B10716,Ingot!$H$12:$H$119,Ingot!$G$12:$G$119,"")</f>
        <v>Glass</v>
      </c>
      <c r="B10716" t="s">
        <v>21528</v>
      </c>
      <c r="C10716" t="s">
        <v>10</v>
      </c>
      <c r="D10716" t="s">
        <v>21537</v>
      </c>
      <c r="E10716" t="s">
        <v>21538</v>
      </c>
      <c r="G10716" s="1">
        <v>0.66</v>
      </c>
    </row>
    <row r="10717" spans="1:7" ht="14.25" customHeight="1" x14ac:dyDescent="0.45">
      <c r="A10717" t="str">
        <f>_xlfn.XLOOKUP(B10717,Ingot!$H$12:$H$119,Ingot!$G$12:$G$119,"")</f>
        <v>Glass</v>
      </c>
      <c r="B10717" t="s">
        <v>21528</v>
      </c>
      <c r="C10717" t="s">
        <v>10</v>
      </c>
      <c r="D10717" t="s">
        <v>21539</v>
      </c>
      <c r="E10717" t="s">
        <v>21540</v>
      </c>
      <c r="G10717" s="1">
        <v>0.04</v>
      </c>
    </row>
    <row r="10718" spans="1:7" ht="14.25" customHeight="1" x14ac:dyDescent="0.45">
      <c r="A10718" t="str">
        <f>_xlfn.XLOOKUP(B10718,Ingot!$H$12:$H$119,Ingot!$G$12:$G$119,"")</f>
        <v>Glass</v>
      </c>
      <c r="B10718" t="s">
        <v>21528</v>
      </c>
      <c r="C10718" t="s">
        <v>10</v>
      </c>
      <c r="D10718" t="s">
        <v>21541</v>
      </c>
      <c r="E10718" t="s">
        <v>21542</v>
      </c>
      <c r="G10718" s="1">
        <v>0.33</v>
      </c>
    </row>
    <row r="10719" spans="1:7" ht="14.25" customHeight="1" x14ac:dyDescent="0.45">
      <c r="A10719" t="str">
        <f>_xlfn.XLOOKUP(B10719,Ingot!$H$12:$H$119,Ingot!$G$12:$G$119,"")</f>
        <v>Glass</v>
      </c>
      <c r="B10719" t="s">
        <v>21528</v>
      </c>
      <c r="C10719" t="s">
        <v>10</v>
      </c>
      <c r="D10719" t="s">
        <v>21543</v>
      </c>
      <c r="E10719" t="s">
        <v>21544</v>
      </c>
    </row>
    <row r="10720" spans="1:7" ht="14.25" customHeight="1" x14ac:dyDescent="0.45">
      <c r="A10720" t="str">
        <f>_xlfn.XLOOKUP(B10720,Ingot!$H$12:$H$119,Ingot!$G$12:$G$119,"")</f>
        <v>Glass</v>
      </c>
      <c r="B10720" t="s">
        <v>21528</v>
      </c>
      <c r="C10720" t="s">
        <v>10</v>
      </c>
      <c r="D10720" t="s">
        <v>21545</v>
      </c>
      <c r="E10720" t="s">
        <v>21546</v>
      </c>
      <c r="G10720" s="1">
        <v>0.05</v>
      </c>
    </row>
    <row r="10721" spans="1:7" ht="14.25" customHeight="1" x14ac:dyDescent="0.45">
      <c r="A10721" t="str">
        <f>_xlfn.XLOOKUP(B10721,Ingot!$H$12:$H$119,Ingot!$G$12:$G$119,"")</f>
        <v>Glass</v>
      </c>
      <c r="B10721" t="s">
        <v>21528</v>
      </c>
      <c r="C10721" t="s">
        <v>10</v>
      </c>
      <c r="D10721" t="s">
        <v>21547</v>
      </c>
      <c r="E10721" t="s">
        <v>21548</v>
      </c>
      <c r="G10721" s="1">
        <v>0.66</v>
      </c>
    </row>
    <row r="10722" spans="1:7" ht="14.25" customHeight="1" x14ac:dyDescent="0.45">
      <c r="A10722" t="str">
        <f>_xlfn.XLOOKUP(B10722,Ingot!$H$12:$H$119,Ingot!$G$12:$G$119,"")</f>
        <v>Glass</v>
      </c>
      <c r="B10722" t="s">
        <v>21528</v>
      </c>
      <c r="C10722" t="s">
        <v>10</v>
      </c>
      <c r="D10722" t="s">
        <v>21549</v>
      </c>
      <c r="E10722" t="s">
        <v>21550</v>
      </c>
      <c r="G10722" s="1">
        <v>3.96</v>
      </c>
    </row>
    <row r="10723" spans="1:7" ht="14.25" customHeight="1" x14ac:dyDescent="0.45">
      <c r="A10723" t="str">
        <f>_xlfn.XLOOKUP(B10723,Ingot!$H$12:$H$119,Ingot!$G$12:$G$119,"")</f>
        <v>Glass</v>
      </c>
      <c r="B10723" t="s">
        <v>21528</v>
      </c>
      <c r="C10723" t="s">
        <v>10</v>
      </c>
      <c r="D10723" t="s">
        <v>21551</v>
      </c>
      <c r="E10723" t="s">
        <v>21552</v>
      </c>
      <c r="G10723" s="1">
        <v>8.77</v>
      </c>
    </row>
    <row r="10724" spans="1:7" ht="14.25" customHeight="1" x14ac:dyDescent="0.45">
      <c r="A10724" t="str">
        <f>_xlfn.XLOOKUP(B10724,Ingot!$H$12:$H$119,Ingot!$G$12:$G$119,"")</f>
        <v>Glass</v>
      </c>
      <c r="B10724" t="s">
        <v>21528</v>
      </c>
      <c r="C10724" t="s">
        <v>10</v>
      </c>
      <c r="D10724" t="s">
        <v>21553</v>
      </c>
      <c r="E10724" t="s">
        <v>21554</v>
      </c>
      <c r="G10724" s="1">
        <v>3.5</v>
      </c>
    </row>
    <row r="10725" spans="1:7" ht="14.25" customHeight="1" x14ac:dyDescent="0.45">
      <c r="A10725" t="str">
        <f>_xlfn.XLOOKUP(B10725,Ingot!$H$12:$H$119,Ingot!$G$12:$G$119,"")</f>
        <v>Glass</v>
      </c>
      <c r="B10725" t="s">
        <v>21528</v>
      </c>
      <c r="C10725" t="s">
        <v>10</v>
      </c>
      <c r="D10725" t="s">
        <v>21555</v>
      </c>
      <c r="E10725" t="s">
        <v>21556</v>
      </c>
    </row>
    <row r="10726" spans="1:7" ht="14.25" customHeight="1" x14ac:dyDescent="0.45">
      <c r="A10726" t="str">
        <f>_xlfn.XLOOKUP(B10726,Ingot!$H$12:$H$119,Ingot!$G$12:$G$119,"")</f>
        <v>Glass</v>
      </c>
      <c r="B10726" t="s">
        <v>21528</v>
      </c>
      <c r="C10726" t="s">
        <v>10</v>
      </c>
      <c r="D10726" t="s">
        <v>21557</v>
      </c>
      <c r="E10726" t="s">
        <v>21558</v>
      </c>
      <c r="G10726" s="1">
        <v>2.2000000000000002</v>
      </c>
    </row>
    <row r="10727" spans="1:7" ht="14.25" customHeight="1" x14ac:dyDescent="0.45">
      <c r="A10727" t="str">
        <f>_xlfn.XLOOKUP(B10727,Ingot!$H$12:$H$119,Ingot!$G$12:$G$119,"")</f>
        <v>Glass</v>
      </c>
      <c r="B10727" t="s">
        <v>21528</v>
      </c>
      <c r="C10727" t="s">
        <v>10</v>
      </c>
      <c r="D10727" t="s">
        <v>21559</v>
      </c>
      <c r="E10727" t="s">
        <v>21560</v>
      </c>
      <c r="G10727" s="1">
        <v>1.1000000000000001</v>
      </c>
    </row>
    <row r="10728" spans="1:7" ht="14.25" customHeight="1" x14ac:dyDescent="0.45">
      <c r="A10728" t="str">
        <f>_xlfn.XLOOKUP(B10728,Ingot!$H$12:$H$119,Ingot!$G$12:$G$119,"")</f>
        <v>Glass</v>
      </c>
      <c r="B10728" t="s">
        <v>21528</v>
      </c>
      <c r="C10728" t="s">
        <v>10</v>
      </c>
      <c r="D10728" t="s">
        <v>21561</v>
      </c>
      <c r="E10728" t="s">
        <v>21562</v>
      </c>
      <c r="G10728" s="1">
        <v>0.22</v>
      </c>
    </row>
    <row r="10729" spans="1:7" ht="14.25" customHeight="1" x14ac:dyDescent="0.45">
      <c r="A10729" t="str">
        <f>_xlfn.XLOOKUP(B10729,Ingot!$H$12:$H$119,Ingot!$G$12:$G$119,"")</f>
        <v>Glass</v>
      </c>
      <c r="B10729" t="s">
        <v>21528</v>
      </c>
      <c r="C10729" t="s">
        <v>10</v>
      </c>
      <c r="D10729" t="s">
        <v>21563</v>
      </c>
      <c r="E10729" t="s">
        <v>21564</v>
      </c>
      <c r="G10729" s="1">
        <v>8.41</v>
      </c>
    </row>
    <row r="10730" spans="1:7" ht="14.25" customHeight="1" x14ac:dyDescent="0.45">
      <c r="A10730" t="str">
        <f>_xlfn.XLOOKUP(B10730,Ingot!$H$12:$H$119,Ingot!$G$12:$G$119,"")</f>
        <v>Glass</v>
      </c>
      <c r="B10730" t="s">
        <v>21528</v>
      </c>
      <c r="C10730" t="s">
        <v>10</v>
      </c>
      <c r="D10730" t="s">
        <v>21565</v>
      </c>
      <c r="E10730" t="s">
        <v>21566</v>
      </c>
      <c r="G10730" s="1">
        <v>3.64</v>
      </c>
    </row>
    <row r="10731" spans="1:7" ht="14.25" customHeight="1" x14ac:dyDescent="0.45">
      <c r="A10731" t="str">
        <f>_xlfn.XLOOKUP(B10731,Ingot!$H$12:$H$119,Ingot!$G$12:$G$119,"")</f>
        <v>Glass</v>
      </c>
      <c r="B10731" t="s">
        <v>21528</v>
      </c>
      <c r="C10731" t="s">
        <v>10</v>
      </c>
      <c r="D10731" t="s">
        <v>21567</v>
      </c>
      <c r="E10731" t="s">
        <v>21568</v>
      </c>
      <c r="G10731" s="1">
        <v>7.05</v>
      </c>
    </row>
    <row r="10732" spans="1:7" ht="14.25" customHeight="1" x14ac:dyDescent="0.45">
      <c r="A10732" t="str">
        <f>_xlfn.XLOOKUP(B10732,Ingot!$H$12:$H$119,Ingot!$G$12:$G$119,"")</f>
        <v>Glass</v>
      </c>
      <c r="B10732" t="s">
        <v>21528</v>
      </c>
      <c r="C10732" t="s">
        <v>10</v>
      </c>
      <c r="D10732" t="s">
        <v>21569</v>
      </c>
      <c r="E10732" t="s">
        <v>21570</v>
      </c>
      <c r="G10732" s="1">
        <v>2.65</v>
      </c>
    </row>
    <row r="10733" spans="1:7" ht="14.25" customHeight="1" x14ac:dyDescent="0.45">
      <c r="A10733" t="str">
        <f>_xlfn.XLOOKUP(B10733,Ingot!$H$12:$H$119,Ingot!$G$12:$G$119,"")</f>
        <v>Glass</v>
      </c>
      <c r="B10733" t="s">
        <v>21528</v>
      </c>
      <c r="C10733" t="s">
        <v>10</v>
      </c>
      <c r="D10733" t="s">
        <v>21571</v>
      </c>
      <c r="E10733" t="s">
        <v>21572</v>
      </c>
      <c r="G10733" s="1">
        <v>9</v>
      </c>
    </row>
    <row r="10734" spans="1:7" ht="14.25" customHeight="1" x14ac:dyDescent="0.45">
      <c r="A10734" t="str">
        <f>_xlfn.XLOOKUP(B10734,Ingot!$H$12:$H$119,Ingot!$G$12:$G$119,"")</f>
        <v>Glass</v>
      </c>
      <c r="B10734" t="s">
        <v>21528</v>
      </c>
      <c r="C10734" t="s">
        <v>10</v>
      </c>
      <c r="D10734" t="s">
        <v>21573</v>
      </c>
      <c r="E10734" t="s">
        <v>21574</v>
      </c>
      <c r="G10734" s="1">
        <v>10.23</v>
      </c>
    </row>
    <row r="10735" spans="1:7" ht="14.25" customHeight="1" x14ac:dyDescent="0.45">
      <c r="A10735" t="str">
        <f>_xlfn.XLOOKUP(B10735,Ingot!$H$12:$H$119,Ingot!$G$12:$G$119,"")</f>
        <v>Glass</v>
      </c>
      <c r="B10735" t="s">
        <v>21528</v>
      </c>
      <c r="C10735" t="s">
        <v>10</v>
      </c>
      <c r="D10735" t="s">
        <v>21575</v>
      </c>
      <c r="E10735" t="s">
        <v>21576</v>
      </c>
      <c r="G10735" s="1">
        <v>7.7</v>
      </c>
    </row>
    <row r="10736" spans="1:7" ht="14.25" customHeight="1" x14ac:dyDescent="0.45">
      <c r="A10736" t="str">
        <f>_xlfn.XLOOKUP(B10736,Ingot!$H$12:$H$119,Ingot!$G$12:$G$119,"")</f>
        <v>Glass</v>
      </c>
      <c r="B10736" t="s">
        <v>21528</v>
      </c>
      <c r="C10736" t="s">
        <v>10</v>
      </c>
      <c r="D10736" t="s">
        <v>21577</v>
      </c>
      <c r="E10736" t="s">
        <v>21578</v>
      </c>
      <c r="G10736" s="1">
        <v>10.02</v>
      </c>
    </row>
    <row r="10737" spans="1:7" ht="14.25" customHeight="1" x14ac:dyDescent="0.45">
      <c r="A10737" t="str">
        <f>_xlfn.XLOOKUP(B10737,Ingot!$H$12:$H$119,Ingot!$G$12:$G$119,"")</f>
        <v>Glass</v>
      </c>
      <c r="B10737" t="s">
        <v>21528</v>
      </c>
      <c r="C10737" t="s">
        <v>10</v>
      </c>
      <c r="D10737" t="s">
        <v>21579</v>
      </c>
      <c r="E10737" t="s">
        <v>21580</v>
      </c>
      <c r="G10737" s="1">
        <v>11.81</v>
      </c>
    </row>
    <row r="10738" spans="1:7" ht="14.25" customHeight="1" x14ac:dyDescent="0.45">
      <c r="A10738" t="str">
        <f>_xlfn.XLOOKUP(B10738,Ingot!$H$12:$H$119,Ingot!$G$12:$G$119,"")</f>
        <v>Glass</v>
      </c>
      <c r="B10738" t="s">
        <v>21528</v>
      </c>
      <c r="C10738" t="s">
        <v>10</v>
      </c>
      <c r="D10738" t="s">
        <v>21581</v>
      </c>
      <c r="E10738" t="s">
        <v>21582</v>
      </c>
      <c r="G10738" s="1">
        <v>8.44</v>
      </c>
    </row>
    <row r="10739" spans="1:7" ht="14.25" customHeight="1" x14ac:dyDescent="0.45">
      <c r="A10739" t="str">
        <f>_xlfn.XLOOKUP(B10739,Ingot!$H$12:$H$119,Ingot!$G$12:$G$119,"")</f>
        <v>Glass</v>
      </c>
      <c r="B10739" t="s">
        <v>21528</v>
      </c>
      <c r="C10739" t="s">
        <v>10</v>
      </c>
      <c r="D10739" t="s">
        <v>21583</v>
      </c>
      <c r="E10739" t="s">
        <v>21584</v>
      </c>
      <c r="G10739" s="1">
        <v>10.42</v>
      </c>
    </row>
    <row r="10740" spans="1:7" ht="14.25" customHeight="1" x14ac:dyDescent="0.45">
      <c r="A10740" t="str">
        <f>_xlfn.XLOOKUP(B10740,Ingot!$H$12:$H$119,Ingot!$G$12:$G$119,"")</f>
        <v>Glass</v>
      </c>
      <c r="B10740" t="s">
        <v>21528</v>
      </c>
      <c r="C10740" t="s">
        <v>10</v>
      </c>
      <c r="D10740" t="s">
        <v>21585</v>
      </c>
      <c r="E10740" t="s">
        <v>21586</v>
      </c>
    </row>
    <row r="10741" spans="1:7" ht="14.25" customHeight="1" x14ac:dyDescent="0.45">
      <c r="A10741" t="str">
        <f>_xlfn.XLOOKUP(B10741,Ingot!$H$12:$H$119,Ingot!$G$12:$G$119,"")</f>
        <v>Glass</v>
      </c>
      <c r="B10741" t="s">
        <v>21528</v>
      </c>
      <c r="C10741" t="s">
        <v>10</v>
      </c>
      <c r="D10741" t="s">
        <v>21587</v>
      </c>
      <c r="E10741" t="s">
        <v>21588</v>
      </c>
      <c r="G10741" s="1">
        <v>7.96</v>
      </c>
    </row>
    <row r="10742" spans="1:7" ht="14.25" customHeight="1" x14ac:dyDescent="0.45">
      <c r="A10742" t="str">
        <f>_xlfn.XLOOKUP(B10742,Ingot!$H$12:$H$119,Ingot!$G$12:$G$119,"")</f>
        <v>Glass</v>
      </c>
      <c r="B10742" t="s">
        <v>21528</v>
      </c>
      <c r="C10742" t="s">
        <v>10</v>
      </c>
      <c r="D10742" t="s">
        <v>21589</v>
      </c>
      <c r="E10742" t="s">
        <v>21590</v>
      </c>
      <c r="G10742" s="1">
        <v>9.64</v>
      </c>
    </row>
    <row r="10743" spans="1:7" ht="14.25" customHeight="1" x14ac:dyDescent="0.45">
      <c r="A10743" t="str">
        <f>_xlfn.XLOOKUP(B10743,Ingot!$H$12:$H$119,Ingot!$G$12:$G$119,"")</f>
        <v>Glass</v>
      </c>
      <c r="B10743" t="s">
        <v>21528</v>
      </c>
      <c r="C10743" t="s">
        <v>10</v>
      </c>
      <c r="D10743" t="s">
        <v>21591</v>
      </c>
      <c r="E10743" t="s">
        <v>21592</v>
      </c>
      <c r="G10743" s="1">
        <v>7.94</v>
      </c>
    </row>
    <row r="10744" spans="1:7" ht="14.25" customHeight="1" x14ac:dyDescent="0.45">
      <c r="A10744" t="str">
        <f>_xlfn.XLOOKUP(B10744,Ingot!$H$12:$H$119,Ingot!$G$12:$G$119,"")</f>
        <v>Glass</v>
      </c>
      <c r="B10744" t="s">
        <v>21528</v>
      </c>
      <c r="C10744" t="s">
        <v>10</v>
      </c>
      <c r="D10744" t="s">
        <v>21593</v>
      </c>
      <c r="E10744" t="s">
        <v>21594</v>
      </c>
      <c r="G10744" s="1">
        <v>8.66</v>
      </c>
    </row>
    <row r="10745" spans="1:7" ht="14.25" customHeight="1" x14ac:dyDescent="0.45">
      <c r="A10745" t="str">
        <f>_xlfn.XLOOKUP(B10745,Ingot!$H$12:$H$119,Ingot!$G$12:$G$119,"")</f>
        <v>Glass</v>
      </c>
      <c r="B10745" t="s">
        <v>21528</v>
      </c>
      <c r="C10745" t="s">
        <v>10</v>
      </c>
      <c r="D10745" t="s">
        <v>21595</v>
      </c>
      <c r="E10745" t="s">
        <v>21596</v>
      </c>
    </row>
    <row r="10746" spans="1:7" ht="14.25" customHeight="1" x14ac:dyDescent="0.45">
      <c r="A10746" t="str">
        <f>_xlfn.XLOOKUP(B10746,Ingot!$H$12:$H$119,Ingot!$G$12:$G$119,"")</f>
        <v>Glass</v>
      </c>
      <c r="B10746" t="s">
        <v>21528</v>
      </c>
      <c r="C10746" t="s">
        <v>10</v>
      </c>
      <c r="D10746" t="s">
        <v>21597</v>
      </c>
      <c r="E10746" t="s">
        <v>21598</v>
      </c>
      <c r="G10746" s="1">
        <v>2.65</v>
      </c>
    </row>
    <row r="10747" spans="1:7" ht="14.25" customHeight="1" x14ac:dyDescent="0.45">
      <c r="A10747" t="str">
        <f>_xlfn.XLOOKUP(B10747,Ingot!$H$12:$H$119,Ingot!$G$12:$G$119,"")</f>
        <v>Glass</v>
      </c>
      <c r="B10747" t="s">
        <v>21528</v>
      </c>
      <c r="C10747" t="s">
        <v>10</v>
      </c>
      <c r="D10747" t="s">
        <v>21599</v>
      </c>
      <c r="E10747" t="s">
        <v>21600</v>
      </c>
    </row>
    <row r="10748" spans="1:7" ht="14.25" customHeight="1" x14ac:dyDescent="0.45">
      <c r="A10748" t="str">
        <f>_xlfn.XLOOKUP(B10748,Ingot!$H$12:$H$119,Ingot!$G$12:$G$119,"")</f>
        <v>Glass</v>
      </c>
      <c r="B10748" t="s">
        <v>21528</v>
      </c>
      <c r="C10748" t="s">
        <v>10</v>
      </c>
      <c r="D10748" t="s">
        <v>21601</v>
      </c>
      <c r="E10748" t="s">
        <v>21602</v>
      </c>
      <c r="G10748" s="1">
        <v>12.64</v>
      </c>
    </row>
    <row r="10749" spans="1:7" ht="14.25" customHeight="1" x14ac:dyDescent="0.45">
      <c r="A10749" t="str">
        <f>_xlfn.XLOOKUP(B10749,Ingot!$H$12:$H$119,Ingot!$G$12:$G$119,"")</f>
        <v>Glass</v>
      </c>
      <c r="B10749" t="s">
        <v>21528</v>
      </c>
      <c r="C10749" t="s">
        <v>10</v>
      </c>
      <c r="D10749" t="s">
        <v>21603</v>
      </c>
      <c r="E10749" t="s">
        <v>21604</v>
      </c>
      <c r="G10749" s="1">
        <v>22.67</v>
      </c>
    </row>
    <row r="10750" spans="1:7" ht="14.25" customHeight="1" x14ac:dyDescent="0.45">
      <c r="A10750" t="str">
        <f>_xlfn.XLOOKUP(B10750,Ingot!$H$12:$H$119,Ingot!$G$12:$G$119,"")</f>
        <v>Glass</v>
      </c>
      <c r="B10750" t="s">
        <v>21528</v>
      </c>
      <c r="C10750" t="s">
        <v>10</v>
      </c>
      <c r="D10750" t="s">
        <v>21605</v>
      </c>
      <c r="E10750" t="s">
        <v>21606</v>
      </c>
      <c r="G10750" s="1">
        <v>8.3800000000000008</v>
      </c>
    </row>
    <row r="10751" spans="1:7" ht="14.25" customHeight="1" x14ac:dyDescent="0.45">
      <c r="A10751" t="str">
        <f>_xlfn.XLOOKUP(B10751,Ingot!$H$12:$H$119,Ingot!$G$12:$G$119,"")</f>
        <v>Glass</v>
      </c>
      <c r="B10751" t="s">
        <v>21528</v>
      </c>
      <c r="C10751" t="s">
        <v>10</v>
      </c>
      <c r="D10751" t="s">
        <v>21607</v>
      </c>
      <c r="E10751" t="s">
        <v>21608</v>
      </c>
      <c r="G10751" s="1">
        <v>2.2000000000000002</v>
      </c>
    </row>
    <row r="10752" spans="1:7" ht="14.25" customHeight="1" x14ac:dyDescent="0.45">
      <c r="A10752" t="str">
        <f>_xlfn.XLOOKUP(B10752,Ingot!$H$12:$H$119,Ingot!$G$12:$G$119,"")</f>
        <v>Glass</v>
      </c>
      <c r="B10752" t="s">
        <v>21528</v>
      </c>
      <c r="C10752" t="s">
        <v>10</v>
      </c>
      <c r="D10752" t="s">
        <v>21609</v>
      </c>
      <c r="E10752" t="s">
        <v>21610</v>
      </c>
      <c r="G10752" s="1">
        <v>3.09</v>
      </c>
    </row>
    <row r="10753" spans="1:7" ht="14.25" customHeight="1" x14ac:dyDescent="0.45">
      <c r="A10753" t="str">
        <f>_xlfn.XLOOKUP(B10753,Ingot!$H$12:$H$119,Ingot!$G$12:$G$119,"")</f>
        <v>Glass</v>
      </c>
      <c r="B10753" t="s">
        <v>21528</v>
      </c>
      <c r="C10753" t="s">
        <v>10</v>
      </c>
      <c r="D10753" t="s">
        <v>21611</v>
      </c>
      <c r="E10753" t="s">
        <v>21612</v>
      </c>
      <c r="G10753" s="1">
        <v>2.2999999999999998</v>
      </c>
    </row>
    <row r="10754" spans="1:7" ht="14.25" customHeight="1" x14ac:dyDescent="0.45">
      <c r="A10754" t="str">
        <f>_xlfn.XLOOKUP(B10754,Ingot!$H$12:$H$119,Ingot!$G$12:$G$119,"")</f>
        <v>Glass</v>
      </c>
      <c r="B10754" t="s">
        <v>21528</v>
      </c>
      <c r="C10754" t="s">
        <v>10</v>
      </c>
      <c r="D10754" t="s">
        <v>21613</v>
      </c>
      <c r="E10754" t="s">
        <v>21614</v>
      </c>
      <c r="G10754" s="1">
        <v>4.88</v>
      </c>
    </row>
    <row r="10755" spans="1:7" ht="14.25" customHeight="1" x14ac:dyDescent="0.45">
      <c r="A10755" t="str">
        <f>_xlfn.XLOOKUP(B10755,Ingot!$H$12:$H$119,Ingot!$G$12:$G$119,"")</f>
        <v>Glass</v>
      </c>
      <c r="B10755" t="s">
        <v>21528</v>
      </c>
      <c r="C10755" t="s">
        <v>10</v>
      </c>
      <c r="D10755" t="s">
        <v>21615</v>
      </c>
      <c r="E10755" t="s">
        <v>21616</v>
      </c>
      <c r="G10755" s="1">
        <v>8.43</v>
      </c>
    </row>
    <row r="10756" spans="1:7" ht="14.25" customHeight="1" x14ac:dyDescent="0.45">
      <c r="A10756" t="str">
        <f>_xlfn.XLOOKUP(B10756,Ingot!$H$12:$H$119,Ingot!$G$12:$G$119,"")</f>
        <v>Glass</v>
      </c>
      <c r="B10756" t="s">
        <v>21528</v>
      </c>
      <c r="C10756" t="s">
        <v>10</v>
      </c>
      <c r="D10756" t="s">
        <v>21617</v>
      </c>
      <c r="E10756" t="s">
        <v>21618</v>
      </c>
      <c r="G10756" s="1">
        <v>13.07</v>
      </c>
    </row>
    <row r="10757" spans="1:7" ht="14.25" customHeight="1" x14ac:dyDescent="0.45">
      <c r="A10757" t="str">
        <f>_xlfn.XLOOKUP(B10757,Ingot!$H$12:$H$119,Ingot!$G$12:$G$119,"")</f>
        <v>Glass</v>
      </c>
      <c r="B10757" t="s">
        <v>21528</v>
      </c>
      <c r="C10757" t="s">
        <v>10</v>
      </c>
      <c r="D10757" t="s">
        <v>21619</v>
      </c>
      <c r="E10757" t="s">
        <v>21620</v>
      </c>
    </row>
    <row r="10758" spans="1:7" ht="14.25" customHeight="1" x14ac:dyDescent="0.45">
      <c r="A10758" t="str">
        <f>_xlfn.XLOOKUP(B10758,Ingot!$H$12:$H$119,Ingot!$G$12:$G$119,"")</f>
        <v>Glass</v>
      </c>
      <c r="B10758" t="s">
        <v>21528</v>
      </c>
      <c r="C10758" t="s">
        <v>10</v>
      </c>
      <c r="D10758" t="s">
        <v>21621</v>
      </c>
      <c r="E10758" t="s">
        <v>21622</v>
      </c>
    </row>
    <row r="10759" spans="1:7" ht="14.25" customHeight="1" x14ac:dyDescent="0.45">
      <c r="A10759" t="str">
        <f>_xlfn.XLOOKUP(B10759,Ingot!$H$12:$H$119,Ingot!$G$12:$G$119,"")</f>
        <v>Glass</v>
      </c>
      <c r="B10759" t="s">
        <v>21528</v>
      </c>
      <c r="C10759" t="s">
        <v>10</v>
      </c>
      <c r="D10759" t="s">
        <v>21623</v>
      </c>
      <c r="E10759" t="s">
        <v>21624</v>
      </c>
      <c r="G10759" s="1">
        <v>6.8</v>
      </c>
    </row>
    <row r="10760" spans="1:7" ht="14.25" customHeight="1" x14ac:dyDescent="0.45">
      <c r="A10760" t="str">
        <f>_xlfn.XLOOKUP(B10760,Ingot!$H$12:$H$119,Ingot!$G$12:$G$119,"")</f>
        <v>Glass</v>
      </c>
      <c r="B10760" t="s">
        <v>21528</v>
      </c>
      <c r="C10760" t="s">
        <v>10</v>
      </c>
      <c r="D10760" t="s">
        <v>21625</v>
      </c>
      <c r="E10760" t="s">
        <v>21626</v>
      </c>
      <c r="G10760" s="1">
        <v>6.88</v>
      </c>
    </row>
    <row r="10761" spans="1:7" ht="14.25" customHeight="1" x14ac:dyDescent="0.45">
      <c r="A10761" t="str">
        <f>_xlfn.XLOOKUP(B10761,Ingot!$H$12:$H$119,Ingot!$G$12:$G$119,"")</f>
        <v>Glass</v>
      </c>
      <c r="B10761" t="s">
        <v>21528</v>
      </c>
      <c r="C10761" t="s">
        <v>10</v>
      </c>
      <c r="D10761" t="s">
        <v>21627</v>
      </c>
      <c r="E10761" t="s">
        <v>21628</v>
      </c>
      <c r="G10761" s="1">
        <v>5.5</v>
      </c>
    </row>
    <row r="10762" spans="1:7" ht="14.25" customHeight="1" x14ac:dyDescent="0.45">
      <c r="A10762" t="str">
        <f>_xlfn.XLOOKUP(B10762,Ingot!$H$12:$H$119,Ingot!$G$12:$G$119,"")</f>
        <v>Glass</v>
      </c>
      <c r="B10762" t="s">
        <v>21528</v>
      </c>
      <c r="C10762" t="s">
        <v>10</v>
      </c>
      <c r="D10762" t="s">
        <v>21629</v>
      </c>
      <c r="E10762" t="s">
        <v>21630</v>
      </c>
      <c r="G10762" s="1">
        <v>2.4300000000000002</v>
      </c>
    </row>
    <row r="10763" spans="1:7" ht="14.25" customHeight="1" x14ac:dyDescent="0.45">
      <c r="A10763" t="str">
        <f>_xlfn.XLOOKUP(B10763,Ingot!$H$12:$H$119,Ingot!$G$12:$G$119,"")</f>
        <v>Glass</v>
      </c>
      <c r="B10763" t="s">
        <v>21528</v>
      </c>
      <c r="C10763" t="s">
        <v>10</v>
      </c>
      <c r="D10763" t="s">
        <v>21631</v>
      </c>
      <c r="E10763" t="s">
        <v>21632</v>
      </c>
      <c r="G10763" s="1">
        <v>6.96</v>
      </c>
    </row>
    <row r="10764" spans="1:7" ht="14.25" customHeight="1" x14ac:dyDescent="0.45">
      <c r="A10764" t="str">
        <f>_xlfn.XLOOKUP(B10764,Ingot!$H$12:$H$119,Ingot!$G$12:$G$119,"")</f>
        <v>Glass</v>
      </c>
      <c r="B10764" t="s">
        <v>21528</v>
      </c>
      <c r="C10764" t="s">
        <v>10</v>
      </c>
      <c r="D10764" t="s">
        <v>21633</v>
      </c>
      <c r="E10764" t="s">
        <v>21634</v>
      </c>
      <c r="G10764" s="1">
        <v>6.32</v>
      </c>
    </row>
    <row r="10765" spans="1:7" ht="14.25" customHeight="1" x14ac:dyDescent="0.45">
      <c r="A10765" t="str">
        <f>_xlfn.XLOOKUP(B10765,Ingot!$H$12:$H$119,Ingot!$G$12:$G$119,"")</f>
        <v>Glass</v>
      </c>
      <c r="B10765" t="s">
        <v>21528</v>
      </c>
      <c r="C10765" t="s">
        <v>10</v>
      </c>
      <c r="D10765" t="s">
        <v>21635</v>
      </c>
      <c r="E10765" t="s">
        <v>21636</v>
      </c>
      <c r="G10765" s="1">
        <v>6.88</v>
      </c>
    </row>
    <row r="10766" spans="1:7" ht="14.25" customHeight="1" x14ac:dyDescent="0.45">
      <c r="A10766" t="str">
        <f>_xlfn.XLOOKUP(B10766,Ingot!$H$12:$H$119,Ingot!$G$12:$G$119,"")</f>
        <v>Glass</v>
      </c>
      <c r="B10766" t="s">
        <v>21528</v>
      </c>
      <c r="C10766" t="s">
        <v>10</v>
      </c>
      <c r="D10766" t="s">
        <v>21637</v>
      </c>
      <c r="E10766" t="s">
        <v>21638</v>
      </c>
      <c r="G10766" s="1">
        <v>2.44</v>
      </c>
    </row>
    <row r="10767" spans="1:7" ht="14.25" customHeight="1" x14ac:dyDescent="0.45">
      <c r="A10767" t="str">
        <f>_xlfn.XLOOKUP(B10767,Ingot!$H$12:$H$119,Ingot!$G$12:$G$119,"")</f>
        <v>Glass</v>
      </c>
      <c r="B10767" t="s">
        <v>21528</v>
      </c>
      <c r="C10767" t="s">
        <v>10</v>
      </c>
      <c r="D10767" t="s">
        <v>21639</v>
      </c>
      <c r="E10767" t="s">
        <v>21640</v>
      </c>
    </row>
    <row r="10768" spans="1:7" ht="14.25" customHeight="1" x14ac:dyDescent="0.45">
      <c r="A10768" t="str">
        <f>_xlfn.XLOOKUP(B10768,Ingot!$H$12:$H$119,Ingot!$G$12:$G$119,"")</f>
        <v>Glass</v>
      </c>
      <c r="B10768" t="s">
        <v>21528</v>
      </c>
      <c r="C10768" t="s">
        <v>10</v>
      </c>
      <c r="D10768" t="s">
        <v>21641</v>
      </c>
      <c r="E10768" t="s">
        <v>21642</v>
      </c>
    </row>
    <row r="10769" spans="1:7" ht="14.25" customHeight="1" x14ac:dyDescent="0.45">
      <c r="A10769" t="str">
        <f>_xlfn.XLOOKUP(B10769,Ingot!$H$12:$H$119,Ingot!$G$12:$G$119,"")</f>
        <v>Glass</v>
      </c>
      <c r="B10769" t="s">
        <v>21528</v>
      </c>
      <c r="C10769" t="s">
        <v>10</v>
      </c>
      <c r="D10769" t="s">
        <v>21643</v>
      </c>
      <c r="E10769" t="s">
        <v>21644</v>
      </c>
      <c r="G10769" s="1">
        <v>3.11</v>
      </c>
    </row>
    <row r="10770" spans="1:7" ht="14.25" customHeight="1" x14ac:dyDescent="0.45">
      <c r="A10770" t="str">
        <f>_xlfn.XLOOKUP(B10770,Ingot!$H$12:$H$119,Ingot!$G$12:$G$119,"")</f>
        <v>Glass</v>
      </c>
      <c r="B10770" t="s">
        <v>21528</v>
      </c>
      <c r="C10770" t="s">
        <v>10</v>
      </c>
      <c r="D10770" t="s">
        <v>21645</v>
      </c>
      <c r="E10770" t="s">
        <v>21646</v>
      </c>
      <c r="G10770" s="1">
        <v>2.44</v>
      </c>
    </row>
    <row r="10771" spans="1:7" ht="14.25" customHeight="1" x14ac:dyDescent="0.45">
      <c r="A10771" t="str">
        <f>_xlfn.XLOOKUP(B10771,Ingot!$H$12:$H$119,Ingot!$G$12:$G$119,"")</f>
        <v>Glass</v>
      </c>
      <c r="B10771" t="s">
        <v>21528</v>
      </c>
      <c r="C10771" t="s">
        <v>10</v>
      </c>
      <c r="D10771" t="s">
        <v>21647</v>
      </c>
      <c r="E10771" t="s">
        <v>21648</v>
      </c>
      <c r="G10771" s="1">
        <v>8.61</v>
      </c>
    </row>
    <row r="10772" spans="1:7" ht="14.25" customHeight="1" x14ac:dyDescent="0.45">
      <c r="A10772" t="str">
        <f>_xlfn.XLOOKUP(B10772,Ingot!$H$12:$H$119,Ingot!$G$12:$G$119,"")</f>
        <v>Glass</v>
      </c>
      <c r="B10772" t="s">
        <v>21528</v>
      </c>
      <c r="C10772" t="s">
        <v>10</v>
      </c>
      <c r="D10772" t="s">
        <v>21649</v>
      </c>
      <c r="E10772" t="s">
        <v>21650</v>
      </c>
    </row>
    <row r="10773" spans="1:7" ht="14.25" customHeight="1" x14ac:dyDescent="0.45">
      <c r="A10773" t="str">
        <f>_xlfn.XLOOKUP(B10773,Ingot!$H$12:$H$119,Ingot!$G$12:$G$119,"")</f>
        <v>Glass</v>
      </c>
      <c r="B10773" t="s">
        <v>21528</v>
      </c>
      <c r="C10773" t="s">
        <v>10</v>
      </c>
      <c r="D10773" t="s">
        <v>21651</v>
      </c>
      <c r="E10773" t="s">
        <v>21652</v>
      </c>
      <c r="G10773" s="1">
        <v>3.21</v>
      </c>
    </row>
    <row r="10774" spans="1:7" ht="14.25" customHeight="1" x14ac:dyDescent="0.45">
      <c r="A10774" t="str">
        <f>_xlfn.XLOOKUP(B10774,Ingot!$H$12:$H$119,Ingot!$G$12:$G$119,"")</f>
        <v>Glass</v>
      </c>
      <c r="B10774" t="s">
        <v>21528</v>
      </c>
      <c r="C10774" t="s">
        <v>10</v>
      </c>
      <c r="D10774" t="s">
        <v>21653</v>
      </c>
      <c r="E10774" t="s">
        <v>21654</v>
      </c>
      <c r="G10774" s="1">
        <v>2.77</v>
      </c>
    </row>
    <row r="10775" spans="1:7" ht="14.25" customHeight="1" x14ac:dyDescent="0.45">
      <c r="A10775" t="str">
        <f>_xlfn.XLOOKUP(B10775,Ingot!$H$12:$H$119,Ingot!$G$12:$G$119,"")</f>
        <v>Glass</v>
      </c>
      <c r="B10775" t="s">
        <v>21528</v>
      </c>
      <c r="C10775" t="s">
        <v>10</v>
      </c>
      <c r="D10775" t="s">
        <v>21655</v>
      </c>
      <c r="E10775" t="s">
        <v>21656</v>
      </c>
      <c r="G10775" s="1">
        <v>4.8899999999999997</v>
      </c>
    </row>
    <row r="10776" spans="1:7" ht="14.25" customHeight="1" x14ac:dyDescent="0.45">
      <c r="A10776" t="str">
        <f>_xlfn.XLOOKUP(B10776,Ingot!$H$12:$H$119,Ingot!$G$12:$G$119,"")</f>
        <v>Glass</v>
      </c>
      <c r="B10776" t="s">
        <v>21528</v>
      </c>
      <c r="C10776" t="s">
        <v>10</v>
      </c>
      <c r="D10776" t="s">
        <v>21657</v>
      </c>
      <c r="E10776" t="s">
        <v>21658</v>
      </c>
      <c r="G10776" s="1">
        <v>1.76</v>
      </c>
    </row>
    <row r="10777" spans="1:7" ht="14.25" customHeight="1" x14ac:dyDescent="0.45">
      <c r="A10777" t="str">
        <f>_xlfn.XLOOKUP(B10777,Ingot!$H$12:$H$119,Ingot!$G$12:$G$119,"")</f>
        <v>Glass</v>
      </c>
      <c r="B10777" t="s">
        <v>21528</v>
      </c>
      <c r="C10777" t="s">
        <v>10</v>
      </c>
      <c r="D10777" t="s">
        <v>21659</v>
      </c>
      <c r="E10777" t="s">
        <v>21660</v>
      </c>
    </row>
    <row r="10778" spans="1:7" ht="14.25" customHeight="1" x14ac:dyDescent="0.45">
      <c r="A10778" t="str">
        <f>_xlfn.XLOOKUP(B10778,Ingot!$H$12:$H$119,Ingot!$G$12:$G$119,"")</f>
        <v>Glass</v>
      </c>
      <c r="B10778" t="s">
        <v>21528</v>
      </c>
      <c r="C10778" t="s">
        <v>10</v>
      </c>
      <c r="D10778" t="s">
        <v>21661</v>
      </c>
      <c r="E10778" t="s">
        <v>21662</v>
      </c>
      <c r="G10778" s="1">
        <v>8.57</v>
      </c>
    </row>
    <row r="10779" spans="1:7" ht="14.25" customHeight="1" x14ac:dyDescent="0.45">
      <c r="A10779" t="str">
        <f>_xlfn.XLOOKUP(B10779,Ingot!$H$12:$H$119,Ingot!$G$12:$G$119,"")</f>
        <v>Glass</v>
      </c>
      <c r="B10779" t="s">
        <v>21528</v>
      </c>
      <c r="C10779" t="s">
        <v>10</v>
      </c>
      <c r="D10779" t="s">
        <v>21663</v>
      </c>
      <c r="E10779" t="s">
        <v>21664</v>
      </c>
    </row>
    <row r="10780" spans="1:7" ht="14.25" customHeight="1" x14ac:dyDescent="0.45">
      <c r="A10780" t="str">
        <f>_xlfn.XLOOKUP(B10780,Ingot!$H$12:$H$119,Ingot!$G$12:$G$119,"")</f>
        <v>Glass</v>
      </c>
      <c r="B10780" t="s">
        <v>21528</v>
      </c>
      <c r="C10780" t="s">
        <v>10</v>
      </c>
      <c r="D10780" t="s">
        <v>21665</v>
      </c>
      <c r="E10780" t="s">
        <v>21666</v>
      </c>
      <c r="G10780" s="1">
        <v>3.56</v>
      </c>
    </row>
    <row r="10781" spans="1:7" ht="14.25" customHeight="1" x14ac:dyDescent="0.45">
      <c r="A10781" t="str">
        <f>_xlfn.XLOOKUP(B10781,Ingot!$H$12:$H$119,Ingot!$G$12:$G$119,"")</f>
        <v>Glass</v>
      </c>
      <c r="B10781" t="s">
        <v>21528</v>
      </c>
      <c r="C10781" t="s">
        <v>10</v>
      </c>
      <c r="D10781" t="s">
        <v>21667</v>
      </c>
      <c r="E10781" t="s">
        <v>21668</v>
      </c>
      <c r="G10781" s="1">
        <v>8.91</v>
      </c>
    </row>
    <row r="10782" spans="1:7" ht="14.25" customHeight="1" x14ac:dyDescent="0.45">
      <c r="A10782" t="str">
        <f>_xlfn.XLOOKUP(B10782,Ingot!$H$12:$H$119,Ingot!$G$12:$G$119,"")</f>
        <v>Glass</v>
      </c>
      <c r="B10782" t="s">
        <v>21528</v>
      </c>
      <c r="C10782" t="s">
        <v>10</v>
      </c>
      <c r="D10782" t="s">
        <v>21669</v>
      </c>
      <c r="E10782" t="s">
        <v>21670</v>
      </c>
      <c r="G10782" s="1">
        <v>11.02</v>
      </c>
    </row>
    <row r="10783" spans="1:7" ht="14.25" customHeight="1" x14ac:dyDescent="0.45">
      <c r="A10783" t="str">
        <f>_xlfn.XLOOKUP(B10783,Ingot!$H$12:$H$119,Ingot!$G$12:$G$119,"")</f>
        <v>Glass</v>
      </c>
      <c r="B10783" t="s">
        <v>21528</v>
      </c>
      <c r="C10783" t="s">
        <v>10</v>
      </c>
      <c r="D10783" t="s">
        <v>21671</v>
      </c>
      <c r="E10783" t="s">
        <v>21672</v>
      </c>
      <c r="G10783" s="1">
        <v>5.12</v>
      </c>
    </row>
    <row r="10784" spans="1:7" ht="14.25" customHeight="1" x14ac:dyDescent="0.45">
      <c r="A10784" t="str">
        <f>_xlfn.XLOOKUP(B10784,Ingot!$H$12:$H$119,Ingot!$G$12:$G$119,"")</f>
        <v>Glass</v>
      </c>
      <c r="B10784" t="s">
        <v>21528</v>
      </c>
      <c r="C10784" t="s">
        <v>10</v>
      </c>
      <c r="D10784" t="s">
        <v>21673</v>
      </c>
      <c r="E10784" t="s">
        <v>21674</v>
      </c>
      <c r="G10784" s="1">
        <v>4.41</v>
      </c>
    </row>
    <row r="10785" spans="1:7" ht="14.25" customHeight="1" x14ac:dyDescent="0.45">
      <c r="A10785" t="str">
        <f>_xlfn.XLOOKUP(B10785,Ingot!$H$12:$H$119,Ingot!$G$12:$G$119,"")</f>
        <v>Glass</v>
      </c>
      <c r="B10785" t="s">
        <v>21528</v>
      </c>
      <c r="C10785" t="s">
        <v>157</v>
      </c>
      <c r="D10785" t="s">
        <v>21675</v>
      </c>
      <c r="E10785" t="s">
        <v>21676</v>
      </c>
      <c r="G10785" s="1">
        <v>31</v>
      </c>
    </row>
    <row r="10786" spans="1:7" ht="14.25" customHeight="1" x14ac:dyDescent="0.45">
      <c r="A10786" t="str">
        <f>_xlfn.XLOOKUP(B10786,Ingot!$H$12:$H$119,Ingot!$G$12:$G$119,"")</f>
        <v>Glass</v>
      </c>
      <c r="B10786" t="s">
        <v>21528</v>
      </c>
      <c r="C10786" t="s">
        <v>157</v>
      </c>
      <c r="D10786" t="s">
        <v>21677</v>
      </c>
      <c r="E10786" t="s">
        <v>21678</v>
      </c>
      <c r="G10786" s="1">
        <v>6.2</v>
      </c>
    </row>
    <row r="10787" spans="1:7" ht="14.25" customHeight="1" x14ac:dyDescent="0.45">
      <c r="A10787" t="str">
        <f>_xlfn.XLOOKUP(B10787,Ingot!$H$12:$H$119,Ingot!$G$12:$G$119,"")</f>
        <v>Glass</v>
      </c>
      <c r="B10787" t="s">
        <v>21528</v>
      </c>
      <c r="C10787" t="s">
        <v>157</v>
      </c>
      <c r="D10787" t="s">
        <v>21679</v>
      </c>
      <c r="E10787" t="s">
        <v>21680</v>
      </c>
      <c r="G10787" s="1">
        <v>6.2</v>
      </c>
    </row>
    <row r="10788" spans="1:7" ht="14.25" customHeight="1" x14ac:dyDescent="0.45">
      <c r="A10788" t="str">
        <f>_xlfn.XLOOKUP(B10788,Ingot!$H$12:$H$119,Ingot!$G$12:$G$119,"")</f>
        <v>Glass</v>
      </c>
      <c r="B10788" t="s">
        <v>21528</v>
      </c>
      <c r="C10788" t="s">
        <v>157</v>
      </c>
      <c r="D10788" t="s">
        <v>21681</v>
      </c>
      <c r="E10788" t="s">
        <v>21682</v>
      </c>
      <c r="G10788" s="1">
        <v>5</v>
      </c>
    </row>
    <row r="10789" spans="1:7" ht="14.25" customHeight="1" x14ac:dyDescent="0.45">
      <c r="A10789" t="str">
        <f>_xlfn.XLOOKUP(B10789,Ingot!$H$12:$H$119,Ingot!$G$12:$G$119,"")</f>
        <v>Glass</v>
      </c>
      <c r="B10789" t="s">
        <v>21528</v>
      </c>
      <c r="C10789" t="s">
        <v>157</v>
      </c>
      <c r="D10789" t="s">
        <v>21683</v>
      </c>
      <c r="E10789" t="s">
        <v>21684</v>
      </c>
      <c r="G10789" s="1">
        <v>10</v>
      </c>
    </row>
    <row r="10790" spans="1:7" ht="14.25" customHeight="1" x14ac:dyDescent="0.45">
      <c r="A10790" t="str">
        <f>_xlfn.XLOOKUP(B10790,Ingot!$H$12:$H$119,Ingot!$G$12:$G$119,"")</f>
        <v>Glass</v>
      </c>
      <c r="B10790" t="s">
        <v>21528</v>
      </c>
      <c r="C10790" t="s">
        <v>157</v>
      </c>
      <c r="D10790" t="s">
        <v>21685</v>
      </c>
      <c r="E10790" t="s">
        <v>21686</v>
      </c>
      <c r="G10790" s="1">
        <v>27</v>
      </c>
    </row>
    <row r="10791" spans="1:7" ht="14.25" customHeight="1" x14ac:dyDescent="0.45">
      <c r="A10791" t="str">
        <f>_xlfn.XLOOKUP(B10791,Ingot!$H$12:$H$119,Ingot!$G$12:$G$119,"")</f>
        <v>Glass</v>
      </c>
      <c r="B10791" t="s">
        <v>21528</v>
      </c>
      <c r="C10791" t="s">
        <v>157</v>
      </c>
      <c r="D10791" t="s">
        <v>21687</v>
      </c>
      <c r="E10791" t="s">
        <v>21688</v>
      </c>
      <c r="G10791" s="1">
        <v>5.4</v>
      </c>
    </row>
    <row r="10792" spans="1:7" ht="14.25" customHeight="1" x14ac:dyDescent="0.45">
      <c r="A10792" t="str">
        <f>_xlfn.XLOOKUP(B10792,Ingot!$H$12:$H$119,Ingot!$G$12:$G$119,"")</f>
        <v>Glass</v>
      </c>
      <c r="B10792" t="s">
        <v>21528</v>
      </c>
      <c r="C10792" t="s">
        <v>157</v>
      </c>
      <c r="D10792" t="s">
        <v>21689</v>
      </c>
      <c r="E10792" t="s">
        <v>21690</v>
      </c>
      <c r="G10792" s="1">
        <v>5.4</v>
      </c>
    </row>
    <row r="10793" spans="1:7" ht="14.25" customHeight="1" x14ac:dyDescent="0.45">
      <c r="A10793" t="str">
        <f>_xlfn.XLOOKUP(B10793,Ingot!$H$12:$H$119,Ingot!$G$12:$G$119,"")</f>
        <v>Glass</v>
      </c>
      <c r="B10793" t="s">
        <v>21528</v>
      </c>
      <c r="C10793" t="s">
        <v>157</v>
      </c>
      <c r="D10793" t="s">
        <v>21691</v>
      </c>
      <c r="E10793" t="s">
        <v>21692</v>
      </c>
      <c r="G10793" s="1">
        <v>5</v>
      </c>
    </row>
    <row r="10794" spans="1:7" ht="14.25" customHeight="1" x14ac:dyDescent="0.45">
      <c r="A10794" t="str">
        <f>_xlfn.XLOOKUP(B10794,Ingot!$H$12:$H$119,Ingot!$G$12:$G$119,"")</f>
        <v>Glass</v>
      </c>
      <c r="B10794" t="s">
        <v>21528</v>
      </c>
      <c r="C10794" t="s">
        <v>157</v>
      </c>
      <c r="D10794" t="s">
        <v>21693</v>
      </c>
      <c r="E10794" t="s">
        <v>21694</v>
      </c>
      <c r="G10794" s="1">
        <v>10</v>
      </c>
    </row>
    <row r="10795" spans="1:7" ht="14.25" customHeight="1" x14ac:dyDescent="0.45">
      <c r="A10795" t="str">
        <f>_xlfn.XLOOKUP(B10795,Ingot!$H$12:$H$119,Ingot!$G$12:$G$119,"")</f>
        <v>Glass</v>
      </c>
      <c r="B10795" t="s">
        <v>21528</v>
      </c>
      <c r="C10795" t="s">
        <v>157</v>
      </c>
      <c r="D10795" t="s">
        <v>21695</v>
      </c>
      <c r="E10795" t="s">
        <v>21696</v>
      </c>
      <c r="F10795" t="s">
        <v>180</v>
      </c>
      <c r="G10795" s="1">
        <v>26</v>
      </c>
    </row>
    <row r="10796" spans="1:7" ht="14.25" customHeight="1" x14ac:dyDescent="0.45">
      <c r="A10796" t="str">
        <f>_xlfn.XLOOKUP(B10796,Ingot!$H$12:$H$119,Ingot!$G$12:$G$119,"")</f>
        <v>Glass</v>
      </c>
      <c r="B10796" t="s">
        <v>21528</v>
      </c>
      <c r="C10796" t="s">
        <v>157</v>
      </c>
      <c r="D10796" t="s">
        <v>21697</v>
      </c>
      <c r="E10796" t="s">
        <v>21698</v>
      </c>
      <c r="F10796" t="s">
        <v>180</v>
      </c>
      <c r="G10796" s="1">
        <v>5.2</v>
      </c>
    </row>
    <row r="10797" spans="1:7" ht="14.25" customHeight="1" x14ac:dyDescent="0.45">
      <c r="A10797" t="str">
        <f>_xlfn.XLOOKUP(B10797,Ingot!$H$12:$H$119,Ingot!$G$12:$G$119,"")</f>
        <v>Glass</v>
      </c>
      <c r="B10797" t="s">
        <v>21528</v>
      </c>
      <c r="C10797" t="s">
        <v>157</v>
      </c>
      <c r="D10797" t="s">
        <v>21699</v>
      </c>
      <c r="E10797" t="s">
        <v>21700</v>
      </c>
      <c r="F10797" t="s">
        <v>180</v>
      </c>
      <c r="G10797" s="1">
        <v>5.2</v>
      </c>
    </row>
    <row r="10798" spans="1:7" ht="14.25" customHeight="1" x14ac:dyDescent="0.45">
      <c r="A10798" t="str">
        <f>_xlfn.XLOOKUP(B10798,Ingot!$H$12:$H$119,Ingot!$G$12:$G$119,"")</f>
        <v>Glass</v>
      </c>
      <c r="B10798" t="s">
        <v>21528</v>
      </c>
      <c r="C10798" t="s">
        <v>157</v>
      </c>
      <c r="D10798" t="s">
        <v>21701</v>
      </c>
      <c r="E10798" t="s">
        <v>21702</v>
      </c>
      <c r="F10798" t="s">
        <v>180</v>
      </c>
      <c r="G10798" s="1">
        <v>5</v>
      </c>
    </row>
    <row r="10799" spans="1:7" ht="14.25" customHeight="1" x14ac:dyDescent="0.45">
      <c r="A10799" t="str">
        <f>_xlfn.XLOOKUP(B10799,Ingot!$H$12:$H$119,Ingot!$G$12:$G$119,"")</f>
        <v>Glass</v>
      </c>
      <c r="B10799" t="s">
        <v>21528</v>
      </c>
      <c r="C10799" t="s">
        <v>157</v>
      </c>
      <c r="D10799" t="s">
        <v>21703</v>
      </c>
      <c r="E10799" t="s">
        <v>21704</v>
      </c>
      <c r="F10799" t="s">
        <v>180</v>
      </c>
      <c r="G10799" s="1">
        <v>10</v>
      </c>
    </row>
    <row r="10800" spans="1:7" ht="14.25" customHeight="1" x14ac:dyDescent="0.45">
      <c r="A10800" t="str">
        <f>_xlfn.XLOOKUP(B10800,Ingot!$H$12:$H$119,Ingot!$G$12:$G$119,"")</f>
        <v>Glass</v>
      </c>
      <c r="B10800" t="s">
        <v>21528</v>
      </c>
      <c r="C10800" t="s">
        <v>157</v>
      </c>
      <c r="D10800" t="s">
        <v>21705</v>
      </c>
      <c r="E10800" t="s">
        <v>21706</v>
      </c>
      <c r="G10800" s="1">
        <v>28</v>
      </c>
    </row>
    <row r="10801" spans="1:7" ht="14.25" customHeight="1" x14ac:dyDescent="0.45">
      <c r="A10801" t="str">
        <f>_xlfn.XLOOKUP(B10801,Ingot!$H$12:$H$119,Ingot!$G$12:$G$119,"")</f>
        <v>Glass</v>
      </c>
      <c r="B10801" t="s">
        <v>21528</v>
      </c>
      <c r="C10801" t="s">
        <v>157</v>
      </c>
      <c r="D10801" t="s">
        <v>21707</v>
      </c>
      <c r="E10801" t="s">
        <v>21708</v>
      </c>
      <c r="G10801" s="1">
        <v>5.6</v>
      </c>
    </row>
    <row r="10802" spans="1:7" ht="14.25" customHeight="1" x14ac:dyDescent="0.45">
      <c r="A10802" t="str">
        <f>_xlfn.XLOOKUP(B10802,Ingot!$H$12:$H$119,Ingot!$G$12:$G$119,"")</f>
        <v>Glass</v>
      </c>
      <c r="B10802" t="s">
        <v>21528</v>
      </c>
      <c r="C10802" t="s">
        <v>157</v>
      </c>
      <c r="D10802" t="s">
        <v>21709</v>
      </c>
      <c r="E10802" t="s">
        <v>21710</v>
      </c>
      <c r="G10802" s="1">
        <v>5.6</v>
      </c>
    </row>
    <row r="10803" spans="1:7" ht="14.25" customHeight="1" x14ac:dyDescent="0.45">
      <c r="A10803" t="str">
        <f>_xlfn.XLOOKUP(B10803,Ingot!$H$12:$H$119,Ingot!$G$12:$G$119,"")</f>
        <v>Glass</v>
      </c>
      <c r="B10803" t="s">
        <v>21528</v>
      </c>
      <c r="C10803" t="s">
        <v>157</v>
      </c>
      <c r="D10803" t="s">
        <v>21711</v>
      </c>
      <c r="E10803" t="s">
        <v>21712</v>
      </c>
      <c r="G10803" s="1">
        <v>5</v>
      </c>
    </row>
    <row r="10804" spans="1:7" ht="14.25" customHeight="1" x14ac:dyDescent="0.45">
      <c r="A10804" t="str">
        <f>_xlfn.XLOOKUP(B10804,Ingot!$H$12:$H$119,Ingot!$G$12:$G$119,"")</f>
        <v>Glass</v>
      </c>
      <c r="B10804" t="s">
        <v>21528</v>
      </c>
      <c r="C10804" t="s">
        <v>157</v>
      </c>
      <c r="D10804" t="s">
        <v>21713</v>
      </c>
      <c r="E10804" t="s">
        <v>21714</v>
      </c>
      <c r="G10804" s="1">
        <v>10</v>
      </c>
    </row>
    <row r="10805" spans="1:7" ht="14.25" customHeight="1" x14ac:dyDescent="0.45">
      <c r="A10805" t="str">
        <f>_xlfn.XLOOKUP(B10805,Ingot!$H$12:$H$119,Ingot!$G$12:$G$119,"")</f>
        <v>Glass</v>
      </c>
      <c r="B10805" t="s">
        <v>21528</v>
      </c>
      <c r="C10805" t="s">
        <v>157</v>
      </c>
      <c r="D10805" t="s">
        <v>21715</v>
      </c>
      <c r="E10805" t="s">
        <v>21716</v>
      </c>
      <c r="G10805" s="1">
        <v>29.5</v>
      </c>
    </row>
    <row r="10806" spans="1:7" ht="14.25" customHeight="1" x14ac:dyDescent="0.45">
      <c r="A10806" t="str">
        <f>_xlfn.XLOOKUP(B10806,Ingot!$H$12:$H$119,Ingot!$G$12:$G$119,"")</f>
        <v>Glass</v>
      </c>
      <c r="B10806" t="s">
        <v>21528</v>
      </c>
      <c r="C10806" t="s">
        <v>157</v>
      </c>
      <c r="D10806" t="s">
        <v>21717</v>
      </c>
      <c r="E10806" t="s">
        <v>21718</v>
      </c>
      <c r="F10806" t="s">
        <v>180</v>
      </c>
      <c r="G10806" s="1">
        <v>5.9</v>
      </c>
    </row>
    <row r="10807" spans="1:7" ht="14.25" customHeight="1" x14ac:dyDescent="0.45">
      <c r="A10807" t="str">
        <f>_xlfn.XLOOKUP(B10807,Ingot!$H$12:$H$119,Ingot!$G$12:$G$119,"")</f>
        <v>Glass</v>
      </c>
      <c r="B10807" t="s">
        <v>21528</v>
      </c>
      <c r="C10807" t="s">
        <v>157</v>
      </c>
      <c r="D10807" t="s">
        <v>21719</v>
      </c>
      <c r="E10807" t="s">
        <v>21720</v>
      </c>
      <c r="F10807" t="s">
        <v>180</v>
      </c>
      <c r="G10807" s="1">
        <v>5.9</v>
      </c>
    </row>
    <row r="10808" spans="1:7" ht="14.25" customHeight="1" x14ac:dyDescent="0.45">
      <c r="A10808" t="str">
        <f>_xlfn.XLOOKUP(B10808,Ingot!$H$12:$H$119,Ingot!$G$12:$G$119,"")</f>
        <v>Glass</v>
      </c>
      <c r="B10808" t="s">
        <v>21528</v>
      </c>
      <c r="C10808" t="s">
        <v>157</v>
      </c>
      <c r="D10808" t="s">
        <v>21721</v>
      </c>
      <c r="E10808" t="s">
        <v>21722</v>
      </c>
      <c r="F10808" t="s">
        <v>180</v>
      </c>
      <c r="G10808" s="1">
        <v>5</v>
      </c>
    </row>
    <row r="10809" spans="1:7" ht="14.25" customHeight="1" x14ac:dyDescent="0.45">
      <c r="A10809" t="str">
        <f>_xlfn.XLOOKUP(B10809,Ingot!$H$12:$H$119,Ingot!$G$12:$G$119,"")</f>
        <v>Glass</v>
      </c>
      <c r="B10809" t="s">
        <v>21528</v>
      </c>
      <c r="C10809" t="s">
        <v>157</v>
      </c>
      <c r="D10809" t="s">
        <v>21723</v>
      </c>
      <c r="E10809" t="s">
        <v>21724</v>
      </c>
      <c r="G10809" s="1">
        <v>10</v>
      </c>
    </row>
    <row r="10810" spans="1:7" ht="14.25" customHeight="1" x14ac:dyDescent="0.45">
      <c r="A10810" t="str">
        <f>_xlfn.XLOOKUP(B10810,Ingot!$H$12:$H$119,Ingot!$G$12:$G$119,"")</f>
        <v>Glass</v>
      </c>
      <c r="B10810" t="s">
        <v>21528</v>
      </c>
      <c r="C10810" t="s">
        <v>157</v>
      </c>
      <c r="D10810" t="s">
        <v>21725</v>
      </c>
      <c r="E10810" t="s">
        <v>21726</v>
      </c>
      <c r="G10810" s="1">
        <v>34</v>
      </c>
    </row>
    <row r="10811" spans="1:7" ht="14.25" customHeight="1" x14ac:dyDescent="0.45">
      <c r="A10811" t="str">
        <f>_xlfn.XLOOKUP(B10811,Ingot!$H$12:$H$119,Ingot!$G$12:$G$119,"")</f>
        <v>Glass</v>
      </c>
      <c r="B10811" t="s">
        <v>21528</v>
      </c>
      <c r="C10811" t="s">
        <v>157</v>
      </c>
      <c r="D10811" t="s">
        <v>21727</v>
      </c>
      <c r="E10811" t="s">
        <v>21728</v>
      </c>
      <c r="G10811" s="1">
        <v>6.8</v>
      </c>
    </row>
    <row r="10812" spans="1:7" ht="14.25" customHeight="1" x14ac:dyDescent="0.45">
      <c r="A10812" t="str">
        <f>_xlfn.XLOOKUP(B10812,Ingot!$H$12:$H$119,Ingot!$G$12:$G$119,"")</f>
        <v>Glass</v>
      </c>
      <c r="B10812" t="s">
        <v>21528</v>
      </c>
      <c r="C10812" t="s">
        <v>157</v>
      </c>
      <c r="D10812" t="s">
        <v>21729</v>
      </c>
      <c r="E10812" t="s">
        <v>21730</v>
      </c>
      <c r="G10812" s="1">
        <v>6.8</v>
      </c>
    </row>
    <row r="10813" spans="1:7" ht="14.25" customHeight="1" x14ac:dyDescent="0.45">
      <c r="A10813" t="str">
        <f>_xlfn.XLOOKUP(B10813,Ingot!$H$12:$H$119,Ingot!$G$12:$G$119,"")</f>
        <v>Glass</v>
      </c>
      <c r="B10813" t="s">
        <v>21528</v>
      </c>
      <c r="C10813" t="s">
        <v>157</v>
      </c>
      <c r="D10813" t="s">
        <v>21731</v>
      </c>
      <c r="E10813" t="s">
        <v>21732</v>
      </c>
      <c r="G10813" s="1">
        <v>5</v>
      </c>
    </row>
    <row r="10814" spans="1:7" ht="14.25" customHeight="1" x14ac:dyDescent="0.45">
      <c r="A10814" t="str">
        <f>_xlfn.XLOOKUP(B10814,Ingot!$H$12:$H$119,Ingot!$G$12:$G$119,"")</f>
        <v>Glass</v>
      </c>
      <c r="B10814" t="s">
        <v>21528</v>
      </c>
      <c r="C10814" t="s">
        <v>157</v>
      </c>
      <c r="D10814" t="s">
        <v>21733</v>
      </c>
      <c r="E10814" t="s">
        <v>21734</v>
      </c>
      <c r="G10814" s="1">
        <v>10</v>
      </c>
    </row>
    <row r="10815" spans="1:7" ht="14.25" customHeight="1" x14ac:dyDescent="0.45">
      <c r="A10815" t="str">
        <f>_xlfn.XLOOKUP(B10815,Ingot!$H$12:$H$119,Ingot!$G$12:$G$119,"")</f>
        <v>Glass</v>
      </c>
      <c r="B10815" t="s">
        <v>21528</v>
      </c>
      <c r="C10815" t="s">
        <v>157</v>
      </c>
      <c r="D10815" t="s">
        <v>21735</v>
      </c>
      <c r="E10815" t="s">
        <v>21736</v>
      </c>
      <c r="G10815" s="1">
        <v>32.5</v>
      </c>
    </row>
    <row r="10816" spans="1:7" ht="14.25" customHeight="1" x14ac:dyDescent="0.45">
      <c r="A10816" t="str">
        <f>_xlfn.XLOOKUP(B10816,Ingot!$H$12:$H$119,Ingot!$G$12:$G$119,"")</f>
        <v>Glass</v>
      </c>
      <c r="B10816" t="s">
        <v>21528</v>
      </c>
      <c r="C10816" t="s">
        <v>157</v>
      </c>
      <c r="D10816" t="s">
        <v>21737</v>
      </c>
      <c r="E10816" t="s">
        <v>21738</v>
      </c>
      <c r="G10816" s="1">
        <v>6.5</v>
      </c>
    </row>
    <row r="10817" spans="1:7" ht="14.25" customHeight="1" x14ac:dyDescent="0.45">
      <c r="A10817" t="str">
        <f>_xlfn.XLOOKUP(B10817,Ingot!$H$12:$H$119,Ingot!$G$12:$G$119,"")</f>
        <v>Glass</v>
      </c>
      <c r="B10817" t="s">
        <v>21528</v>
      </c>
      <c r="C10817" t="s">
        <v>157</v>
      </c>
      <c r="D10817" t="s">
        <v>21739</v>
      </c>
      <c r="E10817" t="s">
        <v>21740</v>
      </c>
      <c r="G10817" s="1">
        <v>6.5</v>
      </c>
    </row>
    <row r="10818" spans="1:7" ht="14.25" customHeight="1" x14ac:dyDescent="0.45">
      <c r="A10818" t="str">
        <f>_xlfn.XLOOKUP(B10818,Ingot!$H$12:$H$119,Ingot!$G$12:$G$119,"")</f>
        <v>Glass</v>
      </c>
      <c r="B10818" t="s">
        <v>21528</v>
      </c>
      <c r="C10818" t="s">
        <v>157</v>
      </c>
      <c r="D10818" t="s">
        <v>21741</v>
      </c>
      <c r="E10818" t="s">
        <v>21742</v>
      </c>
      <c r="G10818" s="1">
        <v>5</v>
      </c>
    </row>
    <row r="10819" spans="1:7" ht="14.25" customHeight="1" x14ac:dyDescent="0.45">
      <c r="A10819" t="str">
        <f>_xlfn.XLOOKUP(B10819,Ingot!$H$12:$H$119,Ingot!$G$12:$G$119,"")</f>
        <v>Glass</v>
      </c>
      <c r="B10819" t="s">
        <v>21528</v>
      </c>
      <c r="C10819" t="s">
        <v>157</v>
      </c>
      <c r="D10819" t="s">
        <v>21743</v>
      </c>
      <c r="E10819" t="s">
        <v>21744</v>
      </c>
      <c r="G10819" s="1">
        <v>10</v>
      </c>
    </row>
    <row r="10820" spans="1:7" ht="14.25" customHeight="1" x14ac:dyDescent="0.45">
      <c r="A10820" t="str">
        <f>_xlfn.XLOOKUP(B10820,Ingot!$H$12:$H$119,Ingot!$G$12:$G$119,"")</f>
        <v>Glass</v>
      </c>
      <c r="B10820" t="s">
        <v>21528</v>
      </c>
      <c r="C10820" t="s">
        <v>157</v>
      </c>
      <c r="D10820" t="s">
        <v>21745</v>
      </c>
      <c r="E10820" t="s">
        <v>21746</v>
      </c>
      <c r="F10820" t="s">
        <v>180</v>
      </c>
      <c r="G10820" s="1">
        <v>25</v>
      </c>
    </row>
    <row r="10821" spans="1:7" ht="14.25" customHeight="1" x14ac:dyDescent="0.45">
      <c r="A10821" t="str">
        <f>_xlfn.XLOOKUP(B10821,Ingot!$H$12:$H$119,Ingot!$G$12:$G$119,"")</f>
        <v>Glass</v>
      </c>
      <c r="B10821" t="s">
        <v>21528</v>
      </c>
      <c r="C10821" t="s">
        <v>157</v>
      </c>
      <c r="D10821" t="s">
        <v>21747</v>
      </c>
      <c r="E10821" t="s">
        <v>21748</v>
      </c>
      <c r="F10821" t="s">
        <v>180</v>
      </c>
      <c r="G10821" s="1">
        <v>5</v>
      </c>
    </row>
    <row r="10822" spans="1:7" ht="14.25" customHeight="1" x14ac:dyDescent="0.45">
      <c r="A10822" t="str">
        <f>_xlfn.XLOOKUP(B10822,Ingot!$H$12:$H$119,Ingot!$G$12:$G$119,"")</f>
        <v>Glass</v>
      </c>
      <c r="B10822" t="s">
        <v>21528</v>
      </c>
      <c r="C10822" t="s">
        <v>157</v>
      </c>
      <c r="D10822" t="s">
        <v>21749</v>
      </c>
      <c r="E10822" t="s">
        <v>21750</v>
      </c>
      <c r="F10822" t="s">
        <v>180</v>
      </c>
      <c r="G10822" s="1">
        <v>5</v>
      </c>
    </row>
    <row r="10823" spans="1:7" ht="14.25" customHeight="1" x14ac:dyDescent="0.45">
      <c r="A10823" t="str">
        <f>_xlfn.XLOOKUP(B10823,Ingot!$H$12:$H$119,Ingot!$G$12:$G$119,"")</f>
        <v>Glass</v>
      </c>
      <c r="B10823" t="s">
        <v>21528</v>
      </c>
      <c r="C10823" t="s">
        <v>157</v>
      </c>
      <c r="D10823" t="s">
        <v>21751</v>
      </c>
      <c r="E10823" t="s">
        <v>21752</v>
      </c>
      <c r="F10823" t="s">
        <v>180</v>
      </c>
      <c r="G10823" s="1">
        <v>5</v>
      </c>
    </row>
    <row r="10824" spans="1:7" ht="14.25" customHeight="1" x14ac:dyDescent="0.45">
      <c r="A10824" t="str">
        <f>_xlfn.XLOOKUP(B10824,Ingot!$H$12:$H$119,Ingot!$G$12:$G$119,"")</f>
        <v>Glass</v>
      </c>
      <c r="B10824" t="s">
        <v>21528</v>
      </c>
      <c r="C10824" t="s">
        <v>157</v>
      </c>
      <c r="D10824" t="s">
        <v>21753</v>
      </c>
      <c r="E10824" t="s">
        <v>21754</v>
      </c>
      <c r="F10824" t="s">
        <v>180</v>
      </c>
      <c r="G10824" s="1">
        <v>10</v>
      </c>
    </row>
    <row r="10825" spans="1:7" ht="14.25" customHeight="1" x14ac:dyDescent="0.45">
      <c r="A10825" t="str">
        <f>_xlfn.XLOOKUP(B10825,Ingot!$H$12:$H$119,Ingot!$G$12:$G$119,"")</f>
        <v>Glass</v>
      </c>
      <c r="B10825" t="s">
        <v>21528</v>
      </c>
      <c r="C10825" t="s">
        <v>239</v>
      </c>
      <c r="D10825" t="s">
        <v>21755</v>
      </c>
      <c r="E10825" t="s">
        <v>21756</v>
      </c>
      <c r="G10825" s="1">
        <f>(VLOOKUP(B10825,Ingot!H:I,2,FALSE()) * 0.75) * 0.75</f>
        <v>9.84375</v>
      </c>
    </row>
    <row r="10826" spans="1:7" ht="14.25" customHeight="1" x14ac:dyDescent="0.45">
      <c r="A10826" t="str">
        <f>_xlfn.XLOOKUP(B10826,Ingot!$H$12:$H$119,Ingot!$G$12:$G$119,"")</f>
        <v>Glass</v>
      </c>
      <c r="B10826" t="s">
        <v>21528</v>
      </c>
      <c r="C10826" t="s">
        <v>239</v>
      </c>
      <c r="D10826" t="s">
        <v>21757</v>
      </c>
      <c r="E10826" t="s">
        <v>21758</v>
      </c>
      <c r="G10826" s="1">
        <f>((VLOOKUP(B10826,Ingot!H:I,2,FALSE()) * 3) - 10.25) * 0.421875</f>
        <v>17.82421875</v>
      </c>
    </row>
    <row r="10827" spans="1:7" ht="14.25" customHeight="1" x14ac:dyDescent="0.45">
      <c r="A10827" t="str">
        <f>_xlfn.XLOOKUP(B10827,Ingot!$H$12:$H$119,Ingot!$G$12:$G$119,"")</f>
        <v>Glass</v>
      </c>
      <c r="B10827" t="s">
        <v>21528</v>
      </c>
      <c r="C10827" t="s">
        <v>239</v>
      </c>
      <c r="D10827" t="s">
        <v>21759</v>
      </c>
      <c r="E10827" t="s">
        <v>21760</v>
      </c>
      <c r="G10827" s="1">
        <f>((VLOOKUP(B10827,Ingot!H:I,2,FALSE()) * 3) - 10.25) * 0.75</f>
        <v>31.6875</v>
      </c>
    </row>
    <row r="10828" spans="1:7" ht="14.25" customHeight="1" x14ac:dyDescent="0.45">
      <c r="A10828" t="str">
        <f>_xlfn.XLOOKUP(B10828,Ingot!$H$12:$H$119,Ingot!$G$12:$G$119,"")</f>
        <v>Glass</v>
      </c>
      <c r="B10828" t="s">
        <v>21528</v>
      </c>
      <c r="C10828" t="s">
        <v>239</v>
      </c>
      <c r="D10828" t="s">
        <v>21761</v>
      </c>
      <c r="E10828" t="s">
        <v>21762</v>
      </c>
      <c r="G10828" s="1">
        <f>((VLOOKUP(B10828,Ingot!H:I,2,FALSE()) * 3) - 10.25) * 0.5625</f>
        <v>23.765625</v>
      </c>
    </row>
    <row r="10829" spans="1:7" ht="14.25" customHeight="1" x14ac:dyDescent="0.45">
      <c r="A10829" t="str">
        <f>_xlfn.XLOOKUP(B10829,Ingot!$H$12:$H$119,Ingot!$G$12:$G$119,"")</f>
        <v>Glass</v>
      </c>
      <c r="B10829" t="s">
        <v>21528</v>
      </c>
      <c r="C10829" t="s">
        <v>239</v>
      </c>
      <c r="D10829" t="s">
        <v>21763</v>
      </c>
      <c r="E10829" t="s">
        <v>21764</v>
      </c>
      <c r="G10829" s="1">
        <f>VLOOKUP(B10829,Ingot!H:I,2,FALSE()) * 0.75</f>
        <v>13.125</v>
      </c>
    </row>
    <row r="10830" spans="1:7" ht="14.25" customHeight="1" x14ac:dyDescent="0.45">
      <c r="A10830" t="str">
        <f>_xlfn.XLOOKUP(B10830,Ingot!$H$12:$H$119,Ingot!$G$12:$G$119,"")</f>
        <v>Glass</v>
      </c>
      <c r="B10830" t="s">
        <v>21528</v>
      </c>
      <c r="C10830" t="s">
        <v>239</v>
      </c>
      <c r="D10830" t="s">
        <v>21765</v>
      </c>
      <c r="E10830" t="s">
        <v>21766</v>
      </c>
      <c r="G10830" s="1">
        <f>(VLOOKUP(B10830,Ingot!H:I,2,FALSE()) * 3) - 10.25</f>
        <v>42.25</v>
      </c>
    </row>
    <row r="10831" spans="1:7" ht="14.25" customHeight="1" x14ac:dyDescent="0.45">
      <c r="A10831" t="str">
        <f>_xlfn.XLOOKUP(B10831,Ingot!$H$12:$H$119,Ingot!$G$12:$G$119,"")</f>
        <v>Glass</v>
      </c>
      <c r="B10831" t="s">
        <v>21767</v>
      </c>
      <c r="C10831" t="s">
        <v>10</v>
      </c>
      <c r="D10831" t="s">
        <v>21768</v>
      </c>
      <c r="E10831" t="s">
        <v>21769</v>
      </c>
      <c r="G10831" s="1">
        <v>0.08</v>
      </c>
    </row>
    <row r="10832" spans="1:7" ht="14.25" customHeight="1" x14ac:dyDescent="0.45">
      <c r="A10832" t="str">
        <f>_xlfn.XLOOKUP(B10832,Ingot!$H$12:$H$119,Ingot!$G$12:$G$119,"")</f>
        <v>Glass</v>
      </c>
      <c r="B10832" t="s">
        <v>21767</v>
      </c>
      <c r="C10832" t="s">
        <v>10</v>
      </c>
      <c r="D10832" t="s">
        <v>21770</v>
      </c>
      <c r="E10832" t="s">
        <v>21771</v>
      </c>
      <c r="G10832" s="1">
        <v>9.9</v>
      </c>
    </row>
    <row r="10833" spans="1:7" ht="14.25" customHeight="1" x14ac:dyDescent="0.45">
      <c r="A10833" t="str">
        <f>_xlfn.XLOOKUP(B10833,Ingot!$H$12:$H$119,Ingot!$G$12:$G$119,"")</f>
        <v>Glass</v>
      </c>
      <c r="B10833" t="s">
        <v>21767</v>
      </c>
      <c r="C10833" t="s">
        <v>10</v>
      </c>
      <c r="D10833" t="s">
        <v>21772</v>
      </c>
      <c r="E10833" t="s">
        <v>21773</v>
      </c>
      <c r="G10833" s="1">
        <v>5.66</v>
      </c>
    </row>
    <row r="10834" spans="1:7" ht="14.25" customHeight="1" x14ac:dyDescent="0.45">
      <c r="A10834" t="str">
        <f>_xlfn.XLOOKUP(B10834,Ingot!$H$12:$H$119,Ingot!$G$12:$G$119,"")</f>
        <v>Glass</v>
      </c>
      <c r="B10834" t="s">
        <v>21767</v>
      </c>
      <c r="C10834" t="s">
        <v>10</v>
      </c>
      <c r="D10834" t="s">
        <v>21774</v>
      </c>
      <c r="E10834" t="s">
        <v>21775</v>
      </c>
      <c r="G10834" s="1">
        <v>3.3</v>
      </c>
    </row>
    <row r="10835" spans="1:7" ht="14.25" customHeight="1" x14ac:dyDescent="0.45">
      <c r="A10835" t="str">
        <f>_xlfn.XLOOKUP(B10835,Ingot!$H$12:$H$119,Ingot!$G$12:$G$119,"")</f>
        <v>Glass</v>
      </c>
      <c r="B10835" t="s">
        <v>21767</v>
      </c>
      <c r="C10835" t="s">
        <v>10</v>
      </c>
      <c r="D10835" t="s">
        <v>21776</v>
      </c>
      <c r="E10835" t="s">
        <v>21777</v>
      </c>
      <c r="G10835" s="1">
        <v>0.66</v>
      </c>
    </row>
    <row r="10836" spans="1:7" ht="14.25" customHeight="1" x14ac:dyDescent="0.45">
      <c r="A10836" t="str">
        <f>_xlfn.XLOOKUP(B10836,Ingot!$H$12:$H$119,Ingot!$G$12:$G$119,"")</f>
        <v>Glass</v>
      </c>
      <c r="B10836" t="s">
        <v>21767</v>
      </c>
      <c r="C10836" t="s">
        <v>10</v>
      </c>
      <c r="D10836" t="s">
        <v>21778</v>
      </c>
      <c r="E10836" t="s">
        <v>21779</v>
      </c>
      <c r="G10836" s="1">
        <v>0.04</v>
      </c>
    </row>
    <row r="10837" spans="1:7" ht="14.25" customHeight="1" x14ac:dyDescent="0.45">
      <c r="A10837" t="str">
        <f>_xlfn.XLOOKUP(B10837,Ingot!$H$12:$H$119,Ingot!$G$12:$G$119,"")</f>
        <v>Glass</v>
      </c>
      <c r="B10837" t="s">
        <v>21767</v>
      </c>
      <c r="C10837" t="s">
        <v>10</v>
      </c>
      <c r="D10837" t="s">
        <v>21780</v>
      </c>
      <c r="E10837" t="s">
        <v>21781</v>
      </c>
      <c r="G10837" s="1">
        <v>0.33</v>
      </c>
    </row>
    <row r="10838" spans="1:7" ht="14.25" customHeight="1" x14ac:dyDescent="0.45">
      <c r="A10838" t="str">
        <f>_xlfn.XLOOKUP(B10838,Ingot!$H$12:$H$119,Ingot!$G$12:$G$119,"")</f>
        <v>Glass</v>
      </c>
      <c r="B10838" t="s">
        <v>21767</v>
      </c>
      <c r="C10838" t="s">
        <v>10</v>
      </c>
      <c r="D10838" t="s">
        <v>21782</v>
      </c>
      <c r="E10838" t="s">
        <v>21783</v>
      </c>
    </row>
    <row r="10839" spans="1:7" ht="14.25" customHeight="1" x14ac:dyDescent="0.45">
      <c r="A10839" t="str">
        <f>_xlfn.XLOOKUP(B10839,Ingot!$H$12:$H$119,Ingot!$G$12:$G$119,"")</f>
        <v>Glass</v>
      </c>
      <c r="B10839" t="s">
        <v>21767</v>
      </c>
      <c r="C10839" t="s">
        <v>10</v>
      </c>
      <c r="D10839" t="s">
        <v>21784</v>
      </c>
      <c r="E10839" t="s">
        <v>21785</v>
      </c>
      <c r="G10839" s="1">
        <v>0.05</v>
      </c>
    </row>
    <row r="10840" spans="1:7" ht="14.25" customHeight="1" x14ac:dyDescent="0.45">
      <c r="A10840" t="str">
        <f>_xlfn.XLOOKUP(B10840,Ingot!$H$12:$H$119,Ingot!$G$12:$G$119,"")</f>
        <v>Glass</v>
      </c>
      <c r="B10840" t="s">
        <v>21767</v>
      </c>
      <c r="C10840" t="s">
        <v>10</v>
      </c>
      <c r="D10840" t="s">
        <v>21786</v>
      </c>
      <c r="E10840" t="s">
        <v>21787</v>
      </c>
      <c r="G10840" s="1">
        <v>0.66</v>
      </c>
    </row>
    <row r="10841" spans="1:7" ht="14.25" customHeight="1" x14ac:dyDescent="0.45">
      <c r="A10841" t="str">
        <f>_xlfn.XLOOKUP(B10841,Ingot!$H$12:$H$119,Ingot!$G$12:$G$119,"")</f>
        <v>Glass</v>
      </c>
      <c r="B10841" t="s">
        <v>21767</v>
      </c>
      <c r="C10841" t="s">
        <v>10</v>
      </c>
      <c r="D10841" t="s">
        <v>21788</v>
      </c>
      <c r="E10841" t="s">
        <v>21789</v>
      </c>
      <c r="G10841" s="1">
        <v>3.96</v>
      </c>
    </row>
    <row r="10842" spans="1:7" ht="14.25" customHeight="1" x14ac:dyDescent="0.45">
      <c r="A10842" t="str">
        <f>_xlfn.XLOOKUP(B10842,Ingot!$H$12:$H$119,Ingot!$G$12:$G$119,"")</f>
        <v>Glass</v>
      </c>
      <c r="B10842" t="s">
        <v>21767</v>
      </c>
      <c r="C10842" t="s">
        <v>10</v>
      </c>
      <c r="D10842" t="s">
        <v>21790</v>
      </c>
      <c r="E10842" t="s">
        <v>21791</v>
      </c>
      <c r="G10842" s="1">
        <v>8.77</v>
      </c>
    </row>
    <row r="10843" spans="1:7" ht="14.25" customHeight="1" x14ac:dyDescent="0.45">
      <c r="A10843" t="str">
        <f>_xlfn.XLOOKUP(B10843,Ingot!$H$12:$H$119,Ingot!$G$12:$G$119,"")</f>
        <v>Glass</v>
      </c>
      <c r="B10843" t="s">
        <v>21767</v>
      </c>
      <c r="C10843" t="s">
        <v>10</v>
      </c>
      <c r="D10843" t="s">
        <v>21792</v>
      </c>
      <c r="E10843" t="s">
        <v>21793</v>
      </c>
      <c r="G10843" s="1">
        <v>3.5</v>
      </c>
    </row>
    <row r="10844" spans="1:7" ht="14.25" customHeight="1" x14ac:dyDescent="0.45">
      <c r="A10844" t="str">
        <f>_xlfn.XLOOKUP(B10844,Ingot!$H$12:$H$119,Ingot!$G$12:$G$119,"")</f>
        <v>Glass</v>
      </c>
      <c r="B10844" t="s">
        <v>21767</v>
      </c>
      <c r="C10844" t="s">
        <v>10</v>
      </c>
      <c r="D10844" t="s">
        <v>21794</v>
      </c>
      <c r="E10844" t="s">
        <v>21795</v>
      </c>
    </row>
    <row r="10845" spans="1:7" ht="14.25" customHeight="1" x14ac:dyDescent="0.45">
      <c r="A10845" t="str">
        <f>_xlfn.XLOOKUP(B10845,Ingot!$H$12:$H$119,Ingot!$G$12:$G$119,"")</f>
        <v>Glass</v>
      </c>
      <c r="B10845" t="s">
        <v>21767</v>
      </c>
      <c r="C10845" t="s">
        <v>10</v>
      </c>
      <c r="D10845" t="s">
        <v>21796</v>
      </c>
      <c r="E10845" t="s">
        <v>21797</v>
      </c>
      <c r="G10845" s="1">
        <v>2.2000000000000002</v>
      </c>
    </row>
    <row r="10846" spans="1:7" ht="14.25" customHeight="1" x14ac:dyDescent="0.45">
      <c r="A10846" t="str">
        <f>_xlfn.XLOOKUP(B10846,Ingot!$H$12:$H$119,Ingot!$G$12:$G$119,"")</f>
        <v>Glass</v>
      </c>
      <c r="B10846" t="s">
        <v>21767</v>
      </c>
      <c r="C10846" t="s">
        <v>10</v>
      </c>
      <c r="D10846" t="s">
        <v>21798</v>
      </c>
      <c r="E10846" t="s">
        <v>21799</v>
      </c>
      <c r="G10846" s="1">
        <v>1.1000000000000001</v>
      </c>
    </row>
    <row r="10847" spans="1:7" ht="14.25" customHeight="1" x14ac:dyDescent="0.45">
      <c r="A10847" t="str">
        <f>_xlfn.XLOOKUP(B10847,Ingot!$H$12:$H$119,Ingot!$G$12:$G$119,"")</f>
        <v>Glass</v>
      </c>
      <c r="B10847" t="s">
        <v>21767</v>
      </c>
      <c r="C10847" t="s">
        <v>10</v>
      </c>
      <c r="D10847" t="s">
        <v>21800</v>
      </c>
      <c r="E10847" t="s">
        <v>21801</v>
      </c>
      <c r="G10847" s="1">
        <v>0.22</v>
      </c>
    </row>
    <row r="10848" spans="1:7" ht="14.25" customHeight="1" x14ac:dyDescent="0.45">
      <c r="A10848" t="str">
        <f>_xlfn.XLOOKUP(B10848,Ingot!$H$12:$H$119,Ingot!$G$12:$G$119,"")</f>
        <v>Glass</v>
      </c>
      <c r="B10848" t="s">
        <v>21767</v>
      </c>
      <c r="C10848" t="s">
        <v>10</v>
      </c>
      <c r="D10848" t="s">
        <v>21802</v>
      </c>
      <c r="E10848" t="s">
        <v>21803</v>
      </c>
      <c r="G10848" s="1">
        <v>8.41</v>
      </c>
    </row>
    <row r="10849" spans="1:7" ht="14.25" customHeight="1" x14ac:dyDescent="0.45">
      <c r="A10849" t="str">
        <f>_xlfn.XLOOKUP(B10849,Ingot!$H$12:$H$119,Ingot!$G$12:$G$119,"")</f>
        <v>Glass</v>
      </c>
      <c r="B10849" t="s">
        <v>21767</v>
      </c>
      <c r="C10849" t="s">
        <v>10</v>
      </c>
      <c r="D10849" t="s">
        <v>21804</v>
      </c>
      <c r="E10849" t="s">
        <v>21805</v>
      </c>
      <c r="G10849" s="1">
        <v>3.64</v>
      </c>
    </row>
    <row r="10850" spans="1:7" ht="14.25" customHeight="1" x14ac:dyDescent="0.45">
      <c r="A10850" t="str">
        <f>_xlfn.XLOOKUP(B10850,Ingot!$H$12:$H$119,Ingot!$G$12:$G$119,"")</f>
        <v>Glass</v>
      </c>
      <c r="B10850" t="s">
        <v>21767</v>
      </c>
      <c r="C10850" t="s">
        <v>10</v>
      </c>
      <c r="D10850" t="s">
        <v>21806</v>
      </c>
      <c r="E10850" t="s">
        <v>21807</v>
      </c>
      <c r="G10850" s="1">
        <v>7.05</v>
      </c>
    </row>
    <row r="10851" spans="1:7" ht="14.25" customHeight="1" x14ac:dyDescent="0.45">
      <c r="A10851" t="str">
        <f>_xlfn.XLOOKUP(B10851,Ingot!$H$12:$H$119,Ingot!$G$12:$G$119,"")</f>
        <v>Glass</v>
      </c>
      <c r="B10851" t="s">
        <v>21767</v>
      </c>
      <c r="C10851" t="s">
        <v>10</v>
      </c>
      <c r="D10851" t="s">
        <v>21808</v>
      </c>
      <c r="E10851" t="s">
        <v>21809</v>
      </c>
      <c r="G10851" s="1">
        <v>2.65</v>
      </c>
    </row>
    <row r="10852" spans="1:7" ht="14.25" customHeight="1" x14ac:dyDescent="0.45">
      <c r="A10852" t="str">
        <f>_xlfn.XLOOKUP(B10852,Ingot!$H$12:$H$119,Ingot!$G$12:$G$119,"")</f>
        <v>Glass</v>
      </c>
      <c r="B10852" t="s">
        <v>21767</v>
      </c>
      <c r="C10852" t="s">
        <v>10</v>
      </c>
      <c r="D10852" t="s">
        <v>21810</v>
      </c>
      <c r="E10852" t="s">
        <v>21811</v>
      </c>
      <c r="G10852" s="1">
        <v>9</v>
      </c>
    </row>
    <row r="10853" spans="1:7" ht="14.25" customHeight="1" x14ac:dyDescent="0.45">
      <c r="A10853" t="str">
        <f>_xlfn.XLOOKUP(B10853,Ingot!$H$12:$H$119,Ingot!$G$12:$G$119,"")</f>
        <v>Glass</v>
      </c>
      <c r="B10853" t="s">
        <v>21767</v>
      </c>
      <c r="C10853" t="s">
        <v>10</v>
      </c>
      <c r="D10853" t="s">
        <v>21812</v>
      </c>
      <c r="E10853" t="s">
        <v>21813</v>
      </c>
      <c r="G10853" s="1">
        <v>10.23</v>
      </c>
    </row>
    <row r="10854" spans="1:7" ht="14.25" customHeight="1" x14ac:dyDescent="0.45">
      <c r="A10854" t="str">
        <f>_xlfn.XLOOKUP(B10854,Ingot!$H$12:$H$119,Ingot!$G$12:$G$119,"")</f>
        <v>Glass</v>
      </c>
      <c r="B10854" t="s">
        <v>21767</v>
      </c>
      <c r="C10854" t="s">
        <v>10</v>
      </c>
      <c r="D10854" t="s">
        <v>21814</v>
      </c>
      <c r="E10854" t="s">
        <v>21815</v>
      </c>
      <c r="G10854" s="1">
        <v>7.7</v>
      </c>
    </row>
    <row r="10855" spans="1:7" ht="14.25" customHeight="1" x14ac:dyDescent="0.45">
      <c r="A10855" t="str">
        <f>_xlfn.XLOOKUP(B10855,Ingot!$H$12:$H$119,Ingot!$G$12:$G$119,"")</f>
        <v>Glass</v>
      </c>
      <c r="B10855" t="s">
        <v>21767</v>
      </c>
      <c r="C10855" t="s">
        <v>10</v>
      </c>
      <c r="D10855" t="s">
        <v>21816</v>
      </c>
      <c r="E10855" t="s">
        <v>21817</v>
      </c>
      <c r="G10855" s="1">
        <v>10.02</v>
      </c>
    </row>
    <row r="10856" spans="1:7" ht="14.25" customHeight="1" x14ac:dyDescent="0.45">
      <c r="A10856" t="str">
        <f>_xlfn.XLOOKUP(B10856,Ingot!$H$12:$H$119,Ingot!$G$12:$G$119,"")</f>
        <v>Glass</v>
      </c>
      <c r="B10856" t="s">
        <v>21767</v>
      </c>
      <c r="C10856" t="s">
        <v>10</v>
      </c>
      <c r="D10856" t="s">
        <v>21818</v>
      </c>
      <c r="E10856" t="s">
        <v>21819</v>
      </c>
      <c r="G10856" s="1">
        <v>11.81</v>
      </c>
    </row>
    <row r="10857" spans="1:7" ht="14.25" customHeight="1" x14ac:dyDescent="0.45">
      <c r="A10857" t="str">
        <f>_xlfn.XLOOKUP(B10857,Ingot!$H$12:$H$119,Ingot!$G$12:$G$119,"")</f>
        <v>Glass</v>
      </c>
      <c r="B10857" t="s">
        <v>21767</v>
      </c>
      <c r="C10857" t="s">
        <v>10</v>
      </c>
      <c r="D10857" t="s">
        <v>21820</v>
      </c>
      <c r="E10857" t="s">
        <v>21821</v>
      </c>
      <c r="G10857" s="1">
        <v>8.44</v>
      </c>
    </row>
    <row r="10858" spans="1:7" ht="14.25" customHeight="1" x14ac:dyDescent="0.45">
      <c r="A10858" t="str">
        <f>_xlfn.XLOOKUP(B10858,Ingot!$H$12:$H$119,Ingot!$G$12:$G$119,"")</f>
        <v>Glass</v>
      </c>
      <c r="B10858" t="s">
        <v>21767</v>
      </c>
      <c r="C10858" t="s">
        <v>10</v>
      </c>
      <c r="D10858" t="s">
        <v>21822</v>
      </c>
      <c r="E10858" t="s">
        <v>21823</v>
      </c>
      <c r="G10858" s="1">
        <v>10.42</v>
      </c>
    </row>
    <row r="10859" spans="1:7" ht="14.25" customHeight="1" x14ac:dyDescent="0.45">
      <c r="A10859" t="str">
        <f>_xlfn.XLOOKUP(B10859,Ingot!$H$12:$H$119,Ingot!$G$12:$G$119,"")</f>
        <v>Glass</v>
      </c>
      <c r="B10859" t="s">
        <v>21767</v>
      </c>
      <c r="C10859" t="s">
        <v>10</v>
      </c>
      <c r="D10859" t="s">
        <v>21824</v>
      </c>
      <c r="E10859" t="s">
        <v>21825</v>
      </c>
    </row>
    <row r="10860" spans="1:7" ht="14.25" customHeight="1" x14ac:dyDescent="0.45">
      <c r="A10860" t="str">
        <f>_xlfn.XLOOKUP(B10860,Ingot!$H$12:$H$119,Ingot!$G$12:$G$119,"")</f>
        <v>Glass</v>
      </c>
      <c r="B10860" t="s">
        <v>21767</v>
      </c>
      <c r="C10860" t="s">
        <v>10</v>
      </c>
      <c r="D10860" t="s">
        <v>21826</v>
      </c>
      <c r="E10860" t="s">
        <v>21827</v>
      </c>
      <c r="G10860" s="1">
        <v>7.96</v>
      </c>
    </row>
    <row r="10861" spans="1:7" ht="14.25" customHeight="1" x14ac:dyDescent="0.45">
      <c r="A10861" t="str">
        <f>_xlfn.XLOOKUP(B10861,Ingot!$H$12:$H$119,Ingot!$G$12:$G$119,"")</f>
        <v>Glass</v>
      </c>
      <c r="B10861" t="s">
        <v>21767</v>
      </c>
      <c r="C10861" t="s">
        <v>10</v>
      </c>
      <c r="D10861" t="s">
        <v>21828</v>
      </c>
      <c r="E10861" t="s">
        <v>21829</v>
      </c>
      <c r="G10861" s="1">
        <v>9.64</v>
      </c>
    </row>
    <row r="10862" spans="1:7" ht="14.25" customHeight="1" x14ac:dyDescent="0.45">
      <c r="A10862" t="str">
        <f>_xlfn.XLOOKUP(B10862,Ingot!$H$12:$H$119,Ingot!$G$12:$G$119,"")</f>
        <v>Glass</v>
      </c>
      <c r="B10862" t="s">
        <v>21767</v>
      </c>
      <c r="C10862" t="s">
        <v>10</v>
      </c>
      <c r="D10862" t="s">
        <v>21830</v>
      </c>
      <c r="E10862" t="s">
        <v>21831</v>
      </c>
      <c r="G10862" s="1">
        <v>7.94</v>
      </c>
    </row>
    <row r="10863" spans="1:7" ht="14.25" customHeight="1" x14ac:dyDescent="0.45">
      <c r="A10863" t="str">
        <f>_xlfn.XLOOKUP(B10863,Ingot!$H$12:$H$119,Ingot!$G$12:$G$119,"")</f>
        <v>Glass</v>
      </c>
      <c r="B10863" t="s">
        <v>21767</v>
      </c>
      <c r="C10863" t="s">
        <v>10</v>
      </c>
      <c r="D10863" t="s">
        <v>21832</v>
      </c>
      <c r="E10863" t="s">
        <v>21833</v>
      </c>
      <c r="G10863" s="1">
        <v>8.66</v>
      </c>
    </row>
    <row r="10864" spans="1:7" ht="14.25" customHeight="1" x14ac:dyDescent="0.45">
      <c r="A10864" t="str">
        <f>_xlfn.XLOOKUP(B10864,Ingot!$H$12:$H$119,Ingot!$G$12:$G$119,"")</f>
        <v>Glass</v>
      </c>
      <c r="B10864" t="s">
        <v>21767</v>
      </c>
      <c r="C10864" t="s">
        <v>10</v>
      </c>
      <c r="D10864" t="s">
        <v>21834</v>
      </c>
      <c r="E10864" t="s">
        <v>21835</v>
      </c>
    </row>
    <row r="10865" spans="1:7" ht="14.25" customHeight="1" x14ac:dyDescent="0.45">
      <c r="A10865" t="str">
        <f>_xlfn.XLOOKUP(B10865,Ingot!$H$12:$H$119,Ingot!$G$12:$G$119,"")</f>
        <v>Glass</v>
      </c>
      <c r="B10865" t="s">
        <v>21767</v>
      </c>
      <c r="C10865" t="s">
        <v>10</v>
      </c>
      <c r="D10865" t="s">
        <v>21836</v>
      </c>
      <c r="E10865" t="s">
        <v>21837</v>
      </c>
      <c r="G10865" s="1">
        <v>2.65</v>
      </c>
    </row>
    <row r="10866" spans="1:7" ht="14.25" customHeight="1" x14ac:dyDescent="0.45">
      <c r="A10866" t="str">
        <f>_xlfn.XLOOKUP(B10866,Ingot!$H$12:$H$119,Ingot!$G$12:$G$119,"")</f>
        <v>Glass</v>
      </c>
      <c r="B10866" t="s">
        <v>21767</v>
      </c>
      <c r="C10866" t="s">
        <v>10</v>
      </c>
      <c r="D10866" t="s">
        <v>21838</v>
      </c>
      <c r="E10866" t="s">
        <v>21839</v>
      </c>
    </row>
    <row r="10867" spans="1:7" ht="14.25" customHeight="1" x14ac:dyDescent="0.45">
      <c r="A10867" t="str">
        <f>_xlfn.XLOOKUP(B10867,Ingot!$H$12:$H$119,Ingot!$G$12:$G$119,"")</f>
        <v>Glass</v>
      </c>
      <c r="B10867" t="s">
        <v>21767</v>
      </c>
      <c r="C10867" t="s">
        <v>10</v>
      </c>
      <c r="D10867" t="s">
        <v>21840</v>
      </c>
      <c r="E10867" t="s">
        <v>21841</v>
      </c>
      <c r="G10867" s="1">
        <v>12.64</v>
      </c>
    </row>
    <row r="10868" spans="1:7" ht="14.25" customHeight="1" x14ac:dyDescent="0.45">
      <c r="A10868" t="str">
        <f>_xlfn.XLOOKUP(B10868,Ingot!$H$12:$H$119,Ingot!$G$12:$G$119,"")</f>
        <v>Glass</v>
      </c>
      <c r="B10868" t="s">
        <v>21767</v>
      </c>
      <c r="C10868" t="s">
        <v>10</v>
      </c>
      <c r="D10868" t="s">
        <v>21842</v>
      </c>
      <c r="E10868" t="s">
        <v>21843</v>
      </c>
      <c r="G10868" s="1">
        <v>22.67</v>
      </c>
    </row>
    <row r="10869" spans="1:7" ht="14.25" customHeight="1" x14ac:dyDescent="0.45">
      <c r="A10869" t="str">
        <f>_xlfn.XLOOKUP(B10869,Ingot!$H$12:$H$119,Ingot!$G$12:$G$119,"")</f>
        <v>Glass</v>
      </c>
      <c r="B10869" t="s">
        <v>21767</v>
      </c>
      <c r="C10869" t="s">
        <v>10</v>
      </c>
      <c r="D10869" t="s">
        <v>21844</v>
      </c>
      <c r="E10869" t="s">
        <v>21845</v>
      </c>
      <c r="G10869" s="1">
        <v>8.3800000000000008</v>
      </c>
    </row>
    <row r="10870" spans="1:7" ht="14.25" customHeight="1" x14ac:dyDescent="0.45">
      <c r="A10870" t="str">
        <f>_xlfn.XLOOKUP(B10870,Ingot!$H$12:$H$119,Ingot!$G$12:$G$119,"")</f>
        <v>Glass</v>
      </c>
      <c r="B10870" t="s">
        <v>21767</v>
      </c>
      <c r="C10870" t="s">
        <v>10</v>
      </c>
      <c r="D10870" t="s">
        <v>21846</v>
      </c>
      <c r="E10870" t="s">
        <v>21847</v>
      </c>
      <c r="G10870" s="1">
        <v>2.2000000000000002</v>
      </c>
    </row>
    <row r="10871" spans="1:7" ht="14.25" customHeight="1" x14ac:dyDescent="0.45">
      <c r="A10871" t="str">
        <f>_xlfn.XLOOKUP(B10871,Ingot!$H$12:$H$119,Ingot!$G$12:$G$119,"")</f>
        <v>Glass</v>
      </c>
      <c r="B10871" t="s">
        <v>21767</v>
      </c>
      <c r="C10871" t="s">
        <v>10</v>
      </c>
      <c r="D10871" t="s">
        <v>21848</v>
      </c>
      <c r="E10871" t="s">
        <v>21849</v>
      </c>
      <c r="G10871" s="1">
        <v>3.09</v>
      </c>
    </row>
    <row r="10872" spans="1:7" ht="14.25" customHeight="1" x14ac:dyDescent="0.45">
      <c r="A10872" t="str">
        <f>_xlfn.XLOOKUP(B10872,Ingot!$H$12:$H$119,Ingot!$G$12:$G$119,"")</f>
        <v>Glass</v>
      </c>
      <c r="B10872" t="s">
        <v>21767</v>
      </c>
      <c r="C10872" t="s">
        <v>10</v>
      </c>
      <c r="D10872" t="s">
        <v>21850</v>
      </c>
      <c r="E10872" t="s">
        <v>21851</v>
      </c>
      <c r="G10872" s="1">
        <v>2.2999999999999998</v>
      </c>
    </row>
    <row r="10873" spans="1:7" ht="14.25" customHeight="1" x14ac:dyDescent="0.45">
      <c r="A10873" t="str">
        <f>_xlfn.XLOOKUP(B10873,Ingot!$H$12:$H$119,Ingot!$G$12:$G$119,"")</f>
        <v>Glass</v>
      </c>
      <c r="B10873" t="s">
        <v>21767</v>
      </c>
      <c r="C10873" t="s">
        <v>10</v>
      </c>
      <c r="D10873" t="s">
        <v>21852</v>
      </c>
      <c r="E10873" t="s">
        <v>21853</v>
      </c>
      <c r="G10873" s="1">
        <v>4.88</v>
      </c>
    </row>
    <row r="10874" spans="1:7" ht="14.25" customHeight="1" x14ac:dyDescent="0.45">
      <c r="A10874" t="str">
        <f>_xlfn.XLOOKUP(B10874,Ingot!$H$12:$H$119,Ingot!$G$12:$G$119,"")</f>
        <v>Glass</v>
      </c>
      <c r="B10874" t="s">
        <v>21767</v>
      </c>
      <c r="C10874" t="s">
        <v>10</v>
      </c>
      <c r="D10874" t="s">
        <v>21854</v>
      </c>
      <c r="E10874" t="s">
        <v>21855</v>
      </c>
      <c r="G10874" s="1">
        <v>8.43</v>
      </c>
    </row>
    <row r="10875" spans="1:7" ht="14.25" customHeight="1" x14ac:dyDescent="0.45">
      <c r="A10875" t="str">
        <f>_xlfn.XLOOKUP(B10875,Ingot!$H$12:$H$119,Ingot!$G$12:$G$119,"")</f>
        <v>Glass</v>
      </c>
      <c r="B10875" t="s">
        <v>21767</v>
      </c>
      <c r="C10875" t="s">
        <v>10</v>
      </c>
      <c r="D10875" t="s">
        <v>21856</v>
      </c>
      <c r="E10875" t="s">
        <v>21857</v>
      </c>
      <c r="G10875" s="1">
        <v>13.07</v>
      </c>
    </row>
    <row r="10876" spans="1:7" ht="14.25" customHeight="1" x14ac:dyDescent="0.45">
      <c r="A10876" t="str">
        <f>_xlfn.XLOOKUP(B10876,Ingot!$H$12:$H$119,Ingot!$G$12:$G$119,"")</f>
        <v>Glass</v>
      </c>
      <c r="B10876" t="s">
        <v>21767</v>
      </c>
      <c r="C10876" t="s">
        <v>10</v>
      </c>
      <c r="D10876" t="s">
        <v>21858</v>
      </c>
      <c r="E10876" t="s">
        <v>21859</v>
      </c>
    </row>
    <row r="10877" spans="1:7" ht="14.25" customHeight="1" x14ac:dyDescent="0.45">
      <c r="A10877" t="str">
        <f>_xlfn.XLOOKUP(B10877,Ingot!$H$12:$H$119,Ingot!$G$12:$G$119,"")</f>
        <v>Glass</v>
      </c>
      <c r="B10877" t="s">
        <v>21767</v>
      </c>
      <c r="C10877" t="s">
        <v>10</v>
      </c>
      <c r="D10877" t="s">
        <v>21860</v>
      </c>
      <c r="E10877" t="s">
        <v>21861</v>
      </c>
    </row>
    <row r="10878" spans="1:7" ht="14.25" customHeight="1" x14ac:dyDescent="0.45">
      <c r="A10878" t="str">
        <f>_xlfn.XLOOKUP(B10878,Ingot!$H$12:$H$119,Ingot!$G$12:$G$119,"")</f>
        <v>Glass</v>
      </c>
      <c r="B10878" t="s">
        <v>21767</v>
      </c>
      <c r="C10878" t="s">
        <v>10</v>
      </c>
      <c r="D10878" t="s">
        <v>21862</v>
      </c>
      <c r="E10878" t="s">
        <v>21863</v>
      </c>
      <c r="G10878" s="1">
        <v>6.8</v>
      </c>
    </row>
    <row r="10879" spans="1:7" ht="14.25" customHeight="1" x14ac:dyDescent="0.45">
      <c r="A10879" t="str">
        <f>_xlfn.XLOOKUP(B10879,Ingot!$H$12:$H$119,Ingot!$G$12:$G$119,"")</f>
        <v>Glass</v>
      </c>
      <c r="B10879" t="s">
        <v>21767</v>
      </c>
      <c r="C10879" t="s">
        <v>10</v>
      </c>
      <c r="D10879" t="s">
        <v>21864</v>
      </c>
      <c r="E10879" t="s">
        <v>21865</v>
      </c>
      <c r="G10879" s="1">
        <v>6.88</v>
      </c>
    </row>
    <row r="10880" spans="1:7" ht="14.25" customHeight="1" x14ac:dyDescent="0.45">
      <c r="A10880" t="str">
        <f>_xlfn.XLOOKUP(B10880,Ingot!$H$12:$H$119,Ingot!$G$12:$G$119,"")</f>
        <v>Glass</v>
      </c>
      <c r="B10880" t="s">
        <v>21767</v>
      </c>
      <c r="C10880" t="s">
        <v>10</v>
      </c>
      <c r="D10880" t="s">
        <v>21866</v>
      </c>
      <c r="E10880" t="s">
        <v>21867</v>
      </c>
      <c r="G10880" s="1">
        <v>5.5</v>
      </c>
    </row>
    <row r="10881" spans="1:7" ht="14.25" customHeight="1" x14ac:dyDescent="0.45">
      <c r="A10881" t="str">
        <f>_xlfn.XLOOKUP(B10881,Ingot!$H$12:$H$119,Ingot!$G$12:$G$119,"")</f>
        <v>Glass</v>
      </c>
      <c r="B10881" t="s">
        <v>21767</v>
      </c>
      <c r="C10881" t="s">
        <v>10</v>
      </c>
      <c r="D10881" t="s">
        <v>21868</v>
      </c>
      <c r="E10881" t="s">
        <v>21869</v>
      </c>
      <c r="G10881" s="1">
        <v>2.4300000000000002</v>
      </c>
    </row>
    <row r="10882" spans="1:7" ht="14.25" customHeight="1" x14ac:dyDescent="0.45">
      <c r="A10882" t="str">
        <f>_xlfn.XLOOKUP(B10882,Ingot!$H$12:$H$119,Ingot!$G$12:$G$119,"")</f>
        <v>Glass</v>
      </c>
      <c r="B10882" t="s">
        <v>21767</v>
      </c>
      <c r="C10882" t="s">
        <v>10</v>
      </c>
      <c r="D10882" t="s">
        <v>21870</v>
      </c>
      <c r="E10882" t="s">
        <v>21871</v>
      </c>
      <c r="G10882" s="1">
        <v>6.96</v>
      </c>
    </row>
    <row r="10883" spans="1:7" ht="14.25" customHeight="1" x14ac:dyDescent="0.45">
      <c r="A10883" t="str">
        <f>_xlfn.XLOOKUP(B10883,Ingot!$H$12:$H$119,Ingot!$G$12:$G$119,"")</f>
        <v>Glass</v>
      </c>
      <c r="B10883" t="s">
        <v>21767</v>
      </c>
      <c r="C10883" t="s">
        <v>10</v>
      </c>
      <c r="D10883" t="s">
        <v>21872</v>
      </c>
      <c r="E10883" t="s">
        <v>21873</v>
      </c>
      <c r="G10883" s="1">
        <v>6.32</v>
      </c>
    </row>
    <row r="10884" spans="1:7" ht="14.25" customHeight="1" x14ac:dyDescent="0.45">
      <c r="A10884" t="str">
        <f>_xlfn.XLOOKUP(B10884,Ingot!$H$12:$H$119,Ingot!$G$12:$G$119,"")</f>
        <v>Glass</v>
      </c>
      <c r="B10884" t="s">
        <v>21767</v>
      </c>
      <c r="C10884" t="s">
        <v>10</v>
      </c>
      <c r="D10884" t="s">
        <v>21874</v>
      </c>
      <c r="E10884" t="s">
        <v>21875</v>
      </c>
      <c r="G10884" s="1">
        <v>6.88</v>
      </c>
    </row>
    <row r="10885" spans="1:7" ht="14.25" customHeight="1" x14ac:dyDescent="0.45">
      <c r="A10885" t="str">
        <f>_xlfn.XLOOKUP(B10885,Ingot!$H$12:$H$119,Ingot!$G$12:$G$119,"")</f>
        <v>Glass</v>
      </c>
      <c r="B10885" t="s">
        <v>21767</v>
      </c>
      <c r="C10885" t="s">
        <v>10</v>
      </c>
      <c r="D10885" t="s">
        <v>21876</v>
      </c>
      <c r="E10885" t="s">
        <v>21877</v>
      </c>
      <c r="G10885" s="1">
        <v>2.44</v>
      </c>
    </row>
    <row r="10886" spans="1:7" ht="14.25" customHeight="1" x14ac:dyDescent="0.45">
      <c r="A10886" t="str">
        <f>_xlfn.XLOOKUP(B10886,Ingot!$H$12:$H$119,Ingot!$G$12:$G$119,"")</f>
        <v>Glass</v>
      </c>
      <c r="B10886" t="s">
        <v>21767</v>
      </c>
      <c r="C10886" t="s">
        <v>10</v>
      </c>
      <c r="D10886" t="s">
        <v>21878</v>
      </c>
      <c r="E10886" t="s">
        <v>21879</v>
      </c>
    </row>
    <row r="10887" spans="1:7" ht="14.25" customHeight="1" x14ac:dyDescent="0.45">
      <c r="A10887" t="str">
        <f>_xlfn.XLOOKUP(B10887,Ingot!$H$12:$H$119,Ingot!$G$12:$G$119,"")</f>
        <v>Glass</v>
      </c>
      <c r="B10887" t="s">
        <v>21767</v>
      </c>
      <c r="C10887" t="s">
        <v>10</v>
      </c>
      <c r="D10887" t="s">
        <v>21880</v>
      </c>
      <c r="E10887" t="s">
        <v>21881</v>
      </c>
    </row>
    <row r="10888" spans="1:7" ht="14.25" customHeight="1" x14ac:dyDescent="0.45">
      <c r="A10888" t="str">
        <f>_xlfn.XLOOKUP(B10888,Ingot!$H$12:$H$119,Ingot!$G$12:$G$119,"")</f>
        <v>Glass</v>
      </c>
      <c r="B10888" t="s">
        <v>21767</v>
      </c>
      <c r="C10888" t="s">
        <v>10</v>
      </c>
      <c r="D10888" t="s">
        <v>21882</v>
      </c>
      <c r="E10888" t="s">
        <v>21883</v>
      </c>
      <c r="G10888" s="1">
        <v>3.11</v>
      </c>
    </row>
    <row r="10889" spans="1:7" ht="14.25" customHeight="1" x14ac:dyDescent="0.45">
      <c r="A10889" t="str">
        <f>_xlfn.XLOOKUP(B10889,Ingot!$H$12:$H$119,Ingot!$G$12:$G$119,"")</f>
        <v>Glass</v>
      </c>
      <c r="B10889" t="s">
        <v>21767</v>
      </c>
      <c r="C10889" t="s">
        <v>10</v>
      </c>
      <c r="D10889" t="s">
        <v>21884</v>
      </c>
      <c r="E10889" t="s">
        <v>21885</v>
      </c>
      <c r="G10889" s="1">
        <v>2.44</v>
      </c>
    </row>
    <row r="10890" spans="1:7" ht="14.25" customHeight="1" x14ac:dyDescent="0.45">
      <c r="A10890" t="str">
        <f>_xlfn.XLOOKUP(B10890,Ingot!$H$12:$H$119,Ingot!$G$12:$G$119,"")</f>
        <v>Glass</v>
      </c>
      <c r="B10890" t="s">
        <v>21767</v>
      </c>
      <c r="C10890" t="s">
        <v>10</v>
      </c>
      <c r="D10890" t="s">
        <v>21886</v>
      </c>
      <c r="E10890" t="s">
        <v>21887</v>
      </c>
      <c r="G10890" s="1">
        <v>8.61</v>
      </c>
    </row>
    <row r="10891" spans="1:7" ht="14.25" customHeight="1" x14ac:dyDescent="0.45">
      <c r="A10891" t="str">
        <f>_xlfn.XLOOKUP(B10891,Ingot!$H$12:$H$119,Ingot!$G$12:$G$119,"")</f>
        <v>Glass</v>
      </c>
      <c r="B10891" t="s">
        <v>21767</v>
      </c>
      <c r="C10891" t="s">
        <v>10</v>
      </c>
      <c r="D10891" t="s">
        <v>21888</v>
      </c>
      <c r="E10891" t="s">
        <v>21889</v>
      </c>
    </row>
    <row r="10892" spans="1:7" ht="14.25" customHeight="1" x14ac:dyDescent="0.45">
      <c r="A10892" t="str">
        <f>_xlfn.XLOOKUP(B10892,Ingot!$H$12:$H$119,Ingot!$G$12:$G$119,"")</f>
        <v>Glass</v>
      </c>
      <c r="B10892" t="s">
        <v>21767</v>
      </c>
      <c r="C10892" t="s">
        <v>10</v>
      </c>
      <c r="D10892" t="s">
        <v>21890</v>
      </c>
      <c r="E10892" t="s">
        <v>21891</v>
      </c>
      <c r="G10892" s="1">
        <v>3.21</v>
      </c>
    </row>
    <row r="10893" spans="1:7" ht="14.25" customHeight="1" x14ac:dyDescent="0.45">
      <c r="A10893" t="str">
        <f>_xlfn.XLOOKUP(B10893,Ingot!$H$12:$H$119,Ingot!$G$12:$G$119,"")</f>
        <v>Glass</v>
      </c>
      <c r="B10893" t="s">
        <v>21767</v>
      </c>
      <c r="C10893" t="s">
        <v>10</v>
      </c>
      <c r="D10893" t="s">
        <v>21892</v>
      </c>
      <c r="E10893" t="s">
        <v>21893</v>
      </c>
      <c r="G10893" s="1">
        <v>2.77</v>
      </c>
    </row>
    <row r="10894" spans="1:7" ht="14.25" customHeight="1" x14ac:dyDescent="0.45">
      <c r="A10894" t="str">
        <f>_xlfn.XLOOKUP(B10894,Ingot!$H$12:$H$119,Ingot!$G$12:$G$119,"")</f>
        <v>Glass</v>
      </c>
      <c r="B10894" t="s">
        <v>21767</v>
      </c>
      <c r="C10894" t="s">
        <v>10</v>
      </c>
      <c r="D10894" t="s">
        <v>21894</v>
      </c>
      <c r="E10894" t="s">
        <v>21895</v>
      </c>
      <c r="G10894" s="1">
        <v>4.8899999999999997</v>
      </c>
    </row>
    <row r="10895" spans="1:7" ht="14.25" customHeight="1" x14ac:dyDescent="0.45">
      <c r="A10895" t="str">
        <f>_xlfn.XLOOKUP(B10895,Ingot!$H$12:$H$119,Ingot!$G$12:$G$119,"")</f>
        <v>Glass</v>
      </c>
      <c r="B10895" t="s">
        <v>21767</v>
      </c>
      <c r="C10895" t="s">
        <v>10</v>
      </c>
      <c r="D10895" t="s">
        <v>21896</v>
      </c>
      <c r="E10895" t="s">
        <v>21897</v>
      </c>
      <c r="G10895" s="1">
        <v>1.76</v>
      </c>
    </row>
    <row r="10896" spans="1:7" ht="14.25" customHeight="1" x14ac:dyDescent="0.45">
      <c r="A10896" t="str">
        <f>_xlfn.XLOOKUP(B10896,Ingot!$H$12:$H$119,Ingot!$G$12:$G$119,"")</f>
        <v>Glass</v>
      </c>
      <c r="B10896" t="s">
        <v>21767</v>
      </c>
      <c r="C10896" t="s">
        <v>10</v>
      </c>
      <c r="D10896" t="s">
        <v>21898</v>
      </c>
      <c r="E10896" t="s">
        <v>21899</v>
      </c>
    </row>
    <row r="10897" spans="1:7" ht="14.25" customHeight="1" x14ac:dyDescent="0.45">
      <c r="A10897" t="str">
        <f>_xlfn.XLOOKUP(B10897,Ingot!$H$12:$H$119,Ingot!$G$12:$G$119,"")</f>
        <v>Glass</v>
      </c>
      <c r="B10897" t="s">
        <v>21767</v>
      </c>
      <c r="C10897" t="s">
        <v>10</v>
      </c>
      <c r="D10897" t="s">
        <v>21900</v>
      </c>
      <c r="E10897" t="s">
        <v>21901</v>
      </c>
      <c r="G10897" s="1">
        <v>8.57</v>
      </c>
    </row>
    <row r="10898" spans="1:7" ht="14.25" customHeight="1" x14ac:dyDescent="0.45">
      <c r="A10898" t="str">
        <f>_xlfn.XLOOKUP(B10898,Ingot!$H$12:$H$119,Ingot!$G$12:$G$119,"")</f>
        <v>Glass</v>
      </c>
      <c r="B10898" t="s">
        <v>21767</v>
      </c>
      <c r="C10898" t="s">
        <v>10</v>
      </c>
      <c r="D10898" t="s">
        <v>21902</v>
      </c>
      <c r="E10898" t="s">
        <v>21903</v>
      </c>
    </row>
    <row r="10899" spans="1:7" ht="14.25" customHeight="1" x14ac:dyDescent="0.45">
      <c r="A10899" t="str">
        <f>_xlfn.XLOOKUP(B10899,Ingot!$H$12:$H$119,Ingot!$G$12:$G$119,"")</f>
        <v>Glass</v>
      </c>
      <c r="B10899" t="s">
        <v>21767</v>
      </c>
      <c r="C10899" t="s">
        <v>10</v>
      </c>
      <c r="D10899" t="s">
        <v>21904</v>
      </c>
      <c r="E10899" t="s">
        <v>21905</v>
      </c>
      <c r="G10899" s="1">
        <v>3.56</v>
      </c>
    </row>
    <row r="10900" spans="1:7" ht="14.25" customHeight="1" x14ac:dyDescent="0.45">
      <c r="A10900" t="str">
        <f>_xlfn.XLOOKUP(B10900,Ingot!$H$12:$H$119,Ingot!$G$12:$G$119,"")</f>
        <v>Glass</v>
      </c>
      <c r="B10900" t="s">
        <v>21767</v>
      </c>
      <c r="C10900" t="s">
        <v>10</v>
      </c>
      <c r="D10900" t="s">
        <v>21906</v>
      </c>
      <c r="E10900" t="s">
        <v>21907</v>
      </c>
      <c r="G10900" s="1">
        <v>8.91</v>
      </c>
    </row>
    <row r="10901" spans="1:7" ht="14.25" customHeight="1" x14ac:dyDescent="0.45">
      <c r="A10901" t="str">
        <f>_xlfn.XLOOKUP(B10901,Ingot!$H$12:$H$119,Ingot!$G$12:$G$119,"")</f>
        <v>Glass</v>
      </c>
      <c r="B10901" t="s">
        <v>21767</v>
      </c>
      <c r="C10901" t="s">
        <v>10</v>
      </c>
      <c r="D10901" t="s">
        <v>21908</v>
      </c>
      <c r="E10901" t="s">
        <v>21909</v>
      </c>
      <c r="G10901" s="1">
        <v>11.02</v>
      </c>
    </row>
    <row r="10902" spans="1:7" ht="14.25" customHeight="1" x14ac:dyDescent="0.45">
      <c r="A10902" t="str">
        <f>_xlfn.XLOOKUP(B10902,Ingot!$H$12:$H$119,Ingot!$G$12:$G$119,"")</f>
        <v>Glass</v>
      </c>
      <c r="B10902" t="s">
        <v>21767</v>
      </c>
      <c r="C10902" t="s">
        <v>10</v>
      </c>
      <c r="D10902" t="s">
        <v>21910</v>
      </c>
      <c r="E10902" t="s">
        <v>21911</v>
      </c>
      <c r="G10902" s="1">
        <v>5.12</v>
      </c>
    </row>
    <row r="10903" spans="1:7" ht="14.25" customHeight="1" x14ac:dyDescent="0.45">
      <c r="A10903" t="str">
        <f>_xlfn.XLOOKUP(B10903,Ingot!$H$12:$H$119,Ingot!$G$12:$G$119,"")</f>
        <v>Glass</v>
      </c>
      <c r="B10903" t="s">
        <v>21767</v>
      </c>
      <c r="C10903" t="s">
        <v>10</v>
      </c>
      <c r="D10903" t="s">
        <v>21912</v>
      </c>
      <c r="E10903" t="s">
        <v>21913</v>
      </c>
      <c r="G10903" s="1">
        <v>4.41</v>
      </c>
    </row>
    <row r="10904" spans="1:7" ht="14.25" customHeight="1" x14ac:dyDescent="0.45">
      <c r="A10904" t="str">
        <f>_xlfn.XLOOKUP(B10904,Ingot!$H$12:$H$119,Ingot!$G$12:$G$119,"")</f>
        <v>Glass</v>
      </c>
      <c r="B10904" t="s">
        <v>21767</v>
      </c>
      <c r="C10904" t="s">
        <v>157</v>
      </c>
      <c r="D10904" t="s">
        <v>21914</v>
      </c>
      <c r="E10904" t="s">
        <v>21915</v>
      </c>
      <c r="G10904" s="1">
        <v>29.5</v>
      </c>
    </row>
    <row r="10905" spans="1:7" ht="14.25" customHeight="1" x14ac:dyDescent="0.45">
      <c r="A10905" t="str">
        <f>_xlfn.XLOOKUP(B10905,Ingot!$H$12:$H$119,Ingot!$G$12:$G$119,"")</f>
        <v>Glass</v>
      </c>
      <c r="B10905" t="s">
        <v>21767</v>
      </c>
      <c r="C10905" t="s">
        <v>157</v>
      </c>
      <c r="D10905" t="s">
        <v>21916</v>
      </c>
      <c r="E10905" t="s">
        <v>21917</v>
      </c>
      <c r="G10905" s="1">
        <v>5.9</v>
      </c>
    </row>
    <row r="10906" spans="1:7" ht="14.25" customHeight="1" x14ac:dyDescent="0.45">
      <c r="A10906" t="str">
        <f>_xlfn.XLOOKUP(B10906,Ingot!$H$12:$H$119,Ingot!$G$12:$G$119,"")</f>
        <v>Glass</v>
      </c>
      <c r="B10906" t="s">
        <v>21767</v>
      </c>
      <c r="C10906" t="s">
        <v>157</v>
      </c>
      <c r="D10906" t="s">
        <v>21918</v>
      </c>
      <c r="E10906" t="s">
        <v>21919</v>
      </c>
      <c r="G10906" s="1">
        <v>5.9</v>
      </c>
    </row>
    <row r="10907" spans="1:7" ht="14.25" customHeight="1" x14ac:dyDescent="0.45">
      <c r="A10907" t="str">
        <f>_xlfn.XLOOKUP(B10907,Ingot!$H$12:$H$119,Ingot!$G$12:$G$119,"")</f>
        <v>Glass</v>
      </c>
      <c r="B10907" t="s">
        <v>21767</v>
      </c>
      <c r="C10907" t="s">
        <v>157</v>
      </c>
      <c r="D10907" t="s">
        <v>21920</v>
      </c>
      <c r="E10907" t="s">
        <v>21921</v>
      </c>
      <c r="G10907" s="1">
        <v>5</v>
      </c>
    </row>
    <row r="10908" spans="1:7" ht="14.25" customHeight="1" x14ac:dyDescent="0.45">
      <c r="A10908" t="str">
        <f>_xlfn.XLOOKUP(B10908,Ingot!$H$12:$H$119,Ingot!$G$12:$G$119,"")</f>
        <v>Glass</v>
      </c>
      <c r="B10908" t="s">
        <v>21767</v>
      </c>
      <c r="C10908" t="s">
        <v>157</v>
      </c>
      <c r="D10908" t="s">
        <v>21922</v>
      </c>
      <c r="E10908" t="s">
        <v>21923</v>
      </c>
      <c r="G10908" s="1">
        <v>10</v>
      </c>
    </row>
    <row r="10909" spans="1:7" ht="14.25" customHeight="1" x14ac:dyDescent="0.45">
      <c r="A10909" t="str">
        <f>_xlfn.XLOOKUP(B10909,Ingot!$H$12:$H$119,Ingot!$G$12:$G$119,"")</f>
        <v>Glass</v>
      </c>
      <c r="B10909" t="s">
        <v>21767</v>
      </c>
      <c r="C10909" t="s">
        <v>157</v>
      </c>
      <c r="D10909" t="s">
        <v>21924</v>
      </c>
      <c r="E10909" t="s">
        <v>21925</v>
      </c>
      <c r="G10909" s="1">
        <v>25.5</v>
      </c>
    </row>
    <row r="10910" spans="1:7" ht="14.25" customHeight="1" x14ac:dyDescent="0.45">
      <c r="A10910" t="str">
        <f>_xlfn.XLOOKUP(B10910,Ingot!$H$12:$H$119,Ingot!$G$12:$G$119,"")</f>
        <v>Glass</v>
      </c>
      <c r="B10910" t="s">
        <v>21767</v>
      </c>
      <c r="C10910" t="s">
        <v>157</v>
      </c>
      <c r="D10910" t="s">
        <v>21926</v>
      </c>
      <c r="E10910" t="s">
        <v>21927</v>
      </c>
      <c r="G10910" s="1">
        <v>5.0999999999999996</v>
      </c>
    </row>
    <row r="10911" spans="1:7" ht="14.25" customHeight="1" x14ac:dyDescent="0.45">
      <c r="A10911" t="str">
        <f>_xlfn.XLOOKUP(B10911,Ingot!$H$12:$H$119,Ingot!$G$12:$G$119,"")</f>
        <v>Glass</v>
      </c>
      <c r="B10911" t="s">
        <v>21767</v>
      </c>
      <c r="C10911" t="s">
        <v>157</v>
      </c>
      <c r="D10911" t="s">
        <v>21928</v>
      </c>
      <c r="E10911" t="s">
        <v>21929</v>
      </c>
      <c r="G10911" s="1">
        <v>5.0999999999999996</v>
      </c>
    </row>
    <row r="10912" spans="1:7" ht="14.25" customHeight="1" x14ac:dyDescent="0.45">
      <c r="A10912" t="str">
        <f>_xlfn.XLOOKUP(B10912,Ingot!$H$12:$H$119,Ingot!$G$12:$G$119,"")</f>
        <v>Glass</v>
      </c>
      <c r="B10912" t="s">
        <v>21767</v>
      </c>
      <c r="C10912" t="s">
        <v>157</v>
      </c>
      <c r="D10912" t="s">
        <v>21930</v>
      </c>
      <c r="E10912" t="s">
        <v>21931</v>
      </c>
      <c r="G10912" s="1">
        <v>5</v>
      </c>
    </row>
    <row r="10913" spans="1:7" ht="14.25" customHeight="1" x14ac:dyDescent="0.45">
      <c r="A10913" t="str">
        <f>_xlfn.XLOOKUP(B10913,Ingot!$H$12:$H$119,Ingot!$G$12:$G$119,"")</f>
        <v>Glass</v>
      </c>
      <c r="B10913" t="s">
        <v>21767</v>
      </c>
      <c r="C10913" t="s">
        <v>157</v>
      </c>
      <c r="D10913" t="s">
        <v>21932</v>
      </c>
      <c r="E10913" t="s">
        <v>21933</v>
      </c>
      <c r="G10913" s="1">
        <v>10</v>
      </c>
    </row>
    <row r="10914" spans="1:7" ht="14.25" customHeight="1" x14ac:dyDescent="0.45">
      <c r="A10914" t="str">
        <f>_xlfn.XLOOKUP(B10914,Ingot!$H$12:$H$119,Ingot!$G$12:$G$119,"")</f>
        <v>Glass</v>
      </c>
      <c r="B10914" t="s">
        <v>21767</v>
      </c>
      <c r="C10914" t="s">
        <v>157</v>
      </c>
      <c r="D10914" t="s">
        <v>21934</v>
      </c>
      <c r="E10914" t="s">
        <v>21935</v>
      </c>
      <c r="G10914" s="1">
        <v>24.5</v>
      </c>
    </row>
    <row r="10915" spans="1:7" ht="14.25" customHeight="1" x14ac:dyDescent="0.45">
      <c r="A10915" t="str">
        <f>_xlfn.XLOOKUP(B10915,Ingot!$H$12:$H$119,Ingot!$G$12:$G$119,"")</f>
        <v>Glass</v>
      </c>
      <c r="B10915" t="s">
        <v>21767</v>
      </c>
      <c r="C10915" t="s">
        <v>157</v>
      </c>
      <c r="D10915" t="s">
        <v>21936</v>
      </c>
      <c r="E10915" t="s">
        <v>21937</v>
      </c>
      <c r="G10915" s="1">
        <v>5</v>
      </c>
    </row>
    <row r="10916" spans="1:7" ht="14.25" customHeight="1" x14ac:dyDescent="0.45">
      <c r="A10916" t="str">
        <f>_xlfn.XLOOKUP(B10916,Ingot!$H$12:$H$119,Ingot!$G$12:$G$119,"")</f>
        <v>Glass</v>
      </c>
      <c r="B10916" t="s">
        <v>21767</v>
      </c>
      <c r="C10916" t="s">
        <v>157</v>
      </c>
      <c r="D10916" t="s">
        <v>21938</v>
      </c>
      <c r="E10916" t="s">
        <v>21939</v>
      </c>
      <c r="G10916" s="1">
        <v>5</v>
      </c>
    </row>
    <row r="10917" spans="1:7" ht="14.25" customHeight="1" x14ac:dyDescent="0.45">
      <c r="A10917" t="str">
        <f>_xlfn.XLOOKUP(B10917,Ingot!$H$12:$H$119,Ingot!$G$12:$G$119,"")</f>
        <v>Glass</v>
      </c>
      <c r="B10917" t="s">
        <v>21767</v>
      </c>
      <c r="C10917" t="s">
        <v>157</v>
      </c>
      <c r="D10917" t="s">
        <v>21940</v>
      </c>
      <c r="E10917" t="s">
        <v>21941</v>
      </c>
      <c r="G10917" s="1">
        <v>5</v>
      </c>
    </row>
    <row r="10918" spans="1:7" ht="14.25" customHeight="1" x14ac:dyDescent="0.45">
      <c r="A10918" t="str">
        <f>_xlfn.XLOOKUP(B10918,Ingot!$H$12:$H$119,Ingot!$G$12:$G$119,"")</f>
        <v>Glass</v>
      </c>
      <c r="B10918" t="s">
        <v>21767</v>
      </c>
      <c r="C10918" t="s">
        <v>157</v>
      </c>
      <c r="D10918" t="s">
        <v>21942</v>
      </c>
      <c r="E10918" t="s">
        <v>21943</v>
      </c>
      <c r="G10918" s="1">
        <v>10</v>
      </c>
    </row>
    <row r="10919" spans="1:7" ht="14.25" customHeight="1" x14ac:dyDescent="0.45">
      <c r="A10919" t="str">
        <f>_xlfn.XLOOKUP(B10919,Ingot!$H$12:$H$119,Ingot!$G$12:$G$119,"")</f>
        <v>Glass</v>
      </c>
      <c r="B10919" t="s">
        <v>21767</v>
      </c>
      <c r="C10919" t="s">
        <v>157</v>
      </c>
      <c r="D10919" t="s">
        <v>21944</v>
      </c>
      <c r="E10919" t="s">
        <v>21945</v>
      </c>
      <c r="G10919" s="1">
        <v>26.5</v>
      </c>
    </row>
    <row r="10920" spans="1:7" ht="14.25" customHeight="1" x14ac:dyDescent="0.45">
      <c r="A10920" t="str">
        <f>_xlfn.XLOOKUP(B10920,Ingot!$H$12:$H$119,Ingot!$G$12:$G$119,"")</f>
        <v>Glass</v>
      </c>
      <c r="B10920" t="s">
        <v>21767</v>
      </c>
      <c r="C10920" t="s">
        <v>157</v>
      </c>
      <c r="D10920" t="s">
        <v>21946</v>
      </c>
      <c r="E10920" t="s">
        <v>21947</v>
      </c>
      <c r="G10920" s="1">
        <v>5.3</v>
      </c>
    </row>
    <row r="10921" spans="1:7" ht="14.25" customHeight="1" x14ac:dyDescent="0.45">
      <c r="A10921" t="str">
        <f>_xlfn.XLOOKUP(B10921,Ingot!$H$12:$H$119,Ingot!$G$12:$G$119,"")</f>
        <v>Glass</v>
      </c>
      <c r="B10921" t="s">
        <v>21767</v>
      </c>
      <c r="C10921" t="s">
        <v>157</v>
      </c>
      <c r="D10921" t="s">
        <v>21948</v>
      </c>
      <c r="E10921" t="s">
        <v>21949</v>
      </c>
      <c r="G10921" s="1">
        <v>5.3</v>
      </c>
    </row>
    <row r="10922" spans="1:7" ht="14.25" customHeight="1" x14ac:dyDescent="0.45">
      <c r="A10922" t="str">
        <f>_xlfn.XLOOKUP(B10922,Ingot!$H$12:$H$119,Ingot!$G$12:$G$119,"")</f>
        <v>Glass</v>
      </c>
      <c r="B10922" t="s">
        <v>21767</v>
      </c>
      <c r="C10922" t="s">
        <v>157</v>
      </c>
      <c r="D10922" t="s">
        <v>21950</v>
      </c>
      <c r="E10922" t="s">
        <v>21951</v>
      </c>
      <c r="G10922" s="1">
        <v>5</v>
      </c>
    </row>
    <row r="10923" spans="1:7" ht="14.25" customHeight="1" x14ac:dyDescent="0.45">
      <c r="A10923" t="str">
        <f>_xlfn.XLOOKUP(B10923,Ingot!$H$12:$H$119,Ingot!$G$12:$G$119,"")</f>
        <v>Glass</v>
      </c>
      <c r="B10923" t="s">
        <v>21767</v>
      </c>
      <c r="C10923" t="s">
        <v>157</v>
      </c>
      <c r="D10923" t="s">
        <v>21952</v>
      </c>
      <c r="E10923" t="s">
        <v>21953</v>
      </c>
      <c r="G10923" s="1">
        <v>10</v>
      </c>
    </row>
    <row r="10924" spans="1:7" ht="14.25" customHeight="1" x14ac:dyDescent="0.45">
      <c r="A10924" t="str">
        <f>_xlfn.XLOOKUP(B10924,Ingot!$H$12:$H$119,Ingot!$G$12:$G$119,"")</f>
        <v>Glass</v>
      </c>
      <c r="B10924" t="s">
        <v>21767</v>
      </c>
      <c r="C10924" t="s">
        <v>157</v>
      </c>
      <c r="D10924" t="s">
        <v>21954</v>
      </c>
      <c r="E10924" t="s">
        <v>21955</v>
      </c>
      <c r="G10924" s="1">
        <v>28</v>
      </c>
    </row>
    <row r="10925" spans="1:7" ht="14.25" customHeight="1" x14ac:dyDescent="0.45">
      <c r="A10925" t="str">
        <f>_xlfn.XLOOKUP(B10925,Ingot!$H$12:$H$119,Ingot!$G$12:$G$119,"")</f>
        <v>Glass</v>
      </c>
      <c r="B10925" t="s">
        <v>21767</v>
      </c>
      <c r="C10925" t="s">
        <v>157</v>
      </c>
      <c r="D10925" t="s">
        <v>21956</v>
      </c>
      <c r="E10925" t="s">
        <v>21957</v>
      </c>
      <c r="G10925" s="1">
        <v>5.6</v>
      </c>
    </row>
    <row r="10926" spans="1:7" ht="14.25" customHeight="1" x14ac:dyDescent="0.45">
      <c r="A10926" t="str">
        <f>_xlfn.XLOOKUP(B10926,Ingot!$H$12:$H$119,Ingot!$G$12:$G$119,"")</f>
        <v>Glass</v>
      </c>
      <c r="B10926" t="s">
        <v>21767</v>
      </c>
      <c r="C10926" t="s">
        <v>157</v>
      </c>
      <c r="D10926" t="s">
        <v>21958</v>
      </c>
      <c r="E10926" t="s">
        <v>21959</v>
      </c>
      <c r="G10926" s="1">
        <v>5.6</v>
      </c>
    </row>
    <row r="10927" spans="1:7" ht="14.25" customHeight="1" x14ac:dyDescent="0.45">
      <c r="A10927" t="str">
        <f>_xlfn.XLOOKUP(B10927,Ingot!$H$12:$H$119,Ingot!$G$12:$G$119,"")</f>
        <v>Glass</v>
      </c>
      <c r="B10927" t="s">
        <v>21767</v>
      </c>
      <c r="C10927" t="s">
        <v>157</v>
      </c>
      <c r="D10927" t="s">
        <v>21960</v>
      </c>
      <c r="E10927" t="s">
        <v>21961</v>
      </c>
      <c r="G10927" s="1">
        <v>5</v>
      </c>
    </row>
    <row r="10928" spans="1:7" ht="14.25" customHeight="1" x14ac:dyDescent="0.45">
      <c r="A10928" t="str">
        <f>_xlfn.XLOOKUP(B10928,Ingot!$H$12:$H$119,Ingot!$G$12:$G$119,"")</f>
        <v>Glass</v>
      </c>
      <c r="B10928" t="s">
        <v>21767</v>
      </c>
      <c r="C10928" t="s">
        <v>157</v>
      </c>
      <c r="D10928" t="s">
        <v>21962</v>
      </c>
      <c r="E10928" t="s">
        <v>21963</v>
      </c>
      <c r="G10928" s="1">
        <v>10</v>
      </c>
    </row>
    <row r="10929" spans="1:7" ht="14.25" customHeight="1" x14ac:dyDescent="0.45">
      <c r="A10929" t="str">
        <f>_xlfn.XLOOKUP(B10929,Ingot!$H$12:$H$119,Ingot!$G$12:$G$119,"")</f>
        <v>Glass</v>
      </c>
      <c r="B10929" t="s">
        <v>21767</v>
      </c>
      <c r="C10929" t="s">
        <v>157</v>
      </c>
      <c r="D10929" t="s">
        <v>21964</v>
      </c>
      <c r="E10929" t="s">
        <v>21965</v>
      </c>
      <c r="G10929" s="1">
        <v>32.5</v>
      </c>
    </row>
    <row r="10930" spans="1:7" ht="14.25" customHeight="1" x14ac:dyDescent="0.45">
      <c r="A10930" t="str">
        <f>_xlfn.XLOOKUP(B10930,Ingot!$H$12:$H$119,Ingot!$G$12:$G$119,"")</f>
        <v>Glass</v>
      </c>
      <c r="B10930" t="s">
        <v>21767</v>
      </c>
      <c r="C10930" t="s">
        <v>157</v>
      </c>
      <c r="D10930" t="s">
        <v>21966</v>
      </c>
      <c r="E10930" t="s">
        <v>21967</v>
      </c>
      <c r="G10930" s="1">
        <v>6.5</v>
      </c>
    </row>
    <row r="10931" spans="1:7" ht="14.25" customHeight="1" x14ac:dyDescent="0.45">
      <c r="A10931" t="str">
        <f>_xlfn.XLOOKUP(B10931,Ingot!$H$12:$H$119,Ingot!$G$12:$G$119,"")</f>
        <v>Glass</v>
      </c>
      <c r="B10931" t="s">
        <v>21767</v>
      </c>
      <c r="C10931" t="s">
        <v>157</v>
      </c>
      <c r="D10931" t="s">
        <v>21968</v>
      </c>
      <c r="E10931" t="s">
        <v>21969</v>
      </c>
      <c r="G10931" s="1">
        <v>6.5</v>
      </c>
    </row>
    <row r="10932" spans="1:7" ht="14.25" customHeight="1" x14ac:dyDescent="0.45">
      <c r="A10932" t="str">
        <f>_xlfn.XLOOKUP(B10932,Ingot!$H$12:$H$119,Ingot!$G$12:$G$119,"")</f>
        <v>Glass</v>
      </c>
      <c r="B10932" t="s">
        <v>21767</v>
      </c>
      <c r="C10932" t="s">
        <v>157</v>
      </c>
      <c r="D10932" t="s">
        <v>21970</v>
      </c>
      <c r="E10932" t="s">
        <v>21971</v>
      </c>
      <c r="G10932" s="1">
        <v>5</v>
      </c>
    </row>
    <row r="10933" spans="1:7" ht="14.25" customHeight="1" x14ac:dyDescent="0.45">
      <c r="A10933" t="str">
        <f>_xlfn.XLOOKUP(B10933,Ingot!$H$12:$H$119,Ingot!$G$12:$G$119,"")</f>
        <v>Glass</v>
      </c>
      <c r="B10933" t="s">
        <v>21767</v>
      </c>
      <c r="C10933" t="s">
        <v>157</v>
      </c>
      <c r="D10933" t="s">
        <v>21972</v>
      </c>
      <c r="E10933" t="s">
        <v>21973</v>
      </c>
      <c r="G10933" s="1">
        <v>10</v>
      </c>
    </row>
    <row r="10934" spans="1:7" ht="14.25" customHeight="1" x14ac:dyDescent="0.45">
      <c r="A10934" t="str">
        <f>_xlfn.XLOOKUP(B10934,Ingot!$H$12:$H$119,Ingot!$G$12:$G$119,"")</f>
        <v>Glass</v>
      </c>
      <c r="B10934" t="s">
        <v>21767</v>
      </c>
      <c r="C10934" t="s">
        <v>157</v>
      </c>
      <c r="D10934" t="s">
        <v>21974</v>
      </c>
      <c r="E10934" t="s">
        <v>21975</v>
      </c>
      <c r="G10934" s="1">
        <v>31</v>
      </c>
    </row>
    <row r="10935" spans="1:7" ht="14.25" customHeight="1" x14ac:dyDescent="0.45">
      <c r="A10935" t="str">
        <f>_xlfn.XLOOKUP(B10935,Ingot!$H$12:$H$119,Ingot!$G$12:$G$119,"")</f>
        <v>Glass</v>
      </c>
      <c r="B10935" t="s">
        <v>21767</v>
      </c>
      <c r="C10935" t="s">
        <v>157</v>
      </c>
      <c r="D10935" t="s">
        <v>21976</v>
      </c>
      <c r="E10935" t="s">
        <v>21977</v>
      </c>
      <c r="G10935" s="1">
        <v>6.2</v>
      </c>
    </row>
    <row r="10936" spans="1:7" ht="14.25" customHeight="1" x14ac:dyDescent="0.45">
      <c r="A10936" t="str">
        <f>_xlfn.XLOOKUP(B10936,Ingot!$H$12:$H$119,Ingot!$G$12:$G$119,"")</f>
        <v>Glass</v>
      </c>
      <c r="B10936" t="s">
        <v>21767</v>
      </c>
      <c r="C10936" t="s">
        <v>157</v>
      </c>
      <c r="D10936" t="s">
        <v>21978</v>
      </c>
      <c r="E10936" t="s">
        <v>21979</v>
      </c>
      <c r="G10936" s="1">
        <v>6.2</v>
      </c>
    </row>
    <row r="10937" spans="1:7" ht="14.25" customHeight="1" x14ac:dyDescent="0.45">
      <c r="A10937" t="str">
        <f>_xlfn.XLOOKUP(B10937,Ingot!$H$12:$H$119,Ingot!$G$12:$G$119,"")</f>
        <v>Glass</v>
      </c>
      <c r="B10937" t="s">
        <v>21767</v>
      </c>
      <c r="C10937" t="s">
        <v>157</v>
      </c>
      <c r="D10937" t="s">
        <v>21980</v>
      </c>
      <c r="E10937" t="s">
        <v>21981</v>
      </c>
      <c r="G10937" s="1">
        <v>5</v>
      </c>
    </row>
    <row r="10938" spans="1:7" ht="14.25" customHeight="1" x14ac:dyDescent="0.45">
      <c r="A10938" t="str">
        <f>_xlfn.XLOOKUP(B10938,Ingot!$H$12:$H$119,Ingot!$G$12:$G$119,"")</f>
        <v>Glass</v>
      </c>
      <c r="B10938" t="s">
        <v>21767</v>
      </c>
      <c r="C10938" t="s">
        <v>157</v>
      </c>
      <c r="D10938" t="s">
        <v>21982</v>
      </c>
      <c r="E10938" t="s">
        <v>21983</v>
      </c>
      <c r="G10938" s="1">
        <v>10</v>
      </c>
    </row>
    <row r="10939" spans="1:7" ht="14.25" customHeight="1" x14ac:dyDescent="0.45">
      <c r="A10939" t="str">
        <f>_xlfn.XLOOKUP(B10939,Ingot!$H$12:$H$119,Ingot!$G$12:$G$119,"")</f>
        <v>Glass</v>
      </c>
      <c r="B10939" t="s">
        <v>21767</v>
      </c>
      <c r="C10939" t="s">
        <v>157</v>
      </c>
      <c r="D10939" t="s">
        <v>21984</v>
      </c>
      <c r="E10939" t="s">
        <v>21985</v>
      </c>
      <c r="G10939" s="1">
        <v>23.5</v>
      </c>
    </row>
    <row r="10940" spans="1:7" ht="14.25" customHeight="1" x14ac:dyDescent="0.45">
      <c r="A10940" t="str">
        <f>_xlfn.XLOOKUP(B10940,Ingot!$H$12:$H$119,Ingot!$G$12:$G$119,"")</f>
        <v>Glass</v>
      </c>
      <c r="B10940" t="s">
        <v>21767</v>
      </c>
      <c r="C10940" t="s">
        <v>157</v>
      </c>
      <c r="D10940" t="s">
        <v>21986</v>
      </c>
      <c r="E10940" t="s">
        <v>21987</v>
      </c>
      <c r="G10940" s="1">
        <v>5</v>
      </c>
    </row>
    <row r="10941" spans="1:7" ht="14.25" customHeight="1" x14ac:dyDescent="0.45">
      <c r="A10941" t="str">
        <f>_xlfn.XLOOKUP(B10941,Ingot!$H$12:$H$119,Ingot!$G$12:$G$119,"")</f>
        <v>Glass</v>
      </c>
      <c r="B10941" t="s">
        <v>21767</v>
      </c>
      <c r="C10941" t="s">
        <v>157</v>
      </c>
      <c r="D10941" t="s">
        <v>21988</v>
      </c>
      <c r="E10941" t="s">
        <v>21989</v>
      </c>
      <c r="G10941" s="1">
        <v>5</v>
      </c>
    </row>
    <row r="10942" spans="1:7" ht="14.25" customHeight="1" x14ac:dyDescent="0.45">
      <c r="A10942" t="str">
        <f>_xlfn.XLOOKUP(B10942,Ingot!$H$12:$H$119,Ingot!$G$12:$G$119,"")</f>
        <v>Glass</v>
      </c>
      <c r="B10942" t="s">
        <v>21767</v>
      </c>
      <c r="C10942" t="s">
        <v>157</v>
      </c>
      <c r="D10942" t="s">
        <v>21990</v>
      </c>
      <c r="E10942" t="s">
        <v>21991</v>
      </c>
      <c r="G10942" s="1">
        <v>5</v>
      </c>
    </row>
    <row r="10943" spans="1:7" ht="14.25" customHeight="1" x14ac:dyDescent="0.45">
      <c r="A10943" t="str">
        <f>_xlfn.XLOOKUP(B10943,Ingot!$H$12:$H$119,Ingot!$G$12:$G$119,"")</f>
        <v>Glass</v>
      </c>
      <c r="B10943" t="s">
        <v>21767</v>
      </c>
      <c r="C10943" t="s">
        <v>157</v>
      </c>
      <c r="D10943" t="s">
        <v>21992</v>
      </c>
      <c r="E10943" t="s">
        <v>21993</v>
      </c>
      <c r="G10943" s="1">
        <v>10</v>
      </c>
    </row>
    <row r="10944" spans="1:7" ht="14.25" customHeight="1" x14ac:dyDescent="0.45">
      <c r="A10944" t="str">
        <f>_xlfn.XLOOKUP(B10944,Ingot!$H$12:$H$119,Ingot!$G$12:$G$119,"")</f>
        <v>Glass</v>
      </c>
      <c r="B10944" t="s">
        <v>21767</v>
      </c>
      <c r="C10944" t="s">
        <v>239</v>
      </c>
      <c r="D10944" t="s">
        <v>21994</v>
      </c>
      <c r="E10944" t="s">
        <v>21995</v>
      </c>
    </row>
    <row r="10945" spans="1:7" ht="14.25" customHeight="1" x14ac:dyDescent="0.45">
      <c r="A10945" t="str">
        <f>_xlfn.XLOOKUP(B10945,Ingot!$H$12:$H$119,Ingot!$G$12:$G$119,"")</f>
        <v>Glass</v>
      </c>
      <c r="B10945" t="s">
        <v>21767</v>
      </c>
      <c r="C10945" t="s">
        <v>239</v>
      </c>
      <c r="D10945" t="s">
        <v>21996</v>
      </c>
      <c r="E10945" t="s">
        <v>21997</v>
      </c>
    </row>
    <row r="10946" spans="1:7" ht="14.25" customHeight="1" x14ac:dyDescent="0.45">
      <c r="A10946" t="str">
        <f>_xlfn.XLOOKUP(B10946,Ingot!$H$12:$H$119,Ingot!$G$12:$G$119,"")</f>
        <v>Glass</v>
      </c>
      <c r="B10946" t="s">
        <v>21767</v>
      </c>
      <c r="C10946" t="s">
        <v>239</v>
      </c>
      <c r="D10946" t="s">
        <v>21998</v>
      </c>
      <c r="E10946" t="s">
        <v>21999</v>
      </c>
    </row>
    <row r="10947" spans="1:7" ht="14.25" customHeight="1" x14ac:dyDescent="0.45">
      <c r="A10947" t="str">
        <f>_xlfn.XLOOKUP(B10947,Ingot!$H$12:$H$119,Ingot!$G$12:$G$119,"")</f>
        <v>Glass</v>
      </c>
      <c r="B10947" t="s">
        <v>21767</v>
      </c>
      <c r="C10947" t="s">
        <v>239</v>
      </c>
      <c r="D10947" t="s">
        <v>22000</v>
      </c>
      <c r="E10947" t="s">
        <v>22001</v>
      </c>
    </row>
    <row r="10948" spans="1:7" ht="14.25" customHeight="1" x14ac:dyDescent="0.45">
      <c r="A10948" t="str">
        <f>_xlfn.XLOOKUP(B10948,Ingot!$H$12:$H$119,Ingot!$G$12:$G$119,"")</f>
        <v>Glass</v>
      </c>
      <c r="B10948" t="s">
        <v>21767</v>
      </c>
      <c r="C10948" t="s">
        <v>239</v>
      </c>
      <c r="D10948" t="s">
        <v>22002</v>
      </c>
      <c r="E10948" t="s">
        <v>22003</v>
      </c>
    </row>
    <row r="10949" spans="1:7" ht="14.25" customHeight="1" x14ac:dyDescent="0.45">
      <c r="A10949" t="str">
        <f>_xlfn.XLOOKUP(B10949,Ingot!$H$12:$H$119,Ingot!$G$12:$G$119,"")</f>
        <v>Glass</v>
      </c>
      <c r="B10949" t="s">
        <v>21767</v>
      </c>
      <c r="C10949" t="s">
        <v>239</v>
      </c>
      <c r="D10949" t="s">
        <v>22004</v>
      </c>
      <c r="E10949" t="s">
        <v>22005</v>
      </c>
    </row>
    <row r="10950" spans="1:7" ht="14.25" customHeight="1" x14ac:dyDescent="0.45">
      <c r="A10950" t="str">
        <f>_xlfn.XLOOKUP(B10950,Ingot!$H$12:$H$119,Ingot!$G$12:$G$119,"")</f>
        <v>Glass</v>
      </c>
      <c r="B10950" t="s">
        <v>22006</v>
      </c>
      <c r="C10950" t="s">
        <v>10</v>
      </c>
      <c r="D10950" t="s">
        <v>22007</v>
      </c>
      <c r="E10950" t="s">
        <v>22008</v>
      </c>
      <c r="G10950" s="1">
        <v>0.08</v>
      </c>
    </row>
    <row r="10951" spans="1:7" ht="14.25" customHeight="1" x14ac:dyDescent="0.45">
      <c r="A10951" t="str">
        <f>_xlfn.XLOOKUP(B10951,Ingot!$H$12:$H$119,Ingot!$G$12:$G$119,"")</f>
        <v>Glass</v>
      </c>
      <c r="B10951" t="s">
        <v>22006</v>
      </c>
      <c r="C10951" t="s">
        <v>10</v>
      </c>
      <c r="D10951" t="s">
        <v>22009</v>
      </c>
      <c r="E10951" t="s">
        <v>22010</v>
      </c>
      <c r="G10951" s="1">
        <v>9.9</v>
      </c>
    </row>
    <row r="10952" spans="1:7" ht="14.25" customHeight="1" x14ac:dyDescent="0.45">
      <c r="A10952" t="str">
        <f>_xlfn.XLOOKUP(B10952,Ingot!$H$12:$H$119,Ingot!$G$12:$G$119,"")</f>
        <v>Glass</v>
      </c>
      <c r="B10952" t="s">
        <v>22006</v>
      </c>
      <c r="C10952" t="s">
        <v>10</v>
      </c>
      <c r="D10952" t="s">
        <v>22011</v>
      </c>
      <c r="E10952" t="s">
        <v>22012</v>
      </c>
      <c r="G10952" s="1">
        <v>5.66</v>
      </c>
    </row>
    <row r="10953" spans="1:7" ht="14.25" customHeight="1" x14ac:dyDescent="0.45">
      <c r="A10953" t="str">
        <f>_xlfn.XLOOKUP(B10953,Ingot!$H$12:$H$119,Ingot!$G$12:$G$119,"")</f>
        <v>Glass</v>
      </c>
      <c r="B10953" t="s">
        <v>22006</v>
      </c>
      <c r="C10953" t="s">
        <v>10</v>
      </c>
      <c r="D10953" t="s">
        <v>22013</v>
      </c>
      <c r="E10953" t="s">
        <v>22014</v>
      </c>
      <c r="G10953" s="1">
        <v>3.3</v>
      </c>
    </row>
    <row r="10954" spans="1:7" ht="14.25" customHeight="1" x14ac:dyDescent="0.45">
      <c r="A10954" t="str">
        <f>_xlfn.XLOOKUP(B10954,Ingot!$H$12:$H$119,Ingot!$G$12:$G$119,"")</f>
        <v>Glass</v>
      </c>
      <c r="B10954" t="s">
        <v>22006</v>
      </c>
      <c r="C10954" t="s">
        <v>10</v>
      </c>
      <c r="D10954" t="s">
        <v>22015</v>
      </c>
      <c r="E10954" t="s">
        <v>22016</v>
      </c>
      <c r="G10954" s="1">
        <v>0.66</v>
      </c>
    </row>
    <row r="10955" spans="1:7" ht="14.25" customHeight="1" x14ac:dyDescent="0.45">
      <c r="A10955" t="str">
        <f>_xlfn.XLOOKUP(B10955,Ingot!$H$12:$H$119,Ingot!$G$12:$G$119,"")</f>
        <v>Glass</v>
      </c>
      <c r="B10955" t="s">
        <v>22006</v>
      </c>
      <c r="C10955" t="s">
        <v>10</v>
      </c>
      <c r="D10955" t="s">
        <v>22017</v>
      </c>
      <c r="E10955" t="s">
        <v>22018</v>
      </c>
      <c r="G10955" s="1">
        <v>0.04</v>
      </c>
    </row>
    <row r="10956" spans="1:7" ht="14.25" customHeight="1" x14ac:dyDescent="0.45">
      <c r="A10956" t="str">
        <f>_xlfn.XLOOKUP(B10956,Ingot!$H$12:$H$119,Ingot!$G$12:$G$119,"")</f>
        <v>Glass</v>
      </c>
      <c r="B10956" t="s">
        <v>22006</v>
      </c>
      <c r="C10956" t="s">
        <v>10</v>
      </c>
      <c r="D10956" t="s">
        <v>22019</v>
      </c>
      <c r="E10956" t="s">
        <v>22020</v>
      </c>
      <c r="G10956" s="1">
        <v>0.33</v>
      </c>
    </row>
    <row r="10957" spans="1:7" ht="14.25" customHeight="1" x14ac:dyDescent="0.45">
      <c r="A10957" t="str">
        <f>_xlfn.XLOOKUP(B10957,Ingot!$H$12:$H$119,Ingot!$G$12:$G$119,"")</f>
        <v>Glass</v>
      </c>
      <c r="B10957" t="s">
        <v>22006</v>
      </c>
      <c r="C10957" t="s">
        <v>10</v>
      </c>
      <c r="D10957" t="s">
        <v>22021</v>
      </c>
      <c r="E10957" t="s">
        <v>22022</v>
      </c>
    </row>
    <row r="10958" spans="1:7" ht="14.25" customHeight="1" x14ac:dyDescent="0.45">
      <c r="A10958" t="str">
        <f>_xlfn.XLOOKUP(B10958,Ingot!$H$12:$H$119,Ingot!$G$12:$G$119,"")</f>
        <v>Glass</v>
      </c>
      <c r="B10958" t="s">
        <v>22006</v>
      </c>
      <c r="C10958" t="s">
        <v>10</v>
      </c>
      <c r="D10958" t="s">
        <v>22023</v>
      </c>
      <c r="E10958" t="s">
        <v>22024</v>
      </c>
      <c r="G10958" s="1">
        <v>0.05</v>
      </c>
    </row>
    <row r="10959" spans="1:7" ht="14.25" customHeight="1" x14ac:dyDescent="0.45">
      <c r="A10959" t="str">
        <f>_xlfn.XLOOKUP(B10959,Ingot!$H$12:$H$119,Ingot!$G$12:$G$119,"")</f>
        <v>Glass</v>
      </c>
      <c r="B10959" t="s">
        <v>22006</v>
      </c>
      <c r="C10959" t="s">
        <v>10</v>
      </c>
      <c r="D10959" t="s">
        <v>22025</v>
      </c>
      <c r="E10959" t="s">
        <v>22026</v>
      </c>
      <c r="G10959" s="1">
        <v>0.66</v>
      </c>
    </row>
    <row r="10960" spans="1:7" ht="14.25" customHeight="1" x14ac:dyDescent="0.45">
      <c r="A10960" t="str">
        <f>_xlfn.XLOOKUP(B10960,Ingot!$H$12:$H$119,Ingot!$G$12:$G$119,"")</f>
        <v>Glass</v>
      </c>
      <c r="B10960" t="s">
        <v>22006</v>
      </c>
      <c r="C10960" t="s">
        <v>10</v>
      </c>
      <c r="D10960" t="s">
        <v>22027</v>
      </c>
      <c r="E10960" t="s">
        <v>22028</v>
      </c>
      <c r="G10960" s="1">
        <v>3.96</v>
      </c>
    </row>
    <row r="10961" spans="1:7" ht="14.25" customHeight="1" x14ac:dyDescent="0.45">
      <c r="A10961" t="str">
        <f>_xlfn.XLOOKUP(B10961,Ingot!$H$12:$H$119,Ingot!$G$12:$G$119,"")</f>
        <v>Glass</v>
      </c>
      <c r="B10961" t="s">
        <v>22006</v>
      </c>
      <c r="C10961" t="s">
        <v>10</v>
      </c>
      <c r="D10961" t="s">
        <v>22029</v>
      </c>
      <c r="E10961" t="s">
        <v>22030</v>
      </c>
      <c r="G10961" s="1">
        <v>8.77</v>
      </c>
    </row>
    <row r="10962" spans="1:7" ht="14.25" customHeight="1" x14ac:dyDescent="0.45">
      <c r="A10962" t="str">
        <f>_xlfn.XLOOKUP(B10962,Ingot!$H$12:$H$119,Ingot!$G$12:$G$119,"")</f>
        <v>Glass</v>
      </c>
      <c r="B10962" t="s">
        <v>22006</v>
      </c>
      <c r="C10962" t="s">
        <v>10</v>
      </c>
      <c r="D10962" t="s">
        <v>22031</v>
      </c>
      <c r="E10962" t="s">
        <v>22032</v>
      </c>
      <c r="G10962" s="1">
        <v>3.5</v>
      </c>
    </row>
    <row r="10963" spans="1:7" ht="14.25" customHeight="1" x14ac:dyDescent="0.45">
      <c r="A10963" t="str">
        <f>_xlfn.XLOOKUP(B10963,Ingot!$H$12:$H$119,Ingot!$G$12:$G$119,"")</f>
        <v>Glass</v>
      </c>
      <c r="B10963" t="s">
        <v>22006</v>
      </c>
      <c r="C10963" t="s">
        <v>10</v>
      </c>
      <c r="D10963" t="s">
        <v>22033</v>
      </c>
      <c r="E10963" t="s">
        <v>22034</v>
      </c>
    </row>
    <row r="10964" spans="1:7" ht="14.25" customHeight="1" x14ac:dyDescent="0.45">
      <c r="A10964" t="str">
        <f>_xlfn.XLOOKUP(B10964,Ingot!$H$12:$H$119,Ingot!$G$12:$G$119,"")</f>
        <v>Glass</v>
      </c>
      <c r="B10964" t="s">
        <v>22006</v>
      </c>
      <c r="C10964" t="s">
        <v>10</v>
      </c>
      <c r="D10964" t="s">
        <v>22035</v>
      </c>
      <c r="E10964" t="s">
        <v>22036</v>
      </c>
      <c r="G10964" s="1">
        <v>2.2000000000000002</v>
      </c>
    </row>
    <row r="10965" spans="1:7" ht="14.25" customHeight="1" x14ac:dyDescent="0.45">
      <c r="A10965" t="str">
        <f>_xlfn.XLOOKUP(B10965,Ingot!$H$12:$H$119,Ingot!$G$12:$G$119,"")</f>
        <v>Glass</v>
      </c>
      <c r="B10965" t="s">
        <v>22006</v>
      </c>
      <c r="C10965" t="s">
        <v>10</v>
      </c>
      <c r="D10965" t="s">
        <v>22037</v>
      </c>
      <c r="E10965" t="s">
        <v>22038</v>
      </c>
      <c r="G10965" s="1">
        <v>1.1000000000000001</v>
      </c>
    </row>
    <row r="10966" spans="1:7" ht="14.25" customHeight="1" x14ac:dyDescent="0.45">
      <c r="A10966" t="str">
        <f>_xlfn.XLOOKUP(B10966,Ingot!$H$12:$H$119,Ingot!$G$12:$G$119,"")</f>
        <v>Glass</v>
      </c>
      <c r="B10966" t="s">
        <v>22006</v>
      </c>
      <c r="C10966" t="s">
        <v>10</v>
      </c>
      <c r="D10966" t="s">
        <v>22039</v>
      </c>
      <c r="E10966" t="s">
        <v>22040</v>
      </c>
      <c r="G10966" s="1">
        <v>0.22</v>
      </c>
    </row>
    <row r="10967" spans="1:7" ht="14.25" customHeight="1" x14ac:dyDescent="0.45">
      <c r="A10967" t="str">
        <f>_xlfn.XLOOKUP(B10967,Ingot!$H$12:$H$119,Ingot!$G$12:$G$119,"")</f>
        <v>Glass</v>
      </c>
      <c r="B10967" t="s">
        <v>22006</v>
      </c>
      <c r="C10967" t="s">
        <v>10</v>
      </c>
      <c r="D10967" t="s">
        <v>22041</v>
      </c>
      <c r="E10967" t="s">
        <v>22042</v>
      </c>
      <c r="G10967" s="1">
        <v>8.41</v>
      </c>
    </row>
    <row r="10968" spans="1:7" ht="14.25" customHeight="1" x14ac:dyDescent="0.45">
      <c r="A10968" t="str">
        <f>_xlfn.XLOOKUP(B10968,Ingot!$H$12:$H$119,Ingot!$G$12:$G$119,"")</f>
        <v>Glass</v>
      </c>
      <c r="B10968" t="s">
        <v>22006</v>
      </c>
      <c r="C10968" t="s">
        <v>10</v>
      </c>
      <c r="D10968" t="s">
        <v>22043</v>
      </c>
      <c r="E10968" t="s">
        <v>22044</v>
      </c>
      <c r="G10968" s="1">
        <v>3.64</v>
      </c>
    </row>
    <row r="10969" spans="1:7" ht="14.25" customHeight="1" x14ac:dyDescent="0.45">
      <c r="A10969" t="str">
        <f>_xlfn.XLOOKUP(B10969,Ingot!$H$12:$H$119,Ingot!$G$12:$G$119,"")</f>
        <v>Glass</v>
      </c>
      <c r="B10969" t="s">
        <v>22006</v>
      </c>
      <c r="C10969" t="s">
        <v>10</v>
      </c>
      <c r="D10969" t="s">
        <v>22045</v>
      </c>
      <c r="E10969" t="s">
        <v>22046</v>
      </c>
      <c r="G10969" s="1">
        <v>7.05</v>
      </c>
    </row>
    <row r="10970" spans="1:7" ht="14.25" customHeight="1" x14ac:dyDescent="0.45">
      <c r="A10970" t="str">
        <f>_xlfn.XLOOKUP(B10970,Ingot!$H$12:$H$119,Ingot!$G$12:$G$119,"")</f>
        <v>Glass</v>
      </c>
      <c r="B10970" t="s">
        <v>22006</v>
      </c>
      <c r="C10970" t="s">
        <v>10</v>
      </c>
      <c r="D10970" t="s">
        <v>22047</v>
      </c>
      <c r="E10970" t="s">
        <v>22048</v>
      </c>
      <c r="G10970" s="1">
        <v>2.65</v>
      </c>
    </row>
    <row r="10971" spans="1:7" ht="14.25" customHeight="1" x14ac:dyDescent="0.45">
      <c r="A10971" t="str">
        <f>_xlfn.XLOOKUP(B10971,Ingot!$H$12:$H$119,Ingot!$G$12:$G$119,"")</f>
        <v>Glass</v>
      </c>
      <c r="B10971" t="s">
        <v>22006</v>
      </c>
      <c r="C10971" t="s">
        <v>10</v>
      </c>
      <c r="D10971" t="s">
        <v>22049</v>
      </c>
      <c r="E10971" t="s">
        <v>22050</v>
      </c>
      <c r="G10971" s="1">
        <v>9</v>
      </c>
    </row>
    <row r="10972" spans="1:7" ht="14.25" customHeight="1" x14ac:dyDescent="0.45">
      <c r="A10972" t="str">
        <f>_xlfn.XLOOKUP(B10972,Ingot!$H$12:$H$119,Ingot!$G$12:$G$119,"")</f>
        <v>Glass</v>
      </c>
      <c r="B10972" t="s">
        <v>22006</v>
      </c>
      <c r="C10972" t="s">
        <v>10</v>
      </c>
      <c r="D10972" t="s">
        <v>22051</v>
      </c>
      <c r="E10972" t="s">
        <v>22052</v>
      </c>
      <c r="G10972" s="1">
        <v>10.23</v>
      </c>
    </row>
    <row r="10973" spans="1:7" ht="14.25" customHeight="1" x14ac:dyDescent="0.45">
      <c r="A10973" t="str">
        <f>_xlfn.XLOOKUP(B10973,Ingot!$H$12:$H$119,Ingot!$G$12:$G$119,"")</f>
        <v>Glass</v>
      </c>
      <c r="B10973" t="s">
        <v>22006</v>
      </c>
      <c r="C10973" t="s">
        <v>10</v>
      </c>
      <c r="D10973" t="s">
        <v>22053</v>
      </c>
      <c r="E10973" t="s">
        <v>22054</v>
      </c>
      <c r="G10973" s="1">
        <v>7.7</v>
      </c>
    </row>
    <row r="10974" spans="1:7" ht="14.25" customHeight="1" x14ac:dyDescent="0.45">
      <c r="A10974" t="str">
        <f>_xlfn.XLOOKUP(B10974,Ingot!$H$12:$H$119,Ingot!$G$12:$G$119,"")</f>
        <v>Glass</v>
      </c>
      <c r="B10974" t="s">
        <v>22006</v>
      </c>
      <c r="C10974" t="s">
        <v>10</v>
      </c>
      <c r="D10974" t="s">
        <v>22055</v>
      </c>
      <c r="E10974" t="s">
        <v>22056</v>
      </c>
      <c r="G10974" s="1">
        <v>10.02</v>
      </c>
    </row>
    <row r="10975" spans="1:7" ht="14.25" customHeight="1" x14ac:dyDescent="0.45">
      <c r="A10975" t="str">
        <f>_xlfn.XLOOKUP(B10975,Ingot!$H$12:$H$119,Ingot!$G$12:$G$119,"")</f>
        <v>Glass</v>
      </c>
      <c r="B10975" t="s">
        <v>22006</v>
      </c>
      <c r="C10975" t="s">
        <v>10</v>
      </c>
      <c r="D10975" t="s">
        <v>22057</v>
      </c>
      <c r="E10975" t="s">
        <v>22058</v>
      </c>
      <c r="G10975" s="1">
        <v>11.81</v>
      </c>
    </row>
    <row r="10976" spans="1:7" ht="14.25" customHeight="1" x14ac:dyDescent="0.45">
      <c r="A10976" t="str">
        <f>_xlfn.XLOOKUP(B10976,Ingot!$H$12:$H$119,Ingot!$G$12:$G$119,"")</f>
        <v>Glass</v>
      </c>
      <c r="B10976" t="s">
        <v>22006</v>
      </c>
      <c r="C10976" t="s">
        <v>10</v>
      </c>
      <c r="D10976" t="s">
        <v>22059</v>
      </c>
      <c r="E10976" t="s">
        <v>22060</v>
      </c>
      <c r="G10976" s="1">
        <v>8.44</v>
      </c>
    </row>
    <row r="10977" spans="1:7" ht="14.25" customHeight="1" x14ac:dyDescent="0.45">
      <c r="A10977" t="str">
        <f>_xlfn.XLOOKUP(B10977,Ingot!$H$12:$H$119,Ingot!$G$12:$G$119,"")</f>
        <v>Glass</v>
      </c>
      <c r="B10977" t="s">
        <v>22006</v>
      </c>
      <c r="C10977" t="s">
        <v>10</v>
      </c>
      <c r="D10977" t="s">
        <v>22061</v>
      </c>
      <c r="E10977" t="s">
        <v>22062</v>
      </c>
      <c r="G10977" s="1">
        <v>10.42</v>
      </c>
    </row>
    <row r="10978" spans="1:7" ht="14.25" customHeight="1" x14ac:dyDescent="0.45">
      <c r="A10978" t="str">
        <f>_xlfn.XLOOKUP(B10978,Ingot!$H$12:$H$119,Ingot!$G$12:$G$119,"")</f>
        <v>Glass</v>
      </c>
      <c r="B10978" t="s">
        <v>22006</v>
      </c>
      <c r="C10978" t="s">
        <v>10</v>
      </c>
      <c r="D10978" t="s">
        <v>22063</v>
      </c>
      <c r="E10978" t="s">
        <v>22064</v>
      </c>
    </row>
    <row r="10979" spans="1:7" ht="14.25" customHeight="1" x14ac:dyDescent="0.45">
      <c r="A10979" t="str">
        <f>_xlfn.XLOOKUP(B10979,Ingot!$H$12:$H$119,Ingot!$G$12:$G$119,"")</f>
        <v>Glass</v>
      </c>
      <c r="B10979" t="s">
        <v>22006</v>
      </c>
      <c r="C10979" t="s">
        <v>10</v>
      </c>
      <c r="D10979" t="s">
        <v>22065</v>
      </c>
      <c r="E10979" t="s">
        <v>22066</v>
      </c>
      <c r="G10979" s="1">
        <v>7.96</v>
      </c>
    </row>
    <row r="10980" spans="1:7" ht="14.25" customHeight="1" x14ac:dyDescent="0.45">
      <c r="A10980" t="str">
        <f>_xlfn.XLOOKUP(B10980,Ingot!$H$12:$H$119,Ingot!$G$12:$G$119,"")</f>
        <v>Glass</v>
      </c>
      <c r="B10980" t="s">
        <v>22006</v>
      </c>
      <c r="C10980" t="s">
        <v>10</v>
      </c>
      <c r="D10980" t="s">
        <v>22067</v>
      </c>
      <c r="E10980" t="s">
        <v>22068</v>
      </c>
      <c r="G10980" s="1">
        <v>9.64</v>
      </c>
    </row>
    <row r="10981" spans="1:7" ht="14.25" customHeight="1" x14ac:dyDescent="0.45">
      <c r="A10981" t="str">
        <f>_xlfn.XLOOKUP(B10981,Ingot!$H$12:$H$119,Ingot!$G$12:$G$119,"")</f>
        <v>Glass</v>
      </c>
      <c r="B10981" t="s">
        <v>22006</v>
      </c>
      <c r="C10981" t="s">
        <v>10</v>
      </c>
      <c r="D10981" t="s">
        <v>22069</v>
      </c>
      <c r="E10981" t="s">
        <v>22070</v>
      </c>
      <c r="G10981" s="1">
        <v>7.94</v>
      </c>
    </row>
    <row r="10982" spans="1:7" ht="14.25" customHeight="1" x14ac:dyDescent="0.45">
      <c r="A10982" t="str">
        <f>_xlfn.XLOOKUP(B10982,Ingot!$H$12:$H$119,Ingot!$G$12:$G$119,"")</f>
        <v>Glass</v>
      </c>
      <c r="B10982" t="s">
        <v>22006</v>
      </c>
      <c r="C10982" t="s">
        <v>10</v>
      </c>
      <c r="D10982" t="s">
        <v>22071</v>
      </c>
      <c r="E10982" t="s">
        <v>22072</v>
      </c>
      <c r="G10982" s="1">
        <v>8.66</v>
      </c>
    </row>
    <row r="10983" spans="1:7" ht="14.25" customHeight="1" x14ac:dyDescent="0.45">
      <c r="A10983" t="str">
        <f>_xlfn.XLOOKUP(B10983,Ingot!$H$12:$H$119,Ingot!$G$12:$G$119,"")</f>
        <v>Glass</v>
      </c>
      <c r="B10983" t="s">
        <v>22006</v>
      </c>
      <c r="C10983" t="s">
        <v>10</v>
      </c>
      <c r="D10983" t="s">
        <v>22073</v>
      </c>
      <c r="E10983" t="s">
        <v>22074</v>
      </c>
    </row>
    <row r="10984" spans="1:7" ht="14.25" customHeight="1" x14ac:dyDescent="0.45">
      <c r="A10984" t="str">
        <f>_xlfn.XLOOKUP(B10984,Ingot!$H$12:$H$119,Ingot!$G$12:$G$119,"")</f>
        <v>Glass</v>
      </c>
      <c r="B10984" t="s">
        <v>22006</v>
      </c>
      <c r="C10984" t="s">
        <v>10</v>
      </c>
      <c r="D10984" t="s">
        <v>22075</v>
      </c>
      <c r="E10984" t="s">
        <v>22076</v>
      </c>
      <c r="G10984" s="1">
        <v>2.65</v>
      </c>
    </row>
    <row r="10985" spans="1:7" ht="14.25" customHeight="1" x14ac:dyDescent="0.45">
      <c r="A10985" t="str">
        <f>_xlfn.XLOOKUP(B10985,Ingot!$H$12:$H$119,Ingot!$G$12:$G$119,"")</f>
        <v>Glass</v>
      </c>
      <c r="B10985" t="s">
        <v>22006</v>
      </c>
      <c r="C10985" t="s">
        <v>10</v>
      </c>
      <c r="D10985" t="s">
        <v>22077</v>
      </c>
      <c r="E10985" t="s">
        <v>22078</v>
      </c>
    </row>
    <row r="10986" spans="1:7" ht="14.25" customHeight="1" x14ac:dyDescent="0.45">
      <c r="A10986" t="str">
        <f>_xlfn.XLOOKUP(B10986,Ingot!$H$12:$H$119,Ingot!$G$12:$G$119,"")</f>
        <v>Glass</v>
      </c>
      <c r="B10986" t="s">
        <v>22006</v>
      </c>
      <c r="C10986" t="s">
        <v>10</v>
      </c>
      <c r="D10986" t="s">
        <v>22079</v>
      </c>
      <c r="E10986" t="s">
        <v>22080</v>
      </c>
      <c r="G10986" s="1">
        <v>12.64</v>
      </c>
    </row>
    <row r="10987" spans="1:7" ht="14.25" customHeight="1" x14ac:dyDescent="0.45">
      <c r="A10987" t="str">
        <f>_xlfn.XLOOKUP(B10987,Ingot!$H$12:$H$119,Ingot!$G$12:$G$119,"")</f>
        <v>Glass</v>
      </c>
      <c r="B10987" t="s">
        <v>22006</v>
      </c>
      <c r="C10987" t="s">
        <v>10</v>
      </c>
      <c r="D10987" t="s">
        <v>22081</v>
      </c>
      <c r="E10987" t="s">
        <v>22082</v>
      </c>
      <c r="G10987" s="1">
        <v>22.67</v>
      </c>
    </row>
    <row r="10988" spans="1:7" ht="14.25" customHeight="1" x14ac:dyDescent="0.45">
      <c r="A10988" t="str">
        <f>_xlfn.XLOOKUP(B10988,Ingot!$H$12:$H$119,Ingot!$G$12:$G$119,"")</f>
        <v>Glass</v>
      </c>
      <c r="B10988" t="s">
        <v>22006</v>
      </c>
      <c r="C10988" t="s">
        <v>10</v>
      </c>
      <c r="D10988" t="s">
        <v>22083</v>
      </c>
      <c r="E10988" t="s">
        <v>22084</v>
      </c>
      <c r="G10988" s="1">
        <v>8.3800000000000008</v>
      </c>
    </row>
    <row r="10989" spans="1:7" ht="14.25" customHeight="1" x14ac:dyDescent="0.45">
      <c r="A10989" t="str">
        <f>_xlfn.XLOOKUP(B10989,Ingot!$H$12:$H$119,Ingot!$G$12:$G$119,"")</f>
        <v>Glass</v>
      </c>
      <c r="B10989" t="s">
        <v>22006</v>
      </c>
      <c r="C10989" t="s">
        <v>10</v>
      </c>
      <c r="D10989" t="s">
        <v>22085</v>
      </c>
      <c r="E10989" t="s">
        <v>22086</v>
      </c>
      <c r="G10989" s="1">
        <v>2.2000000000000002</v>
      </c>
    </row>
    <row r="10990" spans="1:7" ht="14.25" customHeight="1" x14ac:dyDescent="0.45">
      <c r="A10990" t="str">
        <f>_xlfn.XLOOKUP(B10990,Ingot!$H$12:$H$119,Ingot!$G$12:$G$119,"")</f>
        <v>Glass</v>
      </c>
      <c r="B10990" t="s">
        <v>22006</v>
      </c>
      <c r="C10990" t="s">
        <v>10</v>
      </c>
      <c r="D10990" t="s">
        <v>22087</v>
      </c>
      <c r="E10990" t="s">
        <v>22088</v>
      </c>
      <c r="G10990" s="1">
        <v>3.09</v>
      </c>
    </row>
    <row r="10991" spans="1:7" ht="14.25" customHeight="1" x14ac:dyDescent="0.45">
      <c r="A10991" t="str">
        <f>_xlfn.XLOOKUP(B10991,Ingot!$H$12:$H$119,Ingot!$G$12:$G$119,"")</f>
        <v>Glass</v>
      </c>
      <c r="B10991" t="s">
        <v>22006</v>
      </c>
      <c r="C10991" t="s">
        <v>10</v>
      </c>
      <c r="D10991" t="s">
        <v>22089</v>
      </c>
      <c r="E10991" t="s">
        <v>22090</v>
      </c>
      <c r="G10991" s="1">
        <v>2.2999999999999998</v>
      </c>
    </row>
    <row r="10992" spans="1:7" ht="14.25" customHeight="1" x14ac:dyDescent="0.45">
      <c r="A10992" t="str">
        <f>_xlfn.XLOOKUP(B10992,Ingot!$H$12:$H$119,Ingot!$G$12:$G$119,"")</f>
        <v>Glass</v>
      </c>
      <c r="B10992" t="s">
        <v>22006</v>
      </c>
      <c r="C10992" t="s">
        <v>10</v>
      </c>
      <c r="D10992" t="s">
        <v>22091</v>
      </c>
      <c r="E10992" t="s">
        <v>22092</v>
      </c>
      <c r="G10992" s="1">
        <v>4.88</v>
      </c>
    </row>
    <row r="10993" spans="1:7" ht="14.25" customHeight="1" x14ac:dyDescent="0.45">
      <c r="A10993" t="str">
        <f>_xlfn.XLOOKUP(B10993,Ingot!$H$12:$H$119,Ingot!$G$12:$G$119,"")</f>
        <v>Glass</v>
      </c>
      <c r="B10993" t="s">
        <v>22006</v>
      </c>
      <c r="C10993" t="s">
        <v>10</v>
      </c>
      <c r="D10993" t="s">
        <v>22093</v>
      </c>
      <c r="E10993" t="s">
        <v>22094</v>
      </c>
      <c r="G10993" s="1">
        <v>8.43</v>
      </c>
    </row>
    <row r="10994" spans="1:7" ht="14.25" customHeight="1" x14ac:dyDescent="0.45">
      <c r="A10994" t="str">
        <f>_xlfn.XLOOKUP(B10994,Ingot!$H$12:$H$119,Ingot!$G$12:$G$119,"")</f>
        <v>Glass</v>
      </c>
      <c r="B10994" t="s">
        <v>22006</v>
      </c>
      <c r="C10994" t="s">
        <v>10</v>
      </c>
      <c r="D10994" t="s">
        <v>22095</v>
      </c>
      <c r="E10994" t="s">
        <v>22096</v>
      </c>
      <c r="G10994" s="1">
        <v>13.07</v>
      </c>
    </row>
    <row r="10995" spans="1:7" ht="14.25" customHeight="1" x14ac:dyDescent="0.45">
      <c r="A10995" t="str">
        <f>_xlfn.XLOOKUP(B10995,Ingot!$H$12:$H$119,Ingot!$G$12:$G$119,"")</f>
        <v>Glass</v>
      </c>
      <c r="B10995" t="s">
        <v>22006</v>
      </c>
      <c r="C10995" t="s">
        <v>10</v>
      </c>
      <c r="D10995" t="s">
        <v>22097</v>
      </c>
      <c r="E10995" t="s">
        <v>22098</v>
      </c>
    </row>
    <row r="10996" spans="1:7" ht="14.25" customHeight="1" x14ac:dyDescent="0.45">
      <c r="A10996" t="str">
        <f>_xlfn.XLOOKUP(B10996,Ingot!$H$12:$H$119,Ingot!$G$12:$G$119,"")</f>
        <v>Glass</v>
      </c>
      <c r="B10996" t="s">
        <v>22006</v>
      </c>
      <c r="C10996" t="s">
        <v>10</v>
      </c>
      <c r="D10996" t="s">
        <v>22099</v>
      </c>
      <c r="E10996" t="s">
        <v>22100</v>
      </c>
    </row>
    <row r="10997" spans="1:7" ht="14.25" customHeight="1" x14ac:dyDescent="0.45">
      <c r="A10997" t="str">
        <f>_xlfn.XLOOKUP(B10997,Ingot!$H$12:$H$119,Ingot!$G$12:$G$119,"")</f>
        <v>Glass</v>
      </c>
      <c r="B10997" t="s">
        <v>22006</v>
      </c>
      <c r="C10997" t="s">
        <v>10</v>
      </c>
      <c r="D10997" t="s">
        <v>22101</v>
      </c>
      <c r="E10997" t="s">
        <v>22102</v>
      </c>
      <c r="G10997" s="1">
        <v>6.8</v>
      </c>
    </row>
    <row r="10998" spans="1:7" ht="14.25" customHeight="1" x14ac:dyDescent="0.45">
      <c r="A10998" t="str">
        <f>_xlfn.XLOOKUP(B10998,Ingot!$H$12:$H$119,Ingot!$G$12:$G$119,"")</f>
        <v>Glass</v>
      </c>
      <c r="B10998" t="s">
        <v>22006</v>
      </c>
      <c r="C10998" t="s">
        <v>10</v>
      </c>
      <c r="D10998" t="s">
        <v>22103</v>
      </c>
      <c r="E10998" t="s">
        <v>22104</v>
      </c>
      <c r="G10998" s="1">
        <v>6.88</v>
      </c>
    </row>
    <row r="10999" spans="1:7" ht="14.25" customHeight="1" x14ac:dyDescent="0.45">
      <c r="A10999" t="str">
        <f>_xlfn.XLOOKUP(B10999,Ingot!$H$12:$H$119,Ingot!$G$12:$G$119,"")</f>
        <v>Glass</v>
      </c>
      <c r="B10999" t="s">
        <v>22006</v>
      </c>
      <c r="C10999" t="s">
        <v>10</v>
      </c>
      <c r="D10999" t="s">
        <v>22105</v>
      </c>
      <c r="E10999" t="s">
        <v>22106</v>
      </c>
      <c r="G10999" s="1">
        <v>5.5</v>
      </c>
    </row>
    <row r="11000" spans="1:7" ht="14.25" customHeight="1" x14ac:dyDescent="0.45">
      <c r="A11000" t="str">
        <f>_xlfn.XLOOKUP(B11000,Ingot!$H$12:$H$119,Ingot!$G$12:$G$119,"")</f>
        <v>Glass</v>
      </c>
      <c r="B11000" t="s">
        <v>22006</v>
      </c>
      <c r="C11000" t="s">
        <v>10</v>
      </c>
      <c r="D11000" t="s">
        <v>22107</v>
      </c>
      <c r="E11000" t="s">
        <v>22108</v>
      </c>
      <c r="G11000" s="1">
        <v>2.4300000000000002</v>
      </c>
    </row>
    <row r="11001" spans="1:7" ht="14.25" customHeight="1" x14ac:dyDescent="0.45">
      <c r="A11001" t="str">
        <f>_xlfn.XLOOKUP(B11001,Ingot!$H$12:$H$119,Ingot!$G$12:$G$119,"")</f>
        <v>Glass</v>
      </c>
      <c r="B11001" t="s">
        <v>22006</v>
      </c>
      <c r="C11001" t="s">
        <v>10</v>
      </c>
      <c r="D11001" t="s">
        <v>22109</v>
      </c>
      <c r="E11001" t="s">
        <v>22110</v>
      </c>
      <c r="G11001" s="1">
        <v>6.96</v>
      </c>
    </row>
    <row r="11002" spans="1:7" ht="14.25" customHeight="1" x14ac:dyDescent="0.45">
      <c r="A11002" t="str">
        <f>_xlfn.XLOOKUP(B11002,Ingot!$H$12:$H$119,Ingot!$G$12:$G$119,"")</f>
        <v>Glass</v>
      </c>
      <c r="B11002" t="s">
        <v>22006</v>
      </c>
      <c r="C11002" t="s">
        <v>10</v>
      </c>
      <c r="D11002" t="s">
        <v>22111</v>
      </c>
      <c r="E11002" t="s">
        <v>22112</v>
      </c>
      <c r="G11002" s="1">
        <v>6.32</v>
      </c>
    </row>
    <row r="11003" spans="1:7" ht="14.25" customHeight="1" x14ac:dyDescent="0.45">
      <c r="A11003" t="str">
        <f>_xlfn.XLOOKUP(B11003,Ingot!$H$12:$H$119,Ingot!$G$12:$G$119,"")</f>
        <v>Glass</v>
      </c>
      <c r="B11003" t="s">
        <v>22006</v>
      </c>
      <c r="C11003" t="s">
        <v>10</v>
      </c>
      <c r="D11003" t="s">
        <v>22113</v>
      </c>
      <c r="E11003" t="s">
        <v>22114</v>
      </c>
      <c r="G11003" s="1">
        <v>6.88</v>
      </c>
    </row>
    <row r="11004" spans="1:7" ht="14.25" customHeight="1" x14ac:dyDescent="0.45">
      <c r="A11004" t="str">
        <f>_xlfn.XLOOKUP(B11004,Ingot!$H$12:$H$119,Ingot!$G$12:$G$119,"")</f>
        <v>Glass</v>
      </c>
      <c r="B11004" t="s">
        <v>22006</v>
      </c>
      <c r="C11004" t="s">
        <v>10</v>
      </c>
      <c r="D11004" t="s">
        <v>22115</v>
      </c>
      <c r="E11004" t="s">
        <v>22116</v>
      </c>
      <c r="G11004" s="1">
        <v>2.44</v>
      </c>
    </row>
    <row r="11005" spans="1:7" ht="14.25" customHeight="1" x14ac:dyDescent="0.45">
      <c r="A11005" t="str">
        <f>_xlfn.XLOOKUP(B11005,Ingot!$H$12:$H$119,Ingot!$G$12:$G$119,"")</f>
        <v>Glass</v>
      </c>
      <c r="B11005" t="s">
        <v>22006</v>
      </c>
      <c r="C11005" t="s">
        <v>10</v>
      </c>
      <c r="D11005" t="s">
        <v>22117</v>
      </c>
      <c r="E11005" t="s">
        <v>22118</v>
      </c>
    </row>
    <row r="11006" spans="1:7" ht="14.25" customHeight="1" x14ac:dyDescent="0.45">
      <c r="A11006" t="str">
        <f>_xlfn.XLOOKUP(B11006,Ingot!$H$12:$H$119,Ingot!$G$12:$G$119,"")</f>
        <v>Glass</v>
      </c>
      <c r="B11006" t="s">
        <v>22006</v>
      </c>
      <c r="C11006" t="s">
        <v>10</v>
      </c>
      <c r="D11006" t="s">
        <v>22119</v>
      </c>
      <c r="E11006" t="s">
        <v>22120</v>
      </c>
    </row>
    <row r="11007" spans="1:7" ht="14.25" customHeight="1" x14ac:dyDescent="0.45">
      <c r="A11007" t="str">
        <f>_xlfn.XLOOKUP(B11007,Ingot!$H$12:$H$119,Ingot!$G$12:$G$119,"")</f>
        <v>Glass</v>
      </c>
      <c r="B11007" t="s">
        <v>22006</v>
      </c>
      <c r="C11007" t="s">
        <v>10</v>
      </c>
      <c r="D11007" t="s">
        <v>22121</v>
      </c>
      <c r="E11007" t="s">
        <v>22122</v>
      </c>
      <c r="G11007" s="1">
        <v>3.11</v>
      </c>
    </row>
    <row r="11008" spans="1:7" ht="14.25" customHeight="1" x14ac:dyDescent="0.45">
      <c r="A11008" t="str">
        <f>_xlfn.XLOOKUP(B11008,Ingot!$H$12:$H$119,Ingot!$G$12:$G$119,"")</f>
        <v>Glass</v>
      </c>
      <c r="B11008" t="s">
        <v>22006</v>
      </c>
      <c r="C11008" t="s">
        <v>10</v>
      </c>
      <c r="D11008" t="s">
        <v>22123</v>
      </c>
      <c r="E11008" t="s">
        <v>22124</v>
      </c>
      <c r="G11008" s="1">
        <v>2.44</v>
      </c>
    </row>
    <row r="11009" spans="1:7" ht="14.25" customHeight="1" x14ac:dyDescent="0.45">
      <c r="A11009" t="str">
        <f>_xlfn.XLOOKUP(B11009,Ingot!$H$12:$H$119,Ingot!$G$12:$G$119,"")</f>
        <v>Glass</v>
      </c>
      <c r="B11009" t="s">
        <v>22006</v>
      </c>
      <c r="C11009" t="s">
        <v>10</v>
      </c>
      <c r="D11009" t="s">
        <v>22125</v>
      </c>
      <c r="E11009" t="s">
        <v>22126</v>
      </c>
      <c r="G11009" s="1">
        <v>8.61</v>
      </c>
    </row>
    <row r="11010" spans="1:7" ht="14.25" customHeight="1" x14ac:dyDescent="0.45">
      <c r="A11010" t="str">
        <f>_xlfn.XLOOKUP(B11010,Ingot!$H$12:$H$119,Ingot!$G$12:$G$119,"")</f>
        <v>Glass</v>
      </c>
      <c r="B11010" t="s">
        <v>22006</v>
      </c>
      <c r="C11010" t="s">
        <v>10</v>
      </c>
      <c r="D11010" t="s">
        <v>22127</v>
      </c>
      <c r="E11010" t="s">
        <v>22128</v>
      </c>
    </row>
    <row r="11011" spans="1:7" ht="14.25" customHeight="1" x14ac:dyDescent="0.45">
      <c r="A11011" t="str">
        <f>_xlfn.XLOOKUP(B11011,Ingot!$H$12:$H$119,Ingot!$G$12:$G$119,"")</f>
        <v>Glass</v>
      </c>
      <c r="B11011" t="s">
        <v>22006</v>
      </c>
      <c r="C11011" t="s">
        <v>10</v>
      </c>
      <c r="D11011" t="s">
        <v>22129</v>
      </c>
      <c r="E11011" t="s">
        <v>22130</v>
      </c>
      <c r="G11011" s="1">
        <v>3.21</v>
      </c>
    </row>
    <row r="11012" spans="1:7" ht="14.25" customHeight="1" x14ac:dyDescent="0.45">
      <c r="A11012" t="str">
        <f>_xlfn.XLOOKUP(B11012,Ingot!$H$12:$H$119,Ingot!$G$12:$G$119,"")</f>
        <v>Glass</v>
      </c>
      <c r="B11012" t="s">
        <v>22006</v>
      </c>
      <c r="C11012" t="s">
        <v>10</v>
      </c>
      <c r="D11012" t="s">
        <v>22131</v>
      </c>
      <c r="E11012" t="s">
        <v>22132</v>
      </c>
      <c r="G11012" s="1">
        <v>2.77</v>
      </c>
    </row>
    <row r="11013" spans="1:7" ht="14.25" customHeight="1" x14ac:dyDescent="0.45">
      <c r="A11013" t="str">
        <f>_xlfn.XLOOKUP(B11013,Ingot!$H$12:$H$119,Ingot!$G$12:$G$119,"")</f>
        <v>Glass</v>
      </c>
      <c r="B11013" t="s">
        <v>22006</v>
      </c>
      <c r="C11013" t="s">
        <v>10</v>
      </c>
      <c r="D11013" t="s">
        <v>22133</v>
      </c>
      <c r="E11013" t="s">
        <v>22134</v>
      </c>
      <c r="G11013" s="1">
        <v>4.8899999999999997</v>
      </c>
    </row>
    <row r="11014" spans="1:7" ht="14.25" customHeight="1" x14ac:dyDescent="0.45">
      <c r="A11014" t="str">
        <f>_xlfn.XLOOKUP(B11014,Ingot!$H$12:$H$119,Ingot!$G$12:$G$119,"")</f>
        <v>Glass</v>
      </c>
      <c r="B11014" t="s">
        <v>22006</v>
      </c>
      <c r="C11014" t="s">
        <v>10</v>
      </c>
      <c r="D11014" t="s">
        <v>22135</v>
      </c>
      <c r="E11014" t="s">
        <v>22136</v>
      </c>
      <c r="G11014" s="1">
        <v>1.76</v>
      </c>
    </row>
    <row r="11015" spans="1:7" ht="14.25" customHeight="1" x14ac:dyDescent="0.45">
      <c r="A11015" t="str">
        <f>_xlfn.XLOOKUP(B11015,Ingot!$H$12:$H$119,Ingot!$G$12:$G$119,"")</f>
        <v>Glass</v>
      </c>
      <c r="B11015" t="s">
        <v>22006</v>
      </c>
      <c r="C11015" t="s">
        <v>10</v>
      </c>
      <c r="D11015" t="s">
        <v>22137</v>
      </c>
      <c r="E11015" t="s">
        <v>22138</v>
      </c>
    </row>
    <row r="11016" spans="1:7" ht="14.25" customHeight="1" x14ac:dyDescent="0.45">
      <c r="A11016" t="str">
        <f>_xlfn.XLOOKUP(B11016,Ingot!$H$12:$H$119,Ingot!$G$12:$G$119,"")</f>
        <v>Glass</v>
      </c>
      <c r="B11016" t="s">
        <v>22006</v>
      </c>
      <c r="C11016" t="s">
        <v>10</v>
      </c>
      <c r="D11016" t="s">
        <v>22139</v>
      </c>
      <c r="E11016" t="s">
        <v>22140</v>
      </c>
      <c r="G11016" s="1">
        <v>8.57</v>
      </c>
    </row>
    <row r="11017" spans="1:7" ht="14.25" customHeight="1" x14ac:dyDescent="0.45">
      <c r="A11017" t="str">
        <f>_xlfn.XLOOKUP(B11017,Ingot!$H$12:$H$119,Ingot!$G$12:$G$119,"")</f>
        <v>Glass</v>
      </c>
      <c r="B11017" t="s">
        <v>22006</v>
      </c>
      <c r="C11017" t="s">
        <v>10</v>
      </c>
      <c r="D11017" t="s">
        <v>22141</v>
      </c>
      <c r="E11017" t="s">
        <v>22142</v>
      </c>
    </row>
    <row r="11018" spans="1:7" ht="14.25" customHeight="1" x14ac:dyDescent="0.45">
      <c r="A11018" t="str">
        <f>_xlfn.XLOOKUP(B11018,Ingot!$H$12:$H$119,Ingot!$G$12:$G$119,"")</f>
        <v>Glass</v>
      </c>
      <c r="B11018" t="s">
        <v>22006</v>
      </c>
      <c r="C11018" t="s">
        <v>10</v>
      </c>
      <c r="D11018" t="s">
        <v>22143</v>
      </c>
      <c r="E11018" t="s">
        <v>22144</v>
      </c>
      <c r="G11018" s="1">
        <v>3.56</v>
      </c>
    </row>
    <row r="11019" spans="1:7" ht="14.25" customHeight="1" x14ac:dyDescent="0.45">
      <c r="A11019" t="str">
        <f>_xlfn.XLOOKUP(B11019,Ingot!$H$12:$H$119,Ingot!$G$12:$G$119,"")</f>
        <v>Glass</v>
      </c>
      <c r="B11019" t="s">
        <v>22006</v>
      </c>
      <c r="C11019" t="s">
        <v>10</v>
      </c>
      <c r="D11019" t="s">
        <v>22145</v>
      </c>
      <c r="E11019" t="s">
        <v>22146</v>
      </c>
      <c r="G11019" s="1">
        <v>8.91</v>
      </c>
    </row>
    <row r="11020" spans="1:7" ht="14.25" customHeight="1" x14ac:dyDescent="0.45">
      <c r="A11020" t="str">
        <f>_xlfn.XLOOKUP(B11020,Ingot!$H$12:$H$119,Ingot!$G$12:$G$119,"")</f>
        <v>Glass</v>
      </c>
      <c r="B11020" t="s">
        <v>22006</v>
      </c>
      <c r="C11020" t="s">
        <v>10</v>
      </c>
      <c r="D11020" t="s">
        <v>22147</v>
      </c>
      <c r="E11020" t="s">
        <v>22148</v>
      </c>
      <c r="G11020" s="1">
        <v>11.02</v>
      </c>
    </row>
    <row r="11021" spans="1:7" ht="14.25" customHeight="1" x14ac:dyDescent="0.45">
      <c r="A11021" t="str">
        <f>_xlfn.XLOOKUP(B11021,Ingot!$H$12:$H$119,Ingot!$G$12:$G$119,"")</f>
        <v>Glass</v>
      </c>
      <c r="B11021" t="s">
        <v>22006</v>
      </c>
      <c r="C11021" t="s">
        <v>10</v>
      </c>
      <c r="D11021" t="s">
        <v>22149</v>
      </c>
      <c r="E11021" t="s">
        <v>22150</v>
      </c>
      <c r="G11021" s="1">
        <v>5.12</v>
      </c>
    </row>
    <row r="11022" spans="1:7" ht="14.25" customHeight="1" x14ac:dyDescent="0.45">
      <c r="A11022" t="str">
        <f>_xlfn.XLOOKUP(B11022,Ingot!$H$12:$H$119,Ingot!$G$12:$G$119,"")</f>
        <v>Glass</v>
      </c>
      <c r="B11022" t="s">
        <v>22006</v>
      </c>
      <c r="C11022" t="s">
        <v>10</v>
      </c>
      <c r="D11022" t="s">
        <v>22151</v>
      </c>
      <c r="E11022" t="s">
        <v>22152</v>
      </c>
      <c r="G11022" s="1">
        <v>4.41</v>
      </c>
    </row>
    <row r="11023" spans="1:7" ht="14.25" customHeight="1" x14ac:dyDescent="0.45">
      <c r="A11023" t="str">
        <f>_xlfn.XLOOKUP(B11023,Ingot!$H$12:$H$119,Ingot!$G$12:$G$119,"")</f>
        <v>Glass</v>
      </c>
      <c r="B11023" t="s">
        <v>22006</v>
      </c>
      <c r="C11023" t="s">
        <v>157</v>
      </c>
      <c r="D11023" t="s">
        <v>22153</v>
      </c>
      <c r="E11023" t="s">
        <v>22154</v>
      </c>
      <c r="G11023" s="1">
        <v>29.5</v>
      </c>
    </row>
    <row r="11024" spans="1:7" ht="14.25" customHeight="1" x14ac:dyDescent="0.45">
      <c r="A11024" t="str">
        <f>_xlfn.XLOOKUP(B11024,Ingot!$H$12:$H$119,Ingot!$G$12:$G$119,"")</f>
        <v>Glass</v>
      </c>
      <c r="B11024" t="s">
        <v>22006</v>
      </c>
      <c r="C11024" t="s">
        <v>157</v>
      </c>
      <c r="D11024" t="s">
        <v>22155</v>
      </c>
      <c r="E11024" t="s">
        <v>22156</v>
      </c>
      <c r="G11024" s="1">
        <v>5.9</v>
      </c>
    </row>
    <row r="11025" spans="1:7" ht="14.25" customHeight="1" x14ac:dyDescent="0.45">
      <c r="A11025" t="str">
        <f>_xlfn.XLOOKUP(B11025,Ingot!$H$12:$H$119,Ingot!$G$12:$G$119,"")</f>
        <v>Glass</v>
      </c>
      <c r="B11025" t="s">
        <v>22006</v>
      </c>
      <c r="C11025" t="s">
        <v>157</v>
      </c>
      <c r="D11025" t="s">
        <v>22157</v>
      </c>
      <c r="E11025" t="s">
        <v>22158</v>
      </c>
      <c r="G11025" s="1">
        <v>5.9</v>
      </c>
    </row>
    <row r="11026" spans="1:7" ht="14.25" customHeight="1" x14ac:dyDescent="0.45">
      <c r="A11026" t="str">
        <f>_xlfn.XLOOKUP(B11026,Ingot!$H$12:$H$119,Ingot!$G$12:$G$119,"")</f>
        <v>Glass</v>
      </c>
      <c r="B11026" t="s">
        <v>22006</v>
      </c>
      <c r="C11026" t="s">
        <v>157</v>
      </c>
      <c r="D11026" t="s">
        <v>22159</v>
      </c>
      <c r="E11026" t="s">
        <v>22160</v>
      </c>
      <c r="G11026" s="1">
        <v>5</v>
      </c>
    </row>
    <row r="11027" spans="1:7" ht="14.25" customHeight="1" x14ac:dyDescent="0.45">
      <c r="A11027" t="str">
        <f>_xlfn.XLOOKUP(B11027,Ingot!$H$12:$H$119,Ingot!$G$12:$G$119,"")</f>
        <v>Glass</v>
      </c>
      <c r="B11027" t="s">
        <v>22006</v>
      </c>
      <c r="C11027" t="s">
        <v>157</v>
      </c>
      <c r="D11027" t="s">
        <v>22161</v>
      </c>
      <c r="E11027" t="s">
        <v>22162</v>
      </c>
      <c r="G11027" s="1">
        <v>10</v>
      </c>
    </row>
    <row r="11028" spans="1:7" ht="14.25" customHeight="1" x14ac:dyDescent="0.45">
      <c r="A11028" t="str">
        <f>_xlfn.XLOOKUP(B11028,Ingot!$H$12:$H$119,Ingot!$G$12:$G$119,"")</f>
        <v>Glass</v>
      </c>
      <c r="B11028" t="s">
        <v>22006</v>
      </c>
      <c r="C11028" t="s">
        <v>157</v>
      </c>
      <c r="D11028" t="s">
        <v>22163</v>
      </c>
      <c r="E11028" t="s">
        <v>22164</v>
      </c>
      <c r="G11028" s="1">
        <v>25.5</v>
      </c>
    </row>
    <row r="11029" spans="1:7" ht="14.25" customHeight="1" x14ac:dyDescent="0.45">
      <c r="A11029" t="str">
        <f>_xlfn.XLOOKUP(B11029,Ingot!$H$12:$H$119,Ingot!$G$12:$G$119,"")</f>
        <v>Glass</v>
      </c>
      <c r="B11029" t="s">
        <v>22006</v>
      </c>
      <c r="C11029" t="s">
        <v>157</v>
      </c>
      <c r="D11029" t="s">
        <v>22165</v>
      </c>
      <c r="E11029" t="s">
        <v>22166</v>
      </c>
      <c r="G11029" s="1">
        <v>5.0999999999999996</v>
      </c>
    </row>
    <row r="11030" spans="1:7" ht="14.25" customHeight="1" x14ac:dyDescent="0.45">
      <c r="A11030" t="str">
        <f>_xlfn.XLOOKUP(B11030,Ingot!$H$12:$H$119,Ingot!$G$12:$G$119,"")</f>
        <v>Glass</v>
      </c>
      <c r="B11030" t="s">
        <v>22006</v>
      </c>
      <c r="C11030" t="s">
        <v>157</v>
      </c>
      <c r="D11030" t="s">
        <v>22167</v>
      </c>
      <c r="E11030" t="s">
        <v>22168</v>
      </c>
      <c r="G11030" s="1">
        <v>5.0999999999999996</v>
      </c>
    </row>
    <row r="11031" spans="1:7" ht="14.25" customHeight="1" x14ac:dyDescent="0.45">
      <c r="A11031" t="str">
        <f>_xlfn.XLOOKUP(B11031,Ingot!$H$12:$H$119,Ingot!$G$12:$G$119,"")</f>
        <v>Glass</v>
      </c>
      <c r="B11031" t="s">
        <v>22006</v>
      </c>
      <c r="C11031" t="s">
        <v>157</v>
      </c>
      <c r="D11031" t="s">
        <v>22169</v>
      </c>
      <c r="E11031" t="s">
        <v>22170</v>
      </c>
      <c r="G11031" s="1">
        <v>5</v>
      </c>
    </row>
    <row r="11032" spans="1:7" ht="14.25" customHeight="1" x14ac:dyDescent="0.45">
      <c r="A11032" t="str">
        <f>_xlfn.XLOOKUP(B11032,Ingot!$H$12:$H$119,Ingot!$G$12:$G$119,"")</f>
        <v>Glass</v>
      </c>
      <c r="B11032" t="s">
        <v>22006</v>
      </c>
      <c r="C11032" t="s">
        <v>157</v>
      </c>
      <c r="D11032" t="s">
        <v>22171</v>
      </c>
      <c r="E11032" t="s">
        <v>22172</v>
      </c>
      <c r="G11032" s="1">
        <v>10</v>
      </c>
    </row>
    <row r="11033" spans="1:7" ht="14.25" customHeight="1" x14ac:dyDescent="0.45">
      <c r="A11033" t="str">
        <f>_xlfn.XLOOKUP(B11033,Ingot!$H$12:$H$119,Ingot!$G$12:$G$119,"")</f>
        <v>Glass</v>
      </c>
      <c r="B11033" t="s">
        <v>22006</v>
      </c>
      <c r="C11033" t="s">
        <v>157</v>
      </c>
      <c r="D11033" t="s">
        <v>22173</v>
      </c>
      <c r="E11033" t="s">
        <v>22174</v>
      </c>
      <c r="G11033" s="1">
        <v>24.5</v>
      </c>
    </row>
    <row r="11034" spans="1:7" ht="14.25" customHeight="1" x14ac:dyDescent="0.45">
      <c r="A11034" t="str">
        <f>_xlfn.XLOOKUP(B11034,Ingot!$H$12:$H$119,Ingot!$G$12:$G$119,"")</f>
        <v>Glass</v>
      </c>
      <c r="B11034" t="s">
        <v>22006</v>
      </c>
      <c r="C11034" t="s">
        <v>157</v>
      </c>
      <c r="D11034" t="s">
        <v>22175</v>
      </c>
      <c r="E11034" t="s">
        <v>22176</v>
      </c>
      <c r="G11034" s="1">
        <v>5</v>
      </c>
    </row>
    <row r="11035" spans="1:7" ht="14.25" customHeight="1" x14ac:dyDescent="0.45">
      <c r="A11035" t="str">
        <f>_xlfn.XLOOKUP(B11035,Ingot!$H$12:$H$119,Ingot!$G$12:$G$119,"")</f>
        <v>Glass</v>
      </c>
      <c r="B11035" t="s">
        <v>22006</v>
      </c>
      <c r="C11035" t="s">
        <v>157</v>
      </c>
      <c r="D11035" t="s">
        <v>22177</v>
      </c>
      <c r="E11035" t="s">
        <v>22178</v>
      </c>
      <c r="G11035" s="1">
        <v>5</v>
      </c>
    </row>
    <row r="11036" spans="1:7" ht="14.25" customHeight="1" x14ac:dyDescent="0.45">
      <c r="A11036" t="str">
        <f>_xlfn.XLOOKUP(B11036,Ingot!$H$12:$H$119,Ingot!$G$12:$G$119,"")</f>
        <v>Glass</v>
      </c>
      <c r="B11036" t="s">
        <v>22006</v>
      </c>
      <c r="C11036" t="s">
        <v>157</v>
      </c>
      <c r="D11036" t="s">
        <v>22179</v>
      </c>
      <c r="E11036" t="s">
        <v>22180</v>
      </c>
      <c r="G11036" s="1">
        <v>5</v>
      </c>
    </row>
    <row r="11037" spans="1:7" ht="14.25" customHeight="1" x14ac:dyDescent="0.45">
      <c r="A11037" t="str">
        <f>_xlfn.XLOOKUP(B11037,Ingot!$H$12:$H$119,Ingot!$G$12:$G$119,"")</f>
        <v>Glass</v>
      </c>
      <c r="B11037" t="s">
        <v>22006</v>
      </c>
      <c r="C11037" t="s">
        <v>157</v>
      </c>
      <c r="D11037" t="s">
        <v>22181</v>
      </c>
      <c r="E11037" t="s">
        <v>22182</v>
      </c>
      <c r="G11037" s="1">
        <v>10</v>
      </c>
    </row>
    <row r="11038" spans="1:7" ht="14.25" customHeight="1" x14ac:dyDescent="0.45">
      <c r="A11038" t="str">
        <f>_xlfn.XLOOKUP(B11038,Ingot!$H$12:$H$119,Ingot!$G$12:$G$119,"")</f>
        <v>Glass</v>
      </c>
      <c r="B11038" t="s">
        <v>22006</v>
      </c>
      <c r="C11038" t="s">
        <v>157</v>
      </c>
      <c r="D11038" t="s">
        <v>22183</v>
      </c>
      <c r="E11038" t="s">
        <v>22184</v>
      </c>
      <c r="G11038" s="1">
        <v>26.5</v>
      </c>
    </row>
    <row r="11039" spans="1:7" ht="14.25" customHeight="1" x14ac:dyDescent="0.45">
      <c r="A11039" t="str">
        <f>_xlfn.XLOOKUP(B11039,Ingot!$H$12:$H$119,Ingot!$G$12:$G$119,"")</f>
        <v>Glass</v>
      </c>
      <c r="B11039" t="s">
        <v>22006</v>
      </c>
      <c r="C11039" t="s">
        <v>157</v>
      </c>
      <c r="D11039" t="s">
        <v>22185</v>
      </c>
      <c r="E11039" t="s">
        <v>22186</v>
      </c>
      <c r="G11039" s="1">
        <v>5.3</v>
      </c>
    </row>
    <row r="11040" spans="1:7" ht="14.25" customHeight="1" x14ac:dyDescent="0.45">
      <c r="A11040" t="str">
        <f>_xlfn.XLOOKUP(B11040,Ingot!$H$12:$H$119,Ingot!$G$12:$G$119,"")</f>
        <v>Glass</v>
      </c>
      <c r="B11040" t="s">
        <v>22006</v>
      </c>
      <c r="C11040" t="s">
        <v>157</v>
      </c>
      <c r="D11040" t="s">
        <v>22187</v>
      </c>
      <c r="E11040" t="s">
        <v>22188</v>
      </c>
      <c r="G11040" s="1">
        <v>5.3</v>
      </c>
    </row>
    <row r="11041" spans="1:7" ht="14.25" customHeight="1" x14ac:dyDescent="0.45">
      <c r="A11041" t="str">
        <f>_xlfn.XLOOKUP(B11041,Ingot!$H$12:$H$119,Ingot!$G$12:$G$119,"")</f>
        <v>Glass</v>
      </c>
      <c r="B11041" t="s">
        <v>22006</v>
      </c>
      <c r="C11041" t="s">
        <v>157</v>
      </c>
      <c r="D11041" t="s">
        <v>22189</v>
      </c>
      <c r="E11041" t="s">
        <v>22190</v>
      </c>
      <c r="G11041" s="1">
        <v>5</v>
      </c>
    </row>
    <row r="11042" spans="1:7" ht="14.25" customHeight="1" x14ac:dyDescent="0.45">
      <c r="A11042" t="str">
        <f>_xlfn.XLOOKUP(B11042,Ingot!$H$12:$H$119,Ingot!$G$12:$G$119,"")</f>
        <v>Glass</v>
      </c>
      <c r="B11042" t="s">
        <v>22006</v>
      </c>
      <c r="C11042" t="s">
        <v>157</v>
      </c>
      <c r="D11042" t="s">
        <v>22191</v>
      </c>
      <c r="E11042" t="s">
        <v>22192</v>
      </c>
      <c r="G11042" s="1">
        <v>10</v>
      </c>
    </row>
    <row r="11043" spans="1:7" ht="14.25" customHeight="1" x14ac:dyDescent="0.45">
      <c r="A11043" t="str">
        <f>_xlfn.XLOOKUP(B11043,Ingot!$H$12:$H$119,Ingot!$G$12:$G$119,"")</f>
        <v>Glass</v>
      </c>
      <c r="B11043" t="s">
        <v>22006</v>
      </c>
      <c r="C11043" t="s">
        <v>157</v>
      </c>
      <c r="D11043" t="s">
        <v>22193</v>
      </c>
      <c r="E11043" t="s">
        <v>22194</v>
      </c>
      <c r="G11043" s="1">
        <v>28</v>
      </c>
    </row>
    <row r="11044" spans="1:7" ht="14.25" customHeight="1" x14ac:dyDescent="0.45">
      <c r="A11044" t="str">
        <f>_xlfn.XLOOKUP(B11044,Ingot!$H$12:$H$119,Ingot!$G$12:$G$119,"")</f>
        <v>Glass</v>
      </c>
      <c r="B11044" t="s">
        <v>22006</v>
      </c>
      <c r="C11044" t="s">
        <v>157</v>
      </c>
      <c r="D11044" t="s">
        <v>22195</v>
      </c>
      <c r="E11044" t="s">
        <v>22196</v>
      </c>
      <c r="G11044" s="1">
        <v>5.6</v>
      </c>
    </row>
    <row r="11045" spans="1:7" ht="14.25" customHeight="1" x14ac:dyDescent="0.45">
      <c r="A11045" t="str">
        <f>_xlfn.XLOOKUP(B11045,Ingot!$H$12:$H$119,Ingot!$G$12:$G$119,"")</f>
        <v>Glass</v>
      </c>
      <c r="B11045" t="s">
        <v>22006</v>
      </c>
      <c r="C11045" t="s">
        <v>157</v>
      </c>
      <c r="D11045" t="s">
        <v>22197</v>
      </c>
      <c r="E11045" t="s">
        <v>22198</v>
      </c>
      <c r="G11045" s="1">
        <v>5.6</v>
      </c>
    </row>
    <row r="11046" spans="1:7" ht="14.25" customHeight="1" x14ac:dyDescent="0.45">
      <c r="A11046" t="str">
        <f>_xlfn.XLOOKUP(B11046,Ingot!$H$12:$H$119,Ingot!$G$12:$G$119,"")</f>
        <v>Glass</v>
      </c>
      <c r="B11046" t="s">
        <v>22006</v>
      </c>
      <c r="C11046" t="s">
        <v>157</v>
      </c>
      <c r="D11046" t="s">
        <v>22199</v>
      </c>
      <c r="E11046" t="s">
        <v>22200</v>
      </c>
      <c r="G11046" s="1">
        <v>5</v>
      </c>
    </row>
    <row r="11047" spans="1:7" ht="14.25" customHeight="1" x14ac:dyDescent="0.45">
      <c r="A11047" t="str">
        <f>_xlfn.XLOOKUP(B11047,Ingot!$H$12:$H$119,Ingot!$G$12:$G$119,"")</f>
        <v>Glass</v>
      </c>
      <c r="B11047" t="s">
        <v>22006</v>
      </c>
      <c r="C11047" t="s">
        <v>157</v>
      </c>
      <c r="D11047" t="s">
        <v>22201</v>
      </c>
      <c r="E11047" t="s">
        <v>22202</v>
      </c>
      <c r="G11047" s="1">
        <v>10</v>
      </c>
    </row>
    <row r="11048" spans="1:7" ht="14.25" customHeight="1" x14ac:dyDescent="0.45">
      <c r="A11048" t="str">
        <f>_xlfn.XLOOKUP(B11048,Ingot!$H$12:$H$119,Ingot!$G$12:$G$119,"")</f>
        <v>Glass</v>
      </c>
      <c r="B11048" t="s">
        <v>22006</v>
      </c>
      <c r="C11048" t="s">
        <v>157</v>
      </c>
      <c r="D11048" t="s">
        <v>22203</v>
      </c>
      <c r="E11048" t="s">
        <v>22204</v>
      </c>
      <c r="G11048" s="1">
        <v>32.5</v>
      </c>
    </row>
    <row r="11049" spans="1:7" ht="14.25" customHeight="1" x14ac:dyDescent="0.45">
      <c r="A11049" t="str">
        <f>_xlfn.XLOOKUP(B11049,Ingot!$H$12:$H$119,Ingot!$G$12:$G$119,"")</f>
        <v>Glass</v>
      </c>
      <c r="B11049" t="s">
        <v>22006</v>
      </c>
      <c r="C11049" t="s">
        <v>157</v>
      </c>
      <c r="D11049" t="s">
        <v>22205</v>
      </c>
      <c r="E11049" t="s">
        <v>22206</v>
      </c>
      <c r="G11049" s="1">
        <v>6.5</v>
      </c>
    </row>
    <row r="11050" spans="1:7" ht="14.25" customHeight="1" x14ac:dyDescent="0.45">
      <c r="A11050" t="str">
        <f>_xlfn.XLOOKUP(B11050,Ingot!$H$12:$H$119,Ingot!$G$12:$G$119,"")</f>
        <v>Glass</v>
      </c>
      <c r="B11050" t="s">
        <v>22006</v>
      </c>
      <c r="C11050" t="s">
        <v>157</v>
      </c>
      <c r="D11050" t="s">
        <v>22207</v>
      </c>
      <c r="E11050" t="s">
        <v>22208</v>
      </c>
      <c r="G11050" s="1">
        <v>6.5</v>
      </c>
    </row>
    <row r="11051" spans="1:7" ht="14.25" customHeight="1" x14ac:dyDescent="0.45">
      <c r="A11051" t="str">
        <f>_xlfn.XLOOKUP(B11051,Ingot!$H$12:$H$119,Ingot!$G$12:$G$119,"")</f>
        <v>Glass</v>
      </c>
      <c r="B11051" t="s">
        <v>22006</v>
      </c>
      <c r="C11051" t="s">
        <v>157</v>
      </c>
      <c r="D11051" t="s">
        <v>22209</v>
      </c>
      <c r="E11051" t="s">
        <v>22210</v>
      </c>
      <c r="G11051" s="1">
        <v>5</v>
      </c>
    </row>
    <row r="11052" spans="1:7" ht="14.25" customHeight="1" x14ac:dyDescent="0.45">
      <c r="A11052" t="str">
        <f>_xlfn.XLOOKUP(B11052,Ingot!$H$12:$H$119,Ingot!$G$12:$G$119,"")</f>
        <v>Glass</v>
      </c>
      <c r="B11052" t="s">
        <v>22006</v>
      </c>
      <c r="C11052" t="s">
        <v>157</v>
      </c>
      <c r="D11052" t="s">
        <v>22211</v>
      </c>
      <c r="E11052" t="s">
        <v>22212</v>
      </c>
      <c r="G11052" s="1">
        <v>10</v>
      </c>
    </row>
    <row r="11053" spans="1:7" ht="14.25" customHeight="1" x14ac:dyDescent="0.45">
      <c r="A11053" t="str">
        <f>_xlfn.XLOOKUP(B11053,Ingot!$H$12:$H$119,Ingot!$G$12:$G$119,"")</f>
        <v>Glass</v>
      </c>
      <c r="B11053" t="s">
        <v>22006</v>
      </c>
      <c r="C11053" t="s">
        <v>157</v>
      </c>
      <c r="D11053" t="s">
        <v>22213</v>
      </c>
      <c r="E11053" t="s">
        <v>22214</v>
      </c>
      <c r="G11053" s="1">
        <v>31</v>
      </c>
    </row>
    <row r="11054" spans="1:7" ht="14.25" customHeight="1" x14ac:dyDescent="0.45">
      <c r="A11054" t="str">
        <f>_xlfn.XLOOKUP(B11054,Ingot!$H$12:$H$119,Ingot!$G$12:$G$119,"")</f>
        <v>Glass</v>
      </c>
      <c r="B11054" t="s">
        <v>22006</v>
      </c>
      <c r="C11054" t="s">
        <v>157</v>
      </c>
      <c r="D11054" t="s">
        <v>22215</v>
      </c>
      <c r="E11054" t="s">
        <v>22216</v>
      </c>
      <c r="G11054" s="1">
        <v>6.2</v>
      </c>
    </row>
    <row r="11055" spans="1:7" ht="14.25" customHeight="1" x14ac:dyDescent="0.45">
      <c r="A11055" t="str">
        <f>_xlfn.XLOOKUP(B11055,Ingot!$H$12:$H$119,Ingot!$G$12:$G$119,"")</f>
        <v>Glass</v>
      </c>
      <c r="B11055" t="s">
        <v>22006</v>
      </c>
      <c r="C11055" t="s">
        <v>157</v>
      </c>
      <c r="D11055" t="s">
        <v>22217</v>
      </c>
      <c r="E11055" t="s">
        <v>22218</v>
      </c>
      <c r="G11055" s="1">
        <v>6.2</v>
      </c>
    </row>
    <row r="11056" spans="1:7" ht="14.25" customHeight="1" x14ac:dyDescent="0.45">
      <c r="A11056" t="str">
        <f>_xlfn.XLOOKUP(B11056,Ingot!$H$12:$H$119,Ingot!$G$12:$G$119,"")</f>
        <v>Glass</v>
      </c>
      <c r="B11056" t="s">
        <v>22006</v>
      </c>
      <c r="C11056" t="s">
        <v>157</v>
      </c>
      <c r="D11056" t="s">
        <v>22219</v>
      </c>
      <c r="E11056" t="s">
        <v>22220</v>
      </c>
      <c r="G11056" s="1">
        <v>5</v>
      </c>
    </row>
    <row r="11057" spans="1:7" ht="14.25" customHeight="1" x14ac:dyDescent="0.45">
      <c r="A11057" t="str">
        <f>_xlfn.XLOOKUP(B11057,Ingot!$H$12:$H$119,Ingot!$G$12:$G$119,"")</f>
        <v>Glass</v>
      </c>
      <c r="B11057" t="s">
        <v>22006</v>
      </c>
      <c r="C11057" t="s">
        <v>157</v>
      </c>
      <c r="D11057" t="s">
        <v>22221</v>
      </c>
      <c r="E11057" t="s">
        <v>22222</v>
      </c>
      <c r="G11057" s="1">
        <v>10</v>
      </c>
    </row>
    <row r="11058" spans="1:7" ht="14.25" customHeight="1" x14ac:dyDescent="0.45">
      <c r="A11058" t="str">
        <f>_xlfn.XLOOKUP(B11058,Ingot!$H$12:$H$119,Ingot!$G$12:$G$119,"")</f>
        <v>Glass</v>
      </c>
      <c r="B11058" t="s">
        <v>22006</v>
      </c>
      <c r="C11058" t="s">
        <v>157</v>
      </c>
      <c r="D11058" t="s">
        <v>22223</v>
      </c>
      <c r="E11058" t="s">
        <v>22224</v>
      </c>
      <c r="G11058" s="1">
        <v>23.5</v>
      </c>
    </row>
    <row r="11059" spans="1:7" ht="14.25" customHeight="1" x14ac:dyDescent="0.45">
      <c r="A11059" t="str">
        <f>_xlfn.XLOOKUP(B11059,Ingot!$H$12:$H$119,Ingot!$G$12:$G$119,"")</f>
        <v>Glass</v>
      </c>
      <c r="B11059" t="s">
        <v>22006</v>
      </c>
      <c r="C11059" t="s">
        <v>157</v>
      </c>
      <c r="D11059" t="s">
        <v>22225</v>
      </c>
      <c r="E11059" t="s">
        <v>22226</v>
      </c>
      <c r="G11059" s="1">
        <v>5</v>
      </c>
    </row>
    <row r="11060" spans="1:7" ht="14.25" customHeight="1" x14ac:dyDescent="0.45">
      <c r="A11060" t="str">
        <f>_xlfn.XLOOKUP(B11060,Ingot!$H$12:$H$119,Ingot!$G$12:$G$119,"")</f>
        <v>Glass</v>
      </c>
      <c r="B11060" t="s">
        <v>22006</v>
      </c>
      <c r="C11060" t="s">
        <v>157</v>
      </c>
      <c r="D11060" t="s">
        <v>22227</v>
      </c>
      <c r="E11060" t="s">
        <v>22228</v>
      </c>
      <c r="G11060" s="1">
        <v>5</v>
      </c>
    </row>
    <row r="11061" spans="1:7" ht="14.25" customHeight="1" x14ac:dyDescent="0.45">
      <c r="A11061" t="str">
        <f>_xlfn.XLOOKUP(B11061,Ingot!$H$12:$H$119,Ingot!$G$12:$G$119,"")</f>
        <v>Glass</v>
      </c>
      <c r="B11061" t="s">
        <v>22006</v>
      </c>
      <c r="C11061" t="s">
        <v>157</v>
      </c>
      <c r="D11061" t="s">
        <v>22229</v>
      </c>
      <c r="E11061" t="s">
        <v>22230</v>
      </c>
      <c r="G11061" s="1">
        <v>5</v>
      </c>
    </row>
    <row r="11062" spans="1:7" ht="14.25" customHeight="1" x14ac:dyDescent="0.45">
      <c r="A11062" t="str">
        <f>_xlfn.XLOOKUP(B11062,Ingot!$H$12:$H$119,Ingot!$G$12:$G$119,"")</f>
        <v>Glass</v>
      </c>
      <c r="B11062" t="s">
        <v>22006</v>
      </c>
      <c r="C11062" t="s">
        <v>157</v>
      </c>
      <c r="D11062" t="s">
        <v>22231</v>
      </c>
      <c r="E11062" t="s">
        <v>22232</v>
      </c>
      <c r="G11062" s="1">
        <v>10</v>
      </c>
    </row>
    <row r="11063" spans="1:7" ht="14.25" customHeight="1" x14ac:dyDescent="0.45">
      <c r="A11063" t="str">
        <f>_xlfn.XLOOKUP(B11063,Ingot!$H$12:$H$119,Ingot!$G$12:$G$119,"")</f>
        <v>Glass</v>
      </c>
      <c r="B11063" t="s">
        <v>22006</v>
      </c>
      <c r="C11063" t="s">
        <v>239</v>
      </c>
      <c r="D11063" t="s">
        <v>22233</v>
      </c>
      <c r="E11063" t="s">
        <v>22234</v>
      </c>
    </row>
    <row r="11064" spans="1:7" ht="14.25" customHeight="1" x14ac:dyDescent="0.45">
      <c r="A11064" t="str">
        <f>_xlfn.XLOOKUP(B11064,Ingot!$H$12:$H$119,Ingot!$G$12:$G$119,"")</f>
        <v>Glass</v>
      </c>
      <c r="B11064" t="s">
        <v>22006</v>
      </c>
      <c r="C11064" t="s">
        <v>239</v>
      </c>
      <c r="D11064" t="s">
        <v>22235</v>
      </c>
      <c r="E11064" t="s">
        <v>22236</v>
      </c>
    </row>
    <row r="11065" spans="1:7" ht="14.25" customHeight="1" x14ac:dyDescent="0.45">
      <c r="A11065" t="str">
        <f>_xlfn.XLOOKUP(B11065,Ingot!$H$12:$H$119,Ingot!$G$12:$G$119,"")</f>
        <v>Glass</v>
      </c>
      <c r="B11065" t="s">
        <v>22006</v>
      </c>
      <c r="C11065" t="s">
        <v>239</v>
      </c>
      <c r="D11065" t="s">
        <v>22237</v>
      </c>
      <c r="E11065" t="s">
        <v>22238</v>
      </c>
    </row>
    <row r="11066" spans="1:7" ht="14.25" customHeight="1" x14ac:dyDescent="0.45">
      <c r="A11066" t="str">
        <f>_xlfn.XLOOKUP(B11066,Ingot!$H$12:$H$119,Ingot!$G$12:$G$119,"")</f>
        <v>Glass</v>
      </c>
      <c r="B11066" t="s">
        <v>22006</v>
      </c>
      <c r="C11066" t="s">
        <v>239</v>
      </c>
      <c r="D11066" t="s">
        <v>22239</v>
      </c>
      <c r="E11066" t="s">
        <v>22240</v>
      </c>
    </row>
    <row r="11067" spans="1:7" ht="14.25" customHeight="1" x14ac:dyDescent="0.45">
      <c r="A11067" t="str">
        <f>_xlfn.XLOOKUP(B11067,Ingot!$H$12:$H$119,Ingot!$G$12:$G$119,"")</f>
        <v>Glass</v>
      </c>
      <c r="B11067" t="s">
        <v>22006</v>
      </c>
      <c r="C11067" t="s">
        <v>239</v>
      </c>
      <c r="D11067" t="s">
        <v>22241</v>
      </c>
      <c r="E11067" t="s">
        <v>22242</v>
      </c>
    </row>
    <row r="11068" spans="1:7" ht="14.25" customHeight="1" x14ac:dyDescent="0.45">
      <c r="A11068" t="str">
        <f>_xlfn.XLOOKUP(B11068,Ingot!$H$12:$H$119,Ingot!$G$12:$G$119,"")</f>
        <v>Glass</v>
      </c>
      <c r="B11068" t="s">
        <v>22006</v>
      </c>
      <c r="C11068" t="s">
        <v>239</v>
      </c>
      <c r="D11068" t="s">
        <v>22243</v>
      </c>
      <c r="E11068" t="s">
        <v>22244</v>
      </c>
    </row>
    <row r="11069" spans="1:7" ht="14.25" customHeight="1" x14ac:dyDescent="0.45">
      <c r="A11069" t="str">
        <f>_xlfn.XLOOKUP(B11069,Ingot!$H$12:$H$119,Ingot!$G$12:$G$119,"")</f>
        <v>Glass</v>
      </c>
      <c r="B11069" t="s">
        <v>22245</v>
      </c>
      <c r="C11069" t="s">
        <v>10</v>
      </c>
      <c r="D11069" t="s">
        <v>22246</v>
      </c>
      <c r="E11069" t="s">
        <v>22247</v>
      </c>
      <c r="G11069" s="1">
        <v>0.08</v>
      </c>
    </row>
    <row r="11070" spans="1:7" ht="14.25" customHeight="1" x14ac:dyDescent="0.45">
      <c r="A11070" t="str">
        <f>_xlfn.XLOOKUP(B11070,Ingot!$H$12:$H$119,Ingot!$G$12:$G$119,"")</f>
        <v>Glass</v>
      </c>
      <c r="B11070" t="s">
        <v>22245</v>
      </c>
      <c r="C11070" t="s">
        <v>10</v>
      </c>
      <c r="D11070" t="s">
        <v>22248</v>
      </c>
      <c r="E11070" t="s">
        <v>22249</v>
      </c>
      <c r="G11070" s="1">
        <v>9.9</v>
      </c>
    </row>
    <row r="11071" spans="1:7" ht="14.25" customHeight="1" x14ac:dyDescent="0.45">
      <c r="A11071" t="str">
        <f>_xlfn.XLOOKUP(B11071,Ingot!$H$12:$H$119,Ingot!$G$12:$G$119,"")</f>
        <v>Glass</v>
      </c>
      <c r="B11071" t="s">
        <v>22245</v>
      </c>
      <c r="C11071" t="s">
        <v>10</v>
      </c>
      <c r="D11071" t="s">
        <v>22250</v>
      </c>
      <c r="E11071" t="s">
        <v>22251</v>
      </c>
      <c r="G11071" s="1">
        <v>5.66</v>
      </c>
    </row>
    <row r="11072" spans="1:7" ht="14.25" customHeight="1" x14ac:dyDescent="0.45">
      <c r="A11072" t="str">
        <f>_xlfn.XLOOKUP(B11072,Ingot!$H$12:$H$119,Ingot!$G$12:$G$119,"")</f>
        <v>Glass</v>
      </c>
      <c r="B11072" t="s">
        <v>22245</v>
      </c>
      <c r="C11072" t="s">
        <v>10</v>
      </c>
      <c r="D11072" t="s">
        <v>22252</v>
      </c>
      <c r="E11072" t="s">
        <v>22253</v>
      </c>
      <c r="G11072" s="1">
        <v>3.3</v>
      </c>
    </row>
    <row r="11073" spans="1:7" ht="14.25" customHeight="1" x14ac:dyDescent="0.45">
      <c r="A11073" t="str">
        <f>_xlfn.XLOOKUP(B11073,Ingot!$H$12:$H$119,Ingot!$G$12:$G$119,"")</f>
        <v>Glass</v>
      </c>
      <c r="B11073" t="s">
        <v>22245</v>
      </c>
      <c r="C11073" t="s">
        <v>10</v>
      </c>
      <c r="D11073" t="s">
        <v>22254</v>
      </c>
      <c r="E11073" t="s">
        <v>22255</v>
      </c>
      <c r="G11073" s="1">
        <v>0.66</v>
      </c>
    </row>
    <row r="11074" spans="1:7" ht="14.25" customHeight="1" x14ac:dyDescent="0.45">
      <c r="A11074" t="str">
        <f>_xlfn.XLOOKUP(B11074,Ingot!$H$12:$H$119,Ingot!$G$12:$G$119,"")</f>
        <v>Glass</v>
      </c>
      <c r="B11074" t="s">
        <v>22245</v>
      </c>
      <c r="C11074" t="s">
        <v>10</v>
      </c>
      <c r="D11074" t="s">
        <v>22256</v>
      </c>
      <c r="E11074" t="s">
        <v>22257</v>
      </c>
      <c r="G11074" s="1">
        <v>0.04</v>
      </c>
    </row>
    <row r="11075" spans="1:7" ht="14.25" customHeight="1" x14ac:dyDescent="0.45">
      <c r="A11075" t="str">
        <f>_xlfn.XLOOKUP(B11075,Ingot!$H$12:$H$119,Ingot!$G$12:$G$119,"")</f>
        <v>Glass</v>
      </c>
      <c r="B11075" t="s">
        <v>22245</v>
      </c>
      <c r="C11075" t="s">
        <v>10</v>
      </c>
      <c r="D11075" t="s">
        <v>22258</v>
      </c>
      <c r="E11075" t="s">
        <v>22259</v>
      </c>
      <c r="G11075" s="1">
        <v>0.33</v>
      </c>
    </row>
    <row r="11076" spans="1:7" ht="14.25" customHeight="1" x14ac:dyDescent="0.45">
      <c r="A11076" t="str">
        <f>_xlfn.XLOOKUP(B11076,Ingot!$H$12:$H$119,Ingot!$G$12:$G$119,"")</f>
        <v>Glass</v>
      </c>
      <c r="B11076" t="s">
        <v>22245</v>
      </c>
      <c r="C11076" t="s">
        <v>10</v>
      </c>
      <c r="D11076" t="s">
        <v>22260</v>
      </c>
      <c r="E11076" t="s">
        <v>22261</v>
      </c>
    </row>
    <row r="11077" spans="1:7" ht="14.25" customHeight="1" x14ac:dyDescent="0.45">
      <c r="A11077" t="str">
        <f>_xlfn.XLOOKUP(B11077,Ingot!$H$12:$H$119,Ingot!$G$12:$G$119,"")</f>
        <v>Glass</v>
      </c>
      <c r="B11077" t="s">
        <v>22245</v>
      </c>
      <c r="C11077" t="s">
        <v>10</v>
      </c>
      <c r="D11077" t="s">
        <v>22262</v>
      </c>
      <c r="E11077" t="s">
        <v>22263</v>
      </c>
      <c r="G11077" s="1">
        <v>0.05</v>
      </c>
    </row>
    <row r="11078" spans="1:7" ht="14.25" customHeight="1" x14ac:dyDescent="0.45">
      <c r="A11078" t="str">
        <f>_xlfn.XLOOKUP(B11078,Ingot!$H$12:$H$119,Ingot!$G$12:$G$119,"")</f>
        <v>Glass</v>
      </c>
      <c r="B11078" t="s">
        <v>22245</v>
      </c>
      <c r="C11078" t="s">
        <v>10</v>
      </c>
      <c r="D11078" t="s">
        <v>22264</v>
      </c>
      <c r="E11078" t="s">
        <v>22265</v>
      </c>
      <c r="G11078" s="1">
        <v>0.66</v>
      </c>
    </row>
    <row r="11079" spans="1:7" ht="14.25" customHeight="1" x14ac:dyDescent="0.45">
      <c r="A11079" t="str">
        <f>_xlfn.XLOOKUP(B11079,Ingot!$H$12:$H$119,Ingot!$G$12:$G$119,"")</f>
        <v>Glass</v>
      </c>
      <c r="B11079" t="s">
        <v>22245</v>
      </c>
      <c r="C11079" t="s">
        <v>10</v>
      </c>
      <c r="D11079" t="s">
        <v>22266</v>
      </c>
      <c r="E11079" t="s">
        <v>22267</v>
      </c>
      <c r="G11079" s="1">
        <v>3.96</v>
      </c>
    </row>
    <row r="11080" spans="1:7" ht="14.25" customHeight="1" x14ac:dyDescent="0.45">
      <c r="A11080" t="str">
        <f>_xlfn.XLOOKUP(B11080,Ingot!$H$12:$H$119,Ingot!$G$12:$G$119,"")</f>
        <v>Glass</v>
      </c>
      <c r="B11080" t="s">
        <v>22245</v>
      </c>
      <c r="C11080" t="s">
        <v>10</v>
      </c>
      <c r="D11080" t="s">
        <v>22268</v>
      </c>
      <c r="E11080" t="s">
        <v>22269</v>
      </c>
      <c r="G11080" s="1">
        <v>8.77</v>
      </c>
    </row>
    <row r="11081" spans="1:7" ht="14.25" customHeight="1" x14ac:dyDescent="0.45">
      <c r="A11081" t="str">
        <f>_xlfn.XLOOKUP(B11081,Ingot!$H$12:$H$119,Ingot!$G$12:$G$119,"")</f>
        <v>Glass</v>
      </c>
      <c r="B11081" t="s">
        <v>22245</v>
      </c>
      <c r="C11081" t="s">
        <v>10</v>
      </c>
      <c r="D11081" t="s">
        <v>22270</v>
      </c>
      <c r="E11081" t="s">
        <v>22271</v>
      </c>
      <c r="G11081" s="1">
        <v>3.5</v>
      </c>
    </row>
    <row r="11082" spans="1:7" ht="14.25" customHeight="1" x14ac:dyDescent="0.45">
      <c r="A11082" t="str">
        <f>_xlfn.XLOOKUP(B11082,Ingot!$H$12:$H$119,Ingot!$G$12:$G$119,"")</f>
        <v>Glass</v>
      </c>
      <c r="B11082" t="s">
        <v>22245</v>
      </c>
      <c r="C11082" t="s">
        <v>10</v>
      </c>
      <c r="D11082" t="s">
        <v>22272</v>
      </c>
      <c r="E11082" t="s">
        <v>22273</v>
      </c>
    </row>
    <row r="11083" spans="1:7" ht="14.25" customHeight="1" x14ac:dyDescent="0.45">
      <c r="A11083" t="str">
        <f>_xlfn.XLOOKUP(B11083,Ingot!$H$12:$H$119,Ingot!$G$12:$G$119,"")</f>
        <v>Glass</v>
      </c>
      <c r="B11083" t="s">
        <v>22245</v>
      </c>
      <c r="C11083" t="s">
        <v>10</v>
      </c>
      <c r="D11083" t="s">
        <v>22274</v>
      </c>
      <c r="E11083" t="s">
        <v>22275</v>
      </c>
      <c r="G11083" s="1">
        <v>2.2000000000000002</v>
      </c>
    </row>
    <row r="11084" spans="1:7" ht="14.25" customHeight="1" x14ac:dyDescent="0.45">
      <c r="A11084" t="str">
        <f>_xlfn.XLOOKUP(B11084,Ingot!$H$12:$H$119,Ingot!$G$12:$G$119,"")</f>
        <v>Glass</v>
      </c>
      <c r="B11084" t="s">
        <v>22245</v>
      </c>
      <c r="C11084" t="s">
        <v>10</v>
      </c>
      <c r="D11084" t="s">
        <v>22276</v>
      </c>
      <c r="E11084" t="s">
        <v>22277</v>
      </c>
      <c r="G11084" s="1">
        <v>1.1000000000000001</v>
      </c>
    </row>
    <row r="11085" spans="1:7" ht="14.25" customHeight="1" x14ac:dyDescent="0.45">
      <c r="A11085" t="str">
        <f>_xlfn.XLOOKUP(B11085,Ingot!$H$12:$H$119,Ingot!$G$12:$G$119,"")</f>
        <v>Glass</v>
      </c>
      <c r="B11085" t="s">
        <v>22245</v>
      </c>
      <c r="C11085" t="s">
        <v>10</v>
      </c>
      <c r="D11085" t="s">
        <v>22278</v>
      </c>
      <c r="E11085" t="s">
        <v>22279</v>
      </c>
      <c r="G11085" s="1">
        <v>0.22</v>
      </c>
    </row>
    <row r="11086" spans="1:7" ht="14.25" customHeight="1" x14ac:dyDescent="0.45">
      <c r="A11086" t="str">
        <f>_xlfn.XLOOKUP(B11086,Ingot!$H$12:$H$119,Ingot!$G$12:$G$119,"")</f>
        <v>Glass</v>
      </c>
      <c r="B11086" t="s">
        <v>22245</v>
      </c>
      <c r="C11086" t="s">
        <v>10</v>
      </c>
      <c r="D11086" t="s">
        <v>22280</v>
      </c>
      <c r="E11086" t="s">
        <v>22281</v>
      </c>
      <c r="G11086" s="1">
        <v>8.41</v>
      </c>
    </row>
    <row r="11087" spans="1:7" ht="14.25" customHeight="1" x14ac:dyDescent="0.45">
      <c r="A11087" t="str">
        <f>_xlfn.XLOOKUP(B11087,Ingot!$H$12:$H$119,Ingot!$G$12:$G$119,"")</f>
        <v>Glass</v>
      </c>
      <c r="B11087" t="s">
        <v>22245</v>
      </c>
      <c r="C11087" t="s">
        <v>10</v>
      </c>
      <c r="D11087" t="s">
        <v>22282</v>
      </c>
      <c r="E11087" t="s">
        <v>22283</v>
      </c>
      <c r="G11087" s="1">
        <v>3.64</v>
      </c>
    </row>
    <row r="11088" spans="1:7" ht="14.25" customHeight="1" x14ac:dyDescent="0.45">
      <c r="A11088" t="str">
        <f>_xlfn.XLOOKUP(B11088,Ingot!$H$12:$H$119,Ingot!$G$12:$G$119,"")</f>
        <v>Glass</v>
      </c>
      <c r="B11088" t="s">
        <v>22245</v>
      </c>
      <c r="C11088" t="s">
        <v>10</v>
      </c>
      <c r="D11088" t="s">
        <v>22284</v>
      </c>
      <c r="E11088" t="s">
        <v>22285</v>
      </c>
      <c r="G11088" s="1">
        <v>7.05</v>
      </c>
    </row>
    <row r="11089" spans="1:7" ht="14.25" customHeight="1" x14ac:dyDescent="0.45">
      <c r="A11089" t="str">
        <f>_xlfn.XLOOKUP(B11089,Ingot!$H$12:$H$119,Ingot!$G$12:$G$119,"")</f>
        <v>Glass</v>
      </c>
      <c r="B11089" t="s">
        <v>22245</v>
      </c>
      <c r="C11089" t="s">
        <v>10</v>
      </c>
      <c r="D11089" t="s">
        <v>22286</v>
      </c>
      <c r="E11089" t="s">
        <v>22287</v>
      </c>
      <c r="G11089" s="1">
        <v>2.65</v>
      </c>
    </row>
    <row r="11090" spans="1:7" ht="14.25" customHeight="1" x14ac:dyDescent="0.45">
      <c r="A11090" t="str">
        <f>_xlfn.XLOOKUP(B11090,Ingot!$H$12:$H$119,Ingot!$G$12:$G$119,"")</f>
        <v>Glass</v>
      </c>
      <c r="B11090" t="s">
        <v>22245</v>
      </c>
      <c r="C11090" t="s">
        <v>10</v>
      </c>
      <c r="D11090" t="s">
        <v>22288</v>
      </c>
      <c r="E11090" t="s">
        <v>22289</v>
      </c>
      <c r="G11090" s="1">
        <v>9</v>
      </c>
    </row>
    <row r="11091" spans="1:7" ht="14.25" customHeight="1" x14ac:dyDescent="0.45">
      <c r="A11091" t="str">
        <f>_xlfn.XLOOKUP(B11091,Ingot!$H$12:$H$119,Ingot!$G$12:$G$119,"")</f>
        <v>Glass</v>
      </c>
      <c r="B11091" t="s">
        <v>22245</v>
      </c>
      <c r="C11091" t="s">
        <v>10</v>
      </c>
      <c r="D11091" t="s">
        <v>22290</v>
      </c>
      <c r="E11091" t="s">
        <v>22291</v>
      </c>
      <c r="G11091" s="1">
        <v>10.23</v>
      </c>
    </row>
    <row r="11092" spans="1:7" ht="14.25" customHeight="1" x14ac:dyDescent="0.45">
      <c r="A11092" t="str">
        <f>_xlfn.XLOOKUP(B11092,Ingot!$H$12:$H$119,Ingot!$G$12:$G$119,"")</f>
        <v>Glass</v>
      </c>
      <c r="B11092" t="s">
        <v>22245</v>
      </c>
      <c r="C11092" t="s">
        <v>10</v>
      </c>
      <c r="D11092" t="s">
        <v>22292</v>
      </c>
      <c r="E11092" t="s">
        <v>22293</v>
      </c>
      <c r="G11092" s="1">
        <v>7.7</v>
      </c>
    </row>
    <row r="11093" spans="1:7" ht="14.25" customHeight="1" x14ac:dyDescent="0.45">
      <c r="A11093" t="str">
        <f>_xlfn.XLOOKUP(B11093,Ingot!$H$12:$H$119,Ingot!$G$12:$G$119,"")</f>
        <v>Glass</v>
      </c>
      <c r="B11093" t="s">
        <v>22245</v>
      </c>
      <c r="C11093" t="s">
        <v>10</v>
      </c>
      <c r="D11093" t="s">
        <v>22294</v>
      </c>
      <c r="E11093" t="s">
        <v>22295</v>
      </c>
      <c r="G11093" s="1">
        <v>10.02</v>
      </c>
    </row>
    <row r="11094" spans="1:7" ht="14.25" customHeight="1" x14ac:dyDescent="0.45">
      <c r="A11094" t="str">
        <f>_xlfn.XLOOKUP(B11094,Ingot!$H$12:$H$119,Ingot!$G$12:$G$119,"")</f>
        <v>Glass</v>
      </c>
      <c r="B11094" t="s">
        <v>22245</v>
      </c>
      <c r="C11094" t="s">
        <v>10</v>
      </c>
      <c r="D11094" t="s">
        <v>22296</v>
      </c>
      <c r="E11094" t="s">
        <v>22297</v>
      </c>
      <c r="G11094" s="1">
        <v>11.81</v>
      </c>
    </row>
    <row r="11095" spans="1:7" ht="14.25" customHeight="1" x14ac:dyDescent="0.45">
      <c r="A11095" t="str">
        <f>_xlfn.XLOOKUP(B11095,Ingot!$H$12:$H$119,Ingot!$G$12:$G$119,"")</f>
        <v>Glass</v>
      </c>
      <c r="B11095" t="s">
        <v>22245</v>
      </c>
      <c r="C11095" t="s">
        <v>10</v>
      </c>
      <c r="D11095" t="s">
        <v>22298</v>
      </c>
      <c r="E11095" t="s">
        <v>22299</v>
      </c>
      <c r="G11095" s="1">
        <v>8.44</v>
      </c>
    </row>
    <row r="11096" spans="1:7" ht="14.25" customHeight="1" x14ac:dyDescent="0.45">
      <c r="A11096" t="str">
        <f>_xlfn.XLOOKUP(B11096,Ingot!$H$12:$H$119,Ingot!$G$12:$G$119,"")</f>
        <v>Glass</v>
      </c>
      <c r="B11096" t="s">
        <v>22245</v>
      </c>
      <c r="C11096" t="s">
        <v>10</v>
      </c>
      <c r="D11096" t="s">
        <v>22300</v>
      </c>
      <c r="E11096" t="s">
        <v>22301</v>
      </c>
      <c r="G11096" s="1">
        <v>10.42</v>
      </c>
    </row>
    <row r="11097" spans="1:7" ht="14.25" customHeight="1" x14ac:dyDescent="0.45">
      <c r="A11097" t="str">
        <f>_xlfn.XLOOKUP(B11097,Ingot!$H$12:$H$119,Ingot!$G$12:$G$119,"")</f>
        <v>Glass</v>
      </c>
      <c r="B11097" t="s">
        <v>22245</v>
      </c>
      <c r="C11097" t="s">
        <v>10</v>
      </c>
      <c r="D11097" t="s">
        <v>22302</v>
      </c>
      <c r="E11097" t="s">
        <v>22303</v>
      </c>
    </row>
    <row r="11098" spans="1:7" ht="14.25" customHeight="1" x14ac:dyDescent="0.45">
      <c r="A11098" t="str">
        <f>_xlfn.XLOOKUP(B11098,Ingot!$H$12:$H$119,Ingot!$G$12:$G$119,"")</f>
        <v>Glass</v>
      </c>
      <c r="B11098" t="s">
        <v>22245</v>
      </c>
      <c r="C11098" t="s">
        <v>10</v>
      </c>
      <c r="D11098" t="s">
        <v>22304</v>
      </c>
      <c r="E11098" t="s">
        <v>22305</v>
      </c>
      <c r="G11098" s="1">
        <v>7.96</v>
      </c>
    </row>
    <row r="11099" spans="1:7" ht="14.25" customHeight="1" x14ac:dyDescent="0.45">
      <c r="A11099" t="str">
        <f>_xlfn.XLOOKUP(B11099,Ingot!$H$12:$H$119,Ingot!$G$12:$G$119,"")</f>
        <v>Glass</v>
      </c>
      <c r="B11099" t="s">
        <v>22245</v>
      </c>
      <c r="C11099" t="s">
        <v>10</v>
      </c>
      <c r="D11099" t="s">
        <v>22306</v>
      </c>
      <c r="E11099" t="s">
        <v>22307</v>
      </c>
      <c r="G11099" s="1">
        <v>9.64</v>
      </c>
    </row>
    <row r="11100" spans="1:7" ht="14.25" customHeight="1" x14ac:dyDescent="0.45">
      <c r="A11100" t="str">
        <f>_xlfn.XLOOKUP(B11100,Ingot!$H$12:$H$119,Ingot!$G$12:$G$119,"")</f>
        <v>Glass</v>
      </c>
      <c r="B11100" t="s">
        <v>22245</v>
      </c>
      <c r="C11100" t="s">
        <v>10</v>
      </c>
      <c r="D11100" t="s">
        <v>22308</v>
      </c>
      <c r="E11100" t="s">
        <v>22309</v>
      </c>
      <c r="G11100" s="1">
        <v>7.94</v>
      </c>
    </row>
    <row r="11101" spans="1:7" ht="14.25" customHeight="1" x14ac:dyDescent="0.45">
      <c r="A11101" t="str">
        <f>_xlfn.XLOOKUP(B11101,Ingot!$H$12:$H$119,Ingot!$G$12:$G$119,"")</f>
        <v>Glass</v>
      </c>
      <c r="B11101" t="s">
        <v>22245</v>
      </c>
      <c r="C11101" t="s">
        <v>10</v>
      </c>
      <c r="D11101" t="s">
        <v>22310</v>
      </c>
      <c r="E11101" t="s">
        <v>22311</v>
      </c>
      <c r="G11101" s="1">
        <v>8.66</v>
      </c>
    </row>
    <row r="11102" spans="1:7" ht="14.25" customHeight="1" x14ac:dyDescent="0.45">
      <c r="A11102" t="str">
        <f>_xlfn.XLOOKUP(B11102,Ingot!$H$12:$H$119,Ingot!$G$12:$G$119,"")</f>
        <v>Glass</v>
      </c>
      <c r="B11102" t="s">
        <v>22245</v>
      </c>
      <c r="C11102" t="s">
        <v>10</v>
      </c>
      <c r="D11102" t="s">
        <v>22312</v>
      </c>
      <c r="E11102" t="s">
        <v>22313</v>
      </c>
    </row>
    <row r="11103" spans="1:7" ht="14.25" customHeight="1" x14ac:dyDescent="0.45">
      <c r="A11103" t="str">
        <f>_xlfn.XLOOKUP(B11103,Ingot!$H$12:$H$119,Ingot!$G$12:$G$119,"")</f>
        <v>Glass</v>
      </c>
      <c r="B11103" t="s">
        <v>22245</v>
      </c>
      <c r="C11103" t="s">
        <v>10</v>
      </c>
      <c r="D11103" t="s">
        <v>22314</v>
      </c>
      <c r="E11103" t="s">
        <v>22315</v>
      </c>
      <c r="G11103" s="1">
        <v>2.65</v>
      </c>
    </row>
    <row r="11104" spans="1:7" ht="14.25" customHeight="1" x14ac:dyDescent="0.45">
      <c r="A11104" t="str">
        <f>_xlfn.XLOOKUP(B11104,Ingot!$H$12:$H$119,Ingot!$G$12:$G$119,"")</f>
        <v>Glass</v>
      </c>
      <c r="B11104" t="s">
        <v>22245</v>
      </c>
      <c r="C11104" t="s">
        <v>10</v>
      </c>
      <c r="D11104" t="s">
        <v>22316</v>
      </c>
      <c r="E11104" t="s">
        <v>22317</v>
      </c>
    </row>
    <row r="11105" spans="1:7" ht="14.25" customHeight="1" x14ac:dyDescent="0.45">
      <c r="A11105" t="str">
        <f>_xlfn.XLOOKUP(B11105,Ingot!$H$12:$H$119,Ingot!$G$12:$G$119,"")</f>
        <v>Glass</v>
      </c>
      <c r="B11105" t="s">
        <v>22245</v>
      </c>
      <c r="C11105" t="s">
        <v>10</v>
      </c>
      <c r="D11105" t="s">
        <v>22318</v>
      </c>
      <c r="E11105" t="s">
        <v>22319</v>
      </c>
      <c r="G11105" s="1">
        <v>12.64</v>
      </c>
    </row>
    <row r="11106" spans="1:7" ht="14.25" customHeight="1" x14ac:dyDescent="0.45">
      <c r="A11106" t="str">
        <f>_xlfn.XLOOKUP(B11106,Ingot!$H$12:$H$119,Ingot!$G$12:$G$119,"")</f>
        <v>Glass</v>
      </c>
      <c r="B11106" t="s">
        <v>22245</v>
      </c>
      <c r="C11106" t="s">
        <v>10</v>
      </c>
      <c r="D11106" t="s">
        <v>22320</v>
      </c>
      <c r="E11106" t="s">
        <v>22321</v>
      </c>
      <c r="G11106" s="1">
        <v>22.67</v>
      </c>
    </row>
    <row r="11107" spans="1:7" ht="14.25" customHeight="1" x14ac:dyDescent="0.45">
      <c r="A11107" t="str">
        <f>_xlfn.XLOOKUP(B11107,Ingot!$H$12:$H$119,Ingot!$G$12:$G$119,"")</f>
        <v>Glass</v>
      </c>
      <c r="B11107" t="s">
        <v>22245</v>
      </c>
      <c r="C11107" t="s">
        <v>10</v>
      </c>
      <c r="D11107" t="s">
        <v>22322</v>
      </c>
      <c r="E11107" t="s">
        <v>22323</v>
      </c>
      <c r="G11107" s="1">
        <v>8.3800000000000008</v>
      </c>
    </row>
    <row r="11108" spans="1:7" ht="14.25" customHeight="1" x14ac:dyDescent="0.45">
      <c r="A11108" t="str">
        <f>_xlfn.XLOOKUP(B11108,Ingot!$H$12:$H$119,Ingot!$G$12:$G$119,"")</f>
        <v>Glass</v>
      </c>
      <c r="B11108" t="s">
        <v>22245</v>
      </c>
      <c r="C11108" t="s">
        <v>10</v>
      </c>
      <c r="D11108" t="s">
        <v>22324</v>
      </c>
      <c r="E11108" t="s">
        <v>22325</v>
      </c>
      <c r="G11108" s="1">
        <v>2.2000000000000002</v>
      </c>
    </row>
    <row r="11109" spans="1:7" ht="14.25" customHeight="1" x14ac:dyDescent="0.45">
      <c r="A11109" t="str">
        <f>_xlfn.XLOOKUP(B11109,Ingot!$H$12:$H$119,Ingot!$G$12:$G$119,"")</f>
        <v>Glass</v>
      </c>
      <c r="B11109" t="s">
        <v>22245</v>
      </c>
      <c r="C11109" t="s">
        <v>10</v>
      </c>
      <c r="D11109" t="s">
        <v>22326</v>
      </c>
      <c r="E11109" t="s">
        <v>22327</v>
      </c>
      <c r="G11109" s="1">
        <v>3.09</v>
      </c>
    </row>
    <row r="11110" spans="1:7" ht="14.25" customHeight="1" x14ac:dyDescent="0.45">
      <c r="A11110" t="str">
        <f>_xlfn.XLOOKUP(B11110,Ingot!$H$12:$H$119,Ingot!$G$12:$G$119,"")</f>
        <v>Glass</v>
      </c>
      <c r="B11110" t="s">
        <v>22245</v>
      </c>
      <c r="C11110" t="s">
        <v>10</v>
      </c>
      <c r="D11110" t="s">
        <v>22328</v>
      </c>
      <c r="E11110" t="s">
        <v>22329</v>
      </c>
      <c r="G11110" s="1">
        <v>2.2999999999999998</v>
      </c>
    </row>
    <row r="11111" spans="1:7" ht="14.25" customHeight="1" x14ac:dyDescent="0.45">
      <c r="A11111" t="str">
        <f>_xlfn.XLOOKUP(B11111,Ingot!$H$12:$H$119,Ingot!$G$12:$G$119,"")</f>
        <v>Glass</v>
      </c>
      <c r="B11111" t="s">
        <v>22245</v>
      </c>
      <c r="C11111" t="s">
        <v>10</v>
      </c>
      <c r="D11111" t="s">
        <v>22330</v>
      </c>
      <c r="E11111" t="s">
        <v>22331</v>
      </c>
      <c r="G11111" s="1">
        <v>4.88</v>
      </c>
    </row>
    <row r="11112" spans="1:7" ht="14.25" customHeight="1" x14ac:dyDescent="0.45">
      <c r="A11112" t="str">
        <f>_xlfn.XLOOKUP(B11112,Ingot!$H$12:$H$119,Ingot!$G$12:$G$119,"")</f>
        <v>Glass</v>
      </c>
      <c r="B11112" t="s">
        <v>22245</v>
      </c>
      <c r="C11112" t="s">
        <v>10</v>
      </c>
      <c r="D11112" t="s">
        <v>22332</v>
      </c>
      <c r="E11112" t="s">
        <v>22333</v>
      </c>
      <c r="G11112" s="1">
        <v>8.43</v>
      </c>
    </row>
    <row r="11113" spans="1:7" ht="14.25" customHeight="1" x14ac:dyDescent="0.45">
      <c r="A11113" t="str">
        <f>_xlfn.XLOOKUP(B11113,Ingot!$H$12:$H$119,Ingot!$G$12:$G$119,"")</f>
        <v>Glass</v>
      </c>
      <c r="B11113" t="s">
        <v>22245</v>
      </c>
      <c r="C11113" t="s">
        <v>10</v>
      </c>
      <c r="D11113" t="s">
        <v>22334</v>
      </c>
      <c r="E11113" t="s">
        <v>22335</v>
      </c>
      <c r="G11113" s="1">
        <v>13.07</v>
      </c>
    </row>
    <row r="11114" spans="1:7" ht="14.25" customHeight="1" x14ac:dyDescent="0.45">
      <c r="A11114" t="str">
        <f>_xlfn.XLOOKUP(B11114,Ingot!$H$12:$H$119,Ingot!$G$12:$G$119,"")</f>
        <v>Glass</v>
      </c>
      <c r="B11114" t="s">
        <v>22245</v>
      </c>
      <c r="C11114" t="s">
        <v>10</v>
      </c>
      <c r="D11114" t="s">
        <v>22336</v>
      </c>
      <c r="E11114" t="s">
        <v>22337</v>
      </c>
    </row>
    <row r="11115" spans="1:7" ht="14.25" customHeight="1" x14ac:dyDescent="0.45">
      <c r="A11115" t="str">
        <f>_xlfn.XLOOKUP(B11115,Ingot!$H$12:$H$119,Ingot!$G$12:$G$119,"")</f>
        <v>Glass</v>
      </c>
      <c r="B11115" t="s">
        <v>22245</v>
      </c>
      <c r="C11115" t="s">
        <v>10</v>
      </c>
      <c r="D11115" t="s">
        <v>22338</v>
      </c>
      <c r="E11115" t="s">
        <v>22339</v>
      </c>
    </row>
    <row r="11116" spans="1:7" ht="14.25" customHeight="1" x14ac:dyDescent="0.45">
      <c r="A11116" t="str">
        <f>_xlfn.XLOOKUP(B11116,Ingot!$H$12:$H$119,Ingot!$G$12:$G$119,"")</f>
        <v>Glass</v>
      </c>
      <c r="B11116" t="s">
        <v>22245</v>
      </c>
      <c r="C11116" t="s">
        <v>10</v>
      </c>
      <c r="D11116" t="s">
        <v>22340</v>
      </c>
      <c r="E11116" t="s">
        <v>22341</v>
      </c>
      <c r="G11116" s="1">
        <v>6.8</v>
      </c>
    </row>
    <row r="11117" spans="1:7" ht="14.25" customHeight="1" x14ac:dyDescent="0.45">
      <c r="A11117" t="str">
        <f>_xlfn.XLOOKUP(B11117,Ingot!$H$12:$H$119,Ingot!$G$12:$G$119,"")</f>
        <v>Glass</v>
      </c>
      <c r="B11117" t="s">
        <v>22245</v>
      </c>
      <c r="C11117" t="s">
        <v>10</v>
      </c>
      <c r="D11117" t="s">
        <v>22342</v>
      </c>
      <c r="E11117" t="s">
        <v>22343</v>
      </c>
      <c r="G11117" s="1">
        <v>6.88</v>
      </c>
    </row>
    <row r="11118" spans="1:7" ht="14.25" customHeight="1" x14ac:dyDescent="0.45">
      <c r="A11118" t="str">
        <f>_xlfn.XLOOKUP(B11118,Ingot!$H$12:$H$119,Ingot!$G$12:$G$119,"")</f>
        <v>Glass</v>
      </c>
      <c r="B11118" t="s">
        <v>22245</v>
      </c>
      <c r="C11118" t="s">
        <v>10</v>
      </c>
      <c r="D11118" t="s">
        <v>22344</v>
      </c>
      <c r="E11118" t="s">
        <v>22345</v>
      </c>
      <c r="G11118" s="1">
        <v>5.5</v>
      </c>
    </row>
    <row r="11119" spans="1:7" ht="14.25" customHeight="1" x14ac:dyDescent="0.45">
      <c r="A11119" t="str">
        <f>_xlfn.XLOOKUP(B11119,Ingot!$H$12:$H$119,Ingot!$G$12:$G$119,"")</f>
        <v>Glass</v>
      </c>
      <c r="B11119" t="s">
        <v>22245</v>
      </c>
      <c r="C11119" t="s">
        <v>10</v>
      </c>
      <c r="D11119" t="s">
        <v>22346</v>
      </c>
      <c r="E11119" t="s">
        <v>22347</v>
      </c>
      <c r="G11119" s="1">
        <v>2.4300000000000002</v>
      </c>
    </row>
    <row r="11120" spans="1:7" ht="14.25" customHeight="1" x14ac:dyDescent="0.45">
      <c r="A11120" t="str">
        <f>_xlfn.XLOOKUP(B11120,Ingot!$H$12:$H$119,Ingot!$G$12:$G$119,"")</f>
        <v>Glass</v>
      </c>
      <c r="B11120" t="s">
        <v>22245</v>
      </c>
      <c r="C11120" t="s">
        <v>10</v>
      </c>
      <c r="D11120" t="s">
        <v>22348</v>
      </c>
      <c r="E11120" t="s">
        <v>22349</v>
      </c>
      <c r="G11120" s="1">
        <v>6.96</v>
      </c>
    </row>
    <row r="11121" spans="1:7" ht="14.25" customHeight="1" x14ac:dyDescent="0.45">
      <c r="A11121" t="str">
        <f>_xlfn.XLOOKUP(B11121,Ingot!$H$12:$H$119,Ingot!$G$12:$G$119,"")</f>
        <v>Glass</v>
      </c>
      <c r="B11121" t="s">
        <v>22245</v>
      </c>
      <c r="C11121" t="s">
        <v>10</v>
      </c>
      <c r="D11121" t="s">
        <v>22350</v>
      </c>
      <c r="E11121" t="s">
        <v>22351</v>
      </c>
      <c r="G11121" s="1">
        <v>6.32</v>
      </c>
    </row>
    <row r="11122" spans="1:7" ht="14.25" customHeight="1" x14ac:dyDescent="0.45">
      <c r="A11122" t="str">
        <f>_xlfn.XLOOKUP(B11122,Ingot!$H$12:$H$119,Ingot!$G$12:$G$119,"")</f>
        <v>Glass</v>
      </c>
      <c r="B11122" t="s">
        <v>22245</v>
      </c>
      <c r="C11122" t="s">
        <v>10</v>
      </c>
      <c r="D11122" t="s">
        <v>22352</v>
      </c>
      <c r="E11122" t="s">
        <v>22353</v>
      </c>
      <c r="G11122" s="1">
        <v>6.88</v>
      </c>
    </row>
    <row r="11123" spans="1:7" ht="14.25" customHeight="1" x14ac:dyDescent="0.45">
      <c r="A11123" t="str">
        <f>_xlfn.XLOOKUP(B11123,Ingot!$H$12:$H$119,Ingot!$G$12:$G$119,"")</f>
        <v>Glass</v>
      </c>
      <c r="B11123" t="s">
        <v>22245</v>
      </c>
      <c r="C11123" t="s">
        <v>10</v>
      </c>
      <c r="D11123" t="s">
        <v>22354</v>
      </c>
      <c r="E11123" t="s">
        <v>22355</v>
      </c>
      <c r="G11123" s="1">
        <v>2.44</v>
      </c>
    </row>
    <row r="11124" spans="1:7" ht="14.25" customHeight="1" x14ac:dyDescent="0.45">
      <c r="A11124" t="str">
        <f>_xlfn.XLOOKUP(B11124,Ingot!$H$12:$H$119,Ingot!$G$12:$G$119,"")</f>
        <v>Glass</v>
      </c>
      <c r="B11124" t="s">
        <v>22245</v>
      </c>
      <c r="C11124" t="s">
        <v>10</v>
      </c>
      <c r="D11124" t="s">
        <v>22356</v>
      </c>
      <c r="E11124" t="s">
        <v>22357</v>
      </c>
    </row>
    <row r="11125" spans="1:7" ht="14.25" customHeight="1" x14ac:dyDescent="0.45">
      <c r="A11125" t="str">
        <f>_xlfn.XLOOKUP(B11125,Ingot!$H$12:$H$119,Ingot!$G$12:$G$119,"")</f>
        <v>Glass</v>
      </c>
      <c r="B11125" t="s">
        <v>22245</v>
      </c>
      <c r="C11125" t="s">
        <v>10</v>
      </c>
      <c r="D11125" t="s">
        <v>22358</v>
      </c>
      <c r="E11125" t="s">
        <v>22359</v>
      </c>
    </row>
    <row r="11126" spans="1:7" ht="14.25" customHeight="1" x14ac:dyDescent="0.45">
      <c r="A11126" t="str">
        <f>_xlfn.XLOOKUP(B11126,Ingot!$H$12:$H$119,Ingot!$G$12:$G$119,"")</f>
        <v>Glass</v>
      </c>
      <c r="B11126" t="s">
        <v>22245</v>
      </c>
      <c r="C11126" t="s">
        <v>10</v>
      </c>
      <c r="D11126" t="s">
        <v>22360</v>
      </c>
      <c r="E11126" t="s">
        <v>22361</v>
      </c>
      <c r="G11126" s="1">
        <v>3.11</v>
      </c>
    </row>
    <row r="11127" spans="1:7" ht="14.25" customHeight="1" x14ac:dyDescent="0.45">
      <c r="A11127" t="str">
        <f>_xlfn.XLOOKUP(B11127,Ingot!$H$12:$H$119,Ingot!$G$12:$G$119,"")</f>
        <v>Glass</v>
      </c>
      <c r="B11127" t="s">
        <v>22245</v>
      </c>
      <c r="C11127" t="s">
        <v>10</v>
      </c>
      <c r="D11127" t="s">
        <v>22362</v>
      </c>
      <c r="E11127" t="s">
        <v>22363</v>
      </c>
      <c r="G11127" s="1">
        <v>2.44</v>
      </c>
    </row>
    <row r="11128" spans="1:7" ht="14.25" customHeight="1" x14ac:dyDescent="0.45">
      <c r="A11128" t="str">
        <f>_xlfn.XLOOKUP(B11128,Ingot!$H$12:$H$119,Ingot!$G$12:$G$119,"")</f>
        <v>Glass</v>
      </c>
      <c r="B11128" t="s">
        <v>22245</v>
      </c>
      <c r="C11128" t="s">
        <v>10</v>
      </c>
      <c r="D11128" t="s">
        <v>22364</v>
      </c>
      <c r="E11128" t="s">
        <v>22365</v>
      </c>
      <c r="G11128" s="1">
        <v>8.61</v>
      </c>
    </row>
    <row r="11129" spans="1:7" ht="14.25" customHeight="1" x14ac:dyDescent="0.45">
      <c r="A11129" t="str">
        <f>_xlfn.XLOOKUP(B11129,Ingot!$H$12:$H$119,Ingot!$G$12:$G$119,"")</f>
        <v>Glass</v>
      </c>
      <c r="B11129" t="s">
        <v>22245</v>
      </c>
      <c r="C11129" t="s">
        <v>10</v>
      </c>
      <c r="D11129" t="s">
        <v>22366</v>
      </c>
      <c r="E11129" t="s">
        <v>22367</v>
      </c>
    </row>
    <row r="11130" spans="1:7" ht="14.25" customHeight="1" x14ac:dyDescent="0.45">
      <c r="A11130" t="str">
        <f>_xlfn.XLOOKUP(B11130,Ingot!$H$12:$H$119,Ingot!$G$12:$G$119,"")</f>
        <v>Glass</v>
      </c>
      <c r="B11130" t="s">
        <v>22245</v>
      </c>
      <c r="C11130" t="s">
        <v>10</v>
      </c>
      <c r="D11130" t="s">
        <v>22368</v>
      </c>
      <c r="E11130" t="s">
        <v>22369</v>
      </c>
      <c r="G11130" s="1">
        <v>3.21</v>
      </c>
    </row>
    <row r="11131" spans="1:7" ht="14.25" customHeight="1" x14ac:dyDescent="0.45">
      <c r="A11131" t="str">
        <f>_xlfn.XLOOKUP(B11131,Ingot!$H$12:$H$119,Ingot!$G$12:$G$119,"")</f>
        <v>Glass</v>
      </c>
      <c r="B11131" t="s">
        <v>22245</v>
      </c>
      <c r="C11131" t="s">
        <v>10</v>
      </c>
      <c r="D11131" t="s">
        <v>22370</v>
      </c>
      <c r="E11131" t="s">
        <v>22371</v>
      </c>
      <c r="G11131" s="1">
        <v>2.77</v>
      </c>
    </row>
    <row r="11132" spans="1:7" ht="14.25" customHeight="1" x14ac:dyDescent="0.45">
      <c r="A11132" t="str">
        <f>_xlfn.XLOOKUP(B11132,Ingot!$H$12:$H$119,Ingot!$G$12:$G$119,"")</f>
        <v>Glass</v>
      </c>
      <c r="B11132" t="s">
        <v>22245</v>
      </c>
      <c r="C11132" t="s">
        <v>10</v>
      </c>
      <c r="D11132" t="s">
        <v>22372</v>
      </c>
      <c r="E11132" t="s">
        <v>22373</v>
      </c>
      <c r="G11132" s="1">
        <v>4.8899999999999997</v>
      </c>
    </row>
    <row r="11133" spans="1:7" ht="14.25" customHeight="1" x14ac:dyDescent="0.45">
      <c r="A11133" t="str">
        <f>_xlfn.XLOOKUP(B11133,Ingot!$H$12:$H$119,Ingot!$G$12:$G$119,"")</f>
        <v>Glass</v>
      </c>
      <c r="B11133" t="s">
        <v>22245</v>
      </c>
      <c r="C11133" t="s">
        <v>10</v>
      </c>
      <c r="D11133" t="s">
        <v>22374</v>
      </c>
      <c r="E11133" t="s">
        <v>22375</v>
      </c>
      <c r="G11133" s="1">
        <v>1.76</v>
      </c>
    </row>
    <row r="11134" spans="1:7" ht="14.25" customHeight="1" x14ac:dyDescent="0.45">
      <c r="A11134" t="str">
        <f>_xlfn.XLOOKUP(B11134,Ingot!$H$12:$H$119,Ingot!$G$12:$G$119,"")</f>
        <v>Glass</v>
      </c>
      <c r="B11134" t="s">
        <v>22245</v>
      </c>
      <c r="C11134" t="s">
        <v>10</v>
      </c>
      <c r="D11134" t="s">
        <v>22376</v>
      </c>
      <c r="E11134" t="s">
        <v>22377</v>
      </c>
    </row>
    <row r="11135" spans="1:7" ht="14.25" customHeight="1" x14ac:dyDescent="0.45">
      <c r="A11135" t="str">
        <f>_xlfn.XLOOKUP(B11135,Ingot!$H$12:$H$119,Ingot!$G$12:$G$119,"")</f>
        <v>Glass</v>
      </c>
      <c r="B11135" t="s">
        <v>22245</v>
      </c>
      <c r="C11135" t="s">
        <v>10</v>
      </c>
      <c r="D11135" t="s">
        <v>22378</v>
      </c>
      <c r="E11135" t="s">
        <v>22379</v>
      </c>
      <c r="G11135" s="1">
        <v>8.57</v>
      </c>
    </row>
    <row r="11136" spans="1:7" ht="14.25" customHeight="1" x14ac:dyDescent="0.45">
      <c r="A11136" t="str">
        <f>_xlfn.XLOOKUP(B11136,Ingot!$H$12:$H$119,Ingot!$G$12:$G$119,"")</f>
        <v>Glass</v>
      </c>
      <c r="B11136" t="s">
        <v>22245</v>
      </c>
      <c r="C11136" t="s">
        <v>10</v>
      </c>
      <c r="D11136" t="s">
        <v>22380</v>
      </c>
      <c r="E11136" t="s">
        <v>22381</v>
      </c>
    </row>
    <row r="11137" spans="1:7" ht="14.25" customHeight="1" x14ac:dyDescent="0.45">
      <c r="A11137" t="str">
        <f>_xlfn.XLOOKUP(B11137,Ingot!$H$12:$H$119,Ingot!$G$12:$G$119,"")</f>
        <v>Glass</v>
      </c>
      <c r="B11137" t="s">
        <v>22245</v>
      </c>
      <c r="C11137" t="s">
        <v>10</v>
      </c>
      <c r="D11137" t="s">
        <v>22382</v>
      </c>
      <c r="E11137" t="s">
        <v>22383</v>
      </c>
      <c r="G11137" s="1">
        <v>3.56</v>
      </c>
    </row>
    <row r="11138" spans="1:7" ht="14.25" customHeight="1" x14ac:dyDescent="0.45">
      <c r="A11138" t="str">
        <f>_xlfn.XLOOKUP(B11138,Ingot!$H$12:$H$119,Ingot!$G$12:$G$119,"")</f>
        <v>Glass</v>
      </c>
      <c r="B11138" t="s">
        <v>22245</v>
      </c>
      <c r="C11138" t="s">
        <v>10</v>
      </c>
      <c r="D11138" t="s">
        <v>22384</v>
      </c>
      <c r="E11138" t="s">
        <v>22385</v>
      </c>
      <c r="G11138" s="1">
        <v>8.91</v>
      </c>
    </row>
    <row r="11139" spans="1:7" ht="14.25" customHeight="1" x14ac:dyDescent="0.45">
      <c r="A11139" t="str">
        <f>_xlfn.XLOOKUP(B11139,Ingot!$H$12:$H$119,Ingot!$G$12:$G$119,"")</f>
        <v>Glass</v>
      </c>
      <c r="B11139" t="s">
        <v>22245</v>
      </c>
      <c r="C11139" t="s">
        <v>10</v>
      </c>
      <c r="D11139" t="s">
        <v>22386</v>
      </c>
      <c r="E11139" t="s">
        <v>22387</v>
      </c>
      <c r="G11139" s="1">
        <v>11.02</v>
      </c>
    </row>
    <row r="11140" spans="1:7" ht="14.25" customHeight="1" x14ac:dyDescent="0.45">
      <c r="A11140" t="str">
        <f>_xlfn.XLOOKUP(B11140,Ingot!$H$12:$H$119,Ingot!$G$12:$G$119,"")</f>
        <v>Glass</v>
      </c>
      <c r="B11140" t="s">
        <v>22245</v>
      </c>
      <c r="C11140" t="s">
        <v>10</v>
      </c>
      <c r="D11140" t="s">
        <v>22388</v>
      </c>
      <c r="E11140" t="s">
        <v>22389</v>
      </c>
      <c r="G11140" s="1">
        <v>5.12</v>
      </c>
    </row>
    <row r="11141" spans="1:7" ht="14.25" customHeight="1" x14ac:dyDescent="0.45">
      <c r="A11141" t="str">
        <f>_xlfn.XLOOKUP(B11141,Ingot!$H$12:$H$119,Ingot!$G$12:$G$119,"")</f>
        <v>Glass</v>
      </c>
      <c r="B11141" t="s">
        <v>22245</v>
      </c>
      <c r="C11141" t="s">
        <v>10</v>
      </c>
      <c r="D11141" t="s">
        <v>22390</v>
      </c>
      <c r="E11141" t="s">
        <v>22391</v>
      </c>
      <c r="G11141" s="1">
        <v>4.41</v>
      </c>
    </row>
    <row r="11142" spans="1:7" ht="14.25" customHeight="1" x14ac:dyDescent="0.45">
      <c r="A11142" t="str">
        <f>_xlfn.XLOOKUP(B11142,Ingot!$H$12:$H$119,Ingot!$G$12:$G$119,"")</f>
        <v>Glass</v>
      </c>
      <c r="B11142" t="s">
        <v>22245</v>
      </c>
      <c r="C11142" t="s">
        <v>157</v>
      </c>
      <c r="D11142" t="s">
        <v>22392</v>
      </c>
      <c r="E11142" t="s">
        <v>22393</v>
      </c>
      <c r="G11142" s="1">
        <v>29.77</v>
      </c>
    </row>
    <row r="11143" spans="1:7" ht="14.25" customHeight="1" x14ac:dyDescent="0.45">
      <c r="A11143" t="str">
        <f>_xlfn.XLOOKUP(B11143,Ingot!$H$12:$H$119,Ingot!$G$12:$G$119,"")</f>
        <v>Glass</v>
      </c>
      <c r="B11143" t="s">
        <v>22245</v>
      </c>
      <c r="C11143" t="s">
        <v>157</v>
      </c>
      <c r="D11143" t="s">
        <v>22394</v>
      </c>
      <c r="E11143" t="s">
        <v>22395</v>
      </c>
      <c r="G11143" s="1">
        <v>5.95</v>
      </c>
    </row>
    <row r="11144" spans="1:7" ht="14.25" customHeight="1" x14ac:dyDescent="0.45">
      <c r="A11144" t="str">
        <f>_xlfn.XLOOKUP(B11144,Ingot!$H$12:$H$119,Ingot!$G$12:$G$119,"")</f>
        <v>Glass</v>
      </c>
      <c r="B11144" t="s">
        <v>22245</v>
      </c>
      <c r="C11144" t="s">
        <v>157</v>
      </c>
      <c r="D11144" t="s">
        <v>22396</v>
      </c>
      <c r="E11144" t="s">
        <v>22397</v>
      </c>
      <c r="G11144" s="1">
        <v>5.95</v>
      </c>
    </row>
    <row r="11145" spans="1:7" ht="14.25" customHeight="1" x14ac:dyDescent="0.45">
      <c r="A11145" t="str">
        <f>_xlfn.XLOOKUP(B11145,Ingot!$H$12:$H$119,Ingot!$G$12:$G$119,"")</f>
        <v>Glass</v>
      </c>
      <c r="B11145" t="s">
        <v>22245</v>
      </c>
      <c r="C11145" t="s">
        <v>157</v>
      </c>
      <c r="D11145" t="s">
        <v>22398</v>
      </c>
      <c r="E11145" t="s">
        <v>22399</v>
      </c>
      <c r="G11145" s="1">
        <v>5</v>
      </c>
    </row>
    <row r="11146" spans="1:7" ht="14.25" customHeight="1" x14ac:dyDescent="0.45">
      <c r="A11146" t="str">
        <f>_xlfn.XLOOKUP(B11146,Ingot!$H$12:$H$119,Ingot!$G$12:$G$119,"")</f>
        <v>Glass</v>
      </c>
      <c r="B11146" t="s">
        <v>22245</v>
      </c>
      <c r="C11146" t="s">
        <v>157</v>
      </c>
      <c r="D11146" t="s">
        <v>22400</v>
      </c>
      <c r="E11146" t="s">
        <v>22401</v>
      </c>
      <c r="G11146" s="1">
        <v>10</v>
      </c>
    </row>
    <row r="11147" spans="1:7" ht="14.25" customHeight="1" x14ac:dyDescent="0.45">
      <c r="A11147" t="str">
        <f>_xlfn.XLOOKUP(B11147,Ingot!$H$12:$H$119,Ingot!$G$12:$G$119,"")</f>
        <v>Glass</v>
      </c>
      <c r="B11147" t="s">
        <v>22245</v>
      </c>
      <c r="C11147" t="s">
        <v>157</v>
      </c>
      <c r="D11147" t="s">
        <v>22402</v>
      </c>
      <c r="E11147" t="s">
        <v>22403</v>
      </c>
      <c r="G11147" s="1">
        <v>25.77</v>
      </c>
    </row>
    <row r="11148" spans="1:7" ht="14.25" customHeight="1" x14ac:dyDescent="0.45">
      <c r="A11148" t="str">
        <f>_xlfn.XLOOKUP(B11148,Ingot!$H$12:$H$119,Ingot!$G$12:$G$119,"")</f>
        <v>Glass</v>
      </c>
      <c r="B11148" t="s">
        <v>22245</v>
      </c>
      <c r="C11148" t="s">
        <v>157</v>
      </c>
      <c r="D11148" t="s">
        <v>22404</v>
      </c>
      <c r="E11148" t="s">
        <v>22405</v>
      </c>
      <c r="G11148" s="1">
        <v>5.15</v>
      </c>
    </row>
    <row r="11149" spans="1:7" ht="14.25" customHeight="1" x14ac:dyDescent="0.45">
      <c r="A11149" t="str">
        <f>_xlfn.XLOOKUP(B11149,Ingot!$H$12:$H$119,Ingot!$G$12:$G$119,"")</f>
        <v>Glass</v>
      </c>
      <c r="B11149" t="s">
        <v>22245</v>
      </c>
      <c r="C11149" t="s">
        <v>157</v>
      </c>
      <c r="D11149" t="s">
        <v>22406</v>
      </c>
      <c r="E11149" t="s">
        <v>22407</v>
      </c>
      <c r="G11149" s="1">
        <v>5.15</v>
      </c>
    </row>
    <row r="11150" spans="1:7" ht="14.25" customHeight="1" x14ac:dyDescent="0.45">
      <c r="A11150" t="str">
        <f>_xlfn.XLOOKUP(B11150,Ingot!$H$12:$H$119,Ingot!$G$12:$G$119,"")</f>
        <v>Glass</v>
      </c>
      <c r="B11150" t="s">
        <v>22245</v>
      </c>
      <c r="C11150" t="s">
        <v>157</v>
      </c>
      <c r="D11150" t="s">
        <v>22408</v>
      </c>
      <c r="E11150" t="s">
        <v>22409</v>
      </c>
      <c r="G11150" s="1">
        <v>5</v>
      </c>
    </row>
    <row r="11151" spans="1:7" ht="14.25" customHeight="1" x14ac:dyDescent="0.45">
      <c r="A11151" t="str">
        <f>_xlfn.XLOOKUP(B11151,Ingot!$H$12:$H$119,Ingot!$G$12:$G$119,"")</f>
        <v>Glass</v>
      </c>
      <c r="B11151" t="s">
        <v>22245</v>
      </c>
      <c r="C11151" t="s">
        <v>157</v>
      </c>
      <c r="D11151" t="s">
        <v>22410</v>
      </c>
      <c r="E11151" t="s">
        <v>22411</v>
      </c>
      <c r="G11151" s="1">
        <v>10</v>
      </c>
    </row>
    <row r="11152" spans="1:7" ht="14.25" customHeight="1" x14ac:dyDescent="0.45">
      <c r="A11152" t="str">
        <f>_xlfn.XLOOKUP(B11152,Ingot!$H$12:$H$119,Ingot!$G$12:$G$119,"")</f>
        <v>Glass</v>
      </c>
      <c r="B11152" t="s">
        <v>22245</v>
      </c>
      <c r="C11152" t="s">
        <v>157</v>
      </c>
      <c r="D11152" t="s">
        <v>22412</v>
      </c>
      <c r="E11152" t="s">
        <v>22413</v>
      </c>
      <c r="F11152" t="s">
        <v>180</v>
      </c>
      <c r="G11152" s="1">
        <v>24.77</v>
      </c>
    </row>
    <row r="11153" spans="1:7" ht="14.25" customHeight="1" x14ac:dyDescent="0.45">
      <c r="A11153" t="str">
        <f>_xlfn.XLOOKUP(B11153,Ingot!$H$12:$H$119,Ingot!$G$12:$G$119,"")</f>
        <v>Glass</v>
      </c>
      <c r="B11153" t="s">
        <v>22245</v>
      </c>
      <c r="C11153" t="s">
        <v>157</v>
      </c>
      <c r="D11153" t="s">
        <v>22414</v>
      </c>
      <c r="E11153" t="s">
        <v>22415</v>
      </c>
      <c r="F11153" t="s">
        <v>180</v>
      </c>
      <c r="G11153" s="1">
        <v>5</v>
      </c>
    </row>
    <row r="11154" spans="1:7" ht="14.25" customHeight="1" x14ac:dyDescent="0.45">
      <c r="A11154" t="str">
        <f>_xlfn.XLOOKUP(B11154,Ingot!$H$12:$H$119,Ingot!$G$12:$G$119,"")</f>
        <v>Glass</v>
      </c>
      <c r="B11154" t="s">
        <v>22245</v>
      </c>
      <c r="C11154" t="s">
        <v>157</v>
      </c>
      <c r="D11154" t="s">
        <v>22416</v>
      </c>
      <c r="E11154" t="s">
        <v>22417</v>
      </c>
      <c r="F11154" t="s">
        <v>180</v>
      </c>
      <c r="G11154" s="1">
        <v>5</v>
      </c>
    </row>
    <row r="11155" spans="1:7" ht="14.25" customHeight="1" x14ac:dyDescent="0.45">
      <c r="A11155" t="str">
        <f>_xlfn.XLOOKUP(B11155,Ingot!$H$12:$H$119,Ingot!$G$12:$G$119,"")</f>
        <v>Glass</v>
      </c>
      <c r="B11155" t="s">
        <v>22245</v>
      </c>
      <c r="C11155" t="s">
        <v>157</v>
      </c>
      <c r="D11155" t="s">
        <v>22418</v>
      </c>
      <c r="E11155" t="s">
        <v>22419</v>
      </c>
      <c r="F11155" t="s">
        <v>180</v>
      </c>
      <c r="G11155" s="1">
        <v>5</v>
      </c>
    </row>
    <row r="11156" spans="1:7" ht="14.25" customHeight="1" x14ac:dyDescent="0.45">
      <c r="A11156" t="str">
        <f>_xlfn.XLOOKUP(B11156,Ingot!$H$12:$H$119,Ingot!$G$12:$G$119,"")</f>
        <v>Glass</v>
      </c>
      <c r="B11156" t="s">
        <v>22245</v>
      </c>
      <c r="C11156" t="s">
        <v>157</v>
      </c>
      <c r="D11156" t="s">
        <v>22420</v>
      </c>
      <c r="E11156" t="s">
        <v>22421</v>
      </c>
      <c r="F11156" t="s">
        <v>180</v>
      </c>
      <c r="G11156" s="1">
        <v>10</v>
      </c>
    </row>
    <row r="11157" spans="1:7" ht="14.25" customHeight="1" x14ac:dyDescent="0.45">
      <c r="A11157" t="str">
        <f>_xlfn.XLOOKUP(B11157,Ingot!$H$12:$H$119,Ingot!$G$12:$G$119,"")</f>
        <v>Glass</v>
      </c>
      <c r="B11157" t="s">
        <v>22245</v>
      </c>
      <c r="C11157" t="s">
        <v>157</v>
      </c>
      <c r="D11157" t="s">
        <v>22422</v>
      </c>
      <c r="E11157" t="s">
        <v>22423</v>
      </c>
      <c r="G11157" s="1">
        <v>26.77</v>
      </c>
    </row>
    <row r="11158" spans="1:7" ht="14.25" customHeight="1" x14ac:dyDescent="0.45">
      <c r="A11158" t="str">
        <f>_xlfn.XLOOKUP(B11158,Ingot!$H$12:$H$119,Ingot!$G$12:$G$119,"")</f>
        <v>Glass</v>
      </c>
      <c r="B11158" t="s">
        <v>22245</v>
      </c>
      <c r="C11158" t="s">
        <v>157</v>
      </c>
      <c r="D11158" t="s">
        <v>22424</v>
      </c>
      <c r="E11158" t="s">
        <v>22425</v>
      </c>
      <c r="G11158" s="1">
        <v>5.35</v>
      </c>
    </row>
    <row r="11159" spans="1:7" ht="14.25" customHeight="1" x14ac:dyDescent="0.45">
      <c r="A11159" t="str">
        <f>_xlfn.XLOOKUP(B11159,Ingot!$H$12:$H$119,Ingot!$G$12:$G$119,"")</f>
        <v>Glass</v>
      </c>
      <c r="B11159" t="s">
        <v>22245</v>
      </c>
      <c r="C11159" t="s">
        <v>157</v>
      </c>
      <c r="D11159" t="s">
        <v>22426</v>
      </c>
      <c r="E11159" t="s">
        <v>22427</v>
      </c>
      <c r="G11159" s="1">
        <v>5.35</v>
      </c>
    </row>
    <row r="11160" spans="1:7" ht="14.25" customHeight="1" x14ac:dyDescent="0.45">
      <c r="A11160" t="str">
        <f>_xlfn.XLOOKUP(B11160,Ingot!$H$12:$H$119,Ingot!$G$12:$G$119,"")</f>
        <v>Glass</v>
      </c>
      <c r="B11160" t="s">
        <v>22245</v>
      </c>
      <c r="C11160" t="s">
        <v>157</v>
      </c>
      <c r="D11160" t="s">
        <v>22428</v>
      </c>
      <c r="E11160" t="s">
        <v>22429</v>
      </c>
      <c r="G11160" s="1">
        <v>5</v>
      </c>
    </row>
    <row r="11161" spans="1:7" ht="14.25" customHeight="1" x14ac:dyDescent="0.45">
      <c r="A11161" t="str">
        <f>_xlfn.XLOOKUP(B11161,Ingot!$H$12:$H$119,Ingot!$G$12:$G$119,"")</f>
        <v>Glass</v>
      </c>
      <c r="B11161" t="s">
        <v>22245</v>
      </c>
      <c r="C11161" t="s">
        <v>157</v>
      </c>
      <c r="D11161" t="s">
        <v>22430</v>
      </c>
      <c r="E11161" t="s">
        <v>22431</v>
      </c>
      <c r="G11161" s="1">
        <v>10</v>
      </c>
    </row>
    <row r="11162" spans="1:7" ht="14.25" customHeight="1" x14ac:dyDescent="0.45">
      <c r="A11162" t="str">
        <f>_xlfn.XLOOKUP(B11162,Ingot!$H$12:$H$119,Ingot!$G$12:$G$119,"")</f>
        <v>Glass</v>
      </c>
      <c r="B11162" t="s">
        <v>22245</v>
      </c>
      <c r="C11162" t="s">
        <v>157</v>
      </c>
      <c r="D11162" t="s">
        <v>22432</v>
      </c>
      <c r="E11162" t="s">
        <v>22433</v>
      </c>
      <c r="G11162" s="1">
        <v>28.27</v>
      </c>
    </row>
    <row r="11163" spans="1:7" ht="14.25" customHeight="1" x14ac:dyDescent="0.45">
      <c r="A11163" t="str">
        <f>_xlfn.XLOOKUP(B11163,Ingot!$H$12:$H$119,Ingot!$G$12:$G$119,"")</f>
        <v>Glass</v>
      </c>
      <c r="B11163" t="s">
        <v>22245</v>
      </c>
      <c r="C11163" t="s">
        <v>157</v>
      </c>
      <c r="D11163" t="s">
        <v>22434</v>
      </c>
      <c r="E11163" t="s">
        <v>22435</v>
      </c>
      <c r="F11163" t="s">
        <v>180</v>
      </c>
      <c r="G11163" s="1">
        <v>5.65</v>
      </c>
    </row>
    <row r="11164" spans="1:7" ht="14.25" customHeight="1" x14ac:dyDescent="0.45">
      <c r="A11164" t="str">
        <f>_xlfn.XLOOKUP(B11164,Ingot!$H$12:$H$119,Ingot!$G$12:$G$119,"")</f>
        <v>Glass</v>
      </c>
      <c r="B11164" t="s">
        <v>22245</v>
      </c>
      <c r="C11164" t="s">
        <v>157</v>
      </c>
      <c r="D11164" t="s">
        <v>22436</v>
      </c>
      <c r="E11164" t="s">
        <v>22437</v>
      </c>
      <c r="F11164" t="s">
        <v>180</v>
      </c>
      <c r="G11164" s="1">
        <v>5.65</v>
      </c>
    </row>
    <row r="11165" spans="1:7" ht="14.25" customHeight="1" x14ac:dyDescent="0.45">
      <c r="A11165" t="str">
        <f>_xlfn.XLOOKUP(B11165,Ingot!$H$12:$H$119,Ingot!$G$12:$G$119,"")</f>
        <v>Glass</v>
      </c>
      <c r="B11165" t="s">
        <v>22245</v>
      </c>
      <c r="C11165" t="s">
        <v>157</v>
      </c>
      <c r="D11165" t="s">
        <v>22438</v>
      </c>
      <c r="E11165" t="s">
        <v>22439</v>
      </c>
      <c r="F11165" t="s">
        <v>180</v>
      </c>
      <c r="G11165" s="1">
        <v>5</v>
      </c>
    </row>
    <row r="11166" spans="1:7" ht="14.25" customHeight="1" x14ac:dyDescent="0.45">
      <c r="A11166" t="str">
        <f>_xlfn.XLOOKUP(B11166,Ingot!$H$12:$H$119,Ingot!$G$12:$G$119,"")</f>
        <v>Glass</v>
      </c>
      <c r="B11166" t="s">
        <v>22245</v>
      </c>
      <c r="C11166" t="s">
        <v>157</v>
      </c>
      <c r="D11166" t="s">
        <v>22440</v>
      </c>
      <c r="E11166" t="s">
        <v>22441</v>
      </c>
      <c r="G11166" s="1">
        <v>10</v>
      </c>
    </row>
    <row r="11167" spans="1:7" ht="14.25" customHeight="1" x14ac:dyDescent="0.45">
      <c r="A11167" t="str">
        <f>_xlfn.XLOOKUP(B11167,Ingot!$H$12:$H$119,Ingot!$G$12:$G$119,"")</f>
        <v>Glass</v>
      </c>
      <c r="B11167" t="s">
        <v>22245</v>
      </c>
      <c r="C11167" t="s">
        <v>157</v>
      </c>
      <c r="D11167" t="s">
        <v>22442</v>
      </c>
      <c r="E11167" t="s">
        <v>22443</v>
      </c>
      <c r="G11167" s="1">
        <v>32.770000000000003</v>
      </c>
    </row>
    <row r="11168" spans="1:7" ht="14.25" customHeight="1" x14ac:dyDescent="0.45">
      <c r="A11168" t="str">
        <f>_xlfn.XLOOKUP(B11168,Ingot!$H$12:$H$119,Ingot!$G$12:$G$119,"")</f>
        <v>Glass</v>
      </c>
      <c r="B11168" t="s">
        <v>22245</v>
      </c>
      <c r="C11168" t="s">
        <v>157</v>
      </c>
      <c r="D11168" t="s">
        <v>22444</v>
      </c>
      <c r="E11168" t="s">
        <v>22445</v>
      </c>
      <c r="G11168" s="1">
        <v>6.55</v>
      </c>
    </row>
    <row r="11169" spans="1:7" ht="14.25" customHeight="1" x14ac:dyDescent="0.45">
      <c r="A11169" t="str">
        <f>_xlfn.XLOOKUP(B11169,Ingot!$H$12:$H$119,Ingot!$G$12:$G$119,"")</f>
        <v>Glass</v>
      </c>
      <c r="B11169" t="s">
        <v>22245</v>
      </c>
      <c r="C11169" t="s">
        <v>157</v>
      </c>
      <c r="D11169" t="s">
        <v>22446</v>
      </c>
      <c r="E11169" t="s">
        <v>22447</v>
      </c>
      <c r="G11169" s="1">
        <v>6.55</v>
      </c>
    </row>
    <row r="11170" spans="1:7" ht="14.25" customHeight="1" x14ac:dyDescent="0.45">
      <c r="A11170" t="str">
        <f>_xlfn.XLOOKUP(B11170,Ingot!$H$12:$H$119,Ingot!$G$12:$G$119,"")</f>
        <v>Glass</v>
      </c>
      <c r="B11170" t="s">
        <v>22245</v>
      </c>
      <c r="C11170" t="s">
        <v>157</v>
      </c>
      <c r="D11170" t="s">
        <v>22448</v>
      </c>
      <c r="E11170" t="s">
        <v>22449</v>
      </c>
      <c r="G11170" s="1">
        <v>5</v>
      </c>
    </row>
    <row r="11171" spans="1:7" ht="14.25" customHeight="1" x14ac:dyDescent="0.45">
      <c r="A11171" t="str">
        <f>_xlfn.XLOOKUP(B11171,Ingot!$H$12:$H$119,Ingot!$G$12:$G$119,"")</f>
        <v>Glass</v>
      </c>
      <c r="B11171" t="s">
        <v>22245</v>
      </c>
      <c r="C11171" t="s">
        <v>157</v>
      </c>
      <c r="D11171" t="s">
        <v>22450</v>
      </c>
      <c r="E11171" t="s">
        <v>22451</v>
      </c>
      <c r="G11171" s="1">
        <v>10</v>
      </c>
    </row>
    <row r="11172" spans="1:7" ht="14.25" customHeight="1" x14ac:dyDescent="0.45">
      <c r="A11172" t="str">
        <f>_xlfn.XLOOKUP(B11172,Ingot!$H$12:$H$119,Ingot!$G$12:$G$119,"")</f>
        <v>Glass</v>
      </c>
      <c r="B11172" t="s">
        <v>22245</v>
      </c>
      <c r="C11172" t="s">
        <v>157</v>
      </c>
      <c r="D11172" t="s">
        <v>22452</v>
      </c>
      <c r="E11172" t="s">
        <v>22453</v>
      </c>
      <c r="G11172" s="1">
        <v>31.27</v>
      </c>
    </row>
    <row r="11173" spans="1:7" ht="14.25" customHeight="1" x14ac:dyDescent="0.45">
      <c r="A11173" t="str">
        <f>_xlfn.XLOOKUP(B11173,Ingot!$H$12:$H$119,Ingot!$G$12:$G$119,"")</f>
        <v>Glass</v>
      </c>
      <c r="B11173" t="s">
        <v>22245</v>
      </c>
      <c r="C11173" t="s">
        <v>157</v>
      </c>
      <c r="D11173" t="s">
        <v>22454</v>
      </c>
      <c r="E11173" t="s">
        <v>22455</v>
      </c>
      <c r="G11173" s="1">
        <v>6.25</v>
      </c>
    </row>
    <row r="11174" spans="1:7" ht="14.25" customHeight="1" x14ac:dyDescent="0.45">
      <c r="A11174" t="str">
        <f>_xlfn.XLOOKUP(B11174,Ingot!$H$12:$H$119,Ingot!$G$12:$G$119,"")</f>
        <v>Glass</v>
      </c>
      <c r="B11174" t="s">
        <v>22245</v>
      </c>
      <c r="C11174" t="s">
        <v>157</v>
      </c>
      <c r="D11174" t="s">
        <v>22456</v>
      </c>
      <c r="E11174" t="s">
        <v>22457</v>
      </c>
      <c r="G11174" s="1">
        <v>6.25</v>
      </c>
    </row>
    <row r="11175" spans="1:7" ht="14.25" customHeight="1" x14ac:dyDescent="0.45">
      <c r="A11175" t="str">
        <f>_xlfn.XLOOKUP(B11175,Ingot!$H$12:$H$119,Ingot!$G$12:$G$119,"")</f>
        <v>Glass</v>
      </c>
      <c r="B11175" t="s">
        <v>22245</v>
      </c>
      <c r="C11175" t="s">
        <v>157</v>
      </c>
      <c r="D11175" t="s">
        <v>22458</v>
      </c>
      <c r="E11175" t="s">
        <v>22459</v>
      </c>
      <c r="G11175" s="1">
        <v>5</v>
      </c>
    </row>
    <row r="11176" spans="1:7" ht="14.25" customHeight="1" x14ac:dyDescent="0.45">
      <c r="A11176" t="str">
        <f>_xlfn.XLOOKUP(B11176,Ingot!$H$12:$H$119,Ingot!$G$12:$G$119,"")</f>
        <v>Glass</v>
      </c>
      <c r="B11176" t="s">
        <v>22245</v>
      </c>
      <c r="C11176" t="s">
        <v>157</v>
      </c>
      <c r="D11176" t="s">
        <v>22460</v>
      </c>
      <c r="E11176" t="s">
        <v>22461</v>
      </c>
      <c r="G11176" s="1">
        <v>10</v>
      </c>
    </row>
    <row r="11177" spans="1:7" ht="14.25" customHeight="1" x14ac:dyDescent="0.45">
      <c r="A11177" t="str">
        <f>_xlfn.XLOOKUP(B11177,Ingot!$H$12:$H$119,Ingot!$G$12:$G$119,"")</f>
        <v>Glass</v>
      </c>
      <c r="B11177" t="s">
        <v>22245</v>
      </c>
      <c r="C11177" t="s">
        <v>157</v>
      </c>
      <c r="D11177" t="s">
        <v>22462</v>
      </c>
      <c r="E11177" t="s">
        <v>22463</v>
      </c>
      <c r="F11177" t="s">
        <v>180</v>
      </c>
      <c r="G11177" s="1">
        <v>23.77</v>
      </c>
    </row>
    <row r="11178" spans="1:7" ht="14.25" customHeight="1" x14ac:dyDescent="0.45">
      <c r="A11178" t="str">
        <f>_xlfn.XLOOKUP(B11178,Ingot!$H$12:$H$119,Ingot!$G$12:$G$119,"")</f>
        <v>Glass</v>
      </c>
      <c r="B11178" t="s">
        <v>22245</v>
      </c>
      <c r="C11178" t="s">
        <v>157</v>
      </c>
      <c r="D11178" t="s">
        <v>22464</v>
      </c>
      <c r="E11178" t="s">
        <v>22465</v>
      </c>
      <c r="F11178" t="s">
        <v>180</v>
      </c>
      <c r="G11178" s="1">
        <v>5</v>
      </c>
    </row>
    <row r="11179" spans="1:7" ht="14.25" customHeight="1" x14ac:dyDescent="0.45">
      <c r="A11179" t="str">
        <f>_xlfn.XLOOKUP(B11179,Ingot!$H$12:$H$119,Ingot!$G$12:$G$119,"")</f>
        <v>Glass</v>
      </c>
      <c r="B11179" t="s">
        <v>22245</v>
      </c>
      <c r="C11179" t="s">
        <v>157</v>
      </c>
      <c r="D11179" t="s">
        <v>22466</v>
      </c>
      <c r="E11179" t="s">
        <v>22467</v>
      </c>
      <c r="F11179" t="s">
        <v>180</v>
      </c>
      <c r="G11179" s="1">
        <v>5</v>
      </c>
    </row>
    <row r="11180" spans="1:7" ht="14.25" customHeight="1" x14ac:dyDescent="0.45">
      <c r="A11180" t="str">
        <f>_xlfn.XLOOKUP(B11180,Ingot!$H$12:$H$119,Ingot!$G$12:$G$119,"")</f>
        <v>Glass</v>
      </c>
      <c r="B11180" t="s">
        <v>22245</v>
      </c>
      <c r="C11180" t="s">
        <v>157</v>
      </c>
      <c r="D11180" t="s">
        <v>22468</v>
      </c>
      <c r="E11180" t="s">
        <v>22469</v>
      </c>
      <c r="F11180" t="s">
        <v>180</v>
      </c>
      <c r="G11180" s="1">
        <v>5</v>
      </c>
    </row>
    <row r="11181" spans="1:7" ht="14.25" customHeight="1" x14ac:dyDescent="0.45">
      <c r="A11181" t="str">
        <f>_xlfn.XLOOKUP(B11181,Ingot!$H$12:$H$119,Ingot!$G$12:$G$119,"")</f>
        <v>Glass</v>
      </c>
      <c r="B11181" t="s">
        <v>22245</v>
      </c>
      <c r="C11181" t="s">
        <v>157</v>
      </c>
      <c r="D11181" t="s">
        <v>22470</v>
      </c>
      <c r="E11181" t="s">
        <v>22471</v>
      </c>
      <c r="F11181" t="s">
        <v>180</v>
      </c>
      <c r="G11181" s="1">
        <v>10</v>
      </c>
    </row>
    <row r="11182" spans="1:7" ht="14.25" customHeight="1" x14ac:dyDescent="0.45">
      <c r="A11182" t="str">
        <f>_xlfn.XLOOKUP(B11182,Ingot!$H$12:$H$119,Ingot!$G$12:$G$119,"")</f>
        <v>Glass</v>
      </c>
      <c r="B11182" t="s">
        <v>22245</v>
      </c>
      <c r="C11182" t="s">
        <v>239</v>
      </c>
      <c r="D11182" t="s">
        <v>22472</v>
      </c>
      <c r="E11182" t="s">
        <v>22473</v>
      </c>
      <c r="G11182" s="1">
        <f>(VLOOKUP(B11182,Ingot!H:I,2,FALSE()) * 0.75) * 0.75</f>
        <v>7.3125</v>
      </c>
    </row>
    <row r="11183" spans="1:7" ht="14.25" customHeight="1" x14ac:dyDescent="0.45">
      <c r="A11183" t="str">
        <f>_xlfn.XLOOKUP(B11183,Ingot!$H$12:$H$119,Ingot!$G$12:$G$119,"")</f>
        <v>Glass</v>
      </c>
      <c r="B11183" t="s">
        <v>22245</v>
      </c>
      <c r="C11183" t="s">
        <v>239</v>
      </c>
      <c r="D11183" t="s">
        <v>22474</v>
      </c>
      <c r="E11183" t="s">
        <v>22475</v>
      </c>
      <c r="G11183" s="1">
        <f>((VLOOKUP(B11183,Ingot!H:I,2,FALSE()) * 3) - 10.25) * 0.421875</f>
        <v>12.12890625</v>
      </c>
    </row>
    <row r="11184" spans="1:7" ht="14.25" customHeight="1" x14ac:dyDescent="0.45">
      <c r="A11184" t="str">
        <f>_xlfn.XLOOKUP(B11184,Ingot!$H$12:$H$119,Ingot!$G$12:$G$119,"")</f>
        <v>Glass</v>
      </c>
      <c r="B11184" t="s">
        <v>22245</v>
      </c>
      <c r="C11184" t="s">
        <v>239</v>
      </c>
      <c r="D11184" t="s">
        <v>22476</v>
      </c>
      <c r="E11184" t="s">
        <v>22477</v>
      </c>
      <c r="G11184" s="1">
        <f>((VLOOKUP(B11184,Ingot!H:I,2,FALSE()) * 3) - 10.25) * 0.75</f>
        <v>21.5625</v>
      </c>
    </row>
    <row r="11185" spans="1:7" ht="14.25" customHeight="1" x14ac:dyDescent="0.45">
      <c r="A11185" t="str">
        <f>_xlfn.XLOOKUP(B11185,Ingot!$H$12:$H$119,Ingot!$G$12:$G$119,"")</f>
        <v>Glass</v>
      </c>
      <c r="B11185" t="s">
        <v>22245</v>
      </c>
      <c r="C11185" t="s">
        <v>239</v>
      </c>
      <c r="D11185" t="s">
        <v>22478</v>
      </c>
      <c r="E11185" t="s">
        <v>22479</v>
      </c>
      <c r="G11185" s="1">
        <f>((VLOOKUP(B11185,Ingot!H:I,2,FALSE()) * 3) - 10.25) * 0.5625</f>
        <v>16.171875</v>
      </c>
    </row>
    <row r="11186" spans="1:7" ht="14.25" customHeight="1" x14ac:dyDescent="0.45">
      <c r="A11186" t="str">
        <f>_xlfn.XLOOKUP(B11186,Ingot!$H$12:$H$119,Ingot!$G$12:$G$119,"")</f>
        <v>Glass</v>
      </c>
      <c r="B11186" t="s">
        <v>22245</v>
      </c>
      <c r="C11186" t="s">
        <v>239</v>
      </c>
      <c r="D11186" t="s">
        <v>22480</v>
      </c>
      <c r="E11186" t="s">
        <v>22481</v>
      </c>
      <c r="G11186" s="1">
        <f>VLOOKUP(B11186,Ingot!H:I,2,FALSE()) * 0.75</f>
        <v>9.75</v>
      </c>
    </row>
    <row r="11187" spans="1:7" ht="14.25" customHeight="1" x14ac:dyDescent="0.45">
      <c r="A11187" t="str">
        <f>_xlfn.XLOOKUP(B11187,Ingot!$H$12:$H$119,Ingot!$G$12:$G$119,"")</f>
        <v>Glass</v>
      </c>
      <c r="B11187" t="s">
        <v>22245</v>
      </c>
      <c r="C11187" t="s">
        <v>239</v>
      </c>
      <c r="D11187" t="s">
        <v>22482</v>
      </c>
      <c r="E11187" t="s">
        <v>22483</v>
      </c>
      <c r="G11187" s="1">
        <f>(VLOOKUP(B11187,Ingot!H:I,2,FALSE()) * 3) - 10.25</f>
        <v>28.75</v>
      </c>
    </row>
    <row r="11188" spans="1:7" ht="14.25" customHeight="1" x14ac:dyDescent="0.45">
      <c r="A11188" t="str">
        <f>_xlfn.XLOOKUP(B11188,Ingot!$H$12:$H$119,Ingot!$G$12:$G$119,"")</f>
        <v>Glass</v>
      </c>
      <c r="B11188" t="s">
        <v>22484</v>
      </c>
      <c r="C11188" t="s">
        <v>10</v>
      </c>
      <c r="D11188" t="s">
        <v>22485</v>
      </c>
      <c r="E11188" t="s">
        <v>22486</v>
      </c>
      <c r="G11188" s="1">
        <v>0.08</v>
      </c>
    </row>
    <row r="11189" spans="1:7" ht="14.25" customHeight="1" x14ac:dyDescent="0.45">
      <c r="A11189" t="str">
        <f>_xlfn.XLOOKUP(B11189,Ingot!$H$12:$H$119,Ingot!$G$12:$G$119,"")</f>
        <v>Glass</v>
      </c>
      <c r="B11189" t="s">
        <v>22484</v>
      </c>
      <c r="C11189" t="s">
        <v>10</v>
      </c>
      <c r="D11189" t="s">
        <v>22487</v>
      </c>
      <c r="E11189" t="s">
        <v>22488</v>
      </c>
      <c r="G11189" s="1">
        <v>9.9</v>
      </c>
    </row>
    <row r="11190" spans="1:7" ht="14.25" customHeight="1" x14ac:dyDescent="0.45">
      <c r="A11190" t="str">
        <f>_xlfn.XLOOKUP(B11190,Ingot!$H$12:$H$119,Ingot!$G$12:$G$119,"")</f>
        <v>Glass</v>
      </c>
      <c r="B11190" t="s">
        <v>22484</v>
      </c>
      <c r="C11190" t="s">
        <v>10</v>
      </c>
      <c r="D11190" t="s">
        <v>22489</v>
      </c>
      <c r="E11190" t="s">
        <v>22490</v>
      </c>
      <c r="G11190" s="1">
        <v>5.66</v>
      </c>
    </row>
    <row r="11191" spans="1:7" ht="14.25" customHeight="1" x14ac:dyDescent="0.45">
      <c r="A11191" t="str">
        <f>_xlfn.XLOOKUP(B11191,Ingot!$H$12:$H$119,Ingot!$G$12:$G$119,"")</f>
        <v>Glass</v>
      </c>
      <c r="B11191" t="s">
        <v>22484</v>
      </c>
      <c r="C11191" t="s">
        <v>10</v>
      </c>
      <c r="D11191" t="s">
        <v>22491</v>
      </c>
      <c r="E11191" t="s">
        <v>22492</v>
      </c>
      <c r="G11191" s="1">
        <v>3.3</v>
      </c>
    </row>
    <row r="11192" spans="1:7" ht="14.25" customHeight="1" x14ac:dyDescent="0.45">
      <c r="A11192" t="str">
        <f>_xlfn.XLOOKUP(B11192,Ingot!$H$12:$H$119,Ingot!$G$12:$G$119,"")</f>
        <v>Glass</v>
      </c>
      <c r="B11192" t="s">
        <v>22484</v>
      </c>
      <c r="C11192" t="s">
        <v>10</v>
      </c>
      <c r="D11192" t="s">
        <v>22493</v>
      </c>
      <c r="E11192" t="s">
        <v>22494</v>
      </c>
      <c r="G11192" s="1">
        <v>0.66</v>
      </c>
    </row>
    <row r="11193" spans="1:7" ht="14.25" customHeight="1" x14ac:dyDescent="0.45">
      <c r="A11193" t="str">
        <f>_xlfn.XLOOKUP(B11193,Ingot!$H$12:$H$119,Ingot!$G$12:$G$119,"")</f>
        <v>Glass</v>
      </c>
      <c r="B11193" t="s">
        <v>22484</v>
      </c>
      <c r="C11193" t="s">
        <v>10</v>
      </c>
      <c r="D11193" t="s">
        <v>22495</v>
      </c>
      <c r="E11193" t="s">
        <v>22496</v>
      </c>
      <c r="G11193" s="1">
        <v>0.04</v>
      </c>
    </row>
    <row r="11194" spans="1:7" ht="14.25" customHeight="1" x14ac:dyDescent="0.45">
      <c r="A11194" t="str">
        <f>_xlfn.XLOOKUP(B11194,Ingot!$H$12:$H$119,Ingot!$G$12:$G$119,"")</f>
        <v>Glass</v>
      </c>
      <c r="B11194" t="s">
        <v>22484</v>
      </c>
      <c r="C11194" t="s">
        <v>10</v>
      </c>
      <c r="D11194" t="s">
        <v>22497</v>
      </c>
      <c r="E11194" t="s">
        <v>22498</v>
      </c>
      <c r="G11194" s="1">
        <v>0.33</v>
      </c>
    </row>
    <row r="11195" spans="1:7" ht="14.25" customHeight="1" x14ac:dyDescent="0.45">
      <c r="A11195" t="str">
        <f>_xlfn.XLOOKUP(B11195,Ingot!$H$12:$H$119,Ingot!$G$12:$G$119,"")</f>
        <v>Glass</v>
      </c>
      <c r="B11195" t="s">
        <v>22484</v>
      </c>
      <c r="C11195" t="s">
        <v>10</v>
      </c>
      <c r="D11195" t="s">
        <v>22499</v>
      </c>
      <c r="E11195" t="s">
        <v>22500</v>
      </c>
    </row>
    <row r="11196" spans="1:7" ht="14.25" customHeight="1" x14ac:dyDescent="0.45">
      <c r="A11196" t="str">
        <f>_xlfn.XLOOKUP(B11196,Ingot!$H$12:$H$119,Ingot!$G$12:$G$119,"")</f>
        <v>Glass</v>
      </c>
      <c r="B11196" t="s">
        <v>22484</v>
      </c>
      <c r="C11196" t="s">
        <v>10</v>
      </c>
      <c r="D11196" t="s">
        <v>22501</v>
      </c>
      <c r="E11196" t="s">
        <v>22502</v>
      </c>
      <c r="G11196" s="1">
        <v>0.05</v>
      </c>
    </row>
    <row r="11197" spans="1:7" ht="14.25" customHeight="1" x14ac:dyDescent="0.45">
      <c r="A11197" t="str">
        <f>_xlfn.XLOOKUP(B11197,Ingot!$H$12:$H$119,Ingot!$G$12:$G$119,"")</f>
        <v>Glass</v>
      </c>
      <c r="B11197" t="s">
        <v>22484</v>
      </c>
      <c r="C11197" t="s">
        <v>10</v>
      </c>
      <c r="D11197" t="s">
        <v>22503</v>
      </c>
      <c r="E11197" t="s">
        <v>22504</v>
      </c>
      <c r="G11197" s="1">
        <v>0.66</v>
      </c>
    </row>
    <row r="11198" spans="1:7" ht="14.25" customHeight="1" x14ac:dyDescent="0.45">
      <c r="A11198" t="str">
        <f>_xlfn.XLOOKUP(B11198,Ingot!$H$12:$H$119,Ingot!$G$12:$G$119,"")</f>
        <v>Glass</v>
      </c>
      <c r="B11198" t="s">
        <v>22484</v>
      </c>
      <c r="C11198" t="s">
        <v>10</v>
      </c>
      <c r="D11198" t="s">
        <v>22505</v>
      </c>
      <c r="E11198" t="s">
        <v>22506</v>
      </c>
      <c r="G11198" s="1">
        <v>3.96</v>
      </c>
    </row>
    <row r="11199" spans="1:7" ht="14.25" customHeight="1" x14ac:dyDescent="0.45">
      <c r="A11199" t="str">
        <f>_xlfn.XLOOKUP(B11199,Ingot!$H$12:$H$119,Ingot!$G$12:$G$119,"")</f>
        <v>Glass</v>
      </c>
      <c r="B11199" t="s">
        <v>22484</v>
      </c>
      <c r="C11199" t="s">
        <v>10</v>
      </c>
      <c r="D11199" t="s">
        <v>22507</v>
      </c>
      <c r="E11199" t="s">
        <v>22508</v>
      </c>
      <c r="G11199" s="1">
        <v>8.77</v>
      </c>
    </row>
    <row r="11200" spans="1:7" ht="14.25" customHeight="1" x14ac:dyDescent="0.45">
      <c r="A11200" t="str">
        <f>_xlfn.XLOOKUP(B11200,Ingot!$H$12:$H$119,Ingot!$G$12:$G$119,"")</f>
        <v>Glass</v>
      </c>
      <c r="B11200" t="s">
        <v>22484</v>
      </c>
      <c r="C11200" t="s">
        <v>10</v>
      </c>
      <c r="D11200" t="s">
        <v>22509</v>
      </c>
      <c r="E11200" t="s">
        <v>22510</v>
      </c>
      <c r="G11200" s="1">
        <v>3.5</v>
      </c>
    </row>
    <row r="11201" spans="1:7" ht="14.25" customHeight="1" x14ac:dyDescent="0.45">
      <c r="A11201" t="str">
        <f>_xlfn.XLOOKUP(B11201,Ingot!$H$12:$H$119,Ingot!$G$12:$G$119,"")</f>
        <v>Glass</v>
      </c>
      <c r="B11201" t="s">
        <v>22484</v>
      </c>
      <c r="C11201" t="s">
        <v>10</v>
      </c>
      <c r="D11201" t="s">
        <v>22511</v>
      </c>
      <c r="E11201" t="s">
        <v>22512</v>
      </c>
    </row>
    <row r="11202" spans="1:7" ht="14.25" customHeight="1" x14ac:dyDescent="0.45">
      <c r="A11202" t="str">
        <f>_xlfn.XLOOKUP(B11202,Ingot!$H$12:$H$119,Ingot!$G$12:$G$119,"")</f>
        <v>Glass</v>
      </c>
      <c r="B11202" t="s">
        <v>22484</v>
      </c>
      <c r="C11202" t="s">
        <v>10</v>
      </c>
      <c r="D11202" t="s">
        <v>22513</v>
      </c>
      <c r="E11202" t="s">
        <v>22514</v>
      </c>
      <c r="G11202" s="1">
        <v>2.2000000000000002</v>
      </c>
    </row>
    <row r="11203" spans="1:7" ht="14.25" customHeight="1" x14ac:dyDescent="0.45">
      <c r="A11203" t="str">
        <f>_xlfn.XLOOKUP(B11203,Ingot!$H$12:$H$119,Ingot!$G$12:$G$119,"")</f>
        <v>Glass</v>
      </c>
      <c r="B11203" t="s">
        <v>22484</v>
      </c>
      <c r="C11203" t="s">
        <v>10</v>
      </c>
      <c r="D11203" t="s">
        <v>22515</v>
      </c>
      <c r="E11203" t="s">
        <v>22516</v>
      </c>
      <c r="G11203" s="1">
        <v>1.1000000000000001</v>
      </c>
    </row>
    <row r="11204" spans="1:7" ht="14.25" customHeight="1" x14ac:dyDescent="0.45">
      <c r="A11204" t="str">
        <f>_xlfn.XLOOKUP(B11204,Ingot!$H$12:$H$119,Ingot!$G$12:$G$119,"")</f>
        <v>Glass</v>
      </c>
      <c r="B11204" t="s">
        <v>22484</v>
      </c>
      <c r="C11204" t="s">
        <v>10</v>
      </c>
      <c r="D11204" t="s">
        <v>22517</v>
      </c>
      <c r="E11204" t="s">
        <v>22518</v>
      </c>
      <c r="G11204" s="1">
        <v>0.22</v>
      </c>
    </row>
    <row r="11205" spans="1:7" ht="14.25" customHeight="1" x14ac:dyDescent="0.45">
      <c r="A11205" t="str">
        <f>_xlfn.XLOOKUP(B11205,Ingot!$H$12:$H$119,Ingot!$G$12:$G$119,"")</f>
        <v>Glass</v>
      </c>
      <c r="B11205" t="s">
        <v>22484</v>
      </c>
      <c r="C11205" t="s">
        <v>10</v>
      </c>
      <c r="D11205" t="s">
        <v>22519</v>
      </c>
      <c r="E11205" t="s">
        <v>22520</v>
      </c>
      <c r="G11205" s="1">
        <v>8.41</v>
      </c>
    </row>
    <row r="11206" spans="1:7" ht="14.25" customHeight="1" x14ac:dyDescent="0.45">
      <c r="A11206" t="str">
        <f>_xlfn.XLOOKUP(B11206,Ingot!$H$12:$H$119,Ingot!$G$12:$G$119,"")</f>
        <v>Glass</v>
      </c>
      <c r="B11206" t="s">
        <v>22484</v>
      </c>
      <c r="C11206" t="s">
        <v>10</v>
      </c>
      <c r="D11206" t="s">
        <v>22521</v>
      </c>
      <c r="E11206" t="s">
        <v>22522</v>
      </c>
      <c r="G11206" s="1">
        <v>3.64</v>
      </c>
    </row>
    <row r="11207" spans="1:7" ht="14.25" customHeight="1" x14ac:dyDescent="0.45">
      <c r="A11207" t="str">
        <f>_xlfn.XLOOKUP(B11207,Ingot!$H$12:$H$119,Ingot!$G$12:$G$119,"")</f>
        <v>Glass</v>
      </c>
      <c r="B11207" t="s">
        <v>22484</v>
      </c>
      <c r="C11207" t="s">
        <v>10</v>
      </c>
      <c r="D11207" t="s">
        <v>22523</v>
      </c>
      <c r="E11207" t="s">
        <v>22524</v>
      </c>
      <c r="G11207" s="1">
        <v>7.05</v>
      </c>
    </row>
    <row r="11208" spans="1:7" ht="14.25" customHeight="1" x14ac:dyDescent="0.45">
      <c r="A11208" t="str">
        <f>_xlfn.XLOOKUP(B11208,Ingot!$H$12:$H$119,Ingot!$G$12:$G$119,"")</f>
        <v>Glass</v>
      </c>
      <c r="B11208" t="s">
        <v>22484</v>
      </c>
      <c r="C11208" t="s">
        <v>10</v>
      </c>
      <c r="D11208" t="s">
        <v>22525</v>
      </c>
      <c r="E11208" t="s">
        <v>22526</v>
      </c>
      <c r="G11208" s="1">
        <v>2.65</v>
      </c>
    </row>
    <row r="11209" spans="1:7" ht="14.25" customHeight="1" x14ac:dyDescent="0.45">
      <c r="A11209" t="str">
        <f>_xlfn.XLOOKUP(B11209,Ingot!$H$12:$H$119,Ingot!$G$12:$G$119,"")</f>
        <v>Glass</v>
      </c>
      <c r="B11209" t="s">
        <v>22484</v>
      </c>
      <c r="C11209" t="s">
        <v>10</v>
      </c>
      <c r="D11209" t="s">
        <v>22527</v>
      </c>
      <c r="E11209" t="s">
        <v>22528</v>
      </c>
      <c r="G11209" s="1">
        <v>9</v>
      </c>
    </row>
    <row r="11210" spans="1:7" ht="14.25" customHeight="1" x14ac:dyDescent="0.45">
      <c r="A11210" t="str">
        <f>_xlfn.XLOOKUP(B11210,Ingot!$H$12:$H$119,Ingot!$G$12:$G$119,"")</f>
        <v>Glass</v>
      </c>
      <c r="B11210" t="s">
        <v>22484</v>
      </c>
      <c r="C11210" t="s">
        <v>10</v>
      </c>
      <c r="D11210" t="s">
        <v>22529</v>
      </c>
      <c r="E11210" t="s">
        <v>22530</v>
      </c>
      <c r="G11210" s="1">
        <v>10.23</v>
      </c>
    </row>
    <row r="11211" spans="1:7" ht="14.25" customHeight="1" x14ac:dyDescent="0.45">
      <c r="A11211" t="str">
        <f>_xlfn.XLOOKUP(B11211,Ingot!$H$12:$H$119,Ingot!$G$12:$G$119,"")</f>
        <v>Glass</v>
      </c>
      <c r="B11211" t="s">
        <v>22484</v>
      </c>
      <c r="C11211" t="s">
        <v>10</v>
      </c>
      <c r="D11211" t="s">
        <v>22531</v>
      </c>
      <c r="E11211" t="s">
        <v>22532</v>
      </c>
      <c r="G11211" s="1">
        <v>7.7</v>
      </c>
    </row>
    <row r="11212" spans="1:7" ht="14.25" customHeight="1" x14ac:dyDescent="0.45">
      <c r="A11212" t="str">
        <f>_xlfn.XLOOKUP(B11212,Ingot!$H$12:$H$119,Ingot!$G$12:$G$119,"")</f>
        <v>Glass</v>
      </c>
      <c r="B11212" t="s">
        <v>22484</v>
      </c>
      <c r="C11212" t="s">
        <v>10</v>
      </c>
      <c r="D11212" t="s">
        <v>22533</v>
      </c>
      <c r="E11212" t="s">
        <v>22534</v>
      </c>
      <c r="G11212" s="1">
        <v>10.02</v>
      </c>
    </row>
    <row r="11213" spans="1:7" ht="14.25" customHeight="1" x14ac:dyDescent="0.45">
      <c r="A11213" t="str">
        <f>_xlfn.XLOOKUP(B11213,Ingot!$H$12:$H$119,Ingot!$G$12:$G$119,"")</f>
        <v>Glass</v>
      </c>
      <c r="B11213" t="s">
        <v>22484</v>
      </c>
      <c r="C11213" t="s">
        <v>10</v>
      </c>
      <c r="D11213" t="s">
        <v>22535</v>
      </c>
      <c r="E11213" t="s">
        <v>22536</v>
      </c>
      <c r="G11213" s="1">
        <v>11.81</v>
      </c>
    </row>
    <row r="11214" spans="1:7" ht="14.25" customHeight="1" x14ac:dyDescent="0.45">
      <c r="A11214" t="str">
        <f>_xlfn.XLOOKUP(B11214,Ingot!$H$12:$H$119,Ingot!$G$12:$G$119,"")</f>
        <v>Glass</v>
      </c>
      <c r="B11214" t="s">
        <v>22484</v>
      </c>
      <c r="C11214" t="s">
        <v>10</v>
      </c>
      <c r="D11214" t="s">
        <v>22537</v>
      </c>
      <c r="E11214" t="s">
        <v>22538</v>
      </c>
      <c r="G11214" s="1">
        <v>8.44</v>
      </c>
    </row>
    <row r="11215" spans="1:7" ht="14.25" customHeight="1" x14ac:dyDescent="0.45">
      <c r="A11215" t="str">
        <f>_xlfn.XLOOKUP(B11215,Ingot!$H$12:$H$119,Ingot!$G$12:$G$119,"")</f>
        <v>Glass</v>
      </c>
      <c r="B11215" t="s">
        <v>22484</v>
      </c>
      <c r="C11215" t="s">
        <v>10</v>
      </c>
      <c r="D11215" t="s">
        <v>22539</v>
      </c>
      <c r="E11215" t="s">
        <v>22540</v>
      </c>
      <c r="G11215" s="1">
        <v>10.42</v>
      </c>
    </row>
    <row r="11216" spans="1:7" ht="14.25" customHeight="1" x14ac:dyDescent="0.45">
      <c r="A11216" t="str">
        <f>_xlfn.XLOOKUP(B11216,Ingot!$H$12:$H$119,Ingot!$G$12:$G$119,"")</f>
        <v>Glass</v>
      </c>
      <c r="B11216" t="s">
        <v>22484</v>
      </c>
      <c r="C11216" t="s">
        <v>10</v>
      </c>
      <c r="D11216" t="s">
        <v>22541</v>
      </c>
      <c r="E11216" t="s">
        <v>22542</v>
      </c>
    </row>
    <row r="11217" spans="1:7" ht="14.25" customHeight="1" x14ac:dyDescent="0.45">
      <c r="A11217" t="str">
        <f>_xlfn.XLOOKUP(B11217,Ingot!$H$12:$H$119,Ingot!$G$12:$G$119,"")</f>
        <v>Glass</v>
      </c>
      <c r="B11217" t="s">
        <v>22484</v>
      </c>
      <c r="C11217" t="s">
        <v>10</v>
      </c>
      <c r="D11217" t="s">
        <v>22543</v>
      </c>
      <c r="E11217" t="s">
        <v>22544</v>
      </c>
      <c r="G11217" s="1">
        <v>7.96</v>
      </c>
    </row>
    <row r="11218" spans="1:7" ht="14.25" customHeight="1" x14ac:dyDescent="0.45">
      <c r="A11218" t="str">
        <f>_xlfn.XLOOKUP(B11218,Ingot!$H$12:$H$119,Ingot!$G$12:$G$119,"")</f>
        <v>Glass</v>
      </c>
      <c r="B11218" t="s">
        <v>22484</v>
      </c>
      <c r="C11218" t="s">
        <v>10</v>
      </c>
      <c r="D11218" t="s">
        <v>22545</v>
      </c>
      <c r="E11218" t="s">
        <v>22546</v>
      </c>
      <c r="G11218" s="1">
        <v>9.64</v>
      </c>
    </row>
    <row r="11219" spans="1:7" ht="14.25" customHeight="1" x14ac:dyDescent="0.45">
      <c r="A11219" t="str">
        <f>_xlfn.XLOOKUP(B11219,Ingot!$H$12:$H$119,Ingot!$G$12:$G$119,"")</f>
        <v>Glass</v>
      </c>
      <c r="B11219" t="s">
        <v>22484</v>
      </c>
      <c r="C11219" t="s">
        <v>10</v>
      </c>
      <c r="D11219" t="s">
        <v>22547</v>
      </c>
      <c r="E11219" t="s">
        <v>22548</v>
      </c>
      <c r="G11219" s="1">
        <v>7.94</v>
      </c>
    </row>
    <row r="11220" spans="1:7" ht="14.25" customHeight="1" x14ac:dyDescent="0.45">
      <c r="A11220" t="str">
        <f>_xlfn.XLOOKUP(B11220,Ingot!$H$12:$H$119,Ingot!$G$12:$G$119,"")</f>
        <v>Glass</v>
      </c>
      <c r="B11220" t="s">
        <v>22484</v>
      </c>
      <c r="C11220" t="s">
        <v>10</v>
      </c>
      <c r="D11220" t="s">
        <v>22549</v>
      </c>
      <c r="E11220" t="s">
        <v>22550</v>
      </c>
      <c r="G11220" s="1">
        <v>8.66</v>
      </c>
    </row>
    <row r="11221" spans="1:7" ht="14.25" customHeight="1" x14ac:dyDescent="0.45">
      <c r="A11221" t="str">
        <f>_xlfn.XLOOKUP(B11221,Ingot!$H$12:$H$119,Ingot!$G$12:$G$119,"")</f>
        <v>Glass</v>
      </c>
      <c r="B11221" t="s">
        <v>22484</v>
      </c>
      <c r="C11221" t="s">
        <v>10</v>
      </c>
      <c r="D11221" t="s">
        <v>22551</v>
      </c>
      <c r="E11221" t="s">
        <v>22552</v>
      </c>
    </row>
    <row r="11222" spans="1:7" ht="14.25" customHeight="1" x14ac:dyDescent="0.45">
      <c r="A11222" t="str">
        <f>_xlfn.XLOOKUP(B11222,Ingot!$H$12:$H$119,Ingot!$G$12:$G$119,"")</f>
        <v>Glass</v>
      </c>
      <c r="B11222" t="s">
        <v>22484</v>
      </c>
      <c r="C11222" t="s">
        <v>10</v>
      </c>
      <c r="D11222" t="s">
        <v>22553</v>
      </c>
      <c r="E11222" t="s">
        <v>22554</v>
      </c>
      <c r="G11222" s="1">
        <v>2.65</v>
      </c>
    </row>
    <row r="11223" spans="1:7" ht="14.25" customHeight="1" x14ac:dyDescent="0.45">
      <c r="A11223" t="str">
        <f>_xlfn.XLOOKUP(B11223,Ingot!$H$12:$H$119,Ingot!$G$12:$G$119,"")</f>
        <v>Glass</v>
      </c>
      <c r="B11223" t="s">
        <v>22484</v>
      </c>
      <c r="C11223" t="s">
        <v>10</v>
      </c>
      <c r="D11223" t="s">
        <v>22555</v>
      </c>
      <c r="E11223" t="s">
        <v>22556</v>
      </c>
    </row>
    <row r="11224" spans="1:7" ht="14.25" customHeight="1" x14ac:dyDescent="0.45">
      <c r="A11224" t="str">
        <f>_xlfn.XLOOKUP(B11224,Ingot!$H$12:$H$119,Ingot!$G$12:$G$119,"")</f>
        <v>Glass</v>
      </c>
      <c r="B11224" t="s">
        <v>22484</v>
      </c>
      <c r="C11224" t="s">
        <v>10</v>
      </c>
      <c r="D11224" t="s">
        <v>22557</v>
      </c>
      <c r="E11224" t="s">
        <v>22558</v>
      </c>
      <c r="G11224" s="1">
        <v>12.64</v>
      </c>
    </row>
    <row r="11225" spans="1:7" ht="14.25" customHeight="1" x14ac:dyDescent="0.45">
      <c r="A11225" t="str">
        <f>_xlfn.XLOOKUP(B11225,Ingot!$H$12:$H$119,Ingot!$G$12:$G$119,"")</f>
        <v>Glass</v>
      </c>
      <c r="B11225" t="s">
        <v>22484</v>
      </c>
      <c r="C11225" t="s">
        <v>10</v>
      </c>
      <c r="D11225" t="s">
        <v>22559</v>
      </c>
      <c r="E11225" t="s">
        <v>22560</v>
      </c>
      <c r="G11225" s="1">
        <v>22.67</v>
      </c>
    </row>
    <row r="11226" spans="1:7" ht="14.25" customHeight="1" x14ac:dyDescent="0.45">
      <c r="A11226" t="str">
        <f>_xlfn.XLOOKUP(B11226,Ingot!$H$12:$H$119,Ingot!$G$12:$G$119,"")</f>
        <v>Glass</v>
      </c>
      <c r="B11226" t="s">
        <v>22484</v>
      </c>
      <c r="C11226" t="s">
        <v>10</v>
      </c>
      <c r="D11226" t="s">
        <v>22561</v>
      </c>
      <c r="E11226" t="s">
        <v>22562</v>
      </c>
      <c r="G11226" s="1">
        <v>8.3800000000000008</v>
      </c>
    </row>
    <row r="11227" spans="1:7" ht="14.25" customHeight="1" x14ac:dyDescent="0.45">
      <c r="A11227" t="str">
        <f>_xlfn.XLOOKUP(B11227,Ingot!$H$12:$H$119,Ingot!$G$12:$G$119,"")</f>
        <v>Glass</v>
      </c>
      <c r="B11227" t="s">
        <v>22484</v>
      </c>
      <c r="C11227" t="s">
        <v>10</v>
      </c>
      <c r="D11227" t="s">
        <v>22563</v>
      </c>
      <c r="E11227" t="s">
        <v>22564</v>
      </c>
      <c r="G11227" s="1">
        <v>2.2000000000000002</v>
      </c>
    </row>
    <row r="11228" spans="1:7" ht="14.25" customHeight="1" x14ac:dyDescent="0.45">
      <c r="A11228" t="str">
        <f>_xlfn.XLOOKUP(B11228,Ingot!$H$12:$H$119,Ingot!$G$12:$G$119,"")</f>
        <v>Glass</v>
      </c>
      <c r="B11228" t="s">
        <v>22484</v>
      </c>
      <c r="C11228" t="s">
        <v>10</v>
      </c>
      <c r="D11228" t="s">
        <v>22565</v>
      </c>
      <c r="E11228" t="s">
        <v>22566</v>
      </c>
      <c r="G11228" s="1">
        <v>3.09</v>
      </c>
    </row>
    <row r="11229" spans="1:7" ht="14.25" customHeight="1" x14ac:dyDescent="0.45">
      <c r="A11229" t="str">
        <f>_xlfn.XLOOKUP(B11229,Ingot!$H$12:$H$119,Ingot!$G$12:$G$119,"")</f>
        <v>Glass</v>
      </c>
      <c r="B11229" t="s">
        <v>22484</v>
      </c>
      <c r="C11229" t="s">
        <v>10</v>
      </c>
      <c r="D11229" t="s">
        <v>22567</v>
      </c>
      <c r="E11229" t="s">
        <v>22568</v>
      </c>
      <c r="G11229" s="1">
        <v>2.2999999999999998</v>
      </c>
    </row>
    <row r="11230" spans="1:7" ht="14.25" customHeight="1" x14ac:dyDescent="0.45">
      <c r="A11230" t="str">
        <f>_xlfn.XLOOKUP(B11230,Ingot!$H$12:$H$119,Ingot!$G$12:$G$119,"")</f>
        <v>Glass</v>
      </c>
      <c r="B11230" t="s">
        <v>22484</v>
      </c>
      <c r="C11230" t="s">
        <v>10</v>
      </c>
      <c r="D11230" t="s">
        <v>22569</v>
      </c>
      <c r="E11230" t="s">
        <v>22570</v>
      </c>
      <c r="G11230" s="1">
        <v>4.88</v>
      </c>
    </row>
    <row r="11231" spans="1:7" ht="14.25" customHeight="1" x14ac:dyDescent="0.45">
      <c r="A11231" t="str">
        <f>_xlfn.XLOOKUP(B11231,Ingot!$H$12:$H$119,Ingot!$G$12:$G$119,"")</f>
        <v>Glass</v>
      </c>
      <c r="B11231" t="s">
        <v>22484</v>
      </c>
      <c r="C11231" t="s">
        <v>10</v>
      </c>
      <c r="D11231" t="s">
        <v>22571</v>
      </c>
      <c r="E11231" t="s">
        <v>22572</v>
      </c>
      <c r="G11231" s="1">
        <v>8.43</v>
      </c>
    </row>
    <row r="11232" spans="1:7" ht="14.25" customHeight="1" x14ac:dyDescent="0.45">
      <c r="A11232" t="str">
        <f>_xlfn.XLOOKUP(B11232,Ingot!$H$12:$H$119,Ingot!$G$12:$G$119,"")</f>
        <v>Glass</v>
      </c>
      <c r="B11232" t="s">
        <v>22484</v>
      </c>
      <c r="C11232" t="s">
        <v>10</v>
      </c>
      <c r="D11232" t="s">
        <v>22573</v>
      </c>
      <c r="E11232" t="s">
        <v>22574</v>
      </c>
      <c r="G11232" s="1">
        <v>13.07</v>
      </c>
    </row>
    <row r="11233" spans="1:7" ht="14.25" customHeight="1" x14ac:dyDescent="0.45">
      <c r="A11233" t="str">
        <f>_xlfn.XLOOKUP(B11233,Ingot!$H$12:$H$119,Ingot!$G$12:$G$119,"")</f>
        <v>Glass</v>
      </c>
      <c r="B11233" t="s">
        <v>22484</v>
      </c>
      <c r="C11233" t="s">
        <v>10</v>
      </c>
      <c r="D11233" t="s">
        <v>22575</v>
      </c>
      <c r="E11233" t="s">
        <v>22576</v>
      </c>
    </row>
    <row r="11234" spans="1:7" ht="14.25" customHeight="1" x14ac:dyDescent="0.45">
      <c r="A11234" t="str">
        <f>_xlfn.XLOOKUP(B11234,Ingot!$H$12:$H$119,Ingot!$G$12:$G$119,"")</f>
        <v>Glass</v>
      </c>
      <c r="B11234" t="s">
        <v>22484</v>
      </c>
      <c r="C11234" t="s">
        <v>10</v>
      </c>
      <c r="D11234" t="s">
        <v>22577</v>
      </c>
      <c r="E11234" t="s">
        <v>22578</v>
      </c>
    </row>
    <row r="11235" spans="1:7" ht="14.25" customHeight="1" x14ac:dyDescent="0.45">
      <c r="A11235" t="str">
        <f>_xlfn.XLOOKUP(B11235,Ingot!$H$12:$H$119,Ingot!$G$12:$G$119,"")</f>
        <v>Glass</v>
      </c>
      <c r="B11235" t="s">
        <v>22484</v>
      </c>
      <c r="C11235" t="s">
        <v>10</v>
      </c>
      <c r="D11235" t="s">
        <v>22579</v>
      </c>
      <c r="E11235" t="s">
        <v>22580</v>
      </c>
      <c r="G11235" s="1">
        <v>6.8</v>
      </c>
    </row>
    <row r="11236" spans="1:7" ht="14.25" customHeight="1" x14ac:dyDescent="0.45">
      <c r="A11236" t="str">
        <f>_xlfn.XLOOKUP(B11236,Ingot!$H$12:$H$119,Ingot!$G$12:$G$119,"")</f>
        <v>Glass</v>
      </c>
      <c r="B11236" t="s">
        <v>22484</v>
      </c>
      <c r="C11236" t="s">
        <v>10</v>
      </c>
      <c r="D11236" t="s">
        <v>22581</v>
      </c>
      <c r="E11236" t="s">
        <v>22582</v>
      </c>
      <c r="G11236" s="1">
        <v>6.88</v>
      </c>
    </row>
    <row r="11237" spans="1:7" ht="14.25" customHeight="1" x14ac:dyDescent="0.45">
      <c r="A11237" t="str">
        <f>_xlfn.XLOOKUP(B11237,Ingot!$H$12:$H$119,Ingot!$G$12:$G$119,"")</f>
        <v>Glass</v>
      </c>
      <c r="B11237" t="s">
        <v>22484</v>
      </c>
      <c r="C11237" t="s">
        <v>10</v>
      </c>
      <c r="D11237" t="s">
        <v>22583</v>
      </c>
      <c r="E11237" t="s">
        <v>22584</v>
      </c>
      <c r="G11237" s="1">
        <v>5.5</v>
      </c>
    </row>
    <row r="11238" spans="1:7" ht="14.25" customHeight="1" x14ac:dyDescent="0.45">
      <c r="A11238" t="str">
        <f>_xlfn.XLOOKUP(B11238,Ingot!$H$12:$H$119,Ingot!$G$12:$G$119,"")</f>
        <v>Glass</v>
      </c>
      <c r="B11238" t="s">
        <v>22484</v>
      </c>
      <c r="C11238" t="s">
        <v>10</v>
      </c>
      <c r="D11238" t="s">
        <v>22585</v>
      </c>
      <c r="E11238" t="s">
        <v>22586</v>
      </c>
      <c r="G11238" s="1">
        <v>2.4300000000000002</v>
      </c>
    </row>
    <row r="11239" spans="1:7" ht="14.25" customHeight="1" x14ac:dyDescent="0.45">
      <c r="A11239" t="str">
        <f>_xlfn.XLOOKUP(B11239,Ingot!$H$12:$H$119,Ingot!$G$12:$G$119,"")</f>
        <v>Glass</v>
      </c>
      <c r="B11239" t="s">
        <v>22484</v>
      </c>
      <c r="C11239" t="s">
        <v>10</v>
      </c>
      <c r="D11239" t="s">
        <v>22587</v>
      </c>
      <c r="E11239" t="s">
        <v>22588</v>
      </c>
      <c r="G11239" s="1">
        <v>6.96</v>
      </c>
    </row>
    <row r="11240" spans="1:7" ht="14.25" customHeight="1" x14ac:dyDescent="0.45">
      <c r="A11240" t="str">
        <f>_xlfn.XLOOKUP(B11240,Ingot!$H$12:$H$119,Ingot!$G$12:$G$119,"")</f>
        <v>Glass</v>
      </c>
      <c r="B11240" t="s">
        <v>22484</v>
      </c>
      <c r="C11240" t="s">
        <v>10</v>
      </c>
      <c r="D11240" t="s">
        <v>22589</v>
      </c>
      <c r="E11240" t="s">
        <v>22590</v>
      </c>
      <c r="G11240" s="1">
        <v>6.32</v>
      </c>
    </row>
    <row r="11241" spans="1:7" ht="14.25" customHeight="1" x14ac:dyDescent="0.45">
      <c r="A11241" t="str">
        <f>_xlfn.XLOOKUP(B11241,Ingot!$H$12:$H$119,Ingot!$G$12:$G$119,"")</f>
        <v>Glass</v>
      </c>
      <c r="B11241" t="s">
        <v>22484</v>
      </c>
      <c r="C11241" t="s">
        <v>10</v>
      </c>
      <c r="D11241" t="s">
        <v>22591</v>
      </c>
      <c r="E11241" t="s">
        <v>22592</v>
      </c>
      <c r="G11241" s="1">
        <v>6.88</v>
      </c>
    </row>
    <row r="11242" spans="1:7" ht="14.25" customHeight="1" x14ac:dyDescent="0.45">
      <c r="A11242" t="str">
        <f>_xlfn.XLOOKUP(B11242,Ingot!$H$12:$H$119,Ingot!$G$12:$G$119,"")</f>
        <v>Glass</v>
      </c>
      <c r="B11242" t="s">
        <v>22484</v>
      </c>
      <c r="C11242" t="s">
        <v>10</v>
      </c>
      <c r="D11242" t="s">
        <v>22593</v>
      </c>
      <c r="E11242" t="s">
        <v>22594</v>
      </c>
      <c r="G11242" s="1">
        <v>2.44</v>
      </c>
    </row>
    <row r="11243" spans="1:7" ht="14.25" customHeight="1" x14ac:dyDescent="0.45">
      <c r="A11243" t="str">
        <f>_xlfn.XLOOKUP(B11243,Ingot!$H$12:$H$119,Ingot!$G$12:$G$119,"")</f>
        <v>Glass</v>
      </c>
      <c r="B11243" t="s">
        <v>22484</v>
      </c>
      <c r="C11243" t="s">
        <v>10</v>
      </c>
      <c r="D11243" t="s">
        <v>22595</v>
      </c>
      <c r="E11243" t="s">
        <v>22596</v>
      </c>
    </row>
    <row r="11244" spans="1:7" ht="14.25" customHeight="1" x14ac:dyDescent="0.45">
      <c r="A11244" t="str">
        <f>_xlfn.XLOOKUP(B11244,Ingot!$H$12:$H$119,Ingot!$G$12:$G$119,"")</f>
        <v>Glass</v>
      </c>
      <c r="B11244" t="s">
        <v>22484</v>
      </c>
      <c r="C11244" t="s">
        <v>10</v>
      </c>
      <c r="D11244" t="s">
        <v>22597</v>
      </c>
      <c r="E11244" t="s">
        <v>22598</v>
      </c>
    </row>
    <row r="11245" spans="1:7" ht="14.25" customHeight="1" x14ac:dyDescent="0.45">
      <c r="A11245" t="str">
        <f>_xlfn.XLOOKUP(B11245,Ingot!$H$12:$H$119,Ingot!$G$12:$G$119,"")</f>
        <v>Glass</v>
      </c>
      <c r="B11245" t="s">
        <v>22484</v>
      </c>
      <c r="C11245" t="s">
        <v>10</v>
      </c>
      <c r="D11245" t="s">
        <v>22599</v>
      </c>
      <c r="E11245" t="s">
        <v>22600</v>
      </c>
      <c r="G11245" s="1">
        <v>3.11</v>
      </c>
    </row>
    <row r="11246" spans="1:7" ht="14.25" customHeight="1" x14ac:dyDescent="0.45">
      <c r="A11246" t="str">
        <f>_xlfn.XLOOKUP(B11246,Ingot!$H$12:$H$119,Ingot!$G$12:$G$119,"")</f>
        <v>Glass</v>
      </c>
      <c r="B11246" t="s">
        <v>22484</v>
      </c>
      <c r="C11246" t="s">
        <v>10</v>
      </c>
      <c r="D11246" t="s">
        <v>22601</v>
      </c>
      <c r="E11246" t="s">
        <v>22602</v>
      </c>
      <c r="G11246" s="1">
        <v>2.44</v>
      </c>
    </row>
    <row r="11247" spans="1:7" ht="14.25" customHeight="1" x14ac:dyDescent="0.45">
      <c r="A11247" t="str">
        <f>_xlfn.XLOOKUP(B11247,Ingot!$H$12:$H$119,Ingot!$G$12:$G$119,"")</f>
        <v>Glass</v>
      </c>
      <c r="B11247" t="s">
        <v>22484</v>
      </c>
      <c r="C11247" t="s">
        <v>10</v>
      </c>
      <c r="D11247" t="s">
        <v>22603</v>
      </c>
      <c r="E11247" t="s">
        <v>22604</v>
      </c>
      <c r="G11247" s="1">
        <v>8.61</v>
      </c>
    </row>
    <row r="11248" spans="1:7" ht="14.25" customHeight="1" x14ac:dyDescent="0.45">
      <c r="A11248" t="str">
        <f>_xlfn.XLOOKUP(B11248,Ingot!$H$12:$H$119,Ingot!$G$12:$G$119,"")</f>
        <v>Glass</v>
      </c>
      <c r="B11248" t="s">
        <v>22484</v>
      </c>
      <c r="C11248" t="s">
        <v>10</v>
      </c>
      <c r="D11248" t="s">
        <v>22605</v>
      </c>
      <c r="E11248" t="s">
        <v>22606</v>
      </c>
    </row>
    <row r="11249" spans="1:7" ht="14.25" customHeight="1" x14ac:dyDescent="0.45">
      <c r="A11249" t="str">
        <f>_xlfn.XLOOKUP(B11249,Ingot!$H$12:$H$119,Ingot!$G$12:$G$119,"")</f>
        <v>Glass</v>
      </c>
      <c r="B11249" t="s">
        <v>22484</v>
      </c>
      <c r="C11249" t="s">
        <v>10</v>
      </c>
      <c r="D11249" t="s">
        <v>22607</v>
      </c>
      <c r="E11249" t="s">
        <v>22608</v>
      </c>
      <c r="G11249" s="1">
        <v>3.21</v>
      </c>
    </row>
    <row r="11250" spans="1:7" ht="14.25" customHeight="1" x14ac:dyDescent="0.45">
      <c r="A11250" t="str">
        <f>_xlfn.XLOOKUP(B11250,Ingot!$H$12:$H$119,Ingot!$G$12:$G$119,"")</f>
        <v>Glass</v>
      </c>
      <c r="B11250" t="s">
        <v>22484</v>
      </c>
      <c r="C11250" t="s">
        <v>10</v>
      </c>
      <c r="D11250" t="s">
        <v>22609</v>
      </c>
      <c r="E11250" t="s">
        <v>22610</v>
      </c>
      <c r="G11250" s="1">
        <v>2.77</v>
      </c>
    </row>
    <row r="11251" spans="1:7" ht="14.25" customHeight="1" x14ac:dyDescent="0.45">
      <c r="A11251" t="str">
        <f>_xlfn.XLOOKUP(B11251,Ingot!$H$12:$H$119,Ingot!$G$12:$G$119,"")</f>
        <v>Glass</v>
      </c>
      <c r="B11251" t="s">
        <v>22484</v>
      </c>
      <c r="C11251" t="s">
        <v>10</v>
      </c>
      <c r="D11251" t="s">
        <v>22611</v>
      </c>
      <c r="E11251" t="s">
        <v>22612</v>
      </c>
      <c r="G11251" s="1">
        <v>4.8899999999999997</v>
      </c>
    </row>
    <row r="11252" spans="1:7" ht="14.25" customHeight="1" x14ac:dyDescent="0.45">
      <c r="A11252" t="str">
        <f>_xlfn.XLOOKUP(B11252,Ingot!$H$12:$H$119,Ingot!$G$12:$G$119,"")</f>
        <v>Glass</v>
      </c>
      <c r="B11252" t="s">
        <v>22484</v>
      </c>
      <c r="C11252" t="s">
        <v>10</v>
      </c>
      <c r="D11252" t="s">
        <v>22613</v>
      </c>
      <c r="E11252" t="s">
        <v>22614</v>
      </c>
      <c r="G11252" s="1">
        <v>1.76</v>
      </c>
    </row>
    <row r="11253" spans="1:7" ht="14.25" customHeight="1" x14ac:dyDescent="0.45">
      <c r="A11253" t="str">
        <f>_xlfn.XLOOKUP(B11253,Ingot!$H$12:$H$119,Ingot!$G$12:$G$119,"")</f>
        <v>Glass</v>
      </c>
      <c r="B11253" t="s">
        <v>22484</v>
      </c>
      <c r="C11253" t="s">
        <v>10</v>
      </c>
      <c r="D11253" t="s">
        <v>22615</v>
      </c>
      <c r="E11253" t="s">
        <v>22616</v>
      </c>
    </row>
    <row r="11254" spans="1:7" ht="14.25" customHeight="1" x14ac:dyDescent="0.45">
      <c r="A11254" t="str">
        <f>_xlfn.XLOOKUP(B11254,Ingot!$H$12:$H$119,Ingot!$G$12:$G$119,"")</f>
        <v>Glass</v>
      </c>
      <c r="B11254" t="s">
        <v>22484</v>
      </c>
      <c r="C11254" t="s">
        <v>10</v>
      </c>
      <c r="D11254" t="s">
        <v>22617</v>
      </c>
      <c r="E11254" t="s">
        <v>22618</v>
      </c>
      <c r="G11254" s="1">
        <v>8.57</v>
      </c>
    </row>
    <row r="11255" spans="1:7" ht="14.25" customHeight="1" x14ac:dyDescent="0.45">
      <c r="A11255" t="str">
        <f>_xlfn.XLOOKUP(B11255,Ingot!$H$12:$H$119,Ingot!$G$12:$G$119,"")</f>
        <v>Glass</v>
      </c>
      <c r="B11255" t="s">
        <v>22484</v>
      </c>
      <c r="C11255" t="s">
        <v>10</v>
      </c>
      <c r="D11255" t="s">
        <v>22619</v>
      </c>
      <c r="E11255" t="s">
        <v>22620</v>
      </c>
    </row>
    <row r="11256" spans="1:7" ht="14.25" customHeight="1" x14ac:dyDescent="0.45">
      <c r="A11256" t="str">
        <f>_xlfn.XLOOKUP(B11256,Ingot!$H$12:$H$119,Ingot!$G$12:$G$119,"")</f>
        <v>Glass</v>
      </c>
      <c r="B11256" t="s">
        <v>22484</v>
      </c>
      <c r="C11256" t="s">
        <v>10</v>
      </c>
      <c r="D11256" t="s">
        <v>22621</v>
      </c>
      <c r="E11256" t="s">
        <v>22622</v>
      </c>
      <c r="G11256" s="1">
        <v>3.56</v>
      </c>
    </row>
    <row r="11257" spans="1:7" ht="14.25" customHeight="1" x14ac:dyDescent="0.45">
      <c r="A11257" t="str">
        <f>_xlfn.XLOOKUP(B11257,Ingot!$H$12:$H$119,Ingot!$G$12:$G$119,"")</f>
        <v>Glass</v>
      </c>
      <c r="B11257" t="s">
        <v>22484</v>
      </c>
      <c r="C11257" t="s">
        <v>10</v>
      </c>
      <c r="D11257" t="s">
        <v>22623</v>
      </c>
      <c r="E11257" t="s">
        <v>22624</v>
      </c>
      <c r="G11257" s="1">
        <v>8.91</v>
      </c>
    </row>
    <row r="11258" spans="1:7" ht="14.25" customHeight="1" x14ac:dyDescent="0.45">
      <c r="A11258" t="str">
        <f>_xlfn.XLOOKUP(B11258,Ingot!$H$12:$H$119,Ingot!$G$12:$G$119,"")</f>
        <v>Glass</v>
      </c>
      <c r="B11258" t="s">
        <v>22484</v>
      </c>
      <c r="C11258" t="s">
        <v>10</v>
      </c>
      <c r="D11258" t="s">
        <v>22625</v>
      </c>
      <c r="E11258" t="s">
        <v>22626</v>
      </c>
      <c r="G11258" s="1">
        <v>11.02</v>
      </c>
    </row>
    <row r="11259" spans="1:7" ht="14.25" customHeight="1" x14ac:dyDescent="0.45">
      <c r="A11259" t="str">
        <f>_xlfn.XLOOKUP(B11259,Ingot!$H$12:$H$119,Ingot!$G$12:$G$119,"")</f>
        <v>Glass</v>
      </c>
      <c r="B11259" t="s">
        <v>22484</v>
      </c>
      <c r="C11259" t="s">
        <v>10</v>
      </c>
      <c r="D11259" t="s">
        <v>22627</v>
      </c>
      <c r="E11259" t="s">
        <v>22628</v>
      </c>
      <c r="G11259" s="1">
        <v>5.12</v>
      </c>
    </row>
    <row r="11260" spans="1:7" ht="14.25" customHeight="1" x14ac:dyDescent="0.45">
      <c r="A11260" t="str">
        <f>_xlfn.XLOOKUP(B11260,Ingot!$H$12:$H$119,Ingot!$G$12:$G$119,"")</f>
        <v>Glass</v>
      </c>
      <c r="B11260" t="s">
        <v>22484</v>
      </c>
      <c r="C11260" t="s">
        <v>10</v>
      </c>
      <c r="D11260" t="s">
        <v>22629</v>
      </c>
      <c r="E11260" t="s">
        <v>22630</v>
      </c>
      <c r="G11260" s="1">
        <v>4.41</v>
      </c>
    </row>
    <row r="11261" spans="1:7" ht="14.25" customHeight="1" x14ac:dyDescent="0.45">
      <c r="A11261" t="str">
        <f>_xlfn.XLOOKUP(B11261,Ingot!$H$12:$H$119,Ingot!$G$12:$G$119,"")</f>
        <v>Glass</v>
      </c>
      <c r="B11261" t="s">
        <v>22484</v>
      </c>
      <c r="C11261" t="s">
        <v>157</v>
      </c>
      <c r="D11261" t="s">
        <v>22631</v>
      </c>
      <c r="E11261" t="s">
        <v>22632</v>
      </c>
      <c r="G11261" s="1">
        <v>29.05</v>
      </c>
    </row>
    <row r="11262" spans="1:7" ht="14.25" customHeight="1" x14ac:dyDescent="0.45">
      <c r="A11262" t="str">
        <f>_xlfn.XLOOKUP(B11262,Ingot!$H$12:$H$119,Ingot!$G$12:$G$119,"")</f>
        <v>Glass</v>
      </c>
      <c r="B11262" t="s">
        <v>22484</v>
      </c>
      <c r="C11262" t="s">
        <v>157</v>
      </c>
      <c r="D11262" t="s">
        <v>22633</v>
      </c>
      <c r="E11262" t="s">
        <v>22634</v>
      </c>
      <c r="G11262" s="1">
        <v>5.81</v>
      </c>
    </row>
    <row r="11263" spans="1:7" ht="14.25" customHeight="1" x14ac:dyDescent="0.45">
      <c r="A11263" t="str">
        <f>_xlfn.XLOOKUP(B11263,Ingot!$H$12:$H$119,Ingot!$G$12:$G$119,"")</f>
        <v>Glass</v>
      </c>
      <c r="B11263" t="s">
        <v>22484</v>
      </c>
      <c r="C11263" t="s">
        <v>157</v>
      </c>
      <c r="D11263" t="s">
        <v>22635</v>
      </c>
      <c r="E11263" t="s">
        <v>22636</v>
      </c>
      <c r="G11263" s="1">
        <v>5.81</v>
      </c>
    </row>
    <row r="11264" spans="1:7" ht="14.25" customHeight="1" x14ac:dyDescent="0.45">
      <c r="A11264" t="str">
        <f>_xlfn.XLOOKUP(B11264,Ingot!$H$12:$H$119,Ingot!$G$12:$G$119,"")</f>
        <v>Glass</v>
      </c>
      <c r="B11264" t="s">
        <v>22484</v>
      </c>
      <c r="C11264" t="s">
        <v>157</v>
      </c>
      <c r="D11264" t="s">
        <v>22637</v>
      </c>
      <c r="E11264" t="s">
        <v>22638</v>
      </c>
      <c r="G11264" s="1">
        <v>5</v>
      </c>
    </row>
    <row r="11265" spans="1:7" ht="14.25" customHeight="1" x14ac:dyDescent="0.45">
      <c r="A11265" t="str">
        <f>_xlfn.XLOOKUP(B11265,Ingot!$H$12:$H$119,Ingot!$G$12:$G$119,"")</f>
        <v>Glass</v>
      </c>
      <c r="B11265" t="s">
        <v>22484</v>
      </c>
      <c r="C11265" t="s">
        <v>157</v>
      </c>
      <c r="D11265" t="s">
        <v>22639</v>
      </c>
      <c r="E11265" t="s">
        <v>22640</v>
      </c>
      <c r="G11265" s="1">
        <v>10</v>
      </c>
    </row>
    <row r="11266" spans="1:7" ht="14.25" customHeight="1" x14ac:dyDescent="0.45">
      <c r="A11266" t="str">
        <f>_xlfn.XLOOKUP(B11266,Ingot!$H$12:$H$119,Ingot!$G$12:$G$119,"")</f>
        <v>Glass</v>
      </c>
      <c r="B11266" t="s">
        <v>22484</v>
      </c>
      <c r="C11266" t="s">
        <v>157</v>
      </c>
      <c r="D11266" t="s">
        <v>22641</v>
      </c>
      <c r="E11266" t="s">
        <v>22642</v>
      </c>
      <c r="G11266" s="1">
        <v>25.05</v>
      </c>
    </row>
    <row r="11267" spans="1:7" ht="14.25" customHeight="1" x14ac:dyDescent="0.45">
      <c r="A11267" t="str">
        <f>_xlfn.XLOOKUP(B11267,Ingot!$H$12:$H$119,Ingot!$G$12:$G$119,"")</f>
        <v>Glass</v>
      </c>
      <c r="B11267" t="s">
        <v>22484</v>
      </c>
      <c r="C11267" t="s">
        <v>157</v>
      </c>
      <c r="D11267" t="s">
        <v>22643</v>
      </c>
      <c r="E11267" t="s">
        <v>22644</v>
      </c>
      <c r="G11267" s="1">
        <v>5.01</v>
      </c>
    </row>
    <row r="11268" spans="1:7" ht="14.25" customHeight="1" x14ac:dyDescent="0.45">
      <c r="A11268" t="str">
        <f>_xlfn.XLOOKUP(B11268,Ingot!$H$12:$H$119,Ingot!$G$12:$G$119,"")</f>
        <v>Glass</v>
      </c>
      <c r="B11268" t="s">
        <v>22484</v>
      </c>
      <c r="C11268" t="s">
        <v>157</v>
      </c>
      <c r="D11268" t="s">
        <v>22645</v>
      </c>
      <c r="E11268" t="s">
        <v>22646</v>
      </c>
      <c r="G11268" s="1">
        <v>5.01</v>
      </c>
    </row>
    <row r="11269" spans="1:7" ht="14.25" customHeight="1" x14ac:dyDescent="0.45">
      <c r="A11269" t="str">
        <f>_xlfn.XLOOKUP(B11269,Ingot!$H$12:$H$119,Ingot!$G$12:$G$119,"")</f>
        <v>Glass</v>
      </c>
      <c r="B11269" t="s">
        <v>22484</v>
      </c>
      <c r="C11269" t="s">
        <v>157</v>
      </c>
      <c r="D11269" t="s">
        <v>22647</v>
      </c>
      <c r="E11269" t="s">
        <v>22648</v>
      </c>
      <c r="G11269" s="1">
        <v>5</v>
      </c>
    </row>
    <row r="11270" spans="1:7" ht="14.25" customHeight="1" x14ac:dyDescent="0.45">
      <c r="A11270" t="str">
        <f>_xlfn.XLOOKUP(B11270,Ingot!$H$12:$H$119,Ingot!$G$12:$G$119,"")</f>
        <v>Glass</v>
      </c>
      <c r="B11270" t="s">
        <v>22484</v>
      </c>
      <c r="C11270" t="s">
        <v>157</v>
      </c>
      <c r="D11270" t="s">
        <v>22649</v>
      </c>
      <c r="E11270" t="s">
        <v>22650</v>
      </c>
      <c r="G11270" s="1">
        <v>10</v>
      </c>
    </row>
    <row r="11271" spans="1:7" ht="14.25" customHeight="1" x14ac:dyDescent="0.45">
      <c r="A11271" t="str">
        <f>_xlfn.XLOOKUP(B11271,Ingot!$H$12:$H$119,Ingot!$G$12:$G$119,"")</f>
        <v>Glass</v>
      </c>
      <c r="B11271" t="s">
        <v>22484</v>
      </c>
      <c r="C11271" t="s">
        <v>157</v>
      </c>
      <c r="D11271" t="s">
        <v>22651</v>
      </c>
      <c r="E11271" t="s">
        <v>22652</v>
      </c>
      <c r="F11271" t="s">
        <v>180</v>
      </c>
      <c r="G11271" s="1">
        <v>24.05</v>
      </c>
    </row>
    <row r="11272" spans="1:7" ht="14.25" customHeight="1" x14ac:dyDescent="0.45">
      <c r="A11272" t="str">
        <f>_xlfn.XLOOKUP(B11272,Ingot!$H$12:$H$119,Ingot!$G$12:$G$119,"")</f>
        <v>Glass</v>
      </c>
      <c r="B11272" t="s">
        <v>22484</v>
      </c>
      <c r="C11272" t="s">
        <v>157</v>
      </c>
      <c r="D11272" t="s">
        <v>22653</v>
      </c>
      <c r="E11272" t="s">
        <v>22654</v>
      </c>
      <c r="F11272" t="s">
        <v>180</v>
      </c>
      <c r="G11272" s="1">
        <v>5</v>
      </c>
    </row>
    <row r="11273" spans="1:7" ht="14.25" customHeight="1" x14ac:dyDescent="0.45">
      <c r="A11273" t="str">
        <f>_xlfn.XLOOKUP(B11273,Ingot!$H$12:$H$119,Ingot!$G$12:$G$119,"")</f>
        <v>Glass</v>
      </c>
      <c r="B11273" t="s">
        <v>22484</v>
      </c>
      <c r="C11273" t="s">
        <v>157</v>
      </c>
      <c r="D11273" t="s">
        <v>22655</v>
      </c>
      <c r="E11273" t="s">
        <v>22656</v>
      </c>
      <c r="F11273" t="s">
        <v>180</v>
      </c>
      <c r="G11273" s="1">
        <v>5</v>
      </c>
    </row>
    <row r="11274" spans="1:7" ht="14.25" customHeight="1" x14ac:dyDescent="0.45">
      <c r="A11274" t="str">
        <f>_xlfn.XLOOKUP(B11274,Ingot!$H$12:$H$119,Ingot!$G$12:$G$119,"")</f>
        <v>Glass</v>
      </c>
      <c r="B11274" t="s">
        <v>22484</v>
      </c>
      <c r="C11274" t="s">
        <v>157</v>
      </c>
      <c r="D11274" t="s">
        <v>22657</v>
      </c>
      <c r="E11274" t="s">
        <v>22658</v>
      </c>
      <c r="F11274" t="s">
        <v>180</v>
      </c>
      <c r="G11274" s="1">
        <v>5</v>
      </c>
    </row>
    <row r="11275" spans="1:7" ht="14.25" customHeight="1" x14ac:dyDescent="0.45">
      <c r="A11275" t="str">
        <f>_xlfn.XLOOKUP(B11275,Ingot!$H$12:$H$119,Ingot!$G$12:$G$119,"")</f>
        <v>Glass</v>
      </c>
      <c r="B11275" t="s">
        <v>22484</v>
      </c>
      <c r="C11275" t="s">
        <v>157</v>
      </c>
      <c r="D11275" t="s">
        <v>22659</v>
      </c>
      <c r="E11275" t="s">
        <v>22660</v>
      </c>
      <c r="F11275" t="s">
        <v>180</v>
      </c>
      <c r="G11275" s="1">
        <v>10</v>
      </c>
    </row>
    <row r="11276" spans="1:7" ht="14.25" customHeight="1" x14ac:dyDescent="0.45">
      <c r="A11276" t="str">
        <f>_xlfn.XLOOKUP(B11276,Ingot!$H$12:$H$119,Ingot!$G$12:$G$119,"")</f>
        <v>Glass</v>
      </c>
      <c r="B11276" t="s">
        <v>22484</v>
      </c>
      <c r="C11276" t="s">
        <v>157</v>
      </c>
      <c r="D11276" t="s">
        <v>22661</v>
      </c>
      <c r="E11276" t="s">
        <v>22662</v>
      </c>
      <c r="G11276" s="1">
        <v>26.05</v>
      </c>
    </row>
    <row r="11277" spans="1:7" ht="14.25" customHeight="1" x14ac:dyDescent="0.45">
      <c r="A11277" t="str">
        <f>_xlfn.XLOOKUP(B11277,Ingot!$H$12:$H$119,Ingot!$G$12:$G$119,"")</f>
        <v>Glass</v>
      </c>
      <c r="B11277" t="s">
        <v>22484</v>
      </c>
      <c r="C11277" t="s">
        <v>157</v>
      </c>
      <c r="D11277" t="s">
        <v>22663</v>
      </c>
      <c r="E11277" t="s">
        <v>22664</v>
      </c>
      <c r="G11277" s="1">
        <v>5.21</v>
      </c>
    </row>
    <row r="11278" spans="1:7" ht="14.25" customHeight="1" x14ac:dyDescent="0.45">
      <c r="A11278" t="str">
        <f>_xlfn.XLOOKUP(B11278,Ingot!$H$12:$H$119,Ingot!$G$12:$G$119,"")</f>
        <v>Glass</v>
      </c>
      <c r="B11278" t="s">
        <v>22484</v>
      </c>
      <c r="C11278" t="s">
        <v>157</v>
      </c>
      <c r="D11278" t="s">
        <v>22665</v>
      </c>
      <c r="E11278" t="s">
        <v>22666</v>
      </c>
      <c r="G11278" s="1">
        <v>5.21</v>
      </c>
    </row>
    <row r="11279" spans="1:7" ht="14.25" customHeight="1" x14ac:dyDescent="0.45">
      <c r="A11279" t="str">
        <f>_xlfn.XLOOKUP(B11279,Ingot!$H$12:$H$119,Ingot!$G$12:$G$119,"")</f>
        <v>Glass</v>
      </c>
      <c r="B11279" t="s">
        <v>22484</v>
      </c>
      <c r="C11279" t="s">
        <v>157</v>
      </c>
      <c r="D11279" t="s">
        <v>22667</v>
      </c>
      <c r="E11279" t="s">
        <v>22668</v>
      </c>
      <c r="G11279" s="1">
        <v>5</v>
      </c>
    </row>
    <row r="11280" spans="1:7" ht="14.25" customHeight="1" x14ac:dyDescent="0.45">
      <c r="A11280" t="str">
        <f>_xlfn.XLOOKUP(B11280,Ingot!$H$12:$H$119,Ingot!$G$12:$G$119,"")</f>
        <v>Glass</v>
      </c>
      <c r="B11280" t="s">
        <v>22484</v>
      </c>
      <c r="C11280" t="s">
        <v>157</v>
      </c>
      <c r="D11280" t="s">
        <v>22669</v>
      </c>
      <c r="E11280" t="s">
        <v>22670</v>
      </c>
      <c r="G11280" s="1">
        <v>10</v>
      </c>
    </row>
    <row r="11281" spans="1:7" ht="14.25" customHeight="1" x14ac:dyDescent="0.45">
      <c r="A11281" t="str">
        <f>_xlfn.XLOOKUP(B11281,Ingot!$H$12:$H$119,Ingot!$G$12:$G$119,"")</f>
        <v>Glass</v>
      </c>
      <c r="B11281" t="s">
        <v>22484</v>
      </c>
      <c r="C11281" t="s">
        <v>157</v>
      </c>
      <c r="D11281" t="s">
        <v>22671</v>
      </c>
      <c r="E11281" t="s">
        <v>22672</v>
      </c>
      <c r="G11281" s="1">
        <v>27.55</v>
      </c>
    </row>
    <row r="11282" spans="1:7" ht="14.25" customHeight="1" x14ac:dyDescent="0.45">
      <c r="A11282" t="str">
        <f>_xlfn.XLOOKUP(B11282,Ingot!$H$12:$H$119,Ingot!$G$12:$G$119,"")</f>
        <v>Glass</v>
      </c>
      <c r="B11282" t="s">
        <v>22484</v>
      </c>
      <c r="C11282" t="s">
        <v>157</v>
      </c>
      <c r="D11282" t="s">
        <v>22673</v>
      </c>
      <c r="E11282" t="s">
        <v>22674</v>
      </c>
      <c r="F11282" t="s">
        <v>180</v>
      </c>
      <c r="G11282" s="1">
        <v>5.51</v>
      </c>
    </row>
    <row r="11283" spans="1:7" ht="14.25" customHeight="1" x14ac:dyDescent="0.45">
      <c r="A11283" t="str">
        <f>_xlfn.XLOOKUP(B11283,Ingot!$H$12:$H$119,Ingot!$G$12:$G$119,"")</f>
        <v>Glass</v>
      </c>
      <c r="B11283" t="s">
        <v>22484</v>
      </c>
      <c r="C11283" t="s">
        <v>157</v>
      </c>
      <c r="D11283" t="s">
        <v>22675</v>
      </c>
      <c r="E11283" t="s">
        <v>22676</v>
      </c>
      <c r="F11283" t="s">
        <v>180</v>
      </c>
      <c r="G11283" s="1">
        <v>5.51</v>
      </c>
    </row>
    <row r="11284" spans="1:7" ht="14.25" customHeight="1" x14ac:dyDescent="0.45">
      <c r="A11284" t="str">
        <f>_xlfn.XLOOKUP(B11284,Ingot!$H$12:$H$119,Ingot!$G$12:$G$119,"")</f>
        <v>Glass</v>
      </c>
      <c r="B11284" t="s">
        <v>22484</v>
      </c>
      <c r="C11284" t="s">
        <v>157</v>
      </c>
      <c r="D11284" t="s">
        <v>22677</v>
      </c>
      <c r="E11284" t="s">
        <v>22678</v>
      </c>
      <c r="F11284" t="s">
        <v>180</v>
      </c>
      <c r="G11284" s="1">
        <v>5</v>
      </c>
    </row>
    <row r="11285" spans="1:7" ht="14.25" customHeight="1" x14ac:dyDescent="0.45">
      <c r="A11285" t="str">
        <f>_xlfn.XLOOKUP(B11285,Ingot!$H$12:$H$119,Ingot!$G$12:$G$119,"")</f>
        <v>Glass</v>
      </c>
      <c r="B11285" t="s">
        <v>22484</v>
      </c>
      <c r="C11285" t="s">
        <v>157</v>
      </c>
      <c r="D11285" t="s">
        <v>22679</v>
      </c>
      <c r="E11285" t="s">
        <v>22680</v>
      </c>
      <c r="G11285" s="1">
        <v>10</v>
      </c>
    </row>
    <row r="11286" spans="1:7" ht="14.25" customHeight="1" x14ac:dyDescent="0.45">
      <c r="A11286" t="str">
        <f>_xlfn.XLOOKUP(B11286,Ingot!$H$12:$H$119,Ingot!$G$12:$G$119,"")</f>
        <v>Glass</v>
      </c>
      <c r="B11286" t="s">
        <v>22484</v>
      </c>
      <c r="C11286" t="s">
        <v>157</v>
      </c>
      <c r="D11286" t="s">
        <v>22681</v>
      </c>
      <c r="E11286" t="s">
        <v>22682</v>
      </c>
      <c r="G11286" s="1">
        <v>32.049999999999997</v>
      </c>
    </row>
    <row r="11287" spans="1:7" ht="14.25" customHeight="1" x14ac:dyDescent="0.45">
      <c r="A11287" t="str">
        <f>_xlfn.XLOOKUP(B11287,Ingot!$H$12:$H$119,Ingot!$G$12:$G$119,"")</f>
        <v>Glass</v>
      </c>
      <c r="B11287" t="s">
        <v>22484</v>
      </c>
      <c r="C11287" t="s">
        <v>157</v>
      </c>
      <c r="D11287" t="s">
        <v>22683</v>
      </c>
      <c r="E11287" t="s">
        <v>22684</v>
      </c>
      <c r="G11287" s="1">
        <v>6.41</v>
      </c>
    </row>
    <row r="11288" spans="1:7" ht="14.25" customHeight="1" x14ac:dyDescent="0.45">
      <c r="A11288" t="str">
        <f>_xlfn.XLOOKUP(B11288,Ingot!$H$12:$H$119,Ingot!$G$12:$G$119,"")</f>
        <v>Glass</v>
      </c>
      <c r="B11288" t="s">
        <v>22484</v>
      </c>
      <c r="C11288" t="s">
        <v>157</v>
      </c>
      <c r="D11288" t="s">
        <v>22685</v>
      </c>
      <c r="E11288" t="s">
        <v>22686</v>
      </c>
      <c r="G11288" s="1">
        <v>6.41</v>
      </c>
    </row>
    <row r="11289" spans="1:7" ht="14.25" customHeight="1" x14ac:dyDescent="0.45">
      <c r="A11289" t="str">
        <f>_xlfn.XLOOKUP(B11289,Ingot!$H$12:$H$119,Ingot!$G$12:$G$119,"")</f>
        <v>Glass</v>
      </c>
      <c r="B11289" t="s">
        <v>22484</v>
      </c>
      <c r="C11289" t="s">
        <v>157</v>
      </c>
      <c r="D11289" t="s">
        <v>22687</v>
      </c>
      <c r="E11289" t="s">
        <v>22688</v>
      </c>
      <c r="G11289" s="1">
        <v>5</v>
      </c>
    </row>
    <row r="11290" spans="1:7" ht="14.25" customHeight="1" x14ac:dyDescent="0.45">
      <c r="A11290" t="str">
        <f>_xlfn.XLOOKUP(B11290,Ingot!$H$12:$H$119,Ingot!$G$12:$G$119,"")</f>
        <v>Glass</v>
      </c>
      <c r="B11290" t="s">
        <v>22484</v>
      </c>
      <c r="C11290" t="s">
        <v>157</v>
      </c>
      <c r="D11290" t="s">
        <v>22689</v>
      </c>
      <c r="E11290" t="s">
        <v>22690</v>
      </c>
      <c r="G11290" s="1">
        <v>10</v>
      </c>
    </row>
    <row r="11291" spans="1:7" ht="14.25" customHeight="1" x14ac:dyDescent="0.45">
      <c r="A11291" t="str">
        <f>_xlfn.XLOOKUP(B11291,Ingot!$H$12:$H$119,Ingot!$G$12:$G$119,"")</f>
        <v>Glass</v>
      </c>
      <c r="B11291" t="s">
        <v>22484</v>
      </c>
      <c r="C11291" t="s">
        <v>157</v>
      </c>
      <c r="D11291" t="s">
        <v>22691</v>
      </c>
      <c r="E11291" t="s">
        <v>22692</v>
      </c>
      <c r="G11291" s="1">
        <v>30.55</v>
      </c>
    </row>
    <row r="11292" spans="1:7" ht="14.25" customHeight="1" x14ac:dyDescent="0.45">
      <c r="A11292" t="str">
        <f>_xlfn.XLOOKUP(B11292,Ingot!$H$12:$H$119,Ingot!$G$12:$G$119,"")</f>
        <v>Glass</v>
      </c>
      <c r="B11292" t="s">
        <v>22484</v>
      </c>
      <c r="C11292" t="s">
        <v>157</v>
      </c>
      <c r="D11292" t="s">
        <v>22693</v>
      </c>
      <c r="E11292" t="s">
        <v>22694</v>
      </c>
      <c r="G11292" s="1">
        <v>6.11</v>
      </c>
    </row>
    <row r="11293" spans="1:7" ht="14.25" customHeight="1" x14ac:dyDescent="0.45">
      <c r="A11293" t="str">
        <f>_xlfn.XLOOKUP(B11293,Ingot!$H$12:$H$119,Ingot!$G$12:$G$119,"")</f>
        <v>Glass</v>
      </c>
      <c r="B11293" t="s">
        <v>22484</v>
      </c>
      <c r="C11293" t="s">
        <v>157</v>
      </c>
      <c r="D11293" t="s">
        <v>22695</v>
      </c>
      <c r="E11293" t="s">
        <v>22696</v>
      </c>
      <c r="G11293" s="1">
        <v>6.11</v>
      </c>
    </row>
    <row r="11294" spans="1:7" ht="14.25" customHeight="1" x14ac:dyDescent="0.45">
      <c r="A11294" t="str">
        <f>_xlfn.XLOOKUP(B11294,Ingot!$H$12:$H$119,Ingot!$G$12:$G$119,"")</f>
        <v>Glass</v>
      </c>
      <c r="B11294" t="s">
        <v>22484</v>
      </c>
      <c r="C11294" t="s">
        <v>157</v>
      </c>
      <c r="D11294" t="s">
        <v>22697</v>
      </c>
      <c r="E11294" t="s">
        <v>22698</v>
      </c>
      <c r="G11294" s="1">
        <v>5</v>
      </c>
    </row>
    <row r="11295" spans="1:7" ht="14.25" customHeight="1" x14ac:dyDescent="0.45">
      <c r="A11295" t="str">
        <f>_xlfn.XLOOKUP(B11295,Ingot!$H$12:$H$119,Ingot!$G$12:$G$119,"")</f>
        <v>Glass</v>
      </c>
      <c r="B11295" t="s">
        <v>22484</v>
      </c>
      <c r="C11295" t="s">
        <v>157</v>
      </c>
      <c r="D11295" t="s">
        <v>22699</v>
      </c>
      <c r="E11295" t="s">
        <v>22700</v>
      </c>
      <c r="G11295" s="1">
        <v>10</v>
      </c>
    </row>
    <row r="11296" spans="1:7" ht="14.25" customHeight="1" x14ac:dyDescent="0.45">
      <c r="A11296" t="str">
        <f>_xlfn.XLOOKUP(B11296,Ingot!$H$12:$H$119,Ingot!$G$12:$G$119,"")</f>
        <v>Glass</v>
      </c>
      <c r="B11296" t="s">
        <v>22484</v>
      </c>
      <c r="C11296" t="s">
        <v>157</v>
      </c>
      <c r="D11296" t="s">
        <v>22701</v>
      </c>
      <c r="E11296" t="s">
        <v>22702</v>
      </c>
      <c r="F11296" t="s">
        <v>180</v>
      </c>
      <c r="G11296" s="1">
        <v>23.05</v>
      </c>
    </row>
    <row r="11297" spans="1:7" ht="14.25" customHeight="1" x14ac:dyDescent="0.45">
      <c r="A11297" t="str">
        <f>_xlfn.XLOOKUP(B11297,Ingot!$H$12:$H$119,Ingot!$G$12:$G$119,"")</f>
        <v>Glass</v>
      </c>
      <c r="B11297" t="s">
        <v>22484</v>
      </c>
      <c r="C11297" t="s">
        <v>157</v>
      </c>
      <c r="D11297" t="s">
        <v>22703</v>
      </c>
      <c r="E11297" t="s">
        <v>22704</v>
      </c>
      <c r="F11297" t="s">
        <v>180</v>
      </c>
      <c r="G11297" s="1">
        <v>5</v>
      </c>
    </row>
    <row r="11298" spans="1:7" ht="14.25" customHeight="1" x14ac:dyDescent="0.45">
      <c r="A11298" t="str">
        <f>_xlfn.XLOOKUP(B11298,Ingot!$H$12:$H$119,Ingot!$G$12:$G$119,"")</f>
        <v>Glass</v>
      </c>
      <c r="B11298" t="s">
        <v>22484</v>
      </c>
      <c r="C11298" t="s">
        <v>157</v>
      </c>
      <c r="D11298" t="s">
        <v>22705</v>
      </c>
      <c r="E11298" t="s">
        <v>22706</v>
      </c>
      <c r="F11298" t="s">
        <v>180</v>
      </c>
      <c r="G11298" s="1">
        <v>5</v>
      </c>
    </row>
    <row r="11299" spans="1:7" ht="14.25" customHeight="1" x14ac:dyDescent="0.45">
      <c r="A11299" t="str">
        <f>_xlfn.XLOOKUP(B11299,Ingot!$H$12:$H$119,Ingot!$G$12:$G$119,"")</f>
        <v>Glass</v>
      </c>
      <c r="B11299" t="s">
        <v>22484</v>
      </c>
      <c r="C11299" t="s">
        <v>157</v>
      </c>
      <c r="D11299" t="s">
        <v>22707</v>
      </c>
      <c r="E11299" t="s">
        <v>22708</v>
      </c>
      <c r="F11299" t="s">
        <v>180</v>
      </c>
      <c r="G11299" s="1">
        <v>5</v>
      </c>
    </row>
    <row r="11300" spans="1:7" ht="14.25" customHeight="1" x14ac:dyDescent="0.45">
      <c r="A11300" t="str">
        <f>_xlfn.XLOOKUP(B11300,Ingot!$H$12:$H$119,Ingot!$G$12:$G$119,"")</f>
        <v>Glass</v>
      </c>
      <c r="B11300" t="s">
        <v>22484</v>
      </c>
      <c r="C11300" t="s">
        <v>157</v>
      </c>
      <c r="D11300" t="s">
        <v>22709</v>
      </c>
      <c r="E11300" t="s">
        <v>22710</v>
      </c>
      <c r="F11300" t="s">
        <v>180</v>
      </c>
      <c r="G11300" s="1">
        <v>10</v>
      </c>
    </row>
    <row r="11301" spans="1:7" ht="14.25" customHeight="1" x14ac:dyDescent="0.45">
      <c r="A11301" t="str">
        <f>_xlfn.XLOOKUP(B11301,Ingot!$H$12:$H$119,Ingot!$G$12:$G$119,"")</f>
        <v>Glass</v>
      </c>
      <c r="B11301" t="s">
        <v>22484</v>
      </c>
      <c r="C11301" t="s">
        <v>239</v>
      </c>
      <c r="D11301" t="s">
        <v>22711</v>
      </c>
      <c r="E11301" t="s">
        <v>22712</v>
      </c>
      <c r="G11301" s="1">
        <f>(VLOOKUP(B11301,Ingot!H:I,2,FALSE()) * 0.75) * 0.75</f>
        <v>5.90625</v>
      </c>
    </row>
    <row r="11302" spans="1:7" ht="14.25" customHeight="1" x14ac:dyDescent="0.45">
      <c r="A11302" t="str">
        <f>_xlfn.XLOOKUP(B11302,Ingot!$H$12:$H$119,Ingot!$G$12:$G$119,"")</f>
        <v>Glass</v>
      </c>
      <c r="B11302" t="s">
        <v>22484</v>
      </c>
      <c r="C11302" t="s">
        <v>239</v>
      </c>
      <c r="D11302" t="s">
        <v>22713</v>
      </c>
      <c r="E11302" t="s">
        <v>22714</v>
      </c>
      <c r="G11302" s="1">
        <f>((VLOOKUP(B11302,Ingot!H:I,2,FALSE()) * 3) - 10.25) * 0.421875</f>
        <v>8.96484375</v>
      </c>
    </row>
    <row r="11303" spans="1:7" ht="14.25" customHeight="1" x14ac:dyDescent="0.45">
      <c r="A11303" t="str">
        <f>_xlfn.XLOOKUP(B11303,Ingot!$H$12:$H$119,Ingot!$G$12:$G$119,"")</f>
        <v>Glass</v>
      </c>
      <c r="B11303" t="s">
        <v>22484</v>
      </c>
      <c r="C11303" t="s">
        <v>239</v>
      </c>
      <c r="D11303" t="s">
        <v>22715</v>
      </c>
      <c r="E11303" t="s">
        <v>22716</v>
      </c>
      <c r="G11303" s="1">
        <f>((VLOOKUP(B11303,Ingot!H:I,2,FALSE()) * 3) - 10.25) * 0.75</f>
        <v>15.9375</v>
      </c>
    </row>
    <row r="11304" spans="1:7" ht="14.25" customHeight="1" x14ac:dyDescent="0.45">
      <c r="A11304" t="str">
        <f>_xlfn.XLOOKUP(B11304,Ingot!$H$12:$H$119,Ingot!$G$12:$G$119,"")</f>
        <v>Glass</v>
      </c>
      <c r="B11304" t="s">
        <v>22484</v>
      </c>
      <c r="C11304" t="s">
        <v>239</v>
      </c>
      <c r="D11304" t="s">
        <v>22717</v>
      </c>
      <c r="E11304" t="s">
        <v>22718</v>
      </c>
      <c r="G11304" s="1">
        <f>((VLOOKUP(B11304,Ingot!H:I,2,FALSE()) * 3) - 10.25) * 0.5625</f>
        <v>11.953125</v>
      </c>
    </row>
    <row r="11305" spans="1:7" ht="14.25" customHeight="1" x14ac:dyDescent="0.45">
      <c r="A11305" t="str">
        <f>_xlfn.XLOOKUP(B11305,Ingot!$H$12:$H$119,Ingot!$G$12:$G$119,"")</f>
        <v>Glass</v>
      </c>
      <c r="B11305" t="s">
        <v>22484</v>
      </c>
      <c r="C11305" t="s">
        <v>239</v>
      </c>
      <c r="D11305" t="s">
        <v>22719</v>
      </c>
      <c r="E11305" t="s">
        <v>22720</v>
      </c>
      <c r="G11305" s="1">
        <f>VLOOKUP(B11305,Ingot!H:I,2,FALSE()) * 0.75</f>
        <v>7.875</v>
      </c>
    </row>
    <row r="11306" spans="1:7" ht="14.25" customHeight="1" x14ac:dyDescent="0.45">
      <c r="A11306" t="str">
        <f>_xlfn.XLOOKUP(B11306,Ingot!$H$12:$H$119,Ingot!$G$12:$G$119,"")</f>
        <v>Glass</v>
      </c>
      <c r="B11306" t="s">
        <v>22484</v>
      </c>
      <c r="C11306" t="s">
        <v>239</v>
      </c>
      <c r="D11306" t="s">
        <v>22721</v>
      </c>
      <c r="E11306" t="s">
        <v>22722</v>
      </c>
      <c r="G11306" s="1">
        <f>(VLOOKUP(B11306,Ingot!H:I,2,FALSE()) * 3) - 10.25</f>
        <v>21.25</v>
      </c>
    </row>
    <row r="11307" spans="1:7" ht="14.25" customHeight="1" x14ac:dyDescent="0.45">
      <c r="A11307" t="str">
        <f>_xlfn.XLOOKUP(B11307,Ingot!$H$12:$H$119,Ingot!$G$12:$G$119,"")</f>
        <v>Glass</v>
      </c>
      <c r="B11307" t="s">
        <v>22723</v>
      </c>
      <c r="C11307" t="s">
        <v>10</v>
      </c>
      <c r="D11307" t="s">
        <v>22724</v>
      </c>
      <c r="E11307" t="s">
        <v>22725</v>
      </c>
      <c r="G11307" s="1">
        <v>0.08</v>
      </c>
    </row>
    <row r="11308" spans="1:7" ht="14.25" customHeight="1" x14ac:dyDescent="0.45">
      <c r="A11308" t="str">
        <f>_xlfn.XLOOKUP(B11308,Ingot!$H$12:$H$119,Ingot!$G$12:$G$119,"")</f>
        <v>Glass</v>
      </c>
      <c r="B11308" t="s">
        <v>22723</v>
      </c>
      <c r="C11308" t="s">
        <v>10</v>
      </c>
      <c r="D11308" t="s">
        <v>22726</v>
      </c>
      <c r="E11308" t="s">
        <v>22727</v>
      </c>
      <c r="G11308" s="1">
        <v>9.9</v>
      </c>
    </row>
    <row r="11309" spans="1:7" ht="14.25" customHeight="1" x14ac:dyDescent="0.45">
      <c r="A11309" t="str">
        <f>_xlfn.XLOOKUP(B11309,Ingot!$H$12:$H$119,Ingot!$G$12:$G$119,"")</f>
        <v>Glass</v>
      </c>
      <c r="B11309" t="s">
        <v>22723</v>
      </c>
      <c r="C11309" t="s">
        <v>10</v>
      </c>
      <c r="D11309" t="s">
        <v>22728</v>
      </c>
      <c r="E11309" t="s">
        <v>22729</v>
      </c>
      <c r="G11309" s="1">
        <v>5.66</v>
      </c>
    </row>
    <row r="11310" spans="1:7" ht="14.25" customHeight="1" x14ac:dyDescent="0.45">
      <c r="A11310" t="str">
        <f>_xlfn.XLOOKUP(B11310,Ingot!$H$12:$H$119,Ingot!$G$12:$G$119,"")</f>
        <v>Glass</v>
      </c>
      <c r="B11310" t="s">
        <v>22723</v>
      </c>
      <c r="C11310" t="s">
        <v>10</v>
      </c>
      <c r="D11310" t="s">
        <v>22730</v>
      </c>
      <c r="E11310" t="s">
        <v>22731</v>
      </c>
      <c r="G11310" s="1">
        <v>3.3</v>
      </c>
    </row>
    <row r="11311" spans="1:7" ht="14.25" customHeight="1" x14ac:dyDescent="0.45">
      <c r="A11311" t="str">
        <f>_xlfn.XLOOKUP(B11311,Ingot!$H$12:$H$119,Ingot!$G$12:$G$119,"")</f>
        <v>Glass</v>
      </c>
      <c r="B11311" t="s">
        <v>22723</v>
      </c>
      <c r="C11311" t="s">
        <v>10</v>
      </c>
      <c r="D11311" t="s">
        <v>22732</v>
      </c>
      <c r="E11311" t="s">
        <v>22733</v>
      </c>
      <c r="G11311" s="1">
        <v>0.66</v>
      </c>
    </row>
    <row r="11312" spans="1:7" ht="14.25" customHeight="1" x14ac:dyDescent="0.45">
      <c r="A11312" t="str">
        <f>_xlfn.XLOOKUP(B11312,Ingot!$H$12:$H$119,Ingot!$G$12:$G$119,"")</f>
        <v>Glass</v>
      </c>
      <c r="B11312" t="s">
        <v>22723</v>
      </c>
      <c r="C11312" t="s">
        <v>10</v>
      </c>
      <c r="D11312" t="s">
        <v>22734</v>
      </c>
      <c r="E11312" t="s">
        <v>22735</v>
      </c>
      <c r="G11312" s="1">
        <v>0.04</v>
      </c>
    </row>
    <row r="11313" spans="1:7" ht="14.25" customHeight="1" x14ac:dyDescent="0.45">
      <c r="A11313" t="str">
        <f>_xlfn.XLOOKUP(B11313,Ingot!$H$12:$H$119,Ingot!$G$12:$G$119,"")</f>
        <v>Glass</v>
      </c>
      <c r="B11313" t="s">
        <v>22723</v>
      </c>
      <c r="C11313" t="s">
        <v>10</v>
      </c>
      <c r="D11313" t="s">
        <v>22736</v>
      </c>
      <c r="E11313" t="s">
        <v>22737</v>
      </c>
      <c r="G11313" s="1">
        <v>0.33</v>
      </c>
    </row>
    <row r="11314" spans="1:7" ht="14.25" customHeight="1" x14ac:dyDescent="0.45">
      <c r="A11314" t="str">
        <f>_xlfn.XLOOKUP(B11314,Ingot!$H$12:$H$119,Ingot!$G$12:$G$119,"")</f>
        <v>Glass</v>
      </c>
      <c r="B11314" t="s">
        <v>22723</v>
      </c>
      <c r="C11314" t="s">
        <v>10</v>
      </c>
      <c r="D11314" t="s">
        <v>22738</v>
      </c>
      <c r="E11314" t="s">
        <v>22739</v>
      </c>
    </row>
    <row r="11315" spans="1:7" ht="14.25" customHeight="1" x14ac:dyDescent="0.45">
      <c r="A11315" t="str">
        <f>_xlfn.XLOOKUP(B11315,Ingot!$H$12:$H$119,Ingot!$G$12:$G$119,"")</f>
        <v>Glass</v>
      </c>
      <c r="B11315" t="s">
        <v>22723</v>
      </c>
      <c r="C11315" t="s">
        <v>10</v>
      </c>
      <c r="D11315" t="s">
        <v>22740</v>
      </c>
      <c r="E11315" t="s">
        <v>22741</v>
      </c>
      <c r="G11315" s="1">
        <v>0.05</v>
      </c>
    </row>
    <row r="11316" spans="1:7" ht="14.25" customHeight="1" x14ac:dyDescent="0.45">
      <c r="A11316" t="str">
        <f>_xlfn.XLOOKUP(B11316,Ingot!$H$12:$H$119,Ingot!$G$12:$G$119,"")</f>
        <v>Glass</v>
      </c>
      <c r="B11316" t="s">
        <v>22723</v>
      </c>
      <c r="C11316" t="s">
        <v>10</v>
      </c>
      <c r="D11316" t="s">
        <v>22742</v>
      </c>
      <c r="E11316" t="s">
        <v>22743</v>
      </c>
      <c r="G11316" s="1">
        <v>0.66</v>
      </c>
    </row>
    <row r="11317" spans="1:7" ht="14.25" customHeight="1" x14ac:dyDescent="0.45">
      <c r="A11317" t="str">
        <f>_xlfn.XLOOKUP(B11317,Ingot!$H$12:$H$119,Ingot!$G$12:$G$119,"")</f>
        <v>Glass</v>
      </c>
      <c r="B11317" t="s">
        <v>22723</v>
      </c>
      <c r="C11317" t="s">
        <v>10</v>
      </c>
      <c r="D11317" t="s">
        <v>22744</v>
      </c>
      <c r="E11317" t="s">
        <v>22745</v>
      </c>
      <c r="G11317" s="1">
        <v>3.96</v>
      </c>
    </row>
    <row r="11318" spans="1:7" ht="14.25" customHeight="1" x14ac:dyDescent="0.45">
      <c r="A11318" t="str">
        <f>_xlfn.XLOOKUP(B11318,Ingot!$H$12:$H$119,Ingot!$G$12:$G$119,"")</f>
        <v>Glass</v>
      </c>
      <c r="B11318" t="s">
        <v>22723</v>
      </c>
      <c r="C11318" t="s">
        <v>10</v>
      </c>
      <c r="D11318" t="s">
        <v>22746</v>
      </c>
      <c r="E11318" t="s">
        <v>22747</v>
      </c>
      <c r="G11318" s="1">
        <v>8.77</v>
      </c>
    </row>
    <row r="11319" spans="1:7" ht="14.25" customHeight="1" x14ac:dyDescent="0.45">
      <c r="A11319" t="str">
        <f>_xlfn.XLOOKUP(B11319,Ingot!$H$12:$H$119,Ingot!$G$12:$G$119,"")</f>
        <v>Glass</v>
      </c>
      <c r="B11319" t="s">
        <v>22723</v>
      </c>
      <c r="C11319" t="s">
        <v>10</v>
      </c>
      <c r="D11319" t="s">
        <v>22748</v>
      </c>
      <c r="E11319" t="s">
        <v>22749</v>
      </c>
      <c r="G11319" s="1">
        <v>3.5</v>
      </c>
    </row>
    <row r="11320" spans="1:7" ht="14.25" customHeight="1" x14ac:dyDescent="0.45">
      <c r="A11320" t="str">
        <f>_xlfn.XLOOKUP(B11320,Ingot!$H$12:$H$119,Ingot!$G$12:$G$119,"")</f>
        <v>Glass</v>
      </c>
      <c r="B11320" t="s">
        <v>22723</v>
      </c>
      <c r="C11320" t="s">
        <v>10</v>
      </c>
      <c r="D11320" t="s">
        <v>22750</v>
      </c>
      <c r="E11320" t="s">
        <v>22751</v>
      </c>
    </row>
    <row r="11321" spans="1:7" ht="14.25" customHeight="1" x14ac:dyDescent="0.45">
      <c r="A11321" t="str">
        <f>_xlfn.XLOOKUP(B11321,Ingot!$H$12:$H$119,Ingot!$G$12:$G$119,"")</f>
        <v>Glass</v>
      </c>
      <c r="B11321" t="s">
        <v>22723</v>
      </c>
      <c r="C11321" t="s">
        <v>10</v>
      </c>
      <c r="D11321" t="s">
        <v>22752</v>
      </c>
      <c r="E11321" t="s">
        <v>22753</v>
      </c>
      <c r="G11321" s="1">
        <v>2.2000000000000002</v>
      </c>
    </row>
    <row r="11322" spans="1:7" ht="14.25" customHeight="1" x14ac:dyDescent="0.45">
      <c r="A11322" t="str">
        <f>_xlfn.XLOOKUP(B11322,Ingot!$H$12:$H$119,Ingot!$G$12:$G$119,"")</f>
        <v>Glass</v>
      </c>
      <c r="B11322" t="s">
        <v>22723</v>
      </c>
      <c r="C11322" t="s">
        <v>10</v>
      </c>
      <c r="D11322" t="s">
        <v>22754</v>
      </c>
      <c r="E11322" t="s">
        <v>22755</v>
      </c>
      <c r="G11322" s="1">
        <v>1.1000000000000001</v>
      </c>
    </row>
    <row r="11323" spans="1:7" ht="14.25" customHeight="1" x14ac:dyDescent="0.45">
      <c r="A11323" t="str">
        <f>_xlfn.XLOOKUP(B11323,Ingot!$H$12:$H$119,Ingot!$G$12:$G$119,"")</f>
        <v>Glass</v>
      </c>
      <c r="B11323" t="s">
        <v>22723</v>
      </c>
      <c r="C11323" t="s">
        <v>10</v>
      </c>
      <c r="D11323" t="s">
        <v>22756</v>
      </c>
      <c r="E11323" t="s">
        <v>22757</v>
      </c>
      <c r="G11323" s="1">
        <v>0.22</v>
      </c>
    </row>
    <row r="11324" spans="1:7" ht="14.25" customHeight="1" x14ac:dyDescent="0.45">
      <c r="A11324" t="str">
        <f>_xlfn.XLOOKUP(B11324,Ingot!$H$12:$H$119,Ingot!$G$12:$G$119,"")</f>
        <v>Glass</v>
      </c>
      <c r="B11324" t="s">
        <v>22723</v>
      </c>
      <c r="C11324" t="s">
        <v>10</v>
      </c>
      <c r="D11324" t="s">
        <v>22758</v>
      </c>
      <c r="E11324" t="s">
        <v>22759</v>
      </c>
      <c r="G11324" s="1">
        <v>8.41</v>
      </c>
    </row>
    <row r="11325" spans="1:7" ht="14.25" customHeight="1" x14ac:dyDescent="0.45">
      <c r="A11325" t="str">
        <f>_xlfn.XLOOKUP(B11325,Ingot!$H$12:$H$119,Ingot!$G$12:$G$119,"")</f>
        <v>Glass</v>
      </c>
      <c r="B11325" t="s">
        <v>22723</v>
      </c>
      <c r="C11325" t="s">
        <v>10</v>
      </c>
      <c r="D11325" t="s">
        <v>22760</v>
      </c>
      <c r="E11325" t="s">
        <v>22761</v>
      </c>
      <c r="G11325" s="1">
        <v>3.64</v>
      </c>
    </row>
    <row r="11326" spans="1:7" ht="14.25" customHeight="1" x14ac:dyDescent="0.45">
      <c r="A11326" t="str">
        <f>_xlfn.XLOOKUP(B11326,Ingot!$H$12:$H$119,Ingot!$G$12:$G$119,"")</f>
        <v>Glass</v>
      </c>
      <c r="B11326" t="s">
        <v>22723</v>
      </c>
      <c r="C11326" t="s">
        <v>10</v>
      </c>
      <c r="D11326" t="s">
        <v>22762</v>
      </c>
      <c r="E11326" t="s">
        <v>22763</v>
      </c>
      <c r="G11326" s="1">
        <v>7.05</v>
      </c>
    </row>
    <row r="11327" spans="1:7" ht="14.25" customHeight="1" x14ac:dyDescent="0.45">
      <c r="A11327" t="str">
        <f>_xlfn.XLOOKUP(B11327,Ingot!$H$12:$H$119,Ingot!$G$12:$G$119,"")</f>
        <v>Glass</v>
      </c>
      <c r="B11327" t="s">
        <v>22723</v>
      </c>
      <c r="C11327" t="s">
        <v>10</v>
      </c>
      <c r="D11327" t="s">
        <v>22764</v>
      </c>
      <c r="E11327" t="s">
        <v>22765</v>
      </c>
      <c r="G11327" s="1">
        <v>2.65</v>
      </c>
    </row>
    <row r="11328" spans="1:7" ht="14.25" customHeight="1" x14ac:dyDescent="0.45">
      <c r="A11328" t="str">
        <f>_xlfn.XLOOKUP(B11328,Ingot!$H$12:$H$119,Ingot!$G$12:$G$119,"")</f>
        <v>Glass</v>
      </c>
      <c r="B11328" t="s">
        <v>22723</v>
      </c>
      <c r="C11328" t="s">
        <v>10</v>
      </c>
      <c r="D11328" t="s">
        <v>22766</v>
      </c>
      <c r="E11328" t="s">
        <v>22767</v>
      </c>
      <c r="G11328" s="1">
        <v>9</v>
      </c>
    </row>
    <row r="11329" spans="1:7" ht="14.25" customHeight="1" x14ac:dyDescent="0.45">
      <c r="A11329" t="str">
        <f>_xlfn.XLOOKUP(B11329,Ingot!$H$12:$H$119,Ingot!$G$12:$G$119,"")</f>
        <v>Glass</v>
      </c>
      <c r="B11329" t="s">
        <v>22723</v>
      </c>
      <c r="C11329" t="s">
        <v>10</v>
      </c>
      <c r="D11329" t="s">
        <v>22768</v>
      </c>
      <c r="E11329" t="s">
        <v>22769</v>
      </c>
      <c r="G11329" s="1">
        <v>10.23</v>
      </c>
    </row>
    <row r="11330" spans="1:7" ht="14.25" customHeight="1" x14ac:dyDescent="0.45">
      <c r="A11330" t="str">
        <f>_xlfn.XLOOKUP(B11330,Ingot!$H$12:$H$119,Ingot!$G$12:$G$119,"")</f>
        <v>Glass</v>
      </c>
      <c r="B11330" t="s">
        <v>22723</v>
      </c>
      <c r="C11330" t="s">
        <v>10</v>
      </c>
      <c r="D11330" t="s">
        <v>22770</v>
      </c>
      <c r="E11330" t="s">
        <v>22771</v>
      </c>
      <c r="G11330" s="1">
        <v>7.7</v>
      </c>
    </row>
    <row r="11331" spans="1:7" ht="14.25" customHeight="1" x14ac:dyDescent="0.45">
      <c r="A11331" t="str">
        <f>_xlfn.XLOOKUP(B11331,Ingot!$H$12:$H$119,Ingot!$G$12:$G$119,"")</f>
        <v>Glass</v>
      </c>
      <c r="B11331" t="s">
        <v>22723</v>
      </c>
      <c r="C11331" t="s">
        <v>10</v>
      </c>
      <c r="D11331" t="s">
        <v>22772</v>
      </c>
      <c r="E11331" t="s">
        <v>22773</v>
      </c>
      <c r="G11331" s="1">
        <v>10.02</v>
      </c>
    </row>
    <row r="11332" spans="1:7" ht="14.25" customHeight="1" x14ac:dyDescent="0.45">
      <c r="A11332" t="str">
        <f>_xlfn.XLOOKUP(B11332,Ingot!$H$12:$H$119,Ingot!$G$12:$G$119,"")</f>
        <v>Glass</v>
      </c>
      <c r="B11332" t="s">
        <v>22723</v>
      </c>
      <c r="C11332" t="s">
        <v>10</v>
      </c>
      <c r="D11332" t="s">
        <v>22774</v>
      </c>
      <c r="E11332" t="s">
        <v>22775</v>
      </c>
      <c r="G11332" s="1">
        <v>11.81</v>
      </c>
    </row>
    <row r="11333" spans="1:7" ht="14.25" customHeight="1" x14ac:dyDescent="0.45">
      <c r="A11333" t="str">
        <f>_xlfn.XLOOKUP(B11333,Ingot!$H$12:$H$119,Ingot!$G$12:$G$119,"")</f>
        <v>Glass</v>
      </c>
      <c r="B11333" t="s">
        <v>22723</v>
      </c>
      <c r="C11333" t="s">
        <v>10</v>
      </c>
      <c r="D11333" t="s">
        <v>22776</v>
      </c>
      <c r="E11333" t="s">
        <v>22777</v>
      </c>
      <c r="G11333" s="1">
        <v>8.44</v>
      </c>
    </row>
    <row r="11334" spans="1:7" ht="14.25" customHeight="1" x14ac:dyDescent="0.45">
      <c r="A11334" t="str">
        <f>_xlfn.XLOOKUP(B11334,Ingot!$H$12:$H$119,Ingot!$G$12:$G$119,"")</f>
        <v>Glass</v>
      </c>
      <c r="B11334" t="s">
        <v>22723</v>
      </c>
      <c r="C11334" t="s">
        <v>10</v>
      </c>
      <c r="D11334" t="s">
        <v>22778</v>
      </c>
      <c r="E11334" t="s">
        <v>22779</v>
      </c>
      <c r="G11334" s="1">
        <v>10.42</v>
      </c>
    </row>
    <row r="11335" spans="1:7" ht="14.25" customHeight="1" x14ac:dyDescent="0.45">
      <c r="A11335" t="str">
        <f>_xlfn.XLOOKUP(B11335,Ingot!$H$12:$H$119,Ingot!$G$12:$G$119,"")</f>
        <v>Glass</v>
      </c>
      <c r="B11335" t="s">
        <v>22723</v>
      </c>
      <c r="C11335" t="s">
        <v>10</v>
      </c>
      <c r="D11335" t="s">
        <v>22780</v>
      </c>
      <c r="E11335" t="s">
        <v>22781</v>
      </c>
    </row>
    <row r="11336" spans="1:7" ht="14.25" customHeight="1" x14ac:dyDescent="0.45">
      <c r="A11336" t="str">
        <f>_xlfn.XLOOKUP(B11336,Ingot!$H$12:$H$119,Ingot!$G$12:$G$119,"")</f>
        <v>Glass</v>
      </c>
      <c r="B11336" t="s">
        <v>22723</v>
      </c>
      <c r="C11336" t="s">
        <v>10</v>
      </c>
      <c r="D11336" t="s">
        <v>22782</v>
      </c>
      <c r="E11336" t="s">
        <v>22783</v>
      </c>
      <c r="G11336" s="1">
        <v>7.96</v>
      </c>
    </row>
    <row r="11337" spans="1:7" ht="14.25" customHeight="1" x14ac:dyDescent="0.45">
      <c r="A11337" t="str">
        <f>_xlfn.XLOOKUP(B11337,Ingot!$H$12:$H$119,Ingot!$G$12:$G$119,"")</f>
        <v>Glass</v>
      </c>
      <c r="B11337" t="s">
        <v>22723</v>
      </c>
      <c r="C11337" t="s">
        <v>10</v>
      </c>
      <c r="D11337" t="s">
        <v>22784</v>
      </c>
      <c r="E11337" t="s">
        <v>22785</v>
      </c>
      <c r="G11337" s="1">
        <v>9.64</v>
      </c>
    </row>
    <row r="11338" spans="1:7" ht="14.25" customHeight="1" x14ac:dyDescent="0.45">
      <c r="A11338" t="str">
        <f>_xlfn.XLOOKUP(B11338,Ingot!$H$12:$H$119,Ingot!$G$12:$G$119,"")</f>
        <v>Glass</v>
      </c>
      <c r="B11338" t="s">
        <v>22723</v>
      </c>
      <c r="C11338" t="s">
        <v>10</v>
      </c>
      <c r="D11338" t="s">
        <v>22786</v>
      </c>
      <c r="E11338" t="s">
        <v>22787</v>
      </c>
      <c r="G11338" s="1">
        <v>7.94</v>
      </c>
    </row>
    <row r="11339" spans="1:7" ht="14.25" customHeight="1" x14ac:dyDescent="0.45">
      <c r="A11339" t="str">
        <f>_xlfn.XLOOKUP(B11339,Ingot!$H$12:$H$119,Ingot!$G$12:$G$119,"")</f>
        <v>Glass</v>
      </c>
      <c r="B11339" t="s">
        <v>22723</v>
      </c>
      <c r="C11339" t="s">
        <v>10</v>
      </c>
      <c r="D11339" t="s">
        <v>22788</v>
      </c>
      <c r="E11339" t="s">
        <v>22789</v>
      </c>
      <c r="G11339" s="1">
        <v>8.66</v>
      </c>
    </row>
    <row r="11340" spans="1:7" ht="14.25" customHeight="1" x14ac:dyDescent="0.45">
      <c r="A11340" t="str">
        <f>_xlfn.XLOOKUP(B11340,Ingot!$H$12:$H$119,Ingot!$G$12:$G$119,"")</f>
        <v>Glass</v>
      </c>
      <c r="B11340" t="s">
        <v>22723</v>
      </c>
      <c r="C11340" t="s">
        <v>10</v>
      </c>
      <c r="D11340" t="s">
        <v>22790</v>
      </c>
      <c r="E11340" t="s">
        <v>22791</v>
      </c>
    </row>
    <row r="11341" spans="1:7" ht="14.25" customHeight="1" x14ac:dyDescent="0.45">
      <c r="A11341" t="str">
        <f>_xlfn.XLOOKUP(B11341,Ingot!$H$12:$H$119,Ingot!$G$12:$G$119,"")</f>
        <v>Glass</v>
      </c>
      <c r="B11341" t="s">
        <v>22723</v>
      </c>
      <c r="C11341" t="s">
        <v>10</v>
      </c>
      <c r="D11341" t="s">
        <v>22792</v>
      </c>
      <c r="E11341" t="s">
        <v>22793</v>
      </c>
      <c r="G11341" s="1">
        <v>2.65</v>
      </c>
    </row>
    <row r="11342" spans="1:7" ht="14.25" customHeight="1" x14ac:dyDescent="0.45">
      <c r="A11342" t="str">
        <f>_xlfn.XLOOKUP(B11342,Ingot!$H$12:$H$119,Ingot!$G$12:$G$119,"")</f>
        <v>Glass</v>
      </c>
      <c r="B11342" t="s">
        <v>22723</v>
      </c>
      <c r="C11342" t="s">
        <v>10</v>
      </c>
      <c r="D11342" t="s">
        <v>22794</v>
      </c>
      <c r="E11342" t="s">
        <v>22795</v>
      </c>
    </row>
    <row r="11343" spans="1:7" ht="14.25" customHeight="1" x14ac:dyDescent="0.45">
      <c r="A11343" t="str">
        <f>_xlfn.XLOOKUP(B11343,Ingot!$H$12:$H$119,Ingot!$G$12:$G$119,"")</f>
        <v>Glass</v>
      </c>
      <c r="B11343" t="s">
        <v>22723</v>
      </c>
      <c r="C11343" t="s">
        <v>10</v>
      </c>
      <c r="D11343" t="s">
        <v>22796</v>
      </c>
      <c r="E11343" t="s">
        <v>22797</v>
      </c>
      <c r="G11343" s="1">
        <v>12.64</v>
      </c>
    </row>
    <row r="11344" spans="1:7" ht="14.25" customHeight="1" x14ac:dyDescent="0.45">
      <c r="A11344" t="str">
        <f>_xlfn.XLOOKUP(B11344,Ingot!$H$12:$H$119,Ingot!$G$12:$G$119,"")</f>
        <v>Glass</v>
      </c>
      <c r="B11344" t="s">
        <v>22723</v>
      </c>
      <c r="C11344" t="s">
        <v>10</v>
      </c>
      <c r="D11344" t="s">
        <v>22798</v>
      </c>
      <c r="E11344" t="s">
        <v>22799</v>
      </c>
      <c r="G11344" s="1">
        <v>22.67</v>
      </c>
    </row>
    <row r="11345" spans="1:7" ht="14.25" customHeight="1" x14ac:dyDescent="0.45">
      <c r="A11345" t="str">
        <f>_xlfn.XLOOKUP(B11345,Ingot!$H$12:$H$119,Ingot!$G$12:$G$119,"")</f>
        <v>Glass</v>
      </c>
      <c r="B11345" t="s">
        <v>22723</v>
      </c>
      <c r="C11345" t="s">
        <v>10</v>
      </c>
      <c r="D11345" t="s">
        <v>22800</v>
      </c>
      <c r="E11345" t="s">
        <v>22801</v>
      </c>
      <c r="G11345" s="1">
        <v>8.3800000000000008</v>
      </c>
    </row>
    <row r="11346" spans="1:7" ht="14.25" customHeight="1" x14ac:dyDescent="0.45">
      <c r="A11346" t="str">
        <f>_xlfn.XLOOKUP(B11346,Ingot!$H$12:$H$119,Ingot!$G$12:$G$119,"")</f>
        <v>Glass</v>
      </c>
      <c r="B11346" t="s">
        <v>22723</v>
      </c>
      <c r="C11346" t="s">
        <v>10</v>
      </c>
      <c r="D11346" t="s">
        <v>22802</v>
      </c>
      <c r="E11346" t="s">
        <v>22803</v>
      </c>
      <c r="G11346" s="1">
        <v>2.2000000000000002</v>
      </c>
    </row>
    <row r="11347" spans="1:7" ht="14.25" customHeight="1" x14ac:dyDescent="0.45">
      <c r="A11347" t="str">
        <f>_xlfn.XLOOKUP(B11347,Ingot!$H$12:$H$119,Ingot!$G$12:$G$119,"")</f>
        <v>Glass</v>
      </c>
      <c r="B11347" t="s">
        <v>22723</v>
      </c>
      <c r="C11347" t="s">
        <v>10</v>
      </c>
      <c r="D11347" t="s">
        <v>22804</v>
      </c>
      <c r="E11347" t="s">
        <v>22805</v>
      </c>
      <c r="G11347" s="1">
        <v>3.09</v>
      </c>
    </row>
    <row r="11348" spans="1:7" ht="14.25" customHeight="1" x14ac:dyDescent="0.45">
      <c r="A11348" t="str">
        <f>_xlfn.XLOOKUP(B11348,Ingot!$H$12:$H$119,Ingot!$G$12:$G$119,"")</f>
        <v>Glass</v>
      </c>
      <c r="B11348" t="s">
        <v>22723</v>
      </c>
      <c r="C11348" t="s">
        <v>10</v>
      </c>
      <c r="D11348" t="s">
        <v>22806</v>
      </c>
      <c r="E11348" t="s">
        <v>22807</v>
      </c>
      <c r="G11348" s="1">
        <v>2.2999999999999998</v>
      </c>
    </row>
    <row r="11349" spans="1:7" ht="14.25" customHeight="1" x14ac:dyDescent="0.45">
      <c r="A11349" t="str">
        <f>_xlfn.XLOOKUP(B11349,Ingot!$H$12:$H$119,Ingot!$G$12:$G$119,"")</f>
        <v>Glass</v>
      </c>
      <c r="B11349" t="s">
        <v>22723</v>
      </c>
      <c r="C11349" t="s">
        <v>10</v>
      </c>
      <c r="D11349" t="s">
        <v>22808</v>
      </c>
      <c r="E11349" t="s">
        <v>22809</v>
      </c>
      <c r="G11349" s="1">
        <v>4.88</v>
      </c>
    </row>
    <row r="11350" spans="1:7" ht="14.25" customHeight="1" x14ac:dyDescent="0.45">
      <c r="A11350" t="str">
        <f>_xlfn.XLOOKUP(B11350,Ingot!$H$12:$H$119,Ingot!$G$12:$G$119,"")</f>
        <v>Glass</v>
      </c>
      <c r="B11350" t="s">
        <v>22723</v>
      </c>
      <c r="C11350" t="s">
        <v>10</v>
      </c>
      <c r="D11350" t="s">
        <v>22810</v>
      </c>
      <c r="E11350" t="s">
        <v>22811</v>
      </c>
      <c r="G11350" s="1">
        <v>8.43</v>
      </c>
    </row>
    <row r="11351" spans="1:7" ht="14.25" customHeight="1" x14ac:dyDescent="0.45">
      <c r="A11351" t="str">
        <f>_xlfn.XLOOKUP(B11351,Ingot!$H$12:$H$119,Ingot!$G$12:$G$119,"")</f>
        <v>Glass</v>
      </c>
      <c r="B11351" t="s">
        <v>22723</v>
      </c>
      <c r="C11351" t="s">
        <v>10</v>
      </c>
      <c r="D11351" t="s">
        <v>22812</v>
      </c>
      <c r="E11351" t="s">
        <v>22813</v>
      </c>
      <c r="G11351" s="1">
        <v>13.07</v>
      </c>
    </row>
    <row r="11352" spans="1:7" ht="14.25" customHeight="1" x14ac:dyDescent="0.45">
      <c r="A11352" t="str">
        <f>_xlfn.XLOOKUP(B11352,Ingot!$H$12:$H$119,Ingot!$G$12:$G$119,"")</f>
        <v>Glass</v>
      </c>
      <c r="B11352" t="s">
        <v>22723</v>
      </c>
      <c r="C11352" t="s">
        <v>10</v>
      </c>
      <c r="D11352" t="s">
        <v>22814</v>
      </c>
      <c r="E11352" t="s">
        <v>22815</v>
      </c>
    </row>
    <row r="11353" spans="1:7" ht="14.25" customHeight="1" x14ac:dyDescent="0.45">
      <c r="A11353" t="str">
        <f>_xlfn.XLOOKUP(B11353,Ingot!$H$12:$H$119,Ingot!$G$12:$G$119,"")</f>
        <v>Glass</v>
      </c>
      <c r="B11353" t="s">
        <v>22723</v>
      </c>
      <c r="C11353" t="s">
        <v>10</v>
      </c>
      <c r="D11353" t="s">
        <v>22816</v>
      </c>
      <c r="E11353" t="s">
        <v>22817</v>
      </c>
    </row>
    <row r="11354" spans="1:7" ht="14.25" customHeight="1" x14ac:dyDescent="0.45">
      <c r="A11354" t="str">
        <f>_xlfn.XLOOKUP(B11354,Ingot!$H$12:$H$119,Ingot!$G$12:$G$119,"")</f>
        <v>Glass</v>
      </c>
      <c r="B11354" t="s">
        <v>22723</v>
      </c>
      <c r="C11354" t="s">
        <v>10</v>
      </c>
      <c r="D11354" t="s">
        <v>22818</v>
      </c>
      <c r="E11354" t="s">
        <v>22819</v>
      </c>
      <c r="G11354" s="1">
        <v>6.8</v>
      </c>
    </row>
    <row r="11355" spans="1:7" ht="14.25" customHeight="1" x14ac:dyDescent="0.45">
      <c r="A11355" t="str">
        <f>_xlfn.XLOOKUP(B11355,Ingot!$H$12:$H$119,Ingot!$G$12:$G$119,"")</f>
        <v>Glass</v>
      </c>
      <c r="B11355" t="s">
        <v>22723</v>
      </c>
      <c r="C11355" t="s">
        <v>10</v>
      </c>
      <c r="D11355" t="s">
        <v>22820</v>
      </c>
      <c r="E11355" t="s">
        <v>22821</v>
      </c>
      <c r="G11355" s="1">
        <v>6.88</v>
      </c>
    </row>
    <row r="11356" spans="1:7" ht="14.25" customHeight="1" x14ac:dyDescent="0.45">
      <c r="A11356" t="str">
        <f>_xlfn.XLOOKUP(B11356,Ingot!$H$12:$H$119,Ingot!$G$12:$G$119,"")</f>
        <v>Glass</v>
      </c>
      <c r="B11356" t="s">
        <v>22723</v>
      </c>
      <c r="C11356" t="s">
        <v>10</v>
      </c>
      <c r="D11356" t="s">
        <v>22822</v>
      </c>
      <c r="E11356" t="s">
        <v>22823</v>
      </c>
      <c r="G11356" s="1">
        <v>5.5</v>
      </c>
    </row>
    <row r="11357" spans="1:7" ht="14.25" customHeight="1" x14ac:dyDescent="0.45">
      <c r="A11357" t="str">
        <f>_xlfn.XLOOKUP(B11357,Ingot!$H$12:$H$119,Ingot!$G$12:$G$119,"")</f>
        <v>Glass</v>
      </c>
      <c r="B11357" t="s">
        <v>22723</v>
      </c>
      <c r="C11357" t="s">
        <v>10</v>
      </c>
      <c r="D11357" t="s">
        <v>22824</v>
      </c>
      <c r="E11357" t="s">
        <v>22825</v>
      </c>
      <c r="G11357" s="1">
        <v>2.4300000000000002</v>
      </c>
    </row>
    <row r="11358" spans="1:7" ht="14.25" customHeight="1" x14ac:dyDescent="0.45">
      <c r="A11358" t="str">
        <f>_xlfn.XLOOKUP(B11358,Ingot!$H$12:$H$119,Ingot!$G$12:$G$119,"")</f>
        <v>Glass</v>
      </c>
      <c r="B11358" t="s">
        <v>22723</v>
      </c>
      <c r="C11358" t="s">
        <v>10</v>
      </c>
      <c r="D11358" t="s">
        <v>22826</v>
      </c>
      <c r="E11358" t="s">
        <v>22827</v>
      </c>
      <c r="G11358" s="1">
        <v>6.96</v>
      </c>
    </row>
    <row r="11359" spans="1:7" ht="14.25" customHeight="1" x14ac:dyDescent="0.45">
      <c r="A11359" t="str">
        <f>_xlfn.XLOOKUP(B11359,Ingot!$H$12:$H$119,Ingot!$G$12:$G$119,"")</f>
        <v>Glass</v>
      </c>
      <c r="B11359" t="s">
        <v>22723</v>
      </c>
      <c r="C11359" t="s">
        <v>10</v>
      </c>
      <c r="D11359" t="s">
        <v>22828</v>
      </c>
      <c r="E11359" t="s">
        <v>22829</v>
      </c>
      <c r="G11359" s="1">
        <v>6.32</v>
      </c>
    </row>
    <row r="11360" spans="1:7" ht="14.25" customHeight="1" x14ac:dyDescent="0.45">
      <c r="A11360" t="str">
        <f>_xlfn.XLOOKUP(B11360,Ingot!$H$12:$H$119,Ingot!$G$12:$G$119,"")</f>
        <v>Glass</v>
      </c>
      <c r="B11360" t="s">
        <v>22723</v>
      </c>
      <c r="C11360" t="s">
        <v>10</v>
      </c>
      <c r="D11360" t="s">
        <v>22830</v>
      </c>
      <c r="E11360" t="s">
        <v>22831</v>
      </c>
      <c r="G11360" s="1">
        <v>6.88</v>
      </c>
    </row>
    <row r="11361" spans="1:7" ht="14.25" customHeight="1" x14ac:dyDescent="0.45">
      <c r="A11361" t="str">
        <f>_xlfn.XLOOKUP(B11361,Ingot!$H$12:$H$119,Ingot!$G$12:$G$119,"")</f>
        <v>Glass</v>
      </c>
      <c r="B11361" t="s">
        <v>22723</v>
      </c>
      <c r="C11361" t="s">
        <v>10</v>
      </c>
      <c r="D11361" t="s">
        <v>22832</v>
      </c>
      <c r="E11361" t="s">
        <v>22833</v>
      </c>
      <c r="G11361" s="1">
        <v>2.44</v>
      </c>
    </row>
    <row r="11362" spans="1:7" ht="14.25" customHeight="1" x14ac:dyDescent="0.45">
      <c r="A11362" t="str">
        <f>_xlfn.XLOOKUP(B11362,Ingot!$H$12:$H$119,Ingot!$G$12:$G$119,"")</f>
        <v>Glass</v>
      </c>
      <c r="B11362" t="s">
        <v>22723</v>
      </c>
      <c r="C11362" t="s">
        <v>10</v>
      </c>
      <c r="D11362" t="s">
        <v>22834</v>
      </c>
      <c r="E11362" t="s">
        <v>22835</v>
      </c>
    </row>
    <row r="11363" spans="1:7" ht="14.25" customHeight="1" x14ac:dyDescent="0.45">
      <c r="A11363" t="str">
        <f>_xlfn.XLOOKUP(B11363,Ingot!$H$12:$H$119,Ingot!$G$12:$G$119,"")</f>
        <v>Glass</v>
      </c>
      <c r="B11363" t="s">
        <v>22723</v>
      </c>
      <c r="C11363" t="s">
        <v>10</v>
      </c>
      <c r="D11363" t="s">
        <v>22836</v>
      </c>
      <c r="E11363" t="s">
        <v>22837</v>
      </c>
    </row>
    <row r="11364" spans="1:7" ht="14.25" customHeight="1" x14ac:dyDescent="0.45">
      <c r="A11364" t="str">
        <f>_xlfn.XLOOKUP(B11364,Ingot!$H$12:$H$119,Ingot!$G$12:$G$119,"")</f>
        <v>Glass</v>
      </c>
      <c r="B11364" t="s">
        <v>22723</v>
      </c>
      <c r="C11364" t="s">
        <v>10</v>
      </c>
      <c r="D11364" t="s">
        <v>22838</v>
      </c>
      <c r="E11364" t="s">
        <v>22839</v>
      </c>
      <c r="G11364" s="1">
        <v>3.11</v>
      </c>
    </row>
    <row r="11365" spans="1:7" ht="14.25" customHeight="1" x14ac:dyDescent="0.45">
      <c r="A11365" t="str">
        <f>_xlfn.XLOOKUP(B11365,Ingot!$H$12:$H$119,Ingot!$G$12:$G$119,"")</f>
        <v>Glass</v>
      </c>
      <c r="B11365" t="s">
        <v>22723</v>
      </c>
      <c r="C11365" t="s">
        <v>10</v>
      </c>
      <c r="D11365" t="s">
        <v>22840</v>
      </c>
      <c r="E11365" t="s">
        <v>22841</v>
      </c>
      <c r="G11365" s="1">
        <v>2.44</v>
      </c>
    </row>
    <row r="11366" spans="1:7" ht="14.25" customHeight="1" x14ac:dyDescent="0.45">
      <c r="A11366" t="str">
        <f>_xlfn.XLOOKUP(B11366,Ingot!$H$12:$H$119,Ingot!$G$12:$G$119,"")</f>
        <v>Glass</v>
      </c>
      <c r="B11366" t="s">
        <v>22723</v>
      </c>
      <c r="C11366" t="s">
        <v>10</v>
      </c>
      <c r="D11366" t="s">
        <v>22842</v>
      </c>
      <c r="E11366" t="s">
        <v>22843</v>
      </c>
      <c r="G11366" s="1">
        <v>8.61</v>
      </c>
    </row>
    <row r="11367" spans="1:7" ht="14.25" customHeight="1" x14ac:dyDescent="0.45">
      <c r="A11367" t="str">
        <f>_xlfn.XLOOKUP(B11367,Ingot!$H$12:$H$119,Ingot!$G$12:$G$119,"")</f>
        <v>Glass</v>
      </c>
      <c r="B11367" t="s">
        <v>22723</v>
      </c>
      <c r="C11367" t="s">
        <v>10</v>
      </c>
      <c r="D11367" t="s">
        <v>22844</v>
      </c>
      <c r="E11367" t="s">
        <v>22845</v>
      </c>
    </row>
    <row r="11368" spans="1:7" ht="14.25" customHeight="1" x14ac:dyDescent="0.45">
      <c r="A11368" t="str">
        <f>_xlfn.XLOOKUP(B11368,Ingot!$H$12:$H$119,Ingot!$G$12:$G$119,"")</f>
        <v>Glass</v>
      </c>
      <c r="B11368" t="s">
        <v>22723</v>
      </c>
      <c r="C11368" t="s">
        <v>10</v>
      </c>
      <c r="D11368" t="s">
        <v>22846</v>
      </c>
      <c r="E11368" t="s">
        <v>22847</v>
      </c>
      <c r="G11368" s="1">
        <v>3.21</v>
      </c>
    </row>
    <row r="11369" spans="1:7" ht="14.25" customHeight="1" x14ac:dyDescent="0.45">
      <c r="A11369" t="str">
        <f>_xlfn.XLOOKUP(B11369,Ingot!$H$12:$H$119,Ingot!$G$12:$G$119,"")</f>
        <v>Glass</v>
      </c>
      <c r="B11369" t="s">
        <v>22723</v>
      </c>
      <c r="C11369" t="s">
        <v>10</v>
      </c>
      <c r="D11369" t="s">
        <v>22848</v>
      </c>
      <c r="E11369" t="s">
        <v>22849</v>
      </c>
      <c r="G11369" s="1">
        <v>2.77</v>
      </c>
    </row>
    <row r="11370" spans="1:7" ht="14.25" customHeight="1" x14ac:dyDescent="0.45">
      <c r="A11370" t="str">
        <f>_xlfn.XLOOKUP(B11370,Ingot!$H$12:$H$119,Ingot!$G$12:$G$119,"")</f>
        <v>Glass</v>
      </c>
      <c r="B11370" t="s">
        <v>22723</v>
      </c>
      <c r="C11370" t="s">
        <v>10</v>
      </c>
      <c r="D11370" t="s">
        <v>22850</v>
      </c>
      <c r="E11370" t="s">
        <v>22851</v>
      </c>
      <c r="G11370" s="1">
        <v>4.8899999999999997</v>
      </c>
    </row>
    <row r="11371" spans="1:7" ht="14.25" customHeight="1" x14ac:dyDescent="0.45">
      <c r="A11371" t="str">
        <f>_xlfn.XLOOKUP(B11371,Ingot!$H$12:$H$119,Ingot!$G$12:$G$119,"")</f>
        <v>Glass</v>
      </c>
      <c r="B11371" t="s">
        <v>22723</v>
      </c>
      <c r="C11371" t="s">
        <v>10</v>
      </c>
      <c r="D11371" t="s">
        <v>22852</v>
      </c>
      <c r="E11371" t="s">
        <v>22853</v>
      </c>
      <c r="G11371" s="1">
        <v>1.76</v>
      </c>
    </row>
    <row r="11372" spans="1:7" ht="14.25" customHeight="1" x14ac:dyDescent="0.45">
      <c r="A11372" t="str">
        <f>_xlfn.XLOOKUP(B11372,Ingot!$H$12:$H$119,Ingot!$G$12:$G$119,"")</f>
        <v>Glass</v>
      </c>
      <c r="B11372" t="s">
        <v>22723</v>
      </c>
      <c r="C11372" t="s">
        <v>10</v>
      </c>
      <c r="D11372" t="s">
        <v>22854</v>
      </c>
      <c r="E11372" t="s">
        <v>22855</v>
      </c>
    </row>
    <row r="11373" spans="1:7" ht="14.25" customHeight="1" x14ac:dyDescent="0.45">
      <c r="A11373" t="str">
        <f>_xlfn.XLOOKUP(B11373,Ingot!$H$12:$H$119,Ingot!$G$12:$G$119,"")</f>
        <v>Glass</v>
      </c>
      <c r="B11373" t="s">
        <v>22723</v>
      </c>
      <c r="C11373" t="s">
        <v>10</v>
      </c>
      <c r="D11373" t="s">
        <v>22856</v>
      </c>
      <c r="E11373" t="s">
        <v>22857</v>
      </c>
      <c r="G11373" s="1">
        <v>8.57</v>
      </c>
    </row>
    <row r="11374" spans="1:7" ht="14.25" customHeight="1" x14ac:dyDescent="0.45">
      <c r="A11374" t="str">
        <f>_xlfn.XLOOKUP(B11374,Ingot!$H$12:$H$119,Ingot!$G$12:$G$119,"")</f>
        <v>Glass</v>
      </c>
      <c r="B11374" t="s">
        <v>22723</v>
      </c>
      <c r="C11374" t="s">
        <v>10</v>
      </c>
      <c r="D11374" t="s">
        <v>22858</v>
      </c>
      <c r="E11374" t="s">
        <v>22859</v>
      </c>
    </row>
    <row r="11375" spans="1:7" ht="14.25" customHeight="1" x14ac:dyDescent="0.45">
      <c r="A11375" t="str">
        <f>_xlfn.XLOOKUP(B11375,Ingot!$H$12:$H$119,Ingot!$G$12:$G$119,"")</f>
        <v>Glass</v>
      </c>
      <c r="B11375" t="s">
        <v>22723</v>
      </c>
      <c r="C11375" t="s">
        <v>10</v>
      </c>
      <c r="D11375" t="s">
        <v>22860</v>
      </c>
      <c r="E11375" t="s">
        <v>22861</v>
      </c>
      <c r="G11375" s="1">
        <v>3.56</v>
      </c>
    </row>
    <row r="11376" spans="1:7" ht="14.25" customHeight="1" x14ac:dyDescent="0.45">
      <c r="A11376" t="str">
        <f>_xlfn.XLOOKUP(B11376,Ingot!$H$12:$H$119,Ingot!$G$12:$G$119,"")</f>
        <v>Glass</v>
      </c>
      <c r="B11376" t="s">
        <v>22723</v>
      </c>
      <c r="C11376" t="s">
        <v>10</v>
      </c>
      <c r="D11376" t="s">
        <v>22862</v>
      </c>
      <c r="E11376" t="s">
        <v>22863</v>
      </c>
      <c r="G11376" s="1">
        <v>8.91</v>
      </c>
    </row>
    <row r="11377" spans="1:7" ht="14.25" customHeight="1" x14ac:dyDescent="0.45">
      <c r="A11377" t="str">
        <f>_xlfn.XLOOKUP(B11377,Ingot!$H$12:$H$119,Ingot!$G$12:$G$119,"")</f>
        <v>Glass</v>
      </c>
      <c r="B11377" t="s">
        <v>22723</v>
      </c>
      <c r="C11377" t="s">
        <v>10</v>
      </c>
      <c r="D11377" t="s">
        <v>22864</v>
      </c>
      <c r="E11377" t="s">
        <v>22865</v>
      </c>
      <c r="G11377" s="1">
        <v>11.02</v>
      </c>
    </row>
    <row r="11378" spans="1:7" ht="14.25" customHeight="1" x14ac:dyDescent="0.45">
      <c r="A11378" t="str">
        <f>_xlfn.XLOOKUP(B11378,Ingot!$H$12:$H$119,Ingot!$G$12:$G$119,"")</f>
        <v>Glass</v>
      </c>
      <c r="B11378" t="s">
        <v>22723</v>
      </c>
      <c r="C11378" t="s">
        <v>10</v>
      </c>
      <c r="D11378" t="s">
        <v>22866</v>
      </c>
      <c r="E11378" t="s">
        <v>22867</v>
      </c>
      <c r="G11378" s="1">
        <v>5.12</v>
      </c>
    </row>
    <row r="11379" spans="1:7" ht="14.25" customHeight="1" x14ac:dyDescent="0.45">
      <c r="A11379" t="str">
        <f>_xlfn.XLOOKUP(B11379,Ingot!$H$12:$H$119,Ingot!$G$12:$G$119,"")</f>
        <v>Glass</v>
      </c>
      <c r="B11379" t="s">
        <v>22723</v>
      </c>
      <c r="C11379" t="s">
        <v>10</v>
      </c>
      <c r="D11379" t="s">
        <v>22868</v>
      </c>
      <c r="E11379" t="s">
        <v>22869</v>
      </c>
      <c r="G11379" s="1">
        <v>4.41</v>
      </c>
    </row>
    <row r="11380" spans="1:7" ht="14.25" customHeight="1" x14ac:dyDescent="0.45">
      <c r="A11380" t="str">
        <f>_xlfn.XLOOKUP(B11380,Ingot!$H$12:$H$119,Ingot!$G$12:$G$119,"")</f>
        <v>Glass</v>
      </c>
      <c r="B11380" t="s">
        <v>22723</v>
      </c>
      <c r="C11380" t="s">
        <v>157</v>
      </c>
      <c r="D11380" t="s">
        <v>22870</v>
      </c>
      <c r="E11380" t="s">
        <v>22871</v>
      </c>
      <c r="G11380" s="1">
        <v>29.5</v>
      </c>
    </row>
    <row r="11381" spans="1:7" ht="14.25" customHeight="1" x14ac:dyDescent="0.45">
      <c r="A11381" t="str">
        <f>_xlfn.XLOOKUP(B11381,Ingot!$H$12:$H$119,Ingot!$G$12:$G$119,"")</f>
        <v>Glass</v>
      </c>
      <c r="B11381" t="s">
        <v>22723</v>
      </c>
      <c r="C11381" t="s">
        <v>157</v>
      </c>
      <c r="D11381" t="s">
        <v>22872</v>
      </c>
      <c r="E11381" t="s">
        <v>22873</v>
      </c>
      <c r="G11381" s="1">
        <v>5.9</v>
      </c>
    </row>
    <row r="11382" spans="1:7" ht="14.25" customHeight="1" x14ac:dyDescent="0.45">
      <c r="A11382" t="str">
        <f>_xlfn.XLOOKUP(B11382,Ingot!$H$12:$H$119,Ingot!$G$12:$G$119,"")</f>
        <v>Glass</v>
      </c>
      <c r="B11382" t="s">
        <v>22723</v>
      </c>
      <c r="C11382" t="s">
        <v>157</v>
      </c>
      <c r="D11382" t="s">
        <v>22874</v>
      </c>
      <c r="E11382" t="s">
        <v>22875</v>
      </c>
      <c r="G11382" s="1">
        <v>5.9</v>
      </c>
    </row>
    <row r="11383" spans="1:7" ht="14.25" customHeight="1" x14ac:dyDescent="0.45">
      <c r="A11383" t="str">
        <f>_xlfn.XLOOKUP(B11383,Ingot!$H$12:$H$119,Ingot!$G$12:$G$119,"")</f>
        <v>Glass</v>
      </c>
      <c r="B11383" t="s">
        <v>22723</v>
      </c>
      <c r="C11383" t="s">
        <v>157</v>
      </c>
      <c r="D11383" t="s">
        <v>22876</v>
      </c>
      <c r="E11383" t="s">
        <v>22877</v>
      </c>
      <c r="G11383" s="1">
        <v>5</v>
      </c>
    </row>
    <row r="11384" spans="1:7" ht="14.25" customHeight="1" x14ac:dyDescent="0.45">
      <c r="A11384" t="str">
        <f>_xlfn.XLOOKUP(B11384,Ingot!$H$12:$H$119,Ingot!$G$12:$G$119,"")</f>
        <v>Glass</v>
      </c>
      <c r="B11384" t="s">
        <v>22723</v>
      </c>
      <c r="C11384" t="s">
        <v>157</v>
      </c>
      <c r="D11384" t="s">
        <v>22878</v>
      </c>
      <c r="E11384" t="s">
        <v>22879</v>
      </c>
      <c r="G11384" s="1">
        <v>10</v>
      </c>
    </row>
    <row r="11385" spans="1:7" ht="14.25" customHeight="1" x14ac:dyDescent="0.45">
      <c r="A11385" t="str">
        <f>_xlfn.XLOOKUP(B11385,Ingot!$H$12:$H$119,Ingot!$G$12:$G$119,"")</f>
        <v>Glass</v>
      </c>
      <c r="B11385" t="s">
        <v>22723</v>
      </c>
      <c r="C11385" t="s">
        <v>157</v>
      </c>
      <c r="D11385" t="s">
        <v>22880</v>
      </c>
      <c r="E11385" t="s">
        <v>22881</v>
      </c>
      <c r="G11385" s="1">
        <v>25.5</v>
      </c>
    </row>
    <row r="11386" spans="1:7" ht="14.25" customHeight="1" x14ac:dyDescent="0.45">
      <c r="A11386" t="str">
        <f>_xlfn.XLOOKUP(B11386,Ingot!$H$12:$H$119,Ingot!$G$12:$G$119,"")</f>
        <v>Glass</v>
      </c>
      <c r="B11386" t="s">
        <v>22723</v>
      </c>
      <c r="C11386" t="s">
        <v>157</v>
      </c>
      <c r="D11386" t="s">
        <v>22882</v>
      </c>
      <c r="E11386" t="s">
        <v>22883</v>
      </c>
      <c r="G11386" s="1">
        <v>5.0999999999999996</v>
      </c>
    </row>
    <row r="11387" spans="1:7" ht="14.25" customHeight="1" x14ac:dyDescent="0.45">
      <c r="A11387" t="str">
        <f>_xlfn.XLOOKUP(B11387,Ingot!$H$12:$H$119,Ingot!$G$12:$G$119,"")</f>
        <v>Glass</v>
      </c>
      <c r="B11387" t="s">
        <v>22723</v>
      </c>
      <c r="C11387" t="s">
        <v>157</v>
      </c>
      <c r="D11387" t="s">
        <v>22884</v>
      </c>
      <c r="E11387" t="s">
        <v>22885</v>
      </c>
      <c r="G11387" s="1">
        <v>5.0999999999999996</v>
      </c>
    </row>
    <row r="11388" spans="1:7" ht="14.25" customHeight="1" x14ac:dyDescent="0.45">
      <c r="A11388" t="str">
        <f>_xlfn.XLOOKUP(B11388,Ingot!$H$12:$H$119,Ingot!$G$12:$G$119,"")</f>
        <v>Glass</v>
      </c>
      <c r="B11388" t="s">
        <v>22723</v>
      </c>
      <c r="C11388" t="s">
        <v>157</v>
      </c>
      <c r="D11388" t="s">
        <v>22886</v>
      </c>
      <c r="E11388" t="s">
        <v>22887</v>
      </c>
      <c r="G11388" s="1">
        <v>5</v>
      </c>
    </row>
    <row r="11389" spans="1:7" ht="14.25" customHeight="1" x14ac:dyDescent="0.45">
      <c r="A11389" t="str">
        <f>_xlfn.XLOOKUP(B11389,Ingot!$H$12:$H$119,Ingot!$G$12:$G$119,"")</f>
        <v>Glass</v>
      </c>
      <c r="B11389" t="s">
        <v>22723</v>
      </c>
      <c r="C11389" t="s">
        <v>157</v>
      </c>
      <c r="D11389" t="s">
        <v>22888</v>
      </c>
      <c r="E11389" t="s">
        <v>22889</v>
      </c>
      <c r="G11389" s="1">
        <v>10</v>
      </c>
    </row>
    <row r="11390" spans="1:7" ht="14.25" customHeight="1" x14ac:dyDescent="0.45">
      <c r="A11390" t="str">
        <f>_xlfn.XLOOKUP(B11390,Ingot!$H$12:$H$119,Ingot!$G$12:$G$119,"")</f>
        <v>Glass</v>
      </c>
      <c r="B11390" t="s">
        <v>22723</v>
      </c>
      <c r="C11390" t="s">
        <v>157</v>
      </c>
      <c r="D11390" t="s">
        <v>22890</v>
      </c>
      <c r="E11390" t="s">
        <v>22891</v>
      </c>
      <c r="G11390" s="1">
        <v>24.5</v>
      </c>
    </row>
    <row r="11391" spans="1:7" ht="14.25" customHeight="1" x14ac:dyDescent="0.45">
      <c r="A11391" t="str">
        <f>_xlfn.XLOOKUP(B11391,Ingot!$H$12:$H$119,Ingot!$G$12:$G$119,"")</f>
        <v>Glass</v>
      </c>
      <c r="B11391" t="s">
        <v>22723</v>
      </c>
      <c r="C11391" t="s">
        <v>157</v>
      </c>
      <c r="D11391" t="s">
        <v>22892</v>
      </c>
      <c r="E11391" t="s">
        <v>22893</v>
      </c>
      <c r="G11391" s="1">
        <v>5</v>
      </c>
    </row>
    <row r="11392" spans="1:7" ht="14.25" customHeight="1" x14ac:dyDescent="0.45">
      <c r="A11392" t="str">
        <f>_xlfn.XLOOKUP(B11392,Ingot!$H$12:$H$119,Ingot!$G$12:$G$119,"")</f>
        <v>Glass</v>
      </c>
      <c r="B11392" t="s">
        <v>22723</v>
      </c>
      <c r="C11392" t="s">
        <v>157</v>
      </c>
      <c r="D11392" t="s">
        <v>22894</v>
      </c>
      <c r="E11392" t="s">
        <v>22895</v>
      </c>
      <c r="G11392" s="1">
        <v>5</v>
      </c>
    </row>
    <row r="11393" spans="1:7" ht="14.25" customHeight="1" x14ac:dyDescent="0.45">
      <c r="A11393" t="str">
        <f>_xlfn.XLOOKUP(B11393,Ingot!$H$12:$H$119,Ingot!$G$12:$G$119,"")</f>
        <v>Glass</v>
      </c>
      <c r="B11393" t="s">
        <v>22723</v>
      </c>
      <c r="C11393" t="s">
        <v>157</v>
      </c>
      <c r="D11393" t="s">
        <v>22896</v>
      </c>
      <c r="E11393" t="s">
        <v>22897</v>
      </c>
      <c r="G11393" s="1">
        <v>5</v>
      </c>
    </row>
    <row r="11394" spans="1:7" ht="14.25" customHeight="1" x14ac:dyDescent="0.45">
      <c r="A11394" t="str">
        <f>_xlfn.XLOOKUP(B11394,Ingot!$H$12:$H$119,Ingot!$G$12:$G$119,"")</f>
        <v>Glass</v>
      </c>
      <c r="B11394" t="s">
        <v>22723</v>
      </c>
      <c r="C11394" t="s">
        <v>157</v>
      </c>
      <c r="D11394" t="s">
        <v>22898</v>
      </c>
      <c r="E11394" t="s">
        <v>22899</v>
      </c>
      <c r="G11394" s="1">
        <v>10</v>
      </c>
    </row>
    <row r="11395" spans="1:7" ht="14.25" customHeight="1" x14ac:dyDescent="0.45">
      <c r="A11395" t="str">
        <f>_xlfn.XLOOKUP(B11395,Ingot!$H$12:$H$119,Ingot!$G$12:$G$119,"")</f>
        <v>Glass</v>
      </c>
      <c r="B11395" t="s">
        <v>22723</v>
      </c>
      <c r="C11395" t="s">
        <v>157</v>
      </c>
      <c r="D11395" t="s">
        <v>22900</v>
      </c>
      <c r="E11395" t="s">
        <v>22901</v>
      </c>
      <c r="G11395" s="1">
        <v>26.5</v>
      </c>
    </row>
    <row r="11396" spans="1:7" ht="14.25" customHeight="1" x14ac:dyDescent="0.45">
      <c r="A11396" t="str">
        <f>_xlfn.XLOOKUP(B11396,Ingot!$H$12:$H$119,Ingot!$G$12:$G$119,"")</f>
        <v>Glass</v>
      </c>
      <c r="B11396" t="s">
        <v>22723</v>
      </c>
      <c r="C11396" t="s">
        <v>157</v>
      </c>
      <c r="D11396" t="s">
        <v>22902</v>
      </c>
      <c r="E11396" t="s">
        <v>22903</v>
      </c>
      <c r="G11396" s="1">
        <v>5.3</v>
      </c>
    </row>
    <row r="11397" spans="1:7" ht="14.25" customHeight="1" x14ac:dyDescent="0.45">
      <c r="A11397" t="str">
        <f>_xlfn.XLOOKUP(B11397,Ingot!$H$12:$H$119,Ingot!$G$12:$G$119,"")</f>
        <v>Glass</v>
      </c>
      <c r="B11397" t="s">
        <v>22723</v>
      </c>
      <c r="C11397" t="s">
        <v>157</v>
      </c>
      <c r="D11397" t="s">
        <v>22904</v>
      </c>
      <c r="E11397" t="s">
        <v>22905</v>
      </c>
      <c r="G11397" s="1">
        <v>5.3</v>
      </c>
    </row>
    <row r="11398" spans="1:7" ht="14.25" customHeight="1" x14ac:dyDescent="0.45">
      <c r="A11398" t="str">
        <f>_xlfn.XLOOKUP(B11398,Ingot!$H$12:$H$119,Ingot!$G$12:$G$119,"")</f>
        <v>Glass</v>
      </c>
      <c r="B11398" t="s">
        <v>22723</v>
      </c>
      <c r="C11398" t="s">
        <v>157</v>
      </c>
      <c r="D11398" t="s">
        <v>22906</v>
      </c>
      <c r="E11398" t="s">
        <v>22907</v>
      </c>
      <c r="G11398" s="1">
        <v>5</v>
      </c>
    </row>
    <row r="11399" spans="1:7" ht="14.25" customHeight="1" x14ac:dyDescent="0.45">
      <c r="A11399" t="str">
        <f>_xlfn.XLOOKUP(B11399,Ingot!$H$12:$H$119,Ingot!$G$12:$G$119,"")</f>
        <v>Glass</v>
      </c>
      <c r="B11399" t="s">
        <v>22723</v>
      </c>
      <c r="C11399" t="s">
        <v>157</v>
      </c>
      <c r="D11399" t="s">
        <v>22908</v>
      </c>
      <c r="E11399" t="s">
        <v>22909</v>
      </c>
      <c r="G11399" s="1">
        <v>10</v>
      </c>
    </row>
    <row r="11400" spans="1:7" ht="14.25" customHeight="1" x14ac:dyDescent="0.45">
      <c r="A11400" t="str">
        <f>_xlfn.XLOOKUP(B11400,Ingot!$H$12:$H$119,Ingot!$G$12:$G$119,"")</f>
        <v>Glass</v>
      </c>
      <c r="B11400" t="s">
        <v>22723</v>
      </c>
      <c r="C11400" t="s">
        <v>157</v>
      </c>
      <c r="D11400" t="s">
        <v>22910</v>
      </c>
      <c r="E11400" t="s">
        <v>22911</v>
      </c>
      <c r="G11400" s="1">
        <v>28</v>
      </c>
    </row>
    <row r="11401" spans="1:7" ht="14.25" customHeight="1" x14ac:dyDescent="0.45">
      <c r="A11401" t="str">
        <f>_xlfn.XLOOKUP(B11401,Ingot!$H$12:$H$119,Ingot!$G$12:$G$119,"")</f>
        <v>Glass</v>
      </c>
      <c r="B11401" t="s">
        <v>22723</v>
      </c>
      <c r="C11401" t="s">
        <v>157</v>
      </c>
      <c r="D11401" t="s">
        <v>22912</v>
      </c>
      <c r="E11401" t="s">
        <v>22913</v>
      </c>
      <c r="G11401" s="1">
        <v>5.6</v>
      </c>
    </row>
    <row r="11402" spans="1:7" ht="14.25" customHeight="1" x14ac:dyDescent="0.45">
      <c r="A11402" t="str">
        <f>_xlfn.XLOOKUP(B11402,Ingot!$H$12:$H$119,Ingot!$G$12:$G$119,"")</f>
        <v>Glass</v>
      </c>
      <c r="B11402" t="s">
        <v>22723</v>
      </c>
      <c r="C11402" t="s">
        <v>157</v>
      </c>
      <c r="D11402" t="s">
        <v>22914</v>
      </c>
      <c r="E11402" t="s">
        <v>22915</v>
      </c>
      <c r="G11402" s="1">
        <v>5.6</v>
      </c>
    </row>
    <row r="11403" spans="1:7" ht="14.25" customHeight="1" x14ac:dyDescent="0.45">
      <c r="A11403" t="str">
        <f>_xlfn.XLOOKUP(B11403,Ingot!$H$12:$H$119,Ingot!$G$12:$G$119,"")</f>
        <v>Glass</v>
      </c>
      <c r="B11403" t="s">
        <v>22723</v>
      </c>
      <c r="C11403" t="s">
        <v>157</v>
      </c>
      <c r="D11403" t="s">
        <v>22916</v>
      </c>
      <c r="E11403" t="s">
        <v>22917</v>
      </c>
      <c r="G11403" s="1">
        <v>5</v>
      </c>
    </row>
    <row r="11404" spans="1:7" ht="14.25" customHeight="1" x14ac:dyDescent="0.45">
      <c r="A11404" t="str">
        <f>_xlfn.XLOOKUP(B11404,Ingot!$H$12:$H$119,Ingot!$G$12:$G$119,"")</f>
        <v>Glass</v>
      </c>
      <c r="B11404" t="s">
        <v>22723</v>
      </c>
      <c r="C11404" t="s">
        <v>157</v>
      </c>
      <c r="D11404" t="s">
        <v>22918</v>
      </c>
      <c r="E11404" t="s">
        <v>22919</v>
      </c>
      <c r="G11404" s="1">
        <v>10</v>
      </c>
    </row>
    <row r="11405" spans="1:7" ht="14.25" customHeight="1" x14ac:dyDescent="0.45">
      <c r="A11405" t="str">
        <f>_xlfn.XLOOKUP(B11405,Ingot!$H$12:$H$119,Ingot!$G$12:$G$119,"")</f>
        <v>Glass</v>
      </c>
      <c r="B11405" t="s">
        <v>22723</v>
      </c>
      <c r="C11405" t="s">
        <v>157</v>
      </c>
      <c r="D11405" t="s">
        <v>22920</v>
      </c>
      <c r="E11405" t="s">
        <v>22921</v>
      </c>
      <c r="G11405" s="1">
        <v>32.5</v>
      </c>
    </row>
    <row r="11406" spans="1:7" ht="14.25" customHeight="1" x14ac:dyDescent="0.45">
      <c r="A11406" t="str">
        <f>_xlfn.XLOOKUP(B11406,Ingot!$H$12:$H$119,Ingot!$G$12:$G$119,"")</f>
        <v>Glass</v>
      </c>
      <c r="B11406" t="s">
        <v>22723</v>
      </c>
      <c r="C11406" t="s">
        <v>157</v>
      </c>
      <c r="D11406" t="s">
        <v>22922</v>
      </c>
      <c r="E11406" t="s">
        <v>22923</v>
      </c>
      <c r="G11406" s="1">
        <v>6.5</v>
      </c>
    </row>
    <row r="11407" spans="1:7" ht="14.25" customHeight="1" x14ac:dyDescent="0.45">
      <c r="A11407" t="str">
        <f>_xlfn.XLOOKUP(B11407,Ingot!$H$12:$H$119,Ingot!$G$12:$G$119,"")</f>
        <v>Glass</v>
      </c>
      <c r="B11407" t="s">
        <v>22723</v>
      </c>
      <c r="C11407" t="s">
        <v>157</v>
      </c>
      <c r="D11407" t="s">
        <v>22924</v>
      </c>
      <c r="E11407" t="s">
        <v>22925</v>
      </c>
      <c r="G11407" s="1">
        <v>6.5</v>
      </c>
    </row>
    <row r="11408" spans="1:7" ht="14.25" customHeight="1" x14ac:dyDescent="0.45">
      <c r="A11408" t="str">
        <f>_xlfn.XLOOKUP(B11408,Ingot!$H$12:$H$119,Ingot!$G$12:$G$119,"")</f>
        <v>Glass</v>
      </c>
      <c r="B11408" t="s">
        <v>22723</v>
      </c>
      <c r="C11408" t="s">
        <v>157</v>
      </c>
      <c r="D11408" t="s">
        <v>22926</v>
      </c>
      <c r="E11408" t="s">
        <v>22927</v>
      </c>
      <c r="G11408" s="1">
        <v>5</v>
      </c>
    </row>
    <row r="11409" spans="1:7" ht="14.25" customHeight="1" x14ac:dyDescent="0.45">
      <c r="A11409" t="str">
        <f>_xlfn.XLOOKUP(B11409,Ingot!$H$12:$H$119,Ingot!$G$12:$G$119,"")</f>
        <v>Glass</v>
      </c>
      <c r="B11409" t="s">
        <v>22723</v>
      </c>
      <c r="C11409" t="s">
        <v>157</v>
      </c>
      <c r="D11409" t="s">
        <v>22928</v>
      </c>
      <c r="E11409" t="s">
        <v>22929</v>
      </c>
      <c r="G11409" s="1">
        <v>10</v>
      </c>
    </row>
    <row r="11410" spans="1:7" ht="14.25" customHeight="1" x14ac:dyDescent="0.45">
      <c r="A11410" t="str">
        <f>_xlfn.XLOOKUP(B11410,Ingot!$H$12:$H$119,Ingot!$G$12:$G$119,"")</f>
        <v>Glass</v>
      </c>
      <c r="B11410" t="s">
        <v>22723</v>
      </c>
      <c r="C11410" t="s">
        <v>157</v>
      </c>
      <c r="D11410" t="s">
        <v>22930</v>
      </c>
      <c r="E11410" t="s">
        <v>22931</v>
      </c>
      <c r="G11410" s="1">
        <v>31</v>
      </c>
    </row>
    <row r="11411" spans="1:7" ht="14.25" customHeight="1" x14ac:dyDescent="0.45">
      <c r="A11411" t="str">
        <f>_xlfn.XLOOKUP(B11411,Ingot!$H$12:$H$119,Ingot!$G$12:$G$119,"")</f>
        <v>Glass</v>
      </c>
      <c r="B11411" t="s">
        <v>22723</v>
      </c>
      <c r="C11411" t="s">
        <v>157</v>
      </c>
      <c r="D11411" t="s">
        <v>22932</v>
      </c>
      <c r="E11411" t="s">
        <v>22933</v>
      </c>
      <c r="G11411" s="1">
        <v>6.2</v>
      </c>
    </row>
    <row r="11412" spans="1:7" ht="14.25" customHeight="1" x14ac:dyDescent="0.45">
      <c r="A11412" t="str">
        <f>_xlfn.XLOOKUP(B11412,Ingot!$H$12:$H$119,Ingot!$G$12:$G$119,"")</f>
        <v>Glass</v>
      </c>
      <c r="B11412" t="s">
        <v>22723</v>
      </c>
      <c r="C11412" t="s">
        <v>157</v>
      </c>
      <c r="D11412" t="s">
        <v>22934</v>
      </c>
      <c r="E11412" t="s">
        <v>22935</v>
      </c>
      <c r="G11412" s="1">
        <v>6.2</v>
      </c>
    </row>
    <row r="11413" spans="1:7" ht="14.25" customHeight="1" x14ac:dyDescent="0.45">
      <c r="A11413" t="str">
        <f>_xlfn.XLOOKUP(B11413,Ingot!$H$12:$H$119,Ingot!$G$12:$G$119,"")</f>
        <v>Glass</v>
      </c>
      <c r="B11413" t="s">
        <v>22723</v>
      </c>
      <c r="C11413" t="s">
        <v>157</v>
      </c>
      <c r="D11413" t="s">
        <v>22936</v>
      </c>
      <c r="E11413" t="s">
        <v>22937</v>
      </c>
      <c r="G11413" s="1">
        <v>5</v>
      </c>
    </row>
    <row r="11414" spans="1:7" ht="14.25" customHeight="1" x14ac:dyDescent="0.45">
      <c r="A11414" t="str">
        <f>_xlfn.XLOOKUP(B11414,Ingot!$H$12:$H$119,Ingot!$G$12:$G$119,"")</f>
        <v>Glass</v>
      </c>
      <c r="B11414" t="s">
        <v>22723</v>
      </c>
      <c r="C11414" t="s">
        <v>157</v>
      </c>
      <c r="D11414" t="s">
        <v>22938</v>
      </c>
      <c r="E11414" t="s">
        <v>22939</v>
      </c>
      <c r="G11414" s="1">
        <v>10</v>
      </c>
    </row>
    <row r="11415" spans="1:7" ht="14.25" customHeight="1" x14ac:dyDescent="0.45">
      <c r="A11415" t="str">
        <f>_xlfn.XLOOKUP(B11415,Ingot!$H$12:$H$119,Ingot!$G$12:$G$119,"")</f>
        <v>Glass</v>
      </c>
      <c r="B11415" t="s">
        <v>22723</v>
      </c>
      <c r="C11415" t="s">
        <v>157</v>
      </c>
      <c r="D11415" t="s">
        <v>22940</v>
      </c>
      <c r="E11415" t="s">
        <v>22941</v>
      </c>
      <c r="G11415" s="1">
        <v>23.5</v>
      </c>
    </row>
    <row r="11416" spans="1:7" ht="14.25" customHeight="1" x14ac:dyDescent="0.45">
      <c r="A11416" t="str">
        <f>_xlfn.XLOOKUP(B11416,Ingot!$H$12:$H$119,Ingot!$G$12:$G$119,"")</f>
        <v>Glass</v>
      </c>
      <c r="B11416" t="s">
        <v>22723</v>
      </c>
      <c r="C11416" t="s">
        <v>157</v>
      </c>
      <c r="D11416" t="s">
        <v>22942</v>
      </c>
      <c r="E11416" t="s">
        <v>22943</v>
      </c>
      <c r="G11416" s="1">
        <v>5</v>
      </c>
    </row>
    <row r="11417" spans="1:7" ht="14.25" customHeight="1" x14ac:dyDescent="0.45">
      <c r="A11417" t="str">
        <f>_xlfn.XLOOKUP(B11417,Ingot!$H$12:$H$119,Ingot!$G$12:$G$119,"")</f>
        <v>Glass</v>
      </c>
      <c r="B11417" t="s">
        <v>22723</v>
      </c>
      <c r="C11417" t="s">
        <v>157</v>
      </c>
      <c r="D11417" t="s">
        <v>22944</v>
      </c>
      <c r="E11417" t="s">
        <v>22945</v>
      </c>
      <c r="G11417" s="1">
        <v>5</v>
      </c>
    </row>
    <row r="11418" spans="1:7" ht="14.25" customHeight="1" x14ac:dyDescent="0.45">
      <c r="A11418" t="str">
        <f>_xlfn.XLOOKUP(B11418,Ingot!$H$12:$H$119,Ingot!$G$12:$G$119,"")</f>
        <v>Glass</v>
      </c>
      <c r="B11418" t="s">
        <v>22723</v>
      </c>
      <c r="C11418" t="s">
        <v>157</v>
      </c>
      <c r="D11418" t="s">
        <v>22946</v>
      </c>
      <c r="E11418" t="s">
        <v>22947</v>
      </c>
      <c r="G11418" s="1">
        <v>5</v>
      </c>
    </row>
    <row r="11419" spans="1:7" ht="14.25" customHeight="1" x14ac:dyDescent="0.45">
      <c r="A11419" t="str">
        <f>_xlfn.XLOOKUP(B11419,Ingot!$H$12:$H$119,Ingot!$G$12:$G$119,"")</f>
        <v>Glass</v>
      </c>
      <c r="B11419" t="s">
        <v>22723</v>
      </c>
      <c r="C11419" t="s">
        <v>157</v>
      </c>
      <c r="D11419" t="s">
        <v>22948</v>
      </c>
      <c r="E11419" t="s">
        <v>22949</v>
      </c>
      <c r="G11419" s="1">
        <v>10</v>
      </c>
    </row>
    <row r="11420" spans="1:7" ht="14.25" customHeight="1" x14ac:dyDescent="0.45">
      <c r="A11420" t="str">
        <f>_xlfn.XLOOKUP(B11420,Ingot!$H$12:$H$119,Ingot!$G$12:$G$119,"")</f>
        <v>Glass</v>
      </c>
      <c r="B11420" t="s">
        <v>22723</v>
      </c>
      <c r="C11420" t="s">
        <v>239</v>
      </c>
      <c r="D11420" t="s">
        <v>22950</v>
      </c>
      <c r="E11420" t="s">
        <v>22951</v>
      </c>
    </row>
    <row r="11421" spans="1:7" ht="14.25" customHeight="1" x14ac:dyDescent="0.45">
      <c r="A11421" t="str">
        <f>_xlfn.XLOOKUP(B11421,Ingot!$H$12:$H$119,Ingot!$G$12:$G$119,"")</f>
        <v>Glass</v>
      </c>
      <c r="B11421" t="s">
        <v>22723</v>
      </c>
      <c r="C11421" t="s">
        <v>239</v>
      </c>
      <c r="D11421" t="s">
        <v>22952</v>
      </c>
      <c r="E11421" t="s">
        <v>22953</v>
      </c>
    </row>
    <row r="11422" spans="1:7" ht="14.25" customHeight="1" x14ac:dyDescent="0.45">
      <c r="A11422" t="str">
        <f>_xlfn.XLOOKUP(B11422,Ingot!$H$12:$H$119,Ingot!$G$12:$G$119,"")</f>
        <v>Glass</v>
      </c>
      <c r="B11422" t="s">
        <v>22723</v>
      </c>
      <c r="C11422" t="s">
        <v>239</v>
      </c>
      <c r="D11422" t="s">
        <v>22954</v>
      </c>
      <c r="E11422" t="s">
        <v>22955</v>
      </c>
    </row>
    <row r="11423" spans="1:7" ht="14.25" customHeight="1" x14ac:dyDescent="0.45">
      <c r="A11423" t="str">
        <f>_xlfn.XLOOKUP(B11423,Ingot!$H$12:$H$119,Ingot!$G$12:$G$119,"")</f>
        <v>Glass</v>
      </c>
      <c r="B11423" t="s">
        <v>22723</v>
      </c>
      <c r="C11423" t="s">
        <v>239</v>
      </c>
      <c r="D11423" t="s">
        <v>22956</v>
      </c>
      <c r="E11423" t="s">
        <v>22957</v>
      </c>
    </row>
    <row r="11424" spans="1:7" ht="14.25" customHeight="1" x14ac:dyDescent="0.45">
      <c r="A11424" t="str">
        <f>_xlfn.XLOOKUP(B11424,Ingot!$H$12:$H$119,Ingot!$G$12:$G$119,"")</f>
        <v>Glass</v>
      </c>
      <c r="B11424" t="s">
        <v>22723</v>
      </c>
      <c r="C11424" t="s">
        <v>239</v>
      </c>
      <c r="D11424" t="s">
        <v>22958</v>
      </c>
      <c r="E11424" t="s">
        <v>22959</v>
      </c>
    </row>
    <row r="11425" spans="1:7" ht="14.25" customHeight="1" x14ac:dyDescent="0.45">
      <c r="A11425" t="str">
        <f>_xlfn.XLOOKUP(B11425,Ingot!$H$12:$H$119,Ingot!$G$12:$G$119,"")</f>
        <v>Glass</v>
      </c>
      <c r="B11425" t="s">
        <v>22723</v>
      </c>
      <c r="C11425" t="s">
        <v>239</v>
      </c>
      <c r="D11425" t="s">
        <v>22960</v>
      </c>
      <c r="E11425" t="s">
        <v>22961</v>
      </c>
    </row>
    <row r="11426" spans="1:7" ht="14.25" customHeight="1" x14ac:dyDescent="0.45">
      <c r="A11426" t="str">
        <f>_xlfn.XLOOKUP(B11426,Ingot!$H$12:$H$119,Ingot!$G$12:$G$119,"")</f>
        <v>Glass</v>
      </c>
      <c r="B11426" t="s">
        <v>22962</v>
      </c>
      <c r="C11426" t="s">
        <v>10</v>
      </c>
      <c r="D11426" t="s">
        <v>22963</v>
      </c>
      <c r="E11426" t="s">
        <v>22964</v>
      </c>
      <c r="G11426" s="1">
        <v>0.08</v>
      </c>
    </row>
    <row r="11427" spans="1:7" ht="14.25" customHeight="1" x14ac:dyDescent="0.45">
      <c r="A11427" t="str">
        <f>_xlfn.XLOOKUP(B11427,Ingot!$H$12:$H$119,Ingot!$G$12:$G$119,"")</f>
        <v>Glass</v>
      </c>
      <c r="B11427" t="s">
        <v>22962</v>
      </c>
      <c r="C11427" t="s">
        <v>10</v>
      </c>
      <c r="D11427" t="s">
        <v>22965</v>
      </c>
      <c r="E11427" t="s">
        <v>22966</v>
      </c>
      <c r="G11427" s="1">
        <v>9.9</v>
      </c>
    </row>
    <row r="11428" spans="1:7" ht="14.25" customHeight="1" x14ac:dyDescent="0.45">
      <c r="A11428" t="str">
        <f>_xlfn.XLOOKUP(B11428,Ingot!$H$12:$H$119,Ingot!$G$12:$G$119,"")</f>
        <v>Glass</v>
      </c>
      <c r="B11428" t="s">
        <v>22962</v>
      </c>
      <c r="C11428" t="s">
        <v>10</v>
      </c>
      <c r="D11428" t="s">
        <v>22967</v>
      </c>
      <c r="E11428" t="s">
        <v>22968</v>
      </c>
      <c r="G11428" s="1">
        <v>5.66</v>
      </c>
    </row>
    <row r="11429" spans="1:7" ht="14.25" customHeight="1" x14ac:dyDescent="0.45">
      <c r="A11429" t="str">
        <f>_xlfn.XLOOKUP(B11429,Ingot!$H$12:$H$119,Ingot!$G$12:$G$119,"")</f>
        <v>Glass</v>
      </c>
      <c r="B11429" t="s">
        <v>22962</v>
      </c>
      <c r="C11429" t="s">
        <v>10</v>
      </c>
      <c r="D11429" t="s">
        <v>22969</v>
      </c>
      <c r="E11429" t="s">
        <v>22970</v>
      </c>
      <c r="G11429" s="1">
        <v>3.3</v>
      </c>
    </row>
    <row r="11430" spans="1:7" ht="14.25" customHeight="1" x14ac:dyDescent="0.45">
      <c r="A11430" t="str">
        <f>_xlfn.XLOOKUP(B11430,Ingot!$H$12:$H$119,Ingot!$G$12:$G$119,"")</f>
        <v>Glass</v>
      </c>
      <c r="B11430" t="s">
        <v>22962</v>
      </c>
      <c r="C11430" t="s">
        <v>10</v>
      </c>
      <c r="D11430" t="s">
        <v>22971</v>
      </c>
      <c r="E11430" t="s">
        <v>22972</v>
      </c>
      <c r="G11430" s="1">
        <v>0.66</v>
      </c>
    </row>
    <row r="11431" spans="1:7" ht="14.25" customHeight="1" x14ac:dyDescent="0.45">
      <c r="A11431" t="str">
        <f>_xlfn.XLOOKUP(B11431,Ingot!$H$12:$H$119,Ingot!$G$12:$G$119,"")</f>
        <v>Glass</v>
      </c>
      <c r="B11431" t="s">
        <v>22962</v>
      </c>
      <c r="C11431" t="s">
        <v>10</v>
      </c>
      <c r="D11431" t="s">
        <v>22973</v>
      </c>
      <c r="E11431" t="s">
        <v>22974</v>
      </c>
      <c r="G11431" s="1">
        <v>0.04</v>
      </c>
    </row>
    <row r="11432" spans="1:7" ht="14.25" customHeight="1" x14ac:dyDescent="0.45">
      <c r="A11432" t="str">
        <f>_xlfn.XLOOKUP(B11432,Ingot!$H$12:$H$119,Ingot!$G$12:$G$119,"")</f>
        <v>Glass</v>
      </c>
      <c r="B11432" t="s">
        <v>22962</v>
      </c>
      <c r="C11432" t="s">
        <v>10</v>
      </c>
      <c r="D11432" t="s">
        <v>22975</v>
      </c>
      <c r="E11432" t="s">
        <v>22976</v>
      </c>
      <c r="G11432" s="1">
        <v>0.33</v>
      </c>
    </row>
    <row r="11433" spans="1:7" ht="14.25" customHeight="1" x14ac:dyDescent="0.45">
      <c r="A11433" t="str">
        <f>_xlfn.XLOOKUP(B11433,Ingot!$H$12:$H$119,Ingot!$G$12:$G$119,"")</f>
        <v>Glass</v>
      </c>
      <c r="B11433" t="s">
        <v>22962</v>
      </c>
      <c r="C11433" t="s">
        <v>10</v>
      </c>
      <c r="D11433" t="s">
        <v>22977</v>
      </c>
      <c r="E11433" t="s">
        <v>22978</v>
      </c>
    </row>
    <row r="11434" spans="1:7" ht="14.25" customHeight="1" x14ac:dyDescent="0.45">
      <c r="A11434" t="str">
        <f>_xlfn.XLOOKUP(B11434,Ingot!$H$12:$H$119,Ingot!$G$12:$G$119,"")</f>
        <v>Glass</v>
      </c>
      <c r="B11434" t="s">
        <v>22962</v>
      </c>
      <c r="C11434" t="s">
        <v>10</v>
      </c>
      <c r="D11434" t="s">
        <v>22979</v>
      </c>
      <c r="E11434" t="s">
        <v>22980</v>
      </c>
      <c r="G11434" s="1">
        <v>0.05</v>
      </c>
    </row>
    <row r="11435" spans="1:7" ht="14.25" customHeight="1" x14ac:dyDescent="0.45">
      <c r="A11435" t="str">
        <f>_xlfn.XLOOKUP(B11435,Ingot!$H$12:$H$119,Ingot!$G$12:$G$119,"")</f>
        <v>Glass</v>
      </c>
      <c r="B11435" t="s">
        <v>22962</v>
      </c>
      <c r="C11435" t="s">
        <v>10</v>
      </c>
      <c r="D11435" t="s">
        <v>22981</v>
      </c>
      <c r="E11435" t="s">
        <v>22982</v>
      </c>
      <c r="G11435" s="1">
        <v>0.66</v>
      </c>
    </row>
    <row r="11436" spans="1:7" ht="14.25" customHeight="1" x14ac:dyDescent="0.45">
      <c r="A11436" t="str">
        <f>_xlfn.XLOOKUP(B11436,Ingot!$H$12:$H$119,Ingot!$G$12:$G$119,"")</f>
        <v>Glass</v>
      </c>
      <c r="B11436" t="s">
        <v>22962</v>
      </c>
      <c r="C11436" t="s">
        <v>10</v>
      </c>
      <c r="D11436" t="s">
        <v>22983</v>
      </c>
      <c r="E11436" t="s">
        <v>22984</v>
      </c>
      <c r="G11436" s="1">
        <v>3.96</v>
      </c>
    </row>
    <row r="11437" spans="1:7" ht="14.25" customHeight="1" x14ac:dyDescent="0.45">
      <c r="A11437" t="str">
        <f>_xlfn.XLOOKUP(B11437,Ingot!$H$12:$H$119,Ingot!$G$12:$G$119,"")</f>
        <v>Glass</v>
      </c>
      <c r="B11437" t="s">
        <v>22962</v>
      </c>
      <c r="C11437" t="s">
        <v>10</v>
      </c>
      <c r="D11437" t="s">
        <v>22985</v>
      </c>
      <c r="E11437" t="s">
        <v>22986</v>
      </c>
      <c r="G11437" s="1">
        <v>8.77</v>
      </c>
    </row>
    <row r="11438" spans="1:7" ht="14.25" customHeight="1" x14ac:dyDescent="0.45">
      <c r="A11438" t="str">
        <f>_xlfn.XLOOKUP(B11438,Ingot!$H$12:$H$119,Ingot!$G$12:$G$119,"")</f>
        <v>Glass</v>
      </c>
      <c r="B11438" t="s">
        <v>22962</v>
      </c>
      <c r="C11438" t="s">
        <v>10</v>
      </c>
      <c r="D11438" t="s">
        <v>22987</v>
      </c>
      <c r="E11438" t="s">
        <v>22988</v>
      </c>
      <c r="G11438" s="1">
        <v>3.5</v>
      </c>
    </row>
    <row r="11439" spans="1:7" ht="14.25" customHeight="1" x14ac:dyDescent="0.45">
      <c r="A11439" t="str">
        <f>_xlfn.XLOOKUP(B11439,Ingot!$H$12:$H$119,Ingot!$G$12:$G$119,"")</f>
        <v>Glass</v>
      </c>
      <c r="B11439" t="s">
        <v>22962</v>
      </c>
      <c r="C11439" t="s">
        <v>10</v>
      </c>
      <c r="D11439" t="s">
        <v>22989</v>
      </c>
      <c r="E11439" t="s">
        <v>22990</v>
      </c>
    </row>
    <row r="11440" spans="1:7" ht="14.25" customHeight="1" x14ac:dyDescent="0.45">
      <c r="A11440" t="str">
        <f>_xlfn.XLOOKUP(B11440,Ingot!$H$12:$H$119,Ingot!$G$12:$G$119,"")</f>
        <v>Glass</v>
      </c>
      <c r="B11440" t="s">
        <v>22962</v>
      </c>
      <c r="C11440" t="s">
        <v>10</v>
      </c>
      <c r="D11440" t="s">
        <v>22991</v>
      </c>
      <c r="E11440" t="s">
        <v>22992</v>
      </c>
      <c r="G11440" s="1">
        <v>2.2000000000000002</v>
      </c>
    </row>
    <row r="11441" spans="1:7" ht="14.25" customHeight="1" x14ac:dyDescent="0.45">
      <c r="A11441" t="str">
        <f>_xlfn.XLOOKUP(B11441,Ingot!$H$12:$H$119,Ingot!$G$12:$G$119,"")</f>
        <v>Glass</v>
      </c>
      <c r="B11441" t="s">
        <v>22962</v>
      </c>
      <c r="C11441" t="s">
        <v>10</v>
      </c>
      <c r="D11441" t="s">
        <v>22993</v>
      </c>
      <c r="E11441" t="s">
        <v>22994</v>
      </c>
      <c r="G11441" s="1">
        <v>1.1000000000000001</v>
      </c>
    </row>
    <row r="11442" spans="1:7" ht="14.25" customHeight="1" x14ac:dyDescent="0.45">
      <c r="A11442" t="str">
        <f>_xlfn.XLOOKUP(B11442,Ingot!$H$12:$H$119,Ingot!$G$12:$G$119,"")</f>
        <v>Glass</v>
      </c>
      <c r="B11442" t="s">
        <v>22962</v>
      </c>
      <c r="C11442" t="s">
        <v>10</v>
      </c>
      <c r="D11442" t="s">
        <v>22995</v>
      </c>
      <c r="E11442" t="s">
        <v>22996</v>
      </c>
      <c r="G11442" s="1">
        <v>0.22</v>
      </c>
    </row>
    <row r="11443" spans="1:7" ht="14.25" customHeight="1" x14ac:dyDescent="0.45">
      <c r="A11443" t="str">
        <f>_xlfn.XLOOKUP(B11443,Ingot!$H$12:$H$119,Ingot!$G$12:$G$119,"")</f>
        <v>Glass</v>
      </c>
      <c r="B11443" t="s">
        <v>22962</v>
      </c>
      <c r="C11443" t="s">
        <v>10</v>
      </c>
      <c r="D11443" t="s">
        <v>22997</v>
      </c>
      <c r="E11443" t="s">
        <v>22998</v>
      </c>
      <c r="G11443" s="1">
        <v>8.41</v>
      </c>
    </row>
    <row r="11444" spans="1:7" ht="14.25" customHeight="1" x14ac:dyDescent="0.45">
      <c r="A11444" t="str">
        <f>_xlfn.XLOOKUP(B11444,Ingot!$H$12:$H$119,Ingot!$G$12:$G$119,"")</f>
        <v>Glass</v>
      </c>
      <c r="B11444" t="s">
        <v>22962</v>
      </c>
      <c r="C11444" t="s">
        <v>10</v>
      </c>
      <c r="D11444" t="s">
        <v>22999</v>
      </c>
      <c r="E11444" t="s">
        <v>23000</v>
      </c>
      <c r="G11444" s="1">
        <v>3.64</v>
      </c>
    </row>
    <row r="11445" spans="1:7" ht="14.25" customHeight="1" x14ac:dyDescent="0.45">
      <c r="A11445" t="str">
        <f>_xlfn.XLOOKUP(B11445,Ingot!$H$12:$H$119,Ingot!$G$12:$G$119,"")</f>
        <v>Glass</v>
      </c>
      <c r="B11445" t="s">
        <v>22962</v>
      </c>
      <c r="C11445" t="s">
        <v>10</v>
      </c>
      <c r="D11445" t="s">
        <v>23001</v>
      </c>
      <c r="E11445" t="s">
        <v>23002</v>
      </c>
      <c r="G11445" s="1">
        <v>7.05</v>
      </c>
    </row>
    <row r="11446" spans="1:7" ht="14.25" customHeight="1" x14ac:dyDescent="0.45">
      <c r="A11446" t="str">
        <f>_xlfn.XLOOKUP(B11446,Ingot!$H$12:$H$119,Ingot!$G$12:$G$119,"")</f>
        <v>Glass</v>
      </c>
      <c r="B11446" t="s">
        <v>22962</v>
      </c>
      <c r="C11446" t="s">
        <v>10</v>
      </c>
      <c r="D11446" t="s">
        <v>23003</v>
      </c>
      <c r="E11446" t="s">
        <v>23004</v>
      </c>
      <c r="G11446" s="1">
        <v>2.65</v>
      </c>
    </row>
    <row r="11447" spans="1:7" ht="14.25" customHeight="1" x14ac:dyDescent="0.45">
      <c r="A11447" t="str">
        <f>_xlfn.XLOOKUP(B11447,Ingot!$H$12:$H$119,Ingot!$G$12:$G$119,"")</f>
        <v>Glass</v>
      </c>
      <c r="B11447" t="s">
        <v>22962</v>
      </c>
      <c r="C11447" t="s">
        <v>10</v>
      </c>
      <c r="D11447" t="s">
        <v>23005</v>
      </c>
      <c r="E11447" t="s">
        <v>23006</v>
      </c>
      <c r="G11447" s="1">
        <v>9</v>
      </c>
    </row>
    <row r="11448" spans="1:7" ht="14.25" customHeight="1" x14ac:dyDescent="0.45">
      <c r="A11448" t="str">
        <f>_xlfn.XLOOKUP(B11448,Ingot!$H$12:$H$119,Ingot!$G$12:$G$119,"")</f>
        <v>Glass</v>
      </c>
      <c r="B11448" t="s">
        <v>22962</v>
      </c>
      <c r="C11448" t="s">
        <v>10</v>
      </c>
      <c r="D11448" t="s">
        <v>23007</v>
      </c>
      <c r="E11448" t="s">
        <v>23008</v>
      </c>
      <c r="G11448" s="1">
        <v>10.23</v>
      </c>
    </row>
    <row r="11449" spans="1:7" ht="14.25" customHeight="1" x14ac:dyDescent="0.45">
      <c r="A11449" t="str">
        <f>_xlfn.XLOOKUP(B11449,Ingot!$H$12:$H$119,Ingot!$G$12:$G$119,"")</f>
        <v>Glass</v>
      </c>
      <c r="B11449" t="s">
        <v>22962</v>
      </c>
      <c r="C11449" t="s">
        <v>10</v>
      </c>
      <c r="D11449" t="s">
        <v>23009</v>
      </c>
      <c r="E11449" t="s">
        <v>23010</v>
      </c>
      <c r="G11449" s="1">
        <v>7.7</v>
      </c>
    </row>
    <row r="11450" spans="1:7" ht="14.25" customHeight="1" x14ac:dyDescent="0.45">
      <c r="A11450" t="str">
        <f>_xlfn.XLOOKUP(B11450,Ingot!$H$12:$H$119,Ingot!$G$12:$G$119,"")</f>
        <v>Glass</v>
      </c>
      <c r="B11450" t="s">
        <v>22962</v>
      </c>
      <c r="C11450" t="s">
        <v>10</v>
      </c>
      <c r="D11450" t="s">
        <v>23011</v>
      </c>
      <c r="E11450" t="s">
        <v>23012</v>
      </c>
      <c r="G11450" s="1">
        <v>10.02</v>
      </c>
    </row>
    <row r="11451" spans="1:7" ht="14.25" customHeight="1" x14ac:dyDescent="0.45">
      <c r="A11451" t="str">
        <f>_xlfn.XLOOKUP(B11451,Ingot!$H$12:$H$119,Ingot!$G$12:$G$119,"")</f>
        <v>Glass</v>
      </c>
      <c r="B11451" t="s">
        <v>22962</v>
      </c>
      <c r="C11451" t="s">
        <v>10</v>
      </c>
      <c r="D11451" t="s">
        <v>23013</v>
      </c>
      <c r="E11451" t="s">
        <v>23014</v>
      </c>
      <c r="G11451" s="1">
        <v>11.81</v>
      </c>
    </row>
    <row r="11452" spans="1:7" ht="14.25" customHeight="1" x14ac:dyDescent="0.45">
      <c r="A11452" t="str">
        <f>_xlfn.XLOOKUP(B11452,Ingot!$H$12:$H$119,Ingot!$G$12:$G$119,"")</f>
        <v>Glass</v>
      </c>
      <c r="B11452" t="s">
        <v>22962</v>
      </c>
      <c r="C11452" t="s">
        <v>10</v>
      </c>
      <c r="D11452" t="s">
        <v>23015</v>
      </c>
      <c r="E11452" t="s">
        <v>23016</v>
      </c>
      <c r="G11452" s="1">
        <v>8.44</v>
      </c>
    </row>
    <row r="11453" spans="1:7" ht="14.25" customHeight="1" x14ac:dyDescent="0.45">
      <c r="A11453" t="str">
        <f>_xlfn.XLOOKUP(B11453,Ingot!$H$12:$H$119,Ingot!$G$12:$G$119,"")</f>
        <v>Glass</v>
      </c>
      <c r="B11453" t="s">
        <v>22962</v>
      </c>
      <c r="C11453" t="s">
        <v>10</v>
      </c>
      <c r="D11453" t="s">
        <v>23017</v>
      </c>
      <c r="E11453" t="s">
        <v>23018</v>
      </c>
      <c r="G11453" s="1">
        <v>10.42</v>
      </c>
    </row>
    <row r="11454" spans="1:7" ht="14.25" customHeight="1" x14ac:dyDescent="0.45">
      <c r="A11454" t="str">
        <f>_xlfn.XLOOKUP(B11454,Ingot!$H$12:$H$119,Ingot!$G$12:$G$119,"")</f>
        <v>Glass</v>
      </c>
      <c r="B11454" t="s">
        <v>22962</v>
      </c>
      <c r="C11454" t="s">
        <v>10</v>
      </c>
      <c r="D11454" t="s">
        <v>23019</v>
      </c>
      <c r="E11454" t="s">
        <v>23020</v>
      </c>
    </row>
    <row r="11455" spans="1:7" ht="14.25" customHeight="1" x14ac:dyDescent="0.45">
      <c r="A11455" t="str">
        <f>_xlfn.XLOOKUP(B11455,Ingot!$H$12:$H$119,Ingot!$G$12:$G$119,"")</f>
        <v>Glass</v>
      </c>
      <c r="B11455" t="s">
        <v>22962</v>
      </c>
      <c r="C11455" t="s">
        <v>10</v>
      </c>
      <c r="D11455" t="s">
        <v>23021</v>
      </c>
      <c r="E11455" t="s">
        <v>23022</v>
      </c>
      <c r="G11455" s="1">
        <v>7.96</v>
      </c>
    </row>
    <row r="11456" spans="1:7" ht="14.25" customHeight="1" x14ac:dyDescent="0.45">
      <c r="A11456" t="str">
        <f>_xlfn.XLOOKUP(B11456,Ingot!$H$12:$H$119,Ingot!$G$12:$G$119,"")</f>
        <v>Glass</v>
      </c>
      <c r="B11456" t="s">
        <v>22962</v>
      </c>
      <c r="C11456" t="s">
        <v>10</v>
      </c>
      <c r="D11456" t="s">
        <v>23023</v>
      </c>
      <c r="E11456" t="s">
        <v>23024</v>
      </c>
      <c r="G11456" s="1">
        <v>9.64</v>
      </c>
    </row>
    <row r="11457" spans="1:7" ht="14.25" customHeight="1" x14ac:dyDescent="0.45">
      <c r="A11457" t="str">
        <f>_xlfn.XLOOKUP(B11457,Ingot!$H$12:$H$119,Ingot!$G$12:$G$119,"")</f>
        <v>Glass</v>
      </c>
      <c r="B11457" t="s">
        <v>22962</v>
      </c>
      <c r="C11457" t="s">
        <v>10</v>
      </c>
      <c r="D11457" t="s">
        <v>23025</v>
      </c>
      <c r="E11457" t="s">
        <v>23026</v>
      </c>
      <c r="G11457" s="1">
        <v>7.94</v>
      </c>
    </row>
    <row r="11458" spans="1:7" ht="14.25" customHeight="1" x14ac:dyDescent="0.45">
      <c r="A11458" t="str">
        <f>_xlfn.XLOOKUP(B11458,Ingot!$H$12:$H$119,Ingot!$G$12:$G$119,"")</f>
        <v>Glass</v>
      </c>
      <c r="B11458" t="s">
        <v>22962</v>
      </c>
      <c r="C11458" t="s">
        <v>10</v>
      </c>
      <c r="D11458" t="s">
        <v>23027</v>
      </c>
      <c r="E11458" t="s">
        <v>23028</v>
      </c>
      <c r="G11458" s="1">
        <v>8.66</v>
      </c>
    </row>
    <row r="11459" spans="1:7" ht="14.25" customHeight="1" x14ac:dyDescent="0.45">
      <c r="A11459" t="str">
        <f>_xlfn.XLOOKUP(B11459,Ingot!$H$12:$H$119,Ingot!$G$12:$G$119,"")</f>
        <v>Glass</v>
      </c>
      <c r="B11459" t="s">
        <v>22962</v>
      </c>
      <c r="C11459" t="s">
        <v>10</v>
      </c>
      <c r="D11459" t="s">
        <v>23029</v>
      </c>
      <c r="E11459" t="s">
        <v>23030</v>
      </c>
    </row>
    <row r="11460" spans="1:7" ht="14.25" customHeight="1" x14ac:dyDescent="0.45">
      <c r="A11460" t="str">
        <f>_xlfn.XLOOKUP(B11460,Ingot!$H$12:$H$119,Ingot!$G$12:$G$119,"")</f>
        <v>Glass</v>
      </c>
      <c r="B11460" t="s">
        <v>22962</v>
      </c>
      <c r="C11460" t="s">
        <v>10</v>
      </c>
      <c r="D11460" t="s">
        <v>23031</v>
      </c>
      <c r="E11460" t="s">
        <v>23032</v>
      </c>
      <c r="G11460" s="1">
        <v>2.65</v>
      </c>
    </row>
    <row r="11461" spans="1:7" ht="14.25" customHeight="1" x14ac:dyDescent="0.45">
      <c r="A11461" t="str">
        <f>_xlfn.XLOOKUP(B11461,Ingot!$H$12:$H$119,Ingot!$G$12:$G$119,"")</f>
        <v>Glass</v>
      </c>
      <c r="B11461" t="s">
        <v>22962</v>
      </c>
      <c r="C11461" t="s">
        <v>10</v>
      </c>
      <c r="D11461" t="s">
        <v>23033</v>
      </c>
      <c r="E11461" t="s">
        <v>23034</v>
      </c>
    </row>
    <row r="11462" spans="1:7" ht="14.25" customHeight="1" x14ac:dyDescent="0.45">
      <c r="A11462" t="str">
        <f>_xlfn.XLOOKUP(B11462,Ingot!$H$12:$H$119,Ingot!$G$12:$G$119,"")</f>
        <v>Glass</v>
      </c>
      <c r="B11462" t="s">
        <v>22962</v>
      </c>
      <c r="C11462" t="s">
        <v>10</v>
      </c>
      <c r="D11462" t="s">
        <v>23035</v>
      </c>
      <c r="E11462" t="s">
        <v>23036</v>
      </c>
      <c r="G11462" s="1">
        <v>12.64</v>
      </c>
    </row>
    <row r="11463" spans="1:7" ht="14.25" customHeight="1" x14ac:dyDescent="0.45">
      <c r="A11463" t="str">
        <f>_xlfn.XLOOKUP(B11463,Ingot!$H$12:$H$119,Ingot!$G$12:$G$119,"")</f>
        <v>Glass</v>
      </c>
      <c r="B11463" t="s">
        <v>22962</v>
      </c>
      <c r="C11463" t="s">
        <v>10</v>
      </c>
      <c r="D11463" t="s">
        <v>23037</v>
      </c>
      <c r="E11463" t="s">
        <v>23038</v>
      </c>
      <c r="G11463" s="1">
        <v>22.67</v>
      </c>
    </row>
    <row r="11464" spans="1:7" ht="14.25" customHeight="1" x14ac:dyDescent="0.45">
      <c r="A11464" t="str">
        <f>_xlfn.XLOOKUP(B11464,Ingot!$H$12:$H$119,Ingot!$G$12:$G$119,"")</f>
        <v>Glass</v>
      </c>
      <c r="B11464" t="s">
        <v>22962</v>
      </c>
      <c r="C11464" t="s">
        <v>10</v>
      </c>
      <c r="D11464" t="s">
        <v>23039</v>
      </c>
      <c r="E11464" t="s">
        <v>23040</v>
      </c>
      <c r="G11464" s="1">
        <v>8.3800000000000008</v>
      </c>
    </row>
    <row r="11465" spans="1:7" ht="14.25" customHeight="1" x14ac:dyDescent="0.45">
      <c r="A11465" t="str">
        <f>_xlfn.XLOOKUP(B11465,Ingot!$H$12:$H$119,Ingot!$G$12:$G$119,"")</f>
        <v>Glass</v>
      </c>
      <c r="B11465" t="s">
        <v>22962</v>
      </c>
      <c r="C11465" t="s">
        <v>10</v>
      </c>
      <c r="D11465" t="s">
        <v>23041</v>
      </c>
      <c r="E11465" t="s">
        <v>23042</v>
      </c>
      <c r="G11465" s="1">
        <v>2.2000000000000002</v>
      </c>
    </row>
    <row r="11466" spans="1:7" ht="14.25" customHeight="1" x14ac:dyDescent="0.45">
      <c r="A11466" t="str">
        <f>_xlfn.XLOOKUP(B11466,Ingot!$H$12:$H$119,Ingot!$G$12:$G$119,"")</f>
        <v>Glass</v>
      </c>
      <c r="B11466" t="s">
        <v>22962</v>
      </c>
      <c r="C11466" t="s">
        <v>10</v>
      </c>
      <c r="D11466" t="s">
        <v>23043</v>
      </c>
      <c r="E11466" t="s">
        <v>23044</v>
      </c>
      <c r="G11466" s="1">
        <v>3.09</v>
      </c>
    </row>
    <row r="11467" spans="1:7" ht="14.25" customHeight="1" x14ac:dyDescent="0.45">
      <c r="A11467" t="str">
        <f>_xlfn.XLOOKUP(B11467,Ingot!$H$12:$H$119,Ingot!$G$12:$G$119,"")</f>
        <v>Glass</v>
      </c>
      <c r="B11467" t="s">
        <v>22962</v>
      </c>
      <c r="C11467" t="s">
        <v>10</v>
      </c>
      <c r="D11467" t="s">
        <v>23045</v>
      </c>
      <c r="E11467" t="s">
        <v>23046</v>
      </c>
      <c r="G11467" s="1">
        <v>2.2999999999999998</v>
      </c>
    </row>
    <row r="11468" spans="1:7" ht="14.25" customHeight="1" x14ac:dyDescent="0.45">
      <c r="A11468" t="str">
        <f>_xlfn.XLOOKUP(B11468,Ingot!$H$12:$H$119,Ingot!$G$12:$G$119,"")</f>
        <v>Glass</v>
      </c>
      <c r="B11468" t="s">
        <v>22962</v>
      </c>
      <c r="C11468" t="s">
        <v>10</v>
      </c>
      <c r="D11468" t="s">
        <v>23047</v>
      </c>
      <c r="E11468" t="s">
        <v>23048</v>
      </c>
      <c r="G11468" s="1">
        <v>4.88</v>
      </c>
    </row>
    <row r="11469" spans="1:7" ht="14.25" customHeight="1" x14ac:dyDescent="0.45">
      <c r="A11469" t="str">
        <f>_xlfn.XLOOKUP(B11469,Ingot!$H$12:$H$119,Ingot!$G$12:$G$119,"")</f>
        <v>Glass</v>
      </c>
      <c r="B11469" t="s">
        <v>22962</v>
      </c>
      <c r="C11469" t="s">
        <v>10</v>
      </c>
      <c r="D11469" t="s">
        <v>23049</v>
      </c>
      <c r="E11469" t="s">
        <v>23050</v>
      </c>
      <c r="G11469" s="1">
        <v>8.43</v>
      </c>
    </row>
    <row r="11470" spans="1:7" ht="14.25" customHeight="1" x14ac:dyDescent="0.45">
      <c r="A11470" t="str">
        <f>_xlfn.XLOOKUP(B11470,Ingot!$H$12:$H$119,Ingot!$G$12:$G$119,"")</f>
        <v>Glass</v>
      </c>
      <c r="B11470" t="s">
        <v>22962</v>
      </c>
      <c r="C11470" t="s">
        <v>10</v>
      </c>
      <c r="D11470" t="s">
        <v>23051</v>
      </c>
      <c r="E11470" t="s">
        <v>23052</v>
      </c>
      <c r="G11470" s="1">
        <v>13.07</v>
      </c>
    </row>
    <row r="11471" spans="1:7" ht="14.25" customHeight="1" x14ac:dyDescent="0.45">
      <c r="A11471" t="str">
        <f>_xlfn.XLOOKUP(B11471,Ingot!$H$12:$H$119,Ingot!$G$12:$G$119,"")</f>
        <v>Glass</v>
      </c>
      <c r="B11471" t="s">
        <v>22962</v>
      </c>
      <c r="C11471" t="s">
        <v>10</v>
      </c>
      <c r="D11471" t="s">
        <v>23053</v>
      </c>
      <c r="E11471" t="s">
        <v>23054</v>
      </c>
    </row>
    <row r="11472" spans="1:7" ht="14.25" customHeight="1" x14ac:dyDescent="0.45">
      <c r="A11472" t="str">
        <f>_xlfn.XLOOKUP(B11472,Ingot!$H$12:$H$119,Ingot!$G$12:$G$119,"")</f>
        <v>Glass</v>
      </c>
      <c r="B11472" t="s">
        <v>22962</v>
      </c>
      <c r="C11472" t="s">
        <v>10</v>
      </c>
      <c r="D11472" t="s">
        <v>23055</v>
      </c>
      <c r="E11472" t="s">
        <v>23056</v>
      </c>
    </row>
    <row r="11473" spans="1:7" ht="14.25" customHeight="1" x14ac:dyDescent="0.45">
      <c r="A11473" t="str">
        <f>_xlfn.XLOOKUP(B11473,Ingot!$H$12:$H$119,Ingot!$G$12:$G$119,"")</f>
        <v>Glass</v>
      </c>
      <c r="B11473" t="s">
        <v>22962</v>
      </c>
      <c r="C11473" t="s">
        <v>10</v>
      </c>
      <c r="D11473" t="s">
        <v>23057</v>
      </c>
      <c r="E11473" t="s">
        <v>23058</v>
      </c>
      <c r="G11473" s="1">
        <v>6.8</v>
      </c>
    </row>
    <row r="11474" spans="1:7" ht="14.25" customHeight="1" x14ac:dyDescent="0.45">
      <c r="A11474" t="str">
        <f>_xlfn.XLOOKUP(B11474,Ingot!$H$12:$H$119,Ingot!$G$12:$G$119,"")</f>
        <v>Glass</v>
      </c>
      <c r="B11474" t="s">
        <v>22962</v>
      </c>
      <c r="C11474" t="s">
        <v>10</v>
      </c>
      <c r="D11474" t="s">
        <v>23059</v>
      </c>
      <c r="E11474" t="s">
        <v>23060</v>
      </c>
      <c r="G11474" s="1">
        <v>6.88</v>
      </c>
    </row>
    <row r="11475" spans="1:7" ht="14.25" customHeight="1" x14ac:dyDescent="0.45">
      <c r="A11475" t="str">
        <f>_xlfn.XLOOKUP(B11475,Ingot!$H$12:$H$119,Ingot!$G$12:$G$119,"")</f>
        <v>Glass</v>
      </c>
      <c r="B11475" t="s">
        <v>22962</v>
      </c>
      <c r="C11475" t="s">
        <v>10</v>
      </c>
      <c r="D11475" t="s">
        <v>23061</v>
      </c>
      <c r="E11475" t="s">
        <v>23062</v>
      </c>
      <c r="G11475" s="1">
        <v>5.5</v>
      </c>
    </row>
    <row r="11476" spans="1:7" ht="14.25" customHeight="1" x14ac:dyDescent="0.45">
      <c r="A11476" t="str">
        <f>_xlfn.XLOOKUP(B11476,Ingot!$H$12:$H$119,Ingot!$G$12:$G$119,"")</f>
        <v>Glass</v>
      </c>
      <c r="B11476" t="s">
        <v>22962</v>
      </c>
      <c r="C11476" t="s">
        <v>10</v>
      </c>
      <c r="D11476" t="s">
        <v>23063</v>
      </c>
      <c r="E11476" t="s">
        <v>23064</v>
      </c>
      <c r="G11476" s="1">
        <v>2.4300000000000002</v>
      </c>
    </row>
    <row r="11477" spans="1:7" ht="14.25" customHeight="1" x14ac:dyDescent="0.45">
      <c r="A11477" t="str">
        <f>_xlfn.XLOOKUP(B11477,Ingot!$H$12:$H$119,Ingot!$G$12:$G$119,"")</f>
        <v>Glass</v>
      </c>
      <c r="B11477" t="s">
        <v>22962</v>
      </c>
      <c r="C11477" t="s">
        <v>10</v>
      </c>
      <c r="D11477" t="s">
        <v>23065</v>
      </c>
      <c r="E11477" t="s">
        <v>23066</v>
      </c>
      <c r="G11477" s="1">
        <v>6.96</v>
      </c>
    </row>
    <row r="11478" spans="1:7" ht="14.25" customHeight="1" x14ac:dyDescent="0.45">
      <c r="A11478" t="str">
        <f>_xlfn.XLOOKUP(B11478,Ingot!$H$12:$H$119,Ingot!$G$12:$G$119,"")</f>
        <v>Glass</v>
      </c>
      <c r="B11478" t="s">
        <v>22962</v>
      </c>
      <c r="C11478" t="s">
        <v>10</v>
      </c>
      <c r="D11478" t="s">
        <v>23067</v>
      </c>
      <c r="E11478" t="s">
        <v>23068</v>
      </c>
      <c r="G11478" s="1">
        <v>6.32</v>
      </c>
    </row>
    <row r="11479" spans="1:7" ht="14.25" customHeight="1" x14ac:dyDescent="0.45">
      <c r="A11479" t="str">
        <f>_xlfn.XLOOKUP(B11479,Ingot!$H$12:$H$119,Ingot!$G$12:$G$119,"")</f>
        <v>Glass</v>
      </c>
      <c r="B11479" t="s">
        <v>22962</v>
      </c>
      <c r="C11479" t="s">
        <v>10</v>
      </c>
      <c r="D11479" t="s">
        <v>23069</v>
      </c>
      <c r="E11479" t="s">
        <v>23070</v>
      </c>
      <c r="G11479" s="1">
        <v>6.88</v>
      </c>
    </row>
    <row r="11480" spans="1:7" ht="14.25" customHeight="1" x14ac:dyDescent="0.45">
      <c r="A11480" t="str">
        <f>_xlfn.XLOOKUP(B11480,Ingot!$H$12:$H$119,Ingot!$G$12:$G$119,"")</f>
        <v>Glass</v>
      </c>
      <c r="B11480" t="s">
        <v>22962</v>
      </c>
      <c r="C11480" t="s">
        <v>10</v>
      </c>
      <c r="D11480" t="s">
        <v>23071</v>
      </c>
      <c r="E11480" t="s">
        <v>23072</v>
      </c>
      <c r="G11480" s="1">
        <v>2.44</v>
      </c>
    </row>
    <row r="11481" spans="1:7" ht="14.25" customHeight="1" x14ac:dyDescent="0.45">
      <c r="A11481" t="str">
        <f>_xlfn.XLOOKUP(B11481,Ingot!$H$12:$H$119,Ingot!$G$12:$G$119,"")</f>
        <v>Glass</v>
      </c>
      <c r="B11481" t="s">
        <v>22962</v>
      </c>
      <c r="C11481" t="s">
        <v>10</v>
      </c>
      <c r="D11481" t="s">
        <v>23073</v>
      </c>
      <c r="E11481" t="s">
        <v>23074</v>
      </c>
    </row>
    <row r="11482" spans="1:7" ht="14.25" customHeight="1" x14ac:dyDescent="0.45">
      <c r="A11482" t="str">
        <f>_xlfn.XLOOKUP(B11482,Ingot!$H$12:$H$119,Ingot!$G$12:$G$119,"")</f>
        <v>Glass</v>
      </c>
      <c r="B11482" t="s">
        <v>22962</v>
      </c>
      <c r="C11482" t="s">
        <v>10</v>
      </c>
      <c r="D11482" t="s">
        <v>23075</v>
      </c>
      <c r="E11482" t="s">
        <v>23076</v>
      </c>
    </row>
    <row r="11483" spans="1:7" ht="14.25" customHeight="1" x14ac:dyDescent="0.45">
      <c r="A11483" t="str">
        <f>_xlfn.XLOOKUP(B11483,Ingot!$H$12:$H$119,Ingot!$G$12:$G$119,"")</f>
        <v>Glass</v>
      </c>
      <c r="B11483" t="s">
        <v>22962</v>
      </c>
      <c r="C11483" t="s">
        <v>10</v>
      </c>
      <c r="D11483" t="s">
        <v>23077</v>
      </c>
      <c r="E11483" t="s">
        <v>23078</v>
      </c>
      <c r="G11483" s="1">
        <v>3.11</v>
      </c>
    </row>
    <row r="11484" spans="1:7" ht="14.25" customHeight="1" x14ac:dyDescent="0.45">
      <c r="A11484" t="str">
        <f>_xlfn.XLOOKUP(B11484,Ingot!$H$12:$H$119,Ingot!$G$12:$G$119,"")</f>
        <v>Glass</v>
      </c>
      <c r="B11484" t="s">
        <v>22962</v>
      </c>
      <c r="C11484" t="s">
        <v>10</v>
      </c>
      <c r="D11484" t="s">
        <v>23079</v>
      </c>
      <c r="E11484" t="s">
        <v>23080</v>
      </c>
      <c r="G11484" s="1">
        <v>2.44</v>
      </c>
    </row>
    <row r="11485" spans="1:7" ht="14.25" customHeight="1" x14ac:dyDescent="0.45">
      <c r="A11485" t="str">
        <f>_xlfn.XLOOKUP(B11485,Ingot!$H$12:$H$119,Ingot!$G$12:$G$119,"")</f>
        <v>Glass</v>
      </c>
      <c r="B11485" t="s">
        <v>22962</v>
      </c>
      <c r="C11485" t="s">
        <v>10</v>
      </c>
      <c r="D11485" t="s">
        <v>23081</v>
      </c>
      <c r="E11485" t="s">
        <v>23082</v>
      </c>
      <c r="G11485" s="1">
        <v>8.61</v>
      </c>
    </row>
    <row r="11486" spans="1:7" ht="14.25" customHeight="1" x14ac:dyDescent="0.45">
      <c r="A11486" t="str">
        <f>_xlfn.XLOOKUP(B11486,Ingot!$H$12:$H$119,Ingot!$G$12:$G$119,"")</f>
        <v>Glass</v>
      </c>
      <c r="B11486" t="s">
        <v>22962</v>
      </c>
      <c r="C11486" t="s">
        <v>10</v>
      </c>
      <c r="D11486" t="s">
        <v>23083</v>
      </c>
      <c r="E11486" t="s">
        <v>23084</v>
      </c>
    </row>
    <row r="11487" spans="1:7" ht="14.25" customHeight="1" x14ac:dyDescent="0.45">
      <c r="A11487" t="str">
        <f>_xlfn.XLOOKUP(B11487,Ingot!$H$12:$H$119,Ingot!$G$12:$G$119,"")</f>
        <v>Glass</v>
      </c>
      <c r="B11487" t="s">
        <v>22962</v>
      </c>
      <c r="C11487" t="s">
        <v>10</v>
      </c>
      <c r="D11487" t="s">
        <v>23085</v>
      </c>
      <c r="E11487" t="s">
        <v>23086</v>
      </c>
      <c r="G11487" s="1">
        <v>3.21</v>
      </c>
    </row>
    <row r="11488" spans="1:7" ht="14.25" customHeight="1" x14ac:dyDescent="0.45">
      <c r="A11488" t="str">
        <f>_xlfn.XLOOKUP(B11488,Ingot!$H$12:$H$119,Ingot!$G$12:$G$119,"")</f>
        <v>Glass</v>
      </c>
      <c r="B11488" t="s">
        <v>22962</v>
      </c>
      <c r="C11488" t="s">
        <v>10</v>
      </c>
      <c r="D11488" t="s">
        <v>23087</v>
      </c>
      <c r="E11488" t="s">
        <v>23088</v>
      </c>
      <c r="G11488" s="1">
        <v>2.77</v>
      </c>
    </row>
    <row r="11489" spans="1:7" ht="14.25" customHeight="1" x14ac:dyDescent="0.45">
      <c r="A11489" t="str">
        <f>_xlfn.XLOOKUP(B11489,Ingot!$H$12:$H$119,Ingot!$G$12:$G$119,"")</f>
        <v>Glass</v>
      </c>
      <c r="B11489" t="s">
        <v>22962</v>
      </c>
      <c r="C11489" t="s">
        <v>10</v>
      </c>
      <c r="D11489" t="s">
        <v>23089</v>
      </c>
      <c r="E11489" t="s">
        <v>23090</v>
      </c>
      <c r="G11489" s="1">
        <v>4.8899999999999997</v>
      </c>
    </row>
    <row r="11490" spans="1:7" ht="14.25" customHeight="1" x14ac:dyDescent="0.45">
      <c r="A11490" t="str">
        <f>_xlfn.XLOOKUP(B11490,Ingot!$H$12:$H$119,Ingot!$G$12:$G$119,"")</f>
        <v>Glass</v>
      </c>
      <c r="B11490" t="s">
        <v>22962</v>
      </c>
      <c r="C11490" t="s">
        <v>10</v>
      </c>
      <c r="D11490" t="s">
        <v>23091</v>
      </c>
      <c r="E11490" t="s">
        <v>23092</v>
      </c>
      <c r="G11490" s="1">
        <v>1.76</v>
      </c>
    </row>
    <row r="11491" spans="1:7" ht="14.25" customHeight="1" x14ac:dyDescent="0.45">
      <c r="A11491" t="str">
        <f>_xlfn.XLOOKUP(B11491,Ingot!$H$12:$H$119,Ingot!$G$12:$G$119,"")</f>
        <v>Glass</v>
      </c>
      <c r="B11491" t="s">
        <v>22962</v>
      </c>
      <c r="C11491" t="s">
        <v>10</v>
      </c>
      <c r="D11491" t="s">
        <v>23093</v>
      </c>
      <c r="E11491" t="s">
        <v>23094</v>
      </c>
    </row>
    <row r="11492" spans="1:7" ht="14.25" customHeight="1" x14ac:dyDescent="0.45">
      <c r="A11492" t="str">
        <f>_xlfn.XLOOKUP(B11492,Ingot!$H$12:$H$119,Ingot!$G$12:$G$119,"")</f>
        <v>Glass</v>
      </c>
      <c r="B11492" t="s">
        <v>22962</v>
      </c>
      <c r="C11492" t="s">
        <v>10</v>
      </c>
      <c r="D11492" t="s">
        <v>23095</v>
      </c>
      <c r="E11492" t="s">
        <v>23096</v>
      </c>
      <c r="G11492" s="1">
        <v>8.57</v>
      </c>
    </row>
    <row r="11493" spans="1:7" ht="14.25" customHeight="1" x14ac:dyDescent="0.45">
      <c r="A11493" t="str">
        <f>_xlfn.XLOOKUP(B11493,Ingot!$H$12:$H$119,Ingot!$G$12:$G$119,"")</f>
        <v>Glass</v>
      </c>
      <c r="B11493" t="s">
        <v>22962</v>
      </c>
      <c r="C11493" t="s">
        <v>10</v>
      </c>
      <c r="D11493" t="s">
        <v>23097</v>
      </c>
      <c r="E11493" t="s">
        <v>23098</v>
      </c>
    </row>
    <row r="11494" spans="1:7" ht="14.25" customHeight="1" x14ac:dyDescent="0.45">
      <c r="A11494" t="str">
        <f>_xlfn.XLOOKUP(B11494,Ingot!$H$12:$H$119,Ingot!$G$12:$G$119,"")</f>
        <v>Glass</v>
      </c>
      <c r="B11494" t="s">
        <v>22962</v>
      </c>
      <c r="C11494" t="s">
        <v>10</v>
      </c>
      <c r="D11494" t="s">
        <v>23099</v>
      </c>
      <c r="E11494" t="s">
        <v>23100</v>
      </c>
      <c r="G11494" s="1">
        <v>3.56</v>
      </c>
    </row>
    <row r="11495" spans="1:7" ht="14.25" customHeight="1" x14ac:dyDescent="0.45">
      <c r="A11495" t="str">
        <f>_xlfn.XLOOKUP(B11495,Ingot!$H$12:$H$119,Ingot!$G$12:$G$119,"")</f>
        <v>Glass</v>
      </c>
      <c r="B11495" t="s">
        <v>22962</v>
      </c>
      <c r="C11495" t="s">
        <v>10</v>
      </c>
      <c r="D11495" t="s">
        <v>23101</v>
      </c>
      <c r="E11495" t="s">
        <v>23102</v>
      </c>
      <c r="G11495" s="1">
        <v>8.91</v>
      </c>
    </row>
    <row r="11496" spans="1:7" ht="14.25" customHeight="1" x14ac:dyDescent="0.45">
      <c r="A11496" t="str">
        <f>_xlfn.XLOOKUP(B11496,Ingot!$H$12:$H$119,Ingot!$G$12:$G$119,"")</f>
        <v>Glass</v>
      </c>
      <c r="B11496" t="s">
        <v>22962</v>
      </c>
      <c r="C11496" t="s">
        <v>10</v>
      </c>
      <c r="D11496" t="s">
        <v>23103</v>
      </c>
      <c r="E11496" t="s">
        <v>23104</v>
      </c>
      <c r="G11496" s="1">
        <v>11.02</v>
      </c>
    </row>
    <row r="11497" spans="1:7" ht="14.25" customHeight="1" x14ac:dyDescent="0.45">
      <c r="A11497" t="str">
        <f>_xlfn.XLOOKUP(B11497,Ingot!$H$12:$H$119,Ingot!$G$12:$G$119,"")</f>
        <v>Glass</v>
      </c>
      <c r="B11497" t="s">
        <v>22962</v>
      </c>
      <c r="C11497" t="s">
        <v>10</v>
      </c>
      <c r="D11497" t="s">
        <v>23105</v>
      </c>
      <c r="E11497" t="s">
        <v>23106</v>
      </c>
      <c r="G11497" s="1">
        <v>5.12</v>
      </c>
    </row>
    <row r="11498" spans="1:7" ht="14.25" customHeight="1" x14ac:dyDescent="0.45">
      <c r="A11498" t="str">
        <f>_xlfn.XLOOKUP(B11498,Ingot!$H$12:$H$119,Ingot!$G$12:$G$119,"")</f>
        <v>Glass</v>
      </c>
      <c r="B11498" t="s">
        <v>22962</v>
      </c>
      <c r="C11498" t="s">
        <v>10</v>
      </c>
      <c r="D11498" t="s">
        <v>23107</v>
      </c>
      <c r="E11498" t="s">
        <v>23108</v>
      </c>
      <c r="G11498" s="1">
        <v>4.41</v>
      </c>
    </row>
    <row r="11499" spans="1:7" ht="14.25" customHeight="1" x14ac:dyDescent="0.45">
      <c r="A11499" t="str">
        <f>_xlfn.XLOOKUP(B11499,Ingot!$H$12:$H$119,Ingot!$G$12:$G$119,"")</f>
        <v>Glass</v>
      </c>
      <c r="B11499" t="s">
        <v>22962</v>
      </c>
      <c r="C11499" t="s">
        <v>157</v>
      </c>
      <c r="D11499" t="s">
        <v>23109</v>
      </c>
      <c r="E11499" t="s">
        <v>23110</v>
      </c>
      <c r="G11499" s="1">
        <v>28.3</v>
      </c>
    </row>
    <row r="11500" spans="1:7" ht="14.25" customHeight="1" x14ac:dyDescent="0.45">
      <c r="A11500" t="str">
        <f>_xlfn.XLOOKUP(B11500,Ingot!$H$12:$H$119,Ingot!$G$12:$G$119,"")</f>
        <v>Glass</v>
      </c>
      <c r="B11500" t="s">
        <v>22962</v>
      </c>
      <c r="C11500" t="s">
        <v>157</v>
      </c>
      <c r="D11500" t="s">
        <v>23111</v>
      </c>
      <c r="E11500" t="s">
        <v>23112</v>
      </c>
      <c r="G11500" s="1">
        <v>5.66</v>
      </c>
    </row>
    <row r="11501" spans="1:7" ht="14.25" customHeight="1" x14ac:dyDescent="0.45">
      <c r="A11501" t="str">
        <f>_xlfn.XLOOKUP(B11501,Ingot!$H$12:$H$119,Ingot!$G$12:$G$119,"")</f>
        <v>Glass</v>
      </c>
      <c r="B11501" t="s">
        <v>22962</v>
      </c>
      <c r="C11501" t="s">
        <v>157</v>
      </c>
      <c r="D11501" t="s">
        <v>23113</v>
      </c>
      <c r="E11501" t="s">
        <v>23114</v>
      </c>
      <c r="G11501" s="1">
        <v>5.66</v>
      </c>
    </row>
    <row r="11502" spans="1:7" ht="14.25" customHeight="1" x14ac:dyDescent="0.45">
      <c r="A11502" t="str">
        <f>_xlfn.XLOOKUP(B11502,Ingot!$H$12:$H$119,Ingot!$G$12:$G$119,"")</f>
        <v>Glass</v>
      </c>
      <c r="B11502" t="s">
        <v>22962</v>
      </c>
      <c r="C11502" t="s">
        <v>157</v>
      </c>
      <c r="D11502" t="s">
        <v>23115</v>
      </c>
      <c r="E11502" t="s">
        <v>23116</v>
      </c>
      <c r="G11502" s="1">
        <v>5</v>
      </c>
    </row>
    <row r="11503" spans="1:7" ht="14.25" customHeight="1" x14ac:dyDescent="0.45">
      <c r="A11503" t="str">
        <f>_xlfn.XLOOKUP(B11503,Ingot!$H$12:$H$119,Ingot!$G$12:$G$119,"")</f>
        <v>Glass</v>
      </c>
      <c r="B11503" t="s">
        <v>22962</v>
      </c>
      <c r="C11503" t="s">
        <v>157</v>
      </c>
      <c r="D11503" t="s">
        <v>23117</v>
      </c>
      <c r="E11503" t="s">
        <v>23118</v>
      </c>
      <c r="G11503" s="1">
        <v>10</v>
      </c>
    </row>
    <row r="11504" spans="1:7" ht="14.25" customHeight="1" x14ac:dyDescent="0.45">
      <c r="A11504" t="str">
        <f>_xlfn.XLOOKUP(B11504,Ingot!$H$12:$H$119,Ingot!$G$12:$G$119,"")</f>
        <v>Glass</v>
      </c>
      <c r="B11504" t="s">
        <v>22962</v>
      </c>
      <c r="C11504" t="s">
        <v>157</v>
      </c>
      <c r="D11504" t="s">
        <v>23119</v>
      </c>
      <c r="E11504" t="s">
        <v>23120</v>
      </c>
      <c r="G11504" s="1">
        <v>24.3</v>
      </c>
    </row>
    <row r="11505" spans="1:7" ht="14.25" customHeight="1" x14ac:dyDescent="0.45">
      <c r="A11505" t="str">
        <f>_xlfn.XLOOKUP(B11505,Ingot!$H$12:$H$119,Ingot!$G$12:$G$119,"")</f>
        <v>Glass</v>
      </c>
      <c r="B11505" t="s">
        <v>22962</v>
      </c>
      <c r="C11505" t="s">
        <v>157</v>
      </c>
      <c r="D11505" t="s">
        <v>23121</v>
      </c>
      <c r="E11505" t="s">
        <v>23122</v>
      </c>
      <c r="G11505" s="1">
        <v>5</v>
      </c>
    </row>
    <row r="11506" spans="1:7" ht="14.25" customHeight="1" x14ac:dyDescent="0.45">
      <c r="A11506" t="str">
        <f>_xlfn.XLOOKUP(B11506,Ingot!$H$12:$H$119,Ingot!$G$12:$G$119,"")</f>
        <v>Glass</v>
      </c>
      <c r="B11506" t="s">
        <v>22962</v>
      </c>
      <c r="C11506" t="s">
        <v>157</v>
      </c>
      <c r="D11506" t="s">
        <v>23123</v>
      </c>
      <c r="E11506" t="s">
        <v>23124</v>
      </c>
      <c r="G11506" s="1">
        <v>5</v>
      </c>
    </row>
    <row r="11507" spans="1:7" ht="14.25" customHeight="1" x14ac:dyDescent="0.45">
      <c r="A11507" t="str">
        <f>_xlfn.XLOOKUP(B11507,Ingot!$H$12:$H$119,Ingot!$G$12:$G$119,"")</f>
        <v>Glass</v>
      </c>
      <c r="B11507" t="s">
        <v>22962</v>
      </c>
      <c r="C11507" t="s">
        <v>157</v>
      </c>
      <c r="D11507" t="s">
        <v>23125</v>
      </c>
      <c r="E11507" t="s">
        <v>23126</v>
      </c>
      <c r="G11507" s="1">
        <v>5</v>
      </c>
    </row>
    <row r="11508" spans="1:7" ht="14.25" customHeight="1" x14ac:dyDescent="0.45">
      <c r="A11508" t="str">
        <f>_xlfn.XLOOKUP(B11508,Ingot!$H$12:$H$119,Ingot!$G$12:$G$119,"")</f>
        <v>Glass</v>
      </c>
      <c r="B11508" t="s">
        <v>22962</v>
      </c>
      <c r="C11508" t="s">
        <v>157</v>
      </c>
      <c r="D11508" t="s">
        <v>23127</v>
      </c>
      <c r="E11508" t="s">
        <v>23128</v>
      </c>
      <c r="G11508" s="1">
        <v>10</v>
      </c>
    </row>
    <row r="11509" spans="1:7" ht="14.25" customHeight="1" x14ac:dyDescent="0.45">
      <c r="A11509" t="str">
        <f>_xlfn.XLOOKUP(B11509,Ingot!$H$12:$H$119,Ingot!$G$12:$G$119,"")</f>
        <v>Glass</v>
      </c>
      <c r="B11509" t="s">
        <v>22962</v>
      </c>
      <c r="C11509" t="s">
        <v>157</v>
      </c>
      <c r="D11509" t="s">
        <v>23129</v>
      </c>
      <c r="E11509" t="s">
        <v>23130</v>
      </c>
      <c r="F11509" t="s">
        <v>180</v>
      </c>
      <c r="G11509" s="1">
        <v>23.3</v>
      </c>
    </row>
    <row r="11510" spans="1:7" ht="14.25" customHeight="1" x14ac:dyDescent="0.45">
      <c r="A11510" t="str">
        <f>_xlfn.XLOOKUP(B11510,Ingot!$H$12:$H$119,Ingot!$G$12:$G$119,"")</f>
        <v>Glass</v>
      </c>
      <c r="B11510" t="s">
        <v>22962</v>
      </c>
      <c r="C11510" t="s">
        <v>157</v>
      </c>
      <c r="D11510" t="s">
        <v>23131</v>
      </c>
      <c r="E11510" t="s">
        <v>23132</v>
      </c>
      <c r="F11510" t="s">
        <v>180</v>
      </c>
      <c r="G11510" s="1">
        <v>5</v>
      </c>
    </row>
    <row r="11511" spans="1:7" ht="14.25" customHeight="1" x14ac:dyDescent="0.45">
      <c r="A11511" t="str">
        <f>_xlfn.XLOOKUP(B11511,Ingot!$H$12:$H$119,Ingot!$G$12:$G$119,"")</f>
        <v>Glass</v>
      </c>
      <c r="B11511" t="s">
        <v>22962</v>
      </c>
      <c r="C11511" t="s">
        <v>157</v>
      </c>
      <c r="D11511" t="s">
        <v>23133</v>
      </c>
      <c r="E11511" t="s">
        <v>23134</v>
      </c>
      <c r="F11511" t="s">
        <v>180</v>
      </c>
      <c r="G11511" s="1">
        <v>5</v>
      </c>
    </row>
    <row r="11512" spans="1:7" ht="14.25" customHeight="1" x14ac:dyDescent="0.45">
      <c r="A11512" t="str">
        <f>_xlfn.XLOOKUP(B11512,Ingot!$H$12:$H$119,Ingot!$G$12:$G$119,"")</f>
        <v>Glass</v>
      </c>
      <c r="B11512" t="s">
        <v>22962</v>
      </c>
      <c r="C11512" t="s">
        <v>157</v>
      </c>
      <c r="D11512" t="s">
        <v>23135</v>
      </c>
      <c r="E11512" t="s">
        <v>23136</v>
      </c>
      <c r="F11512" t="s">
        <v>180</v>
      </c>
      <c r="G11512" s="1">
        <v>5</v>
      </c>
    </row>
    <row r="11513" spans="1:7" ht="14.25" customHeight="1" x14ac:dyDescent="0.45">
      <c r="A11513" t="str">
        <f>_xlfn.XLOOKUP(B11513,Ingot!$H$12:$H$119,Ingot!$G$12:$G$119,"")</f>
        <v>Glass</v>
      </c>
      <c r="B11513" t="s">
        <v>22962</v>
      </c>
      <c r="C11513" t="s">
        <v>157</v>
      </c>
      <c r="D11513" t="s">
        <v>23137</v>
      </c>
      <c r="E11513" t="s">
        <v>23138</v>
      </c>
      <c r="F11513" t="s">
        <v>180</v>
      </c>
      <c r="G11513" s="1">
        <v>10</v>
      </c>
    </row>
    <row r="11514" spans="1:7" ht="14.25" customHeight="1" x14ac:dyDescent="0.45">
      <c r="A11514" t="str">
        <f>_xlfn.XLOOKUP(B11514,Ingot!$H$12:$H$119,Ingot!$G$12:$G$119,"")</f>
        <v>Glass</v>
      </c>
      <c r="B11514" t="s">
        <v>22962</v>
      </c>
      <c r="C11514" t="s">
        <v>157</v>
      </c>
      <c r="D11514" t="s">
        <v>23139</v>
      </c>
      <c r="E11514" t="s">
        <v>23140</v>
      </c>
      <c r="G11514" s="1">
        <v>25.3</v>
      </c>
    </row>
    <row r="11515" spans="1:7" ht="14.25" customHeight="1" x14ac:dyDescent="0.45">
      <c r="A11515" t="str">
        <f>_xlfn.XLOOKUP(B11515,Ingot!$H$12:$H$119,Ingot!$G$12:$G$119,"")</f>
        <v>Glass</v>
      </c>
      <c r="B11515" t="s">
        <v>22962</v>
      </c>
      <c r="C11515" t="s">
        <v>157</v>
      </c>
      <c r="D11515" t="s">
        <v>23141</v>
      </c>
      <c r="E11515" t="s">
        <v>23142</v>
      </c>
      <c r="G11515" s="1">
        <v>5.0599999999999996</v>
      </c>
    </row>
    <row r="11516" spans="1:7" ht="14.25" customHeight="1" x14ac:dyDescent="0.45">
      <c r="A11516" t="str">
        <f>_xlfn.XLOOKUP(B11516,Ingot!$H$12:$H$119,Ingot!$G$12:$G$119,"")</f>
        <v>Glass</v>
      </c>
      <c r="B11516" t="s">
        <v>22962</v>
      </c>
      <c r="C11516" t="s">
        <v>157</v>
      </c>
      <c r="D11516" t="s">
        <v>23143</v>
      </c>
      <c r="E11516" t="s">
        <v>23144</v>
      </c>
      <c r="G11516" s="1">
        <v>5.0599999999999996</v>
      </c>
    </row>
    <row r="11517" spans="1:7" ht="14.25" customHeight="1" x14ac:dyDescent="0.45">
      <c r="A11517" t="str">
        <f>_xlfn.XLOOKUP(B11517,Ingot!$H$12:$H$119,Ingot!$G$12:$G$119,"")</f>
        <v>Glass</v>
      </c>
      <c r="B11517" t="s">
        <v>22962</v>
      </c>
      <c r="C11517" t="s">
        <v>157</v>
      </c>
      <c r="D11517" t="s">
        <v>23145</v>
      </c>
      <c r="E11517" t="s">
        <v>23146</v>
      </c>
      <c r="G11517" s="1">
        <v>5</v>
      </c>
    </row>
    <row r="11518" spans="1:7" ht="14.25" customHeight="1" x14ac:dyDescent="0.45">
      <c r="A11518" t="str">
        <f>_xlfn.XLOOKUP(B11518,Ingot!$H$12:$H$119,Ingot!$G$12:$G$119,"")</f>
        <v>Glass</v>
      </c>
      <c r="B11518" t="s">
        <v>22962</v>
      </c>
      <c r="C11518" t="s">
        <v>157</v>
      </c>
      <c r="D11518" t="s">
        <v>23147</v>
      </c>
      <c r="E11518" t="s">
        <v>23148</v>
      </c>
      <c r="G11518" s="1">
        <v>10</v>
      </c>
    </row>
    <row r="11519" spans="1:7" ht="14.25" customHeight="1" x14ac:dyDescent="0.45">
      <c r="A11519" t="str">
        <f>_xlfn.XLOOKUP(B11519,Ingot!$H$12:$H$119,Ingot!$G$12:$G$119,"")</f>
        <v>Glass</v>
      </c>
      <c r="B11519" t="s">
        <v>22962</v>
      </c>
      <c r="C11519" t="s">
        <v>157</v>
      </c>
      <c r="D11519" t="s">
        <v>23149</v>
      </c>
      <c r="E11519" t="s">
        <v>23150</v>
      </c>
      <c r="G11519" s="1">
        <v>26.8</v>
      </c>
    </row>
    <row r="11520" spans="1:7" ht="14.25" customHeight="1" x14ac:dyDescent="0.45">
      <c r="A11520" t="str">
        <f>_xlfn.XLOOKUP(B11520,Ingot!$H$12:$H$119,Ingot!$G$12:$G$119,"")</f>
        <v>Glass</v>
      </c>
      <c r="B11520" t="s">
        <v>22962</v>
      </c>
      <c r="C11520" t="s">
        <v>157</v>
      </c>
      <c r="D11520" t="s">
        <v>23151</v>
      </c>
      <c r="E11520" t="s">
        <v>23152</v>
      </c>
      <c r="F11520" t="s">
        <v>180</v>
      </c>
      <c r="G11520" s="1">
        <v>5.36</v>
      </c>
    </row>
    <row r="11521" spans="1:7" ht="14.25" customHeight="1" x14ac:dyDescent="0.45">
      <c r="A11521" t="str">
        <f>_xlfn.XLOOKUP(B11521,Ingot!$H$12:$H$119,Ingot!$G$12:$G$119,"")</f>
        <v>Glass</v>
      </c>
      <c r="B11521" t="s">
        <v>22962</v>
      </c>
      <c r="C11521" t="s">
        <v>157</v>
      </c>
      <c r="D11521" t="s">
        <v>23153</v>
      </c>
      <c r="E11521" t="s">
        <v>23154</v>
      </c>
      <c r="F11521" t="s">
        <v>180</v>
      </c>
      <c r="G11521" s="1">
        <v>5.36</v>
      </c>
    </row>
    <row r="11522" spans="1:7" ht="14.25" customHeight="1" x14ac:dyDescent="0.45">
      <c r="A11522" t="str">
        <f>_xlfn.XLOOKUP(B11522,Ingot!$H$12:$H$119,Ingot!$G$12:$G$119,"")</f>
        <v>Glass</v>
      </c>
      <c r="B11522" t="s">
        <v>22962</v>
      </c>
      <c r="C11522" t="s">
        <v>157</v>
      </c>
      <c r="D11522" t="s">
        <v>23155</v>
      </c>
      <c r="E11522" t="s">
        <v>23156</v>
      </c>
      <c r="F11522" t="s">
        <v>180</v>
      </c>
      <c r="G11522" s="1">
        <v>5</v>
      </c>
    </row>
    <row r="11523" spans="1:7" ht="14.25" customHeight="1" x14ac:dyDescent="0.45">
      <c r="A11523" t="str">
        <f>_xlfn.XLOOKUP(B11523,Ingot!$H$12:$H$119,Ingot!$G$12:$G$119,"")</f>
        <v>Glass</v>
      </c>
      <c r="B11523" t="s">
        <v>22962</v>
      </c>
      <c r="C11523" t="s">
        <v>157</v>
      </c>
      <c r="D11523" t="s">
        <v>23157</v>
      </c>
      <c r="E11523" t="s">
        <v>23158</v>
      </c>
      <c r="G11523" s="1">
        <v>10</v>
      </c>
    </row>
    <row r="11524" spans="1:7" ht="14.25" customHeight="1" x14ac:dyDescent="0.45">
      <c r="A11524" t="str">
        <f>_xlfn.XLOOKUP(B11524,Ingot!$H$12:$H$119,Ingot!$G$12:$G$119,"")</f>
        <v>Glass</v>
      </c>
      <c r="B11524" t="s">
        <v>22962</v>
      </c>
      <c r="C11524" t="s">
        <v>157</v>
      </c>
      <c r="D11524" t="s">
        <v>23159</v>
      </c>
      <c r="E11524" t="s">
        <v>23160</v>
      </c>
      <c r="G11524" s="1">
        <v>31.3</v>
      </c>
    </row>
    <row r="11525" spans="1:7" ht="14.25" customHeight="1" x14ac:dyDescent="0.45">
      <c r="A11525" t="str">
        <f>_xlfn.XLOOKUP(B11525,Ingot!$H$12:$H$119,Ingot!$G$12:$G$119,"")</f>
        <v>Glass</v>
      </c>
      <c r="B11525" t="s">
        <v>22962</v>
      </c>
      <c r="C11525" t="s">
        <v>157</v>
      </c>
      <c r="D11525" t="s">
        <v>23161</v>
      </c>
      <c r="E11525" t="s">
        <v>23162</v>
      </c>
      <c r="G11525" s="1">
        <v>6.26</v>
      </c>
    </row>
    <row r="11526" spans="1:7" ht="14.25" customHeight="1" x14ac:dyDescent="0.45">
      <c r="A11526" t="str">
        <f>_xlfn.XLOOKUP(B11526,Ingot!$H$12:$H$119,Ingot!$G$12:$G$119,"")</f>
        <v>Glass</v>
      </c>
      <c r="B11526" t="s">
        <v>22962</v>
      </c>
      <c r="C11526" t="s">
        <v>157</v>
      </c>
      <c r="D11526" t="s">
        <v>23163</v>
      </c>
      <c r="E11526" t="s">
        <v>23164</v>
      </c>
      <c r="G11526" s="1">
        <v>6.26</v>
      </c>
    </row>
    <row r="11527" spans="1:7" ht="14.25" customHeight="1" x14ac:dyDescent="0.45">
      <c r="A11527" t="str">
        <f>_xlfn.XLOOKUP(B11527,Ingot!$H$12:$H$119,Ingot!$G$12:$G$119,"")</f>
        <v>Glass</v>
      </c>
      <c r="B11527" t="s">
        <v>22962</v>
      </c>
      <c r="C11527" t="s">
        <v>157</v>
      </c>
      <c r="D11527" t="s">
        <v>23165</v>
      </c>
      <c r="E11527" t="s">
        <v>23166</v>
      </c>
      <c r="G11527" s="1">
        <v>5</v>
      </c>
    </row>
    <row r="11528" spans="1:7" ht="14.25" customHeight="1" x14ac:dyDescent="0.45">
      <c r="A11528" t="str">
        <f>_xlfn.XLOOKUP(B11528,Ingot!$H$12:$H$119,Ingot!$G$12:$G$119,"")</f>
        <v>Glass</v>
      </c>
      <c r="B11528" t="s">
        <v>22962</v>
      </c>
      <c r="C11528" t="s">
        <v>157</v>
      </c>
      <c r="D11528" t="s">
        <v>23167</v>
      </c>
      <c r="E11528" t="s">
        <v>23168</v>
      </c>
      <c r="G11528" s="1">
        <v>10</v>
      </c>
    </row>
    <row r="11529" spans="1:7" ht="14.25" customHeight="1" x14ac:dyDescent="0.45">
      <c r="A11529" t="str">
        <f>_xlfn.XLOOKUP(B11529,Ingot!$H$12:$H$119,Ingot!$G$12:$G$119,"")</f>
        <v>Glass</v>
      </c>
      <c r="B11529" t="s">
        <v>22962</v>
      </c>
      <c r="C11529" t="s">
        <v>157</v>
      </c>
      <c r="D11529" t="s">
        <v>23169</v>
      </c>
      <c r="E11529" t="s">
        <v>23170</v>
      </c>
      <c r="G11529" s="1">
        <v>29.8</v>
      </c>
    </row>
    <row r="11530" spans="1:7" ht="14.25" customHeight="1" x14ac:dyDescent="0.45">
      <c r="A11530" t="str">
        <f>_xlfn.XLOOKUP(B11530,Ingot!$H$12:$H$119,Ingot!$G$12:$G$119,"")</f>
        <v>Glass</v>
      </c>
      <c r="B11530" t="s">
        <v>22962</v>
      </c>
      <c r="C11530" t="s">
        <v>157</v>
      </c>
      <c r="D11530" t="s">
        <v>23171</v>
      </c>
      <c r="E11530" t="s">
        <v>23172</v>
      </c>
      <c r="G11530" s="1">
        <v>5.96</v>
      </c>
    </row>
    <row r="11531" spans="1:7" ht="14.25" customHeight="1" x14ac:dyDescent="0.45">
      <c r="A11531" t="str">
        <f>_xlfn.XLOOKUP(B11531,Ingot!$H$12:$H$119,Ingot!$G$12:$G$119,"")</f>
        <v>Glass</v>
      </c>
      <c r="B11531" t="s">
        <v>22962</v>
      </c>
      <c r="C11531" t="s">
        <v>157</v>
      </c>
      <c r="D11531" t="s">
        <v>23173</v>
      </c>
      <c r="E11531" t="s">
        <v>23174</v>
      </c>
      <c r="G11531" s="1">
        <v>5.96</v>
      </c>
    </row>
    <row r="11532" spans="1:7" ht="14.25" customHeight="1" x14ac:dyDescent="0.45">
      <c r="A11532" t="str">
        <f>_xlfn.XLOOKUP(B11532,Ingot!$H$12:$H$119,Ingot!$G$12:$G$119,"")</f>
        <v>Glass</v>
      </c>
      <c r="B11532" t="s">
        <v>22962</v>
      </c>
      <c r="C11532" t="s">
        <v>157</v>
      </c>
      <c r="D11532" t="s">
        <v>23175</v>
      </c>
      <c r="E11532" t="s">
        <v>23176</v>
      </c>
      <c r="G11532" s="1">
        <v>5</v>
      </c>
    </row>
    <row r="11533" spans="1:7" ht="14.25" customHeight="1" x14ac:dyDescent="0.45">
      <c r="A11533" t="str">
        <f>_xlfn.XLOOKUP(B11533,Ingot!$H$12:$H$119,Ingot!$G$12:$G$119,"")</f>
        <v>Glass</v>
      </c>
      <c r="B11533" t="s">
        <v>22962</v>
      </c>
      <c r="C11533" t="s">
        <v>157</v>
      </c>
      <c r="D11533" t="s">
        <v>23177</v>
      </c>
      <c r="E11533" t="s">
        <v>23178</v>
      </c>
      <c r="G11533" s="1">
        <v>10</v>
      </c>
    </row>
    <row r="11534" spans="1:7" ht="14.25" customHeight="1" x14ac:dyDescent="0.45">
      <c r="A11534" t="str">
        <f>_xlfn.XLOOKUP(B11534,Ingot!$H$12:$H$119,Ingot!$G$12:$G$119,"")</f>
        <v>Glass</v>
      </c>
      <c r="B11534" t="s">
        <v>22962</v>
      </c>
      <c r="C11534" t="s">
        <v>157</v>
      </c>
      <c r="D11534" t="s">
        <v>23179</v>
      </c>
      <c r="E11534" t="s">
        <v>23180</v>
      </c>
      <c r="F11534" t="s">
        <v>180</v>
      </c>
      <c r="G11534" s="1">
        <v>22.3</v>
      </c>
    </row>
    <row r="11535" spans="1:7" ht="14.25" customHeight="1" x14ac:dyDescent="0.45">
      <c r="A11535" t="str">
        <f>_xlfn.XLOOKUP(B11535,Ingot!$H$12:$H$119,Ingot!$G$12:$G$119,"")</f>
        <v>Glass</v>
      </c>
      <c r="B11535" t="s">
        <v>22962</v>
      </c>
      <c r="C11535" t="s">
        <v>157</v>
      </c>
      <c r="D11535" t="s">
        <v>23181</v>
      </c>
      <c r="E11535" t="s">
        <v>23182</v>
      </c>
      <c r="F11535" t="s">
        <v>180</v>
      </c>
      <c r="G11535" s="1">
        <v>5</v>
      </c>
    </row>
    <row r="11536" spans="1:7" ht="14.25" customHeight="1" x14ac:dyDescent="0.45">
      <c r="A11536" t="str">
        <f>_xlfn.XLOOKUP(B11536,Ingot!$H$12:$H$119,Ingot!$G$12:$G$119,"")</f>
        <v>Glass</v>
      </c>
      <c r="B11536" t="s">
        <v>22962</v>
      </c>
      <c r="C11536" t="s">
        <v>157</v>
      </c>
      <c r="D11536" t="s">
        <v>23183</v>
      </c>
      <c r="E11536" t="s">
        <v>23184</v>
      </c>
      <c r="F11536" t="s">
        <v>180</v>
      </c>
      <c r="G11536" s="1">
        <v>5</v>
      </c>
    </row>
    <row r="11537" spans="1:7" ht="14.25" customHeight="1" x14ac:dyDescent="0.45">
      <c r="A11537" t="str">
        <f>_xlfn.XLOOKUP(B11537,Ingot!$H$12:$H$119,Ingot!$G$12:$G$119,"")</f>
        <v>Glass</v>
      </c>
      <c r="B11537" t="s">
        <v>22962</v>
      </c>
      <c r="C11537" t="s">
        <v>157</v>
      </c>
      <c r="D11537" t="s">
        <v>23185</v>
      </c>
      <c r="E11537" t="s">
        <v>23186</v>
      </c>
      <c r="F11537" t="s">
        <v>180</v>
      </c>
      <c r="G11537" s="1">
        <v>5</v>
      </c>
    </row>
    <row r="11538" spans="1:7" ht="14.25" customHeight="1" x14ac:dyDescent="0.45">
      <c r="A11538" t="str">
        <f>_xlfn.XLOOKUP(B11538,Ingot!$H$12:$H$119,Ingot!$G$12:$G$119,"")</f>
        <v>Glass</v>
      </c>
      <c r="B11538" t="s">
        <v>22962</v>
      </c>
      <c r="C11538" t="s">
        <v>157</v>
      </c>
      <c r="D11538" t="s">
        <v>23187</v>
      </c>
      <c r="E11538" t="s">
        <v>23188</v>
      </c>
      <c r="F11538" t="s">
        <v>180</v>
      </c>
      <c r="G11538" s="1">
        <v>10</v>
      </c>
    </row>
    <row r="11539" spans="1:7" ht="14.25" customHeight="1" x14ac:dyDescent="0.45">
      <c r="A11539" t="str">
        <f>_xlfn.XLOOKUP(B11539,Ingot!$H$12:$H$119,Ingot!$G$12:$G$119,"")</f>
        <v>Glass</v>
      </c>
      <c r="B11539" t="s">
        <v>22962</v>
      </c>
      <c r="C11539" t="s">
        <v>239</v>
      </c>
      <c r="D11539" t="s">
        <v>23189</v>
      </c>
      <c r="E11539" t="s">
        <v>23190</v>
      </c>
      <c r="G11539" s="1">
        <f>(VLOOKUP(B11539,Ingot!H:I,2,FALSE()) * 0.75) * 0.75</f>
        <v>4.5</v>
      </c>
    </row>
    <row r="11540" spans="1:7" ht="14.25" customHeight="1" x14ac:dyDescent="0.45">
      <c r="A11540" t="str">
        <f>_xlfn.XLOOKUP(B11540,Ingot!$H$12:$H$119,Ingot!$G$12:$G$119,"")</f>
        <v>Glass</v>
      </c>
      <c r="B11540" t="s">
        <v>22962</v>
      </c>
      <c r="C11540" t="s">
        <v>239</v>
      </c>
      <c r="D11540" t="s">
        <v>23191</v>
      </c>
      <c r="E11540" t="s">
        <v>23192</v>
      </c>
      <c r="G11540" s="1">
        <f>((VLOOKUP(B11540,Ingot!H:I,2,FALSE()) * 3) - 10.25) * 0.421875</f>
        <v>5.80078125</v>
      </c>
    </row>
    <row r="11541" spans="1:7" ht="14.25" customHeight="1" x14ac:dyDescent="0.45">
      <c r="A11541" t="str">
        <f>_xlfn.XLOOKUP(B11541,Ingot!$H$12:$H$119,Ingot!$G$12:$G$119,"")</f>
        <v>Glass</v>
      </c>
      <c r="B11541" t="s">
        <v>22962</v>
      </c>
      <c r="C11541" t="s">
        <v>239</v>
      </c>
      <c r="D11541" t="s">
        <v>23193</v>
      </c>
      <c r="E11541" t="s">
        <v>23194</v>
      </c>
      <c r="G11541" s="1">
        <f>((VLOOKUP(B11541,Ingot!H:I,2,FALSE()) * 3) - 10.25) * 0.75</f>
        <v>10.3125</v>
      </c>
    </row>
    <row r="11542" spans="1:7" ht="14.25" customHeight="1" x14ac:dyDescent="0.45">
      <c r="A11542" t="str">
        <f>_xlfn.XLOOKUP(B11542,Ingot!$H$12:$H$119,Ingot!$G$12:$G$119,"")</f>
        <v>Glass</v>
      </c>
      <c r="B11542" t="s">
        <v>22962</v>
      </c>
      <c r="C11542" t="s">
        <v>239</v>
      </c>
      <c r="D11542" t="s">
        <v>23195</v>
      </c>
      <c r="E11542" t="s">
        <v>23196</v>
      </c>
      <c r="G11542" s="1">
        <f>((VLOOKUP(B11542,Ingot!H:I,2,FALSE()) * 3) - 10.25) * 0.5625</f>
        <v>7.734375</v>
      </c>
    </row>
    <row r="11543" spans="1:7" ht="14.25" customHeight="1" x14ac:dyDescent="0.45">
      <c r="A11543" t="str">
        <f>_xlfn.XLOOKUP(B11543,Ingot!$H$12:$H$119,Ingot!$G$12:$G$119,"")</f>
        <v>Glass</v>
      </c>
      <c r="B11543" t="s">
        <v>22962</v>
      </c>
      <c r="C11543" t="s">
        <v>239</v>
      </c>
      <c r="D11543" t="s">
        <v>23197</v>
      </c>
      <c r="E11543" t="s">
        <v>23198</v>
      </c>
      <c r="G11543" s="1">
        <f>VLOOKUP(B11543,Ingot!H:I,2,FALSE()) * 0.75</f>
        <v>6</v>
      </c>
    </row>
    <row r="11544" spans="1:7" ht="14.25" customHeight="1" x14ac:dyDescent="0.45">
      <c r="A11544" t="str">
        <f>_xlfn.XLOOKUP(B11544,Ingot!$H$12:$H$119,Ingot!$G$12:$G$119,"")</f>
        <v>Glass</v>
      </c>
      <c r="B11544" t="s">
        <v>22962</v>
      </c>
      <c r="C11544" t="s">
        <v>239</v>
      </c>
      <c r="D11544" t="s">
        <v>23199</v>
      </c>
      <c r="E11544" t="s">
        <v>23200</v>
      </c>
      <c r="G11544" s="1">
        <f>(VLOOKUP(B11544,Ingot!H:I,2,FALSE()) * 3) - 10.25</f>
        <v>13.75</v>
      </c>
    </row>
    <row r="11545" spans="1:7" ht="14.25" customHeight="1" x14ac:dyDescent="0.45">
      <c r="A11545" t="str">
        <f>_xlfn.XLOOKUP(B11545,Ingot!$H$12:$H$119,Ingot!$G$12:$G$119,"")</f>
        <v>Glass</v>
      </c>
      <c r="B11545" t="s">
        <v>23201</v>
      </c>
      <c r="C11545" t="s">
        <v>10</v>
      </c>
      <c r="D11545" t="s">
        <v>23202</v>
      </c>
      <c r="E11545" t="s">
        <v>23203</v>
      </c>
      <c r="G11545" s="1">
        <v>0.08</v>
      </c>
    </row>
    <row r="11546" spans="1:7" ht="14.25" customHeight="1" x14ac:dyDescent="0.45">
      <c r="A11546" t="str">
        <f>_xlfn.XLOOKUP(B11546,Ingot!$H$12:$H$119,Ingot!$G$12:$G$119,"")</f>
        <v>Glass</v>
      </c>
      <c r="B11546" t="s">
        <v>23201</v>
      </c>
      <c r="C11546" t="s">
        <v>10</v>
      </c>
      <c r="D11546" t="s">
        <v>23204</v>
      </c>
      <c r="E11546" t="s">
        <v>23205</v>
      </c>
      <c r="G11546" s="1">
        <v>9.9</v>
      </c>
    </row>
    <row r="11547" spans="1:7" ht="14.25" customHeight="1" x14ac:dyDescent="0.45">
      <c r="A11547" t="str">
        <f>_xlfn.XLOOKUP(B11547,Ingot!$H$12:$H$119,Ingot!$G$12:$G$119,"")</f>
        <v>Glass</v>
      </c>
      <c r="B11547" t="s">
        <v>23201</v>
      </c>
      <c r="C11547" t="s">
        <v>10</v>
      </c>
      <c r="D11547" t="s">
        <v>23206</v>
      </c>
      <c r="E11547" t="s">
        <v>23207</v>
      </c>
      <c r="G11547" s="1">
        <v>5.66</v>
      </c>
    </row>
    <row r="11548" spans="1:7" ht="14.25" customHeight="1" x14ac:dyDescent="0.45">
      <c r="A11548" t="str">
        <f>_xlfn.XLOOKUP(B11548,Ingot!$H$12:$H$119,Ingot!$G$12:$G$119,"")</f>
        <v>Glass</v>
      </c>
      <c r="B11548" t="s">
        <v>23201</v>
      </c>
      <c r="C11548" t="s">
        <v>10</v>
      </c>
      <c r="D11548" t="s">
        <v>23208</v>
      </c>
      <c r="E11548" t="s">
        <v>23209</v>
      </c>
      <c r="G11548" s="1">
        <v>3.3</v>
      </c>
    </row>
    <row r="11549" spans="1:7" ht="14.25" customHeight="1" x14ac:dyDescent="0.45">
      <c r="A11549" t="str">
        <f>_xlfn.XLOOKUP(B11549,Ingot!$H$12:$H$119,Ingot!$G$12:$G$119,"")</f>
        <v>Glass</v>
      </c>
      <c r="B11549" t="s">
        <v>23201</v>
      </c>
      <c r="C11549" t="s">
        <v>10</v>
      </c>
      <c r="D11549" t="s">
        <v>23210</v>
      </c>
      <c r="E11549" t="s">
        <v>23211</v>
      </c>
      <c r="G11549" s="1">
        <v>0.66</v>
      </c>
    </row>
    <row r="11550" spans="1:7" ht="14.25" customHeight="1" x14ac:dyDescent="0.45">
      <c r="A11550" t="str">
        <f>_xlfn.XLOOKUP(B11550,Ingot!$H$12:$H$119,Ingot!$G$12:$G$119,"")</f>
        <v>Glass</v>
      </c>
      <c r="B11550" t="s">
        <v>23201</v>
      </c>
      <c r="C11550" t="s">
        <v>10</v>
      </c>
      <c r="D11550" t="s">
        <v>23212</v>
      </c>
      <c r="E11550" t="s">
        <v>23213</v>
      </c>
      <c r="G11550" s="1">
        <v>0.04</v>
      </c>
    </row>
    <row r="11551" spans="1:7" ht="14.25" customHeight="1" x14ac:dyDescent="0.45">
      <c r="A11551" t="str">
        <f>_xlfn.XLOOKUP(B11551,Ingot!$H$12:$H$119,Ingot!$G$12:$G$119,"")</f>
        <v>Glass</v>
      </c>
      <c r="B11551" t="s">
        <v>23201</v>
      </c>
      <c r="C11551" t="s">
        <v>10</v>
      </c>
      <c r="D11551" t="s">
        <v>23214</v>
      </c>
      <c r="E11551" t="s">
        <v>23215</v>
      </c>
      <c r="G11551" s="1">
        <v>0.33</v>
      </c>
    </row>
    <row r="11552" spans="1:7" ht="14.25" customHeight="1" x14ac:dyDescent="0.45">
      <c r="A11552" t="str">
        <f>_xlfn.XLOOKUP(B11552,Ingot!$H$12:$H$119,Ingot!$G$12:$G$119,"")</f>
        <v>Glass</v>
      </c>
      <c r="B11552" t="s">
        <v>23201</v>
      </c>
      <c r="C11552" t="s">
        <v>10</v>
      </c>
      <c r="D11552" t="s">
        <v>23216</v>
      </c>
      <c r="E11552" t="s">
        <v>23217</v>
      </c>
    </row>
    <row r="11553" spans="1:7" ht="14.25" customHeight="1" x14ac:dyDescent="0.45">
      <c r="A11553" t="str">
        <f>_xlfn.XLOOKUP(B11553,Ingot!$H$12:$H$119,Ingot!$G$12:$G$119,"")</f>
        <v>Glass</v>
      </c>
      <c r="B11553" t="s">
        <v>23201</v>
      </c>
      <c r="C11553" t="s">
        <v>10</v>
      </c>
      <c r="D11553" t="s">
        <v>23218</v>
      </c>
      <c r="E11553" t="s">
        <v>23219</v>
      </c>
      <c r="G11553" s="1">
        <v>0.05</v>
      </c>
    </row>
    <row r="11554" spans="1:7" ht="14.25" customHeight="1" x14ac:dyDescent="0.45">
      <c r="A11554" t="str">
        <f>_xlfn.XLOOKUP(B11554,Ingot!$H$12:$H$119,Ingot!$G$12:$G$119,"")</f>
        <v>Glass</v>
      </c>
      <c r="B11554" t="s">
        <v>23201</v>
      </c>
      <c r="C11554" t="s">
        <v>10</v>
      </c>
      <c r="D11554" t="s">
        <v>23220</v>
      </c>
      <c r="E11554" t="s">
        <v>23221</v>
      </c>
      <c r="G11554" s="1">
        <v>0.66</v>
      </c>
    </row>
    <row r="11555" spans="1:7" ht="14.25" customHeight="1" x14ac:dyDescent="0.45">
      <c r="A11555" t="str">
        <f>_xlfn.XLOOKUP(B11555,Ingot!$H$12:$H$119,Ingot!$G$12:$G$119,"")</f>
        <v>Glass</v>
      </c>
      <c r="B11555" t="s">
        <v>23201</v>
      </c>
      <c r="C11555" t="s">
        <v>10</v>
      </c>
      <c r="D11555" t="s">
        <v>23222</v>
      </c>
      <c r="E11555" t="s">
        <v>23223</v>
      </c>
      <c r="G11555" s="1">
        <v>3.96</v>
      </c>
    </row>
    <row r="11556" spans="1:7" ht="14.25" customHeight="1" x14ac:dyDescent="0.45">
      <c r="A11556" t="str">
        <f>_xlfn.XLOOKUP(B11556,Ingot!$H$12:$H$119,Ingot!$G$12:$G$119,"")</f>
        <v>Glass</v>
      </c>
      <c r="B11556" t="s">
        <v>23201</v>
      </c>
      <c r="C11556" t="s">
        <v>10</v>
      </c>
      <c r="D11556" t="s">
        <v>23224</v>
      </c>
      <c r="E11556" t="s">
        <v>23225</v>
      </c>
      <c r="G11556" s="1">
        <v>8.77</v>
      </c>
    </row>
    <row r="11557" spans="1:7" ht="14.25" customHeight="1" x14ac:dyDescent="0.45">
      <c r="A11557" t="str">
        <f>_xlfn.XLOOKUP(B11557,Ingot!$H$12:$H$119,Ingot!$G$12:$G$119,"")</f>
        <v>Glass</v>
      </c>
      <c r="B11557" t="s">
        <v>23201</v>
      </c>
      <c r="C11557" t="s">
        <v>10</v>
      </c>
      <c r="D11557" t="s">
        <v>23226</v>
      </c>
      <c r="E11557" t="s">
        <v>23227</v>
      </c>
      <c r="G11557" s="1">
        <v>3.5</v>
      </c>
    </row>
    <row r="11558" spans="1:7" ht="14.25" customHeight="1" x14ac:dyDescent="0.45">
      <c r="A11558" t="str">
        <f>_xlfn.XLOOKUP(B11558,Ingot!$H$12:$H$119,Ingot!$G$12:$G$119,"")</f>
        <v>Glass</v>
      </c>
      <c r="B11558" t="s">
        <v>23201</v>
      </c>
      <c r="C11558" t="s">
        <v>10</v>
      </c>
      <c r="D11558" t="s">
        <v>23228</v>
      </c>
      <c r="E11558" t="s">
        <v>23229</v>
      </c>
    </row>
    <row r="11559" spans="1:7" ht="14.25" customHeight="1" x14ac:dyDescent="0.45">
      <c r="A11559" t="str">
        <f>_xlfn.XLOOKUP(B11559,Ingot!$H$12:$H$119,Ingot!$G$12:$G$119,"")</f>
        <v>Glass</v>
      </c>
      <c r="B11559" t="s">
        <v>23201</v>
      </c>
      <c r="C11559" t="s">
        <v>10</v>
      </c>
      <c r="D11559" t="s">
        <v>23230</v>
      </c>
      <c r="E11559" t="s">
        <v>23231</v>
      </c>
      <c r="G11559" s="1">
        <v>2.2000000000000002</v>
      </c>
    </row>
    <row r="11560" spans="1:7" ht="14.25" customHeight="1" x14ac:dyDescent="0.45">
      <c r="A11560" t="str">
        <f>_xlfn.XLOOKUP(B11560,Ingot!$H$12:$H$119,Ingot!$G$12:$G$119,"")</f>
        <v>Glass</v>
      </c>
      <c r="B11560" t="s">
        <v>23201</v>
      </c>
      <c r="C11560" t="s">
        <v>10</v>
      </c>
      <c r="D11560" t="s">
        <v>23232</v>
      </c>
      <c r="E11560" t="s">
        <v>23233</v>
      </c>
      <c r="G11560" s="1">
        <v>1.1000000000000001</v>
      </c>
    </row>
    <row r="11561" spans="1:7" ht="14.25" customHeight="1" x14ac:dyDescent="0.45">
      <c r="A11561" t="str">
        <f>_xlfn.XLOOKUP(B11561,Ingot!$H$12:$H$119,Ingot!$G$12:$G$119,"")</f>
        <v>Glass</v>
      </c>
      <c r="B11561" t="s">
        <v>23201</v>
      </c>
      <c r="C11561" t="s">
        <v>10</v>
      </c>
      <c r="D11561" t="s">
        <v>23234</v>
      </c>
      <c r="E11561" t="s">
        <v>23235</v>
      </c>
      <c r="G11561" s="1">
        <v>0.22</v>
      </c>
    </row>
    <row r="11562" spans="1:7" ht="14.25" customHeight="1" x14ac:dyDescent="0.45">
      <c r="A11562" t="str">
        <f>_xlfn.XLOOKUP(B11562,Ingot!$H$12:$H$119,Ingot!$G$12:$G$119,"")</f>
        <v>Glass</v>
      </c>
      <c r="B11562" t="s">
        <v>23201</v>
      </c>
      <c r="C11562" t="s">
        <v>10</v>
      </c>
      <c r="D11562" t="s">
        <v>23236</v>
      </c>
      <c r="E11562" t="s">
        <v>23237</v>
      </c>
      <c r="G11562" s="1">
        <v>8.41</v>
      </c>
    </row>
    <row r="11563" spans="1:7" ht="14.25" customHeight="1" x14ac:dyDescent="0.45">
      <c r="A11563" t="str">
        <f>_xlfn.XLOOKUP(B11563,Ingot!$H$12:$H$119,Ingot!$G$12:$G$119,"")</f>
        <v>Glass</v>
      </c>
      <c r="B11563" t="s">
        <v>23201</v>
      </c>
      <c r="C11563" t="s">
        <v>10</v>
      </c>
      <c r="D11563" t="s">
        <v>23238</v>
      </c>
      <c r="E11563" t="s">
        <v>23239</v>
      </c>
      <c r="G11563" s="1">
        <v>3.64</v>
      </c>
    </row>
    <row r="11564" spans="1:7" ht="14.25" customHeight="1" x14ac:dyDescent="0.45">
      <c r="A11564" t="str">
        <f>_xlfn.XLOOKUP(B11564,Ingot!$H$12:$H$119,Ingot!$G$12:$G$119,"")</f>
        <v>Glass</v>
      </c>
      <c r="B11564" t="s">
        <v>23201</v>
      </c>
      <c r="C11564" t="s">
        <v>10</v>
      </c>
      <c r="D11564" t="s">
        <v>23240</v>
      </c>
      <c r="E11564" t="s">
        <v>23241</v>
      </c>
      <c r="G11564" s="1">
        <v>7.05</v>
      </c>
    </row>
    <row r="11565" spans="1:7" ht="14.25" customHeight="1" x14ac:dyDescent="0.45">
      <c r="A11565" t="str">
        <f>_xlfn.XLOOKUP(B11565,Ingot!$H$12:$H$119,Ingot!$G$12:$G$119,"")</f>
        <v>Glass</v>
      </c>
      <c r="B11565" t="s">
        <v>23201</v>
      </c>
      <c r="C11565" t="s">
        <v>10</v>
      </c>
      <c r="D11565" t="s">
        <v>23242</v>
      </c>
      <c r="E11565" t="s">
        <v>23243</v>
      </c>
      <c r="G11565" s="1">
        <v>2.65</v>
      </c>
    </row>
    <row r="11566" spans="1:7" ht="14.25" customHeight="1" x14ac:dyDescent="0.45">
      <c r="A11566" t="str">
        <f>_xlfn.XLOOKUP(B11566,Ingot!$H$12:$H$119,Ingot!$G$12:$G$119,"")</f>
        <v>Glass</v>
      </c>
      <c r="B11566" t="s">
        <v>23201</v>
      </c>
      <c r="C11566" t="s">
        <v>10</v>
      </c>
      <c r="D11566" t="s">
        <v>23244</v>
      </c>
      <c r="E11566" t="s">
        <v>23245</v>
      </c>
      <c r="G11566" s="1">
        <v>9</v>
      </c>
    </row>
    <row r="11567" spans="1:7" ht="14.25" customHeight="1" x14ac:dyDescent="0.45">
      <c r="A11567" t="str">
        <f>_xlfn.XLOOKUP(B11567,Ingot!$H$12:$H$119,Ingot!$G$12:$G$119,"")</f>
        <v>Glass</v>
      </c>
      <c r="B11567" t="s">
        <v>23201</v>
      </c>
      <c r="C11567" t="s">
        <v>10</v>
      </c>
      <c r="D11567" t="s">
        <v>23246</v>
      </c>
      <c r="E11567" t="s">
        <v>23247</v>
      </c>
      <c r="G11567" s="1">
        <v>10.23</v>
      </c>
    </row>
    <row r="11568" spans="1:7" ht="14.25" customHeight="1" x14ac:dyDescent="0.45">
      <c r="A11568" t="str">
        <f>_xlfn.XLOOKUP(B11568,Ingot!$H$12:$H$119,Ingot!$G$12:$G$119,"")</f>
        <v>Glass</v>
      </c>
      <c r="B11568" t="s">
        <v>23201</v>
      </c>
      <c r="C11568" t="s">
        <v>10</v>
      </c>
      <c r="D11568" t="s">
        <v>23248</v>
      </c>
      <c r="E11568" t="s">
        <v>23249</v>
      </c>
      <c r="G11568" s="1">
        <v>7.7</v>
      </c>
    </row>
    <row r="11569" spans="1:7" ht="14.25" customHeight="1" x14ac:dyDescent="0.45">
      <c r="A11569" t="str">
        <f>_xlfn.XLOOKUP(B11569,Ingot!$H$12:$H$119,Ingot!$G$12:$G$119,"")</f>
        <v>Glass</v>
      </c>
      <c r="B11569" t="s">
        <v>23201</v>
      </c>
      <c r="C11569" t="s">
        <v>10</v>
      </c>
      <c r="D11569" t="s">
        <v>23250</v>
      </c>
      <c r="E11569" t="s">
        <v>23251</v>
      </c>
      <c r="G11569" s="1">
        <v>10.02</v>
      </c>
    </row>
    <row r="11570" spans="1:7" ht="14.25" customHeight="1" x14ac:dyDescent="0.45">
      <c r="A11570" t="str">
        <f>_xlfn.XLOOKUP(B11570,Ingot!$H$12:$H$119,Ingot!$G$12:$G$119,"")</f>
        <v>Glass</v>
      </c>
      <c r="B11570" t="s">
        <v>23201</v>
      </c>
      <c r="C11570" t="s">
        <v>10</v>
      </c>
      <c r="D11570" t="s">
        <v>23252</v>
      </c>
      <c r="E11570" t="s">
        <v>23253</v>
      </c>
      <c r="G11570" s="1">
        <v>11.81</v>
      </c>
    </row>
    <row r="11571" spans="1:7" ht="14.25" customHeight="1" x14ac:dyDescent="0.45">
      <c r="A11571" t="str">
        <f>_xlfn.XLOOKUP(B11571,Ingot!$H$12:$H$119,Ingot!$G$12:$G$119,"")</f>
        <v>Glass</v>
      </c>
      <c r="B11571" t="s">
        <v>23201</v>
      </c>
      <c r="C11571" t="s">
        <v>10</v>
      </c>
      <c r="D11571" t="s">
        <v>23254</v>
      </c>
      <c r="E11571" t="s">
        <v>23255</v>
      </c>
      <c r="G11571" s="1">
        <v>8.44</v>
      </c>
    </row>
    <row r="11572" spans="1:7" ht="14.25" customHeight="1" x14ac:dyDescent="0.45">
      <c r="A11572" t="str">
        <f>_xlfn.XLOOKUP(B11572,Ingot!$H$12:$H$119,Ingot!$G$12:$G$119,"")</f>
        <v>Glass</v>
      </c>
      <c r="B11572" t="s">
        <v>23201</v>
      </c>
      <c r="C11572" t="s">
        <v>10</v>
      </c>
      <c r="D11572" t="s">
        <v>23256</v>
      </c>
      <c r="E11572" t="s">
        <v>23257</v>
      </c>
      <c r="G11572" s="1">
        <v>10.42</v>
      </c>
    </row>
    <row r="11573" spans="1:7" ht="14.25" customHeight="1" x14ac:dyDescent="0.45">
      <c r="A11573" t="str">
        <f>_xlfn.XLOOKUP(B11573,Ingot!$H$12:$H$119,Ingot!$G$12:$G$119,"")</f>
        <v>Glass</v>
      </c>
      <c r="B11573" t="s">
        <v>23201</v>
      </c>
      <c r="C11573" t="s">
        <v>10</v>
      </c>
      <c r="D11573" t="s">
        <v>23258</v>
      </c>
      <c r="E11573" t="s">
        <v>23259</v>
      </c>
    </row>
    <row r="11574" spans="1:7" ht="14.25" customHeight="1" x14ac:dyDescent="0.45">
      <c r="A11574" t="str">
        <f>_xlfn.XLOOKUP(B11574,Ingot!$H$12:$H$119,Ingot!$G$12:$G$119,"")</f>
        <v>Glass</v>
      </c>
      <c r="B11574" t="s">
        <v>23201</v>
      </c>
      <c r="C11574" t="s">
        <v>10</v>
      </c>
      <c r="D11574" t="s">
        <v>23260</v>
      </c>
      <c r="E11574" t="s">
        <v>23261</v>
      </c>
      <c r="G11574" s="1">
        <v>7.96</v>
      </c>
    </row>
    <row r="11575" spans="1:7" ht="14.25" customHeight="1" x14ac:dyDescent="0.45">
      <c r="A11575" t="str">
        <f>_xlfn.XLOOKUP(B11575,Ingot!$H$12:$H$119,Ingot!$G$12:$G$119,"")</f>
        <v>Glass</v>
      </c>
      <c r="B11575" t="s">
        <v>23201</v>
      </c>
      <c r="C11575" t="s">
        <v>10</v>
      </c>
      <c r="D11575" t="s">
        <v>23262</v>
      </c>
      <c r="E11575" t="s">
        <v>23263</v>
      </c>
      <c r="G11575" s="1">
        <v>9.64</v>
      </c>
    </row>
    <row r="11576" spans="1:7" ht="14.25" customHeight="1" x14ac:dyDescent="0.45">
      <c r="A11576" t="str">
        <f>_xlfn.XLOOKUP(B11576,Ingot!$H$12:$H$119,Ingot!$G$12:$G$119,"")</f>
        <v>Glass</v>
      </c>
      <c r="B11576" t="s">
        <v>23201</v>
      </c>
      <c r="C11576" t="s">
        <v>10</v>
      </c>
      <c r="D11576" t="s">
        <v>23264</v>
      </c>
      <c r="E11576" t="s">
        <v>23265</v>
      </c>
      <c r="G11576" s="1">
        <v>7.94</v>
      </c>
    </row>
    <row r="11577" spans="1:7" ht="14.25" customHeight="1" x14ac:dyDescent="0.45">
      <c r="A11577" t="str">
        <f>_xlfn.XLOOKUP(B11577,Ingot!$H$12:$H$119,Ingot!$G$12:$G$119,"")</f>
        <v>Glass</v>
      </c>
      <c r="B11577" t="s">
        <v>23201</v>
      </c>
      <c r="C11577" t="s">
        <v>10</v>
      </c>
      <c r="D11577" t="s">
        <v>23266</v>
      </c>
      <c r="E11577" t="s">
        <v>23267</v>
      </c>
      <c r="G11577" s="1">
        <v>8.66</v>
      </c>
    </row>
    <row r="11578" spans="1:7" ht="14.25" customHeight="1" x14ac:dyDescent="0.45">
      <c r="A11578" t="str">
        <f>_xlfn.XLOOKUP(B11578,Ingot!$H$12:$H$119,Ingot!$G$12:$G$119,"")</f>
        <v>Glass</v>
      </c>
      <c r="B11578" t="s">
        <v>23201</v>
      </c>
      <c r="C11578" t="s">
        <v>10</v>
      </c>
      <c r="D11578" t="s">
        <v>23268</v>
      </c>
      <c r="E11578" t="s">
        <v>23269</v>
      </c>
    </row>
    <row r="11579" spans="1:7" ht="14.25" customHeight="1" x14ac:dyDescent="0.45">
      <c r="A11579" t="str">
        <f>_xlfn.XLOOKUP(B11579,Ingot!$H$12:$H$119,Ingot!$G$12:$G$119,"")</f>
        <v>Glass</v>
      </c>
      <c r="B11579" t="s">
        <v>23201</v>
      </c>
      <c r="C11579" t="s">
        <v>10</v>
      </c>
      <c r="D11579" t="s">
        <v>23270</v>
      </c>
      <c r="E11579" t="s">
        <v>23271</v>
      </c>
      <c r="G11579" s="1">
        <v>2.65</v>
      </c>
    </row>
    <row r="11580" spans="1:7" ht="14.25" customHeight="1" x14ac:dyDescent="0.45">
      <c r="A11580" t="str">
        <f>_xlfn.XLOOKUP(B11580,Ingot!$H$12:$H$119,Ingot!$G$12:$G$119,"")</f>
        <v>Glass</v>
      </c>
      <c r="B11580" t="s">
        <v>23201</v>
      </c>
      <c r="C11580" t="s">
        <v>10</v>
      </c>
      <c r="D11580" t="s">
        <v>23272</v>
      </c>
      <c r="E11580" t="s">
        <v>23273</v>
      </c>
    </row>
    <row r="11581" spans="1:7" ht="14.25" customHeight="1" x14ac:dyDescent="0.45">
      <c r="A11581" t="str">
        <f>_xlfn.XLOOKUP(B11581,Ingot!$H$12:$H$119,Ingot!$G$12:$G$119,"")</f>
        <v>Glass</v>
      </c>
      <c r="B11581" t="s">
        <v>23201</v>
      </c>
      <c r="C11581" t="s">
        <v>10</v>
      </c>
      <c r="D11581" t="s">
        <v>23274</v>
      </c>
      <c r="E11581" t="s">
        <v>23275</v>
      </c>
      <c r="G11581" s="1">
        <v>12.64</v>
      </c>
    </row>
    <row r="11582" spans="1:7" ht="14.25" customHeight="1" x14ac:dyDescent="0.45">
      <c r="A11582" t="str">
        <f>_xlfn.XLOOKUP(B11582,Ingot!$H$12:$H$119,Ingot!$G$12:$G$119,"")</f>
        <v>Glass</v>
      </c>
      <c r="B11582" t="s">
        <v>23201</v>
      </c>
      <c r="C11582" t="s">
        <v>10</v>
      </c>
      <c r="D11582" t="s">
        <v>23276</v>
      </c>
      <c r="E11582" t="s">
        <v>23277</v>
      </c>
      <c r="G11582" s="1">
        <v>22.67</v>
      </c>
    </row>
    <row r="11583" spans="1:7" ht="14.25" customHeight="1" x14ac:dyDescent="0.45">
      <c r="A11583" t="str">
        <f>_xlfn.XLOOKUP(B11583,Ingot!$H$12:$H$119,Ingot!$G$12:$G$119,"")</f>
        <v>Glass</v>
      </c>
      <c r="B11583" t="s">
        <v>23201</v>
      </c>
      <c r="C11583" t="s">
        <v>10</v>
      </c>
      <c r="D11583" t="s">
        <v>23278</v>
      </c>
      <c r="E11583" t="s">
        <v>23279</v>
      </c>
      <c r="G11583" s="1">
        <v>8.3800000000000008</v>
      </c>
    </row>
    <row r="11584" spans="1:7" ht="14.25" customHeight="1" x14ac:dyDescent="0.45">
      <c r="A11584" t="str">
        <f>_xlfn.XLOOKUP(B11584,Ingot!$H$12:$H$119,Ingot!$G$12:$G$119,"")</f>
        <v>Glass</v>
      </c>
      <c r="B11584" t="s">
        <v>23201</v>
      </c>
      <c r="C11584" t="s">
        <v>10</v>
      </c>
      <c r="D11584" t="s">
        <v>23280</v>
      </c>
      <c r="E11584" t="s">
        <v>23281</v>
      </c>
      <c r="G11584" s="1">
        <v>2.2000000000000002</v>
      </c>
    </row>
    <row r="11585" spans="1:7" ht="14.25" customHeight="1" x14ac:dyDescent="0.45">
      <c r="A11585" t="str">
        <f>_xlfn.XLOOKUP(B11585,Ingot!$H$12:$H$119,Ingot!$G$12:$G$119,"")</f>
        <v>Glass</v>
      </c>
      <c r="B11585" t="s">
        <v>23201</v>
      </c>
      <c r="C11585" t="s">
        <v>10</v>
      </c>
      <c r="D11585" t="s">
        <v>23282</v>
      </c>
      <c r="E11585" t="s">
        <v>23283</v>
      </c>
      <c r="G11585" s="1">
        <v>3.09</v>
      </c>
    </row>
    <row r="11586" spans="1:7" ht="14.25" customHeight="1" x14ac:dyDescent="0.45">
      <c r="A11586" t="str">
        <f>_xlfn.XLOOKUP(B11586,Ingot!$H$12:$H$119,Ingot!$G$12:$G$119,"")</f>
        <v>Glass</v>
      </c>
      <c r="B11586" t="s">
        <v>23201</v>
      </c>
      <c r="C11586" t="s">
        <v>10</v>
      </c>
      <c r="D11586" t="s">
        <v>23284</v>
      </c>
      <c r="E11586" t="s">
        <v>23285</v>
      </c>
      <c r="G11586" s="1">
        <v>2.2999999999999998</v>
      </c>
    </row>
    <row r="11587" spans="1:7" ht="14.25" customHeight="1" x14ac:dyDescent="0.45">
      <c r="A11587" t="str">
        <f>_xlfn.XLOOKUP(B11587,Ingot!$H$12:$H$119,Ingot!$G$12:$G$119,"")</f>
        <v>Glass</v>
      </c>
      <c r="B11587" t="s">
        <v>23201</v>
      </c>
      <c r="C11587" t="s">
        <v>10</v>
      </c>
      <c r="D11587" t="s">
        <v>23286</v>
      </c>
      <c r="E11587" t="s">
        <v>23287</v>
      </c>
      <c r="G11587" s="1">
        <v>4.88</v>
      </c>
    </row>
    <row r="11588" spans="1:7" ht="14.25" customHeight="1" x14ac:dyDescent="0.45">
      <c r="A11588" t="str">
        <f>_xlfn.XLOOKUP(B11588,Ingot!$H$12:$H$119,Ingot!$G$12:$G$119,"")</f>
        <v>Glass</v>
      </c>
      <c r="B11588" t="s">
        <v>23201</v>
      </c>
      <c r="C11588" t="s">
        <v>10</v>
      </c>
      <c r="D11588" t="s">
        <v>23288</v>
      </c>
      <c r="E11588" t="s">
        <v>23289</v>
      </c>
      <c r="G11588" s="1">
        <v>8.43</v>
      </c>
    </row>
    <row r="11589" spans="1:7" ht="14.25" customHeight="1" x14ac:dyDescent="0.45">
      <c r="A11589" t="str">
        <f>_xlfn.XLOOKUP(B11589,Ingot!$H$12:$H$119,Ingot!$G$12:$G$119,"")</f>
        <v>Glass</v>
      </c>
      <c r="B11589" t="s">
        <v>23201</v>
      </c>
      <c r="C11589" t="s">
        <v>10</v>
      </c>
      <c r="D11589" t="s">
        <v>23290</v>
      </c>
      <c r="E11589" t="s">
        <v>23291</v>
      </c>
      <c r="G11589" s="1">
        <v>13.07</v>
      </c>
    </row>
    <row r="11590" spans="1:7" ht="14.25" customHeight="1" x14ac:dyDescent="0.45">
      <c r="A11590" t="str">
        <f>_xlfn.XLOOKUP(B11590,Ingot!$H$12:$H$119,Ingot!$G$12:$G$119,"")</f>
        <v>Glass</v>
      </c>
      <c r="B11590" t="s">
        <v>23201</v>
      </c>
      <c r="C11590" t="s">
        <v>10</v>
      </c>
      <c r="D11590" t="s">
        <v>23292</v>
      </c>
      <c r="E11590" t="s">
        <v>23293</v>
      </c>
    </row>
    <row r="11591" spans="1:7" ht="14.25" customHeight="1" x14ac:dyDescent="0.45">
      <c r="A11591" t="str">
        <f>_xlfn.XLOOKUP(B11591,Ingot!$H$12:$H$119,Ingot!$G$12:$G$119,"")</f>
        <v>Glass</v>
      </c>
      <c r="B11591" t="s">
        <v>23201</v>
      </c>
      <c r="C11591" t="s">
        <v>10</v>
      </c>
      <c r="D11591" t="s">
        <v>23294</v>
      </c>
      <c r="E11591" t="s">
        <v>23295</v>
      </c>
    </row>
    <row r="11592" spans="1:7" ht="14.25" customHeight="1" x14ac:dyDescent="0.45">
      <c r="A11592" t="str">
        <f>_xlfn.XLOOKUP(B11592,Ingot!$H$12:$H$119,Ingot!$G$12:$G$119,"")</f>
        <v>Glass</v>
      </c>
      <c r="B11592" t="s">
        <v>23201</v>
      </c>
      <c r="C11592" t="s">
        <v>10</v>
      </c>
      <c r="D11592" t="s">
        <v>23296</v>
      </c>
      <c r="E11592" t="s">
        <v>23297</v>
      </c>
      <c r="G11592" s="1">
        <v>6.8</v>
      </c>
    </row>
    <row r="11593" spans="1:7" ht="14.25" customHeight="1" x14ac:dyDescent="0.45">
      <c r="A11593" t="str">
        <f>_xlfn.XLOOKUP(B11593,Ingot!$H$12:$H$119,Ingot!$G$12:$G$119,"")</f>
        <v>Glass</v>
      </c>
      <c r="B11593" t="s">
        <v>23201</v>
      </c>
      <c r="C11593" t="s">
        <v>10</v>
      </c>
      <c r="D11593" t="s">
        <v>23298</v>
      </c>
      <c r="E11593" t="s">
        <v>23299</v>
      </c>
      <c r="G11593" s="1">
        <v>6.88</v>
      </c>
    </row>
    <row r="11594" spans="1:7" ht="14.25" customHeight="1" x14ac:dyDescent="0.45">
      <c r="A11594" t="str">
        <f>_xlfn.XLOOKUP(B11594,Ingot!$H$12:$H$119,Ingot!$G$12:$G$119,"")</f>
        <v>Glass</v>
      </c>
      <c r="B11594" t="s">
        <v>23201</v>
      </c>
      <c r="C11594" t="s">
        <v>10</v>
      </c>
      <c r="D11594" t="s">
        <v>23300</v>
      </c>
      <c r="E11594" t="s">
        <v>23301</v>
      </c>
      <c r="G11594" s="1">
        <v>5.5</v>
      </c>
    </row>
    <row r="11595" spans="1:7" ht="14.25" customHeight="1" x14ac:dyDescent="0.45">
      <c r="A11595" t="str">
        <f>_xlfn.XLOOKUP(B11595,Ingot!$H$12:$H$119,Ingot!$G$12:$G$119,"")</f>
        <v>Glass</v>
      </c>
      <c r="B11595" t="s">
        <v>23201</v>
      </c>
      <c r="C11595" t="s">
        <v>10</v>
      </c>
      <c r="D11595" t="s">
        <v>23302</v>
      </c>
      <c r="E11595" t="s">
        <v>23303</v>
      </c>
      <c r="G11595" s="1">
        <v>2.4300000000000002</v>
      </c>
    </row>
    <row r="11596" spans="1:7" ht="14.25" customHeight="1" x14ac:dyDescent="0.45">
      <c r="A11596" t="str">
        <f>_xlfn.XLOOKUP(B11596,Ingot!$H$12:$H$119,Ingot!$G$12:$G$119,"")</f>
        <v>Glass</v>
      </c>
      <c r="B11596" t="s">
        <v>23201</v>
      </c>
      <c r="C11596" t="s">
        <v>10</v>
      </c>
      <c r="D11596" t="s">
        <v>23304</v>
      </c>
      <c r="E11596" t="s">
        <v>23305</v>
      </c>
      <c r="G11596" s="1">
        <v>6.96</v>
      </c>
    </row>
    <row r="11597" spans="1:7" ht="14.25" customHeight="1" x14ac:dyDescent="0.45">
      <c r="A11597" t="str">
        <f>_xlfn.XLOOKUP(B11597,Ingot!$H$12:$H$119,Ingot!$G$12:$G$119,"")</f>
        <v>Glass</v>
      </c>
      <c r="B11597" t="s">
        <v>23201</v>
      </c>
      <c r="C11597" t="s">
        <v>10</v>
      </c>
      <c r="D11597" t="s">
        <v>23306</v>
      </c>
      <c r="E11597" t="s">
        <v>23307</v>
      </c>
      <c r="G11597" s="1">
        <v>6.32</v>
      </c>
    </row>
    <row r="11598" spans="1:7" ht="14.25" customHeight="1" x14ac:dyDescent="0.45">
      <c r="A11598" t="str">
        <f>_xlfn.XLOOKUP(B11598,Ingot!$H$12:$H$119,Ingot!$G$12:$G$119,"")</f>
        <v>Glass</v>
      </c>
      <c r="B11598" t="s">
        <v>23201</v>
      </c>
      <c r="C11598" t="s">
        <v>10</v>
      </c>
      <c r="D11598" t="s">
        <v>23308</v>
      </c>
      <c r="E11598" t="s">
        <v>23309</v>
      </c>
      <c r="G11598" s="1">
        <v>6.88</v>
      </c>
    </row>
    <row r="11599" spans="1:7" ht="14.25" customHeight="1" x14ac:dyDescent="0.45">
      <c r="A11599" t="str">
        <f>_xlfn.XLOOKUP(B11599,Ingot!$H$12:$H$119,Ingot!$G$12:$G$119,"")</f>
        <v>Glass</v>
      </c>
      <c r="B11599" t="s">
        <v>23201</v>
      </c>
      <c r="C11599" t="s">
        <v>10</v>
      </c>
      <c r="D11599" t="s">
        <v>23310</v>
      </c>
      <c r="E11599" t="s">
        <v>23311</v>
      </c>
      <c r="G11599" s="1">
        <v>2.44</v>
      </c>
    </row>
    <row r="11600" spans="1:7" ht="14.25" customHeight="1" x14ac:dyDescent="0.45">
      <c r="A11600" t="str">
        <f>_xlfn.XLOOKUP(B11600,Ingot!$H$12:$H$119,Ingot!$G$12:$G$119,"")</f>
        <v>Glass</v>
      </c>
      <c r="B11600" t="s">
        <v>23201</v>
      </c>
      <c r="C11600" t="s">
        <v>10</v>
      </c>
      <c r="D11600" t="s">
        <v>23312</v>
      </c>
      <c r="E11600" t="s">
        <v>23313</v>
      </c>
    </row>
    <row r="11601" spans="1:7" ht="14.25" customHeight="1" x14ac:dyDescent="0.45">
      <c r="A11601" t="str">
        <f>_xlfn.XLOOKUP(B11601,Ingot!$H$12:$H$119,Ingot!$G$12:$G$119,"")</f>
        <v>Glass</v>
      </c>
      <c r="B11601" t="s">
        <v>23201</v>
      </c>
      <c r="C11601" t="s">
        <v>10</v>
      </c>
      <c r="D11601" t="s">
        <v>23314</v>
      </c>
      <c r="E11601" t="s">
        <v>23315</v>
      </c>
    </row>
    <row r="11602" spans="1:7" ht="14.25" customHeight="1" x14ac:dyDescent="0.45">
      <c r="A11602" t="str">
        <f>_xlfn.XLOOKUP(B11602,Ingot!$H$12:$H$119,Ingot!$G$12:$G$119,"")</f>
        <v>Glass</v>
      </c>
      <c r="B11602" t="s">
        <v>23201</v>
      </c>
      <c r="C11602" t="s">
        <v>10</v>
      </c>
      <c r="D11602" t="s">
        <v>23316</v>
      </c>
      <c r="E11602" t="s">
        <v>23317</v>
      </c>
      <c r="G11602" s="1">
        <v>3.11</v>
      </c>
    </row>
    <row r="11603" spans="1:7" ht="14.25" customHeight="1" x14ac:dyDescent="0.45">
      <c r="A11603" t="str">
        <f>_xlfn.XLOOKUP(B11603,Ingot!$H$12:$H$119,Ingot!$G$12:$G$119,"")</f>
        <v>Glass</v>
      </c>
      <c r="B11603" t="s">
        <v>23201</v>
      </c>
      <c r="C11603" t="s">
        <v>10</v>
      </c>
      <c r="D11603" t="s">
        <v>23318</v>
      </c>
      <c r="E11603" t="s">
        <v>23319</v>
      </c>
      <c r="G11603" s="1">
        <v>2.44</v>
      </c>
    </row>
    <row r="11604" spans="1:7" ht="14.25" customHeight="1" x14ac:dyDescent="0.45">
      <c r="A11604" t="str">
        <f>_xlfn.XLOOKUP(B11604,Ingot!$H$12:$H$119,Ingot!$G$12:$G$119,"")</f>
        <v>Glass</v>
      </c>
      <c r="B11604" t="s">
        <v>23201</v>
      </c>
      <c r="C11604" t="s">
        <v>10</v>
      </c>
      <c r="D11604" t="s">
        <v>23320</v>
      </c>
      <c r="E11604" t="s">
        <v>23321</v>
      </c>
      <c r="G11604" s="1">
        <v>8.61</v>
      </c>
    </row>
    <row r="11605" spans="1:7" ht="14.25" customHeight="1" x14ac:dyDescent="0.45">
      <c r="A11605" t="str">
        <f>_xlfn.XLOOKUP(B11605,Ingot!$H$12:$H$119,Ingot!$G$12:$G$119,"")</f>
        <v>Glass</v>
      </c>
      <c r="B11605" t="s">
        <v>23201</v>
      </c>
      <c r="C11605" t="s">
        <v>10</v>
      </c>
      <c r="D11605" t="s">
        <v>23322</v>
      </c>
      <c r="E11605" t="s">
        <v>23323</v>
      </c>
    </row>
    <row r="11606" spans="1:7" ht="14.25" customHeight="1" x14ac:dyDescent="0.45">
      <c r="A11606" t="str">
        <f>_xlfn.XLOOKUP(B11606,Ingot!$H$12:$H$119,Ingot!$G$12:$G$119,"")</f>
        <v>Glass</v>
      </c>
      <c r="B11606" t="s">
        <v>23201</v>
      </c>
      <c r="C11606" t="s">
        <v>10</v>
      </c>
      <c r="D11606" t="s">
        <v>23324</v>
      </c>
      <c r="E11606" t="s">
        <v>23325</v>
      </c>
      <c r="G11606" s="1">
        <v>3.21</v>
      </c>
    </row>
    <row r="11607" spans="1:7" ht="14.25" customHeight="1" x14ac:dyDescent="0.45">
      <c r="A11607" t="str">
        <f>_xlfn.XLOOKUP(B11607,Ingot!$H$12:$H$119,Ingot!$G$12:$G$119,"")</f>
        <v>Glass</v>
      </c>
      <c r="B11607" t="s">
        <v>23201</v>
      </c>
      <c r="C11607" t="s">
        <v>10</v>
      </c>
      <c r="D11607" t="s">
        <v>23326</v>
      </c>
      <c r="E11607" t="s">
        <v>23327</v>
      </c>
      <c r="G11607" s="1">
        <v>2.77</v>
      </c>
    </row>
    <row r="11608" spans="1:7" ht="14.25" customHeight="1" x14ac:dyDescent="0.45">
      <c r="A11608" t="str">
        <f>_xlfn.XLOOKUP(B11608,Ingot!$H$12:$H$119,Ingot!$G$12:$G$119,"")</f>
        <v>Glass</v>
      </c>
      <c r="B11608" t="s">
        <v>23201</v>
      </c>
      <c r="C11608" t="s">
        <v>10</v>
      </c>
      <c r="D11608" t="s">
        <v>23328</v>
      </c>
      <c r="E11608" t="s">
        <v>23329</v>
      </c>
      <c r="G11608" s="1">
        <v>4.8899999999999997</v>
      </c>
    </row>
    <row r="11609" spans="1:7" ht="14.25" customHeight="1" x14ac:dyDescent="0.45">
      <c r="A11609" t="str">
        <f>_xlfn.XLOOKUP(B11609,Ingot!$H$12:$H$119,Ingot!$G$12:$G$119,"")</f>
        <v>Glass</v>
      </c>
      <c r="B11609" t="s">
        <v>23201</v>
      </c>
      <c r="C11609" t="s">
        <v>10</v>
      </c>
      <c r="D11609" t="s">
        <v>23330</v>
      </c>
      <c r="E11609" t="s">
        <v>23331</v>
      </c>
      <c r="G11609" s="1">
        <v>1.76</v>
      </c>
    </row>
    <row r="11610" spans="1:7" ht="14.25" customHeight="1" x14ac:dyDescent="0.45">
      <c r="A11610" t="str">
        <f>_xlfn.XLOOKUP(B11610,Ingot!$H$12:$H$119,Ingot!$G$12:$G$119,"")</f>
        <v>Glass</v>
      </c>
      <c r="B11610" t="s">
        <v>23201</v>
      </c>
      <c r="C11610" t="s">
        <v>10</v>
      </c>
      <c r="D11610" t="s">
        <v>23332</v>
      </c>
      <c r="E11610" t="s">
        <v>23333</v>
      </c>
    </row>
    <row r="11611" spans="1:7" ht="14.25" customHeight="1" x14ac:dyDescent="0.45">
      <c r="A11611" t="str">
        <f>_xlfn.XLOOKUP(B11611,Ingot!$H$12:$H$119,Ingot!$G$12:$G$119,"")</f>
        <v>Glass</v>
      </c>
      <c r="B11611" t="s">
        <v>23201</v>
      </c>
      <c r="C11611" t="s">
        <v>10</v>
      </c>
      <c r="D11611" t="s">
        <v>23334</v>
      </c>
      <c r="E11611" t="s">
        <v>23335</v>
      </c>
      <c r="G11611" s="1">
        <v>8.57</v>
      </c>
    </row>
    <row r="11612" spans="1:7" ht="14.25" customHeight="1" x14ac:dyDescent="0.45">
      <c r="A11612" t="str">
        <f>_xlfn.XLOOKUP(B11612,Ingot!$H$12:$H$119,Ingot!$G$12:$G$119,"")</f>
        <v>Glass</v>
      </c>
      <c r="B11612" t="s">
        <v>23201</v>
      </c>
      <c r="C11612" t="s">
        <v>10</v>
      </c>
      <c r="D11612" t="s">
        <v>23336</v>
      </c>
      <c r="E11612" t="s">
        <v>23337</v>
      </c>
    </row>
    <row r="11613" spans="1:7" ht="14.25" customHeight="1" x14ac:dyDescent="0.45">
      <c r="A11613" t="str">
        <f>_xlfn.XLOOKUP(B11613,Ingot!$H$12:$H$119,Ingot!$G$12:$G$119,"")</f>
        <v>Glass</v>
      </c>
      <c r="B11613" t="s">
        <v>23201</v>
      </c>
      <c r="C11613" t="s">
        <v>10</v>
      </c>
      <c r="D11613" t="s">
        <v>23338</v>
      </c>
      <c r="E11613" t="s">
        <v>23339</v>
      </c>
      <c r="G11613" s="1">
        <v>3.56</v>
      </c>
    </row>
    <row r="11614" spans="1:7" ht="14.25" customHeight="1" x14ac:dyDescent="0.45">
      <c r="A11614" t="str">
        <f>_xlfn.XLOOKUP(B11614,Ingot!$H$12:$H$119,Ingot!$G$12:$G$119,"")</f>
        <v>Glass</v>
      </c>
      <c r="B11614" t="s">
        <v>23201</v>
      </c>
      <c r="C11614" t="s">
        <v>10</v>
      </c>
      <c r="D11614" t="s">
        <v>23340</v>
      </c>
      <c r="E11614" t="s">
        <v>23341</v>
      </c>
      <c r="G11614" s="1">
        <v>8.91</v>
      </c>
    </row>
    <row r="11615" spans="1:7" ht="14.25" customHeight="1" x14ac:dyDescent="0.45">
      <c r="A11615" t="str">
        <f>_xlfn.XLOOKUP(B11615,Ingot!$H$12:$H$119,Ingot!$G$12:$G$119,"")</f>
        <v>Glass</v>
      </c>
      <c r="B11615" t="s">
        <v>23201</v>
      </c>
      <c r="C11615" t="s">
        <v>10</v>
      </c>
      <c r="D11615" t="s">
        <v>23342</v>
      </c>
      <c r="E11615" t="s">
        <v>23343</v>
      </c>
      <c r="G11615" s="1">
        <v>11.02</v>
      </c>
    </row>
    <row r="11616" spans="1:7" ht="14.25" customHeight="1" x14ac:dyDescent="0.45">
      <c r="A11616" t="str">
        <f>_xlfn.XLOOKUP(B11616,Ingot!$H$12:$H$119,Ingot!$G$12:$G$119,"")</f>
        <v>Glass</v>
      </c>
      <c r="B11616" t="s">
        <v>23201</v>
      </c>
      <c r="C11616" t="s">
        <v>10</v>
      </c>
      <c r="D11616" t="s">
        <v>23344</v>
      </c>
      <c r="E11616" t="s">
        <v>23345</v>
      </c>
      <c r="G11616" s="1">
        <v>5.12</v>
      </c>
    </row>
    <row r="11617" spans="1:7" ht="14.25" customHeight="1" x14ac:dyDescent="0.45">
      <c r="A11617" t="str">
        <f>_xlfn.XLOOKUP(B11617,Ingot!$H$12:$H$119,Ingot!$G$12:$G$119,"")</f>
        <v>Glass</v>
      </c>
      <c r="B11617" t="s">
        <v>23201</v>
      </c>
      <c r="C11617" t="s">
        <v>10</v>
      </c>
      <c r="D11617" t="s">
        <v>23346</v>
      </c>
      <c r="E11617" t="s">
        <v>23347</v>
      </c>
      <c r="G11617" s="1">
        <v>4.41</v>
      </c>
    </row>
    <row r="11618" spans="1:7" ht="14.25" customHeight="1" x14ac:dyDescent="0.45">
      <c r="A11618" t="str">
        <f>_xlfn.XLOOKUP(B11618,Ingot!$H$12:$H$119,Ingot!$G$12:$G$119,"")</f>
        <v>Glass</v>
      </c>
      <c r="B11618" t="s">
        <v>23201</v>
      </c>
      <c r="C11618" t="s">
        <v>157</v>
      </c>
      <c r="D11618" t="s">
        <v>23348</v>
      </c>
      <c r="E11618" t="s">
        <v>23349</v>
      </c>
      <c r="G11618" s="1">
        <v>28.6</v>
      </c>
    </row>
    <row r="11619" spans="1:7" ht="14.25" customHeight="1" x14ac:dyDescent="0.45">
      <c r="A11619" t="str">
        <f>_xlfn.XLOOKUP(B11619,Ingot!$H$12:$H$119,Ingot!$G$12:$G$119,"")</f>
        <v>Glass</v>
      </c>
      <c r="B11619" t="s">
        <v>23201</v>
      </c>
      <c r="C11619" t="s">
        <v>157</v>
      </c>
      <c r="D11619" t="s">
        <v>23350</v>
      </c>
      <c r="E11619" t="s">
        <v>23351</v>
      </c>
      <c r="G11619" s="1">
        <v>5.72</v>
      </c>
    </row>
    <row r="11620" spans="1:7" ht="14.25" customHeight="1" x14ac:dyDescent="0.45">
      <c r="A11620" t="str">
        <f>_xlfn.XLOOKUP(B11620,Ingot!$H$12:$H$119,Ingot!$G$12:$G$119,"")</f>
        <v>Glass</v>
      </c>
      <c r="B11620" t="s">
        <v>23201</v>
      </c>
      <c r="C11620" t="s">
        <v>157</v>
      </c>
      <c r="D11620" t="s">
        <v>23352</v>
      </c>
      <c r="E11620" t="s">
        <v>23353</v>
      </c>
      <c r="G11620" s="1">
        <v>5.72</v>
      </c>
    </row>
    <row r="11621" spans="1:7" ht="14.25" customHeight="1" x14ac:dyDescent="0.45">
      <c r="A11621" t="str">
        <f>_xlfn.XLOOKUP(B11621,Ingot!$H$12:$H$119,Ingot!$G$12:$G$119,"")</f>
        <v>Glass</v>
      </c>
      <c r="B11621" t="s">
        <v>23201</v>
      </c>
      <c r="C11621" t="s">
        <v>157</v>
      </c>
      <c r="D11621" t="s">
        <v>23354</v>
      </c>
      <c r="E11621" t="s">
        <v>23355</v>
      </c>
      <c r="G11621" s="1">
        <v>5</v>
      </c>
    </row>
    <row r="11622" spans="1:7" ht="14.25" customHeight="1" x14ac:dyDescent="0.45">
      <c r="A11622" t="str">
        <f>_xlfn.XLOOKUP(B11622,Ingot!$H$12:$H$119,Ingot!$G$12:$G$119,"")</f>
        <v>Glass</v>
      </c>
      <c r="B11622" t="s">
        <v>23201</v>
      </c>
      <c r="C11622" t="s">
        <v>157</v>
      </c>
      <c r="D11622" t="s">
        <v>23356</v>
      </c>
      <c r="E11622" t="s">
        <v>23357</v>
      </c>
      <c r="G11622" s="1">
        <v>10</v>
      </c>
    </row>
    <row r="11623" spans="1:7" ht="14.25" customHeight="1" x14ac:dyDescent="0.45">
      <c r="A11623" t="str">
        <f>_xlfn.XLOOKUP(B11623,Ingot!$H$12:$H$119,Ingot!$G$12:$G$119,"")</f>
        <v>Glass</v>
      </c>
      <c r="B11623" t="s">
        <v>23201</v>
      </c>
      <c r="C11623" t="s">
        <v>157</v>
      </c>
      <c r="D11623" t="s">
        <v>23358</v>
      </c>
      <c r="E11623" t="s">
        <v>23359</v>
      </c>
      <c r="G11623" s="1">
        <v>24.6</v>
      </c>
    </row>
    <row r="11624" spans="1:7" ht="14.25" customHeight="1" x14ac:dyDescent="0.45">
      <c r="A11624" t="str">
        <f>_xlfn.XLOOKUP(B11624,Ingot!$H$12:$H$119,Ingot!$G$12:$G$119,"")</f>
        <v>Glass</v>
      </c>
      <c r="B11624" t="s">
        <v>23201</v>
      </c>
      <c r="C11624" t="s">
        <v>157</v>
      </c>
      <c r="D11624" t="s">
        <v>23360</v>
      </c>
      <c r="E11624" t="s">
        <v>23361</v>
      </c>
      <c r="G11624" s="1">
        <v>5</v>
      </c>
    </row>
    <row r="11625" spans="1:7" ht="14.25" customHeight="1" x14ac:dyDescent="0.45">
      <c r="A11625" t="str">
        <f>_xlfn.XLOOKUP(B11625,Ingot!$H$12:$H$119,Ingot!$G$12:$G$119,"")</f>
        <v>Glass</v>
      </c>
      <c r="B11625" t="s">
        <v>23201</v>
      </c>
      <c r="C11625" t="s">
        <v>157</v>
      </c>
      <c r="D11625" t="s">
        <v>23362</v>
      </c>
      <c r="E11625" t="s">
        <v>23363</v>
      </c>
      <c r="G11625" s="1">
        <v>5</v>
      </c>
    </row>
    <row r="11626" spans="1:7" ht="14.25" customHeight="1" x14ac:dyDescent="0.45">
      <c r="A11626" t="str">
        <f>_xlfn.XLOOKUP(B11626,Ingot!$H$12:$H$119,Ingot!$G$12:$G$119,"")</f>
        <v>Glass</v>
      </c>
      <c r="B11626" t="s">
        <v>23201</v>
      </c>
      <c r="C11626" t="s">
        <v>157</v>
      </c>
      <c r="D11626" t="s">
        <v>23364</v>
      </c>
      <c r="E11626" t="s">
        <v>23365</v>
      </c>
      <c r="G11626" s="1">
        <v>5</v>
      </c>
    </row>
    <row r="11627" spans="1:7" ht="14.25" customHeight="1" x14ac:dyDescent="0.45">
      <c r="A11627" t="str">
        <f>_xlfn.XLOOKUP(B11627,Ingot!$H$12:$H$119,Ingot!$G$12:$G$119,"")</f>
        <v>Glass</v>
      </c>
      <c r="B11627" t="s">
        <v>23201</v>
      </c>
      <c r="C11627" t="s">
        <v>157</v>
      </c>
      <c r="D11627" t="s">
        <v>23366</v>
      </c>
      <c r="E11627" t="s">
        <v>23367</v>
      </c>
      <c r="G11627" s="1">
        <v>10</v>
      </c>
    </row>
    <row r="11628" spans="1:7" ht="14.25" customHeight="1" x14ac:dyDescent="0.45">
      <c r="A11628" t="str">
        <f>_xlfn.XLOOKUP(B11628,Ingot!$H$12:$H$119,Ingot!$G$12:$G$119,"")</f>
        <v>Glass</v>
      </c>
      <c r="B11628" t="s">
        <v>23201</v>
      </c>
      <c r="C11628" t="s">
        <v>157</v>
      </c>
      <c r="D11628" t="s">
        <v>23368</v>
      </c>
      <c r="E11628" t="s">
        <v>23369</v>
      </c>
      <c r="F11628" t="s">
        <v>180</v>
      </c>
      <c r="G11628" s="1">
        <v>23.6</v>
      </c>
    </row>
    <row r="11629" spans="1:7" ht="14.25" customHeight="1" x14ac:dyDescent="0.45">
      <c r="A11629" t="str">
        <f>_xlfn.XLOOKUP(B11629,Ingot!$H$12:$H$119,Ingot!$G$12:$G$119,"")</f>
        <v>Glass</v>
      </c>
      <c r="B11629" t="s">
        <v>23201</v>
      </c>
      <c r="C11629" t="s">
        <v>157</v>
      </c>
      <c r="D11629" t="s">
        <v>23370</v>
      </c>
      <c r="E11629" t="s">
        <v>23371</v>
      </c>
      <c r="F11629" t="s">
        <v>180</v>
      </c>
      <c r="G11629" s="1">
        <v>5</v>
      </c>
    </row>
    <row r="11630" spans="1:7" ht="14.25" customHeight="1" x14ac:dyDescent="0.45">
      <c r="A11630" t="str">
        <f>_xlfn.XLOOKUP(B11630,Ingot!$H$12:$H$119,Ingot!$G$12:$G$119,"")</f>
        <v>Glass</v>
      </c>
      <c r="B11630" t="s">
        <v>23201</v>
      </c>
      <c r="C11630" t="s">
        <v>157</v>
      </c>
      <c r="D11630" t="s">
        <v>23372</v>
      </c>
      <c r="E11630" t="s">
        <v>23373</v>
      </c>
      <c r="F11630" t="s">
        <v>180</v>
      </c>
      <c r="G11630" s="1">
        <v>5</v>
      </c>
    </row>
    <row r="11631" spans="1:7" ht="14.25" customHeight="1" x14ac:dyDescent="0.45">
      <c r="A11631" t="str">
        <f>_xlfn.XLOOKUP(B11631,Ingot!$H$12:$H$119,Ingot!$G$12:$G$119,"")</f>
        <v>Glass</v>
      </c>
      <c r="B11631" t="s">
        <v>23201</v>
      </c>
      <c r="C11631" t="s">
        <v>157</v>
      </c>
      <c r="D11631" t="s">
        <v>23374</v>
      </c>
      <c r="E11631" t="s">
        <v>23375</v>
      </c>
      <c r="F11631" t="s">
        <v>180</v>
      </c>
      <c r="G11631" s="1">
        <v>5</v>
      </c>
    </row>
    <row r="11632" spans="1:7" ht="14.25" customHeight="1" x14ac:dyDescent="0.45">
      <c r="A11632" t="str">
        <f>_xlfn.XLOOKUP(B11632,Ingot!$H$12:$H$119,Ingot!$G$12:$G$119,"")</f>
        <v>Glass</v>
      </c>
      <c r="B11632" t="s">
        <v>23201</v>
      </c>
      <c r="C11632" t="s">
        <v>157</v>
      </c>
      <c r="D11632" t="s">
        <v>23376</v>
      </c>
      <c r="E11632" t="s">
        <v>23377</v>
      </c>
      <c r="F11632" t="s">
        <v>180</v>
      </c>
      <c r="G11632" s="1">
        <v>10</v>
      </c>
    </row>
    <row r="11633" spans="1:7" ht="14.25" customHeight="1" x14ac:dyDescent="0.45">
      <c r="A11633" t="str">
        <f>_xlfn.XLOOKUP(B11633,Ingot!$H$12:$H$119,Ingot!$G$12:$G$119,"")</f>
        <v>Glass</v>
      </c>
      <c r="B11633" t="s">
        <v>23201</v>
      </c>
      <c r="C11633" t="s">
        <v>157</v>
      </c>
      <c r="D11633" t="s">
        <v>23378</v>
      </c>
      <c r="E11633" t="s">
        <v>23379</v>
      </c>
      <c r="G11633" s="1">
        <v>25.6</v>
      </c>
    </row>
    <row r="11634" spans="1:7" ht="14.25" customHeight="1" x14ac:dyDescent="0.45">
      <c r="A11634" t="str">
        <f>_xlfn.XLOOKUP(B11634,Ingot!$H$12:$H$119,Ingot!$G$12:$G$119,"")</f>
        <v>Glass</v>
      </c>
      <c r="B11634" t="s">
        <v>23201</v>
      </c>
      <c r="C11634" t="s">
        <v>157</v>
      </c>
      <c r="D11634" t="s">
        <v>23380</v>
      </c>
      <c r="E11634" t="s">
        <v>23381</v>
      </c>
      <c r="G11634" s="1">
        <v>5.12</v>
      </c>
    </row>
    <row r="11635" spans="1:7" ht="14.25" customHeight="1" x14ac:dyDescent="0.45">
      <c r="A11635" t="str">
        <f>_xlfn.XLOOKUP(B11635,Ingot!$H$12:$H$119,Ingot!$G$12:$G$119,"")</f>
        <v>Glass</v>
      </c>
      <c r="B11635" t="s">
        <v>23201</v>
      </c>
      <c r="C11635" t="s">
        <v>157</v>
      </c>
      <c r="D11635" t="s">
        <v>23382</v>
      </c>
      <c r="E11635" t="s">
        <v>23383</v>
      </c>
      <c r="G11635" s="1">
        <v>5.12</v>
      </c>
    </row>
    <row r="11636" spans="1:7" ht="14.25" customHeight="1" x14ac:dyDescent="0.45">
      <c r="A11636" t="str">
        <f>_xlfn.XLOOKUP(B11636,Ingot!$H$12:$H$119,Ingot!$G$12:$G$119,"")</f>
        <v>Glass</v>
      </c>
      <c r="B11636" t="s">
        <v>23201</v>
      </c>
      <c r="C11636" t="s">
        <v>157</v>
      </c>
      <c r="D11636" t="s">
        <v>23384</v>
      </c>
      <c r="E11636" t="s">
        <v>23385</v>
      </c>
      <c r="G11636" s="1">
        <v>5</v>
      </c>
    </row>
    <row r="11637" spans="1:7" ht="14.25" customHeight="1" x14ac:dyDescent="0.45">
      <c r="A11637" t="str">
        <f>_xlfn.XLOOKUP(B11637,Ingot!$H$12:$H$119,Ingot!$G$12:$G$119,"")</f>
        <v>Glass</v>
      </c>
      <c r="B11637" t="s">
        <v>23201</v>
      </c>
      <c r="C11637" t="s">
        <v>157</v>
      </c>
      <c r="D11637" t="s">
        <v>23386</v>
      </c>
      <c r="E11637" t="s">
        <v>23387</v>
      </c>
      <c r="G11637" s="1">
        <v>10</v>
      </c>
    </row>
    <row r="11638" spans="1:7" ht="14.25" customHeight="1" x14ac:dyDescent="0.45">
      <c r="A11638" t="str">
        <f>_xlfn.XLOOKUP(B11638,Ingot!$H$12:$H$119,Ingot!$G$12:$G$119,"")</f>
        <v>Glass</v>
      </c>
      <c r="B11638" t="s">
        <v>23201</v>
      </c>
      <c r="C11638" t="s">
        <v>157</v>
      </c>
      <c r="D11638" t="s">
        <v>23388</v>
      </c>
      <c r="E11638" t="s">
        <v>23389</v>
      </c>
      <c r="G11638" s="1">
        <v>27.1</v>
      </c>
    </row>
    <row r="11639" spans="1:7" ht="14.25" customHeight="1" x14ac:dyDescent="0.45">
      <c r="A11639" t="str">
        <f>_xlfn.XLOOKUP(B11639,Ingot!$H$12:$H$119,Ingot!$G$12:$G$119,"")</f>
        <v>Glass</v>
      </c>
      <c r="B11639" t="s">
        <v>23201</v>
      </c>
      <c r="C11639" t="s">
        <v>157</v>
      </c>
      <c r="D11639" t="s">
        <v>23390</v>
      </c>
      <c r="E11639" t="s">
        <v>23391</v>
      </c>
      <c r="F11639" t="s">
        <v>180</v>
      </c>
      <c r="G11639" s="1">
        <v>5.42</v>
      </c>
    </row>
    <row r="11640" spans="1:7" ht="14.25" customHeight="1" x14ac:dyDescent="0.45">
      <c r="A11640" t="str">
        <f>_xlfn.XLOOKUP(B11640,Ingot!$H$12:$H$119,Ingot!$G$12:$G$119,"")</f>
        <v>Glass</v>
      </c>
      <c r="B11640" t="s">
        <v>23201</v>
      </c>
      <c r="C11640" t="s">
        <v>157</v>
      </c>
      <c r="D11640" t="s">
        <v>23392</v>
      </c>
      <c r="E11640" t="s">
        <v>23393</v>
      </c>
      <c r="F11640" t="s">
        <v>180</v>
      </c>
      <c r="G11640" s="1">
        <v>5.42</v>
      </c>
    </row>
    <row r="11641" spans="1:7" ht="14.25" customHeight="1" x14ac:dyDescent="0.45">
      <c r="A11641" t="str">
        <f>_xlfn.XLOOKUP(B11641,Ingot!$H$12:$H$119,Ingot!$G$12:$G$119,"")</f>
        <v>Glass</v>
      </c>
      <c r="B11641" t="s">
        <v>23201</v>
      </c>
      <c r="C11641" t="s">
        <v>157</v>
      </c>
      <c r="D11641" t="s">
        <v>23394</v>
      </c>
      <c r="E11641" t="s">
        <v>23395</v>
      </c>
      <c r="F11641" t="s">
        <v>180</v>
      </c>
      <c r="G11641" s="1">
        <v>5</v>
      </c>
    </row>
    <row r="11642" spans="1:7" ht="14.25" customHeight="1" x14ac:dyDescent="0.45">
      <c r="A11642" t="str">
        <f>_xlfn.XLOOKUP(B11642,Ingot!$H$12:$H$119,Ingot!$G$12:$G$119,"")</f>
        <v>Glass</v>
      </c>
      <c r="B11642" t="s">
        <v>23201</v>
      </c>
      <c r="C11642" t="s">
        <v>157</v>
      </c>
      <c r="D11642" t="s">
        <v>23396</v>
      </c>
      <c r="E11642" t="s">
        <v>23397</v>
      </c>
      <c r="G11642" s="1">
        <v>10</v>
      </c>
    </row>
    <row r="11643" spans="1:7" ht="14.25" customHeight="1" x14ac:dyDescent="0.45">
      <c r="A11643" t="str">
        <f>_xlfn.XLOOKUP(B11643,Ingot!$H$12:$H$119,Ingot!$G$12:$G$119,"")</f>
        <v>Glass</v>
      </c>
      <c r="B11643" t="s">
        <v>23201</v>
      </c>
      <c r="C11643" t="s">
        <v>157</v>
      </c>
      <c r="D11643" t="s">
        <v>23398</v>
      </c>
      <c r="E11643" t="s">
        <v>23399</v>
      </c>
      <c r="G11643" s="1">
        <v>31.6</v>
      </c>
    </row>
    <row r="11644" spans="1:7" ht="14.25" customHeight="1" x14ac:dyDescent="0.45">
      <c r="A11644" t="str">
        <f>_xlfn.XLOOKUP(B11644,Ingot!$H$12:$H$119,Ingot!$G$12:$G$119,"")</f>
        <v>Glass</v>
      </c>
      <c r="B11644" t="s">
        <v>23201</v>
      </c>
      <c r="C11644" t="s">
        <v>157</v>
      </c>
      <c r="D11644" t="s">
        <v>23400</v>
      </c>
      <c r="E11644" t="s">
        <v>23401</v>
      </c>
      <c r="G11644" s="1">
        <v>6.32</v>
      </c>
    </row>
    <row r="11645" spans="1:7" ht="14.25" customHeight="1" x14ac:dyDescent="0.45">
      <c r="A11645" t="str">
        <f>_xlfn.XLOOKUP(B11645,Ingot!$H$12:$H$119,Ingot!$G$12:$G$119,"")</f>
        <v>Glass</v>
      </c>
      <c r="B11645" t="s">
        <v>23201</v>
      </c>
      <c r="C11645" t="s">
        <v>157</v>
      </c>
      <c r="D11645" t="s">
        <v>23402</v>
      </c>
      <c r="E11645" t="s">
        <v>23403</v>
      </c>
      <c r="G11645" s="1">
        <v>6.32</v>
      </c>
    </row>
    <row r="11646" spans="1:7" ht="14.25" customHeight="1" x14ac:dyDescent="0.45">
      <c r="A11646" t="str">
        <f>_xlfn.XLOOKUP(B11646,Ingot!$H$12:$H$119,Ingot!$G$12:$G$119,"")</f>
        <v>Glass</v>
      </c>
      <c r="B11646" t="s">
        <v>23201</v>
      </c>
      <c r="C11646" t="s">
        <v>157</v>
      </c>
      <c r="D11646" t="s">
        <v>23404</v>
      </c>
      <c r="E11646" t="s">
        <v>23405</v>
      </c>
      <c r="G11646" s="1">
        <v>5</v>
      </c>
    </row>
    <row r="11647" spans="1:7" ht="14.25" customHeight="1" x14ac:dyDescent="0.45">
      <c r="A11647" t="str">
        <f>_xlfn.XLOOKUP(B11647,Ingot!$H$12:$H$119,Ingot!$G$12:$G$119,"")</f>
        <v>Glass</v>
      </c>
      <c r="B11647" t="s">
        <v>23201</v>
      </c>
      <c r="C11647" t="s">
        <v>157</v>
      </c>
      <c r="D11647" t="s">
        <v>23406</v>
      </c>
      <c r="E11647" t="s">
        <v>23407</v>
      </c>
      <c r="G11647" s="1">
        <v>10</v>
      </c>
    </row>
    <row r="11648" spans="1:7" ht="14.25" customHeight="1" x14ac:dyDescent="0.45">
      <c r="A11648" t="str">
        <f>_xlfn.XLOOKUP(B11648,Ingot!$H$12:$H$119,Ingot!$G$12:$G$119,"")</f>
        <v>Glass</v>
      </c>
      <c r="B11648" t="s">
        <v>23201</v>
      </c>
      <c r="C11648" t="s">
        <v>157</v>
      </c>
      <c r="D11648" t="s">
        <v>23408</v>
      </c>
      <c r="E11648" t="s">
        <v>23409</v>
      </c>
      <c r="G11648" s="1">
        <v>30.1</v>
      </c>
    </row>
    <row r="11649" spans="1:7" ht="14.25" customHeight="1" x14ac:dyDescent="0.45">
      <c r="A11649" t="str">
        <f>_xlfn.XLOOKUP(B11649,Ingot!$H$12:$H$119,Ingot!$G$12:$G$119,"")</f>
        <v>Glass</v>
      </c>
      <c r="B11649" t="s">
        <v>23201</v>
      </c>
      <c r="C11649" t="s">
        <v>157</v>
      </c>
      <c r="D11649" t="s">
        <v>23410</v>
      </c>
      <c r="E11649" t="s">
        <v>23411</v>
      </c>
      <c r="G11649" s="1">
        <v>6.02</v>
      </c>
    </row>
    <row r="11650" spans="1:7" ht="14.25" customHeight="1" x14ac:dyDescent="0.45">
      <c r="A11650" t="str">
        <f>_xlfn.XLOOKUP(B11650,Ingot!$H$12:$H$119,Ingot!$G$12:$G$119,"")</f>
        <v>Glass</v>
      </c>
      <c r="B11650" t="s">
        <v>23201</v>
      </c>
      <c r="C11650" t="s">
        <v>157</v>
      </c>
      <c r="D11650" t="s">
        <v>23412</v>
      </c>
      <c r="E11650" t="s">
        <v>23413</v>
      </c>
      <c r="G11650" s="1">
        <v>6.02</v>
      </c>
    </row>
    <row r="11651" spans="1:7" ht="14.25" customHeight="1" x14ac:dyDescent="0.45">
      <c r="A11651" t="str">
        <f>_xlfn.XLOOKUP(B11651,Ingot!$H$12:$H$119,Ingot!$G$12:$G$119,"")</f>
        <v>Glass</v>
      </c>
      <c r="B11651" t="s">
        <v>23201</v>
      </c>
      <c r="C11651" t="s">
        <v>157</v>
      </c>
      <c r="D11651" t="s">
        <v>23414</v>
      </c>
      <c r="E11651" t="s">
        <v>23415</v>
      </c>
      <c r="G11651" s="1">
        <v>5</v>
      </c>
    </row>
    <row r="11652" spans="1:7" ht="14.25" customHeight="1" x14ac:dyDescent="0.45">
      <c r="A11652" t="str">
        <f>_xlfn.XLOOKUP(B11652,Ingot!$H$12:$H$119,Ingot!$G$12:$G$119,"")</f>
        <v>Glass</v>
      </c>
      <c r="B11652" t="s">
        <v>23201</v>
      </c>
      <c r="C11652" t="s">
        <v>157</v>
      </c>
      <c r="D11652" t="s">
        <v>23416</v>
      </c>
      <c r="E11652" t="s">
        <v>23417</v>
      </c>
      <c r="G11652" s="1">
        <v>10</v>
      </c>
    </row>
    <row r="11653" spans="1:7" ht="14.25" customHeight="1" x14ac:dyDescent="0.45">
      <c r="A11653" t="str">
        <f>_xlfn.XLOOKUP(B11653,Ingot!$H$12:$H$119,Ingot!$G$12:$G$119,"")</f>
        <v>Glass</v>
      </c>
      <c r="B11653" t="s">
        <v>23201</v>
      </c>
      <c r="C11653" t="s">
        <v>157</v>
      </c>
      <c r="D11653" t="s">
        <v>23418</v>
      </c>
      <c r="E11653" t="s">
        <v>23419</v>
      </c>
      <c r="F11653" t="s">
        <v>180</v>
      </c>
      <c r="G11653" s="1">
        <v>22.6</v>
      </c>
    </row>
    <row r="11654" spans="1:7" ht="14.25" customHeight="1" x14ac:dyDescent="0.45">
      <c r="A11654" t="str">
        <f>_xlfn.XLOOKUP(B11654,Ingot!$H$12:$H$119,Ingot!$G$12:$G$119,"")</f>
        <v>Glass</v>
      </c>
      <c r="B11654" t="s">
        <v>23201</v>
      </c>
      <c r="C11654" t="s">
        <v>157</v>
      </c>
      <c r="D11654" t="s">
        <v>23420</v>
      </c>
      <c r="E11654" t="s">
        <v>23421</v>
      </c>
      <c r="F11654" t="s">
        <v>180</v>
      </c>
      <c r="G11654" s="1">
        <v>5</v>
      </c>
    </row>
    <row r="11655" spans="1:7" ht="14.25" customHeight="1" x14ac:dyDescent="0.45">
      <c r="A11655" t="str">
        <f>_xlfn.XLOOKUP(B11655,Ingot!$H$12:$H$119,Ingot!$G$12:$G$119,"")</f>
        <v>Glass</v>
      </c>
      <c r="B11655" t="s">
        <v>23201</v>
      </c>
      <c r="C11655" t="s">
        <v>157</v>
      </c>
      <c r="D11655" t="s">
        <v>23422</v>
      </c>
      <c r="E11655" t="s">
        <v>23423</v>
      </c>
      <c r="F11655" t="s">
        <v>180</v>
      </c>
      <c r="G11655" s="1">
        <v>5</v>
      </c>
    </row>
    <row r="11656" spans="1:7" ht="14.25" customHeight="1" x14ac:dyDescent="0.45">
      <c r="A11656" t="str">
        <f>_xlfn.XLOOKUP(B11656,Ingot!$H$12:$H$119,Ingot!$G$12:$G$119,"")</f>
        <v>Glass</v>
      </c>
      <c r="B11656" t="s">
        <v>23201</v>
      </c>
      <c r="C11656" t="s">
        <v>157</v>
      </c>
      <c r="D11656" t="s">
        <v>23424</v>
      </c>
      <c r="E11656" t="s">
        <v>23425</v>
      </c>
      <c r="F11656" t="s">
        <v>180</v>
      </c>
      <c r="G11656" s="1">
        <v>5</v>
      </c>
    </row>
    <row r="11657" spans="1:7" ht="14.25" customHeight="1" x14ac:dyDescent="0.45">
      <c r="A11657" t="str">
        <f>_xlfn.XLOOKUP(B11657,Ingot!$H$12:$H$119,Ingot!$G$12:$G$119,"")</f>
        <v>Glass</v>
      </c>
      <c r="B11657" t="s">
        <v>23201</v>
      </c>
      <c r="C11657" t="s">
        <v>157</v>
      </c>
      <c r="D11657" t="s">
        <v>23426</v>
      </c>
      <c r="E11657" t="s">
        <v>23427</v>
      </c>
      <c r="F11657" t="s">
        <v>180</v>
      </c>
      <c r="G11657" s="1">
        <v>10</v>
      </c>
    </row>
    <row r="11658" spans="1:7" ht="14.25" customHeight="1" x14ac:dyDescent="0.45">
      <c r="A11658" t="str">
        <f>_xlfn.XLOOKUP(B11658,Ingot!$H$12:$H$119,Ingot!$G$12:$G$119,"")</f>
        <v>Glass</v>
      </c>
      <c r="B11658" t="s">
        <v>23201</v>
      </c>
      <c r="C11658" t="s">
        <v>239</v>
      </c>
      <c r="D11658" t="s">
        <v>23428</v>
      </c>
      <c r="E11658" t="s">
        <v>23429</v>
      </c>
      <c r="G11658" s="1">
        <f>(VLOOKUP(B11658,Ingot!H:I,2,FALSE()) * 0.75) * 0.75</f>
        <v>5.0625</v>
      </c>
    </row>
    <row r="11659" spans="1:7" ht="14.25" customHeight="1" x14ac:dyDescent="0.45">
      <c r="A11659" t="str">
        <f>_xlfn.XLOOKUP(B11659,Ingot!$H$12:$H$119,Ingot!$G$12:$G$119,"")</f>
        <v>Glass</v>
      </c>
      <c r="B11659" t="s">
        <v>23201</v>
      </c>
      <c r="C11659" t="s">
        <v>239</v>
      </c>
      <c r="D11659" t="s">
        <v>23430</v>
      </c>
      <c r="E11659" t="s">
        <v>23431</v>
      </c>
      <c r="G11659" s="1">
        <f>((VLOOKUP(B11659,Ingot!H:I,2,FALSE()) * 3) - 10.25) * 0.421875</f>
        <v>7.06640625</v>
      </c>
    </row>
    <row r="11660" spans="1:7" ht="14.25" customHeight="1" x14ac:dyDescent="0.45">
      <c r="A11660" t="str">
        <f>_xlfn.XLOOKUP(B11660,Ingot!$H$12:$H$119,Ingot!$G$12:$G$119,"")</f>
        <v>Glass</v>
      </c>
      <c r="B11660" t="s">
        <v>23201</v>
      </c>
      <c r="C11660" t="s">
        <v>239</v>
      </c>
      <c r="D11660" t="s">
        <v>23432</v>
      </c>
      <c r="E11660" t="s">
        <v>23433</v>
      </c>
      <c r="G11660" s="1">
        <f>((VLOOKUP(B11660,Ingot!H:I,2,FALSE()) * 3) - 10.25) * 0.75</f>
        <v>12.5625</v>
      </c>
    </row>
    <row r="11661" spans="1:7" ht="14.25" customHeight="1" x14ac:dyDescent="0.45">
      <c r="A11661" t="str">
        <f>_xlfn.XLOOKUP(B11661,Ingot!$H$12:$H$119,Ingot!$G$12:$G$119,"")</f>
        <v>Glass</v>
      </c>
      <c r="B11661" t="s">
        <v>23201</v>
      </c>
      <c r="C11661" t="s">
        <v>239</v>
      </c>
      <c r="D11661" t="s">
        <v>23434</v>
      </c>
      <c r="E11661" t="s">
        <v>23435</v>
      </c>
      <c r="G11661" s="1">
        <f>((VLOOKUP(B11661,Ingot!H:I,2,FALSE()) * 3) - 10.25) * 0.5625</f>
        <v>9.421875</v>
      </c>
    </row>
    <row r="11662" spans="1:7" ht="14.25" customHeight="1" x14ac:dyDescent="0.45">
      <c r="A11662" t="str">
        <f>_xlfn.XLOOKUP(B11662,Ingot!$H$12:$H$119,Ingot!$G$12:$G$119,"")</f>
        <v>Glass</v>
      </c>
      <c r="B11662" t="s">
        <v>23201</v>
      </c>
      <c r="C11662" t="s">
        <v>239</v>
      </c>
      <c r="D11662" t="s">
        <v>23436</v>
      </c>
      <c r="E11662" t="s">
        <v>23437</v>
      </c>
      <c r="G11662" s="1">
        <f>VLOOKUP(B11662,Ingot!H:I,2,FALSE()) * 0.75</f>
        <v>6.75</v>
      </c>
    </row>
    <row r="11663" spans="1:7" ht="14.25" customHeight="1" x14ac:dyDescent="0.45">
      <c r="A11663" t="str">
        <f>_xlfn.XLOOKUP(B11663,Ingot!$H$12:$H$119,Ingot!$G$12:$G$119,"")</f>
        <v>Glass</v>
      </c>
      <c r="B11663" t="s">
        <v>23201</v>
      </c>
      <c r="C11663" t="s">
        <v>239</v>
      </c>
      <c r="D11663" t="s">
        <v>23438</v>
      </c>
      <c r="E11663" t="s">
        <v>23439</v>
      </c>
      <c r="G11663" s="1">
        <f>(VLOOKUP(B11663,Ingot!H:I,2,FALSE()) * 3) - 10.25</f>
        <v>16.75</v>
      </c>
    </row>
    <row r="11664" spans="1:7" ht="14.25" customHeight="1" x14ac:dyDescent="0.45">
      <c r="A11664" t="str">
        <f>_xlfn.XLOOKUP(B11664,Ingot!$H$12:$H$119,Ingot!$G$12:$G$119,"")</f>
        <v>Osso</v>
      </c>
      <c r="B11664" t="s">
        <v>23441</v>
      </c>
      <c r="C11664" t="s">
        <v>10</v>
      </c>
      <c r="D11664" t="s">
        <v>23442</v>
      </c>
      <c r="E11664" t="s">
        <v>23443</v>
      </c>
      <c r="G11664" s="1">
        <v>0.08</v>
      </c>
    </row>
    <row r="11665" spans="1:7" ht="14.25" customHeight="1" x14ac:dyDescent="0.45">
      <c r="A11665" t="str">
        <f>_xlfn.XLOOKUP(B11665,Ingot!$H$12:$H$119,Ingot!$G$12:$G$119,"")</f>
        <v>Osso</v>
      </c>
      <c r="B11665" t="s">
        <v>23441</v>
      </c>
      <c r="C11665" t="s">
        <v>10</v>
      </c>
      <c r="D11665" t="s">
        <v>23444</v>
      </c>
      <c r="E11665" t="s">
        <v>23445</v>
      </c>
      <c r="G11665" s="1">
        <v>9.9</v>
      </c>
    </row>
    <row r="11666" spans="1:7" ht="14.25" customHeight="1" x14ac:dyDescent="0.45">
      <c r="A11666" t="str">
        <f>_xlfn.XLOOKUP(B11666,Ingot!$H$12:$H$119,Ingot!$G$12:$G$119,"")</f>
        <v>Osso</v>
      </c>
      <c r="B11666" t="s">
        <v>23441</v>
      </c>
      <c r="C11666" t="s">
        <v>10</v>
      </c>
      <c r="D11666" t="s">
        <v>23446</v>
      </c>
      <c r="E11666" t="s">
        <v>23447</v>
      </c>
      <c r="G11666" s="1">
        <v>5.66</v>
      </c>
    </row>
    <row r="11667" spans="1:7" ht="14.25" customHeight="1" x14ac:dyDescent="0.45">
      <c r="A11667" t="str">
        <f>_xlfn.XLOOKUP(B11667,Ingot!$H$12:$H$119,Ingot!$G$12:$G$119,"")</f>
        <v>Osso</v>
      </c>
      <c r="B11667" t="s">
        <v>23441</v>
      </c>
      <c r="C11667" t="s">
        <v>10</v>
      </c>
      <c r="D11667" t="s">
        <v>23448</v>
      </c>
      <c r="E11667" t="s">
        <v>23449</v>
      </c>
      <c r="G11667" s="1">
        <v>3.3</v>
      </c>
    </row>
    <row r="11668" spans="1:7" ht="14.25" customHeight="1" x14ac:dyDescent="0.45">
      <c r="A11668" t="str">
        <f>_xlfn.XLOOKUP(B11668,Ingot!$H$12:$H$119,Ingot!$G$12:$G$119,"")</f>
        <v>Osso</v>
      </c>
      <c r="B11668" t="s">
        <v>23441</v>
      </c>
      <c r="C11668" t="s">
        <v>10</v>
      </c>
      <c r="D11668" t="s">
        <v>23450</v>
      </c>
      <c r="E11668" t="s">
        <v>23451</v>
      </c>
      <c r="G11668" s="1">
        <v>0.66</v>
      </c>
    </row>
    <row r="11669" spans="1:7" ht="14.25" customHeight="1" x14ac:dyDescent="0.45">
      <c r="A11669" t="str">
        <f>_xlfn.XLOOKUP(B11669,Ingot!$H$12:$H$119,Ingot!$G$12:$G$119,"")</f>
        <v>Osso</v>
      </c>
      <c r="B11669" t="s">
        <v>23441</v>
      </c>
      <c r="C11669" t="s">
        <v>10</v>
      </c>
      <c r="D11669" t="s">
        <v>23452</v>
      </c>
      <c r="E11669" t="s">
        <v>23453</v>
      </c>
      <c r="G11669" s="1">
        <v>0.04</v>
      </c>
    </row>
    <row r="11670" spans="1:7" ht="14.25" customHeight="1" x14ac:dyDescent="0.45">
      <c r="A11670" t="str">
        <f>_xlfn.XLOOKUP(B11670,Ingot!$H$12:$H$119,Ingot!$G$12:$G$119,"")</f>
        <v>Osso</v>
      </c>
      <c r="B11670" t="s">
        <v>23441</v>
      </c>
      <c r="C11670" t="s">
        <v>10</v>
      </c>
      <c r="D11670" t="s">
        <v>23454</v>
      </c>
      <c r="E11670" t="s">
        <v>23455</v>
      </c>
      <c r="G11670" s="1">
        <v>0.33</v>
      </c>
    </row>
    <row r="11671" spans="1:7" ht="14.25" customHeight="1" x14ac:dyDescent="0.45">
      <c r="A11671" t="str">
        <f>_xlfn.XLOOKUP(B11671,Ingot!$H$12:$H$119,Ingot!$G$12:$G$119,"")</f>
        <v>Osso</v>
      </c>
      <c r="B11671" t="s">
        <v>23441</v>
      </c>
      <c r="C11671" t="s">
        <v>10</v>
      </c>
      <c r="D11671" t="s">
        <v>23456</v>
      </c>
      <c r="E11671" t="s">
        <v>23457</v>
      </c>
    </row>
    <row r="11672" spans="1:7" ht="14.25" customHeight="1" x14ac:dyDescent="0.45">
      <c r="A11672" t="str">
        <f>_xlfn.XLOOKUP(B11672,Ingot!$H$12:$H$119,Ingot!$G$12:$G$119,"")</f>
        <v>Osso</v>
      </c>
      <c r="B11672" t="s">
        <v>23441</v>
      </c>
      <c r="C11672" t="s">
        <v>10</v>
      </c>
      <c r="D11672" t="s">
        <v>23458</v>
      </c>
      <c r="E11672" t="s">
        <v>23459</v>
      </c>
      <c r="G11672" s="1">
        <v>0.05</v>
      </c>
    </row>
    <row r="11673" spans="1:7" ht="14.25" customHeight="1" x14ac:dyDescent="0.45">
      <c r="A11673" t="str">
        <f>_xlfn.XLOOKUP(B11673,Ingot!$H$12:$H$119,Ingot!$G$12:$G$119,"")</f>
        <v>Osso</v>
      </c>
      <c r="B11673" t="s">
        <v>23441</v>
      </c>
      <c r="C11673" t="s">
        <v>10</v>
      </c>
      <c r="D11673" t="s">
        <v>23460</v>
      </c>
      <c r="E11673" t="s">
        <v>23461</v>
      </c>
      <c r="G11673" s="1">
        <v>0.66</v>
      </c>
    </row>
    <row r="11674" spans="1:7" ht="14.25" customHeight="1" x14ac:dyDescent="0.45">
      <c r="A11674" t="str">
        <f>_xlfn.XLOOKUP(B11674,Ingot!$H$12:$H$119,Ingot!$G$12:$G$119,"")</f>
        <v>Osso</v>
      </c>
      <c r="B11674" t="s">
        <v>23441</v>
      </c>
      <c r="C11674" t="s">
        <v>10</v>
      </c>
      <c r="D11674" t="s">
        <v>23462</v>
      </c>
      <c r="E11674" t="s">
        <v>23463</v>
      </c>
      <c r="G11674" s="1">
        <v>3.96</v>
      </c>
    </row>
    <row r="11675" spans="1:7" ht="14.25" customHeight="1" x14ac:dyDescent="0.45">
      <c r="A11675" t="str">
        <f>_xlfn.XLOOKUP(B11675,Ingot!$H$12:$H$119,Ingot!$G$12:$G$119,"")</f>
        <v>Osso</v>
      </c>
      <c r="B11675" t="s">
        <v>23441</v>
      </c>
      <c r="C11675" t="s">
        <v>10</v>
      </c>
      <c r="D11675" t="s">
        <v>23464</v>
      </c>
      <c r="E11675" t="s">
        <v>23465</v>
      </c>
      <c r="G11675" s="1">
        <v>8.77</v>
      </c>
    </row>
    <row r="11676" spans="1:7" ht="14.25" customHeight="1" x14ac:dyDescent="0.45">
      <c r="A11676" t="str">
        <f>_xlfn.XLOOKUP(B11676,Ingot!$H$12:$H$119,Ingot!$G$12:$G$119,"")</f>
        <v>Osso</v>
      </c>
      <c r="B11676" t="s">
        <v>23441</v>
      </c>
      <c r="C11676" t="s">
        <v>10</v>
      </c>
      <c r="D11676" t="s">
        <v>23466</v>
      </c>
      <c r="E11676" t="s">
        <v>23467</v>
      </c>
      <c r="G11676" s="1">
        <v>3.5</v>
      </c>
    </row>
    <row r="11677" spans="1:7" ht="14.25" customHeight="1" x14ac:dyDescent="0.45">
      <c r="A11677" t="str">
        <f>_xlfn.XLOOKUP(B11677,Ingot!$H$12:$H$119,Ingot!$G$12:$G$119,"")</f>
        <v>Osso</v>
      </c>
      <c r="B11677" t="s">
        <v>23441</v>
      </c>
      <c r="C11677" t="s">
        <v>10</v>
      </c>
      <c r="D11677" t="s">
        <v>23468</v>
      </c>
      <c r="E11677" t="s">
        <v>23469</v>
      </c>
    </row>
    <row r="11678" spans="1:7" ht="14.25" customHeight="1" x14ac:dyDescent="0.45">
      <c r="A11678" t="str">
        <f>_xlfn.XLOOKUP(B11678,Ingot!$H$12:$H$119,Ingot!$G$12:$G$119,"")</f>
        <v>Osso</v>
      </c>
      <c r="B11678" t="s">
        <v>23441</v>
      </c>
      <c r="C11678" t="s">
        <v>10</v>
      </c>
      <c r="D11678" t="s">
        <v>23470</v>
      </c>
      <c r="E11678" t="s">
        <v>23471</v>
      </c>
      <c r="G11678" s="1">
        <v>2.2000000000000002</v>
      </c>
    </row>
    <row r="11679" spans="1:7" ht="14.25" customHeight="1" x14ac:dyDescent="0.45">
      <c r="A11679" t="str">
        <f>_xlfn.XLOOKUP(B11679,Ingot!$H$12:$H$119,Ingot!$G$12:$G$119,"")</f>
        <v>Osso</v>
      </c>
      <c r="B11679" t="s">
        <v>23441</v>
      </c>
      <c r="C11679" t="s">
        <v>10</v>
      </c>
      <c r="D11679" t="s">
        <v>23472</v>
      </c>
      <c r="E11679" t="s">
        <v>23473</v>
      </c>
      <c r="G11679" s="1">
        <v>1.1000000000000001</v>
      </c>
    </row>
    <row r="11680" spans="1:7" ht="14.25" customHeight="1" x14ac:dyDescent="0.45">
      <c r="A11680" t="str">
        <f>_xlfn.XLOOKUP(B11680,Ingot!$H$12:$H$119,Ingot!$G$12:$G$119,"")</f>
        <v>Osso</v>
      </c>
      <c r="B11680" t="s">
        <v>23441</v>
      </c>
      <c r="C11680" t="s">
        <v>10</v>
      </c>
      <c r="D11680" t="s">
        <v>23474</v>
      </c>
      <c r="E11680" t="s">
        <v>23475</v>
      </c>
      <c r="G11680" s="1">
        <v>0.22</v>
      </c>
    </row>
    <row r="11681" spans="1:7" ht="14.25" customHeight="1" x14ac:dyDescent="0.45">
      <c r="A11681" t="str">
        <f>_xlfn.XLOOKUP(B11681,Ingot!$H$12:$H$119,Ingot!$G$12:$G$119,"")</f>
        <v>Osso</v>
      </c>
      <c r="B11681" t="s">
        <v>23441</v>
      </c>
      <c r="C11681" t="s">
        <v>10</v>
      </c>
      <c r="D11681" t="s">
        <v>23476</v>
      </c>
      <c r="E11681" t="s">
        <v>23477</v>
      </c>
      <c r="G11681" s="1">
        <v>8.41</v>
      </c>
    </row>
    <row r="11682" spans="1:7" ht="14.25" customHeight="1" x14ac:dyDescent="0.45">
      <c r="A11682" t="str">
        <f>_xlfn.XLOOKUP(B11682,Ingot!$H$12:$H$119,Ingot!$G$12:$G$119,"")</f>
        <v>Osso</v>
      </c>
      <c r="B11682" t="s">
        <v>23441</v>
      </c>
      <c r="C11682" t="s">
        <v>10</v>
      </c>
      <c r="D11682" t="s">
        <v>23478</v>
      </c>
      <c r="E11682" t="s">
        <v>23479</v>
      </c>
      <c r="G11682" s="1">
        <v>3.64</v>
      </c>
    </row>
    <row r="11683" spans="1:7" ht="14.25" customHeight="1" x14ac:dyDescent="0.45">
      <c r="A11683" t="str">
        <f>_xlfn.XLOOKUP(B11683,Ingot!$H$12:$H$119,Ingot!$G$12:$G$119,"")</f>
        <v>Osso</v>
      </c>
      <c r="B11683" t="s">
        <v>23441</v>
      </c>
      <c r="C11683" t="s">
        <v>10</v>
      </c>
      <c r="D11683" t="s">
        <v>23480</v>
      </c>
      <c r="E11683" t="s">
        <v>23481</v>
      </c>
      <c r="G11683" s="1">
        <v>7.05</v>
      </c>
    </row>
    <row r="11684" spans="1:7" ht="14.25" customHeight="1" x14ac:dyDescent="0.45">
      <c r="A11684" t="str">
        <f>_xlfn.XLOOKUP(B11684,Ingot!$H$12:$H$119,Ingot!$G$12:$G$119,"")</f>
        <v>Osso</v>
      </c>
      <c r="B11684" t="s">
        <v>23441</v>
      </c>
      <c r="C11684" t="s">
        <v>10</v>
      </c>
      <c r="D11684" t="s">
        <v>23482</v>
      </c>
      <c r="E11684" t="s">
        <v>23483</v>
      </c>
      <c r="G11684" s="1">
        <v>2.65</v>
      </c>
    </row>
    <row r="11685" spans="1:7" ht="14.25" customHeight="1" x14ac:dyDescent="0.45">
      <c r="A11685" t="str">
        <f>_xlfn.XLOOKUP(B11685,Ingot!$H$12:$H$119,Ingot!$G$12:$G$119,"")</f>
        <v>Osso</v>
      </c>
      <c r="B11685" t="s">
        <v>23441</v>
      </c>
      <c r="C11685" t="s">
        <v>10</v>
      </c>
      <c r="D11685" t="s">
        <v>23484</v>
      </c>
      <c r="E11685" t="s">
        <v>23485</v>
      </c>
      <c r="G11685" s="1">
        <v>9</v>
      </c>
    </row>
    <row r="11686" spans="1:7" ht="14.25" customHeight="1" x14ac:dyDescent="0.45">
      <c r="A11686" t="str">
        <f>_xlfn.XLOOKUP(B11686,Ingot!$H$12:$H$119,Ingot!$G$12:$G$119,"")</f>
        <v>Osso</v>
      </c>
      <c r="B11686" t="s">
        <v>23441</v>
      </c>
      <c r="C11686" t="s">
        <v>10</v>
      </c>
      <c r="D11686" t="s">
        <v>23486</v>
      </c>
      <c r="E11686" t="s">
        <v>23487</v>
      </c>
      <c r="G11686" s="1">
        <v>10.23</v>
      </c>
    </row>
    <row r="11687" spans="1:7" ht="14.25" customHeight="1" x14ac:dyDescent="0.45">
      <c r="A11687" t="str">
        <f>_xlfn.XLOOKUP(B11687,Ingot!$H$12:$H$119,Ingot!$G$12:$G$119,"")</f>
        <v>Osso</v>
      </c>
      <c r="B11687" t="s">
        <v>23441</v>
      </c>
      <c r="C11687" t="s">
        <v>10</v>
      </c>
      <c r="D11687" t="s">
        <v>23488</v>
      </c>
      <c r="E11687" t="s">
        <v>23489</v>
      </c>
      <c r="G11687" s="1">
        <v>7.7</v>
      </c>
    </row>
    <row r="11688" spans="1:7" ht="14.25" customHeight="1" x14ac:dyDescent="0.45">
      <c r="A11688" t="str">
        <f>_xlfn.XLOOKUP(B11688,Ingot!$H$12:$H$119,Ingot!$G$12:$G$119,"")</f>
        <v>Osso</v>
      </c>
      <c r="B11688" t="s">
        <v>23441</v>
      </c>
      <c r="C11688" t="s">
        <v>10</v>
      </c>
      <c r="D11688" t="s">
        <v>23490</v>
      </c>
      <c r="E11688" t="s">
        <v>23491</v>
      </c>
      <c r="G11688" s="1">
        <v>10.02</v>
      </c>
    </row>
    <row r="11689" spans="1:7" ht="14.25" customHeight="1" x14ac:dyDescent="0.45">
      <c r="A11689" t="str">
        <f>_xlfn.XLOOKUP(B11689,Ingot!$H$12:$H$119,Ingot!$G$12:$G$119,"")</f>
        <v>Osso</v>
      </c>
      <c r="B11689" t="s">
        <v>23441</v>
      </c>
      <c r="C11689" t="s">
        <v>10</v>
      </c>
      <c r="D11689" t="s">
        <v>23492</v>
      </c>
      <c r="E11689" t="s">
        <v>23493</v>
      </c>
      <c r="G11689" s="1">
        <v>11.81</v>
      </c>
    </row>
    <row r="11690" spans="1:7" ht="14.25" customHeight="1" x14ac:dyDescent="0.45">
      <c r="A11690" t="str">
        <f>_xlfn.XLOOKUP(B11690,Ingot!$H$12:$H$119,Ingot!$G$12:$G$119,"")</f>
        <v>Osso</v>
      </c>
      <c r="B11690" t="s">
        <v>23441</v>
      </c>
      <c r="C11690" t="s">
        <v>10</v>
      </c>
      <c r="D11690" t="s">
        <v>23494</v>
      </c>
      <c r="E11690" t="s">
        <v>23495</v>
      </c>
      <c r="G11690" s="1">
        <v>8.44</v>
      </c>
    </row>
    <row r="11691" spans="1:7" ht="14.25" customHeight="1" x14ac:dyDescent="0.45">
      <c r="A11691" t="str">
        <f>_xlfn.XLOOKUP(B11691,Ingot!$H$12:$H$119,Ingot!$G$12:$G$119,"")</f>
        <v>Osso</v>
      </c>
      <c r="B11691" t="s">
        <v>23441</v>
      </c>
      <c r="C11691" t="s">
        <v>10</v>
      </c>
      <c r="D11691" t="s">
        <v>23496</v>
      </c>
      <c r="E11691" t="s">
        <v>23497</v>
      </c>
      <c r="G11691" s="1">
        <v>10.42</v>
      </c>
    </row>
    <row r="11692" spans="1:7" ht="14.25" customHeight="1" x14ac:dyDescent="0.45">
      <c r="A11692" t="str">
        <f>_xlfn.XLOOKUP(B11692,Ingot!$H$12:$H$119,Ingot!$G$12:$G$119,"")</f>
        <v>Osso</v>
      </c>
      <c r="B11692" t="s">
        <v>23441</v>
      </c>
      <c r="C11692" t="s">
        <v>10</v>
      </c>
      <c r="D11692" t="s">
        <v>23498</v>
      </c>
      <c r="E11692" t="s">
        <v>23499</v>
      </c>
    </row>
    <row r="11693" spans="1:7" ht="14.25" customHeight="1" x14ac:dyDescent="0.45">
      <c r="A11693" t="str">
        <f>_xlfn.XLOOKUP(B11693,Ingot!$H$12:$H$119,Ingot!$G$12:$G$119,"")</f>
        <v>Osso</v>
      </c>
      <c r="B11693" t="s">
        <v>23441</v>
      </c>
      <c r="C11693" t="s">
        <v>10</v>
      </c>
      <c r="D11693" t="s">
        <v>23500</v>
      </c>
      <c r="E11693" t="s">
        <v>23501</v>
      </c>
      <c r="G11693" s="1">
        <v>7.96</v>
      </c>
    </row>
    <row r="11694" spans="1:7" ht="14.25" customHeight="1" x14ac:dyDescent="0.45">
      <c r="A11694" t="str">
        <f>_xlfn.XLOOKUP(B11694,Ingot!$H$12:$H$119,Ingot!$G$12:$G$119,"")</f>
        <v>Osso</v>
      </c>
      <c r="B11694" t="s">
        <v>23441</v>
      </c>
      <c r="C11694" t="s">
        <v>10</v>
      </c>
      <c r="D11694" t="s">
        <v>23502</v>
      </c>
      <c r="E11694" t="s">
        <v>23503</v>
      </c>
      <c r="G11694" s="1">
        <v>9.64</v>
      </c>
    </row>
    <row r="11695" spans="1:7" ht="14.25" customHeight="1" x14ac:dyDescent="0.45">
      <c r="A11695" t="str">
        <f>_xlfn.XLOOKUP(B11695,Ingot!$H$12:$H$119,Ingot!$G$12:$G$119,"")</f>
        <v>Osso</v>
      </c>
      <c r="B11695" t="s">
        <v>23441</v>
      </c>
      <c r="C11695" t="s">
        <v>10</v>
      </c>
      <c r="D11695" t="s">
        <v>23504</v>
      </c>
      <c r="E11695" t="s">
        <v>23505</v>
      </c>
      <c r="G11695" s="1">
        <v>7.94</v>
      </c>
    </row>
    <row r="11696" spans="1:7" ht="14.25" customHeight="1" x14ac:dyDescent="0.45">
      <c r="A11696" t="str">
        <f>_xlfn.XLOOKUP(B11696,Ingot!$H$12:$H$119,Ingot!$G$12:$G$119,"")</f>
        <v>Osso</v>
      </c>
      <c r="B11696" t="s">
        <v>23441</v>
      </c>
      <c r="C11696" t="s">
        <v>10</v>
      </c>
      <c r="D11696" t="s">
        <v>23506</v>
      </c>
      <c r="E11696" t="s">
        <v>23507</v>
      </c>
      <c r="G11696" s="1">
        <v>8.66</v>
      </c>
    </row>
    <row r="11697" spans="1:7" ht="14.25" customHeight="1" x14ac:dyDescent="0.45">
      <c r="A11697" t="str">
        <f>_xlfn.XLOOKUP(B11697,Ingot!$H$12:$H$119,Ingot!$G$12:$G$119,"")</f>
        <v>Osso</v>
      </c>
      <c r="B11697" t="s">
        <v>23441</v>
      </c>
      <c r="C11697" t="s">
        <v>10</v>
      </c>
      <c r="D11697" t="s">
        <v>23508</v>
      </c>
      <c r="E11697" t="s">
        <v>23509</v>
      </c>
    </row>
    <row r="11698" spans="1:7" ht="14.25" customHeight="1" x14ac:dyDescent="0.45">
      <c r="A11698" t="str">
        <f>_xlfn.XLOOKUP(B11698,Ingot!$H$12:$H$119,Ingot!$G$12:$G$119,"")</f>
        <v>Osso</v>
      </c>
      <c r="B11698" t="s">
        <v>23441</v>
      </c>
      <c r="C11698" t="s">
        <v>10</v>
      </c>
      <c r="D11698" t="s">
        <v>23510</v>
      </c>
      <c r="E11698" t="s">
        <v>23511</v>
      </c>
      <c r="G11698" s="1">
        <v>2.65</v>
      </c>
    </row>
    <row r="11699" spans="1:7" ht="14.25" customHeight="1" x14ac:dyDescent="0.45">
      <c r="A11699" t="str">
        <f>_xlfn.XLOOKUP(B11699,Ingot!$H$12:$H$119,Ingot!$G$12:$G$119,"")</f>
        <v>Osso</v>
      </c>
      <c r="B11699" t="s">
        <v>23441</v>
      </c>
      <c r="C11699" t="s">
        <v>10</v>
      </c>
      <c r="D11699" t="s">
        <v>23512</v>
      </c>
      <c r="E11699" t="s">
        <v>23513</v>
      </c>
    </row>
    <row r="11700" spans="1:7" ht="14.25" customHeight="1" x14ac:dyDescent="0.45">
      <c r="A11700" t="str">
        <f>_xlfn.XLOOKUP(B11700,Ingot!$H$12:$H$119,Ingot!$G$12:$G$119,"")</f>
        <v>Osso</v>
      </c>
      <c r="B11700" t="s">
        <v>23441</v>
      </c>
      <c r="C11700" t="s">
        <v>10</v>
      </c>
      <c r="D11700" t="s">
        <v>23514</v>
      </c>
      <c r="E11700" t="s">
        <v>23515</v>
      </c>
      <c r="G11700" s="1">
        <v>12.64</v>
      </c>
    </row>
    <row r="11701" spans="1:7" ht="14.25" customHeight="1" x14ac:dyDescent="0.45">
      <c r="A11701" t="str">
        <f>_xlfn.XLOOKUP(B11701,Ingot!$H$12:$H$119,Ingot!$G$12:$G$119,"")</f>
        <v>Osso</v>
      </c>
      <c r="B11701" t="s">
        <v>23441</v>
      </c>
      <c r="C11701" t="s">
        <v>10</v>
      </c>
      <c r="D11701" t="s">
        <v>23516</v>
      </c>
      <c r="E11701" t="s">
        <v>23517</v>
      </c>
      <c r="G11701" s="1">
        <v>22.67</v>
      </c>
    </row>
    <row r="11702" spans="1:7" ht="14.25" customHeight="1" x14ac:dyDescent="0.45">
      <c r="A11702" t="str">
        <f>_xlfn.XLOOKUP(B11702,Ingot!$H$12:$H$119,Ingot!$G$12:$G$119,"")</f>
        <v>Osso</v>
      </c>
      <c r="B11702" t="s">
        <v>23441</v>
      </c>
      <c r="C11702" t="s">
        <v>10</v>
      </c>
      <c r="D11702" t="s">
        <v>23518</v>
      </c>
      <c r="E11702" t="s">
        <v>23519</v>
      </c>
      <c r="G11702" s="1">
        <v>8.3800000000000008</v>
      </c>
    </row>
    <row r="11703" spans="1:7" ht="14.25" customHeight="1" x14ac:dyDescent="0.45">
      <c r="A11703" t="str">
        <f>_xlfn.XLOOKUP(B11703,Ingot!$H$12:$H$119,Ingot!$G$12:$G$119,"")</f>
        <v>Osso</v>
      </c>
      <c r="B11703" t="s">
        <v>23441</v>
      </c>
      <c r="C11703" t="s">
        <v>10</v>
      </c>
      <c r="D11703" t="s">
        <v>23520</v>
      </c>
      <c r="E11703" t="s">
        <v>23521</v>
      </c>
      <c r="G11703" s="1">
        <v>2.2000000000000002</v>
      </c>
    </row>
    <row r="11704" spans="1:7" ht="14.25" customHeight="1" x14ac:dyDescent="0.45">
      <c r="A11704" t="str">
        <f>_xlfn.XLOOKUP(B11704,Ingot!$H$12:$H$119,Ingot!$G$12:$G$119,"")</f>
        <v>Osso</v>
      </c>
      <c r="B11704" t="s">
        <v>23441</v>
      </c>
      <c r="C11704" t="s">
        <v>10</v>
      </c>
      <c r="D11704" t="s">
        <v>23522</v>
      </c>
      <c r="E11704" t="s">
        <v>23523</v>
      </c>
      <c r="G11704" s="1">
        <v>3.09</v>
      </c>
    </row>
    <row r="11705" spans="1:7" ht="14.25" customHeight="1" x14ac:dyDescent="0.45">
      <c r="A11705" t="str">
        <f>_xlfn.XLOOKUP(B11705,Ingot!$H$12:$H$119,Ingot!$G$12:$G$119,"")</f>
        <v>Osso</v>
      </c>
      <c r="B11705" t="s">
        <v>23441</v>
      </c>
      <c r="C11705" t="s">
        <v>10</v>
      </c>
      <c r="D11705" t="s">
        <v>23524</v>
      </c>
      <c r="E11705" t="s">
        <v>23525</v>
      </c>
      <c r="G11705" s="1">
        <v>2.2999999999999998</v>
      </c>
    </row>
    <row r="11706" spans="1:7" ht="14.25" customHeight="1" x14ac:dyDescent="0.45">
      <c r="A11706" t="str">
        <f>_xlfn.XLOOKUP(B11706,Ingot!$H$12:$H$119,Ingot!$G$12:$G$119,"")</f>
        <v>Osso</v>
      </c>
      <c r="B11706" t="s">
        <v>23441</v>
      </c>
      <c r="C11706" t="s">
        <v>10</v>
      </c>
      <c r="D11706" t="s">
        <v>23526</v>
      </c>
      <c r="E11706" t="s">
        <v>23527</v>
      </c>
      <c r="G11706" s="1">
        <v>4.88</v>
      </c>
    </row>
    <row r="11707" spans="1:7" ht="14.25" customHeight="1" x14ac:dyDescent="0.45">
      <c r="A11707" t="str">
        <f>_xlfn.XLOOKUP(B11707,Ingot!$H$12:$H$119,Ingot!$G$12:$G$119,"")</f>
        <v>Osso</v>
      </c>
      <c r="B11707" t="s">
        <v>23441</v>
      </c>
      <c r="C11707" t="s">
        <v>10</v>
      </c>
      <c r="D11707" t="s">
        <v>23528</v>
      </c>
      <c r="E11707" t="s">
        <v>23529</v>
      </c>
      <c r="G11707" s="1">
        <v>8.43</v>
      </c>
    </row>
    <row r="11708" spans="1:7" ht="14.25" customHeight="1" x14ac:dyDescent="0.45">
      <c r="A11708" t="str">
        <f>_xlfn.XLOOKUP(B11708,Ingot!$H$12:$H$119,Ingot!$G$12:$G$119,"")</f>
        <v>Osso</v>
      </c>
      <c r="B11708" t="s">
        <v>23441</v>
      </c>
      <c r="C11708" t="s">
        <v>10</v>
      </c>
      <c r="D11708" t="s">
        <v>23530</v>
      </c>
      <c r="E11708" t="s">
        <v>23531</v>
      </c>
      <c r="G11708" s="1">
        <v>13.07</v>
      </c>
    </row>
    <row r="11709" spans="1:7" ht="14.25" customHeight="1" x14ac:dyDescent="0.45">
      <c r="A11709" t="str">
        <f>_xlfn.XLOOKUP(B11709,Ingot!$H$12:$H$119,Ingot!$G$12:$G$119,"")</f>
        <v>Osso</v>
      </c>
      <c r="B11709" t="s">
        <v>23441</v>
      </c>
      <c r="C11709" t="s">
        <v>10</v>
      </c>
      <c r="D11709" t="s">
        <v>23532</v>
      </c>
      <c r="E11709" t="s">
        <v>23533</v>
      </c>
    </row>
    <row r="11710" spans="1:7" ht="14.25" customHeight="1" x14ac:dyDescent="0.45">
      <c r="A11710" t="str">
        <f>_xlfn.XLOOKUP(B11710,Ingot!$H$12:$H$119,Ingot!$G$12:$G$119,"")</f>
        <v>Osso</v>
      </c>
      <c r="B11710" t="s">
        <v>23441</v>
      </c>
      <c r="C11710" t="s">
        <v>10</v>
      </c>
      <c r="D11710" t="s">
        <v>23534</v>
      </c>
      <c r="E11710" t="s">
        <v>23535</v>
      </c>
    </row>
    <row r="11711" spans="1:7" ht="14.25" customHeight="1" x14ac:dyDescent="0.45">
      <c r="A11711" t="str">
        <f>_xlfn.XLOOKUP(B11711,Ingot!$H$12:$H$119,Ingot!$G$12:$G$119,"")</f>
        <v>Osso</v>
      </c>
      <c r="B11711" t="s">
        <v>23441</v>
      </c>
      <c r="C11711" t="s">
        <v>10</v>
      </c>
      <c r="D11711" t="s">
        <v>23536</v>
      </c>
      <c r="E11711" t="s">
        <v>23537</v>
      </c>
      <c r="G11711" s="1">
        <v>6.8</v>
      </c>
    </row>
    <row r="11712" spans="1:7" ht="14.25" customHeight="1" x14ac:dyDescent="0.45">
      <c r="A11712" t="str">
        <f>_xlfn.XLOOKUP(B11712,Ingot!$H$12:$H$119,Ingot!$G$12:$G$119,"")</f>
        <v>Osso</v>
      </c>
      <c r="B11712" t="s">
        <v>23441</v>
      </c>
      <c r="C11712" t="s">
        <v>10</v>
      </c>
      <c r="D11712" t="s">
        <v>23538</v>
      </c>
      <c r="E11712" t="s">
        <v>23539</v>
      </c>
      <c r="G11712" s="1">
        <v>6.88</v>
      </c>
    </row>
    <row r="11713" spans="1:7" ht="14.25" customHeight="1" x14ac:dyDescent="0.45">
      <c r="A11713" t="str">
        <f>_xlfn.XLOOKUP(B11713,Ingot!$H$12:$H$119,Ingot!$G$12:$G$119,"")</f>
        <v>Osso</v>
      </c>
      <c r="B11713" t="s">
        <v>23441</v>
      </c>
      <c r="C11713" t="s">
        <v>10</v>
      </c>
      <c r="D11713" t="s">
        <v>23540</v>
      </c>
      <c r="E11713" t="s">
        <v>23541</v>
      </c>
      <c r="G11713" s="1">
        <v>5.5</v>
      </c>
    </row>
    <row r="11714" spans="1:7" ht="14.25" customHeight="1" x14ac:dyDescent="0.45">
      <c r="A11714" t="str">
        <f>_xlfn.XLOOKUP(B11714,Ingot!$H$12:$H$119,Ingot!$G$12:$G$119,"")</f>
        <v>Osso</v>
      </c>
      <c r="B11714" t="s">
        <v>23441</v>
      </c>
      <c r="C11714" t="s">
        <v>10</v>
      </c>
      <c r="D11714" t="s">
        <v>23542</v>
      </c>
      <c r="E11714" t="s">
        <v>23543</v>
      </c>
      <c r="G11714" s="1">
        <v>2.4300000000000002</v>
      </c>
    </row>
    <row r="11715" spans="1:7" ht="14.25" customHeight="1" x14ac:dyDescent="0.45">
      <c r="A11715" t="str">
        <f>_xlfn.XLOOKUP(B11715,Ingot!$H$12:$H$119,Ingot!$G$12:$G$119,"")</f>
        <v>Osso</v>
      </c>
      <c r="B11715" t="s">
        <v>23441</v>
      </c>
      <c r="C11715" t="s">
        <v>10</v>
      </c>
      <c r="D11715" t="s">
        <v>23544</v>
      </c>
      <c r="E11715" t="s">
        <v>23545</v>
      </c>
      <c r="G11715" s="1">
        <v>6.96</v>
      </c>
    </row>
    <row r="11716" spans="1:7" ht="14.25" customHeight="1" x14ac:dyDescent="0.45">
      <c r="A11716" t="str">
        <f>_xlfn.XLOOKUP(B11716,Ingot!$H$12:$H$119,Ingot!$G$12:$G$119,"")</f>
        <v>Osso</v>
      </c>
      <c r="B11716" t="s">
        <v>23441</v>
      </c>
      <c r="C11716" t="s">
        <v>10</v>
      </c>
      <c r="D11716" t="s">
        <v>23546</v>
      </c>
      <c r="E11716" t="s">
        <v>23547</v>
      </c>
      <c r="G11716" s="1">
        <v>6.32</v>
      </c>
    </row>
    <row r="11717" spans="1:7" ht="14.25" customHeight="1" x14ac:dyDescent="0.45">
      <c r="A11717" t="str">
        <f>_xlfn.XLOOKUP(B11717,Ingot!$H$12:$H$119,Ingot!$G$12:$G$119,"")</f>
        <v>Osso</v>
      </c>
      <c r="B11717" t="s">
        <v>23441</v>
      </c>
      <c r="C11717" t="s">
        <v>10</v>
      </c>
      <c r="D11717" t="s">
        <v>23548</v>
      </c>
      <c r="E11717" t="s">
        <v>23549</v>
      </c>
      <c r="G11717" s="1">
        <v>6.88</v>
      </c>
    </row>
    <row r="11718" spans="1:7" ht="14.25" customHeight="1" x14ac:dyDescent="0.45">
      <c r="A11718" t="str">
        <f>_xlfn.XLOOKUP(B11718,Ingot!$H$12:$H$119,Ingot!$G$12:$G$119,"")</f>
        <v>Osso</v>
      </c>
      <c r="B11718" t="s">
        <v>23441</v>
      </c>
      <c r="C11718" t="s">
        <v>10</v>
      </c>
      <c r="D11718" t="s">
        <v>23550</v>
      </c>
      <c r="E11718" t="s">
        <v>23551</v>
      </c>
      <c r="G11718" s="1">
        <v>2.44</v>
      </c>
    </row>
    <row r="11719" spans="1:7" ht="14.25" customHeight="1" x14ac:dyDescent="0.45">
      <c r="A11719" t="str">
        <f>_xlfn.XLOOKUP(B11719,Ingot!$H$12:$H$119,Ingot!$G$12:$G$119,"")</f>
        <v>Osso</v>
      </c>
      <c r="B11719" t="s">
        <v>23441</v>
      </c>
      <c r="C11719" t="s">
        <v>10</v>
      </c>
      <c r="D11719" t="s">
        <v>23552</v>
      </c>
      <c r="E11719" t="s">
        <v>23553</v>
      </c>
    </row>
    <row r="11720" spans="1:7" ht="14.25" customHeight="1" x14ac:dyDescent="0.45">
      <c r="A11720" t="str">
        <f>_xlfn.XLOOKUP(B11720,Ingot!$H$12:$H$119,Ingot!$G$12:$G$119,"")</f>
        <v>Osso</v>
      </c>
      <c r="B11720" t="s">
        <v>23441</v>
      </c>
      <c r="C11720" t="s">
        <v>10</v>
      </c>
      <c r="D11720" t="s">
        <v>23554</v>
      </c>
      <c r="E11720" t="s">
        <v>23555</v>
      </c>
    </row>
    <row r="11721" spans="1:7" ht="14.25" customHeight="1" x14ac:dyDescent="0.45">
      <c r="A11721" t="str">
        <f>_xlfn.XLOOKUP(B11721,Ingot!$H$12:$H$119,Ingot!$G$12:$G$119,"")</f>
        <v>Osso</v>
      </c>
      <c r="B11721" t="s">
        <v>23441</v>
      </c>
      <c r="C11721" t="s">
        <v>10</v>
      </c>
      <c r="D11721" t="s">
        <v>23556</v>
      </c>
      <c r="E11721" t="s">
        <v>23557</v>
      </c>
      <c r="G11721" s="1">
        <v>3.11</v>
      </c>
    </row>
    <row r="11722" spans="1:7" ht="14.25" customHeight="1" x14ac:dyDescent="0.45">
      <c r="A11722" t="str">
        <f>_xlfn.XLOOKUP(B11722,Ingot!$H$12:$H$119,Ingot!$G$12:$G$119,"")</f>
        <v>Osso</v>
      </c>
      <c r="B11722" t="s">
        <v>23441</v>
      </c>
      <c r="C11722" t="s">
        <v>10</v>
      </c>
      <c r="D11722" t="s">
        <v>23558</v>
      </c>
      <c r="E11722" t="s">
        <v>23559</v>
      </c>
      <c r="G11722" s="1">
        <v>2.44</v>
      </c>
    </row>
    <row r="11723" spans="1:7" ht="14.25" customHeight="1" x14ac:dyDescent="0.45">
      <c r="A11723" t="str">
        <f>_xlfn.XLOOKUP(B11723,Ingot!$H$12:$H$119,Ingot!$G$12:$G$119,"")</f>
        <v>Osso</v>
      </c>
      <c r="B11723" t="s">
        <v>23441</v>
      </c>
      <c r="C11723" t="s">
        <v>10</v>
      </c>
      <c r="D11723" t="s">
        <v>23560</v>
      </c>
      <c r="E11723" t="s">
        <v>23561</v>
      </c>
      <c r="G11723" s="1">
        <v>8.61</v>
      </c>
    </row>
    <row r="11724" spans="1:7" ht="14.25" customHeight="1" x14ac:dyDescent="0.45">
      <c r="A11724" t="str">
        <f>_xlfn.XLOOKUP(B11724,Ingot!$H$12:$H$119,Ingot!$G$12:$G$119,"")</f>
        <v>Osso</v>
      </c>
      <c r="B11724" t="s">
        <v>23441</v>
      </c>
      <c r="C11724" t="s">
        <v>10</v>
      </c>
      <c r="D11724" t="s">
        <v>23562</v>
      </c>
      <c r="E11724" t="s">
        <v>23563</v>
      </c>
    </row>
    <row r="11725" spans="1:7" ht="14.25" customHeight="1" x14ac:dyDescent="0.45">
      <c r="A11725" t="str">
        <f>_xlfn.XLOOKUP(B11725,Ingot!$H$12:$H$119,Ingot!$G$12:$G$119,"")</f>
        <v>Osso</v>
      </c>
      <c r="B11725" t="s">
        <v>23441</v>
      </c>
      <c r="C11725" t="s">
        <v>10</v>
      </c>
      <c r="D11725" t="s">
        <v>23564</v>
      </c>
      <c r="E11725" t="s">
        <v>23565</v>
      </c>
      <c r="G11725" s="1">
        <v>3.21</v>
      </c>
    </row>
    <row r="11726" spans="1:7" ht="14.25" customHeight="1" x14ac:dyDescent="0.45">
      <c r="A11726" t="str">
        <f>_xlfn.XLOOKUP(B11726,Ingot!$H$12:$H$119,Ingot!$G$12:$G$119,"")</f>
        <v>Osso</v>
      </c>
      <c r="B11726" t="s">
        <v>23441</v>
      </c>
      <c r="C11726" t="s">
        <v>10</v>
      </c>
      <c r="D11726" t="s">
        <v>23566</v>
      </c>
      <c r="E11726" t="s">
        <v>23567</v>
      </c>
      <c r="G11726" s="1">
        <v>2.77</v>
      </c>
    </row>
    <row r="11727" spans="1:7" ht="14.25" customHeight="1" x14ac:dyDescent="0.45">
      <c r="A11727" t="str">
        <f>_xlfn.XLOOKUP(B11727,Ingot!$H$12:$H$119,Ingot!$G$12:$G$119,"")</f>
        <v>Osso</v>
      </c>
      <c r="B11727" t="s">
        <v>23441</v>
      </c>
      <c r="C11727" t="s">
        <v>10</v>
      </c>
      <c r="D11727" t="s">
        <v>23568</v>
      </c>
      <c r="E11727" t="s">
        <v>23569</v>
      </c>
      <c r="G11727" s="1">
        <v>4.8899999999999997</v>
      </c>
    </row>
    <row r="11728" spans="1:7" ht="14.25" customHeight="1" x14ac:dyDescent="0.45">
      <c r="A11728" t="str">
        <f>_xlfn.XLOOKUP(B11728,Ingot!$H$12:$H$119,Ingot!$G$12:$G$119,"")</f>
        <v>Osso</v>
      </c>
      <c r="B11728" t="s">
        <v>23441</v>
      </c>
      <c r="C11728" t="s">
        <v>10</v>
      </c>
      <c r="D11728" t="s">
        <v>23570</v>
      </c>
      <c r="E11728" t="s">
        <v>23571</v>
      </c>
      <c r="G11728" s="1">
        <v>1.76</v>
      </c>
    </row>
    <row r="11729" spans="1:7" ht="14.25" customHeight="1" x14ac:dyDescent="0.45">
      <c r="A11729" t="str">
        <f>_xlfn.XLOOKUP(B11729,Ingot!$H$12:$H$119,Ingot!$G$12:$G$119,"")</f>
        <v>Osso</v>
      </c>
      <c r="B11729" t="s">
        <v>23441</v>
      </c>
      <c r="C11729" t="s">
        <v>10</v>
      </c>
      <c r="D11729" t="s">
        <v>23572</v>
      </c>
      <c r="E11729" t="s">
        <v>23573</v>
      </c>
    </row>
    <row r="11730" spans="1:7" ht="14.25" customHeight="1" x14ac:dyDescent="0.45">
      <c r="A11730" t="str">
        <f>_xlfn.XLOOKUP(B11730,Ingot!$H$12:$H$119,Ingot!$G$12:$G$119,"")</f>
        <v>Osso</v>
      </c>
      <c r="B11730" t="s">
        <v>23441</v>
      </c>
      <c r="C11730" t="s">
        <v>10</v>
      </c>
      <c r="D11730" t="s">
        <v>23574</v>
      </c>
      <c r="E11730" t="s">
        <v>23575</v>
      </c>
      <c r="G11730" s="1">
        <v>8.57</v>
      </c>
    </row>
    <row r="11731" spans="1:7" ht="14.25" customHeight="1" x14ac:dyDescent="0.45">
      <c r="A11731" t="str">
        <f>_xlfn.XLOOKUP(B11731,Ingot!$H$12:$H$119,Ingot!$G$12:$G$119,"")</f>
        <v>Osso</v>
      </c>
      <c r="B11731" t="s">
        <v>23441</v>
      </c>
      <c r="C11731" t="s">
        <v>10</v>
      </c>
      <c r="D11731" t="s">
        <v>23576</v>
      </c>
      <c r="E11731" t="s">
        <v>23577</v>
      </c>
    </row>
    <row r="11732" spans="1:7" ht="14.25" customHeight="1" x14ac:dyDescent="0.45">
      <c r="A11732" t="str">
        <f>_xlfn.XLOOKUP(B11732,Ingot!$H$12:$H$119,Ingot!$G$12:$G$119,"")</f>
        <v>Osso</v>
      </c>
      <c r="B11732" t="s">
        <v>23441</v>
      </c>
      <c r="C11732" t="s">
        <v>10</v>
      </c>
      <c r="D11732" t="s">
        <v>23578</v>
      </c>
      <c r="E11732" t="s">
        <v>23579</v>
      </c>
      <c r="G11732" s="1">
        <v>3.56</v>
      </c>
    </row>
    <row r="11733" spans="1:7" ht="14.25" customHeight="1" x14ac:dyDescent="0.45">
      <c r="A11733" t="str">
        <f>_xlfn.XLOOKUP(B11733,Ingot!$H$12:$H$119,Ingot!$G$12:$G$119,"")</f>
        <v>Osso</v>
      </c>
      <c r="B11733" t="s">
        <v>23441</v>
      </c>
      <c r="C11733" t="s">
        <v>10</v>
      </c>
      <c r="D11733" t="s">
        <v>23580</v>
      </c>
      <c r="E11733" t="s">
        <v>23581</v>
      </c>
      <c r="G11733" s="1">
        <v>8.91</v>
      </c>
    </row>
    <row r="11734" spans="1:7" ht="14.25" customHeight="1" x14ac:dyDescent="0.45">
      <c r="A11734" t="str">
        <f>_xlfn.XLOOKUP(B11734,Ingot!$H$12:$H$119,Ingot!$G$12:$G$119,"")</f>
        <v>Osso</v>
      </c>
      <c r="B11734" t="s">
        <v>23441</v>
      </c>
      <c r="C11734" t="s">
        <v>10</v>
      </c>
      <c r="D11734" t="s">
        <v>23582</v>
      </c>
      <c r="E11734" t="s">
        <v>23583</v>
      </c>
      <c r="G11734" s="1">
        <v>11.02</v>
      </c>
    </row>
    <row r="11735" spans="1:7" ht="14.25" customHeight="1" x14ac:dyDescent="0.45">
      <c r="A11735" t="str">
        <f>_xlfn.XLOOKUP(B11735,Ingot!$H$12:$H$119,Ingot!$G$12:$G$119,"")</f>
        <v>Osso</v>
      </c>
      <c r="B11735" t="s">
        <v>23441</v>
      </c>
      <c r="C11735" t="s">
        <v>10</v>
      </c>
      <c r="D11735" t="s">
        <v>23584</v>
      </c>
      <c r="E11735" t="s">
        <v>23585</v>
      </c>
      <c r="G11735" s="1">
        <v>5.12</v>
      </c>
    </row>
    <row r="11736" spans="1:7" ht="14.25" customHeight="1" x14ac:dyDescent="0.45">
      <c r="A11736" t="str">
        <f>_xlfn.XLOOKUP(B11736,Ingot!$H$12:$H$119,Ingot!$G$12:$G$119,"")</f>
        <v>Osso</v>
      </c>
      <c r="B11736" t="s">
        <v>23441</v>
      </c>
      <c r="C11736" t="s">
        <v>10</v>
      </c>
      <c r="D11736" t="s">
        <v>23586</v>
      </c>
      <c r="E11736" t="s">
        <v>23587</v>
      </c>
      <c r="G11736" s="1">
        <v>4.41</v>
      </c>
    </row>
    <row r="11737" spans="1:7" ht="14.25" customHeight="1" x14ac:dyDescent="0.45">
      <c r="A11737" t="str">
        <f>_xlfn.XLOOKUP(B11737,Ingot!$H$12:$H$119,Ingot!$G$12:$G$119,"")</f>
        <v>Osso</v>
      </c>
      <c r="B11737" t="s">
        <v>23441</v>
      </c>
      <c r="C11737" t="s">
        <v>157</v>
      </c>
      <c r="D11737" t="s">
        <v>23588</v>
      </c>
      <c r="E11737" t="s">
        <v>23589</v>
      </c>
      <c r="G11737" s="1">
        <v>20.100000000000001</v>
      </c>
    </row>
    <row r="11738" spans="1:7" ht="14.25" customHeight="1" x14ac:dyDescent="0.45">
      <c r="A11738" t="str">
        <f>_xlfn.XLOOKUP(B11738,Ingot!$H$12:$H$119,Ingot!$G$12:$G$119,"")</f>
        <v>Osso</v>
      </c>
      <c r="B11738" t="s">
        <v>23441</v>
      </c>
      <c r="C11738" t="s">
        <v>157</v>
      </c>
      <c r="D11738" t="s">
        <v>23590</v>
      </c>
      <c r="E11738" t="s">
        <v>23591</v>
      </c>
      <c r="G11738" s="1">
        <v>5</v>
      </c>
    </row>
    <row r="11739" spans="1:7" ht="14.25" customHeight="1" x14ac:dyDescent="0.45">
      <c r="A11739" t="str">
        <f>_xlfn.XLOOKUP(B11739,Ingot!$H$12:$H$119,Ingot!$G$12:$G$119,"")</f>
        <v>Osso</v>
      </c>
      <c r="B11739" t="s">
        <v>23441</v>
      </c>
      <c r="C11739" t="s">
        <v>157</v>
      </c>
      <c r="D11739" t="s">
        <v>23592</v>
      </c>
      <c r="E11739" t="s">
        <v>23593</v>
      </c>
      <c r="G11739" s="1">
        <v>5</v>
      </c>
    </row>
    <row r="11740" spans="1:7" ht="14.25" customHeight="1" x14ac:dyDescent="0.45">
      <c r="A11740" t="str">
        <f>_xlfn.XLOOKUP(B11740,Ingot!$H$12:$H$119,Ingot!$G$12:$G$119,"")</f>
        <v>Osso</v>
      </c>
      <c r="B11740" t="s">
        <v>23441</v>
      </c>
      <c r="C11740" t="s">
        <v>157</v>
      </c>
      <c r="D11740" t="s">
        <v>23594</v>
      </c>
      <c r="E11740" t="s">
        <v>23595</v>
      </c>
      <c r="G11740" s="1">
        <v>5</v>
      </c>
    </row>
    <row r="11741" spans="1:7" ht="14.25" customHeight="1" x14ac:dyDescent="0.45">
      <c r="A11741" t="str">
        <f>_xlfn.XLOOKUP(B11741,Ingot!$H$12:$H$119,Ingot!$G$12:$G$119,"")</f>
        <v>Osso</v>
      </c>
      <c r="B11741" t="s">
        <v>23441</v>
      </c>
      <c r="C11741" t="s">
        <v>157</v>
      </c>
      <c r="D11741" t="s">
        <v>23596</v>
      </c>
      <c r="E11741" t="s">
        <v>23597</v>
      </c>
      <c r="G11741" s="1">
        <v>10</v>
      </c>
    </row>
    <row r="11742" spans="1:7" ht="14.25" customHeight="1" x14ac:dyDescent="0.45">
      <c r="A11742" t="str">
        <f>_xlfn.XLOOKUP(B11742,Ingot!$H$12:$H$119,Ingot!$G$12:$G$119,"")</f>
        <v>Osso</v>
      </c>
      <c r="B11742" t="s">
        <v>23441</v>
      </c>
      <c r="C11742" t="s">
        <v>157</v>
      </c>
      <c r="D11742" t="s">
        <v>23598</v>
      </c>
      <c r="E11742" t="s">
        <v>23599</v>
      </c>
      <c r="G11742" s="1">
        <v>16.600000000000001</v>
      </c>
    </row>
    <row r="11743" spans="1:7" ht="14.25" customHeight="1" x14ac:dyDescent="0.45">
      <c r="A11743" t="str">
        <f>_xlfn.XLOOKUP(B11743,Ingot!$H$12:$H$119,Ingot!$G$12:$G$119,"")</f>
        <v>Osso</v>
      </c>
      <c r="B11743" t="s">
        <v>23441</v>
      </c>
      <c r="C11743" t="s">
        <v>157</v>
      </c>
      <c r="D11743" t="s">
        <v>23600</v>
      </c>
      <c r="E11743" t="s">
        <v>23601</v>
      </c>
      <c r="G11743" s="1">
        <v>5</v>
      </c>
    </row>
    <row r="11744" spans="1:7" ht="14.25" customHeight="1" x14ac:dyDescent="0.45">
      <c r="A11744" t="str">
        <f>_xlfn.XLOOKUP(B11744,Ingot!$H$12:$H$119,Ingot!$G$12:$G$119,"")</f>
        <v>Osso</v>
      </c>
      <c r="B11744" t="s">
        <v>23441</v>
      </c>
      <c r="C11744" t="s">
        <v>157</v>
      </c>
      <c r="D11744" t="s">
        <v>23602</v>
      </c>
      <c r="E11744" t="s">
        <v>23603</v>
      </c>
      <c r="G11744" s="1">
        <v>5</v>
      </c>
    </row>
    <row r="11745" spans="1:7" ht="14.25" customHeight="1" x14ac:dyDescent="0.45">
      <c r="A11745" t="str">
        <f>_xlfn.XLOOKUP(B11745,Ingot!$H$12:$H$119,Ingot!$G$12:$G$119,"")</f>
        <v>Osso</v>
      </c>
      <c r="B11745" t="s">
        <v>23441</v>
      </c>
      <c r="C11745" t="s">
        <v>157</v>
      </c>
      <c r="D11745" t="s">
        <v>23604</v>
      </c>
      <c r="E11745" t="s">
        <v>23605</v>
      </c>
      <c r="G11745" s="1">
        <v>5</v>
      </c>
    </row>
    <row r="11746" spans="1:7" ht="14.25" customHeight="1" x14ac:dyDescent="0.45">
      <c r="A11746" t="str">
        <f>_xlfn.XLOOKUP(B11746,Ingot!$H$12:$H$119,Ingot!$G$12:$G$119,"")</f>
        <v>Osso</v>
      </c>
      <c r="B11746" t="s">
        <v>23441</v>
      </c>
      <c r="C11746" t="s">
        <v>157</v>
      </c>
      <c r="D11746" t="s">
        <v>23606</v>
      </c>
      <c r="E11746" t="s">
        <v>23607</v>
      </c>
      <c r="G11746" s="1">
        <v>10</v>
      </c>
    </row>
    <row r="11747" spans="1:7" ht="14.25" customHeight="1" x14ac:dyDescent="0.45">
      <c r="A11747" t="str">
        <f>_xlfn.XLOOKUP(B11747,Ingot!$H$12:$H$119,Ingot!$G$12:$G$119,"")</f>
        <v>Osso</v>
      </c>
      <c r="B11747" t="s">
        <v>23441</v>
      </c>
      <c r="C11747" t="s">
        <v>157</v>
      </c>
      <c r="D11747" t="s">
        <v>23608</v>
      </c>
      <c r="E11747" t="s">
        <v>23609</v>
      </c>
      <c r="F11747" t="s">
        <v>180</v>
      </c>
      <c r="G11747" s="1">
        <v>16.100000000000001</v>
      </c>
    </row>
    <row r="11748" spans="1:7" ht="14.25" customHeight="1" x14ac:dyDescent="0.45">
      <c r="A11748" t="str">
        <f>_xlfn.XLOOKUP(B11748,Ingot!$H$12:$H$119,Ingot!$G$12:$G$119,"")</f>
        <v>Osso</v>
      </c>
      <c r="B11748" t="s">
        <v>23441</v>
      </c>
      <c r="C11748" t="s">
        <v>157</v>
      </c>
      <c r="D11748" t="s">
        <v>23610</v>
      </c>
      <c r="E11748" t="s">
        <v>23611</v>
      </c>
      <c r="F11748" t="s">
        <v>180</v>
      </c>
      <c r="G11748" s="1">
        <v>5</v>
      </c>
    </row>
    <row r="11749" spans="1:7" ht="14.25" customHeight="1" x14ac:dyDescent="0.45">
      <c r="A11749" t="str">
        <f>_xlfn.XLOOKUP(B11749,Ingot!$H$12:$H$119,Ingot!$G$12:$G$119,"")</f>
        <v>Osso</v>
      </c>
      <c r="B11749" t="s">
        <v>23441</v>
      </c>
      <c r="C11749" t="s">
        <v>157</v>
      </c>
      <c r="D11749" t="s">
        <v>23612</v>
      </c>
      <c r="E11749" t="s">
        <v>23613</v>
      </c>
      <c r="F11749" t="s">
        <v>180</v>
      </c>
      <c r="G11749" s="1">
        <v>5</v>
      </c>
    </row>
    <row r="11750" spans="1:7" ht="14.25" customHeight="1" x14ac:dyDescent="0.45">
      <c r="A11750" t="str">
        <f>_xlfn.XLOOKUP(B11750,Ingot!$H$12:$H$119,Ingot!$G$12:$G$119,"")</f>
        <v>Osso</v>
      </c>
      <c r="B11750" t="s">
        <v>23441</v>
      </c>
      <c r="C11750" t="s">
        <v>157</v>
      </c>
      <c r="D11750" t="s">
        <v>23614</v>
      </c>
      <c r="E11750" t="s">
        <v>23615</v>
      </c>
      <c r="F11750" t="s">
        <v>180</v>
      </c>
      <c r="G11750" s="1">
        <v>5</v>
      </c>
    </row>
    <row r="11751" spans="1:7" ht="14.25" customHeight="1" x14ac:dyDescent="0.45">
      <c r="A11751" t="str">
        <f>_xlfn.XLOOKUP(B11751,Ingot!$H$12:$H$119,Ingot!$G$12:$G$119,"")</f>
        <v>Osso</v>
      </c>
      <c r="B11751" t="s">
        <v>23441</v>
      </c>
      <c r="C11751" t="s">
        <v>157</v>
      </c>
      <c r="D11751" t="s">
        <v>23616</v>
      </c>
      <c r="E11751" t="s">
        <v>23617</v>
      </c>
      <c r="F11751" t="s">
        <v>180</v>
      </c>
      <c r="G11751" s="1">
        <v>10</v>
      </c>
    </row>
    <row r="11752" spans="1:7" ht="14.25" customHeight="1" x14ac:dyDescent="0.45">
      <c r="A11752" t="str">
        <f>_xlfn.XLOOKUP(B11752,Ingot!$H$12:$H$119,Ingot!$G$12:$G$119,"")</f>
        <v>Osso</v>
      </c>
      <c r="B11752" t="s">
        <v>23441</v>
      </c>
      <c r="C11752" t="s">
        <v>157</v>
      </c>
      <c r="D11752" t="s">
        <v>23618</v>
      </c>
      <c r="E11752" t="s">
        <v>23619</v>
      </c>
      <c r="G11752" s="1">
        <v>17.600000000000001</v>
      </c>
    </row>
    <row r="11753" spans="1:7" ht="14.25" customHeight="1" x14ac:dyDescent="0.45">
      <c r="A11753" t="str">
        <f>_xlfn.XLOOKUP(B11753,Ingot!$H$12:$H$119,Ingot!$G$12:$G$119,"")</f>
        <v>Osso</v>
      </c>
      <c r="B11753" t="s">
        <v>23441</v>
      </c>
      <c r="C11753" t="s">
        <v>157</v>
      </c>
      <c r="D11753" t="s">
        <v>23620</v>
      </c>
      <c r="E11753" t="s">
        <v>23621</v>
      </c>
      <c r="G11753" s="1">
        <v>5</v>
      </c>
    </row>
    <row r="11754" spans="1:7" ht="14.25" customHeight="1" x14ac:dyDescent="0.45">
      <c r="A11754" t="str">
        <f>_xlfn.XLOOKUP(B11754,Ingot!$H$12:$H$119,Ingot!$G$12:$G$119,"")</f>
        <v>Osso</v>
      </c>
      <c r="B11754" t="s">
        <v>23441</v>
      </c>
      <c r="C11754" t="s">
        <v>157</v>
      </c>
      <c r="D11754" t="s">
        <v>23622</v>
      </c>
      <c r="E11754" t="s">
        <v>23623</v>
      </c>
      <c r="G11754" s="1">
        <v>5</v>
      </c>
    </row>
    <row r="11755" spans="1:7" ht="14.25" customHeight="1" x14ac:dyDescent="0.45">
      <c r="A11755" t="str">
        <f>_xlfn.XLOOKUP(B11755,Ingot!$H$12:$H$119,Ingot!$G$12:$G$119,"")</f>
        <v>Osso</v>
      </c>
      <c r="B11755" t="s">
        <v>23441</v>
      </c>
      <c r="C11755" t="s">
        <v>157</v>
      </c>
      <c r="D11755" t="s">
        <v>23624</v>
      </c>
      <c r="E11755" t="s">
        <v>23625</v>
      </c>
      <c r="G11755" s="1">
        <v>5</v>
      </c>
    </row>
    <row r="11756" spans="1:7" ht="14.25" customHeight="1" x14ac:dyDescent="0.45">
      <c r="A11756" t="str">
        <f>_xlfn.XLOOKUP(B11756,Ingot!$H$12:$H$119,Ingot!$G$12:$G$119,"")</f>
        <v>Osso</v>
      </c>
      <c r="B11756" t="s">
        <v>23441</v>
      </c>
      <c r="C11756" t="s">
        <v>157</v>
      </c>
      <c r="D11756" t="s">
        <v>23626</v>
      </c>
      <c r="E11756" t="s">
        <v>23627</v>
      </c>
      <c r="G11756" s="1">
        <v>10</v>
      </c>
    </row>
    <row r="11757" spans="1:7" ht="14.25" customHeight="1" x14ac:dyDescent="0.45">
      <c r="A11757" t="str">
        <f>_xlfn.XLOOKUP(B11757,Ingot!$H$12:$H$119,Ingot!$G$12:$G$119,"")</f>
        <v>Osso</v>
      </c>
      <c r="B11757" t="s">
        <v>23441</v>
      </c>
      <c r="C11757" t="s">
        <v>157</v>
      </c>
      <c r="D11757" t="s">
        <v>23628</v>
      </c>
      <c r="E11757" t="s">
        <v>23629</v>
      </c>
      <c r="G11757" s="1">
        <v>18.600000000000001</v>
      </c>
    </row>
    <row r="11758" spans="1:7" ht="14.25" customHeight="1" x14ac:dyDescent="0.45">
      <c r="A11758" t="str">
        <f>_xlfn.XLOOKUP(B11758,Ingot!$H$12:$H$119,Ingot!$G$12:$G$119,"")</f>
        <v>Osso</v>
      </c>
      <c r="B11758" t="s">
        <v>23441</v>
      </c>
      <c r="C11758" t="s">
        <v>157</v>
      </c>
      <c r="D11758" t="s">
        <v>23630</v>
      </c>
      <c r="E11758" t="s">
        <v>23631</v>
      </c>
      <c r="F11758" t="s">
        <v>180</v>
      </c>
      <c r="G11758" s="1">
        <v>5</v>
      </c>
    </row>
    <row r="11759" spans="1:7" ht="14.25" customHeight="1" x14ac:dyDescent="0.45">
      <c r="A11759" t="str">
        <f>_xlfn.XLOOKUP(B11759,Ingot!$H$12:$H$119,Ingot!$G$12:$G$119,"")</f>
        <v>Osso</v>
      </c>
      <c r="B11759" t="s">
        <v>23441</v>
      </c>
      <c r="C11759" t="s">
        <v>157</v>
      </c>
      <c r="D11759" t="s">
        <v>23632</v>
      </c>
      <c r="E11759" t="s">
        <v>23633</v>
      </c>
      <c r="F11759" t="s">
        <v>180</v>
      </c>
      <c r="G11759" s="1">
        <v>5</v>
      </c>
    </row>
    <row r="11760" spans="1:7" ht="14.25" customHeight="1" x14ac:dyDescent="0.45">
      <c r="A11760" t="str">
        <f>_xlfn.XLOOKUP(B11760,Ingot!$H$12:$H$119,Ingot!$G$12:$G$119,"")</f>
        <v>Osso</v>
      </c>
      <c r="B11760" t="s">
        <v>23441</v>
      </c>
      <c r="C11760" t="s">
        <v>157</v>
      </c>
      <c r="D11760" t="s">
        <v>23634</v>
      </c>
      <c r="E11760" t="s">
        <v>23635</v>
      </c>
      <c r="F11760" t="s">
        <v>180</v>
      </c>
      <c r="G11760" s="1">
        <v>5</v>
      </c>
    </row>
    <row r="11761" spans="1:7" ht="14.25" customHeight="1" x14ac:dyDescent="0.45">
      <c r="A11761" t="str">
        <f>_xlfn.XLOOKUP(B11761,Ingot!$H$12:$H$119,Ingot!$G$12:$G$119,"")</f>
        <v>Osso</v>
      </c>
      <c r="B11761" t="s">
        <v>23441</v>
      </c>
      <c r="C11761" t="s">
        <v>157</v>
      </c>
      <c r="D11761" t="s">
        <v>23636</v>
      </c>
      <c r="E11761" t="s">
        <v>23637</v>
      </c>
      <c r="G11761" s="1">
        <v>10</v>
      </c>
    </row>
    <row r="11762" spans="1:7" ht="14.25" customHeight="1" x14ac:dyDescent="0.45">
      <c r="A11762" t="str">
        <f>_xlfn.XLOOKUP(B11762,Ingot!$H$12:$H$119,Ingot!$G$12:$G$119,"")</f>
        <v>Osso</v>
      </c>
      <c r="B11762" t="s">
        <v>23441</v>
      </c>
      <c r="C11762" t="s">
        <v>157</v>
      </c>
      <c r="D11762" t="s">
        <v>23638</v>
      </c>
      <c r="E11762" t="s">
        <v>23639</v>
      </c>
      <c r="G11762" s="1">
        <v>22.6</v>
      </c>
    </row>
    <row r="11763" spans="1:7" ht="14.25" customHeight="1" x14ac:dyDescent="0.45">
      <c r="A11763" t="str">
        <f>_xlfn.XLOOKUP(B11763,Ingot!$H$12:$H$119,Ingot!$G$12:$G$119,"")</f>
        <v>Osso</v>
      </c>
      <c r="B11763" t="s">
        <v>23441</v>
      </c>
      <c r="C11763" t="s">
        <v>157</v>
      </c>
      <c r="D11763" t="s">
        <v>23640</v>
      </c>
      <c r="E11763" t="s">
        <v>23641</v>
      </c>
      <c r="G11763" s="1">
        <v>5</v>
      </c>
    </row>
    <row r="11764" spans="1:7" ht="14.25" customHeight="1" x14ac:dyDescent="0.45">
      <c r="A11764" t="str">
        <f>_xlfn.XLOOKUP(B11764,Ingot!$H$12:$H$119,Ingot!$G$12:$G$119,"")</f>
        <v>Osso</v>
      </c>
      <c r="B11764" t="s">
        <v>23441</v>
      </c>
      <c r="C11764" t="s">
        <v>157</v>
      </c>
      <c r="D11764" t="s">
        <v>23642</v>
      </c>
      <c r="E11764" t="s">
        <v>23643</v>
      </c>
      <c r="G11764" s="1">
        <v>5</v>
      </c>
    </row>
    <row r="11765" spans="1:7" ht="14.25" customHeight="1" x14ac:dyDescent="0.45">
      <c r="A11765" t="str">
        <f>_xlfn.XLOOKUP(B11765,Ingot!$H$12:$H$119,Ingot!$G$12:$G$119,"")</f>
        <v>Osso</v>
      </c>
      <c r="B11765" t="s">
        <v>23441</v>
      </c>
      <c r="C11765" t="s">
        <v>157</v>
      </c>
      <c r="D11765" t="s">
        <v>23644</v>
      </c>
      <c r="E11765" t="s">
        <v>23645</v>
      </c>
      <c r="G11765" s="1">
        <v>5</v>
      </c>
    </row>
    <row r="11766" spans="1:7" ht="14.25" customHeight="1" x14ac:dyDescent="0.45">
      <c r="A11766" t="str">
        <f>_xlfn.XLOOKUP(B11766,Ingot!$H$12:$H$119,Ingot!$G$12:$G$119,"")</f>
        <v>Osso</v>
      </c>
      <c r="B11766" t="s">
        <v>23441</v>
      </c>
      <c r="C11766" t="s">
        <v>157</v>
      </c>
      <c r="D11766" t="s">
        <v>23646</v>
      </c>
      <c r="E11766" t="s">
        <v>23647</v>
      </c>
      <c r="G11766" s="1">
        <v>10</v>
      </c>
    </row>
    <row r="11767" spans="1:7" ht="14.25" customHeight="1" x14ac:dyDescent="0.45">
      <c r="A11767" t="str">
        <f>_xlfn.XLOOKUP(B11767,Ingot!$H$12:$H$119,Ingot!$G$12:$G$119,"")</f>
        <v>Osso</v>
      </c>
      <c r="B11767" t="s">
        <v>23441</v>
      </c>
      <c r="C11767" t="s">
        <v>157</v>
      </c>
      <c r="D11767" t="s">
        <v>23648</v>
      </c>
      <c r="E11767" t="s">
        <v>23649</v>
      </c>
      <c r="G11767" s="1">
        <v>21.6</v>
      </c>
    </row>
    <row r="11768" spans="1:7" ht="14.25" customHeight="1" x14ac:dyDescent="0.45">
      <c r="A11768" t="str">
        <f>_xlfn.XLOOKUP(B11768,Ingot!$H$12:$H$119,Ingot!$G$12:$G$119,"")</f>
        <v>Osso</v>
      </c>
      <c r="B11768" t="s">
        <v>23441</v>
      </c>
      <c r="C11768" t="s">
        <v>157</v>
      </c>
      <c r="D11768" t="s">
        <v>23650</v>
      </c>
      <c r="E11768" t="s">
        <v>23651</v>
      </c>
      <c r="G11768" s="1">
        <v>5</v>
      </c>
    </row>
    <row r="11769" spans="1:7" ht="14.25" customHeight="1" x14ac:dyDescent="0.45">
      <c r="A11769" t="str">
        <f>_xlfn.XLOOKUP(B11769,Ingot!$H$12:$H$119,Ingot!$G$12:$G$119,"")</f>
        <v>Osso</v>
      </c>
      <c r="B11769" t="s">
        <v>23441</v>
      </c>
      <c r="C11769" t="s">
        <v>157</v>
      </c>
      <c r="D11769" t="s">
        <v>23652</v>
      </c>
      <c r="E11769" t="s">
        <v>23653</v>
      </c>
      <c r="G11769" s="1">
        <v>5</v>
      </c>
    </row>
    <row r="11770" spans="1:7" ht="14.25" customHeight="1" x14ac:dyDescent="0.45">
      <c r="A11770" t="str">
        <f>_xlfn.XLOOKUP(B11770,Ingot!$H$12:$H$119,Ingot!$G$12:$G$119,"")</f>
        <v>Osso</v>
      </c>
      <c r="B11770" t="s">
        <v>23441</v>
      </c>
      <c r="C11770" t="s">
        <v>157</v>
      </c>
      <c r="D11770" t="s">
        <v>23654</v>
      </c>
      <c r="E11770" t="s">
        <v>23655</v>
      </c>
      <c r="G11770" s="1">
        <v>5</v>
      </c>
    </row>
    <row r="11771" spans="1:7" ht="14.25" customHeight="1" x14ac:dyDescent="0.45">
      <c r="A11771" t="str">
        <f>_xlfn.XLOOKUP(B11771,Ingot!$H$12:$H$119,Ingot!$G$12:$G$119,"")</f>
        <v>Osso</v>
      </c>
      <c r="B11771" t="s">
        <v>23441</v>
      </c>
      <c r="C11771" t="s">
        <v>157</v>
      </c>
      <c r="D11771" t="s">
        <v>23656</v>
      </c>
      <c r="E11771" t="s">
        <v>23657</v>
      </c>
      <c r="G11771" s="1">
        <v>10</v>
      </c>
    </row>
    <row r="11772" spans="1:7" ht="14.25" customHeight="1" x14ac:dyDescent="0.45">
      <c r="A11772" t="str">
        <f>_xlfn.XLOOKUP(B11772,Ingot!$H$12:$H$119,Ingot!$G$12:$G$119,"")</f>
        <v>Osso</v>
      </c>
      <c r="B11772" t="s">
        <v>23441</v>
      </c>
      <c r="C11772" t="s">
        <v>157</v>
      </c>
      <c r="D11772" t="s">
        <v>23658</v>
      </c>
      <c r="E11772" t="s">
        <v>23659</v>
      </c>
      <c r="F11772" t="s">
        <v>180</v>
      </c>
      <c r="G11772" s="1">
        <v>15.6</v>
      </c>
    </row>
    <row r="11773" spans="1:7" ht="14.25" customHeight="1" x14ac:dyDescent="0.45">
      <c r="A11773" t="str">
        <f>_xlfn.XLOOKUP(B11773,Ingot!$H$12:$H$119,Ingot!$G$12:$G$119,"")</f>
        <v>Osso</v>
      </c>
      <c r="B11773" t="s">
        <v>23441</v>
      </c>
      <c r="C11773" t="s">
        <v>157</v>
      </c>
      <c r="D11773" t="s">
        <v>23660</v>
      </c>
      <c r="E11773" t="s">
        <v>23661</v>
      </c>
      <c r="F11773" t="s">
        <v>180</v>
      </c>
      <c r="G11773" s="1">
        <v>5</v>
      </c>
    </row>
    <row r="11774" spans="1:7" ht="14.25" customHeight="1" x14ac:dyDescent="0.45">
      <c r="A11774" t="str">
        <f>_xlfn.XLOOKUP(B11774,Ingot!$H$12:$H$119,Ingot!$G$12:$G$119,"")</f>
        <v>Osso</v>
      </c>
      <c r="B11774" t="s">
        <v>23441</v>
      </c>
      <c r="C11774" t="s">
        <v>157</v>
      </c>
      <c r="D11774" t="s">
        <v>23662</v>
      </c>
      <c r="E11774" t="s">
        <v>23663</v>
      </c>
      <c r="F11774" t="s">
        <v>180</v>
      </c>
      <c r="G11774" s="1">
        <v>5</v>
      </c>
    </row>
    <row r="11775" spans="1:7" ht="14.25" customHeight="1" x14ac:dyDescent="0.45">
      <c r="A11775" t="str">
        <f>_xlfn.XLOOKUP(B11775,Ingot!$H$12:$H$119,Ingot!$G$12:$G$119,"")</f>
        <v>Osso</v>
      </c>
      <c r="B11775" t="s">
        <v>23441</v>
      </c>
      <c r="C11775" t="s">
        <v>157</v>
      </c>
      <c r="D11775" t="s">
        <v>23664</v>
      </c>
      <c r="E11775" t="s">
        <v>23665</v>
      </c>
      <c r="F11775" t="s">
        <v>180</v>
      </c>
      <c r="G11775" s="1">
        <v>5</v>
      </c>
    </row>
    <row r="11776" spans="1:7" ht="14.25" customHeight="1" x14ac:dyDescent="0.45">
      <c r="A11776" t="str">
        <f>_xlfn.XLOOKUP(B11776,Ingot!$H$12:$H$119,Ingot!$G$12:$G$119,"")</f>
        <v>Osso</v>
      </c>
      <c r="B11776" t="s">
        <v>23441</v>
      </c>
      <c r="C11776" t="s">
        <v>157</v>
      </c>
      <c r="D11776" t="s">
        <v>23666</v>
      </c>
      <c r="E11776" t="s">
        <v>23667</v>
      </c>
      <c r="F11776" t="s">
        <v>180</v>
      </c>
      <c r="G11776" s="1">
        <v>10</v>
      </c>
    </row>
    <row r="11777" spans="1:7" ht="14.25" customHeight="1" x14ac:dyDescent="0.45">
      <c r="A11777" t="str">
        <f>_xlfn.XLOOKUP(B11777,Ingot!$H$12:$H$119,Ingot!$G$12:$G$119,"")</f>
        <v>Osso</v>
      </c>
      <c r="B11777" t="s">
        <v>23441</v>
      </c>
      <c r="C11777" t="s">
        <v>239</v>
      </c>
      <c r="D11777" t="s">
        <v>23668</v>
      </c>
      <c r="E11777" t="s">
        <v>23669</v>
      </c>
      <c r="G11777" s="1">
        <f>(VLOOKUP(B11777,Ingot!H:I,2,FALSE()) * 0.75) * 0.75</f>
        <v>3.09375</v>
      </c>
    </row>
    <row r="11778" spans="1:7" ht="14.25" customHeight="1" x14ac:dyDescent="0.45">
      <c r="A11778" t="str">
        <f>_xlfn.XLOOKUP(B11778,Ingot!$H$12:$H$119,Ingot!$G$12:$G$119,"")</f>
        <v>Osso</v>
      </c>
      <c r="B11778" t="s">
        <v>23441</v>
      </c>
      <c r="C11778" t="s">
        <v>239</v>
      </c>
      <c r="D11778" t="s">
        <v>23670</v>
      </c>
      <c r="E11778" t="s">
        <v>23671</v>
      </c>
      <c r="G11778" s="1">
        <f>((VLOOKUP(B11778,Ingot!H:I,2,FALSE()) * 3) - 10.25) * 0.421875</f>
        <v>2.63671875</v>
      </c>
    </row>
    <row r="11779" spans="1:7" ht="14.25" customHeight="1" x14ac:dyDescent="0.45">
      <c r="A11779" t="str">
        <f>_xlfn.XLOOKUP(B11779,Ingot!$H$12:$H$119,Ingot!$G$12:$G$119,"")</f>
        <v>Osso</v>
      </c>
      <c r="B11779" t="s">
        <v>23441</v>
      </c>
      <c r="C11779" t="s">
        <v>239</v>
      </c>
      <c r="D11779" t="s">
        <v>23672</v>
      </c>
      <c r="E11779" t="s">
        <v>23673</v>
      </c>
      <c r="G11779" s="1">
        <f>((VLOOKUP(B11779,Ingot!H:I,2,FALSE()) * 3) - 10.25) * 0.75</f>
        <v>4.6875</v>
      </c>
    </row>
    <row r="11780" spans="1:7" ht="14.25" customHeight="1" x14ac:dyDescent="0.45">
      <c r="A11780" t="str">
        <f>_xlfn.XLOOKUP(B11780,Ingot!$H$12:$H$119,Ingot!$G$12:$G$119,"")</f>
        <v>Osso</v>
      </c>
      <c r="B11780" t="s">
        <v>23441</v>
      </c>
      <c r="C11780" t="s">
        <v>239</v>
      </c>
      <c r="D11780" t="s">
        <v>23674</v>
      </c>
      <c r="E11780" t="s">
        <v>23675</v>
      </c>
      <c r="G11780" s="1">
        <f>((VLOOKUP(B11780,Ingot!H:I,2,FALSE()) * 3) - 10.25) * 0.5625</f>
        <v>3.515625</v>
      </c>
    </row>
    <row r="11781" spans="1:7" ht="14.25" customHeight="1" x14ac:dyDescent="0.45">
      <c r="A11781" t="str">
        <f>_xlfn.XLOOKUP(B11781,Ingot!$H$12:$H$119,Ingot!$G$12:$G$119,"")</f>
        <v>Osso</v>
      </c>
      <c r="B11781" t="s">
        <v>23441</v>
      </c>
      <c r="C11781" t="s">
        <v>239</v>
      </c>
      <c r="D11781" t="s">
        <v>23676</v>
      </c>
      <c r="E11781" t="s">
        <v>23677</v>
      </c>
      <c r="G11781" s="1">
        <f>VLOOKUP(B11781,Ingot!H:I,2,FALSE()) * 0.75</f>
        <v>4.125</v>
      </c>
    </row>
    <row r="11782" spans="1:7" ht="14.25" customHeight="1" x14ac:dyDescent="0.45">
      <c r="A11782" t="str">
        <f>_xlfn.XLOOKUP(B11782,Ingot!$H$12:$H$119,Ingot!$G$12:$G$119,"")</f>
        <v>Osso</v>
      </c>
      <c r="B11782" t="s">
        <v>23441</v>
      </c>
      <c r="C11782" t="s">
        <v>239</v>
      </c>
      <c r="D11782" t="s">
        <v>23678</v>
      </c>
      <c r="E11782" t="s">
        <v>23679</v>
      </c>
      <c r="G11782" s="1">
        <f>(VLOOKUP(B11782,Ingot!H:I,2,FALSE()) * 3) - 10.25</f>
        <v>6.25</v>
      </c>
    </row>
    <row r="11783" spans="1:7" ht="14.25" customHeight="1" x14ac:dyDescent="0.45">
      <c r="A11783" t="str">
        <f>_xlfn.XLOOKUP(B11783,Ingot!$H$12:$H$119,Ingot!$G$12:$G$119,"")</f>
        <v>Osso</v>
      </c>
      <c r="B11783" t="s">
        <v>23680</v>
      </c>
      <c r="C11783" t="s">
        <v>10</v>
      </c>
      <c r="D11783" t="s">
        <v>23681</v>
      </c>
      <c r="E11783" t="s">
        <v>23682</v>
      </c>
      <c r="G11783" s="1">
        <v>0.08</v>
      </c>
    </row>
    <row r="11784" spans="1:7" ht="14.25" customHeight="1" x14ac:dyDescent="0.45">
      <c r="A11784" t="str">
        <f>_xlfn.XLOOKUP(B11784,Ingot!$H$12:$H$119,Ingot!$G$12:$G$119,"")</f>
        <v>Osso</v>
      </c>
      <c r="B11784" t="s">
        <v>23680</v>
      </c>
      <c r="C11784" t="s">
        <v>10</v>
      </c>
      <c r="D11784" t="s">
        <v>23683</v>
      </c>
      <c r="E11784" t="s">
        <v>23684</v>
      </c>
      <c r="G11784" s="1">
        <v>9.9</v>
      </c>
    </row>
    <row r="11785" spans="1:7" ht="14.25" customHeight="1" x14ac:dyDescent="0.45">
      <c r="A11785" t="str">
        <f>_xlfn.XLOOKUP(B11785,Ingot!$H$12:$H$119,Ingot!$G$12:$G$119,"")</f>
        <v>Osso</v>
      </c>
      <c r="B11785" t="s">
        <v>23680</v>
      </c>
      <c r="C11785" t="s">
        <v>10</v>
      </c>
      <c r="D11785" t="s">
        <v>23685</v>
      </c>
      <c r="E11785" t="s">
        <v>23686</v>
      </c>
      <c r="G11785" s="1">
        <v>5.66</v>
      </c>
    </row>
    <row r="11786" spans="1:7" ht="14.25" customHeight="1" x14ac:dyDescent="0.45">
      <c r="A11786" t="str">
        <f>_xlfn.XLOOKUP(B11786,Ingot!$H$12:$H$119,Ingot!$G$12:$G$119,"")</f>
        <v>Osso</v>
      </c>
      <c r="B11786" t="s">
        <v>23680</v>
      </c>
      <c r="C11786" t="s">
        <v>10</v>
      </c>
      <c r="D11786" t="s">
        <v>23687</v>
      </c>
      <c r="E11786" t="s">
        <v>23688</v>
      </c>
      <c r="G11786" s="1">
        <v>3.3</v>
      </c>
    </row>
    <row r="11787" spans="1:7" ht="14.25" customHeight="1" x14ac:dyDescent="0.45">
      <c r="A11787" t="str">
        <f>_xlfn.XLOOKUP(B11787,Ingot!$H$12:$H$119,Ingot!$G$12:$G$119,"")</f>
        <v>Osso</v>
      </c>
      <c r="B11787" t="s">
        <v>23680</v>
      </c>
      <c r="C11787" t="s">
        <v>10</v>
      </c>
      <c r="D11787" t="s">
        <v>23689</v>
      </c>
      <c r="E11787" t="s">
        <v>23690</v>
      </c>
      <c r="G11787" s="1">
        <v>0.66</v>
      </c>
    </row>
    <row r="11788" spans="1:7" ht="14.25" customHeight="1" x14ac:dyDescent="0.45">
      <c r="A11788" t="str">
        <f>_xlfn.XLOOKUP(B11788,Ingot!$H$12:$H$119,Ingot!$G$12:$G$119,"")</f>
        <v>Osso</v>
      </c>
      <c r="B11788" t="s">
        <v>23680</v>
      </c>
      <c r="C11788" t="s">
        <v>10</v>
      </c>
      <c r="D11788" t="s">
        <v>23691</v>
      </c>
      <c r="E11788" t="s">
        <v>23692</v>
      </c>
      <c r="G11788" s="1">
        <v>0.04</v>
      </c>
    </row>
    <row r="11789" spans="1:7" ht="14.25" customHeight="1" x14ac:dyDescent="0.45">
      <c r="A11789" t="str">
        <f>_xlfn.XLOOKUP(B11789,Ingot!$H$12:$H$119,Ingot!$G$12:$G$119,"")</f>
        <v>Osso</v>
      </c>
      <c r="B11789" t="s">
        <v>23680</v>
      </c>
      <c r="C11789" t="s">
        <v>10</v>
      </c>
      <c r="D11789" t="s">
        <v>23693</v>
      </c>
      <c r="E11789" t="s">
        <v>23694</v>
      </c>
      <c r="G11789" s="1">
        <v>0.33</v>
      </c>
    </row>
    <row r="11790" spans="1:7" ht="14.25" customHeight="1" x14ac:dyDescent="0.45">
      <c r="A11790" t="str">
        <f>_xlfn.XLOOKUP(B11790,Ingot!$H$12:$H$119,Ingot!$G$12:$G$119,"")</f>
        <v>Osso</v>
      </c>
      <c r="B11790" t="s">
        <v>23680</v>
      </c>
      <c r="C11790" t="s">
        <v>10</v>
      </c>
      <c r="D11790" t="s">
        <v>23695</v>
      </c>
      <c r="E11790" t="s">
        <v>23696</v>
      </c>
    </row>
    <row r="11791" spans="1:7" ht="14.25" customHeight="1" x14ac:dyDescent="0.45">
      <c r="A11791" t="str">
        <f>_xlfn.XLOOKUP(B11791,Ingot!$H$12:$H$119,Ingot!$G$12:$G$119,"")</f>
        <v>Osso</v>
      </c>
      <c r="B11791" t="s">
        <v>23680</v>
      </c>
      <c r="C11791" t="s">
        <v>10</v>
      </c>
      <c r="D11791" t="s">
        <v>23697</v>
      </c>
      <c r="E11791" t="s">
        <v>23698</v>
      </c>
      <c r="G11791" s="1">
        <v>0.05</v>
      </c>
    </row>
    <row r="11792" spans="1:7" ht="14.25" customHeight="1" x14ac:dyDescent="0.45">
      <c r="A11792" t="str">
        <f>_xlfn.XLOOKUP(B11792,Ingot!$H$12:$H$119,Ingot!$G$12:$G$119,"")</f>
        <v>Osso</v>
      </c>
      <c r="B11792" t="s">
        <v>23680</v>
      </c>
      <c r="C11792" t="s">
        <v>10</v>
      </c>
      <c r="D11792" t="s">
        <v>23699</v>
      </c>
      <c r="E11792" t="s">
        <v>23700</v>
      </c>
      <c r="G11792" s="1">
        <v>0.66</v>
      </c>
    </row>
    <row r="11793" spans="1:7" ht="14.25" customHeight="1" x14ac:dyDescent="0.45">
      <c r="A11793" t="str">
        <f>_xlfn.XLOOKUP(B11793,Ingot!$H$12:$H$119,Ingot!$G$12:$G$119,"")</f>
        <v>Osso</v>
      </c>
      <c r="B11793" t="s">
        <v>23680</v>
      </c>
      <c r="C11793" t="s">
        <v>10</v>
      </c>
      <c r="D11793" t="s">
        <v>23701</v>
      </c>
      <c r="E11793" t="s">
        <v>23702</v>
      </c>
      <c r="G11793" s="1">
        <v>3.96</v>
      </c>
    </row>
    <row r="11794" spans="1:7" ht="14.25" customHeight="1" x14ac:dyDescent="0.45">
      <c r="A11794" t="str">
        <f>_xlfn.XLOOKUP(B11794,Ingot!$H$12:$H$119,Ingot!$G$12:$G$119,"")</f>
        <v>Osso</v>
      </c>
      <c r="B11794" t="s">
        <v>23680</v>
      </c>
      <c r="C11794" t="s">
        <v>10</v>
      </c>
      <c r="D11794" t="s">
        <v>23703</v>
      </c>
      <c r="E11794" t="s">
        <v>23704</v>
      </c>
      <c r="G11794" s="1">
        <v>8.77</v>
      </c>
    </row>
    <row r="11795" spans="1:7" ht="14.25" customHeight="1" x14ac:dyDescent="0.45">
      <c r="A11795" t="str">
        <f>_xlfn.XLOOKUP(B11795,Ingot!$H$12:$H$119,Ingot!$G$12:$G$119,"")</f>
        <v>Osso</v>
      </c>
      <c r="B11795" t="s">
        <v>23680</v>
      </c>
      <c r="C11795" t="s">
        <v>10</v>
      </c>
      <c r="D11795" t="s">
        <v>23705</v>
      </c>
      <c r="E11795" t="s">
        <v>23706</v>
      </c>
      <c r="G11795" s="1">
        <v>3.5</v>
      </c>
    </row>
    <row r="11796" spans="1:7" ht="14.25" customHeight="1" x14ac:dyDescent="0.45">
      <c r="A11796" t="str">
        <f>_xlfn.XLOOKUP(B11796,Ingot!$H$12:$H$119,Ingot!$G$12:$G$119,"")</f>
        <v>Osso</v>
      </c>
      <c r="B11796" t="s">
        <v>23680</v>
      </c>
      <c r="C11796" t="s">
        <v>10</v>
      </c>
      <c r="D11796" t="s">
        <v>23707</v>
      </c>
      <c r="E11796" t="s">
        <v>23708</v>
      </c>
    </row>
    <row r="11797" spans="1:7" ht="14.25" customHeight="1" x14ac:dyDescent="0.45">
      <c r="A11797" t="str">
        <f>_xlfn.XLOOKUP(B11797,Ingot!$H$12:$H$119,Ingot!$G$12:$G$119,"")</f>
        <v>Osso</v>
      </c>
      <c r="B11797" t="s">
        <v>23680</v>
      </c>
      <c r="C11797" t="s">
        <v>10</v>
      </c>
      <c r="D11797" t="s">
        <v>23709</v>
      </c>
      <c r="E11797" t="s">
        <v>23710</v>
      </c>
      <c r="G11797" s="1">
        <v>2.2000000000000002</v>
      </c>
    </row>
    <row r="11798" spans="1:7" ht="14.25" customHeight="1" x14ac:dyDescent="0.45">
      <c r="A11798" t="str">
        <f>_xlfn.XLOOKUP(B11798,Ingot!$H$12:$H$119,Ingot!$G$12:$G$119,"")</f>
        <v>Osso</v>
      </c>
      <c r="B11798" t="s">
        <v>23680</v>
      </c>
      <c r="C11798" t="s">
        <v>10</v>
      </c>
      <c r="D11798" t="s">
        <v>23711</v>
      </c>
      <c r="E11798" t="s">
        <v>23712</v>
      </c>
      <c r="G11798" s="1">
        <v>1.1000000000000001</v>
      </c>
    </row>
    <row r="11799" spans="1:7" ht="14.25" customHeight="1" x14ac:dyDescent="0.45">
      <c r="A11799" t="str">
        <f>_xlfn.XLOOKUP(B11799,Ingot!$H$12:$H$119,Ingot!$G$12:$G$119,"")</f>
        <v>Osso</v>
      </c>
      <c r="B11799" t="s">
        <v>23680</v>
      </c>
      <c r="C11799" t="s">
        <v>10</v>
      </c>
      <c r="D11799" t="s">
        <v>23713</v>
      </c>
      <c r="E11799" t="s">
        <v>23714</v>
      </c>
      <c r="G11799" s="1">
        <v>0.22</v>
      </c>
    </row>
    <row r="11800" spans="1:7" ht="14.25" customHeight="1" x14ac:dyDescent="0.45">
      <c r="A11800" t="str">
        <f>_xlfn.XLOOKUP(B11800,Ingot!$H$12:$H$119,Ingot!$G$12:$G$119,"")</f>
        <v>Osso</v>
      </c>
      <c r="B11800" t="s">
        <v>23680</v>
      </c>
      <c r="C11800" t="s">
        <v>10</v>
      </c>
      <c r="D11800" t="s">
        <v>23715</v>
      </c>
      <c r="E11800" t="s">
        <v>23716</v>
      </c>
      <c r="G11800" s="1">
        <v>8.41</v>
      </c>
    </row>
    <row r="11801" spans="1:7" ht="14.25" customHeight="1" x14ac:dyDescent="0.45">
      <c r="A11801" t="str">
        <f>_xlfn.XLOOKUP(B11801,Ingot!$H$12:$H$119,Ingot!$G$12:$G$119,"")</f>
        <v>Osso</v>
      </c>
      <c r="B11801" t="s">
        <v>23680</v>
      </c>
      <c r="C11801" t="s">
        <v>10</v>
      </c>
      <c r="D11801" t="s">
        <v>23717</v>
      </c>
      <c r="E11801" t="s">
        <v>23718</v>
      </c>
      <c r="G11801" s="1">
        <v>3.64</v>
      </c>
    </row>
    <row r="11802" spans="1:7" ht="14.25" customHeight="1" x14ac:dyDescent="0.45">
      <c r="A11802" t="str">
        <f>_xlfn.XLOOKUP(B11802,Ingot!$H$12:$H$119,Ingot!$G$12:$G$119,"")</f>
        <v>Osso</v>
      </c>
      <c r="B11802" t="s">
        <v>23680</v>
      </c>
      <c r="C11802" t="s">
        <v>10</v>
      </c>
      <c r="D11802" t="s">
        <v>23719</v>
      </c>
      <c r="E11802" t="s">
        <v>23720</v>
      </c>
      <c r="G11802" s="1">
        <v>7.05</v>
      </c>
    </row>
    <row r="11803" spans="1:7" ht="14.25" customHeight="1" x14ac:dyDescent="0.45">
      <c r="A11803" t="str">
        <f>_xlfn.XLOOKUP(B11803,Ingot!$H$12:$H$119,Ingot!$G$12:$G$119,"")</f>
        <v>Osso</v>
      </c>
      <c r="B11803" t="s">
        <v>23680</v>
      </c>
      <c r="C11803" t="s">
        <v>10</v>
      </c>
      <c r="D11803" t="s">
        <v>23721</v>
      </c>
      <c r="E11803" t="s">
        <v>23722</v>
      </c>
      <c r="G11803" s="1">
        <v>2.65</v>
      </c>
    </row>
    <row r="11804" spans="1:7" ht="14.25" customHeight="1" x14ac:dyDescent="0.45">
      <c r="A11804" t="str">
        <f>_xlfn.XLOOKUP(B11804,Ingot!$H$12:$H$119,Ingot!$G$12:$G$119,"")</f>
        <v>Osso</v>
      </c>
      <c r="B11804" t="s">
        <v>23680</v>
      </c>
      <c r="C11804" t="s">
        <v>10</v>
      </c>
      <c r="D11804" t="s">
        <v>23723</v>
      </c>
      <c r="E11804" t="s">
        <v>23724</v>
      </c>
      <c r="G11804" s="1">
        <v>9</v>
      </c>
    </row>
    <row r="11805" spans="1:7" ht="14.25" customHeight="1" x14ac:dyDescent="0.45">
      <c r="A11805" t="str">
        <f>_xlfn.XLOOKUP(B11805,Ingot!$H$12:$H$119,Ingot!$G$12:$G$119,"")</f>
        <v>Osso</v>
      </c>
      <c r="B11805" t="s">
        <v>23680</v>
      </c>
      <c r="C11805" t="s">
        <v>10</v>
      </c>
      <c r="D11805" t="s">
        <v>23725</v>
      </c>
      <c r="E11805" t="s">
        <v>23726</v>
      </c>
      <c r="G11805" s="1">
        <v>10.23</v>
      </c>
    </row>
    <row r="11806" spans="1:7" ht="14.25" customHeight="1" x14ac:dyDescent="0.45">
      <c r="A11806" t="str">
        <f>_xlfn.XLOOKUP(B11806,Ingot!$H$12:$H$119,Ingot!$G$12:$G$119,"")</f>
        <v>Osso</v>
      </c>
      <c r="B11806" t="s">
        <v>23680</v>
      </c>
      <c r="C11806" t="s">
        <v>10</v>
      </c>
      <c r="D11806" t="s">
        <v>23727</v>
      </c>
      <c r="E11806" t="s">
        <v>23728</v>
      </c>
      <c r="G11806" s="1">
        <v>7.7</v>
      </c>
    </row>
    <row r="11807" spans="1:7" ht="14.25" customHeight="1" x14ac:dyDescent="0.45">
      <c r="A11807" t="str">
        <f>_xlfn.XLOOKUP(B11807,Ingot!$H$12:$H$119,Ingot!$G$12:$G$119,"")</f>
        <v>Osso</v>
      </c>
      <c r="B11807" t="s">
        <v>23680</v>
      </c>
      <c r="C11807" t="s">
        <v>10</v>
      </c>
      <c r="D11807" t="s">
        <v>23729</v>
      </c>
      <c r="E11807" t="s">
        <v>23730</v>
      </c>
      <c r="G11807" s="1">
        <v>10.02</v>
      </c>
    </row>
    <row r="11808" spans="1:7" ht="14.25" customHeight="1" x14ac:dyDescent="0.45">
      <c r="A11808" t="str">
        <f>_xlfn.XLOOKUP(B11808,Ingot!$H$12:$H$119,Ingot!$G$12:$G$119,"")</f>
        <v>Osso</v>
      </c>
      <c r="B11808" t="s">
        <v>23680</v>
      </c>
      <c r="C11808" t="s">
        <v>10</v>
      </c>
      <c r="D11808" t="s">
        <v>23731</v>
      </c>
      <c r="E11808" t="s">
        <v>23732</v>
      </c>
      <c r="G11808" s="1">
        <v>11.81</v>
      </c>
    </row>
    <row r="11809" spans="1:7" ht="14.25" customHeight="1" x14ac:dyDescent="0.45">
      <c r="A11809" t="str">
        <f>_xlfn.XLOOKUP(B11809,Ingot!$H$12:$H$119,Ingot!$G$12:$G$119,"")</f>
        <v>Osso</v>
      </c>
      <c r="B11809" t="s">
        <v>23680</v>
      </c>
      <c r="C11809" t="s">
        <v>10</v>
      </c>
      <c r="D11809" t="s">
        <v>23733</v>
      </c>
      <c r="E11809" t="s">
        <v>23734</v>
      </c>
      <c r="G11809" s="1">
        <v>8.44</v>
      </c>
    </row>
    <row r="11810" spans="1:7" ht="14.25" customHeight="1" x14ac:dyDescent="0.45">
      <c r="A11810" t="str">
        <f>_xlfn.XLOOKUP(B11810,Ingot!$H$12:$H$119,Ingot!$G$12:$G$119,"")</f>
        <v>Osso</v>
      </c>
      <c r="B11810" t="s">
        <v>23680</v>
      </c>
      <c r="C11810" t="s">
        <v>10</v>
      </c>
      <c r="D11810" t="s">
        <v>23735</v>
      </c>
      <c r="E11810" t="s">
        <v>23736</v>
      </c>
      <c r="G11810" s="1">
        <v>10.42</v>
      </c>
    </row>
    <row r="11811" spans="1:7" ht="14.25" customHeight="1" x14ac:dyDescent="0.45">
      <c r="A11811" t="str">
        <f>_xlfn.XLOOKUP(B11811,Ingot!$H$12:$H$119,Ingot!$G$12:$G$119,"")</f>
        <v>Osso</v>
      </c>
      <c r="B11811" t="s">
        <v>23680</v>
      </c>
      <c r="C11811" t="s">
        <v>10</v>
      </c>
      <c r="D11811" t="s">
        <v>23737</v>
      </c>
      <c r="E11811" t="s">
        <v>23738</v>
      </c>
    </row>
    <row r="11812" spans="1:7" ht="14.25" customHeight="1" x14ac:dyDescent="0.45">
      <c r="A11812" t="str">
        <f>_xlfn.XLOOKUP(B11812,Ingot!$H$12:$H$119,Ingot!$G$12:$G$119,"")</f>
        <v>Osso</v>
      </c>
      <c r="B11812" t="s">
        <v>23680</v>
      </c>
      <c r="C11812" t="s">
        <v>10</v>
      </c>
      <c r="D11812" t="s">
        <v>23739</v>
      </c>
      <c r="E11812" t="s">
        <v>23740</v>
      </c>
      <c r="G11812" s="1">
        <v>7.96</v>
      </c>
    </row>
    <row r="11813" spans="1:7" ht="14.25" customHeight="1" x14ac:dyDescent="0.45">
      <c r="A11813" t="str">
        <f>_xlfn.XLOOKUP(B11813,Ingot!$H$12:$H$119,Ingot!$G$12:$G$119,"")</f>
        <v>Osso</v>
      </c>
      <c r="B11813" t="s">
        <v>23680</v>
      </c>
      <c r="C11813" t="s">
        <v>10</v>
      </c>
      <c r="D11813" t="s">
        <v>23741</v>
      </c>
      <c r="E11813" t="s">
        <v>23742</v>
      </c>
      <c r="G11813" s="1">
        <v>9.64</v>
      </c>
    </row>
    <row r="11814" spans="1:7" ht="14.25" customHeight="1" x14ac:dyDescent="0.45">
      <c r="A11814" t="str">
        <f>_xlfn.XLOOKUP(B11814,Ingot!$H$12:$H$119,Ingot!$G$12:$G$119,"")</f>
        <v>Osso</v>
      </c>
      <c r="B11814" t="s">
        <v>23680</v>
      </c>
      <c r="C11814" t="s">
        <v>10</v>
      </c>
      <c r="D11814" t="s">
        <v>23743</v>
      </c>
      <c r="E11814" t="s">
        <v>23744</v>
      </c>
      <c r="G11814" s="1">
        <v>7.94</v>
      </c>
    </row>
    <row r="11815" spans="1:7" ht="14.25" customHeight="1" x14ac:dyDescent="0.45">
      <c r="A11815" t="str">
        <f>_xlfn.XLOOKUP(B11815,Ingot!$H$12:$H$119,Ingot!$G$12:$G$119,"")</f>
        <v>Osso</v>
      </c>
      <c r="B11815" t="s">
        <v>23680</v>
      </c>
      <c r="C11815" t="s">
        <v>10</v>
      </c>
      <c r="D11815" t="s">
        <v>23745</v>
      </c>
      <c r="E11815" t="s">
        <v>23746</v>
      </c>
      <c r="G11815" s="1">
        <v>8.66</v>
      </c>
    </row>
    <row r="11816" spans="1:7" ht="14.25" customHeight="1" x14ac:dyDescent="0.45">
      <c r="A11816" t="str">
        <f>_xlfn.XLOOKUP(B11816,Ingot!$H$12:$H$119,Ingot!$G$12:$G$119,"")</f>
        <v>Osso</v>
      </c>
      <c r="B11816" t="s">
        <v>23680</v>
      </c>
      <c r="C11816" t="s">
        <v>10</v>
      </c>
      <c r="D11816" t="s">
        <v>23747</v>
      </c>
      <c r="E11816" t="s">
        <v>23748</v>
      </c>
    </row>
    <row r="11817" spans="1:7" ht="14.25" customHeight="1" x14ac:dyDescent="0.45">
      <c r="A11817" t="str">
        <f>_xlfn.XLOOKUP(B11817,Ingot!$H$12:$H$119,Ingot!$G$12:$G$119,"")</f>
        <v>Osso</v>
      </c>
      <c r="B11817" t="s">
        <v>23680</v>
      </c>
      <c r="C11817" t="s">
        <v>10</v>
      </c>
      <c r="D11817" t="s">
        <v>23749</v>
      </c>
      <c r="E11817" t="s">
        <v>23750</v>
      </c>
      <c r="G11817" s="1">
        <v>2.65</v>
      </c>
    </row>
    <row r="11818" spans="1:7" ht="14.25" customHeight="1" x14ac:dyDescent="0.45">
      <c r="A11818" t="str">
        <f>_xlfn.XLOOKUP(B11818,Ingot!$H$12:$H$119,Ingot!$G$12:$G$119,"")</f>
        <v>Osso</v>
      </c>
      <c r="B11818" t="s">
        <v>23680</v>
      </c>
      <c r="C11818" t="s">
        <v>10</v>
      </c>
      <c r="D11818" t="s">
        <v>23751</v>
      </c>
      <c r="E11818" t="s">
        <v>23752</v>
      </c>
    </row>
    <row r="11819" spans="1:7" ht="14.25" customHeight="1" x14ac:dyDescent="0.45">
      <c r="A11819" t="str">
        <f>_xlfn.XLOOKUP(B11819,Ingot!$H$12:$H$119,Ingot!$G$12:$G$119,"")</f>
        <v>Osso</v>
      </c>
      <c r="B11819" t="s">
        <v>23680</v>
      </c>
      <c r="C11819" t="s">
        <v>10</v>
      </c>
      <c r="D11819" t="s">
        <v>23753</v>
      </c>
      <c r="E11819" t="s">
        <v>23754</v>
      </c>
      <c r="G11819" s="1">
        <v>12.64</v>
      </c>
    </row>
    <row r="11820" spans="1:7" ht="14.25" customHeight="1" x14ac:dyDescent="0.45">
      <c r="A11820" t="str">
        <f>_xlfn.XLOOKUP(B11820,Ingot!$H$12:$H$119,Ingot!$G$12:$G$119,"")</f>
        <v>Osso</v>
      </c>
      <c r="B11820" t="s">
        <v>23680</v>
      </c>
      <c r="C11820" t="s">
        <v>10</v>
      </c>
      <c r="D11820" t="s">
        <v>23755</v>
      </c>
      <c r="E11820" t="s">
        <v>23756</v>
      </c>
      <c r="G11820" s="1">
        <v>22.67</v>
      </c>
    </row>
    <row r="11821" spans="1:7" ht="14.25" customHeight="1" x14ac:dyDescent="0.45">
      <c r="A11821" t="str">
        <f>_xlfn.XLOOKUP(B11821,Ingot!$H$12:$H$119,Ingot!$G$12:$G$119,"")</f>
        <v>Osso</v>
      </c>
      <c r="B11821" t="s">
        <v>23680</v>
      </c>
      <c r="C11821" t="s">
        <v>10</v>
      </c>
      <c r="D11821" t="s">
        <v>23757</v>
      </c>
      <c r="E11821" t="s">
        <v>23758</v>
      </c>
      <c r="G11821" s="1">
        <v>8.3800000000000008</v>
      </c>
    </row>
    <row r="11822" spans="1:7" ht="14.25" customHeight="1" x14ac:dyDescent="0.45">
      <c r="A11822" t="str">
        <f>_xlfn.XLOOKUP(B11822,Ingot!$H$12:$H$119,Ingot!$G$12:$G$119,"")</f>
        <v>Osso</v>
      </c>
      <c r="B11822" t="s">
        <v>23680</v>
      </c>
      <c r="C11822" t="s">
        <v>10</v>
      </c>
      <c r="D11822" t="s">
        <v>23759</v>
      </c>
      <c r="E11822" t="s">
        <v>23760</v>
      </c>
      <c r="G11822" s="1">
        <v>2.2000000000000002</v>
      </c>
    </row>
    <row r="11823" spans="1:7" ht="14.25" customHeight="1" x14ac:dyDescent="0.45">
      <c r="A11823" t="str">
        <f>_xlfn.XLOOKUP(B11823,Ingot!$H$12:$H$119,Ingot!$G$12:$G$119,"")</f>
        <v>Osso</v>
      </c>
      <c r="B11823" t="s">
        <v>23680</v>
      </c>
      <c r="C11823" t="s">
        <v>10</v>
      </c>
      <c r="D11823" t="s">
        <v>23761</v>
      </c>
      <c r="E11823" t="s">
        <v>23762</v>
      </c>
      <c r="G11823" s="1">
        <v>3.09</v>
      </c>
    </row>
    <row r="11824" spans="1:7" ht="14.25" customHeight="1" x14ac:dyDescent="0.45">
      <c r="A11824" t="str">
        <f>_xlfn.XLOOKUP(B11824,Ingot!$H$12:$H$119,Ingot!$G$12:$G$119,"")</f>
        <v>Osso</v>
      </c>
      <c r="B11824" t="s">
        <v>23680</v>
      </c>
      <c r="C11824" t="s">
        <v>10</v>
      </c>
      <c r="D11824" t="s">
        <v>23763</v>
      </c>
      <c r="E11824" t="s">
        <v>23764</v>
      </c>
      <c r="G11824" s="1">
        <v>2.2999999999999998</v>
      </c>
    </row>
    <row r="11825" spans="1:7" ht="14.25" customHeight="1" x14ac:dyDescent="0.45">
      <c r="A11825" t="str">
        <f>_xlfn.XLOOKUP(B11825,Ingot!$H$12:$H$119,Ingot!$G$12:$G$119,"")</f>
        <v>Osso</v>
      </c>
      <c r="B11825" t="s">
        <v>23680</v>
      </c>
      <c r="C11825" t="s">
        <v>10</v>
      </c>
      <c r="D11825" t="s">
        <v>23765</v>
      </c>
      <c r="E11825" t="s">
        <v>23766</v>
      </c>
      <c r="G11825" s="1">
        <v>4.88</v>
      </c>
    </row>
    <row r="11826" spans="1:7" ht="14.25" customHeight="1" x14ac:dyDescent="0.45">
      <c r="A11826" t="str">
        <f>_xlfn.XLOOKUP(B11826,Ingot!$H$12:$H$119,Ingot!$G$12:$G$119,"")</f>
        <v>Osso</v>
      </c>
      <c r="B11826" t="s">
        <v>23680</v>
      </c>
      <c r="C11826" t="s">
        <v>10</v>
      </c>
      <c r="D11826" t="s">
        <v>23767</v>
      </c>
      <c r="E11826" t="s">
        <v>23768</v>
      </c>
      <c r="G11826" s="1">
        <v>8.43</v>
      </c>
    </row>
    <row r="11827" spans="1:7" ht="14.25" customHeight="1" x14ac:dyDescent="0.45">
      <c r="A11827" t="str">
        <f>_xlfn.XLOOKUP(B11827,Ingot!$H$12:$H$119,Ingot!$G$12:$G$119,"")</f>
        <v>Osso</v>
      </c>
      <c r="B11827" t="s">
        <v>23680</v>
      </c>
      <c r="C11827" t="s">
        <v>10</v>
      </c>
      <c r="D11827" t="s">
        <v>23769</v>
      </c>
      <c r="E11827" t="s">
        <v>23770</v>
      </c>
      <c r="G11827" s="1">
        <v>13.07</v>
      </c>
    </row>
    <row r="11828" spans="1:7" ht="14.25" customHeight="1" x14ac:dyDescent="0.45">
      <c r="A11828" t="str">
        <f>_xlfn.XLOOKUP(B11828,Ingot!$H$12:$H$119,Ingot!$G$12:$G$119,"")</f>
        <v>Osso</v>
      </c>
      <c r="B11828" t="s">
        <v>23680</v>
      </c>
      <c r="C11828" t="s">
        <v>10</v>
      </c>
      <c r="D11828" t="s">
        <v>23771</v>
      </c>
      <c r="E11828" t="s">
        <v>23772</v>
      </c>
    </row>
    <row r="11829" spans="1:7" ht="14.25" customHeight="1" x14ac:dyDescent="0.45">
      <c r="A11829" t="str">
        <f>_xlfn.XLOOKUP(B11829,Ingot!$H$12:$H$119,Ingot!$G$12:$G$119,"")</f>
        <v>Osso</v>
      </c>
      <c r="B11829" t="s">
        <v>23680</v>
      </c>
      <c r="C11829" t="s">
        <v>10</v>
      </c>
      <c r="D11829" t="s">
        <v>23773</v>
      </c>
      <c r="E11829" t="s">
        <v>23774</v>
      </c>
    </row>
    <row r="11830" spans="1:7" ht="14.25" customHeight="1" x14ac:dyDescent="0.45">
      <c r="A11830" t="str">
        <f>_xlfn.XLOOKUP(B11830,Ingot!$H$12:$H$119,Ingot!$G$12:$G$119,"")</f>
        <v>Osso</v>
      </c>
      <c r="B11830" t="s">
        <v>23680</v>
      </c>
      <c r="C11830" t="s">
        <v>10</v>
      </c>
      <c r="D11830" t="s">
        <v>23775</v>
      </c>
      <c r="E11830" t="s">
        <v>23776</v>
      </c>
      <c r="G11830" s="1">
        <v>6.8</v>
      </c>
    </row>
    <row r="11831" spans="1:7" ht="14.25" customHeight="1" x14ac:dyDescent="0.45">
      <c r="A11831" t="str">
        <f>_xlfn.XLOOKUP(B11831,Ingot!$H$12:$H$119,Ingot!$G$12:$G$119,"")</f>
        <v>Osso</v>
      </c>
      <c r="B11831" t="s">
        <v>23680</v>
      </c>
      <c r="C11831" t="s">
        <v>10</v>
      </c>
      <c r="D11831" t="s">
        <v>23777</v>
      </c>
      <c r="E11831" t="s">
        <v>23778</v>
      </c>
      <c r="G11831" s="1">
        <v>6.88</v>
      </c>
    </row>
    <row r="11832" spans="1:7" ht="14.25" customHeight="1" x14ac:dyDescent="0.45">
      <c r="A11832" t="str">
        <f>_xlfn.XLOOKUP(B11832,Ingot!$H$12:$H$119,Ingot!$G$12:$G$119,"")</f>
        <v>Osso</v>
      </c>
      <c r="B11832" t="s">
        <v>23680</v>
      </c>
      <c r="C11832" t="s">
        <v>10</v>
      </c>
      <c r="D11832" t="s">
        <v>23779</v>
      </c>
      <c r="E11832" t="s">
        <v>23780</v>
      </c>
      <c r="G11832" s="1">
        <v>5.5</v>
      </c>
    </row>
    <row r="11833" spans="1:7" ht="14.25" customHeight="1" x14ac:dyDescent="0.45">
      <c r="A11833" t="str">
        <f>_xlfn.XLOOKUP(B11833,Ingot!$H$12:$H$119,Ingot!$G$12:$G$119,"")</f>
        <v>Osso</v>
      </c>
      <c r="B11833" t="s">
        <v>23680</v>
      </c>
      <c r="C11833" t="s">
        <v>10</v>
      </c>
      <c r="D11833" t="s">
        <v>23781</v>
      </c>
      <c r="E11833" t="s">
        <v>23782</v>
      </c>
      <c r="G11833" s="1">
        <v>2.4300000000000002</v>
      </c>
    </row>
    <row r="11834" spans="1:7" ht="14.25" customHeight="1" x14ac:dyDescent="0.45">
      <c r="A11834" t="str">
        <f>_xlfn.XLOOKUP(B11834,Ingot!$H$12:$H$119,Ingot!$G$12:$G$119,"")</f>
        <v>Osso</v>
      </c>
      <c r="B11834" t="s">
        <v>23680</v>
      </c>
      <c r="C11834" t="s">
        <v>10</v>
      </c>
      <c r="D11834" t="s">
        <v>23783</v>
      </c>
      <c r="E11834" t="s">
        <v>23784</v>
      </c>
      <c r="G11834" s="1">
        <v>6.96</v>
      </c>
    </row>
    <row r="11835" spans="1:7" ht="14.25" customHeight="1" x14ac:dyDescent="0.45">
      <c r="A11835" t="str">
        <f>_xlfn.XLOOKUP(B11835,Ingot!$H$12:$H$119,Ingot!$G$12:$G$119,"")</f>
        <v>Osso</v>
      </c>
      <c r="B11835" t="s">
        <v>23680</v>
      </c>
      <c r="C11835" t="s">
        <v>10</v>
      </c>
      <c r="D11835" t="s">
        <v>23785</v>
      </c>
      <c r="E11835" t="s">
        <v>23786</v>
      </c>
      <c r="G11835" s="1">
        <v>6.32</v>
      </c>
    </row>
    <row r="11836" spans="1:7" ht="14.25" customHeight="1" x14ac:dyDescent="0.45">
      <c r="A11836" t="str">
        <f>_xlfn.XLOOKUP(B11836,Ingot!$H$12:$H$119,Ingot!$G$12:$G$119,"")</f>
        <v>Osso</v>
      </c>
      <c r="B11836" t="s">
        <v>23680</v>
      </c>
      <c r="C11836" t="s">
        <v>10</v>
      </c>
      <c r="D11836" t="s">
        <v>23787</v>
      </c>
      <c r="E11836" t="s">
        <v>23788</v>
      </c>
      <c r="G11836" s="1">
        <v>6.88</v>
      </c>
    </row>
    <row r="11837" spans="1:7" ht="14.25" customHeight="1" x14ac:dyDescent="0.45">
      <c r="A11837" t="str">
        <f>_xlfn.XLOOKUP(B11837,Ingot!$H$12:$H$119,Ingot!$G$12:$G$119,"")</f>
        <v>Osso</v>
      </c>
      <c r="B11837" t="s">
        <v>23680</v>
      </c>
      <c r="C11837" t="s">
        <v>10</v>
      </c>
      <c r="D11837" t="s">
        <v>23789</v>
      </c>
      <c r="E11837" t="s">
        <v>23790</v>
      </c>
      <c r="G11837" s="1">
        <v>2.44</v>
      </c>
    </row>
    <row r="11838" spans="1:7" ht="14.25" customHeight="1" x14ac:dyDescent="0.45">
      <c r="A11838" t="str">
        <f>_xlfn.XLOOKUP(B11838,Ingot!$H$12:$H$119,Ingot!$G$12:$G$119,"")</f>
        <v>Osso</v>
      </c>
      <c r="B11838" t="s">
        <v>23680</v>
      </c>
      <c r="C11838" t="s">
        <v>10</v>
      </c>
      <c r="D11838" t="s">
        <v>23791</v>
      </c>
      <c r="E11838" t="s">
        <v>23792</v>
      </c>
    </row>
    <row r="11839" spans="1:7" ht="14.25" customHeight="1" x14ac:dyDescent="0.45">
      <c r="A11839" t="str">
        <f>_xlfn.XLOOKUP(B11839,Ingot!$H$12:$H$119,Ingot!$G$12:$G$119,"")</f>
        <v>Osso</v>
      </c>
      <c r="B11839" t="s">
        <v>23680</v>
      </c>
      <c r="C11839" t="s">
        <v>10</v>
      </c>
      <c r="D11839" t="s">
        <v>23793</v>
      </c>
      <c r="E11839" t="s">
        <v>23794</v>
      </c>
    </row>
    <row r="11840" spans="1:7" ht="14.25" customHeight="1" x14ac:dyDescent="0.45">
      <c r="A11840" t="str">
        <f>_xlfn.XLOOKUP(B11840,Ingot!$H$12:$H$119,Ingot!$G$12:$G$119,"")</f>
        <v>Osso</v>
      </c>
      <c r="B11840" t="s">
        <v>23680</v>
      </c>
      <c r="C11840" t="s">
        <v>10</v>
      </c>
      <c r="D11840" t="s">
        <v>23795</v>
      </c>
      <c r="E11840" t="s">
        <v>23796</v>
      </c>
      <c r="G11840" s="1">
        <v>3.11</v>
      </c>
    </row>
    <row r="11841" spans="1:7" ht="14.25" customHeight="1" x14ac:dyDescent="0.45">
      <c r="A11841" t="str">
        <f>_xlfn.XLOOKUP(B11841,Ingot!$H$12:$H$119,Ingot!$G$12:$G$119,"")</f>
        <v>Osso</v>
      </c>
      <c r="B11841" t="s">
        <v>23680</v>
      </c>
      <c r="C11841" t="s">
        <v>10</v>
      </c>
      <c r="D11841" t="s">
        <v>23797</v>
      </c>
      <c r="E11841" t="s">
        <v>23798</v>
      </c>
      <c r="G11841" s="1">
        <v>2.44</v>
      </c>
    </row>
    <row r="11842" spans="1:7" ht="14.25" customHeight="1" x14ac:dyDescent="0.45">
      <c r="A11842" t="str">
        <f>_xlfn.XLOOKUP(B11842,Ingot!$H$12:$H$119,Ingot!$G$12:$G$119,"")</f>
        <v>Osso</v>
      </c>
      <c r="B11842" t="s">
        <v>23680</v>
      </c>
      <c r="C11842" t="s">
        <v>10</v>
      </c>
      <c r="D11842" t="s">
        <v>23799</v>
      </c>
      <c r="E11842" t="s">
        <v>23800</v>
      </c>
      <c r="G11842" s="1">
        <v>8.61</v>
      </c>
    </row>
    <row r="11843" spans="1:7" ht="14.25" customHeight="1" x14ac:dyDescent="0.45">
      <c r="A11843" t="str">
        <f>_xlfn.XLOOKUP(B11843,Ingot!$H$12:$H$119,Ingot!$G$12:$G$119,"")</f>
        <v>Osso</v>
      </c>
      <c r="B11843" t="s">
        <v>23680</v>
      </c>
      <c r="C11843" t="s">
        <v>10</v>
      </c>
      <c r="D11843" t="s">
        <v>23801</v>
      </c>
      <c r="E11843" t="s">
        <v>23802</v>
      </c>
    </row>
    <row r="11844" spans="1:7" ht="14.25" customHeight="1" x14ac:dyDescent="0.45">
      <c r="A11844" t="str">
        <f>_xlfn.XLOOKUP(B11844,Ingot!$H$12:$H$119,Ingot!$G$12:$G$119,"")</f>
        <v>Osso</v>
      </c>
      <c r="B11844" t="s">
        <v>23680</v>
      </c>
      <c r="C11844" t="s">
        <v>10</v>
      </c>
      <c r="D11844" t="s">
        <v>23803</v>
      </c>
      <c r="E11844" t="s">
        <v>23804</v>
      </c>
      <c r="G11844" s="1">
        <v>3.21</v>
      </c>
    </row>
    <row r="11845" spans="1:7" ht="14.25" customHeight="1" x14ac:dyDescent="0.45">
      <c r="A11845" t="str">
        <f>_xlfn.XLOOKUP(B11845,Ingot!$H$12:$H$119,Ingot!$G$12:$G$119,"")</f>
        <v>Osso</v>
      </c>
      <c r="B11845" t="s">
        <v>23680</v>
      </c>
      <c r="C11845" t="s">
        <v>10</v>
      </c>
      <c r="D11845" t="s">
        <v>23805</v>
      </c>
      <c r="E11845" t="s">
        <v>23806</v>
      </c>
      <c r="G11845" s="1">
        <v>2.77</v>
      </c>
    </row>
    <row r="11846" spans="1:7" ht="14.25" customHeight="1" x14ac:dyDescent="0.45">
      <c r="A11846" t="str">
        <f>_xlfn.XLOOKUP(B11846,Ingot!$H$12:$H$119,Ingot!$G$12:$G$119,"")</f>
        <v>Osso</v>
      </c>
      <c r="B11846" t="s">
        <v>23680</v>
      </c>
      <c r="C11846" t="s">
        <v>10</v>
      </c>
      <c r="D11846" t="s">
        <v>23807</v>
      </c>
      <c r="E11846" t="s">
        <v>23808</v>
      </c>
      <c r="G11846" s="1">
        <v>4.8899999999999997</v>
      </c>
    </row>
    <row r="11847" spans="1:7" ht="14.25" customHeight="1" x14ac:dyDescent="0.45">
      <c r="A11847" t="str">
        <f>_xlfn.XLOOKUP(B11847,Ingot!$H$12:$H$119,Ingot!$G$12:$G$119,"")</f>
        <v>Osso</v>
      </c>
      <c r="B11847" t="s">
        <v>23680</v>
      </c>
      <c r="C11847" t="s">
        <v>10</v>
      </c>
      <c r="D11847" t="s">
        <v>23809</v>
      </c>
      <c r="E11847" t="s">
        <v>23810</v>
      </c>
      <c r="G11847" s="1">
        <v>1.76</v>
      </c>
    </row>
    <row r="11848" spans="1:7" ht="14.25" customHeight="1" x14ac:dyDescent="0.45">
      <c r="A11848" t="str">
        <f>_xlfn.XLOOKUP(B11848,Ingot!$H$12:$H$119,Ingot!$G$12:$G$119,"")</f>
        <v>Osso</v>
      </c>
      <c r="B11848" t="s">
        <v>23680</v>
      </c>
      <c r="C11848" t="s">
        <v>10</v>
      </c>
      <c r="D11848" t="s">
        <v>23811</v>
      </c>
      <c r="E11848" t="s">
        <v>23812</v>
      </c>
    </row>
    <row r="11849" spans="1:7" ht="14.25" customHeight="1" x14ac:dyDescent="0.45">
      <c r="A11849" t="str">
        <f>_xlfn.XLOOKUP(B11849,Ingot!$H$12:$H$119,Ingot!$G$12:$G$119,"")</f>
        <v>Osso</v>
      </c>
      <c r="B11849" t="s">
        <v>23680</v>
      </c>
      <c r="C11849" t="s">
        <v>10</v>
      </c>
      <c r="D11849" t="s">
        <v>23813</v>
      </c>
      <c r="E11849" t="s">
        <v>23814</v>
      </c>
      <c r="G11849" s="1">
        <v>8.57</v>
      </c>
    </row>
    <row r="11850" spans="1:7" ht="14.25" customHeight="1" x14ac:dyDescent="0.45">
      <c r="A11850" t="str">
        <f>_xlfn.XLOOKUP(B11850,Ingot!$H$12:$H$119,Ingot!$G$12:$G$119,"")</f>
        <v>Osso</v>
      </c>
      <c r="B11850" t="s">
        <v>23680</v>
      </c>
      <c r="C11850" t="s">
        <v>10</v>
      </c>
      <c r="D11850" t="s">
        <v>23815</v>
      </c>
      <c r="E11850" t="s">
        <v>23816</v>
      </c>
    </row>
    <row r="11851" spans="1:7" ht="14.25" customHeight="1" x14ac:dyDescent="0.45">
      <c r="A11851" t="str">
        <f>_xlfn.XLOOKUP(B11851,Ingot!$H$12:$H$119,Ingot!$G$12:$G$119,"")</f>
        <v>Osso</v>
      </c>
      <c r="B11851" t="s">
        <v>23680</v>
      </c>
      <c r="C11851" t="s">
        <v>10</v>
      </c>
      <c r="D11851" t="s">
        <v>23817</v>
      </c>
      <c r="E11851" t="s">
        <v>23818</v>
      </c>
      <c r="G11851" s="1">
        <v>3.56</v>
      </c>
    </row>
    <row r="11852" spans="1:7" ht="14.25" customHeight="1" x14ac:dyDescent="0.45">
      <c r="A11852" t="str">
        <f>_xlfn.XLOOKUP(B11852,Ingot!$H$12:$H$119,Ingot!$G$12:$G$119,"")</f>
        <v>Osso</v>
      </c>
      <c r="B11852" t="s">
        <v>23680</v>
      </c>
      <c r="C11852" t="s">
        <v>10</v>
      </c>
      <c r="D11852" t="s">
        <v>23819</v>
      </c>
      <c r="E11852" t="s">
        <v>23820</v>
      </c>
      <c r="G11852" s="1">
        <v>8.91</v>
      </c>
    </row>
    <row r="11853" spans="1:7" ht="14.25" customHeight="1" x14ac:dyDescent="0.45">
      <c r="A11853" t="str">
        <f>_xlfn.XLOOKUP(B11853,Ingot!$H$12:$H$119,Ingot!$G$12:$G$119,"")</f>
        <v>Osso</v>
      </c>
      <c r="B11853" t="s">
        <v>23680</v>
      </c>
      <c r="C11853" t="s">
        <v>10</v>
      </c>
      <c r="D11853" t="s">
        <v>23821</v>
      </c>
      <c r="E11853" t="s">
        <v>23822</v>
      </c>
      <c r="G11853" s="1">
        <v>11.02</v>
      </c>
    </row>
    <row r="11854" spans="1:7" ht="14.25" customHeight="1" x14ac:dyDescent="0.45">
      <c r="A11854" t="str">
        <f>_xlfn.XLOOKUP(B11854,Ingot!$H$12:$H$119,Ingot!$G$12:$G$119,"")</f>
        <v>Osso</v>
      </c>
      <c r="B11854" t="s">
        <v>23680</v>
      </c>
      <c r="C11854" t="s">
        <v>10</v>
      </c>
      <c r="D11854" t="s">
        <v>23823</v>
      </c>
      <c r="E11854" t="s">
        <v>23824</v>
      </c>
      <c r="G11854" s="1">
        <v>5.12</v>
      </c>
    </row>
    <row r="11855" spans="1:7" ht="14.25" customHeight="1" x14ac:dyDescent="0.45">
      <c r="A11855" t="str">
        <f>_xlfn.XLOOKUP(B11855,Ingot!$H$12:$H$119,Ingot!$G$12:$G$119,"")</f>
        <v>Osso</v>
      </c>
      <c r="B11855" t="s">
        <v>23680</v>
      </c>
      <c r="C11855" t="s">
        <v>10</v>
      </c>
      <c r="D11855" t="s">
        <v>23825</v>
      </c>
      <c r="E11855" t="s">
        <v>23826</v>
      </c>
      <c r="G11855" s="1">
        <v>4.41</v>
      </c>
    </row>
    <row r="11856" spans="1:7" ht="14.25" customHeight="1" x14ac:dyDescent="0.45">
      <c r="A11856" t="str">
        <f>_xlfn.XLOOKUP(B11856,Ingot!$H$12:$H$119,Ingot!$G$12:$G$119,"")</f>
        <v>Osso</v>
      </c>
      <c r="B11856" t="s">
        <v>23680</v>
      </c>
      <c r="C11856" t="s">
        <v>157</v>
      </c>
      <c r="D11856" t="s">
        <v>23827</v>
      </c>
      <c r="E11856" t="s">
        <v>23828</v>
      </c>
      <c r="G11856" s="1">
        <v>21.5</v>
      </c>
    </row>
    <row r="11857" spans="1:7" ht="14.25" customHeight="1" x14ac:dyDescent="0.45">
      <c r="A11857" t="str">
        <f>_xlfn.XLOOKUP(B11857,Ingot!$H$12:$H$119,Ingot!$G$12:$G$119,"")</f>
        <v>Osso</v>
      </c>
      <c r="B11857" t="s">
        <v>23680</v>
      </c>
      <c r="C11857" t="s">
        <v>157</v>
      </c>
      <c r="D11857" t="s">
        <v>23829</v>
      </c>
      <c r="E11857" t="s">
        <v>23830</v>
      </c>
      <c r="G11857" s="1">
        <v>5</v>
      </c>
    </row>
    <row r="11858" spans="1:7" ht="14.25" customHeight="1" x14ac:dyDescent="0.45">
      <c r="A11858" t="str">
        <f>_xlfn.XLOOKUP(B11858,Ingot!$H$12:$H$119,Ingot!$G$12:$G$119,"")</f>
        <v>Osso</v>
      </c>
      <c r="B11858" t="s">
        <v>23680</v>
      </c>
      <c r="C11858" t="s">
        <v>157</v>
      </c>
      <c r="D11858" t="s">
        <v>23831</v>
      </c>
      <c r="E11858" t="s">
        <v>23832</v>
      </c>
      <c r="G11858" s="1">
        <v>5</v>
      </c>
    </row>
    <row r="11859" spans="1:7" ht="14.25" customHeight="1" x14ac:dyDescent="0.45">
      <c r="A11859" t="str">
        <f>_xlfn.XLOOKUP(B11859,Ingot!$H$12:$H$119,Ingot!$G$12:$G$119,"")</f>
        <v>Osso</v>
      </c>
      <c r="B11859" t="s">
        <v>23680</v>
      </c>
      <c r="C11859" t="s">
        <v>157</v>
      </c>
      <c r="D11859" t="s">
        <v>23833</v>
      </c>
      <c r="E11859" t="s">
        <v>23834</v>
      </c>
      <c r="G11859" s="1">
        <v>5</v>
      </c>
    </row>
    <row r="11860" spans="1:7" ht="14.25" customHeight="1" x14ac:dyDescent="0.45">
      <c r="A11860" t="str">
        <f>_xlfn.XLOOKUP(B11860,Ingot!$H$12:$H$119,Ingot!$G$12:$G$119,"")</f>
        <v>Osso</v>
      </c>
      <c r="B11860" t="s">
        <v>23680</v>
      </c>
      <c r="C11860" t="s">
        <v>157</v>
      </c>
      <c r="D11860" t="s">
        <v>23835</v>
      </c>
      <c r="E11860" t="s">
        <v>23836</v>
      </c>
      <c r="G11860" s="1">
        <v>10</v>
      </c>
    </row>
    <row r="11861" spans="1:7" ht="14.25" customHeight="1" x14ac:dyDescent="0.45">
      <c r="A11861" t="str">
        <f>_xlfn.XLOOKUP(B11861,Ingot!$H$12:$H$119,Ingot!$G$12:$G$119,"")</f>
        <v>Osso</v>
      </c>
      <c r="B11861" t="s">
        <v>23680</v>
      </c>
      <c r="C11861" t="s">
        <v>157</v>
      </c>
      <c r="D11861" t="s">
        <v>23837</v>
      </c>
      <c r="E11861" t="s">
        <v>23838</v>
      </c>
      <c r="G11861" s="1">
        <v>18</v>
      </c>
    </row>
    <row r="11862" spans="1:7" ht="14.25" customHeight="1" x14ac:dyDescent="0.45">
      <c r="A11862" t="str">
        <f>_xlfn.XLOOKUP(B11862,Ingot!$H$12:$H$119,Ingot!$G$12:$G$119,"")</f>
        <v>Osso</v>
      </c>
      <c r="B11862" t="s">
        <v>23680</v>
      </c>
      <c r="C11862" t="s">
        <v>157</v>
      </c>
      <c r="D11862" t="s">
        <v>23839</v>
      </c>
      <c r="E11862" t="s">
        <v>23840</v>
      </c>
      <c r="G11862" s="1">
        <v>5</v>
      </c>
    </row>
    <row r="11863" spans="1:7" ht="14.25" customHeight="1" x14ac:dyDescent="0.45">
      <c r="A11863" t="str">
        <f>_xlfn.XLOOKUP(B11863,Ingot!$H$12:$H$119,Ingot!$G$12:$G$119,"")</f>
        <v>Osso</v>
      </c>
      <c r="B11863" t="s">
        <v>23680</v>
      </c>
      <c r="C11863" t="s">
        <v>157</v>
      </c>
      <c r="D11863" t="s">
        <v>23841</v>
      </c>
      <c r="E11863" t="s">
        <v>23842</v>
      </c>
      <c r="G11863" s="1">
        <v>5</v>
      </c>
    </row>
    <row r="11864" spans="1:7" ht="14.25" customHeight="1" x14ac:dyDescent="0.45">
      <c r="A11864" t="str">
        <f>_xlfn.XLOOKUP(B11864,Ingot!$H$12:$H$119,Ingot!$G$12:$G$119,"")</f>
        <v>Osso</v>
      </c>
      <c r="B11864" t="s">
        <v>23680</v>
      </c>
      <c r="C11864" t="s">
        <v>157</v>
      </c>
      <c r="D11864" t="s">
        <v>23843</v>
      </c>
      <c r="E11864" t="s">
        <v>23844</v>
      </c>
      <c r="G11864" s="1">
        <v>5</v>
      </c>
    </row>
    <row r="11865" spans="1:7" ht="14.25" customHeight="1" x14ac:dyDescent="0.45">
      <c r="A11865" t="str">
        <f>_xlfn.XLOOKUP(B11865,Ingot!$H$12:$H$119,Ingot!$G$12:$G$119,"")</f>
        <v>Osso</v>
      </c>
      <c r="B11865" t="s">
        <v>23680</v>
      </c>
      <c r="C11865" t="s">
        <v>157</v>
      </c>
      <c r="D11865" t="s">
        <v>23845</v>
      </c>
      <c r="E11865" t="s">
        <v>23846</v>
      </c>
      <c r="G11865" s="1">
        <v>10</v>
      </c>
    </row>
    <row r="11866" spans="1:7" ht="14.25" customHeight="1" x14ac:dyDescent="0.45">
      <c r="A11866" t="str">
        <f>_xlfn.XLOOKUP(B11866,Ingot!$H$12:$H$119,Ingot!$G$12:$G$119,"")</f>
        <v>Osso</v>
      </c>
      <c r="B11866" t="s">
        <v>23680</v>
      </c>
      <c r="C11866" t="s">
        <v>157</v>
      </c>
      <c r="D11866" t="s">
        <v>23847</v>
      </c>
      <c r="E11866" t="s">
        <v>23848</v>
      </c>
      <c r="F11866" t="s">
        <v>180</v>
      </c>
      <c r="G11866" s="1">
        <v>17.5</v>
      </c>
    </row>
    <row r="11867" spans="1:7" ht="14.25" customHeight="1" x14ac:dyDescent="0.45">
      <c r="A11867" t="str">
        <f>_xlfn.XLOOKUP(B11867,Ingot!$H$12:$H$119,Ingot!$G$12:$G$119,"")</f>
        <v>Osso</v>
      </c>
      <c r="B11867" t="s">
        <v>23680</v>
      </c>
      <c r="C11867" t="s">
        <v>157</v>
      </c>
      <c r="D11867" t="s">
        <v>23849</v>
      </c>
      <c r="E11867" t="s">
        <v>23850</v>
      </c>
      <c r="F11867" t="s">
        <v>180</v>
      </c>
      <c r="G11867" s="1">
        <v>5</v>
      </c>
    </row>
    <row r="11868" spans="1:7" ht="14.25" customHeight="1" x14ac:dyDescent="0.45">
      <c r="A11868" t="str">
        <f>_xlfn.XLOOKUP(B11868,Ingot!$H$12:$H$119,Ingot!$G$12:$G$119,"")</f>
        <v>Osso</v>
      </c>
      <c r="B11868" t="s">
        <v>23680</v>
      </c>
      <c r="C11868" t="s">
        <v>157</v>
      </c>
      <c r="D11868" t="s">
        <v>23851</v>
      </c>
      <c r="E11868" t="s">
        <v>23852</v>
      </c>
      <c r="F11868" t="s">
        <v>180</v>
      </c>
      <c r="G11868" s="1">
        <v>5</v>
      </c>
    </row>
    <row r="11869" spans="1:7" ht="14.25" customHeight="1" x14ac:dyDescent="0.45">
      <c r="A11869" t="str">
        <f>_xlfn.XLOOKUP(B11869,Ingot!$H$12:$H$119,Ingot!$G$12:$G$119,"")</f>
        <v>Osso</v>
      </c>
      <c r="B11869" t="s">
        <v>23680</v>
      </c>
      <c r="C11869" t="s">
        <v>157</v>
      </c>
      <c r="D11869" t="s">
        <v>23853</v>
      </c>
      <c r="E11869" t="s">
        <v>23854</v>
      </c>
      <c r="F11869" t="s">
        <v>180</v>
      </c>
      <c r="G11869" s="1">
        <v>5</v>
      </c>
    </row>
    <row r="11870" spans="1:7" ht="14.25" customHeight="1" x14ac:dyDescent="0.45">
      <c r="A11870" t="str">
        <f>_xlfn.XLOOKUP(B11870,Ingot!$H$12:$H$119,Ingot!$G$12:$G$119,"")</f>
        <v>Osso</v>
      </c>
      <c r="B11870" t="s">
        <v>23680</v>
      </c>
      <c r="C11870" t="s">
        <v>157</v>
      </c>
      <c r="D11870" t="s">
        <v>23855</v>
      </c>
      <c r="E11870" t="s">
        <v>23856</v>
      </c>
      <c r="F11870" t="s">
        <v>180</v>
      </c>
      <c r="G11870" s="1">
        <v>10</v>
      </c>
    </row>
    <row r="11871" spans="1:7" ht="14.25" customHeight="1" x14ac:dyDescent="0.45">
      <c r="A11871" t="str">
        <f>_xlfn.XLOOKUP(B11871,Ingot!$H$12:$H$119,Ingot!$G$12:$G$119,"")</f>
        <v>Osso</v>
      </c>
      <c r="B11871" t="s">
        <v>23680</v>
      </c>
      <c r="C11871" t="s">
        <v>157</v>
      </c>
      <c r="D11871" t="s">
        <v>23857</v>
      </c>
      <c r="E11871" t="s">
        <v>23858</v>
      </c>
      <c r="G11871" s="1">
        <v>19</v>
      </c>
    </row>
    <row r="11872" spans="1:7" ht="14.25" customHeight="1" x14ac:dyDescent="0.45">
      <c r="A11872" t="str">
        <f>_xlfn.XLOOKUP(B11872,Ingot!$H$12:$H$119,Ingot!$G$12:$G$119,"")</f>
        <v>Osso</v>
      </c>
      <c r="B11872" t="s">
        <v>23680</v>
      </c>
      <c r="C11872" t="s">
        <v>157</v>
      </c>
      <c r="D11872" t="s">
        <v>23859</v>
      </c>
      <c r="E11872" t="s">
        <v>23860</v>
      </c>
      <c r="G11872" s="1">
        <v>5</v>
      </c>
    </row>
    <row r="11873" spans="1:7" ht="14.25" customHeight="1" x14ac:dyDescent="0.45">
      <c r="A11873" t="str">
        <f>_xlfn.XLOOKUP(B11873,Ingot!$H$12:$H$119,Ingot!$G$12:$G$119,"")</f>
        <v>Osso</v>
      </c>
      <c r="B11873" t="s">
        <v>23680</v>
      </c>
      <c r="C11873" t="s">
        <v>157</v>
      </c>
      <c r="D11873" t="s">
        <v>23861</v>
      </c>
      <c r="E11873" t="s">
        <v>23862</v>
      </c>
      <c r="G11873" s="1">
        <v>5</v>
      </c>
    </row>
    <row r="11874" spans="1:7" ht="14.25" customHeight="1" x14ac:dyDescent="0.45">
      <c r="A11874" t="str">
        <f>_xlfn.XLOOKUP(B11874,Ingot!$H$12:$H$119,Ingot!$G$12:$G$119,"")</f>
        <v>Osso</v>
      </c>
      <c r="B11874" t="s">
        <v>23680</v>
      </c>
      <c r="C11874" t="s">
        <v>157</v>
      </c>
      <c r="D11874" t="s">
        <v>23863</v>
      </c>
      <c r="E11874" t="s">
        <v>23864</v>
      </c>
      <c r="G11874" s="1">
        <v>5</v>
      </c>
    </row>
    <row r="11875" spans="1:7" ht="14.25" customHeight="1" x14ac:dyDescent="0.45">
      <c r="A11875" t="str">
        <f>_xlfn.XLOOKUP(B11875,Ingot!$H$12:$H$119,Ingot!$G$12:$G$119,"")</f>
        <v>Osso</v>
      </c>
      <c r="B11875" t="s">
        <v>23680</v>
      </c>
      <c r="C11875" t="s">
        <v>157</v>
      </c>
      <c r="D11875" t="s">
        <v>23865</v>
      </c>
      <c r="E11875" t="s">
        <v>23866</v>
      </c>
      <c r="G11875" s="1">
        <v>10</v>
      </c>
    </row>
    <row r="11876" spans="1:7" ht="14.25" customHeight="1" x14ac:dyDescent="0.45">
      <c r="A11876" t="str">
        <f>_xlfn.XLOOKUP(B11876,Ingot!$H$12:$H$119,Ingot!$G$12:$G$119,"")</f>
        <v>Osso</v>
      </c>
      <c r="B11876" t="s">
        <v>23680</v>
      </c>
      <c r="C11876" t="s">
        <v>157</v>
      </c>
      <c r="D11876" t="s">
        <v>23867</v>
      </c>
      <c r="E11876" t="s">
        <v>23868</v>
      </c>
      <c r="G11876" s="1">
        <v>20</v>
      </c>
    </row>
    <row r="11877" spans="1:7" ht="14.25" customHeight="1" x14ac:dyDescent="0.45">
      <c r="A11877" t="str">
        <f>_xlfn.XLOOKUP(B11877,Ingot!$H$12:$H$119,Ingot!$G$12:$G$119,"")</f>
        <v>Osso</v>
      </c>
      <c r="B11877" t="s">
        <v>23680</v>
      </c>
      <c r="C11877" t="s">
        <v>157</v>
      </c>
      <c r="D11877" t="s">
        <v>23869</v>
      </c>
      <c r="E11877" t="s">
        <v>23870</v>
      </c>
      <c r="F11877" t="s">
        <v>180</v>
      </c>
      <c r="G11877" s="1">
        <v>5</v>
      </c>
    </row>
    <row r="11878" spans="1:7" ht="14.25" customHeight="1" x14ac:dyDescent="0.45">
      <c r="A11878" t="str">
        <f>_xlfn.XLOOKUP(B11878,Ingot!$H$12:$H$119,Ingot!$G$12:$G$119,"")</f>
        <v>Osso</v>
      </c>
      <c r="B11878" t="s">
        <v>23680</v>
      </c>
      <c r="C11878" t="s">
        <v>157</v>
      </c>
      <c r="D11878" t="s">
        <v>23871</v>
      </c>
      <c r="E11878" t="s">
        <v>23872</v>
      </c>
      <c r="F11878" t="s">
        <v>180</v>
      </c>
      <c r="G11878" s="1">
        <v>5</v>
      </c>
    </row>
    <row r="11879" spans="1:7" ht="14.25" customHeight="1" x14ac:dyDescent="0.45">
      <c r="A11879" t="str">
        <f>_xlfn.XLOOKUP(B11879,Ingot!$H$12:$H$119,Ingot!$G$12:$G$119,"")</f>
        <v>Osso</v>
      </c>
      <c r="B11879" t="s">
        <v>23680</v>
      </c>
      <c r="C11879" t="s">
        <v>157</v>
      </c>
      <c r="D11879" t="s">
        <v>23873</v>
      </c>
      <c r="E11879" t="s">
        <v>23874</v>
      </c>
      <c r="F11879" t="s">
        <v>180</v>
      </c>
      <c r="G11879" s="1">
        <v>5</v>
      </c>
    </row>
    <row r="11880" spans="1:7" ht="14.25" customHeight="1" x14ac:dyDescent="0.45">
      <c r="A11880" t="str">
        <f>_xlfn.XLOOKUP(B11880,Ingot!$H$12:$H$119,Ingot!$G$12:$G$119,"")</f>
        <v>Osso</v>
      </c>
      <c r="B11880" t="s">
        <v>23680</v>
      </c>
      <c r="C11880" t="s">
        <v>157</v>
      </c>
      <c r="D11880" t="s">
        <v>23875</v>
      </c>
      <c r="E11880" t="s">
        <v>23876</v>
      </c>
      <c r="G11880" s="1">
        <v>10</v>
      </c>
    </row>
    <row r="11881" spans="1:7" ht="14.25" customHeight="1" x14ac:dyDescent="0.45">
      <c r="A11881" t="str">
        <f>_xlfn.XLOOKUP(B11881,Ingot!$H$12:$H$119,Ingot!$G$12:$G$119,"")</f>
        <v>Osso</v>
      </c>
      <c r="B11881" t="s">
        <v>23680</v>
      </c>
      <c r="C11881" t="s">
        <v>157</v>
      </c>
      <c r="D11881" t="s">
        <v>23877</v>
      </c>
      <c r="E11881" t="s">
        <v>23878</v>
      </c>
      <c r="G11881" s="1">
        <v>24</v>
      </c>
    </row>
    <row r="11882" spans="1:7" ht="14.25" customHeight="1" x14ac:dyDescent="0.45">
      <c r="A11882" t="str">
        <f>_xlfn.XLOOKUP(B11882,Ingot!$H$12:$H$119,Ingot!$G$12:$G$119,"")</f>
        <v>Osso</v>
      </c>
      <c r="B11882" t="s">
        <v>23680</v>
      </c>
      <c r="C11882" t="s">
        <v>157</v>
      </c>
      <c r="D11882" t="s">
        <v>23879</v>
      </c>
      <c r="E11882" t="s">
        <v>23880</v>
      </c>
      <c r="G11882" s="1">
        <v>5</v>
      </c>
    </row>
    <row r="11883" spans="1:7" ht="14.25" customHeight="1" x14ac:dyDescent="0.45">
      <c r="A11883" t="str">
        <f>_xlfn.XLOOKUP(B11883,Ingot!$H$12:$H$119,Ingot!$G$12:$G$119,"")</f>
        <v>Osso</v>
      </c>
      <c r="B11883" t="s">
        <v>23680</v>
      </c>
      <c r="C11883" t="s">
        <v>157</v>
      </c>
      <c r="D11883" t="s">
        <v>23881</v>
      </c>
      <c r="E11883" t="s">
        <v>23882</v>
      </c>
      <c r="G11883" s="1">
        <v>5</v>
      </c>
    </row>
    <row r="11884" spans="1:7" ht="14.25" customHeight="1" x14ac:dyDescent="0.45">
      <c r="A11884" t="str">
        <f>_xlfn.XLOOKUP(B11884,Ingot!$H$12:$H$119,Ingot!$G$12:$G$119,"")</f>
        <v>Osso</v>
      </c>
      <c r="B11884" t="s">
        <v>23680</v>
      </c>
      <c r="C11884" t="s">
        <v>157</v>
      </c>
      <c r="D11884" t="s">
        <v>23883</v>
      </c>
      <c r="E11884" t="s">
        <v>23884</v>
      </c>
      <c r="G11884" s="1">
        <v>5</v>
      </c>
    </row>
    <row r="11885" spans="1:7" ht="14.25" customHeight="1" x14ac:dyDescent="0.45">
      <c r="A11885" t="str">
        <f>_xlfn.XLOOKUP(B11885,Ingot!$H$12:$H$119,Ingot!$G$12:$G$119,"")</f>
        <v>Osso</v>
      </c>
      <c r="B11885" t="s">
        <v>23680</v>
      </c>
      <c r="C11885" t="s">
        <v>157</v>
      </c>
      <c r="D11885" t="s">
        <v>23885</v>
      </c>
      <c r="E11885" t="s">
        <v>23886</v>
      </c>
      <c r="G11885" s="1">
        <v>10</v>
      </c>
    </row>
    <row r="11886" spans="1:7" ht="14.25" customHeight="1" x14ac:dyDescent="0.45">
      <c r="A11886" t="str">
        <f>_xlfn.XLOOKUP(B11886,Ingot!$H$12:$H$119,Ingot!$G$12:$G$119,"")</f>
        <v>Osso</v>
      </c>
      <c r="B11886" t="s">
        <v>23680</v>
      </c>
      <c r="C11886" t="s">
        <v>157</v>
      </c>
      <c r="D11886" t="s">
        <v>23887</v>
      </c>
      <c r="E11886" t="s">
        <v>23888</v>
      </c>
      <c r="G11886" s="1">
        <v>23</v>
      </c>
    </row>
    <row r="11887" spans="1:7" ht="14.25" customHeight="1" x14ac:dyDescent="0.45">
      <c r="A11887" t="str">
        <f>_xlfn.XLOOKUP(B11887,Ingot!$H$12:$H$119,Ingot!$G$12:$G$119,"")</f>
        <v>Osso</v>
      </c>
      <c r="B11887" t="s">
        <v>23680</v>
      </c>
      <c r="C11887" t="s">
        <v>157</v>
      </c>
      <c r="D11887" t="s">
        <v>23889</v>
      </c>
      <c r="E11887" t="s">
        <v>23890</v>
      </c>
      <c r="G11887" s="1">
        <v>5</v>
      </c>
    </row>
    <row r="11888" spans="1:7" ht="14.25" customHeight="1" x14ac:dyDescent="0.45">
      <c r="A11888" t="str">
        <f>_xlfn.XLOOKUP(B11888,Ingot!$H$12:$H$119,Ingot!$G$12:$G$119,"")</f>
        <v>Osso</v>
      </c>
      <c r="B11888" t="s">
        <v>23680</v>
      </c>
      <c r="C11888" t="s">
        <v>157</v>
      </c>
      <c r="D11888" t="s">
        <v>23891</v>
      </c>
      <c r="E11888" t="s">
        <v>23892</v>
      </c>
      <c r="G11888" s="1">
        <v>5</v>
      </c>
    </row>
    <row r="11889" spans="1:7" ht="14.25" customHeight="1" x14ac:dyDescent="0.45">
      <c r="A11889" t="str">
        <f>_xlfn.XLOOKUP(B11889,Ingot!$H$12:$H$119,Ingot!$G$12:$G$119,"")</f>
        <v>Osso</v>
      </c>
      <c r="B11889" t="s">
        <v>23680</v>
      </c>
      <c r="C11889" t="s">
        <v>157</v>
      </c>
      <c r="D11889" t="s">
        <v>23893</v>
      </c>
      <c r="E11889" t="s">
        <v>23894</v>
      </c>
      <c r="G11889" s="1">
        <v>5</v>
      </c>
    </row>
    <row r="11890" spans="1:7" ht="14.25" customHeight="1" x14ac:dyDescent="0.45">
      <c r="A11890" t="str">
        <f>_xlfn.XLOOKUP(B11890,Ingot!$H$12:$H$119,Ingot!$G$12:$G$119,"")</f>
        <v>Osso</v>
      </c>
      <c r="B11890" t="s">
        <v>23680</v>
      </c>
      <c r="C11890" t="s">
        <v>157</v>
      </c>
      <c r="D11890" t="s">
        <v>23895</v>
      </c>
      <c r="E11890" t="s">
        <v>23896</v>
      </c>
      <c r="G11890" s="1">
        <v>10</v>
      </c>
    </row>
    <row r="11891" spans="1:7" ht="14.25" customHeight="1" x14ac:dyDescent="0.45">
      <c r="A11891" t="str">
        <f>_xlfn.XLOOKUP(B11891,Ingot!$H$12:$H$119,Ingot!$G$12:$G$119,"")</f>
        <v>Osso</v>
      </c>
      <c r="B11891" t="s">
        <v>23680</v>
      </c>
      <c r="C11891" t="s">
        <v>157</v>
      </c>
      <c r="D11891" t="s">
        <v>23897</v>
      </c>
      <c r="E11891" t="s">
        <v>23898</v>
      </c>
      <c r="F11891" t="s">
        <v>180</v>
      </c>
      <c r="G11891" s="1">
        <v>17</v>
      </c>
    </row>
    <row r="11892" spans="1:7" ht="14.25" customHeight="1" x14ac:dyDescent="0.45">
      <c r="A11892" t="str">
        <f>_xlfn.XLOOKUP(B11892,Ingot!$H$12:$H$119,Ingot!$G$12:$G$119,"")</f>
        <v>Osso</v>
      </c>
      <c r="B11892" t="s">
        <v>23680</v>
      </c>
      <c r="C11892" t="s">
        <v>157</v>
      </c>
      <c r="D11892" t="s">
        <v>23899</v>
      </c>
      <c r="E11892" t="s">
        <v>23900</v>
      </c>
      <c r="F11892" t="s">
        <v>180</v>
      </c>
      <c r="G11892" s="1">
        <v>5</v>
      </c>
    </row>
    <row r="11893" spans="1:7" ht="14.25" customHeight="1" x14ac:dyDescent="0.45">
      <c r="A11893" t="str">
        <f>_xlfn.XLOOKUP(B11893,Ingot!$H$12:$H$119,Ingot!$G$12:$G$119,"")</f>
        <v>Osso</v>
      </c>
      <c r="B11893" t="s">
        <v>23680</v>
      </c>
      <c r="C11893" t="s">
        <v>157</v>
      </c>
      <c r="D11893" t="s">
        <v>23901</v>
      </c>
      <c r="E11893" t="s">
        <v>23902</v>
      </c>
      <c r="F11893" t="s">
        <v>180</v>
      </c>
      <c r="G11893" s="1">
        <v>5</v>
      </c>
    </row>
    <row r="11894" spans="1:7" ht="14.25" customHeight="1" x14ac:dyDescent="0.45">
      <c r="A11894" t="str">
        <f>_xlfn.XLOOKUP(B11894,Ingot!$H$12:$H$119,Ingot!$G$12:$G$119,"")</f>
        <v>Osso</v>
      </c>
      <c r="B11894" t="s">
        <v>23680</v>
      </c>
      <c r="C11894" t="s">
        <v>157</v>
      </c>
      <c r="D11894" t="s">
        <v>23903</v>
      </c>
      <c r="E11894" t="s">
        <v>23904</v>
      </c>
      <c r="F11894" t="s">
        <v>180</v>
      </c>
      <c r="G11894" s="1">
        <v>5</v>
      </c>
    </row>
    <row r="11895" spans="1:7" ht="14.25" customHeight="1" x14ac:dyDescent="0.45">
      <c r="A11895" t="str">
        <f>_xlfn.XLOOKUP(B11895,Ingot!$H$12:$H$119,Ingot!$G$12:$G$119,"")</f>
        <v>Osso</v>
      </c>
      <c r="B11895" t="s">
        <v>23680</v>
      </c>
      <c r="C11895" t="s">
        <v>157</v>
      </c>
      <c r="D11895" t="s">
        <v>23905</v>
      </c>
      <c r="E11895" t="s">
        <v>23906</v>
      </c>
      <c r="F11895" t="s">
        <v>180</v>
      </c>
      <c r="G11895" s="1">
        <v>10</v>
      </c>
    </row>
    <row r="11896" spans="1:7" ht="14.25" customHeight="1" x14ac:dyDescent="0.45">
      <c r="A11896" t="str">
        <f>_xlfn.XLOOKUP(B11896,Ingot!$H$12:$H$119,Ingot!$G$12:$G$119,"")</f>
        <v>Osso</v>
      </c>
      <c r="B11896" t="s">
        <v>23680</v>
      </c>
      <c r="C11896" t="s">
        <v>239</v>
      </c>
      <c r="D11896" t="s">
        <v>23907</v>
      </c>
      <c r="E11896" t="s">
        <v>23908</v>
      </c>
      <c r="G11896" s="1">
        <f>(VLOOKUP(B11896,Ingot!H:I,2,FALSE()) * 0.75) * 0.75</f>
        <v>7.875</v>
      </c>
    </row>
    <row r="11897" spans="1:7" ht="14.25" customHeight="1" x14ac:dyDescent="0.45">
      <c r="A11897" t="str">
        <f>_xlfn.XLOOKUP(B11897,Ingot!$H$12:$H$119,Ingot!$G$12:$G$119,"")</f>
        <v>Osso</v>
      </c>
      <c r="B11897" t="s">
        <v>23680</v>
      </c>
      <c r="C11897" t="s">
        <v>239</v>
      </c>
      <c r="D11897" t="s">
        <v>23909</v>
      </c>
      <c r="E11897" t="s">
        <v>23910</v>
      </c>
      <c r="G11897" s="1">
        <f>((VLOOKUP(B11897,Ingot!H:I,2,FALSE()) * 3) - 10.25) * 0.421875</f>
        <v>13.39453125</v>
      </c>
    </row>
    <row r="11898" spans="1:7" ht="14.25" customHeight="1" x14ac:dyDescent="0.45">
      <c r="A11898" t="str">
        <f>_xlfn.XLOOKUP(B11898,Ingot!$H$12:$H$119,Ingot!$G$12:$G$119,"")</f>
        <v>Osso</v>
      </c>
      <c r="B11898" t="s">
        <v>23680</v>
      </c>
      <c r="C11898" t="s">
        <v>239</v>
      </c>
      <c r="D11898" t="s">
        <v>23911</v>
      </c>
      <c r="E11898" t="s">
        <v>23912</v>
      </c>
      <c r="G11898" s="1">
        <f>((VLOOKUP(B11898,Ingot!H:I,2,FALSE()) * 3) - 10.25) * 0.75</f>
        <v>23.8125</v>
      </c>
    </row>
    <row r="11899" spans="1:7" ht="14.25" customHeight="1" x14ac:dyDescent="0.45">
      <c r="A11899" t="str">
        <f>_xlfn.XLOOKUP(B11899,Ingot!$H$12:$H$119,Ingot!$G$12:$G$119,"")</f>
        <v>Osso</v>
      </c>
      <c r="B11899" t="s">
        <v>23680</v>
      </c>
      <c r="C11899" t="s">
        <v>239</v>
      </c>
      <c r="D11899" t="s">
        <v>23913</v>
      </c>
      <c r="E11899" t="s">
        <v>23914</v>
      </c>
      <c r="G11899" s="1">
        <f>((VLOOKUP(B11899,Ingot!H:I,2,FALSE()) * 3) - 10.25) * 0.5625</f>
        <v>17.859375</v>
      </c>
    </row>
    <row r="11900" spans="1:7" ht="14.25" customHeight="1" x14ac:dyDescent="0.45">
      <c r="A11900" t="str">
        <f>_xlfn.XLOOKUP(B11900,Ingot!$H$12:$H$119,Ingot!$G$12:$G$119,"")</f>
        <v>Osso</v>
      </c>
      <c r="B11900" t="s">
        <v>23680</v>
      </c>
      <c r="C11900" t="s">
        <v>239</v>
      </c>
      <c r="D11900" t="s">
        <v>23915</v>
      </c>
      <c r="E11900" t="s">
        <v>23916</v>
      </c>
      <c r="G11900" s="1">
        <f>VLOOKUP(B11900,Ingot!H:I,2,FALSE()) * 0.75</f>
        <v>10.5</v>
      </c>
    </row>
    <row r="11901" spans="1:7" ht="14.25" customHeight="1" x14ac:dyDescent="0.45">
      <c r="A11901" t="str">
        <f>_xlfn.XLOOKUP(B11901,Ingot!$H$12:$H$119,Ingot!$G$12:$G$119,"")</f>
        <v>Osso</v>
      </c>
      <c r="B11901" t="s">
        <v>23680</v>
      </c>
      <c r="C11901" t="s">
        <v>239</v>
      </c>
      <c r="D11901" t="s">
        <v>23917</v>
      </c>
      <c r="E11901" t="s">
        <v>23918</v>
      </c>
      <c r="G11901" s="1">
        <f>(VLOOKUP(B11901,Ingot!H:I,2,FALSE()) * 3) - 10.25</f>
        <v>31.75</v>
      </c>
    </row>
    <row r="11902" spans="1:7" ht="14.25" customHeight="1" x14ac:dyDescent="0.45">
      <c r="A11902" t="str">
        <f>_xlfn.XLOOKUP(B11902,Ingot!$H$12:$H$119,Ingot!$G$12:$G$119,"")</f>
        <v>Osso</v>
      </c>
      <c r="B11902" t="s">
        <v>23919</v>
      </c>
      <c r="C11902" t="s">
        <v>10</v>
      </c>
      <c r="D11902" t="s">
        <v>23920</v>
      </c>
      <c r="E11902" t="s">
        <v>23921</v>
      </c>
      <c r="G11902" s="1">
        <v>0.08</v>
      </c>
    </row>
    <row r="11903" spans="1:7" ht="14.25" customHeight="1" x14ac:dyDescent="0.45">
      <c r="A11903" t="str">
        <f>_xlfn.XLOOKUP(B11903,Ingot!$H$12:$H$119,Ingot!$G$12:$G$119,"")</f>
        <v>Osso</v>
      </c>
      <c r="B11903" t="s">
        <v>23919</v>
      </c>
      <c r="C11903" t="s">
        <v>10</v>
      </c>
      <c r="D11903" t="s">
        <v>23922</v>
      </c>
      <c r="E11903" t="s">
        <v>23923</v>
      </c>
      <c r="G11903" s="1">
        <v>9.9</v>
      </c>
    </row>
    <row r="11904" spans="1:7" ht="14.25" customHeight="1" x14ac:dyDescent="0.45">
      <c r="A11904" t="str">
        <f>_xlfn.XLOOKUP(B11904,Ingot!$H$12:$H$119,Ingot!$G$12:$G$119,"")</f>
        <v>Osso</v>
      </c>
      <c r="B11904" t="s">
        <v>23919</v>
      </c>
      <c r="C11904" t="s">
        <v>10</v>
      </c>
      <c r="D11904" t="s">
        <v>23924</v>
      </c>
      <c r="E11904" t="s">
        <v>23925</v>
      </c>
      <c r="G11904" s="1">
        <v>5.66</v>
      </c>
    </row>
    <row r="11905" spans="1:7" ht="14.25" customHeight="1" x14ac:dyDescent="0.45">
      <c r="A11905" t="str">
        <f>_xlfn.XLOOKUP(B11905,Ingot!$H$12:$H$119,Ingot!$G$12:$G$119,"")</f>
        <v>Osso</v>
      </c>
      <c r="B11905" t="s">
        <v>23919</v>
      </c>
      <c r="C11905" t="s">
        <v>10</v>
      </c>
      <c r="D11905" t="s">
        <v>23926</v>
      </c>
      <c r="E11905" t="s">
        <v>23927</v>
      </c>
      <c r="G11905" s="1">
        <v>3.3</v>
      </c>
    </row>
    <row r="11906" spans="1:7" ht="14.25" customHeight="1" x14ac:dyDescent="0.45">
      <c r="A11906" t="str">
        <f>_xlfn.XLOOKUP(B11906,Ingot!$H$12:$H$119,Ingot!$G$12:$G$119,"")</f>
        <v>Osso</v>
      </c>
      <c r="B11906" t="s">
        <v>23919</v>
      </c>
      <c r="C11906" t="s">
        <v>10</v>
      </c>
      <c r="D11906" t="s">
        <v>23928</v>
      </c>
      <c r="E11906" t="s">
        <v>23929</v>
      </c>
      <c r="G11906" s="1">
        <v>0.66</v>
      </c>
    </row>
    <row r="11907" spans="1:7" ht="14.25" customHeight="1" x14ac:dyDescent="0.45">
      <c r="A11907" t="str">
        <f>_xlfn.XLOOKUP(B11907,Ingot!$H$12:$H$119,Ingot!$G$12:$G$119,"")</f>
        <v>Osso</v>
      </c>
      <c r="B11907" t="s">
        <v>23919</v>
      </c>
      <c r="C11907" t="s">
        <v>10</v>
      </c>
      <c r="D11907" t="s">
        <v>23930</v>
      </c>
      <c r="E11907" t="s">
        <v>23931</v>
      </c>
      <c r="G11907" s="1">
        <v>0.04</v>
      </c>
    </row>
    <row r="11908" spans="1:7" ht="14.25" customHeight="1" x14ac:dyDescent="0.45">
      <c r="A11908" t="str">
        <f>_xlfn.XLOOKUP(B11908,Ingot!$H$12:$H$119,Ingot!$G$12:$G$119,"")</f>
        <v>Osso</v>
      </c>
      <c r="B11908" t="s">
        <v>23919</v>
      </c>
      <c r="C11908" t="s">
        <v>10</v>
      </c>
      <c r="D11908" t="s">
        <v>23932</v>
      </c>
      <c r="E11908" t="s">
        <v>23933</v>
      </c>
      <c r="G11908" s="1">
        <v>0.33</v>
      </c>
    </row>
    <row r="11909" spans="1:7" ht="14.25" customHeight="1" x14ac:dyDescent="0.45">
      <c r="A11909" t="str">
        <f>_xlfn.XLOOKUP(B11909,Ingot!$H$12:$H$119,Ingot!$G$12:$G$119,"")</f>
        <v>Osso</v>
      </c>
      <c r="B11909" t="s">
        <v>23919</v>
      </c>
      <c r="C11909" t="s">
        <v>10</v>
      </c>
      <c r="D11909" t="s">
        <v>23934</v>
      </c>
      <c r="E11909" t="s">
        <v>23935</v>
      </c>
    </row>
    <row r="11910" spans="1:7" ht="14.25" customHeight="1" x14ac:dyDescent="0.45">
      <c r="A11910" t="str">
        <f>_xlfn.XLOOKUP(B11910,Ingot!$H$12:$H$119,Ingot!$G$12:$G$119,"")</f>
        <v>Osso</v>
      </c>
      <c r="B11910" t="s">
        <v>23919</v>
      </c>
      <c r="C11910" t="s">
        <v>10</v>
      </c>
      <c r="D11910" t="s">
        <v>23936</v>
      </c>
      <c r="E11910" t="s">
        <v>23937</v>
      </c>
      <c r="G11910" s="1">
        <v>0.05</v>
      </c>
    </row>
    <row r="11911" spans="1:7" ht="14.25" customHeight="1" x14ac:dyDescent="0.45">
      <c r="A11911" t="str">
        <f>_xlfn.XLOOKUP(B11911,Ingot!$H$12:$H$119,Ingot!$G$12:$G$119,"")</f>
        <v>Osso</v>
      </c>
      <c r="B11911" t="s">
        <v>23919</v>
      </c>
      <c r="C11911" t="s">
        <v>10</v>
      </c>
      <c r="D11911" t="s">
        <v>23938</v>
      </c>
      <c r="E11911" t="s">
        <v>23939</v>
      </c>
      <c r="G11911" s="1">
        <v>0.66</v>
      </c>
    </row>
    <row r="11912" spans="1:7" ht="14.25" customHeight="1" x14ac:dyDescent="0.45">
      <c r="A11912" t="str">
        <f>_xlfn.XLOOKUP(B11912,Ingot!$H$12:$H$119,Ingot!$G$12:$G$119,"")</f>
        <v>Osso</v>
      </c>
      <c r="B11912" t="s">
        <v>23919</v>
      </c>
      <c r="C11912" t="s">
        <v>10</v>
      </c>
      <c r="D11912" t="s">
        <v>23940</v>
      </c>
      <c r="E11912" t="s">
        <v>23941</v>
      </c>
      <c r="G11912" s="1">
        <v>3.96</v>
      </c>
    </row>
    <row r="11913" spans="1:7" ht="14.25" customHeight="1" x14ac:dyDescent="0.45">
      <c r="A11913" t="str">
        <f>_xlfn.XLOOKUP(B11913,Ingot!$H$12:$H$119,Ingot!$G$12:$G$119,"")</f>
        <v>Osso</v>
      </c>
      <c r="B11913" t="s">
        <v>23919</v>
      </c>
      <c r="C11913" t="s">
        <v>10</v>
      </c>
      <c r="D11913" t="s">
        <v>23942</v>
      </c>
      <c r="E11913" t="s">
        <v>23943</v>
      </c>
      <c r="G11913" s="1">
        <v>8.77</v>
      </c>
    </row>
    <row r="11914" spans="1:7" ht="14.25" customHeight="1" x14ac:dyDescent="0.45">
      <c r="A11914" t="str">
        <f>_xlfn.XLOOKUP(B11914,Ingot!$H$12:$H$119,Ingot!$G$12:$G$119,"")</f>
        <v>Osso</v>
      </c>
      <c r="B11914" t="s">
        <v>23919</v>
      </c>
      <c r="C11914" t="s">
        <v>10</v>
      </c>
      <c r="D11914" t="s">
        <v>23944</v>
      </c>
      <c r="E11914" t="s">
        <v>23945</v>
      </c>
      <c r="G11914" s="1">
        <v>3.5</v>
      </c>
    </row>
    <row r="11915" spans="1:7" ht="14.25" customHeight="1" x14ac:dyDescent="0.45">
      <c r="A11915" t="str">
        <f>_xlfn.XLOOKUP(B11915,Ingot!$H$12:$H$119,Ingot!$G$12:$G$119,"")</f>
        <v>Osso</v>
      </c>
      <c r="B11915" t="s">
        <v>23919</v>
      </c>
      <c r="C11915" t="s">
        <v>10</v>
      </c>
      <c r="D11915" t="s">
        <v>23946</v>
      </c>
      <c r="E11915" t="s">
        <v>23947</v>
      </c>
    </row>
    <row r="11916" spans="1:7" ht="14.25" customHeight="1" x14ac:dyDescent="0.45">
      <c r="A11916" t="str">
        <f>_xlfn.XLOOKUP(B11916,Ingot!$H$12:$H$119,Ingot!$G$12:$G$119,"")</f>
        <v>Osso</v>
      </c>
      <c r="B11916" t="s">
        <v>23919</v>
      </c>
      <c r="C11916" t="s">
        <v>10</v>
      </c>
      <c r="D11916" t="s">
        <v>23948</v>
      </c>
      <c r="E11916" t="s">
        <v>23949</v>
      </c>
      <c r="G11916" s="1">
        <v>2.2000000000000002</v>
      </c>
    </row>
    <row r="11917" spans="1:7" ht="14.25" customHeight="1" x14ac:dyDescent="0.45">
      <c r="A11917" t="str">
        <f>_xlfn.XLOOKUP(B11917,Ingot!$H$12:$H$119,Ingot!$G$12:$G$119,"")</f>
        <v>Osso</v>
      </c>
      <c r="B11917" t="s">
        <v>23919</v>
      </c>
      <c r="C11917" t="s">
        <v>10</v>
      </c>
      <c r="D11917" t="s">
        <v>23950</v>
      </c>
      <c r="E11917" t="s">
        <v>23951</v>
      </c>
      <c r="G11917" s="1">
        <v>1.1000000000000001</v>
      </c>
    </row>
    <row r="11918" spans="1:7" ht="14.25" customHeight="1" x14ac:dyDescent="0.45">
      <c r="A11918" t="str">
        <f>_xlfn.XLOOKUP(B11918,Ingot!$H$12:$H$119,Ingot!$G$12:$G$119,"")</f>
        <v>Osso</v>
      </c>
      <c r="B11918" t="s">
        <v>23919</v>
      </c>
      <c r="C11918" t="s">
        <v>10</v>
      </c>
      <c r="D11918" t="s">
        <v>23952</v>
      </c>
      <c r="E11918" t="s">
        <v>23953</v>
      </c>
      <c r="G11918" s="1">
        <v>0.22</v>
      </c>
    </row>
    <row r="11919" spans="1:7" ht="14.25" customHeight="1" x14ac:dyDescent="0.45">
      <c r="A11919" t="str">
        <f>_xlfn.XLOOKUP(B11919,Ingot!$H$12:$H$119,Ingot!$G$12:$G$119,"")</f>
        <v>Osso</v>
      </c>
      <c r="B11919" t="s">
        <v>23919</v>
      </c>
      <c r="C11919" t="s">
        <v>10</v>
      </c>
      <c r="D11919" t="s">
        <v>23954</v>
      </c>
      <c r="E11919" t="s">
        <v>23955</v>
      </c>
      <c r="G11919" s="1">
        <v>8.41</v>
      </c>
    </row>
    <row r="11920" spans="1:7" ht="14.25" customHeight="1" x14ac:dyDescent="0.45">
      <c r="A11920" t="str">
        <f>_xlfn.XLOOKUP(B11920,Ingot!$H$12:$H$119,Ingot!$G$12:$G$119,"")</f>
        <v>Osso</v>
      </c>
      <c r="B11920" t="s">
        <v>23919</v>
      </c>
      <c r="C11920" t="s">
        <v>10</v>
      </c>
      <c r="D11920" t="s">
        <v>23956</v>
      </c>
      <c r="E11920" t="s">
        <v>23957</v>
      </c>
      <c r="G11920" s="1">
        <v>3.64</v>
      </c>
    </row>
    <row r="11921" spans="1:7" ht="14.25" customHeight="1" x14ac:dyDescent="0.45">
      <c r="A11921" t="str">
        <f>_xlfn.XLOOKUP(B11921,Ingot!$H$12:$H$119,Ingot!$G$12:$G$119,"")</f>
        <v>Osso</v>
      </c>
      <c r="B11921" t="s">
        <v>23919</v>
      </c>
      <c r="C11921" t="s">
        <v>10</v>
      </c>
      <c r="D11921" t="s">
        <v>23958</v>
      </c>
      <c r="E11921" t="s">
        <v>23959</v>
      </c>
      <c r="G11921" s="1">
        <v>7.05</v>
      </c>
    </row>
    <row r="11922" spans="1:7" ht="14.25" customHeight="1" x14ac:dyDescent="0.45">
      <c r="A11922" t="str">
        <f>_xlfn.XLOOKUP(B11922,Ingot!$H$12:$H$119,Ingot!$G$12:$G$119,"")</f>
        <v>Osso</v>
      </c>
      <c r="B11922" t="s">
        <v>23919</v>
      </c>
      <c r="C11922" t="s">
        <v>10</v>
      </c>
      <c r="D11922" t="s">
        <v>23960</v>
      </c>
      <c r="E11922" t="s">
        <v>23961</v>
      </c>
      <c r="G11922" s="1">
        <v>2.65</v>
      </c>
    </row>
    <row r="11923" spans="1:7" ht="14.25" customHeight="1" x14ac:dyDescent="0.45">
      <c r="A11923" t="str">
        <f>_xlfn.XLOOKUP(B11923,Ingot!$H$12:$H$119,Ingot!$G$12:$G$119,"")</f>
        <v>Osso</v>
      </c>
      <c r="B11923" t="s">
        <v>23919</v>
      </c>
      <c r="C11923" t="s">
        <v>10</v>
      </c>
      <c r="D11923" t="s">
        <v>23962</v>
      </c>
      <c r="E11923" t="s">
        <v>23963</v>
      </c>
      <c r="G11923" s="1">
        <v>9</v>
      </c>
    </row>
    <row r="11924" spans="1:7" ht="14.25" customHeight="1" x14ac:dyDescent="0.45">
      <c r="A11924" t="str">
        <f>_xlfn.XLOOKUP(B11924,Ingot!$H$12:$H$119,Ingot!$G$12:$G$119,"")</f>
        <v>Osso</v>
      </c>
      <c r="B11924" t="s">
        <v>23919</v>
      </c>
      <c r="C11924" t="s">
        <v>10</v>
      </c>
      <c r="D11924" t="s">
        <v>23964</v>
      </c>
      <c r="E11924" t="s">
        <v>23965</v>
      </c>
      <c r="G11924" s="1">
        <v>10.23</v>
      </c>
    </row>
    <row r="11925" spans="1:7" ht="14.25" customHeight="1" x14ac:dyDescent="0.45">
      <c r="A11925" t="str">
        <f>_xlfn.XLOOKUP(B11925,Ingot!$H$12:$H$119,Ingot!$G$12:$G$119,"")</f>
        <v>Osso</v>
      </c>
      <c r="B11925" t="s">
        <v>23919</v>
      </c>
      <c r="C11925" t="s">
        <v>10</v>
      </c>
      <c r="D11925" t="s">
        <v>23966</v>
      </c>
      <c r="E11925" t="s">
        <v>23967</v>
      </c>
      <c r="G11925" s="1">
        <v>7.7</v>
      </c>
    </row>
    <row r="11926" spans="1:7" ht="14.25" customHeight="1" x14ac:dyDescent="0.45">
      <c r="A11926" t="str">
        <f>_xlfn.XLOOKUP(B11926,Ingot!$H$12:$H$119,Ingot!$G$12:$G$119,"")</f>
        <v>Osso</v>
      </c>
      <c r="B11926" t="s">
        <v>23919</v>
      </c>
      <c r="C11926" t="s">
        <v>10</v>
      </c>
      <c r="D11926" t="s">
        <v>23968</v>
      </c>
      <c r="E11926" t="s">
        <v>23969</v>
      </c>
      <c r="G11926" s="1">
        <v>10.02</v>
      </c>
    </row>
    <row r="11927" spans="1:7" ht="14.25" customHeight="1" x14ac:dyDescent="0.45">
      <c r="A11927" t="str">
        <f>_xlfn.XLOOKUP(B11927,Ingot!$H$12:$H$119,Ingot!$G$12:$G$119,"")</f>
        <v>Osso</v>
      </c>
      <c r="B11927" t="s">
        <v>23919</v>
      </c>
      <c r="C11927" t="s">
        <v>10</v>
      </c>
      <c r="D11927" t="s">
        <v>23970</v>
      </c>
      <c r="E11927" t="s">
        <v>23971</v>
      </c>
      <c r="G11927" s="1">
        <v>11.81</v>
      </c>
    </row>
    <row r="11928" spans="1:7" ht="14.25" customHeight="1" x14ac:dyDescent="0.45">
      <c r="A11928" t="str">
        <f>_xlfn.XLOOKUP(B11928,Ingot!$H$12:$H$119,Ingot!$G$12:$G$119,"")</f>
        <v>Osso</v>
      </c>
      <c r="B11928" t="s">
        <v>23919</v>
      </c>
      <c r="C11928" t="s">
        <v>10</v>
      </c>
      <c r="D11928" t="s">
        <v>23972</v>
      </c>
      <c r="E11928" t="s">
        <v>23973</v>
      </c>
      <c r="G11928" s="1">
        <v>8.44</v>
      </c>
    </row>
    <row r="11929" spans="1:7" ht="14.25" customHeight="1" x14ac:dyDescent="0.45">
      <c r="A11929" t="str">
        <f>_xlfn.XLOOKUP(B11929,Ingot!$H$12:$H$119,Ingot!$G$12:$G$119,"")</f>
        <v>Osso</v>
      </c>
      <c r="B11929" t="s">
        <v>23919</v>
      </c>
      <c r="C11929" t="s">
        <v>10</v>
      </c>
      <c r="D11929" t="s">
        <v>23974</v>
      </c>
      <c r="E11929" t="s">
        <v>23975</v>
      </c>
      <c r="G11929" s="1">
        <v>10.42</v>
      </c>
    </row>
    <row r="11930" spans="1:7" ht="14.25" customHeight="1" x14ac:dyDescent="0.45">
      <c r="A11930" t="str">
        <f>_xlfn.XLOOKUP(B11930,Ingot!$H$12:$H$119,Ingot!$G$12:$G$119,"")</f>
        <v>Osso</v>
      </c>
      <c r="B11930" t="s">
        <v>23919</v>
      </c>
      <c r="C11930" t="s">
        <v>10</v>
      </c>
      <c r="D11930" t="s">
        <v>23976</v>
      </c>
      <c r="E11930" t="s">
        <v>23977</v>
      </c>
    </row>
    <row r="11931" spans="1:7" ht="14.25" customHeight="1" x14ac:dyDescent="0.45">
      <c r="A11931" t="str">
        <f>_xlfn.XLOOKUP(B11931,Ingot!$H$12:$H$119,Ingot!$G$12:$G$119,"")</f>
        <v>Osso</v>
      </c>
      <c r="B11931" t="s">
        <v>23919</v>
      </c>
      <c r="C11931" t="s">
        <v>10</v>
      </c>
      <c r="D11931" t="s">
        <v>23978</v>
      </c>
      <c r="E11931" t="s">
        <v>23979</v>
      </c>
      <c r="G11931" s="1">
        <v>7.96</v>
      </c>
    </row>
    <row r="11932" spans="1:7" ht="14.25" customHeight="1" x14ac:dyDescent="0.45">
      <c r="A11932" t="str">
        <f>_xlfn.XLOOKUP(B11932,Ingot!$H$12:$H$119,Ingot!$G$12:$G$119,"")</f>
        <v>Osso</v>
      </c>
      <c r="B11932" t="s">
        <v>23919</v>
      </c>
      <c r="C11932" t="s">
        <v>10</v>
      </c>
      <c r="D11932" t="s">
        <v>23980</v>
      </c>
      <c r="E11932" t="s">
        <v>23981</v>
      </c>
      <c r="G11932" s="1">
        <v>9.64</v>
      </c>
    </row>
    <row r="11933" spans="1:7" ht="14.25" customHeight="1" x14ac:dyDescent="0.45">
      <c r="A11933" t="str">
        <f>_xlfn.XLOOKUP(B11933,Ingot!$H$12:$H$119,Ingot!$G$12:$G$119,"")</f>
        <v>Osso</v>
      </c>
      <c r="B11933" t="s">
        <v>23919</v>
      </c>
      <c r="C11933" t="s">
        <v>10</v>
      </c>
      <c r="D11933" t="s">
        <v>23982</v>
      </c>
      <c r="E11933" t="s">
        <v>23983</v>
      </c>
      <c r="G11933" s="1">
        <v>7.94</v>
      </c>
    </row>
    <row r="11934" spans="1:7" ht="14.25" customHeight="1" x14ac:dyDescent="0.45">
      <c r="A11934" t="str">
        <f>_xlfn.XLOOKUP(B11934,Ingot!$H$12:$H$119,Ingot!$G$12:$G$119,"")</f>
        <v>Osso</v>
      </c>
      <c r="B11934" t="s">
        <v>23919</v>
      </c>
      <c r="C11934" t="s">
        <v>10</v>
      </c>
      <c r="D11934" t="s">
        <v>23984</v>
      </c>
      <c r="E11934" t="s">
        <v>23985</v>
      </c>
      <c r="G11934" s="1">
        <v>8.66</v>
      </c>
    </row>
    <row r="11935" spans="1:7" ht="14.25" customHeight="1" x14ac:dyDescent="0.45">
      <c r="A11935" t="str">
        <f>_xlfn.XLOOKUP(B11935,Ingot!$H$12:$H$119,Ingot!$G$12:$G$119,"")</f>
        <v>Osso</v>
      </c>
      <c r="B11935" t="s">
        <v>23919</v>
      </c>
      <c r="C11935" t="s">
        <v>10</v>
      </c>
      <c r="D11935" t="s">
        <v>23986</v>
      </c>
      <c r="E11935" t="s">
        <v>23987</v>
      </c>
    </row>
    <row r="11936" spans="1:7" ht="14.25" customHeight="1" x14ac:dyDescent="0.45">
      <c r="A11936" t="str">
        <f>_xlfn.XLOOKUP(B11936,Ingot!$H$12:$H$119,Ingot!$G$12:$G$119,"")</f>
        <v>Osso</v>
      </c>
      <c r="B11936" t="s">
        <v>23919</v>
      </c>
      <c r="C11936" t="s">
        <v>10</v>
      </c>
      <c r="D11936" t="s">
        <v>23988</v>
      </c>
      <c r="E11936" t="s">
        <v>23989</v>
      </c>
      <c r="G11936" s="1">
        <v>2.65</v>
      </c>
    </row>
    <row r="11937" spans="1:7" ht="14.25" customHeight="1" x14ac:dyDescent="0.45">
      <c r="A11937" t="str">
        <f>_xlfn.XLOOKUP(B11937,Ingot!$H$12:$H$119,Ingot!$G$12:$G$119,"")</f>
        <v>Osso</v>
      </c>
      <c r="B11937" t="s">
        <v>23919</v>
      </c>
      <c r="C11937" t="s">
        <v>10</v>
      </c>
      <c r="D11937" t="s">
        <v>23990</v>
      </c>
      <c r="E11937" t="s">
        <v>23991</v>
      </c>
    </row>
    <row r="11938" spans="1:7" ht="14.25" customHeight="1" x14ac:dyDescent="0.45">
      <c r="A11938" t="str">
        <f>_xlfn.XLOOKUP(B11938,Ingot!$H$12:$H$119,Ingot!$G$12:$G$119,"")</f>
        <v>Osso</v>
      </c>
      <c r="B11938" t="s">
        <v>23919</v>
      </c>
      <c r="C11938" t="s">
        <v>10</v>
      </c>
      <c r="D11938" t="s">
        <v>23992</v>
      </c>
      <c r="E11938" t="s">
        <v>23993</v>
      </c>
      <c r="G11938" s="1">
        <v>12.64</v>
      </c>
    </row>
    <row r="11939" spans="1:7" ht="14.25" customHeight="1" x14ac:dyDescent="0.45">
      <c r="A11939" t="str">
        <f>_xlfn.XLOOKUP(B11939,Ingot!$H$12:$H$119,Ingot!$G$12:$G$119,"")</f>
        <v>Osso</v>
      </c>
      <c r="B11939" t="s">
        <v>23919</v>
      </c>
      <c r="C11939" t="s">
        <v>10</v>
      </c>
      <c r="D11939" t="s">
        <v>23994</v>
      </c>
      <c r="E11939" t="s">
        <v>23995</v>
      </c>
      <c r="G11939" s="1">
        <v>22.67</v>
      </c>
    </row>
    <row r="11940" spans="1:7" ht="14.25" customHeight="1" x14ac:dyDescent="0.45">
      <c r="A11940" t="str">
        <f>_xlfn.XLOOKUP(B11940,Ingot!$H$12:$H$119,Ingot!$G$12:$G$119,"")</f>
        <v>Osso</v>
      </c>
      <c r="B11940" t="s">
        <v>23919</v>
      </c>
      <c r="C11940" t="s">
        <v>10</v>
      </c>
      <c r="D11940" t="s">
        <v>23996</v>
      </c>
      <c r="E11940" t="s">
        <v>23997</v>
      </c>
      <c r="G11940" s="1">
        <v>8.3800000000000008</v>
      </c>
    </row>
    <row r="11941" spans="1:7" ht="14.25" customHeight="1" x14ac:dyDescent="0.45">
      <c r="A11941" t="str">
        <f>_xlfn.XLOOKUP(B11941,Ingot!$H$12:$H$119,Ingot!$G$12:$G$119,"")</f>
        <v>Osso</v>
      </c>
      <c r="B11941" t="s">
        <v>23919</v>
      </c>
      <c r="C11941" t="s">
        <v>10</v>
      </c>
      <c r="D11941" t="s">
        <v>23998</v>
      </c>
      <c r="E11941" t="s">
        <v>23999</v>
      </c>
      <c r="G11941" s="1">
        <v>2.2000000000000002</v>
      </c>
    </row>
    <row r="11942" spans="1:7" ht="14.25" customHeight="1" x14ac:dyDescent="0.45">
      <c r="A11942" t="str">
        <f>_xlfn.XLOOKUP(B11942,Ingot!$H$12:$H$119,Ingot!$G$12:$G$119,"")</f>
        <v>Osso</v>
      </c>
      <c r="B11942" t="s">
        <v>23919</v>
      </c>
      <c r="C11942" t="s">
        <v>10</v>
      </c>
      <c r="D11942" t="s">
        <v>24000</v>
      </c>
      <c r="E11942" t="s">
        <v>24001</v>
      </c>
      <c r="G11942" s="1">
        <v>3.09</v>
      </c>
    </row>
    <row r="11943" spans="1:7" ht="14.25" customHeight="1" x14ac:dyDescent="0.45">
      <c r="A11943" t="str">
        <f>_xlfn.XLOOKUP(B11943,Ingot!$H$12:$H$119,Ingot!$G$12:$G$119,"")</f>
        <v>Osso</v>
      </c>
      <c r="B11943" t="s">
        <v>23919</v>
      </c>
      <c r="C11943" t="s">
        <v>10</v>
      </c>
      <c r="D11943" t="s">
        <v>24002</v>
      </c>
      <c r="E11943" t="s">
        <v>24003</v>
      </c>
      <c r="G11943" s="1">
        <v>2.2999999999999998</v>
      </c>
    </row>
    <row r="11944" spans="1:7" ht="14.25" customHeight="1" x14ac:dyDescent="0.45">
      <c r="A11944" t="str">
        <f>_xlfn.XLOOKUP(B11944,Ingot!$H$12:$H$119,Ingot!$G$12:$G$119,"")</f>
        <v>Osso</v>
      </c>
      <c r="B11944" t="s">
        <v>23919</v>
      </c>
      <c r="C11944" t="s">
        <v>10</v>
      </c>
      <c r="D11944" t="s">
        <v>24004</v>
      </c>
      <c r="E11944" t="s">
        <v>24005</v>
      </c>
      <c r="G11944" s="1">
        <v>4.88</v>
      </c>
    </row>
    <row r="11945" spans="1:7" ht="14.25" customHeight="1" x14ac:dyDescent="0.45">
      <c r="A11945" t="str">
        <f>_xlfn.XLOOKUP(B11945,Ingot!$H$12:$H$119,Ingot!$G$12:$G$119,"")</f>
        <v>Osso</v>
      </c>
      <c r="B11945" t="s">
        <v>23919</v>
      </c>
      <c r="C11945" t="s">
        <v>10</v>
      </c>
      <c r="D11945" t="s">
        <v>24006</v>
      </c>
      <c r="E11945" t="s">
        <v>24007</v>
      </c>
      <c r="G11945" s="1">
        <v>8.43</v>
      </c>
    </row>
    <row r="11946" spans="1:7" ht="14.25" customHeight="1" x14ac:dyDescent="0.45">
      <c r="A11946" t="str">
        <f>_xlfn.XLOOKUP(B11946,Ingot!$H$12:$H$119,Ingot!$G$12:$G$119,"")</f>
        <v>Osso</v>
      </c>
      <c r="B11946" t="s">
        <v>23919</v>
      </c>
      <c r="C11946" t="s">
        <v>10</v>
      </c>
      <c r="D11946" t="s">
        <v>24008</v>
      </c>
      <c r="E11946" t="s">
        <v>24009</v>
      </c>
      <c r="G11946" s="1">
        <v>13.07</v>
      </c>
    </row>
    <row r="11947" spans="1:7" ht="14.25" customHeight="1" x14ac:dyDescent="0.45">
      <c r="A11947" t="str">
        <f>_xlfn.XLOOKUP(B11947,Ingot!$H$12:$H$119,Ingot!$G$12:$G$119,"")</f>
        <v>Osso</v>
      </c>
      <c r="B11947" t="s">
        <v>23919</v>
      </c>
      <c r="C11947" t="s">
        <v>10</v>
      </c>
      <c r="D11947" t="s">
        <v>24010</v>
      </c>
      <c r="E11947" t="s">
        <v>24011</v>
      </c>
    </row>
    <row r="11948" spans="1:7" ht="14.25" customHeight="1" x14ac:dyDescent="0.45">
      <c r="A11948" t="str">
        <f>_xlfn.XLOOKUP(B11948,Ingot!$H$12:$H$119,Ingot!$G$12:$G$119,"")</f>
        <v>Osso</v>
      </c>
      <c r="B11948" t="s">
        <v>23919</v>
      </c>
      <c r="C11948" t="s">
        <v>10</v>
      </c>
      <c r="D11948" t="s">
        <v>24012</v>
      </c>
      <c r="E11948" t="s">
        <v>24013</v>
      </c>
    </row>
    <row r="11949" spans="1:7" ht="14.25" customHeight="1" x14ac:dyDescent="0.45">
      <c r="A11949" t="str">
        <f>_xlfn.XLOOKUP(B11949,Ingot!$H$12:$H$119,Ingot!$G$12:$G$119,"")</f>
        <v>Osso</v>
      </c>
      <c r="B11949" t="s">
        <v>23919</v>
      </c>
      <c r="C11949" t="s">
        <v>10</v>
      </c>
      <c r="D11949" t="s">
        <v>24014</v>
      </c>
      <c r="E11949" t="s">
        <v>24015</v>
      </c>
      <c r="G11949" s="1">
        <v>6.8</v>
      </c>
    </row>
    <row r="11950" spans="1:7" ht="14.25" customHeight="1" x14ac:dyDescent="0.45">
      <c r="A11950" t="str">
        <f>_xlfn.XLOOKUP(B11950,Ingot!$H$12:$H$119,Ingot!$G$12:$G$119,"")</f>
        <v>Osso</v>
      </c>
      <c r="B11950" t="s">
        <v>23919</v>
      </c>
      <c r="C11950" t="s">
        <v>10</v>
      </c>
      <c r="D11950" t="s">
        <v>24016</v>
      </c>
      <c r="E11950" t="s">
        <v>24017</v>
      </c>
      <c r="G11950" s="1">
        <v>6.88</v>
      </c>
    </row>
    <row r="11951" spans="1:7" ht="14.25" customHeight="1" x14ac:dyDescent="0.45">
      <c r="A11951" t="str">
        <f>_xlfn.XLOOKUP(B11951,Ingot!$H$12:$H$119,Ingot!$G$12:$G$119,"")</f>
        <v>Osso</v>
      </c>
      <c r="B11951" t="s">
        <v>23919</v>
      </c>
      <c r="C11951" t="s">
        <v>10</v>
      </c>
      <c r="D11951" t="s">
        <v>24018</v>
      </c>
      <c r="E11951" t="s">
        <v>24019</v>
      </c>
      <c r="G11951" s="1">
        <v>5.5</v>
      </c>
    </row>
    <row r="11952" spans="1:7" ht="14.25" customHeight="1" x14ac:dyDescent="0.45">
      <c r="A11952" t="str">
        <f>_xlfn.XLOOKUP(B11952,Ingot!$H$12:$H$119,Ingot!$G$12:$G$119,"")</f>
        <v>Osso</v>
      </c>
      <c r="B11952" t="s">
        <v>23919</v>
      </c>
      <c r="C11952" t="s">
        <v>10</v>
      </c>
      <c r="D11952" t="s">
        <v>24020</v>
      </c>
      <c r="E11952" t="s">
        <v>24021</v>
      </c>
      <c r="G11952" s="1">
        <v>2.4300000000000002</v>
      </c>
    </row>
    <row r="11953" spans="1:7" ht="14.25" customHeight="1" x14ac:dyDescent="0.45">
      <c r="A11953" t="str">
        <f>_xlfn.XLOOKUP(B11953,Ingot!$H$12:$H$119,Ingot!$G$12:$G$119,"")</f>
        <v>Osso</v>
      </c>
      <c r="B11953" t="s">
        <v>23919</v>
      </c>
      <c r="C11953" t="s">
        <v>10</v>
      </c>
      <c r="D11953" t="s">
        <v>24022</v>
      </c>
      <c r="E11953" t="s">
        <v>24023</v>
      </c>
      <c r="G11953" s="1">
        <v>6.96</v>
      </c>
    </row>
    <row r="11954" spans="1:7" ht="14.25" customHeight="1" x14ac:dyDescent="0.45">
      <c r="A11954" t="str">
        <f>_xlfn.XLOOKUP(B11954,Ingot!$H$12:$H$119,Ingot!$G$12:$G$119,"")</f>
        <v>Osso</v>
      </c>
      <c r="B11954" t="s">
        <v>23919</v>
      </c>
      <c r="C11954" t="s">
        <v>10</v>
      </c>
      <c r="D11954" t="s">
        <v>24024</v>
      </c>
      <c r="E11954" t="s">
        <v>24025</v>
      </c>
      <c r="G11954" s="1">
        <v>6.32</v>
      </c>
    </row>
    <row r="11955" spans="1:7" ht="14.25" customHeight="1" x14ac:dyDescent="0.45">
      <c r="A11955" t="str">
        <f>_xlfn.XLOOKUP(B11955,Ingot!$H$12:$H$119,Ingot!$G$12:$G$119,"")</f>
        <v>Osso</v>
      </c>
      <c r="B11955" t="s">
        <v>23919</v>
      </c>
      <c r="C11955" t="s">
        <v>10</v>
      </c>
      <c r="D11955" t="s">
        <v>24026</v>
      </c>
      <c r="E11955" t="s">
        <v>24027</v>
      </c>
      <c r="G11955" s="1">
        <v>6.88</v>
      </c>
    </row>
    <row r="11956" spans="1:7" ht="14.25" customHeight="1" x14ac:dyDescent="0.45">
      <c r="A11956" t="str">
        <f>_xlfn.XLOOKUP(B11956,Ingot!$H$12:$H$119,Ingot!$G$12:$G$119,"")</f>
        <v>Osso</v>
      </c>
      <c r="B11956" t="s">
        <v>23919</v>
      </c>
      <c r="C11956" t="s">
        <v>10</v>
      </c>
      <c r="D11956" t="s">
        <v>24028</v>
      </c>
      <c r="E11956" t="s">
        <v>24029</v>
      </c>
      <c r="G11956" s="1">
        <v>2.44</v>
      </c>
    </row>
    <row r="11957" spans="1:7" ht="14.25" customHeight="1" x14ac:dyDescent="0.45">
      <c r="A11957" t="str">
        <f>_xlfn.XLOOKUP(B11957,Ingot!$H$12:$H$119,Ingot!$G$12:$G$119,"")</f>
        <v>Osso</v>
      </c>
      <c r="B11957" t="s">
        <v>23919</v>
      </c>
      <c r="C11957" t="s">
        <v>10</v>
      </c>
      <c r="D11957" t="s">
        <v>24030</v>
      </c>
      <c r="E11957" t="s">
        <v>24031</v>
      </c>
    </row>
    <row r="11958" spans="1:7" ht="14.25" customHeight="1" x14ac:dyDescent="0.45">
      <c r="A11958" t="str">
        <f>_xlfn.XLOOKUP(B11958,Ingot!$H$12:$H$119,Ingot!$G$12:$G$119,"")</f>
        <v>Osso</v>
      </c>
      <c r="B11958" t="s">
        <v>23919</v>
      </c>
      <c r="C11958" t="s">
        <v>10</v>
      </c>
      <c r="D11958" t="s">
        <v>24032</v>
      </c>
      <c r="E11958" t="s">
        <v>24033</v>
      </c>
    </row>
    <row r="11959" spans="1:7" ht="14.25" customHeight="1" x14ac:dyDescent="0.45">
      <c r="A11959" t="str">
        <f>_xlfn.XLOOKUP(B11959,Ingot!$H$12:$H$119,Ingot!$G$12:$G$119,"")</f>
        <v>Osso</v>
      </c>
      <c r="B11959" t="s">
        <v>23919</v>
      </c>
      <c r="C11959" t="s">
        <v>10</v>
      </c>
      <c r="D11959" t="s">
        <v>24034</v>
      </c>
      <c r="E11959" t="s">
        <v>24035</v>
      </c>
      <c r="G11959" s="1">
        <v>3.11</v>
      </c>
    </row>
    <row r="11960" spans="1:7" ht="14.25" customHeight="1" x14ac:dyDescent="0.45">
      <c r="A11960" t="str">
        <f>_xlfn.XLOOKUP(B11960,Ingot!$H$12:$H$119,Ingot!$G$12:$G$119,"")</f>
        <v>Osso</v>
      </c>
      <c r="B11960" t="s">
        <v>23919</v>
      </c>
      <c r="C11960" t="s">
        <v>10</v>
      </c>
      <c r="D11960" t="s">
        <v>24036</v>
      </c>
      <c r="E11960" t="s">
        <v>24037</v>
      </c>
      <c r="G11960" s="1">
        <v>2.44</v>
      </c>
    </row>
    <row r="11961" spans="1:7" ht="14.25" customHeight="1" x14ac:dyDescent="0.45">
      <c r="A11961" t="str">
        <f>_xlfn.XLOOKUP(B11961,Ingot!$H$12:$H$119,Ingot!$G$12:$G$119,"")</f>
        <v>Osso</v>
      </c>
      <c r="B11961" t="s">
        <v>23919</v>
      </c>
      <c r="C11961" t="s">
        <v>10</v>
      </c>
      <c r="D11961" t="s">
        <v>24038</v>
      </c>
      <c r="E11961" t="s">
        <v>24039</v>
      </c>
      <c r="G11961" s="1">
        <v>8.61</v>
      </c>
    </row>
    <row r="11962" spans="1:7" ht="14.25" customHeight="1" x14ac:dyDescent="0.45">
      <c r="A11962" t="str">
        <f>_xlfn.XLOOKUP(B11962,Ingot!$H$12:$H$119,Ingot!$G$12:$G$119,"")</f>
        <v>Osso</v>
      </c>
      <c r="B11962" t="s">
        <v>23919</v>
      </c>
      <c r="C11962" t="s">
        <v>10</v>
      </c>
      <c r="D11962" t="s">
        <v>24040</v>
      </c>
      <c r="E11962" t="s">
        <v>24041</v>
      </c>
    </row>
    <row r="11963" spans="1:7" ht="14.25" customHeight="1" x14ac:dyDescent="0.45">
      <c r="A11963" t="str">
        <f>_xlfn.XLOOKUP(B11963,Ingot!$H$12:$H$119,Ingot!$G$12:$G$119,"")</f>
        <v>Osso</v>
      </c>
      <c r="B11963" t="s">
        <v>23919</v>
      </c>
      <c r="C11963" t="s">
        <v>10</v>
      </c>
      <c r="D11963" t="s">
        <v>24042</v>
      </c>
      <c r="E11963" t="s">
        <v>24043</v>
      </c>
      <c r="G11963" s="1">
        <v>3.21</v>
      </c>
    </row>
    <row r="11964" spans="1:7" ht="14.25" customHeight="1" x14ac:dyDescent="0.45">
      <c r="A11964" t="str">
        <f>_xlfn.XLOOKUP(B11964,Ingot!$H$12:$H$119,Ingot!$G$12:$G$119,"")</f>
        <v>Osso</v>
      </c>
      <c r="B11964" t="s">
        <v>23919</v>
      </c>
      <c r="C11964" t="s">
        <v>10</v>
      </c>
      <c r="D11964" t="s">
        <v>24044</v>
      </c>
      <c r="E11964" t="s">
        <v>24045</v>
      </c>
      <c r="G11964" s="1">
        <v>2.77</v>
      </c>
    </row>
    <row r="11965" spans="1:7" ht="14.25" customHeight="1" x14ac:dyDescent="0.45">
      <c r="A11965" t="str">
        <f>_xlfn.XLOOKUP(B11965,Ingot!$H$12:$H$119,Ingot!$G$12:$G$119,"")</f>
        <v>Osso</v>
      </c>
      <c r="B11965" t="s">
        <v>23919</v>
      </c>
      <c r="C11965" t="s">
        <v>10</v>
      </c>
      <c r="D11965" t="s">
        <v>24046</v>
      </c>
      <c r="E11965" t="s">
        <v>24047</v>
      </c>
      <c r="G11965" s="1">
        <v>4.8899999999999997</v>
      </c>
    </row>
    <row r="11966" spans="1:7" ht="14.25" customHeight="1" x14ac:dyDescent="0.45">
      <c r="A11966" t="str">
        <f>_xlfn.XLOOKUP(B11966,Ingot!$H$12:$H$119,Ingot!$G$12:$G$119,"")</f>
        <v>Osso</v>
      </c>
      <c r="B11966" t="s">
        <v>23919</v>
      </c>
      <c r="C11966" t="s">
        <v>10</v>
      </c>
      <c r="D11966" t="s">
        <v>24048</v>
      </c>
      <c r="E11966" t="s">
        <v>24049</v>
      </c>
      <c r="G11966" s="1">
        <v>1.76</v>
      </c>
    </row>
    <row r="11967" spans="1:7" ht="14.25" customHeight="1" x14ac:dyDescent="0.45">
      <c r="A11967" t="str">
        <f>_xlfn.XLOOKUP(B11967,Ingot!$H$12:$H$119,Ingot!$G$12:$G$119,"")</f>
        <v>Osso</v>
      </c>
      <c r="B11967" t="s">
        <v>23919</v>
      </c>
      <c r="C11967" t="s">
        <v>10</v>
      </c>
      <c r="D11967" t="s">
        <v>24050</v>
      </c>
      <c r="E11967" t="s">
        <v>24051</v>
      </c>
    </row>
    <row r="11968" spans="1:7" ht="14.25" customHeight="1" x14ac:dyDescent="0.45">
      <c r="A11968" t="str">
        <f>_xlfn.XLOOKUP(B11968,Ingot!$H$12:$H$119,Ingot!$G$12:$G$119,"")</f>
        <v>Osso</v>
      </c>
      <c r="B11968" t="s">
        <v>23919</v>
      </c>
      <c r="C11968" t="s">
        <v>10</v>
      </c>
      <c r="D11968" t="s">
        <v>24052</v>
      </c>
      <c r="E11968" t="s">
        <v>24053</v>
      </c>
      <c r="G11968" s="1">
        <v>8.57</v>
      </c>
    </row>
    <row r="11969" spans="1:7" ht="14.25" customHeight="1" x14ac:dyDescent="0.45">
      <c r="A11969" t="str">
        <f>_xlfn.XLOOKUP(B11969,Ingot!$H$12:$H$119,Ingot!$G$12:$G$119,"")</f>
        <v>Osso</v>
      </c>
      <c r="B11969" t="s">
        <v>23919</v>
      </c>
      <c r="C11969" t="s">
        <v>10</v>
      </c>
      <c r="D11969" t="s">
        <v>24054</v>
      </c>
      <c r="E11969" t="s">
        <v>24055</v>
      </c>
    </row>
    <row r="11970" spans="1:7" ht="14.25" customHeight="1" x14ac:dyDescent="0.45">
      <c r="A11970" t="str">
        <f>_xlfn.XLOOKUP(B11970,Ingot!$H$12:$H$119,Ingot!$G$12:$G$119,"")</f>
        <v>Osso</v>
      </c>
      <c r="B11970" t="s">
        <v>23919</v>
      </c>
      <c r="C11970" t="s">
        <v>10</v>
      </c>
      <c r="D11970" t="s">
        <v>24056</v>
      </c>
      <c r="E11970" t="s">
        <v>24057</v>
      </c>
      <c r="G11970" s="1">
        <v>3.56</v>
      </c>
    </row>
    <row r="11971" spans="1:7" ht="14.25" customHeight="1" x14ac:dyDescent="0.45">
      <c r="A11971" t="str">
        <f>_xlfn.XLOOKUP(B11971,Ingot!$H$12:$H$119,Ingot!$G$12:$G$119,"")</f>
        <v>Osso</v>
      </c>
      <c r="B11971" t="s">
        <v>23919</v>
      </c>
      <c r="C11971" t="s">
        <v>10</v>
      </c>
      <c r="D11971" t="s">
        <v>24058</v>
      </c>
      <c r="E11971" t="s">
        <v>24059</v>
      </c>
      <c r="G11971" s="1">
        <v>8.91</v>
      </c>
    </row>
    <row r="11972" spans="1:7" ht="14.25" customHeight="1" x14ac:dyDescent="0.45">
      <c r="A11972" t="str">
        <f>_xlfn.XLOOKUP(B11972,Ingot!$H$12:$H$119,Ingot!$G$12:$G$119,"")</f>
        <v>Osso</v>
      </c>
      <c r="B11972" t="s">
        <v>23919</v>
      </c>
      <c r="C11972" t="s">
        <v>10</v>
      </c>
      <c r="D11972" t="s">
        <v>24060</v>
      </c>
      <c r="E11972" t="s">
        <v>24061</v>
      </c>
      <c r="G11972" s="1">
        <v>11.02</v>
      </c>
    </row>
    <row r="11973" spans="1:7" ht="14.25" customHeight="1" x14ac:dyDescent="0.45">
      <c r="A11973" t="str">
        <f>_xlfn.XLOOKUP(B11973,Ingot!$H$12:$H$119,Ingot!$G$12:$G$119,"")</f>
        <v>Osso</v>
      </c>
      <c r="B11973" t="s">
        <v>23919</v>
      </c>
      <c r="C11973" t="s">
        <v>10</v>
      </c>
      <c r="D11973" t="s">
        <v>24062</v>
      </c>
      <c r="E11973" t="s">
        <v>24063</v>
      </c>
      <c r="G11973" s="1">
        <v>5.12</v>
      </c>
    </row>
    <row r="11974" spans="1:7" ht="14.25" customHeight="1" x14ac:dyDescent="0.45">
      <c r="A11974" t="str">
        <f>_xlfn.XLOOKUP(B11974,Ingot!$H$12:$H$119,Ingot!$G$12:$G$119,"")</f>
        <v>Osso</v>
      </c>
      <c r="B11974" t="s">
        <v>23919</v>
      </c>
      <c r="C11974" t="s">
        <v>10</v>
      </c>
      <c r="D11974" t="s">
        <v>24064</v>
      </c>
      <c r="E11974" t="s">
        <v>24065</v>
      </c>
      <c r="G11974" s="1">
        <v>4.41</v>
      </c>
    </row>
    <row r="11975" spans="1:7" ht="14.25" customHeight="1" x14ac:dyDescent="0.45">
      <c r="A11975" t="str">
        <f>_xlfn.XLOOKUP(B11975,Ingot!$H$12:$H$119,Ingot!$G$12:$G$119,"")</f>
        <v>Osso</v>
      </c>
      <c r="B11975" t="s">
        <v>23919</v>
      </c>
      <c r="C11975" t="s">
        <v>157</v>
      </c>
      <c r="D11975" t="s">
        <v>24066</v>
      </c>
      <c r="E11975" t="s">
        <v>24067</v>
      </c>
      <c r="G11975" s="1">
        <v>20.3</v>
      </c>
    </row>
    <row r="11976" spans="1:7" ht="14.25" customHeight="1" x14ac:dyDescent="0.45">
      <c r="A11976" t="str">
        <f>_xlfn.XLOOKUP(B11976,Ingot!$H$12:$H$119,Ingot!$G$12:$G$119,"")</f>
        <v>Osso</v>
      </c>
      <c r="B11976" t="s">
        <v>23919</v>
      </c>
      <c r="C11976" t="s">
        <v>157</v>
      </c>
      <c r="D11976" t="s">
        <v>24068</v>
      </c>
      <c r="E11976" t="s">
        <v>24069</v>
      </c>
      <c r="G11976" s="1">
        <v>5</v>
      </c>
    </row>
    <row r="11977" spans="1:7" ht="14.25" customHeight="1" x14ac:dyDescent="0.45">
      <c r="A11977" t="str">
        <f>_xlfn.XLOOKUP(B11977,Ingot!$H$12:$H$119,Ingot!$G$12:$G$119,"")</f>
        <v>Osso</v>
      </c>
      <c r="B11977" t="s">
        <v>23919</v>
      </c>
      <c r="C11977" t="s">
        <v>157</v>
      </c>
      <c r="D11977" t="s">
        <v>24070</v>
      </c>
      <c r="E11977" t="s">
        <v>24071</v>
      </c>
      <c r="G11977" s="1">
        <v>5</v>
      </c>
    </row>
    <row r="11978" spans="1:7" ht="14.25" customHeight="1" x14ac:dyDescent="0.45">
      <c r="A11978" t="str">
        <f>_xlfn.XLOOKUP(B11978,Ingot!$H$12:$H$119,Ingot!$G$12:$G$119,"")</f>
        <v>Osso</v>
      </c>
      <c r="B11978" t="s">
        <v>23919</v>
      </c>
      <c r="C11978" t="s">
        <v>157</v>
      </c>
      <c r="D11978" t="s">
        <v>24072</v>
      </c>
      <c r="E11978" t="s">
        <v>24073</v>
      </c>
      <c r="G11978" s="1">
        <v>5</v>
      </c>
    </row>
    <row r="11979" spans="1:7" ht="14.25" customHeight="1" x14ac:dyDescent="0.45">
      <c r="A11979" t="str">
        <f>_xlfn.XLOOKUP(B11979,Ingot!$H$12:$H$119,Ingot!$G$12:$G$119,"")</f>
        <v>Osso</v>
      </c>
      <c r="B11979" t="s">
        <v>23919</v>
      </c>
      <c r="C11979" t="s">
        <v>157</v>
      </c>
      <c r="D11979" t="s">
        <v>24074</v>
      </c>
      <c r="E11979" t="s">
        <v>24075</v>
      </c>
      <c r="G11979" s="1">
        <v>10</v>
      </c>
    </row>
    <row r="11980" spans="1:7" ht="14.25" customHeight="1" x14ac:dyDescent="0.45">
      <c r="A11980" t="str">
        <f>_xlfn.XLOOKUP(B11980,Ingot!$H$12:$H$119,Ingot!$G$12:$G$119,"")</f>
        <v>Osso</v>
      </c>
      <c r="B11980" t="s">
        <v>23919</v>
      </c>
      <c r="C11980" t="s">
        <v>157</v>
      </c>
      <c r="D11980" t="s">
        <v>24076</v>
      </c>
      <c r="E11980" t="s">
        <v>24077</v>
      </c>
      <c r="G11980" s="1">
        <v>16.8</v>
      </c>
    </row>
    <row r="11981" spans="1:7" ht="14.25" customHeight="1" x14ac:dyDescent="0.45">
      <c r="A11981" t="str">
        <f>_xlfn.XLOOKUP(B11981,Ingot!$H$12:$H$119,Ingot!$G$12:$G$119,"")</f>
        <v>Osso</v>
      </c>
      <c r="B11981" t="s">
        <v>23919</v>
      </c>
      <c r="C11981" t="s">
        <v>157</v>
      </c>
      <c r="D11981" t="s">
        <v>24078</v>
      </c>
      <c r="E11981" t="s">
        <v>24079</v>
      </c>
      <c r="G11981" s="1">
        <v>5</v>
      </c>
    </row>
    <row r="11982" spans="1:7" ht="14.25" customHeight="1" x14ac:dyDescent="0.45">
      <c r="A11982" t="str">
        <f>_xlfn.XLOOKUP(B11982,Ingot!$H$12:$H$119,Ingot!$G$12:$G$119,"")</f>
        <v>Osso</v>
      </c>
      <c r="B11982" t="s">
        <v>23919</v>
      </c>
      <c r="C11982" t="s">
        <v>157</v>
      </c>
      <c r="D11982" t="s">
        <v>24080</v>
      </c>
      <c r="E11982" t="s">
        <v>24081</v>
      </c>
      <c r="G11982" s="1">
        <v>5</v>
      </c>
    </row>
    <row r="11983" spans="1:7" ht="14.25" customHeight="1" x14ac:dyDescent="0.45">
      <c r="A11983" t="str">
        <f>_xlfn.XLOOKUP(B11983,Ingot!$H$12:$H$119,Ingot!$G$12:$G$119,"")</f>
        <v>Osso</v>
      </c>
      <c r="B11983" t="s">
        <v>23919</v>
      </c>
      <c r="C11983" t="s">
        <v>157</v>
      </c>
      <c r="D11983" t="s">
        <v>24082</v>
      </c>
      <c r="E11983" t="s">
        <v>24083</v>
      </c>
      <c r="G11983" s="1">
        <v>5</v>
      </c>
    </row>
    <row r="11984" spans="1:7" ht="14.25" customHeight="1" x14ac:dyDescent="0.45">
      <c r="A11984" t="str">
        <f>_xlfn.XLOOKUP(B11984,Ingot!$H$12:$H$119,Ingot!$G$12:$G$119,"")</f>
        <v>Osso</v>
      </c>
      <c r="B11984" t="s">
        <v>23919</v>
      </c>
      <c r="C11984" t="s">
        <v>157</v>
      </c>
      <c r="D11984" t="s">
        <v>24084</v>
      </c>
      <c r="E11984" t="s">
        <v>24085</v>
      </c>
      <c r="G11984" s="1">
        <v>10</v>
      </c>
    </row>
    <row r="11985" spans="1:7" ht="14.25" customHeight="1" x14ac:dyDescent="0.45">
      <c r="A11985" t="str">
        <f>_xlfn.XLOOKUP(B11985,Ingot!$H$12:$H$119,Ingot!$G$12:$G$119,"")</f>
        <v>Osso</v>
      </c>
      <c r="B11985" t="s">
        <v>23919</v>
      </c>
      <c r="C11985" t="s">
        <v>157</v>
      </c>
      <c r="D11985" t="s">
        <v>24086</v>
      </c>
      <c r="E11985" t="s">
        <v>24087</v>
      </c>
      <c r="F11985" t="s">
        <v>180</v>
      </c>
      <c r="G11985" s="1">
        <v>16.3</v>
      </c>
    </row>
    <row r="11986" spans="1:7" ht="14.25" customHeight="1" x14ac:dyDescent="0.45">
      <c r="A11986" t="str">
        <f>_xlfn.XLOOKUP(B11986,Ingot!$H$12:$H$119,Ingot!$G$12:$G$119,"")</f>
        <v>Osso</v>
      </c>
      <c r="B11986" t="s">
        <v>23919</v>
      </c>
      <c r="C11986" t="s">
        <v>157</v>
      </c>
      <c r="D11986" t="s">
        <v>24088</v>
      </c>
      <c r="E11986" t="s">
        <v>24089</v>
      </c>
      <c r="F11986" t="s">
        <v>180</v>
      </c>
      <c r="G11986" s="1">
        <v>5</v>
      </c>
    </row>
    <row r="11987" spans="1:7" ht="14.25" customHeight="1" x14ac:dyDescent="0.45">
      <c r="A11987" t="str">
        <f>_xlfn.XLOOKUP(B11987,Ingot!$H$12:$H$119,Ingot!$G$12:$G$119,"")</f>
        <v>Osso</v>
      </c>
      <c r="B11987" t="s">
        <v>23919</v>
      </c>
      <c r="C11987" t="s">
        <v>157</v>
      </c>
      <c r="D11987" t="s">
        <v>24090</v>
      </c>
      <c r="E11987" t="s">
        <v>24091</v>
      </c>
      <c r="F11987" t="s">
        <v>180</v>
      </c>
      <c r="G11987" s="1">
        <v>5</v>
      </c>
    </row>
    <row r="11988" spans="1:7" ht="14.25" customHeight="1" x14ac:dyDescent="0.45">
      <c r="A11988" t="str">
        <f>_xlfn.XLOOKUP(B11988,Ingot!$H$12:$H$119,Ingot!$G$12:$G$119,"")</f>
        <v>Osso</v>
      </c>
      <c r="B11988" t="s">
        <v>23919</v>
      </c>
      <c r="C11988" t="s">
        <v>157</v>
      </c>
      <c r="D11988" t="s">
        <v>24092</v>
      </c>
      <c r="E11988" t="s">
        <v>24093</v>
      </c>
      <c r="F11988" t="s">
        <v>180</v>
      </c>
      <c r="G11988" s="1">
        <v>5</v>
      </c>
    </row>
    <row r="11989" spans="1:7" ht="14.25" customHeight="1" x14ac:dyDescent="0.45">
      <c r="A11989" t="str">
        <f>_xlfn.XLOOKUP(B11989,Ingot!$H$12:$H$119,Ingot!$G$12:$G$119,"")</f>
        <v>Osso</v>
      </c>
      <c r="B11989" t="s">
        <v>23919</v>
      </c>
      <c r="C11989" t="s">
        <v>157</v>
      </c>
      <c r="D11989" t="s">
        <v>24094</v>
      </c>
      <c r="E11989" t="s">
        <v>24095</v>
      </c>
      <c r="F11989" t="s">
        <v>180</v>
      </c>
      <c r="G11989" s="1">
        <v>10</v>
      </c>
    </row>
    <row r="11990" spans="1:7" ht="14.25" customHeight="1" x14ac:dyDescent="0.45">
      <c r="A11990" t="str">
        <f>_xlfn.XLOOKUP(B11990,Ingot!$H$12:$H$119,Ingot!$G$12:$G$119,"")</f>
        <v>Osso</v>
      </c>
      <c r="B11990" t="s">
        <v>23919</v>
      </c>
      <c r="C11990" t="s">
        <v>157</v>
      </c>
      <c r="D11990" t="s">
        <v>24096</v>
      </c>
      <c r="E11990" t="s">
        <v>24097</v>
      </c>
      <c r="G11990" s="1">
        <v>17.8</v>
      </c>
    </row>
    <row r="11991" spans="1:7" ht="14.25" customHeight="1" x14ac:dyDescent="0.45">
      <c r="A11991" t="str">
        <f>_xlfn.XLOOKUP(B11991,Ingot!$H$12:$H$119,Ingot!$G$12:$G$119,"")</f>
        <v>Osso</v>
      </c>
      <c r="B11991" t="s">
        <v>23919</v>
      </c>
      <c r="C11991" t="s">
        <v>157</v>
      </c>
      <c r="D11991" t="s">
        <v>24098</v>
      </c>
      <c r="E11991" t="s">
        <v>24099</v>
      </c>
      <c r="G11991" s="1">
        <v>5</v>
      </c>
    </row>
    <row r="11992" spans="1:7" ht="14.25" customHeight="1" x14ac:dyDescent="0.45">
      <c r="A11992" t="str">
        <f>_xlfn.XLOOKUP(B11992,Ingot!$H$12:$H$119,Ingot!$G$12:$G$119,"")</f>
        <v>Osso</v>
      </c>
      <c r="B11992" t="s">
        <v>23919</v>
      </c>
      <c r="C11992" t="s">
        <v>157</v>
      </c>
      <c r="D11992" t="s">
        <v>24100</v>
      </c>
      <c r="E11992" t="s">
        <v>24101</v>
      </c>
      <c r="G11992" s="1">
        <v>5</v>
      </c>
    </row>
    <row r="11993" spans="1:7" ht="14.25" customHeight="1" x14ac:dyDescent="0.45">
      <c r="A11993" t="str">
        <f>_xlfn.XLOOKUP(B11993,Ingot!$H$12:$H$119,Ingot!$G$12:$G$119,"")</f>
        <v>Osso</v>
      </c>
      <c r="B11993" t="s">
        <v>23919</v>
      </c>
      <c r="C11993" t="s">
        <v>157</v>
      </c>
      <c r="D11993" t="s">
        <v>24102</v>
      </c>
      <c r="E11993" t="s">
        <v>24103</v>
      </c>
      <c r="G11993" s="1">
        <v>5</v>
      </c>
    </row>
    <row r="11994" spans="1:7" ht="14.25" customHeight="1" x14ac:dyDescent="0.45">
      <c r="A11994" t="str">
        <f>_xlfn.XLOOKUP(B11994,Ingot!$H$12:$H$119,Ingot!$G$12:$G$119,"")</f>
        <v>Osso</v>
      </c>
      <c r="B11994" t="s">
        <v>23919</v>
      </c>
      <c r="C11994" t="s">
        <v>157</v>
      </c>
      <c r="D11994" t="s">
        <v>24104</v>
      </c>
      <c r="E11994" t="s">
        <v>24105</v>
      </c>
      <c r="G11994" s="1">
        <v>10</v>
      </c>
    </row>
    <row r="11995" spans="1:7" ht="14.25" customHeight="1" x14ac:dyDescent="0.45">
      <c r="A11995" t="str">
        <f>_xlfn.XLOOKUP(B11995,Ingot!$H$12:$H$119,Ingot!$G$12:$G$119,"")</f>
        <v>Osso</v>
      </c>
      <c r="B11995" t="s">
        <v>23919</v>
      </c>
      <c r="C11995" t="s">
        <v>157</v>
      </c>
      <c r="D11995" t="s">
        <v>24106</v>
      </c>
      <c r="E11995" t="s">
        <v>24107</v>
      </c>
      <c r="G11995" s="1">
        <v>18.8</v>
      </c>
    </row>
    <row r="11996" spans="1:7" ht="14.25" customHeight="1" x14ac:dyDescent="0.45">
      <c r="A11996" t="str">
        <f>_xlfn.XLOOKUP(B11996,Ingot!$H$12:$H$119,Ingot!$G$12:$G$119,"")</f>
        <v>Osso</v>
      </c>
      <c r="B11996" t="s">
        <v>23919</v>
      </c>
      <c r="C11996" t="s">
        <v>157</v>
      </c>
      <c r="D11996" t="s">
        <v>24108</v>
      </c>
      <c r="E11996" t="s">
        <v>24109</v>
      </c>
      <c r="F11996" t="s">
        <v>180</v>
      </c>
      <c r="G11996" s="1">
        <v>5</v>
      </c>
    </row>
    <row r="11997" spans="1:7" ht="14.25" customHeight="1" x14ac:dyDescent="0.45">
      <c r="A11997" t="str">
        <f>_xlfn.XLOOKUP(B11997,Ingot!$H$12:$H$119,Ingot!$G$12:$G$119,"")</f>
        <v>Osso</v>
      </c>
      <c r="B11997" t="s">
        <v>23919</v>
      </c>
      <c r="C11997" t="s">
        <v>157</v>
      </c>
      <c r="D11997" t="s">
        <v>24110</v>
      </c>
      <c r="E11997" t="s">
        <v>24111</v>
      </c>
      <c r="F11997" t="s">
        <v>180</v>
      </c>
      <c r="G11997" s="1">
        <v>5</v>
      </c>
    </row>
    <row r="11998" spans="1:7" ht="14.25" customHeight="1" x14ac:dyDescent="0.45">
      <c r="A11998" t="str">
        <f>_xlfn.XLOOKUP(B11998,Ingot!$H$12:$H$119,Ingot!$G$12:$G$119,"")</f>
        <v>Osso</v>
      </c>
      <c r="B11998" t="s">
        <v>23919</v>
      </c>
      <c r="C11998" t="s">
        <v>157</v>
      </c>
      <c r="D11998" t="s">
        <v>24112</v>
      </c>
      <c r="E11998" t="s">
        <v>24113</v>
      </c>
      <c r="F11998" t="s">
        <v>180</v>
      </c>
      <c r="G11998" s="1">
        <v>5</v>
      </c>
    </row>
    <row r="11999" spans="1:7" ht="14.25" customHeight="1" x14ac:dyDescent="0.45">
      <c r="A11999" t="str">
        <f>_xlfn.XLOOKUP(B11999,Ingot!$H$12:$H$119,Ingot!$G$12:$G$119,"")</f>
        <v>Osso</v>
      </c>
      <c r="B11999" t="s">
        <v>23919</v>
      </c>
      <c r="C11999" t="s">
        <v>157</v>
      </c>
      <c r="D11999" t="s">
        <v>24114</v>
      </c>
      <c r="E11999" t="s">
        <v>24115</v>
      </c>
      <c r="G11999" s="1">
        <v>10</v>
      </c>
    </row>
    <row r="12000" spans="1:7" ht="14.25" customHeight="1" x14ac:dyDescent="0.45">
      <c r="A12000" t="str">
        <f>_xlfn.XLOOKUP(B12000,Ingot!$H$12:$H$119,Ingot!$G$12:$G$119,"")</f>
        <v>Osso</v>
      </c>
      <c r="B12000" t="s">
        <v>23919</v>
      </c>
      <c r="C12000" t="s">
        <v>157</v>
      </c>
      <c r="D12000" t="s">
        <v>24116</v>
      </c>
      <c r="E12000" t="s">
        <v>24117</v>
      </c>
      <c r="G12000" s="1">
        <v>22.8</v>
      </c>
    </row>
    <row r="12001" spans="1:7" ht="14.25" customHeight="1" x14ac:dyDescent="0.45">
      <c r="A12001" t="str">
        <f>_xlfn.XLOOKUP(B12001,Ingot!$H$12:$H$119,Ingot!$G$12:$G$119,"")</f>
        <v>Osso</v>
      </c>
      <c r="B12001" t="s">
        <v>23919</v>
      </c>
      <c r="C12001" t="s">
        <v>157</v>
      </c>
      <c r="D12001" t="s">
        <v>24118</v>
      </c>
      <c r="E12001" t="s">
        <v>24119</v>
      </c>
      <c r="G12001" s="1">
        <v>5</v>
      </c>
    </row>
    <row r="12002" spans="1:7" ht="14.25" customHeight="1" x14ac:dyDescent="0.45">
      <c r="A12002" t="str">
        <f>_xlfn.XLOOKUP(B12002,Ingot!$H$12:$H$119,Ingot!$G$12:$G$119,"")</f>
        <v>Osso</v>
      </c>
      <c r="B12002" t="s">
        <v>23919</v>
      </c>
      <c r="C12002" t="s">
        <v>157</v>
      </c>
      <c r="D12002" t="s">
        <v>24120</v>
      </c>
      <c r="E12002" t="s">
        <v>24121</v>
      </c>
      <c r="G12002" s="1">
        <v>5</v>
      </c>
    </row>
    <row r="12003" spans="1:7" ht="14.25" customHeight="1" x14ac:dyDescent="0.45">
      <c r="A12003" t="str">
        <f>_xlfn.XLOOKUP(B12003,Ingot!$H$12:$H$119,Ingot!$G$12:$G$119,"")</f>
        <v>Osso</v>
      </c>
      <c r="B12003" t="s">
        <v>23919</v>
      </c>
      <c r="C12003" t="s">
        <v>157</v>
      </c>
      <c r="D12003" t="s">
        <v>24122</v>
      </c>
      <c r="E12003" t="s">
        <v>24123</v>
      </c>
      <c r="G12003" s="1">
        <v>5</v>
      </c>
    </row>
    <row r="12004" spans="1:7" ht="14.25" customHeight="1" x14ac:dyDescent="0.45">
      <c r="A12004" t="str">
        <f>_xlfn.XLOOKUP(B12004,Ingot!$H$12:$H$119,Ingot!$G$12:$G$119,"")</f>
        <v>Osso</v>
      </c>
      <c r="B12004" t="s">
        <v>23919</v>
      </c>
      <c r="C12004" t="s">
        <v>157</v>
      </c>
      <c r="D12004" t="s">
        <v>24124</v>
      </c>
      <c r="E12004" t="s">
        <v>24125</v>
      </c>
      <c r="G12004" s="1">
        <v>10</v>
      </c>
    </row>
    <row r="12005" spans="1:7" ht="14.25" customHeight="1" x14ac:dyDescent="0.45">
      <c r="A12005" t="str">
        <f>_xlfn.XLOOKUP(B12005,Ingot!$H$12:$H$119,Ingot!$G$12:$G$119,"")</f>
        <v>Osso</v>
      </c>
      <c r="B12005" t="s">
        <v>23919</v>
      </c>
      <c r="C12005" t="s">
        <v>157</v>
      </c>
      <c r="D12005" t="s">
        <v>24126</v>
      </c>
      <c r="E12005" t="s">
        <v>24127</v>
      </c>
      <c r="G12005" s="1">
        <v>21.8</v>
      </c>
    </row>
    <row r="12006" spans="1:7" ht="14.25" customHeight="1" x14ac:dyDescent="0.45">
      <c r="A12006" t="str">
        <f>_xlfn.XLOOKUP(B12006,Ingot!$H$12:$H$119,Ingot!$G$12:$G$119,"")</f>
        <v>Osso</v>
      </c>
      <c r="B12006" t="s">
        <v>23919</v>
      </c>
      <c r="C12006" t="s">
        <v>157</v>
      </c>
      <c r="D12006" t="s">
        <v>24128</v>
      </c>
      <c r="E12006" t="s">
        <v>24129</v>
      </c>
      <c r="G12006" s="1">
        <v>5</v>
      </c>
    </row>
    <row r="12007" spans="1:7" ht="14.25" customHeight="1" x14ac:dyDescent="0.45">
      <c r="A12007" t="str">
        <f>_xlfn.XLOOKUP(B12007,Ingot!$H$12:$H$119,Ingot!$G$12:$G$119,"")</f>
        <v>Osso</v>
      </c>
      <c r="B12007" t="s">
        <v>23919</v>
      </c>
      <c r="C12007" t="s">
        <v>157</v>
      </c>
      <c r="D12007" t="s">
        <v>24130</v>
      </c>
      <c r="E12007" t="s">
        <v>24131</v>
      </c>
      <c r="G12007" s="1">
        <v>5</v>
      </c>
    </row>
    <row r="12008" spans="1:7" ht="14.25" customHeight="1" x14ac:dyDescent="0.45">
      <c r="A12008" t="str">
        <f>_xlfn.XLOOKUP(B12008,Ingot!$H$12:$H$119,Ingot!$G$12:$G$119,"")</f>
        <v>Osso</v>
      </c>
      <c r="B12008" t="s">
        <v>23919</v>
      </c>
      <c r="C12008" t="s">
        <v>157</v>
      </c>
      <c r="D12008" t="s">
        <v>24132</v>
      </c>
      <c r="E12008" t="s">
        <v>24133</v>
      </c>
      <c r="G12008" s="1">
        <v>5</v>
      </c>
    </row>
    <row r="12009" spans="1:7" ht="14.25" customHeight="1" x14ac:dyDescent="0.45">
      <c r="A12009" t="str">
        <f>_xlfn.XLOOKUP(B12009,Ingot!$H$12:$H$119,Ingot!$G$12:$G$119,"")</f>
        <v>Osso</v>
      </c>
      <c r="B12009" t="s">
        <v>23919</v>
      </c>
      <c r="C12009" t="s">
        <v>157</v>
      </c>
      <c r="D12009" t="s">
        <v>24134</v>
      </c>
      <c r="E12009" t="s">
        <v>24135</v>
      </c>
      <c r="G12009" s="1">
        <v>10</v>
      </c>
    </row>
    <row r="12010" spans="1:7" ht="14.25" customHeight="1" x14ac:dyDescent="0.45">
      <c r="A12010" t="str">
        <f>_xlfn.XLOOKUP(B12010,Ingot!$H$12:$H$119,Ingot!$G$12:$G$119,"")</f>
        <v>Osso</v>
      </c>
      <c r="B12010" t="s">
        <v>23919</v>
      </c>
      <c r="C12010" t="s">
        <v>157</v>
      </c>
      <c r="D12010" t="s">
        <v>24136</v>
      </c>
      <c r="E12010" t="s">
        <v>24137</v>
      </c>
      <c r="F12010" t="s">
        <v>180</v>
      </c>
      <c r="G12010" s="1">
        <v>15.8</v>
      </c>
    </row>
    <row r="12011" spans="1:7" ht="14.25" customHeight="1" x14ac:dyDescent="0.45">
      <c r="A12011" t="str">
        <f>_xlfn.XLOOKUP(B12011,Ingot!$H$12:$H$119,Ingot!$G$12:$G$119,"")</f>
        <v>Osso</v>
      </c>
      <c r="B12011" t="s">
        <v>23919</v>
      </c>
      <c r="C12011" t="s">
        <v>157</v>
      </c>
      <c r="D12011" t="s">
        <v>24138</v>
      </c>
      <c r="E12011" t="s">
        <v>24139</v>
      </c>
      <c r="F12011" t="s">
        <v>180</v>
      </c>
      <c r="G12011" s="1">
        <v>5</v>
      </c>
    </row>
    <row r="12012" spans="1:7" ht="14.25" customHeight="1" x14ac:dyDescent="0.45">
      <c r="A12012" t="str">
        <f>_xlfn.XLOOKUP(B12012,Ingot!$H$12:$H$119,Ingot!$G$12:$G$119,"")</f>
        <v>Osso</v>
      </c>
      <c r="B12012" t="s">
        <v>23919</v>
      </c>
      <c r="C12012" t="s">
        <v>157</v>
      </c>
      <c r="D12012" t="s">
        <v>24140</v>
      </c>
      <c r="E12012" t="s">
        <v>24141</v>
      </c>
      <c r="F12012" t="s">
        <v>180</v>
      </c>
      <c r="G12012" s="1">
        <v>5</v>
      </c>
    </row>
    <row r="12013" spans="1:7" ht="14.25" customHeight="1" x14ac:dyDescent="0.45">
      <c r="A12013" t="str">
        <f>_xlfn.XLOOKUP(B12013,Ingot!$H$12:$H$119,Ingot!$G$12:$G$119,"")</f>
        <v>Osso</v>
      </c>
      <c r="B12013" t="s">
        <v>23919</v>
      </c>
      <c r="C12013" t="s">
        <v>157</v>
      </c>
      <c r="D12013" t="s">
        <v>24142</v>
      </c>
      <c r="E12013" t="s">
        <v>24143</v>
      </c>
      <c r="F12013" t="s">
        <v>180</v>
      </c>
      <c r="G12013" s="1">
        <v>5</v>
      </c>
    </row>
    <row r="12014" spans="1:7" ht="14.25" customHeight="1" x14ac:dyDescent="0.45">
      <c r="A12014" t="str">
        <f>_xlfn.XLOOKUP(B12014,Ingot!$H$12:$H$119,Ingot!$G$12:$G$119,"")</f>
        <v>Osso</v>
      </c>
      <c r="B12014" t="s">
        <v>23919</v>
      </c>
      <c r="C12014" t="s">
        <v>157</v>
      </c>
      <c r="D12014" t="s">
        <v>24144</v>
      </c>
      <c r="E12014" t="s">
        <v>24145</v>
      </c>
      <c r="F12014" t="s">
        <v>180</v>
      </c>
      <c r="G12014" s="1">
        <v>10</v>
      </c>
    </row>
    <row r="12015" spans="1:7" ht="14.25" customHeight="1" x14ac:dyDescent="0.45">
      <c r="A12015" t="str">
        <f>_xlfn.XLOOKUP(B12015,Ingot!$H$12:$H$119,Ingot!$G$12:$G$119,"")</f>
        <v>Osso</v>
      </c>
      <c r="B12015" t="s">
        <v>23919</v>
      </c>
      <c r="C12015" t="s">
        <v>239</v>
      </c>
      <c r="D12015" t="s">
        <v>24146</v>
      </c>
      <c r="E12015" t="s">
        <v>24147</v>
      </c>
      <c r="G12015" s="1">
        <f>(VLOOKUP(B12015,Ingot!H:I,2,FALSE()) * 0.75) * 0.75</f>
        <v>3.375</v>
      </c>
    </row>
    <row r="12016" spans="1:7" ht="14.25" customHeight="1" x14ac:dyDescent="0.45">
      <c r="A12016" t="str">
        <f>_xlfn.XLOOKUP(B12016,Ingot!$H$12:$H$119,Ingot!$G$12:$G$119,"")</f>
        <v>Osso</v>
      </c>
      <c r="B12016" t="s">
        <v>23919</v>
      </c>
      <c r="C12016" t="s">
        <v>239</v>
      </c>
      <c r="D12016" t="s">
        <v>24148</v>
      </c>
      <c r="E12016" t="s">
        <v>24149</v>
      </c>
      <c r="G12016" s="1">
        <f>((VLOOKUP(B12016,Ingot!H:I,2,FALSE()) * 3) - 10.25) * 0.421875</f>
        <v>3.26953125</v>
      </c>
    </row>
    <row r="12017" spans="1:7" ht="14.25" customHeight="1" x14ac:dyDescent="0.45">
      <c r="A12017" t="str">
        <f>_xlfn.XLOOKUP(B12017,Ingot!$H$12:$H$119,Ingot!$G$12:$G$119,"")</f>
        <v>Osso</v>
      </c>
      <c r="B12017" t="s">
        <v>23919</v>
      </c>
      <c r="C12017" t="s">
        <v>239</v>
      </c>
      <c r="D12017" t="s">
        <v>24150</v>
      </c>
      <c r="E12017" t="s">
        <v>24151</v>
      </c>
      <c r="G12017" s="1">
        <f>((VLOOKUP(B12017,Ingot!H:I,2,FALSE()) * 3) - 10.25) * 0.75</f>
        <v>5.8125</v>
      </c>
    </row>
    <row r="12018" spans="1:7" ht="14.25" customHeight="1" x14ac:dyDescent="0.45">
      <c r="A12018" t="str">
        <f>_xlfn.XLOOKUP(B12018,Ingot!$H$12:$H$119,Ingot!$G$12:$G$119,"")</f>
        <v>Osso</v>
      </c>
      <c r="B12018" t="s">
        <v>23919</v>
      </c>
      <c r="C12018" t="s">
        <v>239</v>
      </c>
      <c r="D12018" t="s">
        <v>24152</v>
      </c>
      <c r="E12018" t="s">
        <v>24153</v>
      </c>
      <c r="G12018" s="1">
        <f>((VLOOKUP(B12018,Ingot!H:I,2,FALSE()) * 3) - 10.25) * 0.5625</f>
        <v>4.359375</v>
      </c>
    </row>
    <row r="12019" spans="1:7" ht="14.25" customHeight="1" x14ac:dyDescent="0.45">
      <c r="A12019" t="str">
        <f>_xlfn.XLOOKUP(B12019,Ingot!$H$12:$H$119,Ingot!$G$12:$G$119,"")</f>
        <v>Osso</v>
      </c>
      <c r="B12019" t="s">
        <v>23919</v>
      </c>
      <c r="C12019" t="s">
        <v>239</v>
      </c>
      <c r="D12019" t="s">
        <v>24154</v>
      </c>
      <c r="E12019" t="s">
        <v>24155</v>
      </c>
      <c r="G12019" s="1">
        <f>VLOOKUP(B12019,Ingot!H:I,2,FALSE()) * 0.75</f>
        <v>4.5</v>
      </c>
    </row>
    <row r="12020" spans="1:7" ht="14.25" customHeight="1" x14ac:dyDescent="0.45">
      <c r="A12020" t="str">
        <f>_xlfn.XLOOKUP(B12020,Ingot!$H$12:$H$119,Ingot!$G$12:$G$119,"")</f>
        <v>Osso</v>
      </c>
      <c r="B12020" t="s">
        <v>23919</v>
      </c>
      <c r="C12020" t="s">
        <v>239</v>
      </c>
      <c r="D12020" t="s">
        <v>24156</v>
      </c>
      <c r="E12020" t="s">
        <v>24157</v>
      </c>
      <c r="G12020" s="1">
        <f>(VLOOKUP(B12020,Ingot!H:I,2,FALSE()) * 3) - 10.25</f>
        <v>7.75</v>
      </c>
    </row>
    <row r="12021" spans="1:7" ht="14.25" customHeight="1" x14ac:dyDescent="0.45">
      <c r="A12021" t="str">
        <f>_xlfn.XLOOKUP(B12021,Ingot!$H$12:$H$119,Ingot!$G$12:$G$119,"")</f>
        <v>Osso</v>
      </c>
      <c r="B12021" t="s">
        <v>24158</v>
      </c>
      <c r="C12021" t="s">
        <v>10</v>
      </c>
      <c r="D12021" t="s">
        <v>24159</v>
      </c>
      <c r="E12021" t="s">
        <v>24160</v>
      </c>
      <c r="G12021" s="1">
        <v>0.08</v>
      </c>
    </row>
    <row r="12022" spans="1:7" ht="14.25" customHeight="1" x14ac:dyDescent="0.45">
      <c r="A12022" t="str">
        <f>_xlfn.XLOOKUP(B12022,Ingot!$H$12:$H$119,Ingot!$G$12:$G$119,"")</f>
        <v>Osso</v>
      </c>
      <c r="B12022" t="s">
        <v>24158</v>
      </c>
      <c r="C12022" t="s">
        <v>10</v>
      </c>
      <c r="D12022" t="s">
        <v>24161</v>
      </c>
      <c r="E12022" t="s">
        <v>24162</v>
      </c>
      <c r="G12022" s="1">
        <v>9.9</v>
      </c>
    </row>
    <row r="12023" spans="1:7" ht="14.25" customHeight="1" x14ac:dyDescent="0.45">
      <c r="A12023" t="str">
        <f>_xlfn.XLOOKUP(B12023,Ingot!$H$12:$H$119,Ingot!$G$12:$G$119,"")</f>
        <v>Osso</v>
      </c>
      <c r="B12023" t="s">
        <v>24158</v>
      </c>
      <c r="C12023" t="s">
        <v>10</v>
      </c>
      <c r="D12023" t="s">
        <v>24163</v>
      </c>
      <c r="E12023" t="s">
        <v>24164</v>
      </c>
      <c r="G12023" s="1">
        <v>5.66</v>
      </c>
    </row>
    <row r="12024" spans="1:7" ht="14.25" customHeight="1" x14ac:dyDescent="0.45">
      <c r="A12024" t="str">
        <f>_xlfn.XLOOKUP(B12024,Ingot!$H$12:$H$119,Ingot!$G$12:$G$119,"")</f>
        <v>Osso</v>
      </c>
      <c r="B12024" t="s">
        <v>24158</v>
      </c>
      <c r="C12024" t="s">
        <v>10</v>
      </c>
      <c r="D12024" t="s">
        <v>24165</v>
      </c>
      <c r="E12024" t="s">
        <v>24166</v>
      </c>
      <c r="G12024" s="1">
        <v>3.3</v>
      </c>
    </row>
    <row r="12025" spans="1:7" ht="14.25" customHeight="1" x14ac:dyDescent="0.45">
      <c r="A12025" t="str">
        <f>_xlfn.XLOOKUP(B12025,Ingot!$H$12:$H$119,Ingot!$G$12:$G$119,"")</f>
        <v>Osso</v>
      </c>
      <c r="B12025" t="s">
        <v>24158</v>
      </c>
      <c r="C12025" t="s">
        <v>10</v>
      </c>
      <c r="D12025" t="s">
        <v>24167</v>
      </c>
      <c r="E12025" t="s">
        <v>24168</v>
      </c>
      <c r="G12025" s="1">
        <v>0.66</v>
      </c>
    </row>
    <row r="12026" spans="1:7" ht="14.25" customHeight="1" x14ac:dyDescent="0.45">
      <c r="A12026" t="str">
        <f>_xlfn.XLOOKUP(B12026,Ingot!$H$12:$H$119,Ingot!$G$12:$G$119,"")</f>
        <v>Osso</v>
      </c>
      <c r="B12026" t="s">
        <v>24158</v>
      </c>
      <c r="C12026" t="s">
        <v>10</v>
      </c>
      <c r="D12026" t="s">
        <v>24169</v>
      </c>
      <c r="E12026" t="s">
        <v>24170</v>
      </c>
      <c r="G12026" s="1">
        <v>0.04</v>
      </c>
    </row>
    <row r="12027" spans="1:7" ht="14.25" customHeight="1" x14ac:dyDescent="0.45">
      <c r="A12027" t="str">
        <f>_xlfn.XLOOKUP(B12027,Ingot!$H$12:$H$119,Ingot!$G$12:$G$119,"")</f>
        <v>Osso</v>
      </c>
      <c r="B12027" t="s">
        <v>24158</v>
      </c>
      <c r="C12027" t="s">
        <v>10</v>
      </c>
      <c r="D12027" t="s">
        <v>24171</v>
      </c>
      <c r="E12027" t="s">
        <v>24172</v>
      </c>
      <c r="G12027" s="1">
        <v>0.33</v>
      </c>
    </row>
    <row r="12028" spans="1:7" ht="14.25" customHeight="1" x14ac:dyDescent="0.45">
      <c r="A12028" t="str">
        <f>_xlfn.XLOOKUP(B12028,Ingot!$H$12:$H$119,Ingot!$G$12:$G$119,"")</f>
        <v>Osso</v>
      </c>
      <c r="B12028" t="s">
        <v>24158</v>
      </c>
      <c r="C12028" t="s">
        <v>10</v>
      </c>
      <c r="D12028" t="s">
        <v>24173</v>
      </c>
      <c r="E12028" t="s">
        <v>24174</v>
      </c>
    </row>
    <row r="12029" spans="1:7" ht="14.25" customHeight="1" x14ac:dyDescent="0.45">
      <c r="A12029" t="str">
        <f>_xlfn.XLOOKUP(B12029,Ingot!$H$12:$H$119,Ingot!$G$12:$G$119,"")</f>
        <v>Osso</v>
      </c>
      <c r="B12029" t="s">
        <v>24158</v>
      </c>
      <c r="C12029" t="s">
        <v>10</v>
      </c>
      <c r="D12029" t="s">
        <v>24175</v>
      </c>
      <c r="E12029" t="s">
        <v>24176</v>
      </c>
      <c r="G12029" s="1">
        <v>0.05</v>
      </c>
    </row>
    <row r="12030" spans="1:7" ht="14.25" customHeight="1" x14ac:dyDescent="0.45">
      <c r="A12030" t="str">
        <f>_xlfn.XLOOKUP(B12030,Ingot!$H$12:$H$119,Ingot!$G$12:$G$119,"")</f>
        <v>Osso</v>
      </c>
      <c r="B12030" t="s">
        <v>24158</v>
      </c>
      <c r="C12030" t="s">
        <v>10</v>
      </c>
      <c r="D12030" t="s">
        <v>24177</v>
      </c>
      <c r="E12030" t="s">
        <v>24178</v>
      </c>
      <c r="G12030" s="1">
        <v>0.66</v>
      </c>
    </row>
    <row r="12031" spans="1:7" ht="14.25" customHeight="1" x14ac:dyDescent="0.45">
      <c r="A12031" t="str">
        <f>_xlfn.XLOOKUP(B12031,Ingot!$H$12:$H$119,Ingot!$G$12:$G$119,"")</f>
        <v>Osso</v>
      </c>
      <c r="B12031" t="s">
        <v>24158</v>
      </c>
      <c r="C12031" t="s">
        <v>10</v>
      </c>
      <c r="D12031" t="s">
        <v>24179</v>
      </c>
      <c r="E12031" t="s">
        <v>24180</v>
      </c>
      <c r="G12031" s="1">
        <v>3.96</v>
      </c>
    </row>
    <row r="12032" spans="1:7" ht="14.25" customHeight="1" x14ac:dyDescent="0.45">
      <c r="A12032" t="str">
        <f>_xlfn.XLOOKUP(B12032,Ingot!$H$12:$H$119,Ingot!$G$12:$G$119,"")</f>
        <v>Osso</v>
      </c>
      <c r="B12032" t="s">
        <v>24158</v>
      </c>
      <c r="C12032" t="s">
        <v>10</v>
      </c>
      <c r="D12032" t="s">
        <v>24181</v>
      </c>
      <c r="E12032" t="s">
        <v>24182</v>
      </c>
      <c r="G12032" s="1">
        <v>8.77</v>
      </c>
    </row>
    <row r="12033" spans="1:7" ht="14.25" customHeight="1" x14ac:dyDescent="0.45">
      <c r="A12033" t="str">
        <f>_xlfn.XLOOKUP(B12033,Ingot!$H$12:$H$119,Ingot!$G$12:$G$119,"")</f>
        <v>Osso</v>
      </c>
      <c r="B12033" t="s">
        <v>24158</v>
      </c>
      <c r="C12033" t="s">
        <v>10</v>
      </c>
      <c r="D12033" t="s">
        <v>24183</v>
      </c>
      <c r="E12033" t="s">
        <v>24184</v>
      </c>
      <c r="G12033" s="1">
        <v>3.5</v>
      </c>
    </row>
    <row r="12034" spans="1:7" ht="14.25" customHeight="1" x14ac:dyDescent="0.45">
      <c r="A12034" t="str">
        <f>_xlfn.XLOOKUP(B12034,Ingot!$H$12:$H$119,Ingot!$G$12:$G$119,"")</f>
        <v>Osso</v>
      </c>
      <c r="B12034" t="s">
        <v>24158</v>
      </c>
      <c r="C12034" t="s">
        <v>10</v>
      </c>
      <c r="D12034" t="s">
        <v>24185</v>
      </c>
      <c r="E12034" t="s">
        <v>24186</v>
      </c>
    </row>
    <row r="12035" spans="1:7" ht="14.25" customHeight="1" x14ac:dyDescent="0.45">
      <c r="A12035" t="str">
        <f>_xlfn.XLOOKUP(B12035,Ingot!$H$12:$H$119,Ingot!$G$12:$G$119,"")</f>
        <v>Osso</v>
      </c>
      <c r="B12035" t="s">
        <v>24158</v>
      </c>
      <c r="C12035" t="s">
        <v>10</v>
      </c>
      <c r="D12035" t="s">
        <v>24187</v>
      </c>
      <c r="E12035" t="s">
        <v>24188</v>
      </c>
      <c r="G12035" s="1">
        <v>2.2000000000000002</v>
      </c>
    </row>
    <row r="12036" spans="1:7" ht="14.25" customHeight="1" x14ac:dyDescent="0.45">
      <c r="A12036" t="str">
        <f>_xlfn.XLOOKUP(B12036,Ingot!$H$12:$H$119,Ingot!$G$12:$G$119,"")</f>
        <v>Osso</v>
      </c>
      <c r="B12036" t="s">
        <v>24158</v>
      </c>
      <c r="C12036" t="s">
        <v>10</v>
      </c>
      <c r="D12036" t="s">
        <v>24189</v>
      </c>
      <c r="E12036" t="s">
        <v>24190</v>
      </c>
      <c r="G12036" s="1">
        <v>1.1000000000000001</v>
      </c>
    </row>
    <row r="12037" spans="1:7" ht="14.25" customHeight="1" x14ac:dyDescent="0.45">
      <c r="A12037" t="str">
        <f>_xlfn.XLOOKUP(B12037,Ingot!$H$12:$H$119,Ingot!$G$12:$G$119,"")</f>
        <v>Osso</v>
      </c>
      <c r="B12037" t="s">
        <v>24158</v>
      </c>
      <c r="C12037" t="s">
        <v>10</v>
      </c>
      <c r="D12037" t="s">
        <v>24191</v>
      </c>
      <c r="E12037" t="s">
        <v>24192</v>
      </c>
      <c r="G12037" s="1">
        <v>0.22</v>
      </c>
    </row>
    <row r="12038" spans="1:7" ht="14.25" customHeight="1" x14ac:dyDescent="0.45">
      <c r="A12038" t="str">
        <f>_xlfn.XLOOKUP(B12038,Ingot!$H$12:$H$119,Ingot!$G$12:$G$119,"")</f>
        <v>Osso</v>
      </c>
      <c r="B12038" t="s">
        <v>24158</v>
      </c>
      <c r="C12038" t="s">
        <v>10</v>
      </c>
      <c r="D12038" t="s">
        <v>24193</v>
      </c>
      <c r="E12038" t="s">
        <v>24194</v>
      </c>
      <c r="G12038" s="1">
        <v>8.41</v>
      </c>
    </row>
    <row r="12039" spans="1:7" ht="14.25" customHeight="1" x14ac:dyDescent="0.45">
      <c r="A12039" t="str">
        <f>_xlfn.XLOOKUP(B12039,Ingot!$H$12:$H$119,Ingot!$G$12:$G$119,"")</f>
        <v>Osso</v>
      </c>
      <c r="B12039" t="s">
        <v>24158</v>
      </c>
      <c r="C12039" t="s">
        <v>10</v>
      </c>
      <c r="D12039" t="s">
        <v>24195</v>
      </c>
      <c r="E12039" t="s">
        <v>24196</v>
      </c>
      <c r="G12039" s="1">
        <v>3.64</v>
      </c>
    </row>
    <row r="12040" spans="1:7" ht="14.25" customHeight="1" x14ac:dyDescent="0.45">
      <c r="A12040" t="str">
        <f>_xlfn.XLOOKUP(B12040,Ingot!$H$12:$H$119,Ingot!$G$12:$G$119,"")</f>
        <v>Osso</v>
      </c>
      <c r="B12040" t="s">
        <v>24158</v>
      </c>
      <c r="C12040" t="s">
        <v>10</v>
      </c>
      <c r="D12040" t="s">
        <v>24197</v>
      </c>
      <c r="E12040" t="s">
        <v>24198</v>
      </c>
      <c r="G12040" s="1">
        <v>7.05</v>
      </c>
    </row>
    <row r="12041" spans="1:7" ht="14.25" customHeight="1" x14ac:dyDescent="0.45">
      <c r="A12041" t="str">
        <f>_xlfn.XLOOKUP(B12041,Ingot!$H$12:$H$119,Ingot!$G$12:$G$119,"")</f>
        <v>Osso</v>
      </c>
      <c r="B12041" t="s">
        <v>24158</v>
      </c>
      <c r="C12041" t="s">
        <v>10</v>
      </c>
      <c r="D12041" t="s">
        <v>24199</v>
      </c>
      <c r="E12041" t="s">
        <v>24200</v>
      </c>
      <c r="G12041" s="1">
        <v>2.65</v>
      </c>
    </row>
    <row r="12042" spans="1:7" ht="14.25" customHeight="1" x14ac:dyDescent="0.45">
      <c r="A12042" t="str">
        <f>_xlfn.XLOOKUP(B12042,Ingot!$H$12:$H$119,Ingot!$G$12:$G$119,"")</f>
        <v>Osso</v>
      </c>
      <c r="B12042" t="s">
        <v>24158</v>
      </c>
      <c r="C12042" t="s">
        <v>10</v>
      </c>
      <c r="D12042" t="s">
        <v>24201</v>
      </c>
      <c r="E12042" t="s">
        <v>24202</v>
      </c>
      <c r="G12042" s="1">
        <v>9</v>
      </c>
    </row>
    <row r="12043" spans="1:7" ht="14.25" customHeight="1" x14ac:dyDescent="0.45">
      <c r="A12043" t="str">
        <f>_xlfn.XLOOKUP(B12043,Ingot!$H$12:$H$119,Ingot!$G$12:$G$119,"")</f>
        <v>Osso</v>
      </c>
      <c r="B12043" t="s">
        <v>24158</v>
      </c>
      <c r="C12043" t="s">
        <v>10</v>
      </c>
      <c r="D12043" t="s">
        <v>24203</v>
      </c>
      <c r="E12043" t="s">
        <v>24204</v>
      </c>
      <c r="G12043" s="1">
        <v>10.23</v>
      </c>
    </row>
    <row r="12044" spans="1:7" ht="14.25" customHeight="1" x14ac:dyDescent="0.45">
      <c r="A12044" t="str">
        <f>_xlfn.XLOOKUP(B12044,Ingot!$H$12:$H$119,Ingot!$G$12:$G$119,"")</f>
        <v>Osso</v>
      </c>
      <c r="B12044" t="s">
        <v>24158</v>
      </c>
      <c r="C12044" t="s">
        <v>10</v>
      </c>
      <c r="D12044" t="s">
        <v>24205</v>
      </c>
      <c r="E12044" t="s">
        <v>24206</v>
      </c>
      <c r="G12044" s="1">
        <v>7.7</v>
      </c>
    </row>
    <row r="12045" spans="1:7" ht="14.25" customHeight="1" x14ac:dyDescent="0.45">
      <c r="A12045" t="str">
        <f>_xlfn.XLOOKUP(B12045,Ingot!$H$12:$H$119,Ingot!$G$12:$G$119,"")</f>
        <v>Osso</v>
      </c>
      <c r="B12045" t="s">
        <v>24158</v>
      </c>
      <c r="C12045" t="s">
        <v>10</v>
      </c>
      <c r="D12045" t="s">
        <v>24207</v>
      </c>
      <c r="E12045" t="s">
        <v>24208</v>
      </c>
      <c r="G12045" s="1">
        <v>10.02</v>
      </c>
    </row>
    <row r="12046" spans="1:7" ht="14.25" customHeight="1" x14ac:dyDescent="0.45">
      <c r="A12046" t="str">
        <f>_xlfn.XLOOKUP(B12046,Ingot!$H$12:$H$119,Ingot!$G$12:$G$119,"")</f>
        <v>Osso</v>
      </c>
      <c r="B12046" t="s">
        <v>24158</v>
      </c>
      <c r="C12046" t="s">
        <v>10</v>
      </c>
      <c r="D12046" t="s">
        <v>24209</v>
      </c>
      <c r="E12046" t="s">
        <v>24210</v>
      </c>
      <c r="G12046" s="1">
        <v>11.81</v>
      </c>
    </row>
    <row r="12047" spans="1:7" ht="14.25" customHeight="1" x14ac:dyDescent="0.45">
      <c r="A12047" t="str">
        <f>_xlfn.XLOOKUP(B12047,Ingot!$H$12:$H$119,Ingot!$G$12:$G$119,"")</f>
        <v>Osso</v>
      </c>
      <c r="B12047" t="s">
        <v>24158</v>
      </c>
      <c r="C12047" t="s">
        <v>10</v>
      </c>
      <c r="D12047" t="s">
        <v>24211</v>
      </c>
      <c r="E12047" t="s">
        <v>24212</v>
      </c>
      <c r="G12047" s="1">
        <v>8.44</v>
      </c>
    </row>
    <row r="12048" spans="1:7" ht="14.25" customHeight="1" x14ac:dyDescent="0.45">
      <c r="A12048" t="str">
        <f>_xlfn.XLOOKUP(B12048,Ingot!$H$12:$H$119,Ingot!$G$12:$G$119,"")</f>
        <v>Osso</v>
      </c>
      <c r="B12048" t="s">
        <v>24158</v>
      </c>
      <c r="C12048" t="s">
        <v>10</v>
      </c>
      <c r="D12048" t="s">
        <v>24213</v>
      </c>
      <c r="E12048" t="s">
        <v>24214</v>
      </c>
      <c r="G12048" s="1">
        <v>10.42</v>
      </c>
    </row>
    <row r="12049" spans="1:7" ht="14.25" customHeight="1" x14ac:dyDescent="0.45">
      <c r="A12049" t="str">
        <f>_xlfn.XLOOKUP(B12049,Ingot!$H$12:$H$119,Ingot!$G$12:$G$119,"")</f>
        <v>Osso</v>
      </c>
      <c r="B12049" t="s">
        <v>24158</v>
      </c>
      <c r="C12049" t="s">
        <v>10</v>
      </c>
      <c r="D12049" t="s">
        <v>24215</v>
      </c>
      <c r="E12049" t="s">
        <v>24216</v>
      </c>
    </row>
    <row r="12050" spans="1:7" ht="14.25" customHeight="1" x14ac:dyDescent="0.45">
      <c r="A12050" t="str">
        <f>_xlfn.XLOOKUP(B12050,Ingot!$H$12:$H$119,Ingot!$G$12:$G$119,"")</f>
        <v>Osso</v>
      </c>
      <c r="B12050" t="s">
        <v>24158</v>
      </c>
      <c r="C12050" t="s">
        <v>10</v>
      </c>
      <c r="D12050" t="s">
        <v>24217</v>
      </c>
      <c r="E12050" t="s">
        <v>24218</v>
      </c>
      <c r="G12050" s="1">
        <v>7.96</v>
      </c>
    </row>
    <row r="12051" spans="1:7" ht="14.25" customHeight="1" x14ac:dyDescent="0.45">
      <c r="A12051" t="str">
        <f>_xlfn.XLOOKUP(B12051,Ingot!$H$12:$H$119,Ingot!$G$12:$G$119,"")</f>
        <v>Osso</v>
      </c>
      <c r="B12051" t="s">
        <v>24158</v>
      </c>
      <c r="C12051" t="s">
        <v>10</v>
      </c>
      <c r="D12051" t="s">
        <v>24219</v>
      </c>
      <c r="E12051" t="s">
        <v>24220</v>
      </c>
      <c r="G12051" s="1">
        <v>9.64</v>
      </c>
    </row>
    <row r="12052" spans="1:7" ht="14.25" customHeight="1" x14ac:dyDescent="0.45">
      <c r="A12052" t="str">
        <f>_xlfn.XLOOKUP(B12052,Ingot!$H$12:$H$119,Ingot!$G$12:$G$119,"")</f>
        <v>Osso</v>
      </c>
      <c r="B12052" t="s">
        <v>24158</v>
      </c>
      <c r="C12052" t="s">
        <v>10</v>
      </c>
      <c r="D12052" t="s">
        <v>24221</v>
      </c>
      <c r="E12052" t="s">
        <v>24222</v>
      </c>
      <c r="G12052" s="1">
        <v>7.94</v>
      </c>
    </row>
    <row r="12053" spans="1:7" ht="14.25" customHeight="1" x14ac:dyDescent="0.45">
      <c r="A12053" t="str">
        <f>_xlfn.XLOOKUP(B12053,Ingot!$H$12:$H$119,Ingot!$G$12:$G$119,"")</f>
        <v>Osso</v>
      </c>
      <c r="B12053" t="s">
        <v>24158</v>
      </c>
      <c r="C12053" t="s">
        <v>10</v>
      </c>
      <c r="D12053" t="s">
        <v>24223</v>
      </c>
      <c r="E12053" t="s">
        <v>24224</v>
      </c>
      <c r="G12053" s="1">
        <v>8.66</v>
      </c>
    </row>
    <row r="12054" spans="1:7" ht="14.25" customHeight="1" x14ac:dyDescent="0.45">
      <c r="A12054" t="str">
        <f>_xlfn.XLOOKUP(B12054,Ingot!$H$12:$H$119,Ingot!$G$12:$G$119,"")</f>
        <v>Osso</v>
      </c>
      <c r="B12054" t="s">
        <v>24158</v>
      </c>
      <c r="C12054" t="s">
        <v>10</v>
      </c>
      <c r="D12054" t="s">
        <v>24225</v>
      </c>
      <c r="E12054" t="s">
        <v>24226</v>
      </c>
    </row>
    <row r="12055" spans="1:7" ht="14.25" customHeight="1" x14ac:dyDescent="0.45">
      <c r="A12055" t="str">
        <f>_xlfn.XLOOKUP(B12055,Ingot!$H$12:$H$119,Ingot!$G$12:$G$119,"")</f>
        <v>Osso</v>
      </c>
      <c r="B12055" t="s">
        <v>24158</v>
      </c>
      <c r="C12055" t="s">
        <v>10</v>
      </c>
      <c r="D12055" t="s">
        <v>24227</v>
      </c>
      <c r="E12055" t="s">
        <v>24228</v>
      </c>
      <c r="G12055" s="1">
        <v>2.65</v>
      </c>
    </row>
    <row r="12056" spans="1:7" ht="14.25" customHeight="1" x14ac:dyDescent="0.45">
      <c r="A12056" t="str">
        <f>_xlfn.XLOOKUP(B12056,Ingot!$H$12:$H$119,Ingot!$G$12:$G$119,"")</f>
        <v>Osso</v>
      </c>
      <c r="B12056" t="s">
        <v>24158</v>
      </c>
      <c r="C12056" t="s">
        <v>10</v>
      </c>
      <c r="D12056" t="s">
        <v>24229</v>
      </c>
      <c r="E12056" t="s">
        <v>24230</v>
      </c>
    </row>
    <row r="12057" spans="1:7" ht="14.25" customHeight="1" x14ac:dyDescent="0.45">
      <c r="A12057" t="str">
        <f>_xlfn.XLOOKUP(B12057,Ingot!$H$12:$H$119,Ingot!$G$12:$G$119,"")</f>
        <v>Osso</v>
      </c>
      <c r="B12057" t="s">
        <v>24158</v>
      </c>
      <c r="C12057" t="s">
        <v>10</v>
      </c>
      <c r="D12057" t="s">
        <v>24231</v>
      </c>
      <c r="E12057" t="s">
        <v>24232</v>
      </c>
      <c r="G12057" s="1">
        <v>12.64</v>
      </c>
    </row>
    <row r="12058" spans="1:7" ht="14.25" customHeight="1" x14ac:dyDescent="0.45">
      <c r="A12058" t="str">
        <f>_xlfn.XLOOKUP(B12058,Ingot!$H$12:$H$119,Ingot!$G$12:$G$119,"")</f>
        <v>Osso</v>
      </c>
      <c r="B12058" t="s">
        <v>24158</v>
      </c>
      <c r="C12058" t="s">
        <v>10</v>
      </c>
      <c r="D12058" t="s">
        <v>24233</v>
      </c>
      <c r="E12058" t="s">
        <v>24234</v>
      </c>
      <c r="G12058" s="1">
        <v>22.67</v>
      </c>
    </row>
    <row r="12059" spans="1:7" ht="14.25" customHeight="1" x14ac:dyDescent="0.45">
      <c r="A12059" t="str">
        <f>_xlfn.XLOOKUP(B12059,Ingot!$H$12:$H$119,Ingot!$G$12:$G$119,"")</f>
        <v>Osso</v>
      </c>
      <c r="B12059" t="s">
        <v>24158</v>
      </c>
      <c r="C12059" t="s">
        <v>10</v>
      </c>
      <c r="D12059" t="s">
        <v>24235</v>
      </c>
      <c r="E12059" t="s">
        <v>24236</v>
      </c>
      <c r="G12059" s="1">
        <v>8.3800000000000008</v>
      </c>
    </row>
    <row r="12060" spans="1:7" ht="14.25" customHeight="1" x14ac:dyDescent="0.45">
      <c r="A12060" t="str">
        <f>_xlfn.XLOOKUP(B12060,Ingot!$H$12:$H$119,Ingot!$G$12:$G$119,"")</f>
        <v>Osso</v>
      </c>
      <c r="B12060" t="s">
        <v>24158</v>
      </c>
      <c r="C12060" t="s">
        <v>10</v>
      </c>
      <c r="D12060" t="s">
        <v>24237</v>
      </c>
      <c r="E12060" t="s">
        <v>24238</v>
      </c>
      <c r="G12060" s="1">
        <v>2.2000000000000002</v>
      </c>
    </row>
    <row r="12061" spans="1:7" ht="14.25" customHeight="1" x14ac:dyDescent="0.45">
      <c r="A12061" t="str">
        <f>_xlfn.XLOOKUP(B12061,Ingot!$H$12:$H$119,Ingot!$G$12:$G$119,"")</f>
        <v>Osso</v>
      </c>
      <c r="B12061" t="s">
        <v>24158</v>
      </c>
      <c r="C12061" t="s">
        <v>10</v>
      </c>
      <c r="D12061" t="s">
        <v>24239</v>
      </c>
      <c r="E12061" t="s">
        <v>24240</v>
      </c>
      <c r="G12061" s="1">
        <v>3.09</v>
      </c>
    </row>
    <row r="12062" spans="1:7" ht="14.25" customHeight="1" x14ac:dyDescent="0.45">
      <c r="A12062" t="str">
        <f>_xlfn.XLOOKUP(B12062,Ingot!$H$12:$H$119,Ingot!$G$12:$G$119,"")</f>
        <v>Osso</v>
      </c>
      <c r="B12062" t="s">
        <v>24158</v>
      </c>
      <c r="C12062" t="s">
        <v>10</v>
      </c>
      <c r="D12062" t="s">
        <v>24241</v>
      </c>
      <c r="E12062" t="s">
        <v>24242</v>
      </c>
      <c r="G12062" s="1">
        <v>2.2999999999999998</v>
      </c>
    </row>
    <row r="12063" spans="1:7" ht="14.25" customHeight="1" x14ac:dyDescent="0.45">
      <c r="A12063" t="str">
        <f>_xlfn.XLOOKUP(B12063,Ingot!$H$12:$H$119,Ingot!$G$12:$G$119,"")</f>
        <v>Osso</v>
      </c>
      <c r="B12063" t="s">
        <v>24158</v>
      </c>
      <c r="C12063" t="s">
        <v>10</v>
      </c>
      <c r="D12063" t="s">
        <v>24243</v>
      </c>
      <c r="E12063" t="s">
        <v>24244</v>
      </c>
      <c r="G12063" s="1">
        <v>4.88</v>
      </c>
    </row>
    <row r="12064" spans="1:7" ht="14.25" customHeight="1" x14ac:dyDescent="0.45">
      <c r="A12064" t="str">
        <f>_xlfn.XLOOKUP(B12064,Ingot!$H$12:$H$119,Ingot!$G$12:$G$119,"")</f>
        <v>Osso</v>
      </c>
      <c r="B12064" t="s">
        <v>24158</v>
      </c>
      <c r="C12064" t="s">
        <v>10</v>
      </c>
      <c r="D12064" t="s">
        <v>24245</v>
      </c>
      <c r="E12064" t="s">
        <v>24246</v>
      </c>
      <c r="G12064" s="1">
        <v>8.43</v>
      </c>
    </row>
    <row r="12065" spans="1:7" ht="14.25" customHeight="1" x14ac:dyDescent="0.45">
      <c r="A12065" t="str">
        <f>_xlfn.XLOOKUP(B12065,Ingot!$H$12:$H$119,Ingot!$G$12:$G$119,"")</f>
        <v>Osso</v>
      </c>
      <c r="B12065" t="s">
        <v>24158</v>
      </c>
      <c r="C12065" t="s">
        <v>10</v>
      </c>
      <c r="D12065" t="s">
        <v>24247</v>
      </c>
      <c r="E12065" t="s">
        <v>24248</v>
      </c>
      <c r="G12065" s="1">
        <v>13.07</v>
      </c>
    </row>
    <row r="12066" spans="1:7" ht="14.25" customHeight="1" x14ac:dyDescent="0.45">
      <c r="A12066" t="str">
        <f>_xlfn.XLOOKUP(B12066,Ingot!$H$12:$H$119,Ingot!$G$12:$G$119,"")</f>
        <v>Osso</v>
      </c>
      <c r="B12066" t="s">
        <v>24158</v>
      </c>
      <c r="C12066" t="s">
        <v>10</v>
      </c>
      <c r="D12066" t="s">
        <v>24249</v>
      </c>
      <c r="E12066" t="s">
        <v>24250</v>
      </c>
    </row>
    <row r="12067" spans="1:7" ht="14.25" customHeight="1" x14ac:dyDescent="0.45">
      <c r="A12067" t="str">
        <f>_xlfn.XLOOKUP(B12067,Ingot!$H$12:$H$119,Ingot!$G$12:$G$119,"")</f>
        <v>Osso</v>
      </c>
      <c r="B12067" t="s">
        <v>24158</v>
      </c>
      <c r="C12067" t="s">
        <v>10</v>
      </c>
      <c r="D12067" t="s">
        <v>24251</v>
      </c>
      <c r="E12067" t="s">
        <v>24252</v>
      </c>
    </row>
    <row r="12068" spans="1:7" ht="14.25" customHeight="1" x14ac:dyDescent="0.45">
      <c r="A12068" t="str">
        <f>_xlfn.XLOOKUP(B12068,Ingot!$H$12:$H$119,Ingot!$G$12:$G$119,"")</f>
        <v>Osso</v>
      </c>
      <c r="B12068" t="s">
        <v>24158</v>
      </c>
      <c r="C12068" t="s">
        <v>10</v>
      </c>
      <c r="D12068" t="s">
        <v>24253</v>
      </c>
      <c r="E12068" t="s">
        <v>24254</v>
      </c>
      <c r="G12068" s="1">
        <v>6.8</v>
      </c>
    </row>
    <row r="12069" spans="1:7" ht="14.25" customHeight="1" x14ac:dyDescent="0.45">
      <c r="A12069" t="str">
        <f>_xlfn.XLOOKUP(B12069,Ingot!$H$12:$H$119,Ingot!$G$12:$G$119,"")</f>
        <v>Osso</v>
      </c>
      <c r="B12069" t="s">
        <v>24158</v>
      </c>
      <c r="C12069" t="s">
        <v>10</v>
      </c>
      <c r="D12069" t="s">
        <v>24255</v>
      </c>
      <c r="E12069" t="s">
        <v>24256</v>
      </c>
      <c r="G12069" s="1">
        <v>6.88</v>
      </c>
    </row>
    <row r="12070" spans="1:7" ht="14.25" customHeight="1" x14ac:dyDescent="0.45">
      <c r="A12070" t="str">
        <f>_xlfn.XLOOKUP(B12070,Ingot!$H$12:$H$119,Ingot!$G$12:$G$119,"")</f>
        <v>Osso</v>
      </c>
      <c r="B12070" t="s">
        <v>24158</v>
      </c>
      <c r="C12070" t="s">
        <v>10</v>
      </c>
      <c r="D12070" t="s">
        <v>24257</v>
      </c>
      <c r="E12070" t="s">
        <v>24258</v>
      </c>
      <c r="G12070" s="1">
        <v>5.5</v>
      </c>
    </row>
    <row r="12071" spans="1:7" ht="14.25" customHeight="1" x14ac:dyDescent="0.45">
      <c r="A12071" t="str">
        <f>_xlfn.XLOOKUP(B12071,Ingot!$H$12:$H$119,Ingot!$G$12:$G$119,"")</f>
        <v>Osso</v>
      </c>
      <c r="B12071" t="s">
        <v>24158</v>
      </c>
      <c r="C12071" t="s">
        <v>10</v>
      </c>
      <c r="D12071" t="s">
        <v>24259</v>
      </c>
      <c r="E12071" t="s">
        <v>24260</v>
      </c>
      <c r="G12071" s="1">
        <v>2.4300000000000002</v>
      </c>
    </row>
    <row r="12072" spans="1:7" ht="14.25" customHeight="1" x14ac:dyDescent="0.45">
      <c r="A12072" t="str">
        <f>_xlfn.XLOOKUP(B12072,Ingot!$H$12:$H$119,Ingot!$G$12:$G$119,"")</f>
        <v>Osso</v>
      </c>
      <c r="B12072" t="s">
        <v>24158</v>
      </c>
      <c r="C12072" t="s">
        <v>10</v>
      </c>
      <c r="D12072" t="s">
        <v>24261</v>
      </c>
      <c r="E12072" t="s">
        <v>24262</v>
      </c>
      <c r="G12072" s="1">
        <v>6.96</v>
      </c>
    </row>
    <row r="12073" spans="1:7" ht="14.25" customHeight="1" x14ac:dyDescent="0.45">
      <c r="A12073" t="str">
        <f>_xlfn.XLOOKUP(B12073,Ingot!$H$12:$H$119,Ingot!$G$12:$G$119,"")</f>
        <v>Osso</v>
      </c>
      <c r="B12073" t="s">
        <v>24158</v>
      </c>
      <c r="C12073" t="s">
        <v>10</v>
      </c>
      <c r="D12073" t="s">
        <v>24263</v>
      </c>
      <c r="E12073" t="s">
        <v>24264</v>
      </c>
      <c r="G12073" s="1">
        <v>6.32</v>
      </c>
    </row>
    <row r="12074" spans="1:7" ht="14.25" customHeight="1" x14ac:dyDescent="0.45">
      <c r="A12074" t="str">
        <f>_xlfn.XLOOKUP(B12074,Ingot!$H$12:$H$119,Ingot!$G$12:$G$119,"")</f>
        <v>Osso</v>
      </c>
      <c r="B12074" t="s">
        <v>24158</v>
      </c>
      <c r="C12074" t="s">
        <v>10</v>
      </c>
      <c r="D12074" t="s">
        <v>24265</v>
      </c>
      <c r="E12074" t="s">
        <v>24266</v>
      </c>
      <c r="G12074" s="1">
        <v>6.88</v>
      </c>
    </row>
    <row r="12075" spans="1:7" ht="14.25" customHeight="1" x14ac:dyDescent="0.45">
      <c r="A12075" t="str">
        <f>_xlfn.XLOOKUP(B12075,Ingot!$H$12:$H$119,Ingot!$G$12:$G$119,"")</f>
        <v>Osso</v>
      </c>
      <c r="B12075" t="s">
        <v>24158</v>
      </c>
      <c r="C12075" t="s">
        <v>10</v>
      </c>
      <c r="D12075" t="s">
        <v>24267</v>
      </c>
      <c r="E12075" t="s">
        <v>24268</v>
      </c>
      <c r="G12075" s="1">
        <v>2.44</v>
      </c>
    </row>
    <row r="12076" spans="1:7" ht="14.25" customHeight="1" x14ac:dyDescent="0.45">
      <c r="A12076" t="str">
        <f>_xlfn.XLOOKUP(B12076,Ingot!$H$12:$H$119,Ingot!$G$12:$G$119,"")</f>
        <v>Osso</v>
      </c>
      <c r="B12076" t="s">
        <v>24158</v>
      </c>
      <c r="C12076" t="s">
        <v>10</v>
      </c>
      <c r="D12076" t="s">
        <v>24269</v>
      </c>
      <c r="E12076" t="s">
        <v>24270</v>
      </c>
    </row>
    <row r="12077" spans="1:7" ht="14.25" customHeight="1" x14ac:dyDescent="0.45">
      <c r="A12077" t="str">
        <f>_xlfn.XLOOKUP(B12077,Ingot!$H$12:$H$119,Ingot!$G$12:$G$119,"")</f>
        <v>Osso</v>
      </c>
      <c r="B12077" t="s">
        <v>24158</v>
      </c>
      <c r="C12077" t="s">
        <v>10</v>
      </c>
      <c r="D12077" t="s">
        <v>24271</v>
      </c>
      <c r="E12077" t="s">
        <v>24272</v>
      </c>
    </row>
    <row r="12078" spans="1:7" ht="14.25" customHeight="1" x14ac:dyDescent="0.45">
      <c r="A12078" t="str">
        <f>_xlfn.XLOOKUP(B12078,Ingot!$H$12:$H$119,Ingot!$G$12:$G$119,"")</f>
        <v>Osso</v>
      </c>
      <c r="B12078" t="s">
        <v>24158</v>
      </c>
      <c r="C12078" t="s">
        <v>10</v>
      </c>
      <c r="D12078" t="s">
        <v>24273</v>
      </c>
      <c r="E12078" t="s">
        <v>24274</v>
      </c>
      <c r="G12078" s="1">
        <v>3.11</v>
      </c>
    </row>
    <row r="12079" spans="1:7" ht="14.25" customHeight="1" x14ac:dyDescent="0.45">
      <c r="A12079" t="str">
        <f>_xlfn.XLOOKUP(B12079,Ingot!$H$12:$H$119,Ingot!$G$12:$G$119,"")</f>
        <v>Osso</v>
      </c>
      <c r="B12079" t="s">
        <v>24158</v>
      </c>
      <c r="C12079" t="s">
        <v>10</v>
      </c>
      <c r="D12079" t="s">
        <v>24275</v>
      </c>
      <c r="E12079" t="s">
        <v>24276</v>
      </c>
      <c r="G12079" s="1">
        <v>2.44</v>
      </c>
    </row>
    <row r="12080" spans="1:7" ht="14.25" customHeight="1" x14ac:dyDescent="0.45">
      <c r="A12080" t="str">
        <f>_xlfn.XLOOKUP(B12080,Ingot!$H$12:$H$119,Ingot!$G$12:$G$119,"")</f>
        <v>Osso</v>
      </c>
      <c r="B12080" t="s">
        <v>24158</v>
      </c>
      <c r="C12080" t="s">
        <v>10</v>
      </c>
      <c r="D12080" t="s">
        <v>24277</v>
      </c>
      <c r="E12080" t="s">
        <v>24278</v>
      </c>
      <c r="G12080" s="1">
        <v>8.61</v>
      </c>
    </row>
    <row r="12081" spans="1:7" ht="14.25" customHeight="1" x14ac:dyDescent="0.45">
      <c r="A12081" t="str">
        <f>_xlfn.XLOOKUP(B12081,Ingot!$H$12:$H$119,Ingot!$G$12:$G$119,"")</f>
        <v>Osso</v>
      </c>
      <c r="B12081" t="s">
        <v>24158</v>
      </c>
      <c r="C12081" t="s">
        <v>10</v>
      </c>
      <c r="D12081" t="s">
        <v>24279</v>
      </c>
      <c r="E12081" t="s">
        <v>24280</v>
      </c>
    </row>
    <row r="12082" spans="1:7" ht="14.25" customHeight="1" x14ac:dyDescent="0.45">
      <c r="A12082" t="str">
        <f>_xlfn.XLOOKUP(B12082,Ingot!$H$12:$H$119,Ingot!$G$12:$G$119,"")</f>
        <v>Osso</v>
      </c>
      <c r="B12082" t="s">
        <v>24158</v>
      </c>
      <c r="C12082" t="s">
        <v>10</v>
      </c>
      <c r="D12082" t="s">
        <v>24281</v>
      </c>
      <c r="E12082" t="s">
        <v>24282</v>
      </c>
      <c r="G12082" s="1">
        <v>3.21</v>
      </c>
    </row>
    <row r="12083" spans="1:7" ht="14.25" customHeight="1" x14ac:dyDescent="0.45">
      <c r="A12083" t="str">
        <f>_xlfn.XLOOKUP(B12083,Ingot!$H$12:$H$119,Ingot!$G$12:$G$119,"")</f>
        <v>Osso</v>
      </c>
      <c r="B12083" t="s">
        <v>24158</v>
      </c>
      <c r="C12083" t="s">
        <v>10</v>
      </c>
      <c r="D12083" t="s">
        <v>24283</v>
      </c>
      <c r="E12083" t="s">
        <v>24284</v>
      </c>
      <c r="G12083" s="1">
        <v>2.77</v>
      </c>
    </row>
    <row r="12084" spans="1:7" ht="14.25" customHeight="1" x14ac:dyDescent="0.45">
      <c r="A12084" t="str">
        <f>_xlfn.XLOOKUP(B12084,Ingot!$H$12:$H$119,Ingot!$G$12:$G$119,"")</f>
        <v>Osso</v>
      </c>
      <c r="B12084" t="s">
        <v>24158</v>
      </c>
      <c r="C12084" t="s">
        <v>10</v>
      </c>
      <c r="D12084" t="s">
        <v>24285</v>
      </c>
      <c r="E12084" t="s">
        <v>24286</v>
      </c>
      <c r="G12084" s="1">
        <v>4.8899999999999997</v>
      </c>
    </row>
    <row r="12085" spans="1:7" ht="14.25" customHeight="1" x14ac:dyDescent="0.45">
      <c r="A12085" t="str">
        <f>_xlfn.XLOOKUP(B12085,Ingot!$H$12:$H$119,Ingot!$G$12:$G$119,"")</f>
        <v>Osso</v>
      </c>
      <c r="B12085" t="s">
        <v>24158</v>
      </c>
      <c r="C12085" t="s">
        <v>10</v>
      </c>
      <c r="D12085" t="s">
        <v>24287</v>
      </c>
      <c r="E12085" t="s">
        <v>24288</v>
      </c>
      <c r="G12085" s="1">
        <v>1.76</v>
      </c>
    </row>
    <row r="12086" spans="1:7" ht="14.25" customHeight="1" x14ac:dyDescent="0.45">
      <c r="A12086" t="str">
        <f>_xlfn.XLOOKUP(B12086,Ingot!$H$12:$H$119,Ingot!$G$12:$G$119,"")</f>
        <v>Osso</v>
      </c>
      <c r="B12086" t="s">
        <v>24158</v>
      </c>
      <c r="C12086" t="s">
        <v>10</v>
      </c>
      <c r="D12086" t="s">
        <v>24289</v>
      </c>
      <c r="E12086" t="s">
        <v>24290</v>
      </c>
    </row>
    <row r="12087" spans="1:7" ht="14.25" customHeight="1" x14ac:dyDescent="0.45">
      <c r="A12087" t="str">
        <f>_xlfn.XLOOKUP(B12087,Ingot!$H$12:$H$119,Ingot!$G$12:$G$119,"")</f>
        <v>Osso</v>
      </c>
      <c r="B12087" t="s">
        <v>24158</v>
      </c>
      <c r="C12087" t="s">
        <v>10</v>
      </c>
      <c r="D12087" t="s">
        <v>24291</v>
      </c>
      <c r="E12087" t="s">
        <v>24292</v>
      </c>
      <c r="G12087" s="1">
        <v>8.57</v>
      </c>
    </row>
    <row r="12088" spans="1:7" ht="14.25" customHeight="1" x14ac:dyDescent="0.45">
      <c r="A12088" t="str">
        <f>_xlfn.XLOOKUP(B12088,Ingot!$H$12:$H$119,Ingot!$G$12:$G$119,"")</f>
        <v>Osso</v>
      </c>
      <c r="B12088" t="s">
        <v>24158</v>
      </c>
      <c r="C12088" t="s">
        <v>10</v>
      </c>
      <c r="D12088" t="s">
        <v>24293</v>
      </c>
      <c r="E12088" t="s">
        <v>24294</v>
      </c>
    </row>
    <row r="12089" spans="1:7" ht="14.25" customHeight="1" x14ac:dyDescent="0.45">
      <c r="A12089" t="str">
        <f>_xlfn.XLOOKUP(B12089,Ingot!$H$12:$H$119,Ingot!$G$12:$G$119,"")</f>
        <v>Osso</v>
      </c>
      <c r="B12089" t="s">
        <v>24158</v>
      </c>
      <c r="C12089" t="s">
        <v>10</v>
      </c>
      <c r="D12089" t="s">
        <v>24295</v>
      </c>
      <c r="E12089" t="s">
        <v>24296</v>
      </c>
      <c r="G12089" s="1">
        <v>3.56</v>
      </c>
    </row>
    <row r="12090" spans="1:7" ht="14.25" customHeight="1" x14ac:dyDescent="0.45">
      <c r="A12090" t="str">
        <f>_xlfn.XLOOKUP(B12090,Ingot!$H$12:$H$119,Ingot!$G$12:$G$119,"")</f>
        <v>Osso</v>
      </c>
      <c r="B12090" t="s">
        <v>24158</v>
      </c>
      <c r="C12090" t="s">
        <v>10</v>
      </c>
      <c r="D12090" t="s">
        <v>24297</v>
      </c>
      <c r="E12090" t="s">
        <v>24298</v>
      </c>
      <c r="G12090" s="1">
        <v>8.91</v>
      </c>
    </row>
    <row r="12091" spans="1:7" ht="14.25" customHeight="1" x14ac:dyDescent="0.45">
      <c r="A12091" t="str">
        <f>_xlfn.XLOOKUP(B12091,Ingot!$H$12:$H$119,Ingot!$G$12:$G$119,"")</f>
        <v>Osso</v>
      </c>
      <c r="B12091" t="s">
        <v>24158</v>
      </c>
      <c r="C12091" t="s">
        <v>10</v>
      </c>
      <c r="D12091" t="s">
        <v>24299</v>
      </c>
      <c r="E12091" t="s">
        <v>24300</v>
      </c>
      <c r="G12091" s="1">
        <v>11.02</v>
      </c>
    </row>
    <row r="12092" spans="1:7" ht="14.25" customHeight="1" x14ac:dyDescent="0.45">
      <c r="A12092" t="str">
        <f>_xlfn.XLOOKUP(B12092,Ingot!$H$12:$H$119,Ingot!$G$12:$G$119,"")</f>
        <v>Osso</v>
      </c>
      <c r="B12092" t="s">
        <v>24158</v>
      </c>
      <c r="C12092" t="s">
        <v>10</v>
      </c>
      <c r="D12092" t="s">
        <v>24301</v>
      </c>
      <c r="E12092" t="s">
        <v>24302</v>
      </c>
      <c r="G12092" s="1">
        <v>5.12</v>
      </c>
    </row>
    <row r="12093" spans="1:7" ht="14.25" customHeight="1" x14ac:dyDescent="0.45">
      <c r="A12093" t="str">
        <f>_xlfn.XLOOKUP(B12093,Ingot!$H$12:$H$119,Ingot!$G$12:$G$119,"")</f>
        <v>Osso</v>
      </c>
      <c r="B12093" t="s">
        <v>24158</v>
      </c>
      <c r="C12093" t="s">
        <v>10</v>
      </c>
      <c r="D12093" t="s">
        <v>24303</v>
      </c>
      <c r="E12093" t="s">
        <v>24304</v>
      </c>
      <c r="G12093" s="1">
        <v>4.41</v>
      </c>
    </row>
    <row r="12094" spans="1:7" ht="14.25" customHeight="1" x14ac:dyDescent="0.45">
      <c r="A12094" t="str">
        <f>_xlfn.XLOOKUP(B12094,Ingot!$H$12:$H$119,Ingot!$G$12:$G$119,"")</f>
        <v>Osso</v>
      </c>
      <c r="B12094" t="s">
        <v>24158</v>
      </c>
      <c r="C12094" t="s">
        <v>157</v>
      </c>
      <c r="D12094" t="s">
        <v>24305</v>
      </c>
      <c r="E12094" t="s">
        <v>24306</v>
      </c>
      <c r="G12094" s="1">
        <v>20.5</v>
      </c>
    </row>
    <row r="12095" spans="1:7" ht="14.25" customHeight="1" x14ac:dyDescent="0.45">
      <c r="A12095" t="str">
        <f>_xlfn.XLOOKUP(B12095,Ingot!$H$12:$H$119,Ingot!$G$12:$G$119,"")</f>
        <v>Osso</v>
      </c>
      <c r="B12095" t="s">
        <v>24158</v>
      </c>
      <c r="C12095" t="s">
        <v>157</v>
      </c>
      <c r="D12095" t="s">
        <v>24307</v>
      </c>
      <c r="E12095" t="s">
        <v>24308</v>
      </c>
      <c r="G12095" s="1">
        <v>5</v>
      </c>
    </row>
    <row r="12096" spans="1:7" ht="14.25" customHeight="1" x14ac:dyDescent="0.45">
      <c r="A12096" t="str">
        <f>_xlfn.XLOOKUP(B12096,Ingot!$H$12:$H$119,Ingot!$G$12:$G$119,"")</f>
        <v>Osso</v>
      </c>
      <c r="B12096" t="s">
        <v>24158</v>
      </c>
      <c r="C12096" t="s">
        <v>157</v>
      </c>
      <c r="D12096" t="s">
        <v>24309</v>
      </c>
      <c r="E12096" t="s">
        <v>24310</v>
      </c>
      <c r="G12096" s="1">
        <v>5</v>
      </c>
    </row>
    <row r="12097" spans="1:7" ht="14.25" customHeight="1" x14ac:dyDescent="0.45">
      <c r="A12097" t="str">
        <f>_xlfn.XLOOKUP(B12097,Ingot!$H$12:$H$119,Ingot!$G$12:$G$119,"")</f>
        <v>Osso</v>
      </c>
      <c r="B12097" t="s">
        <v>24158</v>
      </c>
      <c r="C12097" t="s">
        <v>157</v>
      </c>
      <c r="D12097" t="s">
        <v>24311</v>
      </c>
      <c r="E12097" t="s">
        <v>24312</v>
      </c>
      <c r="G12097" s="1">
        <v>5</v>
      </c>
    </row>
    <row r="12098" spans="1:7" ht="14.25" customHeight="1" x14ac:dyDescent="0.45">
      <c r="A12098" t="str">
        <f>_xlfn.XLOOKUP(B12098,Ingot!$H$12:$H$119,Ingot!$G$12:$G$119,"")</f>
        <v>Osso</v>
      </c>
      <c r="B12098" t="s">
        <v>24158</v>
      </c>
      <c r="C12098" t="s">
        <v>157</v>
      </c>
      <c r="D12098" t="s">
        <v>24313</v>
      </c>
      <c r="E12098" t="s">
        <v>24314</v>
      </c>
      <c r="G12098" s="1">
        <v>10</v>
      </c>
    </row>
    <row r="12099" spans="1:7" ht="14.25" customHeight="1" x14ac:dyDescent="0.45">
      <c r="A12099" t="str">
        <f>_xlfn.XLOOKUP(B12099,Ingot!$H$12:$H$119,Ingot!$G$12:$G$119,"")</f>
        <v>Osso</v>
      </c>
      <c r="B12099" t="s">
        <v>24158</v>
      </c>
      <c r="C12099" t="s">
        <v>157</v>
      </c>
      <c r="D12099" t="s">
        <v>24315</v>
      </c>
      <c r="E12099" t="s">
        <v>24316</v>
      </c>
      <c r="G12099" s="1">
        <v>17</v>
      </c>
    </row>
    <row r="12100" spans="1:7" ht="14.25" customHeight="1" x14ac:dyDescent="0.45">
      <c r="A12100" t="str">
        <f>_xlfn.XLOOKUP(B12100,Ingot!$H$12:$H$119,Ingot!$G$12:$G$119,"")</f>
        <v>Osso</v>
      </c>
      <c r="B12100" t="s">
        <v>24158</v>
      </c>
      <c r="C12100" t="s">
        <v>157</v>
      </c>
      <c r="D12100" t="s">
        <v>24317</v>
      </c>
      <c r="E12100" t="s">
        <v>24318</v>
      </c>
      <c r="G12100" s="1">
        <v>5</v>
      </c>
    </row>
    <row r="12101" spans="1:7" ht="14.25" customHeight="1" x14ac:dyDescent="0.45">
      <c r="A12101" t="str">
        <f>_xlfn.XLOOKUP(B12101,Ingot!$H$12:$H$119,Ingot!$G$12:$G$119,"")</f>
        <v>Osso</v>
      </c>
      <c r="B12101" t="s">
        <v>24158</v>
      </c>
      <c r="C12101" t="s">
        <v>157</v>
      </c>
      <c r="D12101" t="s">
        <v>24319</v>
      </c>
      <c r="E12101" t="s">
        <v>24320</v>
      </c>
      <c r="G12101" s="1">
        <v>5</v>
      </c>
    </row>
    <row r="12102" spans="1:7" ht="14.25" customHeight="1" x14ac:dyDescent="0.45">
      <c r="A12102" t="str">
        <f>_xlfn.XLOOKUP(B12102,Ingot!$H$12:$H$119,Ingot!$G$12:$G$119,"")</f>
        <v>Osso</v>
      </c>
      <c r="B12102" t="s">
        <v>24158</v>
      </c>
      <c r="C12102" t="s">
        <v>157</v>
      </c>
      <c r="D12102" t="s">
        <v>24321</v>
      </c>
      <c r="E12102" t="s">
        <v>24322</v>
      </c>
      <c r="G12102" s="1">
        <v>5</v>
      </c>
    </row>
    <row r="12103" spans="1:7" ht="14.25" customHeight="1" x14ac:dyDescent="0.45">
      <c r="A12103" t="str">
        <f>_xlfn.XLOOKUP(B12103,Ingot!$H$12:$H$119,Ingot!$G$12:$G$119,"")</f>
        <v>Osso</v>
      </c>
      <c r="B12103" t="s">
        <v>24158</v>
      </c>
      <c r="C12103" t="s">
        <v>157</v>
      </c>
      <c r="D12103" t="s">
        <v>24323</v>
      </c>
      <c r="E12103" t="s">
        <v>24324</v>
      </c>
      <c r="G12103" s="1">
        <v>10</v>
      </c>
    </row>
    <row r="12104" spans="1:7" ht="14.25" customHeight="1" x14ac:dyDescent="0.45">
      <c r="A12104" t="str">
        <f>_xlfn.XLOOKUP(B12104,Ingot!$H$12:$H$119,Ingot!$G$12:$G$119,"")</f>
        <v>Osso</v>
      </c>
      <c r="B12104" t="s">
        <v>24158</v>
      </c>
      <c r="C12104" t="s">
        <v>157</v>
      </c>
      <c r="D12104" t="s">
        <v>24325</v>
      </c>
      <c r="E12104" t="s">
        <v>24326</v>
      </c>
      <c r="G12104" s="1">
        <v>16.5</v>
      </c>
    </row>
    <row r="12105" spans="1:7" ht="14.25" customHeight="1" x14ac:dyDescent="0.45">
      <c r="A12105" t="str">
        <f>_xlfn.XLOOKUP(B12105,Ingot!$H$12:$H$119,Ingot!$G$12:$G$119,"")</f>
        <v>Osso</v>
      </c>
      <c r="B12105" t="s">
        <v>24158</v>
      </c>
      <c r="C12105" t="s">
        <v>157</v>
      </c>
      <c r="D12105" t="s">
        <v>24327</v>
      </c>
      <c r="E12105" t="s">
        <v>24328</v>
      </c>
      <c r="G12105" s="1">
        <v>5</v>
      </c>
    </row>
    <row r="12106" spans="1:7" ht="14.25" customHeight="1" x14ac:dyDescent="0.45">
      <c r="A12106" t="str">
        <f>_xlfn.XLOOKUP(B12106,Ingot!$H$12:$H$119,Ingot!$G$12:$G$119,"")</f>
        <v>Osso</v>
      </c>
      <c r="B12106" t="s">
        <v>24158</v>
      </c>
      <c r="C12106" t="s">
        <v>157</v>
      </c>
      <c r="D12106" t="s">
        <v>24329</v>
      </c>
      <c r="E12106" t="s">
        <v>24330</v>
      </c>
      <c r="G12106" s="1">
        <v>5</v>
      </c>
    </row>
    <row r="12107" spans="1:7" ht="14.25" customHeight="1" x14ac:dyDescent="0.45">
      <c r="A12107" t="str">
        <f>_xlfn.XLOOKUP(B12107,Ingot!$H$12:$H$119,Ingot!$G$12:$G$119,"")</f>
        <v>Osso</v>
      </c>
      <c r="B12107" t="s">
        <v>24158</v>
      </c>
      <c r="C12107" t="s">
        <v>157</v>
      </c>
      <c r="D12107" t="s">
        <v>24331</v>
      </c>
      <c r="E12107" t="s">
        <v>24332</v>
      </c>
      <c r="G12107" s="1">
        <v>5</v>
      </c>
    </row>
    <row r="12108" spans="1:7" ht="14.25" customHeight="1" x14ac:dyDescent="0.45">
      <c r="A12108" t="str">
        <f>_xlfn.XLOOKUP(B12108,Ingot!$H$12:$H$119,Ingot!$G$12:$G$119,"")</f>
        <v>Osso</v>
      </c>
      <c r="B12108" t="s">
        <v>24158</v>
      </c>
      <c r="C12108" t="s">
        <v>157</v>
      </c>
      <c r="D12108" t="s">
        <v>24333</v>
      </c>
      <c r="E12108" t="s">
        <v>24334</v>
      </c>
      <c r="G12108" s="1">
        <v>10</v>
      </c>
    </row>
    <row r="12109" spans="1:7" ht="14.25" customHeight="1" x14ac:dyDescent="0.45">
      <c r="A12109" t="str">
        <f>_xlfn.XLOOKUP(B12109,Ingot!$H$12:$H$119,Ingot!$G$12:$G$119,"")</f>
        <v>Osso</v>
      </c>
      <c r="B12109" t="s">
        <v>24158</v>
      </c>
      <c r="C12109" t="s">
        <v>157</v>
      </c>
      <c r="D12109" t="s">
        <v>24335</v>
      </c>
      <c r="E12109" t="s">
        <v>24336</v>
      </c>
      <c r="G12109" s="1">
        <v>18</v>
      </c>
    </row>
    <row r="12110" spans="1:7" ht="14.25" customHeight="1" x14ac:dyDescent="0.45">
      <c r="A12110" t="str">
        <f>_xlfn.XLOOKUP(B12110,Ingot!$H$12:$H$119,Ingot!$G$12:$G$119,"")</f>
        <v>Osso</v>
      </c>
      <c r="B12110" t="s">
        <v>24158</v>
      </c>
      <c r="C12110" t="s">
        <v>157</v>
      </c>
      <c r="D12110" t="s">
        <v>24337</v>
      </c>
      <c r="E12110" t="s">
        <v>24338</v>
      </c>
      <c r="G12110" s="1">
        <v>5</v>
      </c>
    </row>
    <row r="12111" spans="1:7" ht="14.25" customHeight="1" x14ac:dyDescent="0.45">
      <c r="A12111" t="str">
        <f>_xlfn.XLOOKUP(B12111,Ingot!$H$12:$H$119,Ingot!$G$12:$G$119,"")</f>
        <v>Osso</v>
      </c>
      <c r="B12111" t="s">
        <v>24158</v>
      </c>
      <c r="C12111" t="s">
        <v>157</v>
      </c>
      <c r="D12111" t="s">
        <v>24339</v>
      </c>
      <c r="E12111" t="s">
        <v>24340</v>
      </c>
      <c r="G12111" s="1">
        <v>5</v>
      </c>
    </row>
    <row r="12112" spans="1:7" ht="14.25" customHeight="1" x14ac:dyDescent="0.45">
      <c r="A12112" t="str">
        <f>_xlfn.XLOOKUP(B12112,Ingot!$H$12:$H$119,Ingot!$G$12:$G$119,"")</f>
        <v>Osso</v>
      </c>
      <c r="B12112" t="s">
        <v>24158</v>
      </c>
      <c r="C12112" t="s">
        <v>157</v>
      </c>
      <c r="D12112" t="s">
        <v>24341</v>
      </c>
      <c r="E12112" t="s">
        <v>24342</v>
      </c>
      <c r="G12112" s="1">
        <v>5</v>
      </c>
    </row>
    <row r="12113" spans="1:7" ht="14.25" customHeight="1" x14ac:dyDescent="0.45">
      <c r="A12113" t="str">
        <f>_xlfn.XLOOKUP(B12113,Ingot!$H$12:$H$119,Ingot!$G$12:$G$119,"")</f>
        <v>Osso</v>
      </c>
      <c r="B12113" t="s">
        <v>24158</v>
      </c>
      <c r="C12113" t="s">
        <v>157</v>
      </c>
      <c r="D12113" t="s">
        <v>24343</v>
      </c>
      <c r="E12113" t="s">
        <v>24344</v>
      </c>
      <c r="G12113" s="1">
        <v>10</v>
      </c>
    </row>
    <row r="12114" spans="1:7" ht="14.25" customHeight="1" x14ac:dyDescent="0.45">
      <c r="A12114" t="str">
        <f>_xlfn.XLOOKUP(B12114,Ingot!$H$12:$H$119,Ingot!$G$12:$G$119,"")</f>
        <v>Osso</v>
      </c>
      <c r="B12114" t="s">
        <v>24158</v>
      </c>
      <c r="C12114" t="s">
        <v>157</v>
      </c>
      <c r="D12114" t="s">
        <v>24345</v>
      </c>
      <c r="E12114" t="s">
        <v>24346</v>
      </c>
      <c r="G12114" s="1">
        <v>19</v>
      </c>
    </row>
    <row r="12115" spans="1:7" ht="14.25" customHeight="1" x14ac:dyDescent="0.45">
      <c r="A12115" t="str">
        <f>_xlfn.XLOOKUP(B12115,Ingot!$H$12:$H$119,Ingot!$G$12:$G$119,"")</f>
        <v>Osso</v>
      </c>
      <c r="B12115" t="s">
        <v>24158</v>
      </c>
      <c r="C12115" t="s">
        <v>157</v>
      </c>
      <c r="D12115" t="s">
        <v>24347</v>
      </c>
      <c r="E12115" t="s">
        <v>24348</v>
      </c>
      <c r="G12115" s="1">
        <v>5</v>
      </c>
    </row>
    <row r="12116" spans="1:7" ht="14.25" customHeight="1" x14ac:dyDescent="0.45">
      <c r="A12116" t="str">
        <f>_xlfn.XLOOKUP(B12116,Ingot!$H$12:$H$119,Ingot!$G$12:$G$119,"")</f>
        <v>Osso</v>
      </c>
      <c r="B12116" t="s">
        <v>24158</v>
      </c>
      <c r="C12116" t="s">
        <v>157</v>
      </c>
      <c r="D12116" t="s">
        <v>24349</v>
      </c>
      <c r="E12116" t="s">
        <v>24350</v>
      </c>
      <c r="G12116" s="1">
        <v>5</v>
      </c>
    </row>
    <row r="12117" spans="1:7" ht="14.25" customHeight="1" x14ac:dyDescent="0.45">
      <c r="A12117" t="str">
        <f>_xlfn.XLOOKUP(B12117,Ingot!$H$12:$H$119,Ingot!$G$12:$G$119,"")</f>
        <v>Osso</v>
      </c>
      <c r="B12117" t="s">
        <v>24158</v>
      </c>
      <c r="C12117" t="s">
        <v>157</v>
      </c>
      <c r="D12117" t="s">
        <v>24351</v>
      </c>
      <c r="E12117" t="s">
        <v>24352</v>
      </c>
      <c r="G12117" s="1">
        <v>5</v>
      </c>
    </row>
    <row r="12118" spans="1:7" ht="14.25" customHeight="1" x14ac:dyDescent="0.45">
      <c r="A12118" t="str">
        <f>_xlfn.XLOOKUP(B12118,Ingot!$H$12:$H$119,Ingot!$G$12:$G$119,"")</f>
        <v>Osso</v>
      </c>
      <c r="B12118" t="s">
        <v>24158</v>
      </c>
      <c r="C12118" t="s">
        <v>157</v>
      </c>
      <c r="D12118" t="s">
        <v>24353</v>
      </c>
      <c r="E12118" t="s">
        <v>24354</v>
      </c>
      <c r="G12118" s="1">
        <v>10</v>
      </c>
    </row>
    <row r="12119" spans="1:7" ht="14.25" customHeight="1" x14ac:dyDescent="0.45">
      <c r="A12119" t="str">
        <f>_xlfn.XLOOKUP(B12119,Ingot!$H$12:$H$119,Ingot!$G$12:$G$119,"")</f>
        <v>Osso</v>
      </c>
      <c r="B12119" t="s">
        <v>24158</v>
      </c>
      <c r="C12119" t="s">
        <v>157</v>
      </c>
      <c r="D12119" t="s">
        <v>24355</v>
      </c>
      <c r="E12119" t="s">
        <v>24356</v>
      </c>
      <c r="G12119" s="1">
        <v>23</v>
      </c>
    </row>
    <row r="12120" spans="1:7" ht="14.25" customHeight="1" x14ac:dyDescent="0.45">
      <c r="A12120" t="str">
        <f>_xlfn.XLOOKUP(B12120,Ingot!$H$12:$H$119,Ingot!$G$12:$G$119,"")</f>
        <v>Osso</v>
      </c>
      <c r="B12120" t="s">
        <v>24158</v>
      </c>
      <c r="C12120" t="s">
        <v>157</v>
      </c>
      <c r="D12120" t="s">
        <v>24357</v>
      </c>
      <c r="E12120" t="s">
        <v>24358</v>
      </c>
      <c r="G12120" s="1">
        <v>5</v>
      </c>
    </row>
    <row r="12121" spans="1:7" ht="14.25" customHeight="1" x14ac:dyDescent="0.45">
      <c r="A12121" t="str">
        <f>_xlfn.XLOOKUP(B12121,Ingot!$H$12:$H$119,Ingot!$G$12:$G$119,"")</f>
        <v>Osso</v>
      </c>
      <c r="B12121" t="s">
        <v>24158</v>
      </c>
      <c r="C12121" t="s">
        <v>157</v>
      </c>
      <c r="D12121" t="s">
        <v>24359</v>
      </c>
      <c r="E12121" t="s">
        <v>24360</v>
      </c>
      <c r="G12121" s="1">
        <v>5</v>
      </c>
    </row>
    <row r="12122" spans="1:7" ht="14.25" customHeight="1" x14ac:dyDescent="0.45">
      <c r="A12122" t="str">
        <f>_xlfn.XLOOKUP(B12122,Ingot!$H$12:$H$119,Ingot!$G$12:$G$119,"")</f>
        <v>Osso</v>
      </c>
      <c r="B12122" t="s">
        <v>24158</v>
      </c>
      <c r="C12122" t="s">
        <v>157</v>
      </c>
      <c r="D12122" t="s">
        <v>24361</v>
      </c>
      <c r="E12122" t="s">
        <v>24362</v>
      </c>
      <c r="G12122" s="1">
        <v>5</v>
      </c>
    </row>
    <row r="12123" spans="1:7" ht="14.25" customHeight="1" x14ac:dyDescent="0.45">
      <c r="A12123" t="str">
        <f>_xlfn.XLOOKUP(B12123,Ingot!$H$12:$H$119,Ingot!$G$12:$G$119,"")</f>
        <v>Osso</v>
      </c>
      <c r="B12123" t="s">
        <v>24158</v>
      </c>
      <c r="C12123" t="s">
        <v>157</v>
      </c>
      <c r="D12123" t="s">
        <v>24363</v>
      </c>
      <c r="E12123" t="s">
        <v>24364</v>
      </c>
      <c r="G12123" s="1">
        <v>10</v>
      </c>
    </row>
    <row r="12124" spans="1:7" ht="14.25" customHeight="1" x14ac:dyDescent="0.45">
      <c r="A12124" t="str">
        <f>_xlfn.XLOOKUP(B12124,Ingot!$H$12:$H$119,Ingot!$G$12:$G$119,"")</f>
        <v>Osso</v>
      </c>
      <c r="B12124" t="s">
        <v>24158</v>
      </c>
      <c r="C12124" t="s">
        <v>157</v>
      </c>
      <c r="D12124" t="s">
        <v>24365</v>
      </c>
      <c r="E12124" t="s">
        <v>24366</v>
      </c>
      <c r="G12124" s="1">
        <v>22</v>
      </c>
    </row>
    <row r="12125" spans="1:7" ht="14.25" customHeight="1" x14ac:dyDescent="0.45">
      <c r="A12125" t="str">
        <f>_xlfn.XLOOKUP(B12125,Ingot!$H$12:$H$119,Ingot!$G$12:$G$119,"")</f>
        <v>Osso</v>
      </c>
      <c r="B12125" t="s">
        <v>24158</v>
      </c>
      <c r="C12125" t="s">
        <v>157</v>
      </c>
      <c r="D12125" t="s">
        <v>24367</v>
      </c>
      <c r="E12125" t="s">
        <v>24368</v>
      </c>
      <c r="G12125" s="1">
        <v>5</v>
      </c>
    </row>
    <row r="12126" spans="1:7" ht="14.25" customHeight="1" x14ac:dyDescent="0.45">
      <c r="A12126" t="str">
        <f>_xlfn.XLOOKUP(B12126,Ingot!$H$12:$H$119,Ingot!$G$12:$G$119,"")</f>
        <v>Osso</v>
      </c>
      <c r="B12126" t="s">
        <v>24158</v>
      </c>
      <c r="C12126" t="s">
        <v>157</v>
      </c>
      <c r="D12126" t="s">
        <v>24369</v>
      </c>
      <c r="E12126" t="s">
        <v>24370</v>
      </c>
      <c r="G12126" s="1">
        <v>5</v>
      </c>
    </row>
    <row r="12127" spans="1:7" ht="14.25" customHeight="1" x14ac:dyDescent="0.45">
      <c r="A12127" t="str">
        <f>_xlfn.XLOOKUP(B12127,Ingot!$H$12:$H$119,Ingot!$G$12:$G$119,"")</f>
        <v>Osso</v>
      </c>
      <c r="B12127" t="s">
        <v>24158</v>
      </c>
      <c r="C12127" t="s">
        <v>157</v>
      </c>
      <c r="D12127" t="s">
        <v>24371</v>
      </c>
      <c r="E12127" t="s">
        <v>24372</v>
      </c>
      <c r="G12127" s="1">
        <v>5</v>
      </c>
    </row>
    <row r="12128" spans="1:7" ht="14.25" customHeight="1" x14ac:dyDescent="0.45">
      <c r="A12128" t="str">
        <f>_xlfn.XLOOKUP(B12128,Ingot!$H$12:$H$119,Ingot!$G$12:$G$119,"")</f>
        <v>Osso</v>
      </c>
      <c r="B12128" t="s">
        <v>24158</v>
      </c>
      <c r="C12128" t="s">
        <v>157</v>
      </c>
      <c r="D12128" t="s">
        <v>24373</v>
      </c>
      <c r="E12128" t="s">
        <v>24374</v>
      </c>
      <c r="G12128" s="1">
        <v>10</v>
      </c>
    </row>
    <row r="12129" spans="1:7" ht="14.25" customHeight="1" x14ac:dyDescent="0.45">
      <c r="A12129" t="str">
        <f>_xlfn.XLOOKUP(B12129,Ingot!$H$12:$H$119,Ingot!$G$12:$G$119,"")</f>
        <v>Osso</v>
      </c>
      <c r="B12129" t="s">
        <v>24158</v>
      </c>
      <c r="C12129" t="s">
        <v>157</v>
      </c>
      <c r="D12129" t="s">
        <v>24375</v>
      </c>
      <c r="E12129" t="s">
        <v>24376</v>
      </c>
      <c r="G12129" s="1">
        <v>16</v>
      </c>
    </row>
    <row r="12130" spans="1:7" ht="14.25" customHeight="1" x14ac:dyDescent="0.45">
      <c r="A12130" t="str">
        <f>_xlfn.XLOOKUP(B12130,Ingot!$H$12:$H$119,Ingot!$G$12:$G$119,"")</f>
        <v>Osso</v>
      </c>
      <c r="B12130" t="s">
        <v>24158</v>
      </c>
      <c r="C12130" t="s">
        <v>157</v>
      </c>
      <c r="D12130" t="s">
        <v>24377</v>
      </c>
      <c r="E12130" t="s">
        <v>24378</v>
      </c>
      <c r="G12130" s="1">
        <v>5</v>
      </c>
    </row>
    <row r="12131" spans="1:7" ht="14.25" customHeight="1" x14ac:dyDescent="0.45">
      <c r="A12131" t="str">
        <f>_xlfn.XLOOKUP(B12131,Ingot!$H$12:$H$119,Ingot!$G$12:$G$119,"")</f>
        <v>Osso</v>
      </c>
      <c r="B12131" t="s">
        <v>24158</v>
      </c>
      <c r="C12131" t="s">
        <v>157</v>
      </c>
      <c r="D12131" t="s">
        <v>24379</v>
      </c>
      <c r="E12131" t="s">
        <v>24380</v>
      </c>
      <c r="G12131" s="1">
        <v>5</v>
      </c>
    </row>
    <row r="12132" spans="1:7" ht="14.25" customHeight="1" x14ac:dyDescent="0.45">
      <c r="A12132" t="str">
        <f>_xlfn.XLOOKUP(B12132,Ingot!$H$12:$H$119,Ingot!$G$12:$G$119,"")</f>
        <v>Osso</v>
      </c>
      <c r="B12132" t="s">
        <v>24158</v>
      </c>
      <c r="C12132" t="s">
        <v>157</v>
      </c>
      <c r="D12132" t="s">
        <v>24381</v>
      </c>
      <c r="E12132" t="s">
        <v>24382</v>
      </c>
      <c r="G12132" s="1">
        <v>5</v>
      </c>
    </row>
    <row r="12133" spans="1:7" ht="14.25" customHeight="1" x14ac:dyDescent="0.45">
      <c r="A12133" t="str">
        <f>_xlfn.XLOOKUP(B12133,Ingot!$H$12:$H$119,Ingot!$G$12:$G$119,"")</f>
        <v>Osso</v>
      </c>
      <c r="B12133" t="s">
        <v>24158</v>
      </c>
      <c r="C12133" t="s">
        <v>157</v>
      </c>
      <c r="D12133" t="s">
        <v>24383</v>
      </c>
      <c r="E12133" t="s">
        <v>24384</v>
      </c>
      <c r="G12133" s="1">
        <v>10</v>
      </c>
    </row>
    <row r="12134" spans="1:7" ht="14.25" customHeight="1" x14ac:dyDescent="0.45">
      <c r="A12134" t="str">
        <f>_xlfn.XLOOKUP(B12134,Ingot!$H$12:$H$119,Ingot!$G$12:$G$119,"")</f>
        <v>Osso</v>
      </c>
      <c r="B12134" t="s">
        <v>24158</v>
      </c>
      <c r="C12134" t="s">
        <v>239</v>
      </c>
      <c r="D12134" t="s">
        <v>24385</v>
      </c>
      <c r="E12134" t="s">
        <v>24386</v>
      </c>
    </row>
    <row r="12135" spans="1:7" ht="14.25" customHeight="1" x14ac:dyDescent="0.45">
      <c r="A12135" t="str">
        <f>_xlfn.XLOOKUP(B12135,Ingot!$H$12:$H$119,Ingot!$G$12:$G$119,"")</f>
        <v>Osso</v>
      </c>
      <c r="B12135" t="s">
        <v>24158</v>
      </c>
      <c r="C12135" t="s">
        <v>239</v>
      </c>
      <c r="D12135" t="s">
        <v>24387</v>
      </c>
      <c r="E12135" t="s">
        <v>24388</v>
      </c>
    </row>
    <row r="12136" spans="1:7" ht="14.25" customHeight="1" x14ac:dyDescent="0.45">
      <c r="A12136" t="str">
        <f>_xlfn.XLOOKUP(B12136,Ingot!$H$12:$H$119,Ingot!$G$12:$G$119,"")</f>
        <v>Osso</v>
      </c>
      <c r="B12136" t="s">
        <v>24158</v>
      </c>
      <c r="C12136" t="s">
        <v>239</v>
      </c>
      <c r="D12136" t="s">
        <v>24389</v>
      </c>
      <c r="E12136" t="s">
        <v>24390</v>
      </c>
    </row>
    <row r="12137" spans="1:7" ht="14.25" customHeight="1" x14ac:dyDescent="0.45">
      <c r="A12137" t="str">
        <f>_xlfn.XLOOKUP(B12137,Ingot!$H$12:$H$119,Ingot!$G$12:$G$119,"")</f>
        <v>Osso</v>
      </c>
      <c r="B12137" t="s">
        <v>24158</v>
      </c>
      <c r="C12137" t="s">
        <v>239</v>
      </c>
      <c r="D12137" t="s">
        <v>24391</v>
      </c>
      <c r="E12137" t="s">
        <v>24392</v>
      </c>
    </row>
    <row r="12138" spans="1:7" ht="14.25" customHeight="1" x14ac:dyDescent="0.45">
      <c r="A12138" t="str">
        <f>_xlfn.XLOOKUP(B12138,Ingot!$H$12:$H$119,Ingot!$G$12:$G$119,"")</f>
        <v>Osso</v>
      </c>
      <c r="B12138" t="s">
        <v>24158</v>
      </c>
      <c r="C12138" t="s">
        <v>239</v>
      </c>
      <c r="D12138" t="s">
        <v>24393</v>
      </c>
      <c r="E12138" t="s">
        <v>24394</v>
      </c>
    </row>
    <row r="12139" spans="1:7" ht="14.25" customHeight="1" x14ac:dyDescent="0.45">
      <c r="A12139" t="str">
        <f>_xlfn.XLOOKUP(B12139,Ingot!$H$12:$H$119,Ingot!$G$12:$G$119,"")</f>
        <v>Osso</v>
      </c>
      <c r="B12139" t="s">
        <v>24158</v>
      </c>
      <c r="C12139" t="s">
        <v>239</v>
      </c>
      <c r="D12139" t="s">
        <v>24395</v>
      </c>
      <c r="E12139" t="s">
        <v>24396</v>
      </c>
    </row>
    <row r="12140" spans="1:7" ht="14.25" customHeight="1" x14ac:dyDescent="0.45">
      <c r="A12140" t="str">
        <f>_xlfn.XLOOKUP(B12140,Ingot!$H$12:$H$119,Ingot!$G$12:$G$119,"")</f>
        <v>Osso</v>
      </c>
      <c r="B12140" t="s">
        <v>24397</v>
      </c>
      <c r="C12140" t="s">
        <v>10</v>
      </c>
      <c r="D12140" t="s">
        <v>24398</v>
      </c>
      <c r="E12140" t="s">
        <v>24399</v>
      </c>
      <c r="G12140" s="1">
        <v>0.08</v>
      </c>
    </row>
    <row r="12141" spans="1:7" ht="14.25" customHeight="1" x14ac:dyDescent="0.45">
      <c r="A12141" t="str">
        <f>_xlfn.XLOOKUP(B12141,Ingot!$H$12:$H$119,Ingot!$G$12:$G$119,"")</f>
        <v>Osso</v>
      </c>
      <c r="B12141" t="s">
        <v>24397</v>
      </c>
      <c r="C12141" t="s">
        <v>10</v>
      </c>
      <c r="D12141" t="s">
        <v>24400</v>
      </c>
      <c r="E12141" t="s">
        <v>24401</v>
      </c>
      <c r="G12141" s="1">
        <v>9.9</v>
      </c>
    </row>
    <row r="12142" spans="1:7" ht="14.25" customHeight="1" x14ac:dyDescent="0.45">
      <c r="A12142" t="str">
        <f>_xlfn.XLOOKUP(B12142,Ingot!$H$12:$H$119,Ingot!$G$12:$G$119,"")</f>
        <v>Osso</v>
      </c>
      <c r="B12142" t="s">
        <v>24397</v>
      </c>
      <c r="C12142" t="s">
        <v>10</v>
      </c>
      <c r="D12142" t="s">
        <v>24402</v>
      </c>
      <c r="E12142" t="s">
        <v>24403</v>
      </c>
      <c r="G12142" s="1">
        <v>5.66</v>
      </c>
    </row>
    <row r="12143" spans="1:7" ht="14.25" customHeight="1" x14ac:dyDescent="0.45">
      <c r="A12143" t="str">
        <f>_xlfn.XLOOKUP(B12143,Ingot!$H$12:$H$119,Ingot!$G$12:$G$119,"")</f>
        <v>Osso</v>
      </c>
      <c r="B12143" t="s">
        <v>24397</v>
      </c>
      <c r="C12143" t="s">
        <v>10</v>
      </c>
      <c r="D12143" t="s">
        <v>24404</v>
      </c>
      <c r="E12143" t="s">
        <v>24405</v>
      </c>
      <c r="G12143" s="1">
        <v>3.3</v>
      </c>
    </row>
    <row r="12144" spans="1:7" ht="14.25" customHeight="1" x14ac:dyDescent="0.45">
      <c r="A12144" t="str">
        <f>_xlfn.XLOOKUP(B12144,Ingot!$H$12:$H$119,Ingot!$G$12:$G$119,"")</f>
        <v>Osso</v>
      </c>
      <c r="B12144" t="s">
        <v>24397</v>
      </c>
      <c r="C12144" t="s">
        <v>10</v>
      </c>
      <c r="D12144" t="s">
        <v>24406</v>
      </c>
      <c r="E12144" t="s">
        <v>24407</v>
      </c>
      <c r="G12144" s="1">
        <v>0.66</v>
      </c>
    </row>
    <row r="12145" spans="1:7" ht="14.25" customHeight="1" x14ac:dyDescent="0.45">
      <c r="A12145" t="str">
        <f>_xlfn.XLOOKUP(B12145,Ingot!$H$12:$H$119,Ingot!$G$12:$G$119,"")</f>
        <v>Osso</v>
      </c>
      <c r="B12145" t="s">
        <v>24397</v>
      </c>
      <c r="C12145" t="s">
        <v>10</v>
      </c>
      <c r="D12145" t="s">
        <v>24408</v>
      </c>
      <c r="E12145" t="s">
        <v>24409</v>
      </c>
      <c r="G12145" s="1">
        <v>0.04</v>
      </c>
    </row>
    <row r="12146" spans="1:7" ht="14.25" customHeight="1" x14ac:dyDescent="0.45">
      <c r="A12146" t="str">
        <f>_xlfn.XLOOKUP(B12146,Ingot!$H$12:$H$119,Ingot!$G$12:$G$119,"")</f>
        <v>Osso</v>
      </c>
      <c r="B12146" t="s">
        <v>24397</v>
      </c>
      <c r="C12146" t="s">
        <v>10</v>
      </c>
      <c r="D12146" t="s">
        <v>24410</v>
      </c>
      <c r="E12146" t="s">
        <v>24411</v>
      </c>
      <c r="G12146" s="1">
        <v>0.33</v>
      </c>
    </row>
    <row r="12147" spans="1:7" ht="14.25" customHeight="1" x14ac:dyDescent="0.45">
      <c r="A12147" t="str">
        <f>_xlfn.XLOOKUP(B12147,Ingot!$H$12:$H$119,Ingot!$G$12:$G$119,"")</f>
        <v>Osso</v>
      </c>
      <c r="B12147" t="s">
        <v>24397</v>
      </c>
      <c r="C12147" t="s">
        <v>10</v>
      </c>
      <c r="D12147" t="s">
        <v>24412</v>
      </c>
      <c r="E12147" t="s">
        <v>24413</v>
      </c>
    </row>
    <row r="12148" spans="1:7" ht="14.25" customHeight="1" x14ac:dyDescent="0.45">
      <c r="A12148" t="str">
        <f>_xlfn.XLOOKUP(B12148,Ingot!$H$12:$H$119,Ingot!$G$12:$G$119,"")</f>
        <v>Osso</v>
      </c>
      <c r="B12148" t="s">
        <v>24397</v>
      </c>
      <c r="C12148" t="s">
        <v>10</v>
      </c>
      <c r="D12148" t="s">
        <v>24414</v>
      </c>
      <c r="E12148" t="s">
        <v>24415</v>
      </c>
      <c r="G12148" s="1">
        <v>0.05</v>
      </c>
    </row>
    <row r="12149" spans="1:7" ht="14.25" customHeight="1" x14ac:dyDescent="0.45">
      <c r="A12149" t="str">
        <f>_xlfn.XLOOKUP(B12149,Ingot!$H$12:$H$119,Ingot!$G$12:$G$119,"")</f>
        <v>Osso</v>
      </c>
      <c r="B12149" t="s">
        <v>24397</v>
      </c>
      <c r="C12149" t="s">
        <v>10</v>
      </c>
      <c r="D12149" t="s">
        <v>24416</v>
      </c>
      <c r="E12149" t="s">
        <v>24417</v>
      </c>
      <c r="G12149" s="1">
        <v>0.66</v>
      </c>
    </row>
    <row r="12150" spans="1:7" ht="14.25" customHeight="1" x14ac:dyDescent="0.45">
      <c r="A12150" t="str">
        <f>_xlfn.XLOOKUP(B12150,Ingot!$H$12:$H$119,Ingot!$G$12:$G$119,"")</f>
        <v>Osso</v>
      </c>
      <c r="B12150" t="s">
        <v>24397</v>
      </c>
      <c r="C12150" t="s">
        <v>10</v>
      </c>
      <c r="D12150" t="s">
        <v>24418</v>
      </c>
      <c r="E12150" t="s">
        <v>24419</v>
      </c>
      <c r="G12150" s="1">
        <v>3.96</v>
      </c>
    </row>
    <row r="12151" spans="1:7" ht="14.25" customHeight="1" x14ac:dyDescent="0.45">
      <c r="A12151" t="str">
        <f>_xlfn.XLOOKUP(B12151,Ingot!$H$12:$H$119,Ingot!$G$12:$G$119,"")</f>
        <v>Osso</v>
      </c>
      <c r="B12151" t="s">
        <v>24397</v>
      </c>
      <c r="C12151" t="s">
        <v>10</v>
      </c>
      <c r="D12151" t="s">
        <v>24420</v>
      </c>
      <c r="E12151" t="s">
        <v>24421</v>
      </c>
      <c r="G12151" s="1">
        <v>8.77</v>
      </c>
    </row>
    <row r="12152" spans="1:7" ht="14.25" customHeight="1" x14ac:dyDescent="0.45">
      <c r="A12152" t="str">
        <f>_xlfn.XLOOKUP(B12152,Ingot!$H$12:$H$119,Ingot!$G$12:$G$119,"")</f>
        <v>Osso</v>
      </c>
      <c r="B12152" t="s">
        <v>24397</v>
      </c>
      <c r="C12152" t="s">
        <v>10</v>
      </c>
      <c r="D12152" t="s">
        <v>24422</v>
      </c>
      <c r="E12152" t="s">
        <v>24423</v>
      </c>
      <c r="G12152" s="1">
        <v>3.5</v>
      </c>
    </row>
    <row r="12153" spans="1:7" ht="14.25" customHeight="1" x14ac:dyDescent="0.45">
      <c r="A12153" t="str">
        <f>_xlfn.XLOOKUP(B12153,Ingot!$H$12:$H$119,Ingot!$G$12:$G$119,"")</f>
        <v>Osso</v>
      </c>
      <c r="B12153" t="s">
        <v>24397</v>
      </c>
      <c r="C12153" t="s">
        <v>10</v>
      </c>
      <c r="D12153" t="s">
        <v>24424</v>
      </c>
      <c r="E12153" t="s">
        <v>24425</v>
      </c>
    </row>
    <row r="12154" spans="1:7" ht="14.25" customHeight="1" x14ac:dyDescent="0.45">
      <c r="A12154" t="str">
        <f>_xlfn.XLOOKUP(B12154,Ingot!$H$12:$H$119,Ingot!$G$12:$G$119,"")</f>
        <v>Osso</v>
      </c>
      <c r="B12154" t="s">
        <v>24397</v>
      </c>
      <c r="C12154" t="s">
        <v>10</v>
      </c>
      <c r="D12154" t="s">
        <v>24426</v>
      </c>
      <c r="E12154" t="s">
        <v>24427</v>
      </c>
      <c r="G12154" s="1">
        <v>2.2000000000000002</v>
      </c>
    </row>
    <row r="12155" spans="1:7" ht="14.25" customHeight="1" x14ac:dyDescent="0.45">
      <c r="A12155" t="str">
        <f>_xlfn.XLOOKUP(B12155,Ingot!$H$12:$H$119,Ingot!$G$12:$G$119,"")</f>
        <v>Osso</v>
      </c>
      <c r="B12155" t="s">
        <v>24397</v>
      </c>
      <c r="C12155" t="s">
        <v>10</v>
      </c>
      <c r="D12155" t="s">
        <v>24428</v>
      </c>
      <c r="E12155" t="s">
        <v>24429</v>
      </c>
      <c r="G12155" s="1">
        <v>1.1000000000000001</v>
      </c>
    </row>
    <row r="12156" spans="1:7" ht="14.25" customHeight="1" x14ac:dyDescent="0.45">
      <c r="A12156" t="str">
        <f>_xlfn.XLOOKUP(B12156,Ingot!$H$12:$H$119,Ingot!$G$12:$G$119,"")</f>
        <v>Osso</v>
      </c>
      <c r="B12156" t="s">
        <v>24397</v>
      </c>
      <c r="C12156" t="s">
        <v>10</v>
      </c>
      <c r="D12156" t="s">
        <v>24430</v>
      </c>
      <c r="E12156" t="s">
        <v>24431</v>
      </c>
      <c r="G12156" s="1">
        <v>0.22</v>
      </c>
    </row>
    <row r="12157" spans="1:7" ht="14.25" customHeight="1" x14ac:dyDescent="0.45">
      <c r="A12157" t="str">
        <f>_xlfn.XLOOKUP(B12157,Ingot!$H$12:$H$119,Ingot!$G$12:$G$119,"")</f>
        <v>Osso</v>
      </c>
      <c r="B12157" t="s">
        <v>24397</v>
      </c>
      <c r="C12157" t="s">
        <v>10</v>
      </c>
      <c r="D12157" t="s">
        <v>24432</v>
      </c>
      <c r="E12157" t="s">
        <v>24433</v>
      </c>
      <c r="G12157" s="1">
        <v>8.41</v>
      </c>
    </row>
    <row r="12158" spans="1:7" ht="14.25" customHeight="1" x14ac:dyDescent="0.45">
      <c r="A12158" t="str">
        <f>_xlfn.XLOOKUP(B12158,Ingot!$H$12:$H$119,Ingot!$G$12:$G$119,"")</f>
        <v>Osso</v>
      </c>
      <c r="B12158" t="s">
        <v>24397</v>
      </c>
      <c r="C12158" t="s">
        <v>10</v>
      </c>
      <c r="D12158" t="s">
        <v>24434</v>
      </c>
      <c r="E12158" t="s">
        <v>24435</v>
      </c>
      <c r="G12158" s="1">
        <v>3.64</v>
      </c>
    </row>
    <row r="12159" spans="1:7" ht="14.25" customHeight="1" x14ac:dyDescent="0.45">
      <c r="A12159" t="str">
        <f>_xlfn.XLOOKUP(B12159,Ingot!$H$12:$H$119,Ingot!$G$12:$G$119,"")</f>
        <v>Osso</v>
      </c>
      <c r="B12159" t="s">
        <v>24397</v>
      </c>
      <c r="C12159" t="s">
        <v>10</v>
      </c>
      <c r="D12159" t="s">
        <v>24436</v>
      </c>
      <c r="E12159" t="s">
        <v>24437</v>
      </c>
      <c r="G12159" s="1">
        <v>7.05</v>
      </c>
    </row>
    <row r="12160" spans="1:7" ht="14.25" customHeight="1" x14ac:dyDescent="0.45">
      <c r="A12160" t="str">
        <f>_xlfn.XLOOKUP(B12160,Ingot!$H$12:$H$119,Ingot!$G$12:$G$119,"")</f>
        <v>Osso</v>
      </c>
      <c r="B12160" t="s">
        <v>24397</v>
      </c>
      <c r="C12160" t="s">
        <v>10</v>
      </c>
      <c r="D12160" t="s">
        <v>24438</v>
      </c>
      <c r="E12160" t="s">
        <v>24439</v>
      </c>
      <c r="G12160" s="1">
        <v>2.65</v>
      </c>
    </row>
    <row r="12161" spans="1:7" ht="14.25" customHeight="1" x14ac:dyDescent="0.45">
      <c r="A12161" t="str">
        <f>_xlfn.XLOOKUP(B12161,Ingot!$H$12:$H$119,Ingot!$G$12:$G$119,"")</f>
        <v>Osso</v>
      </c>
      <c r="B12161" t="s">
        <v>24397</v>
      </c>
      <c r="C12161" t="s">
        <v>10</v>
      </c>
      <c r="D12161" t="s">
        <v>24440</v>
      </c>
      <c r="E12161" t="s">
        <v>24441</v>
      </c>
      <c r="G12161" s="1">
        <v>9</v>
      </c>
    </row>
    <row r="12162" spans="1:7" ht="14.25" customHeight="1" x14ac:dyDescent="0.45">
      <c r="A12162" t="str">
        <f>_xlfn.XLOOKUP(B12162,Ingot!$H$12:$H$119,Ingot!$G$12:$G$119,"")</f>
        <v>Osso</v>
      </c>
      <c r="B12162" t="s">
        <v>24397</v>
      </c>
      <c r="C12162" t="s">
        <v>10</v>
      </c>
      <c r="D12162" t="s">
        <v>24442</v>
      </c>
      <c r="E12162" t="s">
        <v>24443</v>
      </c>
      <c r="G12162" s="1">
        <v>10.23</v>
      </c>
    </row>
    <row r="12163" spans="1:7" ht="14.25" customHeight="1" x14ac:dyDescent="0.45">
      <c r="A12163" t="str">
        <f>_xlfn.XLOOKUP(B12163,Ingot!$H$12:$H$119,Ingot!$G$12:$G$119,"")</f>
        <v>Osso</v>
      </c>
      <c r="B12163" t="s">
        <v>24397</v>
      </c>
      <c r="C12163" t="s">
        <v>10</v>
      </c>
      <c r="D12163" t="s">
        <v>24444</v>
      </c>
      <c r="E12163" t="s">
        <v>24445</v>
      </c>
      <c r="G12163" s="1">
        <v>7.7</v>
      </c>
    </row>
    <row r="12164" spans="1:7" ht="14.25" customHeight="1" x14ac:dyDescent="0.45">
      <c r="A12164" t="str">
        <f>_xlfn.XLOOKUP(B12164,Ingot!$H$12:$H$119,Ingot!$G$12:$G$119,"")</f>
        <v>Osso</v>
      </c>
      <c r="B12164" t="s">
        <v>24397</v>
      </c>
      <c r="C12164" t="s">
        <v>10</v>
      </c>
      <c r="D12164" t="s">
        <v>24446</v>
      </c>
      <c r="E12164" t="s">
        <v>24447</v>
      </c>
      <c r="G12164" s="1">
        <v>10.02</v>
      </c>
    </row>
    <row r="12165" spans="1:7" ht="14.25" customHeight="1" x14ac:dyDescent="0.45">
      <c r="A12165" t="str">
        <f>_xlfn.XLOOKUP(B12165,Ingot!$H$12:$H$119,Ingot!$G$12:$G$119,"")</f>
        <v>Osso</v>
      </c>
      <c r="B12165" t="s">
        <v>24397</v>
      </c>
      <c r="C12165" t="s">
        <v>10</v>
      </c>
      <c r="D12165" t="s">
        <v>24448</v>
      </c>
      <c r="E12165" t="s">
        <v>24449</v>
      </c>
      <c r="G12165" s="1">
        <v>11.81</v>
      </c>
    </row>
    <row r="12166" spans="1:7" ht="14.25" customHeight="1" x14ac:dyDescent="0.45">
      <c r="A12166" t="str">
        <f>_xlfn.XLOOKUP(B12166,Ingot!$H$12:$H$119,Ingot!$G$12:$G$119,"")</f>
        <v>Osso</v>
      </c>
      <c r="B12166" t="s">
        <v>24397</v>
      </c>
      <c r="C12166" t="s">
        <v>10</v>
      </c>
      <c r="D12166" t="s">
        <v>24450</v>
      </c>
      <c r="E12166" t="s">
        <v>24451</v>
      </c>
      <c r="G12166" s="1">
        <v>8.44</v>
      </c>
    </row>
    <row r="12167" spans="1:7" ht="14.25" customHeight="1" x14ac:dyDescent="0.45">
      <c r="A12167" t="str">
        <f>_xlfn.XLOOKUP(B12167,Ingot!$H$12:$H$119,Ingot!$G$12:$G$119,"")</f>
        <v>Osso</v>
      </c>
      <c r="B12167" t="s">
        <v>24397</v>
      </c>
      <c r="C12167" t="s">
        <v>10</v>
      </c>
      <c r="D12167" t="s">
        <v>24452</v>
      </c>
      <c r="E12167" t="s">
        <v>24453</v>
      </c>
      <c r="G12167" s="1">
        <v>10.42</v>
      </c>
    </row>
    <row r="12168" spans="1:7" ht="14.25" customHeight="1" x14ac:dyDescent="0.45">
      <c r="A12168" t="str">
        <f>_xlfn.XLOOKUP(B12168,Ingot!$H$12:$H$119,Ingot!$G$12:$G$119,"")</f>
        <v>Osso</v>
      </c>
      <c r="B12168" t="s">
        <v>24397</v>
      </c>
      <c r="C12168" t="s">
        <v>10</v>
      </c>
      <c r="D12168" t="s">
        <v>24454</v>
      </c>
      <c r="E12168" t="s">
        <v>24455</v>
      </c>
    </row>
    <row r="12169" spans="1:7" ht="14.25" customHeight="1" x14ac:dyDescent="0.45">
      <c r="A12169" t="str">
        <f>_xlfn.XLOOKUP(B12169,Ingot!$H$12:$H$119,Ingot!$G$12:$G$119,"")</f>
        <v>Osso</v>
      </c>
      <c r="B12169" t="s">
        <v>24397</v>
      </c>
      <c r="C12169" t="s">
        <v>10</v>
      </c>
      <c r="D12169" t="s">
        <v>24456</v>
      </c>
      <c r="E12169" t="s">
        <v>24457</v>
      </c>
      <c r="G12169" s="1">
        <v>7.96</v>
      </c>
    </row>
    <row r="12170" spans="1:7" ht="14.25" customHeight="1" x14ac:dyDescent="0.45">
      <c r="A12170" t="str">
        <f>_xlfn.XLOOKUP(B12170,Ingot!$H$12:$H$119,Ingot!$G$12:$G$119,"")</f>
        <v>Osso</v>
      </c>
      <c r="B12170" t="s">
        <v>24397</v>
      </c>
      <c r="C12170" t="s">
        <v>10</v>
      </c>
      <c r="D12170" t="s">
        <v>24458</v>
      </c>
      <c r="E12170" t="s">
        <v>24459</v>
      </c>
      <c r="G12170" s="1">
        <v>9.64</v>
      </c>
    </row>
    <row r="12171" spans="1:7" ht="14.25" customHeight="1" x14ac:dyDescent="0.45">
      <c r="A12171" t="str">
        <f>_xlfn.XLOOKUP(B12171,Ingot!$H$12:$H$119,Ingot!$G$12:$G$119,"")</f>
        <v>Osso</v>
      </c>
      <c r="B12171" t="s">
        <v>24397</v>
      </c>
      <c r="C12171" t="s">
        <v>10</v>
      </c>
      <c r="D12171" t="s">
        <v>24460</v>
      </c>
      <c r="E12171" t="s">
        <v>24461</v>
      </c>
      <c r="G12171" s="1">
        <v>7.94</v>
      </c>
    </row>
    <row r="12172" spans="1:7" ht="14.25" customHeight="1" x14ac:dyDescent="0.45">
      <c r="A12172" t="str">
        <f>_xlfn.XLOOKUP(B12172,Ingot!$H$12:$H$119,Ingot!$G$12:$G$119,"")</f>
        <v>Osso</v>
      </c>
      <c r="B12172" t="s">
        <v>24397</v>
      </c>
      <c r="C12172" t="s">
        <v>10</v>
      </c>
      <c r="D12172" t="s">
        <v>24462</v>
      </c>
      <c r="E12172" t="s">
        <v>24463</v>
      </c>
      <c r="G12172" s="1">
        <v>8.66</v>
      </c>
    </row>
    <row r="12173" spans="1:7" ht="14.25" customHeight="1" x14ac:dyDescent="0.45">
      <c r="A12173" t="str">
        <f>_xlfn.XLOOKUP(B12173,Ingot!$H$12:$H$119,Ingot!$G$12:$G$119,"")</f>
        <v>Osso</v>
      </c>
      <c r="B12173" t="s">
        <v>24397</v>
      </c>
      <c r="C12173" t="s">
        <v>10</v>
      </c>
      <c r="D12173" t="s">
        <v>24464</v>
      </c>
      <c r="E12173" t="s">
        <v>24465</v>
      </c>
    </row>
    <row r="12174" spans="1:7" ht="14.25" customHeight="1" x14ac:dyDescent="0.45">
      <c r="A12174" t="str">
        <f>_xlfn.XLOOKUP(B12174,Ingot!$H$12:$H$119,Ingot!$G$12:$G$119,"")</f>
        <v>Osso</v>
      </c>
      <c r="B12174" t="s">
        <v>24397</v>
      </c>
      <c r="C12174" t="s">
        <v>10</v>
      </c>
      <c r="D12174" t="s">
        <v>24466</v>
      </c>
      <c r="E12174" t="s">
        <v>24467</v>
      </c>
      <c r="G12174" s="1">
        <v>2.65</v>
      </c>
    </row>
    <row r="12175" spans="1:7" ht="14.25" customHeight="1" x14ac:dyDescent="0.45">
      <c r="A12175" t="str">
        <f>_xlfn.XLOOKUP(B12175,Ingot!$H$12:$H$119,Ingot!$G$12:$G$119,"")</f>
        <v>Osso</v>
      </c>
      <c r="B12175" t="s">
        <v>24397</v>
      </c>
      <c r="C12175" t="s">
        <v>10</v>
      </c>
      <c r="D12175" t="s">
        <v>24468</v>
      </c>
      <c r="E12175" t="s">
        <v>24469</v>
      </c>
    </row>
    <row r="12176" spans="1:7" ht="14.25" customHeight="1" x14ac:dyDescent="0.45">
      <c r="A12176" t="str">
        <f>_xlfn.XLOOKUP(B12176,Ingot!$H$12:$H$119,Ingot!$G$12:$G$119,"")</f>
        <v>Osso</v>
      </c>
      <c r="B12176" t="s">
        <v>24397</v>
      </c>
      <c r="C12176" t="s">
        <v>10</v>
      </c>
      <c r="D12176" t="s">
        <v>24470</v>
      </c>
      <c r="E12176" t="s">
        <v>24471</v>
      </c>
      <c r="G12176" s="1">
        <v>12.64</v>
      </c>
    </row>
    <row r="12177" spans="1:7" ht="14.25" customHeight="1" x14ac:dyDescent="0.45">
      <c r="A12177" t="str">
        <f>_xlfn.XLOOKUP(B12177,Ingot!$H$12:$H$119,Ingot!$G$12:$G$119,"")</f>
        <v>Osso</v>
      </c>
      <c r="B12177" t="s">
        <v>24397</v>
      </c>
      <c r="C12177" t="s">
        <v>10</v>
      </c>
      <c r="D12177" t="s">
        <v>24472</v>
      </c>
      <c r="E12177" t="s">
        <v>24473</v>
      </c>
      <c r="G12177" s="1">
        <v>22.67</v>
      </c>
    </row>
    <row r="12178" spans="1:7" ht="14.25" customHeight="1" x14ac:dyDescent="0.45">
      <c r="A12178" t="str">
        <f>_xlfn.XLOOKUP(B12178,Ingot!$H$12:$H$119,Ingot!$G$12:$G$119,"")</f>
        <v>Osso</v>
      </c>
      <c r="B12178" t="s">
        <v>24397</v>
      </c>
      <c r="C12178" t="s">
        <v>10</v>
      </c>
      <c r="D12178" t="s">
        <v>24474</v>
      </c>
      <c r="E12178" t="s">
        <v>24475</v>
      </c>
      <c r="G12178" s="1">
        <v>8.3800000000000008</v>
      </c>
    </row>
    <row r="12179" spans="1:7" ht="14.25" customHeight="1" x14ac:dyDescent="0.45">
      <c r="A12179" t="str">
        <f>_xlfn.XLOOKUP(B12179,Ingot!$H$12:$H$119,Ingot!$G$12:$G$119,"")</f>
        <v>Osso</v>
      </c>
      <c r="B12179" t="s">
        <v>24397</v>
      </c>
      <c r="C12179" t="s">
        <v>10</v>
      </c>
      <c r="D12179" t="s">
        <v>24476</v>
      </c>
      <c r="E12179" t="s">
        <v>24477</v>
      </c>
      <c r="G12179" s="1">
        <v>2.2000000000000002</v>
      </c>
    </row>
    <row r="12180" spans="1:7" ht="14.25" customHeight="1" x14ac:dyDescent="0.45">
      <c r="A12180" t="str">
        <f>_xlfn.XLOOKUP(B12180,Ingot!$H$12:$H$119,Ingot!$G$12:$G$119,"")</f>
        <v>Osso</v>
      </c>
      <c r="B12180" t="s">
        <v>24397</v>
      </c>
      <c r="C12180" t="s">
        <v>10</v>
      </c>
      <c r="D12180" t="s">
        <v>24478</v>
      </c>
      <c r="E12180" t="s">
        <v>24479</v>
      </c>
      <c r="G12180" s="1">
        <v>3.09</v>
      </c>
    </row>
    <row r="12181" spans="1:7" ht="14.25" customHeight="1" x14ac:dyDescent="0.45">
      <c r="A12181" t="str">
        <f>_xlfn.XLOOKUP(B12181,Ingot!$H$12:$H$119,Ingot!$G$12:$G$119,"")</f>
        <v>Osso</v>
      </c>
      <c r="B12181" t="s">
        <v>24397</v>
      </c>
      <c r="C12181" t="s">
        <v>10</v>
      </c>
      <c r="D12181" t="s">
        <v>24480</v>
      </c>
      <c r="E12181" t="s">
        <v>24481</v>
      </c>
      <c r="G12181" s="1">
        <v>2.2999999999999998</v>
      </c>
    </row>
    <row r="12182" spans="1:7" ht="14.25" customHeight="1" x14ac:dyDescent="0.45">
      <c r="A12182" t="str">
        <f>_xlfn.XLOOKUP(B12182,Ingot!$H$12:$H$119,Ingot!$G$12:$G$119,"")</f>
        <v>Osso</v>
      </c>
      <c r="B12182" t="s">
        <v>24397</v>
      </c>
      <c r="C12182" t="s">
        <v>10</v>
      </c>
      <c r="D12182" t="s">
        <v>24482</v>
      </c>
      <c r="E12182" t="s">
        <v>24483</v>
      </c>
      <c r="G12182" s="1">
        <v>4.88</v>
      </c>
    </row>
    <row r="12183" spans="1:7" ht="14.25" customHeight="1" x14ac:dyDescent="0.45">
      <c r="A12183" t="str">
        <f>_xlfn.XLOOKUP(B12183,Ingot!$H$12:$H$119,Ingot!$G$12:$G$119,"")</f>
        <v>Osso</v>
      </c>
      <c r="B12183" t="s">
        <v>24397</v>
      </c>
      <c r="C12183" t="s">
        <v>10</v>
      </c>
      <c r="D12183" t="s">
        <v>24484</v>
      </c>
      <c r="E12183" t="s">
        <v>24485</v>
      </c>
      <c r="G12183" s="1">
        <v>8.43</v>
      </c>
    </row>
    <row r="12184" spans="1:7" ht="14.25" customHeight="1" x14ac:dyDescent="0.45">
      <c r="A12184" t="str">
        <f>_xlfn.XLOOKUP(B12184,Ingot!$H$12:$H$119,Ingot!$G$12:$G$119,"")</f>
        <v>Osso</v>
      </c>
      <c r="B12184" t="s">
        <v>24397</v>
      </c>
      <c r="C12184" t="s">
        <v>10</v>
      </c>
      <c r="D12184" t="s">
        <v>24486</v>
      </c>
      <c r="E12184" t="s">
        <v>24487</v>
      </c>
      <c r="G12184" s="1">
        <v>13.07</v>
      </c>
    </row>
    <row r="12185" spans="1:7" ht="14.25" customHeight="1" x14ac:dyDescent="0.45">
      <c r="A12185" t="str">
        <f>_xlfn.XLOOKUP(B12185,Ingot!$H$12:$H$119,Ingot!$G$12:$G$119,"")</f>
        <v>Osso</v>
      </c>
      <c r="B12185" t="s">
        <v>24397</v>
      </c>
      <c r="C12185" t="s">
        <v>10</v>
      </c>
      <c r="D12185" t="s">
        <v>24488</v>
      </c>
      <c r="E12185" t="s">
        <v>24489</v>
      </c>
    </row>
    <row r="12186" spans="1:7" ht="14.25" customHeight="1" x14ac:dyDescent="0.45">
      <c r="A12186" t="str">
        <f>_xlfn.XLOOKUP(B12186,Ingot!$H$12:$H$119,Ingot!$G$12:$G$119,"")</f>
        <v>Osso</v>
      </c>
      <c r="B12186" t="s">
        <v>24397</v>
      </c>
      <c r="C12186" t="s">
        <v>10</v>
      </c>
      <c r="D12186" t="s">
        <v>24490</v>
      </c>
      <c r="E12186" t="s">
        <v>24491</v>
      </c>
    </row>
    <row r="12187" spans="1:7" ht="14.25" customHeight="1" x14ac:dyDescent="0.45">
      <c r="A12187" t="str">
        <f>_xlfn.XLOOKUP(B12187,Ingot!$H$12:$H$119,Ingot!$G$12:$G$119,"")</f>
        <v>Osso</v>
      </c>
      <c r="B12187" t="s">
        <v>24397</v>
      </c>
      <c r="C12187" t="s">
        <v>10</v>
      </c>
      <c r="D12187" t="s">
        <v>24492</v>
      </c>
      <c r="E12187" t="s">
        <v>24493</v>
      </c>
      <c r="G12187" s="1">
        <v>6.8</v>
      </c>
    </row>
    <row r="12188" spans="1:7" ht="14.25" customHeight="1" x14ac:dyDescent="0.45">
      <c r="A12188" t="str">
        <f>_xlfn.XLOOKUP(B12188,Ingot!$H$12:$H$119,Ingot!$G$12:$G$119,"")</f>
        <v>Osso</v>
      </c>
      <c r="B12188" t="s">
        <v>24397</v>
      </c>
      <c r="C12188" t="s">
        <v>10</v>
      </c>
      <c r="D12188" t="s">
        <v>24494</v>
      </c>
      <c r="E12188" t="s">
        <v>24495</v>
      </c>
      <c r="G12188" s="1">
        <v>6.88</v>
      </c>
    </row>
    <row r="12189" spans="1:7" ht="14.25" customHeight="1" x14ac:dyDescent="0.45">
      <c r="A12189" t="str">
        <f>_xlfn.XLOOKUP(B12189,Ingot!$H$12:$H$119,Ingot!$G$12:$G$119,"")</f>
        <v>Osso</v>
      </c>
      <c r="B12189" t="s">
        <v>24397</v>
      </c>
      <c r="C12189" t="s">
        <v>10</v>
      </c>
      <c r="D12189" t="s">
        <v>24496</v>
      </c>
      <c r="E12189" t="s">
        <v>24497</v>
      </c>
      <c r="G12189" s="1">
        <v>5.5</v>
      </c>
    </row>
    <row r="12190" spans="1:7" ht="14.25" customHeight="1" x14ac:dyDescent="0.45">
      <c r="A12190" t="str">
        <f>_xlfn.XLOOKUP(B12190,Ingot!$H$12:$H$119,Ingot!$G$12:$G$119,"")</f>
        <v>Osso</v>
      </c>
      <c r="B12190" t="s">
        <v>24397</v>
      </c>
      <c r="C12190" t="s">
        <v>10</v>
      </c>
      <c r="D12190" t="s">
        <v>24498</v>
      </c>
      <c r="E12190" t="s">
        <v>24499</v>
      </c>
      <c r="G12190" s="1">
        <v>2.4300000000000002</v>
      </c>
    </row>
    <row r="12191" spans="1:7" ht="14.25" customHeight="1" x14ac:dyDescent="0.45">
      <c r="A12191" t="str">
        <f>_xlfn.XLOOKUP(B12191,Ingot!$H$12:$H$119,Ingot!$G$12:$G$119,"")</f>
        <v>Osso</v>
      </c>
      <c r="B12191" t="s">
        <v>24397</v>
      </c>
      <c r="C12191" t="s">
        <v>10</v>
      </c>
      <c r="D12191" t="s">
        <v>24500</v>
      </c>
      <c r="E12191" t="s">
        <v>24501</v>
      </c>
      <c r="G12191" s="1">
        <v>6.96</v>
      </c>
    </row>
    <row r="12192" spans="1:7" ht="14.25" customHeight="1" x14ac:dyDescent="0.45">
      <c r="A12192" t="str">
        <f>_xlfn.XLOOKUP(B12192,Ingot!$H$12:$H$119,Ingot!$G$12:$G$119,"")</f>
        <v>Osso</v>
      </c>
      <c r="B12192" t="s">
        <v>24397</v>
      </c>
      <c r="C12192" t="s">
        <v>10</v>
      </c>
      <c r="D12192" t="s">
        <v>24502</v>
      </c>
      <c r="E12192" t="s">
        <v>24503</v>
      </c>
      <c r="G12192" s="1">
        <v>6.32</v>
      </c>
    </row>
    <row r="12193" spans="1:7" ht="14.25" customHeight="1" x14ac:dyDescent="0.45">
      <c r="A12193" t="str">
        <f>_xlfn.XLOOKUP(B12193,Ingot!$H$12:$H$119,Ingot!$G$12:$G$119,"")</f>
        <v>Osso</v>
      </c>
      <c r="B12193" t="s">
        <v>24397</v>
      </c>
      <c r="C12193" t="s">
        <v>10</v>
      </c>
      <c r="D12193" t="s">
        <v>24504</v>
      </c>
      <c r="E12193" t="s">
        <v>24505</v>
      </c>
      <c r="G12193" s="1">
        <v>6.88</v>
      </c>
    </row>
    <row r="12194" spans="1:7" ht="14.25" customHeight="1" x14ac:dyDescent="0.45">
      <c r="A12194" t="str">
        <f>_xlfn.XLOOKUP(B12194,Ingot!$H$12:$H$119,Ingot!$G$12:$G$119,"")</f>
        <v>Osso</v>
      </c>
      <c r="B12194" t="s">
        <v>24397</v>
      </c>
      <c r="C12194" t="s">
        <v>10</v>
      </c>
      <c r="D12194" t="s">
        <v>24506</v>
      </c>
      <c r="E12194" t="s">
        <v>24507</v>
      </c>
      <c r="G12194" s="1">
        <v>2.44</v>
      </c>
    </row>
    <row r="12195" spans="1:7" ht="14.25" customHeight="1" x14ac:dyDescent="0.45">
      <c r="A12195" t="str">
        <f>_xlfn.XLOOKUP(B12195,Ingot!$H$12:$H$119,Ingot!$G$12:$G$119,"")</f>
        <v>Osso</v>
      </c>
      <c r="B12195" t="s">
        <v>24397</v>
      </c>
      <c r="C12195" t="s">
        <v>10</v>
      </c>
      <c r="D12195" t="s">
        <v>24508</v>
      </c>
      <c r="E12195" t="s">
        <v>24509</v>
      </c>
    </row>
    <row r="12196" spans="1:7" ht="14.25" customHeight="1" x14ac:dyDescent="0.45">
      <c r="A12196" t="str">
        <f>_xlfn.XLOOKUP(B12196,Ingot!$H$12:$H$119,Ingot!$G$12:$G$119,"")</f>
        <v>Osso</v>
      </c>
      <c r="B12196" t="s">
        <v>24397</v>
      </c>
      <c r="C12196" t="s">
        <v>10</v>
      </c>
      <c r="D12196" t="s">
        <v>24510</v>
      </c>
      <c r="E12196" t="s">
        <v>24511</v>
      </c>
    </row>
    <row r="12197" spans="1:7" ht="14.25" customHeight="1" x14ac:dyDescent="0.45">
      <c r="A12197" t="str">
        <f>_xlfn.XLOOKUP(B12197,Ingot!$H$12:$H$119,Ingot!$G$12:$G$119,"")</f>
        <v>Osso</v>
      </c>
      <c r="B12197" t="s">
        <v>24397</v>
      </c>
      <c r="C12197" t="s">
        <v>10</v>
      </c>
      <c r="D12197" t="s">
        <v>24512</v>
      </c>
      <c r="E12197" t="s">
        <v>24513</v>
      </c>
      <c r="G12197" s="1">
        <v>3.11</v>
      </c>
    </row>
    <row r="12198" spans="1:7" ht="14.25" customHeight="1" x14ac:dyDescent="0.45">
      <c r="A12198" t="str">
        <f>_xlfn.XLOOKUP(B12198,Ingot!$H$12:$H$119,Ingot!$G$12:$G$119,"")</f>
        <v>Osso</v>
      </c>
      <c r="B12198" t="s">
        <v>24397</v>
      </c>
      <c r="C12198" t="s">
        <v>10</v>
      </c>
      <c r="D12198" t="s">
        <v>24514</v>
      </c>
      <c r="E12198" t="s">
        <v>24515</v>
      </c>
      <c r="G12198" s="1">
        <v>2.44</v>
      </c>
    </row>
    <row r="12199" spans="1:7" ht="14.25" customHeight="1" x14ac:dyDescent="0.45">
      <c r="A12199" t="str">
        <f>_xlfn.XLOOKUP(B12199,Ingot!$H$12:$H$119,Ingot!$G$12:$G$119,"")</f>
        <v>Osso</v>
      </c>
      <c r="B12199" t="s">
        <v>24397</v>
      </c>
      <c r="C12199" t="s">
        <v>10</v>
      </c>
      <c r="D12199" t="s">
        <v>24516</v>
      </c>
      <c r="E12199" t="s">
        <v>24517</v>
      </c>
      <c r="G12199" s="1">
        <v>8.61</v>
      </c>
    </row>
    <row r="12200" spans="1:7" ht="14.25" customHeight="1" x14ac:dyDescent="0.45">
      <c r="A12200" t="str">
        <f>_xlfn.XLOOKUP(B12200,Ingot!$H$12:$H$119,Ingot!$G$12:$G$119,"")</f>
        <v>Osso</v>
      </c>
      <c r="B12200" t="s">
        <v>24397</v>
      </c>
      <c r="C12200" t="s">
        <v>10</v>
      </c>
      <c r="D12200" t="s">
        <v>24518</v>
      </c>
      <c r="E12200" t="s">
        <v>24519</v>
      </c>
    </row>
    <row r="12201" spans="1:7" ht="14.25" customHeight="1" x14ac:dyDescent="0.45">
      <c r="A12201" t="str">
        <f>_xlfn.XLOOKUP(B12201,Ingot!$H$12:$H$119,Ingot!$G$12:$G$119,"")</f>
        <v>Osso</v>
      </c>
      <c r="B12201" t="s">
        <v>24397</v>
      </c>
      <c r="C12201" t="s">
        <v>10</v>
      </c>
      <c r="D12201" t="s">
        <v>24520</v>
      </c>
      <c r="E12201" t="s">
        <v>24521</v>
      </c>
      <c r="G12201" s="1">
        <v>3.21</v>
      </c>
    </row>
    <row r="12202" spans="1:7" ht="14.25" customHeight="1" x14ac:dyDescent="0.45">
      <c r="A12202" t="str">
        <f>_xlfn.XLOOKUP(B12202,Ingot!$H$12:$H$119,Ingot!$G$12:$G$119,"")</f>
        <v>Osso</v>
      </c>
      <c r="B12202" t="s">
        <v>24397</v>
      </c>
      <c r="C12202" t="s">
        <v>10</v>
      </c>
      <c r="D12202" t="s">
        <v>24522</v>
      </c>
      <c r="E12202" t="s">
        <v>24523</v>
      </c>
      <c r="G12202" s="1">
        <v>2.77</v>
      </c>
    </row>
    <row r="12203" spans="1:7" ht="14.25" customHeight="1" x14ac:dyDescent="0.45">
      <c r="A12203" t="str">
        <f>_xlfn.XLOOKUP(B12203,Ingot!$H$12:$H$119,Ingot!$G$12:$G$119,"")</f>
        <v>Osso</v>
      </c>
      <c r="B12203" t="s">
        <v>24397</v>
      </c>
      <c r="C12203" t="s">
        <v>10</v>
      </c>
      <c r="D12203" t="s">
        <v>24524</v>
      </c>
      <c r="E12203" t="s">
        <v>24525</v>
      </c>
      <c r="G12203" s="1">
        <v>4.8899999999999997</v>
      </c>
    </row>
    <row r="12204" spans="1:7" ht="14.25" customHeight="1" x14ac:dyDescent="0.45">
      <c r="A12204" t="str">
        <f>_xlfn.XLOOKUP(B12204,Ingot!$H$12:$H$119,Ingot!$G$12:$G$119,"")</f>
        <v>Osso</v>
      </c>
      <c r="B12204" t="s">
        <v>24397</v>
      </c>
      <c r="C12204" t="s">
        <v>10</v>
      </c>
      <c r="D12204" t="s">
        <v>24526</v>
      </c>
      <c r="E12204" t="s">
        <v>24527</v>
      </c>
      <c r="G12204" s="1">
        <v>1.76</v>
      </c>
    </row>
    <row r="12205" spans="1:7" ht="14.25" customHeight="1" x14ac:dyDescent="0.45">
      <c r="A12205" t="str">
        <f>_xlfn.XLOOKUP(B12205,Ingot!$H$12:$H$119,Ingot!$G$12:$G$119,"")</f>
        <v>Osso</v>
      </c>
      <c r="B12205" t="s">
        <v>24397</v>
      </c>
      <c r="C12205" t="s">
        <v>10</v>
      </c>
      <c r="D12205" t="s">
        <v>24528</v>
      </c>
      <c r="E12205" t="s">
        <v>24529</v>
      </c>
    </row>
    <row r="12206" spans="1:7" ht="14.25" customHeight="1" x14ac:dyDescent="0.45">
      <c r="A12206" t="str">
        <f>_xlfn.XLOOKUP(B12206,Ingot!$H$12:$H$119,Ingot!$G$12:$G$119,"")</f>
        <v>Osso</v>
      </c>
      <c r="B12206" t="s">
        <v>24397</v>
      </c>
      <c r="C12206" t="s">
        <v>10</v>
      </c>
      <c r="D12206" t="s">
        <v>24530</v>
      </c>
      <c r="E12206" t="s">
        <v>24531</v>
      </c>
      <c r="G12206" s="1">
        <v>8.57</v>
      </c>
    </row>
    <row r="12207" spans="1:7" ht="14.25" customHeight="1" x14ac:dyDescent="0.45">
      <c r="A12207" t="str">
        <f>_xlfn.XLOOKUP(B12207,Ingot!$H$12:$H$119,Ingot!$G$12:$G$119,"")</f>
        <v>Osso</v>
      </c>
      <c r="B12207" t="s">
        <v>24397</v>
      </c>
      <c r="C12207" t="s">
        <v>10</v>
      </c>
      <c r="D12207" t="s">
        <v>24532</v>
      </c>
      <c r="E12207" t="s">
        <v>24533</v>
      </c>
    </row>
    <row r="12208" spans="1:7" ht="14.25" customHeight="1" x14ac:dyDescent="0.45">
      <c r="A12208" t="str">
        <f>_xlfn.XLOOKUP(B12208,Ingot!$H$12:$H$119,Ingot!$G$12:$G$119,"")</f>
        <v>Osso</v>
      </c>
      <c r="B12208" t="s">
        <v>24397</v>
      </c>
      <c r="C12208" t="s">
        <v>10</v>
      </c>
      <c r="D12208" t="s">
        <v>24534</v>
      </c>
      <c r="E12208" t="s">
        <v>24535</v>
      </c>
      <c r="G12208" s="1">
        <v>3.56</v>
      </c>
    </row>
    <row r="12209" spans="1:7" ht="14.25" customHeight="1" x14ac:dyDescent="0.45">
      <c r="A12209" t="str">
        <f>_xlfn.XLOOKUP(B12209,Ingot!$H$12:$H$119,Ingot!$G$12:$G$119,"")</f>
        <v>Osso</v>
      </c>
      <c r="B12209" t="s">
        <v>24397</v>
      </c>
      <c r="C12209" t="s">
        <v>10</v>
      </c>
      <c r="D12209" t="s">
        <v>24536</v>
      </c>
      <c r="E12209" t="s">
        <v>24537</v>
      </c>
      <c r="G12209" s="1">
        <v>8.91</v>
      </c>
    </row>
    <row r="12210" spans="1:7" ht="14.25" customHeight="1" x14ac:dyDescent="0.45">
      <c r="A12210" t="str">
        <f>_xlfn.XLOOKUP(B12210,Ingot!$H$12:$H$119,Ingot!$G$12:$G$119,"")</f>
        <v>Osso</v>
      </c>
      <c r="B12210" t="s">
        <v>24397</v>
      </c>
      <c r="C12210" t="s">
        <v>10</v>
      </c>
      <c r="D12210" t="s">
        <v>24538</v>
      </c>
      <c r="E12210" t="s">
        <v>24539</v>
      </c>
      <c r="G12210" s="1">
        <v>11.02</v>
      </c>
    </row>
    <row r="12211" spans="1:7" ht="14.25" customHeight="1" x14ac:dyDescent="0.45">
      <c r="A12211" t="str">
        <f>_xlfn.XLOOKUP(B12211,Ingot!$H$12:$H$119,Ingot!$G$12:$G$119,"")</f>
        <v>Osso</v>
      </c>
      <c r="B12211" t="s">
        <v>24397</v>
      </c>
      <c r="C12211" t="s">
        <v>10</v>
      </c>
      <c r="D12211" t="s">
        <v>24540</v>
      </c>
      <c r="E12211" t="s">
        <v>24541</v>
      </c>
      <c r="G12211" s="1">
        <v>5.12</v>
      </c>
    </row>
    <row r="12212" spans="1:7" ht="14.25" customHeight="1" x14ac:dyDescent="0.45">
      <c r="A12212" t="str">
        <f>_xlfn.XLOOKUP(B12212,Ingot!$H$12:$H$119,Ingot!$G$12:$G$119,"")</f>
        <v>Osso</v>
      </c>
      <c r="B12212" t="s">
        <v>24397</v>
      </c>
      <c r="C12212" t="s">
        <v>10</v>
      </c>
      <c r="D12212" t="s">
        <v>24542</v>
      </c>
      <c r="E12212" t="s">
        <v>24543</v>
      </c>
      <c r="G12212" s="1">
        <v>4.41</v>
      </c>
    </row>
    <row r="12213" spans="1:7" ht="14.25" customHeight="1" x14ac:dyDescent="0.45">
      <c r="A12213" t="str">
        <f>_xlfn.XLOOKUP(B12213,Ingot!$H$12:$H$119,Ingot!$G$12:$G$119,"")</f>
        <v>Osso</v>
      </c>
      <c r="B12213" t="s">
        <v>24397</v>
      </c>
      <c r="C12213" t="s">
        <v>157</v>
      </c>
      <c r="D12213" t="s">
        <v>24544</v>
      </c>
      <c r="E12213" t="s">
        <v>24545</v>
      </c>
      <c r="G12213" s="1">
        <v>20.5</v>
      </c>
    </row>
    <row r="12214" spans="1:7" ht="14.25" customHeight="1" x14ac:dyDescent="0.45">
      <c r="A12214" t="str">
        <f>_xlfn.XLOOKUP(B12214,Ingot!$H$12:$H$119,Ingot!$G$12:$G$119,"")</f>
        <v>Osso</v>
      </c>
      <c r="B12214" t="s">
        <v>24397</v>
      </c>
      <c r="C12214" t="s">
        <v>157</v>
      </c>
      <c r="D12214" t="s">
        <v>24546</v>
      </c>
      <c r="E12214" t="s">
        <v>24547</v>
      </c>
      <c r="G12214" s="1">
        <v>5</v>
      </c>
    </row>
    <row r="12215" spans="1:7" ht="14.25" customHeight="1" x14ac:dyDescent="0.45">
      <c r="A12215" t="str">
        <f>_xlfn.XLOOKUP(B12215,Ingot!$H$12:$H$119,Ingot!$G$12:$G$119,"")</f>
        <v>Osso</v>
      </c>
      <c r="B12215" t="s">
        <v>24397</v>
      </c>
      <c r="C12215" t="s">
        <v>157</v>
      </c>
      <c r="D12215" t="s">
        <v>24548</v>
      </c>
      <c r="E12215" t="s">
        <v>24549</v>
      </c>
      <c r="G12215" s="1">
        <v>5</v>
      </c>
    </row>
    <row r="12216" spans="1:7" ht="14.25" customHeight="1" x14ac:dyDescent="0.45">
      <c r="A12216" t="str">
        <f>_xlfn.XLOOKUP(B12216,Ingot!$H$12:$H$119,Ingot!$G$12:$G$119,"")</f>
        <v>Osso</v>
      </c>
      <c r="B12216" t="s">
        <v>24397</v>
      </c>
      <c r="C12216" t="s">
        <v>157</v>
      </c>
      <c r="D12216" t="s">
        <v>24550</v>
      </c>
      <c r="E12216" t="s">
        <v>24551</v>
      </c>
      <c r="G12216" s="1">
        <v>5</v>
      </c>
    </row>
    <row r="12217" spans="1:7" ht="14.25" customHeight="1" x14ac:dyDescent="0.45">
      <c r="A12217" t="str">
        <f>_xlfn.XLOOKUP(B12217,Ingot!$H$12:$H$119,Ingot!$G$12:$G$119,"")</f>
        <v>Osso</v>
      </c>
      <c r="B12217" t="s">
        <v>24397</v>
      </c>
      <c r="C12217" t="s">
        <v>157</v>
      </c>
      <c r="D12217" t="s">
        <v>24552</v>
      </c>
      <c r="E12217" t="s">
        <v>24553</v>
      </c>
      <c r="G12217" s="1">
        <v>10</v>
      </c>
    </row>
    <row r="12218" spans="1:7" ht="14.25" customHeight="1" x14ac:dyDescent="0.45">
      <c r="A12218" t="str">
        <f>_xlfn.XLOOKUP(B12218,Ingot!$H$12:$H$119,Ingot!$G$12:$G$119,"")</f>
        <v>Osso</v>
      </c>
      <c r="B12218" t="s">
        <v>24397</v>
      </c>
      <c r="C12218" t="s">
        <v>157</v>
      </c>
      <c r="D12218" t="s">
        <v>24554</v>
      </c>
      <c r="E12218" t="s">
        <v>24555</v>
      </c>
      <c r="G12218" s="1">
        <v>17</v>
      </c>
    </row>
    <row r="12219" spans="1:7" ht="14.25" customHeight="1" x14ac:dyDescent="0.45">
      <c r="A12219" t="str">
        <f>_xlfn.XLOOKUP(B12219,Ingot!$H$12:$H$119,Ingot!$G$12:$G$119,"")</f>
        <v>Osso</v>
      </c>
      <c r="B12219" t="s">
        <v>24397</v>
      </c>
      <c r="C12219" t="s">
        <v>157</v>
      </c>
      <c r="D12219" t="s">
        <v>24556</v>
      </c>
      <c r="E12219" t="s">
        <v>24557</v>
      </c>
      <c r="G12219" s="1">
        <v>5</v>
      </c>
    </row>
    <row r="12220" spans="1:7" ht="14.25" customHeight="1" x14ac:dyDescent="0.45">
      <c r="A12220" t="str">
        <f>_xlfn.XLOOKUP(B12220,Ingot!$H$12:$H$119,Ingot!$G$12:$G$119,"")</f>
        <v>Osso</v>
      </c>
      <c r="B12220" t="s">
        <v>24397</v>
      </c>
      <c r="C12220" t="s">
        <v>157</v>
      </c>
      <c r="D12220" t="s">
        <v>24558</v>
      </c>
      <c r="E12220" t="s">
        <v>24559</v>
      </c>
      <c r="G12220" s="1">
        <v>5</v>
      </c>
    </row>
    <row r="12221" spans="1:7" ht="14.25" customHeight="1" x14ac:dyDescent="0.45">
      <c r="A12221" t="str">
        <f>_xlfn.XLOOKUP(B12221,Ingot!$H$12:$H$119,Ingot!$G$12:$G$119,"")</f>
        <v>Osso</v>
      </c>
      <c r="B12221" t="s">
        <v>24397</v>
      </c>
      <c r="C12221" t="s">
        <v>157</v>
      </c>
      <c r="D12221" t="s">
        <v>24560</v>
      </c>
      <c r="E12221" t="s">
        <v>24561</v>
      </c>
      <c r="G12221" s="1">
        <v>5</v>
      </c>
    </row>
    <row r="12222" spans="1:7" ht="14.25" customHeight="1" x14ac:dyDescent="0.45">
      <c r="A12222" t="str">
        <f>_xlfn.XLOOKUP(B12222,Ingot!$H$12:$H$119,Ingot!$G$12:$G$119,"")</f>
        <v>Osso</v>
      </c>
      <c r="B12222" t="s">
        <v>24397</v>
      </c>
      <c r="C12222" t="s">
        <v>157</v>
      </c>
      <c r="D12222" t="s">
        <v>24562</v>
      </c>
      <c r="E12222" t="s">
        <v>24563</v>
      </c>
      <c r="G12222" s="1">
        <v>10</v>
      </c>
    </row>
    <row r="12223" spans="1:7" ht="14.25" customHeight="1" x14ac:dyDescent="0.45">
      <c r="A12223" t="str">
        <f>_xlfn.XLOOKUP(B12223,Ingot!$H$12:$H$119,Ingot!$G$12:$G$119,"")</f>
        <v>Osso</v>
      </c>
      <c r="B12223" t="s">
        <v>24397</v>
      </c>
      <c r="C12223" t="s">
        <v>157</v>
      </c>
      <c r="D12223" t="s">
        <v>24564</v>
      </c>
      <c r="E12223" t="s">
        <v>24565</v>
      </c>
      <c r="G12223" s="1">
        <v>16.5</v>
      </c>
    </row>
    <row r="12224" spans="1:7" ht="14.25" customHeight="1" x14ac:dyDescent="0.45">
      <c r="A12224" t="str">
        <f>_xlfn.XLOOKUP(B12224,Ingot!$H$12:$H$119,Ingot!$G$12:$G$119,"")</f>
        <v>Osso</v>
      </c>
      <c r="B12224" t="s">
        <v>24397</v>
      </c>
      <c r="C12224" t="s">
        <v>157</v>
      </c>
      <c r="D12224" t="s">
        <v>24566</v>
      </c>
      <c r="E12224" t="s">
        <v>24567</v>
      </c>
      <c r="G12224" s="1">
        <v>5</v>
      </c>
    </row>
    <row r="12225" spans="1:7" ht="14.25" customHeight="1" x14ac:dyDescent="0.45">
      <c r="A12225" t="str">
        <f>_xlfn.XLOOKUP(B12225,Ingot!$H$12:$H$119,Ingot!$G$12:$G$119,"")</f>
        <v>Osso</v>
      </c>
      <c r="B12225" t="s">
        <v>24397</v>
      </c>
      <c r="C12225" t="s">
        <v>157</v>
      </c>
      <c r="D12225" t="s">
        <v>24568</v>
      </c>
      <c r="E12225" t="s">
        <v>24569</v>
      </c>
      <c r="G12225" s="1">
        <v>5</v>
      </c>
    </row>
    <row r="12226" spans="1:7" ht="14.25" customHeight="1" x14ac:dyDescent="0.45">
      <c r="A12226" t="str">
        <f>_xlfn.XLOOKUP(B12226,Ingot!$H$12:$H$119,Ingot!$G$12:$G$119,"")</f>
        <v>Osso</v>
      </c>
      <c r="B12226" t="s">
        <v>24397</v>
      </c>
      <c r="C12226" t="s">
        <v>157</v>
      </c>
      <c r="D12226" t="s">
        <v>24570</v>
      </c>
      <c r="E12226" t="s">
        <v>24571</v>
      </c>
      <c r="G12226" s="1">
        <v>5</v>
      </c>
    </row>
    <row r="12227" spans="1:7" ht="14.25" customHeight="1" x14ac:dyDescent="0.45">
      <c r="A12227" t="str">
        <f>_xlfn.XLOOKUP(B12227,Ingot!$H$12:$H$119,Ingot!$G$12:$G$119,"")</f>
        <v>Osso</v>
      </c>
      <c r="B12227" t="s">
        <v>24397</v>
      </c>
      <c r="C12227" t="s">
        <v>157</v>
      </c>
      <c r="D12227" t="s">
        <v>24572</v>
      </c>
      <c r="E12227" t="s">
        <v>24573</v>
      </c>
      <c r="G12227" s="1">
        <v>10</v>
      </c>
    </row>
    <row r="12228" spans="1:7" ht="14.25" customHeight="1" x14ac:dyDescent="0.45">
      <c r="A12228" t="str">
        <f>_xlfn.XLOOKUP(B12228,Ingot!$H$12:$H$119,Ingot!$G$12:$G$119,"")</f>
        <v>Osso</v>
      </c>
      <c r="B12228" t="s">
        <v>24397</v>
      </c>
      <c r="C12228" t="s">
        <v>157</v>
      </c>
      <c r="D12228" t="s">
        <v>24574</v>
      </c>
      <c r="E12228" t="s">
        <v>24575</v>
      </c>
      <c r="G12228" s="1">
        <v>18</v>
      </c>
    </row>
    <row r="12229" spans="1:7" ht="14.25" customHeight="1" x14ac:dyDescent="0.45">
      <c r="A12229" t="str">
        <f>_xlfn.XLOOKUP(B12229,Ingot!$H$12:$H$119,Ingot!$G$12:$G$119,"")</f>
        <v>Osso</v>
      </c>
      <c r="B12229" t="s">
        <v>24397</v>
      </c>
      <c r="C12229" t="s">
        <v>157</v>
      </c>
      <c r="D12229" t="s">
        <v>24576</v>
      </c>
      <c r="E12229" t="s">
        <v>24577</v>
      </c>
      <c r="G12229" s="1">
        <v>5</v>
      </c>
    </row>
    <row r="12230" spans="1:7" ht="14.25" customHeight="1" x14ac:dyDescent="0.45">
      <c r="A12230" t="str">
        <f>_xlfn.XLOOKUP(B12230,Ingot!$H$12:$H$119,Ingot!$G$12:$G$119,"")</f>
        <v>Osso</v>
      </c>
      <c r="B12230" t="s">
        <v>24397</v>
      </c>
      <c r="C12230" t="s">
        <v>157</v>
      </c>
      <c r="D12230" t="s">
        <v>24578</v>
      </c>
      <c r="E12230" t="s">
        <v>24579</v>
      </c>
      <c r="G12230" s="1">
        <v>5</v>
      </c>
    </row>
    <row r="12231" spans="1:7" ht="14.25" customHeight="1" x14ac:dyDescent="0.45">
      <c r="A12231" t="str">
        <f>_xlfn.XLOOKUP(B12231,Ingot!$H$12:$H$119,Ingot!$G$12:$G$119,"")</f>
        <v>Osso</v>
      </c>
      <c r="B12231" t="s">
        <v>24397</v>
      </c>
      <c r="C12231" t="s">
        <v>157</v>
      </c>
      <c r="D12231" t="s">
        <v>24580</v>
      </c>
      <c r="E12231" t="s">
        <v>24581</v>
      </c>
      <c r="G12231" s="1">
        <v>5</v>
      </c>
    </row>
    <row r="12232" spans="1:7" ht="14.25" customHeight="1" x14ac:dyDescent="0.45">
      <c r="A12232" t="str">
        <f>_xlfn.XLOOKUP(B12232,Ingot!$H$12:$H$119,Ingot!$G$12:$G$119,"")</f>
        <v>Osso</v>
      </c>
      <c r="B12232" t="s">
        <v>24397</v>
      </c>
      <c r="C12232" t="s">
        <v>157</v>
      </c>
      <c r="D12232" t="s">
        <v>24582</v>
      </c>
      <c r="E12232" t="s">
        <v>24583</v>
      </c>
      <c r="G12232" s="1">
        <v>10</v>
      </c>
    </row>
    <row r="12233" spans="1:7" ht="14.25" customHeight="1" x14ac:dyDescent="0.45">
      <c r="A12233" t="str">
        <f>_xlfn.XLOOKUP(B12233,Ingot!$H$12:$H$119,Ingot!$G$12:$G$119,"")</f>
        <v>Osso</v>
      </c>
      <c r="B12233" t="s">
        <v>24397</v>
      </c>
      <c r="C12233" t="s">
        <v>157</v>
      </c>
      <c r="D12233" t="s">
        <v>24584</v>
      </c>
      <c r="E12233" t="s">
        <v>24585</v>
      </c>
      <c r="G12233" s="1">
        <v>19</v>
      </c>
    </row>
    <row r="12234" spans="1:7" ht="14.25" customHeight="1" x14ac:dyDescent="0.45">
      <c r="A12234" t="str">
        <f>_xlfn.XLOOKUP(B12234,Ingot!$H$12:$H$119,Ingot!$G$12:$G$119,"")</f>
        <v>Osso</v>
      </c>
      <c r="B12234" t="s">
        <v>24397</v>
      </c>
      <c r="C12234" t="s">
        <v>157</v>
      </c>
      <c r="D12234" t="s">
        <v>24586</v>
      </c>
      <c r="E12234" t="s">
        <v>24587</v>
      </c>
      <c r="G12234" s="1">
        <v>5</v>
      </c>
    </row>
    <row r="12235" spans="1:7" ht="14.25" customHeight="1" x14ac:dyDescent="0.45">
      <c r="A12235" t="str">
        <f>_xlfn.XLOOKUP(B12235,Ingot!$H$12:$H$119,Ingot!$G$12:$G$119,"")</f>
        <v>Osso</v>
      </c>
      <c r="B12235" t="s">
        <v>24397</v>
      </c>
      <c r="C12235" t="s">
        <v>157</v>
      </c>
      <c r="D12235" t="s">
        <v>24588</v>
      </c>
      <c r="E12235" t="s">
        <v>24589</v>
      </c>
      <c r="G12235" s="1">
        <v>5</v>
      </c>
    </row>
    <row r="12236" spans="1:7" ht="14.25" customHeight="1" x14ac:dyDescent="0.45">
      <c r="A12236" t="str">
        <f>_xlfn.XLOOKUP(B12236,Ingot!$H$12:$H$119,Ingot!$G$12:$G$119,"")</f>
        <v>Osso</v>
      </c>
      <c r="B12236" t="s">
        <v>24397</v>
      </c>
      <c r="C12236" t="s">
        <v>157</v>
      </c>
      <c r="D12236" t="s">
        <v>24590</v>
      </c>
      <c r="E12236" t="s">
        <v>24591</v>
      </c>
      <c r="G12236" s="1">
        <v>5</v>
      </c>
    </row>
    <row r="12237" spans="1:7" ht="14.25" customHeight="1" x14ac:dyDescent="0.45">
      <c r="A12237" t="str">
        <f>_xlfn.XLOOKUP(B12237,Ingot!$H$12:$H$119,Ingot!$G$12:$G$119,"")</f>
        <v>Osso</v>
      </c>
      <c r="B12237" t="s">
        <v>24397</v>
      </c>
      <c r="C12237" t="s">
        <v>157</v>
      </c>
      <c r="D12237" t="s">
        <v>24592</v>
      </c>
      <c r="E12237" t="s">
        <v>24593</v>
      </c>
      <c r="G12237" s="1">
        <v>10</v>
      </c>
    </row>
    <row r="12238" spans="1:7" ht="14.25" customHeight="1" x14ac:dyDescent="0.45">
      <c r="A12238" t="str">
        <f>_xlfn.XLOOKUP(B12238,Ingot!$H$12:$H$119,Ingot!$G$12:$G$119,"")</f>
        <v>Osso</v>
      </c>
      <c r="B12238" t="s">
        <v>24397</v>
      </c>
      <c r="C12238" t="s">
        <v>157</v>
      </c>
      <c r="D12238" t="s">
        <v>24594</v>
      </c>
      <c r="E12238" t="s">
        <v>24595</v>
      </c>
      <c r="G12238" s="1">
        <v>23</v>
      </c>
    </row>
    <row r="12239" spans="1:7" ht="14.25" customHeight="1" x14ac:dyDescent="0.45">
      <c r="A12239" t="str">
        <f>_xlfn.XLOOKUP(B12239,Ingot!$H$12:$H$119,Ingot!$G$12:$G$119,"")</f>
        <v>Osso</v>
      </c>
      <c r="B12239" t="s">
        <v>24397</v>
      </c>
      <c r="C12239" t="s">
        <v>157</v>
      </c>
      <c r="D12239" t="s">
        <v>24596</v>
      </c>
      <c r="E12239" t="s">
        <v>24597</v>
      </c>
      <c r="G12239" s="1">
        <v>5</v>
      </c>
    </row>
    <row r="12240" spans="1:7" ht="14.25" customHeight="1" x14ac:dyDescent="0.45">
      <c r="A12240" t="str">
        <f>_xlfn.XLOOKUP(B12240,Ingot!$H$12:$H$119,Ingot!$G$12:$G$119,"")</f>
        <v>Osso</v>
      </c>
      <c r="B12240" t="s">
        <v>24397</v>
      </c>
      <c r="C12240" t="s">
        <v>157</v>
      </c>
      <c r="D12240" t="s">
        <v>24598</v>
      </c>
      <c r="E12240" t="s">
        <v>24599</v>
      </c>
      <c r="G12240" s="1">
        <v>5</v>
      </c>
    </row>
    <row r="12241" spans="1:7" ht="14.25" customHeight="1" x14ac:dyDescent="0.45">
      <c r="A12241" t="str">
        <f>_xlfn.XLOOKUP(B12241,Ingot!$H$12:$H$119,Ingot!$G$12:$G$119,"")</f>
        <v>Osso</v>
      </c>
      <c r="B12241" t="s">
        <v>24397</v>
      </c>
      <c r="C12241" t="s">
        <v>157</v>
      </c>
      <c r="D12241" t="s">
        <v>24600</v>
      </c>
      <c r="E12241" t="s">
        <v>24601</v>
      </c>
      <c r="G12241" s="1">
        <v>5</v>
      </c>
    </row>
    <row r="12242" spans="1:7" ht="14.25" customHeight="1" x14ac:dyDescent="0.45">
      <c r="A12242" t="str">
        <f>_xlfn.XLOOKUP(B12242,Ingot!$H$12:$H$119,Ingot!$G$12:$G$119,"")</f>
        <v>Osso</v>
      </c>
      <c r="B12242" t="s">
        <v>24397</v>
      </c>
      <c r="C12242" t="s">
        <v>157</v>
      </c>
      <c r="D12242" t="s">
        <v>24602</v>
      </c>
      <c r="E12242" t="s">
        <v>24603</v>
      </c>
      <c r="G12242" s="1">
        <v>10</v>
      </c>
    </row>
    <row r="12243" spans="1:7" ht="14.25" customHeight="1" x14ac:dyDescent="0.45">
      <c r="A12243" t="str">
        <f>_xlfn.XLOOKUP(B12243,Ingot!$H$12:$H$119,Ingot!$G$12:$G$119,"")</f>
        <v>Osso</v>
      </c>
      <c r="B12243" t="s">
        <v>24397</v>
      </c>
      <c r="C12243" t="s">
        <v>157</v>
      </c>
      <c r="D12243" t="s">
        <v>24604</v>
      </c>
      <c r="E12243" t="s">
        <v>24605</v>
      </c>
      <c r="G12243" s="1">
        <v>22</v>
      </c>
    </row>
    <row r="12244" spans="1:7" ht="14.25" customHeight="1" x14ac:dyDescent="0.45">
      <c r="A12244" t="str">
        <f>_xlfn.XLOOKUP(B12244,Ingot!$H$12:$H$119,Ingot!$G$12:$G$119,"")</f>
        <v>Osso</v>
      </c>
      <c r="B12244" t="s">
        <v>24397</v>
      </c>
      <c r="C12244" t="s">
        <v>157</v>
      </c>
      <c r="D12244" t="s">
        <v>24606</v>
      </c>
      <c r="E12244" t="s">
        <v>24607</v>
      </c>
      <c r="G12244" s="1">
        <v>5</v>
      </c>
    </row>
    <row r="12245" spans="1:7" ht="14.25" customHeight="1" x14ac:dyDescent="0.45">
      <c r="A12245" t="str">
        <f>_xlfn.XLOOKUP(B12245,Ingot!$H$12:$H$119,Ingot!$G$12:$G$119,"")</f>
        <v>Osso</v>
      </c>
      <c r="B12245" t="s">
        <v>24397</v>
      </c>
      <c r="C12245" t="s">
        <v>157</v>
      </c>
      <c r="D12245" t="s">
        <v>24608</v>
      </c>
      <c r="E12245" t="s">
        <v>24609</v>
      </c>
      <c r="G12245" s="1">
        <v>5</v>
      </c>
    </row>
    <row r="12246" spans="1:7" ht="14.25" customHeight="1" x14ac:dyDescent="0.45">
      <c r="A12246" t="str">
        <f>_xlfn.XLOOKUP(B12246,Ingot!$H$12:$H$119,Ingot!$G$12:$G$119,"")</f>
        <v>Osso</v>
      </c>
      <c r="B12246" t="s">
        <v>24397</v>
      </c>
      <c r="C12246" t="s">
        <v>157</v>
      </c>
      <c r="D12246" t="s">
        <v>24610</v>
      </c>
      <c r="E12246" t="s">
        <v>24611</v>
      </c>
      <c r="G12246" s="1">
        <v>5</v>
      </c>
    </row>
    <row r="12247" spans="1:7" ht="14.25" customHeight="1" x14ac:dyDescent="0.45">
      <c r="A12247" t="str">
        <f>_xlfn.XLOOKUP(B12247,Ingot!$H$12:$H$119,Ingot!$G$12:$G$119,"")</f>
        <v>Osso</v>
      </c>
      <c r="B12247" t="s">
        <v>24397</v>
      </c>
      <c r="C12247" t="s">
        <v>157</v>
      </c>
      <c r="D12247" t="s">
        <v>24612</v>
      </c>
      <c r="E12247" t="s">
        <v>24613</v>
      </c>
      <c r="G12247" s="1">
        <v>10</v>
      </c>
    </row>
    <row r="12248" spans="1:7" ht="14.25" customHeight="1" x14ac:dyDescent="0.45">
      <c r="A12248" t="str">
        <f>_xlfn.XLOOKUP(B12248,Ingot!$H$12:$H$119,Ingot!$G$12:$G$119,"")</f>
        <v>Osso</v>
      </c>
      <c r="B12248" t="s">
        <v>24397</v>
      </c>
      <c r="C12248" t="s">
        <v>157</v>
      </c>
      <c r="D12248" t="s">
        <v>24614</v>
      </c>
      <c r="E12248" t="s">
        <v>24615</v>
      </c>
      <c r="G12248" s="1">
        <v>16</v>
      </c>
    </row>
    <row r="12249" spans="1:7" ht="14.25" customHeight="1" x14ac:dyDescent="0.45">
      <c r="A12249" t="str">
        <f>_xlfn.XLOOKUP(B12249,Ingot!$H$12:$H$119,Ingot!$G$12:$G$119,"")</f>
        <v>Osso</v>
      </c>
      <c r="B12249" t="s">
        <v>24397</v>
      </c>
      <c r="C12249" t="s">
        <v>157</v>
      </c>
      <c r="D12249" t="s">
        <v>24616</v>
      </c>
      <c r="E12249" t="s">
        <v>24617</v>
      </c>
      <c r="G12249" s="1">
        <v>5</v>
      </c>
    </row>
    <row r="12250" spans="1:7" ht="14.25" customHeight="1" x14ac:dyDescent="0.45">
      <c r="A12250" t="str">
        <f>_xlfn.XLOOKUP(B12250,Ingot!$H$12:$H$119,Ingot!$G$12:$G$119,"")</f>
        <v>Osso</v>
      </c>
      <c r="B12250" t="s">
        <v>24397</v>
      </c>
      <c r="C12250" t="s">
        <v>157</v>
      </c>
      <c r="D12250" t="s">
        <v>24618</v>
      </c>
      <c r="E12250" t="s">
        <v>24619</v>
      </c>
      <c r="G12250" s="1">
        <v>5</v>
      </c>
    </row>
    <row r="12251" spans="1:7" ht="14.25" customHeight="1" x14ac:dyDescent="0.45">
      <c r="A12251" t="str">
        <f>_xlfn.XLOOKUP(B12251,Ingot!$H$12:$H$119,Ingot!$G$12:$G$119,"")</f>
        <v>Osso</v>
      </c>
      <c r="B12251" t="s">
        <v>24397</v>
      </c>
      <c r="C12251" t="s">
        <v>157</v>
      </c>
      <c r="D12251" t="s">
        <v>24620</v>
      </c>
      <c r="E12251" t="s">
        <v>24621</v>
      </c>
      <c r="G12251" s="1">
        <v>5</v>
      </c>
    </row>
    <row r="12252" spans="1:7" ht="14.25" customHeight="1" x14ac:dyDescent="0.45">
      <c r="A12252" t="str">
        <f>_xlfn.XLOOKUP(B12252,Ingot!$H$12:$H$119,Ingot!$G$12:$G$119,"")</f>
        <v>Osso</v>
      </c>
      <c r="B12252" t="s">
        <v>24397</v>
      </c>
      <c r="C12252" t="s">
        <v>157</v>
      </c>
      <c r="D12252" t="s">
        <v>24622</v>
      </c>
      <c r="E12252" t="s">
        <v>24623</v>
      </c>
      <c r="G12252" s="1">
        <v>10</v>
      </c>
    </row>
    <row r="12253" spans="1:7" ht="14.25" customHeight="1" x14ac:dyDescent="0.45">
      <c r="A12253" t="str">
        <f>_xlfn.XLOOKUP(B12253,Ingot!$H$12:$H$119,Ingot!$G$12:$G$119,"")</f>
        <v>Osso</v>
      </c>
      <c r="B12253" t="s">
        <v>24397</v>
      </c>
      <c r="C12253" t="s">
        <v>239</v>
      </c>
      <c r="D12253" t="s">
        <v>24624</v>
      </c>
      <c r="E12253" t="s">
        <v>24625</v>
      </c>
    </row>
    <row r="12254" spans="1:7" ht="14.25" customHeight="1" x14ac:dyDescent="0.45">
      <c r="A12254" t="str">
        <f>_xlfn.XLOOKUP(B12254,Ingot!$H$12:$H$119,Ingot!$G$12:$G$119,"")</f>
        <v>Osso</v>
      </c>
      <c r="B12254" t="s">
        <v>24397</v>
      </c>
      <c r="C12254" t="s">
        <v>239</v>
      </c>
      <c r="D12254" t="s">
        <v>24626</v>
      </c>
      <c r="E12254" t="s">
        <v>24627</v>
      </c>
    </row>
    <row r="12255" spans="1:7" ht="14.25" customHeight="1" x14ac:dyDescent="0.45">
      <c r="A12255" t="str">
        <f>_xlfn.XLOOKUP(B12255,Ingot!$H$12:$H$119,Ingot!$G$12:$G$119,"")</f>
        <v>Osso</v>
      </c>
      <c r="B12255" t="s">
        <v>24397</v>
      </c>
      <c r="C12255" t="s">
        <v>239</v>
      </c>
      <c r="D12255" t="s">
        <v>24628</v>
      </c>
      <c r="E12255" t="s">
        <v>24629</v>
      </c>
    </row>
    <row r="12256" spans="1:7" ht="14.25" customHeight="1" x14ac:dyDescent="0.45">
      <c r="A12256" t="str">
        <f>_xlfn.XLOOKUP(B12256,Ingot!$H$12:$H$119,Ingot!$G$12:$G$119,"")</f>
        <v>Osso</v>
      </c>
      <c r="B12256" t="s">
        <v>24397</v>
      </c>
      <c r="C12256" t="s">
        <v>239</v>
      </c>
      <c r="D12256" t="s">
        <v>24630</v>
      </c>
      <c r="E12256" t="s">
        <v>24631</v>
      </c>
    </row>
    <row r="12257" spans="1:7" ht="14.25" customHeight="1" x14ac:dyDescent="0.45">
      <c r="A12257" t="str">
        <f>_xlfn.XLOOKUP(B12257,Ingot!$H$12:$H$119,Ingot!$G$12:$G$119,"")</f>
        <v>Osso</v>
      </c>
      <c r="B12257" t="s">
        <v>24397</v>
      </c>
      <c r="C12257" t="s">
        <v>239</v>
      </c>
      <c r="D12257" t="s">
        <v>24632</v>
      </c>
      <c r="E12257" t="s">
        <v>24633</v>
      </c>
    </row>
    <row r="12258" spans="1:7" ht="14.25" customHeight="1" x14ac:dyDescent="0.45">
      <c r="A12258" t="str">
        <f>_xlfn.XLOOKUP(B12258,Ingot!$H$12:$H$119,Ingot!$G$12:$G$119,"")</f>
        <v>Osso</v>
      </c>
      <c r="B12258" t="s">
        <v>24397</v>
      </c>
      <c r="C12258" t="s">
        <v>239</v>
      </c>
      <c r="D12258" t="s">
        <v>24634</v>
      </c>
      <c r="E12258" t="s">
        <v>24635</v>
      </c>
    </row>
    <row r="12259" spans="1:7" ht="14.25" customHeight="1" x14ac:dyDescent="0.45">
      <c r="A12259" t="str">
        <f>_xlfn.XLOOKUP(B12259,Ingot!$H$12:$H$119,Ingot!$G$12:$G$119,"")</f>
        <v>Osso</v>
      </c>
      <c r="B12259" t="s">
        <v>24636</v>
      </c>
      <c r="C12259" t="s">
        <v>10</v>
      </c>
      <c r="D12259" t="s">
        <v>24637</v>
      </c>
      <c r="E12259" t="s">
        <v>24638</v>
      </c>
      <c r="G12259" s="1">
        <v>0.08</v>
      </c>
    </row>
    <row r="12260" spans="1:7" ht="14.25" customHeight="1" x14ac:dyDescent="0.45">
      <c r="A12260" t="str">
        <f>_xlfn.XLOOKUP(B12260,Ingot!$H$12:$H$119,Ingot!$G$12:$G$119,"")</f>
        <v>Osso</v>
      </c>
      <c r="B12260" t="s">
        <v>24636</v>
      </c>
      <c r="C12260" t="s">
        <v>10</v>
      </c>
      <c r="D12260" t="s">
        <v>24639</v>
      </c>
      <c r="E12260" t="s">
        <v>24640</v>
      </c>
      <c r="G12260" s="1">
        <v>9.9</v>
      </c>
    </row>
    <row r="12261" spans="1:7" ht="14.25" customHeight="1" x14ac:dyDescent="0.45">
      <c r="A12261" t="str">
        <f>_xlfn.XLOOKUP(B12261,Ingot!$H$12:$H$119,Ingot!$G$12:$G$119,"")</f>
        <v>Osso</v>
      </c>
      <c r="B12261" t="s">
        <v>24636</v>
      </c>
      <c r="C12261" t="s">
        <v>10</v>
      </c>
      <c r="D12261" t="s">
        <v>24641</v>
      </c>
      <c r="E12261" t="s">
        <v>24642</v>
      </c>
      <c r="G12261" s="1">
        <v>5.66</v>
      </c>
    </row>
    <row r="12262" spans="1:7" ht="14.25" customHeight="1" x14ac:dyDescent="0.45">
      <c r="A12262" t="str">
        <f>_xlfn.XLOOKUP(B12262,Ingot!$H$12:$H$119,Ingot!$G$12:$G$119,"")</f>
        <v>Osso</v>
      </c>
      <c r="B12262" t="s">
        <v>24636</v>
      </c>
      <c r="C12262" t="s">
        <v>10</v>
      </c>
      <c r="D12262" t="s">
        <v>24643</v>
      </c>
      <c r="E12262" t="s">
        <v>24644</v>
      </c>
      <c r="G12262" s="1">
        <v>3.3</v>
      </c>
    </row>
    <row r="12263" spans="1:7" ht="14.25" customHeight="1" x14ac:dyDescent="0.45">
      <c r="A12263" t="str">
        <f>_xlfn.XLOOKUP(B12263,Ingot!$H$12:$H$119,Ingot!$G$12:$G$119,"")</f>
        <v>Osso</v>
      </c>
      <c r="B12263" t="s">
        <v>24636</v>
      </c>
      <c r="C12263" t="s">
        <v>10</v>
      </c>
      <c r="D12263" t="s">
        <v>24645</v>
      </c>
      <c r="E12263" t="s">
        <v>24646</v>
      </c>
      <c r="G12263" s="1">
        <v>0.66</v>
      </c>
    </row>
    <row r="12264" spans="1:7" ht="14.25" customHeight="1" x14ac:dyDescent="0.45">
      <c r="A12264" t="str">
        <f>_xlfn.XLOOKUP(B12264,Ingot!$H$12:$H$119,Ingot!$G$12:$G$119,"")</f>
        <v>Osso</v>
      </c>
      <c r="B12264" t="s">
        <v>24636</v>
      </c>
      <c r="C12264" t="s">
        <v>10</v>
      </c>
      <c r="D12264" t="s">
        <v>24647</v>
      </c>
      <c r="E12264" t="s">
        <v>24648</v>
      </c>
      <c r="G12264" s="1">
        <v>0.04</v>
      </c>
    </row>
    <row r="12265" spans="1:7" ht="14.25" customHeight="1" x14ac:dyDescent="0.45">
      <c r="A12265" t="str">
        <f>_xlfn.XLOOKUP(B12265,Ingot!$H$12:$H$119,Ingot!$G$12:$G$119,"")</f>
        <v>Osso</v>
      </c>
      <c r="B12265" t="s">
        <v>24636</v>
      </c>
      <c r="C12265" t="s">
        <v>10</v>
      </c>
      <c r="D12265" t="s">
        <v>24649</v>
      </c>
      <c r="E12265" t="s">
        <v>24650</v>
      </c>
      <c r="G12265" s="1">
        <v>0.33</v>
      </c>
    </row>
    <row r="12266" spans="1:7" ht="14.25" customHeight="1" x14ac:dyDescent="0.45">
      <c r="A12266" t="str">
        <f>_xlfn.XLOOKUP(B12266,Ingot!$H$12:$H$119,Ingot!$G$12:$G$119,"")</f>
        <v>Osso</v>
      </c>
      <c r="B12266" t="s">
        <v>24636</v>
      </c>
      <c r="C12266" t="s">
        <v>10</v>
      </c>
      <c r="D12266" t="s">
        <v>24651</v>
      </c>
      <c r="E12266" t="s">
        <v>24652</v>
      </c>
    </row>
    <row r="12267" spans="1:7" ht="14.25" customHeight="1" x14ac:dyDescent="0.45">
      <c r="A12267" t="str">
        <f>_xlfn.XLOOKUP(B12267,Ingot!$H$12:$H$119,Ingot!$G$12:$G$119,"")</f>
        <v>Osso</v>
      </c>
      <c r="B12267" t="s">
        <v>24636</v>
      </c>
      <c r="C12267" t="s">
        <v>10</v>
      </c>
      <c r="D12267" t="s">
        <v>24653</v>
      </c>
      <c r="E12267" t="s">
        <v>24654</v>
      </c>
      <c r="G12267" s="1">
        <v>0.05</v>
      </c>
    </row>
    <row r="12268" spans="1:7" ht="14.25" customHeight="1" x14ac:dyDescent="0.45">
      <c r="A12268" t="str">
        <f>_xlfn.XLOOKUP(B12268,Ingot!$H$12:$H$119,Ingot!$G$12:$G$119,"")</f>
        <v>Osso</v>
      </c>
      <c r="B12268" t="s">
        <v>24636</v>
      </c>
      <c r="C12268" t="s">
        <v>10</v>
      </c>
      <c r="D12268" t="s">
        <v>24655</v>
      </c>
      <c r="E12268" t="s">
        <v>24656</v>
      </c>
      <c r="G12268" s="1">
        <v>0.66</v>
      </c>
    </row>
    <row r="12269" spans="1:7" ht="14.25" customHeight="1" x14ac:dyDescent="0.45">
      <c r="A12269" t="str">
        <f>_xlfn.XLOOKUP(B12269,Ingot!$H$12:$H$119,Ingot!$G$12:$G$119,"")</f>
        <v>Osso</v>
      </c>
      <c r="B12269" t="s">
        <v>24636</v>
      </c>
      <c r="C12269" t="s">
        <v>10</v>
      </c>
      <c r="D12269" t="s">
        <v>24657</v>
      </c>
      <c r="E12269" t="s">
        <v>24658</v>
      </c>
      <c r="G12269" s="1">
        <v>3.96</v>
      </c>
    </row>
    <row r="12270" spans="1:7" ht="14.25" customHeight="1" x14ac:dyDescent="0.45">
      <c r="A12270" t="str">
        <f>_xlfn.XLOOKUP(B12270,Ingot!$H$12:$H$119,Ingot!$G$12:$G$119,"")</f>
        <v>Osso</v>
      </c>
      <c r="B12270" t="s">
        <v>24636</v>
      </c>
      <c r="C12270" t="s">
        <v>10</v>
      </c>
      <c r="D12270" t="s">
        <v>24659</v>
      </c>
      <c r="E12270" t="s">
        <v>24660</v>
      </c>
      <c r="G12270" s="1">
        <v>8.77</v>
      </c>
    </row>
    <row r="12271" spans="1:7" ht="14.25" customHeight="1" x14ac:dyDescent="0.45">
      <c r="A12271" t="str">
        <f>_xlfn.XLOOKUP(B12271,Ingot!$H$12:$H$119,Ingot!$G$12:$G$119,"")</f>
        <v>Osso</v>
      </c>
      <c r="B12271" t="s">
        <v>24636</v>
      </c>
      <c r="C12271" t="s">
        <v>10</v>
      </c>
      <c r="D12271" t="s">
        <v>24661</v>
      </c>
      <c r="E12271" t="s">
        <v>24662</v>
      </c>
      <c r="G12271" s="1">
        <v>3.5</v>
      </c>
    </row>
    <row r="12272" spans="1:7" ht="14.25" customHeight="1" x14ac:dyDescent="0.45">
      <c r="A12272" t="str">
        <f>_xlfn.XLOOKUP(B12272,Ingot!$H$12:$H$119,Ingot!$G$12:$G$119,"")</f>
        <v>Osso</v>
      </c>
      <c r="B12272" t="s">
        <v>24636</v>
      </c>
      <c r="C12272" t="s">
        <v>10</v>
      </c>
      <c r="D12272" t="s">
        <v>24663</v>
      </c>
      <c r="E12272" t="s">
        <v>24664</v>
      </c>
    </row>
    <row r="12273" spans="1:7" ht="14.25" customHeight="1" x14ac:dyDescent="0.45">
      <c r="A12273" t="str">
        <f>_xlfn.XLOOKUP(B12273,Ingot!$H$12:$H$119,Ingot!$G$12:$G$119,"")</f>
        <v>Osso</v>
      </c>
      <c r="B12273" t="s">
        <v>24636</v>
      </c>
      <c r="C12273" t="s">
        <v>10</v>
      </c>
      <c r="D12273" t="s">
        <v>24665</v>
      </c>
      <c r="E12273" t="s">
        <v>24666</v>
      </c>
      <c r="G12273" s="1">
        <v>2.2000000000000002</v>
      </c>
    </row>
    <row r="12274" spans="1:7" ht="14.25" customHeight="1" x14ac:dyDescent="0.45">
      <c r="A12274" t="str">
        <f>_xlfn.XLOOKUP(B12274,Ingot!$H$12:$H$119,Ingot!$G$12:$G$119,"")</f>
        <v>Osso</v>
      </c>
      <c r="B12274" t="s">
        <v>24636</v>
      </c>
      <c r="C12274" t="s">
        <v>10</v>
      </c>
      <c r="D12274" t="s">
        <v>24667</v>
      </c>
      <c r="E12274" t="s">
        <v>24668</v>
      </c>
      <c r="G12274" s="1">
        <v>1.1000000000000001</v>
      </c>
    </row>
    <row r="12275" spans="1:7" ht="14.25" customHeight="1" x14ac:dyDescent="0.45">
      <c r="A12275" t="str">
        <f>_xlfn.XLOOKUP(B12275,Ingot!$H$12:$H$119,Ingot!$G$12:$G$119,"")</f>
        <v>Osso</v>
      </c>
      <c r="B12275" t="s">
        <v>24636</v>
      </c>
      <c r="C12275" t="s">
        <v>10</v>
      </c>
      <c r="D12275" t="s">
        <v>24669</v>
      </c>
      <c r="E12275" t="s">
        <v>24670</v>
      </c>
      <c r="G12275" s="1">
        <v>0.22</v>
      </c>
    </row>
    <row r="12276" spans="1:7" ht="14.25" customHeight="1" x14ac:dyDescent="0.45">
      <c r="A12276" t="str">
        <f>_xlfn.XLOOKUP(B12276,Ingot!$H$12:$H$119,Ingot!$G$12:$G$119,"")</f>
        <v>Osso</v>
      </c>
      <c r="B12276" t="s">
        <v>24636</v>
      </c>
      <c r="C12276" t="s">
        <v>10</v>
      </c>
      <c r="D12276" t="s">
        <v>24671</v>
      </c>
      <c r="E12276" t="s">
        <v>24672</v>
      </c>
      <c r="G12276" s="1">
        <v>8.41</v>
      </c>
    </row>
    <row r="12277" spans="1:7" ht="14.25" customHeight="1" x14ac:dyDescent="0.45">
      <c r="A12277" t="str">
        <f>_xlfn.XLOOKUP(B12277,Ingot!$H$12:$H$119,Ingot!$G$12:$G$119,"")</f>
        <v>Osso</v>
      </c>
      <c r="B12277" t="s">
        <v>24636</v>
      </c>
      <c r="C12277" t="s">
        <v>10</v>
      </c>
      <c r="D12277" t="s">
        <v>24673</v>
      </c>
      <c r="E12277" t="s">
        <v>24674</v>
      </c>
      <c r="G12277" s="1">
        <v>3.64</v>
      </c>
    </row>
    <row r="12278" spans="1:7" ht="14.25" customHeight="1" x14ac:dyDescent="0.45">
      <c r="A12278" t="str">
        <f>_xlfn.XLOOKUP(B12278,Ingot!$H$12:$H$119,Ingot!$G$12:$G$119,"")</f>
        <v>Osso</v>
      </c>
      <c r="B12278" t="s">
        <v>24636</v>
      </c>
      <c r="C12278" t="s">
        <v>10</v>
      </c>
      <c r="D12278" t="s">
        <v>24675</v>
      </c>
      <c r="E12278" t="s">
        <v>24676</v>
      </c>
      <c r="G12278" s="1">
        <v>7.05</v>
      </c>
    </row>
    <row r="12279" spans="1:7" ht="14.25" customHeight="1" x14ac:dyDescent="0.45">
      <c r="A12279" t="str">
        <f>_xlfn.XLOOKUP(B12279,Ingot!$H$12:$H$119,Ingot!$G$12:$G$119,"")</f>
        <v>Osso</v>
      </c>
      <c r="B12279" t="s">
        <v>24636</v>
      </c>
      <c r="C12279" t="s">
        <v>10</v>
      </c>
      <c r="D12279" t="s">
        <v>24677</v>
      </c>
      <c r="E12279" t="s">
        <v>24678</v>
      </c>
      <c r="G12279" s="1">
        <v>2.65</v>
      </c>
    </row>
    <row r="12280" spans="1:7" ht="14.25" customHeight="1" x14ac:dyDescent="0.45">
      <c r="A12280" t="str">
        <f>_xlfn.XLOOKUP(B12280,Ingot!$H$12:$H$119,Ingot!$G$12:$G$119,"")</f>
        <v>Osso</v>
      </c>
      <c r="B12280" t="s">
        <v>24636</v>
      </c>
      <c r="C12280" t="s">
        <v>10</v>
      </c>
      <c r="D12280" t="s">
        <v>24679</v>
      </c>
      <c r="E12280" t="s">
        <v>24680</v>
      </c>
      <c r="G12280" s="1">
        <v>9</v>
      </c>
    </row>
    <row r="12281" spans="1:7" ht="14.25" customHeight="1" x14ac:dyDescent="0.45">
      <c r="A12281" t="str">
        <f>_xlfn.XLOOKUP(B12281,Ingot!$H$12:$H$119,Ingot!$G$12:$G$119,"")</f>
        <v>Osso</v>
      </c>
      <c r="B12281" t="s">
        <v>24636</v>
      </c>
      <c r="C12281" t="s">
        <v>10</v>
      </c>
      <c r="D12281" t="s">
        <v>24681</v>
      </c>
      <c r="E12281" t="s">
        <v>24682</v>
      </c>
      <c r="G12281" s="1">
        <v>10.23</v>
      </c>
    </row>
    <row r="12282" spans="1:7" ht="14.25" customHeight="1" x14ac:dyDescent="0.45">
      <c r="A12282" t="str">
        <f>_xlfn.XLOOKUP(B12282,Ingot!$H$12:$H$119,Ingot!$G$12:$G$119,"")</f>
        <v>Osso</v>
      </c>
      <c r="B12282" t="s">
        <v>24636</v>
      </c>
      <c r="C12282" t="s">
        <v>10</v>
      </c>
      <c r="D12282" t="s">
        <v>24683</v>
      </c>
      <c r="E12282" t="s">
        <v>24684</v>
      </c>
      <c r="G12282" s="1">
        <v>7.7</v>
      </c>
    </row>
    <row r="12283" spans="1:7" ht="14.25" customHeight="1" x14ac:dyDescent="0.45">
      <c r="A12283" t="str">
        <f>_xlfn.XLOOKUP(B12283,Ingot!$H$12:$H$119,Ingot!$G$12:$G$119,"")</f>
        <v>Osso</v>
      </c>
      <c r="B12283" t="s">
        <v>24636</v>
      </c>
      <c r="C12283" t="s">
        <v>10</v>
      </c>
      <c r="D12283" t="s">
        <v>24685</v>
      </c>
      <c r="E12283" t="s">
        <v>24686</v>
      </c>
      <c r="G12283" s="1">
        <v>10.02</v>
      </c>
    </row>
    <row r="12284" spans="1:7" ht="14.25" customHeight="1" x14ac:dyDescent="0.45">
      <c r="A12284" t="str">
        <f>_xlfn.XLOOKUP(B12284,Ingot!$H$12:$H$119,Ingot!$G$12:$G$119,"")</f>
        <v>Osso</v>
      </c>
      <c r="B12284" t="s">
        <v>24636</v>
      </c>
      <c r="C12284" t="s">
        <v>10</v>
      </c>
      <c r="D12284" t="s">
        <v>24687</v>
      </c>
      <c r="E12284" t="s">
        <v>24688</v>
      </c>
      <c r="G12284" s="1">
        <v>11.81</v>
      </c>
    </row>
    <row r="12285" spans="1:7" ht="14.25" customHeight="1" x14ac:dyDescent="0.45">
      <c r="A12285" t="str">
        <f>_xlfn.XLOOKUP(B12285,Ingot!$H$12:$H$119,Ingot!$G$12:$G$119,"")</f>
        <v>Osso</v>
      </c>
      <c r="B12285" t="s">
        <v>24636</v>
      </c>
      <c r="C12285" t="s">
        <v>10</v>
      </c>
      <c r="D12285" t="s">
        <v>24689</v>
      </c>
      <c r="E12285" t="s">
        <v>24690</v>
      </c>
      <c r="G12285" s="1">
        <v>8.44</v>
      </c>
    </row>
    <row r="12286" spans="1:7" ht="14.25" customHeight="1" x14ac:dyDescent="0.45">
      <c r="A12286" t="str">
        <f>_xlfn.XLOOKUP(B12286,Ingot!$H$12:$H$119,Ingot!$G$12:$G$119,"")</f>
        <v>Osso</v>
      </c>
      <c r="B12286" t="s">
        <v>24636</v>
      </c>
      <c r="C12286" t="s">
        <v>10</v>
      </c>
      <c r="D12286" t="s">
        <v>24691</v>
      </c>
      <c r="E12286" t="s">
        <v>24692</v>
      </c>
      <c r="G12286" s="1">
        <v>10.42</v>
      </c>
    </row>
    <row r="12287" spans="1:7" ht="14.25" customHeight="1" x14ac:dyDescent="0.45">
      <c r="A12287" t="str">
        <f>_xlfn.XLOOKUP(B12287,Ingot!$H$12:$H$119,Ingot!$G$12:$G$119,"")</f>
        <v>Osso</v>
      </c>
      <c r="B12287" t="s">
        <v>24636</v>
      </c>
      <c r="C12287" t="s">
        <v>10</v>
      </c>
      <c r="D12287" t="s">
        <v>24693</v>
      </c>
      <c r="E12287" t="s">
        <v>24694</v>
      </c>
    </row>
    <row r="12288" spans="1:7" ht="14.25" customHeight="1" x14ac:dyDescent="0.45">
      <c r="A12288" t="str">
        <f>_xlfn.XLOOKUP(B12288,Ingot!$H$12:$H$119,Ingot!$G$12:$G$119,"")</f>
        <v>Osso</v>
      </c>
      <c r="B12288" t="s">
        <v>24636</v>
      </c>
      <c r="C12288" t="s">
        <v>10</v>
      </c>
      <c r="D12288" t="s">
        <v>24695</v>
      </c>
      <c r="E12288" t="s">
        <v>24696</v>
      </c>
      <c r="G12288" s="1">
        <v>7.96</v>
      </c>
    </row>
    <row r="12289" spans="1:7" ht="14.25" customHeight="1" x14ac:dyDescent="0.45">
      <c r="A12289" t="str">
        <f>_xlfn.XLOOKUP(B12289,Ingot!$H$12:$H$119,Ingot!$G$12:$G$119,"")</f>
        <v>Osso</v>
      </c>
      <c r="B12289" t="s">
        <v>24636</v>
      </c>
      <c r="C12289" t="s">
        <v>10</v>
      </c>
      <c r="D12289" t="s">
        <v>24697</v>
      </c>
      <c r="E12289" t="s">
        <v>24698</v>
      </c>
      <c r="G12289" s="1">
        <v>9.64</v>
      </c>
    </row>
    <row r="12290" spans="1:7" ht="14.25" customHeight="1" x14ac:dyDescent="0.45">
      <c r="A12290" t="str">
        <f>_xlfn.XLOOKUP(B12290,Ingot!$H$12:$H$119,Ingot!$G$12:$G$119,"")</f>
        <v>Osso</v>
      </c>
      <c r="B12290" t="s">
        <v>24636</v>
      </c>
      <c r="C12290" t="s">
        <v>10</v>
      </c>
      <c r="D12290" t="s">
        <v>24699</v>
      </c>
      <c r="E12290" t="s">
        <v>24700</v>
      </c>
      <c r="G12290" s="1">
        <v>7.94</v>
      </c>
    </row>
    <row r="12291" spans="1:7" ht="14.25" customHeight="1" x14ac:dyDescent="0.45">
      <c r="A12291" t="str">
        <f>_xlfn.XLOOKUP(B12291,Ingot!$H$12:$H$119,Ingot!$G$12:$G$119,"")</f>
        <v>Osso</v>
      </c>
      <c r="B12291" t="s">
        <v>24636</v>
      </c>
      <c r="C12291" t="s">
        <v>10</v>
      </c>
      <c r="D12291" t="s">
        <v>24701</v>
      </c>
      <c r="E12291" t="s">
        <v>24702</v>
      </c>
      <c r="G12291" s="1">
        <v>8.66</v>
      </c>
    </row>
    <row r="12292" spans="1:7" ht="14.25" customHeight="1" x14ac:dyDescent="0.45">
      <c r="A12292" t="str">
        <f>_xlfn.XLOOKUP(B12292,Ingot!$H$12:$H$119,Ingot!$G$12:$G$119,"")</f>
        <v>Osso</v>
      </c>
      <c r="B12292" t="s">
        <v>24636</v>
      </c>
      <c r="C12292" t="s">
        <v>10</v>
      </c>
      <c r="D12292" t="s">
        <v>24703</v>
      </c>
      <c r="E12292" t="s">
        <v>24704</v>
      </c>
    </row>
    <row r="12293" spans="1:7" ht="14.25" customHeight="1" x14ac:dyDescent="0.45">
      <c r="A12293" t="str">
        <f>_xlfn.XLOOKUP(B12293,Ingot!$H$12:$H$119,Ingot!$G$12:$G$119,"")</f>
        <v>Osso</v>
      </c>
      <c r="B12293" t="s">
        <v>24636</v>
      </c>
      <c r="C12293" t="s">
        <v>10</v>
      </c>
      <c r="D12293" t="s">
        <v>24705</v>
      </c>
      <c r="E12293" t="s">
        <v>24706</v>
      </c>
      <c r="G12293" s="1">
        <v>2.65</v>
      </c>
    </row>
    <row r="12294" spans="1:7" ht="14.25" customHeight="1" x14ac:dyDescent="0.45">
      <c r="A12294" t="str">
        <f>_xlfn.XLOOKUP(B12294,Ingot!$H$12:$H$119,Ingot!$G$12:$G$119,"")</f>
        <v>Osso</v>
      </c>
      <c r="B12294" t="s">
        <v>24636</v>
      </c>
      <c r="C12294" t="s">
        <v>10</v>
      </c>
      <c r="D12294" t="s">
        <v>24707</v>
      </c>
      <c r="E12294" t="s">
        <v>24708</v>
      </c>
    </row>
    <row r="12295" spans="1:7" ht="14.25" customHeight="1" x14ac:dyDescent="0.45">
      <c r="A12295" t="str">
        <f>_xlfn.XLOOKUP(B12295,Ingot!$H$12:$H$119,Ingot!$G$12:$G$119,"")</f>
        <v>Osso</v>
      </c>
      <c r="B12295" t="s">
        <v>24636</v>
      </c>
      <c r="C12295" t="s">
        <v>10</v>
      </c>
      <c r="D12295" t="s">
        <v>24709</v>
      </c>
      <c r="E12295" t="s">
        <v>24710</v>
      </c>
      <c r="G12295" s="1">
        <v>12.64</v>
      </c>
    </row>
    <row r="12296" spans="1:7" ht="14.25" customHeight="1" x14ac:dyDescent="0.45">
      <c r="A12296" t="str">
        <f>_xlfn.XLOOKUP(B12296,Ingot!$H$12:$H$119,Ingot!$G$12:$G$119,"")</f>
        <v>Osso</v>
      </c>
      <c r="B12296" t="s">
        <v>24636</v>
      </c>
      <c r="C12296" t="s">
        <v>10</v>
      </c>
      <c r="D12296" t="s">
        <v>24711</v>
      </c>
      <c r="E12296" t="s">
        <v>24712</v>
      </c>
      <c r="G12296" s="1">
        <v>22.67</v>
      </c>
    </row>
    <row r="12297" spans="1:7" ht="14.25" customHeight="1" x14ac:dyDescent="0.45">
      <c r="A12297" t="str">
        <f>_xlfn.XLOOKUP(B12297,Ingot!$H$12:$H$119,Ingot!$G$12:$G$119,"")</f>
        <v>Osso</v>
      </c>
      <c r="B12297" t="s">
        <v>24636</v>
      </c>
      <c r="C12297" t="s">
        <v>10</v>
      </c>
      <c r="D12297" t="s">
        <v>24713</v>
      </c>
      <c r="E12297" t="s">
        <v>24714</v>
      </c>
      <c r="G12297" s="1">
        <v>8.3800000000000008</v>
      </c>
    </row>
    <row r="12298" spans="1:7" ht="14.25" customHeight="1" x14ac:dyDescent="0.45">
      <c r="A12298" t="str">
        <f>_xlfn.XLOOKUP(B12298,Ingot!$H$12:$H$119,Ingot!$G$12:$G$119,"")</f>
        <v>Osso</v>
      </c>
      <c r="B12298" t="s">
        <v>24636</v>
      </c>
      <c r="C12298" t="s">
        <v>10</v>
      </c>
      <c r="D12298" t="s">
        <v>24715</v>
      </c>
      <c r="E12298" t="s">
        <v>24716</v>
      </c>
      <c r="G12298" s="1">
        <v>2.2000000000000002</v>
      </c>
    </row>
    <row r="12299" spans="1:7" ht="14.25" customHeight="1" x14ac:dyDescent="0.45">
      <c r="A12299" t="str">
        <f>_xlfn.XLOOKUP(B12299,Ingot!$H$12:$H$119,Ingot!$G$12:$G$119,"")</f>
        <v>Osso</v>
      </c>
      <c r="B12299" t="s">
        <v>24636</v>
      </c>
      <c r="C12299" t="s">
        <v>10</v>
      </c>
      <c r="D12299" t="s">
        <v>24717</v>
      </c>
      <c r="E12299" t="s">
        <v>24718</v>
      </c>
      <c r="G12299" s="1">
        <v>3.09</v>
      </c>
    </row>
    <row r="12300" spans="1:7" ht="14.25" customHeight="1" x14ac:dyDescent="0.45">
      <c r="A12300" t="str">
        <f>_xlfn.XLOOKUP(B12300,Ingot!$H$12:$H$119,Ingot!$G$12:$G$119,"")</f>
        <v>Osso</v>
      </c>
      <c r="B12300" t="s">
        <v>24636</v>
      </c>
      <c r="C12300" t="s">
        <v>10</v>
      </c>
      <c r="D12300" t="s">
        <v>24719</v>
      </c>
      <c r="E12300" t="s">
        <v>24720</v>
      </c>
      <c r="G12300" s="1">
        <v>2.2999999999999998</v>
      </c>
    </row>
    <row r="12301" spans="1:7" ht="14.25" customHeight="1" x14ac:dyDescent="0.45">
      <c r="A12301" t="str">
        <f>_xlfn.XLOOKUP(B12301,Ingot!$H$12:$H$119,Ingot!$G$12:$G$119,"")</f>
        <v>Osso</v>
      </c>
      <c r="B12301" t="s">
        <v>24636</v>
      </c>
      <c r="C12301" t="s">
        <v>10</v>
      </c>
      <c r="D12301" t="s">
        <v>24721</v>
      </c>
      <c r="E12301" t="s">
        <v>24722</v>
      </c>
      <c r="G12301" s="1">
        <v>4.88</v>
      </c>
    </row>
    <row r="12302" spans="1:7" ht="14.25" customHeight="1" x14ac:dyDescent="0.45">
      <c r="A12302" t="str">
        <f>_xlfn.XLOOKUP(B12302,Ingot!$H$12:$H$119,Ingot!$G$12:$G$119,"")</f>
        <v>Osso</v>
      </c>
      <c r="B12302" t="s">
        <v>24636</v>
      </c>
      <c r="C12302" t="s">
        <v>10</v>
      </c>
      <c r="D12302" t="s">
        <v>24723</v>
      </c>
      <c r="E12302" t="s">
        <v>24724</v>
      </c>
      <c r="G12302" s="1">
        <v>8.43</v>
      </c>
    </row>
    <row r="12303" spans="1:7" ht="14.25" customHeight="1" x14ac:dyDescent="0.45">
      <c r="A12303" t="str">
        <f>_xlfn.XLOOKUP(B12303,Ingot!$H$12:$H$119,Ingot!$G$12:$G$119,"")</f>
        <v>Osso</v>
      </c>
      <c r="B12303" t="s">
        <v>24636</v>
      </c>
      <c r="C12303" t="s">
        <v>10</v>
      </c>
      <c r="D12303" t="s">
        <v>24725</v>
      </c>
      <c r="E12303" t="s">
        <v>24726</v>
      </c>
      <c r="G12303" s="1">
        <v>13.07</v>
      </c>
    </row>
    <row r="12304" spans="1:7" ht="14.25" customHeight="1" x14ac:dyDescent="0.45">
      <c r="A12304" t="str">
        <f>_xlfn.XLOOKUP(B12304,Ingot!$H$12:$H$119,Ingot!$G$12:$G$119,"")</f>
        <v>Osso</v>
      </c>
      <c r="B12304" t="s">
        <v>24636</v>
      </c>
      <c r="C12304" t="s">
        <v>10</v>
      </c>
      <c r="D12304" t="s">
        <v>24727</v>
      </c>
      <c r="E12304" t="s">
        <v>24728</v>
      </c>
    </row>
    <row r="12305" spans="1:7" ht="14.25" customHeight="1" x14ac:dyDescent="0.45">
      <c r="A12305" t="str">
        <f>_xlfn.XLOOKUP(B12305,Ingot!$H$12:$H$119,Ingot!$G$12:$G$119,"")</f>
        <v>Osso</v>
      </c>
      <c r="B12305" t="s">
        <v>24636</v>
      </c>
      <c r="C12305" t="s">
        <v>10</v>
      </c>
      <c r="D12305" t="s">
        <v>24729</v>
      </c>
      <c r="E12305" t="s">
        <v>24730</v>
      </c>
    </row>
    <row r="12306" spans="1:7" ht="14.25" customHeight="1" x14ac:dyDescent="0.45">
      <c r="A12306" t="str">
        <f>_xlfn.XLOOKUP(B12306,Ingot!$H$12:$H$119,Ingot!$G$12:$G$119,"")</f>
        <v>Osso</v>
      </c>
      <c r="B12306" t="s">
        <v>24636</v>
      </c>
      <c r="C12306" t="s">
        <v>10</v>
      </c>
      <c r="D12306" t="s">
        <v>24731</v>
      </c>
      <c r="E12306" t="s">
        <v>24732</v>
      </c>
      <c r="G12306" s="1">
        <v>6.8</v>
      </c>
    </row>
    <row r="12307" spans="1:7" ht="14.25" customHeight="1" x14ac:dyDescent="0.45">
      <c r="A12307" t="str">
        <f>_xlfn.XLOOKUP(B12307,Ingot!$H$12:$H$119,Ingot!$G$12:$G$119,"")</f>
        <v>Osso</v>
      </c>
      <c r="B12307" t="s">
        <v>24636</v>
      </c>
      <c r="C12307" t="s">
        <v>10</v>
      </c>
      <c r="D12307" t="s">
        <v>24733</v>
      </c>
      <c r="E12307" t="s">
        <v>24734</v>
      </c>
      <c r="G12307" s="1">
        <v>6.88</v>
      </c>
    </row>
    <row r="12308" spans="1:7" ht="14.25" customHeight="1" x14ac:dyDescent="0.45">
      <c r="A12308" t="str">
        <f>_xlfn.XLOOKUP(B12308,Ingot!$H$12:$H$119,Ingot!$G$12:$G$119,"")</f>
        <v>Osso</v>
      </c>
      <c r="B12308" t="s">
        <v>24636</v>
      </c>
      <c r="C12308" t="s">
        <v>10</v>
      </c>
      <c r="D12308" t="s">
        <v>24735</v>
      </c>
      <c r="E12308" t="s">
        <v>24736</v>
      </c>
      <c r="G12308" s="1">
        <v>5.5</v>
      </c>
    </row>
    <row r="12309" spans="1:7" ht="14.25" customHeight="1" x14ac:dyDescent="0.45">
      <c r="A12309" t="str">
        <f>_xlfn.XLOOKUP(B12309,Ingot!$H$12:$H$119,Ingot!$G$12:$G$119,"")</f>
        <v>Osso</v>
      </c>
      <c r="B12309" t="s">
        <v>24636</v>
      </c>
      <c r="C12309" t="s">
        <v>10</v>
      </c>
      <c r="D12309" t="s">
        <v>24737</v>
      </c>
      <c r="E12309" t="s">
        <v>24738</v>
      </c>
      <c r="G12309" s="1">
        <v>2.4300000000000002</v>
      </c>
    </row>
    <row r="12310" spans="1:7" ht="14.25" customHeight="1" x14ac:dyDescent="0.45">
      <c r="A12310" t="str">
        <f>_xlfn.XLOOKUP(B12310,Ingot!$H$12:$H$119,Ingot!$G$12:$G$119,"")</f>
        <v>Osso</v>
      </c>
      <c r="B12310" t="s">
        <v>24636</v>
      </c>
      <c r="C12310" t="s">
        <v>10</v>
      </c>
      <c r="D12310" t="s">
        <v>24739</v>
      </c>
      <c r="E12310" t="s">
        <v>24740</v>
      </c>
      <c r="G12310" s="1">
        <v>6.96</v>
      </c>
    </row>
    <row r="12311" spans="1:7" ht="14.25" customHeight="1" x14ac:dyDescent="0.45">
      <c r="A12311" t="str">
        <f>_xlfn.XLOOKUP(B12311,Ingot!$H$12:$H$119,Ingot!$G$12:$G$119,"")</f>
        <v>Osso</v>
      </c>
      <c r="B12311" t="s">
        <v>24636</v>
      </c>
      <c r="C12311" t="s">
        <v>10</v>
      </c>
      <c r="D12311" t="s">
        <v>24741</v>
      </c>
      <c r="E12311" t="s">
        <v>24742</v>
      </c>
      <c r="G12311" s="1">
        <v>6.32</v>
      </c>
    </row>
    <row r="12312" spans="1:7" ht="14.25" customHeight="1" x14ac:dyDescent="0.45">
      <c r="A12312" t="str">
        <f>_xlfn.XLOOKUP(B12312,Ingot!$H$12:$H$119,Ingot!$G$12:$G$119,"")</f>
        <v>Osso</v>
      </c>
      <c r="B12312" t="s">
        <v>24636</v>
      </c>
      <c r="C12312" t="s">
        <v>10</v>
      </c>
      <c r="D12312" t="s">
        <v>24743</v>
      </c>
      <c r="E12312" t="s">
        <v>24744</v>
      </c>
      <c r="G12312" s="1">
        <v>6.88</v>
      </c>
    </row>
    <row r="12313" spans="1:7" ht="14.25" customHeight="1" x14ac:dyDescent="0.45">
      <c r="A12313" t="str">
        <f>_xlfn.XLOOKUP(B12313,Ingot!$H$12:$H$119,Ingot!$G$12:$G$119,"")</f>
        <v>Osso</v>
      </c>
      <c r="B12313" t="s">
        <v>24636</v>
      </c>
      <c r="C12313" t="s">
        <v>10</v>
      </c>
      <c r="D12313" t="s">
        <v>24745</v>
      </c>
      <c r="E12313" t="s">
        <v>24746</v>
      </c>
      <c r="G12313" s="1">
        <v>2.44</v>
      </c>
    </row>
    <row r="12314" spans="1:7" ht="14.25" customHeight="1" x14ac:dyDescent="0.45">
      <c r="A12314" t="str">
        <f>_xlfn.XLOOKUP(B12314,Ingot!$H$12:$H$119,Ingot!$G$12:$G$119,"")</f>
        <v>Osso</v>
      </c>
      <c r="B12314" t="s">
        <v>24636</v>
      </c>
      <c r="C12314" t="s">
        <v>10</v>
      </c>
      <c r="D12314" t="s">
        <v>24747</v>
      </c>
      <c r="E12314" t="s">
        <v>24748</v>
      </c>
    </row>
    <row r="12315" spans="1:7" ht="14.25" customHeight="1" x14ac:dyDescent="0.45">
      <c r="A12315" t="str">
        <f>_xlfn.XLOOKUP(B12315,Ingot!$H$12:$H$119,Ingot!$G$12:$G$119,"")</f>
        <v>Osso</v>
      </c>
      <c r="B12315" t="s">
        <v>24636</v>
      </c>
      <c r="C12315" t="s">
        <v>10</v>
      </c>
      <c r="D12315" t="s">
        <v>24749</v>
      </c>
      <c r="E12315" t="s">
        <v>24750</v>
      </c>
    </row>
    <row r="12316" spans="1:7" ht="14.25" customHeight="1" x14ac:dyDescent="0.45">
      <c r="A12316" t="str">
        <f>_xlfn.XLOOKUP(B12316,Ingot!$H$12:$H$119,Ingot!$G$12:$G$119,"")</f>
        <v>Osso</v>
      </c>
      <c r="B12316" t="s">
        <v>24636</v>
      </c>
      <c r="C12316" t="s">
        <v>10</v>
      </c>
      <c r="D12316" t="s">
        <v>24751</v>
      </c>
      <c r="E12316" t="s">
        <v>24752</v>
      </c>
      <c r="G12316" s="1">
        <v>3.11</v>
      </c>
    </row>
    <row r="12317" spans="1:7" ht="14.25" customHeight="1" x14ac:dyDescent="0.45">
      <c r="A12317" t="str">
        <f>_xlfn.XLOOKUP(B12317,Ingot!$H$12:$H$119,Ingot!$G$12:$G$119,"")</f>
        <v>Osso</v>
      </c>
      <c r="B12317" t="s">
        <v>24636</v>
      </c>
      <c r="C12317" t="s">
        <v>10</v>
      </c>
      <c r="D12317" t="s">
        <v>24753</v>
      </c>
      <c r="E12317" t="s">
        <v>24754</v>
      </c>
      <c r="G12317" s="1">
        <v>2.44</v>
      </c>
    </row>
    <row r="12318" spans="1:7" ht="14.25" customHeight="1" x14ac:dyDescent="0.45">
      <c r="A12318" t="str">
        <f>_xlfn.XLOOKUP(B12318,Ingot!$H$12:$H$119,Ingot!$G$12:$G$119,"")</f>
        <v>Osso</v>
      </c>
      <c r="B12318" t="s">
        <v>24636</v>
      </c>
      <c r="C12318" t="s">
        <v>10</v>
      </c>
      <c r="D12318" t="s">
        <v>24755</v>
      </c>
      <c r="E12318" t="s">
        <v>24756</v>
      </c>
      <c r="G12318" s="1">
        <v>8.61</v>
      </c>
    </row>
    <row r="12319" spans="1:7" ht="14.25" customHeight="1" x14ac:dyDescent="0.45">
      <c r="A12319" t="str">
        <f>_xlfn.XLOOKUP(B12319,Ingot!$H$12:$H$119,Ingot!$G$12:$G$119,"")</f>
        <v>Osso</v>
      </c>
      <c r="B12319" t="s">
        <v>24636</v>
      </c>
      <c r="C12319" t="s">
        <v>10</v>
      </c>
      <c r="D12319" t="s">
        <v>24757</v>
      </c>
      <c r="E12319" t="s">
        <v>24758</v>
      </c>
    </row>
    <row r="12320" spans="1:7" ht="14.25" customHeight="1" x14ac:dyDescent="0.45">
      <c r="A12320" t="str">
        <f>_xlfn.XLOOKUP(B12320,Ingot!$H$12:$H$119,Ingot!$G$12:$G$119,"")</f>
        <v>Osso</v>
      </c>
      <c r="B12320" t="s">
        <v>24636</v>
      </c>
      <c r="C12320" t="s">
        <v>10</v>
      </c>
      <c r="D12320" t="s">
        <v>24759</v>
      </c>
      <c r="E12320" t="s">
        <v>24760</v>
      </c>
      <c r="G12320" s="1">
        <v>3.21</v>
      </c>
    </row>
    <row r="12321" spans="1:7" ht="14.25" customHeight="1" x14ac:dyDescent="0.45">
      <c r="A12321" t="str">
        <f>_xlfn.XLOOKUP(B12321,Ingot!$H$12:$H$119,Ingot!$G$12:$G$119,"")</f>
        <v>Osso</v>
      </c>
      <c r="B12321" t="s">
        <v>24636</v>
      </c>
      <c r="C12321" t="s">
        <v>10</v>
      </c>
      <c r="D12321" t="s">
        <v>24761</v>
      </c>
      <c r="E12321" t="s">
        <v>24762</v>
      </c>
      <c r="G12321" s="1">
        <v>2.77</v>
      </c>
    </row>
    <row r="12322" spans="1:7" ht="14.25" customHeight="1" x14ac:dyDescent="0.45">
      <c r="A12322" t="str">
        <f>_xlfn.XLOOKUP(B12322,Ingot!$H$12:$H$119,Ingot!$G$12:$G$119,"")</f>
        <v>Osso</v>
      </c>
      <c r="B12322" t="s">
        <v>24636</v>
      </c>
      <c r="C12322" t="s">
        <v>10</v>
      </c>
      <c r="D12322" t="s">
        <v>24763</v>
      </c>
      <c r="E12322" t="s">
        <v>24764</v>
      </c>
      <c r="G12322" s="1">
        <v>4.8899999999999997</v>
      </c>
    </row>
    <row r="12323" spans="1:7" ht="14.25" customHeight="1" x14ac:dyDescent="0.45">
      <c r="A12323" t="str">
        <f>_xlfn.XLOOKUP(B12323,Ingot!$H$12:$H$119,Ingot!$G$12:$G$119,"")</f>
        <v>Osso</v>
      </c>
      <c r="B12323" t="s">
        <v>24636</v>
      </c>
      <c r="C12323" t="s">
        <v>10</v>
      </c>
      <c r="D12323" t="s">
        <v>24765</v>
      </c>
      <c r="E12323" t="s">
        <v>24766</v>
      </c>
      <c r="G12323" s="1">
        <v>1.76</v>
      </c>
    </row>
    <row r="12324" spans="1:7" ht="14.25" customHeight="1" x14ac:dyDescent="0.45">
      <c r="A12324" t="str">
        <f>_xlfn.XLOOKUP(B12324,Ingot!$H$12:$H$119,Ingot!$G$12:$G$119,"")</f>
        <v>Osso</v>
      </c>
      <c r="B12324" t="s">
        <v>24636</v>
      </c>
      <c r="C12324" t="s">
        <v>10</v>
      </c>
      <c r="D12324" t="s">
        <v>24767</v>
      </c>
      <c r="E12324" t="s">
        <v>24768</v>
      </c>
    </row>
    <row r="12325" spans="1:7" ht="14.25" customHeight="1" x14ac:dyDescent="0.45">
      <c r="A12325" t="str">
        <f>_xlfn.XLOOKUP(B12325,Ingot!$H$12:$H$119,Ingot!$G$12:$G$119,"")</f>
        <v>Osso</v>
      </c>
      <c r="B12325" t="s">
        <v>24636</v>
      </c>
      <c r="C12325" t="s">
        <v>10</v>
      </c>
      <c r="D12325" t="s">
        <v>24769</v>
      </c>
      <c r="E12325" t="s">
        <v>24770</v>
      </c>
      <c r="G12325" s="1">
        <v>8.57</v>
      </c>
    </row>
    <row r="12326" spans="1:7" ht="14.25" customHeight="1" x14ac:dyDescent="0.45">
      <c r="A12326" t="str">
        <f>_xlfn.XLOOKUP(B12326,Ingot!$H$12:$H$119,Ingot!$G$12:$G$119,"")</f>
        <v>Osso</v>
      </c>
      <c r="B12326" t="s">
        <v>24636</v>
      </c>
      <c r="C12326" t="s">
        <v>10</v>
      </c>
      <c r="D12326" t="s">
        <v>24771</v>
      </c>
      <c r="E12326" t="s">
        <v>24772</v>
      </c>
    </row>
    <row r="12327" spans="1:7" ht="14.25" customHeight="1" x14ac:dyDescent="0.45">
      <c r="A12327" t="str">
        <f>_xlfn.XLOOKUP(B12327,Ingot!$H$12:$H$119,Ingot!$G$12:$G$119,"")</f>
        <v>Osso</v>
      </c>
      <c r="B12327" t="s">
        <v>24636</v>
      </c>
      <c r="C12327" t="s">
        <v>10</v>
      </c>
      <c r="D12327" t="s">
        <v>24773</v>
      </c>
      <c r="E12327" t="s">
        <v>24774</v>
      </c>
      <c r="G12327" s="1">
        <v>3.56</v>
      </c>
    </row>
    <row r="12328" spans="1:7" ht="14.25" customHeight="1" x14ac:dyDescent="0.45">
      <c r="A12328" t="str">
        <f>_xlfn.XLOOKUP(B12328,Ingot!$H$12:$H$119,Ingot!$G$12:$G$119,"")</f>
        <v>Osso</v>
      </c>
      <c r="B12328" t="s">
        <v>24636</v>
      </c>
      <c r="C12328" t="s">
        <v>10</v>
      </c>
      <c r="D12328" t="s">
        <v>24775</v>
      </c>
      <c r="E12328" t="s">
        <v>24776</v>
      </c>
      <c r="G12328" s="1">
        <v>8.91</v>
      </c>
    </row>
    <row r="12329" spans="1:7" ht="14.25" customHeight="1" x14ac:dyDescent="0.45">
      <c r="A12329" t="str">
        <f>_xlfn.XLOOKUP(B12329,Ingot!$H$12:$H$119,Ingot!$G$12:$G$119,"")</f>
        <v>Osso</v>
      </c>
      <c r="B12329" t="s">
        <v>24636</v>
      </c>
      <c r="C12329" t="s">
        <v>10</v>
      </c>
      <c r="D12329" t="s">
        <v>24777</v>
      </c>
      <c r="E12329" t="s">
        <v>24778</v>
      </c>
      <c r="G12329" s="1">
        <v>11.02</v>
      </c>
    </row>
    <row r="12330" spans="1:7" ht="14.25" customHeight="1" x14ac:dyDescent="0.45">
      <c r="A12330" t="str">
        <f>_xlfn.XLOOKUP(B12330,Ingot!$H$12:$H$119,Ingot!$G$12:$G$119,"")</f>
        <v>Osso</v>
      </c>
      <c r="B12330" t="s">
        <v>24636</v>
      </c>
      <c r="C12330" t="s">
        <v>10</v>
      </c>
      <c r="D12330" t="s">
        <v>24779</v>
      </c>
      <c r="E12330" t="s">
        <v>24780</v>
      </c>
      <c r="G12330" s="1">
        <v>5.12</v>
      </c>
    </row>
    <row r="12331" spans="1:7" ht="14.25" customHeight="1" x14ac:dyDescent="0.45">
      <c r="A12331" t="str">
        <f>_xlfn.XLOOKUP(B12331,Ingot!$H$12:$H$119,Ingot!$G$12:$G$119,"")</f>
        <v>Osso</v>
      </c>
      <c r="B12331" t="s">
        <v>24636</v>
      </c>
      <c r="C12331" t="s">
        <v>10</v>
      </c>
      <c r="D12331" t="s">
        <v>24781</v>
      </c>
      <c r="E12331" t="s">
        <v>24782</v>
      </c>
      <c r="G12331" s="1">
        <v>4.41</v>
      </c>
    </row>
    <row r="12332" spans="1:7" ht="14.25" customHeight="1" x14ac:dyDescent="0.45">
      <c r="A12332" t="str">
        <f>_xlfn.XLOOKUP(B12332,Ingot!$H$12:$H$119,Ingot!$G$12:$G$119,"")</f>
        <v>Osso</v>
      </c>
      <c r="B12332" t="s">
        <v>24636</v>
      </c>
      <c r="C12332" t="s">
        <v>157</v>
      </c>
      <c r="D12332" t="s">
        <v>24783</v>
      </c>
      <c r="E12332" t="s">
        <v>24784</v>
      </c>
      <c r="G12332" s="1">
        <v>21.27</v>
      </c>
    </row>
    <row r="12333" spans="1:7" ht="14.25" customHeight="1" x14ac:dyDescent="0.45">
      <c r="A12333" t="str">
        <f>_xlfn.XLOOKUP(B12333,Ingot!$H$12:$H$119,Ingot!$G$12:$G$119,"")</f>
        <v>Osso</v>
      </c>
      <c r="B12333" t="s">
        <v>24636</v>
      </c>
      <c r="C12333" t="s">
        <v>157</v>
      </c>
      <c r="D12333" t="s">
        <v>24785</v>
      </c>
      <c r="E12333" t="s">
        <v>24786</v>
      </c>
      <c r="G12333" s="1">
        <v>5</v>
      </c>
    </row>
    <row r="12334" spans="1:7" ht="14.25" customHeight="1" x14ac:dyDescent="0.45">
      <c r="A12334" t="str">
        <f>_xlfn.XLOOKUP(B12334,Ingot!$H$12:$H$119,Ingot!$G$12:$G$119,"")</f>
        <v>Osso</v>
      </c>
      <c r="B12334" t="s">
        <v>24636</v>
      </c>
      <c r="C12334" t="s">
        <v>157</v>
      </c>
      <c r="D12334" t="s">
        <v>24787</v>
      </c>
      <c r="E12334" t="s">
        <v>24788</v>
      </c>
      <c r="G12334" s="1">
        <v>5</v>
      </c>
    </row>
    <row r="12335" spans="1:7" ht="14.25" customHeight="1" x14ac:dyDescent="0.45">
      <c r="A12335" t="str">
        <f>_xlfn.XLOOKUP(B12335,Ingot!$H$12:$H$119,Ingot!$G$12:$G$119,"")</f>
        <v>Osso</v>
      </c>
      <c r="B12335" t="s">
        <v>24636</v>
      </c>
      <c r="C12335" t="s">
        <v>157</v>
      </c>
      <c r="D12335" t="s">
        <v>24789</v>
      </c>
      <c r="E12335" t="s">
        <v>24790</v>
      </c>
      <c r="G12335" s="1">
        <v>5</v>
      </c>
    </row>
    <row r="12336" spans="1:7" ht="14.25" customHeight="1" x14ac:dyDescent="0.45">
      <c r="A12336" t="str">
        <f>_xlfn.XLOOKUP(B12336,Ingot!$H$12:$H$119,Ingot!$G$12:$G$119,"")</f>
        <v>Osso</v>
      </c>
      <c r="B12336" t="s">
        <v>24636</v>
      </c>
      <c r="C12336" t="s">
        <v>157</v>
      </c>
      <c r="D12336" t="s">
        <v>24791</v>
      </c>
      <c r="E12336" t="s">
        <v>24792</v>
      </c>
      <c r="G12336" s="1">
        <v>10</v>
      </c>
    </row>
    <row r="12337" spans="1:7" ht="14.25" customHeight="1" x14ac:dyDescent="0.45">
      <c r="A12337" t="str">
        <f>_xlfn.XLOOKUP(B12337,Ingot!$H$12:$H$119,Ingot!$G$12:$G$119,"")</f>
        <v>Osso</v>
      </c>
      <c r="B12337" t="s">
        <v>24636</v>
      </c>
      <c r="C12337" t="s">
        <v>157</v>
      </c>
      <c r="D12337" t="s">
        <v>24793</v>
      </c>
      <c r="E12337" t="s">
        <v>24794</v>
      </c>
      <c r="G12337" s="1">
        <v>17.77</v>
      </c>
    </row>
    <row r="12338" spans="1:7" ht="14.25" customHeight="1" x14ac:dyDescent="0.45">
      <c r="A12338" t="str">
        <f>_xlfn.XLOOKUP(B12338,Ingot!$H$12:$H$119,Ingot!$G$12:$G$119,"")</f>
        <v>Osso</v>
      </c>
      <c r="B12338" t="s">
        <v>24636</v>
      </c>
      <c r="C12338" t="s">
        <v>157</v>
      </c>
      <c r="D12338" t="s">
        <v>24795</v>
      </c>
      <c r="E12338" t="s">
        <v>24796</v>
      </c>
      <c r="G12338" s="1">
        <v>5</v>
      </c>
    </row>
    <row r="12339" spans="1:7" ht="14.25" customHeight="1" x14ac:dyDescent="0.45">
      <c r="A12339" t="str">
        <f>_xlfn.XLOOKUP(B12339,Ingot!$H$12:$H$119,Ingot!$G$12:$G$119,"")</f>
        <v>Osso</v>
      </c>
      <c r="B12339" t="s">
        <v>24636</v>
      </c>
      <c r="C12339" t="s">
        <v>157</v>
      </c>
      <c r="D12339" t="s">
        <v>24797</v>
      </c>
      <c r="E12339" t="s">
        <v>24798</v>
      </c>
      <c r="G12339" s="1">
        <v>5</v>
      </c>
    </row>
    <row r="12340" spans="1:7" ht="14.25" customHeight="1" x14ac:dyDescent="0.45">
      <c r="A12340" t="str">
        <f>_xlfn.XLOOKUP(B12340,Ingot!$H$12:$H$119,Ingot!$G$12:$G$119,"")</f>
        <v>Osso</v>
      </c>
      <c r="B12340" t="s">
        <v>24636</v>
      </c>
      <c r="C12340" t="s">
        <v>157</v>
      </c>
      <c r="D12340" t="s">
        <v>24799</v>
      </c>
      <c r="E12340" t="s">
        <v>24800</v>
      </c>
      <c r="G12340" s="1">
        <v>5</v>
      </c>
    </row>
    <row r="12341" spans="1:7" ht="14.25" customHeight="1" x14ac:dyDescent="0.45">
      <c r="A12341" t="str">
        <f>_xlfn.XLOOKUP(B12341,Ingot!$H$12:$H$119,Ingot!$G$12:$G$119,"")</f>
        <v>Osso</v>
      </c>
      <c r="B12341" t="s">
        <v>24636</v>
      </c>
      <c r="C12341" t="s">
        <v>157</v>
      </c>
      <c r="D12341" t="s">
        <v>24801</v>
      </c>
      <c r="E12341" t="s">
        <v>24802</v>
      </c>
      <c r="G12341" s="1">
        <v>10</v>
      </c>
    </row>
    <row r="12342" spans="1:7" ht="14.25" customHeight="1" x14ac:dyDescent="0.45">
      <c r="A12342" t="str">
        <f>_xlfn.XLOOKUP(B12342,Ingot!$H$12:$H$119,Ingot!$G$12:$G$119,"")</f>
        <v>Osso</v>
      </c>
      <c r="B12342" t="s">
        <v>24636</v>
      </c>
      <c r="C12342" t="s">
        <v>157</v>
      </c>
      <c r="D12342" t="s">
        <v>24803</v>
      </c>
      <c r="E12342" t="s">
        <v>24804</v>
      </c>
      <c r="F12342" t="s">
        <v>180</v>
      </c>
      <c r="G12342" s="1">
        <v>17.27</v>
      </c>
    </row>
    <row r="12343" spans="1:7" ht="14.25" customHeight="1" x14ac:dyDescent="0.45">
      <c r="A12343" t="str">
        <f>_xlfn.XLOOKUP(B12343,Ingot!$H$12:$H$119,Ingot!$G$12:$G$119,"")</f>
        <v>Osso</v>
      </c>
      <c r="B12343" t="s">
        <v>24636</v>
      </c>
      <c r="C12343" t="s">
        <v>157</v>
      </c>
      <c r="D12343" t="s">
        <v>24805</v>
      </c>
      <c r="E12343" t="s">
        <v>24806</v>
      </c>
      <c r="F12343" t="s">
        <v>180</v>
      </c>
      <c r="G12343" s="1">
        <v>5</v>
      </c>
    </row>
    <row r="12344" spans="1:7" ht="14.25" customHeight="1" x14ac:dyDescent="0.45">
      <c r="A12344" t="str">
        <f>_xlfn.XLOOKUP(B12344,Ingot!$H$12:$H$119,Ingot!$G$12:$G$119,"")</f>
        <v>Osso</v>
      </c>
      <c r="B12344" t="s">
        <v>24636</v>
      </c>
      <c r="C12344" t="s">
        <v>157</v>
      </c>
      <c r="D12344" t="s">
        <v>24807</v>
      </c>
      <c r="E12344" t="s">
        <v>24808</v>
      </c>
      <c r="F12344" t="s">
        <v>180</v>
      </c>
      <c r="G12344" s="1">
        <v>5</v>
      </c>
    </row>
    <row r="12345" spans="1:7" ht="14.25" customHeight="1" x14ac:dyDescent="0.45">
      <c r="A12345" t="str">
        <f>_xlfn.XLOOKUP(B12345,Ingot!$H$12:$H$119,Ingot!$G$12:$G$119,"")</f>
        <v>Osso</v>
      </c>
      <c r="B12345" t="s">
        <v>24636</v>
      </c>
      <c r="C12345" t="s">
        <v>157</v>
      </c>
      <c r="D12345" t="s">
        <v>24809</v>
      </c>
      <c r="E12345" t="s">
        <v>24810</v>
      </c>
      <c r="F12345" t="s">
        <v>180</v>
      </c>
      <c r="G12345" s="1">
        <v>5</v>
      </c>
    </row>
    <row r="12346" spans="1:7" ht="14.25" customHeight="1" x14ac:dyDescent="0.45">
      <c r="A12346" t="str">
        <f>_xlfn.XLOOKUP(B12346,Ingot!$H$12:$H$119,Ingot!$G$12:$G$119,"")</f>
        <v>Osso</v>
      </c>
      <c r="B12346" t="s">
        <v>24636</v>
      </c>
      <c r="C12346" t="s">
        <v>157</v>
      </c>
      <c r="D12346" t="s">
        <v>24811</v>
      </c>
      <c r="E12346" t="s">
        <v>24812</v>
      </c>
      <c r="F12346" t="s">
        <v>180</v>
      </c>
      <c r="G12346" s="1">
        <v>10</v>
      </c>
    </row>
    <row r="12347" spans="1:7" ht="14.25" customHeight="1" x14ac:dyDescent="0.45">
      <c r="A12347" t="str">
        <f>_xlfn.XLOOKUP(B12347,Ingot!$H$12:$H$119,Ingot!$G$12:$G$119,"")</f>
        <v>Osso</v>
      </c>
      <c r="B12347" t="s">
        <v>24636</v>
      </c>
      <c r="C12347" t="s">
        <v>157</v>
      </c>
      <c r="D12347" t="s">
        <v>24813</v>
      </c>
      <c r="E12347" t="s">
        <v>24814</v>
      </c>
      <c r="G12347" s="1">
        <v>18.77</v>
      </c>
    </row>
    <row r="12348" spans="1:7" ht="14.25" customHeight="1" x14ac:dyDescent="0.45">
      <c r="A12348" t="str">
        <f>_xlfn.XLOOKUP(B12348,Ingot!$H$12:$H$119,Ingot!$G$12:$G$119,"")</f>
        <v>Osso</v>
      </c>
      <c r="B12348" t="s">
        <v>24636</v>
      </c>
      <c r="C12348" t="s">
        <v>157</v>
      </c>
      <c r="D12348" t="s">
        <v>24815</v>
      </c>
      <c r="E12348" t="s">
        <v>24816</v>
      </c>
      <c r="G12348" s="1">
        <v>5</v>
      </c>
    </row>
    <row r="12349" spans="1:7" ht="14.25" customHeight="1" x14ac:dyDescent="0.45">
      <c r="A12349" t="str">
        <f>_xlfn.XLOOKUP(B12349,Ingot!$H$12:$H$119,Ingot!$G$12:$G$119,"")</f>
        <v>Osso</v>
      </c>
      <c r="B12349" t="s">
        <v>24636</v>
      </c>
      <c r="C12349" t="s">
        <v>157</v>
      </c>
      <c r="D12349" t="s">
        <v>24817</v>
      </c>
      <c r="E12349" t="s">
        <v>24818</v>
      </c>
      <c r="G12349" s="1">
        <v>5</v>
      </c>
    </row>
    <row r="12350" spans="1:7" ht="14.25" customHeight="1" x14ac:dyDescent="0.45">
      <c r="A12350" t="str">
        <f>_xlfn.XLOOKUP(B12350,Ingot!$H$12:$H$119,Ingot!$G$12:$G$119,"")</f>
        <v>Osso</v>
      </c>
      <c r="B12350" t="s">
        <v>24636</v>
      </c>
      <c r="C12350" t="s">
        <v>157</v>
      </c>
      <c r="D12350" t="s">
        <v>24819</v>
      </c>
      <c r="E12350" t="s">
        <v>24820</v>
      </c>
      <c r="G12350" s="1">
        <v>5</v>
      </c>
    </row>
    <row r="12351" spans="1:7" ht="14.25" customHeight="1" x14ac:dyDescent="0.45">
      <c r="A12351" t="str">
        <f>_xlfn.XLOOKUP(B12351,Ingot!$H$12:$H$119,Ingot!$G$12:$G$119,"")</f>
        <v>Osso</v>
      </c>
      <c r="B12351" t="s">
        <v>24636</v>
      </c>
      <c r="C12351" t="s">
        <v>157</v>
      </c>
      <c r="D12351" t="s">
        <v>24821</v>
      </c>
      <c r="E12351" t="s">
        <v>24822</v>
      </c>
      <c r="G12351" s="1">
        <v>10</v>
      </c>
    </row>
    <row r="12352" spans="1:7" ht="14.25" customHeight="1" x14ac:dyDescent="0.45">
      <c r="A12352" t="str">
        <f>_xlfn.XLOOKUP(B12352,Ingot!$H$12:$H$119,Ingot!$G$12:$G$119,"")</f>
        <v>Osso</v>
      </c>
      <c r="B12352" t="s">
        <v>24636</v>
      </c>
      <c r="C12352" t="s">
        <v>157</v>
      </c>
      <c r="D12352" t="s">
        <v>24823</v>
      </c>
      <c r="E12352" t="s">
        <v>24824</v>
      </c>
      <c r="G12352" s="1">
        <v>19.77</v>
      </c>
    </row>
    <row r="12353" spans="1:7" ht="14.25" customHeight="1" x14ac:dyDescent="0.45">
      <c r="A12353" t="str">
        <f>_xlfn.XLOOKUP(B12353,Ingot!$H$12:$H$119,Ingot!$G$12:$G$119,"")</f>
        <v>Osso</v>
      </c>
      <c r="B12353" t="s">
        <v>24636</v>
      </c>
      <c r="C12353" t="s">
        <v>157</v>
      </c>
      <c r="D12353" t="s">
        <v>24825</v>
      </c>
      <c r="E12353" t="s">
        <v>24826</v>
      </c>
      <c r="F12353" t="s">
        <v>180</v>
      </c>
      <c r="G12353" s="1">
        <v>5</v>
      </c>
    </row>
    <row r="12354" spans="1:7" ht="14.25" customHeight="1" x14ac:dyDescent="0.45">
      <c r="A12354" t="str">
        <f>_xlfn.XLOOKUP(B12354,Ingot!$H$12:$H$119,Ingot!$G$12:$G$119,"")</f>
        <v>Osso</v>
      </c>
      <c r="B12354" t="s">
        <v>24636</v>
      </c>
      <c r="C12354" t="s">
        <v>157</v>
      </c>
      <c r="D12354" t="s">
        <v>24827</v>
      </c>
      <c r="E12354" t="s">
        <v>24828</v>
      </c>
      <c r="F12354" t="s">
        <v>180</v>
      </c>
      <c r="G12354" s="1">
        <v>5</v>
      </c>
    </row>
    <row r="12355" spans="1:7" ht="14.25" customHeight="1" x14ac:dyDescent="0.45">
      <c r="A12355" t="str">
        <f>_xlfn.XLOOKUP(B12355,Ingot!$H$12:$H$119,Ingot!$G$12:$G$119,"")</f>
        <v>Osso</v>
      </c>
      <c r="B12355" t="s">
        <v>24636</v>
      </c>
      <c r="C12355" t="s">
        <v>157</v>
      </c>
      <c r="D12355" t="s">
        <v>24829</v>
      </c>
      <c r="E12355" t="s">
        <v>24830</v>
      </c>
      <c r="F12355" t="s">
        <v>180</v>
      </c>
      <c r="G12355" s="1">
        <v>5</v>
      </c>
    </row>
    <row r="12356" spans="1:7" ht="14.25" customHeight="1" x14ac:dyDescent="0.45">
      <c r="A12356" t="str">
        <f>_xlfn.XLOOKUP(B12356,Ingot!$H$12:$H$119,Ingot!$G$12:$G$119,"")</f>
        <v>Osso</v>
      </c>
      <c r="B12356" t="s">
        <v>24636</v>
      </c>
      <c r="C12356" t="s">
        <v>157</v>
      </c>
      <c r="D12356" t="s">
        <v>24831</v>
      </c>
      <c r="E12356" t="s">
        <v>24832</v>
      </c>
      <c r="G12356" s="1">
        <v>10</v>
      </c>
    </row>
    <row r="12357" spans="1:7" ht="14.25" customHeight="1" x14ac:dyDescent="0.45">
      <c r="A12357" t="str">
        <f>_xlfn.XLOOKUP(B12357,Ingot!$H$12:$H$119,Ingot!$G$12:$G$119,"")</f>
        <v>Osso</v>
      </c>
      <c r="B12357" t="s">
        <v>24636</v>
      </c>
      <c r="C12357" t="s">
        <v>157</v>
      </c>
      <c r="D12357" t="s">
        <v>24833</v>
      </c>
      <c r="E12357" t="s">
        <v>24834</v>
      </c>
      <c r="G12357" s="1">
        <v>23.77</v>
      </c>
    </row>
    <row r="12358" spans="1:7" ht="14.25" customHeight="1" x14ac:dyDescent="0.45">
      <c r="A12358" t="str">
        <f>_xlfn.XLOOKUP(B12358,Ingot!$H$12:$H$119,Ingot!$G$12:$G$119,"")</f>
        <v>Osso</v>
      </c>
      <c r="B12358" t="s">
        <v>24636</v>
      </c>
      <c r="C12358" t="s">
        <v>157</v>
      </c>
      <c r="D12358" t="s">
        <v>24835</v>
      </c>
      <c r="E12358" t="s">
        <v>24836</v>
      </c>
      <c r="G12358" s="1">
        <v>5</v>
      </c>
    </row>
    <row r="12359" spans="1:7" ht="14.25" customHeight="1" x14ac:dyDescent="0.45">
      <c r="A12359" t="str">
        <f>_xlfn.XLOOKUP(B12359,Ingot!$H$12:$H$119,Ingot!$G$12:$G$119,"")</f>
        <v>Osso</v>
      </c>
      <c r="B12359" t="s">
        <v>24636</v>
      </c>
      <c r="C12359" t="s">
        <v>157</v>
      </c>
      <c r="D12359" t="s">
        <v>24837</v>
      </c>
      <c r="E12359" t="s">
        <v>24838</v>
      </c>
      <c r="G12359" s="1">
        <v>5</v>
      </c>
    </row>
    <row r="12360" spans="1:7" ht="14.25" customHeight="1" x14ac:dyDescent="0.45">
      <c r="A12360" t="str">
        <f>_xlfn.XLOOKUP(B12360,Ingot!$H$12:$H$119,Ingot!$G$12:$G$119,"")</f>
        <v>Osso</v>
      </c>
      <c r="B12360" t="s">
        <v>24636</v>
      </c>
      <c r="C12360" t="s">
        <v>157</v>
      </c>
      <c r="D12360" t="s">
        <v>24839</v>
      </c>
      <c r="E12360" t="s">
        <v>24840</v>
      </c>
      <c r="G12360" s="1">
        <v>5</v>
      </c>
    </row>
    <row r="12361" spans="1:7" ht="14.25" customHeight="1" x14ac:dyDescent="0.45">
      <c r="A12361" t="str">
        <f>_xlfn.XLOOKUP(B12361,Ingot!$H$12:$H$119,Ingot!$G$12:$G$119,"")</f>
        <v>Osso</v>
      </c>
      <c r="B12361" t="s">
        <v>24636</v>
      </c>
      <c r="C12361" t="s">
        <v>157</v>
      </c>
      <c r="D12361" t="s">
        <v>24841</v>
      </c>
      <c r="E12361" t="s">
        <v>24842</v>
      </c>
      <c r="G12361" s="1">
        <v>10</v>
      </c>
    </row>
    <row r="12362" spans="1:7" ht="14.25" customHeight="1" x14ac:dyDescent="0.45">
      <c r="A12362" t="str">
        <f>_xlfn.XLOOKUP(B12362,Ingot!$H$12:$H$119,Ingot!$G$12:$G$119,"")</f>
        <v>Osso</v>
      </c>
      <c r="B12362" t="s">
        <v>24636</v>
      </c>
      <c r="C12362" t="s">
        <v>157</v>
      </c>
      <c r="D12362" t="s">
        <v>24843</v>
      </c>
      <c r="E12362" t="s">
        <v>24844</v>
      </c>
      <c r="G12362" s="1">
        <v>22.77</v>
      </c>
    </row>
    <row r="12363" spans="1:7" ht="14.25" customHeight="1" x14ac:dyDescent="0.45">
      <c r="A12363" t="str">
        <f>_xlfn.XLOOKUP(B12363,Ingot!$H$12:$H$119,Ingot!$G$12:$G$119,"")</f>
        <v>Osso</v>
      </c>
      <c r="B12363" t="s">
        <v>24636</v>
      </c>
      <c r="C12363" t="s">
        <v>157</v>
      </c>
      <c r="D12363" t="s">
        <v>24845</v>
      </c>
      <c r="E12363" t="s">
        <v>24846</v>
      </c>
      <c r="G12363" s="1">
        <v>5</v>
      </c>
    </row>
    <row r="12364" spans="1:7" ht="14.25" customHeight="1" x14ac:dyDescent="0.45">
      <c r="A12364" t="str">
        <f>_xlfn.XLOOKUP(B12364,Ingot!$H$12:$H$119,Ingot!$G$12:$G$119,"")</f>
        <v>Osso</v>
      </c>
      <c r="B12364" t="s">
        <v>24636</v>
      </c>
      <c r="C12364" t="s">
        <v>157</v>
      </c>
      <c r="D12364" t="s">
        <v>24847</v>
      </c>
      <c r="E12364" t="s">
        <v>24848</v>
      </c>
      <c r="G12364" s="1">
        <v>5</v>
      </c>
    </row>
    <row r="12365" spans="1:7" ht="14.25" customHeight="1" x14ac:dyDescent="0.45">
      <c r="A12365" t="str">
        <f>_xlfn.XLOOKUP(B12365,Ingot!$H$12:$H$119,Ingot!$G$12:$G$119,"")</f>
        <v>Osso</v>
      </c>
      <c r="B12365" t="s">
        <v>24636</v>
      </c>
      <c r="C12365" t="s">
        <v>157</v>
      </c>
      <c r="D12365" t="s">
        <v>24849</v>
      </c>
      <c r="E12365" t="s">
        <v>24850</v>
      </c>
      <c r="G12365" s="1">
        <v>5</v>
      </c>
    </row>
    <row r="12366" spans="1:7" ht="14.25" customHeight="1" x14ac:dyDescent="0.45">
      <c r="A12366" t="str">
        <f>_xlfn.XLOOKUP(B12366,Ingot!$H$12:$H$119,Ingot!$G$12:$G$119,"")</f>
        <v>Osso</v>
      </c>
      <c r="B12366" t="s">
        <v>24636</v>
      </c>
      <c r="C12366" t="s">
        <v>157</v>
      </c>
      <c r="D12366" t="s">
        <v>24851</v>
      </c>
      <c r="E12366" t="s">
        <v>24852</v>
      </c>
      <c r="G12366" s="1">
        <v>10</v>
      </c>
    </row>
    <row r="12367" spans="1:7" ht="14.25" customHeight="1" x14ac:dyDescent="0.45">
      <c r="A12367" t="str">
        <f>_xlfn.XLOOKUP(B12367,Ingot!$H$12:$H$119,Ingot!$G$12:$G$119,"")</f>
        <v>Osso</v>
      </c>
      <c r="B12367" t="s">
        <v>24636</v>
      </c>
      <c r="C12367" t="s">
        <v>157</v>
      </c>
      <c r="D12367" t="s">
        <v>24853</v>
      </c>
      <c r="E12367" t="s">
        <v>24854</v>
      </c>
      <c r="F12367" t="s">
        <v>180</v>
      </c>
      <c r="G12367" s="1">
        <v>16.77</v>
      </c>
    </row>
    <row r="12368" spans="1:7" ht="14.25" customHeight="1" x14ac:dyDescent="0.45">
      <c r="A12368" t="str">
        <f>_xlfn.XLOOKUP(B12368,Ingot!$H$12:$H$119,Ingot!$G$12:$G$119,"")</f>
        <v>Osso</v>
      </c>
      <c r="B12368" t="s">
        <v>24636</v>
      </c>
      <c r="C12368" t="s">
        <v>157</v>
      </c>
      <c r="D12368" t="s">
        <v>24855</v>
      </c>
      <c r="E12368" t="s">
        <v>24856</v>
      </c>
      <c r="F12368" t="s">
        <v>180</v>
      </c>
      <c r="G12368" s="1">
        <v>5</v>
      </c>
    </row>
    <row r="12369" spans="1:7" ht="14.25" customHeight="1" x14ac:dyDescent="0.45">
      <c r="A12369" t="str">
        <f>_xlfn.XLOOKUP(B12369,Ingot!$H$12:$H$119,Ingot!$G$12:$G$119,"")</f>
        <v>Osso</v>
      </c>
      <c r="B12369" t="s">
        <v>24636</v>
      </c>
      <c r="C12369" t="s">
        <v>157</v>
      </c>
      <c r="D12369" t="s">
        <v>24857</v>
      </c>
      <c r="E12369" t="s">
        <v>24858</v>
      </c>
      <c r="F12369" t="s">
        <v>180</v>
      </c>
      <c r="G12369" s="1">
        <v>5</v>
      </c>
    </row>
    <row r="12370" spans="1:7" ht="14.25" customHeight="1" x14ac:dyDescent="0.45">
      <c r="A12370" t="str">
        <f>_xlfn.XLOOKUP(B12370,Ingot!$H$12:$H$119,Ingot!$G$12:$G$119,"")</f>
        <v>Osso</v>
      </c>
      <c r="B12370" t="s">
        <v>24636</v>
      </c>
      <c r="C12370" t="s">
        <v>157</v>
      </c>
      <c r="D12370" t="s">
        <v>24859</v>
      </c>
      <c r="E12370" t="s">
        <v>24860</v>
      </c>
      <c r="F12370" t="s">
        <v>180</v>
      </c>
      <c r="G12370" s="1">
        <v>5</v>
      </c>
    </row>
    <row r="12371" spans="1:7" ht="14.25" customHeight="1" x14ac:dyDescent="0.45">
      <c r="A12371" t="str">
        <f>_xlfn.XLOOKUP(B12371,Ingot!$H$12:$H$119,Ingot!$G$12:$G$119,"")</f>
        <v>Osso</v>
      </c>
      <c r="B12371" t="s">
        <v>24636</v>
      </c>
      <c r="C12371" t="s">
        <v>157</v>
      </c>
      <c r="D12371" t="s">
        <v>24861</v>
      </c>
      <c r="E12371" t="s">
        <v>24862</v>
      </c>
      <c r="F12371" t="s">
        <v>180</v>
      </c>
      <c r="G12371" s="1">
        <v>10</v>
      </c>
    </row>
    <row r="12372" spans="1:7" ht="14.25" customHeight="1" x14ac:dyDescent="0.45">
      <c r="A12372" t="str">
        <f>_xlfn.XLOOKUP(B12372,Ingot!$H$12:$H$119,Ingot!$G$12:$G$119,"")</f>
        <v>Osso</v>
      </c>
      <c r="B12372" t="s">
        <v>24636</v>
      </c>
      <c r="C12372" t="s">
        <v>239</v>
      </c>
      <c r="D12372" t="s">
        <v>24863</v>
      </c>
      <c r="E12372" t="s">
        <v>24864</v>
      </c>
      <c r="G12372" s="1">
        <f>(VLOOKUP(B12372,Ingot!H:I,2,FALSE()) * 0.75) * 0.75</f>
        <v>6.890625</v>
      </c>
    </row>
    <row r="12373" spans="1:7" ht="14.25" customHeight="1" x14ac:dyDescent="0.45">
      <c r="A12373" t="str">
        <f>_xlfn.XLOOKUP(B12373,Ingot!$H$12:$H$119,Ingot!$G$12:$G$119,"")</f>
        <v>Osso</v>
      </c>
      <c r="B12373" t="s">
        <v>24636</v>
      </c>
      <c r="C12373" t="s">
        <v>239</v>
      </c>
      <c r="D12373" t="s">
        <v>24865</v>
      </c>
      <c r="E12373" t="s">
        <v>24866</v>
      </c>
      <c r="G12373" s="1">
        <f>((VLOOKUP(B12373,Ingot!H:I,2,FALSE()) * 3) - 10.25) * 0.421875</f>
        <v>11.1796875</v>
      </c>
    </row>
    <row r="12374" spans="1:7" ht="14.25" customHeight="1" x14ac:dyDescent="0.45">
      <c r="A12374" t="str">
        <f>_xlfn.XLOOKUP(B12374,Ingot!$H$12:$H$119,Ingot!$G$12:$G$119,"")</f>
        <v>Osso</v>
      </c>
      <c r="B12374" t="s">
        <v>24636</v>
      </c>
      <c r="C12374" t="s">
        <v>239</v>
      </c>
      <c r="D12374" t="s">
        <v>24867</v>
      </c>
      <c r="E12374" t="s">
        <v>24868</v>
      </c>
      <c r="G12374" s="1">
        <f>((VLOOKUP(B12374,Ingot!H:I,2,FALSE()) * 3) - 10.25) * 0.75</f>
        <v>19.875</v>
      </c>
    </row>
    <row r="12375" spans="1:7" ht="14.25" customHeight="1" x14ac:dyDescent="0.45">
      <c r="A12375" t="str">
        <f>_xlfn.XLOOKUP(B12375,Ingot!$H$12:$H$119,Ingot!$G$12:$G$119,"")</f>
        <v>Osso</v>
      </c>
      <c r="B12375" t="s">
        <v>24636</v>
      </c>
      <c r="C12375" t="s">
        <v>239</v>
      </c>
      <c r="D12375" t="s">
        <v>24869</v>
      </c>
      <c r="E12375" t="s">
        <v>24870</v>
      </c>
      <c r="G12375" s="1">
        <f>((VLOOKUP(B12375,Ingot!H:I,2,FALSE()) * 3) - 10.25) * 0.5625</f>
        <v>14.90625</v>
      </c>
    </row>
    <row r="12376" spans="1:7" ht="14.25" customHeight="1" x14ac:dyDescent="0.45">
      <c r="A12376" t="str">
        <f>_xlfn.XLOOKUP(B12376,Ingot!$H$12:$H$119,Ingot!$G$12:$G$119,"")</f>
        <v>Osso</v>
      </c>
      <c r="B12376" t="s">
        <v>24636</v>
      </c>
      <c r="C12376" t="s">
        <v>239</v>
      </c>
      <c r="D12376" t="s">
        <v>24871</v>
      </c>
      <c r="E12376" t="s">
        <v>24872</v>
      </c>
      <c r="G12376" s="1">
        <f>VLOOKUP(B12376,Ingot!H:I,2,FALSE()) * 0.75</f>
        <v>9.1875</v>
      </c>
    </row>
    <row r="12377" spans="1:7" ht="14.25" customHeight="1" x14ac:dyDescent="0.45">
      <c r="A12377" t="str">
        <f>_xlfn.XLOOKUP(B12377,Ingot!$H$12:$H$119,Ingot!$G$12:$G$119,"")</f>
        <v>Osso</v>
      </c>
      <c r="B12377" t="s">
        <v>24636</v>
      </c>
      <c r="C12377" t="s">
        <v>239</v>
      </c>
      <c r="D12377" t="s">
        <v>24873</v>
      </c>
      <c r="E12377" t="s">
        <v>24874</v>
      </c>
      <c r="G12377" s="1">
        <f>(VLOOKUP(B12377,Ingot!H:I,2,FALSE()) * 3) - 10.25</f>
        <v>26.5</v>
      </c>
    </row>
    <row r="12378" spans="1:7" ht="14.25" customHeight="1" x14ac:dyDescent="0.45">
      <c r="A12378" t="str">
        <f>_xlfn.XLOOKUP(B12378,Ingot!$H$12:$H$119,Ingot!$G$12:$G$119,"")</f>
        <v>Osso</v>
      </c>
      <c r="B12378" t="s">
        <v>24875</v>
      </c>
      <c r="C12378" t="s">
        <v>10</v>
      </c>
      <c r="D12378" t="s">
        <v>24876</v>
      </c>
      <c r="E12378" t="s">
        <v>24877</v>
      </c>
      <c r="G12378" s="1">
        <v>0.08</v>
      </c>
    </row>
    <row r="12379" spans="1:7" ht="14.25" customHeight="1" x14ac:dyDescent="0.45">
      <c r="A12379" t="str">
        <f>_xlfn.XLOOKUP(B12379,Ingot!$H$12:$H$119,Ingot!$G$12:$G$119,"")</f>
        <v>Osso</v>
      </c>
      <c r="B12379" t="s">
        <v>24875</v>
      </c>
      <c r="C12379" t="s">
        <v>10</v>
      </c>
      <c r="D12379" t="s">
        <v>24878</v>
      </c>
      <c r="E12379" t="s">
        <v>24879</v>
      </c>
      <c r="G12379" s="1">
        <v>9.9</v>
      </c>
    </row>
    <row r="12380" spans="1:7" ht="14.25" customHeight="1" x14ac:dyDescent="0.45">
      <c r="A12380" t="str">
        <f>_xlfn.XLOOKUP(B12380,Ingot!$H$12:$H$119,Ingot!$G$12:$G$119,"")</f>
        <v>Osso</v>
      </c>
      <c r="B12380" t="s">
        <v>24875</v>
      </c>
      <c r="C12380" t="s">
        <v>10</v>
      </c>
      <c r="D12380" t="s">
        <v>24880</v>
      </c>
      <c r="E12380" t="s">
        <v>24881</v>
      </c>
      <c r="G12380" s="1">
        <v>5.66</v>
      </c>
    </row>
    <row r="12381" spans="1:7" ht="14.25" customHeight="1" x14ac:dyDescent="0.45">
      <c r="A12381" t="str">
        <f>_xlfn.XLOOKUP(B12381,Ingot!$H$12:$H$119,Ingot!$G$12:$G$119,"")</f>
        <v>Osso</v>
      </c>
      <c r="B12381" t="s">
        <v>24875</v>
      </c>
      <c r="C12381" t="s">
        <v>10</v>
      </c>
      <c r="D12381" t="s">
        <v>24882</v>
      </c>
      <c r="E12381" t="s">
        <v>24883</v>
      </c>
      <c r="G12381" s="1">
        <v>3.3</v>
      </c>
    </row>
    <row r="12382" spans="1:7" ht="14.25" customHeight="1" x14ac:dyDescent="0.45">
      <c r="A12382" t="str">
        <f>_xlfn.XLOOKUP(B12382,Ingot!$H$12:$H$119,Ingot!$G$12:$G$119,"")</f>
        <v>Osso</v>
      </c>
      <c r="B12382" t="s">
        <v>24875</v>
      </c>
      <c r="C12382" t="s">
        <v>10</v>
      </c>
      <c r="D12382" t="s">
        <v>24884</v>
      </c>
      <c r="E12382" t="s">
        <v>24885</v>
      </c>
      <c r="G12382" s="1">
        <v>0.66</v>
      </c>
    </row>
    <row r="12383" spans="1:7" ht="14.25" customHeight="1" x14ac:dyDescent="0.45">
      <c r="A12383" t="str">
        <f>_xlfn.XLOOKUP(B12383,Ingot!$H$12:$H$119,Ingot!$G$12:$G$119,"")</f>
        <v>Osso</v>
      </c>
      <c r="B12383" t="s">
        <v>24875</v>
      </c>
      <c r="C12383" t="s">
        <v>10</v>
      </c>
      <c r="D12383" t="s">
        <v>24886</v>
      </c>
      <c r="E12383" t="s">
        <v>24887</v>
      </c>
      <c r="G12383" s="1">
        <v>0.04</v>
      </c>
    </row>
    <row r="12384" spans="1:7" ht="14.25" customHeight="1" x14ac:dyDescent="0.45">
      <c r="A12384" t="str">
        <f>_xlfn.XLOOKUP(B12384,Ingot!$H$12:$H$119,Ingot!$G$12:$G$119,"")</f>
        <v>Osso</v>
      </c>
      <c r="B12384" t="s">
        <v>24875</v>
      </c>
      <c r="C12384" t="s">
        <v>10</v>
      </c>
      <c r="D12384" t="s">
        <v>24888</v>
      </c>
      <c r="E12384" t="s">
        <v>24889</v>
      </c>
      <c r="G12384" s="1">
        <v>0.33</v>
      </c>
    </row>
    <row r="12385" spans="1:7" ht="14.25" customHeight="1" x14ac:dyDescent="0.45">
      <c r="A12385" t="str">
        <f>_xlfn.XLOOKUP(B12385,Ingot!$H$12:$H$119,Ingot!$G$12:$G$119,"")</f>
        <v>Osso</v>
      </c>
      <c r="B12385" t="s">
        <v>24875</v>
      </c>
      <c r="C12385" t="s">
        <v>10</v>
      </c>
      <c r="D12385" t="s">
        <v>24890</v>
      </c>
      <c r="E12385" t="s">
        <v>24891</v>
      </c>
    </row>
    <row r="12386" spans="1:7" ht="14.25" customHeight="1" x14ac:dyDescent="0.45">
      <c r="A12386" t="str">
        <f>_xlfn.XLOOKUP(B12386,Ingot!$H$12:$H$119,Ingot!$G$12:$G$119,"")</f>
        <v>Osso</v>
      </c>
      <c r="B12386" t="s">
        <v>24875</v>
      </c>
      <c r="C12386" t="s">
        <v>10</v>
      </c>
      <c r="D12386" t="s">
        <v>24892</v>
      </c>
      <c r="E12386" t="s">
        <v>24893</v>
      </c>
      <c r="G12386" s="1">
        <v>0.05</v>
      </c>
    </row>
    <row r="12387" spans="1:7" ht="14.25" customHeight="1" x14ac:dyDescent="0.45">
      <c r="A12387" t="str">
        <f>_xlfn.XLOOKUP(B12387,Ingot!$H$12:$H$119,Ingot!$G$12:$G$119,"")</f>
        <v>Osso</v>
      </c>
      <c r="B12387" t="s">
        <v>24875</v>
      </c>
      <c r="C12387" t="s">
        <v>10</v>
      </c>
      <c r="D12387" t="s">
        <v>24894</v>
      </c>
      <c r="E12387" t="s">
        <v>24895</v>
      </c>
      <c r="G12387" s="1">
        <v>0.66</v>
      </c>
    </row>
    <row r="12388" spans="1:7" ht="14.25" customHeight="1" x14ac:dyDescent="0.45">
      <c r="A12388" t="str">
        <f>_xlfn.XLOOKUP(B12388,Ingot!$H$12:$H$119,Ingot!$G$12:$G$119,"")</f>
        <v>Osso</v>
      </c>
      <c r="B12388" t="s">
        <v>24875</v>
      </c>
      <c r="C12388" t="s">
        <v>10</v>
      </c>
      <c r="D12388" t="s">
        <v>24896</v>
      </c>
      <c r="E12388" t="s">
        <v>24897</v>
      </c>
      <c r="G12388" s="1">
        <v>3.96</v>
      </c>
    </row>
    <row r="12389" spans="1:7" ht="14.25" customHeight="1" x14ac:dyDescent="0.45">
      <c r="A12389" t="str">
        <f>_xlfn.XLOOKUP(B12389,Ingot!$H$12:$H$119,Ingot!$G$12:$G$119,"")</f>
        <v>Osso</v>
      </c>
      <c r="B12389" t="s">
        <v>24875</v>
      </c>
      <c r="C12389" t="s">
        <v>10</v>
      </c>
      <c r="D12389" t="s">
        <v>24898</v>
      </c>
      <c r="E12389" t="s">
        <v>24899</v>
      </c>
      <c r="G12389" s="1">
        <v>8.77</v>
      </c>
    </row>
    <row r="12390" spans="1:7" ht="14.25" customHeight="1" x14ac:dyDescent="0.45">
      <c r="A12390" t="str">
        <f>_xlfn.XLOOKUP(B12390,Ingot!$H$12:$H$119,Ingot!$G$12:$G$119,"")</f>
        <v>Osso</v>
      </c>
      <c r="B12390" t="s">
        <v>24875</v>
      </c>
      <c r="C12390" t="s">
        <v>10</v>
      </c>
      <c r="D12390" t="s">
        <v>24900</v>
      </c>
      <c r="E12390" t="s">
        <v>24901</v>
      </c>
      <c r="G12390" s="1">
        <v>3.5</v>
      </c>
    </row>
    <row r="12391" spans="1:7" ht="14.25" customHeight="1" x14ac:dyDescent="0.45">
      <c r="A12391" t="str">
        <f>_xlfn.XLOOKUP(B12391,Ingot!$H$12:$H$119,Ingot!$G$12:$G$119,"")</f>
        <v>Osso</v>
      </c>
      <c r="B12391" t="s">
        <v>24875</v>
      </c>
      <c r="C12391" t="s">
        <v>10</v>
      </c>
      <c r="D12391" t="s">
        <v>24902</v>
      </c>
      <c r="E12391" t="s">
        <v>24903</v>
      </c>
    </row>
    <row r="12392" spans="1:7" ht="14.25" customHeight="1" x14ac:dyDescent="0.45">
      <c r="A12392" t="str">
        <f>_xlfn.XLOOKUP(B12392,Ingot!$H$12:$H$119,Ingot!$G$12:$G$119,"")</f>
        <v>Osso</v>
      </c>
      <c r="B12392" t="s">
        <v>24875</v>
      </c>
      <c r="C12392" t="s">
        <v>10</v>
      </c>
      <c r="D12392" t="s">
        <v>24904</v>
      </c>
      <c r="E12392" t="s">
        <v>24905</v>
      </c>
      <c r="G12392" s="1">
        <v>2.2000000000000002</v>
      </c>
    </row>
    <row r="12393" spans="1:7" ht="14.25" customHeight="1" x14ac:dyDescent="0.45">
      <c r="A12393" t="str">
        <f>_xlfn.XLOOKUP(B12393,Ingot!$H$12:$H$119,Ingot!$G$12:$G$119,"")</f>
        <v>Osso</v>
      </c>
      <c r="B12393" t="s">
        <v>24875</v>
      </c>
      <c r="C12393" t="s">
        <v>10</v>
      </c>
      <c r="D12393" t="s">
        <v>24906</v>
      </c>
      <c r="E12393" t="s">
        <v>24907</v>
      </c>
      <c r="G12393" s="1">
        <v>1.1000000000000001</v>
      </c>
    </row>
    <row r="12394" spans="1:7" ht="14.25" customHeight="1" x14ac:dyDescent="0.45">
      <c r="A12394" t="str">
        <f>_xlfn.XLOOKUP(B12394,Ingot!$H$12:$H$119,Ingot!$G$12:$G$119,"")</f>
        <v>Osso</v>
      </c>
      <c r="B12394" t="s">
        <v>24875</v>
      </c>
      <c r="C12394" t="s">
        <v>10</v>
      </c>
      <c r="D12394" t="s">
        <v>24908</v>
      </c>
      <c r="E12394" t="s">
        <v>24909</v>
      </c>
      <c r="G12394" s="1">
        <v>0.22</v>
      </c>
    </row>
    <row r="12395" spans="1:7" ht="14.25" customHeight="1" x14ac:dyDescent="0.45">
      <c r="A12395" t="str">
        <f>_xlfn.XLOOKUP(B12395,Ingot!$H$12:$H$119,Ingot!$G$12:$G$119,"")</f>
        <v>Osso</v>
      </c>
      <c r="B12395" t="s">
        <v>24875</v>
      </c>
      <c r="C12395" t="s">
        <v>10</v>
      </c>
      <c r="D12395" t="s">
        <v>24910</v>
      </c>
      <c r="E12395" t="s">
        <v>24911</v>
      </c>
      <c r="G12395" s="1">
        <v>8.41</v>
      </c>
    </row>
    <row r="12396" spans="1:7" ht="14.25" customHeight="1" x14ac:dyDescent="0.45">
      <c r="A12396" t="str">
        <f>_xlfn.XLOOKUP(B12396,Ingot!$H$12:$H$119,Ingot!$G$12:$G$119,"")</f>
        <v>Osso</v>
      </c>
      <c r="B12396" t="s">
        <v>24875</v>
      </c>
      <c r="C12396" t="s">
        <v>10</v>
      </c>
      <c r="D12396" t="s">
        <v>24912</v>
      </c>
      <c r="E12396" t="s">
        <v>24913</v>
      </c>
      <c r="G12396" s="1">
        <v>3.64</v>
      </c>
    </row>
    <row r="12397" spans="1:7" ht="14.25" customHeight="1" x14ac:dyDescent="0.45">
      <c r="A12397" t="str">
        <f>_xlfn.XLOOKUP(B12397,Ingot!$H$12:$H$119,Ingot!$G$12:$G$119,"")</f>
        <v>Osso</v>
      </c>
      <c r="B12397" t="s">
        <v>24875</v>
      </c>
      <c r="C12397" t="s">
        <v>10</v>
      </c>
      <c r="D12397" t="s">
        <v>24914</v>
      </c>
      <c r="E12397" t="s">
        <v>24915</v>
      </c>
      <c r="G12397" s="1">
        <v>7.05</v>
      </c>
    </row>
    <row r="12398" spans="1:7" ht="14.25" customHeight="1" x14ac:dyDescent="0.45">
      <c r="A12398" t="str">
        <f>_xlfn.XLOOKUP(B12398,Ingot!$H$12:$H$119,Ingot!$G$12:$G$119,"")</f>
        <v>Osso</v>
      </c>
      <c r="B12398" t="s">
        <v>24875</v>
      </c>
      <c r="C12398" t="s">
        <v>10</v>
      </c>
      <c r="D12398" t="s">
        <v>24916</v>
      </c>
      <c r="E12398" t="s">
        <v>24917</v>
      </c>
      <c r="G12398" s="1">
        <v>2.65</v>
      </c>
    </row>
    <row r="12399" spans="1:7" ht="14.25" customHeight="1" x14ac:dyDescent="0.45">
      <c r="A12399" t="str">
        <f>_xlfn.XLOOKUP(B12399,Ingot!$H$12:$H$119,Ingot!$G$12:$G$119,"")</f>
        <v>Osso</v>
      </c>
      <c r="B12399" t="s">
        <v>24875</v>
      </c>
      <c r="C12399" t="s">
        <v>10</v>
      </c>
      <c r="D12399" t="s">
        <v>24918</v>
      </c>
      <c r="E12399" t="s">
        <v>24919</v>
      </c>
      <c r="G12399" s="1">
        <v>9</v>
      </c>
    </row>
    <row r="12400" spans="1:7" ht="14.25" customHeight="1" x14ac:dyDescent="0.45">
      <c r="A12400" t="str">
        <f>_xlfn.XLOOKUP(B12400,Ingot!$H$12:$H$119,Ingot!$G$12:$G$119,"")</f>
        <v>Osso</v>
      </c>
      <c r="B12400" t="s">
        <v>24875</v>
      </c>
      <c r="C12400" t="s">
        <v>10</v>
      </c>
      <c r="D12400" t="s">
        <v>24920</v>
      </c>
      <c r="E12400" t="s">
        <v>24921</v>
      </c>
      <c r="G12400" s="1">
        <v>10.23</v>
      </c>
    </row>
    <row r="12401" spans="1:7" ht="14.25" customHeight="1" x14ac:dyDescent="0.45">
      <c r="A12401" t="str">
        <f>_xlfn.XLOOKUP(B12401,Ingot!$H$12:$H$119,Ingot!$G$12:$G$119,"")</f>
        <v>Osso</v>
      </c>
      <c r="B12401" t="s">
        <v>24875</v>
      </c>
      <c r="C12401" t="s">
        <v>10</v>
      </c>
      <c r="D12401" t="s">
        <v>24922</v>
      </c>
      <c r="E12401" t="s">
        <v>24923</v>
      </c>
      <c r="G12401" s="1">
        <v>7.7</v>
      </c>
    </row>
    <row r="12402" spans="1:7" ht="14.25" customHeight="1" x14ac:dyDescent="0.45">
      <c r="A12402" t="str">
        <f>_xlfn.XLOOKUP(B12402,Ingot!$H$12:$H$119,Ingot!$G$12:$G$119,"")</f>
        <v>Osso</v>
      </c>
      <c r="B12402" t="s">
        <v>24875</v>
      </c>
      <c r="C12402" t="s">
        <v>10</v>
      </c>
      <c r="D12402" t="s">
        <v>24924</v>
      </c>
      <c r="E12402" t="s">
        <v>24925</v>
      </c>
      <c r="G12402" s="1">
        <v>10.02</v>
      </c>
    </row>
    <row r="12403" spans="1:7" ht="14.25" customHeight="1" x14ac:dyDescent="0.45">
      <c r="A12403" t="str">
        <f>_xlfn.XLOOKUP(B12403,Ingot!$H$12:$H$119,Ingot!$G$12:$G$119,"")</f>
        <v>Osso</v>
      </c>
      <c r="B12403" t="s">
        <v>24875</v>
      </c>
      <c r="C12403" t="s">
        <v>10</v>
      </c>
      <c r="D12403" t="s">
        <v>24926</v>
      </c>
      <c r="E12403" t="s">
        <v>24927</v>
      </c>
      <c r="G12403" s="1">
        <v>11.81</v>
      </c>
    </row>
    <row r="12404" spans="1:7" ht="14.25" customHeight="1" x14ac:dyDescent="0.45">
      <c r="A12404" t="str">
        <f>_xlfn.XLOOKUP(B12404,Ingot!$H$12:$H$119,Ingot!$G$12:$G$119,"")</f>
        <v>Osso</v>
      </c>
      <c r="B12404" t="s">
        <v>24875</v>
      </c>
      <c r="C12404" t="s">
        <v>10</v>
      </c>
      <c r="D12404" t="s">
        <v>24928</v>
      </c>
      <c r="E12404" t="s">
        <v>24929</v>
      </c>
      <c r="G12404" s="1">
        <v>8.44</v>
      </c>
    </row>
    <row r="12405" spans="1:7" ht="14.25" customHeight="1" x14ac:dyDescent="0.45">
      <c r="A12405" t="str">
        <f>_xlfn.XLOOKUP(B12405,Ingot!$H$12:$H$119,Ingot!$G$12:$G$119,"")</f>
        <v>Osso</v>
      </c>
      <c r="B12405" t="s">
        <v>24875</v>
      </c>
      <c r="C12405" t="s">
        <v>10</v>
      </c>
      <c r="D12405" t="s">
        <v>24930</v>
      </c>
      <c r="E12405" t="s">
        <v>24931</v>
      </c>
      <c r="G12405" s="1">
        <v>10.42</v>
      </c>
    </row>
    <row r="12406" spans="1:7" ht="14.25" customHeight="1" x14ac:dyDescent="0.45">
      <c r="A12406" t="str">
        <f>_xlfn.XLOOKUP(B12406,Ingot!$H$12:$H$119,Ingot!$G$12:$G$119,"")</f>
        <v>Osso</v>
      </c>
      <c r="B12406" t="s">
        <v>24875</v>
      </c>
      <c r="C12406" t="s">
        <v>10</v>
      </c>
      <c r="D12406" t="s">
        <v>24932</v>
      </c>
      <c r="E12406" t="s">
        <v>24933</v>
      </c>
    </row>
    <row r="12407" spans="1:7" ht="14.25" customHeight="1" x14ac:dyDescent="0.45">
      <c r="A12407" t="str">
        <f>_xlfn.XLOOKUP(B12407,Ingot!$H$12:$H$119,Ingot!$G$12:$G$119,"")</f>
        <v>Osso</v>
      </c>
      <c r="B12407" t="s">
        <v>24875</v>
      </c>
      <c r="C12407" t="s">
        <v>10</v>
      </c>
      <c r="D12407" t="s">
        <v>24934</v>
      </c>
      <c r="E12407" t="s">
        <v>24935</v>
      </c>
      <c r="G12407" s="1">
        <v>7.96</v>
      </c>
    </row>
    <row r="12408" spans="1:7" ht="14.25" customHeight="1" x14ac:dyDescent="0.45">
      <c r="A12408" t="str">
        <f>_xlfn.XLOOKUP(B12408,Ingot!$H$12:$H$119,Ingot!$G$12:$G$119,"")</f>
        <v>Osso</v>
      </c>
      <c r="B12408" t="s">
        <v>24875</v>
      </c>
      <c r="C12408" t="s">
        <v>10</v>
      </c>
      <c r="D12408" t="s">
        <v>24936</v>
      </c>
      <c r="E12408" t="s">
        <v>24937</v>
      </c>
      <c r="G12408" s="1">
        <v>9.64</v>
      </c>
    </row>
    <row r="12409" spans="1:7" ht="14.25" customHeight="1" x14ac:dyDescent="0.45">
      <c r="A12409" t="str">
        <f>_xlfn.XLOOKUP(B12409,Ingot!$H$12:$H$119,Ingot!$G$12:$G$119,"")</f>
        <v>Osso</v>
      </c>
      <c r="B12409" t="s">
        <v>24875</v>
      </c>
      <c r="C12409" t="s">
        <v>10</v>
      </c>
      <c r="D12409" t="s">
        <v>24938</v>
      </c>
      <c r="E12409" t="s">
        <v>24939</v>
      </c>
      <c r="G12409" s="1">
        <v>7.94</v>
      </c>
    </row>
    <row r="12410" spans="1:7" ht="14.25" customHeight="1" x14ac:dyDescent="0.45">
      <c r="A12410" t="str">
        <f>_xlfn.XLOOKUP(B12410,Ingot!$H$12:$H$119,Ingot!$G$12:$G$119,"")</f>
        <v>Osso</v>
      </c>
      <c r="B12410" t="s">
        <v>24875</v>
      </c>
      <c r="C12410" t="s">
        <v>10</v>
      </c>
      <c r="D12410" t="s">
        <v>24940</v>
      </c>
      <c r="E12410" t="s">
        <v>24941</v>
      </c>
      <c r="G12410" s="1">
        <v>8.66</v>
      </c>
    </row>
    <row r="12411" spans="1:7" ht="14.25" customHeight="1" x14ac:dyDescent="0.45">
      <c r="A12411" t="str">
        <f>_xlfn.XLOOKUP(B12411,Ingot!$H$12:$H$119,Ingot!$G$12:$G$119,"")</f>
        <v>Osso</v>
      </c>
      <c r="B12411" t="s">
        <v>24875</v>
      </c>
      <c r="C12411" t="s">
        <v>10</v>
      </c>
      <c r="D12411" t="s">
        <v>24942</v>
      </c>
      <c r="E12411" t="s">
        <v>24943</v>
      </c>
    </row>
    <row r="12412" spans="1:7" ht="14.25" customHeight="1" x14ac:dyDescent="0.45">
      <c r="A12412" t="str">
        <f>_xlfn.XLOOKUP(B12412,Ingot!$H$12:$H$119,Ingot!$G$12:$G$119,"")</f>
        <v>Osso</v>
      </c>
      <c r="B12412" t="s">
        <v>24875</v>
      </c>
      <c r="C12412" t="s">
        <v>10</v>
      </c>
      <c r="D12412" t="s">
        <v>24944</v>
      </c>
      <c r="E12412" t="s">
        <v>24945</v>
      </c>
      <c r="G12412" s="1">
        <v>2.65</v>
      </c>
    </row>
    <row r="12413" spans="1:7" ht="14.25" customHeight="1" x14ac:dyDescent="0.45">
      <c r="A12413" t="str">
        <f>_xlfn.XLOOKUP(B12413,Ingot!$H$12:$H$119,Ingot!$G$12:$G$119,"")</f>
        <v>Osso</v>
      </c>
      <c r="B12413" t="s">
        <v>24875</v>
      </c>
      <c r="C12413" t="s">
        <v>10</v>
      </c>
      <c r="D12413" t="s">
        <v>24946</v>
      </c>
      <c r="E12413" t="s">
        <v>24947</v>
      </c>
    </row>
    <row r="12414" spans="1:7" ht="14.25" customHeight="1" x14ac:dyDescent="0.45">
      <c r="A12414" t="str">
        <f>_xlfn.XLOOKUP(B12414,Ingot!$H$12:$H$119,Ingot!$G$12:$G$119,"")</f>
        <v>Osso</v>
      </c>
      <c r="B12414" t="s">
        <v>24875</v>
      </c>
      <c r="C12414" t="s">
        <v>10</v>
      </c>
      <c r="D12414" t="s">
        <v>24948</v>
      </c>
      <c r="E12414" t="s">
        <v>24949</v>
      </c>
      <c r="G12414" s="1">
        <v>12.64</v>
      </c>
    </row>
    <row r="12415" spans="1:7" ht="14.25" customHeight="1" x14ac:dyDescent="0.45">
      <c r="A12415" t="str">
        <f>_xlfn.XLOOKUP(B12415,Ingot!$H$12:$H$119,Ingot!$G$12:$G$119,"")</f>
        <v>Osso</v>
      </c>
      <c r="B12415" t="s">
        <v>24875</v>
      </c>
      <c r="C12415" t="s">
        <v>10</v>
      </c>
      <c r="D12415" t="s">
        <v>24950</v>
      </c>
      <c r="E12415" t="s">
        <v>24951</v>
      </c>
      <c r="G12415" s="1">
        <v>22.67</v>
      </c>
    </row>
    <row r="12416" spans="1:7" ht="14.25" customHeight="1" x14ac:dyDescent="0.45">
      <c r="A12416" t="str">
        <f>_xlfn.XLOOKUP(B12416,Ingot!$H$12:$H$119,Ingot!$G$12:$G$119,"")</f>
        <v>Osso</v>
      </c>
      <c r="B12416" t="s">
        <v>24875</v>
      </c>
      <c r="C12416" t="s">
        <v>10</v>
      </c>
      <c r="D12416" t="s">
        <v>24952</v>
      </c>
      <c r="E12416" t="s">
        <v>24953</v>
      </c>
      <c r="G12416" s="1">
        <v>8.3800000000000008</v>
      </c>
    </row>
    <row r="12417" spans="1:7" ht="14.25" customHeight="1" x14ac:dyDescent="0.45">
      <c r="A12417" t="str">
        <f>_xlfn.XLOOKUP(B12417,Ingot!$H$12:$H$119,Ingot!$G$12:$G$119,"")</f>
        <v>Osso</v>
      </c>
      <c r="B12417" t="s">
        <v>24875</v>
      </c>
      <c r="C12417" t="s">
        <v>10</v>
      </c>
      <c r="D12417" t="s">
        <v>24954</v>
      </c>
      <c r="E12417" t="s">
        <v>24955</v>
      </c>
      <c r="G12417" s="1">
        <v>2.2000000000000002</v>
      </c>
    </row>
    <row r="12418" spans="1:7" ht="14.25" customHeight="1" x14ac:dyDescent="0.45">
      <c r="A12418" t="str">
        <f>_xlfn.XLOOKUP(B12418,Ingot!$H$12:$H$119,Ingot!$G$12:$G$119,"")</f>
        <v>Osso</v>
      </c>
      <c r="B12418" t="s">
        <v>24875</v>
      </c>
      <c r="C12418" t="s">
        <v>10</v>
      </c>
      <c r="D12418" t="s">
        <v>24956</v>
      </c>
      <c r="E12418" t="s">
        <v>24957</v>
      </c>
      <c r="G12418" s="1">
        <v>3.09</v>
      </c>
    </row>
    <row r="12419" spans="1:7" ht="14.25" customHeight="1" x14ac:dyDescent="0.45">
      <c r="A12419" t="str">
        <f>_xlfn.XLOOKUP(B12419,Ingot!$H$12:$H$119,Ingot!$G$12:$G$119,"")</f>
        <v>Osso</v>
      </c>
      <c r="B12419" t="s">
        <v>24875</v>
      </c>
      <c r="C12419" t="s">
        <v>10</v>
      </c>
      <c r="D12419" t="s">
        <v>24958</v>
      </c>
      <c r="E12419" t="s">
        <v>24959</v>
      </c>
      <c r="G12419" s="1">
        <v>2.2999999999999998</v>
      </c>
    </row>
    <row r="12420" spans="1:7" ht="14.25" customHeight="1" x14ac:dyDescent="0.45">
      <c r="A12420" t="str">
        <f>_xlfn.XLOOKUP(B12420,Ingot!$H$12:$H$119,Ingot!$G$12:$G$119,"")</f>
        <v>Osso</v>
      </c>
      <c r="B12420" t="s">
        <v>24875</v>
      </c>
      <c r="C12420" t="s">
        <v>10</v>
      </c>
      <c r="D12420" t="s">
        <v>24960</v>
      </c>
      <c r="E12420" t="s">
        <v>24961</v>
      </c>
      <c r="G12420" s="1">
        <v>4.88</v>
      </c>
    </row>
    <row r="12421" spans="1:7" ht="14.25" customHeight="1" x14ac:dyDescent="0.45">
      <c r="A12421" t="str">
        <f>_xlfn.XLOOKUP(B12421,Ingot!$H$12:$H$119,Ingot!$G$12:$G$119,"")</f>
        <v>Osso</v>
      </c>
      <c r="B12421" t="s">
        <v>24875</v>
      </c>
      <c r="C12421" t="s">
        <v>10</v>
      </c>
      <c r="D12421" t="s">
        <v>24962</v>
      </c>
      <c r="E12421" t="s">
        <v>24963</v>
      </c>
      <c r="G12421" s="1">
        <v>8.43</v>
      </c>
    </row>
    <row r="12422" spans="1:7" ht="14.25" customHeight="1" x14ac:dyDescent="0.45">
      <c r="A12422" t="str">
        <f>_xlfn.XLOOKUP(B12422,Ingot!$H$12:$H$119,Ingot!$G$12:$G$119,"")</f>
        <v>Osso</v>
      </c>
      <c r="B12422" t="s">
        <v>24875</v>
      </c>
      <c r="C12422" t="s">
        <v>10</v>
      </c>
      <c r="D12422" t="s">
        <v>24964</v>
      </c>
      <c r="E12422" t="s">
        <v>24965</v>
      </c>
      <c r="G12422" s="1">
        <v>13.07</v>
      </c>
    </row>
    <row r="12423" spans="1:7" ht="14.25" customHeight="1" x14ac:dyDescent="0.45">
      <c r="A12423" t="str">
        <f>_xlfn.XLOOKUP(B12423,Ingot!$H$12:$H$119,Ingot!$G$12:$G$119,"")</f>
        <v>Osso</v>
      </c>
      <c r="B12423" t="s">
        <v>24875</v>
      </c>
      <c r="C12423" t="s">
        <v>10</v>
      </c>
      <c r="D12423" t="s">
        <v>24966</v>
      </c>
      <c r="E12423" t="s">
        <v>24967</v>
      </c>
    </row>
    <row r="12424" spans="1:7" ht="14.25" customHeight="1" x14ac:dyDescent="0.45">
      <c r="A12424" t="str">
        <f>_xlfn.XLOOKUP(B12424,Ingot!$H$12:$H$119,Ingot!$G$12:$G$119,"")</f>
        <v>Osso</v>
      </c>
      <c r="B12424" t="s">
        <v>24875</v>
      </c>
      <c r="C12424" t="s">
        <v>10</v>
      </c>
      <c r="D12424" t="s">
        <v>24968</v>
      </c>
      <c r="E12424" t="s">
        <v>24969</v>
      </c>
    </row>
    <row r="12425" spans="1:7" ht="14.25" customHeight="1" x14ac:dyDescent="0.45">
      <c r="A12425" t="str">
        <f>_xlfn.XLOOKUP(B12425,Ingot!$H$12:$H$119,Ingot!$G$12:$G$119,"")</f>
        <v>Osso</v>
      </c>
      <c r="B12425" t="s">
        <v>24875</v>
      </c>
      <c r="C12425" t="s">
        <v>10</v>
      </c>
      <c r="D12425" t="s">
        <v>24970</v>
      </c>
      <c r="E12425" t="s">
        <v>24971</v>
      </c>
      <c r="G12425" s="1">
        <v>6.8</v>
      </c>
    </row>
    <row r="12426" spans="1:7" ht="14.25" customHeight="1" x14ac:dyDescent="0.45">
      <c r="A12426" t="str">
        <f>_xlfn.XLOOKUP(B12426,Ingot!$H$12:$H$119,Ingot!$G$12:$G$119,"")</f>
        <v>Osso</v>
      </c>
      <c r="B12426" t="s">
        <v>24875</v>
      </c>
      <c r="C12426" t="s">
        <v>10</v>
      </c>
      <c r="D12426" t="s">
        <v>24972</v>
      </c>
      <c r="E12426" t="s">
        <v>24973</v>
      </c>
      <c r="G12426" s="1">
        <v>6.88</v>
      </c>
    </row>
    <row r="12427" spans="1:7" ht="14.25" customHeight="1" x14ac:dyDescent="0.45">
      <c r="A12427" t="str">
        <f>_xlfn.XLOOKUP(B12427,Ingot!$H$12:$H$119,Ingot!$G$12:$G$119,"")</f>
        <v>Osso</v>
      </c>
      <c r="B12427" t="s">
        <v>24875</v>
      </c>
      <c r="C12427" t="s">
        <v>10</v>
      </c>
      <c r="D12427" t="s">
        <v>24974</v>
      </c>
      <c r="E12427" t="s">
        <v>24975</v>
      </c>
      <c r="G12427" s="1">
        <v>5.5</v>
      </c>
    </row>
    <row r="12428" spans="1:7" ht="14.25" customHeight="1" x14ac:dyDescent="0.45">
      <c r="A12428" t="str">
        <f>_xlfn.XLOOKUP(B12428,Ingot!$H$12:$H$119,Ingot!$G$12:$G$119,"")</f>
        <v>Osso</v>
      </c>
      <c r="B12428" t="s">
        <v>24875</v>
      </c>
      <c r="C12428" t="s">
        <v>10</v>
      </c>
      <c r="D12428" t="s">
        <v>24976</v>
      </c>
      <c r="E12428" t="s">
        <v>24977</v>
      </c>
      <c r="G12428" s="1">
        <v>2.4300000000000002</v>
      </c>
    </row>
    <row r="12429" spans="1:7" ht="14.25" customHeight="1" x14ac:dyDescent="0.45">
      <c r="A12429" t="str">
        <f>_xlfn.XLOOKUP(B12429,Ingot!$H$12:$H$119,Ingot!$G$12:$G$119,"")</f>
        <v>Osso</v>
      </c>
      <c r="B12429" t="s">
        <v>24875</v>
      </c>
      <c r="C12429" t="s">
        <v>10</v>
      </c>
      <c r="D12429" t="s">
        <v>24978</v>
      </c>
      <c r="E12429" t="s">
        <v>24979</v>
      </c>
      <c r="G12429" s="1">
        <v>6.96</v>
      </c>
    </row>
    <row r="12430" spans="1:7" ht="14.25" customHeight="1" x14ac:dyDescent="0.45">
      <c r="A12430" t="str">
        <f>_xlfn.XLOOKUP(B12430,Ingot!$H$12:$H$119,Ingot!$G$12:$G$119,"")</f>
        <v>Osso</v>
      </c>
      <c r="B12430" t="s">
        <v>24875</v>
      </c>
      <c r="C12430" t="s">
        <v>10</v>
      </c>
      <c r="D12430" t="s">
        <v>24980</v>
      </c>
      <c r="E12430" t="s">
        <v>24981</v>
      </c>
      <c r="G12430" s="1">
        <v>6.32</v>
      </c>
    </row>
    <row r="12431" spans="1:7" ht="14.25" customHeight="1" x14ac:dyDescent="0.45">
      <c r="A12431" t="str">
        <f>_xlfn.XLOOKUP(B12431,Ingot!$H$12:$H$119,Ingot!$G$12:$G$119,"")</f>
        <v>Osso</v>
      </c>
      <c r="B12431" t="s">
        <v>24875</v>
      </c>
      <c r="C12431" t="s">
        <v>10</v>
      </c>
      <c r="D12431" t="s">
        <v>24982</v>
      </c>
      <c r="E12431" t="s">
        <v>24983</v>
      </c>
      <c r="G12431" s="1">
        <v>6.88</v>
      </c>
    </row>
    <row r="12432" spans="1:7" ht="14.25" customHeight="1" x14ac:dyDescent="0.45">
      <c r="A12432" t="str">
        <f>_xlfn.XLOOKUP(B12432,Ingot!$H$12:$H$119,Ingot!$G$12:$G$119,"")</f>
        <v>Osso</v>
      </c>
      <c r="B12432" t="s">
        <v>24875</v>
      </c>
      <c r="C12432" t="s">
        <v>10</v>
      </c>
      <c r="D12432" t="s">
        <v>24984</v>
      </c>
      <c r="E12432" t="s">
        <v>24985</v>
      </c>
      <c r="G12432" s="1">
        <v>2.44</v>
      </c>
    </row>
    <row r="12433" spans="1:7" ht="14.25" customHeight="1" x14ac:dyDescent="0.45">
      <c r="A12433" t="str">
        <f>_xlfn.XLOOKUP(B12433,Ingot!$H$12:$H$119,Ingot!$G$12:$G$119,"")</f>
        <v>Osso</v>
      </c>
      <c r="B12433" t="s">
        <v>24875</v>
      </c>
      <c r="C12433" t="s">
        <v>10</v>
      </c>
      <c r="D12433" t="s">
        <v>24986</v>
      </c>
      <c r="E12433" t="s">
        <v>24987</v>
      </c>
    </row>
    <row r="12434" spans="1:7" ht="14.25" customHeight="1" x14ac:dyDescent="0.45">
      <c r="A12434" t="str">
        <f>_xlfn.XLOOKUP(B12434,Ingot!$H$12:$H$119,Ingot!$G$12:$G$119,"")</f>
        <v>Osso</v>
      </c>
      <c r="B12434" t="s">
        <v>24875</v>
      </c>
      <c r="C12434" t="s">
        <v>10</v>
      </c>
      <c r="D12434" t="s">
        <v>24988</v>
      </c>
      <c r="E12434" t="s">
        <v>24989</v>
      </c>
    </row>
    <row r="12435" spans="1:7" ht="14.25" customHeight="1" x14ac:dyDescent="0.45">
      <c r="A12435" t="str">
        <f>_xlfn.XLOOKUP(B12435,Ingot!$H$12:$H$119,Ingot!$G$12:$G$119,"")</f>
        <v>Osso</v>
      </c>
      <c r="B12435" t="s">
        <v>24875</v>
      </c>
      <c r="C12435" t="s">
        <v>10</v>
      </c>
      <c r="D12435" t="s">
        <v>24990</v>
      </c>
      <c r="E12435" t="s">
        <v>24991</v>
      </c>
      <c r="G12435" s="1">
        <v>3.11</v>
      </c>
    </row>
    <row r="12436" spans="1:7" ht="14.25" customHeight="1" x14ac:dyDescent="0.45">
      <c r="A12436" t="str">
        <f>_xlfn.XLOOKUP(B12436,Ingot!$H$12:$H$119,Ingot!$G$12:$G$119,"")</f>
        <v>Osso</v>
      </c>
      <c r="B12436" t="s">
        <v>24875</v>
      </c>
      <c r="C12436" t="s">
        <v>10</v>
      </c>
      <c r="D12436" t="s">
        <v>24992</v>
      </c>
      <c r="E12436" t="s">
        <v>24993</v>
      </c>
      <c r="G12436" s="1">
        <v>2.44</v>
      </c>
    </row>
    <row r="12437" spans="1:7" ht="14.25" customHeight="1" x14ac:dyDescent="0.45">
      <c r="A12437" t="str">
        <f>_xlfn.XLOOKUP(B12437,Ingot!$H$12:$H$119,Ingot!$G$12:$G$119,"")</f>
        <v>Osso</v>
      </c>
      <c r="B12437" t="s">
        <v>24875</v>
      </c>
      <c r="C12437" t="s">
        <v>10</v>
      </c>
      <c r="D12437" t="s">
        <v>24994</v>
      </c>
      <c r="E12437" t="s">
        <v>24995</v>
      </c>
      <c r="G12437" s="1">
        <v>8.61</v>
      </c>
    </row>
    <row r="12438" spans="1:7" ht="14.25" customHeight="1" x14ac:dyDescent="0.45">
      <c r="A12438" t="str">
        <f>_xlfn.XLOOKUP(B12438,Ingot!$H$12:$H$119,Ingot!$G$12:$G$119,"")</f>
        <v>Osso</v>
      </c>
      <c r="B12438" t="s">
        <v>24875</v>
      </c>
      <c r="C12438" t="s">
        <v>10</v>
      </c>
      <c r="D12438" t="s">
        <v>24996</v>
      </c>
      <c r="E12438" t="s">
        <v>24997</v>
      </c>
    </row>
    <row r="12439" spans="1:7" ht="14.25" customHeight="1" x14ac:dyDescent="0.45">
      <c r="A12439" t="str">
        <f>_xlfn.XLOOKUP(B12439,Ingot!$H$12:$H$119,Ingot!$G$12:$G$119,"")</f>
        <v>Osso</v>
      </c>
      <c r="B12439" t="s">
        <v>24875</v>
      </c>
      <c r="C12439" t="s">
        <v>10</v>
      </c>
      <c r="D12439" t="s">
        <v>24998</v>
      </c>
      <c r="E12439" t="s">
        <v>24999</v>
      </c>
      <c r="G12439" s="1">
        <v>3.21</v>
      </c>
    </row>
    <row r="12440" spans="1:7" ht="14.25" customHeight="1" x14ac:dyDescent="0.45">
      <c r="A12440" t="str">
        <f>_xlfn.XLOOKUP(B12440,Ingot!$H$12:$H$119,Ingot!$G$12:$G$119,"")</f>
        <v>Osso</v>
      </c>
      <c r="B12440" t="s">
        <v>24875</v>
      </c>
      <c r="C12440" t="s">
        <v>10</v>
      </c>
      <c r="D12440" t="s">
        <v>25000</v>
      </c>
      <c r="E12440" t="s">
        <v>25001</v>
      </c>
      <c r="G12440" s="1">
        <v>2.77</v>
      </c>
    </row>
    <row r="12441" spans="1:7" ht="14.25" customHeight="1" x14ac:dyDescent="0.45">
      <c r="A12441" t="str">
        <f>_xlfn.XLOOKUP(B12441,Ingot!$H$12:$H$119,Ingot!$G$12:$G$119,"")</f>
        <v>Osso</v>
      </c>
      <c r="B12441" t="s">
        <v>24875</v>
      </c>
      <c r="C12441" t="s">
        <v>10</v>
      </c>
      <c r="D12441" t="s">
        <v>25002</v>
      </c>
      <c r="E12441" t="s">
        <v>25003</v>
      </c>
      <c r="G12441" s="1">
        <v>4.8899999999999997</v>
      </c>
    </row>
    <row r="12442" spans="1:7" ht="14.25" customHeight="1" x14ac:dyDescent="0.45">
      <c r="A12442" t="str">
        <f>_xlfn.XLOOKUP(B12442,Ingot!$H$12:$H$119,Ingot!$G$12:$G$119,"")</f>
        <v>Osso</v>
      </c>
      <c r="B12442" t="s">
        <v>24875</v>
      </c>
      <c r="C12442" t="s">
        <v>10</v>
      </c>
      <c r="D12442" t="s">
        <v>25004</v>
      </c>
      <c r="E12442" t="s">
        <v>25005</v>
      </c>
      <c r="G12442" s="1">
        <v>1.76</v>
      </c>
    </row>
    <row r="12443" spans="1:7" ht="14.25" customHeight="1" x14ac:dyDescent="0.45">
      <c r="A12443" t="str">
        <f>_xlfn.XLOOKUP(B12443,Ingot!$H$12:$H$119,Ingot!$G$12:$G$119,"")</f>
        <v>Osso</v>
      </c>
      <c r="B12443" t="s">
        <v>24875</v>
      </c>
      <c r="C12443" t="s">
        <v>10</v>
      </c>
      <c r="D12443" t="s">
        <v>25006</v>
      </c>
      <c r="E12443" t="s">
        <v>25007</v>
      </c>
    </row>
    <row r="12444" spans="1:7" ht="14.25" customHeight="1" x14ac:dyDescent="0.45">
      <c r="A12444" t="str">
        <f>_xlfn.XLOOKUP(B12444,Ingot!$H$12:$H$119,Ingot!$G$12:$G$119,"")</f>
        <v>Osso</v>
      </c>
      <c r="B12444" t="s">
        <v>24875</v>
      </c>
      <c r="C12444" t="s">
        <v>10</v>
      </c>
      <c r="D12444" t="s">
        <v>25008</v>
      </c>
      <c r="E12444" t="s">
        <v>25009</v>
      </c>
      <c r="G12444" s="1">
        <v>8.57</v>
      </c>
    </row>
    <row r="12445" spans="1:7" ht="14.25" customHeight="1" x14ac:dyDescent="0.45">
      <c r="A12445" t="str">
        <f>_xlfn.XLOOKUP(B12445,Ingot!$H$12:$H$119,Ingot!$G$12:$G$119,"")</f>
        <v>Osso</v>
      </c>
      <c r="B12445" t="s">
        <v>24875</v>
      </c>
      <c r="C12445" t="s">
        <v>10</v>
      </c>
      <c r="D12445" t="s">
        <v>25010</v>
      </c>
      <c r="E12445" t="s">
        <v>25011</v>
      </c>
    </row>
    <row r="12446" spans="1:7" ht="14.25" customHeight="1" x14ac:dyDescent="0.45">
      <c r="A12446" t="str">
        <f>_xlfn.XLOOKUP(B12446,Ingot!$H$12:$H$119,Ingot!$G$12:$G$119,"")</f>
        <v>Osso</v>
      </c>
      <c r="B12446" t="s">
        <v>24875</v>
      </c>
      <c r="C12446" t="s">
        <v>10</v>
      </c>
      <c r="D12446" t="s">
        <v>25012</v>
      </c>
      <c r="E12446" t="s">
        <v>25013</v>
      </c>
      <c r="G12446" s="1">
        <v>3.56</v>
      </c>
    </row>
    <row r="12447" spans="1:7" ht="14.25" customHeight="1" x14ac:dyDescent="0.45">
      <c r="A12447" t="str">
        <f>_xlfn.XLOOKUP(B12447,Ingot!$H$12:$H$119,Ingot!$G$12:$G$119,"")</f>
        <v>Osso</v>
      </c>
      <c r="B12447" t="s">
        <v>24875</v>
      </c>
      <c r="C12447" t="s">
        <v>10</v>
      </c>
      <c r="D12447" t="s">
        <v>25014</v>
      </c>
      <c r="E12447" t="s">
        <v>25015</v>
      </c>
      <c r="G12447" s="1">
        <v>8.91</v>
      </c>
    </row>
    <row r="12448" spans="1:7" ht="14.25" customHeight="1" x14ac:dyDescent="0.45">
      <c r="A12448" t="str">
        <f>_xlfn.XLOOKUP(B12448,Ingot!$H$12:$H$119,Ingot!$G$12:$G$119,"")</f>
        <v>Osso</v>
      </c>
      <c r="B12448" t="s">
        <v>24875</v>
      </c>
      <c r="C12448" t="s">
        <v>10</v>
      </c>
      <c r="D12448" t="s">
        <v>25016</v>
      </c>
      <c r="E12448" t="s">
        <v>25017</v>
      </c>
      <c r="G12448" s="1">
        <v>11.02</v>
      </c>
    </row>
    <row r="12449" spans="1:7" ht="14.25" customHeight="1" x14ac:dyDescent="0.45">
      <c r="A12449" t="str">
        <f>_xlfn.XLOOKUP(B12449,Ingot!$H$12:$H$119,Ingot!$G$12:$G$119,"")</f>
        <v>Osso</v>
      </c>
      <c r="B12449" t="s">
        <v>24875</v>
      </c>
      <c r="C12449" t="s">
        <v>10</v>
      </c>
      <c r="D12449" t="s">
        <v>25018</v>
      </c>
      <c r="E12449" t="s">
        <v>25019</v>
      </c>
      <c r="G12449" s="1">
        <v>5.12</v>
      </c>
    </row>
    <row r="12450" spans="1:7" ht="14.25" customHeight="1" x14ac:dyDescent="0.45">
      <c r="A12450" t="str">
        <f>_xlfn.XLOOKUP(B12450,Ingot!$H$12:$H$119,Ingot!$G$12:$G$119,"")</f>
        <v>Osso</v>
      </c>
      <c r="B12450" t="s">
        <v>24875</v>
      </c>
      <c r="C12450" t="s">
        <v>10</v>
      </c>
      <c r="D12450" t="s">
        <v>25020</v>
      </c>
      <c r="E12450" t="s">
        <v>25021</v>
      </c>
      <c r="G12450" s="1">
        <v>4.41</v>
      </c>
    </row>
    <row r="12451" spans="1:7" ht="14.25" customHeight="1" x14ac:dyDescent="0.45">
      <c r="A12451" t="str">
        <f>_xlfn.XLOOKUP(B12451,Ingot!$H$12:$H$119,Ingot!$G$12:$G$119,"")</f>
        <v>Osso</v>
      </c>
      <c r="B12451" t="s">
        <v>24875</v>
      </c>
      <c r="C12451" t="s">
        <v>157</v>
      </c>
      <c r="D12451" t="s">
        <v>25022</v>
      </c>
      <c r="E12451" t="s">
        <v>25023</v>
      </c>
      <c r="G12451" s="1">
        <v>20.5</v>
      </c>
    </row>
    <row r="12452" spans="1:7" ht="14.25" customHeight="1" x14ac:dyDescent="0.45">
      <c r="A12452" t="str">
        <f>_xlfn.XLOOKUP(B12452,Ingot!$H$12:$H$119,Ingot!$G$12:$G$119,"")</f>
        <v>Osso</v>
      </c>
      <c r="B12452" t="s">
        <v>24875</v>
      </c>
      <c r="C12452" t="s">
        <v>157</v>
      </c>
      <c r="D12452" t="s">
        <v>25024</v>
      </c>
      <c r="E12452" t="s">
        <v>25025</v>
      </c>
      <c r="G12452" s="1">
        <v>5</v>
      </c>
    </row>
    <row r="12453" spans="1:7" ht="14.25" customHeight="1" x14ac:dyDescent="0.45">
      <c r="A12453" t="str">
        <f>_xlfn.XLOOKUP(B12453,Ingot!$H$12:$H$119,Ingot!$G$12:$G$119,"")</f>
        <v>Osso</v>
      </c>
      <c r="B12453" t="s">
        <v>24875</v>
      </c>
      <c r="C12453" t="s">
        <v>157</v>
      </c>
      <c r="D12453" t="s">
        <v>25026</v>
      </c>
      <c r="E12453" t="s">
        <v>25027</v>
      </c>
      <c r="G12453" s="1">
        <v>5</v>
      </c>
    </row>
    <row r="12454" spans="1:7" ht="14.25" customHeight="1" x14ac:dyDescent="0.45">
      <c r="A12454" t="str">
        <f>_xlfn.XLOOKUP(B12454,Ingot!$H$12:$H$119,Ingot!$G$12:$G$119,"")</f>
        <v>Osso</v>
      </c>
      <c r="B12454" t="s">
        <v>24875</v>
      </c>
      <c r="C12454" t="s">
        <v>157</v>
      </c>
      <c r="D12454" t="s">
        <v>25028</v>
      </c>
      <c r="E12454" t="s">
        <v>25029</v>
      </c>
      <c r="G12454" s="1">
        <v>5</v>
      </c>
    </row>
    <row r="12455" spans="1:7" ht="14.25" customHeight="1" x14ac:dyDescent="0.45">
      <c r="A12455" t="str">
        <f>_xlfn.XLOOKUP(B12455,Ingot!$H$12:$H$119,Ingot!$G$12:$G$119,"")</f>
        <v>Osso</v>
      </c>
      <c r="B12455" t="s">
        <v>24875</v>
      </c>
      <c r="C12455" t="s">
        <v>157</v>
      </c>
      <c r="D12455" t="s">
        <v>25030</v>
      </c>
      <c r="E12455" t="s">
        <v>25031</v>
      </c>
      <c r="G12455" s="1">
        <v>10</v>
      </c>
    </row>
    <row r="12456" spans="1:7" ht="14.25" customHeight="1" x14ac:dyDescent="0.45">
      <c r="A12456" t="str">
        <f>_xlfn.XLOOKUP(B12456,Ingot!$H$12:$H$119,Ingot!$G$12:$G$119,"")</f>
        <v>Osso</v>
      </c>
      <c r="B12456" t="s">
        <v>24875</v>
      </c>
      <c r="C12456" t="s">
        <v>157</v>
      </c>
      <c r="D12456" t="s">
        <v>25032</v>
      </c>
      <c r="E12456" t="s">
        <v>25033</v>
      </c>
      <c r="G12456" s="1">
        <v>17</v>
      </c>
    </row>
    <row r="12457" spans="1:7" ht="14.25" customHeight="1" x14ac:dyDescent="0.45">
      <c r="A12457" t="str">
        <f>_xlfn.XLOOKUP(B12457,Ingot!$H$12:$H$119,Ingot!$G$12:$G$119,"")</f>
        <v>Osso</v>
      </c>
      <c r="B12457" t="s">
        <v>24875</v>
      </c>
      <c r="C12457" t="s">
        <v>157</v>
      </c>
      <c r="D12457" t="s">
        <v>25034</v>
      </c>
      <c r="E12457" t="s">
        <v>25035</v>
      </c>
      <c r="G12457" s="1">
        <v>5</v>
      </c>
    </row>
    <row r="12458" spans="1:7" ht="14.25" customHeight="1" x14ac:dyDescent="0.45">
      <c r="A12458" t="str">
        <f>_xlfn.XLOOKUP(B12458,Ingot!$H$12:$H$119,Ingot!$G$12:$G$119,"")</f>
        <v>Osso</v>
      </c>
      <c r="B12458" t="s">
        <v>24875</v>
      </c>
      <c r="C12458" t="s">
        <v>157</v>
      </c>
      <c r="D12458" t="s">
        <v>25036</v>
      </c>
      <c r="E12458" t="s">
        <v>25037</v>
      </c>
      <c r="G12458" s="1">
        <v>5</v>
      </c>
    </row>
    <row r="12459" spans="1:7" ht="14.25" customHeight="1" x14ac:dyDescent="0.45">
      <c r="A12459" t="str">
        <f>_xlfn.XLOOKUP(B12459,Ingot!$H$12:$H$119,Ingot!$G$12:$G$119,"")</f>
        <v>Osso</v>
      </c>
      <c r="B12459" t="s">
        <v>24875</v>
      </c>
      <c r="C12459" t="s">
        <v>157</v>
      </c>
      <c r="D12459" t="s">
        <v>25038</v>
      </c>
      <c r="E12459" t="s">
        <v>25039</v>
      </c>
      <c r="G12459" s="1">
        <v>5</v>
      </c>
    </row>
    <row r="12460" spans="1:7" ht="14.25" customHeight="1" x14ac:dyDescent="0.45">
      <c r="A12460" t="str">
        <f>_xlfn.XLOOKUP(B12460,Ingot!$H$12:$H$119,Ingot!$G$12:$G$119,"")</f>
        <v>Osso</v>
      </c>
      <c r="B12460" t="s">
        <v>24875</v>
      </c>
      <c r="C12460" t="s">
        <v>157</v>
      </c>
      <c r="D12460" t="s">
        <v>25040</v>
      </c>
      <c r="E12460" t="s">
        <v>25041</v>
      </c>
      <c r="G12460" s="1">
        <v>10</v>
      </c>
    </row>
    <row r="12461" spans="1:7" ht="14.25" customHeight="1" x14ac:dyDescent="0.45">
      <c r="A12461" t="str">
        <f>_xlfn.XLOOKUP(B12461,Ingot!$H$12:$H$119,Ingot!$G$12:$G$119,"")</f>
        <v>Osso</v>
      </c>
      <c r="B12461" t="s">
        <v>24875</v>
      </c>
      <c r="C12461" t="s">
        <v>157</v>
      </c>
      <c r="D12461" t="s">
        <v>25042</v>
      </c>
      <c r="E12461" t="s">
        <v>25043</v>
      </c>
      <c r="G12461" s="1">
        <v>16.5</v>
      </c>
    </row>
    <row r="12462" spans="1:7" ht="14.25" customHeight="1" x14ac:dyDescent="0.45">
      <c r="A12462" t="str">
        <f>_xlfn.XLOOKUP(B12462,Ingot!$H$12:$H$119,Ingot!$G$12:$G$119,"")</f>
        <v>Osso</v>
      </c>
      <c r="B12462" t="s">
        <v>24875</v>
      </c>
      <c r="C12462" t="s">
        <v>157</v>
      </c>
      <c r="D12462" t="s">
        <v>25044</v>
      </c>
      <c r="E12462" t="s">
        <v>25045</v>
      </c>
      <c r="G12462" s="1">
        <v>5</v>
      </c>
    </row>
    <row r="12463" spans="1:7" ht="14.25" customHeight="1" x14ac:dyDescent="0.45">
      <c r="A12463" t="str">
        <f>_xlfn.XLOOKUP(B12463,Ingot!$H$12:$H$119,Ingot!$G$12:$G$119,"")</f>
        <v>Osso</v>
      </c>
      <c r="B12463" t="s">
        <v>24875</v>
      </c>
      <c r="C12463" t="s">
        <v>157</v>
      </c>
      <c r="D12463" t="s">
        <v>25046</v>
      </c>
      <c r="E12463" t="s">
        <v>25047</v>
      </c>
      <c r="G12463" s="1">
        <v>5</v>
      </c>
    </row>
    <row r="12464" spans="1:7" ht="14.25" customHeight="1" x14ac:dyDescent="0.45">
      <c r="A12464" t="str">
        <f>_xlfn.XLOOKUP(B12464,Ingot!$H$12:$H$119,Ingot!$G$12:$G$119,"")</f>
        <v>Osso</v>
      </c>
      <c r="B12464" t="s">
        <v>24875</v>
      </c>
      <c r="C12464" t="s">
        <v>157</v>
      </c>
      <c r="D12464" t="s">
        <v>25048</v>
      </c>
      <c r="E12464" t="s">
        <v>25049</v>
      </c>
      <c r="G12464" s="1">
        <v>5</v>
      </c>
    </row>
    <row r="12465" spans="1:7" ht="14.25" customHeight="1" x14ac:dyDescent="0.45">
      <c r="A12465" t="str">
        <f>_xlfn.XLOOKUP(B12465,Ingot!$H$12:$H$119,Ingot!$G$12:$G$119,"")</f>
        <v>Osso</v>
      </c>
      <c r="B12465" t="s">
        <v>24875</v>
      </c>
      <c r="C12465" t="s">
        <v>157</v>
      </c>
      <c r="D12465" t="s">
        <v>25050</v>
      </c>
      <c r="E12465" t="s">
        <v>25051</v>
      </c>
      <c r="G12465" s="1">
        <v>10</v>
      </c>
    </row>
    <row r="12466" spans="1:7" ht="14.25" customHeight="1" x14ac:dyDescent="0.45">
      <c r="A12466" t="str">
        <f>_xlfn.XLOOKUP(B12466,Ingot!$H$12:$H$119,Ingot!$G$12:$G$119,"")</f>
        <v>Osso</v>
      </c>
      <c r="B12466" t="s">
        <v>24875</v>
      </c>
      <c r="C12466" t="s">
        <v>157</v>
      </c>
      <c r="D12466" t="s">
        <v>25052</v>
      </c>
      <c r="E12466" t="s">
        <v>25053</v>
      </c>
      <c r="G12466" s="1">
        <v>18</v>
      </c>
    </row>
    <row r="12467" spans="1:7" ht="14.25" customHeight="1" x14ac:dyDescent="0.45">
      <c r="A12467" t="str">
        <f>_xlfn.XLOOKUP(B12467,Ingot!$H$12:$H$119,Ingot!$G$12:$G$119,"")</f>
        <v>Osso</v>
      </c>
      <c r="B12467" t="s">
        <v>24875</v>
      </c>
      <c r="C12467" t="s">
        <v>157</v>
      </c>
      <c r="D12467" t="s">
        <v>25054</v>
      </c>
      <c r="E12467" t="s">
        <v>25055</v>
      </c>
      <c r="G12467" s="1">
        <v>5</v>
      </c>
    </row>
    <row r="12468" spans="1:7" ht="14.25" customHeight="1" x14ac:dyDescent="0.45">
      <c r="A12468" t="str">
        <f>_xlfn.XLOOKUP(B12468,Ingot!$H$12:$H$119,Ingot!$G$12:$G$119,"")</f>
        <v>Osso</v>
      </c>
      <c r="B12468" t="s">
        <v>24875</v>
      </c>
      <c r="C12468" t="s">
        <v>157</v>
      </c>
      <c r="D12468" t="s">
        <v>25056</v>
      </c>
      <c r="E12468" t="s">
        <v>25057</v>
      </c>
      <c r="G12468" s="1">
        <v>5</v>
      </c>
    </row>
    <row r="12469" spans="1:7" ht="14.25" customHeight="1" x14ac:dyDescent="0.45">
      <c r="A12469" t="str">
        <f>_xlfn.XLOOKUP(B12469,Ingot!$H$12:$H$119,Ingot!$G$12:$G$119,"")</f>
        <v>Osso</v>
      </c>
      <c r="B12469" t="s">
        <v>24875</v>
      </c>
      <c r="C12469" t="s">
        <v>157</v>
      </c>
      <c r="D12469" t="s">
        <v>25058</v>
      </c>
      <c r="E12469" t="s">
        <v>25059</v>
      </c>
      <c r="G12469" s="1">
        <v>5</v>
      </c>
    </row>
    <row r="12470" spans="1:7" ht="14.25" customHeight="1" x14ac:dyDescent="0.45">
      <c r="A12470" t="str">
        <f>_xlfn.XLOOKUP(B12470,Ingot!$H$12:$H$119,Ingot!$G$12:$G$119,"")</f>
        <v>Osso</v>
      </c>
      <c r="B12470" t="s">
        <v>24875</v>
      </c>
      <c r="C12470" t="s">
        <v>157</v>
      </c>
      <c r="D12470" t="s">
        <v>25060</v>
      </c>
      <c r="E12470" t="s">
        <v>25061</v>
      </c>
      <c r="G12470" s="1">
        <v>10</v>
      </c>
    </row>
    <row r="12471" spans="1:7" ht="14.25" customHeight="1" x14ac:dyDescent="0.45">
      <c r="A12471" t="str">
        <f>_xlfn.XLOOKUP(B12471,Ingot!$H$12:$H$119,Ingot!$G$12:$G$119,"")</f>
        <v>Osso</v>
      </c>
      <c r="B12471" t="s">
        <v>24875</v>
      </c>
      <c r="C12471" t="s">
        <v>157</v>
      </c>
      <c r="D12471" t="s">
        <v>25062</v>
      </c>
      <c r="E12471" t="s">
        <v>25063</v>
      </c>
      <c r="G12471" s="1">
        <v>19</v>
      </c>
    </row>
    <row r="12472" spans="1:7" ht="14.25" customHeight="1" x14ac:dyDescent="0.45">
      <c r="A12472" t="str">
        <f>_xlfn.XLOOKUP(B12472,Ingot!$H$12:$H$119,Ingot!$G$12:$G$119,"")</f>
        <v>Osso</v>
      </c>
      <c r="B12472" t="s">
        <v>24875</v>
      </c>
      <c r="C12472" t="s">
        <v>157</v>
      </c>
      <c r="D12472" t="s">
        <v>25064</v>
      </c>
      <c r="E12472" t="s">
        <v>25065</v>
      </c>
      <c r="G12472" s="1">
        <v>5</v>
      </c>
    </row>
    <row r="12473" spans="1:7" ht="14.25" customHeight="1" x14ac:dyDescent="0.45">
      <c r="A12473" t="str">
        <f>_xlfn.XLOOKUP(B12473,Ingot!$H$12:$H$119,Ingot!$G$12:$G$119,"")</f>
        <v>Osso</v>
      </c>
      <c r="B12473" t="s">
        <v>24875</v>
      </c>
      <c r="C12473" t="s">
        <v>157</v>
      </c>
      <c r="D12473" t="s">
        <v>25066</v>
      </c>
      <c r="E12473" t="s">
        <v>25067</v>
      </c>
      <c r="G12473" s="1">
        <v>5</v>
      </c>
    </row>
    <row r="12474" spans="1:7" ht="14.25" customHeight="1" x14ac:dyDescent="0.45">
      <c r="A12474" t="str">
        <f>_xlfn.XLOOKUP(B12474,Ingot!$H$12:$H$119,Ingot!$G$12:$G$119,"")</f>
        <v>Osso</v>
      </c>
      <c r="B12474" t="s">
        <v>24875</v>
      </c>
      <c r="C12474" t="s">
        <v>157</v>
      </c>
      <c r="D12474" t="s">
        <v>25068</v>
      </c>
      <c r="E12474" t="s">
        <v>25069</v>
      </c>
      <c r="G12474" s="1">
        <v>5</v>
      </c>
    </row>
    <row r="12475" spans="1:7" ht="14.25" customHeight="1" x14ac:dyDescent="0.45">
      <c r="A12475" t="str">
        <f>_xlfn.XLOOKUP(B12475,Ingot!$H$12:$H$119,Ingot!$G$12:$G$119,"")</f>
        <v>Osso</v>
      </c>
      <c r="B12475" t="s">
        <v>24875</v>
      </c>
      <c r="C12475" t="s">
        <v>157</v>
      </c>
      <c r="D12475" t="s">
        <v>25070</v>
      </c>
      <c r="E12475" t="s">
        <v>25071</v>
      </c>
      <c r="G12475" s="1">
        <v>10</v>
      </c>
    </row>
    <row r="12476" spans="1:7" ht="14.25" customHeight="1" x14ac:dyDescent="0.45">
      <c r="A12476" t="str">
        <f>_xlfn.XLOOKUP(B12476,Ingot!$H$12:$H$119,Ingot!$G$12:$G$119,"")</f>
        <v>Osso</v>
      </c>
      <c r="B12476" t="s">
        <v>24875</v>
      </c>
      <c r="C12476" t="s">
        <v>157</v>
      </c>
      <c r="D12476" t="s">
        <v>25072</v>
      </c>
      <c r="E12476" t="s">
        <v>25073</v>
      </c>
      <c r="G12476" s="1">
        <v>23</v>
      </c>
    </row>
    <row r="12477" spans="1:7" ht="14.25" customHeight="1" x14ac:dyDescent="0.45">
      <c r="A12477" t="str">
        <f>_xlfn.XLOOKUP(B12477,Ingot!$H$12:$H$119,Ingot!$G$12:$G$119,"")</f>
        <v>Osso</v>
      </c>
      <c r="B12477" t="s">
        <v>24875</v>
      </c>
      <c r="C12477" t="s">
        <v>157</v>
      </c>
      <c r="D12477" t="s">
        <v>25074</v>
      </c>
      <c r="E12477" t="s">
        <v>25075</v>
      </c>
      <c r="G12477" s="1">
        <v>5</v>
      </c>
    </row>
    <row r="12478" spans="1:7" ht="14.25" customHeight="1" x14ac:dyDescent="0.45">
      <c r="A12478" t="str">
        <f>_xlfn.XLOOKUP(B12478,Ingot!$H$12:$H$119,Ingot!$G$12:$G$119,"")</f>
        <v>Osso</v>
      </c>
      <c r="B12478" t="s">
        <v>24875</v>
      </c>
      <c r="C12478" t="s">
        <v>157</v>
      </c>
      <c r="D12478" t="s">
        <v>25076</v>
      </c>
      <c r="E12478" t="s">
        <v>25077</v>
      </c>
      <c r="G12478" s="1">
        <v>5</v>
      </c>
    </row>
    <row r="12479" spans="1:7" ht="14.25" customHeight="1" x14ac:dyDescent="0.45">
      <c r="A12479" t="str">
        <f>_xlfn.XLOOKUP(B12479,Ingot!$H$12:$H$119,Ingot!$G$12:$G$119,"")</f>
        <v>Osso</v>
      </c>
      <c r="B12479" t="s">
        <v>24875</v>
      </c>
      <c r="C12479" t="s">
        <v>157</v>
      </c>
      <c r="D12479" t="s">
        <v>25078</v>
      </c>
      <c r="E12479" t="s">
        <v>25079</v>
      </c>
      <c r="G12479" s="1">
        <v>5</v>
      </c>
    </row>
    <row r="12480" spans="1:7" ht="14.25" customHeight="1" x14ac:dyDescent="0.45">
      <c r="A12480" t="str">
        <f>_xlfn.XLOOKUP(B12480,Ingot!$H$12:$H$119,Ingot!$G$12:$G$119,"")</f>
        <v>Osso</v>
      </c>
      <c r="B12480" t="s">
        <v>24875</v>
      </c>
      <c r="C12480" t="s">
        <v>157</v>
      </c>
      <c r="D12480" t="s">
        <v>25080</v>
      </c>
      <c r="E12480" t="s">
        <v>25081</v>
      </c>
      <c r="G12480" s="1">
        <v>10</v>
      </c>
    </row>
    <row r="12481" spans="1:7" ht="14.25" customHeight="1" x14ac:dyDescent="0.45">
      <c r="A12481" t="str">
        <f>_xlfn.XLOOKUP(B12481,Ingot!$H$12:$H$119,Ingot!$G$12:$G$119,"")</f>
        <v>Osso</v>
      </c>
      <c r="B12481" t="s">
        <v>24875</v>
      </c>
      <c r="C12481" t="s">
        <v>157</v>
      </c>
      <c r="D12481" t="s">
        <v>25082</v>
      </c>
      <c r="E12481" t="s">
        <v>25083</v>
      </c>
      <c r="G12481" s="1">
        <v>22</v>
      </c>
    </row>
    <row r="12482" spans="1:7" ht="14.25" customHeight="1" x14ac:dyDescent="0.45">
      <c r="A12482" t="str">
        <f>_xlfn.XLOOKUP(B12482,Ingot!$H$12:$H$119,Ingot!$G$12:$G$119,"")</f>
        <v>Osso</v>
      </c>
      <c r="B12482" t="s">
        <v>24875</v>
      </c>
      <c r="C12482" t="s">
        <v>157</v>
      </c>
      <c r="D12482" t="s">
        <v>25084</v>
      </c>
      <c r="E12482" t="s">
        <v>25085</v>
      </c>
      <c r="G12482" s="1">
        <v>5</v>
      </c>
    </row>
    <row r="12483" spans="1:7" ht="14.25" customHeight="1" x14ac:dyDescent="0.45">
      <c r="A12483" t="str">
        <f>_xlfn.XLOOKUP(B12483,Ingot!$H$12:$H$119,Ingot!$G$12:$G$119,"")</f>
        <v>Osso</v>
      </c>
      <c r="B12483" t="s">
        <v>24875</v>
      </c>
      <c r="C12483" t="s">
        <v>157</v>
      </c>
      <c r="D12483" t="s">
        <v>25086</v>
      </c>
      <c r="E12483" t="s">
        <v>25087</v>
      </c>
      <c r="G12483" s="1">
        <v>5</v>
      </c>
    </row>
    <row r="12484" spans="1:7" ht="14.25" customHeight="1" x14ac:dyDescent="0.45">
      <c r="A12484" t="str">
        <f>_xlfn.XLOOKUP(B12484,Ingot!$H$12:$H$119,Ingot!$G$12:$G$119,"")</f>
        <v>Osso</v>
      </c>
      <c r="B12484" t="s">
        <v>24875</v>
      </c>
      <c r="C12484" t="s">
        <v>157</v>
      </c>
      <c r="D12484" t="s">
        <v>25088</v>
      </c>
      <c r="E12484" t="s">
        <v>25089</v>
      </c>
      <c r="G12484" s="1">
        <v>5</v>
      </c>
    </row>
    <row r="12485" spans="1:7" ht="14.25" customHeight="1" x14ac:dyDescent="0.45">
      <c r="A12485" t="str">
        <f>_xlfn.XLOOKUP(B12485,Ingot!$H$12:$H$119,Ingot!$G$12:$G$119,"")</f>
        <v>Osso</v>
      </c>
      <c r="B12485" t="s">
        <v>24875</v>
      </c>
      <c r="C12485" t="s">
        <v>157</v>
      </c>
      <c r="D12485" t="s">
        <v>25090</v>
      </c>
      <c r="E12485" t="s">
        <v>25091</v>
      </c>
      <c r="G12485" s="1">
        <v>10</v>
      </c>
    </row>
    <row r="12486" spans="1:7" ht="14.25" customHeight="1" x14ac:dyDescent="0.45">
      <c r="A12486" t="str">
        <f>_xlfn.XLOOKUP(B12486,Ingot!$H$12:$H$119,Ingot!$G$12:$G$119,"")</f>
        <v>Osso</v>
      </c>
      <c r="B12486" t="s">
        <v>24875</v>
      </c>
      <c r="C12486" t="s">
        <v>157</v>
      </c>
      <c r="D12486" t="s">
        <v>25092</v>
      </c>
      <c r="E12486" t="s">
        <v>25093</v>
      </c>
      <c r="G12486" s="1">
        <v>16</v>
      </c>
    </row>
    <row r="12487" spans="1:7" ht="14.25" customHeight="1" x14ac:dyDescent="0.45">
      <c r="A12487" t="str">
        <f>_xlfn.XLOOKUP(B12487,Ingot!$H$12:$H$119,Ingot!$G$12:$G$119,"")</f>
        <v>Osso</v>
      </c>
      <c r="B12487" t="s">
        <v>24875</v>
      </c>
      <c r="C12487" t="s">
        <v>157</v>
      </c>
      <c r="D12487" t="s">
        <v>25094</v>
      </c>
      <c r="E12487" t="s">
        <v>25095</v>
      </c>
      <c r="G12487" s="1">
        <v>5</v>
      </c>
    </row>
    <row r="12488" spans="1:7" ht="14.25" customHeight="1" x14ac:dyDescent="0.45">
      <c r="A12488" t="str">
        <f>_xlfn.XLOOKUP(B12488,Ingot!$H$12:$H$119,Ingot!$G$12:$G$119,"")</f>
        <v>Osso</v>
      </c>
      <c r="B12488" t="s">
        <v>24875</v>
      </c>
      <c r="C12488" t="s">
        <v>157</v>
      </c>
      <c r="D12488" t="s">
        <v>25096</v>
      </c>
      <c r="E12488" t="s">
        <v>25097</v>
      </c>
      <c r="G12488" s="1">
        <v>5</v>
      </c>
    </row>
    <row r="12489" spans="1:7" ht="14.25" customHeight="1" x14ac:dyDescent="0.45">
      <c r="A12489" t="str">
        <f>_xlfn.XLOOKUP(B12489,Ingot!$H$12:$H$119,Ingot!$G$12:$G$119,"")</f>
        <v>Osso</v>
      </c>
      <c r="B12489" t="s">
        <v>24875</v>
      </c>
      <c r="C12489" t="s">
        <v>157</v>
      </c>
      <c r="D12489" t="s">
        <v>25098</v>
      </c>
      <c r="E12489" t="s">
        <v>25099</v>
      </c>
      <c r="G12489" s="1">
        <v>5</v>
      </c>
    </row>
    <row r="12490" spans="1:7" ht="14.25" customHeight="1" x14ac:dyDescent="0.45">
      <c r="A12490" t="str">
        <f>_xlfn.XLOOKUP(B12490,Ingot!$H$12:$H$119,Ingot!$G$12:$G$119,"")</f>
        <v>Osso</v>
      </c>
      <c r="B12490" t="s">
        <v>24875</v>
      </c>
      <c r="C12490" t="s">
        <v>157</v>
      </c>
      <c r="D12490" t="s">
        <v>25100</v>
      </c>
      <c r="E12490" t="s">
        <v>25101</v>
      </c>
      <c r="G12490" s="1">
        <v>10</v>
      </c>
    </row>
    <row r="12491" spans="1:7" ht="14.25" customHeight="1" x14ac:dyDescent="0.45">
      <c r="A12491" t="str">
        <f>_xlfn.XLOOKUP(B12491,Ingot!$H$12:$H$119,Ingot!$G$12:$G$119,"")</f>
        <v>Osso</v>
      </c>
      <c r="B12491" t="s">
        <v>24875</v>
      </c>
      <c r="C12491" t="s">
        <v>239</v>
      </c>
      <c r="D12491" t="s">
        <v>25102</v>
      </c>
      <c r="E12491" t="s">
        <v>25103</v>
      </c>
    </row>
    <row r="12492" spans="1:7" ht="14.25" customHeight="1" x14ac:dyDescent="0.45">
      <c r="A12492" t="str">
        <f>_xlfn.XLOOKUP(B12492,Ingot!$H$12:$H$119,Ingot!$G$12:$G$119,"")</f>
        <v>Osso</v>
      </c>
      <c r="B12492" t="s">
        <v>24875</v>
      </c>
      <c r="C12492" t="s">
        <v>239</v>
      </c>
      <c r="D12492" t="s">
        <v>25104</v>
      </c>
      <c r="E12492" t="s">
        <v>25105</v>
      </c>
    </row>
    <row r="12493" spans="1:7" ht="14.25" customHeight="1" x14ac:dyDescent="0.45">
      <c r="A12493" t="str">
        <f>_xlfn.XLOOKUP(B12493,Ingot!$H$12:$H$119,Ingot!$G$12:$G$119,"")</f>
        <v>Osso</v>
      </c>
      <c r="B12493" t="s">
        <v>24875</v>
      </c>
      <c r="C12493" t="s">
        <v>239</v>
      </c>
      <c r="D12493" t="s">
        <v>25106</v>
      </c>
      <c r="E12493" t="s">
        <v>25107</v>
      </c>
    </row>
    <row r="12494" spans="1:7" ht="14.25" customHeight="1" x14ac:dyDescent="0.45">
      <c r="A12494" t="str">
        <f>_xlfn.XLOOKUP(B12494,Ingot!$H$12:$H$119,Ingot!$G$12:$G$119,"")</f>
        <v>Osso</v>
      </c>
      <c r="B12494" t="s">
        <v>24875</v>
      </c>
      <c r="C12494" t="s">
        <v>239</v>
      </c>
      <c r="D12494" t="s">
        <v>25108</v>
      </c>
      <c r="E12494" t="s">
        <v>25109</v>
      </c>
    </row>
    <row r="12495" spans="1:7" ht="14.25" customHeight="1" x14ac:dyDescent="0.45">
      <c r="A12495" t="str">
        <f>_xlfn.XLOOKUP(B12495,Ingot!$H$12:$H$119,Ingot!$G$12:$G$119,"")</f>
        <v>Osso</v>
      </c>
      <c r="B12495" t="s">
        <v>24875</v>
      </c>
      <c r="C12495" t="s">
        <v>239</v>
      </c>
      <c r="D12495" t="s">
        <v>25110</v>
      </c>
      <c r="E12495" t="s">
        <v>25111</v>
      </c>
    </row>
    <row r="12496" spans="1:7" ht="14.25" customHeight="1" x14ac:dyDescent="0.45">
      <c r="A12496" t="str">
        <f>_xlfn.XLOOKUP(B12496,Ingot!$H$12:$H$119,Ingot!$G$12:$G$119,"")</f>
        <v>Osso</v>
      </c>
      <c r="B12496" t="s">
        <v>24875</v>
      </c>
      <c r="C12496" t="s">
        <v>239</v>
      </c>
      <c r="D12496" t="s">
        <v>25112</v>
      </c>
      <c r="E12496" t="s">
        <v>25113</v>
      </c>
    </row>
    <row r="12497" spans="1:7" ht="14.25" customHeight="1" x14ac:dyDescent="0.45">
      <c r="A12497" t="str">
        <f>_xlfn.XLOOKUP(B12497,Ingot!$H$12:$H$119,Ingot!$G$12:$G$119,"")</f>
        <v>Osso</v>
      </c>
      <c r="B12497" t="s">
        <v>25114</v>
      </c>
      <c r="C12497" t="s">
        <v>10</v>
      </c>
      <c r="D12497" t="s">
        <v>25115</v>
      </c>
      <c r="E12497" t="s">
        <v>25116</v>
      </c>
      <c r="G12497" s="1">
        <v>0.08</v>
      </c>
    </row>
    <row r="12498" spans="1:7" ht="14.25" customHeight="1" x14ac:dyDescent="0.45">
      <c r="A12498" t="str">
        <f>_xlfn.XLOOKUP(B12498,Ingot!$H$12:$H$119,Ingot!$G$12:$G$119,"")</f>
        <v>Osso</v>
      </c>
      <c r="B12498" t="s">
        <v>25114</v>
      </c>
      <c r="C12498" t="s">
        <v>10</v>
      </c>
      <c r="D12498" t="s">
        <v>25117</v>
      </c>
      <c r="E12498" t="s">
        <v>25118</v>
      </c>
      <c r="G12498" s="1">
        <v>9.9</v>
      </c>
    </row>
    <row r="12499" spans="1:7" ht="14.25" customHeight="1" x14ac:dyDescent="0.45">
      <c r="A12499" t="str">
        <f>_xlfn.XLOOKUP(B12499,Ingot!$H$12:$H$119,Ingot!$G$12:$G$119,"")</f>
        <v>Osso</v>
      </c>
      <c r="B12499" t="s">
        <v>25114</v>
      </c>
      <c r="C12499" t="s">
        <v>10</v>
      </c>
      <c r="D12499" t="s">
        <v>25119</v>
      </c>
      <c r="E12499" t="s">
        <v>25120</v>
      </c>
      <c r="G12499" s="1">
        <v>5.66</v>
      </c>
    </row>
    <row r="12500" spans="1:7" ht="14.25" customHeight="1" x14ac:dyDescent="0.45">
      <c r="A12500" t="str">
        <f>_xlfn.XLOOKUP(B12500,Ingot!$H$12:$H$119,Ingot!$G$12:$G$119,"")</f>
        <v>Osso</v>
      </c>
      <c r="B12500" t="s">
        <v>25114</v>
      </c>
      <c r="C12500" t="s">
        <v>10</v>
      </c>
      <c r="D12500" t="s">
        <v>25121</v>
      </c>
      <c r="E12500" t="s">
        <v>25122</v>
      </c>
      <c r="G12500" s="1">
        <v>3.3</v>
      </c>
    </row>
    <row r="12501" spans="1:7" ht="14.25" customHeight="1" x14ac:dyDescent="0.45">
      <c r="A12501" t="str">
        <f>_xlfn.XLOOKUP(B12501,Ingot!$H$12:$H$119,Ingot!$G$12:$G$119,"")</f>
        <v>Osso</v>
      </c>
      <c r="B12501" t="s">
        <v>25114</v>
      </c>
      <c r="C12501" t="s">
        <v>10</v>
      </c>
      <c r="D12501" t="s">
        <v>25123</v>
      </c>
      <c r="E12501" t="s">
        <v>25124</v>
      </c>
      <c r="G12501" s="1">
        <v>0.66</v>
      </c>
    </row>
    <row r="12502" spans="1:7" ht="14.25" customHeight="1" x14ac:dyDescent="0.45">
      <c r="A12502" t="str">
        <f>_xlfn.XLOOKUP(B12502,Ingot!$H$12:$H$119,Ingot!$G$12:$G$119,"")</f>
        <v>Osso</v>
      </c>
      <c r="B12502" t="s">
        <v>25114</v>
      </c>
      <c r="C12502" t="s">
        <v>10</v>
      </c>
      <c r="D12502" t="s">
        <v>25125</v>
      </c>
      <c r="E12502" t="s">
        <v>25126</v>
      </c>
      <c r="G12502" s="1">
        <v>0.04</v>
      </c>
    </row>
    <row r="12503" spans="1:7" ht="14.25" customHeight="1" x14ac:dyDescent="0.45">
      <c r="A12503" t="str">
        <f>_xlfn.XLOOKUP(B12503,Ingot!$H$12:$H$119,Ingot!$G$12:$G$119,"")</f>
        <v>Osso</v>
      </c>
      <c r="B12503" t="s">
        <v>25114</v>
      </c>
      <c r="C12503" t="s">
        <v>10</v>
      </c>
      <c r="D12503" t="s">
        <v>25127</v>
      </c>
      <c r="E12503" t="s">
        <v>25128</v>
      </c>
      <c r="G12503" s="1">
        <v>0.33</v>
      </c>
    </row>
    <row r="12504" spans="1:7" ht="14.25" customHeight="1" x14ac:dyDescent="0.45">
      <c r="A12504" t="str">
        <f>_xlfn.XLOOKUP(B12504,Ingot!$H$12:$H$119,Ingot!$G$12:$G$119,"")</f>
        <v>Osso</v>
      </c>
      <c r="B12504" t="s">
        <v>25114</v>
      </c>
      <c r="C12504" t="s">
        <v>10</v>
      </c>
      <c r="D12504" t="s">
        <v>25129</v>
      </c>
      <c r="E12504" t="s">
        <v>25130</v>
      </c>
    </row>
    <row r="12505" spans="1:7" ht="14.25" customHeight="1" x14ac:dyDescent="0.45">
      <c r="A12505" t="str">
        <f>_xlfn.XLOOKUP(B12505,Ingot!$H$12:$H$119,Ingot!$G$12:$G$119,"")</f>
        <v>Osso</v>
      </c>
      <c r="B12505" t="s">
        <v>25114</v>
      </c>
      <c r="C12505" t="s">
        <v>10</v>
      </c>
      <c r="D12505" t="s">
        <v>25131</v>
      </c>
      <c r="E12505" t="s">
        <v>25132</v>
      </c>
      <c r="G12505" s="1">
        <v>0.05</v>
      </c>
    </row>
    <row r="12506" spans="1:7" ht="14.25" customHeight="1" x14ac:dyDescent="0.45">
      <c r="A12506" t="str">
        <f>_xlfn.XLOOKUP(B12506,Ingot!$H$12:$H$119,Ingot!$G$12:$G$119,"")</f>
        <v>Osso</v>
      </c>
      <c r="B12506" t="s">
        <v>25114</v>
      </c>
      <c r="C12506" t="s">
        <v>10</v>
      </c>
      <c r="D12506" t="s">
        <v>25133</v>
      </c>
      <c r="E12506" t="s">
        <v>25134</v>
      </c>
      <c r="G12506" s="1">
        <v>0.66</v>
      </c>
    </row>
    <row r="12507" spans="1:7" ht="14.25" customHeight="1" x14ac:dyDescent="0.45">
      <c r="A12507" t="str">
        <f>_xlfn.XLOOKUP(B12507,Ingot!$H$12:$H$119,Ingot!$G$12:$G$119,"")</f>
        <v>Osso</v>
      </c>
      <c r="B12507" t="s">
        <v>25114</v>
      </c>
      <c r="C12507" t="s">
        <v>10</v>
      </c>
      <c r="D12507" t="s">
        <v>25135</v>
      </c>
      <c r="E12507" t="s">
        <v>25136</v>
      </c>
      <c r="G12507" s="1">
        <v>3.96</v>
      </c>
    </row>
    <row r="12508" spans="1:7" ht="14.25" customHeight="1" x14ac:dyDescent="0.45">
      <c r="A12508" t="str">
        <f>_xlfn.XLOOKUP(B12508,Ingot!$H$12:$H$119,Ingot!$G$12:$G$119,"")</f>
        <v>Osso</v>
      </c>
      <c r="B12508" t="s">
        <v>25114</v>
      </c>
      <c r="C12508" t="s">
        <v>10</v>
      </c>
      <c r="D12508" t="s">
        <v>25137</v>
      </c>
      <c r="E12508" t="s">
        <v>25138</v>
      </c>
      <c r="G12508" s="1">
        <v>8.77</v>
      </c>
    </row>
    <row r="12509" spans="1:7" ht="14.25" customHeight="1" x14ac:dyDescent="0.45">
      <c r="A12509" t="str">
        <f>_xlfn.XLOOKUP(B12509,Ingot!$H$12:$H$119,Ingot!$G$12:$G$119,"")</f>
        <v>Osso</v>
      </c>
      <c r="B12509" t="s">
        <v>25114</v>
      </c>
      <c r="C12509" t="s">
        <v>10</v>
      </c>
      <c r="D12509" t="s">
        <v>25139</v>
      </c>
      <c r="E12509" t="s">
        <v>25140</v>
      </c>
      <c r="G12509" s="1">
        <v>3.5</v>
      </c>
    </row>
    <row r="12510" spans="1:7" ht="14.25" customHeight="1" x14ac:dyDescent="0.45">
      <c r="A12510" t="str">
        <f>_xlfn.XLOOKUP(B12510,Ingot!$H$12:$H$119,Ingot!$G$12:$G$119,"")</f>
        <v>Osso</v>
      </c>
      <c r="B12510" t="s">
        <v>25114</v>
      </c>
      <c r="C12510" t="s">
        <v>10</v>
      </c>
      <c r="D12510" t="s">
        <v>25141</v>
      </c>
      <c r="E12510" t="s">
        <v>25142</v>
      </c>
    </row>
    <row r="12511" spans="1:7" ht="14.25" customHeight="1" x14ac:dyDescent="0.45">
      <c r="A12511" t="str">
        <f>_xlfn.XLOOKUP(B12511,Ingot!$H$12:$H$119,Ingot!$G$12:$G$119,"")</f>
        <v>Osso</v>
      </c>
      <c r="B12511" t="s">
        <v>25114</v>
      </c>
      <c r="C12511" t="s">
        <v>10</v>
      </c>
      <c r="D12511" t="s">
        <v>25143</v>
      </c>
      <c r="E12511" t="s">
        <v>25144</v>
      </c>
      <c r="G12511" s="1">
        <v>2.2000000000000002</v>
      </c>
    </row>
    <row r="12512" spans="1:7" ht="14.25" customHeight="1" x14ac:dyDescent="0.45">
      <c r="A12512" t="str">
        <f>_xlfn.XLOOKUP(B12512,Ingot!$H$12:$H$119,Ingot!$G$12:$G$119,"")</f>
        <v>Osso</v>
      </c>
      <c r="B12512" t="s">
        <v>25114</v>
      </c>
      <c r="C12512" t="s">
        <v>10</v>
      </c>
      <c r="D12512" t="s">
        <v>25145</v>
      </c>
      <c r="E12512" t="s">
        <v>25146</v>
      </c>
      <c r="G12512" s="1">
        <v>1.1000000000000001</v>
      </c>
    </row>
    <row r="12513" spans="1:7" ht="14.25" customHeight="1" x14ac:dyDescent="0.45">
      <c r="A12513" t="str">
        <f>_xlfn.XLOOKUP(B12513,Ingot!$H$12:$H$119,Ingot!$G$12:$G$119,"")</f>
        <v>Osso</v>
      </c>
      <c r="B12513" t="s">
        <v>25114</v>
      </c>
      <c r="C12513" t="s">
        <v>10</v>
      </c>
      <c r="D12513" t="s">
        <v>25147</v>
      </c>
      <c r="E12513" t="s">
        <v>25148</v>
      </c>
      <c r="G12513" s="1">
        <v>0.22</v>
      </c>
    </row>
    <row r="12514" spans="1:7" ht="14.25" customHeight="1" x14ac:dyDescent="0.45">
      <c r="A12514" t="str">
        <f>_xlfn.XLOOKUP(B12514,Ingot!$H$12:$H$119,Ingot!$G$12:$G$119,"")</f>
        <v>Osso</v>
      </c>
      <c r="B12514" t="s">
        <v>25114</v>
      </c>
      <c r="C12514" t="s">
        <v>10</v>
      </c>
      <c r="D12514" t="s">
        <v>25149</v>
      </c>
      <c r="E12514" t="s">
        <v>25150</v>
      </c>
      <c r="G12514" s="1">
        <v>8.41</v>
      </c>
    </row>
    <row r="12515" spans="1:7" ht="14.25" customHeight="1" x14ac:dyDescent="0.45">
      <c r="A12515" t="str">
        <f>_xlfn.XLOOKUP(B12515,Ingot!$H$12:$H$119,Ingot!$G$12:$G$119,"")</f>
        <v>Osso</v>
      </c>
      <c r="B12515" t="s">
        <v>25114</v>
      </c>
      <c r="C12515" t="s">
        <v>10</v>
      </c>
      <c r="D12515" t="s">
        <v>25151</v>
      </c>
      <c r="E12515" t="s">
        <v>25152</v>
      </c>
      <c r="G12515" s="1">
        <v>3.64</v>
      </c>
    </row>
    <row r="12516" spans="1:7" ht="14.25" customHeight="1" x14ac:dyDescent="0.45">
      <c r="A12516" t="str">
        <f>_xlfn.XLOOKUP(B12516,Ingot!$H$12:$H$119,Ingot!$G$12:$G$119,"")</f>
        <v>Osso</v>
      </c>
      <c r="B12516" t="s">
        <v>25114</v>
      </c>
      <c r="C12516" t="s">
        <v>10</v>
      </c>
      <c r="D12516" t="s">
        <v>25153</v>
      </c>
      <c r="E12516" t="s">
        <v>25154</v>
      </c>
      <c r="G12516" s="1">
        <v>7.05</v>
      </c>
    </row>
    <row r="12517" spans="1:7" ht="14.25" customHeight="1" x14ac:dyDescent="0.45">
      <c r="A12517" t="str">
        <f>_xlfn.XLOOKUP(B12517,Ingot!$H$12:$H$119,Ingot!$G$12:$G$119,"")</f>
        <v>Osso</v>
      </c>
      <c r="B12517" t="s">
        <v>25114</v>
      </c>
      <c r="C12517" t="s">
        <v>10</v>
      </c>
      <c r="D12517" t="s">
        <v>25155</v>
      </c>
      <c r="E12517" t="s">
        <v>25156</v>
      </c>
      <c r="G12517" s="1">
        <v>2.65</v>
      </c>
    </row>
    <row r="12518" spans="1:7" ht="14.25" customHeight="1" x14ac:dyDescent="0.45">
      <c r="A12518" t="str">
        <f>_xlfn.XLOOKUP(B12518,Ingot!$H$12:$H$119,Ingot!$G$12:$G$119,"")</f>
        <v>Osso</v>
      </c>
      <c r="B12518" t="s">
        <v>25114</v>
      </c>
      <c r="C12518" t="s">
        <v>10</v>
      </c>
      <c r="D12518" t="s">
        <v>25157</v>
      </c>
      <c r="E12518" t="s">
        <v>25158</v>
      </c>
      <c r="G12518" s="1">
        <v>9</v>
      </c>
    </row>
    <row r="12519" spans="1:7" ht="14.25" customHeight="1" x14ac:dyDescent="0.45">
      <c r="A12519" t="str">
        <f>_xlfn.XLOOKUP(B12519,Ingot!$H$12:$H$119,Ingot!$G$12:$G$119,"")</f>
        <v>Osso</v>
      </c>
      <c r="B12519" t="s">
        <v>25114</v>
      </c>
      <c r="C12519" t="s">
        <v>10</v>
      </c>
      <c r="D12519" t="s">
        <v>25159</v>
      </c>
      <c r="E12519" t="s">
        <v>25160</v>
      </c>
      <c r="G12519" s="1">
        <v>10.23</v>
      </c>
    </row>
    <row r="12520" spans="1:7" ht="14.25" customHeight="1" x14ac:dyDescent="0.45">
      <c r="A12520" t="str">
        <f>_xlfn.XLOOKUP(B12520,Ingot!$H$12:$H$119,Ingot!$G$12:$G$119,"")</f>
        <v>Osso</v>
      </c>
      <c r="B12520" t="s">
        <v>25114</v>
      </c>
      <c r="C12520" t="s">
        <v>10</v>
      </c>
      <c r="D12520" t="s">
        <v>25161</v>
      </c>
      <c r="E12520" t="s">
        <v>25162</v>
      </c>
      <c r="G12520" s="1">
        <v>7.7</v>
      </c>
    </row>
    <row r="12521" spans="1:7" ht="14.25" customHeight="1" x14ac:dyDescent="0.45">
      <c r="A12521" t="str">
        <f>_xlfn.XLOOKUP(B12521,Ingot!$H$12:$H$119,Ingot!$G$12:$G$119,"")</f>
        <v>Osso</v>
      </c>
      <c r="B12521" t="s">
        <v>25114</v>
      </c>
      <c r="C12521" t="s">
        <v>10</v>
      </c>
      <c r="D12521" t="s">
        <v>25163</v>
      </c>
      <c r="E12521" t="s">
        <v>25164</v>
      </c>
      <c r="G12521" s="1">
        <v>10.02</v>
      </c>
    </row>
    <row r="12522" spans="1:7" ht="14.25" customHeight="1" x14ac:dyDescent="0.45">
      <c r="A12522" t="str">
        <f>_xlfn.XLOOKUP(B12522,Ingot!$H$12:$H$119,Ingot!$G$12:$G$119,"")</f>
        <v>Osso</v>
      </c>
      <c r="B12522" t="s">
        <v>25114</v>
      </c>
      <c r="C12522" t="s">
        <v>10</v>
      </c>
      <c r="D12522" t="s">
        <v>25165</v>
      </c>
      <c r="E12522" t="s">
        <v>25166</v>
      </c>
      <c r="G12522" s="1">
        <v>11.81</v>
      </c>
    </row>
    <row r="12523" spans="1:7" ht="14.25" customHeight="1" x14ac:dyDescent="0.45">
      <c r="A12523" t="str">
        <f>_xlfn.XLOOKUP(B12523,Ingot!$H$12:$H$119,Ingot!$G$12:$G$119,"")</f>
        <v>Osso</v>
      </c>
      <c r="B12523" t="s">
        <v>25114</v>
      </c>
      <c r="C12523" t="s">
        <v>10</v>
      </c>
      <c r="D12523" t="s">
        <v>25167</v>
      </c>
      <c r="E12523" t="s">
        <v>25168</v>
      </c>
      <c r="G12523" s="1">
        <v>8.44</v>
      </c>
    </row>
    <row r="12524" spans="1:7" ht="14.25" customHeight="1" x14ac:dyDescent="0.45">
      <c r="A12524" t="str">
        <f>_xlfn.XLOOKUP(B12524,Ingot!$H$12:$H$119,Ingot!$G$12:$G$119,"")</f>
        <v>Osso</v>
      </c>
      <c r="B12524" t="s">
        <v>25114</v>
      </c>
      <c r="C12524" t="s">
        <v>10</v>
      </c>
      <c r="D12524" t="s">
        <v>25169</v>
      </c>
      <c r="E12524" t="s">
        <v>25170</v>
      </c>
      <c r="G12524" s="1">
        <v>10.42</v>
      </c>
    </row>
    <row r="12525" spans="1:7" ht="14.25" customHeight="1" x14ac:dyDescent="0.45">
      <c r="A12525" t="str">
        <f>_xlfn.XLOOKUP(B12525,Ingot!$H$12:$H$119,Ingot!$G$12:$G$119,"")</f>
        <v>Osso</v>
      </c>
      <c r="B12525" t="s">
        <v>25114</v>
      </c>
      <c r="C12525" t="s">
        <v>10</v>
      </c>
      <c r="D12525" t="s">
        <v>25171</v>
      </c>
      <c r="E12525" t="s">
        <v>25172</v>
      </c>
    </row>
    <row r="12526" spans="1:7" ht="14.25" customHeight="1" x14ac:dyDescent="0.45">
      <c r="A12526" t="str">
        <f>_xlfn.XLOOKUP(B12526,Ingot!$H$12:$H$119,Ingot!$G$12:$G$119,"")</f>
        <v>Osso</v>
      </c>
      <c r="B12526" t="s">
        <v>25114</v>
      </c>
      <c r="C12526" t="s">
        <v>10</v>
      </c>
      <c r="D12526" t="s">
        <v>25173</v>
      </c>
      <c r="E12526" t="s">
        <v>25174</v>
      </c>
      <c r="G12526" s="1">
        <v>7.96</v>
      </c>
    </row>
    <row r="12527" spans="1:7" ht="14.25" customHeight="1" x14ac:dyDescent="0.45">
      <c r="A12527" t="str">
        <f>_xlfn.XLOOKUP(B12527,Ingot!$H$12:$H$119,Ingot!$G$12:$G$119,"")</f>
        <v>Osso</v>
      </c>
      <c r="B12527" t="s">
        <v>25114</v>
      </c>
      <c r="C12527" t="s">
        <v>10</v>
      </c>
      <c r="D12527" t="s">
        <v>25175</v>
      </c>
      <c r="E12527" t="s">
        <v>25176</v>
      </c>
      <c r="G12527" s="1">
        <v>9.64</v>
      </c>
    </row>
    <row r="12528" spans="1:7" ht="14.25" customHeight="1" x14ac:dyDescent="0.45">
      <c r="A12528" t="str">
        <f>_xlfn.XLOOKUP(B12528,Ingot!$H$12:$H$119,Ingot!$G$12:$G$119,"")</f>
        <v>Osso</v>
      </c>
      <c r="B12528" t="s">
        <v>25114</v>
      </c>
      <c r="C12528" t="s">
        <v>10</v>
      </c>
      <c r="D12528" t="s">
        <v>25177</v>
      </c>
      <c r="E12528" t="s">
        <v>25178</v>
      </c>
      <c r="G12528" s="1">
        <v>7.94</v>
      </c>
    </row>
    <row r="12529" spans="1:7" ht="14.25" customHeight="1" x14ac:dyDescent="0.45">
      <c r="A12529" t="str">
        <f>_xlfn.XLOOKUP(B12529,Ingot!$H$12:$H$119,Ingot!$G$12:$G$119,"")</f>
        <v>Osso</v>
      </c>
      <c r="B12529" t="s">
        <v>25114</v>
      </c>
      <c r="C12529" t="s">
        <v>10</v>
      </c>
      <c r="D12529" t="s">
        <v>25179</v>
      </c>
      <c r="E12529" t="s">
        <v>25180</v>
      </c>
      <c r="G12529" s="1">
        <v>8.66</v>
      </c>
    </row>
    <row r="12530" spans="1:7" ht="14.25" customHeight="1" x14ac:dyDescent="0.45">
      <c r="A12530" t="str">
        <f>_xlfn.XLOOKUP(B12530,Ingot!$H$12:$H$119,Ingot!$G$12:$G$119,"")</f>
        <v>Osso</v>
      </c>
      <c r="B12530" t="s">
        <v>25114</v>
      </c>
      <c r="C12530" t="s">
        <v>10</v>
      </c>
      <c r="D12530" t="s">
        <v>25181</v>
      </c>
      <c r="E12530" t="s">
        <v>25182</v>
      </c>
    </row>
    <row r="12531" spans="1:7" ht="14.25" customHeight="1" x14ac:dyDescent="0.45">
      <c r="A12531" t="str">
        <f>_xlfn.XLOOKUP(B12531,Ingot!$H$12:$H$119,Ingot!$G$12:$G$119,"")</f>
        <v>Osso</v>
      </c>
      <c r="B12531" t="s">
        <v>25114</v>
      </c>
      <c r="C12531" t="s">
        <v>10</v>
      </c>
      <c r="D12531" t="s">
        <v>25183</v>
      </c>
      <c r="E12531" t="s">
        <v>25184</v>
      </c>
      <c r="G12531" s="1">
        <v>2.65</v>
      </c>
    </row>
    <row r="12532" spans="1:7" ht="14.25" customHeight="1" x14ac:dyDescent="0.45">
      <c r="A12532" t="str">
        <f>_xlfn.XLOOKUP(B12532,Ingot!$H$12:$H$119,Ingot!$G$12:$G$119,"")</f>
        <v>Osso</v>
      </c>
      <c r="B12532" t="s">
        <v>25114</v>
      </c>
      <c r="C12532" t="s">
        <v>10</v>
      </c>
      <c r="D12532" t="s">
        <v>25185</v>
      </c>
      <c r="E12532" t="s">
        <v>25186</v>
      </c>
    </row>
    <row r="12533" spans="1:7" ht="14.25" customHeight="1" x14ac:dyDescent="0.45">
      <c r="A12533" t="str">
        <f>_xlfn.XLOOKUP(B12533,Ingot!$H$12:$H$119,Ingot!$G$12:$G$119,"")</f>
        <v>Osso</v>
      </c>
      <c r="B12533" t="s">
        <v>25114</v>
      </c>
      <c r="C12533" t="s">
        <v>10</v>
      </c>
      <c r="D12533" t="s">
        <v>25187</v>
      </c>
      <c r="E12533" t="s">
        <v>25188</v>
      </c>
      <c r="G12533" s="1">
        <v>12.64</v>
      </c>
    </row>
    <row r="12534" spans="1:7" ht="14.25" customHeight="1" x14ac:dyDescent="0.45">
      <c r="A12534" t="str">
        <f>_xlfn.XLOOKUP(B12534,Ingot!$H$12:$H$119,Ingot!$G$12:$G$119,"")</f>
        <v>Osso</v>
      </c>
      <c r="B12534" t="s">
        <v>25114</v>
      </c>
      <c r="C12534" t="s">
        <v>10</v>
      </c>
      <c r="D12534" t="s">
        <v>25189</v>
      </c>
      <c r="E12534" t="s">
        <v>25190</v>
      </c>
      <c r="G12534" s="1">
        <v>22.67</v>
      </c>
    </row>
    <row r="12535" spans="1:7" ht="14.25" customHeight="1" x14ac:dyDescent="0.45">
      <c r="A12535" t="str">
        <f>_xlfn.XLOOKUP(B12535,Ingot!$H$12:$H$119,Ingot!$G$12:$G$119,"")</f>
        <v>Osso</v>
      </c>
      <c r="B12535" t="s">
        <v>25114</v>
      </c>
      <c r="C12535" t="s">
        <v>10</v>
      </c>
      <c r="D12535" t="s">
        <v>25191</v>
      </c>
      <c r="E12535" t="s">
        <v>25192</v>
      </c>
      <c r="G12535" s="1">
        <v>8.3800000000000008</v>
      </c>
    </row>
    <row r="12536" spans="1:7" ht="14.25" customHeight="1" x14ac:dyDescent="0.45">
      <c r="A12536" t="str">
        <f>_xlfn.XLOOKUP(B12536,Ingot!$H$12:$H$119,Ingot!$G$12:$G$119,"")</f>
        <v>Osso</v>
      </c>
      <c r="B12536" t="s">
        <v>25114</v>
      </c>
      <c r="C12536" t="s">
        <v>10</v>
      </c>
      <c r="D12536" t="s">
        <v>25193</v>
      </c>
      <c r="E12536" t="s">
        <v>25194</v>
      </c>
      <c r="G12536" s="1">
        <v>2.2000000000000002</v>
      </c>
    </row>
    <row r="12537" spans="1:7" ht="14.25" customHeight="1" x14ac:dyDescent="0.45">
      <c r="A12537" t="str">
        <f>_xlfn.XLOOKUP(B12537,Ingot!$H$12:$H$119,Ingot!$G$12:$G$119,"")</f>
        <v>Osso</v>
      </c>
      <c r="B12537" t="s">
        <v>25114</v>
      </c>
      <c r="C12537" t="s">
        <v>10</v>
      </c>
      <c r="D12537" t="s">
        <v>25195</v>
      </c>
      <c r="E12537" t="s">
        <v>25196</v>
      </c>
      <c r="G12537" s="1">
        <v>3.09</v>
      </c>
    </row>
    <row r="12538" spans="1:7" ht="14.25" customHeight="1" x14ac:dyDescent="0.45">
      <c r="A12538" t="str">
        <f>_xlfn.XLOOKUP(B12538,Ingot!$H$12:$H$119,Ingot!$G$12:$G$119,"")</f>
        <v>Osso</v>
      </c>
      <c r="B12538" t="s">
        <v>25114</v>
      </c>
      <c r="C12538" t="s">
        <v>10</v>
      </c>
      <c r="D12538" t="s">
        <v>25197</v>
      </c>
      <c r="E12538" t="s">
        <v>25198</v>
      </c>
      <c r="G12538" s="1">
        <v>2.2999999999999998</v>
      </c>
    </row>
    <row r="12539" spans="1:7" ht="14.25" customHeight="1" x14ac:dyDescent="0.45">
      <c r="A12539" t="str">
        <f>_xlfn.XLOOKUP(B12539,Ingot!$H$12:$H$119,Ingot!$G$12:$G$119,"")</f>
        <v>Osso</v>
      </c>
      <c r="B12539" t="s">
        <v>25114</v>
      </c>
      <c r="C12539" t="s">
        <v>10</v>
      </c>
      <c r="D12539" t="s">
        <v>25199</v>
      </c>
      <c r="E12539" t="s">
        <v>25200</v>
      </c>
      <c r="G12539" s="1">
        <v>4.88</v>
      </c>
    </row>
    <row r="12540" spans="1:7" ht="14.25" customHeight="1" x14ac:dyDescent="0.45">
      <c r="A12540" t="str">
        <f>_xlfn.XLOOKUP(B12540,Ingot!$H$12:$H$119,Ingot!$G$12:$G$119,"")</f>
        <v>Osso</v>
      </c>
      <c r="B12540" t="s">
        <v>25114</v>
      </c>
      <c r="C12540" t="s">
        <v>10</v>
      </c>
      <c r="D12540" t="s">
        <v>25201</v>
      </c>
      <c r="E12540" t="s">
        <v>25202</v>
      </c>
      <c r="G12540" s="1">
        <v>8.43</v>
      </c>
    </row>
    <row r="12541" spans="1:7" ht="14.25" customHeight="1" x14ac:dyDescent="0.45">
      <c r="A12541" t="str">
        <f>_xlfn.XLOOKUP(B12541,Ingot!$H$12:$H$119,Ingot!$G$12:$G$119,"")</f>
        <v>Osso</v>
      </c>
      <c r="B12541" t="s">
        <v>25114</v>
      </c>
      <c r="C12541" t="s">
        <v>10</v>
      </c>
      <c r="D12541" t="s">
        <v>25203</v>
      </c>
      <c r="E12541" t="s">
        <v>25204</v>
      </c>
      <c r="G12541" s="1">
        <v>13.07</v>
      </c>
    </row>
    <row r="12542" spans="1:7" ht="14.25" customHeight="1" x14ac:dyDescent="0.45">
      <c r="A12542" t="str">
        <f>_xlfn.XLOOKUP(B12542,Ingot!$H$12:$H$119,Ingot!$G$12:$G$119,"")</f>
        <v>Osso</v>
      </c>
      <c r="B12542" t="s">
        <v>25114</v>
      </c>
      <c r="C12542" t="s">
        <v>10</v>
      </c>
      <c r="D12542" t="s">
        <v>25205</v>
      </c>
      <c r="E12542" t="s">
        <v>25206</v>
      </c>
    </row>
    <row r="12543" spans="1:7" ht="14.25" customHeight="1" x14ac:dyDescent="0.45">
      <c r="A12543" t="str">
        <f>_xlfn.XLOOKUP(B12543,Ingot!$H$12:$H$119,Ingot!$G$12:$G$119,"")</f>
        <v>Osso</v>
      </c>
      <c r="B12543" t="s">
        <v>25114</v>
      </c>
      <c r="C12543" t="s">
        <v>10</v>
      </c>
      <c r="D12543" t="s">
        <v>25207</v>
      </c>
      <c r="E12543" t="s">
        <v>25208</v>
      </c>
    </row>
    <row r="12544" spans="1:7" ht="14.25" customHeight="1" x14ac:dyDescent="0.45">
      <c r="A12544" t="str">
        <f>_xlfn.XLOOKUP(B12544,Ingot!$H$12:$H$119,Ingot!$G$12:$G$119,"")</f>
        <v>Osso</v>
      </c>
      <c r="B12544" t="s">
        <v>25114</v>
      </c>
      <c r="C12544" t="s">
        <v>10</v>
      </c>
      <c r="D12544" t="s">
        <v>25209</v>
      </c>
      <c r="E12544" t="s">
        <v>25210</v>
      </c>
      <c r="G12544" s="1">
        <v>6.8</v>
      </c>
    </row>
    <row r="12545" spans="1:7" ht="14.25" customHeight="1" x14ac:dyDescent="0.45">
      <c r="A12545" t="str">
        <f>_xlfn.XLOOKUP(B12545,Ingot!$H$12:$H$119,Ingot!$G$12:$G$119,"")</f>
        <v>Osso</v>
      </c>
      <c r="B12545" t="s">
        <v>25114</v>
      </c>
      <c r="C12545" t="s">
        <v>10</v>
      </c>
      <c r="D12545" t="s">
        <v>25211</v>
      </c>
      <c r="E12545" t="s">
        <v>25212</v>
      </c>
      <c r="G12545" s="1">
        <v>6.88</v>
      </c>
    </row>
    <row r="12546" spans="1:7" ht="14.25" customHeight="1" x14ac:dyDescent="0.45">
      <c r="A12546" t="str">
        <f>_xlfn.XLOOKUP(B12546,Ingot!$H$12:$H$119,Ingot!$G$12:$G$119,"")</f>
        <v>Osso</v>
      </c>
      <c r="B12546" t="s">
        <v>25114</v>
      </c>
      <c r="C12546" t="s">
        <v>10</v>
      </c>
      <c r="D12546" t="s">
        <v>25213</v>
      </c>
      <c r="E12546" t="s">
        <v>25214</v>
      </c>
      <c r="G12546" s="1">
        <v>5.5</v>
      </c>
    </row>
    <row r="12547" spans="1:7" ht="14.25" customHeight="1" x14ac:dyDescent="0.45">
      <c r="A12547" t="str">
        <f>_xlfn.XLOOKUP(B12547,Ingot!$H$12:$H$119,Ingot!$G$12:$G$119,"")</f>
        <v>Osso</v>
      </c>
      <c r="B12547" t="s">
        <v>25114</v>
      </c>
      <c r="C12547" t="s">
        <v>10</v>
      </c>
      <c r="D12547" t="s">
        <v>25215</v>
      </c>
      <c r="E12547" t="s">
        <v>25216</v>
      </c>
      <c r="G12547" s="1">
        <v>2.4300000000000002</v>
      </c>
    </row>
    <row r="12548" spans="1:7" ht="14.25" customHeight="1" x14ac:dyDescent="0.45">
      <c r="A12548" t="str">
        <f>_xlfn.XLOOKUP(B12548,Ingot!$H$12:$H$119,Ingot!$G$12:$G$119,"")</f>
        <v>Osso</v>
      </c>
      <c r="B12548" t="s">
        <v>25114</v>
      </c>
      <c r="C12548" t="s">
        <v>10</v>
      </c>
      <c r="D12548" t="s">
        <v>25217</v>
      </c>
      <c r="E12548" t="s">
        <v>25218</v>
      </c>
      <c r="G12548" s="1">
        <v>6.96</v>
      </c>
    </row>
    <row r="12549" spans="1:7" ht="14.25" customHeight="1" x14ac:dyDescent="0.45">
      <c r="A12549" t="str">
        <f>_xlfn.XLOOKUP(B12549,Ingot!$H$12:$H$119,Ingot!$G$12:$G$119,"")</f>
        <v>Osso</v>
      </c>
      <c r="B12549" t="s">
        <v>25114</v>
      </c>
      <c r="C12549" t="s">
        <v>10</v>
      </c>
      <c r="D12549" t="s">
        <v>25219</v>
      </c>
      <c r="E12549" t="s">
        <v>25220</v>
      </c>
      <c r="G12549" s="1">
        <v>6.32</v>
      </c>
    </row>
    <row r="12550" spans="1:7" ht="14.25" customHeight="1" x14ac:dyDescent="0.45">
      <c r="A12550" t="str">
        <f>_xlfn.XLOOKUP(B12550,Ingot!$H$12:$H$119,Ingot!$G$12:$G$119,"")</f>
        <v>Osso</v>
      </c>
      <c r="B12550" t="s">
        <v>25114</v>
      </c>
      <c r="C12550" t="s">
        <v>10</v>
      </c>
      <c r="D12550" t="s">
        <v>25221</v>
      </c>
      <c r="E12550" t="s">
        <v>25222</v>
      </c>
      <c r="G12550" s="1">
        <v>6.88</v>
      </c>
    </row>
    <row r="12551" spans="1:7" ht="14.25" customHeight="1" x14ac:dyDescent="0.45">
      <c r="A12551" t="str">
        <f>_xlfn.XLOOKUP(B12551,Ingot!$H$12:$H$119,Ingot!$G$12:$G$119,"")</f>
        <v>Osso</v>
      </c>
      <c r="B12551" t="s">
        <v>25114</v>
      </c>
      <c r="C12551" t="s">
        <v>10</v>
      </c>
      <c r="D12551" t="s">
        <v>25223</v>
      </c>
      <c r="E12551" t="s">
        <v>25224</v>
      </c>
      <c r="G12551" s="1">
        <v>2.44</v>
      </c>
    </row>
    <row r="12552" spans="1:7" ht="14.25" customHeight="1" x14ac:dyDescent="0.45">
      <c r="A12552" t="str">
        <f>_xlfn.XLOOKUP(B12552,Ingot!$H$12:$H$119,Ingot!$G$12:$G$119,"")</f>
        <v>Osso</v>
      </c>
      <c r="B12552" t="s">
        <v>25114</v>
      </c>
      <c r="C12552" t="s">
        <v>10</v>
      </c>
      <c r="D12552" t="s">
        <v>25225</v>
      </c>
      <c r="E12552" t="s">
        <v>25226</v>
      </c>
    </row>
    <row r="12553" spans="1:7" ht="14.25" customHeight="1" x14ac:dyDescent="0.45">
      <c r="A12553" t="str">
        <f>_xlfn.XLOOKUP(B12553,Ingot!$H$12:$H$119,Ingot!$G$12:$G$119,"")</f>
        <v>Osso</v>
      </c>
      <c r="B12553" t="s">
        <v>25114</v>
      </c>
      <c r="C12553" t="s">
        <v>10</v>
      </c>
      <c r="D12553" t="s">
        <v>25227</v>
      </c>
      <c r="E12553" t="s">
        <v>25228</v>
      </c>
    </row>
    <row r="12554" spans="1:7" ht="14.25" customHeight="1" x14ac:dyDescent="0.45">
      <c r="A12554" t="str">
        <f>_xlfn.XLOOKUP(B12554,Ingot!$H$12:$H$119,Ingot!$G$12:$G$119,"")</f>
        <v>Osso</v>
      </c>
      <c r="B12554" t="s">
        <v>25114</v>
      </c>
      <c r="C12554" t="s">
        <v>10</v>
      </c>
      <c r="D12554" t="s">
        <v>25229</v>
      </c>
      <c r="E12554" t="s">
        <v>25230</v>
      </c>
      <c r="G12554" s="1">
        <v>3.11</v>
      </c>
    </row>
    <row r="12555" spans="1:7" ht="14.25" customHeight="1" x14ac:dyDescent="0.45">
      <c r="A12555" t="str">
        <f>_xlfn.XLOOKUP(B12555,Ingot!$H$12:$H$119,Ingot!$G$12:$G$119,"")</f>
        <v>Osso</v>
      </c>
      <c r="B12555" t="s">
        <v>25114</v>
      </c>
      <c r="C12555" t="s">
        <v>10</v>
      </c>
      <c r="D12555" t="s">
        <v>25231</v>
      </c>
      <c r="E12555" t="s">
        <v>25232</v>
      </c>
      <c r="G12555" s="1">
        <v>2.44</v>
      </c>
    </row>
    <row r="12556" spans="1:7" ht="14.25" customHeight="1" x14ac:dyDescent="0.45">
      <c r="A12556" t="str">
        <f>_xlfn.XLOOKUP(B12556,Ingot!$H$12:$H$119,Ingot!$G$12:$G$119,"")</f>
        <v>Osso</v>
      </c>
      <c r="B12556" t="s">
        <v>25114</v>
      </c>
      <c r="C12556" t="s">
        <v>10</v>
      </c>
      <c r="D12556" t="s">
        <v>25233</v>
      </c>
      <c r="E12556" t="s">
        <v>25234</v>
      </c>
      <c r="G12556" s="1">
        <v>8.61</v>
      </c>
    </row>
    <row r="12557" spans="1:7" ht="14.25" customHeight="1" x14ac:dyDescent="0.45">
      <c r="A12557" t="str">
        <f>_xlfn.XLOOKUP(B12557,Ingot!$H$12:$H$119,Ingot!$G$12:$G$119,"")</f>
        <v>Osso</v>
      </c>
      <c r="B12557" t="s">
        <v>25114</v>
      </c>
      <c r="C12557" t="s">
        <v>10</v>
      </c>
      <c r="D12557" t="s">
        <v>25235</v>
      </c>
      <c r="E12557" t="s">
        <v>25236</v>
      </c>
    </row>
    <row r="12558" spans="1:7" ht="14.25" customHeight="1" x14ac:dyDescent="0.45">
      <c r="A12558" t="str">
        <f>_xlfn.XLOOKUP(B12558,Ingot!$H$12:$H$119,Ingot!$G$12:$G$119,"")</f>
        <v>Osso</v>
      </c>
      <c r="B12558" t="s">
        <v>25114</v>
      </c>
      <c r="C12558" t="s">
        <v>10</v>
      </c>
      <c r="D12558" t="s">
        <v>25237</v>
      </c>
      <c r="E12558" t="s">
        <v>25238</v>
      </c>
      <c r="G12558" s="1">
        <v>3.21</v>
      </c>
    </row>
    <row r="12559" spans="1:7" ht="14.25" customHeight="1" x14ac:dyDescent="0.45">
      <c r="A12559" t="str">
        <f>_xlfn.XLOOKUP(B12559,Ingot!$H$12:$H$119,Ingot!$G$12:$G$119,"")</f>
        <v>Osso</v>
      </c>
      <c r="B12559" t="s">
        <v>25114</v>
      </c>
      <c r="C12559" t="s">
        <v>10</v>
      </c>
      <c r="D12559" t="s">
        <v>25239</v>
      </c>
      <c r="E12559" t="s">
        <v>25240</v>
      </c>
      <c r="G12559" s="1">
        <v>2.77</v>
      </c>
    </row>
    <row r="12560" spans="1:7" ht="14.25" customHeight="1" x14ac:dyDescent="0.45">
      <c r="A12560" t="str">
        <f>_xlfn.XLOOKUP(B12560,Ingot!$H$12:$H$119,Ingot!$G$12:$G$119,"")</f>
        <v>Osso</v>
      </c>
      <c r="B12560" t="s">
        <v>25114</v>
      </c>
      <c r="C12560" t="s">
        <v>10</v>
      </c>
      <c r="D12560" t="s">
        <v>25241</v>
      </c>
      <c r="E12560" t="s">
        <v>25242</v>
      </c>
      <c r="G12560" s="1">
        <v>4.8899999999999997</v>
      </c>
    </row>
    <row r="12561" spans="1:7" ht="14.25" customHeight="1" x14ac:dyDescent="0.45">
      <c r="A12561" t="str">
        <f>_xlfn.XLOOKUP(B12561,Ingot!$H$12:$H$119,Ingot!$G$12:$G$119,"")</f>
        <v>Osso</v>
      </c>
      <c r="B12561" t="s">
        <v>25114</v>
      </c>
      <c r="C12561" t="s">
        <v>10</v>
      </c>
      <c r="D12561" t="s">
        <v>25243</v>
      </c>
      <c r="E12561" t="s">
        <v>25244</v>
      </c>
      <c r="G12561" s="1">
        <v>1.76</v>
      </c>
    </row>
    <row r="12562" spans="1:7" ht="14.25" customHeight="1" x14ac:dyDescent="0.45">
      <c r="A12562" t="str">
        <f>_xlfn.XLOOKUP(B12562,Ingot!$H$12:$H$119,Ingot!$G$12:$G$119,"")</f>
        <v>Osso</v>
      </c>
      <c r="B12562" t="s">
        <v>25114</v>
      </c>
      <c r="C12562" t="s">
        <v>10</v>
      </c>
      <c r="D12562" t="s">
        <v>25245</v>
      </c>
      <c r="E12562" t="s">
        <v>25246</v>
      </c>
    </row>
    <row r="12563" spans="1:7" ht="14.25" customHeight="1" x14ac:dyDescent="0.45">
      <c r="A12563" t="str">
        <f>_xlfn.XLOOKUP(B12563,Ingot!$H$12:$H$119,Ingot!$G$12:$G$119,"")</f>
        <v>Osso</v>
      </c>
      <c r="B12563" t="s">
        <v>25114</v>
      </c>
      <c r="C12563" t="s">
        <v>10</v>
      </c>
      <c r="D12563" t="s">
        <v>25247</v>
      </c>
      <c r="E12563" t="s">
        <v>25248</v>
      </c>
      <c r="G12563" s="1">
        <v>8.57</v>
      </c>
    </row>
    <row r="12564" spans="1:7" ht="14.25" customHeight="1" x14ac:dyDescent="0.45">
      <c r="A12564" t="str">
        <f>_xlfn.XLOOKUP(B12564,Ingot!$H$12:$H$119,Ingot!$G$12:$G$119,"")</f>
        <v>Osso</v>
      </c>
      <c r="B12564" t="s">
        <v>25114</v>
      </c>
      <c r="C12564" t="s">
        <v>10</v>
      </c>
      <c r="D12564" t="s">
        <v>25249</v>
      </c>
      <c r="E12564" t="s">
        <v>25250</v>
      </c>
    </row>
    <row r="12565" spans="1:7" ht="14.25" customHeight="1" x14ac:dyDescent="0.45">
      <c r="A12565" t="str">
        <f>_xlfn.XLOOKUP(B12565,Ingot!$H$12:$H$119,Ingot!$G$12:$G$119,"")</f>
        <v>Osso</v>
      </c>
      <c r="B12565" t="s">
        <v>25114</v>
      </c>
      <c r="C12565" t="s">
        <v>10</v>
      </c>
      <c r="D12565" t="s">
        <v>25251</v>
      </c>
      <c r="E12565" t="s">
        <v>25252</v>
      </c>
      <c r="G12565" s="1">
        <v>3.56</v>
      </c>
    </row>
    <row r="12566" spans="1:7" ht="14.25" customHeight="1" x14ac:dyDescent="0.45">
      <c r="A12566" t="str">
        <f>_xlfn.XLOOKUP(B12566,Ingot!$H$12:$H$119,Ingot!$G$12:$G$119,"")</f>
        <v>Osso</v>
      </c>
      <c r="B12566" t="s">
        <v>25114</v>
      </c>
      <c r="C12566" t="s">
        <v>10</v>
      </c>
      <c r="D12566" t="s">
        <v>25253</v>
      </c>
      <c r="E12566" t="s">
        <v>25254</v>
      </c>
      <c r="G12566" s="1">
        <v>8.91</v>
      </c>
    </row>
    <row r="12567" spans="1:7" ht="14.25" customHeight="1" x14ac:dyDescent="0.45">
      <c r="A12567" t="str">
        <f>_xlfn.XLOOKUP(B12567,Ingot!$H$12:$H$119,Ingot!$G$12:$G$119,"")</f>
        <v>Osso</v>
      </c>
      <c r="B12567" t="s">
        <v>25114</v>
      </c>
      <c r="C12567" t="s">
        <v>10</v>
      </c>
      <c r="D12567" t="s">
        <v>25255</v>
      </c>
      <c r="E12567" t="s">
        <v>25256</v>
      </c>
      <c r="G12567" s="1">
        <v>11.02</v>
      </c>
    </row>
    <row r="12568" spans="1:7" ht="14.25" customHeight="1" x14ac:dyDescent="0.45">
      <c r="A12568" t="str">
        <f>_xlfn.XLOOKUP(B12568,Ingot!$H$12:$H$119,Ingot!$G$12:$G$119,"")</f>
        <v>Osso</v>
      </c>
      <c r="B12568" t="s">
        <v>25114</v>
      </c>
      <c r="C12568" t="s">
        <v>10</v>
      </c>
      <c r="D12568" t="s">
        <v>25257</v>
      </c>
      <c r="E12568" t="s">
        <v>25258</v>
      </c>
      <c r="G12568" s="1">
        <v>5.12</v>
      </c>
    </row>
    <row r="12569" spans="1:7" ht="14.25" customHeight="1" x14ac:dyDescent="0.45">
      <c r="A12569" t="str">
        <f>_xlfn.XLOOKUP(B12569,Ingot!$H$12:$H$119,Ingot!$G$12:$G$119,"")</f>
        <v>Osso</v>
      </c>
      <c r="B12569" t="s">
        <v>25114</v>
      </c>
      <c r="C12569" t="s">
        <v>10</v>
      </c>
      <c r="D12569" t="s">
        <v>25259</v>
      </c>
      <c r="E12569" t="s">
        <v>25260</v>
      </c>
      <c r="G12569" s="1">
        <v>4.41</v>
      </c>
    </row>
    <row r="12570" spans="1:7" ht="14.25" customHeight="1" x14ac:dyDescent="0.45">
      <c r="A12570" t="str">
        <f>_xlfn.XLOOKUP(B12570,Ingot!$H$12:$H$119,Ingot!$G$12:$G$119,"")</f>
        <v>Osso</v>
      </c>
      <c r="B12570" t="s">
        <v>25114</v>
      </c>
      <c r="C12570" t="s">
        <v>157</v>
      </c>
      <c r="D12570" t="s">
        <v>25261</v>
      </c>
      <c r="E12570" t="s">
        <v>25262</v>
      </c>
      <c r="G12570" s="1">
        <v>20.5</v>
      </c>
    </row>
    <row r="12571" spans="1:7" ht="14.25" customHeight="1" x14ac:dyDescent="0.45">
      <c r="A12571" t="str">
        <f>_xlfn.XLOOKUP(B12571,Ingot!$H$12:$H$119,Ingot!$G$12:$G$119,"")</f>
        <v>Osso</v>
      </c>
      <c r="B12571" t="s">
        <v>25114</v>
      </c>
      <c r="C12571" t="s">
        <v>157</v>
      </c>
      <c r="D12571" t="s">
        <v>25263</v>
      </c>
      <c r="E12571" t="s">
        <v>25264</v>
      </c>
      <c r="G12571" s="1">
        <v>5</v>
      </c>
    </row>
    <row r="12572" spans="1:7" ht="14.25" customHeight="1" x14ac:dyDescent="0.45">
      <c r="A12572" t="str">
        <f>_xlfn.XLOOKUP(B12572,Ingot!$H$12:$H$119,Ingot!$G$12:$G$119,"")</f>
        <v>Osso</v>
      </c>
      <c r="B12572" t="s">
        <v>25114</v>
      </c>
      <c r="C12572" t="s">
        <v>157</v>
      </c>
      <c r="D12572" t="s">
        <v>25265</v>
      </c>
      <c r="E12572" t="s">
        <v>25266</v>
      </c>
      <c r="G12572" s="1">
        <v>5</v>
      </c>
    </row>
    <row r="12573" spans="1:7" ht="14.25" customHeight="1" x14ac:dyDescent="0.45">
      <c r="A12573" t="str">
        <f>_xlfn.XLOOKUP(B12573,Ingot!$H$12:$H$119,Ingot!$G$12:$G$119,"")</f>
        <v>Osso</v>
      </c>
      <c r="B12573" t="s">
        <v>25114</v>
      </c>
      <c r="C12573" t="s">
        <v>157</v>
      </c>
      <c r="D12573" t="s">
        <v>25267</v>
      </c>
      <c r="E12573" t="s">
        <v>25268</v>
      </c>
      <c r="G12573" s="1">
        <v>5</v>
      </c>
    </row>
    <row r="12574" spans="1:7" ht="14.25" customHeight="1" x14ac:dyDescent="0.45">
      <c r="A12574" t="str">
        <f>_xlfn.XLOOKUP(B12574,Ingot!$H$12:$H$119,Ingot!$G$12:$G$119,"")</f>
        <v>Osso</v>
      </c>
      <c r="B12574" t="s">
        <v>25114</v>
      </c>
      <c r="C12574" t="s">
        <v>157</v>
      </c>
      <c r="D12574" t="s">
        <v>25269</v>
      </c>
      <c r="E12574" t="s">
        <v>25270</v>
      </c>
      <c r="G12574" s="1">
        <v>10</v>
      </c>
    </row>
    <row r="12575" spans="1:7" ht="14.25" customHeight="1" x14ac:dyDescent="0.45">
      <c r="A12575" t="str">
        <f>_xlfn.XLOOKUP(B12575,Ingot!$H$12:$H$119,Ingot!$G$12:$G$119,"")</f>
        <v>Osso</v>
      </c>
      <c r="B12575" t="s">
        <v>25114</v>
      </c>
      <c r="C12575" t="s">
        <v>157</v>
      </c>
      <c r="D12575" t="s">
        <v>25271</v>
      </c>
      <c r="E12575" t="s">
        <v>25272</v>
      </c>
      <c r="G12575" s="1">
        <v>17</v>
      </c>
    </row>
    <row r="12576" spans="1:7" ht="14.25" customHeight="1" x14ac:dyDescent="0.45">
      <c r="A12576" t="str">
        <f>_xlfn.XLOOKUP(B12576,Ingot!$H$12:$H$119,Ingot!$G$12:$G$119,"")</f>
        <v>Osso</v>
      </c>
      <c r="B12576" t="s">
        <v>25114</v>
      </c>
      <c r="C12576" t="s">
        <v>157</v>
      </c>
      <c r="D12576" t="s">
        <v>25273</v>
      </c>
      <c r="E12576" t="s">
        <v>25274</v>
      </c>
      <c r="G12576" s="1">
        <v>5</v>
      </c>
    </row>
    <row r="12577" spans="1:7" ht="14.25" customHeight="1" x14ac:dyDescent="0.45">
      <c r="A12577" t="str">
        <f>_xlfn.XLOOKUP(B12577,Ingot!$H$12:$H$119,Ingot!$G$12:$G$119,"")</f>
        <v>Osso</v>
      </c>
      <c r="B12577" t="s">
        <v>25114</v>
      </c>
      <c r="C12577" t="s">
        <v>157</v>
      </c>
      <c r="D12577" t="s">
        <v>25275</v>
      </c>
      <c r="E12577" t="s">
        <v>25276</v>
      </c>
      <c r="G12577" s="1">
        <v>5</v>
      </c>
    </row>
    <row r="12578" spans="1:7" ht="14.25" customHeight="1" x14ac:dyDescent="0.45">
      <c r="A12578" t="str">
        <f>_xlfn.XLOOKUP(B12578,Ingot!$H$12:$H$119,Ingot!$G$12:$G$119,"")</f>
        <v>Osso</v>
      </c>
      <c r="B12578" t="s">
        <v>25114</v>
      </c>
      <c r="C12578" t="s">
        <v>157</v>
      </c>
      <c r="D12578" t="s">
        <v>25277</v>
      </c>
      <c r="E12578" t="s">
        <v>25278</v>
      </c>
      <c r="G12578" s="1">
        <v>5</v>
      </c>
    </row>
    <row r="12579" spans="1:7" ht="14.25" customHeight="1" x14ac:dyDescent="0.45">
      <c r="A12579" t="str">
        <f>_xlfn.XLOOKUP(B12579,Ingot!$H$12:$H$119,Ingot!$G$12:$G$119,"")</f>
        <v>Osso</v>
      </c>
      <c r="B12579" t="s">
        <v>25114</v>
      </c>
      <c r="C12579" t="s">
        <v>157</v>
      </c>
      <c r="D12579" t="s">
        <v>25279</v>
      </c>
      <c r="E12579" t="s">
        <v>25280</v>
      </c>
      <c r="G12579" s="1">
        <v>10</v>
      </c>
    </row>
    <row r="12580" spans="1:7" ht="14.25" customHeight="1" x14ac:dyDescent="0.45">
      <c r="A12580" t="str">
        <f>_xlfn.XLOOKUP(B12580,Ingot!$H$12:$H$119,Ingot!$G$12:$G$119,"")</f>
        <v>Osso</v>
      </c>
      <c r="B12580" t="s">
        <v>25114</v>
      </c>
      <c r="C12580" t="s">
        <v>157</v>
      </c>
      <c r="D12580" t="s">
        <v>25281</v>
      </c>
      <c r="E12580" t="s">
        <v>25282</v>
      </c>
      <c r="G12580" s="1">
        <v>16.5</v>
      </c>
    </row>
    <row r="12581" spans="1:7" ht="14.25" customHeight="1" x14ac:dyDescent="0.45">
      <c r="A12581" t="str">
        <f>_xlfn.XLOOKUP(B12581,Ingot!$H$12:$H$119,Ingot!$G$12:$G$119,"")</f>
        <v>Osso</v>
      </c>
      <c r="B12581" t="s">
        <v>25114</v>
      </c>
      <c r="C12581" t="s">
        <v>157</v>
      </c>
      <c r="D12581" t="s">
        <v>25283</v>
      </c>
      <c r="E12581" t="s">
        <v>25284</v>
      </c>
      <c r="G12581" s="1">
        <v>5</v>
      </c>
    </row>
    <row r="12582" spans="1:7" ht="14.25" customHeight="1" x14ac:dyDescent="0.45">
      <c r="A12582" t="str">
        <f>_xlfn.XLOOKUP(B12582,Ingot!$H$12:$H$119,Ingot!$G$12:$G$119,"")</f>
        <v>Osso</v>
      </c>
      <c r="B12582" t="s">
        <v>25114</v>
      </c>
      <c r="C12582" t="s">
        <v>157</v>
      </c>
      <c r="D12582" t="s">
        <v>25285</v>
      </c>
      <c r="E12582" t="s">
        <v>25286</v>
      </c>
      <c r="G12582" s="1">
        <v>5</v>
      </c>
    </row>
    <row r="12583" spans="1:7" ht="14.25" customHeight="1" x14ac:dyDescent="0.45">
      <c r="A12583" t="str">
        <f>_xlfn.XLOOKUP(B12583,Ingot!$H$12:$H$119,Ingot!$G$12:$G$119,"")</f>
        <v>Osso</v>
      </c>
      <c r="B12583" t="s">
        <v>25114</v>
      </c>
      <c r="C12583" t="s">
        <v>157</v>
      </c>
      <c r="D12583" t="s">
        <v>25287</v>
      </c>
      <c r="E12583" t="s">
        <v>25288</v>
      </c>
      <c r="G12583" s="1">
        <v>5</v>
      </c>
    </row>
    <row r="12584" spans="1:7" ht="14.25" customHeight="1" x14ac:dyDescent="0.45">
      <c r="A12584" t="str">
        <f>_xlfn.XLOOKUP(B12584,Ingot!$H$12:$H$119,Ingot!$G$12:$G$119,"")</f>
        <v>Osso</v>
      </c>
      <c r="B12584" t="s">
        <v>25114</v>
      </c>
      <c r="C12584" t="s">
        <v>157</v>
      </c>
      <c r="D12584" t="s">
        <v>25289</v>
      </c>
      <c r="E12584" t="s">
        <v>25290</v>
      </c>
      <c r="G12584" s="1">
        <v>10</v>
      </c>
    </row>
    <row r="12585" spans="1:7" ht="14.25" customHeight="1" x14ac:dyDescent="0.45">
      <c r="A12585" t="str">
        <f>_xlfn.XLOOKUP(B12585,Ingot!$H$12:$H$119,Ingot!$G$12:$G$119,"")</f>
        <v>Osso</v>
      </c>
      <c r="B12585" t="s">
        <v>25114</v>
      </c>
      <c r="C12585" t="s">
        <v>157</v>
      </c>
      <c r="D12585" t="s">
        <v>25291</v>
      </c>
      <c r="E12585" t="s">
        <v>25292</v>
      </c>
      <c r="G12585" s="1">
        <v>18</v>
      </c>
    </row>
    <row r="12586" spans="1:7" ht="14.25" customHeight="1" x14ac:dyDescent="0.45">
      <c r="A12586" t="str">
        <f>_xlfn.XLOOKUP(B12586,Ingot!$H$12:$H$119,Ingot!$G$12:$G$119,"")</f>
        <v>Osso</v>
      </c>
      <c r="B12586" t="s">
        <v>25114</v>
      </c>
      <c r="C12586" t="s">
        <v>157</v>
      </c>
      <c r="D12586" t="s">
        <v>25293</v>
      </c>
      <c r="E12586" t="s">
        <v>25294</v>
      </c>
      <c r="G12586" s="1">
        <v>5</v>
      </c>
    </row>
    <row r="12587" spans="1:7" ht="14.25" customHeight="1" x14ac:dyDescent="0.45">
      <c r="A12587" t="str">
        <f>_xlfn.XLOOKUP(B12587,Ingot!$H$12:$H$119,Ingot!$G$12:$G$119,"")</f>
        <v>Osso</v>
      </c>
      <c r="B12587" t="s">
        <v>25114</v>
      </c>
      <c r="C12587" t="s">
        <v>157</v>
      </c>
      <c r="D12587" t="s">
        <v>25295</v>
      </c>
      <c r="E12587" t="s">
        <v>25296</v>
      </c>
      <c r="G12587" s="1">
        <v>5</v>
      </c>
    </row>
    <row r="12588" spans="1:7" ht="14.25" customHeight="1" x14ac:dyDescent="0.45">
      <c r="A12588" t="str">
        <f>_xlfn.XLOOKUP(B12588,Ingot!$H$12:$H$119,Ingot!$G$12:$G$119,"")</f>
        <v>Osso</v>
      </c>
      <c r="B12588" t="s">
        <v>25114</v>
      </c>
      <c r="C12588" t="s">
        <v>157</v>
      </c>
      <c r="D12588" t="s">
        <v>25297</v>
      </c>
      <c r="E12588" t="s">
        <v>25298</v>
      </c>
      <c r="G12588" s="1">
        <v>5</v>
      </c>
    </row>
    <row r="12589" spans="1:7" ht="14.25" customHeight="1" x14ac:dyDescent="0.45">
      <c r="A12589" t="str">
        <f>_xlfn.XLOOKUP(B12589,Ingot!$H$12:$H$119,Ingot!$G$12:$G$119,"")</f>
        <v>Osso</v>
      </c>
      <c r="B12589" t="s">
        <v>25114</v>
      </c>
      <c r="C12589" t="s">
        <v>157</v>
      </c>
      <c r="D12589" t="s">
        <v>25299</v>
      </c>
      <c r="E12589" t="s">
        <v>25300</v>
      </c>
      <c r="G12589" s="1">
        <v>10</v>
      </c>
    </row>
    <row r="12590" spans="1:7" ht="14.25" customHeight="1" x14ac:dyDescent="0.45">
      <c r="A12590" t="str">
        <f>_xlfn.XLOOKUP(B12590,Ingot!$H$12:$H$119,Ingot!$G$12:$G$119,"")</f>
        <v>Osso</v>
      </c>
      <c r="B12590" t="s">
        <v>25114</v>
      </c>
      <c r="C12590" t="s">
        <v>157</v>
      </c>
      <c r="D12590" t="s">
        <v>25301</v>
      </c>
      <c r="E12590" t="s">
        <v>25302</v>
      </c>
      <c r="G12590" s="1">
        <v>19</v>
      </c>
    </row>
    <row r="12591" spans="1:7" ht="14.25" customHeight="1" x14ac:dyDescent="0.45">
      <c r="A12591" t="str">
        <f>_xlfn.XLOOKUP(B12591,Ingot!$H$12:$H$119,Ingot!$G$12:$G$119,"")</f>
        <v>Osso</v>
      </c>
      <c r="B12591" t="s">
        <v>25114</v>
      </c>
      <c r="C12591" t="s">
        <v>157</v>
      </c>
      <c r="D12591" t="s">
        <v>25303</v>
      </c>
      <c r="E12591" t="s">
        <v>25304</v>
      </c>
      <c r="G12591" s="1">
        <v>5</v>
      </c>
    </row>
    <row r="12592" spans="1:7" ht="14.25" customHeight="1" x14ac:dyDescent="0.45">
      <c r="A12592" t="str">
        <f>_xlfn.XLOOKUP(B12592,Ingot!$H$12:$H$119,Ingot!$G$12:$G$119,"")</f>
        <v>Osso</v>
      </c>
      <c r="B12592" t="s">
        <v>25114</v>
      </c>
      <c r="C12592" t="s">
        <v>157</v>
      </c>
      <c r="D12592" t="s">
        <v>25305</v>
      </c>
      <c r="E12592" t="s">
        <v>25306</v>
      </c>
      <c r="G12592" s="1">
        <v>5</v>
      </c>
    </row>
    <row r="12593" spans="1:7" ht="14.25" customHeight="1" x14ac:dyDescent="0.45">
      <c r="A12593" t="str">
        <f>_xlfn.XLOOKUP(B12593,Ingot!$H$12:$H$119,Ingot!$G$12:$G$119,"")</f>
        <v>Osso</v>
      </c>
      <c r="B12593" t="s">
        <v>25114</v>
      </c>
      <c r="C12593" t="s">
        <v>157</v>
      </c>
      <c r="D12593" t="s">
        <v>25307</v>
      </c>
      <c r="E12593" t="s">
        <v>25308</v>
      </c>
      <c r="G12593" s="1">
        <v>5</v>
      </c>
    </row>
    <row r="12594" spans="1:7" ht="14.25" customHeight="1" x14ac:dyDescent="0.45">
      <c r="A12594" t="str">
        <f>_xlfn.XLOOKUP(B12594,Ingot!$H$12:$H$119,Ingot!$G$12:$G$119,"")</f>
        <v>Osso</v>
      </c>
      <c r="B12594" t="s">
        <v>25114</v>
      </c>
      <c r="C12594" t="s">
        <v>157</v>
      </c>
      <c r="D12594" t="s">
        <v>25309</v>
      </c>
      <c r="E12594" t="s">
        <v>25310</v>
      </c>
      <c r="G12594" s="1">
        <v>10</v>
      </c>
    </row>
    <row r="12595" spans="1:7" ht="14.25" customHeight="1" x14ac:dyDescent="0.45">
      <c r="A12595" t="str">
        <f>_xlfn.XLOOKUP(B12595,Ingot!$H$12:$H$119,Ingot!$G$12:$G$119,"")</f>
        <v>Osso</v>
      </c>
      <c r="B12595" t="s">
        <v>25114</v>
      </c>
      <c r="C12595" t="s">
        <v>157</v>
      </c>
      <c r="D12595" t="s">
        <v>25311</v>
      </c>
      <c r="E12595" t="s">
        <v>25312</v>
      </c>
      <c r="G12595" s="1">
        <v>23</v>
      </c>
    </row>
    <row r="12596" spans="1:7" ht="14.25" customHeight="1" x14ac:dyDescent="0.45">
      <c r="A12596" t="str">
        <f>_xlfn.XLOOKUP(B12596,Ingot!$H$12:$H$119,Ingot!$G$12:$G$119,"")</f>
        <v>Osso</v>
      </c>
      <c r="B12596" t="s">
        <v>25114</v>
      </c>
      <c r="C12596" t="s">
        <v>157</v>
      </c>
      <c r="D12596" t="s">
        <v>25313</v>
      </c>
      <c r="E12596" t="s">
        <v>25314</v>
      </c>
      <c r="G12596" s="1">
        <v>5</v>
      </c>
    </row>
    <row r="12597" spans="1:7" ht="14.25" customHeight="1" x14ac:dyDescent="0.45">
      <c r="A12597" t="str">
        <f>_xlfn.XLOOKUP(B12597,Ingot!$H$12:$H$119,Ingot!$G$12:$G$119,"")</f>
        <v>Osso</v>
      </c>
      <c r="B12597" t="s">
        <v>25114</v>
      </c>
      <c r="C12597" t="s">
        <v>157</v>
      </c>
      <c r="D12597" t="s">
        <v>25315</v>
      </c>
      <c r="E12597" t="s">
        <v>25316</v>
      </c>
      <c r="G12597" s="1">
        <v>5</v>
      </c>
    </row>
    <row r="12598" spans="1:7" ht="14.25" customHeight="1" x14ac:dyDescent="0.45">
      <c r="A12598" t="str">
        <f>_xlfn.XLOOKUP(B12598,Ingot!$H$12:$H$119,Ingot!$G$12:$G$119,"")</f>
        <v>Osso</v>
      </c>
      <c r="B12598" t="s">
        <v>25114</v>
      </c>
      <c r="C12598" t="s">
        <v>157</v>
      </c>
      <c r="D12598" t="s">
        <v>25317</v>
      </c>
      <c r="E12598" t="s">
        <v>25318</v>
      </c>
      <c r="G12598" s="1">
        <v>5</v>
      </c>
    </row>
    <row r="12599" spans="1:7" ht="14.25" customHeight="1" x14ac:dyDescent="0.45">
      <c r="A12599" t="str">
        <f>_xlfn.XLOOKUP(B12599,Ingot!$H$12:$H$119,Ingot!$G$12:$G$119,"")</f>
        <v>Osso</v>
      </c>
      <c r="B12599" t="s">
        <v>25114</v>
      </c>
      <c r="C12599" t="s">
        <v>157</v>
      </c>
      <c r="D12599" t="s">
        <v>25319</v>
      </c>
      <c r="E12599" t="s">
        <v>25320</v>
      </c>
      <c r="G12599" s="1">
        <v>10</v>
      </c>
    </row>
    <row r="12600" spans="1:7" ht="14.25" customHeight="1" x14ac:dyDescent="0.45">
      <c r="A12600" t="str">
        <f>_xlfn.XLOOKUP(B12600,Ingot!$H$12:$H$119,Ingot!$G$12:$G$119,"")</f>
        <v>Osso</v>
      </c>
      <c r="B12600" t="s">
        <v>25114</v>
      </c>
      <c r="C12600" t="s">
        <v>157</v>
      </c>
      <c r="D12600" t="s">
        <v>25321</v>
      </c>
      <c r="E12600" t="s">
        <v>25322</v>
      </c>
      <c r="G12600" s="1">
        <v>22</v>
      </c>
    </row>
    <row r="12601" spans="1:7" ht="14.25" customHeight="1" x14ac:dyDescent="0.45">
      <c r="A12601" t="str">
        <f>_xlfn.XLOOKUP(B12601,Ingot!$H$12:$H$119,Ingot!$G$12:$G$119,"")</f>
        <v>Osso</v>
      </c>
      <c r="B12601" t="s">
        <v>25114</v>
      </c>
      <c r="C12601" t="s">
        <v>157</v>
      </c>
      <c r="D12601" t="s">
        <v>25323</v>
      </c>
      <c r="E12601" t="s">
        <v>25324</v>
      </c>
      <c r="G12601" s="1">
        <v>5</v>
      </c>
    </row>
    <row r="12602" spans="1:7" ht="14.25" customHeight="1" x14ac:dyDescent="0.45">
      <c r="A12602" t="str">
        <f>_xlfn.XLOOKUP(B12602,Ingot!$H$12:$H$119,Ingot!$G$12:$G$119,"")</f>
        <v>Osso</v>
      </c>
      <c r="B12602" t="s">
        <v>25114</v>
      </c>
      <c r="C12602" t="s">
        <v>157</v>
      </c>
      <c r="D12602" t="s">
        <v>25325</v>
      </c>
      <c r="E12602" t="s">
        <v>25326</v>
      </c>
      <c r="G12602" s="1">
        <v>5</v>
      </c>
    </row>
    <row r="12603" spans="1:7" ht="14.25" customHeight="1" x14ac:dyDescent="0.45">
      <c r="A12603" t="str">
        <f>_xlfn.XLOOKUP(B12603,Ingot!$H$12:$H$119,Ingot!$G$12:$G$119,"")</f>
        <v>Osso</v>
      </c>
      <c r="B12603" t="s">
        <v>25114</v>
      </c>
      <c r="C12603" t="s">
        <v>157</v>
      </c>
      <c r="D12603" t="s">
        <v>25327</v>
      </c>
      <c r="E12603" t="s">
        <v>25328</v>
      </c>
      <c r="G12603" s="1">
        <v>5</v>
      </c>
    </row>
    <row r="12604" spans="1:7" ht="14.25" customHeight="1" x14ac:dyDescent="0.45">
      <c r="A12604" t="str">
        <f>_xlfn.XLOOKUP(B12604,Ingot!$H$12:$H$119,Ingot!$G$12:$G$119,"")</f>
        <v>Osso</v>
      </c>
      <c r="B12604" t="s">
        <v>25114</v>
      </c>
      <c r="C12604" t="s">
        <v>157</v>
      </c>
      <c r="D12604" t="s">
        <v>25329</v>
      </c>
      <c r="E12604" t="s">
        <v>25330</v>
      </c>
      <c r="G12604" s="1">
        <v>10</v>
      </c>
    </row>
    <row r="12605" spans="1:7" ht="14.25" customHeight="1" x14ac:dyDescent="0.45">
      <c r="A12605" t="str">
        <f>_xlfn.XLOOKUP(B12605,Ingot!$H$12:$H$119,Ingot!$G$12:$G$119,"")</f>
        <v>Osso</v>
      </c>
      <c r="B12605" t="s">
        <v>25114</v>
      </c>
      <c r="C12605" t="s">
        <v>157</v>
      </c>
      <c r="D12605" t="s">
        <v>25331</v>
      </c>
      <c r="E12605" t="s">
        <v>25332</v>
      </c>
      <c r="G12605" s="1">
        <v>16</v>
      </c>
    </row>
    <row r="12606" spans="1:7" ht="14.25" customHeight="1" x14ac:dyDescent="0.45">
      <c r="A12606" t="str">
        <f>_xlfn.XLOOKUP(B12606,Ingot!$H$12:$H$119,Ingot!$G$12:$G$119,"")</f>
        <v>Osso</v>
      </c>
      <c r="B12606" t="s">
        <v>25114</v>
      </c>
      <c r="C12606" t="s">
        <v>157</v>
      </c>
      <c r="D12606" t="s">
        <v>25333</v>
      </c>
      <c r="E12606" t="s">
        <v>25334</v>
      </c>
      <c r="G12606" s="1">
        <v>5</v>
      </c>
    </row>
    <row r="12607" spans="1:7" ht="14.25" customHeight="1" x14ac:dyDescent="0.45">
      <c r="A12607" t="str">
        <f>_xlfn.XLOOKUP(B12607,Ingot!$H$12:$H$119,Ingot!$G$12:$G$119,"")</f>
        <v>Osso</v>
      </c>
      <c r="B12607" t="s">
        <v>25114</v>
      </c>
      <c r="C12607" t="s">
        <v>157</v>
      </c>
      <c r="D12607" t="s">
        <v>25335</v>
      </c>
      <c r="E12607" t="s">
        <v>25336</v>
      </c>
      <c r="G12607" s="1">
        <v>5</v>
      </c>
    </row>
    <row r="12608" spans="1:7" ht="14.25" customHeight="1" x14ac:dyDescent="0.45">
      <c r="A12608" t="str">
        <f>_xlfn.XLOOKUP(B12608,Ingot!$H$12:$H$119,Ingot!$G$12:$G$119,"")</f>
        <v>Osso</v>
      </c>
      <c r="B12608" t="s">
        <v>25114</v>
      </c>
      <c r="C12608" t="s">
        <v>157</v>
      </c>
      <c r="D12608" t="s">
        <v>25337</v>
      </c>
      <c r="E12608" t="s">
        <v>25338</v>
      </c>
      <c r="G12608" s="1">
        <v>5</v>
      </c>
    </row>
    <row r="12609" spans="1:7" ht="14.25" customHeight="1" x14ac:dyDescent="0.45">
      <c r="A12609" t="str">
        <f>_xlfn.XLOOKUP(B12609,Ingot!$H$12:$H$119,Ingot!$G$12:$G$119,"")</f>
        <v>Osso</v>
      </c>
      <c r="B12609" t="s">
        <v>25114</v>
      </c>
      <c r="C12609" t="s">
        <v>157</v>
      </c>
      <c r="D12609" t="s">
        <v>25339</v>
      </c>
      <c r="E12609" t="s">
        <v>25340</v>
      </c>
      <c r="G12609" s="1">
        <v>10</v>
      </c>
    </row>
    <row r="12610" spans="1:7" ht="14.25" customHeight="1" x14ac:dyDescent="0.45">
      <c r="A12610" t="str">
        <f>_xlfn.XLOOKUP(B12610,Ingot!$H$12:$H$119,Ingot!$G$12:$G$119,"")</f>
        <v>Osso</v>
      </c>
      <c r="B12610" t="s">
        <v>25114</v>
      </c>
      <c r="C12610" t="s">
        <v>239</v>
      </c>
      <c r="D12610" t="s">
        <v>25341</v>
      </c>
      <c r="E12610" t="s">
        <v>25342</v>
      </c>
    </row>
    <row r="12611" spans="1:7" ht="14.25" customHeight="1" x14ac:dyDescent="0.45">
      <c r="A12611" t="str">
        <f>_xlfn.XLOOKUP(B12611,Ingot!$H$12:$H$119,Ingot!$G$12:$G$119,"")</f>
        <v>Osso</v>
      </c>
      <c r="B12611" t="s">
        <v>25114</v>
      </c>
      <c r="C12611" t="s">
        <v>239</v>
      </c>
      <c r="D12611" t="s">
        <v>25343</v>
      </c>
      <c r="E12611" t="s">
        <v>25344</v>
      </c>
    </row>
    <row r="12612" spans="1:7" ht="14.25" customHeight="1" x14ac:dyDescent="0.45">
      <c r="A12612" t="str">
        <f>_xlfn.XLOOKUP(B12612,Ingot!$H$12:$H$119,Ingot!$G$12:$G$119,"")</f>
        <v>Osso</v>
      </c>
      <c r="B12612" t="s">
        <v>25114</v>
      </c>
      <c r="C12612" t="s">
        <v>239</v>
      </c>
      <c r="D12612" t="s">
        <v>25345</v>
      </c>
      <c r="E12612" t="s">
        <v>25346</v>
      </c>
    </row>
    <row r="12613" spans="1:7" ht="14.25" customHeight="1" x14ac:dyDescent="0.45">
      <c r="A12613" t="str">
        <f>_xlfn.XLOOKUP(B12613,Ingot!$H$12:$H$119,Ingot!$G$12:$G$119,"")</f>
        <v>Osso</v>
      </c>
      <c r="B12613" t="s">
        <v>25114</v>
      </c>
      <c r="C12613" t="s">
        <v>239</v>
      </c>
      <c r="D12613" t="s">
        <v>25347</v>
      </c>
      <c r="E12613" t="s">
        <v>25348</v>
      </c>
    </row>
    <row r="12614" spans="1:7" ht="14.25" customHeight="1" x14ac:dyDescent="0.45">
      <c r="A12614" t="str">
        <f>_xlfn.XLOOKUP(B12614,Ingot!$H$12:$H$119,Ingot!$G$12:$G$119,"")</f>
        <v>Osso</v>
      </c>
      <c r="B12614" t="s">
        <v>25114</v>
      </c>
      <c r="C12614" t="s">
        <v>239</v>
      </c>
      <c r="D12614" t="s">
        <v>25349</v>
      </c>
      <c r="E12614" t="s">
        <v>25350</v>
      </c>
    </row>
    <row r="12615" spans="1:7" ht="14.25" customHeight="1" x14ac:dyDescent="0.45">
      <c r="A12615" t="str">
        <f>_xlfn.XLOOKUP(B12615,Ingot!$H$12:$H$119,Ingot!$G$12:$G$119,"")</f>
        <v>Osso</v>
      </c>
      <c r="B12615" t="s">
        <v>25114</v>
      </c>
      <c r="C12615" t="s">
        <v>239</v>
      </c>
      <c r="D12615" t="s">
        <v>25351</v>
      </c>
      <c r="E12615" t="s">
        <v>25352</v>
      </c>
    </row>
    <row r="12616" spans="1:7" ht="14.25" customHeight="1" x14ac:dyDescent="0.45">
      <c r="A12616" t="str">
        <f>_xlfn.XLOOKUP(B12616,Ingot!$H$12:$H$119,Ingot!$G$12:$G$119,"")</f>
        <v>Osso</v>
      </c>
      <c r="B12616" t="s">
        <v>25353</v>
      </c>
      <c r="C12616" t="s">
        <v>10</v>
      </c>
      <c r="D12616" t="s">
        <v>25354</v>
      </c>
      <c r="E12616" t="s">
        <v>25355</v>
      </c>
      <c r="G12616" s="1">
        <v>0.08</v>
      </c>
    </row>
    <row r="12617" spans="1:7" ht="14.25" customHeight="1" x14ac:dyDescent="0.45">
      <c r="A12617" t="str">
        <f>_xlfn.XLOOKUP(B12617,Ingot!$H$12:$H$119,Ingot!$G$12:$G$119,"")</f>
        <v>Osso</v>
      </c>
      <c r="B12617" t="s">
        <v>25353</v>
      </c>
      <c r="C12617" t="s">
        <v>10</v>
      </c>
      <c r="D12617" t="s">
        <v>25356</v>
      </c>
      <c r="E12617" t="s">
        <v>25357</v>
      </c>
      <c r="G12617" s="1">
        <v>9.9</v>
      </c>
    </row>
    <row r="12618" spans="1:7" ht="14.25" customHeight="1" x14ac:dyDescent="0.45">
      <c r="A12618" t="str">
        <f>_xlfn.XLOOKUP(B12618,Ingot!$H$12:$H$119,Ingot!$G$12:$G$119,"")</f>
        <v>Osso</v>
      </c>
      <c r="B12618" t="s">
        <v>25353</v>
      </c>
      <c r="C12618" t="s">
        <v>10</v>
      </c>
      <c r="D12618" t="s">
        <v>25358</v>
      </c>
      <c r="E12618" t="s">
        <v>25359</v>
      </c>
      <c r="G12618" s="1">
        <v>5.66</v>
      </c>
    </row>
    <row r="12619" spans="1:7" ht="14.25" customHeight="1" x14ac:dyDescent="0.45">
      <c r="A12619" t="str">
        <f>_xlfn.XLOOKUP(B12619,Ingot!$H$12:$H$119,Ingot!$G$12:$G$119,"")</f>
        <v>Osso</v>
      </c>
      <c r="B12619" t="s">
        <v>25353</v>
      </c>
      <c r="C12619" t="s">
        <v>10</v>
      </c>
      <c r="D12619" t="s">
        <v>25360</v>
      </c>
      <c r="E12619" t="s">
        <v>25361</v>
      </c>
      <c r="G12619" s="1">
        <v>3.3</v>
      </c>
    </row>
    <row r="12620" spans="1:7" ht="14.25" customHeight="1" x14ac:dyDescent="0.45">
      <c r="A12620" t="str">
        <f>_xlfn.XLOOKUP(B12620,Ingot!$H$12:$H$119,Ingot!$G$12:$G$119,"")</f>
        <v>Osso</v>
      </c>
      <c r="B12620" t="s">
        <v>25353</v>
      </c>
      <c r="C12620" t="s">
        <v>10</v>
      </c>
      <c r="D12620" t="s">
        <v>25362</v>
      </c>
      <c r="E12620" t="s">
        <v>25363</v>
      </c>
      <c r="G12620" s="1">
        <v>0.66</v>
      </c>
    </row>
    <row r="12621" spans="1:7" ht="14.25" customHeight="1" x14ac:dyDescent="0.45">
      <c r="A12621" t="str">
        <f>_xlfn.XLOOKUP(B12621,Ingot!$H$12:$H$119,Ingot!$G$12:$G$119,"")</f>
        <v>Osso</v>
      </c>
      <c r="B12621" t="s">
        <v>25353</v>
      </c>
      <c r="C12621" t="s">
        <v>10</v>
      </c>
      <c r="D12621" t="s">
        <v>25364</v>
      </c>
      <c r="E12621" t="s">
        <v>25365</v>
      </c>
      <c r="G12621" s="1">
        <v>0.04</v>
      </c>
    </row>
    <row r="12622" spans="1:7" ht="14.25" customHeight="1" x14ac:dyDescent="0.45">
      <c r="A12622" t="str">
        <f>_xlfn.XLOOKUP(B12622,Ingot!$H$12:$H$119,Ingot!$G$12:$G$119,"")</f>
        <v>Osso</v>
      </c>
      <c r="B12622" t="s">
        <v>25353</v>
      </c>
      <c r="C12622" t="s">
        <v>10</v>
      </c>
      <c r="D12622" t="s">
        <v>25366</v>
      </c>
      <c r="E12622" t="s">
        <v>25367</v>
      </c>
      <c r="G12622" s="1">
        <v>0.33</v>
      </c>
    </row>
    <row r="12623" spans="1:7" ht="14.25" customHeight="1" x14ac:dyDescent="0.45">
      <c r="A12623" t="str">
        <f>_xlfn.XLOOKUP(B12623,Ingot!$H$12:$H$119,Ingot!$G$12:$G$119,"")</f>
        <v>Osso</v>
      </c>
      <c r="B12623" t="s">
        <v>25353</v>
      </c>
      <c r="C12623" t="s">
        <v>10</v>
      </c>
      <c r="D12623" t="s">
        <v>25368</v>
      </c>
      <c r="E12623" t="s">
        <v>25369</v>
      </c>
    </row>
    <row r="12624" spans="1:7" ht="14.25" customHeight="1" x14ac:dyDescent="0.45">
      <c r="A12624" t="str">
        <f>_xlfn.XLOOKUP(B12624,Ingot!$H$12:$H$119,Ingot!$G$12:$G$119,"")</f>
        <v>Osso</v>
      </c>
      <c r="B12624" t="s">
        <v>25353</v>
      </c>
      <c r="C12624" t="s">
        <v>10</v>
      </c>
      <c r="D12624" t="s">
        <v>25370</v>
      </c>
      <c r="E12624" t="s">
        <v>25371</v>
      </c>
      <c r="G12624" s="1">
        <v>0.05</v>
      </c>
    </row>
    <row r="12625" spans="1:7" ht="14.25" customHeight="1" x14ac:dyDescent="0.45">
      <c r="A12625" t="str">
        <f>_xlfn.XLOOKUP(B12625,Ingot!$H$12:$H$119,Ingot!$G$12:$G$119,"")</f>
        <v>Osso</v>
      </c>
      <c r="B12625" t="s">
        <v>25353</v>
      </c>
      <c r="C12625" t="s">
        <v>10</v>
      </c>
      <c r="D12625" t="s">
        <v>25372</v>
      </c>
      <c r="E12625" t="s">
        <v>25373</v>
      </c>
      <c r="G12625" s="1">
        <v>0.66</v>
      </c>
    </row>
    <row r="12626" spans="1:7" ht="14.25" customHeight="1" x14ac:dyDescent="0.45">
      <c r="A12626" t="str">
        <f>_xlfn.XLOOKUP(B12626,Ingot!$H$12:$H$119,Ingot!$G$12:$G$119,"")</f>
        <v>Osso</v>
      </c>
      <c r="B12626" t="s">
        <v>25353</v>
      </c>
      <c r="C12626" t="s">
        <v>10</v>
      </c>
      <c r="D12626" t="s">
        <v>25374</v>
      </c>
      <c r="E12626" t="s">
        <v>25375</v>
      </c>
      <c r="G12626" s="1">
        <v>3.96</v>
      </c>
    </row>
    <row r="12627" spans="1:7" ht="14.25" customHeight="1" x14ac:dyDescent="0.45">
      <c r="A12627" t="str">
        <f>_xlfn.XLOOKUP(B12627,Ingot!$H$12:$H$119,Ingot!$G$12:$G$119,"")</f>
        <v>Osso</v>
      </c>
      <c r="B12627" t="s">
        <v>25353</v>
      </c>
      <c r="C12627" t="s">
        <v>10</v>
      </c>
      <c r="D12627" t="s">
        <v>25376</v>
      </c>
      <c r="E12627" t="s">
        <v>25377</v>
      </c>
      <c r="G12627" s="1">
        <v>8.77</v>
      </c>
    </row>
    <row r="12628" spans="1:7" ht="14.25" customHeight="1" x14ac:dyDescent="0.45">
      <c r="A12628" t="str">
        <f>_xlfn.XLOOKUP(B12628,Ingot!$H$12:$H$119,Ingot!$G$12:$G$119,"")</f>
        <v>Osso</v>
      </c>
      <c r="B12628" t="s">
        <v>25353</v>
      </c>
      <c r="C12628" t="s">
        <v>10</v>
      </c>
      <c r="D12628" t="s">
        <v>25378</v>
      </c>
      <c r="E12628" t="s">
        <v>25379</v>
      </c>
      <c r="G12628" s="1">
        <v>3.5</v>
      </c>
    </row>
    <row r="12629" spans="1:7" ht="14.25" customHeight="1" x14ac:dyDescent="0.45">
      <c r="A12629" t="str">
        <f>_xlfn.XLOOKUP(B12629,Ingot!$H$12:$H$119,Ingot!$G$12:$G$119,"")</f>
        <v>Osso</v>
      </c>
      <c r="B12629" t="s">
        <v>25353</v>
      </c>
      <c r="C12629" t="s">
        <v>10</v>
      </c>
      <c r="D12629" t="s">
        <v>25380</v>
      </c>
      <c r="E12629" t="s">
        <v>25381</v>
      </c>
    </row>
    <row r="12630" spans="1:7" ht="14.25" customHeight="1" x14ac:dyDescent="0.45">
      <c r="A12630" t="str">
        <f>_xlfn.XLOOKUP(B12630,Ingot!$H$12:$H$119,Ingot!$G$12:$G$119,"")</f>
        <v>Osso</v>
      </c>
      <c r="B12630" t="s">
        <v>25353</v>
      </c>
      <c r="C12630" t="s">
        <v>10</v>
      </c>
      <c r="D12630" t="s">
        <v>25382</v>
      </c>
      <c r="E12630" t="s">
        <v>25383</v>
      </c>
      <c r="G12630" s="1">
        <v>2.2000000000000002</v>
      </c>
    </row>
    <row r="12631" spans="1:7" ht="14.25" customHeight="1" x14ac:dyDescent="0.45">
      <c r="A12631" t="str">
        <f>_xlfn.XLOOKUP(B12631,Ingot!$H$12:$H$119,Ingot!$G$12:$G$119,"")</f>
        <v>Osso</v>
      </c>
      <c r="B12631" t="s">
        <v>25353</v>
      </c>
      <c r="C12631" t="s">
        <v>10</v>
      </c>
      <c r="D12631" t="s">
        <v>25384</v>
      </c>
      <c r="E12631" t="s">
        <v>25385</v>
      </c>
      <c r="G12631" s="1">
        <v>1.1000000000000001</v>
      </c>
    </row>
    <row r="12632" spans="1:7" ht="14.25" customHeight="1" x14ac:dyDescent="0.45">
      <c r="A12632" t="str">
        <f>_xlfn.XLOOKUP(B12632,Ingot!$H$12:$H$119,Ingot!$G$12:$G$119,"")</f>
        <v>Osso</v>
      </c>
      <c r="B12632" t="s">
        <v>25353</v>
      </c>
      <c r="C12632" t="s">
        <v>10</v>
      </c>
      <c r="D12632" t="s">
        <v>25386</v>
      </c>
      <c r="E12632" t="s">
        <v>25387</v>
      </c>
      <c r="G12632" s="1">
        <v>0.22</v>
      </c>
    </row>
    <row r="12633" spans="1:7" ht="14.25" customHeight="1" x14ac:dyDescent="0.45">
      <c r="A12633" t="str">
        <f>_xlfn.XLOOKUP(B12633,Ingot!$H$12:$H$119,Ingot!$G$12:$G$119,"")</f>
        <v>Osso</v>
      </c>
      <c r="B12633" t="s">
        <v>25353</v>
      </c>
      <c r="C12633" t="s">
        <v>10</v>
      </c>
      <c r="D12633" t="s">
        <v>25388</v>
      </c>
      <c r="E12633" t="s">
        <v>25389</v>
      </c>
      <c r="G12633" s="1">
        <v>8.41</v>
      </c>
    </row>
    <row r="12634" spans="1:7" ht="14.25" customHeight="1" x14ac:dyDescent="0.45">
      <c r="A12634" t="str">
        <f>_xlfn.XLOOKUP(B12634,Ingot!$H$12:$H$119,Ingot!$G$12:$G$119,"")</f>
        <v>Osso</v>
      </c>
      <c r="B12634" t="s">
        <v>25353</v>
      </c>
      <c r="C12634" t="s">
        <v>10</v>
      </c>
      <c r="D12634" t="s">
        <v>25390</v>
      </c>
      <c r="E12634" t="s">
        <v>25391</v>
      </c>
      <c r="G12634" s="1">
        <v>3.64</v>
      </c>
    </row>
    <row r="12635" spans="1:7" ht="14.25" customHeight="1" x14ac:dyDescent="0.45">
      <c r="A12635" t="str">
        <f>_xlfn.XLOOKUP(B12635,Ingot!$H$12:$H$119,Ingot!$G$12:$G$119,"")</f>
        <v>Osso</v>
      </c>
      <c r="B12635" t="s">
        <v>25353</v>
      </c>
      <c r="C12635" t="s">
        <v>10</v>
      </c>
      <c r="D12635" t="s">
        <v>25392</v>
      </c>
      <c r="E12635" t="s">
        <v>25393</v>
      </c>
      <c r="G12635" s="1">
        <v>7.05</v>
      </c>
    </row>
    <row r="12636" spans="1:7" ht="14.25" customHeight="1" x14ac:dyDescent="0.45">
      <c r="A12636" t="str">
        <f>_xlfn.XLOOKUP(B12636,Ingot!$H$12:$H$119,Ingot!$G$12:$G$119,"")</f>
        <v>Osso</v>
      </c>
      <c r="B12636" t="s">
        <v>25353</v>
      </c>
      <c r="C12636" t="s">
        <v>10</v>
      </c>
      <c r="D12636" t="s">
        <v>25394</v>
      </c>
      <c r="E12636" t="s">
        <v>25395</v>
      </c>
      <c r="G12636" s="1">
        <v>2.65</v>
      </c>
    </row>
    <row r="12637" spans="1:7" ht="14.25" customHeight="1" x14ac:dyDescent="0.45">
      <c r="A12637" t="str">
        <f>_xlfn.XLOOKUP(B12637,Ingot!$H$12:$H$119,Ingot!$G$12:$G$119,"")</f>
        <v>Osso</v>
      </c>
      <c r="B12637" t="s">
        <v>25353</v>
      </c>
      <c r="C12637" t="s">
        <v>10</v>
      </c>
      <c r="D12637" t="s">
        <v>25396</v>
      </c>
      <c r="E12637" t="s">
        <v>25397</v>
      </c>
      <c r="G12637" s="1">
        <v>9</v>
      </c>
    </row>
    <row r="12638" spans="1:7" ht="14.25" customHeight="1" x14ac:dyDescent="0.45">
      <c r="A12638" t="str">
        <f>_xlfn.XLOOKUP(B12638,Ingot!$H$12:$H$119,Ingot!$G$12:$G$119,"")</f>
        <v>Osso</v>
      </c>
      <c r="B12638" t="s">
        <v>25353</v>
      </c>
      <c r="C12638" t="s">
        <v>10</v>
      </c>
      <c r="D12638" t="s">
        <v>25398</v>
      </c>
      <c r="E12638" t="s">
        <v>25399</v>
      </c>
      <c r="G12638" s="1">
        <v>10.23</v>
      </c>
    </row>
    <row r="12639" spans="1:7" ht="14.25" customHeight="1" x14ac:dyDescent="0.45">
      <c r="A12639" t="str">
        <f>_xlfn.XLOOKUP(B12639,Ingot!$H$12:$H$119,Ingot!$G$12:$G$119,"")</f>
        <v>Osso</v>
      </c>
      <c r="B12639" t="s">
        <v>25353</v>
      </c>
      <c r="C12639" t="s">
        <v>10</v>
      </c>
      <c r="D12639" t="s">
        <v>25400</v>
      </c>
      <c r="E12639" t="s">
        <v>25401</v>
      </c>
      <c r="G12639" s="1">
        <v>7.7</v>
      </c>
    </row>
    <row r="12640" spans="1:7" ht="14.25" customHeight="1" x14ac:dyDescent="0.45">
      <c r="A12640" t="str">
        <f>_xlfn.XLOOKUP(B12640,Ingot!$H$12:$H$119,Ingot!$G$12:$G$119,"")</f>
        <v>Osso</v>
      </c>
      <c r="B12640" t="s">
        <v>25353</v>
      </c>
      <c r="C12640" t="s">
        <v>10</v>
      </c>
      <c r="D12640" t="s">
        <v>25402</v>
      </c>
      <c r="E12640" t="s">
        <v>25403</v>
      </c>
      <c r="G12640" s="1">
        <v>10.02</v>
      </c>
    </row>
    <row r="12641" spans="1:7" ht="14.25" customHeight="1" x14ac:dyDescent="0.45">
      <c r="A12641" t="str">
        <f>_xlfn.XLOOKUP(B12641,Ingot!$H$12:$H$119,Ingot!$G$12:$G$119,"")</f>
        <v>Osso</v>
      </c>
      <c r="B12641" t="s">
        <v>25353</v>
      </c>
      <c r="C12641" t="s">
        <v>10</v>
      </c>
      <c r="D12641" t="s">
        <v>25404</v>
      </c>
      <c r="E12641" t="s">
        <v>25405</v>
      </c>
      <c r="G12641" s="1">
        <v>11.81</v>
      </c>
    </row>
    <row r="12642" spans="1:7" ht="14.25" customHeight="1" x14ac:dyDescent="0.45">
      <c r="A12642" t="str">
        <f>_xlfn.XLOOKUP(B12642,Ingot!$H$12:$H$119,Ingot!$G$12:$G$119,"")</f>
        <v>Osso</v>
      </c>
      <c r="B12642" t="s">
        <v>25353</v>
      </c>
      <c r="C12642" t="s">
        <v>10</v>
      </c>
      <c r="D12642" t="s">
        <v>25406</v>
      </c>
      <c r="E12642" t="s">
        <v>25407</v>
      </c>
      <c r="G12642" s="1">
        <v>8.44</v>
      </c>
    </row>
    <row r="12643" spans="1:7" ht="14.25" customHeight="1" x14ac:dyDescent="0.45">
      <c r="A12643" t="str">
        <f>_xlfn.XLOOKUP(B12643,Ingot!$H$12:$H$119,Ingot!$G$12:$G$119,"")</f>
        <v>Osso</v>
      </c>
      <c r="B12643" t="s">
        <v>25353</v>
      </c>
      <c r="C12643" t="s">
        <v>10</v>
      </c>
      <c r="D12643" t="s">
        <v>25408</v>
      </c>
      <c r="E12643" t="s">
        <v>25409</v>
      </c>
      <c r="G12643" s="1">
        <v>10.42</v>
      </c>
    </row>
    <row r="12644" spans="1:7" ht="14.25" customHeight="1" x14ac:dyDescent="0.45">
      <c r="A12644" t="str">
        <f>_xlfn.XLOOKUP(B12644,Ingot!$H$12:$H$119,Ingot!$G$12:$G$119,"")</f>
        <v>Osso</v>
      </c>
      <c r="B12644" t="s">
        <v>25353</v>
      </c>
      <c r="C12644" t="s">
        <v>10</v>
      </c>
      <c r="D12644" t="s">
        <v>25410</v>
      </c>
      <c r="E12644" t="s">
        <v>25411</v>
      </c>
    </row>
    <row r="12645" spans="1:7" ht="14.25" customHeight="1" x14ac:dyDescent="0.45">
      <c r="A12645" t="str">
        <f>_xlfn.XLOOKUP(B12645,Ingot!$H$12:$H$119,Ingot!$G$12:$G$119,"")</f>
        <v>Osso</v>
      </c>
      <c r="B12645" t="s">
        <v>25353</v>
      </c>
      <c r="C12645" t="s">
        <v>10</v>
      </c>
      <c r="D12645" t="s">
        <v>25412</v>
      </c>
      <c r="E12645" t="s">
        <v>25413</v>
      </c>
      <c r="G12645" s="1">
        <v>7.96</v>
      </c>
    </row>
    <row r="12646" spans="1:7" ht="14.25" customHeight="1" x14ac:dyDescent="0.45">
      <c r="A12646" t="str">
        <f>_xlfn.XLOOKUP(B12646,Ingot!$H$12:$H$119,Ingot!$G$12:$G$119,"")</f>
        <v>Osso</v>
      </c>
      <c r="B12646" t="s">
        <v>25353</v>
      </c>
      <c r="C12646" t="s">
        <v>10</v>
      </c>
      <c r="D12646" t="s">
        <v>25414</v>
      </c>
      <c r="E12646" t="s">
        <v>25415</v>
      </c>
      <c r="G12646" s="1">
        <v>9.64</v>
      </c>
    </row>
    <row r="12647" spans="1:7" ht="14.25" customHeight="1" x14ac:dyDescent="0.45">
      <c r="A12647" t="str">
        <f>_xlfn.XLOOKUP(B12647,Ingot!$H$12:$H$119,Ingot!$G$12:$G$119,"")</f>
        <v>Osso</v>
      </c>
      <c r="B12647" t="s">
        <v>25353</v>
      </c>
      <c r="C12647" t="s">
        <v>10</v>
      </c>
      <c r="D12647" t="s">
        <v>25416</v>
      </c>
      <c r="E12647" t="s">
        <v>25417</v>
      </c>
      <c r="G12647" s="1">
        <v>7.94</v>
      </c>
    </row>
    <row r="12648" spans="1:7" ht="14.25" customHeight="1" x14ac:dyDescent="0.45">
      <c r="A12648" t="str">
        <f>_xlfn.XLOOKUP(B12648,Ingot!$H$12:$H$119,Ingot!$G$12:$G$119,"")</f>
        <v>Osso</v>
      </c>
      <c r="B12648" t="s">
        <v>25353</v>
      </c>
      <c r="C12648" t="s">
        <v>10</v>
      </c>
      <c r="D12648" t="s">
        <v>25418</v>
      </c>
      <c r="E12648" t="s">
        <v>25419</v>
      </c>
      <c r="G12648" s="1">
        <v>8.66</v>
      </c>
    </row>
    <row r="12649" spans="1:7" ht="14.25" customHeight="1" x14ac:dyDescent="0.45">
      <c r="A12649" t="str">
        <f>_xlfn.XLOOKUP(B12649,Ingot!$H$12:$H$119,Ingot!$G$12:$G$119,"")</f>
        <v>Osso</v>
      </c>
      <c r="B12649" t="s">
        <v>25353</v>
      </c>
      <c r="C12649" t="s">
        <v>10</v>
      </c>
      <c r="D12649" t="s">
        <v>25420</v>
      </c>
      <c r="E12649" t="s">
        <v>25421</v>
      </c>
    </row>
    <row r="12650" spans="1:7" ht="14.25" customHeight="1" x14ac:dyDescent="0.45">
      <c r="A12650" t="str">
        <f>_xlfn.XLOOKUP(B12650,Ingot!$H$12:$H$119,Ingot!$G$12:$G$119,"")</f>
        <v>Osso</v>
      </c>
      <c r="B12650" t="s">
        <v>25353</v>
      </c>
      <c r="C12650" t="s">
        <v>10</v>
      </c>
      <c r="D12650" t="s">
        <v>25422</v>
      </c>
      <c r="E12650" t="s">
        <v>25423</v>
      </c>
      <c r="G12650" s="1">
        <v>2.65</v>
      </c>
    </row>
    <row r="12651" spans="1:7" ht="14.25" customHeight="1" x14ac:dyDescent="0.45">
      <c r="A12651" t="str">
        <f>_xlfn.XLOOKUP(B12651,Ingot!$H$12:$H$119,Ingot!$G$12:$G$119,"")</f>
        <v>Osso</v>
      </c>
      <c r="B12651" t="s">
        <v>25353</v>
      </c>
      <c r="C12651" t="s">
        <v>10</v>
      </c>
      <c r="D12651" t="s">
        <v>25424</v>
      </c>
      <c r="E12651" t="s">
        <v>25425</v>
      </c>
    </row>
    <row r="12652" spans="1:7" ht="14.25" customHeight="1" x14ac:dyDescent="0.45">
      <c r="A12652" t="str">
        <f>_xlfn.XLOOKUP(B12652,Ingot!$H$12:$H$119,Ingot!$G$12:$G$119,"")</f>
        <v>Osso</v>
      </c>
      <c r="B12652" t="s">
        <v>25353</v>
      </c>
      <c r="C12652" t="s">
        <v>10</v>
      </c>
      <c r="D12652" t="s">
        <v>25426</v>
      </c>
      <c r="E12652" t="s">
        <v>25427</v>
      </c>
      <c r="G12652" s="1">
        <v>12.64</v>
      </c>
    </row>
    <row r="12653" spans="1:7" ht="14.25" customHeight="1" x14ac:dyDescent="0.45">
      <c r="A12653" t="str">
        <f>_xlfn.XLOOKUP(B12653,Ingot!$H$12:$H$119,Ingot!$G$12:$G$119,"")</f>
        <v>Osso</v>
      </c>
      <c r="B12653" t="s">
        <v>25353</v>
      </c>
      <c r="C12653" t="s">
        <v>10</v>
      </c>
      <c r="D12653" t="s">
        <v>25428</v>
      </c>
      <c r="E12653" t="s">
        <v>25429</v>
      </c>
      <c r="G12653" s="1">
        <v>22.67</v>
      </c>
    </row>
    <row r="12654" spans="1:7" ht="14.25" customHeight="1" x14ac:dyDescent="0.45">
      <c r="A12654" t="str">
        <f>_xlfn.XLOOKUP(B12654,Ingot!$H$12:$H$119,Ingot!$G$12:$G$119,"")</f>
        <v>Osso</v>
      </c>
      <c r="B12654" t="s">
        <v>25353</v>
      </c>
      <c r="C12654" t="s">
        <v>10</v>
      </c>
      <c r="D12654" t="s">
        <v>25430</v>
      </c>
      <c r="E12654" t="s">
        <v>25431</v>
      </c>
      <c r="G12654" s="1">
        <v>8.3800000000000008</v>
      </c>
    </row>
    <row r="12655" spans="1:7" ht="14.25" customHeight="1" x14ac:dyDescent="0.45">
      <c r="A12655" t="str">
        <f>_xlfn.XLOOKUP(B12655,Ingot!$H$12:$H$119,Ingot!$G$12:$G$119,"")</f>
        <v>Osso</v>
      </c>
      <c r="B12655" t="s">
        <v>25353</v>
      </c>
      <c r="C12655" t="s">
        <v>10</v>
      </c>
      <c r="D12655" t="s">
        <v>25432</v>
      </c>
      <c r="E12655" t="s">
        <v>25433</v>
      </c>
      <c r="G12655" s="1">
        <v>2.2000000000000002</v>
      </c>
    </row>
    <row r="12656" spans="1:7" ht="14.25" customHeight="1" x14ac:dyDescent="0.45">
      <c r="A12656" t="str">
        <f>_xlfn.XLOOKUP(B12656,Ingot!$H$12:$H$119,Ingot!$G$12:$G$119,"")</f>
        <v>Osso</v>
      </c>
      <c r="B12656" t="s">
        <v>25353</v>
      </c>
      <c r="C12656" t="s">
        <v>10</v>
      </c>
      <c r="D12656" t="s">
        <v>25434</v>
      </c>
      <c r="E12656" t="s">
        <v>25435</v>
      </c>
      <c r="G12656" s="1">
        <v>3.09</v>
      </c>
    </row>
    <row r="12657" spans="1:7" ht="14.25" customHeight="1" x14ac:dyDescent="0.45">
      <c r="A12657" t="str">
        <f>_xlfn.XLOOKUP(B12657,Ingot!$H$12:$H$119,Ingot!$G$12:$G$119,"")</f>
        <v>Osso</v>
      </c>
      <c r="B12657" t="s">
        <v>25353</v>
      </c>
      <c r="C12657" t="s">
        <v>10</v>
      </c>
      <c r="D12657" t="s">
        <v>25436</v>
      </c>
      <c r="E12657" t="s">
        <v>25437</v>
      </c>
      <c r="G12657" s="1">
        <v>2.2999999999999998</v>
      </c>
    </row>
    <row r="12658" spans="1:7" ht="14.25" customHeight="1" x14ac:dyDescent="0.45">
      <c r="A12658" t="str">
        <f>_xlfn.XLOOKUP(B12658,Ingot!$H$12:$H$119,Ingot!$G$12:$G$119,"")</f>
        <v>Osso</v>
      </c>
      <c r="B12658" t="s">
        <v>25353</v>
      </c>
      <c r="C12658" t="s">
        <v>10</v>
      </c>
      <c r="D12658" t="s">
        <v>25438</v>
      </c>
      <c r="E12658" t="s">
        <v>25439</v>
      </c>
      <c r="G12658" s="1">
        <v>4.88</v>
      </c>
    </row>
    <row r="12659" spans="1:7" ht="14.25" customHeight="1" x14ac:dyDescent="0.45">
      <c r="A12659" t="str">
        <f>_xlfn.XLOOKUP(B12659,Ingot!$H$12:$H$119,Ingot!$G$12:$G$119,"")</f>
        <v>Osso</v>
      </c>
      <c r="B12659" t="s">
        <v>25353</v>
      </c>
      <c r="C12659" t="s">
        <v>10</v>
      </c>
      <c r="D12659" t="s">
        <v>25440</v>
      </c>
      <c r="E12659" t="s">
        <v>25441</v>
      </c>
      <c r="G12659" s="1">
        <v>8.43</v>
      </c>
    </row>
    <row r="12660" spans="1:7" ht="14.25" customHeight="1" x14ac:dyDescent="0.45">
      <c r="A12660" t="str">
        <f>_xlfn.XLOOKUP(B12660,Ingot!$H$12:$H$119,Ingot!$G$12:$G$119,"")</f>
        <v>Osso</v>
      </c>
      <c r="B12660" t="s">
        <v>25353</v>
      </c>
      <c r="C12660" t="s">
        <v>10</v>
      </c>
      <c r="D12660" t="s">
        <v>25442</v>
      </c>
      <c r="E12660" t="s">
        <v>25443</v>
      </c>
      <c r="G12660" s="1">
        <v>13.07</v>
      </c>
    </row>
    <row r="12661" spans="1:7" ht="14.25" customHeight="1" x14ac:dyDescent="0.45">
      <c r="A12661" t="str">
        <f>_xlfn.XLOOKUP(B12661,Ingot!$H$12:$H$119,Ingot!$G$12:$G$119,"")</f>
        <v>Osso</v>
      </c>
      <c r="B12661" t="s">
        <v>25353</v>
      </c>
      <c r="C12661" t="s">
        <v>10</v>
      </c>
      <c r="D12661" t="s">
        <v>25444</v>
      </c>
      <c r="E12661" t="s">
        <v>25445</v>
      </c>
    </row>
    <row r="12662" spans="1:7" ht="14.25" customHeight="1" x14ac:dyDescent="0.45">
      <c r="A12662" t="str">
        <f>_xlfn.XLOOKUP(B12662,Ingot!$H$12:$H$119,Ingot!$G$12:$G$119,"")</f>
        <v>Osso</v>
      </c>
      <c r="B12662" t="s">
        <v>25353</v>
      </c>
      <c r="C12662" t="s">
        <v>10</v>
      </c>
      <c r="D12662" t="s">
        <v>25446</v>
      </c>
      <c r="E12662" t="s">
        <v>25447</v>
      </c>
    </row>
    <row r="12663" spans="1:7" ht="14.25" customHeight="1" x14ac:dyDescent="0.45">
      <c r="A12663" t="str">
        <f>_xlfn.XLOOKUP(B12663,Ingot!$H$12:$H$119,Ingot!$G$12:$G$119,"")</f>
        <v>Osso</v>
      </c>
      <c r="B12663" t="s">
        <v>25353</v>
      </c>
      <c r="C12663" t="s">
        <v>10</v>
      </c>
      <c r="D12663" t="s">
        <v>25448</v>
      </c>
      <c r="E12663" t="s">
        <v>25449</v>
      </c>
      <c r="G12663" s="1">
        <v>6.8</v>
      </c>
    </row>
    <row r="12664" spans="1:7" ht="14.25" customHeight="1" x14ac:dyDescent="0.45">
      <c r="A12664" t="str">
        <f>_xlfn.XLOOKUP(B12664,Ingot!$H$12:$H$119,Ingot!$G$12:$G$119,"")</f>
        <v>Osso</v>
      </c>
      <c r="B12664" t="s">
        <v>25353</v>
      </c>
      <c r="C12664" t="s">
        <v>10</v>
      </c>
      <c r="D12664" t="s">
        <v>25450</v>
      </c>
      <c r="E12664" t="s">
        <v>25451</v>
      </c>
      <c r="G12664" s="1">
        <v>6.88</v>
      </c>
    </row>
    <row r="12665" spans="1:7" ht="14.25" customHeight="1" x14ac:dyDescent="0.45">
      <c r="A12665" t="str">
        <f>_xlfn.XLOOKUP(B12665,Ingot!$H$12:$H$119,Ingot!$G$12:$G$119,"")</f>
        <v>Osso</v>
      </c>
      <c r="B12665" t="s">
        <v>25353</v>
      </c>
      <c r="C12665" t="s">
        <v>10</v>
      </c>
      <c r="D12665" t="s">
        <v>25452</v>
      </c>
      <c r="E12665" t="s">
        <v>25453</v>
      </c>
      <c r="G12665" s="1">
        <v>5.5</v>
      </c>
    </row>
    <row r="12666" spans="1:7" ht="14.25" customHeight="1" x14ac:dyDescent="0.45">
      <c r="A12666" t="str">
        <f>_xlfn.XLOOKUP(B12666,Ingot!$H$12:$H$119,Ingot!$G$12:$G$119,"")</f>
        <v>Osso</v>
      </c>
      <c r="B12666" t="s">
        <v>25353</v>
      </c>
      <c r="C12666" t="s">
        <v>10</v>
      </c>
      <c r="D12666" t="s">
        <v>25454</v>
      </c>
      <c r="E12666" t="s">
        <v>25455</v>
      </c>
      <c r="G12666" s="1">
        <v>2.4300000000000002</v>
      </c>
    </row>
    <row r="12667" spans="1:7" ht="14.25" customHeight="1" x14ac:dyDescent="0.45">
      <c r="A12667" t="str">
        <f>_xlfn.XLOOKUP(B12667,Ingot!$H$12:$H$119,Ingot!$G$12:$G$119,"")</f>
        <v>Osso</v>
      </c>
      <c r="B12667" t="s">
        <v>25353</v>
      </c>
      <c r="C12667" t="s">
        <v>10</v>
      </c>
      <c r="D12667" t="s">
        <v>25456</v>
      </c>
      <c r="E12667" t="s">
        <v>25457</v>
      </c>
      <c r="G12667" s="1">
        <v>6.96</v>
      </c>
    </row>
    <row r="12668" spans="1:7" ht="14.25" customHeight="1" x14ac:dyDescent="0.45">
      <c r="A12668" t="str">
        <f>_xlfn.XLOOKUP(B12668,Ingot!$H$12:$H$119,Ingot!$G$12:$G$119,"")</f>
        <v>Osso</v>
      </c>
      <c r="B12668" t="s">
        <v>25353</v>
      </c>
      <c r="C12668" t="s">
        <v>10</v>
      </c>
      <c r="D12668" t="s">
        <v>25458</v>
      </c>
      <c r="E12668" t="s">
        <v>25459</v>
      </c>
      <c r="G12668" s="1">
        <v>6.32</v>
      </c>
    </row>
    <row r="12669" spans="1:7" ht="14.25" customHeight="1" x14ac:dyDescent="0.45">
      <c r="A12669" t="str">
        <f>_xlfn.XLOOKUP(B12669,Ingot!$H$12:$H$119,Ingot!$G$12:$G$119,"")</f>
        <v>Osso</v>
      </c>
      <c r="B12669" t="s">
        <v>25353</v>
      </c>
      <c r="C12669" t="s">
        <v>10</v>
      </c>
      <c r="D12669" t="s">
        <v>25460</v>
      </c>
      <c r="E12669" t="s">
        <v>25461</v>
      </c>
      <c r="G12669" s="1">
        <v>6.88</v>
      </c>
    </row>
    <row r="12670" spans="1:7" ht="14.25" customHeight="1" x14ac:dyDescent="0.45">
      <c r="A12670" t="str">
        <f>_xlfn.XLOOKUP(B12670,Ingot!$H$12:$H$119,Ingot!$G$12:$G$119,"")</f>
        <v>Osso</v>
      </c>
      <c r="B12670" t="s">
        <v>25353</v>
      </c>
      <c r="C12670" t="s">
        <v>10</v>
      </c>
      <c r="D12670" t="s">
        <v>25462</v>
      </c>
      <c r="E12670" t="s">
        <v>25463</v>
      </c>
      <c r="G12670" s="1">
        <v>2.44</v>
      </c>
    </row>
    <row r="12671" spans="1:7" ht="14.25" customHeight="1" x14ac:dyDescent="0.45">
      <c r="A12671" t="str">
        <f>_xlfn.XLOOKUP(B12671,Ingot!$H$12:$H$119,Ingot!$G$12:$G$119,"")</f>
        <v>Osso</v>
      </c>
      <c r="B12671" t="s">
        <v>25353</v>
      </c>
      <c r="C12671" t="s">
        <v>10</v>
      </c>
      <c r="D12671" t="s">
        <v>25464</v>
      </c>
      <c r="E12671" t="s">
        <v>25465</v>
      </c>
    </row>
    <row r="12672" spans="1:7" ht="14.25" customHeight="1" x14ac:dyDescent="0.45">
      <c r="A12672" t="str">
        <f>_xlfn.XLOOKUP(B12672,Ingot!$H$12:$H$119,Ingot!$G$12:$G$119,"")</f>
        <v>Osso</v>
      </c>
      <c r="B12672" t="s">
        <v>25353</v>
      </c>
      <c r="C12672" t="s">
        <v>10</v>
      </c>
      <c r="D12672" t="s">
        <v>25466</v>
      </c>
      <c r="E12672" t="s">
        <v>25467</v>
      </c>
    </row>
    <row r="12673" spans="1:7" ht="14.25" customHeight="1" x14ac:dyDescent="0.45">
      <c r="A12673" t="str">
        <f>_xlfn.XLOOKUP(B12673,Ingot!$H$12:$H$119,Ingot!$G$12:$G$119,"")</f>
        <v>Osso</v>
      </c>
      <c r="B12673" t="s">
        <v>25353</v>
      </c>
      <c r="C12673" t="s">
        <v>10</v>
      </c>
      <c r="D12673" t="s">
        <v>25468</v>
      </c>
      <c r="E12673" t="s">
        <v>25469</v>
      </c>
      <c r="G12673" s="1">
        <v>3.11</v>
      </c>
    </row>
    <row r="12674" spans="1:7" ht="14.25" customHeight="1" x14ac:dyDescent="0.45">
      <c r="A12674" t="str">
        <f>_xlfn.XLOOKUP(B12674,Ingot!$H$12:$H$119,Ingot!$G$12:$G$119,"")</f>
        <v>Osso</v>
      </c>
      <c r="B12674" t="s">
        <v>25353</v>
      </c>
      <c r="C12674" t="s">
        <v>10</v>
      </c>
      <c r="D12674" t="s">
        <v>25470</v>
      </c>
      <c r="E12674" t="s">
        <v>25471</v>
      </c>
      <c r="G12674" s="1">
        <v>2.44</v>
      </c>
    </row>
    <row r="12675" spans="1:7" ht="14.25" customHeight="1" x14ac:dyDescent="0.45">
      <c r="A12675" t="str">
        <f>_xlfn.XLOOKUP(B12675,Ingot!$H$12:$H$119,Ingot!$G$12:$G$119,"")</f>
        <v>Osso</v>
      </c>
      <c r="B12675" t="s">
        <v>25353</v>
      </c>
      <c r="C12675" t="s">
        <v>10</v>
      </c>
      <c r="D12675" t="s">
        <v>25472</v>
      </c>
      <c r="E12675" t="s">
        <v>25473</v>
      </c>
      <c r="G12675" s="1">
        <v>8.61</v>
      </c>
    </row>
    <row r="12676" spans="1:7" ht="14.25" customHeight="1" x14ac:dyDescent="0.45">
      <c r="A12676" t="str">
        <f>_xlfn.XLOOKUP(B12676,Ingot!$H$12:$H$119,Ingot!$G$12:$G$119,"")</f>
        <v>Osso</v>
      </c>
      <c r="B12676" t="s">
        <v>25353</v>
      </c>
      <c r="C12676" t="s">
        <v>10</v>
      </c>
      <c r="D12676" t="s">
        <v>25474</v>
      </c>
      <c r="E12676" t="s">
        <v>25475</v>
      </c>
    </row>
    <row r="12677" spans="1:7" ht="14.25" customHeight="1" x14ac:dyDescent="0.45">
      <c r="A12677" t="str">
        <f>_xlfn.XLOOKUP(B12677,Ingot!$H$12:$H$119,Ingot!$G$12:$G$119,"")</f>
        <v>Osso</v>
      </c>
      <c r="B12677" t="s">
        <v>25353</v>
      </c>
      <c r="C12677" t="s">
        <v>10</v>
      </c>
      <c r="D12677" t="s">
        <v>25476</v>
      </c>
      <c r="E12677" t="s">
        <v>25477</v>
      </c>
      <c r="G12677" s="1">
        <v>3.21</v>
      </c>
    </row>
    <row r="12678" spans="1:7" ht="14.25" customHeight="1" x14ac:dyDescent="0.45">
      <c r="A12678" t="str">
        <f>_xlfn.XLOOKUP(B12678,Ingot!$H$12:$H$119,Ingot!$G$12:$G$119,"")</f>
        <v>Osso</v>
      </c>
      <c r="B12678" t="s">
        <v>25353</v>
      </c>
      <c r="C12678" t="s">
        <v>10</v>
      </c>
      <c r="D12678" t="s">
        <v>25478</v>
      </c>
      <c r="E12678" t="s">
        <v>25479</v>
      </c>
      <c r="G12678" s="1">
        <v>2.77</v>
      </c>
    </row>
    <row r="12679" spans="1:7" ht="14.25" customHeight="1" x14ac:dyDescent="0.45">
      <c r="A12679" t="str">
        <f>_xlfn.XLOOKUP(B12679,Ingot!$H$12:$H$119,Ingot!$G$12:$G$119,"")</f>
        <v>Osso</v>
      </c>
      <c r="B12679" t="s">
        <v>25353</v>
      </c>
      <c r="C12679" t="s">
        <v>10</v>
      </c>
      <c r="D12679" t="s">
        <v>25480</v>
      </c>
      <c r="E12679" t="s">
        <v>25481</v>
      </c>
      <c r="G12679" s="1">
        <v>4.8899999999999997</v>
      </c>
    </row>
    <row r="12680" spans="1:7" ht="14.25" customHeight="1" x14ac:dyDescent="0.45">
      <c r="A12680" t="str">
        <f>_xlfn.XLOOKUP(B12680,Ingot!$H$12:$H$119,Ingot!$G$12:$G$119,"")</f>
        <v>Osso</v>
      </c>
      <c r="B12680" t="s">
        <v>25353</v>
      </c>
      <c r="C12680" t="s">
        <v>10</v>
      </c>
      <c r="D12680" t="s">
        <v>25482</v>
      </c>
      <c r="E12680" t="s">
        <v>25483</v>
      </c>
      <c r="G12680" s="1">
        <v>1.76</v>
      </c>
    </row>
    <row r="12681" spans="1:7" ht="14.25" customHeight="1" x14ac:dyDescent="0.45">
      <c r="A12681" t="str">
        <f>_xlfn.XLOOKUP(B12681,Ingot!$H$12:$H$119,Ingot!$G$12:$G$119,"")</f>
        <v>Osso</v>
      </c>
      <c r="B12681" t="s">
        <v>25353</v>
      </c>
      <c r="C12681" t="s">
        <v>10</v>
      </c>
      <c r="D12681" t="s">
        <v>25484</v>
      </c>
      <c r="E12681" t="s">
        <v>25485</v>
      </c>
    </row>
    <row r="12682" spans="1:7" ht="14.25" customHeight="1" x14ac:dyDescent="0.45">
      <c r="A12682" t="str">
        <f>_xlfn.XLOOKUP(B12682,Ingot!$H$12:$H$119,Ingot!$G$12:$G$119,"")</f>
        <v>Osso</v>
      </c>
      <c r="B12682" t="s">
        <v>25353</v>
      </c>
      <c r="C12682" t="s">
        <v>10</v>
      </c>
      <c r="D12682" t="s">
        <v>25486</v>
      </c>
      <c r="E12682" t="s">
        <v>25487</v>
      </c>
      <c r="G12682" s="1">
        <v>8.57</v>
      </c>
    </row>
    <row r="12683" spans="1:7" ht="14.25" customHeight="1" x14ac:dyDescent="0.45">
      <c r="A12683" t="str">
        <f>_xlfn.XLOOKUP(B12683,Ingot!$H$12:$H$119,Ingot!$G$12:$G$119,"")</f>
        <v>Osso</v>
      </c>
      <c r="B12683" t="s">
        <v>25353</v>
      </c>
      <c r="C12683" t="s">
        <v>10</v>
      </c>
      <c r="D12683" t="s">
        <v>25488</v>
      </c>
      <c r="E12683" t="s">
        <v>25489</v>
      </c>
    </row>
    <row r="12684" spans="1:7" ht="14.25" customHeight="1" x14ac:dyDescent="0.45">
      <c r="A12684" t="str">
        <f>_xlfn.XLOOKUP(B12684,Ingot!$H$12:$H$119,Ingot!$G$12:$G$119,"")</f>
        <v>Osso</v>
      </c>
      <c r="B12684" t="s">
        <v>25353</v>
      </c>
      <c r="C12684" t="s">
        <v>10</v>
      </c>
      <c r="D12684" t="s">
        <v>25490</v>
      </c>
      <c r="E12684" t="s">
        <v>25491</v>
      </c>
      <c r="G12684" s="1">
        <v>3.56</v>
      </c>
    </row>
    <row r="12685" spans="1:7" ht="14.25" customHeight="1" x14ac:dyDescent="0.45">
      <c r="A12685" t="str">
        <f>_xlfn.XLOOKUP(B12685,Ingot!$H$12:$H$119,Ingot!$G$12:$G$119,"")</f>
        <v>Osso</v>
      </c>
      <c r="B12685" t="s">
        <v>25353</v>
      </c>
      <c r="C12685" t="s">
        <v>10</v>
      </c>
      <c r="D12685" t="s">
        <v>25492</v>
      </c>
      <c r="E12685" t="s">
        <v>25493</v>
      </c>
      <c r="G12685" s="1">
        <v>8.91</v>
      </c>
    </row>
    <row r="12686" spans="1:7" ht="14.25" customHeight="1" x14ac:dyDescent="0.45">
      <c r="A12686" t="str">
        <f>_xlfn.XLOOKUP(B12686,Ingot!$H$12:$H$119,Ingot!$G$12:$G$119,"")</f>
        <v>Osso</v>
      </c>
      <c r="B12686" t="s">
        <v>25353</v>
      </c>
      <c r="C12686" t="s">
        <v>10</v>
      </c>
      <c r="D12686" t="s">
        <v>25494</v>
      </c>
      <c r="E12686" t="s">
        <v>25495</v>
      </c>
      <c r="G12686" s="1">
        <v>11.02</v>
      </c>
    </row>
    <row r="12687" spans="1:7" ht="14.25" customHeight="1" x14ac:dyDescent="0.45">
      <c r="A12687" t="str">
        <f>_xlfn.XLOOKUP(B12687,Ingot!$H$12:$H$119,Ingot!$G$12:$G$119,"")</f>
        <v>Osso</v>
      </c>
      <c r="B12687" t="s">
        <v>25353</v>
      </c>
      <c r="C12687" t="s">
        <v>10</v>
      </c>
      <c r="D12687" t="s">
        <v>25496</v>
      </c>
      <c r="E12687" t="s">
        <v>25497</v>
      </c>
      <c r="G12687" s="1">
        <v>5.12</v>
      </c>
    </row>
    <row r="12688" spans="1:7" ht="14.25" customHeight="1" x14ac:dyDescent="0.45">
      <c r="A12688" t="str">
        <f>_xlfn.XLOOKUP(B12688,Ingot!$H$12:$H$119,Ingot!$G$12:$G$119,"")</f>
        <v>Osso</v>
      </c>
      <c r="B12688" t="s">
        <v>25353</v>
      </c>
      <c r="C12688" t="s">
        <v>10</v>
      </c>
      <c r="D12688" t="s">
        <v>25498</v>
      </c>
      <c r="E12688" t="s">
        <v>25499</v>
      </c>
      <c r="G12688" s="1">
        <v>4.41</v>
      </c>
    </row>
    <row r="12689" spans="1:7" ht="14.25" customHeight="1" x14ac:dyDescent="0.45">
      <c r="A12689" t="str">
        <f>_xlfn.XLOOKUP(B12689,Ingot!$H$12:$H$119,Ingot!$G$12:$G$119,"")</f>
        <v>Osso</v>
      </c>
      <c r="B12689" t="s">
        <v>25353</v>
      </c>
      <c r="C12689" t="s">
        <v>157</v>
      </c>
      <c r="D12689" t="s">
        <v>25500</v>
      </c>
      <c r="E12689" t="s">
        <v>25501</v>
      </c>
      <c r="G12689" s="1">
        <v>19.5</v>
      </c>
    </row>
    <row r="12690" spans="1:7" ht="14.25" customHeight="1" x14ac:dyDescent="0.45">
      <c r="A12690" t="str">
        <f>_xlfn.XLOOKUP(B12690,Ingot!$H$12:$H$119,Ingot!$G$12:$G$119,"")</f>
        <v>Osso</v>
      </c>
      <c r="B12690" t="s">
        <v>25353</v>
      </c>
      <c r="C12690" t="s">
        <v>157</v>
      </c>
      <c r="D12690" t="s">
        <v>25502</v>
      </c>
      <c r="E12690" t="s">
        <v>25503</v>
      </c>
      <c r="G12690" s="1">
        <v>5</v>
      </c>
    </row>
    <row r="12691" spans="1:7" ht="14.25" customHeight="1" x14ac:dyDescent="0.45">
      <c r="A12691" t="str">
        <f>_xlfn.XLOOKUP(B12691,Ingot!$H$12:$H$119,Ingot!$G$12:$G$119,"")</f>
        <v>Osso</v>
      </c>
      <c r="B12691" t="s">
        <v>25353</v>
      </c>
      <c r="C12691" t="s">
        <v>157</v>
      </c>
      <c r="D12691" t="s">
        <v>25504</v>
      </c>
      <c r="E12691" t="s">
        <v>25505</v>
      </c>
      <c r="G12691" s="1">
        <v>5</v>
      </c>
    </row>
    <row r="12692" spans="1:7" ht="14.25" customHeight="1" x14ac:dyDescent="0.45">
      <c r="A12692" t="str">
        <f>_xlfn.XLOOKUP(B12692,Ingot!$H$12:$H$119,Ingot!$G$12:$G$119,"")</f>
        <v>Osso</v>
      </c>
      <c r="B12692" t="s">
        <v>25353</v>
      </c>
      <c r="C12692" t="s">
        <v>157</v>
      </c>
      <c r="D12692" t="s">
        <v>25506</v>
      </c>
      <c r="E12692" t="s">
        <v>25507</v>
      </c>
      <c r="G12692" s="1">
        <v>5</v>
      </c>
    </row>
    <row r="12693" spans="1:7" ht="14.25" customHeight="1" x14ac:dyDescent="0.45">
      <c r="A12693" t="str">
        <f>_xlfn.XLOOKUP(B12693,Ingot!$H$12:$H$119,Ingot!$G$12:$G$119,"")</f>
        <v>Osso</v>
      </c>
      <c r="B12693" t="s">
        <v>25353</v>
      </c>
      <c r="C12693" t="s">
        <v>157</v>
      </c>
      <c r="D12693" t="s">
        <v>25508</v>
      </c>
      <c r="E12693" t="s">
        <v>25509</v>
      </c>
      <c r="G12693" s="1">
        <v>10</v>
      </c>
    </row>
    <row r="12694" spans="1:7" ht="14.25" customHeight="1" x14ac:dyDescent="0.45">
      <c r="A12694" t="str">
        <f>_xlfn.XLOOKUP(B12694,Ingot!$H$12:$H$119,Ingot!$G$12:$G$119,"")</f>
        <v>Osso</v>
      </c>
      <c r="B12694" t="s">
        <v>25353</v>
      </c>
      <c r="C12694" t="s">
        <v>157</v>
      </c>
      <c r="D12694" t="s">
        <v>25510</v>
      </c>
      <c r="E12694" t="s">
        <v>25511</v>
      </c>
      <c r="G12694" s="1">
        <v>16</v>
      </c>
    </row>
    <row r="12695" spans="1:7" ht="14.25" customHeight="1" x14ac:dyDescent="0.45">
      <c r="A12695" t="str">
        <f>_xlfn.XLOOKUP(B12695,Ingot!$H$12:$H$119,Ingot!$G$12:$G$119,"")</f>
        <v>Osso</v>
      </c>
      <c r="B12695" t="s">
        <v>25353</v>
      </c>
      <c r="C12695" t="s">
        <v>157</v>
      </c>
      <c r="D12695" t="s">
        <v>25512</v>
      </c>
      <c r="E12695" t="s">
        <v>25513</v>
      </c>
      <c r="G12695" s="1">
        <v>5</v>
      </c>
    </row>
    <row r="12696" spans="1:7" ht="14.25" customHeight="1" x14ac:dyDescent="0.45">
      <c r="A12696" t="str">
        <f>_xlfn.XLOOKUP(B12696,Ingot!$H$12:$H$119,Ingot!$G$12:$G$119,"")</f>
        <v>Osso</v>
      </c>
      <c r="B12696" t="s">
        <v>25353</v>
      </c>
      <c r="C12696" t="s">
        <v>157</v>
      </c>
      <c r="D12696" t="s">
        <v>25514</v>
      </c>
      <c r="E12696" t="s">
        <v>25515</v>
      </c>
      <c r="G12696" s="1">
        <v>5</v>
      </c>
    </row>
    <row r="12697" spans="1:7" ht="14.25" customHeight="1" x14ac:dyDescent="0.45">
      <c r="A12697" t="str">
        <f>_xlfn.XLOOKUP(B12697,Ingot!$H$12:$H$119,Ingot!$G$12:$G$119,"")</f>
        <v>Osso</v>
      </c>
      <c r="B12697" t="s">
        <v>25353</v>
      </c>
      <c r="C12697" t="s">
        <v>157</v>
      </c>
      <c r="D12697" t="s">
        <v>25516</v>
      </c>
      <c r="E12697" t="s">
        <v>25517</v>
      </c>
      <c r="G12697" s="1">
        <v>5</v>
      </c>
    </row>
    <row r="12698" spans="1:7" ht="14.25" customHeight="1" x14ac:dyDescent="0.45">
      <c r="A12698" t="str">
        <f>_xlfn.XLOOKUP(B12698,Ingot!$H$12:$H$119,Ingot!$G$12:$G$119,"")</f>
        <v>Osso</v>
      </c>
      <c r="B12698" t="s">
        <v>25353</v>
      </c>
      <c r="C12698" t="s">
        <v>157</v>
      </c>
      <c r="D12698" t="s">
        <v>25518</v>
      </c>
      <c r="E12698" t="s">
        <v>25519</v>
      </c>
      <c r="G12698" s="1">
        <v>10</v>
      </c>
    </row>
    <row r="12699" spans="1:7" ht="14.25" customHeight="1" x14ac:dyDescent="0.45">
      <c r="A12699" t="str">
        <f>_xlfn.XLOOKUP(B12699,Ingot!$H$12:$H$119,Ingot!$G$12:$G$119,"")</f>
        <v>Osso</v>
      </c>
      <c r="B12699" t="s">
        <v>25353</v>
      </c>
      <c r="C12699" t="s">
        <v>157</v>
      </c>
      <c r="D12699" t="s">
        <v>25520</v>
      </c>
      <c r="E12699" t="s">
        <v>25521</v>
      </c>
      <c r="F12699" t="s">
        <v>180</v>
      </c>
      <c r="G12699" s="1">
        <v>15.5</v>
      </c>
    </row>
    <row r="12700" spans="1:7" ht="14.25" customHeight="1" x14ac:dyDescent="0.45">
      <c r="A12700" t="str">
        <f>_xlfn.XLOOKUP(B12700,Ingot!$H$12:$H$119,Ingot!$G$12:$G$119,"")</f>
        <v>Osso</v>
      </c>
      <c r="B12700" t="s">
        <v>25353</v>
      </c>
      <c r="C12700" t="s">
        <v>157</v>
      </c>
      <c r="D12700" t="s">
        <v>25522</v>
      </c>
      <c r="E12700" t="s">
        <v>25523</v>
      </c>
      <c r="F12700" t="s">
        <v>180</v>
      </c>
      <c r="G12700" s="1">
        <v>5</v>
      </c>
    </row>
    <row r="12701" spans="1:7" ht="14.25" customHeight="1" x14ac:dyDescent="0.45">
      <c r="A12701" t="str">
        <f>_xlfn.XLOOKUP(B12701,Ingot!$H$12:$H$119,Ingot!$G$12:$G$119,"")</f>
        <v>Osso</v>
      </c>
      <c r="B12701" t="s">
        <v>25353</v>
      </c>
      <c r="C12701" t="s">
        <v>157</v>
      </c>
      <c r="D12701" t="s">
        <v>25524</v>
      </c>
      <c r="E12701" t="s">
        <v>25525</v>
      </c>
      <c r="F12701" t="s">
        <v>180</v>
      </c>
      <c r="G12701" s="1">
        <v>5</v>
      </c>
    </row>
    <row r="12702" spans="1:7" ht="14.25" customHeight="1" x14ac:dyDescent="0.45">
      <c r="A12702" t="str">
        <f>_xlfn.XLOOKUP(B12702,Ingot!$H$12:$H$119,Ingot!$G$12:$G$119,"")</f>
        <v>Osso</v>
      </c>
      <c r="B12702" t="s">
        <v>25353</v>
      </c>
      <c r="C12702" t="s">
        <v>157</v>
      </c>
      <c r="D12702" t="s">
        <v>25526</v>
      </c>
      <c r="E12702" t="s">
        <v>25527</v>
      </c>
      <c r="F12702" t="s">
        <v>180</v>
      </c>
      <c r="G12702" s="1">
        <v>5</v>
      </c>
    </row>
    <row r="12703" spans="1:7" ht="14.25" customHeight="1" x14ac:dyDescent="0.45">
      <c r="A12703" t="str">
        <f>_xlfn.XLOOKUP(B12703,Ingot!$H$12:$H$119,Ingot!$G$12:$G$119,"")</f>
        <v>Osso</v>
      </c>
      <c r="B12703" t="s">
        <v>25353</v>
      </c>
      <c r="C12703" t="s">
        <v>157</v>
      </c>
      <c r="D12703" t="s">
        <v>25528</v>
      </c>
      <c r="E12703" t="s">
        <v>25529</v>
      </c>
      <c r="F12703" t="s">
        <v>180</v>
      </c>
      <c r="G12703" s="1">
        <v>10</v>
      </c>
    </row>
    <row r="12704" spans="1:7" ht="14.25" customHeight="1" x14ac:dyDescent="0.45">
      <c r="A12704" t="str">
        <f>_xlfn.XLOOKUP(B12704,Ingot!$H$12:$H$119,Ingot!$G$12:$G$119,"")</f>
        <v>Osso</v>
      </c>
      <c r="B12704" t="s">
        <v>25353</v>
      </c>
      <c r="C12704" t="s">
        <v>157</v>
      </c>
      <c r="D12704" t="s">
        <v>25530</v>
      </c>
      <c r="E12704" t="s">
        <v>25531</v>
      </c>
      <c r="G12704" s="1">
        <v>17</v>
      </c>
    </row>
    <row r="12705" spans="1:7" ht="14.25" customHeight="1" x14ac:dyDescent="0.45">
      <c r="A12705" t="str">
        <f>_xlfn.XLOOKUP(B12705,Ingot!$H$12:$H$119,Ingot!$G$12:$G$119,"")</f>
        <v>Osso</v>
      </c>
      <c r="B12705" t="s">
        <v>25353</v>
      </c>
      <c r="C12705" t="s">
        <v>157</v>
      </c>
      <c r="D12705" t="s">
        <v>25532</v>
      </c>
      <c r="E12705" t="s">
        <v>25533</v>
      </c>
      <c r="G12705" s="1">
        <v>5</v>
      </c>
    </row>
    <row r="12706" spans="1:7" ht="14.25" customHeight="1" x14ac:dyDescent="0.45">
      <c r="A12706" t="str">
        <f>_xlfn.XLOOKUP(B12706,Ingot!$H$12:$H$119,Ingot!$G$12:$G$119,"")</f>
        <v>Osso</v>
      </c>
      <c r="B12706" t="s">
        <v>25353</v>
      </c>
      <c r="C12706" t="s">
        <v>157</v>
      </c>
      <c r="D12706" t="s">
        <v>25534</v>
      </c>
      <c r="E12706" t="s">
        <v>25535</v>
      </c>
      <c r="G12706" s="1">
        <v>5</v>
      </c>
    </row>
    <row r="12707" spans="1:7" ht="14.25" customHeight="1" x14ac:dyDescent="0.45">
      <c r="A12707" t="str">
        <f>_xlfn.XLOOKUP(B12707,Ingot!$H$12:$H$119,Ingot!$G$12:$G$119,"")</f>
        <v>Osso</v>
      </c>
      <c r="B12707" t="s">
        <v>25353</v>
      </c>
      <c r="C12707" t="s">
        <v>157</v>
      </c>
      <c r="D12707" t="s">
        <v>25536</v>
      </c>
      <c r="E12707" t="s">
        <v>25537</v>
      </c>
      <c r="G12707" s="1">
        <v>5</v>
      </c>
    </row>
    <row r="12708" spans="1:7" ht="14.25" customHeight="1" x14ac:dyDescent="0.45">
      <c r="A12708" t="str">
        <f>_xlfn.XLOOKUP(B12708,Ingot!$H$12:$H$119,Ingot!$G$12:$G$119,"")</f>
        <v>Osso</v>
      </c>
      <c r="B12708" t="s">
        <v>25353</v>
      </c>
      <c r="C12708" t="s">
        <v>157</v>
      </c>
      <c r="D12708" t="s">
        <v>25538</v>
      </c>
      <c r="E12708" t="s">
        <v>25539</v>
      </c>
      <c r="G12708" s="1">
        <v>10</v>
      </c>
    </row>
    <row r="12709" spans="1:7" ht="14.25" customHeight="1" x14ac:dyDescent="0.45">
      <c r="A12709" t="str">
        <f>_xlfn.XLOOKUP(B12709,Ingot!$H$12:$H$119,Ingot!$G$12:$G$119,"")</f>
        <v>Osso</v>
      </c>
      <c r="B12709" t="s">
        <v>25353</v>
      </c>
      <c r="C12709" t="s">
        <v>157</v>
      </c>
      <c r="D12709" t="s">
        <v>25540</v>
      </c>
      <c r="E12709" t="s">
        <v>25541</v>
      </c>
      <c r="G12709" s="1">
        <v>18</v>
      </c>
    </row>
    <row r="12710" spans="1:7" ht="14.25" customHeight="1" x14ac:dyDescent="0.45">
      <c r="A12710" t="str">
        <f>_xlfn.XLOOKUP(B12710,Ingot!$H$12:$H$119,Ingot!$G$12:$G$119,"")</f>
        <v>Osso</v>
      </c>
      <c r="B12710" t="s">
        <v>25353</v>
      </c>
      <c r="C12710" t="s">
        <v>157</v>
      </c>
      <c r="D12710" t="s">
        <v>25542</v>
      </c>
      <c r="E12710" t="s">
        <v>25543</v>
      </c>
      <c r="F12710" t="s">
        <v>180</v>
      </c>
      <c r="G12710" s="1">
        <v>5</v>
      </c>
    </row>
    <row r="12711" spans="1:7" ht="14.25" customHeight="1" x14ac:dyDescent="0.45">
      <c r="A12711" t="str">
        <f>_xlfn.XLOOKUP(B12711,Ingot!$H$12:$H$119,Ingot!$G$12:$G$119,"")</f>
        <v>Osso</v>
      </c>
      <c r="B12711" t="s">
        <v>25353</v>
      </c>
      <c r="C12711" t="s">
        <v>157</v>
      </c>
      <c r="D12711" t="s">
        <v>25544</v>
      </c>
      <c r="E12711" t="s">
        <v>25545</v>
      </c>
      <c r="F12711" t="s">
        <v>180</v>
      </c>
      <c r="G12711" s="1">
        <v>5</v>
      </c>
    </row>
    <row r="12712" spans="1:7" ht="14.25" customHeight="1" x14ac:dyDescent="0.45">
      <c r="A12712" t="str">
        <f>_xlfn.XLOOKUP(B12712,Ingot!$H$12:$H$119,Ingot!$G$12:$G$119,"")</f>
        <v>Osso</v>
      </c>
      <c r="B12712" t="s">
        <v>25353</v>
      </c>
      <c r="C12712" t="s">
        <v>157</v>
      </c>
      <c r="D12712" t="s">
        <v>25546</v>
      </c>
      <c r="E12712" t="s">
        <v>25547</v>
      </c>
      <c r="F12712" t="s">
        <v>180</v>
      </c>
      <c r="G12712" s="1">
        <v>5</v>
      </c>
    </row>
    <row r="12713" spans="1:7" ht="14.25" customHeight="1" x14ac:dyDescent="0.45">
      <c r="A12713" t="str">
        <f>_xlfn.XLOOKUP(B12713,Ingot!$H$12:$H$119,Ingot!$G$12:$G$119,"")</f>
        <v>Osso</v>
      </c>
      <c r="B12713" t="s">
        <v>25353</v>
      </c>
      <c r="C12713" t="s">
        <v>157</v>
      </c>
      <c r="D12713" t="s">
        <v>25548</v>
      </c>
      <c r="E12713" t="s">
        <v>25549</v>
      </c>
      <c r="G12713" s="1">
        <v>10</v>
      </c>
    </row>
    <row r="12714" spans="1:7" ht="14.25" customHeight="1" x14ac:dyDescent="0.45">
      <c r="A12714" t="str">
        <f>_xlfn.XLOOKUP(B12714,Ingot!$H$12:$H$119,Ingot!$G$12:$G$119,"")</f>
        <v>Osso</v>
      </c>
      <c r="B12714" t="s">
        <v>25353</v>
      </c>
      <c r="C12714" t="s">
        <v>157</v>
      </c>
      <c r="D12714" t="s">
        <v>25550</v>
      </c>
      <c r="E12714" t="s">
        <v>25551</v>
      </c>
      <c r="G12714" s="1">
        <v>22</v>
      </c>
    </row>
    <row r="12715" spans="1:7" ht="14.25" customHeight="1" x14ac:dyDescent="0.45">
      <c r="A12715" t="str">
        <f>_xlfn.XLOOKUP(B12715,Ingot!$H$12:$H$119,Ingot!$G$12:$G$119,"")</f>
        <v>Osso</v>
      </c>
      <c r="B12715" t="s">
        <v>25353</v>
      </c>
      <c r="C12715" t="s">
        <v>157</v>
      </c>
      <c r="D12715" t="s">
        <v>25552</v>
      </c>
      <c r="E12715" t="s">
        <v>25553</v>
      </c>
      <c r="G12715" s="1">
        <v>5</v>
      </c>
    </row>
    <row r="12716" spans="1:7" ht="14.25" customHeight="1" x14ac:dyDescent="0.45">
      <c r="A12716" t="str">
        <f>_xlfn.XLOOKUP(B12716,Ingot!$H$12:$H$119,Ingot!$G$12:$G$119,"")</f>
        <v>Osso</v>
      </c>
      <c r="B12716" t="s">
        <v>25353</v>
      </c>
      <c r="C12716" t="s">
        <v>157</v>
      </c>
      <c r="D12716" t="s">
        <v>25554</v>
      </c>
      <c r="E12716" t="s">
        <v>25555</v>
      </c>
      <c r="G12716" s="1">
        <v>5</v>
      </c>
    </row>
    <row r="12717" spans="1:7" ht="14.25" customHeight="1" x14ac:dyDescent="0.45">
      <c r="A12717" t="str">
        <f>_xlfn.XLOOKUP(B12717,Ingot!$H$12:$H$119,Ingot!$G$12:$G$119,"")</f>
        <v>Osso</v>
      </c>
      <c r="B12717" t="s">
        <v>25353</v>
      </c>
      <c r="C12717" t="s">
        <v>157</v>
      </c>
      <c r="D12717" t="s">
        <v>25556</v>
      </c>
      <c r="E12717" t="s">
        <v>25557</v>
      </c>
      <c r="G12717" s="1">
        <v>5</v>
      </c>
    </row>
    <row r="12718" spans="1:7" ht="14.25" customHeight="1" x14ac:dyDescent="0.45">
      <c r="A12718" t="str">
        <f>_xlfn.XLOOKUP(B12718,Ingot!$H$12:$H$119,Ingot!$G$12:$G$119,"")</f>
        <v>Osso</v>
      </c>
      <c r="B12718" t="s">
        <v>25353</v>
      </c>
      <c r="C12718" t="s">
        <v>157</v>
      </c>
      <c r="D12718" t="s">
        <v>25558</v>
      </c>
      <c r="E12718" t="s">
        <v>25559</v>
      </c>
      <c r="G12718" s="1">
        <v>10</v>
      </c>
    </row>
    <row r="12719" spans="1:7" ht="14.25" customHeight="1" x14ac:dyDescent="0.45">
      <c r="A12719" t="str">
        <f>_xlfn.XLOOKUP(B12719,Ingot!$H$12:$H$119,Ingot!$G$12:$G$119,"")</f>
        <v>Osso</v>
      </c>
      <c r="B12719" t="s">
        <v>25353</v>
      </c>
      <c r="C12719" t="s">
        <v>157</v>
      </c>
      <c r="D12719" t="s">
        <v>25560</v>
      </c>
      <c r="E12719" t="s">
        <v>25561</v>
      </c>
      <c r="G12719" s="1">
        <v>21</v>
      </c>
    </row>
    <row r="12720" spans="1:7" ht="14.25" customHeight="1" x14ac:dyDescent="0.45">
      <c r="A12720" t="str">
        <f>_xlfn.XLOOKUP(B12720,Ingot!$H$12:$H$119,Ingot!$G$12:$G$119,"")</f>
        <v>Osso</v>
      </c>
      <c r="B12720" t="s">
        <v>25353</v>
      </c>
      <c r="C12720" t="s">
        <v>157</v>
      </c>
      <c r="D12720" t="s">
        <v>25562</v>
      </c>
      <c r="E12720" t="s">
        <v>25563</v>
      </c>
      <c r="G12720" s="1">
        <v>5</v>
      </c>
    </row>
    <row r="12721" spans="1:7" ht="14.25" customHeight="1" x14ac:dyDescent="0.45">
      <c r="A12721" t="str">
        <f>_xlfn.XLOOKUP(B12721,Ingot!$H$12:$H$119,Ingot!$G$12:$G$119,"")</f>
        <v>Osso</v>
      </c>
      <c r="B12721" t="s">
        <v>25353</v>
      </c>
      <c r="C12721" t="s">
        <v>157</v>
      </c>
      <c r="D12721" t="s">
        <v>25564</v>
      </c>
      <c r="E12721" t="s">
        <v>25565</v>
      </c>
      <c r="G12721" s="1">
        <v>5</v>
      </c>
    </row>
    <row r="12722" spans="1:7" ht="14.25" customHeight="1" x14ac:dyDescent="0.45">
      <c r="A12722" t="str">
        <f>_xlfn.XLOOKUP(B12722,Ingot!$H$12:$H$119,Ingot!$G$12:$G$119,"")</f>
        <v>Osso</v>
      </c>
      <c r="B12722" t="s">
        <v>25353</v>
      </c>
      <c r="C12722" t="s">
        <v>157</v>
      </c>
      <c r="D12722" t="s">
        <v>25566</v>
      </c>
      <c r="E12722" t="s">
        <v>25567</v>
      </c>
      <c r="G12722" s="1">
        <v>5</v>
      </c>
    </row>
    <row r="12723" spans="1:7" ht="14.25" customHeight="1" x14ac:dyDescent="0.45">
      <c r="A12723" t="str">
        <f>_xlfn.XLOOKUP(B12723,Ingot!$H$12:$H$119,Ingot!$G$12:$G$119,"")</f>
        <v>Osso</v>
      </c>
      <c r="B12723" t="s">
        <v>25353</v>
      </c>
      <c r="C12723" t="s">
        <v>157</v>
      </c>
      <c r="D12723" t="s">
        <v>25568</v>
      </c>
      <c r="E12723" t="s">
        <v>25569</v>
      </c>
      <c r="G12723" s="1">
        <v>10</v>
      </c>
    </row>
    <row r="12724" spans="1:7" ht="14.25" customHeight="1" x14ac:dyDescent="0.45">
      <c r="A12724" t="str">
        <f>_xlfn.XLOOKUP(B12724,Ingot!$H$12:$H$119,Ingot!$G$12:$G$119,"")</f>
        <v>Osso</v>
      </c>
      <c r="B12724" t="s">
        <v>25353</v>
      </c>
      <c r="C12724" t="s">
        <v>157</v>
      </c>
      <c r="D12724" t="s">
        <v>25570</v>
      </c>
      <c r="E12724" t="s">
        <v>25571</v>
      </c>
      <c r="F12724" t="s">
        <v>180</v>
      </c>
      <c r="G12724" s="1">
        <v>15</v>
      </c>
    </row>
    <row r="12725" spans="1:7" ht="14.25" customHeight="1" x14ac:dyDescent="0.45">
      <c r="A12725" t="str">
        <f>_xlfn.XLOOKUP(B12725,Ingot!$H$12:$H$119,Ingot!$G$12:$G$119,"")</f>
        <v>Osso</v>
      </c>
      <c r="B12725" t="s">
        <v>25353</v>
      </c>
      <c r="C12725" t="s">
        <v>157</v>
      </c>
      <c r="D12725" t="s">
        <v>25572</v>
      </c>
      <c r="E12725" t="s">
        <v>25573</v>
      </c>
      <c r="F12725" t="s">
        <v>180</v>
      </c>
      <c r="G12725" s="1">
        <v>5</v>
      </c>
    </row>
    <row r="12726" spans="1:7" ht="14.25" customHeight="1" x14ac:dyDescent="0.45">
      <c r="A12726" t="str">
        <f>_xlfn.XLOOKUP(B12726,Ingot!$H$12:$H$119,Ingot!$G$12:$G$119,"")</f>
        <v>Osso</v>
      </c>
      <c r="B12726" t="s">
        <v>25353</v>
      </c>
      <c r="C12726" t="s">
        <v>157</v>
      </c>
      <c r="D12726" t="s">
        <v>25574</v>
      </c>
      <c r="E12726" t="s">
        <v>25575</v>
      </c>
      <c r="F12726" t="s">
        <v>180</v>
      </c>
      <c r="G12726" s="1">
        <v>5</v>
      </c>
    </row>
    <row r="12727" spans="1:7" ht="14.25" customHeight="1" x14ac:dyDescent="0.45">
      <c r="A12727" t="str">
        <f>_xlfn.XLOOKUP(B12727,Ingot!$H$12:$H$119,Ingot!$G$12:$G$119,"")</f>
        <v>Osso</v>
      </c>
      <c r="B12727" t="s">
        <v>25353</v>
      </c>
      <c r="C12727" t="s">
        <v>157</v>
      </c>
      <c r="D12727" t="s">
        <v>25576</v>
      </c>
      <c r="E12727" t="s">
        <v>25577</v>
      </c>
      <c r="F12727" t="s">
        <v>180</v>
      </c>
      <c r="G12727" s="1">
        <v>5</v>
      </c>
    </row>
    <row r="12728" spans="1:7" ht="14.25" customHeight="1" x14ac:dyDescent="0.45">
      <c r="A12728" t="str">
        <f>_xlfn.XLOOKUP(B12728,Ingot!$H$12:$H$119,Ingot!$G$12:$G$119,"")</f>
        <v>Osso</v>
      </c>
      <c r="B12728" t="s">
        <v>25353</v>
      </c>
      <c r="C12728" t="s">
        <v>157</v>
      </c>
      <c r="D12728" t="s">
        <v>25578</v>
      </c>
      <c r="E12728" t="s">
        <v>25579</v>
      </c>
      <c r="F12728" t="s">
        <v>180</v>
      </c>
      <c r="G12728" s="1">
        <v>10</v>
      </c>
    </row>
    <row r="12729" spans="1:7" ht="14.25" customHeight="1" x14ac:dyDescent="0.45">
      <c r="A12729" t="str">
        <f>_xlfn.XLOOKUP(B12729,Ingot!$H$12:$H$119,Ingot!$G$12:$G$119,"")</f>
        <v>Osso</v>
      </c>
      <c r="B12729" t="s">
        <v>25353</v>
      </c>
      <c r="C12729" t="s">
        <v>239</v>
      </c>
      <c r="D12729" t="s">
        <v>25580</v>
      </c>
      <c r="E12729" t="s">
        <v>25581</v>
      </c>
      <c r="G12729" s="1">
        <f>(VLOOKUP(B12729,Ingot!H:I,2,FALSE()) * 0.75) * 0.75</f>
        <v>2.25</v>
      </c>
    </row>
    <row r="12730" spans="1:7" ht="14.25" customHeight="1" x14ac:dyDescent="0.45">
      <c r="A12730" t="str">
        <f>_xlfn.XLOOKUP(B12730,Ingot!$H$12:$H$119,Ingot!$G$12:$G$119,"")</f>
        <v>Osso</v>
      </c>
      <c r="B12730" t="s">
        <v>25353</v>
      </c>
      <c r="C12730" t="s">
        <v>239</v>
      </c>
      <c r="D12730" t="s">
        <v>25582</v>
      </c>
      <c r="E12730" t="s">
        <v>25583</v>
      </c>
      <c r="G12730" s="1">
        <f>((VLOOKUP(B12730,Ingot!H:I,2,FALSE()) * 3) - 10.25) * 0.421875</f>
        <v>0.73828125</v>
      </c>
    </row>
    <row r="12731" spans="1:7" ht="14.25" customHeight="1" x14ac:dyDescent="0.45">
      <c r="A12731" t="str">
        <f>_xlfn.XLOOKUP(B12731,Ingot!$H$12:$H$119,Ingot!$G$12:$G$119,"")</f>
        <v>Osso</v>
      </c>
      <c r="B12731" t="s">
        <v>25353</v>
      </c>
      <c r="C12731" t="s">
        <v>239</v>
      </c>
      <c r="D12731" t="s">
        <v>25584</v>
      </c>
      <c r="E12731" t="s">
        <v>25585</v>
      </c>
      <c r="G12731" s="1">
        <f>((VLOOKUP(B12731,Ingot!H:I,2,FALSE()) * 3) - 10.25) * 0.75</f>
        <v>1.3125</v>
      </c>
    </row>
    <row r="12732" spans="1:7" ht="14.25" customHeight="1" x14ac:dyDescent="0.45">
      <c r="A12732" t="str">
        <f>_xlfn.XLOOKUP(B12732,Ingot!$H$12:$H$119,Ingot!$G$12:$G$119,"")</f>
        <v>Osso</v>
      </c>
      <c r="B12732" t="s">
        <v>25353</v>
      </c>
      <c r="C12732" t="s">
        <v>239</v>
      </c>
      <c r="D12732" t="s">
        <v>25586</v>
      </c>
      <c r="E12732" t="s">
        <v>25587</v>
      </c>
      <c r="G12732" s="1">
        <f>((VLOOKUP(B12732,Ingot!H:I,2,FALSE()) * 3) - 10.25) * 0.5625</f>
        <v>0.984375</v>
      </c>
    </row>
    <row r="12733" spans="1:7" ht="14.25" customHeight="1" x14ac:dyDescent="0.45">
      <c r="A12733" t="str">
        <f>_xlfn.XLOOKUP(B12733,Ingot!$H$12:$H$119,Ingot!$G$12:$G$119,"")</f>
        <v>Osso</v>
      </c>
      <c r="B12733" t="s">
        <v>25353</v>
      </c>
      <c r="C12733" t="s">
        <v>239</v>
      </c>
      <c r="D12733" t="s">
        <v>25588</v>
      </c>
      <c r="E12733" t="s">
        <v>25589</v>
      </c>
      <c r="G12733" s="1">
        <f>VLOOKUP(B12733,Ingot!H:I,2,FALSE()) * 0.75</f>
        <v>3</v>
      </c>
    </row>
    <row r="12734" spans="1:7" ht="14.25" customHeight="1" x14ac:dyDescent="0.45">
      <c r="A12734" t="str">
        <f>_xlfn.XLOOKUP(B12734,Ingot!$H$12:$H$119,Ingot!$G$12:$G$119,"")</f>
        <v>Osso</v>
      </c>
      <c r="B12734" t="s">
        <v>25353</v>
      </c>
      <c r="C12734" t="s">
        <v>239</v>
      </c>
      <c r="D12734" t="s">
        <v>25590</v>
      </c>
      <c r="E12734" t="s">
        <v>25591</v>
      </c>
      <c r="G12734" s="1">
        <f>(VLOOKUP(B12734,Ingot!H:I,2,FALSE()) * 3) - 10.25</f>
        <v>1.75</v>
      </c>
    </row>
    <row r="12735" spans="1:7" ht="14.25" customHeight="1" x14ac:dyDescent="0.45">
      <c r="A12735" t="str">
        <f>_xlfn.XLOOKUP(B12735,Ingot!$H$12:$H$119,Ingot!$G$12:$G$119,"")</f>
        <v>Osso</v>
      </c>
      <c r="B12735" t="s">
        <v>25592</v>
      </c>
      <c r="C12735" t="s">
        <v>10</v>
      </c>
      <c r="D12735" t="s">
        <v>25593</v>
      </c>
      <c r="E12735" t="s">
        <v>25594</v>
      </c>
      <c r="G12735" s="1">
        <v>0.08</v>
      </c>
    </row>
    <row r="12736" spans="1:7" ht="14.25" customHeight="1" x14ac:dyDescent="0.45">
      <c r="A12736" t="str">
        <f>_xlfn.XLOOKUP(B12736,Ingot!$H$12:$H$119,Ingot!$G$12:$G$119,"")</f>
        <v>Osso</v>
      </c>
      <c r="B12736" t="s">
        <v>25592</v>
      </c>
      <c r="C12736" t="s">
        <v>10</v>
      </c>
      <c r="D12736" t="s">
        <v>25595</v>
      </c>
      <c r="E12736" t="s">
        <v>25596</v>
      </c>
      <c r="G12736" s="1">
        <v>9.9</v>
      </c>
    </row>
    <row r="12737" spans="1:7" ht="14.25" customHeight="1" x14ac:dyDescent="0.45">
      <c r="A12737" t="str">
        <f>_xlfn.XLOOKUP(B12737,Ingot!$H$12:$H$119,Ingot!$G$12:$G$119,"")</f>
        <v>Osso</v>
      </c>
      <c r="B12737" t="s">
        <v>25592</v>
      </c>
      <c r="C12737" t="s">
        <v>10</v>
      </c>
      <c r="D12737" t="s">
        <v>25597</v>
      </c>
      <c r="E12737" t="s">
        <v>25598</v>
      </c>
      <c r="G12737" s="1">
        <v>5.66</v>
      </c>
    </row>
    <row r="12738" spans="1:7" ht="14.25" customHeight="1" x14ac:dyDescent="0.45">
      <c r="A12738" t="str">
        <f>_xlfn.XLOOKUP(B12738,Ingot!$H$12:$H$119,Ingot!$G$12:$G$119,"")</f>
        <v>Osso</v>
      </c>
      <c r="B12738" t="s">
        <v>25592</v>
      </c>
      <c r="C12738" t="s">
        <v>10</v>
      </c>
      <c r="D12738" t="s">
        <v>25599</v>
      </c>
      <c r="E12738" t="s">
        <v>25600</v>
      </c>
      <c r="G12738" s="1">
        <v>3.3</v>
      </c>
    </row>
    <row r="12739" spans="1:7" ht="14.25" customHeight="1" x14ac:dyDescent="0.45">
      <c r="A12739" t="str">
        <f>_xlfn.XLOOKUP(B12739,Ingot!$H$12:$H$119,Ingot!$G$12:$G$119,"")</f>
        <v>Osso</v>
      </c>
      <c r="B12739" t="s">
        <v>25592</v>
      </c>
      <c r="C12739" t="s">
        <v>10</v>
      </c>
      <c r="D12739" t="s">
        <v>25601</v>
      </c>
      <c r="E12739" t="s">
        <v>25602</v>
      </c>
      <c r="G12739" s="1">
        <v>0.66</v>
      </c>
    </row>
    <row r="12740" spans="1:7" ht="14.25" customHeight="1" x14ac:dyDescent="0.45">
      <c r="A12740" t="str">
        <f>_xlfn.XLOOKUP(B12740,Ingot!$H$12:$H$119,Ingot!$G$12:$G$119,"")</f>
        <v>Osso</v>
      </c>
      <c r="B12740" t="s">
        <v>25592</v>
      </c>
      <c r="C12740" t="s">
        <v>10</v>
      </c>
      <c r="D12740" t="s">
        <v>25603</v>
      </c>
      <c r="E12740" t="s">
        <v>25604</v>
      </c>
      <c r="G12740" s="1">
        <v>0.04</v>
      </c>
    </row>
    <row r="12741" spans="1:7" ht="14.25" customHeight="1" x14ac:dyDescent="0.45">
      <c r="A12741" t="str">
        <f>_xlfn.XLOOKUP(B12741,Ingot!$H$12:$H$119,Ingot!$G$12:$G$119,"")</f>
        <v>Osso</v>
      </c>
      <c r="B12741" t="s">
        <v>25592</v>
      </c>
      <c r="C12741" t="s">
        <v>10</v>
      </c>
      <c r="D12741" t="s">
        <v>25605</v>
      </c>
      <c r="E12741" t="s">
        <v>25606</v>
      </c>
      <c r="G12741" s="1">
        <v>0.33</v>
      </c>
    </row>
    <row r="12742" spans="1:7" ht="14.25" customHeight="1" x14ac:dyDescent="0.45">
      <c r="A12742" t="str">
        <f>_xlfn.XLOOKUP(B12742,Ingot!$H$12:$H$119,Ingot!$G$12:$G$119,"")</f>
        <v>Osso</v>
      </c>
      <c r="B12742" t="s">
        <v>25592</v>
      </c>
      <c r="C12742" t="s">
        <v>10</v>
      </c>
      <c r="D12742" t="s">
        <v>25607</v>
      </c>
      <c r="E12742" t="s">
        <v>25608</v>
      </c>
    </row>
    <row r="12743" spans="1:7" ht="14.25" customHeight="1" x14ac:dyDescent="0.45">
      <c r="A12743" t="str">
        <f>_xlfn.XLOOKUP(B12743,Ingot!$H$12:$H$119,Ingot!$G$12:$G$119,"")</f>
        <v>Osso</v>
      </c>
      <c r="B12743" t="s">
        <v>25592</v>
      </c>
      <c r="C12743" t="s">
        <v>10</v>
      </c>
      <c r="D12743" t="s">
        <v>25609</v>
      </c>
      <c r="E12743" t="s">
        <v>25610</v>
      </c>
      <c r="G12743" s="1">
        <v>0.05</v>
      </c>
    </row>
    <row r="12744" spans="1:7" ht="14.25" customHeight="1" x14ac:dyDescent="0.45">
      <c r="A12744" t="str">
        <f>_xlfn.XLOOKUP(B12744,Ingot!$H$12:$H$119,Ingot!$G$12:$G$119,"")</f>
        <v>Osso</v>
      </c>
      <c r="B12744" t="s">
        <v>25592</v>
      </c>
      <c r="C12744" t="s">
        <v>10</v>
      </c>
      <c r="D12744" t="s">
        <v>25611</v>
      </c>
      <c r="E12744" t="s">
        <v>25612</v>
      </c>
      <c r="G12744" s="1">
        <v>0.66</v>
      </c>
    </row>
    <row r="12745" spans="1:7" ht="14.25" customHeight="1" x14ac:dyDescent="0.45">
      <c r="A12745" t="str">
        <f>_xlfn.XLOOKUP(B12745,Ingot!$H$12:$H$119,Ingot!$G$12:$G$119,"")</f>
        <v>Osso</v>
      </c>
      <c r="B12745" t="s">
        <v>25592</v>
      </c>
      <c r="C12745" t="s">
        <v>10</v>
      </c>
      <c r="D12745" t="s">
        <v>25613</v>
      </c>
      <c r="E12745" t="s">
        <v>25614</v>
      </c>
      <c r="G12745" s="1">
        <v>3.96</v>
      </c>
    </row>
    <row r="12746" spans="1:7" ht="14.25" customHeight="1" x14ac:dyDescent="0.45">
      <c r="A12746" t="str">
        <f>_xlfn.XLOOKUP(B12746,Ingot!$H$12:$H$119,Ingot!$G$12:$G$119,"")</f>
        <v>Osso</v>
      </c>
      <c r="B12746" t="s">
        <v>25592</v>
      </c>
      <c r="C12746" t="s">
        <v>10</v>
      </c>
      <c r="D12746" t="s">
        <v>25615</v>
      </c>
      <c r="E12746" t="s">
        <v>25616</v>
      </c>
      <c r="G12746" s="1">
        <v>8.77</v>
      </c>
    </row>
    <row r="12747" spans="1:7" ht="14.25" customHeight="1" x14ac:dyDescent="0.45">
      <c r="A12747" t="str">
        <f>_xlfn.XLOOKUP(B12747,Ingot!$H$12:$H$119,Ingot!$G$12:$G$119,"")</f>
        <v>Osso</v>
      </c>
      <c r="B12747" t="s">
        <v>25592</v>
      </c>
      <c r="C12747" t="s">
        <v>10</v>
      </c>
      <c r="D12747" t="s">
        <v>25617</v>
      </c>
      <c r="E12747" t="s">
        <v>25618</v>
      </c>
      <c r="G12747" s="1">
        <v>3.5</v>
      </c>
    </row>
    <row r="12748" spans="1:7" ht="14.25" customHeight="1" x14ac:dyDescent="0.45">
      <c r="A12748" t="str">
        <f>_xlfn.XLOOKUP(B12748,Ingot!$H$12:$H$119,Ingot!$G$12:$G$119,"")</f>
        <v>Osso</v>
      </c>
      <c r="B12748" t="s">
        <v>25592</v>
      </c>
      <c r="C12748" t="s">
        <v>10</v>
      </c>
      <c r="D12748" t="s">
        <v>25619</v>
      </c>
      <c r="E12748" t="s">
        <v>25620</v>
      </c>
    </row>
    <row r="12749" spans="1:7" ht="14.25" customHeight="1" x14ac:dyDescent="0.45">
      <c r="A12749" t="str">
        <f>_xlfn.XLOOKUP(B12749,Ingot!$H$12:$H$119,Ingot!$G$12:$G$119,"")</f>
        <v>Osso</v>
      </c>
      <c r="B12749" t="s">
        <v>25592</v>
      </c>
      <c r="C12749" t="s">
        <v>10</v>
      </c>
      <c r="D12749" t="s">
        <v>25621</v>
      </c>
      <c r="E12749" t="s">
        <v>25622</v>
      </c>
      <c r="G12749" s="1">
        <v>2.2000000000000002</v>
      </c>
    </row>
    <row r="12750" spans="1:7" ht="14.25" customHeight="1" x14ac:dyDescent="0.45">
      <c r="A12750" t="str">
        <f>_xlfn.XLOOKUP(B12750,Ingot!$H$12:$H$119,Ingot!$G$12:$G$119,"")</f>
        <v>Osso</v>
      </c>
      <c r="B12750" t="s">
        <v>25592</v>
      </c>
      <c r="C12750" t="s">
        <v>10</v>
      </c>
      <c r="D12750" t="s">
        <v>25623</v>
      </c>
      <c r="E12750" t="s">
        <v>25624</v>
      </c>
      <c r="G12750" s="1">
        <v>1.1000000000000001</v>
      </c>
    </row>
    <row r="12751" spans="1:7" ht="14.25" customHeight="1" x14ac:dyDescent="0.45">
      <c r="A12751" t="str">
        <f>_xlfn.XLOOKUP(B12751,Ingot!$H$12:$H$119,Ingot!$G$12:$G$119,"")</f>
        <v>Osso</v>
      </c>
      <c r="B12751" t="s">
        <v>25592</v>
      </c>
      <c r="C12751" t="s">
        <v>10</v>
      </c>
      <c r="D12751" t="s">
        <v>25625</v>
      </c>
      <c r="E12751" t="s">
        <v>25626</v>
      </c>
      <c r="G12751" s="1">
        <v>0.22</v>
      </c>
    </row>
    <row r="12752" spans="1:7" ht="14.25" customHeight="1" x14ac:dyDescent="0.45">
      <c r="A12752" t="str">
        <f>_xlfn.XLOOKUP(B12752,Ingot!$H$12:$H$119,Ingot!$G$12:$G$119,"")</f>
        <v>Osso</v>
      </c>
      <c r="B12752" t="s">
        <v>25592</v>
      </c>
      <c r="C12752" t="s">
        <v>10</v>
      </c>
      <c r="D12752" t="s">
        <v>25627</v>
      </c>
      <c r="E12752" t="s">
        <v>25628</v>
      </c>
      <c r="G12752" s="1">
        <v>8.41</v>
      </c>
    </row>
    <row r="12753" spans="1:7" ht="14.25" customHeight="1" x14ac:dyDescent="0.45">
      <c r="A12753" t="str">
        <f>_xlfn.XLOOKUP(B12753,Ingot!$H$12:$H$119,Ingot!$G$12:$G$119,"")</f>
        <v>Osso</v>
      </c>
      <c r="B12753" t="s">
        <v>25592</v>
      </c>
      <c r="C12753" t="s">
        <v>10</v>
      </c>
      <c r="D12753" t="s">
        <v>25629</v>
      </c>
      <c r="E12753" t="s">
        <v>25630</v>
      </c>
      <c r="G12753" s="1">
        <v>3.64</v>
      </c>
    </row>
    <row r="12754" spans="1:7" ht="14.25" customHeight="1" x14ac:dyDescent="0.45">
      <c r="A12754" t="str">
        <f>_xlfn.XLOOKUP(B12754,Ingot!$H$12:$H$119,Ingot!$G$12:$G$119,"")</f>
        <v>Osso</v>
      </c>
      <c r="B12754" t="s">
        <v>25592</v>
      </c>
      <c r="C12754" t="s">
        <v>10</v>
      </c>
      <c r="D12754" t="s">
        <v>25631</v>
      </c>
      <c r="E12754" t="s">
        <v>25632</v>
      </c>
      <c r="G12754" s="1">
        <v>7.05</v>
      </c>
    </row>
    <row r="12755" spans="1:7" ht="14.25" customHeight="1" x14ac:dyDescent="0.45">
      <c r="A12755" t="str">
        <f>_xlfn.XLOOKUP(B12755,Ingot!$H$12:$H$119,Ingot!$G$12:$G$119,"")</f>
        <v>Osso</v>
      </c>
      <c r="B12755" t="s">
        <v>25592</v>
      </c>
      <c r="C12755" t="s">
        <v>10</v>
      </c>
      <c r="D12755" t="s">
        <v>25633</v>
      </c>
      <c r="E12755" t="s">
        <v>25634</v>
      </c>
      <c r="G12755" s="1">
        <v>2.65</v>
      </c>
    </row>
    <row r="12756" spans="1:7" ht="14.25" customHeight="1" x14ac:dyDescent="0.45">
      <c r="A12756" t="str">
        <f>_xlfn.XLOOKUP(B12756,Ingot!$H$12:$H$119,Ingot!$G$12:$G$119,"")</f>
        <v>Osso</v>
      </c>
      <c r="B12756" t="s">
        <v>25592</v>
      </c>
      <c r="C12756" t="s">
        <v>10</v>
      </c>
      <c r="D12756" t="s">
        <v>25635</v>
      </c>
      <c r="E12756" t="s">
        <v>25636</v>
      </c>
      <c r="G12756" s="1">
        <v>9</v>
      </c>
    </row>
    <row r="12757" spans="1:7" ht="14.25" customHeight="1" x14ac:dyDescent="0.45">
      <c r="A12757" t="str">
        <f>_xlfn.XLOOKUP(B12757,Ingot!$H$12:$H$119,Ingot!$G$12:$G$119,"")</f>
        <v>Osso</v>
      </c>
      <c r="B12757" t="s">
        <v>25592</v>
      </c>
      <c r="C12757" t="s">
        <v>10</v>
      </c>
      <c r="D12757" t="s">
        <v>25637</v>
      </c>
      <c r="E12757" t="s">
        <v>25638</v>
      </c>
      <c r="G12757" s="1">
        <v>10.23</v>
      </c>
    </row>
    <row r="12758" spans="1:7" ht="14.25" customHeight="1" x14ac:dyDescent="0.45">
      <c r="A12758" t="str">
        <f>_xlfn.XLOOKUP(B12758,Ingot!$H$12:$H$119,Ingot!$G$12:$G$119,"")</f>
        <v>Osso</v>
      </c>
      <c r="B12758" t="s">
        <v>25592</v>
      </c>
      <c r="C12758" t="s">
        <v>10</v>
      </c>
      <c r="D12758" t="s">
        <v>25639</v>
      </c>
      <c r="E12758" t="s">
        <v>25640</v>
      </c>
      <c r="G12758" s="1">
        <v>7.7</v>
      </c>
    </row>
    <row r="12759" spans="1:7" ht="14.25" customHeight="1" x14ac:dyDescent="0.45">
      <c r="A12759" t="str">
        <f>_xlfn.XLOOKUP(B12759,Ingot!$H$12:$H$119,Ingot!$G$12:$G$119,"")</f>
        <v>Osso</v>
      </c>
      <c r="B12759" t="s">
        <v>25592</v>
      </c>
      <c r="C12759" t="s">
        <v>10</v>
      </c>
      <c r="D12759" t="s">
        <v>25641</v>
      </c>
      <c r="E12759" t="s">
        <v>25642</v>
      </c>
      <c r="G12759" s="1">
        <v>10.02</v>
      </c>
    </row>
    <row r="12760" spans="1:7" ht="14.25" customHeight="1" x14ac:dyDescent="0.45">
      <c r="A12760" t="str">
        <f>_xlfn.XLOOKUP(B12760,Ingot!$H$12:$H$119,Ingot!$G$12:$G$119,"")</f>
        <v>Osso</v>
      </c>
      <c r="B12760" t="s">
        <v>25592</v>
      </c>
      <c r="C12760" t="s">
        <v>10</v>
      </c>
      <c r="D12760" t="s">
        <v>25643</v>
      </c>
      <c r="E12760" t="s">
        <v>25644</v>
      </c>
      <c r="G12760" s="1">
        <v>11.81</v>
      </c>
    </row>
    <row r="12761" spans="1:7" ht="14.25" customHeight="1" x14ac:dyDescent="0.45">
      <c r="A12761" t="str">
        <f>_xlfn.XLOOKUP(B12761,Ingot!$H$12:$H$119,Ingot!$G$12:$G$119,"")</f>
        <v>Osso</v>
      </c>
      <c r="B12761" t="s">
        <v>25592</v>
      </c>
      <c r="C12761" t="s">
        <v>10</v>
      </c>
      <c r="D12761" t="s">
        <v>25645</v>
      </c>
      <c r="E12761" t="s">
        <v>25646</v>
      </c>
      <c r="G12761" s="1">
        <v>8.44</v>
      </c>
    </row>
    <row r="12762" spans="1:7" ht="14.25" customHeight="1" x14ac:dyDescent="0.45">
      <c r="A12762" t="str">
        <f>_xlfn.XLOOKUP(B12762,Ingot!$H$12:$H$119,Ingot!$G$12:$G$119,"")</f>
        <v>Osso</v>
      </c>
      <c r="B12762" t="s">
        <v>25592</v>
      </c>
      <c r="C12762" t="s">
        <v>10</v>
      </c>
      <c r="D12762" t="s">
        <v>25647</v>
      </c>
      <c r="E12762" t="s">
        <v>25648</v>
      </c>
      <c r="G12762" s="1">
        <v>10.42</v>
      </c>
    </row>
    <row r="12763" spans="1:7" ht="14.25" customHeight="1" x14ac:dyDescent="0.45">
      <c r="A12763" t="str">
        <f>_xlfn.XLOOKUP(B12763,Ingot!$H$12:$H$119,Ingot!$G$12:$G$119,"")</f>
        <v>Osso</v>
      </c>
      <c r="B12763" t="s">
        <v>25592</v>
      </c>
      <c r="C12763" t="s">
        <v>10</v>
      </c>
      <c r="D12763" t="s">
        <v>25649</v>
      </c>
      <c r="E12763" t="s">
        <v>25650</v>
      </c>
    </row>
    <row r="12764" spans="1:7" ht="14.25" customHeight="1" x14ac:dyDescent="0.45">
      <c r="A12764" t="str">
        <f>_xlfn.XLOOKUP(B12764,Ingot!$H$12:$H$119,Ingot!$G$12:$G$119,"")</f>
        <v>Osso</v>
      </c>
      <c r="B12764" t="s">
        <v>25592</v>
      </c>
      <c r="C12764" t="s">
        <v>10</v>
      </c>
      <c r="D12764" t="s">
        <v>25651</v>
      </c>
      <c r="E12764" t="s">
        <v>25652</v>
      </c>
      <c r="G12764" s="1">
        <v>7.96</v>
      </c>
    </row>
    <row r="12765" spans="1:7" ht="14.25" customHeight="1" x14ac:dyDescent="0.45">
      <c r="A12765" t="str">
        <f>_xlfn.XLOOKUP(B12765,Ingot!$H$12:$H$119,Ingot!$G$12:$G$119,"")</f>
        <v>Osso</v>
      </c>
      <c r="B12765" t="s">
        <v>25592</v>
      </c>
      <c r="C12765" t="s">
        <v>10</v>
      </c>
      <c r="D12765" t="s">
        <v>25653</v>
      </c>
      <c r="E12765" t="s">
        <v>25654</v>
      </c>
      <c r="G12765" s="1">
        <v>9.64</v>
      </c>
    </row>
    <row r="12766" spans="1:7" ht="14.25" customHeight="1" x14ac:dyDescent="0.45">
      <c r="A12766" t="str">
        <f>_xlfn.XLOOKUP(B12766,Ingot!$H$12:$H$119,Ingot!$G$12:$G$119,"")</f>
        <v>Osso</v>
      </c>
      <c r="B12766" t="s">
        <v>25592</v>
      </c>
      <c r="C12766" t="s">
        <v>10</v>
      </c>
      <c r="D12766" t="s">
        <v>25655</v>
      </c>
      <c r="E12766" t="s">
        <v>25656</v>
      </c>
      <c r="G12766" s="1">
        <v>7.94</v>
      </c>
    </row>
    <row r="12767" spans="1:7" ht="14.25" customHeight="1" x14ac:dyDescent="0.45">
      <c r="A12767" t="str">
        <f>_xlfn.XLOOKUP(B12767,Ingot!$H$12:$H$119,Ingot!$G$12:$G$119,"")</f>
        <v>Osso</v>
      </c>
      <c r="B12767" t="s">
        <v>25592</v>
      </c>
      <c r="C12767" t="s">
        <v>10</v>
      </c>
      <c r="D12767" t="s">
        <v>25657</v>
      </c>
      <c r="E12767" t="s">
        <v>25658</v>
      </c>
      <c r="G12767" s="1">
        <v>8.66</v>
      </c>
    </row>
    <row r="12768" spans="1:7" ht="14.25" customHeight="1" x14ac:dyDescent="0.45">
      <c r="A12768" t="str">
        <f>_xlfn.XLOOKUP(B12768,Ingot!$H$12:$H$119,Ingot!$G$12:$G$119,"")</f>
        <v>Osso</v>
      </c>
      <c r="B12768" t="s">
        <v>25592</v>
      </c>
      <c r="C12768" t="s">
        <v>10</v>
      </c>
      <c r="D12768" t="s">
        <v>25659</v>
      </c>
      <c r="E12768" t="s">
        <v>25660</v>
      </c>
    </row>
    <row r="12769" spans="1:7" ht="14.25" customHeight="1" x14ac:dyDescent="0.45">
      <c r="A12769" t="str">
        <f>_xlfn.XLOOKUP(B12769,Ingot!$H$12:$H$119,Ingot!$G$12:$G$119,"")</f>
        <v>Osso</v>
      </c>
      <c r="B12769" t="s">
        <v>25592</v>
      </c>
      <c r="C12769" t="s">
        <v>10</v>
      </c>
      <c r="D12769" t="s">
        <v>25661</v>
      </c>
      <c r="E12769" t="s">
        <v>25662</v>
      </c>
      <c r="G12769" s="1">
        <v>2.65</v>
      </c>
    </row>
    <row r="12770" spans="1:7" ht="14.25" customHeight="1" x14ac:dyDescent="0.45">
      <c r="A12770" t="str">
        <f>_xlfn.XLOOKUP(B12770,Ingot!$H$12:$H$119,Ingot!$G$12:$G$119,"")</f>
        <v>Osso</v>
      </c>
      <c r="B12770" t="s">
        <v>25592</v>
      </c>
      <c r="C12770" t="s">
        <v>10</v>
      </c>
      <c r="D12770" t="s">
        <v>25663</v>
      </c>
      <c r="E12770" t="s">
        <v>25664</v>
      </c>
    </row>
    <row r="12771" spans="1:7" ht="14.25" customHeight="1" x14ac:dyDescent="0.45">
      <c r="A12771" t="str">
        <f>_xlfn.XLOOKUP(B12771,Ingot!$H$12:$H$119,Ingot!$G$12:$G$119,"")</f>
        <v>Osso</v>
      </c>
      <c r="B12771" t="s">
        <v>25592</v>
      </c>
      <c r="C12771" t="s">
        <v>10</v>
      </c>
      <c r="D12771" t="s">
        <v>25665</v>
      </c>
      <c r="E12771" t="s">
        <v>25666</v>
      </c>
      <c r="G12771" s="1">
        <v>12.64</v>
      </c>
    </row>
    <row r="12772" spans="1:7" ht="14.25" customHeight="1" x14ac:dyDescent="0.45">
      <c r="A12772" t="str">
        <f>_xlfn.XLOOKUP(B12772,Ingot!$H$12:$H$119,Ingot!$G$12:$G$119,"")</f>
        <v>Osso</v>
      </c>
      <c r="B12772" t="s">
        <v>25592</v>
      </c>
      <c r="C12772" t="s">
        <v>10</v>
      </c>
      <c r="D12772" t="s">
        <v>25667</v>
      </c>
      <c r="E12772" t="s">
        <v>25668</v>
      </c>
      <c r="G12772" s="1">
        <v>22.67</v>
      </c>
    </row>
    <row r="12773" spans="1:7" ht="14.25" customHeight="1" x14ac:dyDescent="0.45">
      <c r="A12773" t="str">
        <f>_xlfn.XLOOKUP(B12773,Ingot!$H$12:$H$119,Ingot!$G$12:$G$119,"")</f>
        <v>Osso</v>
      </c>
      <c r="B12773" t="s">
        <v>25592</v>
      </c>
      <c r="C12773" t="s">
        <v>10</v>
      </c>
      <c r="D12773" t="s">
        <v>25669</v>
      </c>
      <c r="E12773" t="s">
        <v>25670</v>
      </c>
      <c r="G12773" s="1">
        <v>8.3800000000000008</v>
      </c>
    </row>
    <row r="12774" spans="1:7" ht="14.25" customHeight="1" x14ac:dyDescent="0.45">
      <c r="A12774" t="str">
        <f>_xlfn.XLOOKUP(B12774,Ingot!$H$12:$H$119,Ingot!$G$12:$G$119,"")</f>
        <v>Osso</v>
      </c>
      <c r="B12774" t="s">
        <v>25592</v>
      </c>
      <c r="C12774" t="s">
        <v>10</v>
      </c>
      <c r="D12774" t="s">
        <v>25671</v>
      </c>
      <c r="E12774" t="s">
        <v>25672</v>
      </c>
      <c r="G12774" s="1">
        <v>2.2000000000000002</v>
      </c>
    </row>
    <row r="12775" spans="1:7" ht="14.25" customHeight="1" x14ac:dyDescent="0.45">
      <c r="A12775" t="str">
        <f>_xlfn.XLOOKUP(B12775,Ingot!$H$12:$H$119,Ingot!$G$12:$G$119,"")</f>
        <v>Osso</v>
      </c>
      <c r="B12775" t="s">
        <v>25592</v>
      </c>
      <c r="C12775" t="s">
        <v>10</v>
      </c>
      <c r="D12775" t="s">
        <v>25673</v>
      </c>
      <c r="E12775" t="s">
        <v>25674</v>
      </c>
      <c r="G12775" s="1">
        <v>3.09</v>
      </c>
    </row>
    <row r="12776" spans="1:7" ht="14.25" customHeight="1" x14ac:dyDescent="0.45">
      <c r="A12776" t="str">
        <f>_xlfn.XLOOKUP(B12776,Ingot!$H$12:$H$119,Ingot!$G$12:$G$119,"")</f>
        <v>Osso</v>
      </c>
      <c r="B12776" t="s">
        <v>25592</v>
      </c>
      <c r="C12776" t="s">
        <v>10</v>
      </c>
      <c r="D12776" t="s">
        <v>25675</v>
      </c>
      <c r="E12776" t="s">
        <v>25676</v>
      </c>
      <c r="G12776" s="1">
        <v>2.2999999999999998</v>
      </c>
    </row>
    <row r="12777" spans="1:7" ht="14.25" customHeight="1" x14ac:dyDescent="0.45">
      <c r="A12777" t="str">
        <f>_xlfn.XLOOKUP(B12777,Ingot!$H$12:$H$119,Ingot!$G$12:$G$119,"")</f>
        <v>Osso</v>
      </c>
      <c r="B12777" t="s">
        <v>25592</v>
      </c>
      <c r="C12777" t="s">
        <v>10</v>
      </c>
      <c r="D12777" t="s">
        <v>25677</v>
      </c>
      <c r="E12777" t="s">
        <v>25678</v>
      </c>
      <c r="G12777" s="1">
        <v>4.88</v>
      </c>
    </row>
    <row r="12778" spans="1:7" ht="14.25" customHeight="1" x14ac:dyDescent="0.45">
      <c r="A12778" t="str">
        <f>_xlfn.XLOOKUP(B12778,Ingot!$H$12:$H$119,Ingot!$G$12:$G$119,"")</f>
        <v>Osso</v>
      </c>
      <c r="B12778" t="s">
        <v>25592</v>
      </c>
      <c r="C12778" t="s">
        <v>10</v>
      </c>
      <c r="D12778" t="s">
        <v>25679</v>
      </c>
      <c r="E12778" t="s">
        <v>25680</v>
      </c>
      <c r="G12778" s="1">
        <v>8.43</v>
      </c>
    </row>
    <row r="12779" spans="1:7" ht="14.25" customHeight="1" x14ac:dyDescent="0.45">
      <c r="A12779" t="str">
        <f>_xlfn.XLOOKUP(B12779,Ingot!$H$12:$H$119,Ingot!$G$12:$G$119,"")</f>
        <v>Osso</v>
      </c>
      <c r="B12779" t="s">
        <v>25592</v>
      </c>
      <c r="C12779" t="s">
        <v>10</v>
      </c>
      <c r="D12779" t="s">
        <v>25681</v>
      </c>
      <c r="E12779" t="s">
        <v>25682</v>
      </c>
      <c r="G12779" s="1">
        <v>13.07</v>
      </c>
    </row>
    <row r="12780" spans="1:7" ht="14.25" customHeight="1" x14ac:dyDescent="0.45">
      <c r="A12780" t="str">
        <f>_xlfn.XLOOKUP(B12780,Ingot!$H$12:$H$119,Ingot!$G$12:$G$119,"")</f>
        <v>Osso</v>
      </c>
      <c r="B12780" t="s">
        <v>25592</v>
      </c>
      <c r="C12780" t="s">
        <v>10</v>
      </c>
      <c r="D12780" t="s">
        <v>25683</v>
      </c>
      <c r="E12780" t="s">
        <v>25684</v>
      </c>
    </row>
    <row r="12781" spans="1:7" ht="14.25" customHeight="1" x14ac:dyDescent="0.45">
      <c r="A12781" t="str">
        <f>_xlfn.XLOOKUP(B12781,Ingot!$H$12:$H$119,Ingot!$G$12:$G$119,"")</f>
        <v>Osso</v>
      </c>
      <c r="B12781" t="s">
        <v>25592</v>
      </c>
      <c r="C12781" t="s">
        <v>10</v>
      </c>
      <c r="D12781" t="s">
        <v>25685</v>
      </c>
      <c r="E12781" t="s">
        <v>25686</v>
      </c>
    </row>
    <row r="12782" spans="1:7" ht="14.25" customHeight="1" x14ac:dyDescent="0.45">
      <c r="A12782" t="str">
        <f>_xlfn.XLOOKUP(B12782,Ingot!$H$12:$H$119,Ingot!$G$12:$G$119,"")</f>
        <v>Osso</v>
      </c>
      <c r="B12782" t="s">
        <v>25592</v>
      </c>
      <c r="C12782" t="s">
        <v>10</v>
      </c>
      <c r="D12782" t="s">
        <v>25687</v>
      </c>
      <c r="E12782" t="s">
        <v>25688</v>
      </c>
      <c r="G12782" s="1">
        <v>6.8</v>
      </c>
    </row>
    <row r="12783" spans="1:7" ht="14.25" customHeight="1" x14ac:dyDescent="0.45">
      <c r="A12783" t="str">
        <f>_xlfn.XLOOKUP(B12783,Ingot!$H$12:$H$119,Ingot!$G$12:$G$119,"")</f>
        <v>Osso</v>
      </c>
      <c r="B12783" t="s">
        <v>25592</v>
      </c>
      <c r="C12783" t="s">
        <v>10</v>
      </c>
      <c r="D12783" t="s">
        <v>25689</v>
      </c>
      <c r="E12783" t="s">
        <v>25690</v>
      </c>
      <c r="G12783" s="1">
        <v>6.88</v>
      </c>
    </row>
    <row r="12784" spans="1:7" ht="14.25" customHeight="1" x14ac:dyDescent="0.45">
      <c r="A12784" t="str">
        <f>_xlfn.XLOOKUP(B12784,Ingot!$H$12:$H$119,Ingot!$G$12:$G$119,"")</f>
        <v>Osso</v>
      </c>
      <c r="B12784" t="s">
        <v>25592</v>
      </c>
      <c r="C12784" t="s">
        <v>10</v>
      </c>
      <c r="D12784" t="s">
        <v>25691</v>
      </c>
      <c r="E12784" t="s">
        <v>25692</v>
      </c>
      <c r="G12784" s="1">
        <v>5.5</v>
      </c>
    </row>
    <row r="12785" spans="1:7" ht="14.25" customHeight="1" x14ac:dyDescent="0.45">
      <c r="A12785" t="str">
        <f>_xlfn.XLOOKUP(B12785,Ingot!$H$12:$H$119,Ingot!$G$12:$G$119,"")</f>
        <v>Osso</v>
      </c>
      <c r="B12785" t="s">
        <v>25592</v>
      </c>
      <c r="C12785" t="s">
        <v>10</v>
      </c>
      <c r="D12785" t="s">
        <v>25693</v>
      </c>
      <c r="E12785" t="s">
        <v>25694</v>
      </c>
      <c r="G12785" s="1">
        <v>2.4300000000000002</v>
      </c>
    </row>
    <row r="12786" spans="1:7" ht="14.25" customHeight="1" x14ac:dyDescent="0.45">
      <c r="A12786" t="str">
        <f>_xlfn.XLOOKUP(B12786,Ingot!$H$12:$H$119,Ingot!$G$12:$G$119,"")</f>
        <v>Osso</v>
      </c>
      <c r="B12786" t="s">
        <v>25592</v>
      </c>
      <c r="C12786" t="s">
        <v>10</v>
      </c>
      <c r="D12786" t="s">
        <v>25695</v>
      </c>
      <c r="E12786" t="s">
        <v>25696</v>
      </c>
      <c r="G12786" s="1">
        <v>6.96</v>
      </c>
    </row>
    <row r="12787" spans="1:7" ht="14.25" customHeight="1" x14ac:dyDescent="0.45">
      <c r="A12787" t="str">
        <f>_xlfn.XLOOKUP(B12787,Ingot!$H$12:$H$119,Ingot!$G$12:$G$119,"")</f>
        <v>Osso</v>
      </c>
      <c r="B12787" t="s">
        <v>25592</v>
      </c>
      <c r="C12787" t="s">
        <v>10</v>
      </c>
      <c r="D12787" t="s">
        <v>25697</v>
      </c>
      <c r="E12787" t="s">
        <v>25698</v>
      </c>
      <c r="G12787" s="1">
        <v>6.32</v>
      </c>
    </row>
    <row r="12788" spans="1:7" ht="14.25" customHeight="1" x14ac:dyDescent="0.45">
      <c r="A12788" t="str">
        <f>_xlfn.XLOOKUP(B12788,Ingot!$H$12:$H$119,Ingot!$G$12:$G$119,"")</f>
        <v>Osso</v>
      </c>
      <c r="B12788" t="s">
        <v>25592</v>
      </c>
      <c r="C12788" t="s">
        <v>10</v>
      </c>
      <c r="D12788" t="s">
        <v>25699</v>
      </c>
      <c r="E12788" t="s">
        <v>25700</v>
      </c>
      <c r="G12788" s="1">
        <v>6.88</v>
      </c>
    </row>
    <row r="12789" spans="1:7" ht="14.25" customHeight="1" x14ac:dyDescent="0.45">
      <c r="A12789" t="str">
        <f>_xlfn.XLOOKUP(B12789,Ingot!$H$12:$H$119,Ingot!$G$12:$G$119,"")</f>
        <v>Osso</v>
      </c>
      <c r="B12789" t="s">
        <v>25592</v>
      </c>
      <c r="C12789" t="s">
        <v>10</v>
      </c>
      <c r="D12789" t="s">
        <v>25701</v>
      </c>
      <c r="E12789" t="s">
        <v>25702</v>
      </c>
      <c r="G12789" s="1">
        <v>2.44</v>
      </c>
    </row>
    <row r="12790" spans="1:7" ht="14.25" customHeight="1" x14ac:dyDescent="0.45">
      <c r="A12790" t="str">
        <f>_xlfn.XLOOKUP(B12790,Ingot!$H$12:$H$119,Ingot!$G$12:$G$119,"")</f>
        <v>Osso</v>
      </c>
      <c r="B12790" t="s">
        <v>25592</v>
      </c>
      <c r="C12790" t="s">
        <v>10</v>
      </c>
      <c r="D12790" t="s">
        <v>25703</v>
      </c>
      <c r="E12790" t="s">
        <v>25704</v>
      </c>
    </row>
    <row r="12791" spans="1:7" ht="14.25" customHeight="1" x14ac:dyDescent="0.45">
      <c r="A12791" t="str">
        <f>_xlfn.XLOOKUP(B12791,Ingot!$H$12:$H$119,Ingot!$G$12:$G$119,"")</f>
        <v>Osso</v>
      </c>
      <c r="B12791" t="s">
        <v>25592</v>
      </c>
      <c r="C12791" t="s">
        <v>10</v>
      </c>
      <c r="D12791" t="s">
        <v>25705</v>
      </c>
      <c r="E12791" t="s">
        <v>25706</v>
      </c>
    </row>
    <row r="12792" spans="1:7" ht="14.25" customHeight="1" x14ac:dyDescent="0.45">
      <c r="A12792" t="str">
        <f>_xlfn.XLOOKUP(B12792,Ingot!$H$12:$H$119,Ingot!$G$12:$G$119,"")</f>
        <v>Osso</v>
      </c>
      <c r="B12792" t="s">
        <v>25592</v>
      </c>
      <c r="C12792" t="s">
        <v>10</v>
      </c>
      <c r="D12792" t="s">
        <v>25707</v>
      </c>
      <c r="E12792" t="s">
        <v>25708</v>
      </c>
      <c r="G12792" s="1">
        <v>3.11</v>
      </c>
    </row>
    <row r="12793" spans="1:7" ht="14.25" customHeight="1" x14ac:dyDescent="0.45">
      <c r="A12793" t="str">
        <f>_xlfn.XLOOKUP(B12793,Ingot!$H$12:$H$119,Ingot!$G$12:$G$119,"")</f>
        <v>Osso</v>
      </c>
      <c r="B12793" t="s">
        <v>25592</v>
      </c>
      <c r="C12793" t="s">
        <v>10</v>
      </c>
      <c r="D12793" t="s">
        <v>25709</v>
      </c>
      <c r="E12793" t="s">
        <v>25710</v>
      </c>
      <c r="G12793" s="1">
        <v>2.44</v>
      </c>
    </row>
    <row r="12794" spans="1:7" ht="14.25" customHeight="1" x14ac:dyDescent="0.45">
      <c r="A12794" t="str">
        <f>_xlfn.XLOOKUP(B12794,Ingot!$H$12:$H$119,Ingot!$G$12:$G$119,"")</f>
        <v>Osso</v>
      </c>
      <c r="B12794" t="s">
        <v>25592</v>
      </c>
      <c r="C12794" t="s">
        <v>10</v>
      </c>
      <c r="D12794" t="s">
        <v>25711</v>
      </c>
      <c r="E12794" t="s">
        <v>25712</v>
      </c>
      <c r="G12794" s="1">
        <v>8.61</v>
      </c>
    </row>
    <row r="12795" spans="1:7" ht="14.25" customHeight="1" x14ac:dyDescent="0.45">
      <c r="A12795" t="str">
        <f>_xlfn.XLOOKUP(B12795,Ingot!$H$12:$H$119,Ingot!$G$12:$G$119,"")</f>
        <v>Osso</v>
      </c>
      <c r="B12795" t="s">
        <v>25592</v>
      </c>
      <c r="C12795" t="s">
        <v>10</v>
      </c>
      <c r="D12795" t="s">
        <v>25713</v>
      </c>
      <c r="E12795" t="s">
        <v>25714</v>
      </c>
    </row>
    <row r="12796" spans="1:7" ht="14.25" customHeight="1" x14ac:dyDescent="0.45">
      <c r="A12796" t="str">
        <f>_xlfn.XLOOKUP(B12796,Ingot!$H$12:$H$119,Ingot!$G$12:$G$119,"")</f>
        <v>Osso</v>
      </c>
      <c r="B12796" t="s">
        <v>25592</v>
      </c>
      <c r="C12796" t="s">
        <v>10</v>
      </c>
      <c r="D12796" t="s">
        <v>25715</v>
      </c>
      <c r="E12796" t="s">
        <v>25716</v>
      </c>
      <c r="G12796" s="1">
        <v>3.21</v>
      </c>
    </row>
    <row r="12797" spans="1:7" ht="14.25" customHeight="1" x14ac:dyDescent="0.45">
      <c r="A12797" t="str">
        <f>_xlfn.XLOOKUP(B12797,Ingot!$H$12:$H$119,Ingot!$G$12:$G$119,"")</f>
        <v>Osso</v>
      </c>
      <c r="B12797" t="s">
        <v>25592</v>
      </c>
      <c r="C12797" t="s">
        <v>10</v>
      </c>
      <c r="D12797" t="s">
        <v>25717</v>
      </c>
      <c r="E12797" t="s">
        <v>25718</v>
      </c>
      <c r="G12797" s="1">
        <v>2.77</v>
      </c>
    </row>
    <row r="12798" spans="1:7" ht="14.25" customHeight="1" x14ac:dyDescent="0.45">
      <c r="A12798" t="str">
        <f>_xlfn.XLOOKUP(B12798,Ingot!$H$12:$H$119,Ingot!$G$12:$G$119,"")</f>
        <v>Osso</v>
      </c>
      <c r="B12798" t="s">
        <v>25592</v>
      </c>
      <c r="C12798" t="s">
        <v>10</v>
      </c>
      <c r="D12798" t="s">
        <v>25719</v>
      </c>
      <c r="E12798" t="s">
        <v>25720</v>
      </c>
      <c r="G12798" s="1">
        <v>4.8899999999999997</v>
      </c>
    </row>
    <row r="12799" spans="1:7" ht="14.25" customHeight="1" x14ac:dyDescent="0.45">
      <c r="A12799" t="str">
        <f>_xlfn.XLOOKUP(B12799,Ingot!$H$12:$H$119,Ingot!$G$12:$G$119,"")</f>
        <v>Osso</v>
      </c>
      <c r="B12799" t="s">
        <v>25592</v>
      </c>
      <c r="C12799" t="s">
        <v>10</v>
      </c>
      <c r="D12799" t="s">
        <v>25721</v>
      </c>
      <c r="E12799" t="s">
        <v>25722</v>
      </c>
      <c r="G12799" s="1">
        <v>1.76</v>
      </c>
    </row>
    <row r="12800" spans="1:7" ht="14.25" customHeight="1" x14ac:dyDescent="0.45">
      <c r="A12800" t="str">
        <f>_xlfn.XLOOKUP(B12800,Ingot!$H$12:$H$119,Ingot!$G$12:$G$119,"")</f>
        <v>Osso</v>
      </c>
      <c r="B12800" t="s">
        <v>25592</v>
      </c>
      <c r="C12800" t="s">
        <v>10</v>
      </c>
      <c r="D12800" t="s">
        <v>25723</v>
      </c>
      <c r="E12800" t="s">
        <v>25724</v>
      </c>
    </row>
    <row r="12801" spans="1:7" ht="14.25" customHeight="1" x14ac:dyDescent="0.45">
      <c r="A12801" t="str">
        <f>_xlfn.XLOOKUP(B12801,Ingot!$H$12:$H$119,Ingot!$G$12:$G$119,"")</f>
        <v>Osso</v>
      </c>
      <c r="B12801" t="s">
        <v>25592</v>
      </c>
      <c r="C12801" t="s">
        <v>10</v>
      </c>
      <c r="D12801" t="s">
        <v>25725</v>
      </c>
      <c r="E12801" t="s">
        <v>25726</v>
      </c>
      <c r="G12801" s="1">
        <v>8.57</v>
      </c>
    </row>
    <row r="12802" spans="1:7" ht="14.25" customHeight="1" x14ac:dyDescent="0.45">
      <c r="A12802" t="str">
        <f>_xlfn.XLOOKUP(B12802,Ingot!$H$12:$H$119,Ingot!$G$12:$G$119,"")</f>
        <v>Osso</v>
      </c>
      <c r="B12802" t="s">
        <v>25592</v>
      </c>
      <c r="C12802" t="s">
        <v>10</v>
      </c>
      <c r="D12802" t="s">
        <v>25727</v>
      </c>
      <c r="E12802" t="s">
        <v>25728</v>
      </c>
    </row>
    <row r="12803" spans="1:7" ht="14.25" customHeight="1" x14ac:dyDescent="0.45">
      <c r="A12803" t="str">
        <f>_xlfn.XLOOKUP(B12803,Ingot!$H$12:$H$119,Ingot!$G$12:$G$119,"")</f>
        <v>Osso</v>
      </c>
      <c r="B12803" t="s">
        <v>25592</v>
      </c>
      <c r="C12803" t="s">
        <v>10</v>
      </c>
      <c r="D12803" t="s">
        <v>25729</v>
      </c>
      <c r="E12803" t="s">
        <v>25730</v>
      </c>
      <c r="G12803" s="1">
        <v>3.56</v>
      </c>
    </row>
    <row r="12804" spans="1:7" ht="14.25" customHeight="1" x14ac:dyDescent="0.45">
      <c r="A12804" t="str">
        <f>_xlfn.XLOOKUP(B12804,Ingot!$H$12:$H$119,Ingot!$G$12:$G$119,"")</f>
        <v>Osso</v>
      </c>
      <c r="B12804" t="s">
        <v>25592</v>
      </c>
      <c r="C12804" t="s">
        <v>10</v>
      </c>
      <c r="D12804" t="s">
        <v>25731</v>
      </c>
      <c r="E12804" t="s">
        <v>25732</v>
      </c>
      <c r="G12804" s="1">
        <v>8.91</v>
      </c>
    </row>
    <row r="12805" spans="1:7" ht="14.25" customHeight="1" x14ac:dyDescent="0.45">
      <c r="A12805" t="str">
        <f>_xlfn.XLOOKUP(B12805,Ingot!$H$12:$H$119,Ingot!$G$12:$G$119,"")</f>
        <v>Osso</v>
      </c>
      <c r="B12805" t="s">
        <v>25592</v>
      </c>
      <c r="C12805" t="s">
        <v>10</v>
      </c>
      <c r="D12805" t="s">
        <v>25733</v>
      </c>
      <c r="E12805" t="s">
        <v>25734</v>
      </c>
      <c r="G12805" s="1">
        <v>11.02</v>
      </c>
    </row>
    <row r="12806" spans="1:7" ht="14.25" customHeight="1" x14ac:dyDescent="0.45">
      <c r="A12806" t="str">
        <f>_xlfn.XLOOKUP(B12806,Ingot!$H$12:$H$119,Ingot!$G$12:$G$119,"")</f>
        <v>Osso</v>
      </c>
      <c r="B12806" t="s">
        <v>25592</v>
      </c>
      <c r="C12806" t="s">
        <v>10</v>
      </c>
      <c r="D12806" t="s">
        <v>25735</v>
      </c>
      <c r="E12806" t="s">
        <v>25736</v>
      </c>
      <c r="G12806" s="1">
        <v>5.12</v>
      </c>
    </row>
    <row r="12807" spans="1:7" ht="14.25" customHeight="1" x14ac:dyDescent="0.45">
      <c r="A12807" t="str">
        <f>_xlfn.XLOOKUP(B12807,Ingot!$H$12:$H$119,Ingot!$G$12:$G$119,"")</f>
        <v>Osso</v>
      </c>
      <c r="B12807" t="s">
        <v>25592</v>
      </c>
      <c r="C12807" t="s">
        <v>10</v>
      </c>
      <c r="D12807" t="s">
        <v>25737</v>
      </c>
      <c r="E12807" t="s">
        <v>25738</v>
      </c>
      <c r="G12807" s="1">
        <v>4.41</v>
      </c>
    </row>
    <row r="12808" spans="1:7" ht="14.25" customHeight="1" x14ac:dyDescent="0.45">
      <c r="A12808" t="str">
        <f>_xlfn.XLOOKUP(B12808,Ingot!$H$12:$H$119,Ingot!$G$12:$G$119,"")</f>
        <v>Osso</v>
      </c>
      <c r="B12808" t="s">
        <v>25592</v>
      </c>
      <c r="C12808" t="s">
        <v>157</v>
      </c>
      <c r="D12808" t="s">
        <v>25739</v>
      </c>
      <c r="E12808" t="s">
        <v>25740</v>
      </c>
      <c r="G12808" s="1">
        <v>20.57</v>
      </c>
    </row>
    <row r="12809" spans="1:7" ht="14.25" customHeight="1" x14ac:dyDescent="0.45">
      <c r="A12809" t="str">
        <f>_xlfn.XLOOKUP(B12809,Ingot!$H$12:$H$119,Ingot!$G$12:$G$119,"")</f>
        <v>Osso</v>
      </c>
      <c r="B12809" t="s">
        <v>25592</v>
      </c>
      <c r="C12809" t="s">
        <v>157</v>
      </c>
      <c r="D12809" t="s">
        <v>25741</v>
      </c>
      <c r="E12809" t="s">
        <v>25742</v>
      </c>
      <c r="G12809" s="1">
        <v>5</v>
      </c>
    </row>
    <row r="12810" spans="1:7" ht="14.25" customHeight="1" x14ac:dyDescent="0.45">
      <c r="A12810" t="str">
        <f>_xlfn.XLOOKUP(B12810,Ingot!$H$12:$H$119,Ingot!$G$12:$G$119,"")</f>
        <v>Osso</v>
      </c>
      <c r="B12810" t="s">
        <v>25592</v>
      </c>
      <c r="C12810" t="s">
        <v>157</v>
      </c>
      <c r="D12810" t="s">
        <v>25743</v>
      </c>
      <c r="E12810" t="s">
        <v>25744</v>
      </c>
      <c r="G12810" s="1">
        <v>5</v>
      </c>
    </row>
    <row r="12811" spans="1:7" ht="14.25" customHeight="1" x14ac:dyDescent="0.45">
      <c r="A12811" t="str">
        <f>_xlfn.XLOOKUP(B12811,Ingot!$H$12:$H$119,Ingot!$G$12:$G$119,"")</f>
        <v>Osso</v>
      </c>
      <c r="B12811" t="s">
        <v>25592</v>
      </c>
      <c r="C12811" t="s">
        <v>157</v>
      </c>
      <c r="D12811" t="s">
        <v>25745</v>
      </c>
      <c r="E12811" t="s">
        <v>25746</v>
      </c>
      <c r="G12811" s="1">
        <v>5</v>
      </c>
    </row>
    <row r="12812" spans="1:7" ht="14.25" customHeight="1" x14ac:dyDescent="0.45">
      <c r="A12812" t="str">
        <f>_xlfn.XLOOKUP(B12812,Ingot!$H$12:$H$119,Ingot!$G$12:$G$119,"")</f>
        <v>Osso</v>
      </c>
      <c r="B12812" t="s">
        <v>25592</v>
      </c>
      <c r="C12812" t="s">
        <v>157</v>
      </c>
      <c r="D12812" t="s">
        <v>25747</v>
      </c>
      <c r="E12812" t="s">
        <v>25748</v>
      </c>
      <c r="G12812" s="1">
        <v>10</v>
      </c>
    </row>
    <row r="12813" spans="1:7" ht="14.25" customHeight="1" x14ac:dyDescent="0.45">
      <c r="A12813" t="str">
        <f>_xlfn.XLOOKUP(B12813,Ingot!$H$12:$H$119,Ingot!$G$12:$G$119,"")</f>
        <v>Osso</v>
      </c>
      <c r="B12813" t="s">
        <v>25592</v>
      </c>
      <c r="C12813" t="s">
        <v>157</v>
      </c>
      <c r="D12813" t="s">
        <v>25749</v>
      </c>
      <c r="E12813" t="s">
        <v>25750</v>
      </c>
      <c r="G12813" s="1">
        <v>17.07</v>
      </c>
    </row>
    <row r="12814" spans="1:7" ht="14.25" customHeight="1" x14ac:dyDescent="0.45">
      <c r="A12814" t="str">
        <f>_xlfn.XLOOKUP(B12814,Ingot!$H$12:$H$119,Ingot!$G$12:$G$119,"")</f>
        <v>Osso</v>
      </c>
      <c r="B12814" t="s">
        <v>25592</v>
      </c>
      <c r="C12814" t="s">
        <v>157</v>
      </c>
      <c r="D12814" t="s">
        <v>25751</v>
      </c>
      <c r="E12814" t="s">
        <v>25752</v>
      </c>
      <c r="G12814" s="1">
        <v>5</v>
      </c>
    </row>
    <row r="12815" spans="1:7" ht="14.25" customHeight="1" x14ac:dyDescent="0.45">
      <c r="A12815" t="str">
        <f>_xlfn.XLOOKUP(B12815,Ingot!$H$12:$H$119,Ingot!$G$12:$G$119,"")</f>
        <v>Osso</v>
      </c>
      <c r="B12815" t="s">
        <v>25592</v>
      </c>
      <c r="C12815" t="s">
        <v>157</v>
      </c>
      <c r="D12815" t="s">
        <v>25753</v>
      </c>
      <c r="E12815" t="s">
        <v>25754</v>
      </c>
      <c r="G12815" s="1">
        <v>5</v>
      </c>
    </row>
    <row r="12816" spans="1:7" ht="14.25" customHeight="1" x14ac:dyDescent="0.45">
      <c r="A12816" t="str">
        <f>_xlfn.XLOOKUP(B12816,Ingot!$H$12:$H$119,Ingot!$G$12:$G$119,"")</f>
        <v>Osso</v>
      </c>
      <c r="B12816" t="s">
        <v>25592</v>
      </c>
      <c r="C12816" t="s">
        <v>157</v>
      </c>
      <c r="D12816" t="s">
        <v>25755</v>
      </c>
      <c r="E12816" t="s">
        <v>25756</v>
      </c>
      <c r="G12816" s="1">
        <v>5</v>
      </c>
    </row>
    <row r="12817" spans="1:7" ht="14.25" customHeight="1" x14ac:dyDescent="0.45">
      <c r="A12817" t="str">
        <f>_xlfn.XLOOKUP(B12817,Ingot!$H$12:$H$119,Ingot!$G$12:$G$119,"")</f>
        <v>Osso</v>
      </c>
      <c r="B12817" t="s">
        <v>25592</v>
      </c>
      <c r="C12817" t="s">
        <v>157</v>
      </c>
      <c r="D12817" t="s">
        <v>25757</v>
      </c>
      <c r="E12817" t="s">
        <v>25758</v>
      </c>
      <c r="G12817" s="1">
        <v>10</v>
      </c>
    </row>
    <row r="12818" spans="1:7" ht="14.25" customHeight="1" x14ac:dyDescent="0.45">
      <c r="A12818" t="str">
        <f>_xlfn.XLOOKUP(B12818,Ingot!$H$12:$H$119,Ingot!$G$12:$G$119,"")</f>
        <v>Osso</v>
      </c>
      <c r="B12818" t="s">
        <v>25592</v>
      </c>
      <c r="C12818" t="s">
        <v>157</v>
      </c>
      <c r="D12818" t="s">
        <v>25759</v>
      </c>
      <c r="E12818" t="s">
        <v>25760</v>
      </c>
      <c r="F12818" t="s">
        <v>180</v>
      </c>
      <c r="G12818" s="1">
        <v>16.57</v>
      </c>
    </row>
    <row r="12819" spans="1:7" ht="14.25" customHeight="1" x14ac:dyDescent="0.45">
      <c r="A12819" t="str">
        <f>_xlfn.XLOOKUP(B12819,Ingot!$H$12:$H$119,Ingot!$G$12:$G$119,"")</f>
        <v>Osso</v>
      </c>
      <c r="B12819" t="s">
        <v>25592</v>
      </c>
      <c r="C12819" t="s">
        <v>157</v>
      </c>
      <c r="D12819" t="s">
        <v>25761</v>
      </c>
      <c r="E12819" t="s">
        <v>25762</v>
      </c>
      <c r="F12819" t="s">
        <v>180</v>
      </c>
      <c r="G12819" s="1">
        <v>5</v>
      </c>
    </row>
    <row r="12820" spans="1:7" ht="14.25" customHeight="1" x14ac:dyDescent="0.45">
      <c r="A12820" t="str">
        <f>_xlfn.XLOOKUP(B12820,Ingot!$H$12:$H$119,Ingot!$G$12:$G$119,"")</f>
        <v>Osso</v>
      </c>
      <c r="B12820" t="s">
        <v>25592</v>
      </c>
      <c r="C12820" t="s">
        <v>157</v>
      </c>
      <c r="D12820" t="s">
        <v>25763</v>
      </c>
      <c r="E12820" t="s">
        <v>25764</v>
      </c>
      <c r="F12820" t="s">
        <v>180</v>
      </c>
      <c r="G12820" s="1">
        <v>5</v>
      </c>
    </row>
    <row r="12821" spans="1:7" ht="14.25" customHeight="1" x14ac:dyDescent="0.45">
      <c r="A12821" t="str">
        <f>_xlfn.XLOOKUP(B12821,Ingot!$H$12:$H$119,Ingot!$G$12:$G$119,"")</f>
        <v>Osso</v>
      </c>
      <c r="B12821" t="s">
        <v>25592</v>
      </c>
      <c r="C12821" t="s">
        <v>157</v>
      </c>
      <c r="D12821" t="s">
        <v>25765</v>
      </c>
      <c r="E12821" t="s">
        <v>25766</v>
      </c>
      <c r="F12821" t="s">
        <v>180</v>
      </c>
      <c r="G12821" s="1">
        <v>5</v>
      </c>
    </row>
    <row r="12822" spans="1:7" ht="14.25" customHeight="1" x14ac:dyDescent="0.45">
      <c r="A12822" t="str">
        <f>_xlfn.XLOOKUP(B12822,Ingot!$H$12:$H$119,Ingot!$G$12:$G$119,"")</f>
        <v>Osso</v>
      </c>
      <c r="B12822" t="s">
        <v>25592</v>
      </c>
      <c r="C12822" t="s">
        <v>157</v>
      </c>
      <c r="D12822" t="s">
        <v>25767</v>
      </c>
      <c r="E12822" t="s">
        <v>25768</v>
      </c>
      <c r="F12822" t="s">
        <v>180</v>
      </c>
      <c r="G12822" s="1">
        <v>10</v>
      </c>
    </row>
    <row r="12823" spans="1:7" ht="14.25" customHeight="1" x14ac:dyDescent="0.45">
      <c r="A12823" t="str">
        <f>_xlfn.XLOOKUP(B12823,Ingot!$H$12:$H$119,Ingot!$G$12:$G$119,"")</f>
        <v>Osso</v>
      </c>
      <c r="B12823" t="s">
        <v>25592</v>
      </c>
      <c r="C12823" t="s">
        <v>157</v>
      </c>
      <c r="D12823" t="s">
        <v>25769</v>
      </c>
      <c r="E12823" t="s">
        <v>25770</v>
      </c>
      <c r="G12823" s="1">
        <v>18.07</v>
      </c>
    </row>
    <row r="12824" spans="1:7" ht="14.25" customHeight="1" x14ac:dyDescent="0.45">
      <c r="A12824" t="str">
        <f>_xlfn.XLOOKUP(B12824,Ingot!$H$12:$H$119,Ingot!$G$12:$G$119,"")</f>
        <v>Osso</v>
      </c>
      <c r="B12824" t="s">
        <v>25592</v>
      </c>
      <c r="C12824" t="s">
        <v>157</v>
      </c>
      <c r="D12824" t="s">
        <v>25771</v>
      </c>
      <c r="E12824" t="s">
        <v>25772</v>
      </c>
      <c r="G12824" s="1">
        <v>5</v>
      </c>
    </row>
    <row r="12825" spans="1:7" ht="14.25" customHeight="1" x14ac:dyDescent="0.45">
      <c r="A12825" t="str">
        <f>_xlfn.XLOOKUP(B12825,Ingot!$H$12:$H$119,Ingot!$G$12:$G$119,"")</f>
        <v>Osso</v>
      </c>
      <c r="B12825" t="s">
        <v>25592</v>
      </c>
      <c r="C12825" t="s">
        <v>157</v>
      </c>
      <c r="D12825" t="s">
        <v>25773</v>
      </c>
      <c r="E12825" t="s">
        <v>25774</v>
      </c>
      <c r="G12825" s="1">
        <v>5</v>
      </c>
    </row>
    <row r="12826" spans="1:7" ht="14.25" customHeight="1" x14ac:dyDescent="0.45">
      <c r="A12826" t="str">
        <f>_xlfn.XLOOKUP(B12826,Ingot!$H$12:$H$119,Ingot!$G$12:$G$119,"")</f>
        <v>Osso</v>
      </c>
      <c r="B12826" t="s">
        <v>25592</v>
      </c>
      <c r="C12826" t="s">
        <v>157</v>
      </c>
      <c r="D12826" t="s">
        <v>25775</v>
      </c>
      <c r="E12826" t="s">
        <v>25776</v>
      </c>
      <c r="G12826" s="1">
        <v>5</v>
      </c>
    </row>
    <row r="12827" spans="1:7" ht="14.25" customHeight="1" x14ac:dyDescent="0.45">
      <c r="A12827" t="str">
        <f>_xlfn.XLOOKUP(B12827,Ingot!$H$12:$H$119,Ingot!$G$12:$G$119,"")</f>
        <v>Osso</v>
      </c>
      <c r="B12827" t="s">
        <v>25592</v>
      </c>
      <c r="C12827" t="s">
        <v>157</v>
      </c>
      <c r="D12827" t="s">
        <v>25777</v>
      </c>
      <c r="E12827" t="s">
        <v>25778</v>
      </c>
      <c r="G12827" s="1">
        <v>10</v>
      </c>
    </row>
    <row r="12828" spans="1:7" ht="14.25" customHeight="1" x14ac:dyDescent="0.45">
      <c r="A12828" t="str">
        <f>_xlfn.XLOOKUP(B12828,Ingot!$H$12:$H$119,Ingot!$G$12:$G$119,"")</f>
        <v>Osso</v>
      </c>
      <c r="B12828" t="s">
        <v>25592</v>
      </c>
      <c r="C12828" t="s">
        <v>157</v>
      </c>
      <c r="D12828" t="s">
        <v>25779</v>
      </c>
      <c r="E12828" t="s">
        <v>25780</v>
      </c>
      <c r="G12828" s="1">
        <v>19.07</v>
      </c>
    </row>
    <row r="12829" spans="1:7" ht="14.25" customHeight="1" x14ac:dyDescent="0.45">
      <c r="A12829" t="str">
        <f>_xlfn.XLOOKUP(B12829,Ingot!$H$12:$H$119,Ingot!$G$12:$G$119,"")</f>
        <v>Osso</v>
      </c>
      <c r="B12829" t="s">
        <v>25592</v>
      </c>
      <c r="C12829" t="s">
        <v>157</v>
      </c>
      <c r="D12829" t="s">
        <v>25781</v>
      </c>
      <c r="E12829" t="s">
        <v>25782</v>
      </c>
      <c r="F12829" t="s">
        <v>180</v>
      </c>
      <c r="G12829" s="1">
        <v>5</v>
      </c>
    </row>
    <row r="12830" spans="1:7" ht="14.25" customHeight="1" x14ac:dyDescent="0.45">
      <c r="A12830" t="str">
        <f>_xlfn.XLOOKUP(B12830,Ingot!$H$12:$H$119,Ingot!$G$12:$G$119,"")</f>
        <v>Osso</v>
      </c>
      <c r="B12830" t="s">
        <v>25592</v>
      </c>
      <c r="C12830" t="s">
        <v>157</v>
      </c>
      <c r="D12830" t="s">
        <v>25783</v>
      </c>
      <c r="E12830" t="s">
        <v>25784</v>
      </c>
      <c r="F12830" t="s">
        <v>180</v>
      </c>
      <c r="G12830" s="1">
        <v>5</v>
      </c>
    </row>
    <row r="12831" spans="1:7" ht="14.25" customHeight="1" x14ac:dyDescent="0.45">
      <c r="A12831" t="str">
        <f>_xlfn.XLOOKUP(B12831,Ingot!$H$12:$H$119,Ingot!$G$12:$G$119,"")</f>
        <v>Osso</v>
      </c>
      <c r="B12831" t="s">
        <v>25592</v>
      </c>
      <c r="C12831" t="s">
        <v>157</v>
      </c>
      <c r="D12831" t="s">
        <v>25785</v>
      </c>
      <c r="E12831" t="s">
        <v>25786</v>
      </c>
      <c r="F12831" t="s">
        <v>180</v>
      </c>
      <c r="G12831" s="1">
        <v>5</v>
      </c>
    </row>
    <row r="12832" spans="1:7" ht="14.25" customHeight="1" x14ac:dyDescent="0.45">
      <c r="A12832" t="str">
        <f>_xlfn.XLOOKUP(B12832,Ingot!$H$12:$H$119,Ingot!$G$12:$G$119,"")</f>
        <v>Osso</v>
      </c>
      <c r="B12832" t="s">
        <v>25592</v>
      </c>
      <c r="C12832" t="s">
        <v>157</v>
      </c>
      <c r="D12832" t="s">
        <v>25787</v>
      </c>
      <c r="E12832" t="s">
        <v>25788</v>
      </c>
      <c r="G12832" s="1">
        <v>10</v>
      </c>
    </row>
    <row r="12833" spans="1:10" ht="14.25" customHeight="1" x14ac:dyDescent="0.45">
      <c r="A12833" t="str">
        <f>_xlfn.XLOOKUP(B12833,Ingot!$H$12:$H$119,Ingot!$G$12:$G$119,"")</f>
        <v>Osso</v>
      </c>
      <c r="B12833" t="s">
        <v>25592</v>
      </c>
      <c r="C12833" t="s">
        <v>157</v>
      </c>
      <c r="D12833" t="s">
        <v>25789</v>
      </c>
      <c r="E12833" t="s">
        <v>25790</v>
      </c>
      <c r="G12833" s="1">
        <v>23.07</v>
      </c>
    </row>
    <row r="12834" spans="1:10" ht="14.25" customHeight="1" x14ac:dyDescent="0.45">
      <c r="A12834" t="str">
        <f>_xlfn.XLOOKUP(B12834,Ingot!$H$12:$H$119,Ingot!$G$12:$G$119,"")</f>
        <v>Osso</v>
      </c>
      <c r="B12834" t="s">
        <v>25592</v>
      </c>
      <c r="C12834" t="s">
        <v>157</v>
      </c>
      <c r="D12834" t="s">
        <v>25791</v>
      </c>
      <c r="E12834" t="s">
        <v>25792</v>
      </c>
      <c r="G12834" s="1">
        <v>5</v>
      </c>
    </row>
    <row r="12835" spans="1:10" ht="14.25" customHeight="1" x14ac:dyDescent="0.45">
      <c r="A12835" t="str">
        <f>_xlfn.XLOOKUP(B12835,Ingot!$H$12:$H$119,Ingot!$G$12:$G$119,"")</f>
        <v>Osso</v>
      </c>
      <c r="B12835" t="s">
        <v>25592</v>
      </c>
      <c r="C12835" t="s">
        <v>157</v>
      </c>
      <c r="D12835" t="s">
        <v>25793</v>
      </c>
      <c r="E12835" t="s">
        <v>25794</v>
      </c>
      <c r="G12835" s="1">
        <v>5</v>
      </c>
    </row>
    <row r="12836" spans="1:10" ht="14.25" customHeight="1" x14ac:dyDescent="0.45">
      <c r="A12836" t="str">
        <f>_xlfn.XLOOKUP(B12836,Ingot!$H$12:$H$119,Ingot!$G$12:$G$119,"")</f>
        <v>Osso</v>
      </c>
      <c r="B12836" t="s">
        <v>25592</v>
      </c>
      <c r="C12836" t="s">
        <v>157</v>
      </c>
      <c r="D12836" t="s">
        <v>25795</v>
      </c>
      <c r="E12836" t="s">
        <v>25796</v>
      </c>
      <c r="G12836" s="1">
        <v>5</v>
      </c>
    </row>
    <row r="12837" spans="1:10" ht="14.25" customHeight="1" x14ac:dyDescent="0.45">
      <c r="A12837" t="str">
        <f>_xlfn.XLOOKUP(B12837,Ingot!$H$12:$H$119,Ingot!$G$12:$G$119,"")</f>
        <v>Osso</v>
      </c>
      <c r="B12837" t="s">
        <v>25592</v>
      </c>
      <c r="C12837" t="s">
        <v>157</v>
      </c>
      <c r="D12837" t="s">
        <v>25797</v>
      </c>
      <c r="E12837" t="s">
        <v>25798</v>
      </c>
      <c r="G12837" s="1">
        <v>10</v>
      </c>
    </row>
    <row r="12838" spans="1:10" ht="14.25" customHeight="1" x14ac:dyDescent="0.45">
      <c r="A12838" t="str">
        <f>_xlfn.XLOOKUP(B12838,Ingot!$H$12:$H$119,Ingot!$G$12:$G$119,"")</f>
        <v>Osso</v>
      </c>
      <c r="B12838" t="s">
        <v>25592</v>
      </c>
      <c r="C12838" t="s">
        <v>157</v>
      </c>
      <c r="D12838" t="s">
        <v>25799</v>
      </c>
      <c r="E12838" t="s">
        <v>25800</v>
      </c>
      <c r="G12838" s="1">
        <v>22.07</v>
      </c>
    </row>
    <row r="12839" spans="1:10" ht="14.25" customHeight="1" x14ac:dyDescent="0.45">
      <c r="A12839" t="str">
        <f>_xlfn.XLOOKUP(B12839,Ingot!$H$12:$H$119,Ingot!$G$12:$G$119,"")</f>
        <v>Osso</v>
      </c>
      <c r="B12839" t="s">
        <v>25592</v>
      </c>
      <c r="C12839" t="s">
        <v>157</v>
      </c>
      <c r="D12839" t="s">
        <v>25801</v>
      </c>
      <c r="E12839" t="s">
        <v>25802</v>
      </c>
      <c r="G12839" s="1">
        <v>5</v>
      </c>
    </row>
    <row r="12840" spans="1:10" ht="14.25" customHeight="1" x14ac:dyDescent="0.45">
      <c r="A12840" t="str">
        <f>_xlfn.XLOOKUP(B12840,Ingot!$H$12:$H$119,Ingot!$G$12:$G$119,"")</f>
        <v>Osso</v>
      </c>
      <c r="B12840" t="s">
        <v>25592</v>
      </c>
      <c r="C12840" t="s">
        <v>157</v>
      </c>
      <c r="D12840" t="s">
        <v>25803</v>
      </c>
      <c r="E12840" t="s">
        <v>25804</v>
      </c>
      <c r="G12840" s="1">
        <v>5</v>
      </c>
    </row>
    <row r="12841" spans="1:10" ht="14.25" customHeight="1" x14ac:dyDescent="0.45">
      <c r="A12841" t="str">
        <f>_xlfn.XLOOKUP(B12841,Ingot!$H$12:$H$119,Ingot!$G$12:$G$119,"")</f>
        <v>Osso</v>
      </c>
      <c r="B12841" t="s">
        <v>25592</v>
      </c>
      <c r="C12841" t="s">
        <v>157</v>
      </c>
      <c r="D12841" t="s">
        <v>25805</v>
      </c>
      <c r="E12841" t="s">
        <v>25806</v>
      </c>
      <c r="G12841" s="1">
        <v>5</v>
      </c>
    </row>
    <row r="12842" spans="1:10" ht="14.25" customHeight="1" x14ac:dyDescent="0.45">
      <c r="A12842" t="str">
        <f>_xlfn.XLOOKUP(B12842,Ingot!$H$12:$H$119,Ingot!$G$12:$G$119,"")</f>
        <v>Osso</v>
      </c>
      <c r="B12842" t="s">
        <v>25592</v>
      </c>
      <c r="C12842" t="s">
        <v>157</v>
      </c>
      <c r="D12842" t="s">
        <v>25807</v>
      </c>
      <c r="E12842" t="s">
        <v>25808</v>
      </c>
      <c r="G12842" s="1">
        <v>10</v>
      </c>
      <c r="J12842" t="s">
        <v>25809</v>
      </c>
    </row>
    <row r="12843" spans="1:10" ht="14.25" customHeight="1" x14ac:dyDescent="0.45">
      <c r="A12843" t="str">
        <f>_xlfn.XLOOKUP(B12843,Ingot!$H$12:$H$119,Ingot!$G$12:$G$119,"")</f>
        <v>Osso</v>
      </c>
      <c r="B12843" t="s">
        <v>25592</v>
      </c>
      <c r="C12843" t="s">
        <v>157</v>
      </c>
      <c r="D12843" t="s">
        <v>25810</v>
      </c>
      <c r="E12843" t="s">
        <v>25811</v>
      </c>
      <c r="F12843" t="s">
        <v>180</v>
      </c>
      <c r="G12843" s="1">
        <v>16.07</v>
      </c>
    </row>
    <row r="12844" spans="1:10" ht="14.25" customHeight="1" x14ac:dyDescent="0.45">
      <c r="A12844" t="str">
        <f>_xlfn.XLOOKUP(B12844,Ingot!$H$12:$H$119,Ingot!$G$12:$G$119,"")</f>
        <v>Osso</v>
      </c>
      <c r="B12844" t="s">
        <v>25592</v>
      </c>
      <c r="C12844" t="s">
        <v>157</v>
      </c>
      <c r="D12844" t="s">
        <v>25812</v>
      </c>
      <c r="E12844" t="s">
        <v>25813</v>
      </c>
      <c r="F12844" t="s">
        <v>180</v>
      </c>
      <c r="G12844" s="1">
        <v>5</v>
      </c>
    </row>
    <row r="12845" spans="1:10" ht="14.25" customHeight="1" x14ac:dyDescent="0.45">
      <c r="A12845" t="str">
        <f>_xlfn.XLOOKUP(B12845,Ingot!$H$12:$H$119,Ingot!$G$12:$G$119,"")</f>
        <v>Osso</v>
      </c>
      <c r="B12845" t="s">
        <v>25592</v>
      </c>
      <c r="C12845" t="s">
        <v>157</v>
      </c>
      <c r="D12845" t="s">
        <v>25814</v>
      </c>
      <c r="E12845" t="s">
        <v>25815</v>
      </c>
      <c r="F12845" t="s">
        <v>180</v>
      </c>
      <c r="G12845" s="1">
        <v>5</v>
      </c>
    </row>
    <row r="12846" spans="1:10" ht="14.25" customHeight="1" x14ac:dyDescent="0.45">
      <c r="A12846" t="str">
        <f>_xlfn.XLOOKUP(B12846,Ingot!$H$12:$H$119,Ingot!$G$12:$G$119,"")</f>
        <v>Osso</v>
      </c>
      <c r="B12846" t="s">
        <v>25592</v>
      </c>
      <c r="C12846" t="s">
        <v>157</v>
      </c>
      <c r="D12846" t="s">
        <v>25816</v>
      </c>
      <c r="E12846" t="s">
        <v>25817</v>
      </c>
      <c r="F12846" t="s">
        <v>180</v>
      </c>
      <c r="G12846" s="1">
        <v>5</v>
      </c>
    </row>
    <row r="12847" spans="1:10" ht="14.25" customHeight="1" x14ac:dyDescent="0.45">
      <c r="A12847" t="str">
        <f>_xlfn.XLOOKUP(B12847,Ingot!$H$12:$H$119,Ingot!$G$12:$G$119,"")</f>
        <v>Osso</v>
      </c>
      <c r="B12847" t="s">
        <v>25592</v>
      </c>
      <c r="C12847" t="s">
        <v>157</v>
      </c>
      <c r="D12847" t="s">
        <v>25818</v>
      </c>
      <c r="E12847" t="s">
        <v>25819</v>
      </c>
      <c r="F12847" t="s">
        <v>180</v>
      </c>
      <c r="G12847" s="1">
        <v>10</v>
      </c>
    </row>
    <row r="12848" spans="1:10" ht="14.25" customHeight="1" x14ac:dyDescent="0.45">
      <c r="A12848" t="str">
        <f>_xlfn.XLOOKUP(B12848,Ingot!$H$12:$H$119,Ingot!$G$12:$G$119,"")</f>
        <v>Osso</v>
      </c>
      <c r="B12848" t="s">
        <v>25592</v>
      </c>
      <c r="C12848" t="s">
        <v>239</v>
      </c>
      <c r="D12848" t="s">
        <v>25820</v>
      </c>
      <c r="E12848" t="s">
        <v>25821</v>
      </c>
      <c r="G12848" s="1">
        <f>(VLOOKUP(B12848,Ingot!H:I,2,FALSE()) * 0.75) * 0.75</f>
        <v>3.9375</v>
      </c>
    </row>
    <row r="12849" spans="1:7" ht="14.25" customHeight="1" x14ac:dyDescent="0.45">
      <c r="A12849" t="str">
        <f>_xlfn.XLOOKUP(B12849,Ingot!$H$12:$H$119,Ingot!$G$12:$G$119,"")</f>
        <v>Osso</v>
      </c>
      <c r="B12849" t="s">
        <v>25592</v>
      </c>
      <c r="C12849" t="s">
        <v>239</v>
      </c>
      <c r="D12849" t="s">
        <v>25822</v>
      </c>
      <c r="E12849" t="s">
        <v>25823</v>
      </c>
      <c r="G12849" s="1">
        <f>((VLOOKUP(B12849,Ingot!H:I,2,FALSE()) * 3) - 10.25) * 0.421875</f>
        <v>4.53515625</v>
      </c>
    </row>
    <row r="12850" spans="1:7" ht="14.25" customHeight="1" x14ac:dyDescent="0.45">
      <c r="A12850" t="str">
        <f>_xlfn.XLOOKUP(B12850,Ingot!$H$12:$H$119,Ingot!$G$12:$G$119,"")</f>
        <v>Osso</v>
      </c>
      <c r="B12850" t="s">
        <v>25592</v>
      </c>
      <c r="C12850" t="s">
        <v>239</v>
      </c>
      <c r="D12850" t="s">
        <v>25824</v>
      </c>
      <c r="E12850" t="s">
        <v>25825</v>
      </c>
      <c r="G12850" s="1">
        <f>((VLOOKUP(B12850,Ingot!H:I,2,FALSE()) * 3) - 10.25) * 0.75</f>
        <v>8.0625</v>
      </c>
    </row>
    <row r="12851" spans="1:7" ht="14.25" customHeight="1" x14ac:dyDescent="0.45">
      <c r="A12851" t="str">
        <f>_xlfn.XLOOKUP(B12851,Ingot!$H$12:$H$119,Ingot!$G$12:$G$119,"")</f>
        <v>Osso</v>
      </c>
      <c r="B12851" t="s">
        <v>25592</v>
      </c>
      <c r="C12851" t="s">
        <v>239</v>
      </c>
      <c r="D12851" t="s">
        <v>25826</v>
      </c>
      <c r="E12851" t="s">
        <v>25827</v>
      </c>
      <c r="G12851" s="1">
        <f>((VLOOKUP(B12851,Ingot!H:I,2,FALSE()) * 3) - 10.25) * 0.5625</f>
        <v>6.046875</v>
      </c>
    </row>
    <row r="12852" spans="1:7" ht="14.25" customHeight="1" x14ac:dyDescent="0.45">
      <c r="A12852" t="str">
        <f>_xlfn.XLOOKUP(B12852,Ingot!$H$12:$H$119,Ingot!$G$12:$G$119,"")</f>
        <v>Osso</v>
      </c>
      <c r="B12852" t="s">
        <v>25592</v>
      </c>
      <c r="C12852" t="s">
        <v>239</v>
      </c>
      <c r="D12852" t="s">
        <v>25828</v>
      </c>
      <c r="E12852" t="s">
        <v>25829</v>
      </c>
      <c r="G12852" s="1">
        <f>VLOOKUP(B12852,Ingot!H:I,2,FALSE()) * 0.75</f>
        <v>5.25</v>
      </c>
    </row>
    <row r="12853" spans="1:7" ht="14.25" customHeight="1" x14ac:dyDescent="0.45">
      <c r="A12853" t="str">
        <f>_xlfn.XLOOKUP(B12853,Ingot!$H$12:$H$119,Ingot!$G$12:$G$119,"")</f>
        <v>Osso</v>
      </c>
      <c r="B12853" t="s">
        <v>25592</v>
      </c>
      <c r="C12853" t="s">
        <v>239</v>
      </c>
      <c r="D12853" t="s">
        <v>25830</v>
      </c>
      <c r="E12853" t="s">
        <v>25831</v>
      </c>
      <c r="G12853" s="1">
        <f>(VLOOKUP(B12853,Ingot!H:I,2,FALSE()) * 3) - 10.25</f>
        <v>10.75</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82ADC-4840-470F-A8CC-0585BFF9F5EF}">
  <dimension ref="A1:M178"/>
  <sheetViews>
    <sheetView tabSelected="1" topLeftCell="A24" workbookViewId="0">
      <selection activeCell="A20" sqref="A20"/>
    </sheetView>
  </sheetViews>
  <sheetFormatPr defaultRowHeight="14.25" x14ac:dyDescent="0.45"/>
  <cols>
    <col min="1" max="1" width="22.1328125" bestFit="1" customWidth="1"/>
    <col min="2" max="2" width="10.265625" customWidth="1"/>
    <col min="3" max="4" width="11.19921875" customWidth="1"/>
    <col min="6" max="6" width="20.06640625" customWidth="1"/>
    <col min="7" max="7" width="9.86328125" customWidth="1"/>
    <col min="8" max="8" width="12.46484375" customWidth="1"/>
    <col min="9" max="9" width="39.1328125" customWidth="1"/>
    <col min="10" max="10" width="12.46484375" customWidth="1"/>
    <col min="11" max="11" width="56.86328125" customWidth="1"/>
    <col min="12" max="12" width="23.1328125" customWidth="1"/>
  </cols>
  <sheetData>
    <row r="1" spans="1:13" ht="17.25" thickTop="1" x14ac:dyDescent="0.5">
      <c r="A1" t="s">
        <v>26162</v>
      </c>
      <c r="B1" s="28" t="s">
        <v>0</v>
      </c>
      <c r="C1" s="29" t="s">
        <v>1</v>
      </c>
      <c r="D1" t="s">
        <v>25914</v>
      </c>
      <c r="E1" t="s">
        <v>25919</v>
      </c>
      <c r="F1" t="s">
        <v>25915</v>
      </c>
      <c r="G1" t="s">
        <v>25916</v>
      </c>
      <c r="H1" t="s">
        <v>25840</v>
      </c>
      <c r="I1" s="45" t="s">
        <v>26054</v>
      </c>
      <c r="J1" s="46"/>
      <c r="K1" s="46"/>
      <c r="L1" s="46"/>
      <c r="M1" s="47"/>
    </row>
    <row r="2" spans="1:13" x14ac:dyDescent="0.45">
      <c r="A2" s="71" t="s">
        <v>26163</v>
      </c>
      <c r="B2" t="str">
        <f>IFERROR(_xlfn.XLOOKUP(C2,Table2[Craft],Table2[Category]),"")</f>
        <v>Leather</v>
      </c>
      <c r="C2" s="27" t="s">
        <v>17703</v>
      </c>
      <c r="E2" s="1"/>
      <c r="I2" s="30" t="s">
        <v>26055</v>
      </c>
      <c r="J2" s="31" t="s">
        <v>26056</v>
      </c>
      <c r="K2" s="31" t="s">
        <v>26057</v>
      </c>
      <c r="L2" s="31" t="s">
        <v>26058</v>
      </c>
      <c r="M2" s="32" t="s">
        <v>26059</v>
      </c>
    </row>
    <row r="3" spans="1:13" ht="28.5" x14ac:dyDescent="0.45">
      <c r="A3" s="71" t="s">
        <v>26163</v>
      </c>
      <c r="B3" t="str">
        <f>IFERROR(_xlfn.XLOOKUP(C3,Table2[Craft],Table2[Category]),"")</f>
        <v/>
      </c>
      <c r="C3" t="s">
        <v>25870</v>
      </c>
      <c r="E3" s="1"/>
      <c r="I3" s="37">
        <v>0</v>
      </c>
      <c r="J3" s="38" t="s">
        <v>26060</v>
      </c>
      <c r="K3" s="38" t="s">
        <v>25976</v>
      </c>
      <c r="L3" s="39" t="s">
        <v>26061</v>
      </c>
      <c r="M3" s="40" t="s">
        <v>26062</v>
      </c>
    </row>
    <row r="4" spans="1:13" ht="42.75" x14ac:dyDescent="0.45">
      <c r="A4" s="71" t="s">
        <v>26089</v>
      </c>
      <c r="B4" t="str">
        <f>IFERROR(_xlfn.XLOOKUP(C4,Table2[Craft],Table2[Category]),"")</f>
        <v>Metal</v>
      </c>
      <c r="C4" t="s">
        <v>9</v>
      </c>
      <c r="D4" t="s">
        <v>1</v>
      </c>
      <c r="E4" s="1">
        <v>4</v>
      </c>
      <c r="F4" t="s">
        <v>26001</v>
      </c>
      <c r="G4" t="s">
        <v>25917</v>
      </c>
      <c r="I4" s="37">
        <v>1</v>
      </c>
      <c r="J4" s="38" t="s">
        <v>26063</v>
      </c>
      <c r="K4" s="38" t="s">
        <v>26064</v>
      </c>
      <c r="L4" s="39" t="s">
        <v>26065</v>
      </c>
      <c r="M4" s="40" t="s">
        <v>26066</v>
      </c>
    </row>
    <row r="5" spans="1:13" ht="14.25" customHeight="1" x14ac:dyDescent="0.45">
      <c r="A5" s="71" t="s">
        <v>26160</v>
      </c>
      <c r="B5" t="str">
        <f>IFERROR(_xlfn.XLOOKUP(C5,Table2[Craft],Table2[Category]),"")</f>
        <v>Glass</v>
      </c>
      <c r="C5" t="s">
        <v>20572</v>
      </c>
      <c r="D5" t="s">
        <v>1</v>
      </c>
      <c r="E5" s="1">
        <v>3</v>
      </c>
      <c r="G5" t="s">
        <v>1</v>
      </c>
      <c r="I5" s="37">
        <v>2</v>
      </c>
      <c r="J5" s="38" t="s">
        <v>26067</v>
      </c>
      <c r="K5" s="38" t="s">
        <v>26064</v>
      </c>
      <c r="L5" s="39" t="s">
        <v>26068</v>
      </c>
      <c r="M5" s="40" t="s">
        <v>26069</v>
      </c>
    </row>
    <row r="6" spans="1:13" ht="13.9" customHeight="1" x14ac:dyDescent="0.45">
      <c r="A6" s="71" t="s">
        <v>26163</v>
      </c>
      <c r="B6" t="str">
        <f>IFERROR(_xlfn.XLOOKUP(C6,Table2[Craft],Table2[Category]),"")</f>
        <v/>
      </c>
      <c r="C6" t="s">
        <v>25871</v>
      </c>
      <c r="E6" s="1"/>
      <c r="I6" s="37">
        <v>3</v>
      </c>
      <c r="J6" s="38" t="s">
        <v>26070</v>
      </c>
      <c r="K6" s="38" t="s">
        <v>26071</v>
      </c>
      <c r="L6" s="39" t="s">
        <v>26072</v>
      </c>
      <c r="M6" s="40" t="s">
        <v>26073</v>
      </c>
    </row>
    <row r="7" spans="1:13" ht="15" customHeight="1" x14ac:dyDescent="0.45">
      <c r="A7" s="71" t="s">
        <v>26093</v>
      </c>
      <c r="B7" t="str">
        <f>IFERROR(_xlfn.XLOOKUP(C7,Table2[Craft],Table2[Category]),"")</f>
        <v>Metal</v>
      </c>
      <c r="C7" t="s">
        <v>252</v>
      </c>
      <c r="D7" t="s">
        <v>25864</v>
      </c>
      <c r="E7" s="1"/>
      <c r="F7" t="s">
        <v>25923</v>
      </c>
      <c r="I7" s="37">
        <v>4</v>
      </c>
      <c r="J7" s="38" t="s">
        <v>26074</v>
      </c>
      <c r="K7" s="38" t="s">
        <v>26075</v>
      </c>
      <c r="L7" s="39" t="s">
        <v>26076</v>
      </c>
      <c r="M7" s="40" t="s">
        <v>26077</v>
      </c>
    </row>
    <row r="8" spans="1:13" ht="15" customHeight="1" x14ac:dyDescent="0.45">
      <c r="A8" s="71" t="s">
        <v>26163</v>
      </c>
      <c r="B8" t="str">
        <f>IFERROR(_xlfn.XLOOKUP(C8,Table2[Craft],Table2[Category]),"")</f>
        <v/>
      </c>
      <c r="C8" t="s">
        <v>25872</v>
      </c>
      <c r="E8" s="1"/>
      <c r="I8" s="37">
        <v>5</v>
      </c>
      <c r="J8" s="38" t="s">
        <v>26078</v>
      </c>
      <c r="K8" s="38" t="s">
        <v>26079</v>
      </c>
      <c r="L8" s="39" t="s">
        <v>26080</v>
      </c>
      <c r="M8" s="40" t="s">
        <v>26081</v>
      </c>
    </row>
    <row r="9" spans="1:13" ht="17.649999999999999" customHeight="1" thickBot="1" x14ac:dyDescent="0.5">
      <c r="A9" s="71" t="s">
        <v>26160</v>
      </c>
      <c r="B9" t="str">
        <f>IFERROR(_xlfn.XLOOKUP(C9,Table2[Craft],Table2[Category]),"")</f>
        <v>Wood</v>
      </c>
      <c r="C9" t="s">
        <v>5990</v>
      </c>
      <c r="D9" t="s">
        <v>1</v>
      </c>
      <c r="E9" s="1">
        <v>1</v>
      </c>
      <c r="G9" t="s">
        <v>25921</v>
      </c>
      <c r="I9" s="41">
        <v>6</v>
      </c>
      <c r="J9" s="42" t="s">
        <v>26082</v>
      </c>
      <c r="K9" s="42" t="s">
        <v>26083</v>
      </c>
      <c r="L9" s="43" t="s">
        <v>26084</v>
      </c>
      <c r="M9" s="44" t="s">
        <v>26085</v>
      </c>
    </row>
    <row r="10" spans="1:13" ht="15" thickTop="1" thickBot="1" x14ac:dyDescent="0.5">
      <c r="A10" s="71" t="s">
        <v>26101</v>
      </c>
      <c r="B10" t="str">
        <f>IFERROR(_xlfn.XLOOKUP(C10,Table2[Craft],Table2[Category]),"")</f>
        <v>Metal</v>
      </c>
      <c r="C10" t="s">
        <v>491</v>
      </c>
      <c r="D10" t="s">
        <v>25865</v>
      </c>
      <c r="E10" s="1">
        <v>5</v>
      </c>
      <c r="F10" t="s">
        <v>25925</v>
      </c>
    </row>
    <row r="11" spans="1:13" ht="16.899999999999999" x14ac:dyDescent="0.5">
      <c r="A11" s="71" t="s">
        <v>26099</v>
      </c>
      <c r="B11" t="str">
        <f>IFERROR(_xlfn.XLOOKUP(C11,Table2[Craft],Table2[Category]),"")</f>
        <v>Metal</v>
      </c>
      <c r="C11" t="s">
        <v>730</v>
      </c>
      <c r="D11" t="s">
        <v>25866</v>
      </c>
      <c r="E11" s="1">
        <v>3</v>
      </c>
      <c r="F11" t="s">
        <v>26005</v>
      </c>
      <c r="G11" t="s">
        <v>25922</v>
      </c>
      <c r="I11" s="63" t="s">
        <v>26086</v>
      </c>
      <c r="J11" s="64"/>
    </row>
    <row r="12" spans="1:13" x14ac:dyDescent="0.45">
      <c r="A12" s="71" t="s">
        <v>26160</v>
      </c>
      <c r="B12" t="str">
        <f>IFERROR(_xlfn.XLOOKUP(C12,Table2[Craft],Table2[Category]),"")</f>
        <v/>
      </c>
      <c r="C12" t="s">
        <v>25875</v>
      </c>
      <c r="D12" t="s">
        <v>1</v>
      </c>
      <c r="E12" s="1">
        <v>5</v>
      </c>
      <c r="G12" t="s">
        <v>25976</v>
      </c>
      <c r="I12" s="65" t="s">
        <v>26087</v>
      </c>
      <c r="J12" s="66" t="s">
        <v>26088</v>
      </c>
    </row>
    <row r="13" spans="1:13" x14ac:dyDescent="0.45">
      <c r="A13" s="71" t="s">
        <v>26160</v>
      </c>
      <c r="B13" t="str">
        <f>IFERROR(_xlfn.XLOOKUP(C13,Table2[Craft],Table2[Category]),"")</f>
        <v>Glass</v>
      </c>
      <c r="C13" t="s">
        <v>20811</v>
      </c>
      <c r="D13" t="s">
        <v>25995</v>
      </c>
      <c r="E13" s="1">
        <v>4</v>
      </c>
      <c r="G13" t="s">
        <v>25996</v>
      </c>
      <c r="I13" s="67" t="s">
        <v>26089</v>
      </c>
      <c r="J13" s="68" t="s">
        <v>26090</v>
      </c>
    </row>
    <row r="14" spans="1:13" x14ac:dyDescent="0.45">
      <c r="A14" s="71" t="s">
        <v>26160</v>
      </c>
      <c r="B14" t="str">
        <f>IFERROR(_xlfn.XLOOKUP(C14,Table2[Craft],Table2[Category]),"")</f>
        <v>Wood</v>
      </c>
      <c r="C14" t="s">
        <v>6229</v>
      </c>
      <c r="D14" t="s">
        <v>1</v>
      </c>
      <c r="E14" s="1">
        <v>1</v>
      </c>
      <c r="G14" t="s">
        <v>25921</v>
      </c>
      <c r="I14" s="67" t="s">
        <v>26091</v>
      </c>
      <c r="J14" s="68" t="s">
        <v>26092</v>
      </c>
    </row>
    <row r="15" spans="1:13" x14ac:dyDescent="0.45">
      <c r="A15" s="71" t="s">
        <v>26160</v>
      </c>
      <c r="B15" t="str">
        <f>IFERROR(_xlfn.XLOOKUP(C15,Table2[Craft],Table2[Category]),"")</f>
        <v>Wood</v>
      </c>
      <c r="C15" t="s">
        <v>6468</v>
      </c>
      <c r="E15" s="1"/>
      <c r="I15" s="67" t="s">
        <v>26093</v>
      </c>
      <c r="J15" s="68" t="s">
        <v>26094</v>
      </c>
    </row>
    <row r="16" spans="1:13" x14ac:dyDescent="0.45">
      <c r="A16" s="71" t="s">
        <v>26160</v>
      </c>
      <c r="B16" t="str">
        <f>IFERROR(_xlfn.XLOOKUP(C16,Table2[Craft],Table2[Category]),"")</f>
        <v>Wood</v>
      </c>
      <c r="C16" t="s">
        <v>6707</v>
      </c>
      <c r="E16" s="1"/>
      <c r="I16" s="67" t="s">
        <v>26095</v>
      </c>
      <c r="J16" s="68" t="s">
        <v>26096</v>
      </c>
    </row>
    <row r="17" spans="1:10" x14ac:dyDescent="0.45">
      <c r="A17" s="71" t="s">
        <v>26160</v>
      </c>
      <c r="B17" t="str">
        <f>IFERROR(_xlfn.XLOOKUP(C17,Table2[Craft],Table2[Category]),"")</f>
        <v>Stone</v>
      </c>
      <c r="C17" t="s">
        <v>11726</v>
      </c>
      <c r="D17" t="s">
        <v>25866</v>
      </c>
      <c r="E17" s="1">
        <v>3</v>
      </c>
      <c r="G17" t="s">
        <v>25920</v>
      </c>
      <c r="I17" s="67" t="s">
        <v>26097</v>
      </c>
      <c r="J17" s="68" t="s">
        <v>26098</v>
      </c>
    </row>
    <row r="18" spans="1:10" x14ac:dyDescent="0.45">
      <c r="A18" s="71" t="s">
        <v>26160</v>
      </c>
      <c r="B18" t="str">
        <f>IFERROR(_xlfn.XLOOKUP(C18,Table2[Craft],Table2[Category]),"")</f>
        <v>Wood</v>
      </c>
      <c r="C18" t="s">
        <v>6946</v>
      </c>
      <c r="E18" s="1"/>
      <c r="I18" s="67" t="s">
        <v>26099</v>
      </c>
      <c r="J18" s="68" t="s">
        <v>26100</v>
      </c>
    </row>
    <row r="19" spans="1:10" x14ac:dyDescent="0.45">
      <c r="A19" s="71" t="s">
        <v>26160</v>
      </c>
      <c r="B19" t="str">
        <f>IFERROR(_xlfn.XLOOKUP(C19,Table2[Craft],Table2[Category]),"")</f>
        <v>Leather</v>
      </c>
      <c r="C19" t="s">
        <v>17942</v>
      </c>
      <c r="E19" s="1"/>
      <c r="I19" s="67" t="s">
        <v>26101</v>
      </c>
      <c r="J19" s="68" t="s">
        <v>26102</v>
      </c>
    </row>
    <row r="20" spans="1:10" x14ac:dyDescent="0.45">
      <c r="A20" s="71" t="s">
        <v>26164</v>
      </c>
      <c r="B20" t="str">
        <f>IFERROR(_xlfn.XLOOKUP(C20,Table2[Craft],Table2[Category]),"")</f>
        <v>Osso</v>
      </c>
      <c r="C20" t="s">
        <v>23441</v>
      </c>
      <c r="D20" t="s">
        <v>1</v>
      </c>
      <c r="E20" s="1">
        <v>1</v>
      </c>
      <c r="F20" t="s">
        <v>25940</v>
      </c>
      <c r="G20" t="s">
        <v>25921</v>
      </c>
      <c r="I20" s="67" t="s">
        <v>26103</v>
      </c>
      <c r="J20" s="68" t="s">
        <v>26104</v>
      </c>
    </row>
    <row r="21" spans="1:10" x14ac:dyDescent="0.45">
      <c r="A21" s="71" t="s">
        <v>26160</v>
      </c>
      <c r="B21" t="str">
        <f>IFERROR(_xlfn.XLOOKUP(C21,Table2[Craft],Table2[Category]),"")</f>
        <v>Osso</v>
      </c>
      <c r="C21" t="s">
        <v>23680</v>
      </c>
      <c r="D21" t="s">
        <v>1</v>
      </c>
      <c r="E21" s="1">
        <v>2</v>
      </c>
      <c r="G21" t="s">
        <v>25997</v>
      </c>
      <c r="I21" s="67" t="s">
        <v>26105</v>
      </c>
      <c r="J21" s="68" t="s">
        <v>26106</v>
      </c>
    </row>
    <row r="22" spans="1:10" x14ac:dyDescent="0.45">
      <c r="A22" s="71" t="s">
        <v>26160</v>
      </c>
      <c r="B22" t="str">
        <f>IFERROR(_xlfn.XLOOKUP(C22,Table2[Craft],Table2[Category]),"")</f>
        <v/>
      </c>
      <c r="C22" t="s">
        <v>25876</v>
      </c>
      <c r="D22" t="s">
        <v>1</v>
      </c>
      <c r="E22" s="1">
        <v>2</v>
      </c>
      <c r="G22" t="s">
        <v>1</v>
      </c>
      <c r="I22" s="67" t="s">
        <v>26107</v>
      </c>
      <c r="J22" s="68" t="s">
        <v>26108</v>
      </c>
    </row>
    <row r="23" spans="1:10" x14ac:dyDescent="0.45">
      <c r="A23" s="71" t="s">
        <v>26099</v>
      </c>
      <c r="B23" t="str">
        <f>IFERROR(_xlfn.XLOOKUP(C23,Table2[Craft],Table2[Category]),"")</f>
        <v>Wood</v>
      </c>
      <c r="C23" t="s">
        <v>7185</v>
      </c>
      <c r="E23" s="1"/>
      <c r="F23" t="s">
        <v>25929</v>
      </c>
      <c r="I23" s="67" t="s">
        <v>26109</v>
      </c>
      <c r="J23" s="68" t="s">
        <v>26110</v>
      </c>
    </row>
    <row r="24" spans="1:10" x14ac:dyDescent="0.45">
      <c r="A24" s="71" t="s">
        <v>26165</v>
      </c>
      <c r="B24" t="str">
        <f>IFERROR(_xlfn.XLOOKUP(C24,Table2[Craft],Table2[Category]),"")</f>
        <v>Metal</v>
      </c>
      <c r="C24" t="s">
        <v>969</v>
      </c>
      <c r="E24" s="1"/>
      <c r="F24" t="s">
        <v>25928</v>
      </c>
      <c r="I24" s="67" t="s">
        <v>26111</v>
      </c>
      <c r="J24" s="68" t="s">
        <v>26112</v>
      </c>
    </row>
    <row r="25" spans="1:10" x14ac:dyDescent="0.45">
      <c r="A25" s="71" t="s">
        <v>26160</v>
      </c>
      <c r="B25" t="str">
        <f>IFERROR(_xlfn.XLOOKUP(C25,Table2[Craft],Table2[Category]),"")</f>
        <v>Wood</v>
      </c>
      <c r="C25" t="s">
        <v>7424</v>
      </c>
      <c r="E25" s="1"/>
      <c r="I25" s="67" t="s">
        <v>26113</v>
      </c>
      <c r="J25" s="68" t="s">
        <v>26114</v>
      </c>
    </row>
    <row r="26" spans="1:10" x14ac:dyDescent="0.45">
      <c r="A26" s="71" t="s">
        <v>26103</v>
      </c>
      <c r="B26" t="str">
        <f>IFERROR(_xlfn.XLOOKUP(C26,Table2[Craft],Table2[Category]),"")</f>
        <v>Glass</v>
      </c>
      <c r="C26" t="s">
        <v>21050</v>
      </c>
      <c r="D26" t="s">
        <v>1</v>
      </c>
      <c r="E26" s="1">
        <v>3</v>
      </c>
      <c r="F26" t="s">
        <v>25941</v>
      </c>
      <c r="G26" t="s">
        <v>25972</v>
      </c>
      <c r="I26" s="67" t="s">
        <v>26115</v>
      </c>
      <c r="J26" s="68" t="s">
        <v>26116</v>
      </c>
    </row>
    <row r="27" spans="1:10" x14ac:dyDescent="0.45">
      <c r="A27" s="71" t="s">
        <v>26163</v>
      </c>
      <c r="B27" t="str">
        <f>IFERROR(_xlfn.XLOOKUP(C27,Table2[Craft],Table2[Category]),"")</f>
        <v/>
      </c>
      <c r="C27" t="s">
        <v>25877</v>
      </c>
      <c r="D27" t="s">
        <v>25865</v>
      </c>
      <c r="E27" s="1">
        <v>3</v>
      </c>
      <c r="G27" t="s">
        <v>25982</v>
      </c>
      <c r="I27" s="67" t="s">
        <v>26117</v>
      </c>
      <c r="J27" s="68" t="s">
        <v>26118</v>
      </c>
    </row>
    <row r="28" spans="1:10" x14ac:dyDescent="0.45">
      <c r="A28" s="71" t="s">
        <v>26160</v>
      </c>
      <c r="B28" t="str">
        <f>IFERROR(_xlfn.XLOOKUP(C28,Table2[Craft],Table2[Category]),"")</f>
        <v>Stone</v>
      </c>
      <c r="C28" t="s">
        <v>11965</v>
      </c>
      <c r="D28" t="s">
        <v>1</v>
      </c>
      <c r="E28" s="1">
        <v>1</v>
      </c>
      <c r="G28" t="s">
        <v>25921</v>
      </c>
      <c r="I28" s="67" t="s">
        <v>26119</v>
      </c>
      <c r="J28" s="68" t="s">
        <v>26120</v>
      </c>
    </row>
    <row r="29" spans="1:10" x14ac:dyDescent="0.45">
      <c r="A29" s="71" t="s">
        <v>26119</v>
      </c>
      <c r="B29" t="str">
        <f>IFERROR(_xlfn.XLOOKUP(C29,Table2[Craft],Table2[Category]),"")</f>
        <v>Osso</v>
      </c>
      <c r="C29" t="s">
        <v>23919</v>
      </c>
      <c r="D29" t="s">
        <v>1</v>
      </c>
      <c r="E29" s="1">
        <v>1</v>
      </c>
      <c r="F29" t="s">
        <v>25930</v>
      </c>
      <c r="G29" t="s">
        <v>25921</v>
      </c>
      <c r="I29" s="67" t="s">
        <v>26121</v>
      </c>
      <c r="J29" s="68" t="s">
        <v>26122</v>
      </c>
    </row>
    <row r="30" spans="1:10" x14ac:dyDescent="0.45">
      <c r="A30" s="71" t="s">
        <v>26160</v>
      </c>
      <c r="B30" t="str">
        <f>IFERROR(_xlfn.XLOOKUP(C30,Table2[Craft],Table2[Category]),"")</f>
        <v/>
      </c>
      <c r="C30" t="s">
        <v>25878</v>
      </c>
      <c r="D30" t="s">
        <v>1</v>
      </c>
      <c r="E30" s="1">
        <v>5</v>
      </c>
      <c r="G30" t="s">
        <v>25976</v>
      </c>
      <c r="I30" s="67" t="s">
        <v>26123</v>
      </c>
      <c r="J30" s="68" t="s">
        <v>26124</v>
      </c>
    </row>
    <row r="31" spans="1:10" x14ac:dyDescent="0.45">
      <c r="A31" s="71" t="s">
        <v>26166</v>
      </c>
      <c r="B31" t="str">
        <f>IFERROR(_xlfn.XLOOKUP(C31,Table2[Craft],Table2[Category]),"")</f>
        <v>Metal</v>
      </c>
      <c r="C31" t="s">
        <v>1208</v>
      </c>
      <c r="E31" s="1"/>
      <c r="F31" t="s">
        <v>25942</v>
      </c>
      <c r="I31" s="67" t="s">
        <v>26125</v>
      </c>
      <c r="J31" s="68" t="s">
        <v>26126</v>
      </c>
    </row>
    <row r="32" spans="1:10" x14ac:dyDescent="0.45">
      <c r="A32" s="71" t="s">
        <v>26160</v>
      </c>
      <c r="B32" t="str">
        <f>IFERROR(_xlfn.XLOOKUP(C32,Table2[Craft],Table2[Category]),"")</f>
        <v/>
      </c>
      <c r="C32" t="s">
        <v>25879</v>
      </c>
      <c r="D32" t="s">
        <v>1</v>
      </c>
      <c r="E32" s="1">
        <v>4</v>
      </c>
      <c r="G32" t="s">
        <v>1</v>
      </c>
      <c r="I32" s="67" t="s">
        <v>26127</v>
      </c>
      <c r="J32" s="68" t="s">
        <v>26128</v>
      </c>
    </row>
    <row r="33" spans="1:10" x14ac:dyDescent="0.45">
      <c r="A33" s="71" t="s">
        <v>26160</v>
      </c>
      <c r="B33" t="str">
        <f>IFERROR(_xlfn.XLOOKUP(C33,Table2[Craft],Table2[Category]),"")</f>
        <v>Stone</v>
      </c>
      <c r="C33" t="s">
        <v>12204</v>
      </c>
      <c r="D33" t="s">
        <v>1</v>
      </c>
      <c r="E33" s="1">
        <v>2</v>
      </c>
      <c r="G33" t="s">
        <v>25921</v>
      </c>
      <c r="I33" s="67" t="s">
        <v>24158</v>
      </c>
      <c r="J33" s="68" t="s">
        <v>26129</v>
      </c>
    </row>
    <row r="34" spans="1:10" x14ac:dyDescent="0.45">
      <c r="A34" s="71" t="s">
        <v>26093</v>
      </c>
      <c r="B34" t="str">
        <f>IFERROR(_xlfn.XLOOKUP(C34,Table2[Craft],Table2[Category]),"")</f>
        <v>Metal</v>
      </c>
      <c r="C34" t="s">
        <v>1447</v>
      </c>
      <c r="E34" s="1"/>
      <c r="F34" t="s">
        <v>25931</v>
      </c>
      <c r="I34" s="67" t="s">
        <v>26130</v>
      </c>
      <c r="J34" s="68" t="s">
        <v>26131</v>
      </c>
    </row>
    <row r="35" spans="1:10" x14ac:dyDescent="0.45">
      <c r="A35" s="71" t="s">
        <v>26160</v>
      </c>
      <c r="B35" t="str">
        <f>IFERROR(_xlfn.XLOOKUP(C35,Table2[Craft],Table2[Category]),"")</f>
        <v>Stone</v>
      </c>
      <c r="C35" t="s">
        <v>12443</v>
      </c>
      <c r="D35" t="s">
        <v>1</v>
      </c>
      <c r="E35" s="1">
        <v>4</v>
      </c>
      <c r="G35" t="s">
        <v>1</v>
      </c>
      <c r="I35" s="67" t="s">
        <v>26132</v>
      </c>
      <c r="J35" s="68" t="s">
        <v>26133</v>
      </c>
    </row>
    <row r="36" spans="1:10" ht="14.65" thickBot="1" x14ac:dyDescent="0.5">
      <c r="A36" s="71" t="s">
        <v>26160</v>
      </c>
      <c r="B36" t="str">
        <f>IFERROR(_xlfn.XLOOKUP(C36,Table2[Craft],Table2[Category]),"")</f>
        <v>Cloth</v>
      </c>
      <c r="C36" t="s">
        <v>14834</v>
      </c>
      <c r="D36" t="s">
        <v>1</v>
      </c>
      <c r="E36" s="1">
        <v>2</v>
      </c>
      <c r="G36" t="s">
        <v>25921</v>
      </c>
      <c r="I36" s="69" t="s">
        <v>26160</v>
      </c>
      <c r="J36" s="70" t="s">
        <v>26161</v>
      </c>
    </row>
    <row r="37" spans="1:10" ht="16.899999999999999" x14ac:dyDescent="0.5">
      <c r="A37" s="71" t="s">
        <v>26125</v>
      </c>
      <c r="B37" t="str">
        <f>IFERROR(_xlfn.XLOOKUP(C37,Table2[Craft],Table2[Category]),"")</f>
        <v>Stone</v>
      </c>
      <c r="C37" t="s">
        <v>12682</v>
      </c>
      <c r="D37" t="s">
        <v>1</v>
      </c>
      <c r="E37" s="1">
        <v>3</v>
      </c>
      <c r="F37" t="s">
        <v>25943</v>
      </c>
      <c r="G37" t="s">
        <v>25987</v>
      </c>
      <c r="I37" s="61" t="s">
        <v>26134</v>
      </c>
      <c r="J37" s="62"/>
    </row>
    <row r="38" spans="1:10" x14ac:dyDescent="0.45">
      <c r="A38" s="71" t="s">
        <v>26160</v>
      </c>
      <c r="B38" t="str">
        <f>IFERROR(_xlfn.XLOOKUP(C38,Table2[Craft],Table2[Category]),"")</f>
        <v>Leather</v>
      </c>
      <c r="C38" t="s">
        <v>18181</v>
      </c>
      <c r="D38" t="s">
        <v>1</v>
      </c>
      <c r="E38" s="1">
        <v>1</v>
      </c>
      <c r="G38" t="s">
        <v>25921</v>
      </c>
      <c r="I38" s="30" t="s">
        <v>26087</v>
      </c>
      <c r="J38" s="32" t="s">
        <v>26135</v>
      </c>
    </row>
    <row r="39" spans="1:10" x14ac:dyDescent="0.45">
      <c r="A39" s="71" t="s">
        <v>26105</v>
      </c>
      <c r="B39" t="str">
        <f>IFERROR(_xlfn.XLOOKUP(C39,Table2[Craft],Table2[Category]),"")</f>
        <v>Metal</v>
      </c>
      <c r="C39" t="s">
        <v>1686</v>
      </c>
      <c r="E39" s="1"/>
      <c r="F39" t="s">
        <v>25932</v>
      </c>
      <c r="I39" s="35" t="s">
        <v>26136</v>
      </c>
      <c r="J39" s="33" t="s">
        <v>26137</v>
      </c>
    </row>
    <row r="40" spans="1:10" x14ac:dyDescent="0.45">
      <c r="A40" s="71" t="s">
        <v>26163</v>
      </c>
      <c r="B40" t="str">
        <f>IFERROR(_xlfn.XLOOKUP(C40,Table2[Craft],Table2[Category]),"")</f>
        <v/>
      </c>
      <c r="C40" t="s">
        <v>25880</v>
      </c>
      <c r="E40" s="1"/>
      <c r="I40" s="35" t="s">
        <v>26138</v>
      </c>
      <c r="J40" s="33" t="s">
        <v>26139</v>
      </c>
    </row>
    <row r="41" spans="1:10" x14ac:dyDescent="0.45">
      <c r="A41" s="71" t="s">
        <v>26160</v>
      </c>
      <c r="B41" t="str">
        <f>IFERROR(_xlfn.XLOOKUP(C41,Table2[Craft],Table2[Category]),"")</f>
        <v>Leather</v>
      </c>
      <c r="C41" t="s">
        <v>18420</v>
      </c>
      <c r="E41" s="1"/>
      <c r="I41" s="35" t="s">
        <v>26140</v>
      </c>
      <c r="J41" s="33" t="s">
        <v>26141</v>
      </c>
    </row>
    <row r="42" spans="1:10" x14ac:dyDescent="0.45">
      <c r="A42" s="71" t="s">
        <v>26167</v>
      </c>
      <c r="B42" t="str">
        <f>IFERROR(_xlfn.XLOOKUP(C42,Table2[Craft],Table2[Category]),"")</f>
        <v>Leather</v>
      </c>
      <c r="C42" t="s">
        <v>20332</v>
      </c>
      <c r="D42" t="s">
        <v>26002</v>
      </c>
      <c r="E42" s="1">
        <v>4</v>
      </c>
      <c r="F42" t="s">
        <v>26003</v>
      </c>
      <c r="G42" t="s">
        <v>26004</v>
      </c>
      <c r="I42" s="35" t="s">
        <v>26142</v>
      </c>
      <c r="J42" s="33" t="s">
        <v>26143</v>
      </c>
    </row>
    <row r="43" spans="1:10" x14ac:dyDescent="0.45">
      <c r="A43" s="71" t="s">
        <v>26099</v>
      </c>
      <c r="B43" t="str">
        <f>IFERROR(_xlfn.XLOOKUP(C43,Table2[Craft],Table2[Category]),"")</f>
        <v>Wood</v>
      </c>
      <c r="C43" t="s">
        <v>7663</v>
      </c>
      <c r="D43" t="s">
        <v>25864</v>
      </c>
      <c r="E43" s="1">
        <v>2</v>
      </c>
      <c r="F43" t="s">
        <v>25944</v>
      </c>
      <c r="G43" t="s">
        <v>1</v>
      </c>
      <c r="I43" s="35" t="s">
        <v>26144</v>
      </c>
      <c r="J43" s="33" t="s">
        <v>26145</v>
      </c>
    </row>
    <row r="44" spans="1:10" x14ac:dyDescent="0.45">
      <c r="A44" s="71" t="s">
        <v>26160</v>
      </c>
      <c r="B44" t="str">
        <f>IFERROR(_xlfn.XLOOKUP(C44,Table2[Craft],Table2[Category]),"")</f>
        <v/>
      </c>
      <c r="C44" t="s">
        <v>25935</v>
      </c>
      <c r="D44" t="s">
        <v>1</v>
      </c>
      <c r="E44" s="1">
        <v>3</v>
      </c>
      <c r="F44" t="s">
        <v>25936</v>
      </c>
      <c r="G44" t="s">
        <v>25988</v>
      </c>
      <c r="I44" s="35" t="s">
        <v>26146</v>
      </c>
      <c r="J44" s="33" t="s">
        <v>26147</v>
      </c>
    </row>
    <row r="45" spans="1:10" x14ac:dyDescent="0.45">
      <c r="A45" s="71" t="s">
        <v>26099</v>
      </c>
      <c r="B45" t="str">
        <f>IFERROR(_xlfn.XLOOKUP(C45,Table2[Craft],Table2[Category]),"")</f>
        <v>Metal</v>
      </c>
      <c r="C45" t="s">
        <v>1925</v>
      </c>
      <c r="E45" s="1"/>
      <c r="F45" t="s">
        <v>25933</v>
      </c>
      <c r="I45" s="35" t="s">
        <v>26148</v>
      </c>
      <c r="J45" s="33" t="s">
        <v>26149</v>
      </c>
    </row>
    <row r="46" spans="1:10" x14ac:dyDescent="0.45">
      <c r="A46" s="71" t="s">
        <v>26093</v>
      </c>
      <c r="B46" t="str">
        <f>IFERROR(_xlfn.XLOOKUP(C46,Table2[Craft],Table2[Category]),"")</f>
        <v/>
      </c>
      <c r="C46" t="s">
        <v>25881</v>
      </c>
      <c r="D46" t="s">
        <v>1</v>
      </c>
      <c r="E46" s="1">
        <v>3</v>
      </c>
      <c r="F46" t="s">
        <v>25934</v>
      </c>
      <c r="G46" t="s">
        <v>25978</v>
      </c>
      <c r="I46" s="35" t="s">
        <v>26150</v>
      </c>
      <c r="J46" s="33" t="s">
        <v>26151</v>
      </c>
    </row>
    <row r="47" spans="1:10" x14ac:dyDescent="0.45">
      <c r="A47" s="71" t="s">
        <v>26160</v>
      </c>
      <c r="B47" t="str">
        <f>IFERROR(_xlfn.XLOOKUP(C47,Table2[Craft],Table2[Category]),"")</f>
        <v>Glass</v>
      </c>
      <c r="C47" t="s">
        <v>21289</v>
      </c>
      <c r="E47" s="1"/>
      <c r="I47" s="35" t="s">
        <v>26152</v>
      </c>
      <c r="J47" s="33" t="s">
        <v>26153</v>
      </c>
    </row>
    <row r="48" spans="1:10" x14ac:dyDescent="0.45">
      <c r="A48" s="71" t="s">
        <v>26093</v>
      </c>
      <c r="B48" t="str">
        <f>IFERROR(_xlfn.XLOOKUP(C48,Table2[Craft],Table2[Category]),"")</f>
        <v/>
      </c>
      <c r="C48" t="s">
        <v>25882</v>
      </c>
      <c r="D48" t="s">
        <v>1</v>
      </c>
      <c r="E48" s="1">
        <v>3</v>
      </c>
      <c r="F48" t="s">
        <v>25937</v>
      </c>
      <c r="G48" t="s">
        <v>25979</v>
      </c>
      <c r="I48" s="35" t="s">
        <v>26154</v>
      </c>
      <c r="J48" s="33" t="s">
        <v>26155</v>
      </c>
    </row>
    <row r="49" spans="1:10" x14ac:dyDescent="0.45">
      <c r="A49" s="71" t="s">
        <v>26093</v>
      </c>
      <c r="B49" t="str">
        <f>IFERROR(_xlfn.XLOOKUP(C49,Table2[Craft],Table2[Category]),"")</f>
        <v>Osso</v>
      </c>
      <c r="C49" t="s">
        <v>24158</v>
      </c>
      <c r="E49" s="1"/>
      <c r="F49" t="s">
        <v>25937</v>
      </c>
      <c r="I49" s="35" t="s">
        <v>26156</v>
      </c>
      <c r="J49" s="33" t="s">
        <v>26157</v>
      </c>
    </row>
    <row r="50" spans="1:10" ht="14.65" thickBot="1" x14ac:dyDescent="0.5">
      <c r="A50" s="71" t="s">
        <v>26091</v>
      </c>
      <c r="B50" t="str">
        <f>IFERROR(_xlfn.XLOOKUP(C50,Table2[Craft],Table2[Category]),"")</f>
        <v>Metal</v>
      </c>
      <c r="C50" t="s">
        <v>2164</v>
      </c>
      <c r="D50" t="s">
        <v>25980</v>
      </c>
      <c r="E50" s="1">
        <v>2</v>
      </c>
      <c r="F50" t="s">
        <v>25924</v>
      </c>
      <c r="G50" t="s">
        <v>25989</v>
      </c>
      <c r="I50" s="36" t="s">
        <v>26158</v>
      </c>
      <c r="J50" s="34" t="s">
        <v>26159</v>
      </c>
    </row>
    <row r="51" spans="1:10" ht="14.65" thickTop="1" x14ac:dyDescent="0.45">
      <c r="A51" s="71" t="s">
        <v>26093</v>
      </c>
      <c r="B51" t="str">
        <f>IFERROR(_xlfn.XLOOKUP(C51,Table2[Craft],Table2[Category]),"")</f>
        <v>Wood</v>
      </c>
      <c r="C51" t="s">
        <v>7902</v>
      </c>
      <c r="E51" s="1"/>
      <c r="F51" t="s">
        <v>25938</v>
      </c>
    </row>
    <row r="52" spans="1:10" x14ac:dyDescent="0.45">
      <c r="A52" s="71" t="s">
        <v>26160</v>
      </c>
      <c r="B52" t="str">
        <f>IFERROR(_xlfn.XLOOKUP(C52,Table2[Craft],Table2[Category]),"")</f>
        <v>Glass</v>
      </c>
      <c r="C52" t="s">
        <v>21528</v>
      </c>
      <c r="D52" t="s">
        <v>1</v>
      </c>
      <c r="E52" s="1">
        <v>3</v>
      </c>
      <c r="G52" t="s">
        <v>1</v>
      </c>
    </row>
    <row r="53" spans="1:10" x14ac:dyDescent="0.45">
      <c r="A53" s="71" t="s">
        <v>26160</v>
      </c>
      <c r="B53" t="str">
        <f>IFERROR(_xlfn.XLOOKUP(C53,Table2[Craft],Table2[Category]),"")</f>
        <v>Wood</v>
      </c>
      <c r="C53" t="s">
        <v>8141</v>
      </c>
      <c r="D53" t="s">
        <v>1</v>
      </c>
      <c r="E53" s="1">
        <v>1</v>
      </c>
      <c r="G53" t="s">
        <v>25921</v>
      </c>
    </row>
    <row r="54" spans="1:10" x14ac:dyDescent="0.45">
      <c r="A54" s="71" t="s">
        <v>26160</v>
      </c>
      <c r="B54" t="str">
        <f>IFERROR(_xlfn.XLOOKUP(C54,Table2[Craft],Table2[Category]),"")</f>
        <v/>
      </c>
      <c r="C54" t="s">
        <v>25883</v>
      </c>
      <c r="D54" t="s">
        <v>1</v>
      </c>
      <c r="E54" s="1">
        <v>3</v>
      </c>
      <c r="G54" t="s">
        <v>1</v>
      </c>
    </row>
    <row r="55" spans="1:10" x14ac:dyDescent="0.45">
      <c r="A55" s="71" t="s">
        <v>26099</v>
      </c>
      <c r="B55" t="str">
        <f>IFERROR(_xlfn.XLOOKUP(C55,Table2[Craft],Table2[Category]),"")</f>
        <v>Stone</v>
      </c>
      <c r="C55" t="s">
        <v>12921</v>
      </c>
      <c r="E55" s="1"/>
      <c r="F55" t="s">
        <v>25939</v>
      </c>
    </row>
    <row r="56" spans="1:10" x14ac:dyDescent="0.45">
      <c r="A56" s="71" t="s">
        <v>26163</v>
      </c>
      <c r="B56" t="str">
        <f>IFERROR(_xlfn.XLOOKUP(C56,Table2[Craft],Table2[Category]),"")</f>
        <v/>
      </c>
      <c r="C56" t="s">
        <v>25884</v>
      </c>
      <c r="D56" t="s">
        <v>25864</v>
      </c>
      <c r="E56" s="1">
        <v>2</v>
      </c>
      <c r="G56" t="s">
        <v>1</v>
      </c>
    </row>
    <row r="57" spans="1:10" x14ac:dyDescent="0.45">
      <c r="A57" s="71" t="s">
        <v>26160</v>
      </c>
      <c r="B57" t="str">
        <f>IFERROR(_xlfn.XLOOKUP(C57,Table2[Craft],Table2[Category]),"")</f>
        <v>Stone</v>
      </c>
      <c r="C57" t="s">
        <v>13160</v>
      </c>
      <c r="D57" t="s">
        <v>25865</v>
      </c>
      <c r="E57" s="1">
        <v>4</v>
      </c>
      <c r="G57" t="s">
        <v>25998</v>
      </c>
    </row>
    <row r="58" spans="1:10" x14ac:dyDescent="0.45">
      <c r="A58" s="71" t="s">
        <v>26099</v>
      </c>
      <c r="B58" t="str">
        <f>IFERROR(_xlfn.XLOOKUP(C58,Table2[Craft],Table2[Category]),"")</f>
        <v>Stone</v>
      </c>
      <c r="C58" t="s">
        <v>2404</v>
      </c>
      <c r="D58" t="s">
        <v>25973</v>
      </c>
      <c r="E58" s="1">
        <v>3</v>
      </c>
      <c r="F58" t="s">
        <v>25969</v>
      </c>
      <c r="G58" t="s">
        <v>25974</v>
      </c>
    </row>
    <row r="59" spans="1:10" x14ac:dyDescent="0.45">
      <c r="A59" s="71" t="s">
        <v>26163</v>
      </c>
      <c r="B59" t="str">
        <f>IFERROR(_xlfn.XLOOKUP(C59,Table2[Craft],Table2[Category]),"")</f>
        <v/>
      </c>
      <c r="C59" t="s">
        <v>25885</v>
      </c>
      <c r="E59" s="1"/>
    </row>
    <row r="60" spans="1:10" x14ac:dyDescent="0.45">
      <c r="A60" s="71" t="s">
        <v>26093</v>
      </c>
      <c r="B60" t="str">
        <f>IFERROR(_xlfn.XLOOKUP(C60,Table2[Craft],Table2[Category]),"")</f>
        <v>Metal</v>
      </c>
      <c r="C60" t="s">
        <v>2643</v>
      </c>
      <c r="D60" t="s">
        <v>1</v>
      </c>
      <c r="E60" s="1">
        <v>3</v>
      </c>
      <c r="F60" t="s">
        <v>25945</v>
      </c>
      <c r="G60" t="s">
        <v>25990</v>
      </c>
    </row>
    <row r="61" spans="1:10" x14ac:dyDescent="0.45">
      <c r="A61" s="71" t="s">
        <v>26160</v>
      </c>
      <c r="B61" t="str">
        <f>IFERROR(_xlfn.XLOOKUP(C61,Table2[Craft],Table2[Category]),"")</f>
        <v>Leather</v>
      </c>
      <c r="C61" t="s">
        <v>18659</v>
      </c>
      <c r="E61" s="1"/>
    </row>
    <row r="62" spans="1:10" x14ac:dyDescent="0.45">
      <c r="A62" s="71" t="s">
        <v>26160</v>
      </c>
      <c r="B62" t="str">
        <f>IFERROR(_xlfn.XLOOKUP(C62,Table2[Craft],Table2[Category]),"")</f>
        <v>Osso</v>
      </c>
      <c r="C62" t="s">
        <v>24397</v>
      </c>
      <c r="E62" s="1"/>
    </row>
    <row r="63" spans="1:10" x14ac:dyDescent="0.45">
      <c r="A63" s="71" t="s">
        <v>26160</v>
      </c>
      <c r="B63" t="str">
        <f>IFERROR(_xlfn.XLOOKUP(C63,Table2[Craft],Table2[Category]),"")</f>
        <v>Leather</v>
      </c>
      <c r="C63" t="s">
        <v>18898</v>
      </c>
      <c r="E63" s="1"/>
    </row>
    <row r="64" spans="1:10" x14ac:dyDescent="0.45">
      <c r="A64" s="71" t="s">
        <v>26168</v>
      </c>
      <c r="B64" t="str">
        <f>IFERROR(_xlfn.XLOOKUP(C64,Table2[Craft],Table2[Category]),"")</f>
        <v>Glass</v>
      </c>
      <c r="C64" t="s">
        <v>21767</v>
      </c>
      <c r="D64" t="s">
        <v>1</v>
      </c>
      <c r="E64" s="1">
        <v>4</v>
      </c>
      <c r="F64" t="s">
        <v>25946</v>
      </c>
      <c r="G64" t="s">
        <v>25979</v>
      </c>
    </row>
    <row r="65" spans="1:7" x14ac:dyDescent="0.45">
      <c r="A65" s="71" t="s">
        <v>26093</v>
      </c>
      <c r="B65" t="str">
        <f>IFERROR(_xlfn.XLOOKUP(C65,Table2[Craft],Table2[Category]),"")</f>
        <v>Metal</v>
      </c>
      <c r="C65" t="s">
        <v>2882</v>
      </c>
      <c r="D65" t="s">
        <v>1</v>
      </c>
      <c r="E65" s="1">
        <v>3</v>
      </c>
      <c r="F65" t="s">
        <v>25947</v>
      </c>
      <c r="G65" t="s">
        <v>1</v>
      </c>
    </row>
    <row r="66" spans="1:7" x14ac:dyDescent="0.45">
      <c r="A66" s="71" t="s">
        <v>26163</v>
      </c>
      <c r="B66" t="str">
        <f>IFERROR(_xlfn.XLOOKUP(C66,Table2[Craft],Table2[Category]),"")</f>
        <v/>
      </c>
      <c r="C66" t="s">
        <v>25873</v>
      </c>
      <c r="E66" s="1"/>
    </row>
    <row r="67" spans="1:7" x14ac:dyDescent="0.45">
      <c r="A67" s="71" t="s">
        <v>26160</v>
      </c>
      <c r="B67" t="str">
        <f>IFERROR(_xlfn.XLOOKUP(C67,Table2[Craft],Table2[Category]),"")</f>
        <v>Wood</v>
      </c>
      <c r="C67" t="s">
        <v>8380</v>
      </c>
      <c r="D67" t="s">
        <v>1</v>
      </c>
      <c r="E67" s="1">
        <v>1</v>
      </c>
      <c r="G67" t="s">
        <v>25921</v>
      </c>
    </row>
    <row r="68" spans="1:7" x14ac:dyDescent="0.45">
      <c r="A68" s="71" t="s">
        <v>26160</v>
      </c>
      <c r="B68" t="str">
        <f>IFERROR(_xlfn.XLOOKUP(C68,Table2[Craft],Table2[Category]),"")</f>
        <v/>
      </c>
      <c r="C68" t="s">
        <v>25887</v>
      </c>
      <c r="E68" s="1"/>
    </row>
    <row r="69" spans="1:7" x14ac:dyDescent="0.45">
      <c r="A69" s="71" t="s">
        <v>26160</v>
      </c>
      <c r="B69" t="str">
        <f>IFERROR(_xlfn.XLOOKUP(C69,Table2[Craft],Table2[Category]),"")</f>
        <v>Cloth</v>
      </c>
      <c r="C69" t="s">
        <v>15073</v>
      </c>
      <c r="D69" t="s">
        <v>1</v>
      </c>
      <c r="E69" s="1">
        <v>1</v>
      </c>
      <c r="G69" t="s">
        <v>25921</v>
      </c>
    </row>
    <row r="70" spans="1:7" x14ac:dyDescent="0.45">
      <c r="A70" s="71" t="s">
        <v>26169</v>
      </c>
      <c r="B70" t="str">
        <f>IFERROR(_xlfn.XLOOKUP(C70,Table2[Craft],Table2[Category]),"")</f>
        <v>Metal</v>
      </c>
      <c r="C70" t="s">
        <v>3121</v>
      </c>
      <c r="D70" t="s">
        <v>1</v>
      </c>
      <c r="E70" s="1">
        <v>4</v>
      </c>
      <c r="F70" t="s">
        <v>25948</v>
      </c>
      <c r="G70" t="s">
        <v>25978</v>
      </c>
    </row>
    <row r="71" spans="1:7" x14ac:dyDescent="0.45">
      <c r="A71" s="71" t="s">
        <v>26160</v>
      </c>
      <c r="B71" t="str">
        <f>IFERROR(_xlfn.XLOOKUP(C71,Table2[Craft],Table2[Category]),"")</f>
        <v>Wood</v>
      </c>
      <c r="C71" t="s">
        <v>8619</v>
      </c>
      <c r="D71" t="s">
        <v>1</v>
      </c>
      <c r="E71" s="1">
        <v>1</v>
      </c>
      <c r="G71" t="s">
        <v>25921</v>
      </c>
    </row>
    <row r="72" spans="1:7" x14ac:dyDescent="0.45">
      <c r="A72" s="71" t="s">
        <v>26089</v>
      </c>
      <c r="B72" t="str">
        <f>IFERROR(_xlfn.XLOOKUP(C72,Table2[Craft],Table2[Category]),"")</f>
        <v>Wood</v>
      </c>
      <c r="C72" t="s">
        <v>8858</v>
      </c>
      <c r="D72" t="s">
        <v>1</v>
      </c>
      <c r="E72" s="1">
        <v>3</v>
      </c>
      <c r="F72" t="s">
        <v>25970</v>
      </c>
      <c r="G72" t="s">
        <v>25977</v>
      </c>
    </row>
    <row r="73" spans="1:7" x14ac:dyDescent="0.45">
      <c r="A73" s="71" t="s">
        <v>26160</v>
      </c>
      <c r="B73" t="str">
        <f>IFERROR(_xlfn.XLOOKUP(C73,Table2[Craft],Table2[Category]),"")</f>
        <v>Wood</v>
      </c>
      <c r="C73" t="s">
        <v>9097</v>
      </c>
      <c r="E73" s="1"/>
    </row>
    <row r="74" spans="1:7" x14ac:dyDescent="0.45">
      <c r="A74" s="71" t="s">
        <v>26160</v>
      </c>
      <c r="B74" t="str">
        <f>IFERROR(_xlfn.XLOOKUP(C74,Table2[Craft],Table2[Category]),"")</f>
        <v>Osso</v>
      </c>
      <c r="C74" t="s">
        <v>24636</v>
      </c>
      <c r="D74" t="s">
        <v>1</v>
      </c>
      <c r="E74" s="1">
        <v>3</v>
      </c>
      <c r="G74" t="s">
        <v>1</v>
      </c>
    </row>
    <row r="75" spans="1:7" x14ac:dyDescent="0.45">
      <c r="A75" s="71" t="s">
        <v>26160</v>
      </c>
      <c r="B75" t="str">
        <f>IFERROR(_xlfn.XLOOKUP(C75,Table2[Craft],Table2[Category]),"")</f>
        <v>Leather</v>
      </c>
      <c r="C75" t="s">
        <v>19137</v>
      </c>
      <c r="E75" s="1"/>
    </row>
    <row r="76" spans="1:7" x14ac:dyDescent="0.45">
      <c r="A76" s="71" t="s">
        <v>26160</v>
      </c>
      <c r="B76" t="str">
        <f>IFERROR(_xlfn.XLOOKUP(C76,Table2[Craft],Table2[Category]),"")</f>
        <v>Wood</v>
      </c>
      <c r="C76" t="s">
        <v>9336</v>
      </c>
      <c r="D76" t="s">
        <v>1</v>
      </c>
      <c r="E76" s="1">
        <v>1</v>
      </c>
      <c r="G76" t="s">
        <v>25921</v>
      </c>
    </row>
    <row r="77" spans="1:7" x14ac:dyDescent="0.45">
      <c r="A77" s="71" t="s">
        <v>26160</v>
      </c>
      <c r="B77" t="str">
        <f>IFERROR(_xlfn.XLOOKUP(C77,Table2[Craft],Table2[Category]),"")</f>
        <v>Cloth</v>
      </c>
      <c r="C77" t="s">
        <v>15312</v>
      </c>
      <c r="D77" t="s">
        <v>1</v>
      </c>
      <c r="E77" s="1">
        <v>1</v>
      </c>
      <c r="G77" t="s">
        <v>25921</v>
      </c>
    </row>
    <row r="78" spans="1:7" x14ac:dyDescent="0.45">
      <c r="A78" s="71" t="s">
        <v>26123</v>
      </c>
      <c r="B78" t="str">
        <f>IFERROR(_xlfn.XLOOKUP(C78,Table2[Craft],Table2[Category]),"")</f>
        <v>Osso</v>
      </c>
      <c r="C78" t="s">
        <v>24875</v>
      </c>
      <c r="D78" t="s">
        <v>25981</v>
      </c>
      <c r="E78" s="1">
        <v>3</v>
      </c>
      <c r="F78" t="s">
        <v>25949</v>
      </c>
      <c r="G78" t="s">
        <v>25991</v>
      </c>
    </row>
    <row r="79" spans="1:7" x14ac:dyDescent="0.45">
      <c r="A79" s="71" t="s">
        <v>26163</v>
      </c>
      <c r="B79" t="str">
        <f>IFERROR(_xlfn.XLOOKUP(C79,Table2[Craft],Table2[Category]),"")</f>
        <v>Leather</v>
      </c>
      <c r="C79" t="s">
        <v>19376</v>
      </c>
      <c r="E79" s="1"/>
    </row>
    <row r="80" spans="1:7" x14ac:dyDescent="0.45">
      <c r="A80" s="71" t="s">
        <v>26160</v>
      </c>
      <c r="B80" t="str">
        <f>IFERROR(_xlfn.XLOOKUP(C80,Table2[Craft],Table2[Category]),"")</f>
        <v>Glass</v>
      </c>
      <c r="C80" t="s">
        <v>22006</v>
      </c>
      <c r="E80" s="1"/>
    </row>
    <row r="81" spans="1:7" x14ac:dyDescent="0.45">
      <c r="A81" s="71" t="s">
        <v>26160</v>
      </c>
      <c r="B81" t="str">
        <f>IFERROR(_xlfn.XLOOKUP(C81,Table2[Craft],Table2[Category]),"")</f>
        <v/>
      </c>
      <c r="C81" t="s">
        <v>25888</v>
      </c>
      <c r="D81" t="s">
        <v>1</v>
      </c>
      <c r="E81" s="1">
        <v>1</v>
      </c>
      <c r="G81" t="s">
        <v>25921</v>
      </c>
    </row>
    <row r="82" spans="1:7" x14ac:dyDescent="0.45">
      <c r="A82" s="71" t="s">
        <v>26099</v>
      </c>
      <c r="B82" t="str">
        <f>IFERROR(_xlfn.XLOOKUP(C82,Table2[Craft],Table2[Category]),"")</f>
        <v>Wood</v>
      </c>
      <c r="C82" t="s">
        <v>9575</v>
      </c>
      <c r="D82" t="s">
        <v>25864</v>
      </c>
      <c r="E82" s="1">
        <v>2</v>
      </c>
      <c r="F82" t="s">
        <v>25950</v>
      </c>
      <c r="G82" t="s">
        <v>1</v>
      </c>
    </row>
    <row r="83" spans="1:7" x14ac:dyDescent="0.45">
      <c r="A83" s="71" t="s">
        <v>26160</v>
      </c>
      <c r="B83" t="str">
        <f>IFERROR(_xlfn.XLOOKUP(C83,Table2[Craft],Table2[Category]),"")</f>
        <v>Cloth</v>
      </c>
      <c r="C83" t="s">
        <v>15551</v>
      </c>
      <c r="D83" t="s">
        <v>1</v>
      </c>
      <c r="E83" s="1">
        <v>1</v>
      </c>
      <c r="G83" t="s">
        <v>25921</v>
      </c>
    </row>
    <row r="84" spans="1:7" x14ac:dyDescent="0.45">
      <c r="A84" s="71" t="s">
        <v>26160</v>
      </c>
      <c r="B84" t="str">
        <f>IFERROR(_xlfn.XLOOKUP(C84,Table2[Craft],Table2[Category]),"")</f>
        <v/>
      </c>
      <c r="C84" t="s">
        <v>25889</v>
      </c>
      <c r="D84" t="s">
        <v>1</v>
      </c>
      <c r="E84" s="1">
        <v>5</v>
      </c>
      <c r="G84" t="s">
        <v>25976</v>
      </c>
    </row>
    <row r="85" spans="1:7" x14ac:dyDescent="0.45">
      <c r="A85" s="71" t="s">
        <v>26160</v>
      </c>
      <c r="B85" t="str">
        <f>IFERROR(_xlfn.XLOOKUP(C85,Table2[Craft],Table2[Category]),"")</f>
        <v>Osso</v>
      </c>
      <c r="C85" t="s">
        <v>25114</v>
      </c>
      <c r="E85" s="1"/>
    </row>
    <row r="86" spans="1:7" x14ac:dyDescent="0.45">
      <c r="A86" s="71" t="s">
        <v>26160</v>
      </c>
      <c r="B86" t="str">
        <f>IFERROR(_xlfn.XLOOKUP(C86,Table2[Craft],Table2[Category]),"")</f>
        <v/>
      </c>
      <c r="C86" t="s">
        <v>25890</v>
      </c>
      <c r="D86" t="s">
        <v>1</v>
      </c>
      <c r="E86" s="1">
        <v>5</v>
      </c>
      <c r="G86" t="s">
        <v>25976</v>
      </c>
    </row>
    <row r="87" spans="1:7" x14ac:dyDescent="0.45">
      <c r="A87" s="71" t="s">
        <v>26160</v>
      </c>
      <c r="B87" t="str">
        <f>IFERROR(_xlfn.XLOOKUP(C87,Table2[Craft],Table2[Category]),"")</f>
        <v>Stone</v>
      </c>
      <c r="C87" t="s">
        <v>13399</v>
      </c>
      <c r="D87" t="s">
        <v>1</v>
      </c>
      <c r="E87" s="1">
        <v>3</v>
      </c>
      <c r="G87" t="s">
        <v>1</v>
      </c>
    </row>
    <row r="88" spans="1:7" x14ac:dyDescent="0.45">
      <c r="A88" s="71" t="s">
        <v>26160</v>
      </c>
      <c r="B88" t="str">
        <f>IFERROR(_xlfn.XLOOKUP(C88,Table2[Craft],Table2[Category]),"")</f>
        <v/>
      </c>
      <c r="C88" t="s">
        <v>25891</v>
      </c>
      <c r="D88" t="s">
        <v>1</v>
      </c>
      <c r="E88" s="1">
        <v>5</v>
      </c>
      <c r="G88" t="s">
        <v>25976</v>
      </c>
    </row>
    <row r="89" spans="1:7" x14ac:dyDescent="0.45">
      <c r="A89" s="71" t="s">
        <v>26160</v>
      </c>
      <c r="B89" t="str">
        <f>IFERROR(_xlfn.XLOOKUP(C89,Table2[Craft],Table2[Category]),"")</f>
        <v/>
      </c>
      <c r="C89" t="s">
        <v>25892</v>
      </c>
      <c r="D89" t="s">
        <v>1</v>
      </c>
      <c r="E89" s="1">
        <v>3</v>
      </c>
      <c r="G89" t="s">
        <v>1</v>
      </c>
    </row>
    <row r="90" spans="1:7" x14ac:dyDescent="0.45">
      <c r="A90" s="71" t="s">
        <v>26163</v>
      </c>
      <c r="B90" t="str">
        <f>IFERROR(_xlfn.XLOOKUP(C90,Table2[Craft],Table2[Category]),"")</f>
        <v/>
      </c>
      <c r="C90" t="s">
        <v>25904</v>
      </c>
      <c r="E90" s="1"/>
    </row>
    <row r="91" spans="1:7" x14ac:dyDescent="0.45">
      <c r="A91" s="71" t="s">
        <v>26163</v>
      </c>
      <c r="B91" t="str">
        <f>IFERROR(_xlfn.XLOOKUP(C91,Table2[Craft],Table2[Category]),"")</f>
        <v/>
      </c>
      <c r="C91" t="s">
        <v>25886</v>
      </c>
      <c r="E91" s="1"/>
    </row>
    <row r="92" spans="1:7" x14ac:dyDescent="0.45">
      <c r="A92" s="71" t="s">
        <v>26089</v>
      </c>
      <c r="B92" t="str">
        <f>IFERROR(_xlfn.XLOOKUP(C92,Table2[Craft],Table2[Category]),"")</f>
        <v/>
      </c>
      <c r="C92" t="s">
        <v>25893</v>
      </c>
      <c r="D92" t="s">
        <v>1</v>
      </c>
      <c r="E92" s="1">
        <v>4</v>
      </c>
      <c r="F92" t="s">
        <v>25951</v>
      </c>
      <c r="G92" t="s">
        <v>25918</v>
      </c>
    </row>
    <row r="93" spans="1:7" x14ac:dyDescent="0.45">
      <c r="A93" s="71" t="s">
        <v>26089</v>
      </c>
      <c r="B93" t="str">
        <f>IFERROR(_xlfn.XLOOKUP(C93,Table2[Craft],Table2[Category]),"")</f>
        <v>Metal</v>
      </c>
      <c r="C93" t="s">
        <v>3599</v>
      </c>
      <c r="D93" t="s">
        <v>1</v>
      </c>
      <c r="E93" s="1">
        <v>4</v>
      </c>
      <c r="F93" t="s">
        <v>25952</v>
      </c>
      <c r="G93" t="s">
        <v>25918</v>
      </c>
    </row>
    <row r="94" spans="1:7" x14ac:dyDescent="0.45">
      <c r="A94" s="71" t="s">
        <v>26163</v>
      </c>
      <c r="B94" t="str">
        <f>IFERROR(_xlfn.XLOOKUP(C94,Table2[Craft],Table2[Category]),"")</f>
        <v/>
      </c>
      <c r="C94" t="s">
        <v>25894</v>
      </c>
      <c r="D94" t="s">
        <v>1</v>
      </c>
      <c r="E94" s="1">
        <v>5</v>
      </c>
      <c r="G94" t="s">
        <v>25976</v>
      </c>
    </row>
    <row r="95" spans="1:7" x14ac:dyDescent="0.45">
      <c r="A95" s="71" t="s">
        <v>26160</v>
      </c>
      <c r="B95" t="str">
        <f>IFERROR(_xlfn.XLOOKUP(C95,Table2[Craft],Table2[Category]),"")</f>
        <v>Stone</v>
      </c>
      <c r="C95" t="s">
        <v>13638</v>
      </c>
      <c r="D95" t="s">
        <v>1</v>
      </c>
      <c r="E95" s="1">
        <v>3</v>
      </c>
      <c r="G95" t="s">
        <v>1</v>
      </c>
    </row>
    <row r="96" spans="1:7" x14ac:dyDescent="0.45">
      <c r="A96" s="71" t="s">
        <v>26107</v>
      </c>
      <c r="B96" t="str">
        <f>IFERROR(_xlfn.XLOOKUP(C96,Table2[Craft],Table2[Category]),"")</f>
        <v>Stone</v>
      </c>
      <c r="C96" t="s">
        <v>3838</v>
      </c>
      <c r="D96" t="s">
        <v>1</v>
      </c>
      <c r="E96" s="1">
        <v>3</v>
      </c>
      <c r="F96" t="s">
        <v>25953</v>
      </c>
      <c r="G96" t="s">
        <v>25992</v>
      </c>
    </row>
    <row r="97" spans="1:7" x14ac:dyDescent="0.45">
      <c r="A97" s="71" t="s">
        <v>26160</v>
      </c>
      <c r="B97" t="str">
        <f>IFERROR(_xlfn.XLOOKUP(C97,Table2[Craft],Table2[Category]),"")</f>
        <v/>
      </c>
      <c r="C97" t="s">
        <v>25895</v>
      </c>
      <c r="D97" t="s">
        <v>1</v>
      </c>
      <c r="E97" s="1">
        <v>5</v>
      </c>
      <c r="G97" t="s">
        <v>25976</v>
      </c>
    </row>
    <row r="98" spans="1:7" x14ac:dyDescent="0.45">
      <c r="A98" s="71" t="s">
        <v>26160</v>
      </c>
      <c r="B98" t="str">
        <f>IFERROR(_xlfn.XLOOKUP(C98,Table2[Craft],Table2[Category]),"")</f>
        <v>Wood</v>
      </c>
      <c r="C98" t="s">
        <v>9814</v>
      </c>
      <c r="D98" t="s">
        <v>1</v>
      </c>
      <c r="E98" s="1">
        <v>1</v>
      </c>
      <c r="G98" t="s">
        <v>25921</v>
      </c>
    </row>
    <row r="99" spans="1:7" x14ac:dyDescent="0.45">
      <c r="A99" s="71" t="s">
        <v>26164</v>
      </c>
      <c r="B99" t="str">
        <f>IFERROR(_xlfn.XLOOKUP(C99,Table2[Craft],Table2[Category]),"")</f>
        <v>Stone</v>
      </c>
      <c r="C99" t="s">
        <v>13877</v>
      </c>
      <c r="D99" t="s">
        <v>1</v>
      </c>
      <c r="E99" s="1">
        <v>2</v>
      </c>
      <c r="F99" t="s">
        <v>25954</v>
      </c>
      <c r="G99" t="s">
        <v>25993</v>
      </c>
    </row>
    <row r="100" spans="1:7" x14ac:dyDescent="0.45">
      <c r="A100" s="71" t="s">
        <v>26170</v>
      </c>
      <c r="B100" t="str">
        <f>IFERROR(_xlfn.XLOOKUP(C100,Table2[Craft],Table2[Category]),"")</f>
        <v>Metal</v>
      </c>
      <c r="C100" t="s">
        <v>4077</v>
      </c>
      <c r="D100" t="s">
        <v>1</v>
      </c>
      <c r="E100" s="1">
        <v>4</v>
      </c>
      <c r="F100" t="s">
        <v>25955</v>
      </c>
      <c r="G100" t="s">
        <v>25983</v>
      </c>
    </row>
    <row r="101" spans="1:7" x14ac:dyDescent="0.45">
      <c r="A101" s="71" t="s">
        <v>26160</v>
      </c>
      <c r="B101" t="str">
        <f>IFERROR(_xlfn.XLOOKUP(C101,Table2[Craft],Table2[Category]),"")</f>
        <v>Osso</v>
      </c>
      <c r="C101" t="s">
        <v>25353</v>
      </c>
      <c r="E101" s="1"/>
    </row>
    <row r="102" spans="1:7" x14ac:dyDescent="0.45">
      <c r="A102" s="71" t="s">
        <v>26160</v>
      </c>
      <c r="B102" t="str">
        <f>IFERROR(_xlfn.XLOOKUP(C102,Table2[Craft],Table2[Category]),"")</f>
        <v>Leather</v>
      </c>
      <c r="C102" t="s">
        <v>19615</v>
      </c>
      <c r="E102" s="1"/>
    </row>
    <row r="103" spans="1:7" x14ac:dyDescent="0.45">
      <c r="A103" s="71" t="s">
        <v>26163</v>
      </c>
      <c r="B103" t="str">
        <f>IFERROR(_xlfn.XLOOKUP(C103,Table2[Craft],Table2[Category]),"")</f>
        <v/>
      </c>
      <c r="C103" t="s">
        <v>25896</v>
      </c>
      <c r="E103" s="1"/>
    </row>
    <row r="104" spans="1:7" x14ac:dyDescent="0.45">
      <c r="A104" s="71" t="s">
        <v>26160</v>
      </c>
      <c r="B104" t="str">
        <f>IFERROR(_xlfn.XLOOKUP(C104,Table2[Craft],Table2[Category]),"")</f>
        <v>Metal</v>
      </c>
      <c r="C104" t="s">
        <v>4316</v>
      </c>
      <c r="D104" t="s">
        <v>1</v>
      </c>
      <c r="E104" s="1">
        <v>5</v>
      </c>
      <c r="G104" t="s">
        <v>25999</v>
      </c>
    </row>
    <row r="105" spans="1:7" x14ac:dyDescent="0.45">
      <c r="A105" s="71" t="s">
        <v>26163</v>
      </c>
      <c r="B105" t="str">
        <f>IFERROR(_xlfn.XLOOKUP(C105,Table2[Craft],Table2[Category]),"")</f>
        <v/>
      </c>
      <c r="C105" t="s">
        <v>25897</v>
      </c>
      <c r="D105" t="s">
        <v>1</v>
      </c>
      <c r="E105" s="1">
        <v>5</v>
      </c>
      <c r="G105" t="s">
        <v>25976</v>
      </c>
    </row>
    <row r="106" spans="1:7" x14ac:dyDescent="0.45">
      <c r="A106" s="71" t="s">
        <v>26160</v>
      </c>
      <c r="B106" t="str">
        <f>IFERROR(_xlfn.XLOOKUP(C106,Table2[Craft],Table2[Category]),"")</f>
        <v>Leather</v>
      </c>
      <c r="C106" t="s">
        <v>19854</v>
      </c>
      <c r="D106" t="s">
        <v>1</v>
      </c>
      <c r="E106" s="1">
        <v>1</v>
      </c>
      <c r="G106" t="s">
        <v>25921</v>
      </c>
    </row>
    <row r="107" spans="1:7" x14ac:dyDescent="0.45">
      <c r="A107" s="71" t="s">
        <v>26160</v>
      </c>
      <c r="B107" t="str">
        <f>IFERROR(_xlfn.XLOOKUP(C107,Table2[Craft],Table2[Category]),"")</f>
        <v/>
      </c>
      <c r="C107" t="s">
        <v>25898</v>
      </c>
      <c r="D107" t="s">
        <v>1</v>
      </c>
      <c r="E107" s="1">
        <v>2</v>
      </c>
      <c r="G107" t="s">
        <v>1</v>
      </c>
    </row>
    <row r="108" spans="1:7" x14ac:dyDescent="0.45">
      <c r="A108" s="71" t="s">
        <v>26160</v>
      </c>
      <c r="B108" t="str">
        <f>IFERROR(_xlfn.XLOOKUP(C108,Table2[Craft],Table2[Category]),"")</f>
        <v>Leather</v>
      </c>
      <c r="C108" t="s">
        <v>20093</v>
      </c>
      <c r="D108" t="s">
        <v>1</v>
      </c>
      <c r="E108" s="1">
        <v>1</v>
      </c>
      <c r="G108" t="s">
        <v>25921</v>
      </c>
    </row>
    <row r="109" spans="1:7" x14ac:dyDescent="0.45">
      <c r="A109" s="71" t="s">
        <v>26160</v>
      </c>
      <c r="B109" t="str">
        <f>IFERROR(_xlfn.XLOOKUP(C109,Table2[Craft],Table2[Category]),"")</f>
        <v>Wood</v>
      </c>
      <c r="C109" t="s">
        <v>10053</v>
      </c>
      <c r="D109" t="s">
        <v>1</v>
      </c>
      <c r="E109" s="1">
        <v>1</v>
      </c>
      <c r="G109" t="s">
        <v>25921</v>
      </c>
    </row>
    <row r="110" spans="1:7" x14ac:dyDescent="0.45">
      <c r="A110" s="71" t="s">
        <v>26093</v>
      </c>
      <c r="B110" t="str">
        <f>IFERROR(_xlfn.XLOOKUP(C110,Table2[Craft],Table2[Category]),"")</f>
        <v>Metal</v>
      </c>
      <c r="C110" t="s">
        <v>4555</v>
      </c>
      <c r="D110" t="s">
        <v>1</v>
      </c>
      <c r="E110" s="1">
        <v>4</v>
      </c>
      <c r="F110" t="s">
        <v>25956</v>
      </c>
      <c r="G110" t="s">
        <v>1</v>
      </c>
    </row>
    <row r="111" spans="1:7" x14ac:dyDescent="0.45">
      <c r="A111" s="71" t="s">
        <v>26160</v>
      </c>
      <c r="B111" t="str">
        <f>IFERROR(_xlfn.XLOOKUP(C111,Table2[Craft],Table2[Category]),"")</f>
        <v>Glass</v>
      </c>
      <c r="C111" t="s">
        <v>22245</v>
      </c>
      <c r="E111" s="1"/>
    </row>
    <row r="112" spans="1:7" x14ac:dyDescent="0.45">
      <c r="A112" s="71" t="s">
        <v>26160</v>
      </c>
      <c r="B112" t="str">
        <f>IFERROR(_xlfn.XLOOKUP(C112,Table2[Craft],Table2[Category]),"")</f>
        <v>Glass</v>
      </c>
      <c r="C112" t="s">
        <v>22484</v>
      </c>
      <c r="E112" s="1"/>
    </row>
    <row r="113" spans="1:7" x14ac:dyDescent="0.45">
      <c r="A113" s="71" t="s">
        <v>26163</v>
      </c>
      <c r="B113" t="str">
        <f>IFERROR(_xlfn.XLOOKUP(C113,Table2[Craft],Table2[Category]),"")</f>
        <v/>
      </c>
      <c r="C113" t="s">
        <v>25899</v>
      </c>
      <c r="E113" s="1"/>
    </row>
    <row r="114" spans="1:7" x14ac:dyDescent="0.45">
      <c r="A114" s="71" t="s">
        <v>26099</v>
      </c>
      <c r="B114" t="str">
        <f>IFERROR(_xlfn.XLOOKUP(C114,Table2[Craft],Table2[Category]),"")</f>
        <v>Stone</v>
      </c>
      <c r="C114" t="s">
        <v>14116</v>
      </c>
      <c r="D114" t="s">
        <v>1</v>
      </c>
      <c r="E114" s="1">
        <v>2</v>
      </c>
      <c r="F114" t="s">
        <v>25926</v>
      </c>
      <c r="G114" t="s">
        <v>1</v>
      </c>
    </row>
    <row r="115" spans="1:7" x14ac:dyDescent="0.45">
      <c r="A115" s="71" t="s">
        <v>26097</v>
      </c>
      <c r="B115" t="str">
        <f>IFERROR(_xlfn.XLOOKUP(C115,Table2[Craft],Table2[Category]),"")</f>
        <v/>
      </c>
      <c r="C115" t="s">
        <v>25869</v>
      </c>
      <c r="E115" s="1"/>
      <c r="F115" t="s">
        <v>25927</v>
      </c>
    </row>
    <row r="116" spans="1:7" x14ac:dyDescent="0.45">
      <c r="A116" s="71" t="s">
        <v>26163</v>
      </c>
      <c r="B116" t="str">
        <f>IFERROR(_xlfn.XLOOKUP(C116,Table2[Craft],Table2[Category]),"")</f>
        <v>Osso</v>
      </c>
      <c r="C116" t="s">
        <v>25592</v>
      </c>
      <c r="D116" t="s">
        <v>1</v>
      </c>
      <c r="E116" s="1">
        <v>1</v>
      </c>
      <c r="G116" t="s">
        <v>25921</v>
      </c>
    </row>
    <row r="117" spans="1:7" x14ac:dyDescent="0.45">
      <c r="A117" s="71" t="s">
        <v>26109</v>
      </c>
      <c r="B117" t="str">
        <f>IFERROR(_xlfn.XLOOKUP(C117,Table2[Craft],Table2[Category]),"")</f>
        <v>Metal</v>
      </c>
      <c r="C117" t="s">
        <v>4794</v>
      </c>
      <c r="D117" t="s">
        <v>1</v>
      </c>
      <c r="E117" s="1">
        <v>4</v>
      </c>
      <c r="F117" t="s">
        <v>25957</v>
      </c>
      <c r="G117" t="s">
        <v>25984</v>
      </c>
    </row>
    <row r="118" spans="1:7" x14ac:dyDescent="0.45">
      <c r="A118" s="71" t="s">
        <v>26163</v>
      </c>
      <c r="B118" t="str">
        <f>IFERROR(_xlfn.XLOOKUP(C118,Table2[Craft],Table2[Category]),"")</f>
        <v/>
      </c>
      <c r="C118" t="s">
        <v>25868</v>
      </c>
      <c r="E118" s="1"/>
    </row>
    <row r="119" spans="1:7" x14ac:dyDescent="0.45">
      <c r="A119" s="71" t="s">
        <v>26160</v>
      </c>
      <c r="B119" t="str">
        <f>IFERROR(_xlfn.XLOOKUP(C119,Table2[Craft],Table2[Category]),"")</f>
        <v>Glass</v>
      </c>
      <c r="C119" t="s">
        <v>22962</v>
      </c>
      <c r="E119" s="1"/>
    </row>
    <row r="120" spans="1:7" x14ac:dyDescent="0.45">
      <c r="A120" s="71" t="s">
        <v>26160</v>
      </c>
      <c r="B120" t="str">
        <f>IFERROR(_xlfn.XLOOKUP(C120,Table2[Craft],Table2[Category]),"")</f>
        <v>Cloth</v>
      </c>
      <c r="C120" t="s">
        <v>15790</v>
      </c>
      <c r="E120" s="1"/>
    </row>
    <row r="121" spans="1:7" x14ac:dyDescent="0.45">
      <c r="A121" s="71" t="s">
        <v>26171</v>
      </c>
      <c r="B121" t="str">
        <f>IFERROR(_xlfn.XLOOKUP(C121,Table2[Craft],Table2[Category]),"")</f>
        <v>Cloth</v>
      </c>
      <c r="C121" t="s">
        <v>16029</v>
      </c>
      <c r="D121" t="s">
        <v>1</v>
      </c>
      <c r="E121" s="1">
        <v>2</v>
      </c>
      <c r="F121" t="s">
        <v>25958</v>
      </c>
      <c r="G121" t="s">
        <v>25921</v>
      </c>
    </row>
    <row r="122" spans="1:7" x14ac:dyDescent="0.45">
      <c r="A122" s="71" t="s">
        <v>26089</v>
      </c>
      <c r="B122" t="str">
        <f>IFERROR(_xlfn.XLOOKUP(C122,Table2[Craft],Table2[Category]),"")</f>
        <v>Metal</v>
      </c>
      <c r="C122" t="s">
        <v>5033</v>
      </c>
      <c r="D122" t="s">
        <v>1</v>
      </c>
      <c r="E122" s="1">
        <v>3</v>
      </c>
      <c r="F122" t="s">
        <v>25959</v>
      </c>
      <c r="G122" t="s">
        <v>1</v>
      </c>
    </row>
    <row r="123" spans="1:7" x14ac:dyDescent="0.45">
      <c r="A123" s="71" t="s">
        <v>26160</v>
      </c>
      <c r="B123" t="str">
        <f>IFERROR(_xlfn.XLOOKUP(C123,Table2[Craft],Table2[Category]),"")</f>
        <v>Wood</v>
      </c>
      <c r="C123" t="s">
        <v>11487</v>
      </c>
      <c r="E123" s="1"/>
    </row>
    <row r="124" spans="1:7" x14ac:dyDescent="0.45">
      <c r="A124" s="71" t="s">
        <v>26163</v>
      </c>
      <c r="B124" t="str">
        <f>IFERROR(_xlfn.XLOOKUP(C124,Table2[Craft],Table2[Category]),"")</f>
        <v/>
      </c>
      <c r="C124" t="s">
        <v>25900</v>
      </c>
      <c r="D124" t="s">
        <v>1</v>
      </c>
      <c r="E124" s="1">
        <v>1</v>
      </c>
      <c r="G124" t="s">
        <v>25921</v>
      </c>
    </row>
    <row r="125" spans="1:7" x14ac:dyDescent="0.45">
      <c r="A125" s="71" t="s">
        <v>26101</v>
      </c>
      <c r="B125" t="str">
        <f>IFERROR(_xlfn.XLOOKUP(C125,Table2[Craft],Table2[Category]),"")</f>
        <v/>
      </c>
      <c r="C125" t="s">
        <v>25901</v>
      </c>
      <c r="D125" t="s">
        <v>25865</v>
      </c>
      <c r="E125" s="1">
        <v>3</v>
      </c>
      <c r="F125" t="s">
        <v>25960</v>
      </c>
      <c r="G125" t="s">
        <v>25982</v>
      </c>
    </row>
    <row r="126" spans="1:7" x14ac:dyDescent="0.45">
      <c r="A126" s="71" t="s">
        <v>26160</v>
      </c>
      <c r="B126" t="str">
        <f>IFERROR(_xlfn.XLOOKUP(C126,Table2[Craft],Table2[Category]),"")</f>
        <v>Wood</v>
      </c>
      <c r="C126" t="s">
        <v>10292</v>
      </c>
      <c r="E126" s="1"/>
    </row>
    <row r="127" spans="1:7" x14ac:dyDescent="0.45">
      <c r="A127" s="71" t="s">
        <v>26160</v>
      </c>
      <c r="B127" t="str">
        <f>IFERROR(_xlfn.XLOOKUP(C127,Table2[Craft],Table2[Category]),"")</f>
        <v>Metal</v>
      </c>
      <c r="C127" t="s">
        <v>5272</v>
      </c>
      <c r="E127" s="1"/>
    </row>
    <row r="128" spans="1:7" x14ac:dyDescent="0.45">
      <c r="A128" s="71" t="s">
        <v>26163</v>
      </c>
      <c r="B128" t="str">
        <f>IFERROR(_xlfn.XLOOKUP(C128,Table2[Craft],Table2[Category]),"")</f>
        <v/>
      </c>
      <c r="C128" t="s">
        <v>25903</v>
      </c>
      <c r="E128" s="1"/>
    </row>
    <row r="129" spans="1:7" x14ac:dyDescent="0.45">
      <c r="A129" s="71" t="s">
        <v>26113</v>
      </c>
      <c r="B129" t="str">
        <f>IFERROR(_xlfn.XLOOKUP(C129,Table2[Craft],Table2[Category]),"")</f>
        <v>Stone</v>
      </c>
      <c r="C129" t="s">
        <v>14355</v>
      </c>
      <c r="D129" t="s">
        <v>25980</v>
      </c>
      <c r="E129" s="1">
        <v>4</v>
      </c>
      <c r="F129" t="s">
        <v>25961</v>
      </c>
      <c r="G129" t="s">
        <v>25985</v>
      </c>
    </row>
    <row r="130" spans="1:7" x14ac:dyDescent="0.45">
      <c r="A130" s="71" t="s">
        <v>26160</v>
      </c>
      <c r="B130" t="str">
        <f>IFERROR(_xlfn.XLOOKUP(C130,Table2[Craft],Table2[Category]),"")</f>
        <v>Metal</v>
      </c>
      <c r="C130" t="s">
        <v>25874</v>
      </c>
      <c r="D130" t="s">
        <v>1</v>
      </c>
      <c r="E130" s="1">
        <v>2</v>
      </c>
      <c r="G130" t="s">
        <v>25921</v>
      </c>
    </row>
    <row r="131" spans="1:7" x14ac:dyDescent="0.45">
      <c r="A131" s="71" t="s">
        <v>26097</v>
      </c>
      <c r="B131" t="str">
        <f>IFERROR(_xlfn.XLOOKUP(C131,Table2[Craft],Table2[Category]),"")</f>
        <v>Glass</v>
      </c>
      <c r="C131" t="s">
        <v>23201</v>
      </c>
      <c r="D131" t="s">
        <v>25866</v>
      </c>
      <c r="E131" s="1">
        <v>3</v>
      </c>
      <c r="F131" t="s">
        <v>25962</v>
      </c>
      <c r="G131" t="s">
        <v>25975</v>
      </c>
    </row>
    <row r="132" spans="1:7" x14ac:dyDescent="0.45">
      <c r="A132" s="71" t="s">
        <v>26117</v>
      </c>
      <c r="B132" t="str">
        <f>IFERROR(_xlfn.XLOOKUP(C132,Table2[Craft],Table2[Category]),"")</f>
        <v>Cloth</v>
      </c>
      <c r="C132" t="s">
        <v>16268</v>
      </c>
      <c r="D132" t="s">
        <v>1</v>
      </c>
      <c r="E132" s="1">
        <v>3</v>
      </c>
      <c r="F132" t="s">
        <v>25963</v>
      </c>
      <c r="G132" t="s">
        <v>25986</v>
      </c>
    </row>
    <row r="133" spans="1:7" x14ac:dyDescent="0.45">
      <c r="A133" s="71" t="s">
        <v>26163</v>
      </c>
      <c r="B133" t="str">
        <f>IFERROR(_xlfn.XLOOKUP(C133,Table2[Craft],Table2[Category]),"")</f>
        <v/>
      </c>
      <c r="C133" t="s">
        <v>25905</v>
      </c>
      <c r="E133" s="1"/>
    </row>
    <row r="134" spans="1:7" x14ac:dyDescent="0.45">
      <c r="A134" s="71" t="s">
        <v>26172</v>
      </c>
      <c r="B134" t="str">
        <f>IFERROR(_xlfn.XLOOKUP(C134,Table2[Craft],Table2[Category]),"")</f>
        <v/>
      </c>
      <c r="C134" t="s">
        <v>25906</v>
      </c>
      <c r="D134" t="s">
        <v>1</v>
      </c>
      <c r="E134" s="1">
        <v>3</v>
      </c>
      <c r="F134" t="s">
        <v>25964</v>
      </c>
      <c r="G134" t="s">
        <v>25979</v>
      </c>
    </row>
    <row r="135" spans="1:7" x14ac:dyDescent="0.45">
      <c r="A135" s="71" t="s">
        <v>26121</v>
      </c>
      <c r="B135" t="str">
        <f>IFERROR(_xlfn.XLOOKUP(C135,Table2[Craft],Table2[Category]),"")</f>
        <v>Cloth</v>
      </c>
      <c r="C135" t="s">
        <v>16507</v>
      </c>
      <c r="D135" t="s">
        <v>1</v>
      </c>
      <c r="E135" s="1">
        <v>1</v>
      </c>
      <c r="F135" t="s">
        <v>25965</v>
      </c>
      <c r="G135" t="s">
        <v>25921</v>
      </c>
    </row>
    <row r="136" spans="1:7" x14ac:dyDescent="0.45">
      <c r="A136" s="71" t="s">
        <v>26160</v>
      </c>
      <c r="B136" t="str">
        <f>IFERROR(_xlfn.XLOOKUP(C136,Table2[Craft],Table2[Category]),"")</f>
        <v>Metal</v>
      </c>
      <c r="C136" t="s">
        <v>5750</v>
      </c>
      <c r="D136" t="s">
        <v>1</v>
      </c>
      <c r="E136" s="1">
        <v>2</v>
      </c>
      <c r="G136" t="s">
        <v>1</v>
      </c>
    </row>
    <row r="137" spans="1:7" x14ac:dyDescent="0.45">
      <c r="A137" s="71" t="s">
        <v>26160</v>
      </c>
      <c r="B137" t="str">
        <f>IFERROR(_xlfn.XLOOKUP(C137,Table2[Craft],Table2[Category]),"")</f>
        <v/>
      </c>
      <c r="C137" t="s">
        <v>25907</v>
      </c>
      <c r="D137" t="s">
        <v>1</v>
      </c>
      <c r="E137" s="1">
        <v>5</v>
      </c>
      <c r="G137" t="s">
        <v>25976</v>
      </c>
    </row>
    <row r="138" spans="1:7" x14ac:dyDescent="0.45">
      <c r="A138" s="71" t="s">
        <v>26163</v>
      </c>
      <c r="B138" t="str">
        <f>IFERROR(_xlfn.XLOOKUP(C138,Table2[Craft],Table2[Category]),"")</f>
        <v/>
      </c>
      <c r="C138" t="s">
        <v>25908</v>
      </c>
      <c r="E138" s="1"/>
    </row>
    <row r="139" spans="1:7" x14ac:dyDescent="0.45">
      <c r="A139" s="71" t="s">
        <v>26160</v>
      </c>
      <c r="B139" t="str">
        <f>IFERROR(_xlfn.XLOOKUP(C139,Table2[Craft],Table2[Category]),"")</f>
        <v>Wood</v>
      </c>
      <c r="C139" t="s">
        <v>10531</v>
      </c>
      <c r="E139" s="1"/>
    </row>
    <row r="140" spans="1:7" x14ac:dyDescent="0.45">
      <c r="A140" s="71"/>
      <c r="E140" s="1"/>
    </row>
    <row r="141" spans="1:7" x14ac:dyDescent="0.45">
      <c r="A141" s="71" t="s">
        <v>26101</v>
      </c>
      <c r="B141" t="str">
        <f>IFERROR(_xlfn.XLOOKUP(C141,Table2[Craft],Table2[Category]),"")</f>
        <v/>
      </c>
      <c r="C141" t="s">
        <v>25902</v>
      </c>
      <c r="D141" t="s">
        <v>25865</v>
      </c>
      <c r="E141" s="1">
        <v>3</v>
      </c>
      <c r="F141" t="s">
        <v>25966</v>
      </c>
      <c r="G141" t="s">
        <v>25982</v>
      </c>
    </row>
    <row r="142" spans="1:7" x14ac:dyDescent="0.45">
      <c r="A142" s="71" t="s">
        <v>26160</v>
      </c>
      <c r="B142" t="str">
        <f>IFERROR(_xlfn.XLOOKUP(C142,Table2[Craft],Table2[Category]),"")</f>
        <v>Cloth</v>
      </c>
      <c r="C142" t="s">
        <v>16746</v>
      </c>
      <c r="E142" s="1"/>
    </row>
    <row r="143" spans="1:7" x14ac:dyDescent="0.45">
      <c r="A143" s="71" t="s">
        <v>26160</v>
      </c>
      <c r="B143" t="str">
        <f>IFERROR(_xlfn.XLOOKUP(C143,Table2[Craft],Table2[Category]),"")</f>
        <v>Cloth</v>
      </c>
      <c r="C143" t="s">
        <v>16985</v>
      </c>
      <c r="E143" s="1"/>
    </row>
    <row r="144" spans="1:7" x14ac:dyDescent="0.45">
      <c r="A144" s="71" t="s">
        <v>26163</v>
      </c>
      <c r="B144" t="str">
        <f>IFERROR(_xlfn.XLOOKUP(C144,Table2[Craft],Table2[Category]),"")</f>
        <v/>
      </c>
      <c r="C144" t="s">
        <v>25909</v>
      </c>
      <c r="E144" s="1"/>
    </row>
    <row r="145" spans="1:7" x14ac:dyDescent="0.45">
      <c r="A145" s="71" t="s">
        <v>26121</v>
      </c>
      <c r="B145" t="str">
        <f>IFERROR(_xlfn.XLOOKUP(C145,Table2[Craft],Table2[Category]),"")</f>
        <v>Wood</v>
      </c>
      <c r="C145" t="s">
        <v>10770</v>
      </c>
      <c r="D145" t="s">
        <v>1</v>
      </c>
      <c r="E145" s="1">
        <v>2</v>
      </c>
      <c r="F145" t="s">
        <v>25971</v>
      </c>
      <c r="G145" t="s">
        <v>26000</v>
      </c>
    </row>
    <row r="146" spans="1:7" x14ac:dyDescent="0.45">
      <c r="A146" s="71" t="s">
        <v>26160</v>
      </c>
      <c r="B146" t="str">
        <f>IFERROR(_xlfn.XLOOKUP(C146,Table2[Craft],Table2[Category]),"")</f>
        <v>Wood</v>
      </c>
      <c r="C146" t="s">
        <v>11009</v>
      </c>
      <c r="D146" t="s">
        <v>1</v>
      </c>
      <c r="E146" s="1">
        <v>1</v>
      </c>
      <c r="G146" t="s">
        <v>25921</v>
      </c>
    </row>
    <row r="147" spans="1:7" x14ac:dyDescent="0.45">
      <c r="A147" s="71" t="s">
        <v>26160</v>
      </c>
      <c r="B147" t="str">
        <f>IFERROR(_xlfn.XLOOKUP(C147,Table2[Craft],Table2[Category]),"")</f>
        <v>Cloth</v>
      </c>
      <c r="C147" t="s">
        <v>17224</v>
      </c>
      <c r="D147" t="s">
        <v>1</v>
      </c>
      <c r="E147" s="1">
        <v>1</v>
      </c>
      <c r="G147" t="s">
        <v>25921</v>
      </c>
    </row>
    <row r="148" spans="1:7" x14ac:dyDescent="0.45">
      <c r="A148" s="71" t="s">
        <v>26163</v>
      </c>
      <c r="B148" t="str">
        <f>IFERROR(_xlfn.XLOOKUP(C148,Table2[Craft],Table2[Category]),"")</f>
        <v/>
      </c>
      <c r="C148" t="s">
        <v>25910</v>
      </c>
      <c r="D148" t="s">
        <v>1</v>
      </c>
      <c r="E148" s="1">
        <v>3</v>
      </c>
      <c r="G148" t="s">
        <v>1</v>
      </c>
    </row>
    <row r="149" spans="1:7" x14ac:dyDescent="0.45">
      <c r="A149" s="71" t="s">
        <v>26160</v>
      </c>
      <c r="B149" t="str">
        <f>IFERROR(_xlfn.XLOOKUP(C149,Table2[Craft],Table2[Category]),"")</f>
        <v>Wood</v>
      </c>
      <c r="C149" t="s">
        <v>11248</v>
      </c>
      <c r="D149" t="s">
        <v>1</v>
      </c>
      <c r="E149" s="1">
        <v>2</v>
      </c>
      <c r="G149" t="s">
        <v>1</v>
      </c>
    </row>
    <row r="150" spans="1:7" x14ac:dyDescent="0.45">
      <c r="A150" s="71" t="s">
        <v>26099</v>
      </c>
      <c r="B150" t="str">
        <f>IFERROR(_xlfn.XLOOKUP(C150,Table2[Craft],Table2[Category]),"")</f>
        <v>Cloth</v>
      </c>
      <c r="C150" t="s">
        <v>17463</v>
      </c>
      <c r="D150" t="s">
        <v>25973</v>
      </c>
      <c r="E150" s="1">
        <v>3</v>
      </c>
      <c r="F150" t="s">
        <v>25967</v>
      </c>
      <c r="G150" t="s">
        <v>25994</v>
      </c>
    </row>
    <row r="151" spans="1:7" x14ac:dyDescent="0.45">
      <c r="A151" s="71" t="s">
        <v>26172</v>
      </c>
      <c r="B151" t="str">
        <f>IFERROR(_xlfn.XLOOKUP(C151,Table2[Craft],Table2[Category]),"")</f>
        <v/>
      </c>
      <c r="C151" t="s">
        <v>25911</v>
      </c>
      <c r="D151" t="s">
        <v>1</v>
      </c>
      <c r="E151" s="1">
        <v>4</v>
      </c>
      <c r="F151" t="s">
        <v>25968</v>
      </c>
      <c r="G151" t="s">
        <v>25979</v>
      </c>
    </row>
    <row r="152" spans="1:7" x14ac:dyDescent="0.45">
      <c r="A152" s="71" t="s">
        <v>26160</v>
      </c>
      <c r="B152" t="str">
        <f>IFERROR(_xlfn.XLOOKUP(C152,Table2[Craft],Table2[Category]),"")</f>
        <v/>
      </c>
      <c r="C152" t="s">
        <v>25912</v>
      </c>
      <c r="D152" t="s">
        <v>1</v>
      </c>
      <c r="E152" s="1">
        <v>3</v>
      </c>
      <c r="G152" t="s">
        <v>1</v>
      </c>
    </row>
    <row r="153" spans="1:7" x14ac:dyDescent="0.45">
      <c r="A153" s="71" t="s">
        <v>26163</v>
      </c>
      <c r="B153" t="str">
        <f>IFERROR(_xlfn.XLOOKUP(C153,Table2[Craft],Table2[Category]),"")</f>
        <v/>
      </c>
      <c r="C153" t="s">
        <v>25913</v>
      </c>
      <c r="D153" t="s">
        <v>1</v>
      </c>
      <c r="E153" s="1">
        <v>5</v>
      </c>
      <c r="G153" t="s">
        <v>25976</v>
      </c>
    </row>
    <row r="154" spans="1:7" x14ac:dyDescent="0.45">
      <c r="A154" s="71" t="s">
        <v>26163</v>
      </c>
      <c r="B154" t="str">
        <f>IFERROR(_xlfn.XLOOKUP(C154,Table2[Craft],Table2[Category]),"")</f>
        <v/>
      </c>
      <c r="E154" s="1"/>
    </row>
    <row r="155" spans="1:7" x14ac:dyDescent="0.45">
      <c r="A155" s="71" t="s">
        <v>26093</v>
      </c>
      <c r="B155" t="s">
        <v>26030</v>
      </c>
      <c r="C155" t="s">
        <v>26006</v>
      </c>
      <c r="D155" t="s">
        <v>1</v>
      </c>
      <c r="E155" s="1">
        <v>3</v>
      </c>
      <c r="F155" t="s">
        <v>26031</v>
      </c>
      <c r="G155" t="s">
        <v>25979</v>
      </c>
    </row>
    <row r="156" spans="1:7" x14ac:dyDescent="0.45">
      <c r="A156" s="71" t="s">
        <v>26093</v>
      </c>
      <c r="B156" t="s">
        <v>26030</v>
      </c>
      <c r="C156" t="s">
        <v>26007</v>
      </c>
      <c r="D156" t="s">
        <v>1</v>
      </c>
      <c r="E156" s="1">
        <v>3</v>
      </c>
      <c r="F156" t="s">
        <v>26032</v>
      </c>
      <c r="G156" t="s">
        <v>25979</v>
      </c>
    </row>
    <row r="157" spans="1:7" x14ac:dyDescent="0.45">
      <c r="A157" s="71" t="s">
        <v>26093</v>
      </c>
      <c r="B157" t="s">
        <v>26030</v>
      </c>
      <c r="C157" t="s">
        <v>26008</v>
      </c>
      <c r="D157" t="s">
        <v>1</v>
      </c>
      <c r="E157" s="1">
        <v>3</v>
      </c>
      <c r="F157" t="s">
        <v>26033</v>
      </c>
      <c r="G157" t="s">
        <v>25979</v>
      </c>
    </row>
    <row r="158" spans="1:7" x14ac:dyDescent="0.45">
      <c r="A158" s="71" t="s">
        <v>26093</v>
      </c>
      <c r="B158" t="s">
        <v>26030</v>
      </c>
      <c r="C158" t="s">
        <v>26009</v>
      </c>
      <c r="D158" t="s">
        <v>1</v>
      </c>
      <c r="E158" s="1">
        <v>3</v>
      </c>
      <c r="F158" t="s">
        <v>26034</v>
      </c>
      <c r="G158" t="s">
        <v>25979</v>
      </c>
    </row>
    <row r="159" spans="1:7" x14ac:dyDescent="0.45">
      <c r="A159" s="71" t="s">
        <v>26093</v>
      </c>
      <c r="B159" t="s">
        <v>26030</v>
      </c>
      <c r="C159" t="s">
        <v>26010</v>
      </c>
      <c r="D159" t="s">
        <v>1</v>
      </c>
      <c r="E159" s="1">
        <v>3</v>
      </c>
      <c r="F159" t="s">
        <v>26035</v>
      </c>
      <c r="G159" t="s">
        <v>25979</v>
      </c>
    </row>
    <row r="160" spans="1:7" x14ac:dyDescent="0.45">
      <c r="A160" s="71" t="s">
        <v>26093</v>
      </c>
      <c r="B160" t="s">
        <v>26030</v>
      </c>
      <c r="C160" t="s">
        <v>26011</v>
      </c>
      <c r="D160" t="s">
        <v>1</v>
      </c>
      <c r="E160" s="1">
        <v>3</v>
      </c>
      <c r="F160" t="s">
        <v>26036</v>
      </c>
      <c r="G160" t="s">
        <v>25979</v>
      </c>
    </row>
    <row r="161" spans="1:7" x14ac:dyDescent="0.45">
      <c r="A161" s="71" t="s">
        <v>26093</v>
      </c>
      <c r="B161" t="s">
        <v>26030</v>
      </c>
      <c r="C161" t="s">
        <v>26012</v>
      </c>
      <c r="D161" t="s">
        <v>1</v>
      </c>
      <c r="E161" s="1">
        <v>3</v>
      </c>
      <c r="F161" t="s">
        <v>26037</v>
      </c>
      <c r="G161" t="s">
        <v>25979</v>
      </c>
    </row>
    <row r="162" spans="1:7" x14ac:dyDescent="0.45">
      <c r="A162" s="71" t="s">
        <v>26093</v>
      </c>
      <c r="B162" t="s">
        <v>26030</v>
      </c>
      <c r="C162" t="s">
        <v>26013</v>
      </c>
      <c r="D162" t="s">
        <v>1</v>
      </c>
      <c r="E162" s="1">
        <v>3</v>
      </c>
      <c r="F162" t="s">
        <v>26037</v>
      </c>
      <c r="G162" t="s">
        <v>25979</v>
      </c>
    </row>
    <row r="163" spans="1:7" x14ac:dyDescent="0.45">
      <c r="A163" s="71" t="s">
        <v>26093</v>
      </c>
      <c r="B163" t="s">
        <v>26030</v>
      </c>
      <c r="C163" t="s">
        <v>26014</v>
      </c>
      <c r="D163" t="s">
        <v>1</v>
      </c>
      <c r="E163" s="1">
        <v>3</v>
      </c>
      <c r="F163" t="s">
        <v>26038</v>
      </c>
      <c r="G163" t="s">
        <v>25979</v>
      </c>
    </row>
    <row r="164" spans="1:7" x14ac:dyDescent="0.45">
      <c r="A164" s="71" t="s">
        <v>26093</v>
      </c>
      <c r="B164" t="s">
        <v>26030</v>
      </c>
      <c r="C164" t="s">
        <v>26015</v>
      </c>
      <c r="D164" t="s">
        <v>1</v>
      </c>
      <c r="E164" s="1">
        <v>3</v>
      </c>
      <c r="F164" t="s">
        <v>26039</v>
      </c>
      <c r="G164" t="s">
        <v>25979</v>
      </c>
    </row>
    <row r="165" spans="1:7" x14ac:dyDescent="0.45">
      <c r="A165" s="71" t="s">
        <v>26093</v>
      </c>
      <c r="B165" t="s">
        <v>26030</v>
      </c>
      <c r="C165" t="s">
        <v>26016</v>
      </c>
      <c r="D165" t="s">
        <v>1</v>
      </c>
      <c r="E165" s="1">
        <v>3</v>
      </c>
      <c r="F165" t="s">
        <v>26040</v>
      </c>
      <c r="G165" t="s">
        <v>25979</v>
      </c>
    </row>
    <row r="166" spans="1:7" x14ac:dyDescent="0.45">
      <c r="A166" s="71" t="s">
        <v>26093</v>
      </c>
      <c r="B166" t="s">
        <v>26030</v>
      </c>
      <c r="C166" t="s">
        <v>26017</v>
      </c>
      <c r="D166" t="s">
        <v>1</v>
      </c>
      <c r="E166" s="1">
        <v>3</v>
      </c>
      <c r="F166" t="s">
        <v>26041</v>
      </c>
      <c r="G166" t="s">
        <v>25979</v>
      </c>
    </row>
    <row r="167" spans="1:7" x14ac:dyDescent="0.45">
      <c r="A167" s="71" t="s">
        <v>26093</v>
      </c>
      <c r="B167" t="s">
        <v>26030</v>
      </c>
      <c r="C167" t="s">
        <v>26018</v>
      </c>
      <c r="D167" t="s">
        <v>1</v>
      </c>
      <c r="E167" s="1">
        <v>3</v>
      </c>
      <c r="F167" t="s">
        <v>26042</v>
      </c>
      <c r="G167" t="s">
        <v>25979</v>
      </c>
    </row>
    <row r="168" spans="1:7" x14ac:dyDescent="0.45">
      <c r="A168" s="71" t="s">
        <v>26093</v>
      </c>
      <c r="B168" t="s">
        <v>26030</v>
      </c>
      <c r="C168" t="s">
        <v>26019</v>
      </c>
      <c r="D168" t="s">
        <v>1</v>
      </c>
      <c r="E168" s="1">
        <v>3</v>
      </c>
      <c r="F168" t="s">
        <v>26043</v>
      </c>
      <c r="G168" t="s">
        <v>25979</v>
      </c>
    </row>
    <row r="169" spans="1:7" x14ac:dyDescent="0.45">
      <c r="A169" s="71" t="s">
        <v>26093</v>
      </c>
      <c r="B169" t="s">
        <v>26030</v>
      </c>
      <c r="C169" t="s">
        <v>26020</v>
      </c>
      <c r="D169" t="s">
        <v>1</v>
      </c>
      <c r="E169" s="1">
        <v>3</v>
      </c>
      <c r="F169" t="s">
        <v>26044</v>
      </c>
      <c r="G169" t="s">
        <v>25979</v>
      </c>
    </row>
    <row r="170" spans="1:7" x14ac:dyDescent="0.45">
      <c r="A170" s="71" t="s">
        <v>26093</v>
      </c>
      <c r="B170" t="s">
        <v>26030</v>
      </c>
      <c r="C170" t="s">
        <v>26021</v>
      </c>
      <c r="D170" t="s">
        <v>1</v>
      </c>
      <c r="E170" s="1">
        <v>3</v>
      </c>
      <c r="F170" t="s">
        <v>26045</v>
      </c>
      <c r="G170" t="s">
        <v>25979</v>
      </c>
    </row>
    <row r="171" spans="1:7" x14ac:dyDescent="0.45">
      <c r="A171" s="71" t="s">
        <v>26093</v>
      </c>
      <c r="B171" t="s">
        <v>26030</v>
      </c>
      <c r="C171" t="s">
        <v>26022</v>
      </c>
      <c r="D171" t="s">
        <v>1</v>
      </c>
      <c r="E171" s="1">
        <v>4</v>
      </c>
      <c r="F171" t="s">
        <v>26046</v>
      </c>
      <c r="G171" t="s">
        <v>25979</v>
      </c>
    </row>
    <row r="172" spans="1:7" x14ac:dyDescent="0.45">
      <c r="A172" s="71" t="s">
        <v>26093</v>
      </c>
      <c r="B172" t="s">
        <v>26030</v>
      </c>
      <c r="C172" t="s">
        <v>26023</v>
      </c>
      <c r="D172" t="s">
        <v>1</v>
      </c>
      <c r="E172" s="1">
        <v>3</v>
      </c>
      <c r="F172" t="s">
        <v>26047</v>
      </c>
      <c r="G172" t="s">
        <v>25979</v>
      </c>
    </row>
    <row r="173" spans="1:7" x14ac:dyDescent="0.45">
      <c r="A173" s="71" t="s">
        <v>26093</v>
      </c>
      <c r="B173" t="s">
        <v>26030</v>
      </c>
      <c r="C173" t="s">
        <v>26024</v>
      </c>
      <c r="D173" t="s">
        <v>1</v>
      </c>
      <c r="E173" s="1">
        <v>3</v>
      </c>
      <c r="F173" t="s">
        <v>26048</v>
      </c>
      <c r="G173" t="s">
        <v>25979</v>
      </c>
    </row>
    <row r="174" spans="1:7" x14ac:dyDescent="0.45">
      <c r="A174" s="71" t="s">
        <v>26093</v>
      </c>
      <c r="B174" t="s">
        <v>26030</v>
      </c>
      <c r="C174" t="s">
        <v>26025</v>
      </c>
      <c r="D174" t="s">
        <v>1</v>
      </c>
      <c r="E174" s="1">
        <v>3</v>
      </c>
      <c r="F174" t="s">
        <v>26049</v>
      </c>
      <c r="G174" t="s">
        <v>25979</v>
      </c>
    </row>
    <row r="175" spans="1:7" x14ac:dyDescent="0.45">
      <c r="A175" s="71" t="s">
        <v>26093</v>
      </c>
      <c r="B175" t="s">
        <v>26030</v>
      </c>
      <c r="C175" t="s">
        <v>26026</v>
      </c>
      <c r="D175" t="s">
        <v>1</v>
      </c>
      <c r="E175" s="1">
        <v>3</v>
      </c>
      <c r="F175" t="s">
        <v>26050</v>
      </c>
      <c r="G175" t="s">
        <v>25979</v>
      </c>
    </row>
    <row r="176" spans="1:7" x14ac:dyDescent="0.45">
      <c r="A176" s="71" t="s">
        <v>26093</v>
      </c>
      <c r="B176" t="s">
        <v>26030</v>
      </c>
      <c r="C176" t="s">
        <v>26027</v>
      </c>
      <c r="D176" t="s">
        <v>1</v>
      </c>
      <c r="E176" s="1">
        <v>3</v>
      </c>
      <c r="F176" t="s">
        <v>26051</v>
      </c>
      <c r="G176" t="s">
        <v>25979</v>
      </c>
    </row>
    <row r="177" spans="1:7" x14ac:dyDescent="0.45">
      <c r="A177" s="71" t="s">
        <v>26093</v>
      </c>
      <c r="B177" t="s">
        <v>26030</v>
      </c>
      <c r="C177" t="s">
        <v>26028</v>
      </c>
      <c r="D177" t="s">
        <v>1</v>
      </c>
      <c r="E177" s="1">
        <v>3</v>
      </c>
      <c r="F177" t="s">
        <v>26052</v>
      </c>
      <c r="G177" t="s">
        <v>25979</v>
      </c>
    </row>
    <row r="178" spans="1:7" x14ac:dyDescent="0.45">
      <c r="A178" s="71" t="s">
        <v>26093</v>
      </c>
      <c r="B178" t="s">
        <v>26030</v>
      </c>
      <c r="C178" t="s">
        <v>26029</v>
      </c>
      <c r="D178" t="s">
        <v>1</v>
      </c>
      <c r="E178" s="1">
        <v>3</v>
      </c>
      <c r="F178" t="s">
        <v>26053</v>
      </c>
      <c r="G178" t="s">
        <v>25979</v>
      </c>
    </row>
  </sheetData>
  <mergeCells count="3">
    <mergeCell ref="I1:M1"/>
    <mergeCell ref="I11:J11"/>
    <mergeCell ref="I37:J37"/>
  </mergeCells>
  <phoneticPr fontId="11" type="noConversion"/>
  <conditionalFormatting sqref="B1:C1 A179:B1048576 B154:C178 C2:C153">
    <cfRule type="duplicateValues" dxfId="0" priority="1"/>
  </conditionalFormatting>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dimension ref="A1:J123"/>
  <sheetViews>
    <sheetView workbookViewId="0">
      <pane ySplit="1" topLeftCell="A2" activePane="bottomLeft" state="frozen"/>
    </sheetView>
  </sheetViews>
  <sheetFormatPr defaultRowHeight="14.25"/>
  <cols>
    <col min="1" max="1" width="32" customWidth="1"/>
    <col min="2" max="2" width="32" customWidth="1"/>
    <col min="3" max="3" width="32" customWidth="1"/>
    <col min="4" max="4" width="32" customWidth="1"/>
    <col min="5" max="5" width="32" customWidth="1"/>
    <col min="6" max="6" width="32" customWidth="1"/>
    <col min="7" max="7" width="32" customWidth="1"/>
    <col min="8" max="8" width="32" customWidth="1"/>
    <col min="9" max="9" width="32" customWidth="1"/>
    <col min="10" max="10" width="32" customWidth="1"/>
  </cols>
  <sheetData>
    <row r="1" spans="1:10">
      <c r="A1" t="inlineStr">
        <is>
          <t xml:space="preserve">Material Name</t>
        </is>
      </c>
      <c r="B1" t="inlineStr">
        <is>
          <t xml:space="preserve">Category</t>
        </is>
      </c>
      <c r="C1" t="inlineStr">
        <is>
          <t xml:space="preserve">Weight Factor</t>
        </is>
      </c>
      <c r="D1" t="inlineStr">
        <is>
          <t xml:space="preserve">Override Factor</t>
        </is>
      </c>
      <c r="E1" t="inlineStr">
        <is>
          <t xml:space="preserve">Own Property Key</t>
        </is>
      </c>
      <c r="F1" t="inlineStr">
        <is>
          <t xml:space="preserve">Key Source</t>
        </is>
      </c>
      <c r="G1" t="inlineStr">
        <is>
          <t xml:space="preserve">Also Triggers Native Property</t>
        </is>
      </c>
      <c r="H1" t="inlineStr">
        <is>
          <t xml:space="preserve">In External Override File?</t>
        </is>
      </c>
      <c r="I1" t="inlineStr">
        <is>
          <t xml:space="preserve">Proposed 3-Letter Key</t>
        </is>
      </c>
      <c r="J1" t="inlineStr">
        <is>
          <t xml:space="preserve">3-Letter Key Notes</t>
        </is>
      </c>
    </row>
    <row r="2" spans="1:10">
      <c r="A2" t="inlineStr">
        <is>
          <t xml:space="preserve">Cotton</t>
        </is>
      </c>
      <c r="B2" t="inlineStr">
        <is>
          <t xml:space="preserve">Cloth</t>
        </is>
      </c>
      <c r="C2">
        <v>0.55</v>
      </c>
      <c r="D2" t="inlineStr">
        <is>
          <t xml:space="preserve"/>
        </is>
      </c>
      <c r="E2" t="inlineStr">
        <is>
          <t xml:space="preserve">cotton</t>
        </is>
      </c>
      <c r="F2" t="inlineStr">
        <is>
          <t xml:space="preserve">minted by module's ready hook</t>
        </is>
      </c>
      <c r="G2" t="inlineStr">
        <is>
          <t xml:space="preserve"/>
        </is>
      </c>
      <c r="H2" t="inlineStr">
        <is>
          <t xml:space="preserve">Unknown</t>
        </is>
      </c>
      <c r="I2" t="inlineStr">
        <is>
          <t xml:space="preserve">cot</t>
        </is>
      </c>
      <c r="J2" t="inlineStr">
        <is>
          <t xml:space="preserve"/>
        </is>
      </c>
    </row>
    <row r="3" spans="1:10">
      <c r="A3" t="inlineStr">
        <is>
          <t xml:space="preserve">Hemp</t>
        </is>
      </c>
      <c r="B3" t="inlineStr">
        <is>
          <t xml:space="preserve">Cloth</t>
        </is>
      </c>
      <c r="C3">
        <v>0.55</v>
      </c>
      <c r="D3" t="inlineStr">
        <is>
          <t xml:space="preserve"/>
        </is>
      </c>
      <c r="E3" t="inlineStr">
        <is>
          <t xml:space="preserve">hemp</t>
        </is>
      </c>
      <c r="F3" t="inlineStr">
        <is>
          <t xml:space="preserve">minted by module's ready hook</t>
        </is>
      </c>
      <c r="G3" t="inlineStr">
        <is>
          <t xml:space="preserve"/>
        </is>
      </c>
      <c r="H3" t="inlineStr">
        <is>
          <t xml:space="preserve">Unknown</t>
        </is>
      </c>
      <c r="I3" t="inlineStr">
        <is>
          <t xml:space="preserve">hem</t>
        </is>
      </c>
      <c r="J3" t="inlineStr">
        <is>
          <t xml:space="preserve"/>
        </is>
      </c>
    </row>
    <row r="4" spans="1:10">
      <c r="A4" t="inlineStr">
        <is>
          <t xml:space="preserve">Jute</t>
        </is>
      </c>
      <c r="B4" t="inlineStr">
        <is>
          <t xml:space="preserve">Cloth</t>
        </is>
      </c>
      <c r="C4">
        <v>0.55</v>
      </c>
      <c r="D4" t="inlineStr">
        <is>
          <t xml:space="preserve"/>
        </is>
      </c>
      <c r="E4" t="inlineStr">
        <is>
          <t xml:space="preserve">jute</t>
        </is>
      </c>
      <c r="F4" t="inlineStr">
        <is>
          <t xml:space="preserve">minted by module's ready hook</t>
        </is>
      </c>
      <c r="G4" t="inlineStr">
        <is>
          <t xml:space="preserve"/>
        </is>
      </c>
      <c r="H4" t="inlineStr">
        <is>
          <t xml:space="preserve">Unknown</t>
        </is>
      </c>
      <c r="I4" t="inlineStr">
        <is>
          <t xml:space="preserve">jut</t>
        </is>
      </c>
      <c r="J4" t="inlineStr">
        <is>
          <t xml:space="preserve"/>
        </is>
      </c>
    </row>
    <row r="5" spans="1:10">
      <c r="A5" t="inlineStr">
        <is>
          <t xml:space="preserve">Linen</t>
        </is>
      </c>
      <c r="B5" t="inlineStr">
        <is>
          <t xml:space="preserve">Cloth</t>
        </is>
      </c>
      <c r="C5">
        <v>0.55</v>
      </c>
      <c r="D5" t="inlineStr">
        <is>
          <t xml:space="preserve"/>
        </is>
      </c>
      <c r="E5" t="inlineStr">
        <is>
          <t xml:space="preserve">linen</t>
        </is>
      </c>
      <c r="F5" t="inlineStr">
        <is>
          <t xml:space="preserve">minted by module's ready hook</t>
        </is>
      </c>
      <c r="G5" t="inlineStr">
        <is>
          <t xml:space="preserve"/>
        </is>
      </c>
      <c r="H5" t="inlineStr">
        <is>
          <t xml:space="preserve">Unknown</t>
        </is>
      </c>
      <c r="I5" t="inlineStr">
        <is>
          <t xml:space="preserve">lin</t>
        </is>
      </c>
      <c r="J5" t="inlineStr">
        <is>
          <t xml:space="preserve"/>
        </is>
      </c>
    </row>
    <row r="6" spans="1:10">
      <c r="A6" t="inlineStr">
        <is>
          <t xml:space="preserve">Shadowsilk</t>
        </is>
      </c>
      <c r="B6" t="inlineStr">
        <is>
          <t xml:space="preserve">Cloth</t>
        </is>
      </c>
      <c r="C6">
        <v>0.55</v>
      </c>
      <c r="D6" t="inlineStr">
        <is>
          <t xml:space="preserve"/>
        </is>
      </c>
      <c r="E6" t="inlineStr">
        <is>
          <t xml:space="preserve">shadowsilk</t>
        </is>
      </c>
      <c r="F6" t="inlineStr">
        <is>
          <t xml:space="preserve">minted by module's ready hook</t>
        </is>
      </c>
      <c r="G6" t="inlineStr">
        <is>
          <t xml:space="preserve"/>
        </is>
      </c>
      <c r="H6" t="inlineStr">
        <is>
          <t xml:space="preserve">Unknown</t>
        </is>
      </c>
      <c r="I6" t="inlineStr">
        <is>
          <t xml:space="preserve">sha</t>
        </is>
      </c>
      <c r="J6" t="inlineStr">
        <is>
          <t xml:space="preserve"/>
        </is>
      </c>
    </row>
    <row r="7" spans="1:10">
      <c r="A7" t="inlineStr">
        <is>
          <t xml:space="preserve">Silk</t>
        </is>
      </c>
      <c r="B7" t="inlineStr">
        <is>
          <t xml:space="preserve">Cloth</t>
        </is>
      </c>
      <c r="C7">
        <v>0.55</v>
      </c>
      <c r="D7" t="inlineStr">
        <is>
          <t xml:space="preserve"/>
        </is>
      </c>
      <c r="E7" t="inlineStr">
        <is>
          <t xml:space="preserve">silk</t>
        </is>
      </c>
      <c r="F7" t="inlineStr">
        <is>
          <t xml:space="preserve">minted by module's ready hook</t>
        </is>
      </c>
      <c r="G7" t="inlineStr">
        <is>
          <t xml:space="preserve"/>
        </is>
      </c>
      <c r="H7" t="inlineStr">
        <is>
          <t xml:space="preserve">Unknown</t>
        </is>
      </c>
      <c r="I7" t="inlineStr">
        <is>
          <t xml:space="preserve">slk</t>
        </is>
      </c>
      <c r="J7" t="inlineStr">
        <is>
          <t xml:space="preserve">collision - resolved via compound/consonant fallback</t>
        </is>
      </c>
    </row>
    <row r="8" spans="1:10">
      <c r="A8" t="inlineStr">
        <is>
          <t xml:space="preserve">Thistledown</t>
        </is>
      </c>
      <c r="B8" t="inlineStr">
        <is>
          <t xml:space="preserve">Cloth</t>
        </is>
      </c>
      <c r="C8">
        <v>0.55</v>
      </c>
      <c r="D8" t="inlineStr">
        <is>
          <t xml:space="preserve"/>
        </is>
      </c>
      <c r="E8" t="inlineStr">
        <is>
          <t xml:space="preserve">thistledown</t>
        </is>
      </c>
      <c r="F8" t="inlineStr">
        <is>
          <t xml:space="preserve">minted by module's ready hook</t>
        </is>
      </c>
      <c r="G8" t="inlineStr">
        <is>
          <t xml:space="preserve"/>
        </is>
      </c>
      <c r="H8" t="inlineStr">
        <is>
          <t xml:space="preserve">Unknown</t>
        </is>
      </c>
      <c r="I8" t="inlineStr">
        <is>
          <t xml:space="preserve">ths</t>
        </is>
      </c>
      <c r="J8" t="inlineStr">
        <is>
          <t xml:space="preserve">collision - resolved via compound/consonant fallback</t>
        </is>
      </c>
    </row>
    <row r="9" spans="1:10">
      <c r="A9" t="inlineStr">
        <is>
          <t xml:space="preserve">Twisted Silk</t>
        </is>
      </c>
      <c r="B9" t="inlineStr">
        <is>
          <t xml:space="preserve">Cloth</t>
        </is>
      </c>
      <c r="C9">
        <v>0.55</v>
      </c>
      <c r="D9" t="inlineStr">
        <is>
          <t xml:space="preserve"/>
        </is>
      </c>
      <c r="E9" t="inlineStr">
        <is>
          <t xml:space="preserve">twistedsilk</t>
        </is>
      </c>
      <c r="F9" t="inlineStr">
        <is>
          <t xml:space="preserve">minted by module's ready hook</t>
        </is>
      </c>
      <c r="G9" t="inlineStr">
        <is>
          <t xml:space="preserve"/>
        </is>
      </c>
      <c r="H9" t="inlineStr">
        <is>
          <t xml:space="preserve">Unknown</t>
        </is>
      </c>
      <c r="I9" t="inlineStr">
        <is>
          <t xml:space="preserve">twi</t>
        </is>
      </c>
      <c r="J9" t="inlineStr">
        <is>
          <t xml:space="preserve"/>
        </is>
      </c>
    </row>
    <row r="10" spans="1:10">
      <c r="A10" t="inlineStr">
        <is>
          <t xml:space="preserve">Wool</t>
        </is>
      </c>
      <c r="B10" t="inlineStr">
        <is>
          <t xml:space="preserve">Cloth</t>
        </is>
      </c>
      <c r="C10">
        <v>0.55</v>
      </c>
      <c r="D10" t="inlineStr">
        <is>
          <t xml:space="preserve"/>
        </is>
      </c>
      <c r="E10" t="inlineStr">
        <is>
          <t xml:space="preserve">wool</t>
        </is>
      </c>
      <c r="F10" t="inlineStr">
        <is>
          <t xml:space="preserve">minted by module's ready hook</t>
        </is>
      </c>
      <c r="G10" t="inlineStr">
        <is>
          <t xml:space="preserve"/>
        </is>
      </c>
      <c r="H10" t="inlineStr">
        <is>
          <t xml:space="preserve">Unknown</t>
        </is>
      </c>
      <c r="I10" t="inlineStr">
        <is>
          <t xml:space="preserve">woo</t>
        </is>
      </c>
      <c r="J10" t="inlineStr">
        <is>
          <t xml:space="preserve"/>
        </is>
      </c>
    </row>
    <row r="11" spans="1:10">
      <c r="A11" t="inlineStr">
        <is>
          <t xml:space="preserve">Amber</t>
        </is>
      </c>
      <c r="B11" t="inlineStr">
        <is>
          <t xml:space="preserve">Glass</t>
        </is>
      </c>
      <c r="C11">
        <v>0.9</v>
      </c>
      <c r="D11" t="inlineStr">
        <is>
          <t xml:space="preserve"/>
        </is>
      </c>
      <c r="E11" t="inlineStr">
        <is>
          <t xml:space="preserve">amber</t>
        </is>
      </c>
      <c r="F11" t="inlineStr">
        <is>
          <t xml:space="preserve">minted by module's ready hook</t>
        </is>
      </c>
      <c r="G11" t="inlineStr">
        <is>
          <t xml:space="preserve"/>
        </is>
      </c>
      <c r="H11" t="inlineStr">
        <is>
          <t xml:space="preserve">Unknown</t>
        </is>
      </c>
      <c r="I11" t="inlineStr">
        <is>
          <t xml:space="preserve">amb</t>
        </is>
      </c>
      <c r="J11" t="inlineStr">
        <is>
          <t xml:space="preserve"/>
        </is>
      </c>
    </row>
    <row r="12" spans="1:10">
      <c r="A12" t="inlineStr">
        <is>
          <t xml:space="preserve">Beskar</t>
        </is>
      </c>
      <c r="B12" t="inlineStr">
        <is>
          <t xml:space="preserve">Glass</t>
        </is>
      </c>
      <c r="C12">
        <v>0.9</v>
      </c>
      <c r="D12" t="inlineStr">
        <is>
          <t xml:space="preserve"/>
        </is>
      </c>
      <c r="E12" t="inlineStr">
        <is>
          <t xml:space="preserve">beskar</t>
        </is>
      </c>
      <c r="F12" t="inlineStr">
        <is>
          <t xml:space="preserve">minted by module's ready hook</t>
        </is>
      </c>
      <c r="G12" t="inlineStr">
        <is>
          <t xml:space="preserve"/>
        </is>
      </c>
      <c r="H12" t="inlineStr">
        <is>
          <t xml:space="preserve">Unknown</t>
        </is>
      </c>
      <c r="I12" t="inlineStr">
        <is>
          <t xml:space="preserve">bes</t>
        </is>
      </c>
      <c r="J12" t="inlineStr">
        <is>
          <t xml:space="preserve"/>
        </is>
      </c>
    </row>
    <row r="13" spans="1:10">
      <c r="A13" t="inlineStr">
        <is>
          <t xml:space="preserve">Blended Quartz</t>
        </is>
      </c>
      <c r="B13" t="inlineStr">
        <is>
          <t xml:space="preserve">Glass</t>
        </is>
      </c>
      <c r="C13">
        <v>0.9</v>
      </c>
      <c r="D13" t="inlineStr">
        <is>
          <t xml:space="preserve"/>
        </is>
      </c>
      <c r="E13" t="inlineStr">
        <is>
          <t xml:space="preserve">blendedquartz</t>
        </is>
      </c>
      <c r="F13" t="inlineStr">
        <is>
          <t xml:space="preserve">minted by module's ready hook</t>
        </is>
      </c>
      <c r="G13" t="inlineStr">
        <is>
          <t xml:space="preserve"/>
        </is>
      </c>
      <c r="H13" t="inlineStr">
        <is>
          <t xml:space="preserve">Unknown</t>
        </is>
      </c>
      <c r="I13" t="inlineStr">
        <is>
          <t xml:space="preserve">ble</t>
        </is>
      </c>
      <c r="J13" t="inlineStr">
        <is>
          <t xml:space="preserve"/>
        </is>
      </c>
    </row>
    <row r="14" spans="1:10">
      <c r="A14" t="inlineStr">
        <is>
          <t xml:space="preserve">Byeshk</t>
        </is>
      </c>
      <c r="B14" t="inlineStr">
        <is>
          <t xml:space="preserve">Glass</t>
        </is>
      </c>
      <c r="C14">
        <v>0.9</v>
      </c>
      <c r="D14" t="inlineStr">
        <is>
          <t xml:space="preserve"/>
        </is>
      </c>
      <c r="E14" t="inlineStr">
        <is>
          <t xml:space="preserve">byeshk</t>
        </is>
      </c>
      <c r="F14" t="inlineStr">
        <is>
          <t xml:space="preserve">minted by module's ready hook</t>
        </is>
      </c>
      <c r="G14" t="inlineStr">
        <is>
          <t xml:space="preserve"/>
        </is>
      </c>
      <c r="H14" t="inlineStr">
        <is>
          <t xml:space="preserve">Unknown</t>
        </is>
      </c>
      <c r="I14" t="inlineStr">
        <is>
          <t xml:space="preserve">bye</t>
        </is>
      </c>
      <c r="J14" t="inlineStr">
        <is>
          <t xml:space="preserve"/>
        </is>
      </c>
    </row>
    <row r="15" spans="1:10">
      <c r="A15" t="inlineStr">
        <is>
          <t xml:space="preserve">Dimeriti</t>
        </is>
      </c>
      <c r="B15" t="inlineStr">
        <is>
          <t xml:space="preserve">Glass</t>
        </is>
      </c>
      <c r="C15">
        <v>0.9</v>
      </c>
      <c r="D15" t="inlineStr">
        <is>
          <t xml:space="preserve"/>
        </is>
      </c>
      <c r="E15" t="inlineStr">
        <is>
          <t xml:space="preserve">dimeriti</t>
        </is>
      </c>
      <c r="F15" t="inlineStr">
        <is>
          <t xml:space="preserve">minted by module's ready hook</t>
        </is>
      </c>
      <c r="G15" t="inlineStr">
        <is>
          <t xml:space="preserve"/>
        </is>
      </c>
      <c r="H15" t="inlineStr">
        <is>
          <t xml:space="preserve">Unknown</t>
        </is>
      </c>
      <c r="I15" t="inlineStr">
        <is>
          <t xml:space="preserve">dim</t>
        </is>
      </c>
      <c r="J15" t="inlineStr">
        <is>
          <t xml:space="preserve"/>
        </is>
      </c>
    </row>
    <row r="16" spans="1:10">
      <c r="A16" t="inlineStr">
        <is>
          <t xml:space="preserve">Ebony</t>
        </is>
      </c>
      <c r="B16" t="inlineStr">
        <is>
          <t xml:space="preserve">Glass</t>
        </is>
      </c>
      <c r="C16">
        <v>0.9</v>
      </c>
      <c r="D16" t="inlineStr">
        <is>
          <t xml:space="preserve"/>
        </is>
      </c>
      <c r="E16" t="inlineStr">
        <is>
          <t xml:space="preserve">ebony</t>
        </is>
      </c>
      <c r="F16" t="inlineStr">
        <is>
          <t xml:space="preserve">minted by module's ready hook</t>
        </is>
      </c>
      <c r="G16" t="inlineStr">
        <is>
          <t xml:space="preserve"/>
        </is>
      </c>
      <c r="H16" t="inlineStr">
        <is>
          <t xml:space="preserve">Unknown</t>
        </is>
      </c>
      <c r="I16" t="inlineStr">
        <is>
          <t xml:space="preserve">ebo</t>
        </is>
      </c>
      <c r="J16" t="inlineStr">
        <is>
          <t xml:space="preserve"/>
        </is>
      </c>
    </row>
    <row r="17" spans="1:10">
      <c r="A17" t="inlineStr">
        <is>
          <t xml:space="preserve">Fluid Stone</t>
        </is>
      </c>
      <c r="B17" t="inlineStr">
        <is>
          <t xml:space="preserve">Glass</t>
        </is>
      </c>
      <c r="C17">
        <v>0.9</v>
      </c>
      <c r="D17" t="inlineStr">
        <is>
          <t xml:space="preserve"/>
        </is>
      </c>
      <c r="E17" t="inlineStr">
        <is>
          <t xml:space="preserve">fluidstone</t>
        </is>
      </c>
      <c r="F17" t="inlineStr">
        <is>
          <t xml:space="preserve">minted by module's ready hook</t>
        </is>
      </c>
      <c r="G17" t="inlineStr">
        <is>
          <t xml:space="preserve"/>
        </is>
      </c>
      <c r="H17" t="inlineStr">
        <is>
          <t xml:space="preserve">Unknown</t>
        </is>
      </c>
      <c r="I17" t="inlineStr">
        <is>
          <t xml:space="preserve">flu</t>
        </is>
      </c>
      <c r="J17" t="inlineStr">
        <is>
          <t xml:space="preserve"/>
        </is>
      </c>
    </row>
    <row r="18" spans="1:10">
      <c r="A18" t="inlineStr">
        <is>
          <t xml:space="preserve">Glass</t>
        </is>
      </c>
      <c r="B18" t="inlineStr">
        <is>
          <t xml:space="preserve">Glass</t>
        </is>
      </c>
      <c r="C18">
        <v>0.9</v>
      </c>
      <c r="D18" t="inlineStr">
        <is>
          <t xml:space="preserve"/>
        </is>
      </c>
      <c r="E18" t="inlineStr">
        <is>
          <t xml:space="preserve">glass</t>
        </is>
      </c>
      <c r="F18" t="inlineStr">
        <is>
          <t xml:space="preserve">minted by module's ready hook</t>
        </is>
      </c>
      <c r="G18" t="inlineStr">
        <is>
          <t xml:space="preserve"/>
        </is>
      </c>
      <c r="H18" t="inlineStr">
        <is>
          <t xml:space="preserve">Unknown</t>
        </is>
      </c>
      <c r="I18" t="inlineStr">
        <is>
          <t xml:space="preserve">gla</t>
        </is>
      </c>
      <c r="J18" t="inlineStr">
        <is>
          <t xml:space="preserve"/>
        </is>
      </c>
    </row>
    <row r="19" spans="1:10">
      <c r="A19" t="inlineStr">
        <is>
          <t xml:space="preserve">Glassteel</t>
        </is>
      </c>
      <c r="B19" t="inlineStr">
        <is>
          <t xml:space="preserve">Glass</t>
        </is>
      </c>
      <c r="C19">
        <v>0.9</v>
      </c>
      <c r="D19" t="inlineStr">
        <is>
          <t xml:space="preserve"/>
        </is>
      </c>
      <c r="E19" t="inlineStr">
        <is>
          <t xml:space="preserve">glassteel</t>
        </is>
      </c>
      <c r="F19" t="inlineStr">
        <is>
          <t xml:space="preserve">minted by module's ready hook</t>
        </is>
      </c>
      <c r="G19" t="inlineStr">
        <is>
          <t xml:space="preserve"/>
        </is>
      </c>
      <c r="H19" t="inlineStr">
        <is>
          <t xml:space="preserve">Unknown</t>
        </is>
      </c>
      <c r="I19" t="inlineStr">
        <is>
          <t xml:space="preserve">gls</t>
        </is>
      </c>
      <c r="J19" t="inlineStr">
        <is>
          <t xml:space="preserve">collision - resolved via compound/consonant fallback</t>
        </is>
      </c>
    </row>
    <row r="20" spans="1:10">
      <c r="A20" t="inlineStr">
        <is>
          <t xml:space="preserve">Plutite</t>
        </is>
      </c>
      <c r="B20" t="inlineStr">
        <is>
          <t xml:space="preserve">Glass</t>
        </is>
      </c>
      <c r="C20">
        <v>0.9</v>
      </c>
      <c r="D20" t="inlineStr">
        <is>
          <t xml:space="preserve"/>
        </is>
      </c>
      <c r="E20" t="inlineStr">
        <is>
          <t xml:space="preserve">plutite</t>
        </is>
      </c>
      <c r="F20" t="inlineStr">
        <is>
          <t xml:space="preserve">minted by module's ready hook</t>
        </is>
      </c>
      <c r="G20" t="inlineStr">
        <is>
          <t xml:space="preserve"/>
        </is>
      </c>
      <c r="H20" t="inlineStr">
        <is>
          <t xml:space="preserve">Unknown</t>
        </is>
      </c>
      <c r="I20" t="inlineStr">
        <is>
          <t xml:space="preserve">plu</t>
        </is>
      </c>
      <c r="J20" t="inlineStr">
        <is>
          <t xml:space="preserve"/>
        </is>
      </c>
    </row>
    <row r="21" spans="1:10">
      <c r="A21" t="inlineStr">
        <is>
          <t xml:space="preserve">Pursuit</t>
        </is>
      </c>
      <c r="B21" t="inlineStr">
        <is>
          <t xml:space="preserve">Glass</t>
        </is>
      </c>
      <c r="C21">
        <v>0.9</v>
      </c>
      <c r="D21" t="inlineStr">
        <is>
          <t xml:space="preserve"/>
        </is>
      </c>
      <c r="E21" t="inlineStr">
        <is>
          <t xml:space="preserve">pursuit</t>
        </is>
      </c>
      <c r="F21" t="inlineStr">
        <is>
          <t xml:space="preserve">minted by module's ready hook</t>
        </is>
      </c>
      <c r="G21" t="inlineStr">
        <is>
          <t xml:space="preserve"/>
        </is>
      </c>
      <c r="H21" t="inlineStr">
        <is>
          <t xml:space="preserve">Unknown</t>
        </is>
      </c>
      <c r="I21" t="inlineStr">
        <is>
          <t xml:space="preserve">pur</t>
        </is>
      </c>
      <c r="J21" t="inlineStr">
        <is>
          <t xml:space="preserve"/>
        </is>
      </c>
    </row>
    <row r="22" spans="1:10">
      <c r="A22" t="inlineStr">
        <is>
          <t xml:space="preserve">Shimmer Ring</t>
        </is>
      </c>
      <c r="B22" t="inlineStr">
        <is>
          <t xml:space="preserve">Glass</t>
        </is>
      </c>
      <c r="C22">
        <v>0.9</v>
      </c>
      <c r="D22" t="inlineStr">
        <is>
          <t xml:space="preserve"/>
        </is>
      </c>
      <c r="E22" t="inlineStr">
        <is>
          <t xml:space="preserve">shimmerring</t>
        </is>
      </c>
      <c r="F22" t="inlineStr">
        <is>
          <t xml:space="preserve">minted by module's ready hook</t>
        </is>
      </c>
      <c r="G22" t="inlineStr">
        <is>
          <t xml:space="preserve"/>
        </is>
      </c>
      <c r="H22" t="inlineStr">
        <is>
          <t xml:space="preserve">Unknown</t>
        </is>
      </c>
      <c r="I22" t="inlineStr">
        <is>
          <t xml:space="preserve">shi</t>
        </is>
      </c>
      <c r="J22" t="inlineStr">
        <is>
          <t xml:space="preserve"/>
        </is>
      </c>
    </row>
    <row r="23" spans="1:10">
      <c r="A23" t="inlineStr">
        <is>
          <t xml:space="preserve">Shimmering</t>
        </is>
      </c>
      <c r="B23" t="inlineStr">
        <is>
          <t xml:space="preserve">Glass</t>
        </is>
      </c>
      <c r="C23">
        <v>0.9</v>
      </c>
      <c r="D23" t="inlineStr">
        <is>
          <t xml:space="preserve"/>
        </is>
      </c>
      <c r="E23" t="inlineStr">
        <is>
          <t xml:space="preserve">shimmering</t>
        </is>
      </c>
      <c r="F23" t="inlineStr">
        <is>
          <t xml:space="preserve">minted by module's ready hook</t>
        </is>
      </c>
      <c r="G23" t="inlineStr">
        <is>
          <t xml:space="preserve"/>
        </is>
      </c>
      <c r="H23" t="inlineStr">
        <is>
          <t xml:space="preserve">Unknown</t>
        </is>
      </c>
      <c r="I23" t="inlineStr">
        <is>
          <t xml:space="preserve">shm</t>
        </is>
      </c>
      <c r="J23" t="inlineStr">
        <is>
          <t xml:space="preserve">collision - resolved via compound/consonant fallback</t>
        </is>
      </c>
    </row>
    <row r="24" spans="1:10">
      <c r="A24" t="inlineStr">
        <is>
          <t xml:space="preserve">Stygian</t>
        </is>
      </c>
      <c r="B24" t="inlineStr">
        <is>
          <t xml:space="preserve">Glass</t>
        </is>
      </c>
      <c r="C24">
        <v>0.9</v>
      </c>
      <c r="D24" t="inlineStr">
        <is>
          <t xml:space="preserve"/>
        </is>
      </c>
      <c r="E24" t="inlineStr">
        <is>
          <t xml:space="preserve">stygian</t>
        </is>
      </c>
      <c r="F24" t="inlineStr">
        <is>
          <t xml:space="preserve">minted by module's ready hook</t>
        </is>
      </c>
      <c r="G24" t="inlineStr">
        <is>
          <t xml:space="preserve"/>
        </is>
      </c>
      <c r="H24" t="inlineStr">
        <is>
          <t xml:space="preserve">Unknown</t>
        </is>
      </c>
      <c r="I24" t="inlineStr">
        <is>
          <t xml:space="preserve">sty</t>
        </is>
      </c>
      <c r="J24" t="inlineStr">
        <is>
          <t xml:space="preserve"/>
        </is>
      </c>
    </row>
    <row r="25" spans="1:10">
      <c r="A25" t="inlineStr">
        <is>
          <t xml:space="preserve">Abyssus Skin</t>
        </is>
      </c>
      <c r="B25" t="inlineStr">
        <is>
          <t xml:space="preserve">Leather</t>
        </is>
      </c>
      <c r="C25">
        <v>0.88</v>
      </c>
      <c r="D25" t="inlineStr">
        <is>
          <t xml:space="preserve"/>
        </is>
      </c>
      <c r="E25" t="inlineStr">
        <is>
          <t xml:space="preserve">abyssusskin</t>
        </is>
      </c>
      <c r="F25" t="inlineStr">
        <is>
          <t xml:space="preserve">minted by module's ready hook</t>
        </is>
      </c>
      <c r="G25" t="inlineStr">
        <is>
          <t xml:space="preserve"/>
        </is>
      </c>
      <c r="H25" t="inlineStr">
        <is>
          <t xml:space="preserve">Unknown</t>
        </is>
      </c>
      <c r="I25" t="inlineStr">
        <is>
          <t xml:space="preserve">aby</t>
        </is>
      </c>
      <c r="J25" t="inlineStr">
        <is>
          <t xml:space="preserve"/>
        </is>
      </c>
    </row>
    <row r="26" spans="1:10">
      <c r="A26" t="inlineStr">
        <is>
          <t xml:space="preserve">Boiled Plate-Hide</t>
        </is>
      </c>
      <c r="B26" t="inlineStr">
        <is>
          <t xml:space="preserve">Leather</t>
        </is>
      </c>
      <c r="C26">
        <v>0.88</v>
      </c>
      <c r="D26" t="inlineStr">
        <is>
          <t xml:space="preserve"/>
        </is>
      </c>
      <c r="E26" t="inlineStr">
        <is>
          <t xml:space="preserve">boiledplatehide</t>
        </is>
      </c>
      <c r="F26" t="inlineStr">
        <is>
          <t xml:space="preserve">minted by module's ready hook</t>
        </is>
      </c>
      <c r="G26" t="inlineStr">
        <is>
          <t xml:space="preserve"/>
        </is>
      </c>
      <c r="H26" t="inlineStr">
        <is>
          <t xml:space="preserve">Unknown</t>
        </is>
      </c>
      <c r="I26" t="inlineStr">
        <is>
          <t xml:space="preserve">boi</t>
        </is>
      </c>
      <c r="J26" t="inlineStr">
        <is>
          <t xml:space="preserve"/>
        </is>
      </c>
    </row>
    <row r="27" spans="1:10">
      <c r="A27" t="inlineStr">
        <is>
          <t xml:space="preserve">Cured Hide</t>
        </is>
      </c>
      <c r="B27" t="inlineStr">
        <is>
          <t xml:space="preserve">Leather</t>
        </is>
      </c>
      <c r="C27">
        <v>0.88</v>
      </c>
      <c r="D27" t="inlineStr">
        <is>
          <t xml:space="preserve"/>
        </is>
      </c>
      <c r="E27" t="inlineStr">
        <is>
          <t xml:space="preserve">curedhide</t>
        </is>
      </c>
      <c r="F27" t="inlineStr">
        <is>
          <t xml:space="preserve">minted by module's ready hook</t>
        </is>
      </c>
      <c r="G27" t="inlineStr">
        <is>
          <t xml:space="preserve"/>
        </is>
      </c>
      <c r="H27" t="inlineStr">
        <is>
          <t xml:space="preserve">Unknown</t>
        </is>
      </c>
      <c r="I27" t="inlineStr">
        <is>
          <t xml:space="preserve">cur</t>
        </is>
      </c>
      <c r="J27" t="inlineStr">
        <is>
          <t xml:space="preserve"/>
        </is>
      </c>
    </row>
    <row r="28" spans="1:10">
      <c r="A28" t="inlineStr">
        <is>
          <t xml:space="preserve">Dar'ether</t>
        </is>
      </c>
      <c r="B28" t="inlineStr">
        <is>
          <t xml:space="preserve">Leather</t>
        </is>
      </c>
      <c r="C28">
        <v>0.88</v>
      </c>
      <c r="D28" t="inlineStr">
        <is>
          <t xml:space="preserve"/>
        </is>
      </c>
      <c r="E28" t="inlineStr">
        <is>
          <t xml:space="preserve">darether</t>
        </is>
      </c>
      <c r="F28" t="inlineStr">
        <is>
          <t xml:space="preserve">minted by module's ready hook</t>
        </is>
      </c>
      <c r="G28" t="inlineStr">
        <is>
          <t xml:space="preserve"/>
        </is>
      </c>
      <c r="H28" t="inlineStr">
        <is>
          <t xml:space="preserve">Unknown</t>
        </is>
      </c>
      <c r="I28" t="inlineStr">
        <is>
          <t xml:space="preserve">dar</t>
        </is>
      </c>
      <c r="J28" t="inlineStr">
        <is>
          <t xml:space="preserve"/>
        </is>
      </c>
    </row>
    <row r="29" spans="1:10">
      <c r="A29" t="inlineStr">
        <is>
          <t xml:space="preserve">Deather</t>
        </is>
      </c>
      <c r="B29" t="inlineStr">
        <is>
          <t xml:space="preserve">Leather</t>
        </is>
      </c>
      <c r="C29">
        <v>0.88</v>
      </c>
      <c r="D29" t="inlineStr">
        <is>
          <t xml:space="preserve"/>
        </is>
      </c>
      <c r="E29" t="inlineStr">
        <is>
          <t xml:space="preserve">deather</t>
        </is>
      </c>
      <c r="F29" t="inlineStr">
        <is>
          <t xml:space="preserve">minted by module's ready hook</t>
        </is>
      </c>
      <c r="G29" t="inlineStr">
        <is>
          <t xml:space="preserve"/>
        </is>
      </c>
      <c r="H29" t="inlineStr">
        <is>
          <t xml:space="preserve">Unknown</t>
        </is>
      </c>
      <c r="I29" t="inlineStr">
        <is>
          <t xml:space="preserve">dea</t>
        </is>
      </c>
      <c r="J29" t="inlineStr">
        <is>
          <t xml:space="preserve"/>
        </is>
      </c>
    </row>
    <row r="30" spans="1:10">
      <c r="A30" t="inlineStr">
        <is>
          <t xml:space="preserve">Feyken</t>
        </is>
      </c>
      <c r="B30" t="inlineStr">
        <is>
          <t xml:space="preserve">Leather</t>
        </is>
      </c>
      <c r="C30">
        <v>0.88</v>
      </c>
      <c r="D30" t="inlineStr">
        <is>
          <t xml:space="preserve"/>
        </is>
      </c>
      <c r="E30" t="inlineStr">
        <is>
          <t xml:space="preserve">feyken</t>
        </is>
      </c>
      <c r="F30" t="inlineStr">
        <is>
          <t xml:space="preserve">minted by module's ready hook</t>
        </is>
      </c>
      <c r="G30" t="inlineStr">
        <is>
          <t xml:space="preserve"/>
        </is>
      </c>
      <c r="H30" t="inlineStr">
        <is>
          <t xml:space="preserve">Unknown</t>
        </is>
      </c>
      <c r="I30" t="inlineStr">
        <is>
          <t xml:space="preserve">fey</t>
        </is>
      </c>
      <c r="J30" t="inlineStr">
        <is>
          <t xml:space="preserve"/>
        </is>
      </c>
    </row>
    <row r="31" spans="1:10">
      <c r="A31" t="inlineStr">
        <is>
          <t xml:space="preserve">Fur Heavy</t>
        </is>
      </c>
      <c r="B31" t="inlineStr">
        <is>
          <t xml:space="preserve">Leather</t>
        </is>
      </c>
      <c r="C31">
        <v>0.88</v>
      </c>
      <c r="D31" t="inlineStr">
        <is>
          <t xml:space="preserve"/>
        </is>
      </c>
      <c r="E31" t="inlineStr">
        <is>
          <t xml:space="preserve">furheavy</t>
        </is>
      </c>
      <c r="F31" t="inlineStr">
        <is>
          <t xml:space="preserve">minted by module's ready hook</t>
        </is>
      </c>
      <c r="G31" t="inlineStr">
        <is>
          <t xml:space="preserve"/>
        </is>
      </c>
      <c r="H31" t="inlineStr">
        <is>
          <t xml:space="preserve">Unknown</t>
        </is>
      </c>
      <c r="I31" t="inlineStr">
        <is>
          <t xml:space="preserve">fur</t>
        </is>
      </c>
      <c r="J31" t="inlineStr">
        <is>
          <t xml:space="preserve"/>
        </is>
      </c>
    </row>
    <row r="32" spans="1:10">
      <c r="A32" t="inlineStr">
        <is>
          <t xml:space="preserve">Fur Hide</t>
        </is>
      </c>
      <c r="B32" t="inlineStr">
        <is>
          <t xml:space="preserve">Leather</t>
        </is>
      </c>
      <c r="C32">
        <v>0.88</v>
      </c>
      <c r="D32" t="inlineStr">
        <is>
          <t xml:space="preserve"/>
        </is>
      </c>
      <c r="E32" t="inlineStr">
        <is>
          <t xml:space="preserve">furhide</t>
        </is>
      </c>
      <c r="F32" t="inlineStr">
        <is>
          <t xml:space="preserve">minted by module's ready hook</t>
        </is>
      </c>
      <c r="G32" t="inlineStr">
        <is>
          <t xml:space="preserve"/>
        </is>
      </c>
      <c r="H32" t="inlineStr">
        <is>
          <t xml:space="preserve">Unknown</t>
        </is>
      </c>
      <c r="I32" t="inlineStr">
        <is>
          <t xml:space="preserve">frh</t>
        </is>
      </c>
      <c r="J32" t="inlineStr">
        <is>
          <t xml:space="preserve">collision - resolved via compound/consonant fallback</t>
        </is>
      </c>
    </row>
    <row r="33" spans="1:10">
      <c r="A33" t="inlineStr">
        <is>
          <t xml:space="preserve">Heavy Fur</t>
        </is>
      </c>
      <c r="B33" t="inlineStr">
        <is>
          <t xml:space="preserve">Leather</t>
        </is>
      </c>
      <c r="C33">
        <v>0.88</v>
      </c>
      <c r="D33" t="inlineStr">
        <is>
          <t xml:space="preserve"/>
        </is>
      </c>
      <c r="E33" t="inlineStr">
        <is>
          <t xml:space="preserve">heavyfur</t>
        </is>
      </c>
      <c r="F33" t="inlineStr">
        <is>
          <t xml:space="preserve">minted by module's ready hook</t>
        </is>
      </c>
      <c r="G33" t="inlineStr">
        <is>
          <t xml:space="preserve"/>
        </is>
      </c>
      <c r="H33" t="inlineStr">
        <is>
          <t xml:space="preserve">Unknown</t>
        </is>
      </c>
      <c r="I33" t="inlineStr">
        <is>
          <t xml:space="preserve">hea</t>
        </is>
      </c>
      <c r="J33" t="inlineStr">
        <is>
          <t xml:space="preserve"/>
        </is>
      </c>
    </row>
    <row r="34" spans="1:10">
      <c r="A34" t="inlineStr">
        <is>
          <t xml:space="preserve">Olyther</t>
        </is>
      </c>
      <c r="B34" t="inlineStr">
        <is>
          <t xml:space="preserve">Leather</t>
        </is>
      </c>
      <c r="C34">
        <v>0.88</v>
      </c>
      <c r="D34" t="inlineStr">
        <is>
          <t xml:space="preserve"/>
        </is>
      </c>
      <c r="E34" t="inlineStr">
        <is>
          <t xml:space="preserve">olyther</t>
        </is>
      </c>
      <c r="F34" t="inlineStr">
        <is>
          <t xml:space="preserve">minted by module's ready hook</t>
        </is>
      </c>
      <c r="G34" t="inlineStr">
        <is>
          <t xml:space="preserve"/>
        </is>
      </c>
      <c r="H34" t="inlineStr">
        <is>
          <t xml:space="preserve">Unknown</t>
        </is>
      </c>
      <c r="I34" t="inlineStr">
        <is>
          <t xml:space="preserve">oly</t>
        </is>
      </c>
      <c r="J34" t="inlineStr">
        <is>
          <t xml:space="preserve"/>
        </is>
      </c>
    </row>
    <row r="35" spans="1:10">
      <c r="A35" t="inlineStr">
        <is>
          <t xml:space="preserve">Pelt Hard</t>
        </is>
      </c>
      <c r="B35" t="inlineStr">
        <is>
          <t xml:space="preserve">Leather</t>
        </is>
      </c>
      <c r="C35">
        <v>0.88</v>
      </c>
      <c r="D35" t="inlineStr">
        <is>
          <t xml:space="preserve"/>
        </is>
      </c>
      <c r="E35" t="inlineStr">
        <is>
          <t xml:space="preserve">pelthard</t>
        </is>
      </c>
      <c r="F35" t="inlineStr">
        <is>
          <t xml:space="preserve">minted by module's ready hook</t>
        </is>
      </c>
      <c r="G35" t="inlineStr">
        <is>
          <t xml:space="preserve"/>
        </is>
      </c>
      <c r="H35" t="inlineStr">
        <is>
          <t xml:space="preserve">Unknown</t>
        </is>
      </c>
      <c r="I35" t="inlineStr">
        <is>
          <t xml:space="preserve">pel</t>
        </is>
      </c>
      <c r="J35" t="inlineStr">
        <is>
          <t xml:space="preserve"/>
        </is>
      </c>
    </row>
    <row r="36" spans="1:10">
      <c r="A36" t="inlineStr">
        <is>
          <t xml:space="preserve">Pelt Rigid</t>
        </is>
      </c>
      <c r="B36" t="inlineStr">
        <is>
          <t xml:space="preserve">Leather</t>
        </is>
      </c>
      <c r="C36">
        <v>0.88</v>
      </c>
      <c r="D36" t="inlineStr">
        <is>
          <t xml:space="preserve"/>
        </is>
      </c>
      <c r="E36" t="inlineStr">
        <is>
          <t xml:space="preserve">peltrigid</t>
        </is>
      </c>
      <c r="F36" t="inlineStr">
        <is>
          <t xml:space="preserve">minted by module's ready hook</t>
        </is>
      </c>
      <c r="G36" t="inlineStr">
        <is>
          <t xml:space="preserve"/>
        </is>
      </c>
      <c r="H36" t="inlineStr">
        <is>
          <t xml:space="preserve">Unknown</t>
        </is>
      </c>
      <c r="I36" t="inlineStr">
        <is>
          <t xml:space="preserve">plr</t>
        </is>
      </c>
      <c r="J36" t="inlineStr">
        <is>
          <t xml:space="preserve">collision - resolved via compound/consonant fallback</t>
        </is>
      </c>
    </row>
    <row r="37" spans="1:10">
      <c r="A37" t="inlineStr">
        <is>
          <t xml:space="preserve">Pelt Soft</t>
        </is>
      </c>
      <c r="B37" t="inlineStr">
        <is>
          <t xml:space="preserve">Leather</t>
        </is>
      </c>
      <c r="C37">
        <v>0.88</v>
      </c>
      <c r="D37" t="inlineStr">
        <is>
          <t xml:space="preserve"/>
        </is>
      </c>
      <c r="E37" t="inlineStr">
        <is>
          <t xml:space="preserve">peltsoft</t>
        </is>
      </c>
      <c r="F37" t="inlineStr">
        <is>
          <t xml:space="preserve">minted by module's ready hook</t>
        </is>
      </c>
      <c r="G37" t="inlineStr">
        <is>
          <t xml:space="preserve"/>
        </is>
      </c>
      <c r="H37" t="inlineStr">
        <is>
          <t xml:space="preserve">Unknown</t>
        </is>
      </c>
      <c r="I37" t="inlineStr">
        <is>
          <t xml:space="preserve">pls</t>
        </is>
      </c>
      <c r="J37" t="inlineStr">
        <is>
          <t xml:space="preserve">collision - resolved via compound/consonant fallback</t>
        </is>
      </c>
    </row>
    <row r="38" spans="1:10">
      <c r="A38" t="inlineStr">
        <is>
          <t xml:space="preserve">Pigskin</t>
        </is>
      </c>
      <c r="B38" t="inlineStr">
        <is>
          <t xml:space="preserve">Leather</t>
        </is>
      </c>
      <c r="C38">
        <v>0.88</v>
      </c>
      <c r="D38" t="inlineStr">
        <is>
          <t xml:space="preserve"/>
        </is>
      </c>
      <c r="E38" t="inlineStr">
        <is>
          <t xml:space="preserve">pigskin</t>
        </is>
      </c>
      <c r="F38" t="inlineStr">
        <is>
          <t xml:space="preserve">minted by module's ready hook</t>
        </is>
      </c>
      <c r="G38" t="inlineStr">
        <is>
          <t xml:space="preserve"/>
        </is>
      </c>
      <c r="H38" t="inlineStr">
        <is>
          <t xml:space="preserve">Unknown</t>
        </is>
      </c>
      <c r="I38" t="inlineStr">
        <is>
          <t xml:space="preserve">pig</t>
        </is>
      </c>
      <c r="J38" t="inlineStr">
        <is>
          <t xml:space="preserve"/>
        </is>
      </c>
    </row>
    <row r="39" spans="1:10">
      <c r="A39" t="inlineStr">
        <is>
          <t xml:space="preserve">Short Fur</t>
        </is>
      </c>
      <c r="B39" t="inlineStr">
        <is>
          <t xml:space="preserve">Leather</t>
        </is>
      </c>
      <c r="C39">
        <v>0.88</v>
      </c>
      <c r="D39" t="inlineStr">
        <is>
          <t xml:space="preserve"/>
        </is>
      </c>
      <c r="E39" t="inlineStr">
        <is>
          <t xml:space="preserve">shortfur</t>
        </is>
      </c>
      <c r="F39" t="inlineStr">
        <is>
          <t xml:space="preserve">minted by module's ready hook</t>
        </is>
      </c>
      <c r="G39" t="inlineStr">
        <is>
          <t xml:space="preserve"/>
        </is>
      </c>
      <c r="H39" t="inlineStr">
        <is>
          <t xml:space="preserve">Unknown</t>
        </is>
      </c>
      <c r="I39" t="inlineStr">
        <is>
          <t xml:space="preserve">sho</t>
        </is>
      </c>
      <c r="J39" t="inlineStr">
        <is>
          <t xml:space="preserve"/>
        </is>
      </c>
    </row>
    <row r="40" spans="1:10">
      <c r="A40" t="inlineStr">
        <is>
          <t xml:space="preserve">Tanned Pelt</t>
        </is>
      </c>
      <c r="B40" t="inlineStr">
        <is>
          <t xml:space="preserve">Leather</t>
        </is>
      </c>
      <c r="C40">
        <v>0.88</v>
      </c>
      <c r="D40" t="inlineStr">
        <is>
          <t xml:space="preserve"/>
        </is>
      </c>
      <c r="E40" t="inlineStr">
        <is>
          <t xml:space="preserve">tannedpelt</t>
        </is>
      </c>
      <c r="F40" t="inlineStr">
        <is>
          <t xml:space="preserve">minted by module's ready hook</t>
        </is>
      </c>
      <c r="G40" t="inlineStr">
        <is>
          <t xml:space="preserve"/>
        </is>
      </c>
      <c r="H40" t="inlineStr">
        <is>
          <t xml:space="preserve">Unknown</t>
        </is>
      </c>
      <c r="I40" t="inlineStr">
        <is>
          <t xml:space="preserve">tan</t>
        </is>
      </c>
      <c r="J40" t="inlineStr">
        <is>
          <t xml:space="preserve"/>
        </is>
      </c>
    </row>
    <row r="41" spans="1:10">
      <c r="A41" t="inlineStr">
        <is>
          <t xml:space="preserve">Adamantine</t>
        </is>
      </c>
      <c r="B41" t="inlineStr">
        <is>
          <t xml:space="preserve">Metal</t>
        </is>
      </c>
      <c r="C41">
        <v>1.0</v>
      </c>
      <c r="D41">
        <v>1.15</v>
      </c>
      <c r="E41" t="inlineStr">
        <is>
          <t xml:space="preserve">ada</t>
        </is>
      </c>
      <c r="F41" t="inlineStr">
        <is>
          <t xml:space="preserve">reuses native dnd5e property</t>
        </is>
      </c>
      <c r="G41" t="inlineStr">
        <is>
          <t xml:space="preserve"/>
        </is>
      </c>
      <c r="H41" t="inlineStr">
        <is>
          <t xml:space="preserve">Unknown</t>
        </is>
      </c>
      <c r="I41" t="inlineStr">
        <is>
          <t xml:space="preserve">ada</t>
        </is>
      </c>
      <c r="J41" t="inlineStr">
        <is>
          <t xml:space="preserve">reuses native dnd5e property</t>
        </is>
      </c>
    </row>
    <row r="42" spans="1:10">
      <c r="A42" t="inlineStr">
        <is>
          <t xml:space="preserve">Arandur</t>
        </is>
      </c>
      <c r="B42" t="inlineStr">
        <is>
          <t xml:space="preserve">Metal</t>
        </is>
      </c>
      <c r="C42">
        <v>1.0</v>
      </c>
      <c r="D42" t="inlineStr">
        <is>
          <t xml:space="preserve"/>
        </is>
      </c>
      <c r="E42" t="inlineStr">
        <is>
          <t xml:space="preserve">arandur</t>
        </is>
      </c>
      <c r="F42" t="inlineStr">
        <is>
          <t xml:space="preserve">minted by module's ready hook</t>
        </is>
      </c>
      <c r="G42" t="inlineStr">
        <is>
          <t xml:space="preserve"/>
        </is>
      </c>
      <c r="H42" t="inlineStr">
        <is>
          <t xml:space="preserve">Unknown</t>
        </is>
      </c>
      <c r="I42" t="inlineStr">
        <is>
          <t xml:space="preserve">ara</t>
        </is>
      </c>
      <c r="J42" t="inlineStr">
        <is>
          <t xml:space="preserve"/>
        </is>
      </c>
    </row>
    <row r="43" spans="1:10">
      <c r="A43" t="inlineStr">
        <is>
          <t xml:space="preserve">Aurorum</t>
        </is>
      </c>
      <c r="B43" t="inlineStr">
        <is>
          <t xml:space="preserve">Metal</t>
        </is>
      </c>
      <c r="C43">
        <v>1.0</v>
      </c>
      <c r="D43" t="inlineStr">
        <is>
          <t xml:space="preserve"/>
        </is>
      </c>
      <c r="E43" t="inlineStr">
        <is>
          <t xml:space="preserve">aurorum</t>
        </is>
      </c>
      <c r="F43" t="inlineStr">
        <is>
          <t xml:space="preserve">minted by module's ready hook</t>
        </is>
      </c>
      <c r="G43" t="inlineStr">
        <is>
          <t xml:space="preserve"/>
        </is>
      </c>
      <c r="H43" t="inlineStr">
        <is>
          <t xml:space="preserve">Unknown</t>
        </is>
      </c>
      <c r="I43" t="inlineStr">
        <is>
          <t xml:space="preserve">aur</t>
        </is>
      </c>
      <c r="J43" t="inlineStr">
        <is>
          <t xml:space="preserve"/>
        </is>
      </c>
    </row>
    <row r="44" spans="1:10">
      <c r="A44" t="inlineStr">
        <is>
          <t xml:space="preserve">Baatorium</t>
        </is>
      </c>
      <c r="B44" t="inlineStr">
        <is>
          <t xml:space="preserve">Metal</t>
        </is>
      </c>
      <c r="C44">
        <v>1.0</v>
      </c>
      <c r="D44" t="inlineStr">
        <is>
          <t xml:space="preserve"/>
        </is>
      </c>
      <c r="E44" t="inlineStr">
        <is>
          <t xml:space="preserve">baatorium</t>
        </is>
      </c>
      <c r="F44" t="inlineStr">
        <is>
          <t xml:space="preserve">minted by module's ready hook</t>
        </is>
      </c>
      <c r="G44" t="inlineStr">
        <is>
          <t xml:space="preserve"/>
        </is>
      </c>
      <c r="H44" t="inlineStr">
        <is>
          <t xml:space="preserve">Unknown</t>
        </is>
      </c>
      <c r="I44" t="inlineStr">
        <is>
          <t xml:space="preserve">baa</t>
        </is>
      </c>
      <c r="J44" t="inlineStr">
        <is>
          <t xml:space="preserve"/>
        </is>
      </c>
    </row>
    <row r="45" spans="1:10">
      <c r="A45" t="inlineStr">
        <is>
          <t xml:space="preserve">Bronze</t>
        </is>
      </c>
      <c r="B45" t="inlineStr">
        <is>
          <t xml:space="preserve">Metal</t>
        </is>
      </c>
      <c r="C45">
        <v>1.0</v>
      </c>
      <c r="D45" t="inlineStr">
        <is>
          <t xml:space="preserve"/>
        </is>
      </c>
      <c r="E45" t="inlineStr">
        <is>
          <t xml:space="preserve">bronze</t>
        </is>
      </c>
      <c r="F45" t="inlineStr">
        <is>
          <t xml:space="preserve">minted by module's ready hook</t>
        </is>
      </c>
      <c r="G45" t="inlineStr">
        <is>
          <t xml:space="preserve"/>
        </is>
      </c>
      <c r="H45" t="inlineStr">
        <is>
          <t xml:space="preserve">Unknown</t>
        </is>
      </c>
      <c r="I45" t="inlineStr">
        <is>
          <t xml:space="preserve">bnz</t>
        </is>
      </c>
      <c r="J45" t="inlineStr">
        <is>
          <t xml:space="preserve">user decision 2026-08-26 (not derived - see chat)</t>
        </is>
      </c>
    </row>
    <row r="46" spans="1:10">
      <c r="A46" t="inlineStr">
        <is>
          <t xml:space="preserve">Cinnabryl</t>
        </is>
      </c>
      <c r="B46" t="inlineStr">
        <is>
          <t xml:space="preserve">Metal</t>
        </is>
      </c>
      <c r="C46">
        <v>1.0</v>
      </c>
      <c r="D46" t="inlineStr">
        <is>
          <t xml:space="preserve"/>
        </is>
      </c>
      <c r="E46" t="inlineStr">
        <is>
          <t xml:space="preserve">cinnabryl</t>
        </is>
      </c>
      <c r="F46" t="inlineStr">
        <is>
          <t xml:space="preserve">minted by module's ready hook</t>
        </is>
      </c>
      <c r="G46" t="inlineStr">
        <is>
          <t xml:space="preserve"/>
        </is>
      </c>
      <c r="H46" t="inlineStr">
        <is>
          <t xml:space="preserve">Unknown</t>
        </is>
      </c>
      <c r="I46" t="inlineStr">
        <is>
          <t xml:space="preserve">cin</t>
        </is>
      </c>
      <c r="J46" t="inlineStr">
        <is>
          <t xml:space="preserve"/>
        </is>
      </c>
    </row>
    <row r="47" spans="1:10">
      <c r="A47" t="inlineStr">
        <is>
          <t xml:space="preserve">Copper</t>
        </is>
      </c>
      <c r="B47" t="inlineStr">
        <is>
          <t xml:space="preserve">Metal</t>
        </is>
      </c>
      <c r="C47">
        <v>1.0</v>
      </c>
      <c r="D47" t="inlineStr">
        <is>
          <t xml:space="preserve"/>
        </is>
      </c>
      <c r="E47" t="inlineStr">
        <is>
          <t xml:space="preserve">copper</t>
        </is>
      </c>
      <c r="F47" t="inlineStr">
        <is>
          <t xml:space="preserve">minted by module's ready hook</t>
        </is>
      </c>
      <c r="G47" t="inlineStr">
        <is>
          <t xml:space="preserve"/>
        </is>
      </c>
      <c r="H47" t="inlineStr">
        <is>
          <t xml:space="preserve">Unknown</t>
        </is>
      </c>
      <c r="I47" t="inlineStr">
        <is>
          <t xml:space="preserve">cop</t>
        </is>
      </c>
      <c r="J47" t="inlineStr">
        <is>
          <t xml:space="preserve"/>
        </is>
      </c>
    </row>
    <row r="48" spans="1:10">
      <c r="A48" t="inlineStr">
        <is>
          <t xml:space="preserve">Cyrite</t>
        </is>
      </c>
      <c r="B48" t="inlineStr">
        <is>
          <t xml:space="preserve">Metal</t>
        </is>
      </c>
      <c r="C48">
        <v>1.0</v>
      </c>
      <c r="D48" t="inlineStr">
        <is>
          <t xml:space="preserve"/>
        </is>
      </c>
      <c r="E48" t="inlineStr">
        <is>
          <t xml:space="preserve">cyrite</t>
        </is>
      </c>
      <c r="F48" t="inlineStr">
        <is>
          <t xml:space="preserve">minted by module's ready hook</t>
        </is>
      </c>
      <c r="G48" t="inlineStr">
        <is>
          <t xml:space="preserve"/>
        </is>
      </c>
      <c r="H48" t="inlineStr">
        <is>
          <t xml:space="preserve">Unknown</t>
        </is>
      </c>
      <c r="I48" t="inlineStr">
        <is>
          <t xml:space="preserve">cyr</t>
        </is>
      </c>
      <c r="J48" t="inlineStr">
        <is>
          <t xml:space="preserve"/>
        </is>
      </c>
    </row>
    <row r="49" spans="1:10">
      <c r="A49" t="inlineStr">
        <is>
          <t xml:space="preserve">Darksteel</t>
        </is>
      </c>
      <c r="B49" t="inlineStr">
        <is>
          <t xml:space="preserve">Metal</t>
        </is>
      </c>
      <c r="C49">
        <v>1.0</v>
      </c>
      <c r="D49">
        <v>1.1</v>
      </c>
      <c r="E49" t="inlineStr">
        <is>
          <t xml:space="preserve">darksteel</t>
        </is>
      </c>
      <c r="F49" t="inlineStr">
        <is>
          <t xml:space="preserve">minted by module's ready hook</t>
        </is>
      </c>
      <c r="G49" t="inlineStr">
        <is>
          <t xml:space="preserve"/>
        </is>
      </c>
      <c r="H49" t="inlineStr">
        <is>
          <t xml:space="preserve">Unknown</t>
        </is>
      </c>
      <c r="I49" t="inlineStr">
        <is>
          <t xml:space="preserve">drs</t>
        </is>
      </c>
      <c r="J49" t="inlineStr">
        <is>
          <t xml:space="preserve">collision - resolved via extended-divergence fallback</t>
        </is>
      </c>
    </row>
    <row r="50" spans="1:10">
      <c r="A50" t="inlineStr">
        <is>
          <t xml:space="preserve">Entropium</t>
        </is>
      </c>
      <c r="B50" t="inlineStr">
        <is>
          <t xml:space="preserve">Metal</t>
        </is>
      </c>
      <c r="C50">
        <v>1.0</v>
      </c>
      <c r="D50" t="inlineStr">
        <is>
          <t xml:space="preserve"/>
        </is>
      </c>
      <c r="E50" t="inlineStr">
        <is>
          <t xml:space="preserve">entropium</t>
        </is>
      </c>
      <c r="F50" t="inlineStr">
        <is>
          <t xml:space="preserve">minted by module's ready hook</t>
        </is>
      </c>
      <c r="G50" t="inlineStr">
        <is>
          <t xml:space="preserve"/>
        </is>
      </c>
      <c r="H50" t="inlineStr">
        <is>
          <t xml:space="preserve">Unknown</t>
        </is>
      </c>
      <c r="I50" t="inlineStr">
        <is>
          <t xml:space="preserve">ent</t>
        </is>
      </c>
      <c r="J50" t="inlineStr">
        <is>
          <t xml:space="preserve"/>
        </is>
      </c>
    </row>
    <row r="51" spans="1:10">
      <c r="A51" t="inlineStr">
        <is>
          <t xml:space="preserve">Etherium</t>
        </is>
      </c>
      <c r="B51" t="inlineStr">
        <is>
          <t xml:space="preserve">Metal</t>
        </is>
      </c>
      <c r="C51">
        <v>1.0</v>
      </c>
      <c r="D51" t="inlineStr">
        <is>
          <t xml:space="preserve"/>
        </is>
      </c>
      <c r="E51" t="inlineStr">
        <is>
          <t xml:space="preserve">etherium</t>
        </is>
      </c>
      <c r="F51" t="inlineStr">
        <is>
          <t xml:space="preserve">minted by module's ready hook</t>
        </is>
      </c>
      <c r="G51" t="inlineStr">
        <is>
          <t xml:space="preserve"/>
        </is>
      </c>
      <c r="H51" t="inlineStr">
        <is>
          <t xml:space="preserve">Unknown</t>
        </is>
      </c>
      <c r="I51" t="inlineStr">
        <is>
          <t xml:space="preserve">eth</t>
        </is>
      </c>
      <c r="J51" t="inlineStr">
        <is>
          <t xml:space="preserve"/>
        </is>
      </c>
    </row>
    <row r="52" spans="1:10">
      <c r="A52" t="inlineStr">
        <is>
          <t xml:space="preserve">Fever Iron</t>
        </is>
      </c>
      <c r="B52" t="inlineStr">
        <is>
          <t xml:space="preserve">Metal</t>
        </is>
      </c>
      <c r="C52">
        <v>1.0</v>
      </c>
      <c r="D52" t="inlineStr">
        <is>
          <t xml:space="preserve"/>
        </is>
      </c>
      <c r="E52" t="inlineStr">
        <is>
          <t xml:space="preserve">feveriron</t>
        </is>
      </c>
      <c r="F52" t="inlineStr">
        <is>
          <t xml:space="preserve">minted by module's ready hook</t>
        </is>
      </c>
      <c r="G52" t="inlineStr">
        <is>
          <t xml:space="preserve"/>
        </is>
      </c>
      <c r="H52" t="inlineStr">
        <is>
          <t xml:space="preserve">Unknown</t>
        </is>
      </c>
      <c r="I52" t="inlineStr">
        <is>
          <t xml:space="preserve">fev</t>
        </is>
      </c>
      <c r="J52" t="inlineStr">
        <is>
          <t xml:space="preserve"/>
        </is>
      </c>
    </row>
    <row r="53" spans="1:10">
      <c r="A53" t="inlineStr">
        <is>
          <t xml:space="preserve">Flametouched Iron</t>
        </is>
      </c>
      <c r="B53" t="inlineStr">
        <is>
          <t xml:space="preserve">Metal</t>
        </is>
      </c>
      <c r="C53">
        <v>1.0</v>
      </c>
      <c r="D53" t="inlineStr">
        <is>
          <t xml:space="preserve"/>
        </is>
      </c>
      <c r="E53" t="inlineStr">
        <is>
          <t xml:space="preserve">flametouchediron</t>
        </is>
      </c>
      <c r="F53" t="inlineStr">
        <is>
          <t xml:space="preserve">minted by module's ready hook</t>
        </is>
      </c>
      <c r="G53" t="inlineStr">
        <is>
          <t xml:space="preserve"/>
        </is>
      </c>
      <c r="H53" t="inlineStr">
        <is>
          <t xml:space="preserve">Unknown</t>
        </is>
      </c>
      <c r="I53" t="inlineStr">
        <is>
          <t xml:space="preserve">fla</t>
        </is>
      </c>
      <c r="J53" t="inlineStr">
        <is>
          <t xml:space="preserve"/>
        </is>
      </c>
    </row>
    <row r="54" spans="1:10">
      <c r="A54" t="inlineStr">
        <is>
          <t xml:space="preserve">Gold</t>
        </is>
      </c>
      <c r="B54" t="inlineStr">
        <is>
          <t xml:space="preserve">Metal</t>
        </is>
      </c>
      <c r="C54">
        <v>1.0</v>
      </c>
      <c r="D54">
        <v>1.1</v>
      </c>
      <c r="E54" t="inlineStr">
        <is>
          <t xml:space="preserve">gold</t>
        </is>
      </c>
      <c r="F54" t="inlineStr">
        <is>
          <t xml:space="preserve">minted by module's ready hook</t>
        </is>
      </c>
      <c r="G54" t="inlineStr">
        <is>
          <t xml:space="preserve"/>
        </is>
      </c>
      <c r="H54" t="inlineStr">
        <is>
          <t xml:space="preserve">Unknown</t>
        </is>
      </c>
      <c r="I54" t="inlineStr">
        <is>
          <t xml:space="preserve">gol</t>
        </is>
      </c>
      <c r="J54" t="inlineStr">
        <is>
          <t xml:space="preserve"/>
        </is>
      </c>
    </row>
    <row r="55" spans="1:10">
      <c r="A55" t="inlineStr">
        <is>
          <t xml:space="preserve">Hizagkuur</t>
        </is>
      </c>
      <c r="B55" t="inlineStr">
        <is>
          <t xml:space="preserve">Metal</t>
        </is>
      </c>
      <c r="C55">
        <v>1.0</v>
      </c>
      <c r="D55" t="inlineStr">
        <is>
          <t xml:space="preserve"/>
        </is>
      </c>
      <c r="E55" t="inlineStr">
        <is>
          <t xml:space="preserve">hizagkuur</t>
        </is>
      </c>
      <c r="F55" t="inlineStr">
        <is>
          <t xml:space="preserve">minted by module's ready hook</t>
        </is>
      </c>
      <c r="G55" t="inlineStr">
        <is>
          <t xml:space="preserve"/>
        </is>
      </c>
      <c r="H55" t="inlineStr">
        <is>
          <t xml:space="preserve">Unknown</t>
        </is>
      </c>
      <c r="I55" t="inlineStr">
        <is>
          <t xml:space="preserve">hiz</t>
        </is>
      </c>
      <c r="J55" t="inlineStr">
        <is>
          <t xml:space="preserve"/>
        </is>
      </c>
    </row>
    <row r="56" spans="1:10">
      <c r="A56" t="inlineStr">
        <is>
          <t xml:space="preserve">Iron</t>
        </is>
      </c>
      <c r="B56" t="inlineStr">
        <is>
          <t xml:space="preserve">Metal</t>
        </is>
      </c>
      <c r="C56">
        <v>1.0</v>
      </c>
      <c r="D56" t="inlineStr">
        <is>
          <t xml:space="preserve"/>
        </is>
      </c>
      <c r="E56" t="inlineStr">
        <is>
          <t xml:space="preserve">iron</t>
        </is>
      </c>
      <c r="F56" t="inlineStr">
        <is>
          <t xml:space="preserve">minted by module's ready hook</t>
        </is>
      </c>
      <c r="G56" t="inlineStr">
        <is>
          <t xml:space="preserve"/>
        </is>
      </c>
      <c r="H56" t="inlineStr">
        <is>
          <t xml:space="preserve">Unknown</t>
        </is>
      </c>
      <c r="I56" t="inlineStr">
        <is>
          <t xml:space="preserve">iro</t>
        </is>
      </c>
      <c r="J56" t="inlineStr">
        <is>
          <t xml:space="preserve"/>
        </is>
      </c>
    </row>
    <row r="57" spans="1:10">
      <c r="A57" t="inlineStr">
        <is>
          <t xml:space="preserve">Lead</t>
        </is>
      </c>
      <c r="B57" t="inlineStr">
        <is>
          <t xml:space="preserve">Metal</t>
        </is>
      </c>
      <c r="C57">
        <v>1.0</v>
      </c>
      <c r="D57" t="inlineStr">
        <is>
          <t xml:space="preserve"/>
        </is>
      </c>
      <c r="E57" t="inlineStr">
        <is>
          <t xml:space="preserve">lead</t>
        </is>
      </c>
      <c r="F57" t="inlineStr">
        <is>
          <t xml:space="preserve">minted by module's ready hook</t>
        </is>
      </c>
      <c r="G57" t="inlineStr">
        <is>
          <t xml:space="preserve"/>
        </is>
      </c>
      <c r="H57" t="inlineStr">
        <is>
          <t xml:space="preserve">Unknown</t>
        </is>
      </c>
      <c r="I57" t="inlineStr">
        <is>
          <t xml:space="preserve">lea</t>
        </is>
      </c>
      <c r="J57" t="inlineStr">
        <is>
          <t xml:space="preserve"/>
        </is>
      </c>
    </row>
    <row r="58" spans="1:10">
      <c r="A58" t="inlineStr">
        <is>
          <t xml:space="preserve">Living Metal</t>
        </is>
      </c>
      <c r="B58" t="inlineStr">
        <is>
          <t xml:space="preserve">Metal</t>
        </is>
      </c>
      <c r="C58">
        <v>1.0</v>
      </c>
      <c r="D58">
        <v>1.0</v>
      </c>
      <c r="E58" t="inlineStr">
        <is>
          <t xml:space="preserve">livingmetal</t>
        </is>
      </c>
      <c r="F58" t="inlineStr">
        <is>
          <t xml:space="preserve">minted by module's ready hook</t>
        </is>
      </c>
      <c r="G58" t="inlineStr">
        <is>
          <t xml:space="preserve"/>
        </is>
      </c>
      <c r="H58" t="inlineStr">
        <is>
          <t xml:space="preserve">Unknown</t>
        </is>
      </c>
      <c r="I58" t="inlineStr">
        <is>
          <t xml:space="preserve">liv</t>
        </is>
      </c>
      <c r="J58" t="inlineStr">
        <is>
          <t xml:space="preserve"/>
        </is>
      </c>
    </row>
    <row r="59" spans="1:10">
      <c r="A59" t="inlineStr">
        <is>
          <t xml:space="preserve">Mindsteel</t>
        </is>
      </c>
      <c r="B59" t="inlineStr">
        <is>
          <t xml:space="preserve">Metal</t>
        </is>
      </c>
      <c r="C59">
        <v>1.0</v>
      </c>
      <c r="D59" t="inlineStr">
        <is>
          <t xml:space="preserve"/>
        </is>
      </c>
      <c r="E59" t="inlineStr">
        <is>
          <t xml:space="preserve">mindsteel</t>
        </is>
      </c>
      <c r="F59" t="inlineStr">
        <is>
          <t xml:space="preserve">minted by module's ready hook</t>
        </is>
      </c>
      <c r="G59" t="inlineStr">
        <is>
          <t xml:space="preserve"/>
        </is>
      </c>
      <c r="H59" t="inlineStr">
        <is>
          <t xml:space="preserve">Unknown</t>
        </is>
      </c>
      <c r="I59" t="inlineStr">
        <is>
          <t xml:space="preserve">min</t>
        </is>
      </c>
      <c r="J59" t="inlineStr">
        <is>
          <t xml:space="preserve"/>
        </is>
      </c>
    </row>
    <row r="60" spans="1:10">
      <c r="A60" t="inlineStr">
        <is>
          <t xml:space="preserve">Mithril</t>
        </is>
      </c>
      <c r="B60" t="inlineStr">
        <is>
          <t xml:space="preserve">Metal</t>
        </is>
      </c>
      <c r="C60">
        <v>1.0</v>
      </c>
      <c r="D60">
        <v>0.5</v>
      </c>
      <c r="E60" t="inlineStr">
        <is>
          <t xml:space="preserve">mithril</t>
        </is>
      </c>
      <c r="F60" t="inlineStr">
        <is>
          <t xml:space="preserve">minted by module's ready hook</t>
        </is>
      </c>
      <c r="G60" t="inlineStr">
        <is>
          <t xml:space="preserve"/>
        </is>
      </c>
      <c r="H60" t="inlineStr">
        <is>
          <t xml:space="preserve">Unknown</t>
        </is>
      </c>
      <c r="I60" t="inlineStr">
        <is>
          <t xml:space="preserve">mit</t>
        </is>
      </c>
      <c r="J60" t="inlineStr">
        <is>
          <t xml:space="preserve"/>
        </is>
      </c>
    </row>
    <row r="61" spans="1:10">
      <c r="A61" t="inlineStr">
        <is>
          <t xml:space="preserve">Mournlode</t>
        </is>
      </c>
      <c r="B61" t="inlineStr">
        <is>
          <t xml:space="preserve">Metal</t>
        </is>
      </c>
      <c r="C61">
        <v>1.0</v>
      </c>
      <c r="D61" t="inlineStr">
        <is>
          <t xml:space="preserve"/>
        </is>
      </c>
      <c r="E61" t="inlineStr">
        <is>
          <t xml:space="preserve">mournlode</t>
        </is>
      </c>
      <c r="F61" t="inlineStr">
        <is>
          <t xml:space="preserve">minted by module's ready hook</t>
        </is>
      </c>
      <c r="G61" t="inlineStr">
        <is>
          <t xml:space="preserve"/>
        </is>
      </c>
      <c r="H61" t="inlineStr">
        <is>
          <t xml:space="preserve">Unknown</t>
        </is>
      </c>
      <c r="I61" t="inlineStr">
        <is>
          <t xml:space="preserve">mou</t>
        </is>
      </c>
      <c r="J61" t="inlineStr">
        <is>
          <t xml:space="preserve"/>
        </is>
      </c>
    </row>
    <row r="62" spans="1:10">
      <c r="A62" t="inlineStr">
        <is>
          <t xml:space="preserve">Oerthblood</t>
        </is>
      </c>
      <c r="B62" t="inlineStr">
        <is>
          <t xml:space="preserve">Metal</t>
        </is>
      </c>
      <c r="C62">
        <v>1.0</v>
      </c>
      <c r="D62" t="inlineStr">
        <is>
          <t xml:space="preserve"/>
        </is>
      </c>
      <c r="E62" t="inlineStr">
        <is>
          <t xml:space="preserve">oerthblood</t>
        </is>
      </c>
      <c r="F62" t="inlineStr">
        <is>
          <t xml:space="preserve">minted by module's ready hook</t>
        </is>
      </c>
      <c r="G62" t="inlineStr">
        <is>
          <t xml:space="preserve"/>
        </is>
      </c>
      <c r="H62" t="inlineStr">
        <is>
          <t xml:space="preserve">Unknown</t>
        </is>
      </c>
      <c r="I62" t="inlineStr">
        <is>
          <t xml:space="preserve">oer</t>
        </is>
      </c>
      <c r="J62" t="inlineStr">
        <is>
          <t xml:space="preserve"/>
        </is>
      </c>
    </row>
    <row r="63" spans="1:10">
      <c r="A63" t="inlineStr">
        <is>
          <t xml:space="preserve">Orichalcum</t>
        </is>
      </c>
      <c r="B63" t="inlineStr">
        <is>
          <t xml:space="preserve">Metal</t>
        </is>
      </c>
      <c r="C63">
        <v>1.0</v>
      </c>
      <c r="D63" t="inlineStr">
        <is>
          <t xml:space="preserve"/>
        </is>
      </c>
      <c r="E63" t="inlineStr">
        <is>
          <t xml:space="preserve">orichalcum</t>
        </is>
      </c>
      <c r="F63" t="inlineStr">
        <is>
          <t xml:space="preserve">minted by module's ready hook</t>
        </is>
      </c>
      <c r="G63" t="inlineStr">
        <is>
          <t xml:space="preserve"/>
        </is>
      </c>
      <c r="H63" t="inlineStr">
        <is>
          <t xml:space="preserve">Unknown</t>
        </is>
      </c>
      <c r="I63" t="inlineStr">
        <is>
          <t xml:space="preserve">ori</t>
        </is>
      </c>
      <c r="J63" t="inlineStr">
        <is>
          <t xml:space="preserve"/>
        </is>
      </c>
    </row>
    <row r="64" spans="1:10">
      <c r="A64" t="inlineStr">
        <is>
          <t xml:space="preserve">Platinum</t>
        </is>
      </c>
      <c r="B64" t="inlineStr">
        <is>
          <t xml:space="preserve">Metal</t>
        </is>
      </c>
      <c r="C64">
        <v>1.0</v>
      </c>
      <c r="D64">
        <v>1.05</v>
      </c>
      <c r="E64" t="inlineStr">
        <is>
          <t xml:space="preserve">platinum</t>
        </is>
      </c>
      <c r="F64" t="inlineStr">
        <is>
          <t xml:space="preserve">minted by module's ready hook</t>
        </is>
      </c>
      <c r="G64" t="inlineStr">
        <is>
          <t xml:space="preserve"/>
        </is>
      </c>
      <c r="H64" t="inlineStr">
        <is>
          <t xml:space="preserve">Unknown</t>
        </is>
      </c>
      <c r="I64" t="inlineStr">
        <is>
          <t xml:space="preserve">pla</t>
        </is>
      </c>
      <c r="J64" t="inlineStr">
        <is>
          <t xml:space="preserve"/>
        </is>
      </c>
    </row>
    <row r="65" spans="1:10">
      <c r="A65" t="inlineStr">
        <is>
          <t xml:space="preserve">Quicksilver</t>
        </is>
      </c>
      <c r="B65" t="inlineStr">
        <is>
          <t xml:space="preserve">Metal</t>
        </is>
      </c>
      <c r="C65">
        <v>1.0</v>
      </c>
      <c r="D65" t="inlineStr">
        <is>
          <t xml:space="preserve"/>
        </is>
      </c>
      <c r="E65" t="inlineStr">
        <is>
          <t xml:space="preserve">quicksilver</t>
        </is>
      </c>
      <c r="F65" t="inlineStr">
        <is>
          <t xml:space="preserve">minted by module's ready hook</t>
        </is>
      </c>
      <c r="G65" t="inlineStr">
        <is>
          <t xml:space="preserve"/>
        </is>
      </c>
      <c r="H65" t="inlineStr">
        <is>
          <t xml:space="preserve">Unknown</t>
        </is>
      </c>
      <c r="I65" t="inlineStr">
        <is>
          <t xml:space="preserve">qui</t>
        </is>
      </c>
      <c r="J65" t="inlineStr">
        <is>
          <t xml:space="preserve"/>
        </is>
      </c>
    </row>
    <row r="66" spans="1:10">
      <c r="A66" t="inlineStr">
        <is>
          <t xml:space="preserve">Sentira</t>
        </is>
      </c>
      <c r="B66" t="inlineStr">
        <is>
          <t xml:space="preserve">Metal</t>
        </is>
      </c>
      <c r="C66">
        <v>1.0</v>
      </c>
      <c r="D66" t="inlineStr">
        <is>
          <t xml:space="preserve"/>
        </is>
      </c>
      <c r="E66" t="inlineStr">
        <is>
          <t xml:space="preserve">sentira</t>
        </is>
      </c>
      <c r="F66" t="inlineStr">
        <is>
          <t xml:space="preserve">minted by module's ready hook</t>
        </is>
      </c>
      <c r="G66" t="inlineStr">
        <is>
          <t xml:space="preserve"/>
        </is>
      </c>
      <c r="H66" t="inlineStr">
        <is>
          <t xml:space="preserve">Unknown</t>
        </is>
      </c>
      <c r="I66" t="inlineStr">
        <is>
          <t xml:space="preserve">sen</t>
        </is>
      </c>
      <c r="J66" t="inlineStr">
        <is>
          <t xml:space="preserve"/>
        </is>
      </c>
    </row>
    <row r="67" spans="1:10">
      <c r="A67" t="inlineStr">
        <is>
          <t xml:space="preserve">Silver</t>
        </is>
      </c>
      <c r="B67" t="inlineStr">
        <is>
          <t xml:space="preserve">Metal</t>
        </is>
      </c>
      <c r="C67">
        <v>1.0</v>
      </c>
      <c r="D67">
        <v>0.9</v>
      </c>
      <c r="E67" t="inlineStr">
        <is>
          <t xml:space="preserve">silver</t>
        </is>
      </c>
      <c r="F67" t="inlineStr">
        <is>
          <t xml:space="preserve">minted by module's ready hook</t>
        </is>
      </c>
      <c r="G67" t="inlineStr">
        <is>
          <t xml:space="preserve">sil (Silvered) - via syncSilveredProperty()</t>
        </is>
      </c>
      <c r="H67" t="inlineStr">
        <is>
          <t xml:space="preserve">Unknown</t>
        </is>
      </c>
      <c r="I67" t="inlineStr">
        <is>
          <t xml:space="preserve">sil</t>
        </is>
      </c>
      <c r="J67" t="inlineStr">
        <is>
          <t xml:space="preserve">reuses native dnd5e property</t>
        </is>
      </c>
    </row>
    <row r="68" spans="1:10">
      <c r="A68" t="inlineStr">
        <is>
          <t xml:space="preserve">Soulbound Steel</t>
        </is>
      </c>
      <c r="B68" t="inlineStr">
        <is>
          <t xml:space="preserve">Metal</t>
        </is>
      </c>
      <c r="C68">
        <v>1.0</v>
      </c>
      <c r="D68">
        <v>1.0</v>
      </c>
      <c r="E68" t="inlineStr">
        <is>
          <t xml:space="preserve">soulboundsteel</t>
        </is>
      </c>
      <c r="F68" t="inlineStr">
        <is>
          <t xml:space="preserve">minted by module's ready hook</t>
        </is>
      </c>
      <c r="G68" t="inlineStr">
        <is>
          <t xml:space="preserve"/>
        </is>
      </c>
      <c r="H68" t="inlineStr">
        <is>
          <t xml:space="preserve">Unknown</t>
        </is>
      </c>
      <c r="I68" t="inlineStr">
        <is>
          <t xml:space="preserve">sou</t>
        </is>
      </c>
      <c r="J68" t="inlineStr">
        <is>
          <t xml:space="preserve"/>
        </is>
      </c>
    </row>
    <row r="69" spans="1:10">
      <c r="A69" t="inlineStr">
        <is>
          <t xml:space="preserve">Stailinn</t>
        </is>
      </c>
      <c r="B69" t="inlineStr">
        <is>
          <t xml:space="preserve">Metal</t>
        </is>
      </c>
      <c r="C69">
        <v>1.0</v>
      </c>
      <c r="D69" t="inlineStr">
        <is>
          <t xml:space="preserve"/>
        </is>
      </c>
      <c r="E69" t="inlineStr">
        <is>
          <t xml:space="preserve">stailinn</t>
        </is>
      </c>
      <c r="F69" t="inlineStr">
        <is>
          <t xml:space="preserve">minted by module's ready hook</t>
        </is>
      </c>
      <c r="G69" t="inlineStr">
        <is>
          <t xml:space="preserve"/>
        </is>
      </c>
      <c r="H69" t="inlineStr">
        <is>
          <t xml:space="preserve">Unknown</t>
        </is>
      </c>
      <c r="I69" t="inlineStr">
        <is>
          <t xml:space="preserve">sta</t>
        </is>
      </c>
      <c r="J69" t="inlineStr">
        <is>
          <t xml:space="preserve"/>
        </is>
      </c>
    </row>
    <row r="70" spans="1:10">
      <c r="A70" t="inlineStr">
        <is>
          <t xml:space="preserve">Starmetal</t>
        </is>
      </c>
      <c r="B70" t="inlineStr">
        <is>
          <t xml:space="preserve">Metal</t>
        </is>
      </c>
      <c r="C70">
        <v>1.0</v>
      </c>
      <c r="D70" t="inlineStr">
        <is>
          <t xml:space="preserve"/>
        </is>
      </c>
      <c r="E70" t="inlineStr">
        <is>
          <t xml:space="preserve">starmetal</t>
        </is>
      </c>
      <c r="F70" t="inlineStr">
        <is>
          <t xml:space="preserve">minted by module's ready hook</t>
        </is>
      </c>
      <c r="G70" t="inlineStr">
        <is>
          <t xml:space="preserve"/>
        </is>
      </c>
      <c r="H70" t="inlineStr">
        <is>
          <t xml:space="preserve">Unknown</t>
        </is>
      </c>
      <c r="I70" t="inlineStr">
        <is>
          <t xml:space="preserve">str</t>
        </is>
      </c>
      <c r="J70" t="inlineStr">
        <is>
          <t xml:space="preserve">collision - resolved via compound/consonant fallback</t>
        </is>
      </c>
    </row>
    <row r="71" spans="1:10">
      <c r="A71" t="inlineStr">
        <is>
          <t xml:space="preserve">Steel</t>
        </is>
      </c>
      <c r="B71" t="inlineStr">
        <is>
          <t xml:space="preserve">Metal</t>
        </is>
      </c>
      <c r="C71">
        <v>1.0</v>
      </c>
      <c r="D71" t="inlineStr">
        <is>
          <t xml:space="preserve"/>
        </is>
      </c>
      <c r="E71" t="inlineStr">
        <is>
          <t xml:space="preserve">steel</t>
        </is>
      </c>
      <c r="F71" t="inlineStr">
        <is>
          <t xml:space="preserve">minted by module's ready hook</t>
        </is>
      </c>
      <c r="G71" t="inlineStr">
        <is>
          <t xml:space="preserve"/>
        </is>
      </c>
      <c r="H71" t="inlineStr">
        <is>
          <t xml:space="preserve">Unknown</t>
        </is>
      </c>
      <c r="I71" t="inlineStr">
        <is>
          <t xml:space="preserve">ste</t>
        </is>
      </c>
      <c r="J71" t="inlineStr">
        <is>
          <t xml:space="preserve"/>
        </is>
      </c>
    </row>
    <row r="72" spans="1:10">
      <c r="A72" t="inlineStr">
        <is>
          <t xml:space="preserve">Susalian Chainweave</t>
        </is>
      </c>
      <c r="B72" t="inlineStr">
        <is>
          <t xml:space="preserve">Metal</t>
        </is>
      </c>
      <c r="C72">
        <v>1.0</v>
      </c>
      <c r="D72" t="inlineStr">
        <is>
          <t xml:space="preserve"/>
        </is>
      </c>
      <c r="E72" t="inlineStr">
        <is>
          <t xml:space="preserve">susalianchainweave</t>
        </is>
      </c>
      <c r="F72" t="inlineStr">
        <is>
          <t xml:space="preserve">minted by module's ready hook</t>
        </is>
      </c>
      <c r="G72" t="inlineStr">
        <is>
          <t xml:space="preserve"/>
        </is>
      </c>
      <c r="H72" t="inlineStr">
        <is>
          <t xml:space="preserve">Unknown</t>
        </is>
      </c>
      <c r="I72" t="inlineStr">
        <is>
          <t xml:space="preserve">sus</t>
        </is>
      </c>
      <c r="J72" t="inlineStr">
        <is>
          <t xml:space="preserve"/>
        </is>
      </c>
    </row>
    <row r="73" spans="1:10">
      <c r="A73" t="inlineStr">
        <is>
          <t xml:space="preserve">Thinaun</t>
        </is>
      </c>
      <c r="B73" t="inlineStr">
        <is>
          <t xml:space="preserve">Metal</t>
        </is>
      </c>
      <c r="C73">
        <v>1.0</v>
      </c>
      <c r="D73" t="inlineStr">
        <is>
          <t xml:space="preserve"/>
        </is>
      </c>
      <c r="E73" t="inlineStr">
        <is>
          <t xml:space="preserve">thinaun</t>
        </is>
      </c>
      <c r="F73" t="inlineStr">
        <is>
          <t xml:space="preserve">minted by module's ready hook</t>
        </is>
      </c>
      <c r="G73" t="inlineStr">
        <is>
          <t xml:space="preserve"/>
        </is>
      </c>
      <c r="H73" t="inlineStr">
        <is>
          <t xml:space="preserve">Unknown</t>
        </is>
      </c>
      <c r="I73" t="inlineStr">
        <is>
          <t xml:space="preserve">thi</t>
        </is>
      </c>
      <c r="J73" t="inlineStr">
        <is>
          <t xml:space="preserve"/>
        </is>
      </c>
    </row>
    <row r="74" spans="1:10">
      <c r="A74" t="inlineStr">
        <is>
          <t xml:space="preserve">Tin</t>
        </is>
      </c>
      <c r="B74" t="inlineStr">
        <is>
          <t xml:space="preserve">Metal</t>
        </is>
      </c>
      <c r="C74">
        <v>1.0</v>
      </c>
      <c r="D74" t="inlineStr">
        <is>
          <t xml:space="preserve"/>
        </is>
      </c>
      <c r="E74" t="inlineStr">
        <is>
          <t xml:space="preserve">tin</t>
        </is>
      </c>
      <c r="F74" t="inlineStr">
        <is>
          <t xml:space="preserve">minted by module's ready hook</t>
        </is>
      </c>
      <c r="G74" t="inlineStr">
        <is>
          <t xml:space="preserve"/>
        </is>
      </c>
      <c r="H74" t="inlineStr">
        <is>
          <t xml:space="preserve">Unknown</t>
        </is>
      </c>
      <c r="I74" t="inlineStr">
        <is>
          <t xml:space="preserve">tin</t>
        </is>
      </c>
      <c r="J74" t="inlineStr">
        <is>
          <t xml:space="preserve"/>
        </is>
      </c>
    </row>
    <row r="75" spans="1:10">
      <c r="A75" t="inlineStr">
        <is>
          <t xml:space="preserve">Ysgardian Heartwire</t>
        </is>
      </c>
      <c r="B75" t="inlineStr">
        <is>
          <t xml:space="preserve">Metal</t>
        </is>
      </c>
      <c r="C75">
        <v>1.0</v>
      </c>
      <c r="D75" t="inlineStr">
        <is>
          <t xml:space="preserve"/>
        </is>
      </c>
      <c r="E75" t="inlineStr">
        <is>
          <t xml:space="preserve">ysgardianheartwire</t>
        </is>
      </c>
      <c r="F75" t="inlineStr">
        <is>
          <t xml:space="preserve">minted by module's ready hook</t>
        </is>
      </c>
      <c r="G75" t="inlineStr">
        <is>
          <t xml:space="preserve"/>
        </is>
      </c>
      <c r="H75" t="inlineStr">
        <is>
          <t xml:space="preserve">Unknown</t>
        </is>
      </c>
      <c r="I75" t="inlineStr">
        <is>
          <t xml:space="preserve">ysg</t>
        </is>
      </c>
      <c r="J75" t="inlineStr">
        <is>
          <t xml:space="preserve"/>
        </is>
      </c>
    </row>
    <row r="76" spans="1:10">
      <c r="A76" t="inlineStr">
        <is>
          <t xml:space="preserve">drift</t>
        </is>
      </c>
      <c r="B76" t="inlineStr">
        <is>
          <t xml:space="preserve">Metal</t>
        </is>
      </c>
      <c r="C76">
        <v>1.0</v>
      </c>
      <c r="D76" t="inlineStr">
        <is>
          <t xml:space="preserve"/>
        </is>
      </c>
      <c r="E76" t="inlineStr">
        <is>
          <t xml:space="preserve">drift</t>
        </is>
      </c>
      <c r="F76" t="inlineStr">
        <is>
          <t xml:space="preserve">minted by module's ready hook</t>
        </is>
      </c>
      <c r="G76" t="inlineStr">
        <is>
          <t xml:space="preserve"/>
        </is>
      </c>
      <c r="H76" t="inlineStr">
        <is>
          <t xml:space="preserve">Unknown</t>
        </is>
      </c>
      <c r="I76" t="inlineStr">
        <is>
          <t xml:space="preserve">dri</t>
        </is>
      </c>
      <c r="J76" t="inlineStr">
        <is>
          <t xml:space="preserve"/>
        </is>
      </c>
    </row>
    <row r="77" spans="1:10">
      <c r="A77" t="inlineStr">
        <is>
          <t xml:space="preserve">Bone</t>
        </is>
      </c>
      <c r="B77" t="inlineStr">
        <is>
          <t xml:space="preserve">Osso</t>
        </is>
      </c>
      <c r="C77">
        <v>0.85</v>
      </c>
      <c r="D77" t="inlineStr">
        <is>
          <t xml:space="preserve"/>
        </is>
      </c>
      <c r="E77" t="inlineStr">
        <is>
          <t xml:space="preserve">bone</t>
        </is>
      </c>
      <c r="F77" t="inlineStr">
        <is>
          <t xml:space="preserve">minted by module's ready hook</t>
        </is>
      </c>
      <c r="G77" t="inlineStr">
        <is>
          <t xml:space="preserve"/>
        </is>
      </c>
      <c r="H77" t="inlineStr">
        <is>
          <t xml:space="preserve">Unknown</t>
        </is>
      </c>
      <c r="I77" t="inlineStr">
        <is>
          <t xml:space="preserve">bon</t>
        </is>
      </c>
      <c r="J77" t="inlineStr">
        <is>
          <t xml:space="preserve"/>
        </is>
      </c>
    </row>
    <row r="78" spans="1:10">
      <c r="A78" t="inlineStr">
        <is>
          <t xml:space="preserve">Bonemold</t>
        </is>
      </c>
      <c r="B78" t="inlineStr">
        <is>
          <t xml:space="preserve">Osso</t>
        </is>
      </c>
      <c r="C78">
        <v>0.85</v>
      </c>
      <c r="D78" t="inlineStr">
        <is>
          <t xml:space="preserve"/>
        </is>
      </c>
      <c r="E78" t="inlineStr">
        <is>
          <t xml:space="preserve">bonemold</t>
        </is>
      </c>
      <c r="F78" t="inlineStr">
        <is>
          <t xml:space="preserve">minted by module's ready hook</t>
        </is>
      </c>
      <c r="G78" t="inlineStr">
        <is>
          <t xml:space="preserve"/>
        </is>
      </c>
      <c r="H78" t="inlineStr">
        <is>
          <t xml:space="preserve">Unknown</t>
        </is>
      </c>
      <c r="I78" t="inlineStr">
        <is>
          <t xml:space="preserve">bnm</t>
        </is>
      </c>
      <c r="J78" t="inlineStr">
        <is>
          <t xml:space="preserve">collision - resolved via compound/consonant fallback</t>
        </is>
      </c>
    </row>
    <row r="79" spans="1:10">
      <c r="A79" t="inlineStr">
        <is>
          <t xml:space="preserve">Chitin</t>
        </is>
      </c>
      <c r="B79" t="inlineStr">
        <is>
          <t xml:space="preserve">Osso</t>
        </is>
      </c>
      <c r="C79">
        <v>0.85</v>
      </c>
      <c r="D79" t="inlineStr">
        <is>
          <t xml:space="preserve"/>
        </is>
      </c>
      <c r="E79" t="inlineStr">
        <is>
          <t xml:space="preserve">chitin</t>
        </is>
      </c>
      <c r="F79" t="inlineStr">
        <is>
          <t xml:space="preserve">minted by module's ready hook</t>
        </is>
      </c>
      <c r="G79" t="inlineStr">
        <is>
          <t xml:space="preserve"/>
        </is>
      </c>
      <c r="H79" t="inlineStr">
        <is>
          <t xml:space="preserve">Unknown</t>
        </is>
      </c>
      <c r="I79" t="inlineStr">
        <is>
          <t xml:space="preserve">chi</t>
        </is>
      </c>
      <c r="J79" t="inlineStr">
        <is>
          <t xml:space="preserve"/>
        </is>
      </c>
    </row>
    <row r="80" spans="1:10">
      <c r="A80" t="inlineStr">
        <is>
          <t xml:space="preserve">Dragonhide</t>
        </is>
      </c>
      <c r="B80" t="inlineStr">
        <is>
          <t xml:space="preserve">Osso</t>
        </is>
      </c>
      <c r="C80">
        <v>0.85</v>
      </c>
      <c r="D80" t="inlineStr">
        <is>
          <t xml:space="preserve"/>
        </is>
      </c>
      <c r="E80" t="inlineStr">
        <is>
          <t xml:space="preserve">dragonhide</t>
        </is>
      </c>
      <c r="F80" t="inlineStr">
        <is>
          <t xml:space="preserve">minted by module's ready hook</t>
        </is>
      </c>
      <c r="G80" t="inlineStr">
        <is>
          <t xml:space="preserve"/>
        </is>
      </c>
      <c r="H80" t="inlineStr">
        <is>
          <t xml:space="preserve">Unknown</t>
        </is>
      </c>
      <c r="I80" t="inlineStr">
        <is>
          <t xml:space="preserve">dra</t>
        </is>
      </c>
      <c r="J80" t="inlineStr">
        <is>
          <t xml:space="preserve"/>
        </is>
      </c>
    </row>
    <row r="81" spans="1:10">
      <c r="A81" t="inlineStr">
        <is>
          <t xml:space="preserve">Forsworn</t>
        </is>
      </c>
      <c r="B81" t="inlineStr">
        <is>
          <t xml:space="preserve">Osso</t>
        </is>
      </c>
      <c r="C81">
        <v>0.85</v>
      </c>
      <c r="D81" t="inlineStr">
        <is>
          <t xml:space="preserve"/>
        </is>
      </c>
      <c r="E81" t="inlineStr">
        <is>
          <t xml:space="preserve">forsworn</t>
        </is>
      </c>
      <c r="F81" t="inlineStr">
        <is>
          <t xml:space="preserve">minted by module's ready hook</t>
        </is>
      </c>
      <c r="G81" t="inlineStr">
        <is>
          <t xml:space="preserve"/>
        </is>
      </c>
      <c r="H81" t="inlineStr">
        <is>
          <t xml:space="preserve">Unknown</t>
        </is>
      </c>
      <c r="I81" t="inlineStr">
        <is>
          <t xml:space="preserve">for</t>
        </is>
      </c>
      <c r="J81" t="inlineStr">
        <is>
          <t xml:space="preserve"/>
        </is>
      </c>
    </row>
    <row r="82" spans="1:10">
      <c r="A82" t="inlineStr">
        <is>
          <t xml:space="preserve">Ivory</t>
        </is>
      </c>
      <c r="B82" t="inlineStr">
        <is>
          <t xml:space="preserve">Osso</t>
        </is>
      </c>
      <c r="C82">
        <v>0.85</v>
      </c>
      <c r="D82" t="inlineStr">
        <is>
          <t xml:space="preserve"/>
        </is>
      </c>
      <c r="E82" t="inlineStr">
        <is>
          <t xml:space="preserve">ivory</t>
        </is>
      </c>
      <c r="F82" t="inlineStr">
        <is>
          <t xml:space="preserve">minted by module's ready hook</t>
        </is>
      </c>
      <c r="G82" t="inlineStr">
        <is>
          <t xml:space="preserve"/>
        </is>
      </c>
      <c r="H82" t="inlineStr">
        <is>
          <t xml:space="preserve">Unknown</t>
        </is>
      </c>
      <c r="I82" t="inlineStr">
        <is>
          <t xml:space="preserve">ivo</t>
        </is>
      </c>
      <c r="J82" t="inlineStr">
        <is>
          <t xml:space="preserve"/>
        </is>
      </c>
    </row>
    <row r="83" spans="1:10">
      <c r="A83" t="inlineStr">
        <is>
          <t xml:space="preserve">Kaorti</t>
        </is>
      </c>
      <c r="B83" t="inlineStr">
        <is>
          <t xml:space="preserve">Osso</t>
        </is>
      </c>
      <c r="C83">
        <v>0.85</v>
      </c>
      <c r="D83" t="inlineStr">
        <is>
          <t xml:space="preserve"/>
        </is>
      </c>
      <c r="E83" t="inlineStr">
        <is>
          <t xml:space="preserve">kaorti</t>
        </is>
      </c>
      <c r="F83" t="inlineStr">
        <is>
          <t xml:space="preserve">minted by module's ready hook</t>
        </is>
      </c>
      <c r="G83" t="inlineStr">
        <is>
          <t xml:space="preserve"/>
        </is>
      </c>
      <c r="H83" t="inlineStr">
        <is>
          <t xml:space="preserve">Unknown</t>
        </is>
      </c>
      <c r="I83" t="inlineStr">
        <is>
          <t xml:space="preserve">kao</t>
        </is>
      </c>
      <c r="J83" t="inlineStr">
        <is>
          <t xml:space="preserve"/>
        </is>
      </c>
    </row>
    <row r="84" spans="1:10">
      <c r="A84" t="inlineStr">
        <is>
          <t xml:space="preserve">Longgu</t>
        </is>
      </c>
      <c r="B84" t="inlineStr">
        <is>
          <t xml:space="preserve">Osso</t>
        </is>
      </c>
      <c r="C84">
        <v>0.85</v>
      </c>
      <c r="D84" t="inlineStr">
        <is>
          <t xml:space="preserve"/>
        </is>
      </c>
      <c r="E84" t="inlineStr">
        <is>
          <t xml:space="preserve">longgu</t>
        </is>
      </c>
      <c r="F84" t="inlineStr">
        <is>
          <t xml:space="preserve">minted by module's ready hook</t>
        </is>
      </c>
      <c r="G84" t="inlineStr">
        <is>
          <t xml:space="preserve"/>
        </is>
      </c>
      <c r="H84" t="inlineStr">
        <is>
          <t xml:space="preserve">Unknown</t>
        </is>
      </c>
      <c r="I84" t="inlineStr">
        <is>
          <t xml:space="preserve">lon</t>
        </is>
      </c>
      <c r="J84" t="inlineStr">
        <is>
          <t xml:space="preserve"/>
        </is>
      </c>
    </row>
    <row r="85" spans="1:10">
      <c r="A85" t="inlineStr">
        <is>
          <t xml:space="preserve">Ohmu</t>
        </is>
      </c>
      <c r="B85" t="inlineStr">
        <is>
          <t xml:space="preserve">Osso</t>
        </is>
      </c>
      <c r="C85">
        <v>0.85</v>
      </c>
      <c r="D85" t="inlineStr">
        <is>
          <t xml:space="preserve"/>
        </is>
      </c>
      <c r="E85" t="inlineStr">
        <is>
          <t xml:space="preserve">ohmu</t>
        </is>
      </c>
      <c r="F85" t="inlineStr">
        <is>
          <t xml:space="preserve">minted by module's ready hook</t>
        </is>
      </c>
      <c r="G85" t="inlineStr">
        <is>
          <t xml:space="preserve"/>
        </is>
      </c>
      <c r="H85" t="inlineStr">
        <is>
          <t xml:space="preserve">Unknown</t>
        </is>
      </c>
      <c r="I85" t="inlineStr">
        <is>
          <t xml:space="preserve">ohm</t>
        </is>
      </c>
      <c r="J85" t="inlineStr">
        <is>
          <t xml:space="preserve"/>
        </is>
      </c>
    </row>
    <row r="86" spans="1:10">
      <c r="A86" t="inlineStr">
        <is>
          <t xml:space="preserve">Osso</t>
        </is>
      </c>
      <c r="B86" t="inlineStr">
        <is>
          <t xml:space="preserve">Osso</t>
        </is>
      </c>
      <c r="C86">
        <v>0.85</v>
      </c>
      <c r="D86" t="inlineStr">
        <is>
          <t xml:space="preserve"/>
        </is>
      </c>
      <c r="E86" t="inlineStr">
        <is>
          <t xml:space="preserve">osso</t>
        </is>
      </c>
      <c r="F86" t="inlineStr">
        <is>
          <t xml:space="preserve">minted by module's ready hook</t>
        </is>
      </c>
      <c r="G86" t="inlineStr">
        <is>
          <t xml:space="preserve"/>
        </is>
      </c>
      <c r="H86" t="inlineStr">
        <is>
          <t xml:space="preserve">Unknown</t>
        </is>
      </c>
      <c r="I86" t="inlineStr">
        <is>
          <t xml:space="preserve">oss</t>
        </is>
      </c>
      <c r="J86" t="inlineStr">
        <is>
          <t xml:space="preserve"/>
        </is>
      </c>
    </row>
    <row r="87" spans="1:10">
      <c r="A87" t="inlineStr">
        <is>
          <t xml:space="preserve">Scale</t>
        </is>
      </c>
      <c r="B87" t="inlineStr">
        <is>
          <t xml:space="preserve">Osso</t>
        </is>
      </c>
      <c r="C87">
        <v>0.85</v>
      </c>
      <c r="D87" t="inlineStr">
        <is>
          <t xml:space="preserve"/>
        </is>
      </c>
      <c r="E87" t="inlineStr">
        <is>
          <t xml:space="preserve">scale</t>
        </is>
      </c>
      <c r="F87" t="inlineStr">
        <is>
          <t xml:space="preserve">minted by module's ready hook</t>
        </is>
      </c>
      <c r="G87" t="inlineStr">
        <is>
          <t xml:space="preserve"/>
        </is>
      </c>
      <c r="H87" t="inlineStr">
        <is>
          <t xml:space="preserve">Unknown</t>
        </is>
      </c>
      <c r="I87" t="inlineStr">
        <is>
          <t xml:space="preserve">sca</t>
        </is>
      </c>
      <c r="J87" t="inlineStr">
        <is>
          <t xml:space="preserve"/>
        </is>
      </c>
    </row>
    <row r="88" spans="1:10">
      <c r="A88" t="inlineStr">
        <is>
          <t xml:space="preserve">Aethel</t>
        </is>
      </c>
      <c r="B88" t="inlineStr">
        <is>
          <t xml:space="preserve">Stone</t>
        </is>
      </c>
      <c r="C88">
        <v>1.2</v>
      </c>
      <c r="D88" t="inlineStr">
        <is>
          <t xml:space="preserve"/>
        </is>
      </c>
      <c r="E88" t="inlineStr">
        <is>
          <t xml:space="preserve">aethel</t>
        </is>
      </c>
      <c r="F88" t="inlineStr">
        <is>
          <t xml:space="preserve">minted by module's ready hook</t>
        </is>
      </c>
      <c r="G88" t="inlineStr">
        <is>
          <t xml:space="preserve"/>
        </is>
      </c>
      <c r="H88" t="inlineStr">
        <is>
          <t xml:space="preserve">Unknown</t>
        </is>
      </c>
      <c r="I88" t="inlineStr">
        <is>
          <t xml:space="preserve">aet</t>
        </is>
      </c>
      <c r="J88" t="inlineStr">
        <is>
          <t xml:space="preserve"/>
        </is>
      </c>
    </row>
    <row r="89" spans="1:10">
      <c r="A89" t="inlineStr">
        <is>
          <t xml:space="preserve">Blueice</t>
        </is>
      </c>
      <c r="B89" t="inlineStr">
        <is>
          <t xml:space="preserve">Stone</t>
        </is>
      </c>
      <c r="C89">
        <v>1.2</v>
      </c>
      <c r="D89" t="inlineStr">
        <is>
          <t xml:space="preserve"/>
        </is>
      </c>
      <c r="E89" t="inlineStr">
        <is>
          <t xml:space="preserve">blueice</t>
        </is>
      </c>
      <c r="F89" t="inlineStr">
        <is>
          <t xml:space="preserve">minted by module's ready hook</t>
        </is>
      </c>
      <c r="G89" t="inlineStr">
        <is>
          <t xml:space="preserve"/>
        </is>
      </c>
      <c r="H89" t="inlineStr">
        <is>
          <t xml:space="preserve">Unknown</t>
        </is>
      </c>
      <c r="I89" t="inlineStr">
        <is>
          <t xml:space="preserve">blc</t>
        </is>
      </c>
      <c r="J89" t="inlineStr">
        <is>
          <t xml:space="preserve">collision - resolved via compound/consonant fallback</t>
        </is>
      </c>
    </row>
    <row r="90" spans="1:10">
      <c r="A90" t="inlineStr">
        <is>
          <t xml:space="preserve">Ceramic</t>
        </is>
      </c>
      <c r="B90" t="inlineStr">
        <is>
          <t xml:space="preserve">Stone</t>
        </is>
      </c>
      <c r="C90">
        <v>1.2</v>
      </c>
      <c r="D90" t="inlineStr">
        <is>
          <t xml:space="preserve"/>
        </is>
      </c>
      <c r="E90" t="inlineStr">
        <is>
          <t xml:space="preserve">ceramic</t>
        </is>
      </c>
      <c r="F90" t="inlineStr">
        <is>
          <t xml:space="preserve">minted by module's ready hook</t>
        </is>
      </c>
      <c r="G90" t="inlineStr">
        <is>
          <t xml:space="preserve"/>
        </is>
      </c>
      <c r="H90" t="inlineStr">
        <is>
          <t xml:space="preserve">Unknown</t>
        </is>
      </c>
      <c r="I90" t="inlineStr">
        <is>
          <t xml:space="preserve">cer</t>
        </is>
      </c>
      <c r="J90" t="inlineStr">
        <is>
          <t xml:space="preserve"/>
        </is>
      </c>
    </row>
    <row r="91" spans="1:10">
      <c r="A91" t="inlineStr">
        <is>
          <t xml:space="preserve">Cold Iron</t>
        </is>
      </c>
      <c r="B91" t="inlineStr">
        <is>
          <t xml:space="preserve">Stone</t>
        </is>
      </c>
      <c r="C91">
        <v>1.2</v>
      </c>
      <c r="D91" t="inlineStr">
        <is>
          <t xml:space="preserve"/>
        </is>
      </c>
      <c r="E91" t="inlineStr">
        <is>
          <t xml:space="preserve">coldiron</t>
        </is>
      </c>
      <c r="F91" t="inlineStr">
        <is>
          <t xml:space="preserve">minted by module's ready hook</t>
        </is>
      </c>
      <c r="G91" t="inlineStr">
        <is>
          <t xml:space="preserve"/>
        </is>
      </c>
      <c r="H91" t="inlineStr">
        <is>
          <t xml:space="preserve">Unknown</t>
        </is>
      </c>
      <c r="I91" t="inlineStr">
        <is>
          <t xml:space="preserve">col</t>
        </is>
      </c>
      <c r="J91" t="inlineStr">
        <is>
          <t xml:space="preserve"/>
        </is>
      </c>
    </row>
    <row r="92" spans="1:10">
      <c r="A92" t="inlineStr">
        <is>
          <t xml:space="preserve">Coldron</t>
        </is>
      </c>
      <c r="B92" t="inlineStr">
        <is>
          <t xml:space="preserve">Stone</t>
        </is>
      </c>
      <c r="C92">
        <v>1.2</v>
      </c>
      <c r="D92" t="inlineStr">
        <is>
          <t xml:space="preserve"/>
        </is>
      </c>
      <c r="E92" t="inlineStr">
        <is>
          <t xml:space="preserve">coldron</t>
        </is>
      </c>
      <c r="F92" t="inlineStr">
        <is>
          <t xml:space="preserve">minted by module's ready hook</t>
        </is>
      </c>
      <c r="G92" t="inlineStr">
        <is>
          <t xml:space="preserve"/>
        </is>
      </c>
      <c r="H92" t="inlineStr">
        <is>
          <t xml:space="preserve">Unknown</t>
        </is>
      </c>
      <c r="I92" t="inlineStr">
        <is>
          <t xml:space="preserve">cld</t>
        </is>
      </c>
      <c r="J92" t="inlineStr">
        <is>
          <t xml:space="preserve">collision - resolved via compound/consonant fallback</t>
        </is>
      </c>
    </row>
    <row r="93" spans="1:10">
      <c r="A93" t="inlineStr">
        <is>
          <t xml:space="preserve">Corundum</t>
        </is>
      </c>
      <c r="B93" t="inlineStr">
        <is>
          <t xml:space="preserve">Stone</t>
        </is>
      </c>
      <c r="C93">
        <v>1.2</v>
      </c>
      <c r="D93" t="inlineStr">
        <is>
          <t xml:space="preserve"/>
        </is>
      </c>
      <c r="E93" t="inlineStr">
        <is>
          <t xml:space="preserve">corundum</t>
        </is>
      </c>
      <c r="F93" t="inlineStr">
        <is>
          <t xml:space="preserve">minted by module's ready hook</t>
        </is>
      </c>
      <c r="G93" t="inlineStr">
        <is>
          <t xml:space="preserve"/>
        </is>
      </c>
      <c r="H93" t="inlineStr">
        <is>
          <t xml:space="preserve">Unknown</t>
        </is>
      </c>
      <c r="I93" t="inlineStr">
        <is>
          <t xml:space="preserve">cor</t>
        </is>
      </c>
      <c r="J93" t="inlineStr">
        <is>
          <t xml:space="preserve"/>
        </is>
      </c>
    </row>
    <row r="94" spans="1:10">
      <c r="A94" t="inlineStr">
        <is>
          <t xml:space="preserve">Crystal</t>
        </is>
      </c>
      <c r="B94" t="inlineStr">
        <is>
          <t xml:space="preserve">Stone</t>
        </is>
      </c>
      <c r="C94">
        <v>1.2</v>
      </c>
      <c r="D94" t="inlineStr">
        <is>
          <t xml:space="preserve"/>
        </is>
      </c>
      <c r="E94" t="inlineStr">
        <is>
          <t xml:space="preserve">crystal</t>
        </is>
      </c>
      <c r="F94" t="inlineStr">
        <is>
          <t xml:space="preserve">minted by module's ready hook</t>
        </is>
      </c>
      <c r="G94" t="inlineStr">
        <is>
          <t xml:space="preserve"/>
        </is>
      </c>
      <c r="H94" t="inlineStr">
        <is>
          <t xml:space="preserve">Unknown</t>
        </is>
      </c>
      <c r="I94" t="inlineStr">
        <is>
          <t xml:space="preserve">cry</t>
        </is>
      </c>
      <c r="J94" t="inlineStr">
        <is>
          <t xml:space="preserve"/>
        </is>
      </c>
    </row>
    <row r="95" spans="1:10">
      <c r="A95" t="inlineStr">
        <is>
          <t xml:space="preserve">Elukian Clay</t>
        </is>
      </c>
      <c r="B95" t="inlineStr">
        <is>
          <t xml:space="preserve">Stone</t>
        </is>
      </c>
      <c r="C95">
        <v>1.2</v>
      </c>
      <c r="D95" t="inlineStr">
        <is>
          <t xml:space="preserve"/>
        </is>
      </c>
      <c r="E95" t="inlineStr">
        <is>
          <t xml:space="preserve">elukianclay</t>
        </is>
      </c>
      <c r="F95" t="inlineStr">
        <is>
          <t xml:space="preserve">minted by module's ready hook</t>
        </is>
      </c>
      <c r="G95" t="inlineStr">
        <is>
          <t xml:space="preserve"/>
        </is>
      </c>
      <c r="H95" t="inlineStr">
        <is>
          <t xml:space="preserve">Unknown</t>
        </is>
      </c>
      <c r="I95" t="inlineStr">
        <is>
          <t xml:space="preserve">elu</t>
        </is>
      </c>
      <c r="J95" t="inlineStr">
        <is>
          <t xml:space="preserve"/>
        </is>
      </c>
    </row>
    <row r="96" spans="1:10">
      <c r="A96" t="inlineStr">
        <is>
          <t xml:space="preserve">Elysian</t>
        </is>
      </c>
      <c r="B96" t="inlineStr">
        <is>
          <t xml:space="preserve">Stone</t>
        </is>
      </c>
      <c r="C96">
        <v>1.2</v>
      </c>
      <c r="D96" t="inlineStr">
        <is>
          <t xml:space="preserve"/>
        </is>
      </c>
      <c r="E96" t="inlineStr">
        <is>
          <t xml:space="preserve">elysian</t>
        </is>
      </c>
      <c r="F96" t="inlineStr">
        <is>
          <t xml:space="preserve">minted by module's ready hook</t>
        </is>
      </c>
      <c r="G96" t="inlineStr">
        <is>
          <t xml:space="preserve"/>
        </is>
      </c>
      <c r="H96" t="inlineStr">
        <is>
          <t xml:space="preserve">Unknown</t>
        </is>
      </c>
      <c r="I96" t="inlineStr">
        <is>
          <t xml:space="preserve">ely</t>
        </is>
      </c>
      <c r="J96" t="inlineStr">
        <is>
          <t xml:space="preserve"/>
        </is>
      </c>
    </row>
    <row r="97" spans="1:10">
      <c r="A97" t="inlineStr">
        <is>
          <t xml:space="preserve">Malachite</t>
        </is>
      </c>
      <c r="B97" t="inlineStr">
        <is>
          <t xml:space="preserve">Stone</t>
        </is>
      </c>
      <c r="C97">
        <v>1.2</v>
      </c>
      <c r="D97" t="inlineStr">
        <is>
          <t xml:space="preserve"/>
        </is>
      </c>
      <c r="E97" t="inlineStr">
        <is>
          <t xml:space="preserve">malachite</t>
        </is>
      </c>
      <c r="F97" t="inlineStr">
        <is>
          <t xml:space="preserve">minted by module's ready hook</t>
        </is>
      </c>
      <c r="G97" t="inlineStr">
        <is>
          <t xml:space="preserve"/>
        </is>
      </c>
      <c r="H97" t="inlineStr">
        <is>
          <t xml:space="preserve">Unknown</t>
        </is>
      </c>
      <c r="I97" t="inlineStr">
        <is>
          <t xml:space="preserve">mal</t>
        </is>
      </c>
      <c r="J97" t="inlineStr">
        <is>
          <t xml:space="preserve"/>
        </is>
      </c>
    </row>
    <row r="98" spans="1:10">
      <c r="A98" t="inlineStr">
        <is>
          <t xml:space="preserve">Moonstone</t>
        </is>
      </c>
      <c r="B98" t="inlineStr">
        <is>
          <t xml:space="preserve">Stone</t>
        </is>
      </c>
      <c r="C98">
        <v>1.2</v>
      </c>
      <c r="D98" t="inlineStr">
        <is>
          <t xml:space="preserve"/>
        </is>
      </c>
      <c r="E98" t="inlineStr">
        <is>
          <t xml:space="preserve">moonstone</t>
        </is>
      </c>
      <c r="F98" t="inlineStr">
        <is>
          <t xml:space="preserve">minted by module's ready hook</t>
        </is>
      </c>
      <c r="G98" t="inlineStr">
        <is>
          <t xml:space="preserve"/>
        </is>
      </c>
      <c r="H98" t="inlineStr">
        <is>
          <t xml:space="preserve">Unknown</t>
        </is>
      </c>
      <c r="I98" t="inlineStr">
        <is>
          <t xml:space="preserve">moo</t>
        </is>
      </c>
      <c r="J98" t="inlineStr">
        <is>
          <t xml:space="preserve"/>
        </is>
      </c>
    </row>
    <row r="99" spans="1:10">
      <c r="A99" t="inlineStr">
        <is>
          <t xml:space="preserve">Obsidian</t>
        </is>
      </c>
      <c r="B99" t="inlineStr">
        <is>
          <t xml:space="preserve">Stone</t>
        </is>
      </c>
      <c r="C99">
        <v>1.2</v>
      </c>
      <c r="D99" t="inlineStr">
        <is>
          <t xml:space="preserve"/>
        </is>
      </c>
      <c r="E99" t="inlineStr">
        <is>
          <t xml:space="preserve">obsidian</t>
        </is>
      </c>
      <c r="F99" t="inlineStr">
        <is>
          <t xml:space="preserve">minted by module's ready hook</t>
        </is>
      </c>
      <c r="G99" t="inlineStr">
        <is>
          <t xml:space="preserve"/>
        </is>
      </c>
      <c r="H99" t="inlineStr">
        <is>
          <t xml:space="preserve">Unknown</t>
        </is>
      </c>
      <c r="I99" t="inlineStr">
        <is>
          <t xml:space="preserve">obs</t>
        </is>
      </c>
      <c r="J99" t="inlineStr">
        <is>
          <t xml:space="preserve"/>
        </is>
      </c>
    </row>
    <row r="100" spans="1:10">
      <c r="A100" t="inlineStr">
        <is>
          <t xml:space="preserve">True Ice</t>
        </is>
      </c>
      <c r="B100" t="inlineStr">
        <is>
          <t xml:space="preserve">Stone</t>
        </is>
      </c>
      <c r="C100">
        <v>1.2</v>
      </c>
      <c r="D100" t="inlineStr">
        <is>
          <t xml:space="preserve"/>
        </is>
      </c>
      <c r="E100" t="inlineStr">
        <is>
          <t xml:space="preserve">trueice</t>
        </is>
      </c>
      <c r="F100" t="inlineStr">
        <is>
          <t xml:space="preserve">minted by module's ready hook</t>
        </is>
      </c>
      <c r="G100" t="inlineStr">
        <is>
          <t xml:space="preserve"/>
        </is>
      </c>
      <c r="H100" t="inlineStr">
        <is>
          <t xml:space="preserve">Unknown</t>
        </is>
      </c>
      <c r="I100" t="inlineStr">
        <is>
          <t xml:space="preserve">tru</t>
        </is>
      </c>
      <c r="J100" t="inlineStr">
        <is>
          <t xml:space="preserve"/>
        </is>
      </c>
    </row>
    <row r="101" spans="1:10">
      <c r="A101" t="inlineStr">
        <is>
          <t xml:space="preserve">Ash</t>
        </is>
      </c>
      <c r="B101" t="inlineStr">
        <is>
          <t xml:space="preserve">Wood</t>
        </is>
      </c>
      <c r="C101">
        <v>0.7</v>
      </c>
      <c r="D101" t="inlineStr">
        <is>
          <t xml:space="preserve"/>
        </is>
      </c>
      <c r="E101" t="inlineStr">
        <is>
          <t xml:space="preserve">ash</t>
        </is>
      </c>
      <c r="F101" t="inlineStr">
        <is>
          <t xml:space="preserve">minted by module's ready hook</t>
        </is>
      </c>
      <c r="G101" t="inlineStr">
        <is>
          <t xml:space="preserve"/>
        </is>
      </c>
      <c r="H101" t="inlineStr">
        <is>
          <t xml:space="preserve">Unknown</t>
        </is>
      </c>
      <c r="I101" t="inlineStr">
        <is>
          <t xml:space="preserve">ash</t>
        </is>
      </c>
      <c r="J101" t="inlineStr">
        <is>
          <t xml:space="preserve"/>
        </is>
      </c>
    </row>
    <row r="102" spans="1:10">
      <c r="A102" t="inlineStr">
        <is>
          <t xml:space="preserve">Birch</t>
        </is>
      </c>
      <c r="B102" t="inlineStr">
        <is>
          <t xml:space="preserve">Wood</t>
        </is>
      </c>
      <c r="C102">
        <v>0.7</v>
      </c>
      <c r="D102" t="inlineStr">
        <is>
          <t xml:space="preserve"/>
        </is>
      </c>
      <c r="E102" t="inlineStr">
        <is>
          <t xml:space="preserve">birch</t>
        </is>
      </c>
      <c r="F102" t="inlineStr">
        <is>
          <t xml:space="preserve">minted by module's ready hook</t>
        </is>
      </c>
      <c r="G102" t="inlineStr">
        <is>
          <t xml:space="preserve"/>
        </is>
      </c>
      <c r="H102" t="inlineStr">
        <is>
          <t xml:space="preserve">Unknown</t>
        </is>
      </c>
      <c r="I102" t="inlineStr">
        <is>
          <t xml:space="preserve">bir</t>
        </is>
      </c>
      <c r="J102" t="inlineStr">
        <is>
          <t xml:space="preserve"/>
        </is>
      </c>
    </row>
    <row r="103" spans="1:10">
      <c r="A103" t="inlineStr">
        <is>
          <t xml:space="preserve">Bloodwood</t>
        </is>
      </c>
      <c r="B103" t="inlineStr">
        <is>
          <t xml:space="preserve">Wood</t>
        </is>
      </c>
      <c r="C103">
        <v>0.7</v>
      </c>
      <c r="D103" t="inlineStr">
        <is>
          <t xml:space="preserve"/>
        </is>
      </c>
      <c r="E103" t="inlineStr">
        <is>
          <t xml:space="preserve">bloodwood</t>
        </is>
      </c>
      <c r="F103" t="inlineStr">
        <is>
          <t xml:space="preserve">minted by module's ready hook</t>
        </is>
      </c>
      <c r="G103" t="inlineStr">
        <is>
          <t xml:space="preserve"/>
        </is>
      </c>
      <c r="H103" t="inlineStr">
        <is>
          <t xml:space="preserve">Unknown</t>
        </is>
      </c>
      <c r="I103" t="inlineStr">
        <is>
          <t xml:space="preserve">blo</t>
        </is>
      </c>
      <c r="J103" t="inlineStr">
        <is>
          <t xml:space="preserve"/>
        </is>
      </c>
    </row>
    <row r="104" spans="1:10">
      <c r="A104" t="inlineStr">
        <is>
          <t xml:space="preserve">Bludbud</t>
        </is>
      </c>
      <c r="B104" t="inlineStr">
        <is>
          <t xml:space="preserve">Wood</t>
        </is>
      </c>
      <c r="C104">
        <v>0.7</v>
      </c>
      <c r="D104" t="inlineStr">
        <is>
          <t xml:space="preserve"/>
        </is>
      </c>
      <c r="E104" t="inlineStr">
        <is>
          <t xml:space="preserve">bludbud</t>
        </is>
      </c>
      <c r="F104" t="inlineStr">
        <is>
          <t xml:space="preserve">minted by module's ready hook</t>
        </is>
      </c>
      <c r="G104" t="inlineStr">
        <is>
          <t xml:space="preserve"/>
        </is>
      </c>
      <c r="H104" t="inlineStr">
        <is>
          <t xml:space="preserve">Unknown</t>
        </is>
      </c>
      <c r="I104" t="inlineStr">
        <is>
          <t xml:space="preserve">blu</t>
        </is>
      </c>
      <c r="J104" t="inlineStr">
        <is>
          <t xml:space="preserve"/>
        </is>
      </c>
    </row>
    <row r="105" spans="1:10">
      <c r="A105" t="inlineStr">
        <is>
          <t xml:space="preserve">Bluleaf</t>
        </is>
      </c>
      <c r="B105" t="inlineStr">
        <is>
          <t xml:space="preserve">Wood</t>
        </is>
      </c>
      <c r="C105">
        <v>0.7</v>
      </c>
      <c r="D105" t="inlineStr">
        <is>
          <t xml:space="preserve"/>
        </is>
      </c>
      <c r="E105" t="inlineStr">
        <is>
          <t xml:space="preserve">bluleaf</t>
        </is>
      </c>
      <c r="F105" t="inlineStr">
        <is>
          <t xml:space="preserve">minted by module's ready hook</t>
        </is>
      </c>
      <c r="G105" t="inlineStr">
        <is>
          <t xml:space="preserve"/>
        </is>
      </c>
      <c r="H105" t="inlineStr">
        <is>
          <t xml:space="preserve">Unknown</t>
        </is>
      </c>
      <c r="I105" t="inlineStr">
        <is>
          <t xml:space="preserve">bll</t>
        </is>
      </c>
      <c r="J105" t="inlineStr">
        <is>
          <t xml:space="preserve">collision - resolved via compound/consonant fallback</t>
        </is>
      </c>
    </row>
    <row r="106" spans="1:10">
      <c r="A106" t="inlineStr">
        <is>
          <t xml:space="preserve">Bronwood</t>
        </is>
      </c>
      <c r="B106" t="inlineStr">
        <is>
          <t xml:space="preserve">Wood</t>
        </is>
      </c>
      <c r="C106">
        <v>0.7</v>
      </c>
      <c r="D106" t="inlineStr">
        <is>
          <t xml:space="preserve"/>
        </is>
      </c>
      <c r="E106" t="inlineStr">
        <is>
          <t xml:space="preserve">bronwood</t>
        </is>
      </c>
      <c r="F106" t="inlineStr">
        <is>
          <t xml:space="preserve">minted by module's ready hook</t>
        </is>
      </c>
      <c r="G106" t="inlineStr">
        <is>
          <t xml:space="preserve"/>
        </is>
      </c>
      <c r="H106" t="inlineStr">
        <is>
          <t xml:space="preserve">Unknown</t>
        </is>
      </c>
      <c r="I106" t="inlineStr">
        <is>
          <t xml:space="preserve">bro</t>
        </is>
      </c>
      <c r="J106" t="inlineStr">
        <is>
          <t xml:space="preserve"/>
        </is>
      </c>
    </row>
    <row r="107" spans="1:10">
      <c r="A107" t="inlineStr">
        <is>
          <t xml:space="preserve">Broon</t>
        </is>
      </c>
      <c r="B107" t="inlineStr">
        <is>
          <t xml:space="preserve">Wood</t>
        </is>
      </c>
      <c r="C107">
        <v>0.7</v>
      </c>
      <c r="D107" t="inlineStr">
        <is>
          <t xml:space="preserve"/>
        </is>
      </c>
      <c r="E107" t="inlineStr">
        <is>
          <t xml:space="preserve">broon</t>
        </is>
      </c>
      <c r="F107" t="inlineStr">
        <is>
          <t xml:space="preserve">minted by module's ready hook</t>
        </is>
      </c>
      <c r="G107" t="inlineStr">
        <is>
          <t xml:space="preserve"/>
        </is>
      </c>
      <c r="H107" t="inlineStr">
        <is>
          <t xml:space="preserve">Unknown</t>
        </is>
      </c>
      <c r="I107" t="inlineStr">
        <is>
          <t xml:space="preserve">brn</t>
        </is>
      </c>
      <c r="J107" t="inlineStr">
        <is>
          <t xml:space="preserve"/>
        </is>
      </c>
    </row>
    <row r="108" spans="1:10">
      <c r="A108" t="inlineStr">
        <is>
          <t xml:space="preserve">Darkleaf</t>
        </is>
      </c>
      <c r="B108" t="inlineStr">
        <is>
          <t xml:space="preserve">Wood</t>
        </is>
      </c>
      <c r="C108">
        <v>0.7</v>
      </c>
      <c r="D108" t="inlineStr">
        <is>
          <t xml:space="preserve"/>
        </is>
      </c>
      <c r="E108" t="inlineStr">
        <is>
          <t xml:space="preserve">darkleaf</t>
        </is>
      </c>
      <c r="F108" t="inlineStr">
        <is>
          <t xml:space="preserve">minted by module's ready hook</t>
        </is>
      </c>
      <c r="G108" t="inlineStr">
        <is>
          <t xml:space="preserve"/>
        </is>
      </c>
      <c r="H108" t="inlineStr">
        <is>
          <t xml:space="preserve">Unknown</t>
        </is>
      </c>
      <c r="I108" t="inlineStr">
        <is>
          <t xml:space="preserve">drk</t>
        </is>
      </c>
      <c r="J108" t="inlineStr">
        <is>
          <t xml:space="preserve">collision - resolved via compound/consonant fallback</t>
        </is>
      </c>
    </row>
    <row r="109" spans="1:10">
      <c r="A109" t="inlineStr">
        <is>
          <t xml:space="preserve">Darkwood</t>
        </is>
      </c>
      <c r="B109" t="inlineStr">
        <is>
          <t xml:space="preserve">Wood</t>
        </is>
      </c>
      <c r="C109">
        <v>0.7</v>
      </c>
      <c r="D109" t="inlineStr">
        <is>
          <t xml:space="preserve"/>
        </is>
      </c>
      <c r="E109" t="inlineStr">
        <is>
          <t xml:space="preserve">darkwood</t>
        </is>
      </c>
      <c r="F109" t="inlineStr">
        <is>
          <t xml:space="preserve">minted by module's ready hook</t>
        </is>
      </c>
      <c r="G109" t="inlineStr">
        <is>
          <t xml:space="preserve"/>
        </is>
      </c>
      <c r="H109" t="inlineStr">
        <is>
          <t xml:space="preserve">Unknown</t>
        </is>
      </c>
      <c r="I109" t="inlineStr">
        <is>
          <t xml:space="preserve">drw</t>
        </is>
      </c>
      <c r="J109" t="inlineStr">
        <is>
          <t xml:space="preserve">collision - resolved via extended-divergence fallback</t>
        </is>
      </c>
    </row>
    <row r="110" spans="1:10">
      <c r="A110" t="inlineStr">
        <is>
          <t xml:space="preserve">Duskwood</t>
        </is>
      </c>
      <c r="B110" t="inlineStr">
        <is>
          <t xml:space="preserve">Wood</t>
        </is>
      </c>
      <c r="C110">
        <v>0.7</v>
      </c>
      <c r="D110" t="inlineStr">
        <is>
          <t xml:space="preserve"/>
        </is>
      </c>
      <c r="E110" t="inlineStr">
        <is>
          <t xml:space="preserve">duskwood</t>
        </is>
      </c>
      <c r="F110" t="inlineStr">
        <is>
          <t xml:space="preserve">minted by module's ready hook</t>
        </is>
      </c>
      <c r="G110" t="inlineStr">
        <is>
          <t xml:space="preserve"/>
        </is>
      </c>
      <c r="H110" t="inlineStr">
        <is>
          <t xml:space="preserve">Unknown</t>
        </is>
      </c>
      <c r="I110" t="inlineStr">
        <is>
          <t xml:space="preserve">dus</t>
        </is>
      </c>
      <c r="J110" t="inlineStr">
        <is>
          <t xml:space="preserve"/>
        </is>
      </c>
    </row>
    <row r="111" spans="1:10">
      <c r="A111" t="inlineStr">
        <is>
          <t xml:space="preserve">Elder</t>
        </is>
      </c>
      <c r="B111" t="inlineStr">
        <is>
          <t xml:space="preserve">Wood</t>
        </is>
      </c>
      <c r="C111">
        <v>0.7</v>
      </c>
      <c r="D111" t="inlineStr">
        <is>
          <t xml:space="preserve"/>
        </is>
      </c>
      <c r="E111" t="inlineStr">
        <is>
          <t xml:space="preserve">elder</t>
        </is>
      </c>
      <c r="F111" t="inlineStr">
        <is>
          <t xml:space="preserve">minted by module's ready hook</t>
        </is>
      </c>
      <c r="G111" t="inlineStr">
        <is>
          <t xml:space="preserve"/>
        </is>
      </c>
      <c r="H111" t="inlineStr">
        <is>
          <t xml:space="preserve">Unknown</t>
        </is>
      </c>
      <c r="I111" t="inlineStr">
        <is>
          <t xml:space="preserve">eld</t>
        </is>
      </c>
      <c r="J111" t="inlineStr">
        <is>
          <t xml:space="preserve"/>
        </is>
      </c>
    </row>
    <row r="112" spans="1:10">
      <c r="A112" t="inlineStr">
        <is>
          <t xml:space="preserve">Hazel</t>
        </is>
      </c>
      <c r="B112" t="inlineStr">
        <is>
          <t xml:space="preserve">Wood</t>
        </is>
      </c>
      <c r="C112">
        <v>0.7</v>
      </c>
      <c r="D112" t="inlineStr">
        <is>
          <t xml:space="preserve"/>
        </is>
      </c>
      <c r="E112" t="inlineStr">
        <is>
          <t xml:space="preserve">hazel</t>
        </is>
      </c>
      <c r="F112" t="inlineStr">
        <is>
          <t xml:space="preserve">minted by module's ready hook</t>
        </is>
      </c>
      <c r="G112" t="inlineStr">
        <is>
          <t xml:space="preserve"/>
        </is>
      </c>
      <c r="H112" t="inlineStr">
        <is>
          <t xml:space="preserve">Unknown</t>
        </is>
      </c>
      <c r="I112" t="inlineStr">
        <is>
          <t xml:space="preserve">haz</t>
        </is>
      </c>
      <c r="J112" t="inlineStr">
        <is>
          <t xml:space="preserve"/>
        </is>
      </c>
    </row>
    <row r="113" spans="1:10">
      <c r="A113" t="inlineStr">
        <is>
          <t xml:space="preserve">Holly</t>
        </is>
      </c>
      <c r="B113" t="inlineStr">
        <is>
          <t xml:space="preserve">Wood</t>
        </is>
      </c>
      <c r="C113">
        <v>0.7</v>
      </c>
      <c r="D113" t="inlineStr">
        <is>
          <t xml:space="preserve"/>
        </is>
      </c>
      <c r="E113" t="inlineStr">
        <is>
          <t xml:space="preserve">holly</t>
        </is>
      </c>
      <c r="F113" t="inlineStr">
        <is>
          <t xml:space="preserve">minted by module's ready hook</t>
        </is>
      </c>
      <c r="G113" t="inlineStr">
        <is>
          <t xml:space="preserve"/>
        </is>
      </c>
      <c r="H113" t="inlineStr">
        <is>
          <t xml:space="preserve">Unknown</t>
        </is>
      </c>
      <c r="I113" t="inlineStr">
        <is>
          <t xml:space="preserve">hol</t>
        </is>
      </c>
      <c r="J113" t="inlineStr">
        <is>
          <t xml:space="preserve"/>
        </is>
      </c>
    </row>
    <row r="114" spans="1:10">
      <c r="A114" t="inlineStr">
        <is>
          <t xml:space="preserve">Iren</t>
        </is>
      </c>
      <c r="B114" t="inlineStr">
        <is>
          <t xml:space="preserve">Wood</t>
        </is>
      </c>
      <c r="C114">
        <v>0.7</v>
      </c>
      <c r="D114" t="inlineStr">
        <is>
          <t xml:space="preserve"/>
        </is>
      </c>
      <c r="E114" t="inlineStr">
        <is>
          <t xml:space="preserve">iren</t>
        </is>
      </c>
      <c r="F114" t="inlineStr">
        <is>
          <t xml:space="preserve">minted by module's ready hook</t>
        </is>
      </c>
      <c r="G114" t="inlineStr">
        <is>
          <t xml:space="preserve"/>
        </is>
      </c>
      <c r="H114" t="inlineStr">
        <is>
          <t xml:space="preserve">Unknown</t>
        </is>
      </c>
      <c r="I114" t="inlineStr">
        <is>
          <t xml:space="preserve">ire</t>
        </is>
      </c>
      <c r="J114" t="inlineStr">
        <is>
          <t xml:space="preserve"/>
        </is>
      </c>
    </row>
    <row r="115" spans="1:10">
      <c r="A115" t="inlineStr">
        <is>
          <t xml:space="preserve">Ironwood</t>
        </is>
      </c>
      <c r="B115" t="inlineStr">
        <is>
          <t xml:space="preserve">Wood</t>
        </is>
      </c>
      <c r="C115">
        <v>0.7</v>
      </c>
      <c r="D115">
        <v>0.8</v>
      </c>
      <c r="E115" t="inlineStr">
        <is>
          <t xml:space="preserve">ironwood</t>
        </is>
      </c>
      <c r="F115" t="inlineStr">
        <is>
          <t xml:space="preserve">minted by module's ready hook</t>
        </is>
      </c>
      <c r="G115" t="inlineStr">
        <is>
          <t xml:space="preserve"/>
        </is>
      </c>
      <c r="H115" t="inlineStr">
        <is>
          <t xml:space="preserve">Unknown</t>
        </is>
      </c>
      <c r="I115" t="inlineStr">
        <is>
          <t xml:space="preserve">rnw</t>
        </is>
      </c>
      <c r="J115" t="inlineStr">
        <is>
          <t xml:space="preserve">collision - resolved via compound/consonant fallback</t>
        </is>
      </c>
    </row>
    <row r="116" spans="1:10">
      <c r="A116" t="inlineStr">
        <is>
          <t xml:space="preserve">Ivren</t>
        </is>
      </c>
      <c r="B116" t="inlineStr">
        <is>
          <t xml:space="preserve">Wood</t>
        </is>
      </c>
      <c r="C116">
        <v>0.7</v>
      </c>
      <c r="D116" t="inlineStr">
        <is>
          <t xml:space="preserve"/>
        </is>
      </c>
      <c r="E116" t="inlineStr">
        <is>
          <t xml:space="preserve">ivren</t>
        </is>
      </c>
      <c r="F116" t="inlineStr">
        <is>
          <t xml:space="preserve">minted by module's ready hook</t>
        </is>
      </c>
      <c r="G116" t="inlineStr">
        <is>
          <t xml:space="preserve"/>
        </is>
      </c>
      <c r="H116" t="inlineStr">
        <is>
          <t xml:space="preserve">Unknown</t>
        </is>
      </c>
      <c r="I116" t="inlineStr">
        <is>
          <t xml:space="preserve">ivr</t>
        </is>
      </c>
      <c r="J116" t="inlineStr">
        <is>
          <t xml:space="preserve"/>
        </is>
      </c>
    </row>
    <row r="117" spans="1:10">
      <c r="A117" t="inlineStr">
        <is>
          <t xml:space="preserve">Juniper</t>
        </is>
      </c>
      <c r="B117" t="inlineStr">
        <is>
          <t xml:space="preserve">Wood</t>
        </is>
      </c>
      <c r="C117">
        <v>0.7</v>
      </c>
      <c r="D117" t="inlineStr">
        <is>
          <t xml:space="preserve"/>
        </is>
      </c>
      <c r="E117" t="inlineStr">
        <is>
          <t xml:space="preserve">juniper</t>
        </is>
      </c>
      <c r="F117" t="inlineStr">
        <is>
          <t xml:space="preserve">minted by module's ready hook</t>
        </is>
      </c>
      <c r="G117" t="inlineStr">
        <is>
          <t xml:space="preserve"/>
        </is>
      </c>
      <c r="H117" t="inlineStr">
        <is>
          <t xml:space="preserve">Unknown</t>
        </is>
      </c>
      <c r="I117" t="inlineStr">
        <is>
          <t xml:space="preserve">jun</t>
        </is>
      </c>
      <c r="J117" t="inlineStr">
        <is>
          <t xml:space="preserve"/>
        </is>
      </c>
    </row>
    <row r="118" spans="1:10">
      <c r="A118" t="inlineStr">
        <is>
          <t xml:space="preserve">Leafweave</t>
        </is>
      </c>
      <c r="B118" t="inlineStr">
        <is>
          <t xml:space="preserve">Wood</t>
        </is>
      </c>
      <c r="C118">
        <v>0.7</v>
      </c>
      <c r="D118" t="inlineStr">
        <is>
          <t xml:space="preserve"/>
        </is>
      </c>
      <c r="E118" t="inlineStr">
        <is>
          <t xml:space="preserve">leafweave</t>
        </is>
      </c>
      <c r="F118" t="inlineStr">
        <is>
          <t xml:space="preserve">minted by module's ready hook</t>
        </is>
      </c>
      <c r="G118" t="inlineStr">
        <is>
          <t xml:space="preserve"/>
        </is>
      </c>
      <c r="H118" t="inlineStr">
        <is>
          <t xml:space="preserve">Unknown</t>
        </is>
      </c>
      <c r="I118" t="inlineStr">
        <is>
          <t xml:space="preserve">lfw</t>
        </is>
      </c>
      <c r="J118" t="inlineStr">
        <is>
          <t xml:space="preserve">collision - resolved via compound/consonant fallback</t>
        </is>
      </c>
    </row>
    <row r="119" spans="1:10">
      <c r="A119" t="inlineStr">
        <is>
          <t xml:space="preserve">Oak</t>
        </is>
      </c>
      <c r="B119" t="inlineStr">
        <is>
          <t xml:space="preserve">Wood</t>
        </is>
      </c>
      <c r="C119">
        <v>0.7</v>
      </c>
      <c r="D119" t="inlineStr">
        <is>
          <t xml:space="preserve"/>
        </is>
      </c>
      <c r="E119" t="inlineStr">
        <is>
          <t xml:space="preserve">oak</t>
        </is>
      </c>
      <c r="F119" t="inlineStr">
        <is>
          <t xml:space="preserve">minted by module's ready hook</t>
        </is>
      </c>
      <c r="G119" t="inlineStr">
        <is>
          <t xml:space="preserve"/>
        </is>
      </c>
      <c r="H119" t="inlineStr">
        <is>
          <t xml:space="preserve">Unknown</t>
        </is>
      </c>
      <c r="I119" t="inlineStr">
        <is>
          <t xml:space="preserve">oak</t>
        </is>
      </c>
      <c r="J119" t="inlineStr">
        <is>
          <t xml:space="preserve"/>
        </is>
      </c>
    </row>
    <row r="120" spans="1:10">
      <c r="A120" t="inlineStr">
        <is>
          <t xml:space="preserve">Pine</t>
        </is>
      </c>
      <c r="B120" t="inlineStr">
        <is>
          <t xml:space="preserve">Wood</t>
        </is>
      </c>
      <c r="C120">
        <v>0.7</v>
      </c>
      <c r="D120" t="inlineStr">
        <is>
          <t xml:space="preserve"/>
        </is>
      </c>
      <c r="E120" t="inlineStr">
        <is>
          <t xml:space="preserve">pine</t>
        </is>
      </c>
      <c r="F120" t="inlineStr">
        <is>
          <t xml:space="preserve">minted by module's ready hook</t>
        </is>
      </c>
      <c r="G120" t="inlineStr">
        <is>
          <t xml:space="preserve"/>
        </is>
      </c>
      <c r="H120" t="inlineStr">
        <is>
          <t xml:space="preserve">Unknown</t>
        </is>
      </c>
      <c r="I120" t="inlineStr">
        <is>
          <t xml:space="preserve">pin</t>
        </is>
      </c>
      <c r="J120" t="inlineStr">
        <is>
          <t xml:space="preserve"/>
        </is>
      </c>
    </row>
    <row r="121" spans="1:10">
      <c r="A121" t="inlineStr">
        <is>
          <t xml:space="preserve">Wildwood</t>
        </is>
      </c>
      <c r="B121" t="inlineStr">
        <is>
          <t xml:space="preserve">Wood</t>
        </is>
      </c>
      <c r="C121">
        <v>0.7</v>
      </c>
      <c r="D121" t="inlineStr">
        <is>
          <t xml:space="preserve"/>
        </is>
      </c>
      <c r="E121" t="inlineStr">
        <is>
          <t xml:space="preserve">wildwood</t>
        </is>
      </c>
      <c r="F121" t="inlineStr">
        <is>
          <t xml:space="preserve">minted by module's ready hook</t>
        </is>
      </c>
      <c r="G121" t="inlineStr">
        <is>
          <t xml:space="preserve"/>
        </is>
      </c>
      <c r="H121" t="inlineStr">
        <is>
          <t xml:space="preserve">Unknown</t>
        </is>
      </c>
      <c r="I121" t="inlineStr">
        <is>
          <t xml:space="preserve">wil</t>
        </is>
      </c>
      <c r="J121" t="inlineStr">
        <is>
          <t xml:space="preserve"/>
        </is>
      </c>
    </row>
    <row r="122" spans="1:10">
      <c r="A122" t="inlineStr">
        <is>
          <t xml:space="preserve">Willow</t>
        </is>
      </c>
      <c r="B122" t="inlineStr">
        <is>
          <t xml:space="preserve">Wood</t>
        </is>
      </c>
      <c r="C122">
        <v>0.7</v>
      </c>
      <c r="D122" t="inlineStr">
        <is>
          <t xml:space="preserve"/>
        </is>
      </c>
      <c r="E122" t="inlineStr">
        <is>
          <t xml:space="preserve">willow</t>
        </is>
      </c>
      <c r="F122" t="inlineStr">
        <is>
          <t xml:space="preserve">minted by module's ready hook</t>
        </is>
      </c>
      <c r="G122" t="inlineStr">
        <is>
          <t xml:space="preserve"/>
        </is>
      </c>
      <c r="H122" t="inlineStr">
        <is>
          <t xml:space="preserve">Unknown</t>
        </is>
      </c>
      <c r="I122" t="inlineStr">
        <is>
          <t xml:space="preserve">wll</t>
        </is>
      </c>
      <c r="J122" t="inlineStr">
        <is>
          <t xml:space="preserve">collision - resolved via compound/consonant fallback</t>
        </is>
      </c>
    </row>
    <row r="123" spans="1:10">
      <c r="A123" t="inlineStr">
        <is>
          <t xml:space="preserve">Yew</t>
        </is>
      </c>
      <c r="B123" t="inlineStr">
        <is>
          <t xml:space="preserve">Wood</t>
        </is>
      </c>
      <c r="C123">
        <v>0.7</v>
      </c>
      <c r="D123" t="inlineStr">
        <is>
          <t xml:space="preserve"/>
        </is>
      </c>
      <c r="E123" t="inlineStr">
        <is>
          <t xml:space="preserve">yew</t>
        </is>
      </c>
      <c r="F123" t="inlineStr">
        <is>
          <t xml:space="preserve">minted by module's ready hook</t>
        </is>
      </c>
      <c r="G123" t="inlineStr">
        <is>
          <t xml:space="preserve"/>
        </is>
      </c>
      <c r="H123" t="inlineStr">
        <is>
          <t xml:space="preserve">Unknown</t>
        </is>
      </c>
      <c r="I123" t="inlineStr">
        <is>
          <t xml:space="preserve">yew</t>
        </is>
      </c>
      <c r="J123" t="inlineStr">
        <is>
          <t xml:space="preserve"/>
        </is>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L4"/>
  <sheetViews>
    <sheetView workbookViewId="0">
      <pane ySplit="1" topLeftCell="A2" activePane="bottomLeft" state="frozen"/>
    </sheetView>
  </sheetViews>
  <sheetFormatPr defaultRowHeight="14.25"/>
  <cols>
    <col min="1" max="1" width="32" customWidth="1"/>
    <col min="2" max="2" width="32" customWidth="1"/>
    <col min="3" max="3" width="32" customWidth="1"/>
    <col min="4" max="4" width="32" customWidth="1"/>
    <col min="5" max="5" width="32" customWidth="1"/>
    <col min="6" max="6" width="32" customWidth="1"/>
    <col min="7" max="7" width="32" customWidth="1"/>
    <col min="8" max="8" width="32" customWidth="1"/>
    <col min="9" max="9" width="32" customWidth="1"/>
    <col min="10" max="10" width="32" customWidth="1"/>
    <col min="11" max="11" width="32" customWidth="1"/>
    <col min="12" max="12" width="32" customWidth="1"/>
  </cols>
  <sheetData>
    <row r="1" spans="1:12">
      <c r="A1" t="inlineStr">
        <is>
          <t xml:space="preserve">Effect Name</t>
        </is>
      </c>
      <c r="B1" t="inlineStr">
        <is>
          <t xml:space="preserve">Scope</t>
        </is>
      </c>
      <c r="C1" t="inlineStr">
        <is>
          <t xml:space="preserve">Trigger</t>
        </is>
      </c>
      <c r="D1" t="inlineStr">
        <is>
          <t xml:space="preserve">dnd5e Mechanism</t>
        </is>
      </c>
      <c r="E1" t="inlineStr">
        <is>
          <t xml:space="preserve">Status</t>
        </is>
      </c>
      <c r="F1" t="inlineStr">
        <is>
          <t xml:space="preserve">Code Location</t>
        </is>
      </c>
      <c r="G1" t="inlineStr">
        <is>
          <t xml:space="preserve">Plain-Language Summary</t>
        </is>
      </c>
      <c r="H1" t="inlineStr">
        <is>
          <t xml:space="preserve">Verified Mechanical Detail</t>
        </is>
      </c>
      <c r="I1" t="inlineStr">
        <is>
          <t xml:space="preserve">Real-World Use Case</t>
        </is>
      </c>
      <c r="J1" t="inlineStr">
        <is>
          <t xml:space="preserve">Balance Notes</t>
        </is>
      </c>
      <c r="K1" t="inlineStr">
        <is>
          <t xml:space="preserve">Open Questions</t>
        </is>
      </c>
      <c r="L1" t="inlineStr">
        <is>
          <t xml:space="preserve">Last Updated</t>
        </is>
      </c>
    </row>
    <row r="2" spans="1:12">
      <c r="A2" t="inlineStr">
        <is>
          <t xml:space="preserve">Silvered auto-sync</t>
        </is>
      </c>
      <c r="B2" t="inlineStr">
        <is>
          <t xml:space="preserve">All materials (Material Craft = Silver)</t>
        </is>
      </c>
      <c r="C2" t="inlineStr">
        <is>
          <t xml:space="preserve">Material Craft set to Silver on a weapon/equipment item</t>
        </is>
      </c>
      <c r="D2" t="inlineStr">
        <is>
          <t xml:space="preserve">system.properties (adds/removes "sil")</t>
        </is>
      </c>
      <c r="E2" t="inlineStr">
        <is>
          <t xml:space="preserve">Implemented / Verified</t>
        </is>
      </c>
      <c r="F2" t="inlineStr">
        <is>
          <t xml:space="preserve">materialCategoryCraft.mjs :: syncSilveredProperty()</t>
        </is>
      </c>
      <c r="G2" t="inlineStr">
        <is>
          <t xml:space="preserve">Marking a weapon's Material Craft as Silver makes it count as a silvered weapon, which deals full damage to certain monsters that would otherwise resist or fully ignore nonmagical physical damage.</t>
        </is>
      </c>
      <c r="H2" t="inlineStr">
        <is>
          <t xml:space="preserve">Checked directly against the installed dnd5e compendium data (not just SRD text): Werewolf (immunity), Wraith (resistance), Wight (resistance), and Ice Devil (resistance) ALL have system.traits.{di|dr}.bypasses = ["mgc","sil"] on their nonmagical bludgeoning/piercing/slashing trait. In this dnd5e system version, silvered is paired with magical as the standard bypass for that whole trait category generically - not narrowly reserved for lycanthropes the way marketing/flavor text implies.</t>
        </is>
      </c>
      <c r="I2" t="inlineStr">
        <is>
          <t xml:space="preserve">A player's ordinary (non-magical) mace with Material Craft = Silver deals full damage to a Werewolf that would otherwise take zero damage from that same mace; the same weapon also bypasses a Wraith's, Wight's, or Ice Devil's resistance to nonmagical B/P/S - a viable early-game alternative to finding a magic weapon specifically against these threats.</t>
        </is>
      </c>
      <c r="J2" t="inlineStr">
        <is>
          <t xml:space="preserve">Keeps the module's own "silver" craft flag in sync with dnd5e's native Silvered property so core resistance/immunity-bypass rules recognize it. CORRECTED 2026-08-26 (user): "sil" directly IS Silver - it is not an independent "silvered treatment" that a different base material (e.g. Steel) could also carry. There is no steel-but-silvered case to represent; a solid-silver item is the only thing "sil" ever means here.</t>
        </is>
      </c>
      <c r="K2" t="inlineStr">
        <is>
          <t xml:space="preserve">None currently.</t>
        </is>
      </c>
      <c r="L2" t="inlineStr">
        <is>
          <t xml:space="preserve">2026-08-26</t>
        </is>
      </c>
    </row>
    <row r="3" spans="1:12">
      <c r="A3" t="inlineStr">
        <is>
          <t xml:space="preserve">Full-set resistance/immunity by material category</t>
        </is>
      </c>
      <c r="B3" t="inlineStr">
        <is>
          <t xml:space="preserve">Category-wide (depends on which Material Craft is equipped)</t>
        </is>
      </c>
      <c r="C3" t="inlineStr">
        <is>
          <t xml:space="preserve">All 5 armor slots (helmet, breast, gauntlet, greaves, boots - excludes shield) equipped with items sharing the same Material Craft</t>
        </is>
      </c>
      <c r="D3" t="inlineStr">
        <is>
          <t xml:space="preserve">dnd5e.preCalculateDamage / dnd5e.calculateDamage hook; would derive system.traits.dr.value or .di.value</t>
        </is>
      </c>
      <c r="E3" t="inlineStr">
        <is>
          <t xml:space="preserve">Idea</t>
        </is>
      </c>
      <c r="F3" t="inlineStr">
        <is>
          <t xml:space="preserve">(not started)</t>
        </is>
      </c>
      <c r="G3" t="inlineStr">
        <is>
          <t xml:space="preserve">Wearing a complete matching set of armor made from one material could grant resistance or immunity to a damage type associated with that material.</t>
        </is>
      </c>
      <c r="H3" t="inlineStr">
        <is>
          <t xml:space="preserve">Not yet designed - no code or specific material-to-damage-type mapping exists.</t>
        </is>
      </c>
      <c r="I3" t="inlineStr">
        <is>
          <t xml:space="preserve">(not yet designed)</t>
        </is>
      </c>
      <c r="J3" t="inlineStr">
        <is>
          <t xml:space="preserve">A single piece of any material must NEVER grant resistance/immunity on its own - only a complete matching 5-slot set may. Needs a balance pass on which materials even qualify.</t>
        </is>
      </c>
      <c r="K3" t="inlineStr">
        <is>
          <t xml:space="preserve">Which specific materials qualify? Resistance or immunity? Does it stack with existing traits?</t>
        </is>
      </c>
      <c r="L3" t="inlineStr">
        <is>
          <t xml:space="preserve">2026-08-26</t>
        </is>
      </c>
    </row>
    <row r="4" spans="1:12">
      <c r="A4" t="inlineStr">
        <is>
          <t xml:space="preserve">Cold Iron vs Fey</t>
        </is>
      </c>
      <c r="B4" t="inlineStr">
        <is>
          <t xml:space="preserve">Cold Iron material only (NOT plain Iron - see Balance Notes); intensity scales with the target's Fey percentage from the Species Blend system (creatureTypeBlend.mjs), not a simple yes/no</t>
        </is>
      </c>
      <c r="C4" t="inlineStr">
        <is>
          <t xml:space="preserve">(1) A weapon of Cold Iron hits any target that is &gt;=25% Fey (per-target, not per-attack - see Verified Mechanical Detail); (2) a &gt;=50% Fey actor has any Cold Iron item equipped, checked at the start of that actor's own combat turn</t>
        </is>
      </c>
      <c r="D4" t="inlineStr">
        <is>
          <t xml:space="preserve">(1) dnd5e.preRollDamageV2 unconditionally pushes a marker-tagged base-1 roll part ({parts:["1d1"], options:{type:"necrotic", properties:["akdColdIronFeyBonus"]}}) whenever the attacking item has the "coldiron" property, then dnd5e.preCalculateDamage (per target actor) finds that marker and multiplies or zeroes it based on that actor's own Fey %; (2) updateCombat hook (gated to game.users.activeGM.isSelf, mirroring dae/module/specialDurations.js's own pattern) calls actor.applyDamage([{type:"necrotic", value: 1*multiplier}]) when the current combatant is &gt;=50% Fey with a Cold Iron item equipped.</t>
        </is>
      </c>
      <c r="E4" t="inlineStr">
        <is>
          <t xml:space="preserve">Implemented / Verified</t>
        </is>
      </c>
      <c r="F4" t="inlineStr">
        <is>
          <t xml:space="preserve">materialEffects.mjs</t>
        </is>
      </c>
      <c r="G4" t="inlineStr">
        <is>
          <t xml:space="preserve">A weapon made of Cold Iron deals extra necrotic damage to fey creatures on a hit (more extra damage the more Fey the creature is), and a sufficiently-Fey creature wearing or wielding Cold Iron takes ongoing necrotic damage every round.</t>
        </is>
      </c>
      <c r="H4" t="inlineStr">
        <is>
          <t xml:space="preserve">Fey % -&gt; hit bonus / burn per round: &lt;25% = 0/0, 25% = 1/0, 50% = 2/1, 75% = 4/2, 100% = 8/4 (hit starts at 25% base 1, burn starts at 50% base 1, both double every 25% after their own threshold - confirmed with the user across two rounds of review, not the same multiplier for both tracks). Fixed a real bug found in review: the original version decided "is this a Fey" once at roll time via game.user.targets, which dnd5e then applied to EVERY targeted actor uniformly (Actor5e#applyDamage is called once per target, but the roll itself is shared) - a single attack hitting both a Fey and a non-Fey would have given both the bonus. Fixed by moving the decision into dnd5e.preCalculateDamage, which genuinely runs once per target actor - confirmed via aggregateDamageRolls (dnd5e.mjs ~line 11075) that a roll's options.properties marker survives intact into the DamageDescription the per-target hook receives, the same mechanism dnd5e uses for its own mgc/sil/ada bypass checks. Also verified midi-qol doesn't bypass either hook (its own Activity#rollDamage override calls straight into core dnd5e's, and midi-qol itself relies on the sibling non-V2 hook internally) and that system.details.type.value / creatureTypeBlend's flags.a-knights-dream-properties.creatureTypeBlend.types.fey are the correct read paths (grepped dnd5e.mjs and creatureTypeBlend.mjs directly). Live-tested 2026-08-27: the first real attack produced no necrotic bonus at all. Diagnosed by injecting a temporary console hook on dnd5e.preRollDamageV2, which showed item.system.properties genuinely missing "coldiron" despite Material Craft correctly showing Cold Iron selected. Root cause was NOT this effect's own logic - it was a materialCategoryCraft.mjs infrastructure bug affecting any material whose Material Craft flag was already set before that material's own property-sync existed (see Punch List). Fixed 2026-08-27; re-test of the actual damage bonus still pending. Follow-up verification 2026-08-27, after the infra fix: a direct read inside dnd5e.preCalculateDamage confirmed the necrotic bonus part's value was correctly 2 (1 base x 2 multiplier) for a 50%-Fey target. The chat card itself still displayed "1" for that same hit - this is a display convention, not a bug: dnd5e's card renders each roll part's raw dice result (a 1d1 always shows 1), not the post-preCalculateDamage semantic value, the same way a resisted hit's card doesn't show a halved per-roll number either. Confirmed via dnd5e.preApplyDamage that the final applied amount matched expectations once the target's own separate "Resistance: All Damage" trait was accounted for (9 slashing + 2 necrotic = 11, halved and floored = 5, matching the observed HP change exactly). Status: verified working end-to-end.</t>
        </is>
      </c>
      <c r="I4" t="inlineStr">
        <is>
          <t xml:space="preserve">Origin note: initial design doc said plain "Iron", corrected to "Cold Iron" 2026-08-26 per user request to check the lore against this module's actual material list. Uses the CURRENT (pre-migration) full-name property key "coldiron", not the drafted 3-letter "col" - the key-convention migration (Punch List) hasn't happened yet, so this effect will need its key reference updated whenever that migration lands.</t>
        </is>
      </c>
      <c r="J4" t="inlineStr">
        <is>
          <t xml:space="preserve">Not yet verified against a live world/combat - no way to launch Foundry from this session. Does the extra weapon damage double on a critical hit (not implemented - kept simple for a first pass)? Should the per-round damage also apply to a Fey just standing near/touching Cold Iron outside combat, or is combat-only correct per the "per round" wording? Multi-target leak: RESOLVED 2026-08-26 (see Verified Mechanical Detail).</t>
        </is>
      </c>
      <c r="K4" t="inlineStr">
        <is>
          <t xml:space="preserve"/>
        </is>
      </c>
      <c r="L4" t="inlineStr">
        <is>
          <t xml:space="preserve">2026-08-27</t>
        </is>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F14"/>
  <sheetViews>
    <sheetView workbookViewId="0">
      <pane ySplit="1" topLeftCell="A2" activePane="bottomLeft" state="frozen"/>
    </sheetView>
  </sheetViews>
  <sheetFormatPr defaultRowHeight="14.25"/>
  <cols>
    <col min="1" max="1" width="32" customWidth="1"/>
    <col min="2" max="2" width="32" customWidth="1"/>
    <col min="3" max="3" width="32" customWidth="1"/>
    <col min="4" max="4" width="32" customWidth="1"/>
    <col min="5" max="5" width="32" customWidth="1"/>
    <col min="6" max="6" width="32" customWidth="1"/>
  </cols>
  <sheetData>
    <row r="1" spans="1:6">
      <c r="A1" t="inlineStr">
        <is>
          <t xml:space="preserve">Item</t>
        </is>
      </c>
      <c r="B1" t="inlineStr">
        <is>
          <t xml:space="preserve">Area / File</t>
        </is>
      </c>
      <c r="C1" t="inlineStr">
        <is>
          <t xml:space="preserve">Status</t>
        </is>
      </c>
      <c r="D1" t="inlineStr">
        <is>
          <t xml:space="preserve">Notes</t>
        </is>
      </c>
      <c r="E1" t="inlineStr">
        <is>
          <t xml:space="preserve">Date Logged</t>
        </is>
      </c>
      <c r="F1" t="inlineStr">
        <is>
          <t xml:space="preserve">Date Resolved</t>
        </is>
      </c>
    </row>
    <row r="2" spans="1:6">
      <c r="A2" t="inlineStr">
        <is>
          <t xml:space="preserve">weightFactor / overrideFactor appear unused</t>
        </is>
      </c>
      <c r="B2" t="inlineStr">
        <is>
          <t xml:space="preserve">materialCategoryCraft.mjs (DEFAULT_MATERIAL_DATA)</t>
        </is>
      </c>
      <c r="C2" t="inlineStr">
        <is>
          <t xml:space="preserve">Open</t>
        </is>
      </c>
      <c r="D2" t="inlineStr">
        <is>
          <t xml:space="preserve">Defined per category/material but no consumer of these fields exists anywhere in the module (re-confirmed via a module-wide search) - unverified whether anything is meant to read them (possibly intended for AWC weight integration, not yet wired).</t>
        </is>
      </c>
      <c r="E2" t="inlineStr">
        <is>
          <t xml:space="preserve">2026-08-26</t>
        </is>
      </c>
      <c r="F2" t="inlineStr">
        <is>
          <t xml:space="preserve"/>
        </is>
      </c>
    </row>
    <row r="3" spans="1:6">
      <c r="A3" t="inlineStr">
        <is>
          <t xml:space="preserve">External material-data-source.json unverified</t>
        </is>
      </c>
      <c r="B3" t="inlineStr">
        <is>
          <t xml:space="preserve">modules/a-knights-dream/files/material-data-source.json</t>
        </is>
      </c>
      <c r="C3" t="inlineStr">
        <is>
          <t xml:space="preserve">Open</t>
        </is>
      </c>
      <c r="D3" t="inlineStr">
        <is>
          <t xml:space="preserve">materialCategoryCraft.mjs prefers this file over DEFAULT_MATERIAL_DATA if present; its existence/contents were not verified this session.</t>
        </is>
      </c>
      <c r="E3" t="inlineStr">
        <is>
          <t xml:space="preserve">2026-08-26</t>
        </is>
      </c>
      <c r="F3" t="inlineStr">
        <is>
          <t xml:space="preserve"/>
        </is>
      </c>
    </row>
    <row r="4" spans="1:6">
      <c r="A4" t="inlineStr">
        <is>
          <t xml:space="preserve">Effects sheet has acknowledged gaps</t>
        </is>
      </c>
      <c r="B4" t="inlineStr">
        <is>
          <t xml:space="preserve">dream.xlsx :: Effects sheet</t>
        </is>
      </c>
      <c r="C4" t="inlineStr">
        <is>
          <t xml:space="preserve">Open</t>
        </is>
      </c>
      <c r="D4" t="inlineStr">
        <is>
          <t xml:space="preserve">User-acknowledged blanks; not yet usable as a direct source for coded effects, needs a design pass first.</t>
        </is>
      </c>
      <c r="E4" t="inlineStr">
        <is>
          <t xml:space="preserve">2026-08-26</t>
        </is>
      </c>
      <c r="F4" t="inlineStr">
        <is>
          <t xml:space="preserve"/>
        </is>
      </c>
    </row>
    <row r="5" spans="1:6">
      <c r="A5" t="inlineStr">
        <is>
          <t xml:space="preserve">Planned: material-driven item value/denomination changes</t>
        </is>
      </c>
      <c r="B5" t="inlineStr">
        <is>
          <t xml:space="preserve">(not yet built - no file)</t>
        </is>
      </c>
      <c r="C5" t="inlineStr">
        <is>
          <t xml:space="preserve">Descoped for now</t>
        </is>
      </c>
      <c r="D5" t="inlineStr">
        <is>
          <t xml:space="preserve">User has stated akdp will eventually change an item's native value (copper/silver/gold) based on material, but explicitly descoped this from current work (2026-08-26: "akdp code does not need to at this time adjust item rarity/cost/weight - we are just going to focus on effects"). No code exists yet.</t>
        </is>
      </c>
      <c r="E5" t="inlineStr">
        <is>
          <t xml:space="preserve">2026-08-26</t>
        </is>
      </c>
      <c r="F5" t="inlineStr">
        <is>
          <t xml:space="preserve"/>
        </is>
      </c>
    </row>
    <row r="6" spans="1:6">
      <c r="A6" t="inlineStr">
        <is>
          <t xml:space="preserve">Item weight should logically derive from material Ingot weight - descoped for now</t>
        </is>
      </c>
      <c r="B6" t="inlineStr">
        <is>
          <t xml:space="preserve">dream.xlsx :: Ingot sheet (Table2/Table3) + Import sheet (Table1)</t>
        </is>
      </c>
      <c r="C6" t="inlineStr">
        <is>
          <t xml:space="preserve">Descoped for now</t>
        </is>
      </c>
      <c r="D6" t="inlineStr">
        <is>
          <t xml:space="preserve">Read the actual sheet data: Ingot sheet tracks 108 materials, only 73/108 (68%) have an Ingot weight value entered. Import catalog has 12,852 item rows, 11,248 (88%) with Item Weight filled. Data currently flows Import -&gt; Ingot only (summarizing, not deriving/checking) - no enforced link between an item's weight and its material's Ingot weight. Explicitly descoped from current work per user 2026-08-26 (effects-only focus for now); still matters later once AWC's weight-based AC is active.</t>
        </is>
      </c>
      <c r="E6" t="inlineStr">
        <is>
          <t xml:space="preserve">2026-08-26</t>
        </is>
      </c>
      <c r="F6" t="inlineStr">
        <is>
          <t xml:space="preserve"/>
        </is>
      </c>
    </row>
    <row r="7" spans="1:6">
      <c r="A7" t="inlineStr">
        <is>
          <t xml:space="preserve">Planar rarity/value model (accessibility x usefulness) - descoped for now</t>
        </is>
      </c>
      <c r="B7" t="inlineStr">
        <is>
          <t xml:space="preserve">dream.xlsx :: Ingot sheet (Home POE / Home Plane Rarity) + Effects sheet (Table4)</t>
        </is>
      </c>
      <c r="C7" t="inlineStr">
        <is>
          <t xml:space="preserve">Descoped for now</t>
        </is>
      </c>
      <c r="D7" t="inlineStr">
        <is>
          <t xml:space="preserve">User's stated goal: rarity/value should scale with how hard an item's home plane is to reach, moderated by how useful the item is on that plane - mechanism deliberately not detailed yet, and explicitly descoped from current work per user 2026-08-26. Partial data plumbing already exists: Effects sheet has Home POE/Home Rarity per material (~69% filled), which Ingot already looks up via XLOOKUP.</t>
        </is>
      </c>
      <c r="E7" t="inlineStr">
        <is>
          <t xml:space="preserve">2026-08-26</t>
        </is>
      </c>
      <c r="F7" t="inlineStr">
        <is>
          <t xml:space="preserve"/>
        </is>
      </c>
    </row>
    <row r="8" spans="1:6">
      <c r="A8" t="inlineStr">
        <is>
          <t xml:space="preserve">Adopt dnd5e-style 3-letter material key convention</t>
        </is>
      </c>
      <c r="B8" t="inlineStr">
        <is>
          <t xml:space="preserve">materialCategoryCraft.mjs (key minting - normalizeValue())</t>
        </is>
      </c>
      <c r="C8" t="inlineStr">
        <is>
          <t xml:space="preserve">Drafted - pending implementation</t>
        </is>
      </c>
      <c r="D8" t="inlineStr">
        <is>
          <t xml:space="preserve">Full draft mapping written to Material Registry ("Proposed 3-Letter Key" / "3-Letter Key Notes" columns), generated by parsing DEFAULT_MATERIAL_DATA and applying dnd5e's own disambiguation precedent (Perception/Performance/Persuasion -&gt; prc/prf/per, verified from source) for collisions. Of 122 materials, ~20 needed a fallback key. One pair (Bronze vs Broon) couldn't be resolved by derivation alone - Broon is a 3-consonant word with nothing left to fall back on - user decided 2026-08-26: Bronze -&gt; "bnz" (arbitrary), Broon keeps "brn". All 122 materials now have a unique, non-reserved proposed key. Not yet wired into code - materialCategoryCraft.mjs still mints full-name keys.</t>
        </is>
      </c>
      <c r="E8" t="inlineStr">
        <is>
          <t xml:space="preserve">2026-08-26</t>
        </is>
      </c>
      <c r="F8" t="inlineStr">
        <is>
          <t xml:space="preserve"/>
        </is>
      </c>
    </row>
    <row r="9" spans="1:6">
      <c r="A9" t="inlineStr">
        <is>
          <t xml:space="preserve">Roll Breakdown display - implemented</t>
        </is>
      </c>
      <c r="B9" t="inlineStr">
        <is>
          <t xml:space="preserve">rollBreakdown.mjs (new file)</t>
        </is>
      </c>
      <c r="C9" t="inlineStr">
        <is>
          <t xml:space="preserve">Implemented (not yet live-tested)</t>
        </is>
      </c>
      <c r="D9" t="inlineStr">
        <is>
          <t xml:space="preserve">Prompted by testing Cold Iron vs Fey: dnd5e's chat card only shows a combined modifier (e.g. "+3") with no indication of what it's made of, and that's confirmed NOT recoverable from the finished Roll object (user inspected roll.terms directly in the console - just a bare NumericTerm with no label). Original design captured the breakdown at roll time (dnd5e.rollAttackV2/rollDamageV2 hooks) and cached it as a message flag anchored on roll.parent (set by dnd5e's BasicRoll.buildPost when it creates the ChatMessage) - live testing showed the hook fired but the flag never got set. Root cause (confirmed via dnd5e + midi-qol source): midi-qol's automated workflow calls the base rollAttack() with message.create left false and builds its own combined chat card afterward, so dnd5e never creates a message at that point and roll.parent is never populated - a very common setup, not an edge case. Fixed by redesigning around renderChatMessageHTML instead: recompute the breakdown live every time a message renders (Activity#getAttackData() for attack - a pure computation, safe to call again; message.rolls directly for damage), using dnd5e's own message.getAssociatedActivity() (flags.dnd5e.activity.uuid/id) instead of roll.parent - this works regardless of which module created the message or when. Two settings unchanged: world "Roll Breakdown Display" (Always On / Always Off / Player Choice) and a client-scoped "Show Roll Breakdown" consulted only when the world setting is Player Choice. IMPORTANT for future material effects: a damage part still needs an opt-in options.akdLabel string set on the pushed roll (see materialEffects.mjs's Cold Iron bonus for the pattern) to get a real name in the breakdown instead of a generic "{type} damage" label - deliberately not reusing options.flavor for this, to avoid colliding with dnd5e's own possible use of that key. Not yet re-confirmed live after this fix - awaiting user re-test.</t>
        </is>
      </c>
      <c r="E9" t="inlineStr">
        <is>
          <t xml:space="preserve">2026-08-26</t>
        </is>
      </c>
      <c r="F9" t="inlineStr">
        <is>
          <t xml:space="preserve"/>
        </is>
      </c>
    </row>
    <row r="10" spans="1:6">
      <c r="A10" t="inlineStr">
        <is>
          <t xml:space="preserve">Material property self-heal gap on already-set Material Craft flags - fixed</t>
        </is>
      </c>
      <c r="B10" t="inlineStr">
        <is>
          <t xml:space="preserve">materialCategoryCraft.mjs (onRenderItemSheet)</t>
        </is>
      </c>
      <c r="C10" t="inlineStr">
        <is>
          <t xml:space="preserve">Fixed</t>
        </is>
      </c>
      <c r="D10" t="inlineStr">
        <is>
          <t xml:space="preserve">Live-testing Cold Iron vs Fey (Effect Tracker) found the effect never fired despite a correctly-selected Material Craft: a console diagnostic on dnd5e.preRollDamageV2 showed item.system.properties genuinely missing "coldiron". Root cause: onRenderItemSheet's auto-detection only calls item.setFlag() (which is what triggers the system.properties sync, via the updateItem hook) when the craft VALUE actually changes - an item whose Material Craft flag already said the correct value (set by import, an earlier session, or before that material's own property key existed) never goes through a flag CHANGE, so its properties never get synced. The identical self-heal already existed for the Silvered ("sil") property specifically (runs unconditionally on every sheet render) but was never extended to the general syncMaterialProperty() call - fixed by adding that same unconditional call alongside it. Affects every material with its own property key (Cold Iron, Adamantine, etc.), not just this one effect - reopening an affected item's sheet once now self-heals it. Re-test of Cold Iron vs Fey's actual damage bonus still pending.</t>
        </is>
      </c>
      <c r="E10" t="inlineStr">
        <is>
          <t xml:space="preserve">2026-08-27</t>
        </is>
      </c>
      <c r="F10" t="inlineStr">
        <is>
          <t xml:space="preserve">2026-08-27</t>
        </is>
      </c>
    </row>
    <row r="11" spans="1:6">
      <c r="A11" t="inlineStr">
        <is>
          <t xml:space="preserve">Damage Type Card Colors - implemented</t>
        </is>
      </c>
      <c r="B11" t="inlineStr">
        <is>
          <t xml:space="preserve">damageTypeCardColors.mjs (new file)</t>
        </is>
      </c>
      <c r="C11" t="inlineStr">
        <is>
          <t xml:space="preserve">Implemented / Verified (icon coloring confirmed live)</t>
        </is>
      </c>
      <c r="D11" t="inlineStr">
        <is>
          <t xml:space="preserve">User request 2026-08-27, prompted by testing Cold Iron vs Fey's necrotic bonus: dnd5e's chat card shows each damage type's name as permanent visible text (e.g. "Slashing", "Necrotic") and renders its type icon as a near-invisible opacity:0.1 watermark (confirmed via dnd5e.mjs's _enrichDamageTooltip and matching dnd5e.css rules). User wants the name hidden by default, shown only as a hover tooltip centered over the total, and the icon recolored per damage type - physical types (slashing/piercing/bludgeoning, grouped with force per the user's reference) in greyscale, elemental/other types in a traditional color (fire=red, cold=blue, poison=green, etc.), all GM-configurable via a new settings menu with a color picker per type. Implementation: pure CSS for the hover-label swap (targets dnd5e's existing .total &gt; .label/.value, confirmed via Explore-agent research that midi-qol reuses the identical class names in its own damage tooltip renderer); for icon color, dnd5e's native &lt;img&gt; can't be recolored directly so the real SVG is fetched once per icon path and swapped for an inline &lt;svg&gt; with a plain fill (cached per path); midi-qol's separate aggregate &lt;dnd5e-icon class="midi-damage-type-icon"&gt; already supports exact color via its own --icon-fill CSS custom property (confirmed in dnd5e.mjs's Dnd5eIcon shadow-root CSS), so that one just gets the property set directly, no fetch needed. Type detection for both keys off the icon's src attribute against CONFIG.DND5E.damageTypes[key].icon - language-independent, unlike matching rendered label text. Settings menu follows the existing FormApplication pattern already used by creatureTypeImages.mjs. Not yet live-tested - no way to launch Foundry from this session. Live-tested 2026-08-27: the hover-only label swap on .total worked correctly, but the icon recoloring did not appear - root cause not yet diagnosed, a DOM dump was requested from the user to confirm the actual rendered &lt;img&gt;/src structure matches what the code assumes. Same session, two follow-up features added to this file in response to further user requests (also not yet live-tested): (1) per-term source hover labels - hovering an individual die or flat modifier within a damage row now reveals what it came from (the activating item/spell/feature's name for a die, "Ability Modifier" for a flat term baked into the same roll, or a roll's own options.akdLabel if set - e.g. Cold Iron's bonus correctly reads "Cold Iron vs Fey" instead of "Ability Modifier"); user's own example used "Proficiency" for a weapon's flat damage bonus, which is factually incorrect for 5e (proficiency doesn't apply to damage) - implemented as "Ability Modifier" instead. (2) resistance/immunity math tooltip on the Apply Damage tray - hovering a target's calculated total now shows the raw-to-adjusted math per affected damage type, computed by calling Actor5e#calculateDamage() directly (the same public method dnd5e's own &lt;damage-application&gt; tray calls) rather than re-deriving the rules by hand. That tray builds its per-target rows lazily (only once expanded), so a MutationObserver watches for rows appearing rather than relying on a single render hook timing. Known gap: doesn't reflect a GM's manual multiplier override in the tray, since it recomputes independently rather than reading the tray's own per-target state. Two bugs found and fixed 2026-08-27 via live diagnostics: (1) the hover-swap CSS applied unscoped to every .total element, including an attack roll's own breakdown, which reuses the identical template but with an empty or entirely absent label - hovering the ability-modifier/flat-bonus term showed an empty background-colored box (or made the number vanish with nothing readable in its place). Fixed by scoping every rule to :has(.label:not(:empty)). (2) icon recoloring never ran despite the element, its src match, and its icon fetch all checking out fine independently - root cause: midi-qol's workflow often builds a message's damage HTML progressively into an already-existing card (attack renders first, damage content gets added afterward) rather than firing a fresh renderChatMessageHTML render event, so a one-time scan at hook-fire time can finish before the damage content exists. Fixed with the same MutationObserver approach already used for the Apply Damage tray - reacts to card content whenever it actually appears, not tied to a single hook-firing moment. Still awaiting final live confirmation after these fixes. Third bug found live 2026-08-27, same class as the first: the new per-term hover CSS (.dice-rolls li:hover { color: transparent }) was left unscoped, so it also hid attack-roll dice/modifier text - but since applyTermSourceLabels() only adds a replacement .akd-term-source label for actual damage rolls, an attack roll's term had nothing to show in its place, leaving a blank box. Fixed with the same :has() scoping already applied to the type-total hover fix, restricting the rule to li:has(.akd-term-source). Actual root cause of the missing colors found 2026-08-27 via a direct live fetch of a damage-type SVG: dnd5e's own icons are authored with their fill already keyed to a CSS custom property (&lt;g style="fill: var(--icon-fill, #fff)"&gt;), the same convention dnd5e-icon's shadow-root CSS uses - not a plain fill attribute. recolorNativeIcon() was setting svg.style.fill directly, which has no effect: the inner &lt;g&gt;'s own inline style always wins over it, and with --icon-fill never actually set, it silently fell back to its #fff default. This is why every earlier diagnostic looked fine (element found, fetch succeeded, element replaced, no errors) yet nothing ever visibly changed color - the MutationObserver/timing fix from the same day was real and necessary but not sufficient on its own. Fixed by setting svg.style.setProperty("--icon-fill", color) instead, matching the property already correctly used for midi-qol's aggregate &lt;dnd5e-icon&gt; case. Icon color confirmed working live 2026-08-27 via computed-style inspection (getComputedStyle on the recolored &lt;g&gt; returned rgb(136,136,136), exactly matching the Slashing default #888888) - the fix was real, it just wasn't visually obvious in that specific test since Slashing/Necrotic both default to dark/greyscale colors by design, which don't contrast much against Foundry's dark UI. Follow-up feature added same day: midi-qol's aggregate per-type icons (&lt;dnd5e-icon class="midi-damage-type-icon"&gt;) sit outside the collapsible dice-tooltip wrapper, so they stay visible even when a card is collapsed - unlike everything else this file touches, which only exists inside that collapsed section. Added a small, faint number badge overlaid on each of those icons showing that type's total damage, so a player can read the type breakdown without expanding the card at all. Works only where midi-qol builds those icons (a graceful no-op on cards that don't have them) - dnd5e's own native renderer doesn't add an equivalent always-visible icon set outside the collapsed section. Three more additions 2026-08-27, all not yet live-tested: (1) settings dialog now closes on Save (was closeOnSubmit:false, matching creatureTypeImages.mjs's convention, but the user expected standard Foundry auto-close as save confirmation) plus a toast notification either way. (2) already-rendered cards now live-update when the color settings are saved, not just future ones - recolored native icons are tagged with a data-damage-type attribute (the original &lt;img&gt;'s type-identifying src is gone once replaced with an inline &lt;svg&gt;) so a Hooks.on("updateSetting") listener can recolor them in place without re-fetching, and sweeps every visible message via its data-message-id in case any were never touched by the normal render/mutation pipeline at all. (3) each settings-menu row's color swatch is now that damage type's own icon shape instead of a plain rectangle, recolored live as you pick - a hidden-but-functional native &lt;input type="color"&gt; still provides the actual picker (keyboard/accessibility intact), forwarded to by clicking the icon button next to it. Final addition 2026-08-27 (not yet live-tested): user feedback on the collapsed-mode badge - too small, corner-positioned rather than centered. Fixed positioning to true-center (matching the .akd-term-source technique used elsewhere in this file) and added three new global sliders to the settings menu (Icon Size, Overlay Number Size, Overlay Number Opacity), stored in a new cardIconDisplayOptions setting and pushed as CSS custom properties on :root (--akd-icon-size/--akd-badge-font-size/--akd-badge-opacity) so every icon and badge everywhere picks them up via ordinary CSS inheritance - no per-element re-scanning needed, unlike per-type color which does need that. Sliders preview live while dragging (writing straight to :root) and apply to already-visible cards on save via the same updateSetting listener used for colors. This D11 entry has grown very large across the whole build/debug/refine cycle for this file (2026-08-27) - any further changes to this feature should get their own new Punch List row rather than continuing to append here.</t>
        </is>
      </c>
      <c r="E11" t="inlineStr">
        <is>
          <t xml:space="preserve">2026-08-27</t>
        </is>
      </c>
      <c r="F11" t="inlineStr">
        <is>
          <t xml:space="preserve"/>
        </is>
      </c>
    </row>
    <row r="12" spans="1:6">
      <c r="A12" t="inlineStr">
        <is>
          <t xml:space="preserve">Damage Type Card Colors settings window - dark theme to match cards</t>
        </is>
      </c>
      <c r="B12" t="inlineStr">
        <is>
          <t xml:space="preserve">damageTypeCardColors.mjs / itemPropStyles.css</t>
        </is>
      </c>
      <c r="C12" t="inlineStr">
        <is>
          <t xml:space="preserve">Implemented (not yet live-tested)</t>
        </is>
      </c>
      <c r="D12" t="inlineStr">
        <is>
          <t xml:space="preserve">User request 2026-08-27: the settings window used Foundry's default light/parchment application background, nothing like the dark background chat cards actually render against, making it hard to accurately judge a picked color against its real-world appearance. Also: the color-swatch icon buttons were a fixed size regardless of the "Icon Size" slider, so they didn't preview true-to-scale. Fixed both: the settings window's content area (scoped to its own window id, #akd-card-colors) now uses a dark background with light text matching the card's tone, and each swatch icon is sized from the same --akd-icon-size custom property the slider drives on real cards, so it updates live as that slider moves and reflects the actual in-use size. Caveat: sizing uses em units, which resolve relative to font-size - the settings window's own base font-size may not exactly match the chat log's, so the match is close but not guaranteed pixel-perfect. Follow-up 2026-08-27: after live-testing the sliders, the user's tuned values (icon size 1.6, badge font size 1.05, badge opacity 0.8) were adopted as the new defaults - the original guesses were too small/faint to actually read at a glance. Also fixed: dnd5e's own native grand-total number (e.g. "9") shares a container (&lt;h4 class="dice-total"&gt;) with the aggregate type icon next to it, with no alignment rule of its own - fine at the icon's original size, but a larger icon (from the size slider) threw off their shared vertical center since the icon's box grew while the number's line-height didn't. Fixed by flexing that shared container (align-items + justify-content: center) so the two stay centered against each other regardless of icon/badge size - preserving justify-content explicitly since a plain display:flex would have silently dropped whatever horizontal centering dnd5e was already doing via text-align.</t>
        </is>
      </c>
      <c r="E12" t="inlineStr">
        <is>
          <t xml:space="preserve">2026-08-27</t>
        </is>
      </c>
      <c r="F12" t="inlineStr">
        <is>
          <t xml:space="preserve"/>
        </is>
      </c>
    </row>
    <row r="13" spans="1:6">
      <c r="A13" t="inlineStr">
        <is>
          <t xml:space="preserve">Overlay number color picker + Hide Damage on a Miss toggle</t>
        </is>
      </c>
      <c r="B13" t="inlineStr">
        <is>
          <t xml:space="preserve">damageTypeCardColors.mjs</t>
        </is>
      </c>
      <c r="C13" t="inlineStr">
        <is>
          <t xml:space="preserve">Implemented / Verified (icon centering confirmed live 2026-08-28)</t>
        </is>
      </c>
      <c r="D13" t="inlineStr">
        <is>
          <t xml:space="preserve">Two more additions 2026-08-27: (1) a fourth swatch-style color picker for the collapsed-mode overlay number's own text color (previously hardcoded white) - reuses the same icon-swatch UI, but since there's no icon to preview against, its swatch shows a plain "#" glyph instead, sized identically to the damage-type swatches via the same --akd-icon-size variable. (2) a new top-level world setting, "Hide Damage on a Miss" (off / hide from players / hide from everyone) - dnd5e/midi-qol pre-roll damage even when an attack misses, which can read as confusing on the card. Detects hit/miss via D20Roll#isSuccess (dnd5e.mjs ~line 68527, comparing the roll total against options.target, the AC) - reliable only for a single-target attack, since options.target is only set then; a multi-target attack's isSuccess is always false, so this checks strictly for `=== false` and deliberately leaves multi-target attacks alone rather than risk hiding a real hit's damage. Hides just the damage roll(s) and the Apply Damage tray, not the attack roll itself. Known gap: toggling this setting mid-session doesn't retroactively un-hide already-hidden cards (unlike the color settings, which do live-update existing cards) - would need a full reload. Follow-up 2026-08-28: (1) replaced the overlay number's text-shadow - stacking identical 0-offset shadows doesn't add visual weight (they render on top of each other, not additively) - with a proper multi-directional outline (4 offset shadows + a soft blur) per "black blurred subtle outline" feedback. (2) the native grand-total number (attack's "7", damage's "9") now scales with the same Icon Size slider via font-size, not just the icons themselves - required resetting the icon's (and its overlay badge's) own font-size back to a fixed baseline first, since both already size themselves in em units off the same --akd-icon-size variable and would otherwise compound with the container's now-scaled font-size (doubling icon size would have roughly quadrupled it, not doubled it). Settings-window UI polish 2026-08-28: (1) defaults updated again after further live tuning - badgeFontSize 1.05-&gt;1.2, badgeOpacity 0.8-&gt;0.5 (the new outline made the number readable at lower opacity). (2) all three sliders' min/max recentered so each default value sits at the exact midpoint of its range (icon size 0.5-2.7 around 1.6, badge font size 0.3-2.1 around 1.2, opacity already centered at 0.5 in 0-1). (3) reset buttons across every row (color swatches, sliders, badge color) are now a uniform fixed square - previously unstyled and left to Foundry's default button padding, which stretched them to differing rectangular widths. (4) widened the settings window (420-&gt;500) and slightly narrowed the label column so the slider track itself - the actual physical drag distance - has meaningfully more room instead of being squeezed by the label/value/reset columns. Real bug found and fixed 2026-08-28: user reported the overlay number looked off-center left/right over the icon. Live getBoundingClientRect() diagnostic showed the badge itself was correctly centered on its wrapper (900.42 vs 900.42) but the ICON inside that same wrapper was not (902.42 vs 900.42, flush against the wrapper's right edge with all slack on the left) - so the badge was never the actual problem, it was honestly centering itself on a wrapper whose visible icon wasn't centered within it. Root cause: dnd5e-icon sets display:contents on itself internally (its own shadow CSS), meaning it generates no box of its own - a known conflict with flexbox centering, since an element with no box can't act as a normal flex item. Fixed by overriding display back to inline-flex from light-DOM author CSS (which beats the component's own internal :host default), giving it a real box the wrapper's justify-content:center can actually center. Icon centering still off after the display:contents fix (user reported the icon still leaning left, not centered "between the eyes" of the necrotic skull). The flex-centering approach (align-items/justify-content on the wrapper) proved unreliable for this element even after fixing its box-generation issue, so abandoned it in favor of the exact technique already proven correct for the badge itself: the wrapper is now explicitly sized (width/height: var(--akd-icon-size), not shrink-to-fit) and the icon is absolutely positioned with top/left/translate(-50%,-50%) against it, the same math already confirmed correct via getBoundingClientRect() for the badge. Not yet re-verified live. CSS centering still not winning after re-verification 2026-08-28 (icon center measured 4px off from wrapper/badge center, worse than the first attempt) - root cause not fully pinned down, likely dnd5e-icon's own internal shadow-DOM styling still asserting itself over the external stylesheet rule for reasons not fully diagnosed. Switched to setting the icon's position directly via inline style in JS instead (guaranteed highest specificity, no cascade ambiguity possible), and removed the now-redundant CSS rule that wasn't reliably applying. Also note: an earlier bbox diagnostic that appeared to show an empty path bounding box was a red herring - JSON.stringify() on an SVGRect doesn't serialize its getter-based properties, not an indication the path itself was empty. Inline style also failed to center the icon (re-verified live 2026-08-28 with a corrected diagnostic targeting the actual newest card - confirmed the inline style was set exactly as intended, yet the icon still rendered ~4px off from the wrapper/badge center). Root cause not fully pinned down after three attempts (flex align/justify, CSS position:absolute, inline-style position:absolute all failed identically) - some interaction with dnd5e-icon's shadow-DOM internals that couldn't be diagnosed further from outside the closed shadow root. Abandoned trying to force the icon into a theoretically-correct position; switched to measuring where it actually renders via getBoundingClientRect() after paint and positioning the badge to match that measured spot directly (centerBadgeOnIcon) - sidesteps the mystery instead of needing to solve it. Not yet re-verified live. Measure-and-compensate also failed live 2026-08-28 (badge landed clearly below the icon, not just left/right off - the icon's measured rect itself was apparently unreliable, not just its resolved position). Four attempts at centering something against the original &lt;dnd5e-icon&gt; element all failed in different ways (flex align/justify, CSS position:absolute, inline-styled position:absolute, measured-rect compensation) - abandoned trying to solve why and instead sidestepped the element entirely: applyCollapsedTypeBadges now replaces it with a plain inline &lt;svg&gt;, the exact same recolor-by-replacement technique already proven correct for the per-row icons (recolorNativeIcon) with no shadow-DOM quirks involved at all. refreshAllVisibleCards updated to match (recolors the new svg wrapper directly instead of the now-gone dnd5e-icon element). Not yet re-verified live.</t>
        </is>
      </c>
      <c r="E13" t="inlineStr">
        <is>
          <t xml:space="preserve">2026-08-27</t>
        </is>
      </c>
      <c r="F13" t="inlineStr">
        <is>
          <t xml:space="preserve"/>
        </is>
      </c>
    </row>
    <row r="14" spans="1:6">
      <c r="A14" t="inlineStr">
        <is>
          <t xml:space="preserve">Collapsed-mode icon layout - total centered, icons balanced left/right</t>
        </is>
      </c>
      <c r="B14" t="inlineStr">
        <is>
          <t xml:space="preserve">damageTypeCardColors.mjs (balanceCollapsedIcons)</t>
        </is>
      </c>
      <c r="C14" t="inlineStr">
        <is>
          <t xml:space="preserve">Implemented (not yet live-tested)</t>
        </is>
      </c>
      <c r="D14" t="inlineStr">
        <is>
          <t xml:space="preserve">User request 2026-08-28, once icon centering was finally confirmed working: the grand total (e.g. "6") should sit at the visual center of the collapsed row, with damage-type icons spread evenly left/right of it rather than bunched together after it, and never landing directly on the center where the total sits. Implemented via CSS flexbox order rather than moving anything in the DOM: the total's own bare text node gets wrapped in a span so order can apply to it too (order:0, the flex default, keeps it centered), and each icon wrapper alternates order -1,1,-2,2... spreading outward symmetrically on each side. Runs after applyCollapsedTypeBadges on every applyCardStyling pass, so it settles once those wrappers actually exist (their own creation is async).</t>
        </is>
      </c>
      <c r="E14" t="inlineStr">
        <is>
          <t xml:space="preserve">2026-08-28</t>
        </is>
      </c>
      <c r="F14" t="inlineStr">
        <is>
          <t xml:space="preserve"/>
        </is>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Ingot</vt:lpstr>
      <vt:lpstr>Import</vt:lpstr>
      <vt:lpstr>Effects</vt:lpstr>
      <vt:lpstr>Material Registry</vt:lpstr>
      <vt:lpstr>Effect Tracker</vt:lpstr>
      <vt:lpstr>Punch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Karl Hill</cp:lastModifiedBy>
  <cp:revision>0</cp:revision>
  <dcterms:created xsi:type="dcterms:W3CDTF">2026-06-20T20:16:58Z</dcterms:created>
  <dcterms:modified xsi:type="dcterms:W3CDTF">2026-07-08T02:41:42Z</dcterms:modified>
  <dc:language>en-US</dc:language>
</cp:coreProperties>
</file>